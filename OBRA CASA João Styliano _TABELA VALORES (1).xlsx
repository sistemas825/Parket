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KET\Downloads\"/>
    </mc:Choice>
  </mc:AlternateContent>
  <bookViews>
    <workbookView xWindow="0" yWindow="0" windowWidth="23040" windowHeight="10704"/>
  </bookViews>
  <sheets>
    <sheet name="Plan1" sheetId="1" r:id="rId1"/>
    <sheet name="Plan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2" l="1"/>
  <c r="E8" i="2"/>
  <c r="E10" i="2" s="1"/>
  <c r="E7" i="2"/>
  <c r="E6" i="2"/>
  <c r="E5" i="2"/>
  <c r="E7" i="1" l="1"/>
  <c r="E6" i="1"/>
  <c r="E5" i="1"/>
  <c r="F5" i="1"/>
  <c r="E8" i="1" l="1"/>
</calcChain>
</file>

<file path=xl/sharedStrings.xml><?xml version="1.0" encoding="utf-8"?>
<sst xmlns="http://schemas.openxmlformats.org/spreadsheetml/2006/main" count="38" uniqueCount="27">
  <si>
    <t xml:space="preserve">PARKET </t>
  </si>
  <si>
    <t>ARQUITETURA:</t>
  </si>
  <si>
    <t>VENDEDOR:</t>
  </si>
  <si>
    <t xml:space="preserve">ENDEREÇO: </t>
  </si>
  <si>
    <t>MATERIAL</t>
  </si>
  <si>
    <t>Alan</t>
  </si>
  <si>
    <t>ISABELA TRALLI</t>
  </si>
  <si>
    <t>OBRA:  2340</t>
  </si>
  <si>
    <t>L.MAIA ARQUITETOS</t>
  </si>
  <si>
    <t xml:space="preserve"> Itaim Bibi/SP</t>
  </si>
  <si>
    <t>PAINEL LÂMINA CARVALHO BLACK</t>
  </si>
  <si>
    <t>PAINEL LACA</t>
  </si>
  <si>
    <t>MARCENARIA LACA</t>
  </si>
  <si>
    <t xml:space="preserve">REVESTIMENTO LACA </t>
  </si>
  <si>
    <t>PREÇO M²</t>
  </si>
  <si>
    <t xml:space="preserve">PREÇO </t>
  </si>
  <si>
    <t>FORRO RIPADO CARVALHO EUROPEU BLACK 1,8 × 3,5cm × comp. Variável</t>
  </si>
  <si>
    <t xml:space="preserve">M² COM PERDA </t>
  </si>
  <si>
    <t>Total dos materiais orçados:</t>
  </si>
  <si>
    <t>RECORTES</t>
  </si>
  <si>
    <t>OBRA:  João Styliano - CASA RM, ID: 2365</t>
  </si>
  <si>
    <t xml:space="preserve">João Styliano </t>
  </si>
  <si>
    <t>OODA</t>
  </si>
  <si>
    <t>Frlipe lessa</t>
  </si>
  <si>
    <t xml:space="preserve"> PISO TAUARI
15/3 × 19 × 100-300CM</t>
  </si>
  <si>
    <t>MACIÇO SHOU SUGI BAN 15/3 × 10CM × COMP. VARIÁVEL</t>
  </si>
  <si>
    <t>SHOU SUGI BAN
2 × (LARG. VARIAVEIS ENTRE 5, 10 E 15CM) × 300CM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</si>
</sst>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8"/>
      <color rgb="FF1A1A1A"/>
      <name val="Arial"/>
      <family val="2"/>
    </font>
    <font>
      <sz val="10"/>
      <color theme="1"/>
      <name val="Calibri"/>
      <family val="2"/>
      <scheme val="minor"/>
    </font>
    <font>
      <sz val="10"/>
      <color rgb="FF1A1A1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7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7" fontId="0" fillId="0" borderId="3" xfId="1" applyNumberFormat="1" applyFont="1" applyBorder="1" applyAlignment="1">
      <alignment horizontal="center" vertical="center"/>
    </xf>
    <xf numFmtId="7" fontId="0" fillId="0" borderId="4" xfId="0" applyNumberFormat="1" applyBorder="1"/>
    <xf numFmtId="0" fontId="0" fillId="0" borderId="5" xfId="0" applyBorder="1"/>
    <xf numFmtId="7" fontId="0" fillId="0" borderId="6" xfId="0" applyNumberFormat="1" applyBorder="1"/>
    <xf numFmtId="0" fontId="0" fillId="0" borderId="5" xfId="0" applyBorder="1" applyAlignment="1">
      <alignment wrapText="1"/>
    </xf>
    <xf numFmtId="7" fontId="0" fillId="3" borderId="9" xfId="1" applyNumberFormat="1" applyFont="1" applyFill="1" applyBorder="1" applyAlignment="1">
      <alignment horizontal="center" vertical="center"/>
    </xf>
    <xf numFmtId="4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7" fontId="4" fillId="0" borderId="4" xfId="0" applyNumberFormat="1" applyFont="1" applyBorder="1" applyAlignment="1">
      <alignment horizontal="center"/>
    </xf>
    <xf numFmtId="7" fontId="4" fillId="0" borderId="6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7" fontId="0" fillId="3" borderId="12" xfId="1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4" fillId="0" borderId="8" xfId="0" applyFont="1" applyBorder="1" applyAlignment="1">
      <alignment horizontal="center"/>
    </xf>
    <xf numFmtId="7" fontId="4" fillId="0" borderId="8" xfId="1" applyNumberFormat="1" applyFont="1" applyBorder="1" applyAlignment="1">
      <alignment horizontal="center" vertical="center"/>
    </xf>
    <xf numFmtId="7" fontId="4" fillId="0" borderId="9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3" borderId="10" xfId="0" applyFill="1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0" fontId="0" fillId="3" borderId="8" xfId="0" applyFill="1" applyBorder="1" applyAlignment="1">
      <alignment horizontal="righ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D12" sqref="D12:D13"/>
    </sheetView>
  </sheetViews>
  <sheetFormatPr defaultRowHeight="14.4" x14ac:dyDescent="0.3"/>
  <cols>
    <col min="1" max="1" width="29.21875" customWidth="1"/>
    <col min="2" max="2" width="25.77734375" customWidth="1"/>
    <col min="3" max="4" width="17.21875" customWidth="1"/>
    <col min="5" max="5" width="19.88671875" customWidth="1"/>
  </cols>
  <sheetData>
    <row r="1" spans="1:6" ht="31.8" customHeight="1" x14ac:dyDescent="0.3">
      <c r="A1" s="31" t="s">
        <v>0</v>
      </c>
      <c r="B1" s="31"/>
      <c r="C1" s="31"/>
      <c r="D1" s="31"/>
      <c r="E1" s="31"/>
    </row>
    <row r="2" spans="1:6" x14ac:dyDescent="0.3">
      <c r="A2" t="s">
        <v>20</v>
      </c>
      <c r="B2" t="s">
        <v>21</v>
      </c>
      <c r="D2" t="s">
        <v>2</v>
      </c>
      <c r="E2" t="s">
        <v>23</v>
      </c>
    </row>
    <row r="3" spans="1:6" x14ac:dyDescent="0.3">
      <c r="A3" t="s">
        <v>1</v>
      </c>
      <c r="B3" t="s">
        <v>22</v>
      </c>
      <c r="D3" t="s">
        <v>3</v>
      </c>
      <c r="E3" t="s">
        <v>9</v>
      </c>
    </row>
    <row r="4" spans="1:6" ht="15" thickBot="1" x14ac:dyDescent="0.35">
      <c r="A4" s="2" t="s">
        <v>4</v>
      </c>
      <c r="B4" s="2" t="s">
        <v>17</v>
      </c>
      <c r="C4" s="2" t="s">
        <v>19</v>
      </c>
      <c r="D4" s="2" t="s">
        <v>14</v>
      </c>
      <c r="E4" s="2" t="s">
        <v>15</v>
      </c>
    </row>
    <row r="5" spans="1:6" ht="42.6" customHeight="1" x14ac:dyDescent="0.3">
      <c r="A5" s="30" t="s">
        <v>24</v>
      </c>
      <c r="B5" s="16">
        <v>141</v>
      </c>
      <c r="C5" s="16"/>
      <c r="D5" s="27">
        <v>1150</v>
      </c>
      <c r="E5" s="18">
        <f>SUM(B5*D5)</f>
        <v>162150</v>
      </c>
      <c r="F5">
        <f>SUM(A1:A8)</f>
        <v>0</v>
      </c>
    </row>
    <row r="6" spans="1:6" ht="61.2" customHeight="1" x14ac:dyDescent="0.3">
      <c r="A6" s="22" t="s">
        <v>25</v>
      </c>
      <c r="B6" s="20">
        <v>27</v>
      </c>
      <c r="C6" s="17"/>
      <c r="D6" s="28">
        <v>3700</v>
      </c>
      <c r="E6" s="19">
        <f t="shared" ref="E6" si="0">SUM(B6*D6)</f>
        <v>99900</v>
      </c>
    </row>
    <row r="7" spans="1:6" ht="61.8" customHeight="1" thickBot="1" x14ac:dyDescent="0.35">
      <c r="A7" s="23" t="s">
        <v>26</v>
      </c>
      <c r="B7" s="24">
        <v>925</v>
      </c>
      <c r="C7" s="25"/>
      <c r="D7" s="29">
        <v>1350</v>
      </c>
      <c r="E7" s="26">
        <f>(B7*D7)+C7</f>
        <v>1248750</v>
      </c>
    </row>
    <row r="8" spans="1:6" ht="15" thickBot="1" x14ac:dyDescent="0.35">
      <c r="A8" s="32" t="s">
        <v>18</v>
      </c>
      <c r="B8" s="33"/>
      <c r="C8" s="33"/>
      <c r="D8" s="33"/>
      <c r="E8" s="21">
        <f>SUM(E5:E7)</f>
        <v>1510800</v>
      </c>
    </row>
    <row r="9" spans="1:6" x14ac:dyDescent="0.3">
      <c r="B9" s="1"/>
      <c r="C9" s="1"/>
      <c r="D9" s="1"/>
      <c r="E9" s="3"/>
    </row>
    <row r="13" spans="1:6" x14ac:dyDescent="0.3">
      <c r="F13" s="15"/>
    </row>
    <row r="19" spans="6:6" x14ac:dyDescent="0.3">
      <c r="F19" s="15"/>
    </row>
  </sheetData>
  <mergeCells count="2">
    <mergeCell ref="A1:E1"/>
    <mergeCell ref="A8:D8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sqref="A1:E13"/>
    </sheetView>
  </sheetViews>
  <sheetFormatPr defaultRowHeight="14.4" x14ac:dyDescent="0.3"/>
  <cols>
    <col min="5" max="5" width="70.88671875" customWidth="1"/>
  </cols>
  <sheetData>
    <row r="1" spans="1:5" ht="21" x14ac:dyDescent="0.3">
      <c r="A1" s="31" t="s">
        <v>0</v>
      </c>
      <c r="B1" s="31"/>
      <c r="C1" s="31"/>
      <c r="D1" s="31"/>
      <c r="E1" s="31"/>
    </row>
    <row r="2" spans="1:5" x14ac:dyDescent="0.3">
      <c r="A2" t="s">
        <v>7</v>
      </c>
      <c r="B2" t="s">
        <v>6</v>
      </c>
      <c r="D2" t="s">
        <v>2</v>
      </c>
      <c r="E2" t="s">
        <v>5</v>
      </c>
    </row>
    <row r="3" spans="1:5" x14ac:dyDescent="0.3">
      <c r="A3" t="s">
        <v>1</v>
      </c>
      <c r="B3" t="s">
        <v>8</v>
      </c>
      <c r="D3" t="s">
        <v>3</v>
      </c>
      <c r="E3" t="s">
        <v>9</v>
      </c>
    </row>
    <row r="4" spans="1:5" ht="15" thickBot="1" x14ac:dyDescent="0.35">
      <c r="A4" s="2" t="s">
        <v>4</v>
      </c>
      <c r="B4" s="2" t="s">
        <v>17</v>
      </c>
      <c r="C4" s="2" t="s">
        <v>19</v>
      </c>
      <c r="D4" s="2" t="s">
        <v>14</v>
      </c>
      <c r="E4" s="2" t="s">
        <v>15</v>
      </c>
    </row>
    <row r="5" spans="1:5" x14ac:dyDescent="0.3">
      <c r="A5" s="7" t="s">
        <v>10</v>
      </c>
      <c r="B5" s="8">
        <v>117</v>
      </c>
      <c r="C5" s="8"/>
      <c r="D5" s="9">
        <v>1990</v>
      </c>
      <c r="E5" s="10">
        <f>SUM(B5*D5)</f>
        <v>232830</v>
      </c>
    </row>
    <row r="6" spans="1:5" x14ac:dyDescent="0.3">
      <c r="A6" s="11" t="s">
        <v>11</v>
      </c>
      <c r="B6" s="4">
        <v>81</v>
      </c>
      <c r="C6" s="4"/>
      <c r="D6" s="5">
        <v>2150</v>
      </c>
      <c r="E6" s="12">
        <f t="shared" ref="E6:E9" si="0">SUM(B6*D6)</f>
        <v>174150</v>
      </c>
    </row>
    <row r="7" spans="1:5" ht="144" x14ac:dyDescent="0.3">
      <c r="A7" s="13" t="s">
        <v>16</v>
      </c>
      <c r="B7" s="4">
        <v>160</v>
      </c>
      <c r="C7" s="5">
        <v>24500</v>
      </c>
      <c r="D7" s="5">
        <v>1850</v>
      </c>
      <c r="E7" s="12">
        <f>(B7*D7)+C7</f>
        <v>320500</v>
      </c>
    </row>
    <row r="8" spans="1:5" x14ac:dyDescent="0.3">
      <c r="A8" s="11" t="s">
        <v>12</v>
      </c>
      <c r="B8" s="6">
        <v>111.33</v>
      </c>
      <c r="C8" s="4"/>
      <c r="D8" s="5">
        <v>4800</v>
      </c>
      <c r="E8" s="12">
        <f t="shared" si="0"/>
        <v>534384</v>
      </c>
    </row>
    <row r="9" spans="1:5" x14ac:dyDescent="0.3">
      <c r="A9" s="11" t="s">
        <v>13</v>
      </c>
      <c r="B9" s="4">
        <v>47</v>
      </c>
      <c r="C9" s="4"/>
      <c r="D9" s="5">
        <v>2100</v>
      </c>
      <c r="E9" s="12">
        <f t="shared" si="0"/>
        <v>98700</v>
      </c>
    </row>
    <row r="10" spans="1:5" ht="15" thickBot="1" x14ac:dyDescent="0.35">
      <c r="A10" s="34" t="s">
        <v>18</v>
      </c>
      <c r="B10" s="35"/>
      <c r="C10" s="35"/>
      <c r="D10" s="35"/>
      <c r="E10" s="14">
        <f>SUM(E5:E9)</f>
        <v>1360564</v>
      </c>
    </row>
    <row r="11" spans="1:5" x14ac:dyDescent="0.3">
      <c r="B11" s="1"/>
      <c r="C11" s="1"/>
      <c r="D11" s="1"/>
      <c r="E11" s="3"/>
    </row>
  </sheetData>
  <mergeCells count="2">
    <mergeCell ref="A1:E1"/>
    <mergeCell ref="A10:D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PARKET</dc:creator>
  <cp:lastModifiedBy>PARKET</cp:lastModifiedBy>
  <dcterms:created xsi:type="dcterms:W3CDTF">2026-07-02T10:58:50Z</dcterms:created>
  <dcterms:modified xsi:type="dcterms:W3CDTF">2026-07-06T19:01:29Z</dcterms:modified>
</cp:coreProperties>
</file>