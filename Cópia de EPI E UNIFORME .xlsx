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PI 2026" sheetId="1" r:id="rId5"/>
    <sheet state="visible" name="ESTOQUE " sheetId="2" r:id="rId6"/>
  </sheets>
  <definedNames>
    <definedName hidden="1" localSheetId="0" name="_xlnm._FilterDatabase">'EPI 2026'!$A$1:$I$103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7">
      <text>
        <t xml:space="preserve">MEIO OFICIAL DO JOSIMARIO
</t>
      </text>
    </comment>
    <comment authorId="0" ref="A59">
      <text>
        <t xml:space="preserve">PJ ATE JANEIRO
INICIAR CLT EM JANEIRO POIS ESTA RECEBENDO SEGURO DESEMPREGO</t>
      </text>
    </comment>
    <comment authorId="0" ref="A65">
      <text>
        <t xml:space="preserve">AJUDANTE DO LUIZ
</t>
      </text>
    </comment>
  </commentList>
</comments>
</file>

<file path=xl/sharedStrings.xml><?xml version="1.0" encoding="utf-8"?>
<sst xmlns="http://schemas.openxmlformats.org/spreadsheetml/2006/main" count="636" uniqueCount="138">
  <si>
    <t xml:space="preserve">LOCAL </t>
  </si>
  <si>
    <t>POLO</t>
  </si>
  <si>
    <t>CAMISA</t>
  </si>
  <si>
    <t>QUANTIDADE</t>
  </si>
  <si>
    <t>CALÇA</t>
  </si>
  <si>
    <t>BOTA</t>
  </si>
  <si>
    <t>ADRIANO SANTANA ARAUJO</t>
  </si>
  <si>
    <t>FABRICA</t>
  </si>
  <si>
    <t>PR</t>
  </si>
  <si>
    <t>G</t>
  </si>
  <si>
    <t>AGNALDO FELIX</t>
  </si>
  <si>
    <t>EXPEDIÇÃO</t>
  </si>
  <si>
    <t>SP</t>
  </si>
  <si>
    <t>AILTON GOMES DE LIMA</t>
  </si>
  <si>
    <t>-</t>
  </si>
  <si>
    <t>M</t>
  </si>
  <si>
    <t>ALESSANDRO PATRICIO DE OLIVEIRA</t>
  </si>
  <si>
    <t>OBRAS</t>
  </si>
  <si>
    <t>G1</t>
  </si>
  <si>
    <t>GG</t>
  </si>
  <si>
    <t>ALEXANDRE NUNES DA SILVA</t>
  </si>
  <si>
    <t>ALTAIR DE SOUZA SANTOS</t>
  </si>
  <si>
    <t>ALVARO JOSE XAVIER COELHO</t>
  </si>
  <si>
    <t>FISCAL</t>
  </si>
  <si>
    <t>ALVIN LEAL CARVALHO</t>
  </si>
  <si>
    <t>ANA LETICIA KNAPIK DE BRITO DE OLIVEIRA</t>
  </si>
  <si>
    <t>ADM</t>
  </si>
  <si>
    <t>P</t>
  </si>
  <si>
    <t>ANASTACIO WILTON DE SOUSA FIRMINO</t>
  </si>
  <si>
    <t>ANDERSON JOSE RUIZ HURTADO</t>
  </si>
  <si>
    <t>G2</t>
  </si>
  <si>
    <t>ANDRE DOS SANTOS ARRUDA</t>
  </si>
  <si>
    <t>ANDRE LUIS DA SILVA</t>
  </si>
  <si>
    <t>ANTONIO CARLOS ALVES</t>
  </si>
  <si>
    <t>ANTONIO VALDERIR FERREIRA DE LIMA</t>
  </si>
  <si>
    <t>ARIONILDO FELIX NOGUEIRA</t>
  </si>
  <si>
    <t>Athila de Souza Boaventura</t>
  </si>
  <si>
    <t>BRUNO AUGUSTO ANHAIA DA SILVEIRA</t>
  </si>
  <si>
    <t>BRUNO SOARES DA SILVA</t>
  </si>
  <si>
    <t>CAIQUE VITORIA SANTOS</t>
  </si>
  <si>
    <t>DF</t>
  </si>
  <si>
    <t>CAMILA ALVES NONATO</t>
  </si>
  <si>
    <t>CARLOS ALBERTO DA SILVA</t>
  </si>
  <si>
    <t>CARLOS EDUARDO DA SILVA</t>
  </si>
  <si>
    <t>CARLOS LUIS DE OLIVEIRA</t>
  </si>
  <si>
    <t>CARLOS RENATO DE OLIVEIRA</t>
  </si>
  <si>
    <t>CLEDERSON FIGUEIREDO DO NASCIMENTO</t>
  </si>
  <si>
    <t>CLEITON FELIPI DE SOUZA</t>
  </si>
  <si>
    <t>CRISTIANO DA SILVEIRA PENHA</t>
  </si>
  <si>
    <t>DAIMEL IZAGUIRRE ESCOBAR</t>
  </si>
  <si>
    <t>DAVI LOURENÇO SANTOS</t>
  </si>
  <si>
    <t>DAVID MOREIRA DA SILVA</t>
  </si>
  <si>
    <t xml:space="preserve">MT </t>
  </si>
  <si>
    <t xml:space="preserve">DEIVISSON MOREIRA DA SILVA </t>
  </si>
  <si>
    <t>DIOMAR FERREIRA DOS ANJOS</t>
  </si>
  <si>
    <t>EDMILSON DE SOUZA OLIVEIRA</t>
  </si>
  <si>
    <t>EDSON GONÇALVES DE SOUZA</t>
  </si>
  <si>
    <t>EDUARDO SANTOS LUCAS</t>
  </si>
  <si>
    <t>ELIANA CRISTINA COSTA</t>
  </si>
  <si>
    <t>EMERSON JOSE DA SILVA</t>
  </si>
  <si>
    <t>EUDISMARCOS ALVES SABARA</t>
  </si>
  <si>
    <t>EVERSON SANTOS SOUSA</t>
  </si>
  <si>
    <t>FABIO DOS SANTOS SOUSA</t>
  </si>
  <si>
    <t>FERNANDO ROQUE DOS SANTOS</t>
  </si>
  <si>
    <t>GABRIEL VICTORINO SILVA</t>
  </si>
  <si>
    <t>Gabrieli Maria dos Anjos de Souza</t>
  </si>
  <si>
    <t>GERMANO SCHLOEGL</t>
  </si>
  <si>
    <t>GILVAN FREITAS SANTANA</t>
  </si>
  <si>
    <t>GIOVANNI MACIEL DE OLIVEIRA</t>
  </si>
  <si>
    <t>IGOR SILVA DE MACEDO</t>
  </si>
  <si>
    <t>ISAIAS JOSE GONCALVES</t>
  </si>
  <si>
    <t>ISMAEL DO AMARAL LOPES</t>
  </si>
  <si>
    <t>IVANILDA SANTOS DE SOUZA</t>
  </si>
  <si>
    <t>JAMES DEAN DA CONCEICAO ARAUJO</t>
  </si>
  <si>
    <t xml:space="preserve">JEAN CARLOS PEREIRA DOS SANTOS </t>
  </si>
  <si>
    <t>JOCIVANIO BALBINO DOS SANTOS</t>
  </si>
  <si>
    <t xml:space="preserve">JOHN LUCAS MOREIRA </t>
  </si>
  <si>
    <t>JOSE JOSIMAR DA SILVA</t>
  </si>
  <si>
    <t>JOSE MACIEL SANTOS SILVA</t>
  </si>
  <si>
    <t xml:space="preserve">JOSIMARIO NASCIMENTO DA SILVA </t>
  </si>
  <si>
    <t>JUAN RODOLFO PEREIRA DA SILVA</t>
  </si>
  <si>
    <t>KAUAN AMORIM CAVALCANTE DE CARVALHO</t>
  </si>
  <si>
    <t>LANDOALDO FERREIRA PEREIRA</t>
  </si>
  <si>
    <t>LEONARDO BATISTA</t>
  </si>
  <si>
    <t xml:space="preserve">LEONARDO DE SOUZA </t>
  </si>
  <si>
    <t>LOURIVAL PEREIRA</t>
  </si>
  <si>
    <t xml:space="preserve">LUCAS BRITO SANTOS </t>
  </si>
  <si>
    <t>LUCAS GABRIEL MACHADO SIQUEIRA</t>
  </si>
  <si>
    <t xml:space="preserve">LUIZ ALVES DE SOUSA  </t>
  </si>
  <si>
    <t>LUIZ CARLOS BIACO</t>
  </si>
  <si>
    <t>MARC MACIEL CARVALHO DE SOUSA</t>
  </si>
  <si>
    <t>MARCEL ANTONIO GONCALVES</t>
  </si>
  <si>
    <t>Marco Antonio Rosario</t>
  </si>
  <si>
    <t>MARCOS VINICIUS DA CONCEIÇÃO</t>
  </si>
  <si>
    <t xml:space="preserve">MARCOS VINICIUS SANTANA DO NASCIMENTO </t>
  </si>
  <si>
    <t>MARILEI TEREZINHA ALVES MACHADO</t>
  </si>
  <si>
    <t>Marivaldo da Conceicao Araujo</t>
  </si>
  <si>
    <t xml:space="preserve">MATHEUS OLIVEIRA DO ROSARIO </t>
  </si>
  <si>
    <t>MOISES PEREIRA DE LIMA</t>
  </si>
  <si>
    <t>MOISES PEREIRA DE SOUZA</t>
  </si>
  <si>
    <t>NATALIA FIGUEIREDO BEZERRA</t>
  </si>
  <si>
    <t>NIVALDO DE LIMA SOUZA</t>
  </si>
  <si>
    <t>OTONIEL FRANCA DO NASCIMENTO</t>
  </si>
  <si>
    <t xml:space="preserve">PAULO RAMON SILVA DOS SANTOS </t>
  </si>
  <si>
    <t>RAFAEL DE JESUS OLIVEIRA</t>
  </si>
  <si>
    <t>RAI SANTOS CORREIA</t>
  </si>
  <si>
    <t>RAMON DOS SANTOS VITORIO</t>
  </si>
  <si>
    <t>RAMON MACIEL DA SILVA</t>
  </si>
  <si>
    <t>RODINEY SATURNINO SERAFIM</t>
  </si>
  <si>
    <t>RODRIGO OTAVIO GONÇALVES ANDRADE BATISTA</t>
  </si>
  <si>
    <t>RONALDO LEANDRO DA SILVEIRA</t>
  </si>
  <si>
    <t>Rubenilton Barros dos Santos</t>
  </si>
  <si>
    <t>AL</t>
  </si>
  <si>
    <t>SERGIO ROBERTO LOPES</t>
  </si>
  <si>
    <t>SIDNEI COSTA ROMÃO NUNES</t>
  </si>
  <si>
    <t>TAYNA CRISTINA GALANTE JOSE</t>
  </si>
  <si>
    <t>TIAGO KENNED PEREIRA</t>
  </si>
  <si>
    <t>UEDESON DOS SANTOS COSTA</t>
  </si>
  <si>
    <t>UILSON SANTOS PEREIRA</t>
  </si>
  <si>
    <t>VALDINEI SILVA CARNEIRO</t>
  </si>
  <si>
    <t>VANDERSON FERREIRA</t>
  </si>
  <si>
    <t>VENANCIO DISAS ARAUJO</t>
  </si>
  <si>
    <t>WALLISON PEREIRA FERNANDES</t>
  </si>
  <si>
    <t>WILLIAM RENEERKENS NUNES</t>
  </si>
  <si>
    <t>WILVERSON DOS REIS GOMES</t>
  </si>
  <si>
    <t>CAMISA LOGO PARKET</t>
  </si>
  <si>
    <t xml:space="preserve">CALÇA </t>
  </si>
  <si>
    <t>ESTOQUE ATUAL</t>
  </si>
  <si>
    <t>TOTAL A SER ENTREGUE</t>
  </si>
  <si>
    <t>DIFERENÇA - ESTOQUE E ENTREGA</t>
  </si>
  <si>
    <t>ESTOQUE MINIMO</t>
  </si>
  <si>
    <t>COMPRAR</t>
  </si>
  <si>
    <t xml:space="preserve">CAMISA SEM LOGO </t>
  </si>
  <si>
    <t>POLO COM LOGO PARKET</t>
  </si>
  <si>
    <t>POLO SEM LOGO PARKET</t>
  </si>
  <si>
    <t>CAMISA MASC LOGO ARVO</t>
  </si>
  <si>
    <t>POLO FEMIN LOGO ARVO</t>
  </si>
  <si>
    <t xml:space="preserve">POLO MASC COM LOGO ARVO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</si>
</sst>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2.0"/>
      <color theme="1"/>
      <name val="Calibri"/>
    </font>
    <font>
      <color theme="1"/>
      <name val="Arial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sz val="12.0"/>
      <color rgb="FF000000"/>
      <name val="Calibri"/>
    </font>
    <font>
      <sz val="12.0"/>
      <color rgb="FF375623"/>
      <name val="Calibri"/>
    </font>
    <font>
      <sz val="11.0"/>
      <color rgb="FF000000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rgb="FFFFD966"/>
        <bgColor rgb="FFFFD966"/>
      </patternFill>
    </fill>
    <fill>
      <patternFill patternType="solid">
        <fgColor rgb="FFF4B084"/>
        <bgColor rgb="FFF4B084"/>
      </patternFill>
    </fill>
    <fill>
      <patternFill patternType="solid">
        <fgColor rgb="FF8497B0"/>
        <bgColor rgb="FF8497B0"/>
      </patternFill>
    </fill>
    <fill>
      <patternFill patternType="solid">
        <fgColor rgb="FFC6E0B4"/>
        <bgColor rgb="FFC6E0B4"/>
      </patternFill>
    </fill>
    <fill>
      <patternFill patternType="solid">
        <fgColor rgb="FFBDD7EE"/>
        <bgColor rgb="FFBDD7EE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0"/>
    </xf>
    <xf borderId="1" fillId="2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center" readingOrder="0" shrinkToFit="0" wrapText="0"/>
    </xf>
    <xf borderId="1" fillId="3" fontId="3" numFmtId="0" xfId="0" applyAlignment="1" applyBorder="1" applyFill="1" applyFont="1">
      <alignment horizontal="center" readingOrder="0" shrinkToFit="0" wrapText="0"/>
    </xf>
    <xf borderId="1" fillId="0" fontId="2" numFmtId="0" xfId="0" applyAlignment="1" applyBorder="1" applyFont="1">
      <alignment horizontal="center"/>
    </xf>
    <xf borderId="1" fillId="2" fontId="1" numFmtId="0" xfId="0" applyAlignment="1" applyBorder="1" applyFont="1">
      <alignment readingOrder="0" shrinkToFit="0" wrapText="0"/>
    </xf>
    <xf borderId="1" fillId="2" fontId="4" numFmtId="0" xfId="0" applyAlignment="1" applyBorder="1" applyFont="1">
      <alignment horizontal="center" readingOrder="0" shrinkToFit="0" wrapText="0"/>
    </xf>
    <xf borderId="1" fillId="4" fontId="4" numFmtId="0" xfId="0" applyAlignment="1" applyBorder="1" applyFill="1" applyFont="1">
      <alignment horizontal="center" readingOrder="0" shrinkToFit="0" wrapText="0"/>
    </xf>
    <xf borderId="1" fillId="2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left" readingOrder="0"/>
    </xf>
    <xf borderId="1" fillId="2" fontId="5" numFmtId="0" xfId="0" applyAlignment="1" applyBorder="1" applyFont="1">
      <alignment horizontal="left" readingOrder="0" shrinkToFit="0" wrapText="0"/>
    </xf>
    <xf borderId="1" fillId="2" fontId="1" numFmtId="0" xfId="0" applyAlignment="1" applyBorder="1" applyFont="1">
      <alignment horizontal="center" readingOrder="0" shrinkToFit="0" wrapText="0"/>
    </xf>
    <xf borderId="1" fillId="5" fontId="1" numFmtId="0" xfId="0" applyAlignment="1" applyBorder="1" applyFill="1" applyFont="1">
      <alignment horizontal="center" readingOrder="0" shrinkToFit="0" wrapText="0"/>
    </xf>
    <xf borderId="1" fillId="2" fontId="5" numFmtId="0" xfId="0" applyAlignment="1" applyBorder="1" applyFont="1">
      <alignment readingOrder="0" shrinkToFit="0" wrapText="0"/>
    </xf>
    <xf borderId="1" fillId="2" fontId="2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center"/>
    </xf>
    <xf borderId="1" fillId="6" fontId="4" numFmtId="0" xfId="0" applyAlignment="1" applyBorder="1" applyFill="1" applyFont="1">
      <alignment horizontal="center" readingOrder="0" shrinkToFit="0" wrapText="0"/>
    </xf>
    <xf borderId="1" fillId="2" fontId="6" numFmtId="0" xfId="0" applyAlignment="1" applyBorder="1" applyFont="1">
      <alignment readingOrder="0" shrinkToFit="0" wrapText="0"/>
    </xf>
    <xf borderId="1" fillId="7" fontId="2" numFmtId="0" xfId="0" applyAlignment="1" applyBorder="1" applyFill="1" applyFont="1">
      <alignment horizontal="center"/>
    </xf>
    <xf borderId="1" fillId="3" fontId="2" numFmtId="0" xfId="0" applyAlignment="1" applyBorder="1" applyFont="1">
      <alignment horizontal="center" readingOrder="0"/>
    </xf>
    <xf borderId="1" fillId="8" fontId="4" numFmtId="0" xfId="0" applyAlignment="1" applyBorder="1" applyFill="1" applyFont="1">
      <alignment horizontal="center" readingOrder="0" shrinkToFit="0" wrapText="0"/>
    </xf>
    <xf borderId="0" fillId="2" fontId="2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center"/>
    </xf>
    <xf borderId="1" fillId="9" fontId="7" numFmtId="0" xfId="0" applyAlignment="1" applyBorder="1" applyFill="1" applyFont="1">
      <alignment horizontal="center" readingOrder="0" shrinkToFit="0" wrapText="0"/>
    </xf>
    <xf borderId="0" fillId="2" fontId="7" numFmtId="0" xfId="0" applyAlignment="1" applyFont="1">
      <alignment horizontal="center" shrinkToFit="0" wrapText="0"/>
    </xf>
    <xf borderId="0" fillId="2" fontId="7" numFmtId="0" xfId="0" applyAlignment="1" applyFont="1">
      <alignment horizontal="center" readingOrder="0" shrinkToFit="0" wrapText="0"/>
    </xf>
    <xf borderId="1" fillId="10" fontId="7" numFmtId="0" xfId="0" applyAlignment="1" applyBorder="1" applyFill="1" applyFont="1">
      <alignment horizontal="center" readingOrder="0" shrinkToFit="0" wrapText="0"/>
    </xf>
    <xf borderId="1" fillId="11" fontId="7" numFmtId="0" xfId="0" applyAlignment="1" applyBorder="1" applyFill="1" applyFont="1">
      <alignment horizontal="center" readingOrder="0" shrinkToFit="0" wrapText="0"/>
    </xf>
    <xf borderId="1" fillId="12" fontId="7" numFmtId="0" xfId="0" applyAlignment="1" applyBorder="1" applyFill="1" applyFont="1">
      <alignment horizontal="center" readingOrder="0" shrinkToFit="0" wrapText="0"/>
    </xf>
    <xf borderId="1" fillId="13" fontId="7" numFmtId="0" xfId="0" applyAlignment="1" applyBorder="1" applyFill="1" applyFont="1">
      <alignment horizontal="center" readingOrder="0" shrinkToFit="0" wrapText="0"/>
    </xf>
    <xf borderId="1" fillId="0" fontId="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0"/>
    <col customWidth="1" hidden="1" min="6" max="6" width="15.75"/>
    <col customWidth="1" hidden="1" min="8" max="8" width="15.75"/>
  </cols>
  <sheetData>
    <row r="1">
      <c r="A1" s="1"/>
      <c r="B1" s="2"/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3</v>
      </c>
      <c r="I1" s="3" t="s">
        <v>5</v>
      </c>
    </row>
    <row r="2">
      <c r="A2" s="1" t="s">
        <v>6</v>
      </c>
      <c r="B2" s="4" t="s">
        <v>7</v>
      </c>
      <c r="C2" s="5" t="s">
        <v>8</v>
      </c>
      <c r="D2" s="3"/>
      <c r="E2" s="3" t="s">
        <v>9</v>
      </c>
      <c r="F2" s="6"/>
      <c r="G2" s="3" t="s">
        <v>9</v>
      </c>
      <c r="H2" s="6"/>
      <c r="I2" s="3">
        <v>42.0</v>
      </c>
    </row>
    <row r="3">
      <c r="A3" s="7" t="s">
        <v>10</v>
      </c>
      <c r="B3" s="8" t="s">
        <v>11</v>
      </c>
      <c r="C3" s="9" t="s">
        <v>12</v>
      </c>
      <c r="D3" s="6"/>
      <c r="E3" s="3" t="s">
        <v>9</v>
      </c>
      <c r="F3" s="6"/>
      <c r="G3" s="3" t="s">
        <v>9</v>
      </c>
      <c r="H3" s="6"/>
      <c r="I3" s="3">
        <v>41.0</v>
      </c>
    </row>
    <row r="4">
      <c r="A4" s="7" t="s">
        <v>13</v>
      </c>
      <c r="B4" s="8" t="s">
        <v>11</v>
      </c>
      <c r="C4" s="9" t="s">
        <v>12</v>
      </c>
      <c r="D4" s="3" t="s">
        <v>9</v>
      </c>
      <c r="E4" s="3" t="s">
        <v>14</v>
      </c>
      <c r="F4" s="6"/>
      <c r="G4" s="3" t="s">
        <v>15</v>
      </c>
      <c r="H4" s="6"/>
      <c r="I4" s="3">
        <v>42.0</v>
      </c>
    </row>
    <row r="5">
      <c r="A5" s="7" t="s">
        <v>16</v>
      </c>
      <c r="B5" s="8" t="s">
        <v>17</v>
      </c>
      <c r="C5" s="9" t="s">
        <v>12</v>
      </c>
      <c r="D5" s="6"/>
      <c r="E5" s="3" t="s">
        <v>18</v>
      </c>
      <c r="F5" s="6"/>
      <c r="G5" s="3" t="s">
        <v>19</v>
      </c>
      <c r="H5" s="6"/>
      <c r="I5" s="3">
        <v>40.0</v>
      </c>
    </row>
    <row r="6">
      <c r="A6" s="1" t="s">
        <v>20</v>
      </c>
      <c r="B6" s="8" t="s">
        <v>17</v>
      </c>
      <c r="C6" s="9" t="s">
        <v>12</v>
      </c>
      <c r="D6" s="6"/>
      <c r="E6" s="3" t="s">
        <v>15</v>
      </c>
      <c r="F6" s="6"/>
      <c r="G6" s="3" t="s">
        <v>15</v>
      </c>
      <c r="H6" s="6"/>
      <c r="I6" s="3">
        <v>39.0</v>
      </c>
    </row>
    <row r="7">
      <c r="A7" s="1" t="s">
        <v>21</v>
      </c>
      <c r="B7" s="8" t="s">
        <v>17</v>
      </c>
      <c r="C7" s="9" t="s">
        <v>12</v>
      </c>
      <c r="D7" s="6"/>
      <c r="E7" s="2" t="s">
        <v>15</v>
      </c>
      <c r="F7" s="10"/>
      <c r="G7" s="2" t="s">
        <v>15</v>
      </c>
      <c r="H7" s="10"/>
      <c r="I7" s="2">
        <v>40.0</v>
      </c>
    </row>
    <row r="8">
      <c r="A8" s="7" t="s">
        <v>22</v>
      </c>
      <c r="B8" s="8" t="s">
        <v>23</v>
      </c>
      <c r="C8" s="9" t="s">
        <v>12</v>
      </c>
      <c r="D8" s="11" t="s">
        <v>19</v>
      </c>
      <c r="E8" s="2" t="s">
        <v>14</v>
      </c>
      <c r="F8" s="10"/>
      <c r="G8" s="2" t="s">
        <v>19</v>
      </c>
      <c r="H8" s="10"/>
      <c r="I8" s="2">
        <v>40.0</v>
      </c>
    </row>
    <row r="9">
      <c r="A9" s="1" t="s">
        <v>24</v>
      </c>
      <c r="B9" s="4" t="s">
        <v>7</v>
      </c>
      <c r="C9" s="5" t="s">
        <v>8</v>
      </c>
      <c r="D9" s="6"/>
      <c r="E9" s="2" t="s">
        <v>15</v>
      </c>
      <c r="F9" s="10"/>
      <c r="G9" s="2" t="s">
        <v>9</v>
      </c>
      <c r="H9" s="10"/>
      <c r="I9" s="2">
        <v>40.0</v>
      </c>
    </row>
    <row r="10">
      <c r="A10" s="12" t="s">
        <v>25</v>
      </c>
      <c r="B10" s="4" t="s">
        <v>26</v>
      </c>
      <c r="C10" s="5" t="s">
        <v>8</v>
      </c>
      <c r="D10" s="2" t="s">
        <v>27</v>
      </c>
      <c r="E10" s="2" t="s">
        <v>14</v>
      </c>
      <c r="F10" s="10"/>
      <c r="G10" s="2" t="s">
        <v>14</v>
      </c>
      <c r="H10" s="10"/>
      <c r="I10" s="2" t="s">
        <v>14</v>
      </c>
    </row>
    <row r="11">
      <c r="A11" s="1" t="s">
        <v>28</v>
      </c>
      <c r="B11" s="4" t="s">
        <v>7</v>
      </c>
      <c r="C11" s="5" t="s">
        <v>8</v>
      </c>
      <c r="D11" s="6"/>
      <c r="E11" s="2" t="s">
        <v>15</v>
      </c>
      <c r="F11" s="10"/>
      <c r="G11" s="2" t="s">
        <v>15</v>
      </c>
      <c r="H11" s="10"/>
      <c r="I11" s="2">
        <v>38.0</v>
      </c>
    </row>
    <row r="12">
      <c r="A12" s="1" t="s">
        <v>29</v>
      </c>
      <c r="B12" s="4" t="s">
        <v>7</v>
      </c>
      <c r="C12" s="5" t="s">
        <v>8</v>
      </c>
      <c r="D12" s="6"/>
      <c r="E12" s="2" t="s">
        <v>30</v>
      </c>
      <c r="F12" s="10"/>
      <c r="G12" s="2" t="s">
        <v>9</v>
      </c>
      <c r="H12" s="10"/>
      <c r="I12" s="2">
        <v>41.0</v>
      </c>
    </row>
    <row r="13">
      <c r="A13" s="12" t="s">
        <v>31</v>
      </c>
      <c r="B13" s="4" t="s">
        <v>7</v>
      </c>
      <c r="C13" s="5" t="s">
        <v>8</v>
      </c>
      <c r="D13" s="6"/>
      <c r="E13" s="2" t="s">
        <v>15</v>
      </c>
      <c r="F13" s="10"/>
      <c r="G13" s="2" t="s">
        <v>15</v>
      </c>
      <c r="H13" s="10"/>
      <c r="I13" s="2">
        <v>40.0</v>
      </c>
    </row>
    <row r="14">
      <c r="A14" s="7" t="s">
        <v>32</v>
      </c>
      <c r="B14" s="8" t="s">
        <v>11</v>
      </c>
      <c r="C14" s="9" t="s">
        <v>12</v>
      </c>
      <c r="D14" s="6"/>
      <c r="E14" s="3" t="s">
        <v>30</v>
      </c>
      <c r="F14" s="6"/>
      <c r="G14" s="3" t="s">
        <v>30</v>
      </c>
      <c r="H14" s="6"/>
      <c r="I14" s="3">
        <v>43.0</v>
      </c>
    </row>
    <row r="15">
      <c r="A15" s="12" t="s">
        <v>33</v>
      </c>
      <c r="B15" s="8" t="s">
        <v>17</v>
      </c>
      <c r="C15" s="9" t="s">
        <v>12</v>
      </c>
      <c r="D15" s="3"/>
      <c r="E15" s="3" t="s">
        <v>19</v>
      </c>
      <c r="F15" s="6"/>
      <c r="G15" s="3" t="s">
        <v>19</v>
      </c>
      <c r="H15" s="6"/>
      <c r="I15" s="3">
        <v>41.0</v>
      </c>
    </row>
    <row r="16">
      <c r="A16" s="7" t="s">
        <v>34</v>
      </c>
      <c r="B16" s="8" t="s">
        <v>17</v>
      </c>
      <c r="C16" s="9" t="s">
        <v>12</v>
      </c>
      <c r="D16" s="6"/>
      <c r="E16" s="3" t="s">
        <v>9</v>
      </c>
      <c r="F16" s="6"/>
      <c r="G16" s="3" t="s">
        <v>9</v>
      </c>
      <c r="H16" s="6"/>
      <c r="I16" s="3">
        <v>40.0</v>
      </c>
    </row>
    <row r="17">
      <c r="A17" s="7" t="s">
        <v>35</v>
      </c>
      <c r="B17" s="4" t="s">
        <v>7</v>
      </c>
      <c r="C17" s="5" t="s">
        <v>8</v>
      </c>
      <c r="D17" s="6"/>
      <c r="E17" s="3" t="s">
        <v>9</v>
      </c>
      <c r="F17" s="6"/>
      <c r="G17" s="3" t="s">
        <v>9</v>
      </c>
      <c r="H17" s="6"/>
      <c r="I17" s="3">
        <v>42.0</v>
      </c>
    </row>
    <row r="18">
      <c r="A18" s="12" t="s">
        <v>36</v>
      </c>
      <c r="B18" s="8" t="s">
        <v>17</v>
      </c>
      <c r="C18" s="9" t="s">
        <v>12</v>
      </c>
      <c r="D18" s="10"/>
      <c r="E18" s="3" t="s">
        <v>19</v>
      </c>
      <c r="F18" s="6"/>
      <c r="G18" s="3" t="s">
        <v>15</v>
      </c>
      <c r="H18" s="6"/>
      <c r="I18" s="3">
        <v>41.0</v>
      </c>
    </row>
    <row r="19">
      <c r="A19" s="12" t="s">
        <v>37</v>
      </c>
      <c r="B19" s="4" t="s">
        <v>7</v>
      </c>
      <c r="C19" s="5" t="s">
        <v>8</v>
      </c>
      <c r="D19" s="6"/>
      <c r="E19" s="3" t="s">
        <v>9</v>
      </c>
      <c r="F19" s="6"/>
      <c r="G19" s="3" t="s">
        <v>15</v>
      </c>
      <c r="H19" s="6"/>
      <c r="I19" s="3">
        <v>40.0</v>
      </c>
    </row>
    <row r="20">
      <c r="A20" s="12" t="s">
        <v>38</v>
      </c>
      <c r="B20" s="8" t="s">
        <v>17</v>
      </c>
      <c r="C20" s="9" t="s">
        <v>12</v>
      </c>
      <c r="D20" s="10"/>
      <c r="E20" s="3" t="s">
        <v>9</v>
      </c>
      <c r="F20" s="6"/>
      <c r="G20" s="3" t="s">
        <v>15</v>
      </c>
      <c r="H20" s="6"/>
      <c r="I20" s="3">
        <v>42.0</v>
      </c>
    </row>
    <row r="21">
      <c r="A21" s="13" t="s">
        <v>39</v>
      </c>
      <c r="B21" s="14" t="s">
        <v>17</v>
      </c>
      <c r="C21" s="15" t="s">
        <v>40</v>
      </c>
      <c r="D21" s="3"/>
      <c r="E21" s="3" t="s">
        <v>9</v>
      </c>
      <c r="F21" s="6"/>
      <c r="G21" s="3" t="s">
        <v>15</v>
      </c>
      <c r="H21" s="6"/>
      <c r="I21" s="3">
        <v>42.0</v>
      </c>
    </row>
    <row r="22">
      <c r="A22" s="1" t="s">
        <v>41</v>
      </c>
      <c r="B22" s="4" t="s">
        <v>26</v>
      </c>
      <c r="C22" s="5" t="s">
        <v>8</v>
      </c>
      <c r="D22" s="3" t="s">
        <v>27</v>
      </c>
      <c r="E22" s="3" t="s">
        <v>14</v>
      </c>
      <c r="F22" s="6"/>
      <c r="G22" s="3" t="s">
        <v>14</v>
      </c>
      <c r="H22" s="6"/>
      <c r="I22" s="3" t="s">
        <v>14</v>
      </c>
    </row>
    <row r="23">
      <c r="A23" s="16" t="s">
        <v>42</v>
      </c>
      <c r="B23" s="8" t="s">
        <v>17</v>
      </c>
      <c r="C23" s="9" t="s">
        <v>12</v>
      </c>
      <c r="D23" s="6"/>
      <c r="E23" s="3" t="s">
        <v>19</v>
      </c>
      <c r="F23" s="6"/>
      <c r="G23" s="3" t="s">
        <v>19</v>
      </c>
      <c r="H23" s="6"/>
      <c r="I23" s="3">
        <v>42.0</v>
      </c>
    </row>
    <row r="24">
      <c r="A24" s="12" t="s">
        <v>43</v>
      </c>
      <c r="B24" s="4" t="s">
        <v>7</v>
      </c>
      <c r="C24" s="5" t="s">
        <v>8</v>
      </c>
      <c r="D24" s="6"/>
      <c r="E24" s="3" t="s">
        <v>15</v>
      </c>
      <c r="F24" s="6"/>
      <c r="G24" s="3" t="s">
        <v>15</v>
      </c>
      <c r="H24" s="6"/>
      <c r="I24" s="3">
        <v>39.0</v>
      </c>
    </row>
    <row r="25">
      <c r="A25" s="1" t="s">
        <v>44</v>
      </c>
      <c r="B25" s="8" t="s">
        <v>17</v>
      </c>
      <c r="C25" s="15" t="s">
        <v>40</v>
      </c>
      <c r="D25" s="6"/>
      <c r="E25" s="17" t="s">
        <v>9</v>
      </c>
      <c r="F25" s="18"/>
      <c r="G25" s="17" t="s">
        <v>9</v>
      </c>
      <c r="H25" s="18"/>
      <c r="I25" s="17">
        <v>43.0</v>
      </c>
    </row>
    <row r="26">
      <c r="A26" s="13" t="s">
        <v>45</v>
      </c>
      <c r="B26" s="8" t="s">
        <v>11</v>
      </c>
      <c r="C26" s="9" t="s">
        <v>12</v>
      </c>
      <c r="D26" s="6"/>
      <c r="E26" s="3" t="s">
        <v>18</v>
      </c>
      <c r="F26" s="6"/>
      <c r="G26" s="3" t="s">
        <v>19</v>
      </c>
      <c r="H26" s="6"/>
      <c r="I26" s="3">
        <v>41.0</v>
      </c>
    </row>
    <row r="27">
      <c r="A27" s="1" t="s">
        <v>46</v>
      </c>
      <c r="B27" s="4" t="s">
        <v>7</v>
      </c>
      <c r="C27" s="5" t="s">
        <v>8</v>
      </c>
      <c r="D27" s="6"/>
      <c r="E27" s="3" t="s">
        <v>9</v>
      </c>
      <c r="F27" s="6"/>
      <c r="G27" s="3" t="s">
        <v>15</v>
      </c>
      <c r="H27" s="6"/>
      <c r="I27" s="3">
        <v>39.0</v>
      </c>
    </row>
    <row r="28">
      <c r="A28" s="1" t="s">
        <v>47</v>
      </c>
      <c r="B28" s="4" t="s">
        <v>7</v>
      </c>
      <c r="C28" s="5" t="s">
        <v>8</v>
      </c>
      <c r="D28" s="6"/>
      <c r="E28" s="3" t="s">
        <v>9</v>
      </c>
      <c r="F28" s="6"/>
      <c r="G28" s="3" t="s">
        <v>9</v>
      </c>
      <c r="H28" s="6"/>
      <c r="I28" s="3">
        <v>42.0</v>
      </c>
    </row>
    <row r="29">
      <c r="A29" s="1" t="s">
        <v>48</v>
      </c>
      <c r="B29" s="8" t="s">
        <v>17</v>
      </c>
      <c r="C29" s="9" t="s">
        <v>12</v>
      </c>
      <c r="D29" s="3" t="s">
        <v>9</v>
      </c>
      <c r="E29" s="3" t="s">
        <v>14</v>
      </c>
      <c r="F29" s="6"/>
      <c r="G29" s="3" t="s">
        <v>9</v>
      </c>
      <c r="H29" s="6"/>
      <c r="I29" s="3">
        <v>39.0</v>
      </c>
    </row>
    <row r="30">
      <c r="A30" s="12" t="s">
        <v>49</v>
      </c>
      <c r="B30" s="4" t="s">
        <v>7</v>
      </c>
      <c r="C30" s="5" t="s">
        <v>8</v>
      </c>
      <c r="D30" s="6"/>
      <c r="E30" s="3" t="s">
        <v>15</v>
      </c>
      <c r="F30" s="6"/>
      <c r="G30" s="3" t="s">
        <v>15</v>
      </c>
      <c r="H30" s="6"/>
      <c r="I30" s="3">
        <v>40.0</v>
      </c>
    </row>
    <row r="31">
      <c r="A31" s="12" t="s">
        <v>50</v>
      </c>
      <c r="B31" s="8" t="s">
        <v>17</v>
      </c>
      <c r="C31" s="9" t="s">
        <v>12</v>
      </c>
      <c r="D31" s="3" t="s">
        <v>9</v>
      </c>
      <c r="E31" s="3" t="s">
        <v>14</v>
      </c>
      <c r="F31" s="6"/>
      <c r="G31" s="3" t="s">
        <v>9</v>
      </c>
      <c r="H31" s="6"/>
      <c r="I31" s="3">
        <v>43.0</v>
      </c>
    </row>
    <row r="32">
      <c r="A32" s="1" t="s">
        <v>51</v>
      </c>
      <c r="B32" s="8" t="s">
        <v>17</v>
      </c>
      <c r="C32" s="19" t="s">
        <v>52</v>
      </c>
      <c r="D32" s="6"/>
      <c r="E32" s="3" t="s">
        <v>15</v>
      </c>
      <c r="F32" s="6"/>
      <c r="G32" s="3" t="s">
        <v>15</v>
      </c>
      <c r="H32" s="6"/>
      <c r="I32" s="3">
        <v>42.0</v>
      </c>
    </row>
    <row r="33">
      <c r="A33" s="1" t="s">
        <v>53</v>
      </c>
      <c r="B33" s="8" t="s">
        <v>17</v>
      </c>
      <c r="C33" s="19" t="s">
        <v>52</v>
      </c>
      <c r="D33" s="6"/>
      <c r="E33" s="3" t="s">
        <v>9</v>
      </c>
      <c r="F33" s="6"/>
      <c r="G33" s="3" t="s">
        <v>9</v>
      </c>
      <c r="H33" s="6"/>
      <c r="I33" s="3">
        <v>42.0</v>
      </c>
    </row>
    <row r="34">
      <c r="A34" s="13" t="s">
        <v>54</v>
      </c>
      <c r="B34" s="8" t="s">
        <v>11</v>
      </c>
      <c r="C34" s="9" t="s">
        <v>12</v>
      </c>
      <c r="D34" s="6"/>
      <c r="E34" s="3" t="s">
        <v>9</v>
      </c>
      <c r="F34" s="6"/>
      <c r="G34" s="3" t="s">
        <v>15</v>
      </c>
      <c r="H34" s="6"/>
      <c r="I34" s="3">
        <v>39.0</v>
      </c>
    </row>
    <row r="35">
      <c r="A35" s="12" t="s">
        <v>55</v>
      </c>
      <c r="B35" s="8" t="s">
        <v>17</v>
      </c>
      <c r="C35" s="9" t="s">
        <v>12</v>
      </c>
      <c r="D35" s="6"/>
      <c r="E35" s="3" t="s">
        <v>19</v>
      </c>
      <c r="F35" s="6"/>
      <c r="G35" s="3" t="s">
        <v>9</v>
      </c>
      <c r="H35" s="6"/>
      <c r="I35" s="3">
        <v>42.0</v>
      </c>
    </row>
    <row r="36">
      <c r="A36" s="1" t="s">
        <v>56</v>
      </c>
      <c r="B36" s="4" t="s">
        <v>7</v>
      </c>
      <c r="C36" s="5" t="s">
        <v>8</v>
      </c>
      <c r="D36" s="6"/>
      <c r="E36" s="3" t="s">
        <v>18</v>
      </c>
      <c r="F36" s="6"/>
      <c r="G36" s="3" t="s">
        <v>9</v>
      </c>
      <c r="H36" s="6"/>
      <c r="I36" s="3">
        <v>42.0</v>
      </c>
    </row>
    <row r="37">
      <c r="A37" s="1" t="s">
        <v>57</v>
      </c>
      <c r="B37" s="8" t="s">
        <v>17</v>
      </c>
      <c r="C37" s="9" t="s">
        <v>12</v>
      </c>
      <c r="D37" s="10"/>
      <c r="E37" s="3" t="s">
        <v>19</v>
      </c>
      <c r="F37" s="6"/>
      <c r="G37" s="3" t="s">
        <v>9</v>
      </c>
      <c r="H37" s="6"/>
      <c r="I37" s="3">
        <v>41.0</v>
      </c>
    </row>
    <row r="38">
      <c r="A38" s="12" t="s">
        <v>58</v>
      </c>
      <c r="B38" s="4" t="s">
        <v>7</v>
      </c>
      <c r="C38" s="5" t="s">
        <v>8</v>
      </c>
      <c r="D38" s="6"/>
      <c r="E38" s="3" t="s">
        <v>15</v>
      </c>
      <c r="F38" s="6"/>
      <c r="G38" s="3" t="s">
        <v>9</v>
      </c>
      <c r="H38" s="6"/>
      <c r="I38" s="3">
        <v>38.0</v>
      </c>
    </row>
    <row r="39">
      <c r="A39" s="12" t="s">
        <v>59</v>
      </c>
      <c r="B39" s="8" t="s">
        <v>17</v>
      </c>
      <c r="C39" s="9" t="s">
        <v>12</v>
      </c>
      <c r="D39" s="10"/>
      <c r="E39" s="3" t="s">
        <v>9</v>
      </c>
      <c r="F39" s="6"/>
      <c r="G39" s="3" t="s">
        <v>15</v>
      </c>
      <c r="H39" s="6"/>
      <c r="I39" s="3">
        <v>41.0</v>
      </c>
    </row>
    <row r="40">
      <c r="A40" s="12" t="s">
        <v>60</v>
      </c>
      <c r="B40" s="4" t="s">
        <v>7</v>
      </c>
      <c r="C40" s="5" t="s">
        <v>8</v>
      </c>
      <c r="D40" s="6"/>
      <c r="E40" s="3" t="s">
        <v>27</v>
      </c>
      <c r="F40" s="6"/>
      <c r="G40" s="3" t="s">
        <v>27</v>
      </c>
      <c r="H40" s="6"/>
      <c r="I40" s="3">
        <v>40.0</v>
      </c>
    </row>
    <row r="41">
      <c r="A41" s="7" t="s">
        <v>61</v>
      </c>
      <c r="B41" s="8" t="s">
        <v>11</v>
      </c>
      <c r="C41" s="9" t="s">
        <v>12</v>
      </c>
      <c r="D41" s="6"/>
      <c r="E41" s="3" t="s">
        <v>27</v>
      </c>
      <c r="F41" s="6"/>
      <c r="G41" s="3" t="s">
        <v>27</v>
      </c>
      <c r="H41" s="6"/>
      <c r="I41" s="3">
        <v>40.0</v>
      </c>
    </row>
    <row r="42">
      <c r="A42" s="12" t="s">
        <v>62</v>
      </c>
      <c r="B42" s="8" t="s">
        <v>17</v>
      </c>
      <c r="C42" s="9" t="s">
        <v>12</v>
      </c>
      <c r="D42" s="6"/>
      <c r="E42" s="3" t="s">
        <v>9</v>
      </c>
      <c r="F42" s="6"/>
      <c r="G42" s="3" t="s">
        <v>19</v>
      </c>
      <c r="H42" s="6"/>
      <c r="I42" s="3">
        <v>42.0</v>
      </c>
    </row>
    <row r="43">
      <c r="A43" s="1" t="s">
        <v>63</v>
      </c>
      <c r="B43" s="8" t="s">
        <v>17</v>
      </c>
      <c r="C43" s="9" t="s">
        <v>12</v>
      </c>
      <c r="D43" s="10"/>
      <c r="E43" s="3" t="s">
        <v>9</v>
      </c>
      <c r="F43" s="6"/>
      <c r="G43" s="3" t="s">
        <v>15</v>
      </c>
      <c r="H43" s="6"/>
      <c r="I43" s="3">
        <v>40.0</v>
      </c>
    </row>
    <row r="44">
      <c r="A44" s="20" t="s">
        <v>64</v>
      </c>
      <c r="B44" s="8" t="s">
        <v>17</v>
      </c>
      <c r="C44" s="9" t="s">
        <v>12</v>
      </c>
      <c r="D44" s="6"/>
      <c r="E44" s="3" t="s">
        <v>15</v>
      </c>
      <c r="F44" s="6"/>
      <c r="G44" s="3" t="s">
        <v>27</v>
      </c>
      <c r="H44" s="6"/>
      <c r="I44" s="3">
        <v>39.0</v>
      </c>
    </row>
    <row r="45">
      <c r="A45" s="12" t="s">
        <v>65</v>
      </c>
      <c r="B45" s="8" t="s">
        <v>26</v>
      </c>
      <c r="C45" s="5" t="s">
        <v>8</v>
      </c>
      <c r="D45" s="3" t="s">
        <v>15</v>
      </c>
      <c r="E45" s="3" t="s">
        <v>14</v>
      </c>
      <c r="F45" s="6"/>
      <c r="G45" s="3" t="s">
        <v>14</v>
      </c>
      <c r="H45" s="6"/>
      <c r="I45" s="3" t="s">
        <v>14</v>
      </c>
    </row>
    <row r="46">
      <c r="A46" s="12" t="s">
        <v>66</v>
      </c>
      <c r="B46" s="8" t="s">
        <v>26</v>
      </c>
      <c r="C46" s="5" t="s">
        <v>8</v>
      </c>
      <c r="D46" s="3" t="s">
        <v>15</v>
      </c>
      <c r="E46" s="3" t="s">
        <v>14</v>
      </c>
      <c r="F46" s="6"/>
      <c r="G46" s="3" t="s">
        <v>14</v>
      </c>
      <c r="H46" s="3" t="s">
        <v>14</v>
      </c>
      <c r="I46" s="3" t="s">
        <v>14</v>
      </c>
    </row>
    <row r="47">
      <c r="A47" s="7" t="s">
        <v>67</v>
      </c>
      <c r="B47" s="8" t="s">
        <v>17</v>
      </c>
      <c r="C47" s="5" t="s">
        <v>8</v>
      </c>
      <c r="D47" s="3" t="s">
        <v>15</v>
      </c>
      <c r="E47" s="3" t="s">
        <v>14</v>
      </c>
      <c r="F47" s="6"/>
      <c r="G47" s="3" t="s">
        <v>9</v>
      </c>
      <c r="H47" s="6"/>
      <c r="I47" s="3">
        <v>41.0</v>
      </c>
    </row>
    <row r="48">
      <c r="A48" s="7" t="s">
        <v>68</v>
      </c>
      <c r="B48" s="8" t="s">
        <v>17</v>
      </c>
      <c r="C48" s="9" t="s">
        <v>12</v>
      </c>
      <c r="D48" s="6"/>
      <c r="E48" s="3" t="s">
        <v>9</v>
      </c>
      <c r="F48" s="6"/>
      <c r="G48" s="3" t="s">
        <v>15</v>
      </c>
      <c r="H48" s="6"/>
      <c r="I48" s="3">
        <v>42.0</v>
      </c>
    </row>
    <row r="49">
      <c r="A49" s="1" t="s">
        <v>69</v>
      </c>
      <c r="B49" s="8" t="s">
        <v>17</v>
      </c>
      <c r="C49" s="15" t="s">
        <v>40</v>
      </c>
      <c r="D49" s="6"/>
      <c r="E49" s="3" t="s">
        <v>19</v>
      </c>
      <c r="F49" s="6"/>
      <c r="G49" s="3" t="s">
        <v>19</v>
      </c>
      <c r="H49" s="6"/>
      <c r="I49" s="3">
        <v>43.0</v>
      </c>
    </row>
    <row r="50">
      <c r="A50" s="12" t="s">
        <v>70</v>
      </c>
      <c r="B50" s="8" t="s">
        <v>17</v>
      </c>
      <c r="C50" s="9" t="s">
        <v>12</v>
      </c>
      <c r="D50" s="10"/>
      <c r="E50" s="3" t="s">
        <v>9</v>
      </c>
      <c r="F50" s="6"/>
      <c r="G50" s="3" t="s">
        <v>9</v>
      </c>
      <c r="H50" s="6"/>
      <c r="I50" s="3">
        <v>41.0</v>
      </c>
    </row>
    <row r="51">
      <c r="A51" s="16" t="s">
        <v>71</v>
      </c>
      <c r="B51" s="4" t="s">
        <v>7</v>
      </c>
      <c r="C51" s="5" t="s">
        <v>8</v>
      </c>
      <c r="D51" s="6"/>
      <c r="E51" s="3" t="s">
        <v>9</v>
      </c>
      <c r="F51" s="6"/>
      <c r="G51" s="3" t="s">
        <v>15</v>
      </c>
      <c r="H51" s="6"/>
      <c r="I51" s="3">
        <v>42.0</v>
      </c>
    </row>
    <row r="52">
      <c r="A52" s="1" t="s">
        <v>72</v>
      </c>
      <c r="B52" s="8" t="s">
        <v>26</v>
      </c>
      <c r="C52" s="5" t="s">
        <v>8</v>
      </c>
      <c r="D52" s="3" t="s">
        <v>27</v>
      </c>
      <c r="E52" s="3" t="s">
        <v>14</v>
      </c>
      <c r="F52" s="6"/>
      <c r="G52" s="3" t="s">
        <v>14</v>
      </c>
      <c r="H52" s="3" t="s">
        <v>14</v>
      </c>
      <c r="I52" s="3" t="s">
        <v>14</v>
      </c>
    </row>
    <row r="53">
      <c r="A53" s="12" t="s">
        <v>73</v>
      </c>
      <c r="B53" s="4" t="s">
        <v>17</v>
      </c>
      <c r="C53" s="9" t="s">
        <v>12</v>
      </c>
      <c r="D53" s="6"/>
      <c r="E53" s="3" t="s">
        <v>19</v>
      </c>
      <c r="F53" s="6"/>
      <c r="G53" s="3" t="s">
        <v>19</v>
      </c>
      <c r="H53" s="6"/>
      <c r="I53" s="3">
        <v>44.0</v>
      </c>
    </row>
    <row r="54">
      <c r="A54" s="1" t="s">
        <v>74</v>
      </c>
      <c r="B54" s="4" t="s">
        <v>7</v>
      </c>
      <c r="C54" s="5" t="s">
        <v>8</v>
      </c>
      <c r="D54" s="6"/>
      <c r="E54" s="3" t="s">
        <v>18</v>
      </c>
      <c r="F54" s="6"/>
      <c r="G54" s="3" t="s">
        <v>19</v>
      </c>
      <c r="H54" s="6"/>
      <c r="I54" s="3">
        <v>45.0</v>
      </c>
    </row>
    <row r="55">
      <c r="A55" s="7" t="s">
        <v>75</v>
      </c>
      <c r="B55" s="8" t="s">
        <v>17</v>
      </c>
      <c r="C55" s="9" t="s">
        <v>12</v>
      </c>
      <c r="D55" s="6"/>
      <c r="E55" s="3" t="s">
        <v>15</v>
      </c>
      <c r="F55" s="6"/>
      <c r="G55" s="3" t="s">
        <v>15</v>
      </c>
      <c r="H55" s="6"/>
      <c r="I55" s="3">
        <v>40.0</v>
      </c>
    </row>
    <row r="56">
      <c r="A56" s="1" t="s">
        <v>76</v>
      </c>
      <c r="B56" s="8" t="s">
        <v>17</v>
      </c>
      <c r="C56" s="19" t="s">
        <v>52</v>
      </c>
      <c r="D56" s="6"/>
      <c r="E56" s="3" t="s">
        <v>9</v>
      </c>
      <c r="F56" s="6"/>
      <c r="G56" s="3" t="s">
        <v>9</v>
      </c>
      <c r="H56" s="6"/>
      <c r="I56" s="3">
        <v>43.0</v>
      </c>
    </row>
    <row r="57">
      <c r="A57" s="16" t="s">
        <v>77</v>
      </c>
      <c r="B57" s="4" t="s">
        <v>7</v>
      </c>
      <c r="C57" s="5" t="s">
        <v>8</v>
      </c>
      <c r="D57" s="3" t="s">
        <v>9</v>
      </c>
      <c r="E57" s="3" t="s">
        <v>14</v>
      </c>
      <c r="F57" s="6"/>
      <c r="G57" s="3" t="s">
        <v>9</v>
      </c>
      <c r="H57" s="6"/>
      <c r="I57" s="3">
        <v>41.0</v>
      </c>
    </row>
    <row r="58">
      <c r="A58" s="16" t="s">
        <v>78</v>
      </c>
      <c r="B58" s="8" t="s">
        <v>11</v>
      </c>
      <c r="C58" s="9" t="s">
        <v>12</v>
      </c>
      <c r="D58" s="10"/>
      <c r="E58" s="3" t="s">
        <v>9</v>
      </c>
      <c r="F58" s="6"/>
      <c r="G58" s="3" t="s">
        <v>9</v>
      </c>
      <c r="H58" s="6"/>
      <c r="I58" s="3">
        <v>41.0</v>
      </c>
    </row>
    <row r="59">
      <c r="A59" s="1" t="s">
        <v>79</v>
      </c>
      <c r="B59" s="8" t="s">
        <v>17</v>
      </c>
      <c r="C59" s="9" t="s">
        <v>12</v>
      </c>
      <c r="D59" s="6"/>
      <c r="E59" s="3" t="s">
        <v>15</v>
      </c>
      <c r="F59" s="6"/>
      <c r="G59" s="3" t="s">
        <v>15</v>
      </c>
      <c r="H59" s="6"/>
      <c r="I59" s="3">
        <v>40.0</v>
      </c>
    </row>
    <row r="60">
      <c r="A60" s="7" t="s">
        <v>80</v>
      </c>
      <c r="B60" s="8" t="s">
        <v>17</v>
      </c>
      <c r="C60" s="9" t="s">
        <v>12</v>
      </c>
      <c r="D60" s="6"/>
      <c r="E60" s="3" t="s">
        <v>9</v>
      </c>
      <c r="F60" s="6"/>
      <c r="G60" s="3" t="s">
        <v>9</v>
      </c>
      <c r="H60" s="6"/>
      <c r="I60" s="3" t="s">
        <v>14</v>
      </c>
    </row>
    <row r="61">
      <c r="A61" s="7" t="s">
        <v>81</v>
      </c>
      <c r="B61" s="8" t="s">
        <v>17</v>
      </c>
      <c r="C61" s="9" t="s">
        <v>12</v>
      </c>
      <c r="D61" s="6"/>
      <c r="E61" s="3" t="s">
        <v>15</v>
      </c>
      <c r="F61" s="6"/>
      <c r="G61" s="3" t="s">
        <v>15</v>
      </c>
      <c r="H61" s="6"/>
      <c r="I61" s="3">
        <v>40.0</v>
      </c>
    </row>
    <row r="62">
      <c r="A62" s="12" t="s">
        <v>82</v>
      </c>
      <c r="B62" s="8" t="s">
        <v>17</v>
      </c>
      <c r="C62" s="9" t="s">
        <v>12</v>
      </c>
      <c r="D62" s="6"/>
      <c r="E62" s="3" t="s">
        <v>9</v>
      </c>
      <c r="F62" s="6"/>
      <c r="G62" s="3" t="s">
        <v>15</v>
      </c>
      <c r="H62" s="6"/>
      <c r="I62" s="3">
        <v>40.0</v>
      </c>
    </row>
    <row r="63">
      <c r="A63" s="12" t="s">
        <v>83</v>
      </c>
      <c r="B63" s="4" t="s">
        <v>7</v>
      </c>
      <c r="C63" s="5" t="s">
        <v>8</v>
      </c>
      <c r="D63" s="6"/>
      <c r="E63" s="3" t="s">
        <v>15</v>
      </c>
      <c r="F63" s="6"/>
      <c r="G63" s="3" t="s">
        <v>15</v>
      </c>
      <c r="H63" s="6"/>
      <c r="I63" s="3">
        <v>43.0</v>
      </c>
    </row>
    <row r="64">
      <c r="A64" s="12" t="s">
        <v>84</v>
      </c>
      <c r="B64" s="8" t="s">
        <v>17</v>
      </c>
      <c r="C64" s="9" t="s">
        <v>12</v>
      </c>
      <c r="D64" s="6"/>
      <c r="E64" s="3" t="s">
        <v>9</v>
      </c>
      <c r="F64" s="6"/>
      <c r="G64" s="3" t="s">
        <v>9</v>
      </c>
      <c r="H64" s="6"/>
      <c r="I64" s="3">
        <v>45.0</v>
      </c>
    </row>
    <row r="65">
      <c r="A65" s="1" t="s">
        <v>85</v>
      </c>
      <c r="B65" s="8" t="s">
        <v>17</v>
      </c>
      <c r="C65" s="9" t="s">
        <v>12</v>
      </c>
      <c r="D65" s="6"/>
      <c r="E65" s="3" t="s">
        <v>15</v>
      </c>
      <c r="F65" s="6"/>
      <c r="G65" s="3" t="s">
        <v>15</v>
      </c>
      <c r="H65" s="6"/>
      <c r="I65" s="3">
        <v>40.0</v>
      </c>
    </row>
    <row r="66">
      <c r="A66" s="12" t="s">
        <v>86</v>
      </c>
      <c r="B66" s="8" t="s">
        <v>17</v>
      </c>
      <c r="C66" s="5" t="s">
        <v>8</v>
      </c>
      <c r="D66" s="10"/>
      <c r="E66" s="3" t="s">
        <v>9</v>
      </c>
      <c r="F66" s="6"/>
      <c r="G66" s="3" t="s">
        <v>9</v>
      </c>
      <c r="H66" s="6"/>
      <c r="I66" s="3">
        <v>44.0</v>
      </c>
    </row>
    <row r="67">
      <c r="A67" s="7" t="s">
        <v>87</v>
      </c>
      <c r="B67" s="8" t="s">
        <v>11</v>
      </c>
      <c r="C67" s="9" t="s">
        <v>12</v>
      </c>
      <c r="D67" s="10"/>
      <c r="E67" s="3" t="s">
        <v>15</v>
      </c>
      <c r="F67" s="6"/>
      <c r="G67" s="3" t="s">
        <v>27</v>
      </c>
      <c r="H67" s="6"/>
      <c r="I67" s="3">
        <v>40.0</v>
      </c>
    </row>
    <row r="68">
      <c r="A68" s="1" t="s">
        <v>88</v>
      </c>
      <c r="B68" s="8" t="s">
        <v>17</v>
      </c>
      <c r="C68" s="9" t="s">
        <v>12</v>
      </c>
      <c r="D68" s="10"/>
      <c r="E68" s="3" t="s">
        <v>18</v>
      </c>
      <c r="F68" s="6"/>
      <c r="G68" s="3" t="s">
        <v>19</v>
      </c>
      <c r="H68" s="6"/>
      <c r="I68" s="3">
        <v>41.0</v>
      </c>
    </row>
    <row r="69">
      <c r="A69" s="12" t="s">
        <v>89</v>
      </c>
      <c r="B69" s="4" t="s">
        <v>7</v>
      </c>
      <c r="C69" s="5" t="s">
        <v>8</v>
      </c>
      <c r="D69" s="21"/>
      <c r="E69" s="3" t="s">
        <v>9</v>
      </c>
      <c r="F69" s="6"/>
      <c r="G69" s="3" t="s">
        <v>15</v>
      </c>
      <c r="H69" s="6"/>
      <c r="I69" s="3">
        <v>39.0</v>
      </c>
    </row>
    <row r="70">
      <c r="A70" s="12" t="s">
        <v>90</v>
      </c>
      <c r="B70" s="8" t="s">
        <v>17</v>
      </c>
      <c r="C70" s="9" t="s">
        <v>12</v>
      </c>
      <c r="D70" s="10"/>
      <c r="E70" s="3" t="s">
        <v>15</v>
      </c>
      <c r="F70" s="6"/>
      <c r="G70" s="3" t="s">
        <v>15</v>
      </c>
      <c r="H70" s="6"/>
      <c r="I70" s="3">
        <v>40.0</v>
      </c>
    </row>
    <row r="71">
      <c r="A71" s="12" t="s">
        <v>91</v>
      </c>
      <c r="B71" s="8" t="s">
        <v>11</v>
      </c>
      <c r="C71" s="9" t="s">
        <v>12</v>
      </c>
      <c r="D71" s="10"/>
      <c r="E71" s="3" t="s">
        <v>19</v>
      </c>
      <c r="F71" s="6"/>
      <c r="G71" s="3" t="s">
        <v>9</v>
      </c>
      <c r="H71" s="6"/>
      <c r="I71" s="22">
        <v>43.0</v>
      </c>
    </row>
    <row r="72">
      <c r="A72" s="1" t="s">
        <v>92</v>
      </c>
      <c r="B72" s="8" t="s">
        <v>17</v>
      </c>
      <c r="C72" s="9" t="s">
        <v>12</v>
      </c>
      <c r="D72" s="10"/>
      <c r="E72" s="3" t="s">
        <v>9</v>
      </c>
      <c r="F72" s="6"/>
      <c r="G72" s="3" t="s">
        <v>9</v>
      </c>
      <c r="H72" s="6"/>
      <c r="I72" s="3">
        <v>42.0</v>
      </c>
    </row>
    <row r="73">
      <c r="A73" s="1" t="s">
        <v>93</v>
      </c>
      <c r="B73" s="4" t="s">
        <v>7</v>
      </c>
      <c r="C73" s="5" t="s">
        <v>8</v>
      </c>
      <c r="D73" s="10"/>
      <c r="E73" s="3" t="s">
        <v>9</v>
      </c>
      <c r="F73" s="6"/>
      <c r="G73" s="3" t="s">
        <v>19</v>
      </c>
      <c r="H73" s="6"/>
      <c r="I73" s="3">
        <v>42.0</v>
      </c>
    </row>
    <row r="74">
      <c r="A74" s="1" t="s">
        <v>94</v>
      </c>
      <c r="B74" s="4" t="s">
        <v>7</v>
      </c>
      <c r="C74" s="5" t="s">
        <v>8</v>
      </c>
      <c r="D74" s="10"/>
      <c r="E74" s="3" t="s">
        <v>9</v>
      </c>
      <c r="F74" s="6"/>
      <c r="G74" s="3" t="s">
        <v>19</v>
      </c>
      <c r="H74" s="6"/>
      <c r="I74" s="3">
        <v>42.0</v>
      </c>
    </row>
    <row r="75">
      <c r="A75" s="1" t="s">
        <v>95</v>
      </c>
      <c r="B75" s="4" t="s">
        <v>7</v>
      </c>
      <c r="C75" s="5" t="s">
        <v>8</v>
      </c>
      <c r="D75" s="10"/>
      <c r="E75" s="3" t="s">
        <v>27</v>
      </c>
      <c r="F75" s="6"/>
      <c r="G75" s="3" t="s">
        <v>27</v>
      </c>
      <c r="H75" s="6"/>
      <c r="I75" s="6"/>
    </row>
    <row r="76">
      <c r="A76" s="12" t="s">
        <v>96</v>
      </c>
      <c r="B76" s="8" t="s">
        <v>17</v>
      </c>
      <c r="C76" s="9" t="s">
        <v>12</v>
      </c>
      <c r="D76" s="10"/>
      <c r="E76" s="3" t="s">
        <v>19</v>
      </c>
      <c r="F76" s="6"/>
      <c r="G76" s="3" t="s">
        <v>19</v>
      </c>
      <c r="H76" s="6"/>
      <c r="I76" s="3">
        <v>43.0</v>
      </c>
    </row>
    <row r="77">
      <c r="A77" s="1" t="s">
        <v>97</v>
      </c>
      <c r="B77" s="8" t="s">
        <v>17</v>
      </c>
      <c r="C77" s="9" t="s">
        <v>12</v>
      </c>
      <c r="D77" s="10"/>
      <c r="E77" s="3" t="s">
        <v>9</v>
      </c>
      <c r="F77" s="6"/>
      <c r="G77" s="3" t="s">
        <v>15</v>
      </c>
      <c r="H77" s="6"/>
      <c r="I77" s="3">
        <v>42.0</v>
      </c>
    </row>
    <row r="78">
      <c r="A78" s="12" t="s">
        <v>98</v>
      </c>
      <c r="B78" s="8" t="s">
        <v>17</v>
      </c>
      <c r="C78" s="9" t="s">
        <v>12</v>
      </c>
      <c r="D78" s="10"/>
      <c r="E78" s="3" t="s">
        <v>19</v>
      </c>
      <c r="F78" s="6"/>
      <c r="G78" s="3" t="s">
        <v>19</v>
      </c>
      <c r="H78" s="6"/>
      <c r="I78" s="3">
        <v>41.0</v>
      </c>
    </row>
    <row r="79">
      <c r="A79" s="12" t="s">
        <v>99</v>
      </c>
      <c r="B79" s="8" t="s">
        <v>17</v>
      </c>
      <c r="C79" s="9" t="s">
        <v>12</v>
      </c>
      <c r="D79" s="10"/>
      <c r="E79" s="3" t="s">
        <v>19</v>
      </c>
      <c r="F79" s="6"/>
      <c r="G79" s="3" t="s">
        <v>19</v>
      </c>
      <c r="H79" s="6"/>
      <c r="I79" s="3">
        <v>42.0</v>
      </c>
    </row>
    <row r="80">
      <c r="A80" s="1" t="s">
        <v>100</v>
      </c>
      <c r="B80" s="8" t="s">
        <v>26</v>
      </c>
      <c r="C80" s="5" t="s">
        <v>8</v>
      </c>
      <c r="D80" s="2" t="s">
        <v>15</v>
      </c>
      <c r="E80" s="3" t="s">
        <v>14</v>
      </c>
      <c r="F80" s="6"/>
      <c r="G80" s="3" t="s">
        <v>14</v>
      </c>
      <c r="H80" s="6"/>
      <c r="I80" s="3" t="s">
        <v>14</v>
      </c>
    </row>
    <row r="81">
      <c r="A81" s="1" t="s">
        <v>101</v>
      </c>
      <c r="B81" s="8" t="s">
        <v>17</v>
      </c>
      <c r="C81" s="15" t="s">
        <v>40</v>
      </c>
      <c r="D81" s="10"/>
      <c r="E81" s="3" t="s">
        <v>19</v>
      </c>
      <c r="F81" s="6"/>
      <c r="G81" s="3" t="s">
        <v>19</v>
      </c>
      <c r="H81" s="6"/>
      <c r="I81" s="3">
        <v>43.0</v>
      </c>
    </row>
    <row r="82">
      <c r="A82" s="12" t="s">
        <v>102</v>
      </c>
      <c r="B82" s="4" t="s">
        <v>7</v>
      </c>
      <c r="C82" s="5" t="s">
        <v>8</v>
      </c>
      <c r="D82" s="10"/>
      <c r="E82" s="3" t="s">
        <v>19</v>
      </c>
      <c r="F82" s="6"/>
      <c r="G82" s="3" t="s">
        <v>9</v>
      </c>
      <c r="H82" s="6"/>
      <c r="I82" s="3">
        <v>42.0</v>
      </c>
    </row>
    <row r="83">
      <c r="A83" s="1" t="s">
        <v>103</v>
      </c>
      <c r="B83" s="4" t="s">
        <v>7</v>
      </c>
      <c r="C83" s="5" t="s">
        <v>8</v>
      </c>
      <c r="D83" s="10"/>
      <c r="E83" s="3" t="s">
        <v>9</v>
      </c>
      <c r="F83" s="6"/>
      <c r="G83" s="3" t="s">
        <v>9</v>
      </c>
      <c r="H83" s="6"/>
      <c r="I83" s="3">
        <v>43.0</v>
      </c>
    </row>
    <row r="84">
      <c r="A84" s="1" t="s">
        <v>104</v>
      </c>
      <c r="B84" s="8" t="s">
        <v>17</v>
      </c>
      <c r="C84" s="9" t="s">
        <v>12</v>
      </c>
      <c r="D84" s="10"/>
      <c r="E84" s="3" t="s">
        <v>9</v>
      </c>
      <c r="F84" s="6"/>
      <c r="G84" s="3" t="s">
        <v>9</v>
      </c>
      <c r="H84" s="6"/>
      <c r="I84" s="3">
        <v>42.0</v>
      </c>
    </row>
    <row r="85">
      <c r="A85" s="1" t="s">
        <v>105</v>
      </c>
      <c r="B85" s="8" t="s">
        <v>17</v>
      </c>
      <c r="C85" s="15" t="s">
        <v>40</v>
      </c>
      <c r="D85" s="10"/>
      <c r="E85" s="3" t="s">
        <v>9</v>
      </c>
      <c r="F85" s="6"/>
      <c r="G85" s="3" t="s">
        <v>19</v>
      </c>
      <c r="H85" s="6"/>
      <c r="I85" s="3">
        <v>43.0</v>
      </c>
    </row>
    <row r="86">
      <c r="A86" s="7" t="s">
        <v>106</v>
      </c>
      <c r="B86" s="8" t="s">
        <v>17</v>
      </c>
      <c r="C86" s="15" t="s">
        <v>40</v>
      </c>
      <c r="D86" s="10"/>
      <c r="E86" s="3" t="s">
        <v>15</v>
      </c>
      <c r="F86" s="6"/>
      <c r="G86" s="3" t="s">
        <v>15</v>
      </c>
      <c r="H86" s="6"/>
      <c r="I86" s="3">
        <v>42.0</v>
      </c>
    </row>
    <row r="87">
      <c r="A87" s="12" t="s">
        <v>107</v>
      </c>
      <c r="B87" s="8" t="s">
        <v>17</v>
      </c>
      <c r="C87" s="9" t="s">
        <v>12</v>
      </c>
      <c r="D87" s="10"/>
      <c r="E87" s="3" t="s">
        <v>9</v>
      </c>
      <c r="F87" s="6"/>
      <c r="G87" s="3" t="s">
        <v>9</v>
      </c>
      <c r="H87" s="6"/>
      <c r="I87" s="3">
        <v>42.0</v>
      </c>
    </row>
    <row r="88">
      <c r="A88" s="7" t="s">
        <v>108</v>
      </c>
      <c r="B88" s="8" t="s">
        <v>17</v>
      </c>
      <c r="C88" s="15" t="s">
        <v>40</v>
      </c>
      <c r="D88" s="10"/>
      <c r="E88" s="3" t="s">
        <v>19</v>
      </c>
      <c r="F88" s="6"/>
      <c r="G88" s="3" t="s">
        <v>9</v>
      </c>
      <c r="H88" s="6"/>
      <c r="I88" s="3">
        <v>42.0</v>
      </c>
    </row>
    <row r="89">
      <c r="A89" s="12" t="s">
        <v>109</v>
      </c>
      <c r="B89" s="4" t="s">
        <v>7</v>
      </c>
      <c r="C89" s="5" t="s">
        <v>8</v>
      </c>
      <c r="D89" s="10"/>
      <c r="E89" s="3" t="s">
        <v>9</v>
      </c>
      <c r="F89" s="6"/>
      <c r="G89" s="3" t="s">
        <v>15</v>
      </c>
      <c r="H89" s="6"/>
      <c r="I89" s="3">
        <v>44.0</v>
      </c>
    </row>
    <row r="90">
      <c r="A90" s="7" t="s">
        <v>110</v>
      </c>
      <c r="B90" s="8" t="s">
        <v>26</v>
      </c>
      <c r="C90" s="9" t="s">
        <v>12</v>
      </c>
      <c r="D90" s="8" t="s">
        <v>18</v>
      </c>
      <c r="E90" s="3" t="s">
        <v>14</v>
      </c>
      <c r="F90" s="6"/>
      <c r="G90" s="3" t="s">
        <v>9</v>
      </c>
      <c r="H90" s="6"/>
      <c r="I90" s="3">
        <v>42.0</v>
      </c>
    </row>
    <row r="91">
      <c r="A91" s="1" t="s">
        <v>111</v>
      </c>
      <c r="B91" s="8"/>
      <c r="C91" s="23" t="s">
        <v>112</v>
      </c>
      <c r="D91" s="10"/>
      <c r="E91" s="17" t="s">
        <v>15</v>
      </c>
      <c r="F91" s="18"/>
      <c r="G91" s="17" t="s">
        <v>15</v>
      </c>
      <c r="H91" s="18"/>
      <c r="I91" s="17">
        <v>42.0</v>
      </c>
    </row>
    <row r="92">
      <c r="A92" s="1" t="s">
        <v>113</v>
      </c>
      <c r="B92" s="4" t="s">
        <v>7</v>
      </c>
      <c r="C92" s="5" t="s">
        <v>8</v>
      </c>
      <c r="D92" s="10"/>
      <c r="E92" s="3" t="s">
        <v>9</v>
      </c>
      <c r="F92" s="6"/>
      <c r="G92" s="3" t="s">
        <v>19</v>
      </c>
      <c r="H92" s="6"/>
      <c r="I92" s="3">
        <v>41.0</v>
      </c>
    </row>
    <row r="93">
      <c r="A93" s="1" t="s">
        <v>114</v>
      </c>
      <c r="B93" s="8" t="s">
        <v>17</v>
      </c>
      <c r="C93" s="9" t="s">
        <v>12</v>
      </c>
      <c r="D93" s="10"/>
      <c r="E93" s="3" t="s">
        <v>9</v>
      </c>
      <c r="F93" s="6"/>
      <c r="G93" s="3" t="s">
        <v>9</v>
      </c>
      <c r="H93" s="6"/>
      <c r="I93" s="3">
        <v>40.0</v>
      </c>
    </row>
    <row r="94">
      <c r="A94" s="16" t="s">
        <v>115</v>
      </c>
      <c r="B94" s="8" t="s">
        <v>23</v>
      </c>
      <c r="C94" s="9" t="s">
        <v>12</v>
      </c>
      <c r="D94" s="2" t="s">
        <v>9</v>
      </c>
      <c r="E94" s="3" t="s">
        <v>14</v>
      </c>
      <c r="F94" s="6"/>
      <c r="G94" s="3" t="s">
        <v>9</v>
      </c>
      <c r="H94" s="6"/>
      <c r="I94" s="3">
        <v>38.0</v>
      </c>
    </row>
    <row r="95">
      <c r="A95" s="12" t="s">
        <v>116</v>
      </c>
      <c r="B95" s="8" t="s">
        <v>17</v>
      </c>
      <c r="C95" s="15" t="s">
        <v>40</v>
      </c>
      <c r="D95" s="10"/>
      <c r="E95" s="3" t="s">
        <v>9</v>
      </c>
      <c r="F95" s="6"/>
      <c r="G95" s="3" t="s">
        <v>9</v>
      </c>
      <c r="H95" s="6"/>
      <c r="I95" s="3">
        <v>41.0</v>
      </c>
    </row>
    <row r="96">
      <c r="A96" s="1" t="s">
        <v>117</v>
      </c>
      <c r="B96" s="8" t="s">
        <v>17</v>
      </c>
      <c r="C96" s="19" t="s">
        <v>52</v>
      </c>
      <c r="D96" s="10"/>
      <c r="E96" s="3" t="s">
        <v>9</v>
      </c>
      <c r="F96" s="6"/>
      <c r="G96" s="3" t="s">
        <v>9</v>
      </c>
      <c r="H96" s="6"/>
      <c r="I96" s="3">
        <v>43.0</v>
      </c>
    </row>
    <row r="97">
      <c r="A97" s="7" t="s">
        <v>118</v>
      </c>
      <c r="B97" s="8" t="s">
        <v>17</v>
      </c>
      <c r="C97" s="15" t="s">
        <v>40</v>
      </c>
      <c r="D97" s="10"/>
      <c r="E97" s="3" t="s">
        <v>19</v>
      </c>
      <c r="F97" s="6"/>
      <c r="G97" s="3" t="s">
        <v>19</v>
      </c>
      <c r="H97" s="6"/>
      <c r="I97" s="3">
        <v>41.0</v>
      </c>
    </row>
    <row r="98">
      <c r="A98" s="1" t="s">
        <v>119</v>
      </c>
      <c r="B98" s="8" t="s">
        <v>17</v>
      </c>
      <c r="C98" s="15" t="s">
        <v>40</v>
      </c>
      <c r="D98" s="2"/>
      <c r="E98" s="3" t="s">
        <v>19</v>
      </c>
      <c r="F98" s="6"/>
      <c r="G98" s="3" t="s">
        <v>19</v>
      </c>
      <c r="H98" s="6"/>
      <c r="I98" s="3">
        <v>43.0</v>
      </c>
    </row>
    <row r="99">
      <c r="A99" s="7" t="s">
        <v>120</v>
      </c>
      <c r="B99" s="8" t="s">
        <v>17</v>
      </c>
      <c r="C99" s="9" t="s">
        <v>12</v>
      </c>
      <c r="D99" s="8" t="s">
        <v>30</v>
      </c>
      <c r="E99" s="3" t="s">
        <v>14</v>
      </c>
      <c r="F99" s="6"/>
      <c r="G99" s="3" t="s">
        <v>19</v>
      </c>
      <c r="H99" s="6"/>
      <c r="I99" s="3">
        <v>44.0</v>
      </c>
    </row>
    <row r="100">
      <c r="A100" s="12" t="s">
        <v>121</v>
      </c>
      <c r="B100" s="4" t="s">
        <v>7</v>
      </c>
      <c r="C100" s="9" t="s">
        <v>12</v>
      </c>
      <c r="D100" s="10"/>
      <c r="E100" s="3" t="s">
        <v>9</v>
      </c>
      <c r="F100" s="6"/>
      <c r="G100" s="3" t="s">
        <v>9</v>
      </c>
      <c r="H100" s="6"/>
      <c r="I100" s="3">
        <v>42.0</v>
      </c>
    </row>
    <row r="101">
      <c r="A101" s="1" t="s">
        <v>122</v>
      </c>
      <c r="B101" s="8" t="s">
        <v>17</v>
      </c>
      <c r="C101" s="9" t="s">
        <v>12</v>
      </c>
      <c r="D101" s="10"/>
      <c r="E101" s="3" t="s">
        <v>9</v>
      </c>
      <c r="F101" s="6"/>
      <c r="G101" s="3" t="s">
        <v>9</v>
      </c>
      <c r="H101" s="6"/>
      <c r="I101" s="3">
        <v>42.0</v>
      </c>
    </row>
    <row r="102">
      <c r="A102" s="1" t="s">
        <v>123</v>
      </c>
      <c r="B102" s="4" t="s">
        <v>7</v>
      </c>
      <c r="C102" s="5" t="s">
        <v>8</v>
      </c>
      <c r="D102" s="10"/>
      <c r="E102" s="3" t="s">
        <v>18</v>
      </c>
      <c r="F102" s="6"/>
      <c r="G102" s="3" t="s">
        <v>30</v>
      </c>
      <c r="H102" s="6"/>
      <c r="I102" s="3">
        <v>43.0</v>
      </c>
    </row>
    <row r="103">
      <c r="A103" s="1" t="s">
        <v>124</v>
      </c>
      <c r="B103" s="4" t="s">
        <v>7</v>
      </c>
      <c r="C103" s="5" t="s">
        <v>8</v>
      </c>
      <c r="D103" s="10"/>
      <c r="E103" s="3" t="s">
        <v>19</v>
      </c>
      <c r="F103" s="6"/>
      <c r="G103" s="3" t="s">
        <v>19</v>
      </c>
      <c r="H103" s="6"/>
      <c r="I103" s="3">
        <v>44.0</v>
      </c>
    </row>
    <row r="104">
      <c r="A104" s="24"/>
      <c r="B104" s="24"/>
      <c r="C104" s="25"/>
      <c r="D104" s="25"/>
      <c r="E104" s="25"/>
      <c r="F104" s="25"/>
      <c r="G104" s="25"/>
      <c r="H104" s="25"/>
      <c r="I104" s="25"/>
    </row>
    <row r="105">
      <c r="A105" s="24"/>
      <c r="B105" s="24"/>
      <c r="C105" s="25"/>
      <c r="D105" s="26"/>
      <c r="F105" s="25"/>
      <c r="G105" s="25"/>
      <c r="H105" s="25"/>
      <c r="I105" s="25"/>
    </row>
    <row r="106">
      <c r="A106" s="24"/>
      <c r="B106" s="24"/>
      <c r="C106" s="25"/>
      <c r="D106" s="26"/>
      <c r="F106" s="25"/>
      <c r="G106" s="25"/>
      <c r="H106" s="25"/>
      <c r="I106" s="25"/>
    </row>
    <row r="107">
      <c r="A107" s="24"/>
      <c r="B107" s="24"/>
      <c r="C107" s="25"/>
      <c r="D107" s="26"/>
      <c r="E107" s="25"/>
      <c r="F107" s="25"/>
      <c r="G107" s="25"/>
      <c r="H107" s="25"/>
      <c r="I107" s="25"/>
    </row>
    <row r="108">
      <c r="A108" s="24"/>
      <c r="B108" s="24"/>
      <c r="C108" s="25"/>
      <c r="D108" s="26"/>
      <c r="E108" s="25"/>
      <c r="F108" s="25"/>
      <c r="G108" s="25"/>
      <c r="H108" s="25"/>
      <c r="I108" s="25"/>
    </row>
    <row r="109">
      <c r="A109" s="24"/>
      <c r="B109" s="24"/>
      <c r="C109" s="25"/>
      <c r="D109" s="26"/>
      <c r="E109" s="25"/>
      <c r="F109" s="25"/>
      <c r="G109" s="25"/>
      <c r="H109" s="25"/>
      <c r="I109" s="25"/>
    </row>
    <row r="110">
      <c r="A110" s="24"/>
      <c r="B110" s="24"/>
      <c r="C110" s="25"/>
      <c r="D110" s="26"/>
      <c r="E110" s="25"/>
      <c r="F110" s="25"/>
      <c r="G110" s="25"/>
      <c r="H110" s="25"/>
      <c r="I110" s="25"/>
    </row>
    <row r="111">
      <c r="A111" s="24"/>
      <c r="B111" s="24"/>
      <c r="C111" s="25"/>
      <c r="D111" s="25"/>
      <c r="E111" s="25"/>
      <c r="F111" s="25"/>
      <c r="G111" s="25"/>
      <c r="H111" s="25"/>
      <c r="I111" s="25"/>
    </row>
    <row r="112">
      <c r="A112" s="24"/>
      <c r="B112" s="24"/>
      <c r="C112" s="25"/>
      <c r="D112" s="25"/>
      <c r="E112" s="25"/>
      <c r="F112" s="25"/>
      <c r="G112" s="25"/>
      <c r="H112" s="25"/>
      <c r="I112" s="25"/>
    </row>
    <row r="113">
      <c r="A113" s="24"/>
      <c r="B113" s="24"/>
      <c r="C113" s="25"/>
      <c r="D113" s="25"/>
      <c r="E113" s="25"/>
      <c r="F113" s="25"/>
      <c r="G113" s="25"/>
      <c r="H113" s="25"/>
      <c r="I113" s="25"/>
    </row>
    <row r="114">
      <c r="A114" s="24"/>
      <c r="B114" s="24"/>
      <c r="C114" s="25"/>
      <c r="D114" s="25"/>
      <c r="E114" s="25"/>
      <c r="F114" s="25"/>
      <c r="G114" s="25"/>
      <c r="H114" s="25"/>
      <c r="I114" s="25"/>
    </row>
    <row r="115">
      <c r="A115" s="24"/>
      <c r="B115" s="24"/>
      <c r="C115" s="25"/>
      <c r="D115" s="25"/>
      <c r="E115" s="25"/>
      <c r="F115" s="25"/>
      <c r="G115" s="25"/>
      <c r="H115" s="25"/>
      <c r="I115" s="25"/>
    </row>
    <row r="116">
      <c r="A116" s="24"/>
      <c r="B116" s="24"/>
      <c r="C116" s="25"/>
      <c r="D116" s="25"/>
      <c r="E116" s="25"/>
      <c r="F116" s="25"/>
      <c r="G116" s="25"/>
      <c r="H116" s="25"/>
      <c r="I116" s="25"/>
    </row>
    <row r="117">
      <c r="A117" s="24"/>
      <c r="B117" s="24"/>
      <c r="C117" s="25"/>
      <c r="D117" s="25"/>
      <c r="E117" s="25"/>
      <c r="F117" s="25"/>
      <c r="G117" s="25"/>
      <c r="H117" s="25"/>
      <c r="I117" s="25"/>
    </row>
    <row r="118">
      <c r="A118" s="24"/>
      <c r="B118" s="24"/>
      <c r="C118" s="25"/>
      <c r="D118" s="25"/>
      <c r="E118" s="25"/>
      <c r="F118" s="25"/>
      <c r="G118" s="25"/>
      <c r="H118" s="25"/>
      <c r="I118" s="25"/>
    </row>
    <row r="119">
      <c r="A119" s="24"/>
      <c r="B119" s="24"/>
      <c r="C119" s="25"/>
      <c r="D119" s="25"/>
      <c r="E119" s="25"/>
      <c r="F119" s="25"/>
      <c r="G119" s="25"/>
      <c r="H119" s="25"/>
      <c r="I119" s="25"/>
    </row>
    <row r="120">
      <c r="A120" s="24"/>
      <c r="B120" s="24"/>
      <c r="C120" s="25"/>
      <c r="D120" s="25"/>
      <c r="E120" s="25"/>
      <c r="F120" s="25"/>
      <c r="G120" s="25"/>
      <c r="H120" s="25"/>
      <c r="I120" s="25"/>
    </row>
    <row r="121">
      <c r="A121" s="24"/>
      <c r="B121" s="24"/>
      <c r="C121" s="25"/>
      <c r="D121" s="25"/>
      <c r="E121" s="25"/>
      <c r="F121" s="25"/>
      <c r="G121" s="25"/>
      <c r="H121" s="25"/>
      <c r="I121" s="25"/>
    </row>
    <row r="122">
      <c r="A122" s="24"/>
      <c r="B122" s="24"/>
      <c r="C122" s="25"/>
      <c r="D122" s="25"/>
      <c r="E122" s="25"/>
      <c r="F122" s="25"/>
      <c r="G122" s="25"/>
      <c r="H122" s="25"/>
      <c r="I122" s="25"/>
    </row>
    <row r="123">
      <c r="A123" s="24"/>
      <c r="B123" s="24"/>
      <c r="C123" s="25"/>
      <c r="D123" s="25"/>
      <c r="E123" s="25"/>
      <c r="F123" s="25"/>
      <c r="G123" s="25"/>
      <c r="H123" s="25"/>
      <c r="I123" s="25"/>
    </row>
    <row r="124">
      <c r="A124" s="24"/>
      <c r="B124" s="24"/>
      <c r="C124" s="25"/>
      <c r="D124" s="25"/>
      <c r="E124" s="25"/>
      <c r="F124" s="25"/>
      <c r="G124" s="25"/>
      <c r="H124" s="25"/>
      <c r="I124" s="25"/>
    </row>
    <row r="125">
      <c r="A125" s="24"/>
      <c r="B125" s="24"/>
      <c r="C125" s="25"/>
      <c r="D125" s="25"/>
      <c r="E125" s="25"/>
      <c r="F125" s="25"/>
      <c r="G125" s="25"/>
      <c r="H125" s="25"/>
      <c r="I125" s="25"/>
    </row>
    <row r="126">
      <c r="A126" s="24"/>
      <c r="B126" s="24"/>
      <c r="C126" s="25"/>
      <c r="D126" s="25"/>
      <c r="E126" s="25"/>
      <c r="F126" s="25"/>
      <c r="G126" s="25"/>
      <c r="H126" s="25"/>
      <c r="I126" s="25"/>
    </row>
    <row r="127">
      <c r="A127" s="24"/>
      <c r="B127" s="24"/>
      <c r="C127" s="25"/>
      <c r="D127" s="25"/>
      <c r="E127" s="25"/>
      <c r="F127" s="25"/>
      <c r="G127" s="25"/>
      <c r="H127" s="25"/>
      <c r="I127" s="25"/>
    </row>
    <row r="128">
      <c r="A128" s="24"/>
      <c r="B128" s="24"/>
      <c r="C128" s="25"/>
      <c r="D128" s="25"/>
      <c r="E128" s="25"/>
      <c r="F128" s="25"/>
      <c r="G128" s="25"/>
      <c r="H128" s="25"/>
      <c r="I128" s="25"/>
    </row>
    <row r="129">
      <c r="A129" s="24"/>
      <c r="B129" s="24"/>
      <c r="C129" s="25"/>
      <c r="D129" s="25"/>
      <c r="E129" s="25"/>
      <c r="F129" s="25"/>
      <c r="G129" s="25"/>
      <c r="H129" s="25"/>
      <c r="I129" s="25"/>
    </row>
    <row r="130">
      <c r="A130" s="24"/>
      <c r="B130" s="24"/>
      <c r="C130" s="25"/>
      <c r="D130" s="25"/>
      <c r="E130" s="25"/>
      <c r="F130" s="25"/>
      <c r="G130" s="25"/>
      <c r="H130" s="25"/>
      <c r="I130" s="25"/>
    </row>
    <row r="131">
      <c r="A131" s="24"/>
      <c r="B131" s="24"/>
      <c r="C131" s="25"/>
      <c r="D131" s="25"/>
      <c r="E131" s="25"/>
      <c r="F131" s="25"/>
      <c r="G131" s="25"/>
      <c r="H131" s="25"/>
      <c r="I131" s="25"/>
    </row>
    <row r="132">
      <c r="A132" s="24"/>
      <c r="B132" s="24"/>
      <c r="C132" s="25"/>
      <c r="D132" s="25"/>
      <c r="E132" s="25"/>
      <c r="F132" s="25"/>
      <c r="G132" s="25"/>
      <c r="H132" s="25"/>
      <c r="I132" s="25"/>
    </row>
    <row r="133">
      <c r="A133" s="24"/>
      <c r="B133" s="24"/>
      <c r="C133" s="25"/>
      <c r="D133" s="25"/>
      <c r="E133" s="25"/>
      <c r="F133" s="25"/>
      <c r="G133" s="25"/>
      <c r="H133" s="25"/>
      <c r="I133" s="25"/>
    </row>
    <row r="134">
      <c r="A134" s="24"/>
      <c r="B134" s="24"/>
      <c r="C134" s="25"/>
      <c r="D134" s="25"/>
      <c r="E134" s="25"/>
      <c r="F134" s="25"/>
      <c r="G134" s="25"/>
      <c r="H134" s="25"/>
      <c r="I134" s="25"/>
    </row>
    <row r="135">
      <c r="A135" s="24"/>
      <c r="B135" s="24"/>
      <c r="C135" s="25"/>
      <c r="D135" s="25"/>
      <c r="E135" s="25"/>
      <c r="F135" s="25"/>
      <c r="G135" s="25"/>
      <c r="H135" s="25"/>
      <c r="I135" s="25"/>
    </row>
    <row r="136">
      <c r="A136" s="24"/>
      <c r="B136" s="24"/>
      <c r="C136" s="25"/>
      <c r="D136" s="25"/>
      <c r="E136" s="25"/>
      <c r="F136" s="25"/>
      <c r="G136" s="25"/>
      <c r="H136" s="25"/>
      <c r="I136" s="25"/>
    </row>
    <row r="137">
      <c r="A137" s="24"/>
      <c r="B137" s="24"/>
      <c r="C137" s="25"/>
      <c r="D137" s="25"/>
      <c r="E137" s="25"/>
      <c r="F137" s="25"/>
      <c r="G137" s="25"/>
      <c r="H137" s="25"/>
      <c r="I137" s="25"/>
    </row>
    <row r="138">
      <c r="A138" s="24"/>
      <c r="B138" s="24"/>
      <c r="C138" s="25"/>
      <c r="D138" s="25"/>
      <c r="E138" s="25"/>
      <c r="F138" s="25"/>
      <c r="G138" s="25"/>
      <c r="H138" s="25"/>
      <c r="I138" s="25"/>
    </row>
    <row r="139">
      <c r="A139" s="24"/>
      <c r="B139" s="24"/>
      <c r="C139" s="25"/>
      <c r="D139" s="25"/>
      <c r="E139" s="25"/>
      <c r="F139" s="25"/>
      <c r="G139" s="25"/>
      <c r="H139" s="25"/>
      <c r="I139" s="25"/>
    </row>
    <row r="140">
      <c r="A140" s="24"/>
      <c r="B140" s="24"/>
      <c r="C140" s="25"/>
      <c r="D140" s="25"/>
      <c r="E140" s="25"/>
      <c r="F140" s="25"/>
      <c r="G140" s="25"/>
      <c r="H140" s="25"/>
      <c r="I140" s="25"/>
    </row>
    <row r="141">
      <c r="A141" s="24"/>
      <c r="B141" s="24"/>
      <c r="C141" s="25"/>
      <c r="D141" s="25"/>
      <c r="E141" s="25"/>
      <c r="F141" s="25"/>
      <c r="G141" s="25"/>
      <c r="H141" s="25"/>
      <c r="I141" s="25"/>
    </row>
    <row r="142">
      <c r="A142" s="24"/>
      <c r="B142" s="24"/>
      <c r="C142" s="25"/>
      <c r="D142" s="25"/>
      <c r="E142" s="25"/>
      <c r="F142" s="25"/>
      <c r="G142" s="25"/>
      <c r="H142" s="25"/>
      <c r="I142" s="25"/>
    </row>
    <row r="143">
      <c r="A143" s="24"/>
      <c r="B143" s="24"/>
      <c r="C143" s="25"/>
      <c r="D143" s="25"/>
      <c r="E143" s="25"/>
      <c r="F143" s="25"/>
      <c r="G143" s="25"/>
      <c r="H143" s="25"/>
      <c r="I143" s="25"/>
    </row>
    <row r="144">
      <c r="A144" s="24"/>
      <c r="B144" s="24"/>
      <c r="C144" s="25"/>
      <c r="D144" s="25"/>
      <c r="E144" s="25"/>
      <c r="F144" s="25"/>
      <c r="G144" s="25"/>
      <c r="H144" s="25"/>
      <c r="I144" s="25"/>
    </row>
    <row r="145">
      <c r="A145" s="24"/>
      <c r="B145" s="24"/>
      <c r="C145" s="25"/>
      <c r="D145" s="25"/>
      <c r="E145" s="25"/>
      <c r="F145" s="25"/>
      <c r="G145" s="25"/>
      <c r="H145" s="25"/>
      <c r="I145" s="25"/>
    </row>
    <row r="146">
      <c r="A146" s="24"/>
      <c r="B146" s="24"/>
      <c r="C146" s="25"/>
      <c r="D146" s="25"/>
      <c r="E146" s="25"/>
      <c r="F146" s="25"/>
      <c r="G146" s="25"/>
      <c r="H146" s="25"/>
      <c r="I146" s="25"/>
    </row>
    <row r="147">
      <c r="A147" s="24"/>
      <c r="B147" s="24"/>
      <c r="C147" s="25"/>
      <c r="D147" s="25"/>
      <c r="E147" s="25"/>
      <c r="F147" s="25"/>
      <c r="G147" s="25"/>
      <c r="H147" s="25"/>
      <c r="I147" s="25"/>
    </row>
    <row r="148">
      <c r="A148" s="24"/>
      <c r="B148" s="24"/>
      <c r="C148" s="25"/>
      <c r="D148" s="25"/>
      <c r="E148" s="25"/>
      <c r="F148" s="25"/>
      <c r="G148" s="25"/>
      <c r="H148" s="25"/>
      <c r="I148" s="25"/>
    </row>
    <row r="149">
      <c r="A149" s="24"/>
      <c r="B149" s="24"/>
      <c r="C149" s="25"/>
      <c r="D149" s="25"/>
      <c r="E149" s="25"/>
      <c r="F149" s="25"/>
      <c r="G149" s="25"/>
      <c r="H149" s="25"/>
      <c r="I149" s="25"/>
    </row>
    <row r="150">
      <c r="A150" s="24"/>
      <c r="B150" s="24"/>
      <c r="C150" s="25"/>
      <c r="D150" s="25"/>
      <c r="E150" s="25"/>
      <c r="F150" s="25"/>
      <c r="G150" s="25"/>
      <c r="H150" s="25"/>
      <c r="I150" s="25"/>
    </row>
    <row r="151">
      <c r="A151" s="24"/>
      <c r="B151" s="24"/>
      <c r="C151" s="25"/>
      <c r="D151" s="25"/>
      <c r="E151" s="25"/>
      <c r="F151" s="25"/>
      <c r="G151" s="25"/>
      <c r="H151" s="25"/>
      <c r="I151" s="25"/>
    </row>
    <row r="152">
      <c r="A152" s="24"/>
      <c r="B152" s="24"/>
      <c r="C152" s="25"/>
      <c r="D152" s="25"/>
      <c r="E152" s="25"/>
      <c r="F152" s="25"/>
      <c r="G152" s="25"/>
      <c r="H152" s="25"/>
      <c r="I152" s="25"/>
    </row>
    <row r="153">
      <c r="A153" s="24"/>
      <c r="B153" s="24"/>
      <c r="C153" s="25"/>
      <c r="D153" s="25"/>
      <c r="E153" s="25"/>
      <c r="F153" s="25"/>
      <c r="G153" s="25"/>
      <c r="H153" s="25"/>
      <c r="I153" s="25"/>
    </row>
    <row r="154">
      <c r="A154" s="24"/>
      <c r="B154" s="24"/>
      <c r="C154" s="25"/>
      <c r="D154" s="25"/>
      <c r="E154" s="25"/>
      <c r="F154" s="25"/>
      <c r="G154" s="25"/>
      <c r="H154" s="25"/>
      <c r="I154" s="25"/>
    </row>
    <row r="155">
      <c r="A155" s="24"/>
      <c r="B155" s="24"/>
      <c r="C155" s="25"/>
      <c r="D155" s="25"/>
      <c r="E155" s="25"/>
      <c r="F155" s="25"/>
      <c r="G155" s="25"/>
      <c r="H155" s="25"/>
      <c r="I155" s="25"/>
    </row>
    <row r="156">
      <c r="A156" s="24"/>
      <c r="B156" s="24"/>
      <c r="C156" s="25"/>
      <c r="D156" s="25"/>
      <c r="E156" s="25"/>
      <c r="F156" s="25"/>
      <c r="G156" s="25"/>
      <c r="H156" s="25"/>
      <c r="I156" s="25"/>
    </row>
    <row r="157">
      <c r="A157" s="24"/>
      <c r="B157" s="24"/>
      <c r="C157" s="25"/>
      <c r="D157" s="25"/>
      <c r="E157" s="25"/>
      <c r="F157" s="25"/>
      <c r="G157" s="25"/>
      <c r="H157" s="25"/>
      <c r="I157" s="25"/>
    </row>
    <row r="158">
      <c r="A158" s="24"/>
      <c r="B158" s="24"/>
      <c r="C158" s="25"/>
      <c r="D158" s="25"/>
      <c r="E158" s="25"/>
      <c r="F158" s="25"/>
      <c r="G158" s="25"/>
      <c r="H158" s="25"/>
      <c r="I158" s="25"/>
    </row>
    <row r="159">
      <c r="A159" s="24"/>
      <c r="B159" s="24"/>
      <c r="C159" s="25"/>
      <c r="D159" s="25"/>
      <c r="E159" s="25"/>
      <c r="F159" s="25"/>
      <c r="G159" s="25"/>
      <c r="H159" s="25"/>
      <c r="I159" s="25"/>
    </row>
    <row r="160">
      <c r="A160" s="24"/>
      <c r="B160" s="24"/>
      <c r="C160" s="25"/>
      <c r="D160" s="25"/>
      <c r="E160" s="25"/>
      <c r="F160" s="25"/>
      <c r="G160" s="25"/>
      <c r="H160" s="25"/>
      <c r="I160" s="25"/>
    </row>
    <row r="161">
      <c r="A161" s="24"/>
      <c r="B161" s="24"/>
      <c r="C161" s="25"/>
      <c r="D161" s="25"/>
      <c r="E161" s="25"/>
      <c r="F161" s="25"/>
      <c r="G161" s="25"/>
      <c r="H161" s="25"/>
      <c r="I161" s="25"/>
    </row>
    <row r="162">
      <c r="A162" s="24"/>
      <c r="B162" s="24"/>
      <c r="C162" s="25"/>
      <c r="D162" s="25"/>
      <c r="E162" s="25"/>
      <c r="F162" s="25"/>
      <c r="G162" s="25"/>
      <c r="H162" s="25"/>
      <c r="I162" s="25"/>
    </row>
    <row r="163">
      <c r="A163" s="24"/>
      <c r="B163" s="24"/>
      <c r="C163" s="25"/>
      <c r="D163" s="25"/>
      <c r="E163" s="25"/>
      <c r="F163" s="25"/>
      <c r="G163" s="25"/>
      <c r="H163" s="25"/>
      <c r="I163" s="25"/>
    </row>
    <row r="164">
      <c r="A164" s="24"/>
      <c r="B164" s="24"/>
      <c r="C164" s="25"/>
      <c r="D164" s="25"/>
      <c r="E164" s="25"/>
      <c r="F164" s="25"/>
      <c r="G164" s="25"/>
      <c r="H164" s="25"/>
      <c r="I164" s="25"/>
    </row>
    <row r="165">
      <c r="A165" s="24"/>
      <c r="B165" s="24"/>
      <c r="C165" s="25"/>
      <c r="D165" s="25"/>
      <c r="E165" s="25"/>
      <c r="F165" s="25"/>
      <c r="G165" s="25"/>
      <c r="H165" s="25"/>
      <c r="I165" s="25"/>
    </row>
    <row r="166">
      <c r="A166" s="24"/>
      <c r="B166" s="24"/>
      <c r="C166" s="25"/>
      <c r="D166" s="25"/>
      <c r="E166" s="25"/>
      <c r="F166" s="25"/>
      <c r="G166" s="25"/>
      <c r="H166" s="25"/>
      <c r="I166" s="25"/>
    </row>
    <row r="167">
      <c r="A167" s="24"/>
      <c r="B167" s="24"/>
      <c r="C167" s="25"/>
      <c r="D167" s="25"/>
      <c r="E167" s="25"/>
      <c r="F167" s="25"/>
      <c r="G167" s="25"/>
      <c r="H167" s="25"/>
      <c r="I167" s="25"/>
    </row>
    <row r="168">
      <c r="A168" s="24"/>
      <c r="B168" s="24"/>
      <c r="C168" s="25"/>
      <c r="D168" s="25"/>
      <c r="E168" s="25"/>
      <c r="F168" s="25"/>
      <c r="G168" s="25"/>
      <c r="H168" s="25"/>
      <c r="I168" s="25"/>
    </row>
    <row r="169">
      <c r="A169" s="24"/>
      <c r="B169" s="24"/>
      <c r="C169" s="25"/>
      <c r="D169" s="25"/>
      <c r="E169" s="25"/>
      <c r="F169" s="25"/>
      <c r="G169" s="25"/>
      <c r="H169" s="25"/>
      <c r="I169" s="25"/>
    </row>
    <row r="170">
      <c r="A170" s="24"/>
      <c r="B170" s="24"/>
      <c r="C170" s="25"/>
      <c r="D170" s="25"/>
      <c r="E170" s="25"/>
      <c r="F170" s="25"/>
      <c r="G170" s="25"/>
      <c r="H170" s="25"/>
      <c r="I170" s="25"/>
    </row>
    <row r="171">
      <c r="A171" s="24"/>
      <c r="B171" s="24"/>
      <c r="C171" s="25"/>
      <c r="D171" s="25"/>
      <c r="E171" s="25"/>
      <c r="F171" s="25"/>
      <c r="G171" s="25"/>
      <c r="H171" s="25"/>
      <c r="I171" s="25"/>
    </row>
    <row r="172">
      <c r="A172" s="24"/>
      <c r="B172" s="24"/>
      <c r="C172" s="25"/>
      <c r="D172" s="25"/>
      <c r="E172" s="25"/>
      <c r="F172" s="25"/>
      <c r="G172" s="25"/>
      <c r="H172" s="25"/>
      <c r="I172" s="25"/>
    </row>
    <row r="173">
      <c r="A173" s="24"/>
      <c r="B173" s="24"/>
      <c r="C173" s="25"/>
      <c r="D173" s="25"/>
      <c r="E173" s="25"/>
      <c r="F173" s="25"/>
      <c r="G173" s="25"/>
      <c r="H173" s="25"/>
      <c r="I173" s="25"/>
    </row>
    <row r="174">
      <c r="A174" s="24"/>
      <c r="B174" s="24"/>
      <c r="C174" s="25"/>
      <c r="D174" s="25"/>
      <c r="E174" s="25"/>
      <c r="F174" s="25"/>
      <c r="G174" s="25"/>
      <c r="H174" s="25"/>
      <c r="I174" s="25"/>
    </row>
    <row r="175">
      <c r="A175" s="24"/>
      <c r="B175" s="24"/>
      <c r="C175" s="25"/>
      <c r="D175" s="25"/>
      <c r="E175" s="25"/>
      <c r="F175" s="25"/>
      <c r="G175" s="25"/>
      <c r="H175" s="25"/>
      <c r="I175" s="25"/>
    </row>
    <row r="176">
      <c r="A176" s="24"/>
      <c r="B176" s="24"/>
      <c r="C176" s="25"/>
      <c r="D176" s="25"/>
      <c r="E176" s="25"/>
      <c r="F176" s="25"/>
      <c r="G176" s="25"/>
      <c r="H176" s="25"/>
      <c r="I176" s="25"/>
    </row>
    <row r="177">
      <c r="A177" s="24"/>
      <c r="B177" s="24"/>
      <c r="C177" s="25"/>
      <c r="D177" s="25"/>
      <c r="E177" s="25"/>
      <c r="F177" s="25"/>
      <c r="G177" s="25"/>
      <c r="H177" s="25"/>
      <c r="I177" s="25"/>
    </row>
    <row r="178">
      <c r="A178" s="24"/>
      <c r="B178" s="24"/>
      <c r="C178" s="25"/>
      <c r="D178" s="25"/>
      <c r="E178" s="25"/>
      <c r="F178" s="25"/>
      <c r="G178" s="25"/>
      <c r="H178" s="25"/>
      <c r="I178" s="25"/>
    </row>
    <row r="179">
      <c r="A179" s="24"/>
      <c r="B179" s="24"/>
      <c r="C179" s="25"/>
      <c r="D179" s="25"/>
      <c r="E179" s="25"/>
      <c r="F179" s="25"/>
      <c r="G179" s="25"/>
      <c r="H179" s="25"/>
      <c r="I179" s="25"/>
    </row>
    <row r="180">
      <c r="A180" s="24"/>
      <c r="B180" s="24"/>
      <c r="C180" s="25"/>
      <c r="D180" s="25"/>
      <c r="E180" s="25"/>
      <c r="F180" s="25"/>
      <c r="G180" s="25"/>
      <c r="H180" s="25"/>
      <c r="I180" s="25"/>
    </row>
    <row r="181">
      <c r="A181" s="24"/>
      <c r="B181" s="24"/>
      <c r="C181" s="25"/>
      <c r="D181" s="25"/>
      <c r="E181" s="25"/>
      <c r="F181" s="25"/>
      <c r="G181" s="25"/>
      <c r="H181" s="25"/>
      <c r="I181" s="25"/>
    </row>
    <row r="182">
      <c r="A182" s="24"/>
      <c r="B182" s="24"/>
      <c r="C182" s="25"/>
      <c r="D182" s="25"/>
      <c r="E182" s="25"/>
      <c r="F182" s="25"/>
      <c r="G182" s="25"/>
      <c r="H182" s="25"/>
      <c r="I182" s="25"/>
    </row>
    <row r="183">
      <c r="A183" s="24"/>
      <c r="B183" s="24"/>
      <c r="C183" s="25"/>
      <c r="D183" s="25"/>
      <c r="E183" s="25"/>
      <c r="F183" s="25"/>
      <c r="G183" s="25"/>
      <c r="H183" s="25"/>
      <c r="I183" s="25"/>
    </row>
    <row r="184">
      <c r="A184" s="24"/>
      <c r="B184" s="24"/>
      <c r="C184" s="25"/>
      <c r="D184" s="25"/>
      <c r="E184" s="25"/>
      <c r="F184" s="25"/>
      <c r="G184" s="25"/>
      <c r="H184" s="25"/>
      <c r="I184" s="25"/>
    </row>
    <row r="185">
      <c r="A185" s="24"/>
      <c r="B185" s="24"/>
      <c r="C185" s="25"/>
      <c r="D185" s="25"/>
      <c r="E185" s="25"/>
      <c r="F185" s="25"/>
      <c r="G185" s="25"/>
      <c r="H185" s="25"/>
      <c r="I185" s="25"/>
    </row>
    <row r="186">
      <c r="A186" s="24"/>
      <c r="B186" s="24"/>
      <c r="C186" s="25"/>
      <c r="D186" s="25"/>
      <c r="E186" s="25"/>
      <c r="F186" s="25"/>
      <c r="G186" s="25"/>
      <c r="H186" s="25"/>
      <c r="I186" s="25"/>
    </row>
    <row r="187">
      <c r="A187" s="24"/>
      <c r="B187" s="24"/>
      <c r="C187" s="25"/>
      <c r="D187" s="25"/>
      <c r="E187" s="25"/>
      <c r="F187" s="25"/>
      <c r="G187" s="25"/>
      <c r="H187" s="25"/>
      <c r="I187" s="25"/>
    </row>
    <row r="188">
      <c r="A188" s="24"/>
      <c r="B188" s="24"/>
      <c r="C188" s="25"/>
      <c r="D188" s="25"/>
      <c r="E188" s="25"/>
      <c r="F188" s="25"/>
      <c r="G188" s="25"/>
      <c r="H188" s="25"/>
      <c r="I188" s="25"/>
    </row>
    <row r="189">
      <c r="A189" s="24"/>
      <c r="B189" s="24"/>
      <c r="C189" s="25"/>
      <c r="D189" s="25"/>
      <c r="E189" s="25"/>
      <c r="F189" s="25"/>
      <c r="G189" s="25"/>
      <c r="H189" s="25"/>
      <c r="I189" s="25"/>
    </row>
    <row r="190">
      <c r="A190" s="24"/>
      <c r="B190" s="24"/>
      <c r="C190" s="25"/>
      <c r="D190" s="25"/>
      <c r="E190" s="25"/>
      <c r="F190" s="25"/>
      <c r="G190" s="25"/>
      <c r="H190" s="25"/>
      <c r="I190" s="25"/>
    </row>
    <row r="191">
      <c r="A191" s="24"/>
      <c r="B191" s="24"/>
      <c r="C191" s="25"/>
      <c r="D191" s="25"/>
      <c r="E191" s="25"/>
      <c r="F191" s="25"/>
      <c r="G191" s="25"/>
      <c r="H191" s="25"/>
      <c r="I191" s="25"/>
    </row>
    <row r="192">
      <c r="A192" s="24"/>
      <c r="B192" s="24"/>
      <c r="C192" s="25"/>
      <c r="D192" s="25"/>
      <c r="E192" s="25"/>
      <c r="F192" s="25"/>
      <c r="G192" s="25"/>
      <c r="H192" s="25"/>
      <c r="I192" s="25"/>
    </row>
    <row r="193">
      <c r="A193" s="24"/>
      <c r="B193" s="24"/>
      <c r="C193" s="25"/>
      <c r="D193" s="25"/>
      <c r="E193" s="25"/>
      <c r="F193" s="25"/>
      <c r="G193" s="25"/>
      <c r="H193" s="25"/>
      <c r="I193" s="25"/>
    </row>
    <row r="194">
      <c r="A194" s="24"/>
      <c r="B194" s="24"/>
      <c r="C194" s="25"/>
      <c r="D194" s="25"/>
      <c r="E194" s="25"/>
      <c r="F194" s="25"/>
      <c r="G194" s="25"/>
      <c r="H194" s="25"/>
      <c r="I194" s="25"/>
    </row>
    <row r="195">
      <c r="A195" s="24"/>
      <c r="B195" s="24"/>
      <c r="C195" s="25"/>
      <c r="D195" s="25"/>
      <c r="E195" s="25"/>
      <c r="F195" s="25"/>
      <c r="G195" s="25"/>
      <c r="H195" s="25"/>
      <c r="I195" s="25"/>
    </row>
    <row r="196">
      <c r="A196" s="24"/>
      <c r="B196" s="24"/>
      <c r="C196" s="25"/>
      <c r="D196" s="25"/>
      <c r="E196" s="25"/>
      <c r="F196" s="25"/>
      <c r="G196" s="25"/>
      <c r="H196" s="25"/>
      <c r="I196" s="25"/>
    </row>
    <row r="197">
      <c r="A197" s="24"/>
      <c r="B197" s="24"/>
      <c r="C197" s="25"/>
      <c r="D197" s="25"/>
      <c r="E197" s="25"/>
      <c r="F197" s="25"/>
      <c r="G197" s="25"/>
      <c r="H197" s="25"/>
      <c r="I197" s="25"/>
    </row>
    <row r="198">
      <c r="A198" s="24"/>
      <c r="B198" s="24"/>
      <c r="C198" s="25"/>
      <c r="D198" s="25"/>
      <c r="E198" s="25"/>
      <c r="F198" s="25"/>
      <c r="G198" s="25"/>
      <c r="H198" s="25"/>
      <c r="I198" s="25"/>
    </row>
    <row r="199">
      <c r="A199" s="24"/>
      <c r="B199" s="24"/>
      <c r="C199" s="25"/>
      <c r="D199" s="25"/>
      <c r="E199" s="25"/>
      <c r="F199" s="25"/>
      <c r="G199" s="25"/>
      <c r="H199" s="25"/>
      <c r="I199" s="25"/>
    </row>
    <row r="200">
      <c r="A200" s="24"/>
      <c r="B200" s="24"/>
      <c r="C200" s="25"/>
      <c r="D200" s="25"/>
      <c r="E200" s="25"/>
      <c r="F200" s="25"/>
      <c r="G200" s="25"/>
      <c r="H200" s="25"/>
      <c r="I200" s="25"/>
    </row>
    <row r="201">
      <c r="A201" s="24"/>
      <c r="B201" s="24"/>
      <c r="C201" s="25"/>
      <c r="D201" s="25"/>
      <c r="E201" s="25"/>
      <c r="F201" s="25"/>
      <c r="G201" s="25"/>
      <c r="H201" s="25"/>
      <c r="I201" s="25"/>
    </row>
    <row r="202">
      <c r="A202" s="24"/>
      <c r="B202" s="24"/>
      <c r="C202" s="25"/>
      <c r="D202" s="25"/>
      <c r="E202" s="25"/>
      <c r="F202" s="25"/>
      <c r="G202" s="25"/>
      <c r="H202" s="25"/>
      <c r="I202" s="25"/>
    </row>
    <row r="203">
      <c r="A203" s="24"/>
      <c r="B203" s="24"/>
      <c r="C203" s="25"/>
      <c r="D203" s="25"/>
      <c r="E203" s="25"/>
      <c r="F203" s="25"/>
      <c r="G203" s="25"/>
      <c r="H203" s="25"/>
      <c r="I203" s="25"/>
    </row>
    <row r="204">
      <c r="A204" s="24"/>
      <c r="B204" s="24"/>
      <c r="C204" s="25"/>
      <c r="D204" s="25"/>
      <c r="E204" s="25"/>
      <c r="F204" s="25"/>
      <c r="G204" s="25"/>
      <c r="H204" s="25"/>
      <c r="I204" s="25"/>
    </row>
    <row r="205">
      <c r="A205" s="24"/>
      <c r="B205" s="24"/>
      <c r="C205" s="25"/>
      <c r="D205" s="25"/>
      <c r="E205" s="25"/>
      <c r="F205" s="25"/>
      <c r="G205" s="25"/>
      <c r="H205" s="25"/>
      <c r="I205" s="25"/>
    </row>
    <row r="206">
      <c r="A206" s="24"/>
      <c r="B206" s="24"/>
      <c r="C206" s="25"/>
      <c r="D206" s="25"/>
      <c r="E206" s="25"/>
      <c r="F206" s="25"/>
      <c r="G206" s="25"/>
      <c r="H206" s="25"/>
      <c r="I206" s="25"/>
    </row>
    <row r="207">
      <c r="A207" s="24"/>
      <c r="B207" s="24"/>
      <c r="C207" s="25"/>
      <c r="D207" s="25"/>
      <c r="E207" s="25"/>
      <c r="F207" s="25"/>
      <c r="G207" s="25"/>
      <c r="H207" s="25"/>
      <c r="I207" s="25"/>
    </row>
    <row r="208">
      <c r="A208" s="24"/>
      <c r="B208" s="24"/>
      <c r="C208" s="25"/>
      <c r="D208" s="25"/>
      <c r="E208" s="25"/>
      <c r="F208" s="25"/>
      <c r="G208" s="25"/>
      <c r="H208" s="25"/>
      <c r="I208" s="25"/>
    </row>
    <row r="209">
      <c r="A209" s="24"/>
      <c r="B209" s="24"/>
      <c r="C209" s="25"/>
      <c r="D209" s="25"/>
      <c r="E209" s="25"/>
      <c r="F209" s="25"/>
      <c r="G209" s="25"/>
      <c r="H209" s="25"/>
      <c r="I209" s="25"/>
    </row>
    <row r="210">
      <c r="A210" s="24"/>
      <c r="B210" s="24"/>
      <c r="C210" s="25"/>
      <c r="D210" s="25"/>
      <c r="E210" s="25"/>
      <c r="F210" s="25"/>
      <c r="G210" s="25"/>
      <c r="H210" s="25"/>
      <c r="I210" s="25"/>
    </row>
    <row r="211">
      <c r="A211" s="24"/>
      <c r="B211" s="24"/>
      <c r="C211" s="25"/>
      <c r="D211" s="25"/>
      <c r="E211" s="25"/>
      <c r="F211" s="25"/>
      <c r="G211" s="25"/>
      <c r="H211" s="25"/>
      <c r="I211" s="25"/>
    </row>
    <row r="212">
      <c r="A212" s="24"/>
      <c r="B212" s="24"/>
      <c r="C212" s="25"/>
      <c r="D212" s="25"/>
      <c r="E212" s="25"/>
      <c r="F212" s="25"/>
      <c r="G212" s="25"/>
      <c r="H212" s="25"/>
      <c r="I212" s="25"/>
    </row>
    <row r="213">
      <c r="A213" s="24"/>
      <c r="B213" s="24"/>
      <c r="C213" s="25"/>
      <c r="D213" s="25"/>
      <c r="E213" s="25"/>
      <c r="F213" s="25"/>
      <c r="G213" s="25"/>
      <c r="H213" s="25"/>
      <c r="I213" s="25"/>
    </row>
    <row r="214">
      <c r="A214" s="24"/>
      <c r="B214" s="24"/>
      <c r="C214" s="25"/>
      <c r="D214" s="25"/>
      <c r="E214" s="25"/>
      <c r="F214" s="25"/>
      <c r="G214" s="25"/>
      <c r="H214" s="25"/>
      <c r="I214" s="25"/>
    </row>
    <row r="215">
      <c r="A215" s="24"/>
      <c r="B215" s="24"/>
      <c r="C215" s="25"/>
      <c r="D215" s="25"/>
      <c r="E215" s="25"/>
      <c r="F215" s="25"/>
      <c r="G215" s="25"/>
      <c r="H215" s="25"/>
      <c r="I215" s="25"/>
    </row>
    <row r="216">
      <c r="A216" s="24"/>
      <c r="B216" s="24"/>
      <c r="C216" s="25"/>
      <c r="D216" s="25"/>
      <c r="E216" s="25"/>
      <c r="F216" s="25"/>
      <c r="G216" s="25"/>
      <c r="H216" s="25"/>
      <c r="I216" s="25"/>
    </row>
    <row r="217">
      <c r="A217" s="24"/>
      <c r="B217" s="24"/>
      <c r="C217" s="25"/>
      <c r="D217" s="25"/>
      <c r="E217" s="25"/>
      <c r="F217" s="25"/>
      <c r="G217" s="25"/>
      <c r="H217" s="25"/>
      <c r="I217" s="25"/>
    </row>
    <row r="218">
      <c r="A218" s="24"/>
      <c r="B218" s="24"/>
      <c r="C218" s="25"/>
      <c r="D218" s="25"/>
      <c r="E218" s="25"/>
      <c r="F218" s="25"/>
      <c r="G218" s="25"/>
      <c r="H218" s="25"/>
      <c r="I218" s="25"/>
    </row>
    <row r="219">
      <c r="A219" s="24"/>
      <c r="B219" s="24"/>
      <c r="C219" s="25"/>
      <c r="D219" s="25"/>
      <c r="E219" s="25"/>
      <c r="F219" s="25"/>
      <c r="G219" s="25"/>
      <c r="H219" s="25"/>
      <c r="I219" s="25"/>
    </row>
    <row r="220">
      <c r="A220" s="24"/>
      <c r="B220" s="24"/>
      <c r="C220" s="25"/>
      <c r="D220" s="25"/>
      <c r="E220" s="25"/>
      <c r="F220" s="25"/>
      <c r="G220" s="25"/>
      <c r="H220" s="25"/>
      <c r="I220" s="25"/>
    </row>
    <row r="221">
      <c r="A221" s="24"/>
      <c r="B221" s="24"/>
      <c r="C221" s="25"/>
      <c r="D221" s="25"/>
      <c r="E221" s="25"/>
      <c r="F221" s="25"/>
      <c r="G221" s="25"/>
      <c r="H221" s="25"/>
      <c r="I221" s="25"/>
    </row>
    <row r="222">
      <c r="A222" s="24"/>
      <c r="B222" s="24"/>
      <c r="C222" s="25"/>
      <c r="D222" s="25"/>
      <c r="E222" s="25"/>
      <c r="F222" s="25"/>
      <c r="G222" s="25"/>
      <c r="H222" s="25"/>
      <c r="I222" s="25"/>
    </row>
    <row r="223">
      <c r="A223" s="24"/>
      <c r="B223" s="24"/>
      <c r="C223" s="25"/>
      <c r="D223" s="25"/>
      <c r="E223" s="25"/>
      <c r="F223" s="25"/>
      <c r="G223" s="25"/>
      <c r="H223" s="25"/>
      <c r="I223" s="25"/>
    </row>
    <row r="224">
      <c r="A224" s="24"/>
      <c r="B224" s="24"/>
      <c r="C224" s="25"/>
      <c r="D224" s="25"/>
      <c r="E224" s="25"/>
      <c r="F224" s="25"/>
      <c r="G224" s="25"/>
      <c r="H224" s="25"/>
      <c r="I224" s="25"/>
    </row>
    <row r="225">
      <c r="A225" s="24"/>
      <c r="B225" s="24"/>
      <c r="C225" s="25"/>
      <c r="D225" s="25"/>
      <c r="E225" s="25"/>
      <c r="F225" s="25"/>
      <c r="G225" s="25"/>
      <c r="H225" s="25"/>
      <c r="I225" s="25"/>
    </row>
    <row r="226">
      <c r="A226" s="24"/>
      <c r="B226" s="24"/>
      <c r="C226" s="25"/>
      <c r="D226" s="25"/>
      <c r="E226" s="25"/>
      <c r="F226" s="25"/>
      <c r="G226" s="25"/>
      <c r="H226" s="25"/>
      <c r="I226" s="25"/>
    </row>
    <row r="227">
      <c r="A227" s="24"/>
      <c r="B227" s="24"/>
      <c r="C227" s="25"/>
      <c r="D227" s="25"/>
      <c r="E227" s="25"/>
      <c r="F227" s="25"/>
      <c r="G227" s="25"/>
      <c r="H227" s="25"/>
      <c r="I227" s="25"/>
    </row>
    <row r="228">
      <c r="A228" s="24"/>
      <c r="B228" s="24"/>
      <c r="C228" s="25"/>
      <c r="D228" s="25"/>
      <c r="E228" s="25"/>
      <c r="F228" s="25"/>
      <c r="G228" s="25"/>
      <c r="H228" s="25"/>
      <c r="I228" s="25"/>
    </row>
    <row r="229">
      <c r="A229" s="24"/>
      <c r="B229" s="24"/>
      <c r="C229" s="25"/>
      <c r="D229" s="25"/>
      <c r="E229" s="25"/>
      <c r="F229" s="25"/>
      <c r="G229" s="25"/>
      <c r="H229" s="25"/>
      <c r="I229" s="25"/>
    </row>
    <row r="230">
      <c r="A230" s="24"/>
      <c r="B230" s="24"/>
      <c r="C230" s="25"/>
      <c r="D230" s="25"/>
      <c r="E230" s="25"/>
      <c r="F230" s="25"/>
      <c r="G230" s="25"/>
      <c r="H230" s="25"/>
      <c r="I230" s="25"/>
    </row>
    <row r="231">
      <c r="A231" s="24"/>
      <c r="B231" s="24"/>
      <c r="C231" s="25"/>
      <c r="D231" s="25"/>
      <c r="E231" s="25"/>
      <c r="F231" s="25"/>
      <c r="G231" s="25"/>
      <c r="H231" s="25"/>
      <c r="I231" s="25"/>
    </row>
    <row r="232">
      <c r="A232" s="24"/>
      <c r="B232" s="24"/>
      <c r="C232" s="25"/>
      <c r="D232" s="25"/>
      <c r="E232" s="25"/>
      <c r="F232" s="25"/>
      <c r="G232" s="25"/>
      <c r="H232" s="25"/>
      <c r="I232" s="25"/>
    </row>
    <row r="233">
      <c r="A233" s="24"/>
      <c r="B233" s="24"/>
      <c r="C233" s="25"/>
      <c r="D233" s="25"/>
      <c r="E233" s="25"/>
      <c r="F233" s="25"/>
      <c r="G233" s="25"/>
      <c r="H233" s="25"/>
      <c r="I233" s="25"/>
    </row>
    <row r="234">
      <c r="A234" s="24"/>
      <c r="B234" s="24"/>
      <c r="C234" s="25"/>
      <c r="D234" s="25"/>
      <c r="E234" s="25"/>
      <c r="F234" s="25"/>
      <c r="G234" s="25"/>
      <c r="H234" s="25"/>
      <c r="I234" s="25"/>
    </row>
    <row r="235">
      <c r="A235" s="24"/>
      <c r="B235" s="24"/>
      <c r="C235" s="25"/>
      <c r="D235" s="25"/>
      <c r="E235" s="25"/>
      <c r="F235" s="25"/>
      <c r="G235" s="25"/>
      <c r="H235" s="25"/>
      <c r="I235" s="25"/>
    </row>
    <row r="236">
      <c r="A236" s="24"/>
      <c r="B236" s="24"/>
      <c r="C236" s="25"/>
      <c r="D236" s="25"/>
      <c r="E236" s="25"/>
      <c r="F236" s="25"/>
      <c r="G236" s="25"/>
      <c r="H236" s="25"/>
      <c r="I236" s="25"/>
    </row>
    <row r="237">
      <c r="A237" s="24"/>
      <c r="B237" s="24"/>
      <c r="C237" s="25"/>
      <c r="D237" s="25"/>
      <c r="E237" s="25"/>
      <c r="F237" s="25"/>
      <c r="G237" s="25"/>
      <c r="H237" s="25"/>
      <c r="I237" s="25"/>
    </row>
    <row r="238">
      <c r="A238" s="24"/>
      <c r="B238" s="24"/>
      <c r="C238" s="25"/>
      <c r="D238" s="25"/>
      <c r="E238" s="25"/>
      <c r="F238" s="25"/>
      <c r="G238" s="25"/>
      <c r="H238" s="25"/>
      <c r="I238" s="25"/>
    </row>
    <row r="239">
      <c r="A239" s="24"/>
      <c r="B239" s="24"/>
      <c r="C239" s="25"/>
      <c r="D239" s="25"/>
      <c r="E239" s="25"/>
      <c r="F239" s="25"/>
      <c r="G239" s="25"/>
      <c r="H239" s="25"/>
      <c r="I239" s="25"/>
    </row>
    <row r="240">
      <c r="A240" s="24"/>
      <c r="B240" s="24"/>
      <c r="C240" s="25"/>
      <c r="D240" s="25"/>
      <c r="E240" s="25"/>
      <c r="F240" s="25"/>
      <c r="G240" s="25"/>
      <c r="H240" s="25"/>
      <c r="I240" s="25"/>
    </row>
    <row r="241">
      <c r="A241" s="24"/>
      <c r="B241" s="24"/>
      <c r="C241" s="25"/>
      <c r="D241" s="25"/>
      <c r="E241" s="25"/>
      <c r="F241" s="25"/>
      <c r="G241" s="25"/>
      <c r="H241" s="25"/>
      <c r="I241" s="25"/>
    </row>
    <row r="242">
      <c r="A242" s="24"/>
      <c r="B242" s="24"/>
      <c r="C242" s="25"/>
      <c r="D242" s="25"/>
      <c r="E242" s="25"/>
      <c r="F242" s="25"/>
      <c r="G242" s="25"/>
      <c r="H242" s="25"/>
      <c r="I242" s="25"/>
    </row>
    <row r="243">
      <c r="A243" s="24"/>
      <c r="B243" s="24"/>
      <c r="C243" s="25"/>
      <c r="D243" s="25"/>
      <c r="E243" s="25"/>
      <c r="F243" s="25"/>
      <c r="G243" s="25"/>
      <c r="H243" s="25"/>
      <c r="I243" s="25"/>
    </row>
    <row r="244">
      <c r="A244" s="24"/>
      <c r="B244" s="24"/>
      <c r="C244" s="25"/>
      <c r="D244" s="25"/>
      <c r="E244" s="25"/>
      <c r="F244" s="25"/>
      <c r="G244" s="25"/>
      <c r="H244" s="25"/>
      <c r="I244" s="25"/>
    </row>
    <row r="245">
      <c r="A245" s="24"/>
      <c r="B245" s="24"/>
      <c r="C245" s="25"/>
      <c r="D245" s="25"/>
      <c r="E245" s="25"/>
      <c r="F245" s="25"/>
      <c r="G245" s="25"/>
      <c r="H245" s="25"/>
      <c r="I245" s="25"/>
    </row>
    <row r="246">
      <c r="A246" s="24"/>
      <c r="B246" s="24"/>
      <c r="C246" s="25"/>
      <c r="D246" s="25"/>
      <c r="E246" s="25"/>
      <c r="F246" s="25"/>
      <c r="G246" s="25"/>
      <c r="H246" s="25"/>
      <c r="I246" s="25"/>
    </row>
    <row r="247">
      <c r="A247" s="24"/>
      <c r="B247" s="24"/>
      <c r="C247" s="25"/>
      <c r="D247" s="25"/>
      <c r="E247" s="25"/>
      <c r="F247" s="25"/>
      <c r="G247" s="25"/>
      <c r="H247" s="25"/>
      <c r="I247" s="25"/>
    </row>
    <row r="248">
      <c r="A248" s="24"/>
      <c r="B248" s="24"/>
      <c r="C248" s="25"/>
      <c r="D248" s="25"/>
      <c r="E248" s="25"/>
      <c r="F248" s="25"/>
      <c r="G248" s="25"/>
      <c r="H248" s="25"/>
      <c r="I248" s="25"/>
    </row>
    <row r="249">
      <c r="A249" s="24"/>
      <c r="B249" s="24"/>
      <c r="C249" s="25"/>
      <c r="D249" s="25"/>
      <c r="E249" s="25"/>
      <c r="F249" s="25"/>
      <c r="G249" s="25"/>
      <c r="H249" s="25"/>
      <c r="I249" s="25"/>
    </row>
    <row r="250">
      <c r="A250" s="24"/>
      <c r="B250" s="24"/>
      <c r="C250" s="25"/>
      <c r="D250" s="25"/>
      <c r="E250" s="25"/>
      <c r="F250" s="25"/>
      <c r="G250" s="25"/>
      <c r="H250" s="25"/>
      <c r="I250" s="25"/>
    </row>
    <row r="251">
      <c r="A251" s="24"/>
      <c r="B251" s="24"/>
      <c r="C251" s="25"/>
      <c r="D251" s="25"/>
      <c r="E251" s="25"/>
      <c r="F251" s="25"/>
      <c r="G251" s="25"/>
      <c r="H251" s="25"/>
      <c r="I251" s="25"/>
    </row>
    <row r="252">
      <c r="A252" s="24"/>
      <c r="B252" s="24"/>
      <c r="C252" s="25"/>
      <c r="D252" s="25"/>
      <c r="E252" s="25"/>
      <c r="F252" s="25"/>
      <c r="G252" s="25"/>
      <c r="H252" s="25"/>
      <c r="I252" s="25"/>
    </row>
    <row r="253">
      <c r="A253" s="24"/>
      <c r="B253" s="24"/>
      <c r="C253" s="25"/>
      <c r="D253" s="25"/>
      <c r="E253" s="25"/>
      <c r="F253" s="25"/>
      <c r="G253" s="25"/>
      <c r="H253" s="25"/>
      <c r="I253" s="25"/>
    </row>
    <row r="254">
      <c r="A254" s="24"/>
      <c r="B254" s="24"/>
      <c r="C254" s="25"/>
      <c r="D254" s="25"/>
      <c r="E254" s="25"/>
      <c r="F254" s="25"/>
      <c r="G254" s="25"/>
      <c r="H254" s="25"/>
      <c r="I254" s="25"/>
    </row>
    <row r="255">
      <c r="A255" s="24"/>
      <c r="B255" s="24"/>
      <c r="C255" s="25"/>
      <c r="D255" s="25"/>
      <c r="E255" s="25"/>
      <c r="F255" s="25"/>
      <c r="G255" s="25"/>
      <c r="H255" s="25"/>
      <c r="I255" s="25"/>
    </row>
    <row r="256">
      <c r="A256" s="24"/>
      <c r="B256" s="24"/>
      <c r="C256" s="25"/>
      <c r="D256" s="25"/>
      <c r="E256" s="25"/>
      <c r="F256" s="25"/>
      <c r="G256" s="25"/>
      <c r="H256" s="25"/>
      <c r="I256" s="25"/>
    </row>
    <row r="257">
      <c r="A257" s="24"/>
      <c r="B257" s="24"/>
      <c r="C257" s="25"/>
      <c r="D257" s="25"/>
      <c r="E257" s="25"/>
      <c r="F257" s="25"/>
      <c r="G257" s="25"/>
      <c r="H257" s="25"/>
      <c r="I257" s="25"/>
    </row>
    <row r="258">
      <c r="A258" s="24"/>
      <c r="B258" s="24"/>
      <c r="C258" s="25"/>
      <c r="D258" s="25"/>
      <c r="E258" s="25"/>
      <c r="F258" s="25"/>
      <c r="G258" s="25"/>
      <c r="H258" s="25"/>
      <c r="I258" s="25"/>
    </row>
    <row r="259">
      <c r="A259" s="24"/>
      <c r="B259" s="24"/>
      <c r="C259" s="25"/>
      <c r="D259" s="25"/>
      <c r="E259" s="25"/>
      <c r="F259" s="25"/>
      <c r="G259" s="25"/>
      <c r="H259" s="25"/>
      <c r="I259" s="25"/>
    </row>
    <row r="260">
      <c r="A260" s="24"/>
      <c r="B260" s="24"/>
      <c r="C260" s="25"/>
      <c r="D260" s="25"/>
      <c r="E260" s="25"/>
      <c r="F260" s="25"/>
      <c r="G260" s="25"/>
      <c r="H260" s="25"/>
      <c r="I260" s="25"/>
    </row>
    <row r="261">
      <c r="A261" s="24"/>
      <c r="B261" s="24"/>
      <c r="C261" s="25"/>
      <c r="D261" s="25"/>
      <c r="E261" s="25"/>
      <c r="F261" s="25"/>
      <c r="G261" s="25"/>
      <c r="H261" s="25"/>
      <c r="I261" s="25"/>
    </row>
    <row r="262">
      <c r="A262" s="24"/>
      <c r="B262" s="24"/>
      <c r="C262" s="25"/>
      <c r="D262" s="25"/>
      <c r="E262" s="25"/>
      <c r="F262" s="25"/>
      <c r="G262" s="25"/>
      <c r="H262" s="25"/>
      <c r="I262" s="25"/>
    </row>
    <row r="263">
      <c r="A263" s="24"/>
      <c r="B263" s="24"/>
      <c r="C263" s="25"/>
      <c r="D263" s="25"/>
      <c r="E263" s="25"/>
      <c r="F263" s="25"/>
      <c r="G263" s="25"/>
      <c r="H263" s="25"/>
      <c r="I263" s="25"/>
    </row>
    <row r="264">
      <c r="A264" s="24"/>
      <c r="B264" s="24"/>
      <c r="C264" s="25"/>
      <c r="D264" s="25"/>
      <c r="E264" s="25"/>
      <c r="F264" s="25"/>
      <c r="G264" s="25"/>
      <c r="H264" s="25"/>
      <c r="I264" s="25"/>
    </row>
    <row r="265">
      <c r="A265" s="24"/>
      <c r="B265" s="24"/>
      <c r="C265" s="25"/>
      <c r="D265" s="25"/>
      <c r="E265" s="25"/>
      <c r="F265" s="25"/>
      <c r="G265" s="25"/>
      <c r="H265" s="25"/>
      <c r="I265" s="25"/>
    </row>
    <row r="266">
      <c r="A266" s="24"/>
      <c r="B266" s="24"/>
      <c r="C266" s="25"/>
      <c r="D266" s="25"/>
      <c r="E266" s="25"/>
      <c r="F266" s="25"/>
      <c r="G266" s="25"/>
      <c r="H266" s="25"/>
      <c r="I266" s="25"/>
    </row>
    <row r="267">
      <c r="A267" s="24"/>
      <c r="B267" s="24"/>
      <c r="C267" s="25"/>
      <c r="D267" s="25"/>
      <c r="E267" s="25"/>
      <c r="F267" s="25"/>
      <c r="G267" s="25"/>
      <c r="H267" s="25"/>
      <c r="I267" s="25"/>
    </row>
    <row r="268">
      <c r="A268" s="24"/>
      <c r="B268" s="24"/>
      <c r="C268" s="25"/>
      <c r="D268" s="25"/>
      <c r="E268" s="25"/>
      <c r="F268" s="25"/>
      <c r="G268" s="25"/>
      <c r="H268" s="25"/>
      <c r="I268" s="25"/>
    </row>
    <row r="269">
      <c r="A269" s="24"/>
      <c r="B269" s="24"/>
      <c r="C269" s="25"/>
      <c r="D269" s="25"/>
      <c r="E269" s="25"/>
      <c r="F269" s="25"/>
      <c r="G269" s="25"/>
      <c r="H269" s="25"/>
      <c r="I269" s="25"/>
    </row>
    <row r="270">
      <c r="A270" s="24"/>
      <c r="B270" s="24"/>
      <c r="C270" s="25"/>
      <c r="D270" s="25"/>
      <c r="E270" s="25"/>
      <c r="F270" s="25"/>
      <c r="G270" s="25"/>
      <c r="H270" s="25"/>
      <c r="I270" s="25"/>
    </row>
    <row r="271">
      <c r="A271" s="24"/>
      <c r="B271" s="24"/>
      <c r="C271" s="25"/>
      <c r="D271" s="25"/>
      <c r="E271" s="25"/>
      <c r="F271" s="25"/>
      <c r="G271" s="25"/>
      <c r="H271" s="25"/>
      <c r="I271" s="25"/>
    </row>
    <row r="272">
      <c r="A272" s="24"/>
      <c r="B272" s="24"/>
      <c r="C272" s="25"/>
      <c r="D272" s="25"/>
      <c r="E272" s="25"/>
      <c r="F272" s="25"/>
      <c r="G272" s="25"/>
      <c r="H272" s="25"/>
      <c r="I272" s="25"/>
    </row>
    <row r="273">
      <c r="A273" s="24"/>
      <c r="B273" s="24"/>
      <c r="C273" s="25"/>
      <c r="D273" s="25"/>
      <c r="E273" s="25"/>
      <c r="F273" s="25"/>
      <c r="G273" s="25"/>
      <c r="H273" s="25"/>
      <c r="I273" s="25"/>
    </row>
    <row r="274">
      <c r="A274" s="24"/>
      <c r="B274" s="24"/>
      <c r="C274" s="25"/>
      <c r="D274" s="25"/>
      <c r="E274" s="25"/>
      <c r="F274" s="25"/>
      <c r="G274" s="25"/>
      <c r="H274" s="25"/>
      <c r="I274" s="25"/>
    </row>
    <row r="275">
      <c r="A275" s="24"/>
      <c r="B275" s="24"/>
      <c r="C275" s="25"/>
      <c r="D275" s="25"/>
      <c r="E275" s="25"/>
      <c r="F275" s="25"/>
      <c r="G275" s="25"/>
      <c r="H275" s="25"/>
      <c r="I275" s="25"/>
    </row>
    <row r="276">
      <c r="A276" s="24"/>
      <c r="B276" s="24"/>
      <c r="C276" s="25"/>
      <c r="D276" s="25"/>
      <c r="E276" s="25"/>
      <c r="F276" s="25"/>
      <c r="G276" s="25"/>
      <c r="H276" s="25"/>
      <c r="I276" s="25"/>
    </row>
    <row r="277">
      <c r="A277" s="24"/>
      <c r="B277" s="24"/>
      <c r="C277" s="25"/>
      <c r="D277" s="25"/>
      <c r="E277" s="25"/>
      <c r="F277" s="25"/>
      <c r="G277" s="25"/>
      <c r="H277" s="25"/>
      <c r="I277" s="25"/>
    </row>
    <row r="278">
      <c r="A278" s="24"/>
      <c r="B278" s="24"/>
      <c r="C278" s="25"/>
      <c r="D278" s="25"/>
      <c r="E278" s="25"/>
      <c r="F278" s="25"/>
      <c r="G278" s="25"/>
      <c r="H278" s="25"/>
      <c r="I278" s="25"/>
    </row>
    <row r="279">
      <c r="A279" s="24"/>
      <c r="B279" s="24"/>
      <c r="C279" s="25"/>
      <c r="D279" s="25"/>
      <c r="E279" s="25"/>
      <c r="F279" s="25"/>
      <c r="G279" s="25"/>
      <c r="H279" s="25"/>
      <c r="I279" s="25"/>
    </row>
    <row r="280">
      <c r="A280" s="24"/>
      <c r="B280" s="24"/>
      <c r="C280" s="25"/>
      <c r="D280" s="25"/>
      <c r="E280" s="25"/>
      <c r="F280" s="25"/>
      <c r="G280" s="25"/>
      <c r="H280" s="25"/>
      <c r="I280" s="25"/>
    </row>
    <row r="281">
      <c r="A281" s="24"/>
      <c r="B281" s="24"/>
      <c r="C281" s="25"/>
      <c r="D281" s="25"/>
      <c r="E281" s="25"/>
      <c r="F281" s="25"/>
      <c r="G281" s="25"/>
      <c r="H281" s="25"/>
      <c r="I281" s="25"/>
    </row>
    <row r="282">
      <c r="A282" s="24"/>
      <c r="B282" s="24"/>
      <c r="C282" s="25"/>
      <c r="D282" s="25"/>
      <c r="E282" s="25"/>
      <c r="F282" s="25"/>
      <c r="G282" s="25"/>
      <c r="H282" s="25"/>
      <c r="I282" s="25"/>
    </row>
    <row r="283">
      <c r="A283" s="24"/>
      <c r="B283" s="24"/>
      <c r="C283" s="25"/>
      <c r="D283" s="25"/>
      <c r="E283" s="25"/>
      <c r="F283" s="25"/>
      <c r="G283" s="25"/>
      <c r="H283" s="25"/>
      <c r="I283" s="25"/>
    </row>
    <row r="284">
      <c r="A284" s="24"/>
      <c r="B284" s="24"/>
      <c r="C284" s="25"/>
      <c r="D284" s="25"/>
      <c r="E284" s="25"/>
      <c r="F284" s="25"/>
      <c r="G284" s="25"/>
      <c r="H284" s="25"/>
      <c r="I284" s="25"/>
    </row>
    <row r="285">
      <c r="A285" s="24"/>
      <c r="B285" s="24"/>
      <c r="C285" s="25"/>
      <c r="D285" s="25"/>
      <c r="E285" s="25"/>
      <c r="F285" s="25"/>
      <c r="G285" s="25"/>
      <c r="H285" s="25"/>
      <c r="I285" s="25"/>
    </row>
    <row r="286">
      <c r="A286" s="24"/>
      <c r="B286" s="24"/>
      <c r="C286" s="25"/>
      <c r="D286" s="25"/>
      <c r="E286" s="25"/>
      <c r="F286" s="25"/>
      <c r="G286" s="25"/>
      <c r="H286" s="25"/>
      <c r="I286" s="25"/>
    </row>
    <row r="287">
      <c r="A287" s="24"/>
      <c r="B287" s="24"/>
      <c r="C287" s="25"/>
      <c r="D287" s="25"/>
      <c r="E287" s="25"/>
      <c r="F287" s="25"/>
      <c r="G287" s="25"/>
      <c r="H287" s="25"/>
      <c r="I287" s="25"/>
    </row>
    <row r="288">
      <c r="A288" s="24"/>
      <c r="B288" s="24"/>
      <c r="C288" s="25"/>
      <c r="D288" s="25"/>
      <c r="E288" s="25"/>
      <c r="F288" s="25"/>
      <c r="G288" s="25"/>
      <c r="H288" s="25"/>
      <c r="I288" s="25"/>
    </row>
    <row r="289">
      <c r="A289" s="24"/>
      <c r="B289" s="24"/>
      <c r="C289" s="25"/>
      <c r="D289" s="25"/>
      <c r="E289" s="25"/>
      <c r="F289" s="25"/>
      <c r="G289" s="25"/>
      <c r="H289" s="25"/>
      <c r="I289" s="25"/>
    </row>
    <row r="290">
      <c r="A290" s="24"/>
      <c r="B290" s="24"/>
      <c r="C290" s="25"/>
      <c r="D290" s="25"/>
      <c r="E290" s="25"/>
      <c r="F290" s="25"/>
      <c r="G290" s="25"/>
      <c r="H290" s="25"/>
      <c r="I290" s="25"/>
    </row>
    <row r="291">
      <c r="A291" s="24"/>
      <c r="B291" s="24"/>
      <c r="C291" s="25"/>
      <c r="D291" s="25"/>
      <c r="E291" s="25"/>
      <c r="F291" s="25"/>
      <c r="G291" s="25"/>
      <c r="H291" s="25"/>
      <c r="I291" s="25"/>
    </row>
    <row r="292">
      <c r="A292" s="24"/>
      <c r="B292" s="24"/>
      <c r="C292" s="25"/>
      <c r="D292" s="25"/>
      <c r="E292" s="25"/>
      <c r="F292" s="25"/>
      <c r="G292" s="25"/>
      <c r="H292" s="25"/>
      <c r="I292" s="25"/>
    </row>
    <row r="293">
      <c r="A293" s="24"/>
      <c r="B293" s="24"/>
      <c r="C293" s="25"/>
      <c r="D293" s="25"/>
      <c r="E293" s="25"/>
      <c r="F293" s="25"/>
      <c r="G293" s="25"/>
      <c r="H293" s="25"/>
      <c r="I293" s="25"/>
    </row>
    <row r="294">
      <c r="A294" s="24"/>
      <c r="B294" s="24"/>
      <c r="C294" s="25"/>
      <c r="D294" s="25"/>
      <c r="E294" s="25"/>
      <c r="F294" s="25"/>
      <c r="G294" s="25"/>
      <c r="H294" s="25"/>
      <c r="I294" s="25"/>
    </row>
    <row r="295">
      <c r="A295" s="24"/>
      <c r="B295" s="24"/>
      <c r="C295" s="25"/>
      <c r="D295" s="25"/>
      <c r="E295" s="25"/>
      <c r="F295" s="25"/>
      <c r="G295" s="25"/>
      <c r="H295" s="25"/>
      <c r="I295" s="25"/>
    </row>
    <row r="296">
      <c r="A296" s="24"/>
      <c r="B296" s="24"/>
      <c r="C296" s="25"/>
      <c r="D296" s="25"/>
      <c r="E296" s="25"/>
      <c r="F296" s="25"/>
      <c r="G296" s="25"/>
      <c r="H296" s="25"/>
      <c r="I296" s="25"/>
    </row>
    <row r="297">
      <c r="A297" s="24"/>
      <c r="B297" s="24"/>
      <c r="C297" s="25"/>
      <c r="D297" s="25"/>
      <c r="E297" s="25"/>
      <c r="F297" s="25"/>
      <c r="G297" s="25"/>
      <c r="H297" s="25"/>
      <c r="I297" s="25"/>
    </row>
    <row r="298">
      <c r="A298" s="24"/>
      <c r="B298" s="24"/>
      <c r="C298" s="25"/>
      <c r="D298" s="25"/>
      <c r="E298" s="25"/>
      <c r="F298" s="25"/>
      <c r="G298" s="25"/>
      <c r="H298" s="25"/>
      <c r="I298" s="25"/>
    </row>
    <row r="299">
      <c r="A299" s="24"/>
      <c r="B299" s="24"/>
      <c r="C299" s="25"/>
      <c r="D299" s="25"/>
      <c r="E299" s="25"/>
      <c r="F299" s="25"/>
      <c r="G299" s="25"/>
      <c r="H299" s="25"/>
      <c r="I299" s="25"/>
    </row>
    <row r="300">
      <c r="A300" s="24"/>
      <c r="B300" s="24"/>
      <c r="C300" s="25"/>
      <c r="D300" s="25"/>
      <c r="E300" s="25"/>
      <c r="F300" s="25"/>
      <c r="G300" s="25"/>
      <c r="H300" s="25"/>
      <c r="I300" s="25"/>
    </row>
    <row r="301">
      <c r="A301" s="24"/>
      <c r="B301" s="24"/>
      <c r="C301" s="25"/>
      <c r="D301" s="25"/>
      <c r="E301" s="25"/>
      <c r="F301" s="25"/>
      <c r="G301" s="25"/>
      <c r="H301" s="25"/>
      <c r="I301" s="25"/>
    </row>
    <row r="302">
      <c r="A302" s="24"/>
      <c r="B302" s="24"/>
      <c r="C302" s="25"/>
      <c r="D302" s="25"/>
      <c r="E302" s="25"/>
      <c r="F302" s="25"/>
      <c r="G302" s="25"/>
      <c r="H302" s="25"/>
      <c r="I302" s="25"/>
    </row>
    <row r="303">
      <c r="A303" s="24"/>
      <c r="B303" s="24"/>
      <c r="C303" s="25"/>
      <c r="D303" s="25"/>
      <c r="E303" s="25"/>
      <c r="F303" s="25"/>
      <c r="G303" s="25"/>
      <c r="H303" s="25"/>
      <c r="I303" s="25"/>
    </row>
    <row r="304">
      <c r="A304" s="24"/>
      <c r="B304" s="24"/>
      <c r="C304" s="25"/>
      <c r="D304" s="25"/>
      <c r="E304" s="25"/>
      <c r="F304" s="25"/>
      <c r="G304" s="25"/>
      <c r="H304" s="25"/>
      <c r="I304" s="25"/>
    </row>
    <row r="305">
      <c r="A305" s="24"/>
      <c r="B305" s="24"/>
      <c r="C305" s="25"/>
      <c r="D305" s="25"/>
      <c r="E305" s="25"/>
      <c r="F305" s="25"/>
      <c r="G305" s="25"/>
      <c r="H305" s="25"/>
      <c r="I305" s="25"/>
    </row>
    <row r="306">
      <c r="A306" s="24"/>
      <c r="B306" s="24"/>
      <c r="C306" s="25"/>
      <c r="D306" s="25"/>
      <c r="E306" s="25"/>
      <c r="F306" s="25"/>
      <c r="G306" s="25"/>
      <c r="H306" s="25"/>
      <c r="I306" s="25"/>
    </row>
    <row r="307">
      <c r="A307" s="24"/>
      <c r="B307" s="24"/>
      <c r="C307" s="25"/>
      <c r="D307" s="25"/>
      <c r="E307" s="25"/>
      <c r="F307" s="25"/>
      <c r="G307" s="25"/>
      <c r="H307" s="25"/>
      <c r="I307" s="25"/>
    </row>
    <row r="308">
      <c r="A308" s="24"/>
      <c r="B308" s="24"/>
      <c r="C308" s="25"/>
      <c r="D308" s="25"/>
      <c r="E308" s="25"/>
      <c r="F308" s="25"/>
      <c r="G308" s="25"/>
      <c r="H308" s="25"/>
      <c r="I308" s="25"/>
    </row>
    <row r="309">
      <c r="A309" s="24"/>
      <c r="B309" s="24"/>
      <c r="C309" s="25"/>
      <c r="D309" s="25"/>
      <c r="E309" s="25"/>
      <c r="F309" s="25"/>
      <c r="G309" s="25"/>
      <c r="H309" s="25"/>
      <c r="I309" s="25"/>
    </row>
    <row r="310">
      <c r="A310" s="24"/>
      <c r="B310" s="24"/>
      <c r="C310" s="25"/>
      <c r="D310" s="25"/>
      <c r="E310" s="25"/>
      <c r="F310" s="25"/>
      <c r="G310" s="25"/>
      <c r="H310" s="25"/>
      <c r="I310" s="25"/>
    </row>
    <row r="311">
      <c r="A311" s="24"/>
      <c r="B311" s="24"/>
      <c r="C311" s="25"/>
      <c r="D311" s="25"/>
      <c r="E311" s="25"/>
      <c r="F311" s="25"/>
      <c r="G311" s="25"/>
      <c r="H311" s="25"/>
      <c r="I311" s="25"/>
    </row>
    <row r="312">
      <c r="A312" s="24"/>
      <c r="B312" s="24"/>
      <c r="C312" s="25"/>
      <c r="D312" s="25"/>
      <c r="E312" s="25"/>
      <c r="F312" s="25"/>
      <c r="G312" s="25"/>
      <c r="H312" s="25"/>
      <c r="I312" s="25"/>
    </row>
    <row r="313">
      <c r="A313" s="24"/>
      <c r="B313" s="24"/>
      <c r="C313" s="25"/>
      <c r="D313" s="25"/>
      <c r="E313" s="25"/>
      <c r="F313" s="25"/>
      <c r="G313" s="25"/>
      <c r="H313" s="25"/>
      <c r="I313" s="25"/>
    </row>
    <row r="314">
      <c r="A314" s="24"/>
      <c r="B314" s="24"/>
      <c r="C314" s="25"/>
      <c r="D314" s="25"/>
      <c r="E314" s="25"/>
      <c r="F314" s="25"/>
      <c r="G314" s="25"/>
      <c r="H314" s="25"/>
      <c r="I314" s="25"/>
    </row>
    <row r="315">
      <c r="A315" s="24"/>
      <c r="B315" s="24"/>
      <c r="C315" s="25"/>
      <c r="D315" s="25"/>
      <c r="E315" s="25"/>
      <c r="F315" s="25"/>
      <c r="G315" s="25"/>
      <c r="H315" s="25"/>
      <c r="I315" s="25"/>
    </row>
    <row r="316">
      <c r="A316" s="24"/>
      <c r="B316" s="24"/>
      <c r="C316" s="25"/>
      <c r="D316" s="25"/>
      <c r="E316" s="25"/>
      <c r="F316" s="25"/>
      <c r="G316" s="25"/>
      <c r="H316" s="25"/>
      <c r="I316" s="25"/>
    </row>
    <row r="317">
      <c r="A317" s="24"/>
      <c r="B317" s="24"/>
      <c r="C317" s="25"/>
      <c r="D317" s="25"/>
      <c r="E317" s="25"/>
      <c r="F317" s="25"/>
      <c r="G317" s="25"/>
      <c r="H317" s="25"/>
      <c r="I317" s="25"/>
    </row>
    <row r="318">
      <c r="A318" s="24"/>
      <c r="B318" s="24"/>
      <c r="C318" s="25"/>
      <c r="D318" s="25"/>
      <c r="E318" s="25"/>
      <c r="F318" s="25"/>
      <c r="G318" s="25"/>
      <c r="H318" s="25"/>
      <c r="I318" s="25"/>
    </row>
    <row r="319">
      <c r="A319" s="24"/>
      <c r="B319" s="24"/>
      <c r="C319" s="25"/>
      <c r="D319" s="25"/>
      <c r="E319" s="25"/>
      <c r="F319" s="25"/>
      <c r="G319" s="25"/>
      <c r="H319" s="25"/>
      <c r="I319" s="25"/>
    </row>
    <row r="320">
      <c r="A320" s="24"/>
      <c r="B320" s="24"/>
      <c r="C320" s="25"/>
      <c r="D320" s="25"/>
      <c r="E320" s="25"/>
      <c r="F320" s="25"/>
      <c r="G320" s="25"/>
      <c r="H320" s="25"/>
      <c r="I320" s="25"/>
    </row>
    <row r="321">
      <c r="A321" s="24"/>
      <c r="B321" s="24"/>
      <c r="C321" s="25"/>
      <c r="D321" s="25"/>
      <c r="E321" s="25"/>
      <c r="F321" s="25"/>
      <c r="G321" s="25"/>
      <c r="H321" s="25"/>
      <c r="I321" s="25"/>
    </row>
    <row r="322">
      <c r="A322" s="24"/>
      <c r="B322" s="24"/>
      <c r="C322" s="25"/>
      <c r="D322" s="25"/>
      <c r="E322" s="25"/>
      <c r="F322" s="25"/>
      <c r="G322" s="25"/>
      <c r="H322" s="25"/>
      <c r="I322" s="25"/>
    </row>
    <row r="323">
      <c r="A323" s="24"/>
      <c r="B323" s="24"/>
      <c r="C323" s="25"/>
      <c r="D323" s="25"/>
      <c r="E323" s="25"/>
      <c r="F323" s="25"/>
      <c r="G323" s="25"/>
      <c r="H323" s="25"/>
      <c r="I323" s="25"/>
    </row>
    <row r="324">
      <c r="A324" s="24"/>
      <c r="B324" s="24"/>
      <c r="C324" s="25"/>
      <c r="D324" s="25"/>
      <c r="E324" s="25"/>
      <c r="F324" s="25"/>
      <c r="G324" s="25"/>
      <c r="H324" s="25"/>
      <c r="I324" s="25"/>
    </row>
    <row r="325">
      <c r="A325" s="24"/>
      <c r="B325" s="24"/>
      <c r="C325" s="25"/>
      <c r="D325" s="25"/>
      <c r="E325" s="25"/>
      <c r="F325" s="25"/>
      <c r="G325" s="25"/>
      <c r="H325" s="25"/>
      <c r="I325" s="25"/>
    </row>
    <row r="326">
      <c r="A326" s="24"/>
      <c r="B326" s="24"/>
      <c r="C326" s="25"/>
      <c r="D326" s="25"/>
      <c r="E326" s="25"/>
      <c r="F326" s="25"/>
      <c r="G326" s="25"/>
      <c r="H326" s="25"/>
      <c r="I326" s="25"/>
    </row>
    <row r="327">
      <c r="A327" s="24"/>
      <c r="B327" s="24"/>
      <c r="C327" s="25"/>
      <c r="D327" s="25"/>
      <c r="E327" s="25"/>
      <c r="F327" s="25"/>
      <c r="G327" s="25"/>
      <c r="H327" s="25"/>
      <c r="I327" s="25"/>
    </row>
    <row r="328">
      <c r="A328" s="24"/>
      <c r="B328" s="24"/>
      <c r="C328" s="25"/>
      <c r="D328" s="25"/>
      <c r="E328" s="25"/>
      <c r="F328" s="25"/>
      <c r="G328" s="25"/>
      <c r="H328" s="25"/>
      <c r="I328" s="25"/>
    </row>
    <row r="329">
      <c r="A329" s="24"/>
      <c r="B329" s="24"/>
      <c r="C329" s="25"/>
      <c r="D329" s="25"/>
      <c r="E329" s="25"/>
      <c r="F329" s="25"/>
      <c r="G329" s="25"/>
      <c r="H329" s="25"/>
      <c r="I329" s="25"/>
    </row>
    <row r="330">
      <c r="A330" s="24"/>
      <c r="B330" s="24"/>
      <c r="C330" s="25"/>
      <c r="D330" s="25"/>
      <c r="E330" s="25"/>
      <c r="F330" s="25"/>
      <c r="G330" s="25"/>
      <c r="H330" s="25"/>
      <c r="I330" s="25"/>
    </row>
    <row r="331">
      <c r="A331" s="24"/>
      <c r="B331" s="24"/>
      <c r="C331" s="25"/>
      <c r="D331" s="25"/>
      <c r="E331" s="25"/>
      <c r="F331" s="25"/>
      <c r="G331" s="25"/>
      <c r="H331" s="25"/>
      <c r="I331" s="25"/>
    </row>
    <row r="332">
      <c r="A332" s="24"/>
      <c r="B332" s="24"/>
      <c r="C332" s="25"/>
      <c r="D332" s="25"/>
      <c r="E332" s="25"/>
      <c r="F332" s="25"/>
      <c r="G332" s="25"/>
      <c r="H332" s="25"/>
      <c r="I332" s="25"/>
    </row>
    <row r="333">
      <c r="A333" s="24"/>
      <c r="B333" s="24"/>
      <c r="C333" s="25"/>
      <c r="D333" s="25"/>
      <c r="E333" s="25"/>
      <c r="F333" s="25"/>
      <c r="G333" s="25"/>
      <c r="H333" s="25"/>
      <c r="I333" s="25"/>
    </row>
    <row r="334">
      <c r="A334" s="24"/>
      <c r="B334" s="24"/>
      <c r="C334" s="25"/>
      <c r="D334" s="25"/>
      <c r="E334" s="25"/>
      <c r="F334" s="25"/>
      <c r="G334" s="25"/>
      <c r="H334" s="25"/>
      <c r="I334" s="25"/>
    </row>
    <row r="335">
      <c r="A335" s="24"/>
      <c r="B335" s="24"/>
      <c r="C335" s="25"/>
      <c r="D335" s="25"/>
      <c r="E335" s="25"/>
      <c r="F335" s="25"/>
      <c r="G335" s="25"/>
      <c r="H335" s="25"/>
      <c r="I335" s="25"/>
    </row>
    <row r="336">
      <c r="A336" s="24"/>
      <c r="B336" s="24"/>
      <c r="C336" s="25"/>
      <c r="D336" s="25"/>
      <c r="E336" s="25"/>
      <c r="F336" s="25"/>
      <c r="G336" s="25"/>
      <c r="H336" s="25"/>
      <c r="I336" s="25"/>
    </row>
    <row r="337">
      <c r="A337" s="24"/>
      <c r="B337" s="24"/>
      <c r="C337" s="25"/>
      <c r="D337" s="25"/>
      <c r="E337" s="25"/>
      <c r="F337" s="25"/>
      <c r="G337" s="25"/>
      <c r="H337" s="25"/>
      <c r="I337" s="25"/>
    </row>
    <row r="338">
      <c r="A338" s="24"/>
      <c r="B338" s="24"/>
      <c r="C338" s="25"/>
      <c r="D338" s="25"/>
      <c r="E338" s="25"/>
      <c r="F338" s="25"/>
      <c r="G338" s="25"/>
      <c r="H338" s="25"/>
      <c r="I338" s="25"/>
    </row>
    <row r="339">
      <c r="A339" s="24"/>
      <c r="B339" s="24"/>
      <c r="C339" s="25"/>
      <c r="D339" s="25"/>
      <c r="E339" s="25"/>
      <c r="F339" s="25"/>
      <c r="G339" s="25"/>
      <c r="H339" s="25"/>
      <c r="I339" s="25"/>
    </row>
    <row r="340">
      <c r="A340" s="24"/>
      <c r="B340" s="24"/>
      <c r="C340" s="25"/>
      <c r="D340" s="25"/>
      <c r="E340" s="25"/>
      <c r="F340" s="25"/>
      <c r="G340" s="25"/>
      <c r="H340" s="25"/>
      <c r="I340" s="25"/>
    </row>
    <row r="341">
      <c r="A341" s="24"/>
      <c r="B341" s="24"/>
      <c r="C341" s="25"/>
      <c r="D341" s="25"/>
      <c r="E341" s="25"/>
      <c r="F341" s="25"/>
      <c r="G341" s="25"/>
      <c r="H341" s="25"/>
      <c r="I341" s="25"/>
    </row>
    <row r="342">
      <c r="A342" s="24"/>
      <c r="B342" s="24"/>
      <c r="C342" s="25"/>
      <c r="D342" s="25"/>
      <c r="E342" s="25"/>
      <c r="F342" s="25"/>
      <c r="G342" s="25"/>
      <c r="H342" s="25"/>
      <c r="I342" s="25"/>
    </row>
    <row r="343">
      <c r="A343" s="24"/>
      <c r="B343" s="24"/>
      <c r="C343" s="25"/>
      <c r="D343" s="25"/>
      <c r="E343" s="25"/>
      <c r="F343" s="25"/>
      <c r="G343" s="25"/>
      <c r="H343" s="25"/>
      <c r="I343" s="25"/>
    </row>
    <row r="344">
      <c r="A344" s="24"/>
      <c r="B344" s="24"/>
      <c r="C344" s="25"/>
      <c r="D344" s="25"/>
      <c r="E344" s="25"/>
      <c r="F344" s="25"/>
      <c r="G344" s="25"/>
      <c r="H344" s="25"/>
      <c r="I344" s="25"/>
    </row>
    <row r="345">
      <c r="A345" s="24"/>
      <c r="B345" s="24"/>
      <c r="C345" s="25"/>
      <c r="D345" s="25"/>
      <c r="E345" s="25"/>
      <c r="F345" s="25"/>
      <c r="G345" s="25"/>
      <c r="H345" s="25"/>
      <c r="I345" s="25"/>
    </row>
    <row r="346">
      <c r="A346" s="24"/>
      <c r="B346" s="24"/>
      <c r="C346" s="25"/>
      <c r="D346" s="25"/>
      <c r="E346" s="25"/>
      <c r="F346" s="25"/>
      <c r="G346" s="25"/>
      <c r="H346" s="25"/>
      <c r="I346" s="25"/>
    </row>
    <row r="347">
      <c r="A347" s="24"/>
      <c r="B347" s="24"/>
      <c r="C347" s="25"/>
      <c r="D347" s="25"/>
      <c r="E347" s="25"/>
      <c r="F347" s="25"/>
      <c r="G347" s="25"/>
      <c r="H347" s="25"/>
      <c r="I347" s="25"/>
    </row>
    <row r="348">
      <c r="A348" s="24"/>
      <c r="B348" s="24"/>
      <c r="C348" s="25"/>
      <c r="D348" s="25"/>
      <c r="E348" s="25"/>
      <c r="F348" s="25"/>
      <c r="G348" s="25"/>
      <c r="H348" s="25"/>
      <c r="I348" s="25"/>
    </row>
    <row r="349">
      <c r="A349" s="24"/>
      <c r="B349" s="24"/>
      <c r="C349" s="25"/>
      <c r="D349" s="25"/>
      <c r="E349" s="25"/>
      <c r="F349" s="25"/>
      <c r="G349" s="25"/>
      <c r="H349" s="25"/>
      <c r="I349" s="25"/>
    </row>
    <row r="350">
      <c r="A350" s="24"/>
      <c r="B350" s="24"/>
      <c r="C350" s="25"/>
      <c r="D350" s="25"/>
      <c r="E350" s="25"/>
      <c r="F350" s="25"/>
      <c r="G350" s="25"/>
      <c r="H350" s="25"/>
      <c r="I350" s="25"/>
    </row>
    <row r="351">
      <c r="A351" s="24"/>
      <c r="B351" s="24"/>
      <c r="C351" s="25"/>
      <c r="D351" s="25"/>
      <c r="E351" s="25"/>
      <c r="F351" s="25"/>
      <c r="G351" s="25"/>
      <c r="H351" s="25"/>
      <c r="I351" s="25"/>
    </row>
    <row r="352">
      <c r="A352" s="24"/>
      <c r="B352" s="24"/>
      <c r="C352" s="25"/>
      <c r="D352" s="25"/>
      <c r="E352" s="25"/>
      <c r="F352" s="25"/>
      <c r="G352" s="25"/>
      <c r="H352" s="25"/>
      <c r="I352" s="25"/>
    </row>
    <row r="353">
      <c r="A353" s="24"/>
      <c r="B353" s="24"/>
      <c r="C353" s="25"/>
      <c r="D353" s="25"/>
      <c r="E353" s="25"/>
      <c r="F353" s="25"/>
      <c r="G353" s="25"/>
      <c r="H353" s="25"/>
      <c r="I353" s="25"/>
    </row>
    <row r="354">
      <c r="A354" s="24"/>
      <c r="B354" s="24"/>
      <c r="C354" s="25"/>
      <c r="D354" s="25"/>
      <c r="E354" s="25"/>
      <c r="F354" s="25"/>
      <c r="G354" s="25"/>
      <c r="H354" s="25"/>
      <c r="I354" s="25"/>
    </row>
    <row r="355">
      <c r="A355" s="24"/>
      <c r="B355" s="24"/>
      <c r="C355" s="25"/>
      <c r="D355" s="25"/>
      <c r="E355" s="25"/>
      <c r="F355" s="25"/>
      <c r="G355" s="25"/>
      <c r="H355" s="25"/>
      <c r="I355" s="25"/>
    </row>
    <row r="356">
      <c r="A356" s="24"/>
      <c r="B356" s="24"/>
      <c r="C356" s="25"/>
      <c r="D356" s="25"/>
      <c r="E356" s="25"/>
      <c r="F356" s="25"/>
      <c r="G356" s="25"/>
      <c r="H356" s="25"/>
      <c r="I356" s="25"/>
    </row>
    <row r="357">
      <c r="A357" s="24"/>
      <c r="B357" s="24"/>
      <c r="C357" s="25"/>
      <c r="D357" s="25"/>
      <c r="E357" s="25"/>
      <c r="F357" s="25"/>
      <c r="G357" s="25"/>
      <c r="H357" s="25"/>
      <c r="I357" s="25"/>
    </row>
    <row r="358">
      <c r="A358" s="24"/>
      <c r="B358" s="24"/>
      <c r="C358" s="25"/>
      <c r="D358" s="25"/>
      <c r="E358" s="25"/>
      <c r="F358" s="25"/>
      <c r="G358" s="25"/>
      <c r="H358" s="25"/>
      <c r="I358" s="25"/>
    </row>
    <row r="359">
      <c r="A359" s="24"/>
      <c r="B359" s="24"/>
      <c r="C359" s="25"/>
      <c r="D359" s="25"/>
      <c r="E359" s="25"/>
      <c r="F359" s="25"/>
      <c r="G359" s="25"/>
      <c r="H359" s="25"/>
      <c r="I359" s="25"/>
    </row>
    <row r="360">
      <c r="A360" s="24"/>
      <c r="B360" s="24"/>
      <c r="C360" s="25"/>
      <c r="D360" s="25"/>
      <c r="E360" s="25"/>
      <c r="F360" s="25"/>
      <c r="G360" s="25"/>
      <c r="H360" s="25"/>
      <c r="I360" s="25"/>
    </row>
    <row r="361">
      <c r="A361" s="24"/>
      <c r="B361" s="24"/>
      <c r="C361" s="25"/>
      <c r="D361" s="25"/>
      <c r="E361" s="25"/>
      <c r="F361" s="25"/>
      <c r="G361" s="25"/>
      <c r="H361" s="25"/>
      <c r="I361" s="25"/>
    </row>
    <row r="362">
      <c r="A362" s="24"/>
      <c r="B362" s="24"/>
      <c r="C362" s="25"/>
      <c r="D362" s="25"/>
      <c r="E362" s="25"/>
      <c r="F362" s="25"/>
      <c r="G362" s="25"/>
      <c r="H362" s="25"/>
      <c r="I362" s="25"/>
    </row>
    <row r="363">
      <c r="A363" s="24"/>
      <c r="B363" s="24"/>
      <c r="C363" s="25"/>
      <c r="D363" s="25"/>
      <c r="E363" s="25"/>
      <c r="F363" s="25"/>
      <c r="G363" s="25"/>
      <c r="H363" s="25"/>
      <c r="I363" s="25"/>
    </row>
    <row r="364">
      <c r="A364" s="24"/>
      <c r="B364" s="24"/>
      <c r="C364" s="25"/>
      <c r="D364" s="25"/>
      <c r="E364" s="25"/>
      <c r="F364" s="25"/>
      <c r="G364" s="25"/>
      <c r="H364" s="25"/>
      <c r="I364" s="25"/>
    </row>
    <row r="365">
      <c r="A365" s="24"/>
      <c r="B365" s="24"/>
      <c r="C365" s="25"/>
      <c r="D365" s="25"/>
      <c r="E365" s="25"/>
      <c r="F365" s="25"/>
      <c r="G365" s="25"/>
      <c r="H365" s="25"/>
      <c r="I365" s="25"/>
    </row>
    <row r="366">
      <c r="A366" s="24"/>
      <c r="B366" s="24"/>
      <c r="C366" s="25"/>
      <c r="D366" s="25"/>
      <c r="E366" s="25"/>
      <c r="F366" s="25"/>
      <c r="G366" s="25"/>
      <c r="H366" s="25"/>
      <c r="I366" s="25"/>
    </row>
    <row r="367">
      <c r="A367" s="24"/>
      <c r="B367" s="24"/>
      <c r="C367" s="25"/>
      <c r="D367" s="25"/>
      <c r="E367" s="25"/>
      <c r="F367" s="25"/>
      <c r="G367" s="25"/>
      <c r="H367" s="25"/>
      <c r="I367" s="25"/>
    </row>
    <row r="368">
      <c r="A368" s="24"/>
      <c r="B368" s="24"/>
      <c r="C368" s="25"/>
      <c r="D368" s="25"/>
      <c r="E368" s="25"/>
      <c r="F368" s="25"/>
      <c r="G368" s="25"/>
      <c r="H368" s="25"/>
      <c r="I368" s="25"/>
    </row>
    <row r="369">
      <c r="A369" s="24"/>
      <c r="B369" s="24"/>
      <c r="C369" s="25"/>
      <c r="D369" s="25"/>
      <c r="E369" s="25"/>
      <c r="F369" s="25"/>
      <c r="G369" s="25"/>
      <c r="H369" s="25"/>
      <c r="I369" s="25"/>
    </row>
    <row r="370">
      <c r="A370" s="24"/>
      <c r="B370" s="24"/>
      <c r="C370" s="25"/>
      <c r="D370" s="25"/>
      <c r="E370" s="25"/>
      <c r="F370" s="25"/>
      <c r="G370" s="25"/>
      <c r="H370" s="25"/>
      <c r="I370" s="25"/>
    </row>
    <row r="371">
      <c r="A371" s="24"/>
      <c r="B371" s="24"/>
      <c r="C371" s="25"/>
      <c r="D371" s="25"/>
      <c r="E371" s="25"/>
      <c r="F371" s="25"/>
      <c r="G371" s="25"/>
      <c r="H371" s="25"/>
      <c r="I371" s="25"/>
    </row>
    <row r="372">
      <c r="A372" s="24"/>
      <c r="B372" s="24"/>
      <c r="C372" s="25"/>
      <c r="D372" s="25"/>
      <c r="E372" s="25"/>
      <c r="F372" s="25"/>
      <c r="G372" s="25"/>
      <c r="H372" s="25"/>
      <c r="I372" s="25"/>
    </row>
    <row r="373">
      <c r="A373" s="24"/>
      <c r="B373" s="24"/>
      <c r="C373" s="25"/>
      <c r="D373" s="25"/>
      <c r="E373" s="25"/>
      <c r="F373" s="25"/>
      <c r="G373" s="25"/>
      <c r="H373" s="25"/>
      <c r="I373" s="25"/>
    </row>
    <row r="374">
      <c r="A374" s="24"/>
      <c r="B374" s="24"/>
      <c r="C374" s="25"/>
      <c r="D374" s="25"/>
      <c r="E374" s="25"/>
      <c r="F374" s="25"/>
      <c r="G374" s="25"/>
      <c r="H374" s="25"/>
      <c r="I374" s="25"/>
    </row>
    <row r="375">
      <c r="A375" s="24"/>
      <c r="B375" s="24"/>
      <c r="C375" s="25"/>
      <c r="D375" s="25"/>
      <c r="E375" s="25"/>
      <c r="F375" s="25"/>
      <c r="G375" s="25"/>
      <c r="H375" s="25"/>
      <c r="I375" s="25"/>
    </row>
    <row r="376">
      <c r="A376" s="24"/>
      <c r="B376" s="24"/>
      <c r="C376" s="25"/>
      <c r="D376" s="25"/>
      <c r="E376" s="25"/>
      <c r="F376" s="25"/>
      <c r="G376" s="25"/>
      <c r="H376" s="25"/>
      <c r="I376" s="25"/>
    </row>
    <row r="377">
      <c r="A377" s="24"/>
      <c r="B377" s="24"/>
      <c r="C377" s="25"/>
      <c r="D377" s="25"/>
      <c r="E377" s="25"/>
      <c r="F377" s="25"/>
      <c r="G377" s="25"/>
      <c r="H377" s="25"/>
      <c r="I377" s="25"/>
    </row>
    <row r="378">
      <c r="A378" s="24"/>
      <c r="B378" s="24"/>
      <c r="C378" s="25"/>
      <c r="D378" s="25"/>
      <c r="E378" s="25"/>
      <c r="F378" s="25"/>
      <c r="G378" s="25"/>
      <c r="H378" s="25"/>
      <c r="I378" s="25"/>
    </row>
    <row r="379">
      <c r="A379" s="24"/>
      <c r="B379" s="24"/>
      <c r="C379" s="25"/>
      <c r="D379" s="25"/>
      <c r="E379" s="25"/>
      <c r="F379" s="25"/>
      <c r="G379" s="25"/>
      <c r="H379" s="25"/>
      <c r="I379" s="25"/>
    </row>
    <row r="380">
      <c r="A380" s="24"/>
      <c r="B380" s="24"/>
      <c r="C380" s="25"/>
      <c r="D380" s="25"/>
      <c r="E380" s="25"/>
      <c r="F380" s="25"/>
      <c r="G380" s="25"/>
      <c r="H380" s="25"/>
      <c r="I380" s="25"/>
    </row>
    <row r="381">
      <c r="A381" s="24"/>
      <c r="B381" s="24"/>
      <c r="C381" s="25"/>
      <c r="D381" s="25"/>
      <c r="E381" s="25"/>
      <c r="F381" s="25"/>
      <c r="G381" s="25"/>
      <c r="H381" s="25"/>
      <c r="I381" s="25"/>
    </row>
    <row r="382">
      <c r="A382" s="24"/>
      <c r="B382" s="24"/>
      <c r="C382" s="25"/>
      <c r="D382" s="25"/>
      <c r="E382" s="25"/>
      <c r="F382" s="25"/>
      <c r="G382" s="25"/>
      <c r="H382" s="25"/>
      <c r="I382" s="25"/>
    </row>
    <row r="383">
      <c r="A383" s="24"/>
      <c r="B383" s="24"/>
      <c r="C383" s="25"/>
      <c r="D383" s="25"/>
      <c r="E383" s="25"/>
      <c r="F383" s="25"/>
      <c r="G383" s="25"/>
      <c r="H383" s="25"/>
      <c r="I383" s="25"/>
    </row>
    <row r="384">
      <c r="A384" s="24"/>
      <c r="B384" s="24"/>
      <c r="C384" s="25"/>
      <c r="D384" s="25"/>
      <c r="E384" s="25"/>
      <c r="F384" s="25"/>
      <c r="G384" s="25"/>
      <c r="H384" s="25"/>
      <c r="I384" s="25"/>
    </row>
    <row r="385">
      <c r="A385" s="24"/>
      <c r="B385" s="24"/>
      <c r="C385" s="25"/>
      <c r="D385" s="25"/>
      <c r="E385" s="25"/>
      <c r="F385" s="25"/>
      <c r="G385" s="25"/>
      <c r="H385" s="25"/>
      <c r="I385" s="25"/>
    </row>
    <row r="386">
      <c r="A386" s="24"/>
      <c r="B386" s="24"/>
      <c r="C386" s="25"/>
      <c r="D386" s="25"/>
      <c r="E386" s="25"/>
      <c r="F386" s="25"/>
      <c r="G386" s="25"/>
      <c r="H386" s="25"/>
      <c r="I386" s="25"/>
    </row>
    <row r="387">
      <c r="A387" s="24"/>
      <c r="B387" s="24"/>
      <c r="C387" s="25"/>
      <c r="D387" s="25"/>
      <c r="E387" s="25"/>
      <c r="F387" s="25"/>
      <c r="G387" s="25"/>
      <c r="H387" s="25"/>
      <c r="I387" s="25"/>
    </row>
    <row r="388">
      <c r="A388" s="24"/>
      <c r="B388" s="24"/>
      <c r="C388" s="25"/>
      <c r="D388" s="25"/>
      <c r="E388" s="25"/>
      <c r="F388" s="25"/>
      <c r="G388" s="25"/>
      <c r="H388" s="25"/>
      <c r="I388" s="25"/>
    </row>
    <row r="389">
      <c r="A389" s="24"/>
      <c r="B389" s="24"/>
      <c r="C389" s="25"/>
      <c r="D389" s="25"/>
      <c r="E389" s="25"/>
      <c r="F389" s="25"/>
      <c r="G389" s="25"/>
      <c r="H389" s="25"/>
      <c r="I389" s="25"/>
    </row>
    <row r="390">
      <c r="A390" s="24"/>
      <c r="B390" s="24"/>
      <c r="C390" s="25"/>
      <c r="D390" s="25"/>
      <c r="E390" s="25"/>
      <c r="F390" s="25"/>
      <c r="G390" s="25"/>
      <c r="H390" s="25"/>
      <c r="I390" s="25"/>
    </row>
    <row r="391">
      <c r="A391" s="24"/>
      <c r="B391" s="24"/>
      <c r="C391" s="25"/>
      <c r="D391" s="25"/>
      <c r="E391" s="25"/>
      <c r="F391" s="25"/>
      <c r="G391" s="25"/>
      <c r="H391" s="25"/>
      <c r="I391" s="25"/>
    </row>
    <row r="392">
      <c r="A392" s="24"/>
      <c r="B392" s="24"/>
      <c r="C392" s="25"/>
      <c r="D392" s="25"/>
      <c r="E392" s="25"/>
      <c r="F392" s="25"/>
      <c r="G392" s="25"/>
      <c r="H392" s="25"/>
      <c r="I392" s="25"/>
    </row>
    <row r="393">
      <c r="A393" s="24"/>
      <c r="B393" s="24"/>
      <c r="C393" s="25"/>
      <c r="D393" s="25"/>
      <c r="E393" s="25"/>
      <c r="F393" s="25"/>
      <c r="G393" s="25"/>
      <c r="H393" s="25"/>
      <c r="I393" s="25"/>
    </row>
    <row r="394">
      <c r="A394" s="24"/>
      <c r="B394" s="24"/>
      <c r="C394" s="25"/>
      <c r="D394" s="25"/>
      <c r="E394" s="25"/>
      <c r="F394" s="25"/>
      <c r="G394" s="25"/>
      <c r="H394" s="25"/>
      <c r="I394" s="25"/>
    </row>
    <row r="395">
      <c r="A395" s="24"/>
      <c r="B395" s="24"/>
      <c r="C395" s="25"/>
      <c r="D395" s="25"/>
      <c r="E395" s="25"/>
      <c r="F395" s="25"/>
      <c r="G395" s="25"/>
      <c r="H395" s="25"/>
      <c r="I395" s="25"/>
    </row>
    <row r="396">
      <c r="A396" s="24"/>
      <c r="B396" s="24"/>
      <c r="C396" s="25"/>
      <c r="D396" s="25"/>
      <c r="E396" s="25"/>
      <c r="F396" s="25"/>
      <c r="G396" s="25"/>
      <c r="H396" s="25"/>
      <c r="I396" s="25"/>
    </row>
    <row r="397">
      <c r="A397" s="24"/>
      <c r="B397" s="24"/>
      <c r="C397" s="25"/>
      <c r="D397" s="25"/>
      <c r="E397" s="25"/>
      <c r="F397" s="25"/>
      <c r="G397" s="25"/>
      <c r="H397" s="25"/>
      <c r="I397" s="25"/>
    </row>
    <row r="398">
      <c r="A398" s="24"/>
      <c r="B398" s="24"/>
      <c r="C398" s="25"/>
      <c r="D398" s="25"/>
      <c r="E398" s="25"/>
      <c r="F398" s="25"/>
      <c r="G398" s="25"/>
      <c r="H398" s="25"/>
      <c r="I398" s="25"/>
    </row>
    <row r="399">
      <c r="A399" s="24"/>
      <c r="B399" s="24"/>
      <c r="C399" s="25"/>
      <c r="D399" s="25"/>
      <c r="E399" s="25"/>
      <c r="F399" s="25"/>
      <c r="G399" s="25"/>
      <c r="H399" s="25"/>
      <c r="I399" s="25"/>
    </row>
    <row r="400">
      <c r="A400" s="24"/>
      <c r="B400" s="24"/>
      <c r="C400" s="25"/>
      <c r="D400" s="25"/>
      <c r="E400" s="25"/>
      <c r="F400" s="25"/>
      <c r="G400" s="25"/>
      <c r="H400" s="25"/>
      <c r="I400" s="25"/>
    </row>
    <row r="401">
      <c r="A401" s="24"/>
      <c r="B401" s="24"/>
      <c r="C401" s="25"/>
      <c r="D401" s="25"/>
      <c r="E401" s="25"/>
      <c r="F401" s="25"/>
      <c r="G401" s="25"/>
      <c r="H401" s="25"/>
      <c r="I401" s="25"/>
    </row>
    <row r="402">
      <c r="A402" s="24"/>
      <c r="B402" s="24"/>
      <c r="C402" s="25"/>
      <c r="D402" s="25"/>
      <c r="E402" s="25"/>
      <c r="F402" s="25"/>
      <c r="G402" s="25"/>
      <c r="H402" s="25"/>
      <c r="I402" s="25"/>
    </row>
    <row r="403">
      <c r="A403" s="24"/>
      <c r="B403" s="24"/>
      <c r="C403" s="25"/>
      <c r="D403" s="25"/>
      <c r="E403" s="25"/>
      <c r="F403" s="25"/>
      <c r="G403" s="25"/>
      <c r="H403" s="25"/>
      <c r="I403" s="25"/>
    </row>
    <row r="404">
      <c r="A404" s="24"/>
      <c r="B404" s="24"/>
      <c r="C404" s="25"/>
      <c r="D404" s="25"/>
      <c r="E404" s="25"/>
      <c r="F404" s="25"/>
      <c r="G404" s="25"/>
      <c r="H404" s="25"/>
      <c r="I404" s="25"/>
    </row>
    <row r="405">
      <c r="A405" s="24"/>
      <c r="B405" s="24"/>
      <c r="C405" s="25"/>
      <c r="D405" s="25"/>
      <c r="E405" s="25"/>
      <c r="F405" s="25"/>
      <c r="G405" s="25"/>
      <c r="H405" s="25"/>
      <c r="I405" s="25"/>
    </row>
    <row r="406">
      <c r="A406" s="24"/>
      <c r="B406" s="24"/>
      <c r="C406" s="25"/>
      <c r="D406" s="25"/>
      <c r="E406" s="25"/>
      <c r="F406" s="25"/>
      <c r="G406" s="25"/>
      <c r="H406" s="25"/>
      <c r="I406" s="25"/>
    </row>
    <row r="407">
      <c r="A407" s="24"/>
      <c r="B407" s="24"/>
      <c r="C407" s="25"/>
      <c r="D407" s="25"/>
      <c r="E407" s="25"/>
      <c r="F407" s="25"/>
      <c r="G407" s="25"/>
      <c r="H407" s="25"/>
      <c r="I407" s="25"/>
    </row>
    <row r="408">
      <c r="A408" s="24"/>
      <c r="B408" s="24"/>
      <c r="C408" s="25"/>
      <c r="D408" s="25"/>
      <c r="E408" s="25"/>
      <c r="F408" s="25"/>
      <c r="G408" s="25"/>
      <c r="H408" s="25"/>
      <c r="I408" s="25"/>
    </row>
    <row r="409">
      <c r="A409" s="24"/>
      <c r="B409" s="24"/>
      <c r="C409" s="25"/>
      <c r="D409" s="25"/>
      <c r="E409" s="25"/>
      <c r="F409" s="25"/>
      <c r="G409" s="25"/>
      <c r="H409" s="25"/>
      <c r="I409" s="25"/>
    </row>
    <row r="410">
      <c r="A410" s="24"/>
      <c r="B410" s="24"/>
      <c r="C410" s="25"/>
      <c r="D410" s="25"/>
      <c r="E410" s="25"/>
      <c r="F410" s="25"/>
      <c r="G410" s="25"/>
      <c r="H410" s="25"/>
      <c r="I410" s="25"/>
    </row>
    <row r="411">
      <c r="A411" s="24"/>
      <c r="B411" s="24"/>
      <c r="C411" s="25"/>
      <c r="D411" s="25"/>
      <c r="E411" s="25"/>
      <c r="F411" s="25"/>
      <c r="G411" s="25"/>
      <c r="H411" s="25"/>
      <c r="I411" s="25"/>
    </row>
    <row r="412">
      <c r="A412" s="24"/>
      <c r="B412" s="24"/>
      <c r="C412" s="25"/>
      <c r="D412" s="25"/>
      <c r="E412" s="25"/>
      <c r="F412" s="25"/>
      <c r="G412" s="25"/>
      <c r="H412" s="25"/>
      <c r="I412" s="25"/>
    </row>
    <row r="413">
      <c r="A413" s="24"/>
      <c r="B413" s="24"/>
      <c r="C413" s="25"/>
      <c r="D413" s="25"/>
      <c r="E413" s="25"/>
      <c r="F413" s="25"/>
      <c r="G413" s="25"/>
      <c r="H413" s="25"/>
      <c r="I413" s="25"/>
    </row>
    <row r="414">
      <c r="A414" s="24"/>
      <c r="B414" s="24"/>
      <c r="C414" s="25"/>
      <c r="D414" s="25"/>
      <c r="E414" s="25"/>
      <c r="F414" s="25"/>
      <c r="G414" s="25"/>
      <c r="H414" s="25"/>
      <c r="I414" s="25"/>
    </row>
    <row r="415">
      <c r="A415" s="24"/>
      <c r="B415" s="24"/>
      <c r="C415" s="25"/>
      <c r="D415" s="25"/>
      <c r="E415" s="25"/>
      <c r="F415" s="25"/>
      <c r="G415" s="25"/>
      <c r="H415" s="25"/>
      <c r="I415" s="25"/>
    </row>
    <row r="416">
      <c r="A416" s="24"/>
      <c r="B416" s="24"/>
      <c r="C416" s="25"/>
      <c r="D416" s="25"/>
      <c r="E416" s="25"/>
      <c r="F416" s="25"/>
      <c r="G416" s="25"/>
      <c r="H416" s="25"/>
      <c r="I416" s="25"/>
    </row>
    <row r="417">
      <c r="A417" s="24"/>
      <c r="B417" s="24"/>
      <c r="C417" s="25"/>
      <c r="D417" s="25"/>
      <c r="E417" s="25"/>
      <c r="F417" s="25"/>
      <c r="G417" s="25"/>
      <c r="H417" s="25"/>
      <c r="I417" s="25"/>
    </row>
    <row r="418">
      <c r="A418" s="24"/>
      <c r="B418" s="24"/>
      <c r="C418" s="25"/>
      <c r="D418" s="25"/>
      <c r="E418" s="25"/>
      <c r="F418" s="25"/>
      <c r="G418" s="25"/>
      <c r="H418" s="25"/>
      <c r="I418" s="25"/>
    </row>
    <row r="419">
      <c r="A419" s="24"/>
      <c r="B419" s="24"/>
      <c r="C419" s="25"/>
      <c r="D419" s="25"/>
      <c r="E419" s="25"/>
      <c r="F419" s="25"/>
      <c r="G419" s="25"/>
      <c r="H419" s="25"/>
      <c r="I419" s="25"/>
    </row>
    <row r="420">
      <c r="A420" s="24"/>
      <c r="B420" s="24"/>
      <c r="C420" s="25"/>
      <c r="D420" s="25"/>
      <c r="E420" s="25"/>
      <c r="F420" s="25"/>
      <c r="G420" s="25"/>
      <c r="H420" s="25"/>
      <c r="I420" s="25"/>
    </row>
    <row r="421">
      <c r="A421" s="24"/>
      <c r="B421" s="24"/>
      <c r="C421" s="25"/>
      <c r="D421" s="25"/>
      <c r="E421" s="25"/>
      <c r="F421" s="25"/>
      <c r="G421" s="25"/>
      <c r="H421" s="25"/>
      <c r="I421" s="25"/>
    </row>
    <row r="422">
      <c r="A422" s="24"/>
      <c r="B422" s="24"/>
      <c r="C422" s="25"/>
      <c r="D422" s="25"/>
      <c r="E422" s="25"/>
      <c r="F422" s="25"/>
      <c r="G422" s="25"/>
      <c r="H422" s="25"/>
      <c r="I422" s="25"/>
    </row>
    <row r="423">
      <c r="A423" s="24"/>
      <c r="B423" s="24"/>
      <c r="C423" s="25"/>
      <c r="D423" s="25"/>
      <c r="E423" s="25"/>
      <c r="F423" s="25"/>
      <c r="G423" s="25"/>
      <c r="H423" s="25"/>
      <c r="I423" s="25"/>
    </row>
    <row r="424">
      <c r="A424" s="24"/>
      <c r="B424" s="24"/>
      <c r="C424" s="25"/>
      <c r="D424" s="25"/>
      <c r="E424" s="25"/>
      <c r="F424" s="25"/>
      <c r="G424" s="25"/>
      <c r="H424" s="25"/>
      <c r="I424" s="25"/>
    </row>
    <row r="425">
      <c r="A425" s="24"/>
      <c r="B425" s="24"/>
      <c r="C425" s="25"/>
      <c r="D425" s="25"/>
      <c r="E425" s="25"/>
      <c r="F425" s="25"/>
      <c r="G425" s="25"/>
      <c r="H425" s="25"/>
      <c r="I425" s="25"/>
    </row>
    <row r="426">
      <c r="A426" s="24"/>
      <c r="B426" s="24"/>
      <c r="C426" s="25"/>
      <c r="D426" s="25"/>
      <c r="E426" s="25"/>
      <c r="F426" s="25"/>
      <c r="G426" s="25"/>
      <c r="H426" s="25"/>
      <c r="I426" s="25"/>
    </row>
    <row r="427">
      <c r="A427" s="24"/>
      <c r="B427" s="24"/>
      <c r="C427" s="25"/>
      <c r="D427" s="25"/>
      <c r="E427" s="25"/>
      <c r="F427" s="25"/>
      <c r="G427" s="25"/>
      <c r="H427" s="25"/>
      <c r="I427" s="25"/>
    </row>
    <row r="428">
      <c r="A428" s="24"/>
      <c r="B428" s="24"/>
      <c r="C428" s="25"/>
      <c r="D428" s="25"/>
      <c r="E428" s="25"/>
      <c r="F428" s="25"/>
      <c r="G428" s="25"/>
      <c r="H428" s="25"/>
      <c r="I428" s="25"/>
    </row>
    <row r="429">
      <c r="A429" s="24"/>
      <c r="B429" s="24"/>
      <c r="C429" s="25"/>
      <c r="D429" s="25"/>
      <c r="E429" s="25"/>
      <c r="F429" s="25"/>
      <c r="G429" s="25"/>
      <c r="H429" s="25"/>
      <c r="I429" s="25"/>
    </row>
    <row r="430">
      <c r="A430" s="24"/>
      <c r="B430" s="24"/>
      <c r="C430" s="25"/>
      <c r="D430" s="25"/>
      <c r="E430" s="25"/>
      <c r="F430" s="25"/>
      <c r="G430" s="25"/>
      <c r="H430" s="25"/>
      <c r="I430" s="25"/>
    </row>
    <row r="431">
      <c r="A431" s="24"/>
      <c r="B431" s="24"/>
      <c r="C431" s="25"/>
      <c r="D431" s="25"/>
      <c r="E431" s="25"/>
      <c r="F431" s="25"/>
      <c r="G431" s="25"/>
      <c r="H431" s="25"/>
      <c r="I431" s="25"/>
    </row>
    <row r="432">
      <c r="A432" s="24"/>
      <c r="B432" s="24"/>
      <c r="C432" s="25"/>
      <c r="D432" s="25"/>
      <c r="E432" s="25"/>
      <c r="F432" s="25"/>
      <c r="G432" s="25"/>
      <c r="H432" s="25"/>
      <c r="I432" s="25"/>
    </row>
    <row r="433">
      <c r="A433" s="24"/>
      <c r="B433" s="24"/>
      <c r="C433" s="25"/>
      <c r="D433" s="25"/>
      <c r="E433" s="25"/>
      <c r="F433" s="25"/>
      <c r="G433" s="25"/>
      <c r="H433" s="25"/>
      <c r="I433" s="25"/>
    </row>
    <row r="434">
      <c r="A434" s="24"/>
      <c r="B434" s="24"/>
      <c r="C434" s="25"/>
      <c r="D434" s="25"/>
      <c r="E434" s="25"/>
      <c r="F434" s="25"/>
      <c r="G434" s="25"/>
      <c r="H434" s="25"/>
      <c r="I434" s="25"/>
    </row>
    <row r="435">
      <c r="A435" s="24"/>
      <c r="B435" s="24"/>
      <c r="C435" s="25"/>
      <c r="D435" s="25"/>
      <c r="E435" s="25"/>
      <c r="F435" s="25"/>
      <c r="G435" s="25"/>
      <c r="H435" s="25"/>
      <c r="I435" s="25"/>
    </row>
    <row r="436">
      <c r="A436" s="24"/>
      <c r="B436" s="24"/>
      <c r="C436" s="25"/>
      <c r="D436" s="25"/>
      <c r="E436" s="25"/>
      <c r="F436" s="25"/>
      <c r="G436" s="25"/>
      <c r="H436" s="25"/>
      <c r="I436" s="25"/>
    </row>
    <row r="437">
      <c r="A437" s="24"/>
      <c r="B437" s="24"/>
      <c r="C437" s="25"/>
      <c r="D437" s="25"/>
      <c r="E437" s="25"/>
      <c r="F437" s="25"/>
      <c r="G437" s="25"/>
      <c r="H437" s="25"/>
      <c r="I437" s="25"/>
    </row>
    <row r="438">
      <c r="A438" s="24"/>
      <c r="B438" s="24"/>
      <c r="C438" s="25"/>
      <c r="D438" s="25"/>
      <c r="E438" s="25"/>
      <c r="F438" s="25"/>
      <c r="G438" s="25"/>
      <c r="H438" s="25"/>
      <c r="I438" s="25"/>
    </row>
    <row r="439">
      <c r="A439" s="24"/>
      <c r="B439" s="24"/>
      <c r="C439" s="25"/>
      <c r="D439" s="25"/>
      <c r="E439" s="25"/>
      <c r="F439" s="25"/>
      <c r="G439" s="25"/>
      <c r="H439" s="25"/>
      <c r="I439" s="25"/>
    </row>
    <row r="440">
      <c r="A440" s="24"/>
      <c r="B440" s="24"/>
      <c r="C440" s="25"/>
      <c r="D440" s="25"/>
      <c r="E440" s="25"/>
      <c r="F440" s="25"/>
      <c r="G440" s="25"/>
      <c r="H440" s="25"/>
      <c r="I440" s="25"/>
    </row>
    <row r="441">
      <c r="A441" s="24"/>
      <c r="B441" s="24"/>
      <c r="C441" s="25"/>
      <c r="D441" s="25"/>
      <c r="E441" s="25"/>
      <c r="F441" s="25"/>
      <c r="G441" s="25"/>
      <c r="H441" s="25"/>
      <c r="I441" s="25"/>
    </row>
    <row r="442">
      <c r="A442" s="24"/>
      <c r="B442" s="24"/>
      <c r="C442" s="25"/>
      <c r="D442" s="25"/>
      <c r="E442" s="25"/>
      <c r="F442" s="25"/>
      <c r="G442" s="25"/>
      <c r="H442" s="25"/>
      <c r="I442" s="25"/>
    </row>
    <row r="443">
      <c r="A443" s="24"/>
      <c r="B443" s="24"/>
      <c r="C443" s="25"/>
      <c r="D443" s="25"/>
      <c r="E443" s="25"/>
      <c r="F443" s="25"/>
      <c r="G443" s="25"/>
      <c r="H443" s="25"/>
      <c r="I443" s="25"/>
    </row>
    <row r="444">
      <c r="A444" s="24"/>
      <c r="B444" s="24"/>
      <c r="C444" s="25"/>
      <c r="D444" s="25"/>
      <c r="E444" s="25"/>
      <c r="F444" s="25"/>
      <c r="G444" s="25"/>
      <c r="H444" s="25"/>
      <c r="I444" s="25"/>
    </row>
    <row r="445">
      <c r="A445" s="24"/>
      <c r="B445" s="24"/>
      <c r="C445" s="25"/>
      <c r="D445" s="25"/>
      <c r="E445" s="25"/>
      <c r="F445" s="25"/>
      <c r="G445" s="25"/>
      <c r="H445" s="25"/>
      <c r="I445" s="25"/>
    </row>
    <row r="446">
      <c r="A446" s="24"/>
      <c r="B446" s="24"/>
      <c r="C446" s="25"/>
      <c r="D446" s="25"/>
      <c r="E446" s="25"/>
      <c r="F446" s="25"/>
      <c r="G446" s="25"/>
      <c r="H446" s="25"/>
      <c r="I446" s="25"/>
    </row>
    <row r="447">
      <c r="A447" s="24"/>
      <c r="B447" s="24"/>
      <c r="C447" s="25"/>
      <c r="D447" s="25"/>
      <c r="E447" s="25"/>
      <c r="F447" s="25"/>
      <c r="G447" s="25"/>
      <c r="H447" s="25"/>
      <c r="I447" s="25"/>
    </row>
    <row r="448">
      <c r="A448" s="24"/>
      <c r="B448" s="24"/>
      <c r="C448" s="25"/>
      <c r="D448" s="25"/>
      <c r="E448" s="25"/>
      <c r="F448" s="25"/>
      <c r="G448" s="25"/>
      <c r="H448" s="25"/>
      <c r="I448" s="25"/>
    </row>
    <row r="449">
      <c r="A449" s="24"/>
      <c r="B449" s="24"/>
      <c r="C449" s="25"/>
      <c r="D449" s="25"/>
      <c r="E449" s="25"/>
      <c r="F449" s="25"/>
      <c r="G449" s="25"/>
      <c r="H449" s="25"/>
      <c r="I449" s="25"/>
    </row>
    <row r="450">
      <c r="A450" s="24"/>
      <c r="B450" s="24"/>
      <c r="C450" s="25"/>
      <c r="D450" s="25"/>
      <c r="E450" s="25"/>
      <c r="F450" s="25"/>
      <c r="G450" s="25"/>
      <c r="H450" s="25"/>
      <c r="I450" s="25"/>
    </row>
    <row r="451">
      <c r="A451" s="24"/>
      <c r="B451" s="24"/>
      <c r="C451" s="25"/>
      <c r="D451" s="25"/>
      <c r="E451" s="25"/>
      <c r="F451" s="25"/>
      <c r="G451" s="25"/>
      <c r="H451" s="25"/>
      <c r="I451" s="25"/>
    </row>
    <row r="452">
      <c r="A452" s="24"/>
      <c r="B452" s="24"/>
      <c r="C452" s="25"/>
      <c r="D452" s="25"/>
      <c r="E452" s="25"/>
      <c r="F452" s="25"/>
      <c r="G452" s="25"/>
      <c r="H452" s="25"/>
      <c r="I452" s="25"/>
    </row>
    <row r="453">
      <c r="A453" s="24"/>
      <c r="B453" s="24"/>
      <c r="C453" s="25"/>
      <c r="D453" s="25"/>
      <c r="E453" s="25"/>
      <c r="F453" s="25"/>
      <c r="G453" s="25"/>
      <c r="H453" s="25"/>
      <c r="I453" s="25"/>
    </row>
    <row r="454">
      <c r="A454" s="24"/>
      <c r="B454" s="24"/>
      <c r="C454" s="25"/>
      <c r="D454" s="25"/>
      <c r="E454" s="25"/>
      <c r="F454" s="25"/>
      <c r="G454" s="25"/>
      <c r="H454" s="25"/>
      <c r="I454" s="25"/>
    </row>
    <row r="455">
      <c r="A455" s="24"/>
      <c r="B455" s="24"/>
      <c r="C455" s="25"/>
      <c r="D455" s="25"/>
      <c r="E455" s="25"/>
      <c r="F455" s="25"/>
      <c r="G455" s="25"/>
      <c r="H455" s="25"/>
      <c r="I455" s="25"/>
    </row>
    <row r="456">
      <c r="A456" s="24"/>
      <c r="B456" s="24"/>
      <c r="C456" s="25"/>
      <c r="D456" s="25"/>
      <c r="E456" s="25"/>
      <c r="F456" s="25"/>
      <c r="G456" s="25"/>
      <c r="H456" s="25"/>
      <c r="I456" s="25"/>
    </row>
    <row r="457">
      <c r="A457" s="24"/>
      <c r="B457" s="24"/>
      <c r="C457" s="25"/>
      <c r="D457" s="25"/>
      <c r="E457" s="25"/>
      <c r="F457" s="25"/>
      <c r="G457" s="25"/>
      <c r="H457" s="25"/>
      <c r="I457" s="25"/>
    </row>
    <row r="458">
      <c r="A458" s="24"/>
      <c r="B458" s="24"/>
      <c r="C458" s="25"/>
      <c r="D458" s="25"/>
      <c r="E458" s="25"/>
      <c r="F458" s="25"/>
      <c r="G458" s="25"/>
      <c r="H458" s="25"/>
      <c r="I458" s="25"/>
    </row>
    <row r="459">
      <c r="A459" s="24"/>
      <c r="B459" s="24"/>
      <c r="C459" s="25"/>
      <c r="D459" s="25"/>
      <c r="E459" s="25"/>
      <c r="F459" s="25"/>
      <c r="G459" s="25"/>
      <c r="H459" s="25"/>
      <c r="I459" s="25"/>
    </row>
    <row r="460">
      <c r="A460" s="24"/>
      <c r="B460" s="24"/>
      <c r="C460" s="25"/>
      <c r="D460" s="25"/>
      <c r="E460" s="25"/>
      <c r="F460" s="25"/>
      <c r="G460" s="25"/>
      <c r="H460" s="25"/>
      <c r="I460" s="25"/>
    </row>
    <row r="461">
      <c r="A461" s="24"/>
      <c r="B461" s="24"/>
      <c r="C461" s="25"/>
      <c r="D461" s="25"/>
      <c r="E461" s="25"/>
      <c r="F461" s="25"/>
      <c r="G461" s="25"/>
      <c r="H461" s="25"/>
      <c r="I461" s="25"/>
    </row>
    <row r="462">
      <c r="A462" s="24"/>
      <c r="B462" s="24"/>
      <c r="C462" s="25"/>
      <c r="D462" s="25"/>
      <c r="E462" s="25"/>
      <c r="F462" s="25"/>
      <c r="G462" s="25"/>
      <c r="H462" s="25"/>
      <c r="I462" s="25"/>
    </row>
    <row r="463">
      <c r="A463" s="24"/>
      <c r="B463" s="24"/>
      <c r="C463" s="25"/>
      <c r="D463" s="25"/>
      <c r="E463" s="25"/>
      <c r="F463" s="25"/>
      <c r="G463" s="25"/>
      <c r="H463" s="25"/>
      <c r="I463" s="25"/>
    </row>
    <row r="464">
      <c r="A464" s="24"/>
      <c r="B464" s="24"/>
      <c r="C464" s="25"/>
      <c r="D464" s="25"/>
      <c r="E464" s="25"/>
      <c r="F464" s="25"/>
      <c r="G464" s="25"/>
      <c r="H464" s="25"/>
      <c r="I464" s="25"/>
    </row>
    <row r="465">
      <c r="A465" s="24"/>
      <c r="B465" s="24"/>
      <c r="C465" s="25"/>
      <c r="D465" s="25"/>
      <c r="E465" s="25"/>
      <c r="F465" s="25"/>
      <c r="G465" s="25"/>
      <c r="H465" s="25"/>
      <c r="I465" s="25"/>
    </row>
    <row r="466">
      <c r="A466" s="24"/>
      <c r="B466" s="24"/>
      <c r="C466" s="25"/>
      <c r="D466" s="25"/>
      <c r="E466" s="25"/>
      <c r="F466" s="25"/>
      <c r="G466" s="25"/>
      <c r="H466" s="25"/>
      <c r="I466" s="25"/>
    </row>
    <row r="467">
      <c r="A467" s="24"/>
      <c r="B467" s="24"/>
      <c r="C467" s="25"/>
      <c r="D467" s="25"/>
      <c r="E467" s="25"/>
      <c r="F467" s="25"/>
      <c r="G467" s="25"/>
      <c r="H467" s="25"/>
      <c r="I467" s="25"/>
    </row>
    <row r="468">
      <c r="A468" s="24"/>
      <c r="B468" s="24"/>
      <c r="C468" s="25"/>
      <c r="D468" s="25"/>
      <c r="E468" s="25"/>
      <c r="F468" s="25"/>
      <c r="G468" s="25"/>
      <c r="H468" s="25"/>
      <c r="I468" s="25"/>
    </row>
    <row r="469">
      <c r="A469" s="24"/>
      <c r="B469" s="24"/>
      <c r="C469" s="25"/>
      <c r="D469" s="25"/>
      <c r="E469" s="25"/>
      <c r="F469" s="25"/>
      <c r="G469" s="25"/>
      <c r="H469" s="25"/>
      <c r="I469" s="25"/>
    </row>
    <row r="470">
      <c r="A470" s="24"/>
      <c r="B470" s="24"/>
      <c r="C470" s="25"/>
      <c r="D470" s="25"/>
      <c r="E470" s="25"/>
      <c r="F470" s="25"/>
      <c r="G470" s="25"/>
      <c r="H470" s="25"/>
      <c r="I470" s="25"/>
    </row>
    <row r="471">
      <c r="A471" s="24"/>
      <c r="B471" s="24"/>
      <c r="C471" s="25"/>
      <c r="D471" s="25"/>
      <c r="E471" s="25"/>
      <c r="F471" s="25"/>
      <c r="G471" s="25"/>
      <c r="H471" s="25"/>
      <c r="I471" s="25"/>
    </row>
    <row r="472">
      <c r="A472" s="24"/>
      <c r="B472" s="24"/>
      <c r="C472" s="25"/>
      <c r="D472" s="25"/>
      <c r="E472" s="25"/>
      <c r="F472" s="25"/>
      <c r="G472" s="25"/>
      <c r="H472" s="25"/>
      <c r="I472" s="25"/>
    </row>
    <row r="473">
      <c r="A473" s="24"/>
      <c r="B473" s="24"/>
      <c r="C473" s="25"/>
      <c r="D473" s="25"/>
      <c r="E473" s="25"/>
      <c r="F473" s="25"/>
      <c r="G473" s="25"/>
      <c r="H473" s="25"/>
      <c r="I473" s="25"/>
    </row>
    <row r="474">
      <c r="A474" s="24"/>
      <c r="B474" s="24"/>
      <c r="C474" s="25"/>
      <c r="D474" s="25"/>
      <c r="E474" s="25"/>
      <c r="F474" s="25"/>
      <c r="G474" s="25"/>
      <c r="H474" s="25"/>
      <c r="I474" s="25"/>
    </row>
    <row r="475">
      <c r="A475" s="24"/>
      <c r="B475" s="24"/>
      <c r="C475" s="25"/>
      <c r="D475" s="25"/>
      <c r="E475" s="25"/>
      <c r="F475" s="25"/>
      <c r="G475" s="25"/>
      <c r="H475" s="25"/>
      <c r="I475" s="25"/>
    </row>
    <row r="476">
      <c r="A476" s="24"/>
      <c r="B476" s="24"/>
      <c r="C476" s="25"/>
      <c r="D476" s="25"/>
      <c r="E476" s="25"/>
      <c r="F476" s="25"/>
      <c r="G476" s="25"/>
      <c r="H476" s="25"/>
      <c r="I476" s="25"/>
    </row>
    <row r="477">
      <c r="A477" s="24"/>
      <c r="B477" s="24"/>
      <c r="C477" s="25"/>
      <c r="D477" s="25"/>
      <c r="E477" s="25"/>
      <c r="F477" s="25"/>
      <c r="G477" s="25"/>
      <c r="H477" s="25"/>
      <c r="I477" s="25"/>
    </row>
    <row r="478">
      <c r="A478" s="24"/>
      <c r="B478" s="24"/>
      <c r="C478" s="25"/>
      <c r="D478" s="25"/>
      <c r="E478" s="25"/>
      <c r="F478" s="25"/>
      <c r="G478" s="25"/>
      <c r="H478" s="25"/>
      <c r="I478" s="25"/>
    </row>
    <row r="479">
      <c r="A479" s="24"/>
      <c r="B479" s="24"/>
      <c r="C479" s="25"/>
      <c r="D479" s="25"/>
      <c r="E479" s="25"/>
      <c r="F479" s="25"/>
      <c r="G479" s="25"/>
      <c r="H479" s="25"/>
      <c r="I479" s="25"/>
    </row>
    <row r="480">
      <c r="A480" s="24"/>
      <c r="B480" s="24"/>
      <c r="C480" s="25"/>
      <c r="D480" s="25"/>
      <c r="E480" s="25"/>
      <c r="F480" s="25"/>
      <c r="G480" s="25"/>
      <c r="H480" s="25"/>
      <c r="I480" s="25"/>
    </row>
    <row r="481">
      <c r="A481" s="24"/>
      <c r="B481" s="24"/>
      <c r="C481" s="25"/>
      <c r="D481" s="25"/>
      <c r="E481" s="25"/>
      <c r="F481" s="25"/>
      <c r="G481" s="25"/>
      <c r="H481" s="25"/>
      <c r="I481" s="25"/>
    </row>
    <row r="482">
      <c r="A482" s="24"/>
      <c r="B482" s="24"/>
      <c r="C482" s="25"/>
      <c r="D482" s="25"/>
      <c r="E482" s="25"/>
      <c r="F482" s="25"/>
      <c r="G482" s="25"/>
      <c r="H482" s="25"/>
      <c r="I482" s="25"/>
    </row>
    <row r="483">
      <c r="A483" s="24"/>
      <c r="B483" s="24"/>
      <c r="C483" s="25"/>
      <c r="D483" s="25"/>
      <c r="E483" s="25"/>
      <c r="F483" s="25"/>
      <c r="G483" s="25"/>
      <c r="H483" s="25"/>
      <c r="I483" s="25"/>
    </row>
    <row r="484">
      <c r="A484" s="24"/>
      <c r="B484" s="24"/>
      <c r="C484" s="25"/>
      <c r="D484" s="25"/>
      <c r="E484" s="25"/>
      <c r="F484" s="25"/>
      <c r="G484" s="25"/>
      <c r="H484" s="25"/>
      <c r="I484" s="25"/>
    </row>
    <row r="485">
      <c r="A485" s="24"/>
      <c r="B485" s="24"/>
      <c r="C485" s="25"/>
      <c r="D485" s="25"/>
      <c r="E485" s="25"/>
      <c r="F485" s="25"/>
      <c r="G485" s="25"/>
      <c r="H485" s="25"/>
      <c r="I485" s="25"/>
    </row>
    <row r="486">
      <c r="A486" s="24"/>
      <c r="B486" s="24"/>
      <c r="C486" s="25"/>
      <c r="D486" s="25"/>
      <c r="E486" s="25"/>
      <c r="F486" s="25"/>
      <c r="G486" s="25"/>
      <c r="H486" s="25"/>
      <c r="I486" s="25"/>
    </row>
    <row r="487">
      <c r="A487" s="24"/>
      <c r="B487" s="24"/>
      <c r="C487" s="25"/>
      <c r="D487" s="25"/>
      <c r="E487" s="25"/>
      <c r="F487" s="25"/>
      <c r="G487" s="25"/>
      <c r="H487" s="25"/>
      <c r="I487" s="25"/>
    </row>
    <row r="488">
      <c r="A488" s="24"/>
      <c r="B488" s="24"/>
      <c r="C488" s="25"/>
      <c r="D488" s="25"/>
      <c r="E488" s="25"/>
      <c r="F488" s="25"/>
      <c r="G488" s="25"/>
      <c r="H488" s="25"/>
      <c r="I488" s="25"/>
    </row>
    <row r="489">
      <c r="A489" s="24"/>
      <c r="B489" s="24"/>
      <c r="C489" s="25"/>
      <c r="D489" s="25"/>
      <c r="E489" s="25"/>
      <c r="F489" s="25"/>
      <c r="G489" s="25"/>
      <c r="H489" s="25"/>
      <c r="I489" s="25"/>
    </row>
    <row r="490">
      <c r="A490" s="24"/>
      <c r="B490" s="24"/>
      <c r="C490" s="25"/>
      <c r="D490" s="25"/>
      <c r="E490" s="25"/>
      <c r="F490" s="25"/>
      <c r="G490" s="25"/>
      <c r="H490" s="25"/>
      <c r="I490" s="25"/>
    </row>
    <row r="491">
      <c r="A491" s="24"/>
      <c r="B491" s="24"/>
      <c r="C491" s="25"/>
      <c r="D491" s="25"/>
      <c r="E491" s="25"/>
      <c r="F491" s="25"/>
      <c r="G491" s="25"/>
      <c r="H491" s="25"/>
      <c r="I491" s="25"/>
    </row>
    <row r="492">
      <c r="A492" s="24"/>
      <c r="B492" s="24"/>
      <c r="C492" s="25"/>
      <c r="D492" s="25"/>
      <c r="E492" s="25"/>
      <c r="F492" s="25"/>
      <c r="G492" s="25"/>
      <c r="H492" s="25"/>
      <c r="I492" s="25"/>
    </row>
    <row r="493">
      <c r="A493" s="24"/>
      <c r="B493" s="24"/>
      <c r="C493" s="25"/>
      <c r="D493" s="25"/>
      <c r="E493" s="25"/>
      <c r="F493" s="25"/>
      <c r="G493" s="25"/>
      <c r="H493" s="25"/>
      <c r="I493" s="25"/>
    </row>
    <row r="494">
      <c r="A494" s="24"/>
      <c r="B494" s="24"/>
      <c r="C494" s="25"/>
      <c r="D494" s="25"/>
      <c r="E494" s="25"/>
      <c r="F494" s="25"/>
      <c r="G494" s="25"/>
      <c r="H494" s="25"/>
      <c r="I494" s="25"/>
    </row>
    <row r="495">
      <c r="A495" s="24"/>
      <c r="B495" s="24"/>
      <c r="C495" s="25"/>
      <c r="D495" s="25"/>
      <c r="E495" s="25"/>
      <c r="F495" s="25"/>
      <c r="G495" s="25"/>
      <c r="H495" s="25"/>
      <c r="I495" s="25"/>
    </row>
    <row r="496">
      <c r="A496" s="24"/>
      <c r="B496" s="24"/>
      <c r="C496" s="25"/>
      <c r="D496" s="25"/>
      <c r="E496" s="25"/>
      <c r="F496" s="25"/>
      <c r="G496" s="25"/>
      <c r="H496" s="25"/>
      <c r="I496" s="25"/>
    </row>
    <row r="497">
      <c r="A497" s="24"/>
      <c r="B497" s="24"/>
      <c r="C497" s="25"/>
      <c r="D497" s="25"/>
      <c r="E497" s="25"/>
      <c r="F497" s="25"/>
      <c r="G497" s="25"/>
      <c r="H497" s="25"/>
      <c r="I497" s="25"/>
    </row>
    <row r="498">
      <c r="A498" s="24"/>
      <c r="B498" s="24"/>
      <c r="C498" s="25"/>
      <c r="D498" s="25"/>
      <c r="E498" s="25"/>
      <c r="F498" s="25"/>
      <c r="G498" s="25"/>
      <c r="H498" s="25"/>
      <c r="I498" s="25"/>
    </row>
    <row r="499">
      <c r="A499" s="24"/>
      <c r="B499" s="24"/>
      <c r="C499" s="25"/>
      <c r="D499" s="25"/>
      <c r="E499" s="25"/>
      <c r="F499" s="25"/>
      <c r="G499" s="25"/>
      <c r="H499" s="25"/>
      <c r="I499" s="25"/>
    </row>
    <row r="500">
      <c r="A500" s="24"/>
      <c r="B500" s="24"/>
      <c r="C500" s="25"/>
      <c r="D500" s="25"/>
      <c r="E500" s="25"/>
      <c r="F500" s="25"/>
      <c r="G500" s="25"/>
      <c r="H500" s="25"/>
      <c r="I500" s="25"/>
    </row>
    <row r="501">
      <c r="A501" s="24"/>
      <c r="B501" s="24"/>
      <c r="C501" s="25"/>
      <c r="D501" s="25"/>
      <c r="E501" s="25"/>
      <c r="F501" s="25"/>
      <c r="G501" s="25"/>
      <c r="H501" s="25"/>
      <c r="I501" s="25"/>
    </row>
    <row r="502">
      <c r="A502" s="24"/>
      <c r="B502" s="24"/>
      <c r="C502" s="25"/>
      <c r="D502" s="25"/>
      <c r="E502" s="25"/>
      <c r="F502" s="25"/>
      <c r="G502" s="25"/>
      <c r="H502" s="25"/>
      <c r="I502" s="25"/>
    </row>
    <row r="503">
      <c r="A503" s="24"/>
      <c r="B503" s="24"/>
      <c r="C503" s="25"/>
      <c r="D503" s="25"/>
      <c r="E503" s="25"/>
      <c r="F503" s="25"/>
      <c r="G503" s="25"/>
      <c r="H503" s="25"/>
      <c r="I503" s="25"/>
    </row>
    <row r="504">
      <c r="A504" s="24"/>
      <c r="B504" s="24"/>
      <c r="C504" s="25"/>
      <c r="D504" s="25"/>
      <c r="E504" s="25"/>
      <c r="F504" s="25"/>
      <c r="G504" s="25"/>
      <c r="H504" s="25"/>
      <c r="I504" s="25"/>
    </row>
    <row r="505">
      <c r="A505" s="24"/>
      <c r="B505" s="24"/>
      <c r="C505" s="25"/>
      <c r="D505" s="25"/>
      <c r="E505" s="25"/>
      <c r="F505" s="25"/>
      <c r="G505" s="25"/>
      <c r="H505" s="25"/>
      <c r="I505" s="25"/>
    </row>
    <row r="506">
      <c r="A506" s="24"/>
      <c r="B506" s="24"/>
      <c r="C506" s="25"/>
      <c r="D506" s="25"/>
      <c r="E506" s="25"/>
      <c r="F506" s="25"/>
      <c r="G506" s="25"/>
      <c r="H506" s="25"/>
      <c r="I506" s="25"/>
    </row>
    <row r="507">
      <c r="A507" s="24"/>
      <c r="B507" s="24"/>
      <c r="C507" s="25"/>
      <c r="D507" s="25"/>
      <c r="E507" s="25"/>
      <c r="F507" s="25"/>
      <c r="G507" s="25"/>
      <c r="H507" s="25"/>
      <c r="I507" s="25"/>
    </row>
    <row r="508">
      <c r="A508" s="24"/>
      <c r="B508" s="24"/>
      <c r="C508" s="25"/>
      <c r="D508" s="25"/>
      <c r="E508" s="25"/>
      <c r="F508" s="25"/>
      <c r="G508" s="25"/>
      <c r="H508" s="25"/>
      <c r="I508" s="25"/>
    </row>
    <row r="509">
      <c r="A509" s="24"/>
      <c r="B509" s="24"/>
      <c r="C509" s="25"/>
      <c r="D509" s="25"/>
      <c r="E509" s="25"/>
      <c r="F509" s="25"/>
      <c r="G509" s="25"/>
      <c r="H509" s="25"/>
      <c r="I509" s="25"/>
    </row>
    <row r="510">
      <c r="A510" s="24"/>
      <c r="B510" s="24"/>
      <c r="C510" s="25"/>
      <c r="D510" s="25"/>
      <c r="E510" s="25"/>
      <c r="F510" s="25"/>
      <c r="G510" s="25"/>
      <c r="H510" s="25"/>
      <c r="I510" s="25"/>
    </row>
    <row r="511">
      <c r="A511" s="24"/>
      <c r="B511" s="24"/>
      <c r="C511" s="25"/>
      <c r="D511" s="25"/>
      <c r="E511" s="25"/>
      <c r="F511" s="25"/>
      <c r="G511" s="25"/>
      <c r="H511" s="25"/>
      <c r="I511" s="25"/>
    </row>
    <row r="512">
      <c r="A512" s="24"/>
      <c r="B512" s="24"/>
      <c r="C512" s="25"/>
      <c r="D512" s="25"/>
      <c r="E512" s="25"/>
      <c r="F512" s="25"/>
      <c r="G512" s="25"/>
      <c r="H512" s="25"/>
      <c r="I512" s="25"/>
    </row>
    <row r="513">
      <c r="A513" s="24"/>
      <c r="B513" s="24"/>
      <c r="C513" s="25"/>
      <c r="D513" s="25"/>
      <c r="E513" s="25"/>
      <c r="F513" s="25"/>
      <c r="G513" s="25"/>
      <c r="H513" s="25"/>
      <c r="I513" s="25"/>
    </row>
    <row r="514">
      <c r="A514" s="24"/>
      <c r="B514" s="24"/>
      <c r="C514" s="25"/>
      <c r="D514" s="25"/>
      <c r="E514" s="25"/>
      <c r="F514" s="25"/>
      <c r="G514" s="25"/>
      <c r="H514" s="25"/>
      <c r="I514" s="25"/>
    </row>
    <row r="515">
      <c r="A515" s="24"/>
      <c r="B515" s="24"/>
      <c r="C515" s="25"/>
      <c r="D515" s="25"/>
      <c r="E515" s="25"/>
      <c r="F515" s="25"/>
      <c r="G515" s="25"/>
      <c r="H515" s="25"/>
      <c r="I515" s="25"/>
    </row>
    <row r="516">
      <c r="A516" s="24"/>
      <c r="B516" s="24"/>
      <c r="C516" s="25"/>
      <c r="D516" s="25"/>
      <c r="E516" s="25"/>
      <c r="F516" s="25"/>
      <c r="G516" s="25"/>
      <c r="H516" s="25"/>
      <c r="I516" s="25"/>
    </row>
    <row r="517">
      <c r="A517" s="24"/>
      <c r="B517" s="24"/>
      <c r="C517" s="25"/>
      <c r="D517" s="25"/>
      <c r="E517" s="25"/>
      <c r="F517" s="25"/>
      <c r="G517" s="25"/>
      <c r="H517" s="25"/>
      <c r="I517" s="25"/>
    </row>
    <row r="518">
      <c r="A518" s="24"/>
      <c r="B518" s="24"/>
      <c r="C518" s="25"/>
      <c r="D518" s="25"/>
      <c r="E518" s="25"/>
      <c r="F518" s="25"/>
      <c r="G518" s="25"/>
      <c r="H518" s="25"/>
      <c r="I518" s="25"/>
    </row>
    <row r="519">
      <c r="A519" s="24"/>
      <c r="B519" s="24"/>
      <c r="C519" s="25"/>
      <c r="D519" s="25"/>
      <c r="E519" s="25"/>
      <c r="F519" s="25"/>
      <c r="G519" s="25"/>
      <c r="H519" s="25"/>
      <c r="I519" s="25"/>
    </row>
    <row r="520">
      <c r="A520" s="24"/>
      <c r="B520" s="24"/>
      <c r="C520" s="25"/>
      <c r="D520" s="25"/>
      <c r="E520" s="25"/>
      <c r="F520" s="25"/>
      <c r="G520" s="25"/>
      <c r="H520" s="25"/>
      <c r="I520" s="25"/>
    </row>
    <row r="521">
      <c r="A521" s="24"/>
      <c r="B521" s="24"/>
      <c r="C521" s="25"/>
      <c r="D521" s="25"/>
      <c r="E521" s="25"/>
      <c r="F521" s="25"/>
      <c r="G521" s="25"/>
      <c r="H521" s="25"/>
      <c r="I521" s="25"/>
    </row>
    <row r="522">
      <c r="A522" s="24"/>
      <c r="B522" s="24"/>
      <c r="C522" s="25"/>
      <c r="D522" s="25"/>
      <c r="E522" s="25"/>
      <c r="F522" s="25"/>
      <c r="G522" s="25"/>
      <c r="H522" s="25"/>
      <c r="I522" s="25"/>
    </row>
    <row r="523">
      <c r="A523" s="24"/>
      <c r="B523" s="24"/>
      <c r="C523" s="25"/>
      <c r="D523" s="25"/>
      <c r="E523" s="25"/>
      <c r="F523" s="25"/>
      <c r="G523" s="25"/>
      <c r="H523" s="25"/>
      <c r="I523" s="25"/>
    </row>
    <row r="524">
      <c r="A524" s="24"/>
      <c r="B524" s="24"/>
      <c r="C524" s="25"/>
      <c r="D524" s="25"/>
      <c r="E524" s="25"/>
      <c r="F524" s="25"/>
      <c r="G524" s="25"/>
      <c r="H524" s="25"/>
      <c r="I524" s="25"/>
    </row>
    <row r="525">
      <c r="A525" s="24"/>
      <c r="B525" s="24"/>
      <c r="C525" s="25"/>
      <c r="D525" s="25"/>
      <c r="E525" s="25"/>
      <c r="F525" s="25"/>
      <c r="G525" s="25"/>
      <c r="H525" s="25"/>
      <c r="I525" s="25"/>
    </row>
    <row r="526">
      <c r="A526" s="24"/>
      <c r="B526" s="24"/>
      <c r="C526" s="25"/>
      <c r="D526" s="25"/>
      <c r="E526" s="25"/>
      <c r="F526" s="25"/>
      <c r="G526" s="25"/>
      <c r="H526" s="25"/>
      <c r="I526" s="25"/>
    </row>
    <row r="527">
      <c r="A527" s="24"/>
      <c r="B527" s="24"/>
      <c r="C527" s="25"/>
      <c r="D527" s="25"/>
      <c r="E527" s="25"/>
      <c r="F527" s="25"/>
      <c r="G527" s="25"/>
      <c r="H527" s="25"/>
      <c r="I527" s="25"/>
    </row>
    <row r="528">
      <c r="A528" s="24"/>
      <c r="B528" s="24"/>
      <c r="C528" s="25"/>
      <c r="D528" s="25"/>
      <c r="E528" s="25"/>
      <c r="F528" s="25"/>
      <c r="G528" s="25"/>
      <c r="H528" s="25"/>
      <c r="I528" s="25"/>
    </row>
    <row r="529">
      <c r="A529" s="24"/>
      <c r="B529" s="24"/>
      <c r="C529" s="25"/>
      <c r="D529" s="25"/>
      <c r="E529" s="25"/>
      <c r="F529" s="25"/>
      <c r="G529" s="25"/>
      <c r="H529" s="25"/>
      <c r="I529" s="25"/>
    </row>
    <row r="530">
      <c r="A530" s="24"/>
      <c r="B530" s="24"/>
      <c r="C530" s="25"/>
      <c r="D530" s="25"/>
      <c r="E530" s="25"/>
      <c r="F530" s="25"/>
      <c r="G530" s="25"/>
      <c r="H530" s="25"/>
      <c r="I530" s="25"/>
    </row>
    <row r="531">
      <c r="A531" s="24"/>
      <c r="B531" s="24"/>
      <c r="C531" s="25"/>
      <c r="D531" s="25"/>
      <c r="E531" s="25"/>
      <c r="F531" s="25"/>
      <c r="G531" s="25"/>
      <c r="H531" s="25"/>
      <c r="I531" s="25"/>
    </row>
    <row r="532">
      <c r="A532" s="24"/>
      <c r="B532" s="24"/>
      <c r="C532" s="25"/>
      <c r="D532" s="25"/>
      <c r="E532" s="25"/>
      <c r="F532" s="25"/>
      <c r="G532" s="25"/>
      <c r="H532" s="25"/>
      <c r="I532" s="25"/>
    </row>
    <row r="533">
      <c r="A533" s="24"/>
      <c r="B533" s="24"/>
      <c r="C533" s="25"/>
      <c r="D533" s="25"/>
      <c r="E533" s="25"/>
      <c r="F533" s="25"/>
      <c r="G533" s="25"/>
      <c r="H533" s="25"/>
      <c r="I533" s="25"/>
    </row>
    <row r="534">
      <c r="A534" s="24"/>
      <c r="B534" s="24"/>
      <c r="C534" s="25"/>
      <c r="D534" s="25"/>
      <c r="E534" s="25"/>
      <c r="F534" s="25"/>
      <c r="G534" s="25"/>
      <c r="H534" s="25"/>
      <c r="I534" s="25"/>
    </row>
    <row r="535">
      <c r="A535" s="24"/>
      <c r="B535" s="24"/>
      <c r="C535" s="25"/>
      <c r="D535" s="25"/>
      <c r="E535" s="25"/>
      <c r="F535" s="25"/>
      <c r="G535" s="25"/>
      <c r="H535" s="25"/>
      <c r="I535" s="25"/>
    </row>
    <row r="536">
      <c r="A536" s="24"/>
      <c r="B536" s="24"/>
      <c r="C536" s="25"/>
      <c r="D536" s="25"/>
      <c r="E536" s="25"/>
      <c r="F536" s="25"/>
      <c r="G536" s="25"/>
      <c r="H536" s="25"/>
      <c r="I536" s="25"/>
    </row>
    <row r="537">
      <c r="A537" s="24"/>
      <c r="B537" s="24"/>
      <c r="C537" s="25"/>
      <c r="D537" s="25"/>
      <c r="E537" s="25"/>
      <c r="F537" s="25"/>
      <c r="G537" s="25"/>
      <c r="H537" s="25"/>
      <c r="I537" s="25"/>
    </row>
    <row r="538">
      <c r="A538" s="24"/>
      <c r="B538" s="24"/>
      <c r="C538" s="25"/>
      <c r="D538" s="25"/>
      <c r="E538" s="25"/>
      <c r="F538" s="25"/>
      <c r="G538" s="25"/>
      <c r="H538" s="25"/>
      <c r="I538" s="25"/>
    </row>
    <row r="539">
      <c r="A539" s="24"/>
      <c r="B539" s="24"/>
      <c r="C539" s="25"/>
      <c r="D539" s="25"/>
      <c r="E539" s="25"/>
      <c r="F539" s="25"/>
      <c r="G539" s="25"/>
      <c r="H539" s="25"/>
      <c r="I539" s="25"/>
    </row>
    <row r="540">
      <c r="A540" s="24"/>
      <c r="B540" s="24"/>
      <c r="C540" s="25"/>
      <c r="D540" s="25"/>
      <c r="E540" s="25"/>
      <c r="F540" s="25"/>
      <c r="G540" s="25"/>
      <c r="H540" s="25"/>
      <c r="I540" s="25"/>
    </row>
    <row r="541">
      <c r="A541" s="24"/>
      <c r="B541" s="24"/>
      <c r="C541" s="25"/>
      <c r="D541" s="25"/>
      <c r="E541" s="25"/>
      <c r="F541" s="25"/>
      <c r="G541" s="25"/>
      <c r="H541" s="25"/>
      <c r="I541" s="25"/>
    </row>
    <row r="542">
      <c r="A542" s="24"/>
      <c r="B542" s="24"/>
      <c r="C542" s="25"/>
      <c r="D542" s="25"/>
      <c r="E542" s="25"/>
      <c r="F542" s="25"/>
      <c r="G542" s="25"/>
      <c r="H542" s="25"/>
      <c r="I542" s="25"/>
    </row>
    <row r="543">
      <c r="A543" s="24"/>
      <c r="B543" s="24"/>
      <c r="C543" s="25"/>
      <c r="D543" s="25"/>
      <c r="E543" s="25"/>
      <c r="F543" s="25"/>
      <c r="G543" s="25"/>
      <c r="H543" s="25"/>
      <c r="I543" s="25"/>
    </row>
    <row r="544">
      <c r="A544" s="24"/>
      <c r="B544" s="24"/>
      <c r="C544" s="25"/>
      <c r="D544" s="25"/>
      <c r="E544" s="25"/>
      <c r="F544" s="25"/>
      <c r="G544" s="25"/>
      <c r="H544" s="25"/>
      <c r="I544" s="25"/>
    </row>
    <row r="545">
      <c r="A545" s="24"/>
      <c r="B545" s="24"/>
      <c r="C545" s="25"/>
      <c r="D545" s="25"/>
      <c r="E545" s="25"/>
      <c r="F545" s="25"/>
      <c r="G545" s="25"/>
      <c r="H545" s="25"/>
      <c r="I545" s="25"/>
    </row>
    <row r="546">
      <c r="A546" s="24"/>
      <c r="B546" s="24"/>
      <c r="C546" s="25"/>
      <c r="D546" s="25"/>
      <c r="E546" s="25"/>
      <c r="F546" s="25"/>
      <c r="G546" s="25"/>
      <c r="H546" s="25"/>
      <c r="I546" s="25"/>
    </row>
    <row r="547">
      <c r="A547" s="24"/>
      <c r="B547" s="24"/>
      <c r="C547" s="25"/>
      <c r="D547" s="25"/>
      <c r="E547" s="25"/>
      <c r="F547" s="25"/>
      <c r="G547" s="25"/>
      <c r="H547" s="25"/>
      <c r="I547" s="25"/>
    </row>
    <row r="548">
      <c r="A548" s="24"/>
      <c r="B548" s="24"/>
      <c r="C548" s="25"/>
      <c r="D548" s="25"/>
      <c r="E548" s="25"/>
      <c r="F548" s="25"/>
      <c r="G548" s="25"/>
      <c r="H548" s="25"/>
      <c r="I548" s="25"/>
    </row>
    <row r="549">
      <c r="A549" s="24"/>
      <c r="B549" s="24"/>
      <c r="C549" s="25"/>
      <c r="D549" s="25"/>
      <c r="E549" s="25"/>
      <c r="F549" s="25"/>
      <c r="G549" s="25"/>
      <c r="H549" s="25"/>
      <c r="I549" s="25"/>
    </row>
    <row r="550">
      <c r="A550" s="24"/>
      <c r="B550" s="24"/>
      <c r="C550" s="25"/>
      <c r="D550" s="25"/>
      <c r="E550" s="25"/>
      <c r="F550" s="25"/>
      <c r="G550" s="25"/>
      <c r="H550" s="25"/>
      <c r="I550" s="25"/>
    </row>
    <row r="551">
      <c r="A551" s="24"/>
      <c r="B551" s="24"/>
      <c r="C551" s="25"/>
      <c r="D551" s="25"/>
      <c r="E551" s="25"/>
      <c r="F551" s="25"/>
      <c r="G551" s="25"/>
      <c r="H551" s="25"/>
      <c r="I551" s="25"/>
    </row>
    <row r="552">
      <c r="A552" s="24"/>
      <c r="B552" s="24"/>
      <c r="C552" s="25"/>
      <c r="D552" s="25"/>
      <c r="E552" s="25"/>
      <c r="F552" s="25"/>
      <c r="G552" s="25"/>
      <c r="H552" s="25"/>
      <c r="I552" s="25"/>
    </row>
    <row r="553">
      <c r="A553" s="24"/>
      <c r="B553" s="24"/>
      <c r="C553" s="25"/>
      <c r="D553" s="25"/>
      <c r="E553" s="25"/>
      <c r="F553" s="25"/>
      <c r="G553" s="25"/>
      <c r="H553" s="25"/>
      <c r="I553" s="25"/>
    </row>
    <row r="554">
      <c r="A554" s="24"/>
      <c r="B554" s="24"/>
      <c r="C554" s="25"/>
      <c r="D554" s="25"/>
      <c r="E554" s="25"/>
      <c r="F554" s="25"/>
      <c r="G554" s="25"/>
      <c r="H554" s="25"/>
      <c r="I554" s="25"/>
    </row>
    <row r="555">
      <c r="A555" s="24"/>
      <c r="B555" s="24"/>
      <c r="C555" s="25"/>
      <c r="D555" s="25"/>
      <c r="E555" s="25"/>
      <c r="F555" s="25"/>
      <c r="G555" s="25"/>
      <c r="H555" s="25"/>
      <c r="I555" s="25"/>
    </row>
    <row r="556">
      <c r="A556" s="24"/>
      <c r="B556" s="24"/>
      <c r="C556" s="25"/>
      <c r="D556" s="25"/>
      <c r="E556" s="25"/>
      <c r="F556" s="25"/>
      <c r="G556" s="25"/>
      <c r="H556" s="25"/>
      <c r="I556" s="25"/>
    </row>
    <row r="557">
      <c r="A557" s="24"/>
      <c r="B557" s="24"/>
      <c r="C557" s="25"/>
      <c r="D557" s="25"/>
      <c r="E557" s="25"/>
      <c r="F557" s="25"/>
      <c r="G557" s="25"/>
      <c r="H557" s="25"/>
      <c r="I557" s="25"/>
    </row>
    <row r="558">
      <c r="A558" s="24"/>
      <c r="B558" s="24"/>
      <c r="C558" s="25"/>
      <c r="D558" s="25"/>
      <c r="E558" s="25"/>
      <c r="F558" s="25"/>
      <c r="G558" s="25"/>
      <c r="H558" s="25"/>
      <c r="I558" s="25"/>
    </row>
    <row r="559">
      <c r="A559" s="24"/>
      <c r="B559" s="24"/>
      <c r="C559" s="25"/>
      <c r="D559" s="25"/>
      <c r="E559" s="25"/>
      <c r="F559" s="25"/>
      <c r="G559" s="25"/>
      <c r="H559" s="25"/>
      <c r="I559" s="25"/>
    </row>
    <row r="560">
      <c r="A560" s="24"/>
      <c r="B560" s="24"/>
      <c r="C560" s="25"/>
      <c r="D560" s="25"/>
      <c r="E560" s="25"/>
      <c r="F560" s="25"/>
      <c r="G560" s="25"/>
      <c r="H560" s="25"/>
      <c r="I560" s="25"/>
    </row>
    <row r="561">
      <c r="A561" s="24"/>
      <c r="B561" s="24"/>
      <c r="C561" s="25"/>
      <c r="D561" s="25"/>
      <c r="E561" s="25"/>
      <c r="F561" s="25"/>
      <c r="G561" s="25"/>
      <c r="H561" s="25"/>
      <c r="I561" s="25"/>
    </row>
    <row r="562">
      <c r="A562" s="24"/>
      <c r="B562" s="24"/>
      <c r="C562" s="25"/>
      <c r="D562" s="25"/>
      <c r="E562" s="25"/>
      <c r="F562" s="25"/>
      <c r="G562" s="25"/>
      <c r="H562" s="25"/>
      <c r="I562" s="25"/>
    </row>
    <row r="563">
      <c r="A563" s="24"/>
      <c r="B563" s="24"/>
      <c r="C563" s="25"/>
      <c r="D563" s="25"/>
      <c r="E563" s="25"/>
      <c r="F563" s="25"/>
      <c r="G563" s="25"/>
      <c r="H563" s="25"/>
      <c r="I563" s="25"/>
    </row>
    <row r="564">
      <c r="A564" s="24"/>
      <c r="B564" s="24"/>
      <c r="C564" s="25"/>
      <c r="D564" s="25"/>
      <c r="E564" s="25"/>
      <c r="F564" s="25"/>
      <c r="G564" s="25"/>
      <c r="H564" s="25"/>
      <c r="I564" s="25"/>
    </row>
    <row r="565">
      <c r="A565" s="24"/>
      <c r="B565" s="24"/>
      <c r="C565" s="25"/>
      <c r="D565" s="25"/>
      <c r="E565" s="25"/>
      <c r="F565" s="25"/>
      <c r="G565" s="25"/>
      <c r="H565" s="25"/>
      <c r="I565" s="25"/>
    </row>
    <row r="566">
      <c r="A566" s="24"/>
      <c r="B566" s="24"/>
      <c r="C566" s="25"/>
      <c r="D566" s="25"/>
      <c r="E566" s="25"/>
      <c r="F566" s="25"/>
      <c r="G566" s="25"/>
      <c r="H566" s="25"/>
      <c r="I566" s="25"/>
    </row>
    <row r="567">
      <c r="A567" s="24"/>
      <c r="B567" s="24"/>
      <c r="C567" s="25"/>
      <c r="D567" s="25"/>
      <c r="E567" s="25"/>
      <c r="F567" s="25"/>
      <c r="G567" s="25"/>
      <c r="H567" s="25"/>
      <c r="I567" s="25"/>
    </row>
    <row r="568">
      <c r="A568" s="24"/>
      <c r="B568" s="24"/>
      <c r="C568" s="25"/>
      <c r="D568" s="25"/>
      <c r="E568" s="25"/>
      <c r="F568" s="25"/>
      <c r="G568" s="25"/>
      <c r="H568" s="25"/>
      <c r="I568" s="25"/>
    </row>
    <row r="569">
      <c r="A569" s="24"/>
      <c r="B569" s="24"/>
      <c r="C569" s="25"/>
      <c r="D569" s="25"/>
      <c r="E569" s="25"/>
      <c r="F569" s="25"/>
      <c r="G569" s="25"/>
      <c r="H569" s="25"/>
      <c r="I569" s="25"/>
    </row>
    <row r="570">
      <c r="A570" s="24"/>
      <c r="B570" s="24"/>
      <c r="C570" s="25"/>
      <c r="D570" s="25"/>
      <c r="E570" s="25"/>
      <c r="F570" s="25"/>
      <c r="G570" s="25"/>
      <c r="H570" s="25"/>
      <c r="I570" s="25"/>
    </row>
    <row r="571">
      <c r="A571" s="24"/>
      <c r="B571" s="24"/>
      <c r="C571" s="25"/>
      <c r="D571" s="25"/>
      <c r="E571" s="25"/>
      <c r="F571" s="25"/>
      <c r="G571" s="25"/>
      <c r="H571" s="25"/>
      <c r="I571" s="25"/>
    </row>
    <row r="572">
      <c r="A572" s="24"/>
      <c r="B572" s="24"/>
      <c r="C572" s="25"/>
      <c r="D572" s="25"/>
      <c r="E572" s="25"/>
      <c r="F572" s="25"/>
      <c r="G572" s="25"/>
      <c r="H572" s="25"/>
      <c r="I572" s="25"/>
    </row>
    <row r="573">
      <c r="A573" s="24"/>
      <c r="B573" s="24"/>
      <c r="C573" s="25"/>
      <c r="D573" s="25"/>
      <c r="E573" s="25"/>
      <c r="F573" s="25"/>
      <c r="G573" s="25"/>
      <c r="H573" s="25"/>
      <c r="I573" s="25"/>
    </row>
    <row r="574">
      <c r="A574" s="24"/>
      <c r="B574" s="24"/>
      <c r="C574" s="25"/>
      <c r="D574" s="25"/>
      <c r="E574" s="25"/>
      <c r="F574" s="25"/>
      <c r="G574" s="25"/>
      <c r="H574" s="25"/>
      <c r="I574" s="25"/>
    </row>
    <row r="575">
      <c r="A575" s="24"/>
      <c r="B575" s="24"/>
      <c r="C575" s="25"/>
      <c r="D575" s="25"/>
      <c r="E575" s="25"/>
      <c r="F575" s="25"/>
      <c r="G575" s="25"/>
      <c r="H575" s="25"/>
      <c r="I575" s="25"/>
    </row>
    <row r="576">
      <c r="A576" s="24"/>
      <c r="B576" s="24"/>
      <c r="C576" s="25"/>
      <c r="D576" s="25"/>
      <c r="E576" s="25"/>
      <c r="F576" s="25"/>
      <c r="G576" s="25"/>
      <c r="H576" s="25"/>
      <c r="I576" s="25"/>
    </row>
    <row r="577">
      <c r="A577" s="24"/>
      <c r="B577" s="24"/>
      <c r="C577" s="25"/>
      <c r="D577" s="25"/>
      <c r="E577" s="25"/>
      <c r="F577" s="25"/>
      <c r="G577" s="25"/>
      <c r="H577" s="25"/>
      <c r="I577" s="25"/>
    </row>
    <row r="578">
      <c r="A578" s="24"/>
      <c r="B578" s="24"/>
      <c r="C578" s="25"/>
      <c r="D578" s="25"/>
      <c r="E578" s="25"/>
      <c r="F578" s="25"/>
      <c r="G578" s="25"/>
      <c r="H578" s="25"/>
      <c r="I578" s="25"/>
    </row>
    <row r="579">
      <c r="A579" s="24"/>
      <c r="B579" s="24"/>
      <c r="C579" s="25"/>
      <c r="D579" s="25"/>
      <c r="E579" s="25"/>
      <c r="F579" s="25"/>
      <c r="G579" s="25"/>
      <c r="H579" s="25"/>
      <c r="I579" s="25"/>
    </row>
    <row r="580">
      <c r="A580" s="24"/>
      <c r="B580" s="24"/>
      <c r="C580" s="25"/>
      <c r="D580" s="25"/>
      <c r="E580" s="25"/>
      <c r="F580" s="25"/>
      <c r="G580" s="25"/>
      <c r="H580" s="25"/>
      <c r="I580" s="25"/>
    </row>
    <row r="581">
      <c r="A581" s="24"/>
      <c r="B581" s="24"/>
      <c r="C581" s="25"/>
      <c r="D581" s="25"/>
      <c r="E581" s="25"/>
      <c r="F581" s="25"/>
      <c r="G581" s="25"/>
      <c r="H581" s="25"/>
      <c r="I581" s="25"/>
    </row>
    <row r="582">
      <c r="A582" s="24"/>
      <c r="B582" s="24"/>
      <c r="C582" s="25"/>
      <c r="D582" s="25"/>
      <c r="E582" s="25"/>
      <c r="F582" s="25"/>
      <c r="G582" s="25"/>
      <c r="H582" s="25"/>
      <c r="I582" s="25"/>
    </row>
    <row r="583">
      <c r="A583" s="24"/>
      <c r="B583" s="24"/>
      <c r="C583" s="25"/>
      <c r="D583" s="25"/>
      <c r="E583" s="25"/>
      <c r="F583" s="25"/>
      <c r="G583" s="25"/>
      <c r="H583" s="25"/>
      <c r="I583" s="25"/>
    </row>
    <row r="584">
      <c r="A584" s="24"/>
      <c r="B584" s="24"/>
      <c r="C584" s="25"/>
      <c r="D584" s="25"/>
      <c r="E584" s="25"/>
      <c r="F584" s="25"/>
      <c r="G584" s="25"/>
      <c r="H584" s="25"/>
      <c r="I584" s="25"/>
    </row>
    <row r="585">
      <c r="A585" s="24"/>
      <c r="B585" s="24"/>
      <c r="C585" s="25"/>
      <c r="D585" s="25"/>
      <c r="E585" s="25"/>
      <c r="F585" s="25"/>
      <c r="G585" s="25"/>
      <c r="H585" s="25"/>
      <c r="I585" s="25"/>
    </row>
    <row r="586">
      <c r="A586" s="24"/>
      <c r="B586" s="24"/>
      <c r="C586" s="25"/>
      <c r="D586" s="25"/>
      <c r="E586" s="25"/>
      <c r="F586" s="25"/>
      <c r="G586" s="25"/>
      <c r="H586" s="25"/>
      <c r="I586" s="25"/>
    </row>
    <row r="587">
      <c r="A587" s="24"/>
      <c r="B587" s="24"/>
      <c r="C587" s="25"/>
      <c r="D587" s="25"/>
      <c r="E587" s="25"/>
      <c r="F587" s="25"/>
      <c r="G587" s="25"/>
      <c r="H587" s="25"/>
      <c r="I587" s="25"/>
    </row>
    <row r="588">
      <c r="A588" s="24"/>
      <c r="B588" s="24"/>
      <c r="C588" s="25"/>
      <c r="D588" s="25"/>
      <c r="E588" s="25"/>
      <c r="F588" s="25"/>
      <c r="G588" s="25"/>
      <c r="H588" s="25"/>
      <c r="I588" s="25"/>
    </row>
    <row r="589">
      <c r="A589" s="24"/>
      <c r="B589" s="24"/>
      <c r="C589" s="25"/>
      <c r="D589" s="25"/>
      <c r="E589" s="25"/>
      <c r="F589" s="25"/>
      <c r="G589" s="25"/>
      <c r="H589" s="25"/>
      <c r="I589" s="25"/>
    </row>
    <row r="590">
      <c r="A590" s="24"/>
      <c r="B590" s="24"/>
      <c r="C590" s="25"/>
      <c r="D590" s="25"/>
      <c r="E590" s="25"/>
      <c r="F590" s="25"/>
      <c r="G590" s="25"/>
      <c r="H590" s="25"/>
      <c r="I590" s="25"/>
    </row>
    <row r="591">
      <c r="A591" s="24"/>
      <c r="B591" s="24"/>
      <c r="C591" s="25"/>
      <c r="D591" s="25"/>
      <c r="E591" s="25"/>
      <c r="F591" s="25"/>
      <c r="G591" s="25"/>
      <c r="H591" s="25"/>
      <c r="I591" s="25"/>
    </row>
    <row r="592">
      <c r="A592" s="24"/>
      <c r="B592" s="24"/>
      <c r="C592" s="25"/>
      <c r="D592" s="25"/>
      <c r="E592" s="25"/>
      <c r="F592" s="25"/>
      <c r="G592" s="25"/>
      <c r="H592" s="25"/>
      <c r="I592" s="25"/>
    </row>
    <row r="593">
      <c r="A593" s="24"/>
      <c r="B593" s="24"/>
      <c r="C593" s="25"/>
      <c r="D593" s="25"/>
      <c r="E593" s="25"/>
      <c r="F593" s="25"/>
      <c r="G593" s="25"/>
      <c r="H593" s="25"/>
      <c r="I593" s="25"/>
    </row>
    <row r="594">
      <c r="A594" s="24"/>
      <c r="B594" s="24"/>
      <c r="C594" s="25"/>
      <c r="D594" s="25"/>
      <c r="E594" s="25"/>
      <c r="F594" s="25"/>
      <c r="G594" s="25"/>
      <c r="H594" s="25"/>
      <c r="I594" s="25"/>
    </row>
    <row r="595">
      <c r="A595" s="24"/>
      <c r="B595" s="24"/>
      <c r="C595" s="25"/>
      <c r="D595" s="25"/>
      <c r="E595" s="25"/>
      <c r="F595" s="25"/>
      <c r="G595" s="25"/>
      <c r="H595" s="25"/>
      <c r="I595" s="25"/>
    </row>
    <row r="596">
      <c r="A596" s="24"/>
      <c r="B596" s="24"/>
      <c r="C596" s="25"/>
      <c r="D596" s="25"/>
      <c r="E596" s="25"/>
      <c r="F596" s="25"/>
      <c r="G596" s="25"/>
      <c r="H596" s="25"/>
      <c r="I596" s="25"/>
    </row>
    <row r="597">
      <c r="A597" s="24"/>
      <c r="B597" s="24"/>
      <c r="C597" s="25"/>
      <c r="D597" s="25"/>
      <c r="E597" s="25"/>
      <c r="F597" s="25"/>
      <c r="G597" s="25"/>
      <c r="H597" s="25"/>
      <c r="I597" s="25"/>
    </row>
    <row r="598">
      <c r="A598" s="24"/>
      <c r="B598" s="24"/>
      <c r="C598" s="25"/>
      <c r="D598" s="25"/>
      <c r="E598" s="25"/>
      <c r="F598" s="25"/>
      <c r="G598" s="25"/>
      <c r="H598" s="25"/>
      <c r="I598" s="25"/>
    </row>
    <row r="599">
      <c r="A599" s="24"/>
      <c r="B599" s="24"/>
      <c r="C599" s="25"/>
      <c r="D599" s="25"/>
      <c r="E599" s="25"/>
      <c r="F599" s="25"/>
      <c r="G599" s="25"/>
      <c r="H599" s="25"/>
      <c r="I599" s="25"/>
    </row>
    <row r="600">
      <c r="A600" s="24"/>
      <c r="B600" s="24"/>
      <c r="C600" s="25"/>
      <c r="D600" s="25"/>
      <c r="E600" s="25"/>
      <c r="F600" s="25"/>
      <c r="G600" s="25"/>
      <c r="H600" s="25"/>
      <c r="I600" s="25"/>
    </row>
    <row r="601">
      <c r="A601" s="24"/>
      <c r="B601" s="24"/>
      <c r="C601" s="25"/>
      <c r="D601" s="25"/>
      <c r="E601" s="25"/>
      <c r="F601" s="25"/>
      <c r="G601" s="25"/>
      <c r="H601" s="25"/>
      <c r="I601" s="25"/>
    </row>
    <row r="602">
      <c r="A602" s="24"/>
      <c r="B602" s="24"/>
      <c r="C602" s="25"/>
      <c r="D602" s="25"/>
      <c r="E602" s="25"/>
      <c r="F602" s="25"/>
      <c r="G602" s="25"/>
      <c r="H602" s="25"/>
      <c r="I602" s="25"/>
    </row>
    <row r="603">
      <c r="A603" s="24"/>
      <c r="B603" s="24"/>
      <c r="C603" s="25"/>
      <c r="D603" s="25"/>
      <c r="E603" s="25"/>
      <c r="F603" s="25"/>
      <c r="G603" s="25"/>
      <c r="H603" s="25"/>
      <c r="I603" s="25"/>
    </row>
    <row r="604">
      <c r="A604" s="24"/>
      <c r="B604" s="24"/>
      <c r="C604" s="25"/>
      <c r="D604" s="25"/>
      <c r="E604" s="25"/>
      <c r="F604" s="25"/>
      <c r="G604" s="25"/>
      <c r="H604" s="25"/>
      <c r="I604" s="25"/>
    </row>
    <row r="605">
      <c r="A605" s="24"/>
      <c r="B605" s="24"/>
      <c r="C605" s="25"/>
      <c r="D605" s="25"/>
      <c r="E605" s="25"/>
      <c r="F605" s="25"/>
      <c r="G605" s="25"/>
      <c r="H605" s="25"/>
      <c r="I605" s="25"/>
    </row>
    <row r="606">
      <c r="A606" s="24"/>
      <c r="B606" s="24"/>
      <c r="C606" s="25"/>
      <c r="D606" s="25"/>
      <c r="E606" s="25"/>
      <c r="F606" s="25"/>
      <c r="G606" s="25"/>
      <c r="H606" s="25"/>
      <c r="I606" s="25"/>
    </row>
    <row r="607">
      <c r="A607" s="24"/>
      <c r="B607" s="24"/>
      <c r="C607" s="25"/>
      <c r="D607" s="25"/>
      <c r="E607" s="25"/>
      <c r="F607" s="25"/>
      <c r="G607" s="25"/>
      <c r="H607" s="25"/>
      <c r="I607" s="25"/>
    </row>
    <row r="608">
      <c r="A608" s="24"/>
      <c r="B608" s="24"/>
      <c r="C608" s="25"/>
      <c r="D608" s="25"/>
      <c r="E608" s="25"/>
      <c r="F608" s="25"/>
      <c r="G608" s="25"/>
      <c r="H608" s="25"/>
      <c r="I608" s="25"/>
    </row>
    <row r="609">
      <c r="A609" s="24"/>
      <c r="B609" s="24"/>
      <c r="C609" s="25"/>
      <c r="D609" s="25"/>
      <c r="E609" s="25"/>
      <c r="F609" s="25"/>
      <c r="G609" s="25"/>
      <c r="H609" s="25"/>
      <c r="I609" s="25"/>
    </row>
    <row r="610">
      <c r="A610" s="24"/>
      <c r="B610" s="24"/>
      <c r="C610" s="25"/>
      <c r="D610" s="25"/>
      <c r="E610" s="25"/>
      <c r="F610" s="25"/>
      <c r="G610" s="25"/>
      <c r="H610" s="25"/>
      <c r="I610" s="25"/>
    </row>
    <row r="611">
      <c r="A611" s="24"/>
      <c r="B611" s="24"/>
      <c r="C611" s="25"/>
      <c r="D611" s="25"/>
      <c r="E611" s="25"/>
      <c r="F611" s="25"/>
      <c r="G611" s="25"/>
      <c r="H611" s="25"/>
      <c r="I611" s="25"/>
    </row>
    <row r="612">
      <c r="A612" s="24"/>
      <c r="B612" s="24"/>
      <c r="C612" s="25"/>
      <c r="D612" s="25"/>
      <c r="E612" s="25"/>
      <c r="F612" s="25"/>
      <c r="G612" s="25"/>
      <c r="H612" s="25"/>
      <c r="I612" s="25"/>
    </row>
    <row r="613">
      <c r="A613" s="24"/>
      <c r="B613" s="24"/>
      <c r="C613" s="25"/>
      <c r="D613" s="25"/>
      <c r="E613" s="25"/>
      <c r="F613" s="25"/>
      <c r="G613" s="25"/>
      <c r="H613" s="25"/>
      <c r="I613" s="25"/>
    </row>
    <row r="614">
      <c r="A614" s="24"/>
      <c r="B614" s="24"/>
      <c r="C614" s="25"/>
      <c r="D614" s="25"/>
      <c r="E614" s="25"/>
      <c r="F614" s="25"/>
      <c r="G614" s="25"/>
      <c r="H614" s="25"/>
      <c r="I614" s="25"/>
    </row>
    <row r="615">
      <c r="A615" s="24"/>
      <c r="B615" s="24"/>
      <c r="C615" s="25"/>
      <c r="D615" s="25"/>
      <c r="E615" s="25"/>
      <c r="F615" s="25"/>
      <c r="G615" s="25"/>
      <c r="H615" s="25"/>
      <c r="I615" s="25"/>
    </row>
    <row r="616">
      <c r="A616" s="24"/>
      <c r="B616" s="24"/>
      <c r="C616" s="25"/>
      <c r="D616" s="25"/>
      <c r="E616" s="25"/>
      <c r="F616" s="25"/>
      <c r="G616" s="25"/>
      <c r="H616" s="25"/>
      <c r="I616" s="25"/>
    </row>
    <row r="617">
      <c r="A617" s="24"/>
      <c r="B617" s="24"/>
      <c r="C617" s="25"/>
      <c r="D617" s="25"/>
      <c r="E617" s="25"/>
      <c r="F617" s="25"/>
      <c r="G617" s="25"/>
      <c r="H617" s="25"/>
      <c r="I617" s="25"/>
    </row>
    <row r="618">
      <c r="A618" s="24"/>
      <c r="B618" s="24"/>
      <c r="C618" s="25"/>
      <c r="D618" s="25"/>
      <c r="E618" s="25"/>
      <c r="F618" s="25"/>
      <c r="G618" s="25"/>
      <c r="H618" s="25"/>
      <c r="I618" s="25"/>
    </row>
    <row r="619">
      <c r="A619" s="24"/>
      <c r="B619" s="24"/>
      <c r="C619" s="25"/>
      <c r="D619" s="25"/>
      <c r="E619" s="25"/>
      <c r="F619" s="25"/>
      <c r="G619" s="25"/>
      <c r="H619" s="25"/>
      <c r="I619" s="25"/>
    </row>
    <row r="620">
      <c r="A620" s="24"/>
      <c r="B620" s="24"/>
      <c r="C620" s="25"/>
      <c r="D620" s="25"/>
      <c r="E620" s="25"/>
      <c r="F620" s="25"/>
      <c r="G620" s="25"/>
      <c r="H620" s="25"/>
      <c r="I620" s="25"/>
    </row>
    <row r="621">
      <c r="A621" s="24"/>
      <c r="B621" s="24"/>
      <c r="C621" s="25"/>
      <c r="D621" s="25"/>
      <c r="E621" s="25"/>
      <c r="F621" s="25"/>
      <c r="G621" s="25"/>
      <c r="H621" s="25"/>
      <c r="I621" s="25"/>
    </row>
    <row r="622">
      <c r="A622" s="24"/>
      <c r="B622" s="24"/>
      <c r="C622" s="25"/>
      <c r="D622" s="25"/>
      <c r="E622" s="25"/>
      <c r="F622" s="25"/>
      <c r="G622" s="25"/>
      <c r="H622" s="25"/>
      <c r="I622" s="25"/>
    </row>
    <row r="623">
      <c r="A623" s="24"/>
      <c r="B623" s="24"/>
      <c r="C623" s="25"/>
      <c r="D623" s="25"/>
      <c r="E623" s="25"/>
      <c r="F623" s="25"/>
      <c r="G623" s="25"/>
      <c r="H623" s="25"/>
      <c r="I623" s="25"/>
    </row>
    <row r="624">
      <c r="A624" s="24"/>
      <c r="B624" s="24"/>
      <c r="C624" s="25"/>
      <c r="D624" s="25"/>
      <c r="E624" s="25"/>
      <c r="F624" s="25"/>
      <c r="G624" s="25"/>
      <c r="H624" s="25"/>
      <c r="I624" s="25"/>
    </row>
    <row r="625">
      <c r="A625" s="24"/>
      <c r="B625" s="24"/>
      <c r="C625" s="25"/>
      <c r="D625" s="25"/>
      <c r="E625" s="25"/>
      <c r="F625" s="25"/>
      <c r="G625" s="25"/>
      <c r="H625" s="25"/>
      <c r="I625" s="25"/>
    </row>
    <row r="626">
      <c r="A626" s="24"/>
      <c r="B626" s="24"/>
      <c r="C626" s="25"/>
      <c r="D626" s="25"/>
      <c r="E626" s="25"/>
      <c r="F626" s="25"/>
      <c r="G626" s="25"/>
      <c r="H626" s="25"/>
      <c r="I626" s="25"/>
    </row>
    <row r="627">
      <c r="A627" s="24"/>
      <c r="B627" s="24"/>
      <c r="C627" s="25"/>
      <c r="D627" s="25"/>
      <c r="E627" s="25"/>
      <c r="F627" s="25"/>
      <c r="G627" s="25"/>
      <c r="H627" s="25"/>
      <c r="I627" s="25"/>
    </row>
    <row r="628">
      <c r="A628" s="24"/>
      <c r="B628" s="24"/>
      <c r="C628" s="25"/>
      <c r="D628" s="25"/>
      <c r="E628" s="25"/>
      <c r="F628" s="25"/>
      <c r="G628" s="25"/>
      <c r="H628" s="25"/>
      <c r="I628" s="25"/>
    </row>
    <row r="629">
      <c r="A629" s="24"/>
      <c r="B629" s="24"/>
      <c r="C629" s="25"/>
      <c r="D629" s="25"/>
      <c r="E629" s="25"/>
      <c r="F629" s="25"/>
      <c r="G629" s="25"/>
      <c r="H629" s="25"/>
      <c r="I629" s="25"/>
    </row>
    <row r="630">
      <c r="A630" s="24"/>
      <c r="B630" s="24"/>
      <c r="C630" s="25"/>
      <c r="D630" s="25"/>
      <c r="E630" s="25"/>
      <c r="F630" s="25"/>
      <c r="G630" s="25"/>
      <c r="H630" s="25"/>
      <c r="I630" s="25"/>
    </row>
    <row r="631">
      <c r="A631" s="24"/>
      <c r="B631" s="24"/>
      <c r="C631" s="25"/>
      <c r="D631" s="25"/>
      <c r="E631" s="25"/>
      <c r="F631" s="25"/>
      <c r="G631" s="25"/>
      <c r="H631" s="25"/>
      <c r="I631" s="25"/>
    </row>
    <row r="632">
      <c r="A632" s="24"/>
      <c r="B632" s="24"/>
      <c r="C632" s="25"/>
      <c r="D632" s="25"/>
      <c r="E632" s="25"/>
      <c r="F632" s="25"/>
      <c r="G632" s="25"/>
      <c r="H632" s="25"/>
      <c r="I632" s="25"/>
    </row>
    <row r="633">
      <c r="A633" s="24"/>
      <c r="B633" s="24"/>
      <c r="C633" s="25"/>
      <c r="D633" s="25"/>
      <c r="E633" s="25"/>
      <c r="F633" s="25"/>
      <c r="G633" s="25"/>
      <c r="H633" s="25"/>
      <c r="I633" s="25"/>
    </row>
    <row r="634">
      <c r="A634" s="24"/>
      <c r="B634" s="24"/>
      <c r="C634" s="25"/>
      <c r="D634" s="25"/>
      <c r="E634" s="25"/>
      <c r="F634" s="25"/>
      <c r="G634" s="25"/>
      <c r="H634" s="25"/>
      <c r="I634" s="25"/>
    </row>
    <row r="635">
      <c r="A635" s="24"/>
      <c r="B635" s="24"/>
      <c r="C635" s="25"/>
      <c r="D635" s="25"/>
      <c r="E635" s="25"/>
      <c r="F635" s="25"/>
      <c r="G635" s="25"/>
      <c r="H635" s="25"/>
      <c r="I635" s="25"/>
    </row>
    <row r="636">
      <c r="A636" s="24"/>
      <c r="B636" s="24"/>
      <c r="C636" s="25"/>
      <c r="D636" s="25"/>
      <c r="E636" s="25"/>
      <c r="F636" s="25"/>
      <c r="G636" s="25"/>
      <c r="H636" s="25"/>
      <c r="I636" s="25"/>
    </row>
    <row r="637">
      <c r="A637" s="24"/>
      <c r="B637" s="24"/>
      <c r="C637" s="25"/>
      <c r="D637" s="25"/>
      <c r="E637" s="25"/>
      <c r="F637" s="25"/>
      <c r="G637" s="25"/>
      <c r="H637" s="25"/>
      <c r="I637" s="25"/>
    </row>
    <row r="638">
      <c r="A638" s="24"/>
      <c r="B638" s="24"/>
      <c r="C638" s="25"/>
      <c r="D638" s="25"/>
      <c r="E638" s="25"/>
      <c r="F638" s="25"/>
      <c r="G638" s="25"/>
      <c r="H638" s="25"/>
      <c r="I638" s="25"/>
    </row>
    <row r="639">
      <c r="A639" s="24"/>
      <c r="B639" s="24"/>
      <c r="C639" s="25"/>
      <c r="D639" s="25"/>
      <c r="E639" s="25"/>
      <c r="F639" s="25"/>
      <c r="G639" s="25"/>
      <c r="H639" s="25"/>
      <c r="I639" s="25"/>
    </row>
    <row r="640">
      <c r="A640" s="24"/>
      <c r="B640" s="24"/>
      <c r="C640" s="25"/>
      <c r="D640" s="25"/>
      <c r="E640" s="25"/>
      <c r="F640" s="25"/>
      <c r="G640" s="25"/>
      <c r="H640" s="25"/>
      <c r="I640" s="25"/>
    </row>
    <row r="641">
      <c r="A641" s="24"/>
      <c r="B641" s="24"/>
      <c r="C641" s="25"/>
      <c r="D641" s="25"/>
      <c r="E641" s="25"/>
      <c r="F641" s="25"/>
      <c r="G641" s="25"/>
      <c r="H641" s="25"/>
      <c r="I641" s="25"/>
    </row>
    <row r="642">
      <c r="A642" s="24"/>
      <c r="B642" s="24"/>
      <c r="C642" s="25"/>
      <c r="D642" s="25"/>
      <c r="E642" s="25"/>
      <c r="F642" s="25"/>
      <c r="G642" s="25"/>
      <c r="H642" s="25"/>
      <c r="I642" s="25"/>
    </row>
    <row r="643">
      <c r="A643" s="24"/>
      <c r="B643" s="24"/>
      <c r="C643" s="25"/>
      <c r="D643" s="25"/>
      <c r="E643" s="25"/>
      <c r="F643" s="25"/>
      <c r="G643" s="25"/>
      <c r="H643" s="25"/>
      <c r="I643" s="25"/>
    </row>
    <row r="644">
      <c r="A644" s="24"/>
      <c r="B644" s="24"/>
      <c r="C644" s="25"/>
      <c r="D644" s="25"/>
      <c r="E644" s="25"/>
      <c r="F644" s="25"/>
      <c r="G644" s="25"/>
      <c r="H644" s="25"/>
      <c r="I644" s="25"/>
    </row>
    <row r="645">
      <c r="A645" s="24"/>
      <c r="B645" s="24"/>
      <c r="C645" s="25"/>
      <c r="D645" s="25"/>
      <c r="E645" s="25"/>
      <c r="F645" s="25"/>
      <c r="G645" s="25"/>
      <c r="H645" s="25"/>
      <c r="I645" s="25"/>
    </row>
    <row r="646">
      <c r="A646" s="24"/>
      <c r="B646" s="24"/>
      <c r="C646" s="25"/>
      <c r="D646" s="25"/>
      <c r="E646" s="25"/>
      <c r="F646" s="25"/>
      <c r="G646" s="25"/>
      <c r="H646" s="25"/>
      <c r="I646" s="25"/>
    </row>
    <row r="647">
      <c r="A647" s="24"/>
      <c r="B647" s="24"/>
      <c r="C647" s="25"/>
      <c r="D647" s="25"/>
      <c r="E647" s="25"/>
      <c r="F647" s="25"/>
      <c r="G647" s="25"/>
      <c r="H647" s="25"/>
      <c r="I647" s="25"/>
    </row>
    <row r="648">
      <c r="A648" s="24"/>
      <c r="B648" s="24"/>
      <c r="C648" s="25"/>
      <c r="D648" s="25"/>
      <c r="E648" s="25"/>
      <c r="F648" s="25"/>
      <c r="G648" s="25"/>
      <c r="H648" s="25"/>
      <c r="I648" s="25"/>
    </row>
    <row r="649">
      <c r="A649" s="24"/>
      <c r="B649" s="24"/>
      <c r="C649" s="25"/>
      <c r="D649" s="25"/>
      <c r="E649" s="25"/>
      <c r="F649" s="25"/>
      <c r="G649" s="25"/>
      <c r="H649" s="25"/>
      <c r="I649" s="25"/>
    </row>
    <row r="650">
      <c r="A650" s="24"/>
      <c r="B650" s="24"/>
      <c r="C650" s="25"/>
      <c r="D650" s="25"/>
      <c r="E650" s="25"/>
      <c r="F650" s="25"/>
      <c r="G650" s="25"/>
      <c r="H650" s="25"/>
      <c r="I650" s="25"/>
    </row>
    <row r="651">
      <c r="A651" s="24"/>
      <c r="B651" s="24"/>
      <c r="C651" s="25"/>
      <c r="D651" s="25"/>
      <c r="E651" s="25"/>
      <c r="F651" s="25"/>
      <c r="G651" s="25"/>
      <c r="H651" s="25"/>
      <c r="I651" s="25"/>
    </row>
    <row r="652">
      <c r="A652" s="24"/>
      <c r="B652" s="24"/>
      <c r="C652" s="25"/>
      <c r="D652" s="25"/>
      <c r="E652" s="25"/>
      <c r="F652" s="25"/>
      <c r="G652" s="25"/>
      <c r="H652" s="25"/>
      <c r="I652" s="25"/>
    </row>
    <row r="653">
      <c r="A653" s="24"/>
      <c r="B653" s="24"/>
      <c r="C653" s="25"/>
      <c r="D653" s="25"/>
      <c r="E653" s="25"/>
      <c r="F653" s="25"/>
      <c r="G653" s="25"/>
      <c r="H653" s="25"/>
      <c r="I653" s="25"/>
    </row>
    <row r="654">
      <c r="A654" s="24"/>
      <c r="B654" s="24"/>
      <c r="C654" s="25"/>
      <c r="D654" s="25"/>
      <c r="E654" s="25"/>
      <c r="F654" s="25"/>
      <c r="G654" s="25"/>
      <c r="H654" s="25"/>
      <c r="I654" s="25"/>
    </row>
    <row r="655">
      <c r="A655" s="24"/>
      <c r="B655" s="24"/>
      <c r="C655" s="25"/>
      <c r="D655" s="25"/>
      <c r="E655" s="25"/>
      <c r="F655" s="25"/>
      <c r="G655" s="25"/>
      <c r="H655" s="25"/>
      <c r="I655" s="25"/>
    </row>
    <row r="656">
      <c r="A656" s="24"/>
      <c r="B656" s="24"/>
      <c r="C656" s="25"/>
      <c r="D656" s="25"/>
      <c r="E656" s="25"/>
      <c r="F656" s="25"/>
      <c r="G656" s="25"/>
      <c r="H656" s="25"/>
      <c r="I656" s="25"/>
    </row>
    <row r="657">
      <c r="A657" s="24"/>
      <c r="B657" s="24"/>
      <c r="C657" s="25"/>
      <c r="D657" s="25"/>
      <c r="E657" s="25"/>
      <c r="F657" s="25"/>
      <c r="G657" s="25"/>
      <c r="H657" s="25"/>
      <c r="I657" s="25"/>
    </row>
    <row r="658">
      <c r="A658" s="24"/>
      <c r="B658" s="24"/>
      <c r="C658" s="25"/>
      <c r="D658" s="25"/>
      <c r="E658" s="25"/>
      <c r="F658" s="25"/>
      <c r="G658" s="25"/>
      <c r="H658" s="25"/>
      <c r="I658" s="25"/>
    </row>
    <row r="659">
      <c r="A659" s="24"/>
      <c r="B659" s="24"/>
      <c r="C659" s="25"/>
      <c r="D659" s="25"/>
      <c r="E659" s="25"/>
      <c r="F659" s="25"/>
      <c r="G659" s="25"/>
      <c r="H659" s="25"/>
      <c r="I659" s="25"/>
    </row>
    <row r="660">
      <c r="A660" s="24"/>
      <c r="B660" s="24"/>
      <c r="C660" s="25"/>
      <c r="D660" s="25"/>
      <c r="E660" s="25"/>
      <c r="F660" s="25"/>
      <c r="G660" s="25"/>
      <c r="H660" s="25"/>
      <c r="I660" s="25"/>
    </row>
    <row r="661">
      <c r="A661" s="24"/>
      <c r="B661" s="24"/>
      <c r="C661" s="25"/>
      <c r="D661" s="25"/>
      <c r="E661" s="25"/>
      <c r="F661" s="25"/>
      <c r="G661" s="25"/>
      <c r="H661" s="25"/>
      <c r="I661" s="25"/>
    </row>
    <row r="662">
      <c r="A662" s="24"/>
      <c r="B662" s="24"/>
      <c r="C662" s="25"/>
      <c r="D662" s="25"/>
      <c r="E662" s="25"/>
      <c r="F662" s="25"/>
      <c r="G662" s="25"/>
      <c r="H662" s="25"/>
      <c r="I662" s="25"/>
    </row>
    <row r="663">
      <c r="A663" s="24"/>
      <c r="B663" s="24"/>
      <c r="C663" s="25"/>
      <c r="D663" s="25"/>
      <c r="E663" s="25"/>
      <c r="F663" s="25"/>
      <c r="G663" s="25"/>
      <c r="H663" s="25"/>
      <c r="I663" s="25"/>
    </row>
    <row r="664">
      <c r="A664" s="24"/>
      <c r="B664" s="24"/>
      <c r="C664" s="25"/>
      <c r="D664" s="25"/>
      <c r="E664" s="25"/>
      <c r="F664" s="25"/>
      <c r="G664" s="25"/>
      <c r="H664" s="25"/>
      <c r="I664" s="25"/>
    </row>
    <row r="665">
      <c r="A665" s="24"/>
      <c r="B665" s="24"/>
      <c r="C665" s="25"/>
      <c r="D665" s="25"/>
      <c r="E665" s="25"/>
      <c r="F665" s="25"/>
      <c r="G665" s="25"/>
      <c r="H665" s="25"/>
      <c r="I665" s="25"/>
    </row>
    <row r="666">
      <c r="A666" s="24"/>
      <c r="B666" s="24"/>
      <c r="C666" s="25"/>
      <c r="D666" s="25"/>
      <c r="E666" s="25"/>
      <c r="F666" s="25"/>
      <c r="G666" s="25"/>
      <c r="H666" s="25"/>
      <c r="I666" s="25"/>
    </row>
    <row r="667">
      <c r="A667" s="24"/>
      <c r="B667" s="24"/>
      <c r="C667" s="25"/>
      <c r="D667" s="25"/>
      <c r="E667" s="25"/>
      <c r="F667" s="25"/>
      <c r="G667" s="25"/>
      <c r="H667" s="25"/>
      <c r="I667" s="25"/>
    </row>
    <row r="668">
      <c r="A668" s="24"/>
      <c r="B668" s="24"/>
      <c r="C668" s="25"/>
      <c r="D668" s="25"/>
      <c r="E668" s="25"/>
      <c r="F668" s="25"/>
      <c r="G668" s="25"/>
      <c r="H668" s="25"/>
      <c r="I668" s="25"/>
    </row>
    <row r="669">
      <c r="A669" s="24"/>
      <c r="B669" s="24"/>
      <c r="C669" s="25"/>
      <c r="D669" s="25"/>
      <c r="E669" s="25"/>
      <c r="F669" s="25"/>
      <c r="G669" s="25"/>
      <c r="H669" s="25"/>
      <c r="I669" s="25"/>
    </row>
    <row r="670">
      <c r="A670" s="24"/>
      <c r="B670" s="24"/>
      <c r="C670" s="25"/>
      <c r="D670" s="25"/>
      <c r="E670" s="25"/>
      <c r="F670" s="25"/>
      <c r="G670" s="25"/>
      <c r="H670" s="25"/>
      <c r="I670" s="25"/>
    </row>
    <row r="671">
      <c r="A671" s="24"/>
      <c r="B671" s="24"/>
      <c r="C671" s="25"/>
      <c r="D671" s="25"/>
      <c r="E671" s="25"/>
      <c r="F671" s="25"/>
      <c r="G671" s="25"/>
      <c r="H671" s="25"/>
      <c r="I671" s="25"/>
    </row>
    <row r="672">
      <c r="A672" s="24"/>
      <c r="B672" s="24"/>
      <c r="C672" s="25"/>
      <c r="D672" s="25"/>
      <c r="E672" s="25"/>
      <c r="F672" s="25"/>
      <c r="G672" s="25"/>
      <c r="H672" s="25"/>
      <c r="I672" s="25"/>
    </row>
    <row r="673">
      <c r="A673" s="24"/>
      <c r="B673" s="24"/>
      <c r="C673" s="25"/>
      <c r="D673" s="25"/>
      <c r="E673" s="25"/>
      <c r="F673" s="25"/>
      <c r="G673" s="25"/>
      <c r="H673" s="25"/>
      <c r="I673" s="25"/>
    </row>
    <row r="674">
      <c r="A674" s="24"/>
      <c r="B674" s="24"/>
      <c r="C674" s="25"/>
      <c r="D674" s="25"/>
      <c r="E674" s="25"/>
      <c r="F674" s="25"/>
      <c r="G674" s="25"/>
      <c r="H674" s="25"/>
      <c r="I674" s="25"/>
    </row>
    <row r="675">
      <c r="A675" s="24"/>
      <c r="B675" s="24"/>
      <c r="C675" s="25"/>
      <c r="D675" s="25"/>
      <c r="E675" s="25"/>
      <c r="F675" s="25"/>
      <c r="G675" s="25"/>
      <c r="H675" s="25"/>
      <c r="I675" s="25"/>
    </row>
    <row r="676">
      <c r="A676" s="24"/>
      <c r="B676" s="24"/>
      <c r="C676" s="25"/>
      <c r="D676" s="25"/>
      <c r="E676" s="25"/>
      <c r="F676" s="25"/>
      <c r="G676" s="25"/>
      <c r="H676" s="25"/>
      <c r="I676" s="25"/>
    </row>
    <row r="677">
      <c r="A677" s="24"/>
      <c r="B677" s="24"/>
      <c r="C677" s="25"/>
      <c r="D677" s="25"/>
      <c r="E677" s="25"/>
      <c r="F677" s="25"/>
      <c r="G677" s="25"/>
      <c r="H677" s="25"/>
      <c r="I677" s="25"/>
    </row>
    <row r="678">
      <c r="A678" s="24"/>
      <c r="B678" s="24"/>
      <c r="C678" s="25"/>
      <c r="D678" s="25"/>
      <c r="E678" s="25"/>
      <c r="F678" s="25"/>
      <c r="G678" s="25"/>
      <c r="H678" s="25"/>
      <c r="I678" s="25"/>
    </row>
    <row r="679">
      <c r="A679" s="24"/>
      <c r="B679" s="24"/>
      <c r="C679" s="25"/>
      <c r="D679" s="25"/>
      <c r="E679" s="25"/>
      <c r="F679" s="25"/>
      <c r="G679" s="25"/>
      <c r="H679" s="25"/>
      <c r="I679" s="25"/>
    </row>
    <row r="680">
      <c r="A680" s="24"/>
      <c r="B680" s="24"/>
      <c r="C680" s="25"/>
      <c r="D680" s="25"/>
      <c r="E680" s="25"/>
      <c r="F680" s="25"/>
      <c r="G680" s="25"/>
      <c r="H680" s="25"/>
      <c r="I680" s="25"/>
    </row>
    <row r="681">
      <c r="A681" s="24"/>
      <c r="B681" s="24"/>
      <c r="C681" s="25"/>
      <c r="D681" s="25"/>
      <c r="E681" s="25"/>
      <c r="F681" s="25"/>
      <c r="G681" s="25"/>
      <c r="H681" s="25"/>
      <c r="I681" s="25"/>
    </row>
    <row r="682">
      <c r="A682" s="24"/>
      <c r="B682" s="24"/>
      <c r="C682" s="25"/>
      <c r="D682" s="25"/>
      <c r="E682" s="25"/>
      <c r="F682" s="25"/>
      <c r="G682" s="25"/>
      <c r="H682" s="25"/>
      <c r="I682" s="25"/>
    </row>
    <row r="683">
      <c r="A683" s="24"/>
      <c r="B683" s="24"/>
      <c r="C683" s="25"/>
      <c r="D683" s="25"/>
      <c r="E683" s="25"/>
      <c r="F683" s="25"/>
      <c r="G683" s="25"/>
      <c r="H683" s="25"/>
      <c r="I683" s="25"/>
    </row>
    <row r="684">
      <c r="A684" s="24"/>
      <c r="B684" s="24"/>
      <c r="C684" s="25"/>
      <c r="D684" s="25"/>
      <c r="E684" s="25"/>
      <c r="F684" s="25"/>
      <c r="G684" s="25"/>
      <c r="H684" s="25"/>
      <c r="I684" s="25"/>
    </row>
    <row r="685">
      <c r="A685" s="24"/>
      <c r="B685" s="24"/>
      <c r="C685" s="25"/>
      <c r="D685" s="25"/>
      <c r="E685" s="25"/>
      <c r="F685" s="25"/>
      <c r="G685" s="25"/>
      <c r="H685" s="25"/>
      <c r="I685" s="25"/>
    </row>
    <row r="686">
      <c r="A686" s="24"/>
      <c r="B686" s="24"/>
      <c r="C686" s="25"/>
      <c r="D686" s="25"/>
      <c r="E686" s="25"/>
      <c r="F686" s="25"/>
      <c r="G686" s="25"/>
      <c r="H686" s="25"/>
      <c r="I686" s="25"/>
    </row>
    <row r="687">
      <c r="A687" s="24"/>
      <c r="B687" s="24"/>
      <c r="C687" s="25"/>
      <c r="D687" s="25"/>
      <c r="E687" s="25"/>
      <c r="F687" s="25"/>
      <c r="G687" s="25"/>
      <c r="H687" s="25"/>
      <c r="I687" s="25"/>
    </row>
    <row r="688">
      <c r="A688" s="24"/>
      <c r="B688" s="24"/>
      <c r="C688" s="25"/>
      <c r="D688" s="25"/>
      <c r="E688" s="25"/>
      <c r="F688" s="25"/>
      <c r="G688" s="25"/>
      <c r="H688" s="25"/>
      <c r="I688" s="25"/>
    </row>
    <row r="689">
      <c r="A689" s="24"/>
      <c r="B689" s="24"/>
      <c r="C689" s="25"/>
      <c r="D689" s="25"/>
      <c r="E689" s="25"/>
      <c r="F689" s="25"/>
      <c r="G689" s="25"/>
      <c r="H689" s="25"/>
      <c r="I689" s="25"/>
    </row>
    <row r="690">
      <c r="A690" s="24"/>
      <c r="B690" s="24"/>
      <c r="C690" s="25"/>
      <c r="D690" s="25"/>
      <c r="E690" s="25"/>
      <c r="F690" s="25"/>
      <c r="G690" s="25"/>
      <c r="H690" s="25"/>
      <c r="I690" s="25"/>
    </row>
    <row r="691">
      <c r="A691" s="24"/>
      <c r="B691" s="24"/>
      <c r="C691" s="25"/>
      <c r="D691" s="25"/>
      <c r="E691" s="25"/>
      <c r="F691" s="25"/>
      <c r="G691" s="25"/>
      <c r="H691" s="25"/>
      <c r="I691" s="25"/>
    </row>
    <row r="692">
      <c r="A692" s="24"/>
      <c r="B692" s="24"/>
      <c r="C692" s="25"/>
      <c r="D692" s="25"/>
      <c r="E692" s="25"/>
      <c r="F692" s="25"/>
      <c r="G692" s="25"/>
      <c r="H692" s="25"/>
      <c r="I692" s="25"/>
    </row>
    <row r="693">
      <c r="A693" s="24"/>
      <c r="B693" s="24"/>
      <c r="C693" s="25"/>
      <c r="D693" s="25"/>
      <c r="E693" s="25"/>
      <c r="F693" s="25"/>
      <c r="G693" s="25"/>
      <c r="H693" s="25"/>
      <c r="I693" s="25"/>
    </row>
    <row r="694">
      <c r="A694" s="24"/>
      <c r="B694" s="24"/>
      <c r="C694" s="25"/>
      <c r="D694" s="25"/>
      <c r="E694" s="25"/>
      <c r="F694" s="25"/>
      <c r="G694" s="25"/>
      <c r="H694" s="25"/>
      <c r="I694" s="25"/>
    </row>
    <row r="695">
      <c r="A695" s="24"/>
      <c r="B695" s="24"/>
      <c r="C695" s="25"/>
      <c r="D695" s="25"/>
      <c r="E695" s="25"/>
      <c r="F695" s="25"/>
      <c r="G695" s="25"/>
      <c r="H695" s="25"/>
      <c r="I695" s="25"/>
    </row>
    <row r="696">
      <c r="A696" s="24"/>
      <c r="B696" s="24"/>
      <c r="C696" s="25"/>
      <c r="D696" s="25"/>
      <c r="E696" s="25"/>
      <c r="F696" s="25"/>
      <c r="G696" s="25"/>
      <c r="H696" s="25"/>
      <c r="I696" s="25"/>
    </row>
    <row r="697">
      <c r="A697" s="24"/>
      <c r="B697" s="24"/>
      <c r="C697" s="25"/>
      <c r="D697" s="25"/>
      <c r="E697" s="25"/>
      <c r="F697" s="25"/>
      <c r="G697" s="25"/>
      <c r="H697" s="25"/>
      <c r="I697" s="25"/>
    </row>
    <row r="698">
      <c r="A698" s="24"/>
      <c r="B698" s="24"/>
      <c r="C698" s="25"/>
      <c r="D698" s="25"/>
      <c r="E698" s="25"/>
      <c r="F698" s="25"/>
      <c r="G698" s="25"/>
      <c r="H698" s="25"/>
      <c r="I698" s="25"/>
    </row>
    <row r="699">
      <c r="A699" s="24"/>
      <c r="B699" s="24"/>
      <c r="C699" s="25"/>
      <c r="D699" s="25"/>
      <c r="E699" s="25"/>
      <c r="F699" s="25"/>
      <c r="G699" s="25"/>
      <c r="H699" s="25"/>
      <c r="I699" s="25"/>
    </row>
    <row r="700">
      <c r="A700" s="24"/>
      <c r="B700" s="24"/>
      <c r="C700" s="25"/>
      <c r="D700" s="25"/>
      <c r="E700" s="25"/>
      <c r="F700" s="25"/>
      <c r="G700" s="25"/>
      <c r="H700" s="25"/>
      <c r="I700" s="25"/>
    </row>
    <row r="701">
      <c r="A701" s="24"/>
      <c r="B701" s="24"/>
      <c r="C701" s="25"/>
      <c r="D701" s="25"/>
      <c r="E701" s="25"/>
      <c r="F701" s="25"/>
      <c r="G701" s="25"/>
      <c r="H701" s="25"/>
      <c r="I701" s="25"/>
    </row>
    <row r="702">
      <c r="A702" s="24"/>
      <c r="B702" s="24"/>
      <c r="C702" s="25"/>
      <c r="D702" s="25"/>
      <c r="E702" s="25"/>
      <c r="F702" s="25"/>
      <c r="G702" s="25"/>
      <c r="H702" s="25"/>
      <c r="I702" s="25"/>
    </row>
    <row r="703">
      <c r="A703" s="24"/>
      <c r="B703" s="24"/>
      <c r="C703" s="25"/>
      <c r="D703" s="25"/>
      <c r="E703" s="25"/>
      <c r="F703" s="25"/>
      <c r="G703" s="25"/>
      <c r="H703" s="25"/>
      <c r="I703" s="25"/>
    </row>
    <row r="704">
      <c r="A704" s="24"/>
      <c r="B704" s="24"/>
      <c r="C704" s="25"/>
      <c r="D704" s="25"/>
      <c r="E704" s="25"/>
      <c r="F704" s="25"/>
      <c r="G704" s="25"/>
      <c r="H704" s="25"/>
      <c r="I704" s="25"/>
    </row>
    <row r="705">
      <c r="A705" s="24"/>
      <c r="B705" s="24"/>
      <c r="C705" s="25"/>
      <c r="D705" s="25"/>
      <c r="E705" s="25"/>
      <c r="F705" s="25"/>
      <c r="G705" s="25"/>
      <c r="H705" s="25"/>
      <c r="I705" s="25"/>
    </row>
    <row r="706">
      <c r="A706" s="24"/>
      <c r="B706" s="24"/>
      <c r="C706" s="25"/>
      <c r="D706" s="25"/>
      <c r="E706" s="25"/>
      <c r="F706" s="25"/>
      <c r="G706" s="25"/>
      <c r="H706" s="25"/>
      <c r="I706" s="25"/>
    </row>
    <row r="707">
      <c r="A707" s="24"/>
      <c r="B707" s="24"/>
      <c r="C707" s="25"/>
      <c r="D707" s="25"/>
      <c r="E707" s="25"/>
      <c r="F707" s="25"/>
      <c r="G707" s="25"/>
      <c r="H707" s="25"/>
      <c r="I707" s="25"/>
    </row>
    <row r="708">
      <c r="A708" s="24"/>
      <c r="B708" s="24"/>
      <c r="C708" s="25"/>
      <c r="D708" s="25"/>
      <c r="E708" s="25"/>
      <c r="F708" s="25"/>
      <c r="G708" s="25"/>
      <c r="H708" s="25"/>
      <c r="I708" s="25"/>
    </row>
    <row r="709">
      <c r="A709" s="24"/>
      <c r="B709" s="24"/>
      <c r="C709" s="25"/>
      <c r="D709" s="25"/>
      <c r="E709" s="25"/>
      <c r="F709" s="25"/>
      <c r="G709" s="25"/>
      <c r="H709" s="25"/>
      <c r="I709" s="25"/>
    </row>
    <row r="710">
      <c r="A710" s="24"/>
      <c r="B710" s="24"/>
      <c r="C710" s="25"/>
      <c r="D710" s="25"/>
      <c r="E710" s="25"/>
      <c r="F710" s="25"/>
      <c r="G710" s="25"/>
      <c r="H710" s="25"/>
      <c r="I710" s="25"/>
    </row>
    <row r="711">
      <c r="A711" s="24"/>
      <c r="B711" s="24"/>
      <c r="C711" s="25"/>
      <c r="D711" s="25"/>
      <c r="E711" s="25"/>
      <c r="F711" s="25"/>
      <c r="G711" s="25"/>
      <c r="H711" s="25"/>
      <c r="I711" s="25"/>
    </row>
    <row r="712">
      <c r="A712" s="24"/>
      <c r="B712" s="24"/>
      <c r="C712" s="25"/>
      <c r="D712" s="25"/>
      <c r="E712" s="25"/>
      <c r="F712" s="25"/>
      <c r="G712" s="25"/>
      <c r="H712" s="25"/>
      <c r="I712" s="25"/>
    </row>
    <row r="713">
      <c r="A713" s="24"/>
      <c r="B713" s="24"/>
      <c r="C713" s="25"/>
      <c r="D713" s="25"/>
      <c r="E713" s="25"/>
      <c r="F713" s="25"/>
      <c r="G713" s="25"/>
      <c r="H713" s="25"/>
      <c r="I713" s="25"/>
    </row>
    <row r="714">
      <c r="A714" s="24"/>
      <c r="B714" s="24"/>
      <c r="C714" s="25"/>
      <c r="D714" s="25"/>
      <c r="E714" s="25"/>
      <c r="F714" s="25"/>
      <c r="G714" s="25"/>
      <c r="H714" s="25"/>
      <c r="I714" s="25"/>
    </row>
    <row r="715">
      <c r="A715" s="24"/>
      <c r="B715" s="24"/>
      <c r="C715" s="25"/>
      <c r="D715" s="25"/>
      <c r="E715" s="25"/>
      <c r="F715" s="25"/>
      <c r="G715" s="25"/>
      <c r="H715" s="25"/>
      <c r="I715" s="25"/>
    </row>
    <row r="716">
      <c r="A716" s="24"/>
      <c r="B716" s="24"/>
      <c r="C716" s="25"/>
      <c r="D716" s="25"/>
      <c r="E716" s="25"/>
      <c r="F716" s="25"/>
      <c r="G716" s="25"/>
      <c r="H716" s="25"/>
      <c r="I716" s="25"/>
    </row>
    <row r="717">
      <c r="A717" s="24"/>
      <c r="B717" s="24"/>
      <c r="C717" s="25"/>
      <c r="D717" s="25"/>
      <c r="E717" s="25"/>
      <c r="F717" s="25"/>
      <c r="G717" s="25"/>
      <c r="H717" s="25"/>
      <c r="I717" s="25"/>
    </row>
    <row r="718">
      <c r="A718" s="24"/>
      <c r="B718" s="24"/>
      <c r="C718" s="25"/>
      <c r="D718" s="25"/>
      <c r="E718" s="25"/>
      <c r="F718" s="25"/>
      <c r="G718" s="25"/>
      <c r="H718" s="25"/>
      <c r="I718" s="25"/>
    </row>
    <row r="719">
      <c r="A719" s="24"/>
      <c r="B719" s="24"/>
      <c r="C719" s="25"/>
      <c r="D719" s="25"/>
      <c r="E719" s="25"/>
      <c r="F719" s="25"/>
      <c r="G719" s="25"/>
      <c r="H719" s="25"/>
      <c r="I719" s="25"/>
    </row>
    <row r="720">
      <c r="A720" s="24"/>
      <c r="B720" s="24"/>
      <c r="C720" s="25"/>
      <c r="D720" s="25"/>
      <c r="E720" s="25"/>
      <c r="F720" s="25"/>
      <c r="G720" s="25"/>
      <c r="H720" s="25"/>
      <c r="I720" s="25"/>
    </row>
    <row r="721">
      <c r="A721" s="24"/>
      <c r="B721" s="24"/>
      <c r="C721" s="25"/>
      <c r="D721" s="25"/>
      <c r="E721" s="25"/>
      <c r="F721" s="25"/>
      <c r="G721" s="25"/>
      <c r="H721" s="25"/>
      <c r="I721" s="25"/>
    </row>
    <row r="722">
      <c r="A722" s="24"/>
      <c r="B722" s="24"/>
      <c r="C722" s="25"/>
      <c r="D722" s="25"/>
      <c r="E722" s="25"/>
      <c r="F722" s="25"/>
      <c r="G722" s="25"/>
      <c r="H722" s="25"/>
      <c r="I722" s="25"/>
    </row>
    <row r="723">
      <c r="A723" s="24"/>
      <c r="B723" s="24"/>
      <c r="C723" s="25"/>
      <c r="D723" s="25"/>
      <c r="E723" s="25"/>
      <c r="F723" s="25"/>
      <c r="G723" s="25"/>
      <c r="H723" s="25"/>
      <c r="I723" s="25"/>
    </row>
    <row r="724">
      <c r="A724" s="24"/>
      <c r="B724" s="24"/>
      <c r="C724" s="25"/>
      <c r="D724" s="25"/>
      <c r="E724" s="25"/>
      <c r="F724" s="25"/>
      <c r="G724" s="25"/>
      <c r="H724" s="25"/>
      <c r="I724" s="25"/>
    </row>
    <row r="725">
      <c r="A725" s="24"/>
      <c r="B725" s="24"/>
      <c r="C725" s="25"/>
      <c r="D725" s="25"/>
      <c r="E725" s="25"/>
      <c r="F725" s="25"/>
      <c r="G725" s="25"/>
      <c r="H725" s="25"/>
      <c r="I725" s="25"/>
    </row>
    <row r="726">
      <c r="A726" s="24"/>
      <c r="B726" s="24"/>
      <c r="C726" s="25"/>
      <c r="D726" s="25"/>
      <c r="E726" s="25"/>
      <c r="F726" s="25"/>
      <c r="G726" s="25"/>
      <c r="H726" s="25"/>
      <c r="I726" s="25"/>
    </row>
    <row r="727">
      <c r="A727" s="24"/>
      <c r="B727" s="24"/>
      <c r="C727" s="25"/>
      <c r="D727" s="25"/>
      <c r="E727" s="25"/>
      <c r="F727" s="25"/>
      <c r="G727" s="25"/>
      <c r="H727" s="25"/>
      <c r="I727" s="25"/>
    </row>
    <row r="728">
      <c r="A728" s="24"/>
      <c r="B728" s="24"/>
      <c r="C728" s="25"/>
      <c r="D728" s="25"/>
      <c r="E728" s="25"/>
      <c r="F728" s="25"/>
      <c r="G728" s="25"/>
      <c r="H728" s="25"/>
      <c r="I728" s="25"/>
    </row>
    <row r="729">
      <c r="A729" s="24"/>
      <c r="B729" s="24"/>
      <c r="C729" s="25"/>
      <c r="D729" s="25"/>
      <c r="E729" s="25"/>
      <c r="F729" s="25"/>
      <c r="G729" s="25"/>
      <c r="H729" s="25"/>
      <c r="I729" s="25"/>
    </row>
    <row r="730">
      <c r="A730" s="24"/>
      <c r="B730" s="24"/>
      <c r="C730" s="25"/>
      <c r="D730" s="25"/>
      <c r="E730" s="25"/>
      <c r="F730" s="25"/>
      <c r="G730" s="25"/>
      <c r="H730" s="25"/>
      <c r="I730" s="25"/>
    </row>
    <row r="731">
      <c r="A731" s="24"/>
      <c r="B731" s="24"/>
      <c r="C731" s="25"/>
      <c r="D731" s="25"/>
      <c r="E731" s="25"/>
      <c r="F731" s="25"/>
      <c r="G731" s="25"/>
      <c r="H731" s="25"/>
      <c r="I731" s="25"/>
    </row>
    <row r="732">
      <c r="A732" s="24"/>
      <c r="B732" s="24"/>
      <c r="C732" s="25"/>
      <c r="D732" s="25"/>
      <c r="E732" s="25"/>
      <c r="F732" s="25"/>
      <c r="G732" s="25"/>
      <c r="H732" s="25"/>
      <c r="I732" s="25"/>
    </row>
    <row r="733">
      <c r="A733" s="24"/>
      <c r="B733" s="24"/>
      <c r="C733" s="25"/>
      <c r="D733" s="25"/>
      <c r="E733" s="25"/>
      <c r="F733" s="25"/>
      <c r="G733" s="25"/>
      <c r="H733" s="25"/>
      <c r="I733" s="25"/>
    </row>
    <row r="734">
      <c r="A734" s="24"/>
      <c r="B734" s="24"/>
      <c r="C734" s="25"/>
      <c r="D734" s="25"/>
      <c r="E734" s="25"/>
      <c r="F734" s="25"/>
      <c r="G734" s="25"/>
      <c r="H734" s="25"/>
      <c r="I734" s="25"/>
    </row>
    <row r="735">
      <c r="A735" s="24"/>
      <c r="B735" s="24"/>
      <c r="C735" s="25"/>
      <c r="D735" s="25"/>
      <c r="E735" s="25"/>
      <c r="F735" s="25"/>
      <c r="G735" s="25"/>
      <c r="H735" s="25"/>
      <c r="I735" s="25"/>
    </row>
    <row r="736">
      <c r="A736" s="24"/>
      <c r="B736" s="24"/>
      <c r="C736" s="25"/>
      <c r="D736" s="25"/>
      <c r="E736" s="25"/>
      <c r="F736" s="25"/>
      <c r="G736" s="25"/>
      <c r="H736" s="25"/>
      <c r="I736" s="25"/>
    </row>
    <row r="737">
      <c r="A737" s="24"/>
      <c r="B737" s="24"/>
      <c r="C737" s="25"/>
      <c r="D737" s="25"/>
      <c r="E737" s="25"/>
      <c r="F737" s="25"/>
      <c r="G737" s="25"/>
      <c r="H737" s="25"/>
      <c r="I737" s="25"/>
    </row>
    <row r="738">
      <c r="A738" s="24"/>
      <c r="B738" s="24"/>
      <c r="C738" s="25"/>
      <c r="D738" s="25"/>
      <c r="E738" s="25"/>
      <c r="F738" s="25"/>
      <c r="G738" s="25"/>
      <c r="H738" s="25"/>
      <c r="I738" s="25"/>
    </row>
    <row r="739">
      <c r="A739" s="24"/>
      <c r="B739" s="24"/>
      <c r="C739" s="25"/>
      <c r="D739" s="25"/>
      <c r="E739" s="25"/>
      <c r="F739" s="25"/>
      <c r="G739" s="25"/>
      <c r="H739" s="25"/>
      <c r="I739" s="25"/>
    </row>
    <row r="740">
      <c r="A740" s="24"/>
      <c r="B740" s="24"/>
      <c r="C740" s="25"/>
      <c r="D740" s="25"/>
      <c r="E740" s="25"/>
      <c r="F740" s="25"/>
      <c r="G740" s="25"/>
      <c r="H740" s="25"/>
      <c r="I740" s="25"/>
    </row>
    <row r="741">
      <c r="A741" s="24"/>
      <c r="B741" s="24"/>
      <c r="C741" s="25"/>
      <c r="D741" s="25"/>
      <c r="E741" s="25"/>
      <c r="F741" s="25"/>
      <c r="G741" s="25"/>
      <c r="H741" s="25"/>
      <c r="I741" s="25"/>
    </row>
    <row r="742">
      <c r="A742" s="24"/>
      <c r="B742" s="24"/>
      <c r="C742" s="25"/>
      <c r="D742" s="25"/>
      <c r="E742" s="25"/>
      <c r="F742" s="25"/>
      <c r="G742" s="25"/>
      <c r="H742" s="25"/>
      <c r="I742" s="25"/>
    </row>
    <row r="743">
      <c r="A743" s="24"/>
      <c r="B743" s="24"/>
      <c r="C743" s="25"/>
      <c r="D743" s="25"/>
      <c r="E743" s="25"/>
      <c r="F743" s="25"/>
      <c r="G743" s="25"/>
      <c r="H743" s="25"/>
      <c r="I743" s="25"/>
    </row>
    <row r="744">
      <c r="A744" s="24"/>
      <c r="B744" s="24"/>
      <c r="C744" s="25"/>
      <c r="D744" s="25"/>
      <c r="E744" s="25"/>
      <c r="F744" s="25"/>
      <c r="G744" s="25"/>
      <c r="H744" s="25"/>
      <c r="I744" s="25"/>
    </row>
    <row r="745">
      <c r="A745" s="24"/>
      <c r="B745" s="24"/>
      <c r="C745" s="25"/>
      <c r="D745" s="25"/>
      <c r="E745" s="25"/>
      <c r="F745" s="25"/>
      <c r="G745" s="25"/>
      <c r="H745" s="25"/>
      <c r="I745" s="25"/>
    </row>
    <row r="746">
      <c r="A746" s="24"/>
      <c r="B746" s="24"/>
      <c r="C746" s="25"/>
      <c r="D746" s="25"/>
      <c r="E746" s="25"/>
      <c r="F746" s="25"/>
      <c r="G746" s="25"/>
      <c r="H746" s="25"/>
      <c r="I746" s="25"/>
    </row>
    <row r="747">
      <c r="A747" s="24"/>
      <c r="B747" s="24"/>
      <c r="C747" s="25"/>
      <c r="D747" s="25"/>
      <c r="E747" s="25"/>
      <c r="F747" s="25"/>
      <c r="G747" s="25"/>
      <c r="H747" s="25"/>
      <c r="I747" s="25"/>
    </row>
    <row r="748">
      <c r="A748" s="24"/>
      <c r="B748" s="24"/>
      <c r="C748" s="25"/>
      <c r="D748" s="25"/>
      <c r="E748" s="25"/>
      <c r="F748" s="25"/>
      <c r="G748" s="25"/>
      <c r="H748" s="25"/>
      <c r="I748" s="25"/>
    </row>
    <row r="749">
      <c r="A749" s="24"/>
      <c r="B749" s="24"/>
      <c r="C749" s="25"/>
      <c r="D749" s="25"/>
      <c r="E749" s="25"/>
      <c r="F749" s="25"/>
      <c r="G749" s="25"/>
      <c r="H749" s="25"/>
      <c r="I749" s="25"/>
    </row>
    <row r="750">
      <c r="A750" s="24"/>
      <c r="B750" s="24"/>
      <c r="C750" s="25"/>
      <c r="D750" s="25"/>
      <c r="E750" s="25"/>
      <c r="F750" s="25"/>
      <c r="G750" s="25"/>
      <c r="H750" s="25"/>
      <c r="I750" s="25"/>
    </row>
    <row r="751">
      <c r="A751" s="24"/>
      <c r="B751" s="24"/>
      <c r="C751" s="25"/>
      <c r="D751" s="25"/>
      <c r="E751" s="25"/>
      <c r="F751" s="25"/>
      <c r="G751" s="25"/>
      <c r="H751" s="25"/>
      <c r="I751" s="25"/>
    </row>
    <row r="752">
      <c r="A752" s="24"/>
      <c r="B752" s="24"/>
      <c r="C752" s="25"/>
      <c r="D752" s="25"/>
      <c r="E752" s="25"/>
      <c r="F752" s="25"/>
      <c r="G752" s="25"/>
      <c r="H752" s="25"/>
      <c r="I752" s="25"/>
    </row>
    <row r="753">
      <c r="A753" s="24"/>
      <c r="B753" s="24"/>
      <c r="C753" s="25"/>
      <c r="D753" s="25"/>
      <c r="E753" s="25"/>
      <c r="F753" s="25"/>
      <c r="G753" s="25"/>
      <c r="H753" s="25"/>
      <c r="I753" s="25"/>
    </row>
    <row r="754">
      <c r="A754" s="24"/>
      <c r="B754" s="24"/>
      <c r="C754" s="25"/>
      <c r="D754" s="25"/>
      <c r="E754" s="25"/>
      <c r="F754" s="25"/>
      <c r="G754" s="25"/>
      <c r="H754" s="25"/>
      <c r="I754" s="25"/>
    </row>
    <row r="755">
      <c r="A755" s="24"/>
      <c r="B755" s="24"/>
      <c r="C755" s="25"/>
      <c r="D755" s="25"/>
      <c r="E755" s="25"/>
      <c r="F755" s="25"/>
      <c r="G755" s="25"/>
      <c r="H755" s="25"/>
      <c r="I755" s="25"/>
    </row>
    <row r="756">
      <c r="A756" s="24"/>
      <c r="B756" s="24"/>
      <c r="C756" s="25"/>
      <c r="D756" s="25"/>
      <c r="E756" s="25"/>
      <c r="F756" s="25"/>
      <c r="G756" s="25"/>
      <c r="H756" s="25"/>
      <c r="I756" s="25"/>
    </row>
    <row r="757">
      <c r="A757" s="24"/>
      <c r="B757" s="24"/>
      <c r="C757" s="25"/>
      <c r="D757" s="25"/>
      <c r="E757" s="25"/>
      <c r="F757" s="25"/>
      <c r="G757" s="25"/>
      <c r="H757" s="25"/>
      <c r="I757" s="25"/>
    </row>
    <row r="758">
      <c r="A758" s="24"/>
      <c r="B758" s="24"/>
      <c r="C758" s="25"/>
      <c r="D758" s="25"/>
      <c r="E758" s="25"/>
      <c r="F758" s="25"/>
      <c r="G758" s="25"/>
      <c r="H758" s="25"/>
      <c r="I758" s="25"/>
    </row>
    <row r="759">
      <c r="A759" s="24"/>
      <c r="B759" s="24"/>
      <c r="C759" s="25"/>
      <c r="D759" s="25"/>
      <c r="E759" s="25"/>
      <c r="F759" s="25"/>
      <c r="G759" s="25"/>
      <c r="H759" s="25"/>
      <c r="I759" s="25"/>
    </row>
    <row r="760">
      <c r="A760" s="24"/>
      <c r="B760" s="24"/>
      <c r="C760" s="25"/>
      <c r="D760" s="25"/>
      <c r="E760" s="25"/>
      <c r="F760" s="25"/>
      <c r="G760" s="25"/>
      <c r="H760" s="25"/>
      <c r="I760" s="25"/>
    </row>
    <row r="761">
      <c r="A761" s="24"/>
      <c r="B761" s="24"/>
      <c r="C761" s="25"/>
      <c r="D761" s="25"/>
      <c r="E761" s="25"/>
      <c r="F761" s="25"/>
      <c r="G761" s="25"/>
      <c r="H761" s="25"/>
      <c r="I761" s="25"/>
    </row>
    <row r="762">
      <c r="A762" s="24"/>
      <c r="B762" s="24"/>
      <c r="C762" s="25"/>
      <c r="D762" s="25"/>
      <c r="E762" s="25"/>
      <c r="F762" s="25"/>
      <c r="G762" s="25"/>
      <c r="H762" s="25"/>
      <c r="I762" s="25"/>
    </row>
    <row r="763">
      <c r="A763" s="24"/>
      <c r="B763" s="24"/>
      <c r="C763" s="25"/>
      <c r="D763" s="25"/>
      <c r="E763" s="25"/>
      <c r="F763" s="25"/>
      <c r="G763" s="25"/>
      <c r="H763" s="25"/>
      <c r="I763" s="25"/>
    </row>
    <row r="764">
      <c r="A764" s="24"/>
      <c r="B764" s="24"/>
      <c r="C764" s="25"/>
      <c r="D764" s="25"/>
      <c r="E764" s="25"/>
      <c r="F764" s="25"/>
      <c r="G764" s="25"/>
      <c r="H764" s="25"/>
      <c r="I764" s="25"/>
    </row>
    <row r="765">
      <c r="A765" s="24"/>
      <c r="B765" s="24"/>
      <c r="C765" s="25"/>
      <c r="D765" s="25"/>
      <c r="E765" s="25"/>
      <c r="F765" s="25"/>
      <c r="G765" s="25"/>
      <c r="H765" s="25"/>
      <c r="I765" s="25"/>
    </row>
    <row r="766">
      <c r="A766" s="24"/>
      <c r="B766" s="24"/>
      <c r="C766" s="25"/>
      <c r="D766" s="25"/>
      <c r="E766" s="25"/>
      <c r="F766" s="25"/>
      <c r="G766" s="25"/>
      <c r="H766" s="25"/>
      <c r="I766" s="25"/>
    </row>
    <row r="767">
      <c r="A767" s="24"/>
      <c r="B767" s="24"/>
      <c r="C767" s="25"/>
      <c r="D767" s="25"/>
      <c r="E767" s="25"/>
      <c r="F767" s="25"/>
      <c r="G767" s="25"/>
      <c r="H767" s="25"/>
      <c r="I767" s="25"/>
    </row>
    <row r="768">
      <c r="A768" s="24"/>
      <c r="B768" s="24"/>
      <c r="C768" s="25"/>
      <c r="D768" s="25"/>
      <c r="E768" s="25"/>
      <c r="F768" s="25"/>
      <c r="G768" s="25"/>
      <c r="H768" s="25"/>
      <c r="I768" s="25"/>
    </row>
    <row r="769">
      <c r="A769" s="24"/>
      <c r="B769" s="24"/>
      <c r="C769" s="25"/>
      <c r="D769" s="25"/>
      <c r="E769" s="25"/>
      <c r="F769" s="25"/>
      <c r="G769" s="25"/>
      <c r="H769" s="25"/>
      <c r="I769" s="25"/>
    </row>
    <row r="770">
      <c r="A770" s="24"/>
      <c r="B770" s="24"/>
      <c r="C770" s="25"/>
      <c r="D770" s="25"/>
      <c r="E770" s="25"/>
      <c r="F770" s="25"/>
      <c r="G770" s="25"/>
      <c r="H770" s="25"/>
      <c r="I770" s="25"/>
    </row>
    <row r="771">
      <c r="A771" s="24"/>
      <c r="B771" s="24"/>
      <c r="C771" s="25"/>
      <c r="D771" s="25"/>
      <c r="E771" s="25"/>
      <c r="F771" s="25"/>
      <c r="G771" s="25"/>
      <c r="H771" s="25"/>
      <c r="I771" s="25"/>
    </row>
    <row r="772">
      <c r="A772" s="24"/>
      <c r="B772" s="24"/>
      <c r="C772" s="25"/>
      <c r="D772" s="25"/>
      <c r="E772" s="25"/>
      <c r="F772" s="25"/>
      <c r="G772" s="25"/>
      <c r="H772" s="25"/>
      <c r="I772" s="25"/>
    </row>
    <row r="773">
      <c r="A773" s="24"/>
      <c r="B773" s="24"/>
      <c r="C773" s="25"/>
      <c r="D773" s="25"/>
      <c r="E773" s="25"/>
      <c r="F773" s="25"/>
      <c r="G773" s="25"/>
      <c r="H773" s="25"/>
      <c r="I773" s="25"/>
    </row>
    <row r="774">
      <c r="A774" s="24"/>
      <c r="B774" s="24"/>
      <c r="C774" s="25"/>
      <c r="D774" s="25"/>
      <c r="E774" s="25"/>
      <c r="F774" s="25"/>
      <c r="G774" s="25"/>
      <c r="H774" s="25"/>
      <c r="I774" s="25"/>
    </row>
    <row r="775">
      <c r="A775" s="24"/>
      <c r="B775" s="24"/>
      <c r="C775" s="25"/>
      <c r="D775" s="25"/>
      <c r="E775" s="25"/>
      <c r="F775" s="25"/>
      <c r="G775" s="25"/>
      <c r="H775" s="25"/>
      <c r="I775" s="25"/>
    </row>
    <row r="776">
      <c r="A776" s="24"/>
      <c r="B776" s="24"/>
      <c r="C776" s="25"/>
      <c r="D776" s="25"/>
      <c r="E776" s="25"/>
      <c r="F776" s="25"/>
      <c r="G776" s="25"/>
      <c r="H776" s="25"/>
      <c r="I776" s="25"/>
    </row>
    <row r="777">
      <c r="A777" s="24"/>
      <c r="B777" s="24"/>
      <c r="C777" s="25"/>
      <c r="D777" s="25"/>
      <c r="E777" s="25"/>
      <c r="F777" s="25"/>
      <c r="G777" s="25"/>
      <c r="H777" s="25"/>
      <c r="I777" s="25"/>
    </row>
    <row r="778">
      <c r="A778" s="24"/>
      <c r="B778" s="24"/>
      <c r="C778" s="25"/>
      <c r="D778" s="25"/>
      <c r="E778" s="25"/>
      <c r="F778" s="25"/>
      <c r="G778" s="25"/>
      <c r="H778" s="25"/>
      <c r="I778" s="25"/>
    </row>
    <row r="779">
      <c r="A779" s="24"/>
      <c r="B779" s="24"/>
      <c r="C779" s="25"/>
      <c r="D779" s="25"/>
      <c r="E779" s="25"/>
      <c r="F779" s="25"/>
      <c r="G779" s="25"/>
      <c r="H779" s="25"/>
      <c r="I779" s="25"/>
    </row>
    <row r="780">
      <c r="A780" s="24"/>
      <c r="B780" s="24"/>
      <c r="C780" s="25"/>
      <c r="D780" s="25"/>
      <c r="E780" s="25"/>
      <c r="F780" s="25"/>
      <c r="G780" s="25"/>
      <c r="H780" s="25"/>
      <c r="I780" s="25"/>
    </row>
    <row r="781">
      <c r="A781" s="24"/>
      <c r="B781" s="24"/>
      <c r="C781" s="25"/>
      <c r="D781" s="25"/>
      <c r="E781" s="25"/>
      <c r="F781" s="25"/>
      <c r="G781" s="25"/>
      <c r="H781" s="25"/>
      <c r="I781" s="25"/>
    </row>
    <row r="782">
      <c r="A782" s="24"/>
      <c r="B782" s="24"/>
      <c r="C782" s="25"/>
      <c r="D782" s="25"/>
      <c r="E782" s="25"/>
      <c r="F782" s="25"/>
      <c r="G782" s="25"/>
      <c r="H782" s="25"/>
      <c r="I782" s="25"/>
    </row>
    <row r="783">
      <c r="A783" s="24"/>
      <c r="B783" s="24"/>
      <c r="C783" s="25"/>
      <c r="D783" s="25"/>
      <c r="E783" s="25"/>
      <c r="F783" s="25"/>
      <c r="G783" s="25"/>
      <c r="H783" s="25"/>
      <c r="I783" s="25"/>
    </row>
    <row r="784">
      <c r="A784" s="24"/>
      <c r="B784" s="24"/>
      <c r="C784" s="25"/>
      <c r="D784" s="25"/>
      <c r="E784" s="25"/>
      <c r="F784" s="25"/>
      <c r="G784" s="25"/>
      <c r="H784" s="25"/>
      <c r="I784" s="25"/>
    </row>
    <row r="785">
      <c r="A785" s="24"/>
      <c r="B785" s="24"/>
      <c r="C785" s="25"/>
      <c r="D785" s="25"/>
      <c r="E785" s="25"/>
      <c r="F785" s="25"/>
      <c r="G785" s="25"/>
      <c r="H785" s="25"/>
      <c r="I785" s="25"/>
    </row>
    <row r="786">
      <c r="A786" s="24"/>
      <c r="B786" s="24"/>
      <c r="C786" s="25"/>
      <c r="D786" s="25"/>
      <c r="E786" s="25"/>
      <c r="F786" s="25"/>
      <c r="G786" s="25"/>
      <c r="H786" s="25"/>
      <c r="I786" s="25"/>
    </row>
    <row r="787">
      <c r="A787" s="24"/>
      <c r="B787" s="24"/>
      <c r="C787" s="25"/>
      <c r="D787" s="25"/>
      <c r="E787" s="25"/>
      <c r="F787" s="25"/>
      <c r="G787" s="25"/>
      <c r="H787" s="25"/>
      <c r="I787" s="25"/>
    </row>
    <row r="788">
      <c r="A788" s="24"/>
      <c r="B788" s="24"/>
      <c r="C788" s="25"/>
      <c r="D788" s="25"/>
      <c r="E788" s="25"/>
      <c r="F788" s="25"/>
      <c r="G788" s="25"/>
      <c r="H788" s="25"/>
      <c r="I788" s="25"/>
    </row>
    <row r="789">
      <c r="A789" s="24"/>
      <c r="B789" s="24"/>
      <c r="C789" s="25"/>
      <c r="D789" s="25"/>
      <c r="E789" s="25"/>
      <c r="F789" s="25"/>
      <c r="G789" s="25"/>
      <c r="H789" s="25"/>
      <c r="I789" s="25"/>
    </row>
    <row r="790">
      <c r="A790" s="24"/>
      <c r="B790" s="24"/>
      <c r="C790" s="25"/>
      <c r="D790" s="25"/>
      <c r="E790" s="25"/>
      <c r="F790" s="25"/>
      <c r="G790" s="25"/>
      <c r="H790" s="25"/>
      <c r="I790" s="25"/>
    </row>
    <row r="791">
      <c r="A791" s="24"/>
      <c r="B791" s="24"/>
      <c r="C791" s="25"/>
      <c r="D791" s="25"/>
      <c r="E791" s="25"/>
      <c r="F791" s="25"/>
      <c r="G791" s="25"/>
      <c r="H791" s="25"/>
      <c r="I791" s="25"/>
    </row>
    <row r="792">
      <c r="A792" s="24"/>
      <c r="B792" s="24"/>
      <c r="C792" s="25"/>
      <c r="D792" s="25"/>
      <c r="E792" s="25"/>
      <c r="F792" s="25"/>
      <c r="G792" s="25"/>
      <c r="H792" s="25"/>
      <c r="I792" s="25"/>
    </row>
    <row r="793">
      <c r="A793" s="24"/>
      <c r="B793" s="24"/>
      <c r="C793" s="25"/>
      <c r="D793" s="25"/>
      <c r="E793" s="25"/>
      <c r="F793" s="25"/>
      <c r="G793" s="25"/>
      <c r="H793" s="25"/>
      <c r="I793" s="25"/>
    </row>
    <row r="794">
      <c r="A794" s="24"/>
      <c r="B794" s="24"/>
      <c r="C794" s="25"/>
      <c r="D794" s="25"/>
      <c r="E794" s="25"/>
      <c r="F794" s="25"/>
      <c r="G794" s="25"/>
      <c r="H794" s="25"/>
      <c r="I794" s="25"/>
    </row>
    <row r="795">
      <c r="A795" s="24"/>
      <c r="B795" s="24"/>
      <c r="C795" s="25"/>
      <c r="D795" s="25"/>
      <c r="E795" s="25"/>
      <c r="F795" s="25"/>
      <c r="G795" s="25"/>
      <c r="H795" s="25"/>
      <c r="I795" s="25"/>
    </row>
    <row r="796">
      <c r="A796" s="24"/>
      <c r="B796" s="24"/>
      <c r="C796" s="25"/>
      <c r="D796" s="25"/>
      <c r="E796" s="25"/>
      <c r="F796" s="25"/>
      <c r="G796" s="25"/>
      <c r="H796" s="25"/>
      <c r="I796" s="25"/>
    </row>
    <row r="797">
      <c r="A797" s="24"/>
      <c r="B797" s="24"/>
      <c r="C797" s="25"/>
      <c r="D797" s="25"/>
      <c r="E797" s="25"/>
      <c r="F797" s="25"/>
      <c r="G797" s="25"/>
      <c r="H797" s="25"/>
      <c r="I797" s="25"/>
    </row>
    <row r="798">
      <c r="A798" s="24"/>
      <c r="B798" s="24"/>
      <c r="C798" s="25"/>
      <c r="D798" s="25"/>
      <c r="E798" s="25"/>
      <c r="F798" s="25"/>
      <c r="G798" s="25"/>
      <c r="H798" s="25"/>
      <c r="I798" s="25"/>
    </row>
    <row r="799">
      <c r="A799" s="24"/>
      <c r="B799" s="24"/>
      <c r="C799" s="25"/>
      <c r="D799" s="25"/>
      <c r="E799" s="25"/>
      <c r="F799" s="25"/>
      <c r="G799" s="25"/>
      <c r="H799" s="25"/>
      <c r="I799" s="25"/>
    </row>
    <row r="800">
      <c r="A800" s="24"/>
      <c r="B800" s="24"/>
      <c r="C800" s="25"/>
      <c r="D800" s="25"/>
      <c r="E800" s="25"/>
      <c r="F800" s="25"/>
      <c r="G800" s="25"/>
      <c r="H800" s="25"/>
      <c r="I800" s="25"/>
    </row>
    <row r="801">
      <c r="A801" s="24"/>
      <c r="B801" s="24"/>
      <c r="C801" s="25"/>
      <c r="D801" s="25"/>
      <c r="E801" s="25"/>
      <c r="F801" s="25"/>
      <c r="G801" s="25"/>
      <c r="H801" s="25"/>
      <c r="I801" s="25"/>
    </row>
    <row r="802">
      <c r="A802" s="24"/>
      <c r="B802" s="24"/>
      <c r="C802" s="25"/>
      <c r="D802" s="25"/>
      <c r="E802" s="25"/>
      <c r="F802" s="25"/>
      <c r="G802" s="25"/>
      <c r="H802" s="25"/>
      <c r="I802" s="25"/>
    </row>
    <row r="803">
      <c r="A803" s="24"/>
      <c r="B803" s="24"/>
      <c r="C803" s="25"/>
      <c r="D803" s="25"/>
      <c r="E803" s="25"/>
      <c r="F803" s="25"/>
      <c r="G803" s="25"/>
      <c r="H803" s="25"/>
      <c r="I803" s="25"/>
    </row>
    <row r="804">
      <c r="A804" s="24"/>
      <c r="B804" s="24"/>
      <c r="C804" s="25"/>
      <c r="D804" s="25"/>
      <c r="E804" s="25"/>
      <c r="F804" s="25"/>
      <c r="G804" s="25"/>
      <c r="H804" s="25"/>
      <c r="I804" s="25"/>
    </row>
    <row r="805">
      <c r="A805" s="24"/>
      <c r="B805" s="24"/>
      <c r="C805" s="25"/>
      <c r="D805" s="25"/>
      <c r="E805" s="25"/>
      <c r="F805" s="25"/>
      <c r="G805" s="25"/>
      <c r="H805" s="25"/>
      <c r="I805" s="25"/>
    </row>
    <row r="806">
      <c r="A806" s="24"/>
      <c r="B806" s="24"/>
      <c r="C806" s="25"/>
      <c r="D806" s="25"/>
      <c r="E806" s="25"/>
      <c r="F806" s="25"/>
      <c r="G806" s="25"/>
      <c r="H806" s="25"/>
      <c r="I806" s="25"/>
    </row>
    <row r="807">
      <c r="A807" s="24"/>
      <c r="B807" s="24"/>
      <c r="C807" s="25"/>
      <c r="D807" s="25"/>
      <c r="E807" s="25"/>
      <c r="F807" s="25"/>
      <c r="G807" s="25"/>
      <c r="H807" s="25"/>
      <c r="I807" s="25"/>
    </row>
    <row r="808">
      <c r="A808" s="24"/>
      <c r="B808" s="24"/>
      <c r="C808" s="25"/>
      <c r="D808" s="25"/>
      <c r="E808" s="25"/>
      <c r="F808" s="25"/>
      <c r="G808" s="25"/>
      <c r="H808" s="25"/>
      <c r="I808" s="25"/>
    </row>
    <row r="809">
      <c r="A809" s="24"/>
      <c r="B809" s="24"/>
      <c r="C809" s="25"/>
      <c r="D809" s="25"/>
      <c r="E809" s="25"/>
      <c r="F809" s="25"/>
      <c r="G809" s="25"/>
      <c r="H809" s="25"/>
      <c r="I809" s="25"/>
    </row>
    <row r="810">
      <c r="A810" s="24"/>
      <c r="B810" s="24"/>
      <c r="C810" s="25"/>
      <c r="D810" s="25"/>
      <c r="E810" s="25"/>
      <c r="F810" s="25"/>
      <c r="G810" s="25"/>
      <c r="H810" s="25"/>
      <c r="I810" s="25"/>
    </row>
    <row r="811">
      <c r="A811" s="24"/>
      <c r="B811" s="24"/>
      <c r="C811" s="25"/>
      <c r="D811" s="25"/>
      <c r="E811" s="25"/>
      <c r="F811" s="25"/>
      <c r="G811" s="25"/>
      <c r="H811" s="25"/>
      <c r="I811" s="25"/>
    </row>
    <row r="812">
      <c r="A812" s="24"/>
      <c r="B812" s="24"/>
      <c r="C812" s="25"/>
      <c r="D812" s="25"/>
      <c r="E812" s="25"/>
      <c r="F812" s="25"/>
      <c r="G812" s="25"/>
      <c r="H812" s="25"/>
      <c r="I812" s="25"/>
    </row>
    <row r="813">
      <c r="A813" s="24"/>
      <c r="B813" s="24"/>
      <c r="C813" s="25"/>
      <c r="D813" s="25"/>
      <c r="E813" s="25"/>
      <c r="F813" s="25"/>
      <c r="G813" s="25"/>
      <c r="H813" s="25"/>
      <c r="I813" s="25"/>
    </row>
    <row r="814">
      <c r="A814" s="24"/>
      <c r="B814" s="24"/>
      <c r="C814" s="25"/>
      <c r="D814" s="25"/>
      <c r="E814" s="25"/>
      <c r="F814" s="25"/>
      <c r="G814" s="25"/>
      <c r="H814" s="25"/>
      <c r="I814" s="25"/>
    </row>
    <row r="815">
      <c r="A815" s="24"/>
      <c r="B815" s="24"/>
      <c r="C815" s="25"/>
      <c r="D815" s="25"/>
      <c r="E815" s="25"/>
      <c r="F815" s="25"/>
      <c r="G815" s="25"/>
      <c r="H815" s="25"/>
      <c r="I815" s="25"/>
    </row>
    <row r="816">
      <c r="A816" s="24"/>
      <c r="B816" s="24"/>
      <c r="C816" s="25"/>
      <c r="D816" s="25"/>
      <c r="E816" s="25"/>
      <c r="F816" s="25"/>
      <c r="G816" s="25"/>
      <c r="H816" s="25"/>
      <c r="I816" s="25"/>
    </row>
    <row r="817">
      <c r="A817" s="24"/>
      <c r="B817" s="24"/>
      <c r="C817" s="25"/>
      <c r="D817" s="25"/>
      <c r="E817" s="25"/>
      <c r="F817" s="25"/>
      <c r="G817" s="25"/>
      <c r="H817" s="25"/>
      <c r="I817" s="25"/>
    </row>
    <row r="818">
      <c r="A818" s="24"/>
      <c r="B818" s="24"/>
      <c r="C818" s="25"/>
      <c r="D818" s="25"/>
      <c r="E818" s="25"/>
      <c r="F818" s="25"/>
      <c r="G818" s="25"/>
      <c r="H818" s="25"/>
      <c r="I818" s="25"/>
    </row>
    <row r="819">
      <c r="A819" s="24"/>
      <c r="B819" s="24"/>
      <c r="C819" s="25"/>
      <c r="D819" s="25"/>
      <c r="E819" s="25"/>
      <c r="F819" s="25"/>
      <c r="G819" s="25"/>
      <c r="H819" s="25"/>
      <c r="I819" s="25"/>
    </row>
    <row r="820">
      <c r="A820" s="24"/>
      <c r="B820" s="24"/>
      <c r="C820" s="25"/>
      <c r="D820" s="25"/>
      <c r="E820" s="25"/>
      <c r="F820" s="25"/>
      <c r="G820" s="25"/>
      <c r="H820" s="25"/>
      <c r="I820" s="25"/>
    </row>
    <row r="821">
      <c r="A821" s="24"/>
      <c r="B821" s="24"/>
      <c r="C821" s="25"/>
      <c r="D821" s="25"/>
      <c r="E821" s="25"/>
      <c r="F821" s="25"/>
      <c r="G821" s="25"/>
      <c r="H821" s="25"/>
      <c r="I821" s="25"/>
    </row>
    <row r="822">
      <c r="A822" s="24"/>
      <c r="B822" s="24"/>
      <c r="C822" s="25"/>
      <c r="D822" s="25"/>
      <c r="E822" s="25"/>
      <c r="F822" s="25"/>
      <c r="G822" s="25"/>
      <c r="H822" s="25"/>
      <c r="I822" s="25"/>
    </row>
    <row r="823">
      <c r="A823" s="24"/>
      <c r="B823" s="24"/>
      <c r="C823" s="25"/>
      <c r="D823" s="25"/>
      <c r="E823" s="25"/>
      <c r="F823" s="25"/>
      <c r="G823" s="25"/>
      <c r="H823" s="25"/>
      <c r="I823" s="25"/>
    </row>
    <row r="824">
      <c r="A824" s="24"/>
      <c r="B824" s="24"/>
      <c r="C824" s="25"/>
      <c r="D824" s="25"/>
      <c r="E824" s="25"/>
      <c r="F824" s="25"/>
      <c r="G824" s="25"/>
      <c r="H824" s="25"/>
      <c r="I824" s="25"/>
    </row>
    <row r="825">
      <c r="A825" s="24"/>
      <c r="B825" s="24"/>
      <c r="C825" s="25"/>
      <c r="D825" s="25"/>
      <c r="E825" s="25"/>
      <c r="F825" s="25"/>
      <c r="G825" s="25"/>
      <c r="H825" s="25"/>
      <c r="I825" s="25"/>
    </row>
    <row r="826">
      <c r="A826" s="24"/>
      <c r="B826" s="24"/>
      <c r="C826" s="25"/>
      <c r="D826" s="25"/>
      <c r="E826" s="25"/>
      <c r="F826" s="25"/>
      <c r="G826" s="25"/>
      <c r="H826" s="25"/>
      <c r="I826" s="25"/>
    </row>
    <row r="827">
      <c r="A827" s="24"/>
      <c r="B827" s="24"/>
      <c r="C827" s="25"/>
      <c r="D827" s="25"/>
      <c r="E827" s="25"/>
      <c r="F827" s="25"/>
      <c r="G827" s="25"/>
      <c r="H827" s="25"/>
      <c r="I827" s="25"/>
    </row>
    <row r="828">
      <c r="A828" s="24"/>
      <c r="B828" s="24"/>
      <c r="C828" s="25"/>
      <c r="D828" s="25"/>
      <c r="E828" s="25"/>
      <c r="F828" s="25"/>
      <c r="G828" s="25"/>
      <c r="H828" s="25"/>
      <c r="I828" s="25"/>
    </row>
    <row r="829">
      <c r="A829" s="24"/>
      <c r="B829" s="24"/>
      <c r="C829" s="25"/>
      <c r="D829" s="25"/>
      <c r="E829" s="25"/>
      <c r="F829" s="25"/>
      <c r="G829" s="25"/>
      <c r="H829" s="25"/>
      <c r="I829" s="25"/>
    </row>
    <row r="830">
      <c r="A830" s="24"/>
      <c r="B830" s="24"/>
      <c r="C830" s="25"/>
      <c r="D830" s="25"/>
      <c r="E830" s="25"/>
      <c r="F830" s="25"/>
      <c r="G830" s="25"/>
      <c r="H830" s="25"/>
      <c r="I830" s="25"/>
    </row>
    <row r="831">
      <c r="A831" s="24"/>
      <c r="B831" s="24"/>
      <c r="C831" s="25"/>
      <c r="D831" s="25"/>
      <c r="E831" s="25"/>
      <c r="F831" s="25"/>
      <c r="G831" s="25"/>
      <c r="H831" s="25"/>
      <c r="I831" s="25"/>
    </row>
    <row r="832">
      <c r="A832" s="24"/>
      <c r="B832" s="24"/>
      <c r="C832" s="25"/>
      <c r="D832" s="25"/>
      <c r="E832" s="25"/>
      <c r="F832" s="25"/>
      <c r="G832" s="25"/>
      <c r="H832" s="25"/>
      <c r="I832" s="25"/>
    </row>
    <row r="833">
      <c r="A833" s="24"/>
      <c r="B833" s="24"/>
      <c r="C833" s="25"/>
      <c r="D833" s="25"/>
      <c r="E833" s="25"/>
      <c r="F833" s="25"/>
      <c r="G833" s="25"/>
      <c r="H833" s="25"/>
      <c r="I833" s="25"/>
    </row>
    <row r="834">
      <c r="A834" s="24"/>
      <c r="B834" s="24"/>
      <c r="C834" s="25"/>
      <c r="D834" s="25"/>
      <c r="E834" s="25"/>
      <c r="F834" s="25"/>
      <c r="G834" s="25"/>
      <c r="H834" s="25"/>
      <c r="I834" s="25"/>
    </row>
    <row r="835">
      <c r="A835" s="24"/>
      <c r="B835" s="24"/>
      <c r="C835" s="25"/>
      <c r="D835" s="25"/>
      <c r="E835" s="25"/>
      <c r="F835" s="25"/>
      <c r="G835" s="25"/>
      <c r="H835" s="25"/>
      <c r="I835" s="25"/>
    </row>
    <row r="836">
      <c r="A836" s="24"/>
      <c r="B836" s="24"/>
      <c r="C836" s="25"/>
      <c r="D836" s="25"/>
      <c r="E836" s="25"/>
      <c r="F836" s="25"/>
      <c r="G836" s="25"/>
      <c r="H836" s="25"/>
      <c r="I836" s="25"/>
    </row>
    <row r="837">
      <c r="A837" s="24"/>
      <c r="B837" s="24"/>
      <c r="C837" s="25"/>
      <c r="D837" s="25"/>
      <c r="E837" s="25"/>
      <c r="F837" s="25"/>
      <c r="G837" s="25"/>
      <c r="H837" s="25"/>
      <c r="I837" s="25"/>
    </row>
    <row r="838">
      <c r="A838" s="24"/>
      <c r="B838" s="24"/>
      <c r="C838" s="25"/>
      <c r="D838" s="25"/>
      <c r="E838" s="25"/>
      <c r="F838" s="25"/>
      <c r="G838" s="25"/>
      <c r="H838" s="25"/>
      <c r="I838" s="25"/>
    </row>
    <row r="839">
      <c r="A839" s="24"/>
      <c r="B839" s="24"/>
      <c r="C839" s="25"/>
      <c r="D839" s="25"/>
      <c r="E839" s="25"/>
      <c r="F839" s="25"/>
      <c r="G839" s="25"/>
      <c r="H839" s="25"/>
      <c r="I839" s="25"/>
    </row>
    <row r="840">
      <c r="A840" s="24"/>
      <c r="B840" s="24"/>
      <c r="C840" s="25"/>
      <c r="D840" s="25"/>
      <c r="E840" s="25"/>
      <c r="F840" s="25"/>
      <c r="G840" s="25"/>
      <c r="H840" s="25"/>
      <c r="I840" s="25"/>
    </row>
    <row r="841">
      <c r="A841" s="24"/>
      <c r="B841" s="24"/>
      <c r="C841" s="25"/>
      <c r="D841" s="25"/>
      <c r="E841" s="25"/>
      <c r="F841" s="25"/>
      <c r="G841" s="25"/>
      <c r="H841" s="25"/>
      <c r="I841" s="25"/>
    </row>
    <row r="842">
      <c r="A842" s="24"/>
      <c r="B842" s="24"/>
      <c r="C842" s="25"/>
      <c r="D842" s="25"/>
      <c r="E842" s="25"/>
      <c r="F842" s="25"/>
      <c r="G842" s="25"/>
      <c r="H842" s="25"/>
      <c r="I842" s="25"/>
    </row>
    <row r="843">
      <c r="A843" s="24"/>
      <c r="B843" s="24"/>
      <c r="C843" s="25"/>
      <c r="D843" s="25"/>
      <c r="E843" s="25"/>
      <c r="F843" s="25"/>
      <c r="G843" s="25"/>
      <c r="H843" s="25"/>
      <c r="I843" s="25"/>
    </row>
    <row r="844">
      <c r="A844" s="24"/>
      <c r="B844" s="24"/>
      <c r="C844" s="25"/>
      <c r="D844" s="25"/>
      <c r="E844" s="25"/>
      <c r="F844" s="25"/>
      <c r="G844" s="25"/>
      <c r="H844" s="25"/>
      <c r="I844" s="25"/>
    </row>
    <row r="845">
      <c r="A845" s="24"/>
      <c r="B845" s="24"/>
      <c r="C845" s="25"/>
      <c r="D845" s="25"/>
      <c r="E845" s="25"/>
      <c r="F845" s="25"/>
      <c r="G845" s="25"/>
      <c r="H845" s="25"/>
      <c r="I845" s="25"/>
    </row>
    <row r="846">
      <c r="A846" s="24"/>
      <c r="B846" s="24"/>
      <c r="C846" s="25"/>
      <c r="D846" s="25"/>
      <c r="E846" s="25"/>
      <c r="F846" s="25"/>
      <c r="G846" s="25"/>
      <c r="H846" s="25"/>
      <c r="I846" s="25"/>
    </row>
    <row r="847">
      <c r="A847" s="24"/>
      <c r="B847" s="24"/>
      <c r="C847" s="25"/>
      <c r="D847" s="25"/>
      <c r="E847" s="25"/>
      <c r="F847" s="25"/>
      <c r="G847" s="25"/>
      <c r="H847" s="25"/>
      <c r="I847" s="25"/>
    </row>
    <row r="848">
      <c r="A848" s="24"/>
      <c r="B848" s="24"/>
      <c r="C848" s="25"/>
      <c r="D848" s="25"/>
      <c r="E848" s="25"/>
      <c r="F848" s="25"/>
      <c r="G848" s="25"/>
      <c r="H848" s="25"/>
      <c r="I848" s="25"/>
    </row>
    <row r="849">
      <c r="A849" s="24"/>
      <c r="B849" s="24"/>
      <c r="C849" s="25"/>
      <c r="D849" s="25"/>
      <c r="E849" s="25"/>
      <c r="F849" s="25"/>
      <c r="G849" s="25"/>
      <c r="H849" s="25"/>
      <c r="I849" s="25"/>
    </row>
    <row r="850">
      <c r="A850" s="24"/>
      <c r="B850" s="24"/>
      <c r="C850" s="25"/>
      <c r="D850" s="25"/>
      <c r="E850" s="25"/>
      <c r="F850" s="25"/>
      <c r="G850" s="25"/>
      <c r="H850" s="25"/>
      <c r="I850" s="25"/>
    </row>
    <row r="851">
      <c r="A851" s="24"/>
      <c r="B851" s="24"/>
      <c r="C851" s="25"/>
      <c r="D851" s="25"/>
      <c r="E851" s="25"/>
      <c r="F851" s="25"/>
      <c r="G851" s="25"/>
      <c r="H851" s="25"/>
      <c r="I851" s="25"/>
    </row>
    <row r="852">
      <c r="A852" s="24"/>
      <c r="B852" s="24"/>
      <c r="C852" s="25"/>
      <c r="D852" s="25"/>
      <c r="E852" s="25"/>
      <c r="F852" s="25"/>
      <c r="G852" s="25"/>
      <c r="H852" s="25"/>
      <c r="I852" s="25"/>
    </row>
    <row r="853">
      <c r="A853" s="24"/>
      <c r="B853" s="24"/>
      <c r="C853" s="25"/>
      <c r="D853" s="25"/>
      <c r="E853" s="25"/>
      <c r="F853" s="25"/>
      <c r="G853" s="25"/>
      <c r="H853" s="25"/>
      <c r="I853" s="25"/>
    </row>
    <row r="854">
      <c r="A854" s="24"/>
      <c r="B854" s="24"/>
      <c r="C854" s="25"/>
      <c r="D854" s="25"/>
      <c r="E854" s="25"/>
      <c r="F854" s="25"/>
      <c r="G854" s="25"/>
      <c r="H854" s="25"/>
      <c r="I854" s="25"/>
    </row>
    <row r="855">
      <c r="A855" s="24"/>
      <c r="B855" s="24"/>
      <c r="C855" s="25"/>
      <c r="D855" s="25"/>
      <c r="E855" s="25"/>
      <c r="F855" s="25"/>
      <c r="G855" s="25"/>
      <c r="H855" s="25"/>
      <c r="I855" s="25"/>
    </row>
    <row r="856">
      <c r="A856" s="24"/>
      <c r="B856" s="24"/>
      <c r="C856" s="25"/>
      <c r="D856" s="25"/>
      <c r="E856" s="25"/>
      <c r="F856" s="25"/>
      <c r="G856" s="25"/>
      <c r="H856" s="25"/>
      <c r="I856" s="25"/>
    </row>
    <row r="857">
      <c r="A857" s="24"/>
      <c r="B857" s="24"/>
      <c r="C857" s="25"/>
      <c r="D857" s="25"/>
      <c r="E857" s="25"/>
      <c r="F857" s="25"/>
      <c r="G857" s="25"/>
      <c r="H857" s="25"/>
      <c r="I857" s="25"/>
    </row>
    <row r="858">
      <c r="A858" s="24"/>
      <c r="B858" s="24"/>
      <c r="C858" s="25"/>
      <c r="D858" s="25"/>
      <c r="E858" s="25"/>
      <c r="F858" s="25"/>
      <c r="G858" s="25"/>
      <c r="H858" s="25"/>
      <c r="I858" s="25"/>
    </row>
    <row r="859">
      <c r="A859" s="24"/>
      <c r="B859" s="24"/>
      <c r="C859" s="25"/>
      <c r="D859" s="25"/>
      <c r="E859" s="25"/>
      <c r="F859" s="25"/>
      <c r="G859" s="25"/>
      <c r="H859" s="25"/>
      <c r="I859" s="25"/>
    </row>
    <row r="860">
      <c r="A860" s="24"/>
      <c r="B860" s="24"/>
      <c r="C860" s="25"/>
      <c r="D860" s="25"/>
      <c r="E860" s="25"/>
      <c r="F860" s="25"/>
      <c r="G860" s="25"/>
      <c r="H860" s="25"/>
      <c r="I860" s="25"/>
    </row>
    <row r="861">
      <c r="A861" s="24"/>
      <c r="B861" s="24"/>
      <c r="C861" s="25"/>
      <c r="D861" s="25"/>
      <c r="E861" s="25"/>
      <c r="F861" s="25"/>
      <c r="G861" s="25"/>
      <c r="H861" s="25"/>
      <c r="I861" s="25"/>
    </row>
    <row r="862">
      <c r="A862" s="24"/>
      <c r="B862" s="24"/>
      <c r="C862" s="25"/>
      <c r="D862" s="25"/>
      <c r="E862" s="25"/>
      <c r="F862" s="25"/>
      <c r="G862" s="25"/>
      <c r="H862" s="25"/>
      <c r="I862" s="25"/>
    </row>
    <row r="863">
      <c r="A863" s="24"/>
      <c r="B863" s="24"/>
      <c r="C863" s="25"/>
      <c r="D863" s="25"/>
      <c r="E863" s="25"/>
      <c r="F863" s="25"/>
      <c r="G863" s="25"/>
      <c r="H863" s="25"/>
      <c r="I863" s="25"/>
    </row>
    <row r="864">
      <c r="A864" s="24"/>
      <c r="B864" s="24"/>
      <c r="C864" s="25"/>
      <c r="D864" s="25"/>
      <c r="E864" s="25"/>
      <c r="F864" s="25"/>
      <c r="G864" s="25"/>
      <c r="H864" s="25"/>
      <c r="I864" s="25"/>
    </row>
    <row r="865">
      <c r="A865" s="24"/>
      <c r="B865" s="24"/>
      <c r="C865" s="25"/>
      <c r="D865" s="25"/>
      <c r="E865" s="25"/>
      <c r="F865" s="25"/>
      <c r="G865" s="25"/>
      <c r="H865" s="25"/>
      <c r="I865" s="25"/>
    </row>
    <row r="866">
      <c r="A866" s="24"/>
      <c r="B866" s="24"/>
      <c r="C866" s="25"/>
      <c r="D866" s="25"/>
      <c r="E866" s="25"/>
      <c r="F866" s="25"/>
      <c r="G866" s="25"/>
      <c r="H866" s="25"/>
      <c r="I866" s="25"/>
    </row>
    <row r="867">
      <c r="A867" s="24"/>
      <c r="B867" s="24"/>
      <c r="C867" s="25"/>
      <c r="D867" s="25"/>
      <c r="E867" s="25"/>
      <c r="F867" s="25"/>
      <c r="G867" s="25"/>
      <c r="H867" s="25"/>
      <c r="I867" s="25"/>
    </row>
    <row r="868">
      <c r="A868" s="24"/>
      <c r="B868" s="24"/>
      <c r="C868" s="25"/>
      <c r="D868" s="25"/>
      <c r="E868" s="25"/>
      <c r="F868" s="25"/>
      <c r="G868" s="25"/>
      <c r="H868" s="25"/>
      <c r="I868" s="25"/>
    </row>
    <row r="869">
      <c r="A869" s="24"/>
      <c r="B869" s="24"/>
      <c r="C869" s="25"/>
      <c r="D869" s="25"/>
      <c r="E869" s="25"/>
      <c r="F869" s="25"/>
      <c r="G869" s="25"/>
      <c r="H869" s="25"/>
      <c r="I869" s="25"/>
    </row>
    <row r="870">
      <c r="A870" s="24"/>
      <c r="B870" s="24"/>
      <c r="C870" s="25"/>
      <c r="D870" s="25"/>
      <c r="E870" s="25"/>
      <c r="F870" s="25"/>
      <c r="G870" s="25"/>
      <c r="H870" s="25"/>
      <c r="I870" s="25"/>
    </row>
    <row r="871">
      <c r="A871" s="24"/>
      <c r="B871" s="24"/>
      <c r="C871" s="25"/>
      <c r="D871" s="25"/>
      <c r="E871" s="25"/>
      <c r="F871" s="25"/>
      <c r="G871" s="25"/>
      <c r="H871" s="25"/>
      <c r="I871" s="25"/>
    </row>
    <row r="872">
      <c r="A872" s="24"/>
      <c r="B872" s="24"/>
      <c r="C872" s="25"/>
      <c r="D872" s="25"/>
      <c r="E872" s="25"/>
      <c r="F872" s="25"/>
      <c r="G872" s="25"/>
      <c r="H872" s="25"/>
      <c r="I872" s="25"/>
    </row>
    <row r="873">
      <c r="A873" s="24"/>
      <c r="B873" s="24"/>
      <c r="C873" s="25"/>
      <c r="D873" s="25"/>
      <c r="E873" s="25"/>
      <c r="F873" s="25"/>
      <c r="G873" s="25"/>
      <c r="H873" s="25"/>
      <c r="I873" s="25"/>
    </row>
    <row r="874">
      <c r="A874" s="24"/>
      <c r="B874" s="24"/>
      <c r="C874" s="25"/>
      <c r="D874" s="25"/>
      <c r="E874" s="25"/>
      <c r="F874" s="25"/>
      <c r="G874" s="25"/>
      <c r="H874" s="25"/>
      <c r="I874" s="25"/>
    </row>
    <row r="875">
      <c r="A875" s="24"/>
      <c r="B875" s="24"/>
      <c r="C875" s="25"/>
      <c r="D875" s="25"/>
      <c r="E875" s="25"/>
      <c r="F875" s="25"/>
      <c r="G875" s="25"/>
      <c r="H875" s="25"/>
      <c r="I875" s="25"/>
    </row>
    <row r="876">
      <c r="A876" s="24"/>
      <c r="B876" s="24"/>
      <c r="C876" s="25"/>
      <c r="D876" s="25"/>
      <c r="E876" s="25"/>
      <c r="F876" s="25"/>
      <c r="G876" s="25"/>
      <c r="H876" s="25"/>
      <c r="I876" s="25"/>
    </row>
    <row r="877">
      <c r="A877" s="24"/>
      <c r="B877" s="24"/>
      <c r="C877" s="25"/>
      <c r="D877" s="25"/>
      <c r="E877" s="25"/>
      <c r="F877" s="25"/>
      <c r="G877" s="25"/>
      <c r="H877" s="25"/>
      <c r="I877" s="25"/>
    </row>
    <row r="878">
      <c r="A878" s="24"/>
      <c r="B878" s="24"/>
      <c r="C878" s="25"/>
      <c r="D878" s="25"/>
      <c r="E878" s="25"/>
      <c r="F878" s="25"/>
      <c r="G878" s="25"/>
      <c r="H878" s="25"/>
      <c r="I878" s="25"/>
    </row>
    <row r="879">
      <c r="A879" s="24"/>
      <c r="B879" s="24"/>
      <c r="C879" s="25"/>
      <c r="D879" s="25"/>
      <c r="E879" s="25"/>
      <c r="F879" s="25"/>
      <c r="G879" s="25"/>
      <c r="H879" s="25"/>
      <c r="I879" s="25"/>
    </row>
    <row r="880">
      <c r="A880" s="24"/>
      <c r="B880" s="24"/>
      <c r="C880" s="25"/>
      <c r="D880" s="25"/>
      <c r="E880" s="25"/>
      <c r="F880" s="25"/>
      <c r="G880" s="25"/>
      <c r="H880" s="25"/>
      <c r="I880" s="25"/>
    </row>
    <row r="881">
      <c r="A881" s="24"/>
      <c r="B881" s="24"/>
      <c r="C881" s="25"/>
      <c r="D881" s="25"/>
      <c r="E881" s="25"/>
      <c r="F881" s="25"/>
      <c r="G881" s="25"/>
      <c r="H881" s="25"/>
      <c r="I881" s="25"/>
    </row>
    <row r="882">
      <c r="A882" s="24"/>
      <c r="B882" s="24"/>
      <c r="C882" s="25"/>
      <c r="D882" s="25"/>
      <c r="E882" s="25"/>
      <c r="F882" s="25"/>
      <c r="G882" s="25"/>
      <c r="H882" s="25"/>
      <c r="I882" s="25"/>
    </row>
    <row r="883">
      <c r="A883" s="24"/>
      <c r="B883" s="24"/>
      <c r="C883" s="25"/>
      <c r="D883" s="25"/>
      <c r="E883" s="25"/>
      <c r="F883" s="25"/>
      <c r="G883" s="25"/>
      <c r="H883" s="25"/>
      <c r="I883" s="25"/>
    </row>
    <row r="884">
      <c r="A884" s="24"/>
      <c r="B884" s="24"/>
      <c r="C884" s="25"/>
      <c r="D884" s="25"/>
      <c r="E884" s="25"/>
      <c r="F884" s="25"/>
      <c r="G884" s="25"/>
      <c r="H884" s="25"/>
      <c r="I884" s="25"/>
    </row>
    <row r="885">
      <c r="A885" s="24"/>
      <c r="B885" s="24"/>
      <c r="C885" s="25"/>
      <c r="D885" s="25"/>
      <c r="E885" s="25"/>
      <c r="F885" s="25"/>
      <c r="G885" s="25"/>
      <c r="H885" s="25"/>
      <c r="I885" s="25"/>
    </row>
    <row r="886">
      <c r="A886" s="24"/>
      <c r="B886" s="24"/>
      <c r="C886" s="25"/>
      <c r="D886" s="25"/>
      <c r="E886" s="25"/>
      <c r="F886" s="25"/>
      <c r="G886" s="25"/>
      <c r="H886" s="25"/>
      <c r="I886" s="25"/>
    </row>
    <row r="887">
      <c r="A887" s="24"/>
      <c r="B887" s="24"/>
      <c r="C887" s="25"/>
      <c r="D887" s="25"/>
      <c r="E887" s="25"/>
      <c r="F887" s="25"/>
      <c r="G887" s="25"/>
      <c r="H887" s="25"/>
      <c r="I887" s="25"/>
    </row>
    <row r="888">
      <c r="A888" s="24"/>
      <c r="B888" s="24"/>
      <c r="C888" s="25"/>
      <c r="D888" s="25"/>
      <c r="E888" s="25"/>
      <c r="F888" s="25"/>
      <c r="G888" s="25"/>
      <c r="H888" s="25"/>
      <c r="I888" s="25"/>
    </row>
    <row r="889">
      <c r="A889" s="24"/>
      <c r="B889" s="24"/>
      <c r="C889" s="25"/>
      <c r="D889" s="25"/>
      <c r="E889" s="25"/>
      <c r="F889" s="25"/>
      <c r="G889" s="25"/>
      <c r="H889" s="25"/>
      <c r="I889" s="25"/>
    </row>
    <row r="890">
      <c r="A890" s="24"/>
      <c r="B890" s="24"/>
      <c r="C890" s="25"/>
      <c r="D890" s="25"/>
      <c r="E890" s="25"/>
      <c r="F890" s="25"/>
      <c r="G890" s="25"/>
      <c r="H890" s="25"/>
      <c r="I890" s="25"/>
    </row>
    <row r="891">
      <c r="A891" s="24"/>
      <c r="B891" s="24"/>
      <c r="C891" s="25"/>
      <c r="D891" s="25"/>
      <c r="E891" s="25"/>
      <c r="F891" s="25"/>
      <c r="G891" s="25"/>
      <c r="H891" s="25"/>
      <c r="I891" s="25"/>
    </row>
    <row r="892">
      <c r="A892" s="24"/>
      <c r="B892" s="24"/>
      <c r="C892" s="25"/>
      <c r="D892" s="25"/>
      <c r="E892" s="25"/>
      <c r="F892" s="25"/>
      <c r="G892" s="25"/>
      <c r="H892" s="25"/>
      <c r="I892" s="25"/>
    </row>
    <row r="893">
      <c r="A893" s="24"/>
      <c r="B893" s="24"/>
      <c r="C893" s="25"/>
      <c r="D893" s="25"/>
      <c r="E893" s="25"/>
      <c r="F893" s="25"/>
      <c r="G893" s="25"/>
      <c r="H893" s="25"/>
      <c r="I893" s="25"/>
    </row>
    <row r="894">
      <c r="A894" s="24"/>
      <c r="B894" s="24"/>
      <c r="C894" s="25"/>
      <c r="D894" s="25"/>
      <c r="E894" s="25"/>
      <c r="F894" s="25"/>
      <c r="G894" s="25"/>
      <c r="H894" s="25"/>
      <c r="I894" s="25"/>
    </row>
    <row r="895">
      <c r="A895" s="24"/>
      <c r="B895" s="24"/>
      <c r="C895" s="25"/>
      <c r="D895" s="25"/>
      <c r="E895" s="25"/>
      <c r="F895" s="25"/>
      <c r="G895" s="25"/>
      <c r="H895" s="25"/>
      <c r="I895" s="25"/>
    </row>
    <row r="896">
      <c r="A896" s="24"/>
      <c r="B896" s="24"/>
      <c r="C896" s="25"/>
      <c r="D896" s="25"/>
      <c r="E896" s="25"/>
      <c r="F896" s="25"/>
      <c r="G896" s="25"/>
      <c r="H896" s="25"/>
      <c r="I896" s="25"/>
    </row>
    <row r="897">
      <c r="A897" s="24"/>
      <c r="B897" s="24"/>
      <c r="C897" s="25"/>
      <c r="D897" s="25"/>
      <c r="E897" s="25"/>
      <c r="F897" s="25"/>
      <c r="G897" s="25"/>
      <c r="H897" s="25"/>
      <c r="I897" s="25"/>
    </row>
    <row r="898">
      <c r="A898" s="24"/>
      <c r="B898" s="24"/>
      <c r="C898" s="25"/>
      <c r="D898" s="25"/>
      <c r="E898" s="25"/>
      <c r="F898" s="25"/>
      <c r="G898" s="25"/>
      <c r="H898" s="25"/>
      <c r="I898" s="25"/>
    </row>
    <row r="899">
      <c r="A899" s="24"/>
      <c r="B899" s="24"/>
      <c r="C899" s="25"/>
      <c r="D899" s="25"/>
      <c r="E899" s="25"/>
      <c r="F899" s="25"/>
      <c r="G899" s="25"/>
      <c r="H899" s="25"/>
      <c r="I899" s="25"/>
    </row>
    <row r="900">
      <c r="A900" s="24"/>
      <c r="B900" s="24"/>
      <c r="C900" s="25"/>
      <c r="D900" s="25"/>
      <c r="E900" s="25"/>
      <c r="F900" s="25"/>
      <c r="G900" s="25"/>
      <c r="H900" s="25"/>
      <c r="I900" s="25"/>
    </row>
    <row r="901">
      <c r="A901" s="24"/>
      <c r="B901" s="24"/>
      <c r="C901" s="25"/>
      <c r="D901" s="25"/>
      <c r="E901" s="25"/>
      <c r="F901" s="25"/>
      <c r="G901" s="25"/>
      <c r="H901" s="25"/>
      <c r="I901" s="25"/>
    </row>
    <row r="902">
      <c r="A902" s="24"/>
      <c r="B902" s="24"/>
      <c r="C902" s="25"/>
      <c r="D902" s="25"/>
      <c r="E902" s="25"/>
      <c r="F902" s="25"/>
      <c r="G902" s="25"/>
      <c r="H902" s="25"/>
      <c r="I902" s="25"/>
    </row>
    <row r="903">
      <c r="A903" s="24"/>
      <c r="B903" s="24"/>
      <c r="C903" s="25"/>
      <c r="D903" s="25"/>
      <c r="E903" s="25"/>
      <c r="F903" s="25"/>
      <c r="G903" s="25"/>
      <c r="H903" s="25"/>
      <c r="I903" s="25"/>
    </row>
    <row r="904">
      <c r="A904" s="24"/>
      <c r="B904" s="24"/>
      <c r="C904" s="25"/>
      <c r="D904" s="25"/>
      <c r="E904" s="25"/>
      <c r="F904" s="25"/>
      <c r="G904" s="25"/>
      <c r="H904" s="25"/>
      <c r="I904" s="25"/>
    </row>
    <row r="905">
      <c r="A905" s="24"/>
      <c r="B905" s="24"/>
      <c r="C905" s="25"/>
      <c r="D905" s="25"/>
      <c r="E905" s="25"/>
      <c r="F905" s="25"/>
      <c r="G905" s="25"/>
      <c r="H905" s="25"/>
      <c r="I905" s="25"/>
    </row>
    <row r="906">
      <c r="A906" s="24"/>
      <c r="B906" s="24"/>
      <c r="C906" s="25"/>
      <c r="D906" s="25"/>
      <c r="E906" s="25"/>
      <c r="F906" s="25"/>
      <c r="G906" s="25"/>
      <c r="H906" s="25"/>
      <c r="I906" s="25"/>
    </row>
    <row r="907">
      <c r="A907" s="24"/>
      <c r="B907" s="24"/>
      <c r="C907" s="25"/>
      <c r="D907" s="25"/>
      <c r="E907" s="25"/>
      <c r="F907" s="25"/>
      <c r="G907" s="25"/>
      <c r="H907" s="25"/>
      <c r="I907" s="25"/>
    </row>
    <row r="908">
      <c r="A908" s="24"/>
      <c r="B908" s="24"/>
      <c r="C908" s="25"/>
      <c r="D908" s="25"/>
      <c r="E908" s="25"/>
      <c r="F908" s="25"/>
      <c r="G908" s="25"/>
      <c r="H908" s="25"/>
      <c r="I908" s="25"/>
    </row>
    <row r="909">
      <c r="A909" s="24"/>
      <c r="B909" s="24"/>
      <c r="C909" s="25"/>
      <c r="D909" s="25"/>
      <c r="E909" s="25"/>
      <c r="F909" s="25"/>
      <c r="G909" s="25"/>
      <c r="H909" s="25"/>
      <c r="I909" s="25"/>
    </row>
    <row r="910">
      <c r="A910" s="24"/>
      <c r="B910" s="24"/>
      <c r="C910" s="25"/>
      <c r="D910" s="25"/>
      <c r="E910" s="25"/>
      <c r="F910" s="25"/>
      <c r="G910" s="25"/>
      <c r="H910" s="25"/>
      <c r="I910" s="25"/>
    </row>
    <row r="911">
      <c r="A911" s="24"/>
      <c r="B911" s="24"/>
      <c r="C911" s="25"/>
      <c r="D911" s="25"/>
      <c r="E911" s="25"/>
      <c r="F911" s="25"/>
      <c r="G911" s="25"/>
      <c r="H911" s="25"/>
      <c r="I911" s="25"/>
    </row>
    <row r="912">
      <c r="A912" s="24"/>
      <c r="B912" s="24"/>
      <c r="C912" s="25"/>
      <c r="D912" s="25"/>
      <c r="E912" s="25"/>
      <c r="F912" s="25"/>
      <c r="G912" s="25"/>
      <c r="H912" s="25"/>
      <c r="I912" s="25"/>
    </row>
    <row r="913">
      <c r="A913" s="24"/>
      <c r="B913" s="24"/>
      <c r="C913" s="25"/>
      <c r="D913" s="25"/>
      <c r="E913" s="25"/>
      <c r="F913" s="25"/>
      <c r="G913" s="25"/>
      <c r="H913" s="25"/>
      <c r="I913" s="25"/>
    </row>
    <row r="914">
      <c r="A914" s="24"/>
      <c r="B914" s="24"/>
      <c r="C914" s="25"/>
      <c r="D914" s="25"/>
      <c r="E914" s="25"/>
      <c r="F914" s="25"/>
      <c r="G914" s="25"/>
      <c r="H914" s="25"/>
      <c r="I914" s="25"/>
    </row>
    <row r="915">
      <c r="A915" s="24"/>
      <c r="B915" s="24"/>
      <c r="C915" s="25"/>
      <c r="D915" s="25"/>
      <c r="E915" s="25"/>
      <c r="F915" s="25"/>
      <c r="G915" s="25"/>
      <c r="H915" s="25"/>
      <c r="I915" s="25"/>
    </row>
    <row r="916">
      <c r="A916" s="24"/>
      <c r="B916" s="24"/>
      <c r="C916" s="25"/>
      <c r="D916" s="25"/>
      <c r="E916" s="25"/>
      <c r="F916" s="25"/>
      <c r="G916" s="25"/>
      <c r="H916" s="25"/>
      <c r="I916" s="25"/>
    </row>
    <row r="917">
      <c r="A917" s="24"/>
      <c r="B917" s="24"/>
      <c r="C917" s="25"/>
      <c r="D917" s="25"/>
      <c r="E917" s="25"/>
      <c r="F917" s="25"/>
      <c r="G917" s="25"/>
      <c r="H917" s="25"/>
      <c r="I917" s="25"/>
    </row>
    <row r="918">
      <c r="A918" s="24"/>
      <c r="B918" s="24"/>
      <c r="C918" s="25"/>
      <c r="D918" s="25"/>
      <c r="E918" s="25"/>
      <c r="F918" s="25"/>
      <c r="G918" s="25"/>
      <c r="H918" s="25"/>
      <c r="I918" s="25"/>
    </row>
    <row r="919">
      <c r="A919" s="24"/>
      <c r="B919" s="24"/>
      <c r="C919" s="25"/>
      <c r="D919" s="25"/>
      <c r="E919" s="25"/>
      <c r="F919" s="25"/>
      <c r="G919" s="25"/>
      <c r="H919" s="25"/>
      <c r="I919" s="25"/>
    </row>
    <row r="920">
      <c r="A920" s="24"/>
      <c r="B920" s="24"/>
      <c r="C920" s="25"/>
      <c r="D920" s="25"/>
      <c r="E920" s="25"/>
      <c r="F920" s="25"/>
      <c r="G920" s="25"/>
      <c r="H920" s="25"/>
      <c r="I920" s="25"/>
    </row>
    <row r="921">
      <c r="A921" s="24"/>
      <c r="B921" s="24"/>
      <c r="C921" s="25"/>
      <c r="D921" s="25"/>
      <c r="E921" s="25"/>
      <c r="F921" s="25"/>
      <c r="G921" s="25"/>
      <c r="H921" s="25"/>
      <c r="I921" s="25"/>
    </row>
    <row r="922">
      <c r="A922" s="24"/>
      <c r="B922" s="24"/>
      <c r="C922" s="25"/>
      <c r="D922" s="25"/>
      <c r="E922" s="25"/>
      <c r="F922" s="25"/>
      <c r="G922" s="25"/>
      <c r="H922" s="25"/>
      <c r="I922" s="25"/>
    </row>
    <row r="923">
      <c r="A923" s="24"/>
      <c r="B923" s="24"/>
      <c r="C923" s="25"/>
      <c r="D923" s="25"/>
      <c r="E923" s="25"/>
      <c r="F923" s="25"/>
      <c r="G923" s="25"/>
      <c r="H923" s="25"/>
      <c r="I923" s="25"/>
    </row>
    <row r="924">
      <c r="A924" s="24"/>
      <c r="B924" s="24"/>
      <c r="C924" s="25"/>
      <c r="D924" s="25"/>
      <c r="E924" s="25"/>
      <c r="F924" s="25"/>
      <c r="G924" s="25"/>
      <c r="H924" s="25"/>
      <c r="I924" s="25"/>
    </row>
    <row r="925">
      <c r="A925" s="24"/>
      <c r="B925" s="24"/>
      <c r="C925" s="25"/>
      <c r="D925" s="25"/>
      <c r="E925" s="25"/>
      <c r="F925" s="25"/>
      <c r="G925" s="25"/>
      <c r="H925" s="25"/>
      <c r="I925" s="25"/>
    </row>
    <row r="926">
      <c r="A926" s="24"/>
      <c r="B926" s="24"/>
      <c r="C926" s="25"/>
      <c r="D926" s="25"/>
      <c r="E926" s="25"/>
      <c r="F926" s="25"/>
      <c r="G926" s="25"/>
      <c r="H926" s="25"/>
      <c r="I926" s="25"/>
    </row>
    <row r="927">
      <c r="A927" s="24"/>
      <c r="B927" s="24"/>
      <c r="C927" s="25"/>
      <c r="D927" s="25"/>
      <c r="E927" s="25"/>
      <c r="F927" s="25"/>
      <c r="G927" s="25"/>
      <c r="H927" s="25"/>
      <c r="I927" s="25"/>
    </row>
    <row r="928">
      <c r="A928" s="24"/>
      <c r="B928" s="24"/>
      <c r="C928" s="25"/>
      <c r="D928" s="25"/>
      <c r="E928" s="25"/>
      <c r="F928" s="25"/>
      <c r="G928" s="25"/>
      <c r="H928" s="25"/>
      <c r="I928" s="25"/>
    </row>
    <row r="929">
      <c r="A929" s="24"/>
      <c r="B929" s="24"/>
      <c r="C929" s="25"/>
      <c r="D929" s="25"/>
      <c r="E929" s="25"/>
      <c r="F929" s="25"/>
      <c r="G929" s="25"/>
      <c r="H929" s="25"/>
      <c r="I929" s="25"/>
    </row>
    <row r="930">
      <c r="A930" s="24"/>
      <c r="B930" s="24"/>
      <c r="C930" s="25"/>
      <c r="D930" s="25"/>
      <c r="E930" s="25"/>
      <c r="F930" s="25"/>
      <c r="G930" s="25"/>
      <c r="H930" s="25"/>
      <c r="I930" s="25"/>
    </row>
    <row r="931">
      <c r="A931" s="24"/>
      <c r="B931" s="24"/>
      <c r="C931" s="25"/>
      <c r="D931" s="25"/>
      <c r="E931" s="25"/>
      <c r="F931" s="25"/>
      <c r="G931" s="25"/>
      <c r="H931" s="25"/>
      <c r="I931" s="25"/>
    </row>
    <row r="932">
      <c r="A932" s="24"/>
      <c r="B932" s="24"/>
      <c r="C932" s="25"/>
      <c r="D932" s="25"/>
      <c r="E932" s="25"/>
      <c r="F932" s="25"/>
      <c r="G932" s="25"/>
      <c r="H932" s="25"/>
      <c r="I932" s="25"/>
    </row>
    <row r="933">
      <c r="A933" s="24"/>
      <c r="B933" s="24"/>
      <c r="C933" s="25"/>
      <c r="D933" s="25"/>
      <c r="E933" s="25"/>
      <c r="F933" s="25"/>
      <c r="G933" s="25"/>
      <c r="H933" s="25"/>
      <c r="I933" s="25"/>
    </row>
    <row r="934">
      <c r="A934" s="24"/>
      <c r="B934" s="24"/>
      <c r="C934" s="25"/>
      <c r="D934" s="25"/>
      <c r="E934" s="25"/>
      <c r="F934" s="25"/>
      <c r="G934" s="25"/>
      <c r="H934" s="25"/>
      <c r="I934" s="25"/>
    </row>
    <row r="935">
      <c r="A935" s="24"/>
      <c r="B935" s="24"/>
      <c r="C935" s="25"/>
      <c r="D935" s="25"/>
      <c r="E935" s="25"/>
      <c r="F935" s="25"/>
      <c r="G935" s="25"/>
      <c r="H935" s="25"/>
      <c r="I935" s="25"/>
    </row>
    <row r="936">
      <c r="A936" s="24"/>
      <c r="B936" s="24"/>
      <c r="C936" s="25"/>
      <c r="D936" s="25"/>
      <c r="E936" s="25"/>
      <c r="F936" s="25"/>
      <c r="G936" s="25"/>
      <c r="H936" s="25"/>
      <c r="I936" s="25"/>
    </row>
    <row r="937">
      <c r="A937" s="24"/>
      <c r="B937" s="24"/>
      <c r="C937" s="25"/>
      <c r="D937" s="25"/>
      <c r="E937" s="25"/>
      <c r="F937" s="25"/>
      <c r="G937" s="25"/>
      <c r="H937" s="25"/>
      <c r="I937" s="25"/>
    </row>
    <row r="938">
      <c r="A938" s="24"/>
      <c r="B938" s="24"/>
      <c r="C938" s="25"/>
      <c r="D938" s="25"/>
      <c r="E938" s="25"/>
      <c r="F938" s="25"/>
      <c r="G938" s="25"/>
      <c r="H938" s="25"/>
      <c r="I938" s="25"/>
    </row>
    <row r="939">
      <c r="A939" s="24"/>
      <c r="B939" s="24"/>
      <c r="C939" s="25"/>
      <c r="D939" s="25"/>
      <c r="E939" s="25"/>
      <c r="F939" s="25"/>
      <c r="G939" s="25"/>
      <c r="H939" s="25"/>
      <c r="I939" s="25"/>
    </row>
    <row r="940">
      <c r="A940" s="24"/>
      <c r="B940" s="24"/>
      <c r="C940" s="25"/>
      <c r="D940" s="25"/>
      <c r="E940" s="25"/>
      <c r="F940" s="25"/>
      <c r="G940" s="25"/>
      <c r="H940" s="25"/>
      <c r="I940" s="25"/>
    </row>
    <row r="941">
      <c r="A941" s="24"/>
      <c r="B941" s="24"/>
      <c r="C941" s="25"/>
      <c r="D941" s="25"/>
      <c r="E941" s="25"/>
      <c r="F941" s="25"/>
      <c r="G941" s="25"/>
      <c r="H941" s="25"/>
      <c r="I941" s="25"/>
    </row>
    <row r="942">
      <c r="A942" s="24"/>
      <c r="B942" s="24"/>
      <c r="C942" s="25"/>
      <c r="D942" s="25"/>
      <c r="E942" s="25"/>
      <c r="F942" s="25"/>
      <c r="G942" s="25"/>
      <c r="H942" s="25"/>
      <c r="I942" s="25"/>
    </row>
    <row r="943">
      <c r="A943" s="24"/>
      <c r="B943" s="24"/>
      <c r="C943" s="25"/>
      <c r="D943" s="25"/>
      <c r="E943" s="25"/>
      <c r="F943" s="25"/>
      <c r="G943" s="25"/>
      <c r="H943" s="25"/>
      <c r="I943" s="25"/>
    </row>
    <row r="944">
      <c r="A944" s="24"/>
      <c r="B944" s="24"/>
      <c r="C944" s="25"/>
      <c r="D944" s="25"/>
      <c r="E944" s="25"/>
      <c r="F944" s="25"/>
      <c r="G944" s="25"/>
      <c r="H944" s="25"/>
      <c r="I944" s="25"/>
    </row>
    <row r="945">
      <c r="A945" s="24"/>
      <c r="B945" s="24"/>
      <c r="C945" s="25"/>
      <c r="D945" s="25"/>
      <c r="E945" s="25"/>
      <c r="F945" s="25"/>
      <c r="G945" s="25"/>
      <c r="H945" s="25"/>
      <c r="I945" s="25"/>
    </row>
    <row r="946">
      <c r="A946" s="24"/>
      <c r="B946" s="24"/>
      <c r="C946" s="25"/>
      <c r="D946" s="25"/>
      <c r="E946" s="25"/>
      <c r="F946" s="25"/>
      <c r="G946" s="25"/>
      <c r="H946" s="25"/>
      <c r="I946" s="25"/>
    </row>
    <row r="947">
      <c r="A947" s="24"/>
      <c r="B947" s="24"/>
      <c r="C947" s="25"/>
      <c r="D947" s="25"/>
      <c r="E947" s="25"/>
      <c r="F947" s="25"/>
      <c r="G947" s="25"/>
      <c r="H947" s="25"/>
      <c r="I947" s="25"/>
    </row>
    <row r="948">
      <c r="A948" s="24"/>
      <c r="B948" s="24"/>
      <c r="C948" s="25"/>
      <c r="D948" s="25"/>
      <c r="E948" s="25"/>
      <c r="F948" s="25"/>
      <c r="G948" s="25"/>
      <c r="H948" s="25"/>
      <c r="I948" s="25"/>
    </row>
    <row r="949">
      <c r="A949" s="24"/>
      <c r="B949" s="24"/>
      <c r="C949" s="25"/>
      <c r="D949" s="25"/>
      <c r="E949" s="25"/>
      <c r="F949" s="25"/>
      <c r="G949" s="25"/>
      <c r="H949" s="25"/>
      <c r="I949" s="25"/>
    </row>
    <row r="950">
      <c r="A950" s="24"/>
      <c r="B950" s="24"/>
      <c r="C950" s="25"/>
      <c r="D950" s="25"/>
      <c r="E950" s="25"/>
      <c r="F950" s="25"/>
      <c r="G950" s="25"/>
      <c r="H950" s="25"/>
      <c r="I950" s="25"/>
    </row>
    <row r="951">
      <c r="A951" s="24"/>
      <c r="B951" s="24"/>
      <c r="C951" s="25"/>
      <c r="D951" s="25"/>
      <c r="E951" s="25"/>
      <c r="F951" s="25"/>
      <c r="G951" s="25"/>
      <c r="H951" s="25"/>
      <c r="I951" s="25"/>
    </row>
    <row r="952">
      <c r="A952" s="24"/>
      <c r="B952" s="24"/>
      <c r="C952" s="25"/>
      <c r="D952" s="25"/>
      <c r="E952" s="25"/>
      <c r="F952" s="25"/>
      <c r="G952" s="25"/>
      <c r="H952" s="25"/>
      <c r="I952" s="25"/>
    </row>
    <row r="953">
      <c r="A953" s="24"/>
      <c r="B953" s="24"/>
      <c r="C953" s="25"/>
      <c r="D953" s="25"/>
      <c r="E953" s="25"/>
      <c r="F953" s="25"/>
      <c r="G953" s="25"/>
      <c r="H953" s="25"/>
      <c r="I953" s="25"/>
    </row>
    <row r="954">
      <c r="A954" s="24"/>
      <c r="B954" s="24"/>
      <c r="C954" s="25"/>
      <c r="D954" s="25"/>
      <c r="E954" s="25"/>
      <c r="F954" s="25"/>
      <c r="G954" s="25"/>
      <c r="H954" s="25"/>
      <c r="I954" s="25"/>
    </row>
    <row r="955">
      <c r="A955" s="24"/>
      <c r="B955" s="24"/>
      <c r="C955" s="25"/>
      <c r="D955" s="25"/>
      <c r="E955" s="25"/>
      <c r="F955" s="25"/>
      <c r="G955" s="25"/>
      <c r="H955" s="25"/>
      <c r="I955" s="25"/>
    </row>
    <row r="956">
      <c r="A956" s="24"/>
      <c r="B956" s="24"/>
      <c r="C956" s="25"/>
      <c r="D956" s="25"/>
      <c r="E956" s="25"/>
      <c r="F956" s="25"/>
      <c r="G956" s="25"/>
      <c r="H956" s="25"/>
      <c r="I956" s="25"/>
    </row>
    <row r="957">
      <c r="A957" s="24"/>
      <c r="B957" s="24"/>
      <c r="C957" s="25"/>
      <c r="D957" s="25"/>
      <c r="E957" s="25"/>
      <c r="F957" s="25"/>
      <c r="G957" s="25"/>
      <c r="H957" s="25"/>
      <c r="I957" s="25"/>
    </row>
    <row r="958">
      <c r="A958" s="24"/>
      <c r="B958" s="24"/>
      <c r="C958" s="25"/>
      <c r="D958" s="25"/>
      <c r="E958" s="25"/>
      <c r="F958" s="25"/>
      <c r="G958" s="25"/>
      <c r="H958" s="25"/>
      <c r="I958" s="25"/>
    </row>
    <row r="959">
      <c r="A959" s="24"/>
      <c r="B959" s="24"/>
      <c r="C959" s="25"/>
      <c r="D959" s="25"/>
      <c r="E959" s="25"/>
      <c r="F959" s="25"/>
      <c r="G959" s="25"/>
      <c r="H959" s="25"/>
      <c r="I959" s="25"/>
    </row>
    <row r="960">
      <c r="A960" s="24"/>
      <c r="B960" s="24"/>
      <c r="C960" s="25"/>
      <c r="D960" s="25"/>
      <c r="E960" s="25"/>
      <c r="F960" s="25"/>
      <c r="G960" s="25"/>
      <c r="H960" s="25"/>
      <c r="I960" s="25"/>
    </row>
    <row r="961">
      <c r="A961" s="24"/>
      <c r="B961" s="24"/>
      <c r="C961" s="25"/>
      <c r="D961" s="25"/>
      <c r="E961" s="25"/>
      <c r="F961" s="25"/>
      <c r="G961" s="25"/>
      <c r="H961" s="25"/>
      <c r="I961" s="25"/>
    </row>
    <row r="962">
      <c r="A962" s="24"/>
      <c r="B962" s="24"/>
      <c r="C962" s="25"/>
      <c r="D962" s="25"/>
      <c r="E962" s="25"/>
      <c r="F962" s="25"/>
      <c r="G962" s="25"/>
      <c r="H962" s="25"/>
      <c r="I962" s="25"/>
    </row>
    <row r="963">
      <c r="A963" s="24"/>
      <c r="B963" s="24"/>
      <c r="C963" s="25"/>
      <c r="D963" s="25"/>
      <c r="E963" s="25"/>
      <c r="F963" s="25"/>
      <c r="G963" s="25"/>
      <c r="H963" s="25"/>
      <c r="I963" s="25"/>
    </row>
    <row r="964">
      <c r="A964" s="24"/>
      <c r="B964" s="24"/>
      <c r="C964" s="25"/>
      <c r="D964" s="25"/>
      <c r="E964" s="25"/>
      <c r="F964" s="25"/>
      <c r="G964" s="25"/>
      <c r="H964" s="25"/>
      <c r="I964" s="25"/>
    </row>
    <row r="965">
      <c r="A965" s="24"/>
      <c r="B965" s="24"/>
      <c r="C965" s="25"/>
      <c r="D965" s="25"/>
      <c r="E965" s="25"/>
      <c r="F965" s="25"/>
      <c r="G965" s="25"/>
      <c r="H965" s="25"/>
      <c r="I965" s="25"/>
    </row>
    <row r="966">
      <c r="A966" s="24"/>
      <c r="B966" s="24"/>
      <c r="C966" s="25"/>
      <c r="D966" s="25"/>
      <c r="E966" s="25"/>
      <c r="F966" s="25"/>
      <c r="G966" s="25"/>
      <c r="H966" s="25"/>
      <c r="I966" s="25"/>
    </row>
    <row r="967">
      <c r="A967" s="24"/>
      <c r="B967" s="24"/>
      <c r="C967" s="25"/>
      <c r="D967" s="25"/>
      <c r="E967" s="25"/>
      <c r="F967" s="25"/>
      <c r="G967" s="25"/>
      <c r="H967" s="25"/>
      <c r="I967" s="25"/>
    </row>
    <row r="968">
      <c r="A968" s="24"/>
      <c r="B968" s="24"/>
      <c r="C968" s="25"/>
      <c r="D968" s="25"/>
      <c r="E968" s="25"/>
      <c r="F968" s="25"/>
      <c r="G968" s="25"/>
      <c r="H968" s="25"/>
      <c r="I968" s="25"/>
    </row>
    <row r="969">
      <c r="A969" s="24"/>
      <c r="B969" s="24"/>
      <c r="C969" s="25"/>
      <c r="D969" s="25"/>
      <c r="E969" s="25"/>
      <c r="F969" s="25"/>
      <c r="G969" s="25"/>
      <c r="H969" s="25"/>
      <c r="I969" s="25"/>
    </row>
    <row r="970">
      <c r="A970" s="24"/>
      <c r="B970" s="24"/>
      <c r="C970" s="25"/>
      <c r="D970" s="25"/>
      <c r="E970" s="25"/>
      <c r="F970" s="25"/>
      <c r="G970" s="25"/>
      <c r="H970" s="25"/>
      <c r="I970" s="25"/>
    </row>
  </sheetData>
  <autoFilter ref="$A$1:$I$103">
    <sortState ref="A1:I103">
      <sortCondition ref="A1:A103"/>
      <sortCondition ref="B1:B103"/>
      <sortCondition ref="E1:E103"/>
      <sortCondition ref="C1:C103"/>
      <sortCondition ref="G1:G103"/>
      <sortCondition ref="D1:D103"/>
    </sortState>
  </autoFil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6.5"/>
    <col customWidth="1" min="3" max="3" width="6.25"/>
    <col customWidth="1" min="4" max="4" width="5.5"/>
    <col customWidth="1" min="5" max="5" width="5.88"/>
    <col customWidth="1" min="6" max="6" width="4.38"/>
    <col customWidth="1" min="7" max="7" width="4.75"/>
    <col customWidth="1" min="11" max="11" width="26.63"/>
    <col customWidth="1" min="12" max="13" width="6.63"/>
    <col customWidth="1" min="14" max="14" width="7.75"/>
    <col customWidth="1" min="15" max="15" width="6.88"/>
    <col customWidth="1" min="16" max="16" width="6.25"/>
    <col customWidth="1" min="17" max="17" width="6.0"/>
  </cols>
  <sheetData>
    <row r="1" ht="17.25" customHeight="1">
      <c r="A1" s="27" t="s">
        <v>125</v>
      </c>
      <c r="B1" s="27" t="s">
        <v>27</v>
      </c>
      <c r="C1" s="27" t="s">
        <v>15</v>
      </c>
      <c r="D1" s="27" t="s">
        <v>9</v>
      </c>
      <c r="E1" s="27" t="s">
        <v>19</v>
      </c>
      <c r="F1" s="27" t="s">
        <v>18</v>
      </c>
      <c r="G1" s="27" t="s">
        <v>30</v>
      </c>
      <c r="H1" s="24"/>
      <c r="I1" s="24"/>
      <c r="J1" s="24"/>
      <c r="K1" s="27" t="s">
        <v>126</v>
      </c>
      <c r="L1" s="27" t="s">
        <v>27</v>
      </c>
      <c r="M1" s="27" t="s">
        <v>15</v>
      </c>
      <c r="N1" s="27" t="s">
        <v>9</v>
      </c>
      <c r="O1" s="27" t="s">
        <v>19</v>
      </c>
      <c r="P1" s="27" t="s">
        <v>18</v>
      </c>
      <c r="Q1" s="27" t="s">
        <v>30</v>
      </c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</row>
    <row r="2">
      <c r="A2" s="28" t="s">
        <v>127</v>
      </c>
      <c r="B2" s="28">
        <v>42.0</v>
      </c>
      <c r="C2" s="28">
        <v>70.0</v>
      </c>
      <c r="D2" s="28">
        <v>33.0</v>
      </c>
      <c r="E2" s="28">
        <v>30.0</v>
      </c>
      <c r="F2" s="28">
        <v>49.0</v>
      </c>
      <c r="G2" s="28">
        <v>45.0</v>
      </c>
      <c r="H2" s="29"/>
      <c r="I2" s="29"/>
      <c r="J2" s="29"/>
      <c r="K2" s="28" t="s">
        <v>127</v>
      </c>
      <c r="L2" s="28">
        <v>6.0</v>
      </c>
      <c r="M2" s="28">
        <v>1.0</v>
      </c>
      <c r="N2" s="28">
        <v>38.0</v>
      </c>
      <c r="O2" s="28">
        <v>58.0</v>
      </c>
      <c r="P2" s="28">
        <v>23.0</v>
      </c>
      <c r="Q2" s="28">
        <v>29.0</v>
      </c>
      <c r="R2" s="29"/>
      <c r="S2" s="29"/>
      <c r="T2" s="29"/>
      <c r="U2" s="29"/>
      <c r="V2" s="29"/>
      <c r="W2" s="29"/>
      <c r="X2" s="29"/>
      <c r="Y2" s="29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29"/>
      <c r="AL2" s="29"/>
      <c r="AM2" s="29"/>
    </row>
    <row r="3">
      <c r="A3" s="31" t="s">
        <v>128</v>
      </c>
      <c r="B3" s="31">
        <v>0.0</v>
      </c>
      <c r="C3" s="31">
        <f>11*3</f>
        <v>33</v>
      </c>
      <c r="D3" s="31">
        <f>25*3</f>
        <v>75</v>
      </c>
      <c r="E3" s="31">
        <f>15*3</f>
        <v>45</v>
      </c>
      <c r="F3" s="31">
        <f>3*3</f>
        <v>9</v>
      </c>
      <c r="G3" s="31">
        <v>0.0</v>
      </c>
      <c r="H3" s="30"/>
      <c r="I3" s="30"/>
      <c r="J3" s="30"/>
      <c r="K3" s="31" t="s">
        <v>128</v>
      </c>
      <c r="L3" s="31">
        <f>5*2</f>
        <v>10</v>
      </c>
      <c r="M3" s="31">
        <f>30*2</f>
        <v>60</v>
      </c>
      <c r="N3" s="31">
        <f>37*2</f>
        <v>74</v>
      </c>
      <c r="O3" s="31">
        <f>22*2</f>
        <v>44</v>
      </c>
      <c r="P3" s="31">
        <v>0.0</v>
      </c>
      <c r="Q3" s="31">
        <f>2*2</f>
        <v>4</v>
      </c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</row>
    <row r="4" hidden="1">
      <c r="A4" s="32" t="s">
        <v>129</v>
      </c>
      <c r="B4" s="32">
        <f t="shared" ref="B4:G4" si="1">B2-B3</f>
        <v>42</v>
      </c>
      <c r="C4" s="32">
        <f t="shared" si="1"/>
        <v>37</v>
      </c>
      <c r="D4" s="32">
        <f t="shared" si="1"/>
        <v>-42</v>
      </c>
      <c r="E4" s="32">
        <f t="shared" si="1"/>
        <v>-15</v>
      </c>
      <c r="F4" s="32">
        <f t="shared" si="1"/>
        <v>40</v>
      </c>
      <c r="G4" s="32">
        <f t="shared" si="1"/>
        <v>45</v>
      </c>
      <c r="H4" s="30"/>
      <c r="I4" s="30"/>
      <c r="J4" s="30"/>
      <c r="K4" s="32" t="s">
        <v>129</v>
      </c>
      <c r="L4" s="32">
        <f t="shared" ref="L4:Q4" si="2">L2-L3</f>
        <v>-4</v>
      </c>
      <c r="M4" s="32">
        <f t="shared" si="2"/>
        <v>-59</v>
      </c>
      <c r="N4" s="32">
        <f t="shared" si="2"/>
        <v>-36</v>
      </c>
      <c r="O4" s="32">
        <f t="shared" si="2"/>
        <v>14</v>
      </c>
      <c r="P4" s="32">
        <f t="shared" si="2"/>
        <v>23</v>
      </c>
      <c r="Q4" s="32">
        <f t="shared" si="2"/>
        <v>25</v>
      </c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</row>
    <row r="5" hidden="1">
      <c r="A5" s="33" t="s">
        <v>130</v>
      </c>
      <c r="B5" s="33">
        <v>0.0</v>
      </c>
      <c r="C5" s="33">
        <v>50.0</v>
      </c>
      <c r="D5" s="33">
        <v>60.0</v>
      </c>
      <c r="E5" s="33">
        <v>60.0</v>
      </c>
      <c r="F5" s="33">
        <v>0.0</v>
      </c>
      <c r="G5" s="33">
        <v>0.0</v>
      </c>
      <c r="H5" s="30"/>
      <c r="I5" s="30"/>
      <c r="J5" s="30"/>
      <c r="K5" s="33" t="s">
        <v>130</v>
      </c>
      <c r="L5" s="33">
        <v>20.0</v>
      </c>
      <c r="M5" s="33">
        <v>120.0</v>
      </c>
      <c r="N5" s="33">
        <v>76.0</v>
      </c>
      <c r="O5" s="33">
        <v>50.0</v>
      </c>
      <c r="P5" s="33">
        <v>0.0</v>
      </c>
      <c r="Q5" s="33">
        <v>0.0</v>
      </c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</row>
    <row r="6">
      <c r="A6" s="34" t="s">
        <v>131</v>
      </c>
      <c r="B6" s="34">
        <v>0.0</v>
      </c>
      <c r="C6" s="34">
        <v>97.0</v>
      </c>
      <c r="D6" s="34">
        <v>102.0</v>
      </c>
      <c r="E6" s="34">
        <v>75.0</v>
      </c>
      <c r="F6" s="34">
        <f>F2-F3-F5</f>
        <v>40</v>
      </c>
      <c r="G6" s="34">
        <v>0.0</v>
      </c>
      <c r="H6" s="30"/>
      <c r="I6" s="30"/>
      <c r="J6" s="30"/>
      <c r="K6" s="34" t="s">
        <v>131</v>
      </c>
      <c r="L6" s="34">
        <v>20.0</v>
      </c>
      <c r="M6" s="34">
        <v>120.0</v>
      </c>
      <c r="N6" s="34">
        <v>76.0</v>
      </c>
      <c r="O6" s="34">
        <v>50.0</v>
      </c>
      <c r="P6" s="34">
        <f t="shared" ref="P6:Q6" si="3">IF(F3&lt;0,ABS(F3),0)</f>
        <v>0</v>
      </c>
      <c r="Q6" s="34">
        <f t="shared" si="3"/>
        <v>0</v>
      </c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</row>
    <row r="7"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</row>
    <row r="8">
      <c r="A8" s="35" t="s">
        <v>132</v>
      </c>
      <c r="B8" s="35" t="s">
        <v>27</v>
      </c>
      <c r="C8" s="35" t="s">
        <v>15</v>
      </c>
      <c r="D8" s="35" t="s">
        <v>9</v>
      </c>
      <c r="E8" s="35" t="s">
        <v>19</v>
      </c>
      <c r="F8" s="35" t="s">
        <v>18</v>
      </c>
      <c r="G8" s="35" t="s">
        <v>30</v>
      </c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</row>
    <row r="9">
      <c r="A9" s="28" t="s">
        <v>127</v>
      </c>
      <c r="B9" s="28">
        <v>8.0</v>
      </c>
      <c r="C9" s="28">
        <v>1.0</v>
      </c>
      <c r="D9" s="28">
        <v>25.0</v>
      </c>
      <c r="E9" s="28">
        <v>20.0</v>
      </c>
      <c r="F9" s="28">
        <v>19.0</v>
      </c>
      <c r="G9" s="28">
        <v>5.0</v>
      </c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</row>
    <row r="10">
      <c r="A10" s="31" t="s">
        <v>128</v>
      </c>
      <c r="B10" s="31">
        <f t="shared" ref="B10:C10" si="4">1*3</f>
        <v>3</v>
      </c>
      <c r="C10" s="31">
        <f t="shared" si="4"/>
        <v>3</v>
      </c>
      <c r="D10" s="31">
        <v>0.0</v>
      </c>
      <c r="E10" s="31">
        <v>0.0</v>
      </c>
      <c r="F10" s="31">
        <v>0.0</v>
      </c>
      <c r="G10" s="31">
        <f>1*3</f>
        <v>3</v>
      </c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</row>
    <row r="11" hidden="1">
      <c r="A11" s="32" t="s">
        <v>129</v>
      </c>
      <c r="B11" s="32">
        <f t="shared" ref="B11:G11" si="5">B9-B10</f>
        <v>5</v>
      </c>
      <c r="C11" s="32">
        <f t="shared" si="5"/>
        <v>-2</v>
      </c>
      <c r="D11" s="32">
        <f t="shared" si="5"/>
        <v>25</v>
      </c>
      <c r="E11" s="32">
        <f t="shared" si="5"/>
        <v>20</v>
      </c>
      <c r="F11" s="32">
        <f t="shared" si="5"/>
        <v>19</v>
      </c>
      <c r="G11" s="32">
        <f t="shared" si="5"/>
        <v>2</v>
      </c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</row>
    <row r="12" hidden="1">
      <c r="A12" s="33" t="s">
        <v>130</v>
      </c>
      <c r="B12" s="33">
        <v>0.0</v>
      </c>
      <c r="C12" s="33">
        <v>0.0</v>
      </c>
      <c r="D12" s="33">
        <v>0.0</v>
      </c>
      <c r="E12" s="33">
        <v>0.0</v>
      </c>
      <c r="F12" s="33">
        <v>0.0</v>
      </c>
      <c r="G12" s="33">
        <v>0.0</v>
      </c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</row>
    <row r="13">
      <c r="A13" s="34" t="s">
        <v>131</v>
      </c>
      <c r="B13" s="34">
        <v>0.0</v>
      </c>
      <c r="C13" s="34">
        <v>2.0</v>
      </c>
      <c r="D13" s="34">
        <v>0.0</v>
      </c>
      <c r="E13" s="34">
        <v>0.0</v>
      </c>
      <c r="F13" s="34">
        <v>0.0</v>
      </c>
      <c r="G13" s="34">
        <v>0.0</v>
      </c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</row>
    <row r="14"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</row>
    <row r="15">
      <c r="A15" s="35" t="s">
        <v>133</v>
      </c>
      <c r="B15" s="35" t="s">
        <v>27</v>
      </c>
      <c r="C15" s="35" t="s">
        <v>15</v>
      </c>
      <c r="D15" s="35" t="s">
        <v>9</v>
      </c>
      <c r="E15" s="35" t="s">
        <v>19</v>
      </c>
      <c r="F15" s="35" t="s">
        <v>18</v>
      </c>
      <c r="G15" s="35" t="s">
        <v>30</v>
      </c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</row>
    <row r="16">
      <c r="A16" s="28" t="s">
        <v>127</v>
      </c>
      <c r="B16" s="28">
        <v>0.0</v>
      </c>
      <c r="C16" s="28">
        <v>9.0</v>
      </c>
      <c r="D16" s="28">
        <v>16.0</v>
      </c>
      <c r="E16" s="28">
        <v>0.0</v>
      </c>
      <c r="F16" s="28">
        <v>13.0</v>
      </c>
      <c r="G16" s="28">
        <v>11.0</v>
      </c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</row>
    <row r="17">
      <c r="A17" s="31" t="s">
        <v>128</v>
      </c>
      <c r="B17" s="31">
        <v>0.0</v>
      </c>
      <c r="C17" s="31">
        <v>0.0</v>
      </c>
      <c r="D17" s="31">
        <f>3*3</f>
        <v>9</v>
      </c>
      <c r="E17" s="31">
        <f>1*3</f>
        <v>3</v>
      </c>
      <c r="F17" s="31">
        <v>0.0</v>
      </c>
      <c r="G17" s="31">
        <f>1*3</f>
        <v>3</v>
      </c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</row>
    <row r="18" hidden="1">
      <c r="A18" s="32" t="s">
        <v>129</v>
      </c>
      <c r="B18" s="32">
        <f t="shared" ref="B18:G18" si="6">B16-B17</f>
        <v>0</v>
      </c>
      <c r="C18" s="32">
        <f t="shared" si="6"/>
        <v>9</v>
      </c>
      <c r="D18" s="32">
        <f t="shared" si="6"/>
        <v>7</v>
      </c>
      <c r="E18" s="32">
        <f t="shared" si="6"/>
        <v>-3</v>
      </c>
      <c r="F18" s="32">
        <f t="shared" si="6"/>
        <v>13</v>
      </c>
      <c r="G18" s="32">
        <f t="shared" si="6"/>
        <v>8</v>
      </c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</row>
    <row r="19" hidden="1">
      <c r="A19" s="33" t="s">
        <v>130</v>
      </c>
      <c r="B19" s="33">
        <v>0.0</v>
      </c>
      <c r="C19" s="33">
        <v>0.0</v>
      </c>
      <c r="D19" s="33">
        <v>0.0</v>
      </c>
      <c r="E19" s="33">
        <v>0.0</v>
      </c>
      <c r="F19" s="33">
        <v>0.0</v>
      </c>
      <c r="G19" s="33">
        <v>0.0</v>
      </c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</row>
    <row r="20">
      <c r="A20" s="34" t="s">
        <v>131</v>
      </c>
      <c r="B20" s="34">
        <v>0.0</v>
      </c>
      <c r="C20" s="34">
        <v>0.0</v>
      </c>
      <c r="D20" s="34">
        <v>3.0</v>
      </c>
      <c r="E20" s="34">
        <v>6.0</v>
      </c>
      <c r="F20" s="34">
        <v>0.0</v>
      </c>
      <c r="G20" s="34">
        <v>0.0</v>
      </c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</row>
    <row r="21"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</row>
    <row r="22">
      <c r="A22" s="35" t="s">
        <v>134</v>
      </c>
      <c r="B22" s="35" t="s">
        <v>27</v>
      </c>
      <c r="C22" s="35" t="s">
        <v>15</v>
      </c>
      <c r="D22" s="35" t="s">
        <v>9</v>
      </c>
      <c r="E22" s="35" t="s">
        <v>19</v>
      </c>
      <c r="F22" s="35" t="s">
        <v>18</v>
      </c>
      <c r="G22" s="35" t="s">
        <v>30</v>
      </c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</row>
    <row r="23">
      <c r="A23" s="28" t="s">
        <v>127</v>
      </c>
      <c r="B23" s="28">
        <v>0.0</v>
      </c>
      <c r="C23" s="28">
        <v>0.0</v>
      </c>
      <c r="D23" s="28">
        <v>8.0</v>
      </c>
      <c r="E23" s="28">
        <v>3.0</v>
      </c>
      <c r="F23" s="28">
        <v>0.0</v>
      </c>
      <c r="G23" s="28">
        <v>0.0</v>
      </c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</row>
    <row r="24">
      <c r="A24" s="31" t="s">
        <v>128</v>
      </c>
      <c r="B24" s="31">
        <v>0.0</v>
      </c>
      <c r="C24" s="31">
        <v>0.0</v>
      </c>
      <c r="D24" s="31">
        <f>1*3</f>
        <v>3</v>
      </c>
      <c r="E24" s="31">
        <v>0.0</v>
      </c>
      <c r="F24" s="31">
        <f>1*3</f>
        <v>3</v>
      </c>
      <c r="G24" s="31">
        <v>0.0</v>
      </c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</row>
    <row r="25" hidden="1">
      <c r="A25" s="32" t="s">
        <v>129</v>
      </c>
      <c r="B25" s="32">
        <f t="shared" ref="B25:G25" si="7">B23-B24</f>
        <v>0</v>
      </c>
      <c r="C25" s="32">
        <f t="shared" si="7"/>
        <v>0</v>
      </c>
      <c r="D25" s="32">
        <f t="shared" si="7"/>
        <v>5</v>
      </c>
      <c r="E25" s="32">
        <f t="shared" si="7"/>
        <v>3</v>
      </c>
      <c r="F25" s="32">
        <f t="shared" si="7"/>
        <v>-3</v>
      </c>
      <c r="G25" s="32">
        <f t="shared" si="7"/>
        <v>0</v>
      </c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</row>
    <row r="26" hidden="1">
      <c r="A26" s="33" t="s">
        <v>130</v>
      </c>
      <c r="B26" s="33">
        <v>0.0</v>
      </c>
      <c r="C26" s="33">
        <v>0.0</v>
      </c>
      <c r="D26" s="33">
        <v>0.0</v>
      </c>
      <c r="E26" s="33">
        <v>0.0</v>
      </c>
      <c r="F26" s="33">
        <v>0.0</v>
      </c>
      <c r="G26" s="33">
        <v>0.0</v>
      </c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</row>
    <row r="27">
      <c r="A27" s="34" t="s">
        <v>131</v>
      </c>
      <c r="B27" s="34">
        <v>0.0</v>
      </c>
      <c r="C27" s="34">
        <v>0.0</v>
      </c>
      <c r="D27" s="34">
        <v>0.0</v>
      </c>
      <c r="E27" s="34">
        <v>0.0</v>
      </c>
      <c r="F27" s="34">
        <v>3.0</v>
      </c>
      <c r="G27" s="34">
        <v>0.0</v>
      </c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</row>
    <row r="28"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</row>
    <row r="29">
      <c r="A29" s="35" t="s">
        <v>135</v>
      </c>
      <c r="B29" s="35" t="s">
        <v>27</v>
      </c>
      <c r="C29" s="35" t="s">
        <v>15</v>
      </c>
      <c r="D29" s="35" t="s">
        <v>9</v>
      </c>
      <c r="E29" s="35" t="s">
        <v>19</v>
      </c>
      <c r="F29" s="35" t="s">
        <v>18</v>
      </c>
      <c r="G29" s="35" t="s">
        <v>30</v>
      </c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</row>
    <row r="30">
      <c r="A30" s="28" t="s">
        <v>127</v>
      </c>
      <c r="B30" s="28">
        <v>15.0</v>
      </c>
      <c r="C30" s="28">
        <v>44.0</v>
      </c>
      <c r="D30" s="28">
        <v>31.0</v>
      </c>
      <c r="E30" s="28">
        <v>50.0</v>
      </c>
      <c r="F30" s="28">
        <v>11.0</v>
      </c>
      <c r="G30" s="28">
        <v>26.0</v>
      </c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</row>
    <row r="31">
      <c r="A31" s="31" t="s">
        <v>128</v>
      </c>
      <c r="B31" s="31">
        <f>2*3</f>
        <v>6</v>
      </c>
      <c r="C31" s="31">
        <f>7*3</f>
        <v>21</v>
      </c>
      <c r="D31" s="31">
        <f>13*3</f>
        <v>39</v>
      </c>
      <c r="E31" s="31">
        <f>2*3</f>
        <v>6</v>
      </c>
      <c r="F31" s="31">
        <f>3*3</f>
        <v>9</v>
      </c>
      <c r="G31" s="31">
        <f>1*3</f>
        <v>3</v>
      </c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</row>
    <row r="32" hidden="1">
      <c r="A32" s="32" t="s">
        <v>129</v>
      </c>
      <c r="B32" s="32">
        <f t="shared" ref="B32:G32" si="8">B30-B31</f>
        <v>9</v>
      </c>
      <c r="C32" s="32">
        <f t="shared" si="8"/>
        <v>23</v>
      </c>
      <c r="D32" s="32">
        <f t="shared" si="8"/>
        <v>-8</v>
      </c>
      <c r="E32" s="32">
        <f t="shared" si="8"/>
        <v>44</v>
      </c>
      <c r="F32" s="32">
        <f t="shared" si="8"/>
        <v>2</v>
      </c>
      <c r="G32" s="32">
        <f t="shared" si="8"/>
        <v>23</v>
      </c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</row>
    <row r="33" hidden="1">
      <c r="A33" s="33" t="s">
        <v>130</v>
      </c>
      <c r="B33" s="33">
        <v>0.0</v>
      </c>
      <c r="C33" s="33">
        <v>0.0</v>
      </c>
      <c r="D33" s="33">
        <v>50.0</v>
      </c>
      <c r="E33" s="33">
        <v>0.0</v>
      </c>
      <c r="F33" s="33">
        <v>0.0</v>
      </c>
      <c r="G33" s="33">
        <v>0.0</v>
      </c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</row>
    <row r="34">
      <c r="A34" s="34" t="s">
        <v>131</v>
      </c>
      <c r="B34" s="34">
        <v>0.0</v>
      </c>
      <c r="C34" s="34">
        <v>20.0</v>
      </c>
      <c r="D34" s="34">
        <v>48.0</v>
      </c>
      <c r="E34" s="34">
        <v>0.0</v>
      </c>
      <c r="F34" s="34">
        <v>6.0</v>
      </c>
      <c r="G34" s="34">
        <v>0.0</v>
      </c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</row>
    <row r="35"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</row>
    <row r="36">
      <c r="A36" s="35" t="s">
        <v>136</v>
      </c>
      <c r="B36" s="35" t="s">
        <v>27</v>
      </c>
      <c r="C36" s="35" t="s">
        <v>15</v>
      </c>
      <c r="D36" s="35" t="s">
        <v>9</v>
      </c>
      <c r="E36" s="35" t="s">
        <v>19</v>
      </c>
      <c r="F36" s="35" t="s">
        <v>18</v>
      </c>
      <c r="G36" s="35" t="s">
        <v>30</v>
      </c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</row>
    <row r="37">
      <c r="A37" s="28" t="s">
        <v>127</v>
      </c>
      <c r="B37" s="28">
        <v>0.0</v>
      </c>
      <c r="C37" s="28">
        <v>0.0</v>
      </c>
      <c r="D37" s="28">
        <v>0.0</v>
      </c>
      <c r="E37" s="28">
        <v>0.0</v>
      </c>
      <c r="F37" s="28">
        <v>0.0</v>
      </c>
      <c r="G37" s="28">
        <v>0.0</v>
      </c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</row>
    <row r="38">
      <c r="A38" s="31" t="s">
        <v>128</v>
      </c>
      <c r="B38" s="31">
        <f>3*3</f>
        <v>9</v>
      </c>
      <c r="C38" s="31">
        <f>2*3</f>
        <v>6</v>
      </c>
      <c r="D38" s="31"/>
      <c r="E38" s="31"/>
      <c r="F38" s="31"/>
      <c r="G38" s="31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</row>
    <row r="39" hidden="1">
      <c r="A39" s="32" t="s">
        <v>129</v>
      </c>
      <c r="B39" s="32">
        <f t="shared" ref="B39:G39" si="9">B37-B38</f>
        <v>-9</v>
      </c>
      <c r="C39" s="32">
        <f t="shared" si="9"/>
        <v>-6</v>
      </c>
      <c r="D39" s="32">
        <f t="shared" si="9"/>
        <v>0</v>
      </c>
      <c r="E39" s="32">
        <f t="shared" si="9"/>
        <v>0</v>
      </c>
      <c r="F39" s="32">
        <f t="shared" si="9"/>
        <v>0</v>
      </c>
      <c r="G39" s="32">
        <f t="shared" si="9"/>
        <v>0</v>
      </c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</row>
    <row r="40" hidden="1">
      <c r="A40" s="33" t="s">
        <v>130</v>
      </c>
      <c r="B40" s="33">
        <v>0.0</v>
      </c>
      <c r="C40" s="33">
        <v>0.0</v>
      </c>
      <c r="D40" s="33">
        <v>0.0</v>
      </c>
      <c r="E40" s="33">
        <v>0.0</v>
      </c>
      <c r="F40" s="33">
        <v>0.0</v>
      </c>
      <c r="G40" s="33">
        <v>0.0</v>
      </c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</row>
    <row r="41">
      <c r="A41" s="34" t="s">
        <v>131</v>
      </c>
      <c r="B41" s="34">
        <v>9.0</v>
      </c>
      <c r="C41" s="34">
        <v>9.0</v>
      </c>
      <c r="D41" s="34">
        <v>3.0</v>
      </c>
      <c r="E41" s="34">
        <v>0.0</v>
      </c>
      <c r="F41" s="34">
        <v>0.0</v>
      </c>
      <c r="G41" s="34">
        <v>0.0</v>
      </c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</row>
    <row r="42"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</row>
    <row r="43">
      <c r="A43" s="35" t="s">
        <v>137</v>
      </c>
      <c r="B43" s="35" t="s">
        <v>27</v>
      </c>
      <c r="C43" s="35" t="s">
        <v>15</v>
      </c>
      <c r="D43" s="35" t="s">
        <v>9</v>
      </c>
      <c r="E43" s="35" t="s">
        <v>19</v>
      </c>
      <c r="F43" s="35" t="s">
        <v>18</v>
      </c>
      <c r="G43" s="35" t="s">
        <v>30</v>
      </c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</row>
    <row r="44">
      <c r="A44" s="28" t="s">
        <v>127</v>
      </c>
      <c r="B44" s="28">
        <v>10.0</v>
      </c>
      <c r="C44" s="28">
        <v>23.0</v>
      </c>
      <c r="D44" s="28">
        <v>23.0</v>
      </c>
      <c r="E44" s="28">
        <v>3.0</v>
      </c>
      <c r="F44" s="28">
        <v>0.0</v>
      </c>
      <c r="G44" s="28">
        <v>0.0</v>
      </c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</row>
    <row r="45">
      <c r="A45" s="31" t="s">
        <v>128</v>
      </c>
      <c r="B45" s="31"/>
      <c r="C45" s="31">
        <f t="shared" ref="C45:D45" si="10">1*3</f>
        <v>3</v>
      </c>
      <c r="D45" s="31">
        <f t="shared" si="10"/>
        <v>3</v>
      </c>
      <c r="E45" s="31"/>
      <c r="F45" s="31"/>
      <c r="G45" s="31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</row>
    <row r="46" hidden="1">
      <c r="A46" s="32" t="s">
        <v>129</v>
      </c>
      <c r="B46" s="32">
        <f t="shared" ref="B46:G46" si="11">B44-B45</f>
        <v>10</v>
      </c>
      <c r="C46" s="32">
        <f t="shared" si="11"/>
        <v>20</v>
      </c>
      <c r="D46" s="32">
        <f t="shared" si="11"/>
        <v>20</v>
      </c>
      <c r="E46" s="32">
        <f t="shared" si="11"/>
        <v>3</v>
      </c>
      <c r="F46" s="32">
        <f t="shared" si="11"/>
        <v>0</v>
      </c>
      <c r="G46" s="32">
        <f t="shared" si="11"/>
        <v>0</v>
      </c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</row>
    <row r="47" hidden="1">
      <c r="A47" s="33" t="s">
        <v>130</v>
      </c>
      <c r="B47" s="33">
        <v>0.0</v>
      </c>
      <c r="C47" s="33">
        <v>0.0</v>
      </c>
      <c r="D47" s="33">
        <v>0.0</v>
      </c>
      <c r="E47" s="33">
        <v>0.0</v>
      </c>
      <c r="F47" s="33">
        <v>0.0</v>
      </c>
      <c r="G47" s="33">
        <v>0.0</v>
      </c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</row>
    <row r="48">
      <c r="A48" s="34" t="s">
        <v>131</v>
      </c>
      <c r="B48" s="34">
        <v>0.0</v>
      </c>
      <c r="C48" s="34">
        <v>0.0</v>
      </c>
      <c r="D48" s="34">
        <v>0.0</v>
      </c>
      <c r="E48" s="34">
        <v>0.0</v>
      </c>
      <c r="F48" s="34">
        <v>0.0</v>
      </c>
      <c r="G48" s="34">
        <v>0.0</v>
      </c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</row>
    <row r="49"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</row>
    <row r="50"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</row>
    <row r="51"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</row>
    <row r="52"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</row>
    <row r="53"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</row>
    <row r="54"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</row>
    <row r="55"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</row>
    <row r="56"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</row>
    <row r="57"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</row>
    <row r="58"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</row>
    <row r="59"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</row>
    <row r="60"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</row>
    <row r="61"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</row>
    <row r="62"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</row>
    <row r="63"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</row>
    <row r="64"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</row>
    <row r="65"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</row>
    <row r="66"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</row>
    <row r="67"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</row>
    <row r="68"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</row>
    <row r="69"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</row>
    <row r="70"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</row>
    <row r="71"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</row>
    <row r="72"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</row>
    <row r="73"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</row>
    <row r="74"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</row>
    <row r="75"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</row>
    <row r="76"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</row>
    <row r="77"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</row>
    <row r="78"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</row>
    <row r="79"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</row>
    <row r="80"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</row>
    <row r="81"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</row>
    <row r="82"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</row>
    <row r="83"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</row>
    <row r="84"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</row>
    <row r="85"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</row>
    <row r="86"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</row>
    <row r="87"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</row>
    <row r="88"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</row>
    <row r="89"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</row>
    <row r="90"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</row>
    <row r="91"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</row>
    <row r="92"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</row>
    <row r="93"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</row>
    <row r="94"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</row>
    <row r="95"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</row>
    <row r="96"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</row>
    <row r="97"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</row>
    <row r="98"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</row>
    <row r="99"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</row>
    <row r="100"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</row>
    <row r="101"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</row>
    <row r="102"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</row>
    <row r="103"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</row>
    <row r="104"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</row>
    <row r="105"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</row>
    <row r="106"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</row>
    <row r="107"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</row>
    <row r="108"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</row>
    <row r="109"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</row>
    <row r="110"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</row>
    <row r="111"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</row>
    <row r="112"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</row>
    <row r="113"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</row>
    <row r="114"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</row>
    <row r="115"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</row>
    <row r="116"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</row>
    <row r="117"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</row>
    <row r="118"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</row>
    <row r="119"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</row>
    <row r="120"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</row>
    <row r="121"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</row>
    <row r="122"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</row>
    <row r="123"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</row>
    <row r="124"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</row>
    <row r="125"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</row>
    <row r="126"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</row>
    <row r="127"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</row>
    <row r="128"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</row>
    <row r="129"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</row>
    <row r="130"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</row>
    <row r="131"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</row>
    <row r="132"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</row>
    <row r="133"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</row>
    <row r="134"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</row>
    <row r="135"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</row>
    <row r="136"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</row>
    <row r="137"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</row>
    <row r="138"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</row>
    <row r="139"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</row>
    <row r="140"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</row>
    <row r="141"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</row>
    <row r="142"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</row>
    <row r="143"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</row>
    <row r="144"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</row>
    <row r="145"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</row>
    <row r="146"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</row>
    <row r="147"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</row>
    <row r="148"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</row>
    <row r="149"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</row>
    <row r="150"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</row>
    <row r="151"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</row>
    <row r="152"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</row>
    <row r="153"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</row>
    <row r="154"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</row>
    <row r="155"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</row>
    <row r="156"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</row>
    <row r="157"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</row>
    <row r="158"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</row>
    <row r="159"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</row>
    <row r="160"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</row>
    <row r="161"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</row>
    <row r="162"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</row>
    <row r="163"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</row>
    <row r="164"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</row>
    <row r="165"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</row>
    <row r="166"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</row>
    <row r="167"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</row>
    <row r="168"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</row>
    <row r="169"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</row>
    <row r="170"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</row>
    <row r="171"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</row>
    <row r="172"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</row>
    <row r="173"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</row>
    <row r="174"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</row>
    <row r="175"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</row>
    <row r="176"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</row>
    <row r="177"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</row>
    <row r="178"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</row>
    <row r="179"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</row>
    <row r="180"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</row>
    <row r="181"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</row>
    <row r="182"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</row>
    <row r="183"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</row>
    <row r="184"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</row>
    <row r="185"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</row>
    <row r="186"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</row>
    <row r="187"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</row>
    <row r="188"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</row>
    <row r="189"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</row>
    <row r="190"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</row>
    <row r="191"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</row>
    <row r="192"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</row>
    <row r="193"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</row>
    <row r="194"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</row>
    <row r="195"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</row>
    <row r="196"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</row>
    <row r="197"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</row>
    <row r="198"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</row>
    <row r="199"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</row>
    <row r="200"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</row>
    <row r="201"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</row>
    <row r="202"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</row>
    <row r="203"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</row>
    <row r="204"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</row>
    <row r="205"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</row>
    <row r="206"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</row>
    <row r="207"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</row>
    <row r="208"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</row>
    <row r="209"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</row>
    <row r="210"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</row>
    <row r="211"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</row>
    <row r="212"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</row>
    <row r="213"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</row>
    <row r="214"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</row>
    <row r="215"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</row>
    <row r="216"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</row>
    <row r="217"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</row>
    <row r="218"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</row>
    <row r="219"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</row>
    <row r="220"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</row>
    <row r="221"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</row>
    <row r="222"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</row>
    <row r="223"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</row>
    <row r="224"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</row>
    <row r="225"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</row>
    <row r="226"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</row>
    <row r="227"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</row>
    <row r="228"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</row>
    <row r="229"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</row>
    <row r="230"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4"/>
      <c r="AM230" s="24"/>
    </row>
    <row r="231"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</row>
    <row r="232"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</row>
    <row r="233"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</row>
    <row r="234"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</row>
    <row r="235"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</row>
    <row r="236"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</row>
    <row r="237"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</row>
    <row r="238"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</row>
    <row r="239"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</row>
    <row r="240"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</row>
    <row r="241"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</row>
    <row r="242"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4"/>
      <c r="AM242" s="24"/>
    </row>
    <row r="243"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4"/>
      <c r="AM243" s="24"/>
    </row>
    <row r="244"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4"/>
      <c r="AM244" s="24"/>
    </row>
    <row r="245"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4"/>
      <c r="AM245" s="24"/>
    </row>
    <row r="246"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4"/>
      <c r="AM246" s="24"/>
    </row>
    <row r="247"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</row>
    <row r="248"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</row>
    <row r="249"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4"/>
      <c r="AM249" s="24"/>
    </row>
    <row r="250"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</row>
    <row r="251"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4"/>
      <c r="AM251" s="24"/>
    </row>
    <row r="252"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4"/>
      <c r="AM252" s="24"/>
    </row>
    <row r="253"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4"/>
      <c r="AM253" s="24"/>
    </row>
    <row r="254"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4"/>
      <c r="AM254" s="24"/>
    </row>
    <row r="255"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  <c r="AL255" s="24"/>
      <c r="AM255" s="24"/>
    </row>
    <row r="256"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4"/>
      <c r="AM256" s="24"/>
    </row>
    <row r="257"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4"/>
      <c r="AM257" s="24"/>
    </row>
    <row r="258"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  <c r="AL258" s="24"/>
      <c r="AM258" s="24"/>
    </row>
    <row r="259"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4"/>
      <c r="AM259" s="24"/>
    </row>
    <row r="260"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  <c r="AL260" s="24"/>
      <c r="AM260" s="24"/>
    </row>
    <row r="261"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4"/>
      <c r="AM261" s="24"/>
    </row>
    <row r="262"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L262" s="24"/>
      <c r="AM262" s="24"/>
    </row>
    <row r="263"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  <c r="AL263" s="24"/>
      <c r="AM263" s="24"/>
    </row>
    <row r="264"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  <c r="AL264" s="24"/>
      <c r="AM264" s="24"/>
    </row>
    <row r="265"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  <c r="AJ265" s="24"/>
      <c r="AK265" s="24"/>
      <c r="AL265" s="24"/>
      <c r="AM265" s="24"/>
    </row>
    <row r="266"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  <c r="AJ266" s="24"/>
      <c r="AK266" s="24"/>
      <c r="AL266" s="24"/>
      <c r="AM266" s="24"/>
    </row>
    <row r="267"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K267" s="24"/>
      <c r="AL267" s="24"/>
      <c r="AM267" s="24"/>
    </row>
    <row r="268"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24"/>
      <c r="AM268" s="24"/>
    </row>
    <row r="269"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4"/>
      <c r="AM269" s="24"/>
    </row>
    <row r="270"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</row>
    <row r="271"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4"/>
      <c r="AM271" s="24"/>
    </row>
    <row r="272"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4"/>
      <c r="AM272" s="24"/>
    </row>
    <row r="273"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</row>
    <row r="274"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</row>
    <row r="275"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4"/>
      <c r="AM275" s="24"/>
    </row>
    <row r="276"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4"/>
      <c r="AM276" s="24"/>
    </row>
    <row r="277"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4"/>
      <c r="AM277" s="24"/>
    </row>
    <row r="278"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4"/>
      <c r="AM278" s="24"/>
    </row>
    <row r="279"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4"/>
      <c r="AM279" s="24"/>
    </row>
    <row r="280"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4"/>
      <c r="AM280" s="24"/>
    </row>
    <row r="281"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4"/>
      <c r="AM281" s="24"/>
    </row>
    <row r="282"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L282" s="24"/>
      <c r="AM282" s="24"/>
    </row>
    <row r="283"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4"/>
      <c r="AM283" s="24"/>
    </row>
    <row r="284"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L284" s="24"/>
      <c r="AM284" s="24"/>
    </row>
    <row r="285"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  <c r="AM285" s="24"/>
    </row>
    <row r="286"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4"/>
      <c r="AM286" s="24"/>
    </row>
    <row r="287"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4"/>
      <c r="AM287" s="24"/>
    </row>
    <row r="288"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4"/>
      <c r="AM288" s="24"/>
    </row>
    <row r="289"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L289" s="24"/>
      <c r="AM289" s="24"/>
    </row>
    <row r="290"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  <c r="AL290" s="24"/>
      <c r="AM290" s="24"/>
    </row>
    <row r="291"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4"/>
      <c r="AM291" s="24"/>
    </row>
    <row r="292"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  <c r="AL292" s="24"/>
      <c r="AM292" s="24"/>
    </row>
    <row r="293"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L293" s="24"/>
      <c r="AM293" s="24"/>
    </row>
    <row r="294"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4"/>
      <c r="AM294" s="24"/>
    </row>
    <row r="295"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  <c r="AL295" s="24"/>
      <c r="AM295" s="24"/>
    </row>
    <row r="296"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L296" s="24"/>
      <c r="AM296" s="24"/>
    </row>
    <row r="297"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</row>
    <row r="298"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</row>
    <row r="299"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  <c r="AL299" s="24"/>
      <c r="AM299" s="24"/>
    </row>
    <row r="300"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4"/>
      <c r="AM300" s="24"/>
    </row>
    <row r="301"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4"/>
      <c r="AM301" s="24"/>
    </row>
    <row r="302"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24"/>
      <c r="AJ302" s="24"/>
      <c r="AK302" s="24"/>
      <c r="AL302" s="24"/>
      <c r="AM302" s="24"/>
    </row>
    <row r="303"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  <c r="AM303" s="24"/>
    </row>
    <row r="304"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4"/>
      <c r="AM304" s="24"/>
    </row>
    <row r="305"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4"/>
      <c r="AM305" s="24"/>
    </row>
    <row r="306"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4"/>
      <c r="AM306" s="24"/>
    </row>
    <row r="307"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4"/>
      <c r="AM307" s="24"/>
    </row>
    <row r="308"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  <c r="AL308" s="24"/>
      <c r="AM308" s="24"/>
    </row>
    <row r="309"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L309" s="24"/>
      <c r="AM309" s="24"/>
    </row>
    <row r="310"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  <c r="AL310" s="24"/>
      <c r="AM310" s="24"/>
    </row>
    <row r="311"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  <c r="AL311" s="24"/>
      <c r="AM311" s="24"/>
    </row>
    <row r="312"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  <c r="AL312" s="24"/>
      <c r="AM312" s="24"/>
    </row>
    <row r="313"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  <c r="AL313" s="24"/>
      <c r="AM313" s="24"/>
    </row>
    <row r="314"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  <c r="AK314" s="24"/>
      <c r="AL314" s="24"/>
      <c r="AM314" s="24"/>
    </row>
    <row r="315"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  <c r="AL315" s="24"/>
      <c r="AM315" s="24"/>
    </row>
    <row r="316"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  <c r="AL316" s="24"/>
      <c r="AM316" s="24"/>
    </row>
    <row r="317"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  <c r="AL317" s="24"/>
      <c r="AM317" s="24"/>
    </row>
    <row r="318"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  <c r="AL318" s="24"/>
      <c r="AM318" s="24"/>
    </row>
    <row r="319"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  <c r="AL319" s="24"/>
      <c r="AM319" s="24"/>
    </row>
    <row r="320"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  <c r="AL320" s="24"/>
      <c r="AM320" s="24"/>
    </row>
    <row r="321"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  <c r="AL321" s="24"/>
      <c r="AM321" s="24"/>
    </row>
    <row r="322"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L322" s="24"/>
      <c r="AM322" s="24"/>
    </row>
    <row r="323"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  <c r="AL323" s="24"/>
      <c r="AM323" s="24"/>
    </row>
    <row r="324"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  <c r="AJ324" s="24"/>
      <c r="AK324" s="24"/>
      <c r="AL324" s="24"/>
      <c r="AM324" s="24"/>
    </row>
    <row r="325"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24"/>
      <c r="AJ325" s="24"/>
      <c r="AK325" s="24"/>
      <c r="AL325" s="24"/>
      <c r="AM325" s="24"/>
    </row>
    <row r="326"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  <c r="AJ326" s="24"/>
      <c r="AK326" s="24"/>
      <c r="AL326" s="24"/>
      <c r="AM326" s="24"/>
    </row>
    <row r="327"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  <c r="AJ327" s="24"/>
      <c r="AK327" s="24"/>
      <c r="AL327" s="24"/>
      <c r="AM327" s="24"/>
    </row>
    <row r="328"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24"/>
      <c r="AJ328" s="24"/>
      <c r="AK328" s="24"/>
      <c r="AL328" s="24"/>
      <c r="AM328" s="24"/>
    </row>
    <row r="329"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4"/>
      <c r="AM329" s="24"/>
    </row>
    <row r="330"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24"/>
      <c r="AJ330" s="24"/>
      <c r="AK330" s="24"/>
      <c r="AL330" s="24"/>
      <c r="AM330" s="24"/>
    </row>
    <row r="331"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24"/>
      <c r="AJ331" s="24"/>
      <c r="AK331" s="24"/>
      <c r="AL331" s="24"/>
      <c r="AM331" s="24"/>
    </row>
    <row r="332"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4"/>
      <c r="AM332" s="24"/>
    </row>
    <row r="333"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24"/>
      <c r="AJ333" s="24"/>
      <c r="AK333" s="24"/>
      <c r="AL333" s="24"/>
      <c r="AM333" s="24"/>
    </row>
    <row r="334"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24"/>
      <c r="AK334" s="24"/>
      <c r="AL334" s="24"/>
      <c r="AM334" s="24"/>
    </row>
    <row r="335"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24"/>
      <c r="AJ335" s="24"/>
      <c r="AK335" s="24"/>
      <c r="AL335" s="24"/>
      <c r="AM335" s="24"/>
    </row>
    <row r="336"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24"/>
      <c r="AJ336" s="24"/>
      <c r="AK336" s="24"/>
      <c r="AL336" s="24"/>
      <c r="AM336" s="24"/>
    </row>
    <row r="337"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  <c r="AL337" s="24"/>
      <c r="AM337" s="24"/>
    </row>
    <row r="338"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24"/>
      <c r="AJ338" s="24"/>
      <c r="AK338" s="24"/>
      <c r="AL338" s="24"/>
      <c r="AM338" s="24"/>
    </row>
    <row r="339"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24"/>
      <c r="AJ339" s="24"/>
      <c r="AK339" s="24"/>
      <c r="AL339" s="24"/>
      <c r="AM339" s="24"/>
    </row>
    <row r="340"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24"/>
      <c r="AJ340" s="24"/>
      <c r="AK340" s="24"/>
      <c r="AL340" s="24"/>
      <c r="AM340" s="24"/>
    </row>
    <row r="341"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24"/>
      <c r="AJ341" s="24"/>
      <c r="AK341" s="24"/>
      <c r="AL341" s="24"/>
      <c r="AM341" s="24"/>
    </row>
    <row r="342"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24"/>
      <c r="AJ342" s="24"/>
      <c r="AK342" s="24"/>
      <c r="AL342" s="24"/>
      <c r="AM342" s="24"/>
    </row>
    <row r="343"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24"/>
      <c r="AJ343" s="24"/>
      <c r="AK343" s="24"/>
      <c r="AL343" s="24"/>
      <c r="AM343" s="24"/>
    </row>
    <row r="344"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  <c r="AL344" s="24"/>
      <c r="AM344" s="24"/>
    </row>
    <row r="345"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L345" s="24"/>
      <c r="AM345" s="24"/>
    </row>
    <row r="346"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  <c r="AL346" s="24"/>
      <c r="AM346" s="24"/>
    </row>
    <row r="347"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  <c r="AJ347" s="24"/>
      <c r="AK347" s="24"/>
      <c r="AL347" s="24"/>
      <c r="AM347" s="24"/>
    </row>
    <row r="348"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24"/>
      <c r="AJ348" s="24"/>
      <c r="AK348" s="24"/>
      <c r="AL348" s="24"/>
      <c r="AM348" s="24"/>
    </row>
    <row r="349"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  <c r="AJ349" s="24"/>
      <c r="AK349" s="24"/>
      <c r="AL349" s="24"/>
      <c r="AM349" s="24"/>
    </row>
    <row r="350"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  <c r="AL350" s="24"/>
      <c r="AM350" s="24"/>
    </row>
    <row r="351"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24"/>
      <c r="AJ351" s="24"/>
      <c r="AK351" s="24"/>
      <c r="AL351" s="24"/>
      <c r="AM351" s="24"/>
    </row>
    <row r="352"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  <c r="AK352" s="24"/>
      <c r="AL352" s="24"/>
      <c r="AM352" s="24"/>
    </row>
    <row r="353"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  <c r="AJ353" s="24"/>
      <c r="AK353" s="24"/>
      <c r="AL353" s="24"/>
      <c r="AM353" s="24"/>
    </row>
    <row r="354"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  <c r="AJ354" s="24"/>
      <c r="AK354" s="24"/>
      <c r="AL354" s="24"/>
      <c r="AM354" s="24"/>
    </row>
    <row r="355"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24"/>
      <c r="AJ355" s="24"/>
      <c r="AK355" s="24"/>
      <c r="AL355" s="24"/>
      <c r="AM355" s="24"/>
    </row>
    <row r="356"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24"/>
      <c r="AJ356" s="24"/>
      <c r="AK356" s="24"/>
      <c r="AL356" s="24"/>
      <c r="AM356" s="24"/>
    </row>
    <row r="357"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L357" s="24"/>
      <c r="AM357" s="24"/>
    </row>
    <row r="358"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  <c r="AL358" s="24"/>
      <c r="AM358" s="24"/>
    </row>
    <row r="359"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  <c r="AJ359" s="24"/>
      <c r="AK359" s="24"/>
      <c r="AL359" s="24"/>
      <c r="AM359" s="24"/>
    </row>
    <row r="360"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24"/>
      <c r="AJ360" s="24"/>
      <c r="AK360" s="24"/>
      <c r="AL360" s="24"/>
      <c r="AM360" s="24"/>
    </row>
    <row r="361"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24"/>
      <c r="AJ361" s="24"/>
      <c r="AK361" s="24"/>
      <c r="AL361" s="24"/>
      <c r="AM361" s="24"/>
    </row>
    <row r="362"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  <c r="AK362" s="24"/>
      <c r="AL362" s="24"/>
      <c r="AM362" s="24"/>
    </row>
    <row r="363"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24"/>
      <c r="AJ363" s="24"/>
      <c r="AK363" s="24"/>
      <c r="AL363" s="24"/>
      <c r="AM363" s="24"/>
    </row>
    <row r="364"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24"/>
      <c r="AJ364" s="24"/>
      <c r="AK364" s="24"/>
      <c r="AL364" s="24"/>
      <c r="AM364" s="24"/>
    </row>
    <row r="365"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24"/>
      <c r="AI365" s="24"/>
      <c r="AJ365" s="24"/>
      <c r="AK365" s="24"/>
      <c r="AL365" s="24"/>
      <c r="AM365" s="24"/>
    </row>
    <row r="366"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  <c r="AK366" s="24"/>
      <c r="AL366" s="24"/>
      <c r="AM366" s="24"/>
    </row>
    <row r="367"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4"/>
      <c r="AM367" s="24"/>
    </row>
    <row r="368"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  <c r="AJ368" s="24"/>
      <c r="AK368" s="24"/>
      <c r="AL368" s="24"/>
      <c r="AM368" s="24"/>
    </row>
    <row r="369"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  <c r="AJ369" s="24"/>
      <c r="AK369" s="24"/>
      <c r="AL369" s="24"/>
      <c r="AM369" s="24"/>
    </row>
    <row r="370"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4"/>
      <c r="AM370" s="24"/>
    </row>
    <row r="371"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24"/>
      <c r="AJ371" s="24"/>
      <c r="AK371" s="24"/>
      <c r="AL371" s="24"/>
      <c r="AM371" s="24"/>
    </row>
    <row r="372"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24"/>
      <c r="AJ372" s="24"/>
      <c r="AK372" s="24"/>
      <c r="AL372" s="24"/>
      <c r="AM372" s="24"/>
    </row>
    <row r="373"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24"/>
      <c r="AJ373" s="24"/>
      <c r="AK373" s="24"/>
      <c r="AL373" s="24"/>
      <c r="AM373" s="24"/>
    </row>
    <row r="374"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24"/>
      <c r="AJ374" s="24"/>
      <c r="AK374" s="24"/>
      <c r="AL374" s="24"/>
      <c r="AM374" s="24"/>
    </row>
    <row r="375"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24"/>
      <c r="AJ375" s="24"/>
      <c r="AK375" s="24"/>
      <c r="AL375" s="24"/>
      <c r="AM375" s="24"/>
    </row>
    <row r="376"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  <c r="AJ376" s="24"/>
      <c r="AK376" s="24"/>
      <c r="AL376" s="24"/>
      <c r="AM376" s="24"/>
    </row>
    <row r="377"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  <c r="AJ377" s="24"/>
      <c r="AK377" s="24"/>
      <c r="AL377" s="24"/>
      <c r="AM377" s="24"/>
    </row>
    <row r="378"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  <c r="AK378" s="24"/>
      <c r="AL378" s="24"/>
      <c r="AM378" s="24"/>
    </row>
    <row r="379"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24"/>
      <c r="AJ379" s="24"/>
      <c r="AK379" s="24"/>
      <c r="AL379" s="24"/>
      <c r="AM379" s="24"/>
    </row>
    <row r="380"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24"/>
      <c r="AJ380" s="24"/>
      <c r="AK380" s="24"/>
      <c r="AL380" s="24"/>
      <c r="AM380" s="24"/>
    </row>
    <row r="381"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24"/>
      <c r="AJ381" s="24"/>
      <c r="AK381" s="24"/>
      <c r="AL381" s="24"/>
      <c r="AM381" s="24"/>
    </row>
    <row r="382"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24"/>
      <c r="AJ382" s="24"/>
      <c r="AK382" s="24"/>
      <c r="AL382" s="24"/>
      <c r="AM382" s="24"/>
    </row>
    <row r="383"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24"/>
      <c r="AI383" s="24"/>
      <c r="AJ383" s="24"/>
      <c r="AK383" s="24"/>
      <c r="AL383" s="24"/>
      <c r="AM383" s="24"/>
    </row>
    <row r="384"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24"/>
      <c r="AJ384" s="24"/>
      <c r="AK384" s="24"/>
      <c r="AL384" s="24"/>
      <c r="AM384" s="24"/>
    </row>
    <row r="385"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24"/>
      <c r="AJ385" s="24"/>
      <c r="AK385" s="24"/>
      <c r="AL385" s="24"/>
      <c r="AM385" s="24"/>
    </row>
    <row r="386"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24"/>
      <c r="AJ386" s="24"/>
      <c r="AK386" s="24"/>
      <c r="AL386" s="24"/>
      <c r="AM386" s="24"/>
    </row>
    <row r="387"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24"/>
      <c r="AJ387" s="24"/>
      <c r="AK387" s="24"/>
      <c r="AL387" s="24"/>
      <c r="AM387" s="24"/>
    </row>
    <row r="388"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  <c r="AK388" s="24"/>
      <c r="AL388" s="24"/>
      <c r="AM388" s="24"/>
    </row>
    <row r="389"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24"/>
      <c r="AI389" s="24"/>
      <c r="AJ389" s="24"/>
      <c r="AK389" s="24"/>
      <c r="AL389" s="24"/>
      <c r="AM389" s="24"/>
    </row>
    <row r="390"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24"/>
      <c r="AJ390" s="24"/>
      <c r="AK390" s="24"/>
      <c r="AL390" s="24"/>
      <c r="AM390" s="24"/>
    </row>
    <row r="391"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24"/>
      <c r="AJ391" s="24"/>
      <c r="AK391" s="24"/>
      <c r="AL391" s="24"/>
      <c r="AM391" s="24"/>
    </row>
    <row r="392"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24"/>
      <c r="AJ392" s="24"/>
      <c r="AK392" s="24"/>
      <c r="AL392" s="24"/>
      <c r="AM392" s="24"/>
    </row>
    <row r="393"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24"/>
      <c r="AJ393" s="24"/>
      <c r="AK393" s="24"/>
      <c r="AL393" s="24"/>
      <c r="AM393" s="24"/>
    </row>
    <row r="394"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  <c r="AK394" s="24"/>
      <c r="AL394" s="24"/>
      <c r="AM394" s="24"/>
    </row>
    <row r="395"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24"/>
      <c r="AI395" s="24"/>
      <c r="AJ395" s="24"/>
      <c r="AK395" s="24"/>
      <c r="AL395" s="24"/>
      <c r="AM395" s="24"/>
    </row>
    <row r="396"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24"/>
      <c r="AJ396" s="24"/>
      <c r="AK396" s="24"/>
      <c r="AL396" s="24"/>
      <c r="AM396" s="24"/>
    </row>
    <row r="397"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4"/>
      <c r="AI397" s="24"/>
      <c r="AJ397" s="24"/>
      <c r="AK397" s="24"/>
      <c r="AL397" s="24"/>
      <c r="AM397" s="24"/>
    </row>
    <row r="398"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24"/>
      <c r="AJ398" s="24"/>
      <c r="AK398" s="24"/>
      <c r="AL398" s="24"/>
      <c r="AM398" s="24"/>
    </row>
    <row r="399"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24"/>
      <c r="AJ399" s="24"/>
      <c r="AK399" s="24"/>
      <c r="AL399" s="24"/>
      <c r="AM399" s="24"/>
    </row>
    <row r="400"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  <c r="AJ400" s="24"/>
      <c r="AK400" s="24"/>
      <c r="AL400" s="24"/>
      <c r="AM400" s="24"/>
    </row>
    <row r="401"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24"/>
      <c r="AJ401" s="24"/>
      <c r="AK401" s="24"/>
      <c r="AL401" s="24"/>
      <c r="AM401" s="24"/>
    </row>
    <row r="402"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24"/>
      <c r="AJ402" s="24"/>
      <c r="AK402" s="24"/>
      <c r="AL402" s="24"/>
      <c r="AM402" s="24"/>
    </row>
    <row r="403"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24"/>
      <c r="AJ403" s="24"/>
      <c r="AK403" s="24"/>
      <c r="AL403" s="24"/>
      <c r="AM403" s="24"/>
    </row>
    <row r="404"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24"/>
      <c r="AJ404" s="24"/>
      <c r="AK404" s="24"/>
      <c r="AL404" s="24"/>
      <c r="AM404" s="24"/>
    </row>
    <row r="405"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4"/>
      <c r="AM405" s="24"/>
    </row>
    <row r="406"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  <c r="AK406" s="24"/>
      <c r="AL406" s="24"/>
      <c r="AM406" s="24"/>
    </row>
    <row r="407"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  <c r="AH407" s="24"/>
      <c r="AI407" s="24"/>
      <c r="AJ407" s="24"/>
      <c r="AK407" s="24"/>
      <c r="AL407" s="24"/>
      <c r="AM407" s="24"/>
    </row>
    <row r="408"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4"/>
      <c r="AM408" s="24"/>
    </row>
    <row r="409"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24"/>
      <c r="AI409" s="24"/>
      <c r="AJ409" s="24"/>
      <c r="AK409" s="24"/>
      <c r="AL409" s="24"/>
      <c r="AM409" s="24"/>
    </row>
    <row r="410"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24"/>
      <c r="AJ410" s="24"/>
      <c r="AK410" s="24"/>
      <c r="AL410" s="24"/>
      <c r="AM410" s="24"/>
    </row>
    <row r="411"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24"/>
      <c r="AJ411" s="24"/>
      <c r="AK411" s="24"/>
      <c r="AL411" s="24"/>
      <c r="AM411" s="24"/>
    </row>
    <row r="412"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24"/>
      <c r="AJ412" s="24"/>
      <c r="AK412" s="24"/>
      <c r="AL412" s="24"/>
      <c r="AM412" s="24"/>
    </row>
    <row r="413"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24"/>
      <c r="AJ413" s="24"/>
      <c r="AK413" s="24"/>
      <c r="AL413" s="24"/>
      <c r="AM413" s="24"/>
    </row>
    <row r="414"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  <c r="AJ414" s="24"/>
      <c r="AK414" s="24"/>
      <c r="AL414" s="24"/>
      <c r="AM414" s="24"/>
    </row>
    <row r="415"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24"/>
      <c r="AJ415" s="24"/>
      <c r="AK415" s="24"/>
      <c r="AL415" s="24"/>
      <c r="AM415" s="24"/>
    </row>
    <row r="416"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24"/>
      <c r="AJ416" s="24"/>
      <c r="AK416" s="24"/>
      <c r="AL416" s="24"/>
      <c r="AM416" s="24"/>
    </row>
    <row r="417"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24"/>
      <c r="AJ417" s="24"/>
      <c r="AK417" s="24"/>
      <c r="AL417" s="24"/>
      <c r="AM417" s="24"/>
    </row>
    <row r="418"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  <c r="AL418" s="24"/>
      <c r="AM418" s="24"/>
    </row>
    <row r="419"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24"/>
      <c r="AJ419" s="24"/>
      <c r="AK419" s="24"/>
      <c r="AL419" s="24"/>
      <c r="AM419" s="24"/>
    </row>
    <row r="420"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24"/>
      <c r="AJ420" s="24"/>
      <c r="AK420" s="24"/>
      <c r="AL420" s="24"/>
      <c r="AM420" s="24"/>
    </row>
    <row r="421"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24"/>
      <c r="AJ421" s="24"/>
      <c r="AK421" s="24"/>
      <c r="AL421" s="24"/>
      <c r="AM421" s="24"/>
    </row>
    <row r="422"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24"/>
      <c r="AJ422" s="24"/>
      <c r="AK422" s="24"/>
      <c r="AL422" s="24"/>
      <c r="AM422" s="24"/>
    </row>
    <row r="423"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24"/>
      <c r="AI423" s="24"/>
      <c r="AJ423" s="24"/>
      <c r="AK423" s="24"/>
      <c r="AL423" s="24"/>
      <c r="AM423" s="24"/>
    </row>
    <row r="424"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24"/>
      <c r="AJ424" s="24"/>
      <c r="AK424" s="24"/>
      <c r="AL424" s="24"/>
      <c r="AM424" s="24"/>
    </row>
    <row r="425"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24"/>
      <c r="AJ425" s="24"/>
      <c r="AK425" s="24"/>
      <c r="AL425" s="24"/>
      <c r="AM425" s="24"/>
    </row>
    <row r="426"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  <c r="AJ426" s="24"/>
      <c r="AK426" s="24"/>
      <c r="AL426" s="24"/>
      <c r="AM426" s="24"/>
    </row>
    <row r="427"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24"/>
      <c r="AJ427" s="24"/>
      <c r="AK427" s="24"/>
      <c r="AL427" s="24"/>
      <c r="AM427" s="24"/>
    </row>
    <row r="428"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24"/>
      <c r="AJ428" s="24"/>
      <c r="AK428" s="24"/>
      <c r="AL428" s="24"/>
      <c r="AM428" s="24"/>
    </row>
    <row r="429"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24"/>
      <c r="AJ429" s="24"/>
      <c r="AK429" s="24"/>
      <c r="AL429" s="24"/>
      <c r="AM429" s="24"/>
    </row>
    <row r="430"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  <c r="AK430" s="24"/>
      <c r="AL430" s="24"/>
      <c r="AM430" s="24"/>
    </row>
    <row r="431"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24"/>
      <c r="AI431" s="24"/>
      <c r="AJ431" s="24"/>
      <c r="AK431" s="24"/>
      <c r="AL431" s="24"/>
      <c r="AM431" s="24"/>
    </row>
    <row r="432"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24"/>
      <c r="AJ432" s="24"/>
      <c r="AK432" s="24"/>
      <c r="AL432" s="24"/>
      <c r="AM432" s="24"/>
    </row>
    <row r="433"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24"/>
      <c r="AI433" s="24"/>
      <c r="AJ433" s="24"/>
      <c r="AK433" s="24"/>
      <c r="AL433" s="24"/>
      <c r="AM433" s="24"/>
    </row>
    <row r="434"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24"/>
      <c r="AJ434" s="24"/>
      <c r="AK434" s="24"/>
      <c r="AL434" s="24"/>
      <c r="AM434" s="24"/>
    </row>
    <row r="435"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24"/>
      <c r="AI435" s="24"/>
      <c r="AJ435" s="24"/>
      <c r="AK435" s="24"/>
      <c r="AL435" s="24"/>
      <c r="AM435" s="24"/>
    </row>
    <row r="436"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24"/>
      <c r="AI436" s="24"/>
      <c r="AJ436" s="24"/>
      <c r="AK436" s="24"/>
      <c r="AL436" s="24"/>
      <c r="AM436" s="24"/>
    </row>
    <row r="437"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  <c r="AH437" s="24"/>
      <c r="AI437" s="24"/>
      <c r="AJ437" s="24"/>
      <c r="AK437" s="24"/>
      <c r="AL437" s="24"/>
      <c r="AM437" s="24"/>
    </row>
    <row r="438"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24"/>
      <c r="AJ438" s="24"/>
      <c r="AK438" s="24"/>
      <c r="AL438" s="24"/>
      <c r="AM438" s="24"/>
    </row>
    <row r="439"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24"/>
      <c r="AI439" s="24"/>
      <c r="AJ439" s="24"/>
      <c r="AK439" s="24"/>
      <c r="AL439" s="24"/>
      <c r="AM439" s="24"/>
    </row>
    <row r="440"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24"/>
      <c r="AI440" s="24"/>
      <c r="AJ440" s="24"/>
      <c r="AK440" s="24"/>
      <c r="AL440" s="24"/>
      <c r="AM440" s="24"/>
    </row>
    <row r="441"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  <c r="AL441" s="24"/>
      <c r="AM441" s="24"/>
    </row>
    <row r="442"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  <c r="AL442" s="24"/>
      <c r="AM442" s="24"/>
    </row>
    <row r="443"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4"/>
      <c r="AM443" s="24"/>
    </row>
    <row r="444"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24"/>
      <c r="AJ444" s="24"/>
      <c r="AK444" s="24"/>
      <c r="AL444" s="24"/>
      <c r="AM444" s="24"/>
    </row>
    <row r="445"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24"/>
      <c r="AI445" s="24"/>
      <c r="AJ445" s="24"/>
      <c r="AK445" s="24"/>
      <c r="AL445" s="24"/>
      <c r="AM445" s="24"/>
    </row>
    <row r="446"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4"/>
      <c r="AM446" s="24"/>
    </row>
    <row r="447"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24"/>
      <c r="AI447" s="24"/>
      <c r="AJ447" s="24"/>
      <c r="AK447" s="24"/>
      <c r="AL447" s="24"/>
      <c r="AM447" s="24"/>
    </row>
    <row r="448"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24"/>
      <c r="AI448" s="24"/>
      <c r="AJ448" s="24"/>
      <c r="AK448" s="24"/>
      <c r="AL448" s="24"/>
      <c r="AM448" s="24"/>
    </row>
    <row r="449"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24"/>
      <c r="AI449" s="24"/>
      <c r="AJ449" s="24"/>
      <c r="AK449" s="24"/>
      <c r="AL449" s="24"/>
      <c r="AM449" s="24"/>
    </row>
    <row r="450"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24"/>
      <c r="AJ450" s="24"/>
      <c r="AK450" s="24"/>
      <c r="AL450" s="24"/>
      <c r="AM450" s="24"/>
    </row>
    <row r="451"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24"/>
      <c r="AJ451" s="24"/>
      <c r="AK451" s="24"/>
      <c r="AL451" s="24"/>
      <c r="AM451" s="24"/>
    </row>
    <row r="452"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24"/>
      <c r="AI452" s="24"/>
      <c r="AJ452" s="24"/>
      <c r="AK452" s="24"/>
      <c r="AL452" s="24"/>
      <c r="AM452" s="24"/>
    </row>
    <row r="453"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24"/>
      <c r="AJ453" s="24"/>
      <c r="AK453" s="24"/>
      <c r="AL453" s="24"/>
      <c r="AM453" s="24"/>
    </row>
    <row r="454"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24"/>
      <c r="AJ454" s="24"/>
      <c r="AK454" s="24"/>
      <c r="AL454" s="24"/>
      <c r="AM454" s="24"/>
    </row>
    <row r="455"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24"/>
      <c r="AI455" s="24"/>
      <c r="AJ455" s="24"/>
      <c r="AK455" s="24"/>
      <c r="AL455" s="24"/>
      <c r="AM455" s="24"/>
    </row>
    <row r="456"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24"/>
      <c r="AI456" s="24"/>
      <c r="AJ456" s="24"/>
      <c r="AK456" s="24"/>
      <c r="AL456" s="24"/>
      <c r="AM456" s="24"/>
    </row>
    <row r="457"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24"/>
      <c r="AJ457" s="24"/>
      <c r="AK457" s="24"/>
      <c r="AL457" s="24"/>
      <c r="AM457" s="24"/>
    </row>
    <row r="458"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24"/>
      <c r="AJ458" s="24"/>
      <c r="AK458" s="24"/>
      <c r="AL458" s="24"/>
      <c r="AM458" s="24"/>
    </row>
    <row r="459"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24"/>
      <c r="AI459" s="24"/>
      <c r="AJ459" s="24"/>
      <c r="AK459" s="24"/>
      <c r="AL459" s="24"/>
      <c r="AM459" s="24"/>
    </row>
    <row r="460"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24"/>
      <c r="AJ460" s="24"/>
      <c r="AK460" s="24"/>
      <c r="AL460" s="24"/>
      <c r="AM460" s="24"/>
    </row>
    <row r="461"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24"/>
      <c r="AI461" s="24"/>
      <c r="AJ461" s="24"/>
      <c r="AK461" s="24"/>
      <c r="AL461" s="24"/>
      <c r="AM461" s="24"/>
    </row>
    <row r="462"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24"/>
      <c r="AI462" s="24"/>
      <c r="AJ462" s="24"/>
      <c r="AK462" s="24"/>
      <c r="AL462" s="24"/>
      <c r="AM462" s="24"/>
    </row>
    <row r="463"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24"/>
      <c r="AI463" s="24"/>
      <c r="AJ463" s="24"/>
      <c r="AK463" s="24"/>
      <c r="AL463" s="24"/>
      <c r="AM463" s="24"/>
    </row>
    <row r="464"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24"/>
      <c r="AI464" s="24"/>
      <c r="AJ464" s="24"/>
      <c r="AK464" s="24"/>
      <c r="AL464" s="24"/>
      <c r="AM464" s="24"/>
    </row>
    <row r="465"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24"/>
      <c r="AJ465" s="24"/>
      <c r="AK465" s="24"/>
      <c r="AL465" s="24"/>
      <c r="AM465" s="24"/>
    </row>
    <row r="466"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24"/>
      <c r="AJ466" s="24"/>
      <c r="AK466" s="24"/>
      <c r="AL466" s="24"/>
      <c r="AM466" s="24"/>
    </row>
    <row r="467"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24"/>
      <c r="AI467" s="24"/>
      <c r="AJ467" s="24"/>
      <c r="AK467" s="24"/>
      <c r="AL467" s="24"/>
      <c r="AM467" s="24"/>
    </row>
    <row r="468"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24"/>
      <c r="AJ468" s="24"/>
      <c r="AK468" s="24"/>
      <c r="AL468" s="24"/>
      <c r="AM468" s="24"/>
    </row>
    <row r="469"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24"/>
      <c r="AI469" s="24"/>
      <c r="AJ469" s="24"/>
      <c r="AK469" s="24"/>
      <c r="AL469" s="24"/>
      <c r="AM469" s="24"/>
    </row>
    <row r="470"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24"/>
      <c r="AJ470" s="24"/>
      <c r="AK470" s="24"/>
      <c r="AL470" s="24"/>
      <c r="AM470" s="24"/>
    </row>
    <row r="471"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24"/>
      <c r="AI471" s="24"/>
      <c r="AJ471" s="24"/>
      <c r="AK471" s="24"/>
      <c r="AL471" s="24"/>
      <c r="AM471" s="24"/>
    </row>
    <row r="472"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24"/>
      <c r="AI472" s="24"/>
      <c r="AJ472" s="24"/>
      <c r="AK472" s="24"/>
      <c r="AL472" s="24"/>
      <c r="AM472" s="24"/>
    </row>
    <row r="473"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24"/>
      <c r="AI473" s="24"/>
      <c r="AJ473" s="24"/>
      <c r="AK473" s="24"/>
      <c r="AL473" s="24"/>
      <c r="AM473" s="24"/>
    </row>
    <row r="474"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24"/>
      <c r="AI474" s="24"/>
      <c r="AJ474" s="24"/>
      <c r="AK474" s="24"/>
      <c r="AL474" s="24"/>
      <c r="AM474" s="24"/>
    </row>
    <row r="475"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24"/>
      <c r="AI475" s="24"/>
      <c r="AJ475" s="24"/>
      <c r="AK475" s="24"/>
      <c r="AL475" s="24"/>
      <c r="AM475" s="24"/>
    </row>
    <row r="476"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24"/>
      <c r="AI476" s="24"/>
      <c r="AJ476" s="24"/>
      <c r="AK476" s="24"/>
      <c r="AL476" s="24"/>
      <c r="AM476" s="24"/>
    </row>
    <row r="477"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24"/>
      <c r="AJ477" s="24"/>
      <c r="AK477" s="24"/>
      <c r="AL477" s="24"/>
      <c r="AM477" s="24"/>
    </row>
    <row r="478"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24"/>
      <c r="AJ478" s="24"/>
      <c r="AK478" s="24"/>
      <c r="AL478" s="24"/>
      <c r="AM478" s="24"/>
    </row>
    <row r="479"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24"/>
      <c r="AI479" s="24"/>
      <c r="AJ479" s="24"/>
      <c r="AK479" s="24"/>
      <c r="AL479" s="24"/>
      <c r="AM479" s="24"/>
    </row>
    <row r="480"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24"/>
      <c r="AI480" s="24"/>
      <c r="AJ480" s="24"/>
      <c r="AK480" s="24"/>
      <c r="AL480" s="24"/>
      <c r="AM480" s="24"/>
    </row>
    <row r="481"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4"/>
      <c r="AM481" s="24"/>
    </row>
    <row r="482"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24"/>
      <c r="AI482" s="24"/>
      <c r="AJ482" s="24"/>
      <c r="AK482" s="24"/>
      <c r="AL482" s="24"/>
      <c r="AM482" s="24"/>
    </row>
    <row r="483"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24"/>
      <c r="AI483" s="24"/>
      <c r="AJ483" s="24"/>
      <c r="AK483" s="24"/>
      <c r="AL483" s="24"/>
      <c r="AM483" s="24"/>
    </row>
    <row r="484"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4"/>
      <c r="AM484" s="24"/>
    </row>
    <row r="485"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24"/>
      <c r="AI485" s="24"/>
      <c r="AJ485" s="24"/>
      <c r="AK485" s="24"/>
      <c r="AL485" s="24"/>
      <c r="AM485" s="24"/>
    </row>
    <row r="486"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24"/>
      <c r="AI486" s="24"/>
      <c r="AJ486" s="24"/>
      <c r="AK486" s="24"/>
      <c r="AL486" s="24"/>
      <c r="AM486" s="24"/>
    </row>
    <row r="487"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24"/>
      <c r="AI487" s="24"/>
      <c r="AJ487" s="24"/>
      <c r="AK487" s="24"/>
      <c r="AL487" s="24"/>
      <c r="AM487" s="24"/>
    </row>
    <row r="488"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24"/>
      <c r="AI488" s="24"/>
      <c r="AJ488" s="24"/>
      <c r="AK488" s="24"/>
      <c r="AL488" s="24"/>
      <c r="AM488" s="24"/>
    </row>
    <row r="489"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24"/>
      <c r="AI489" s="24"/>
      <c r="AJ489" s="24"/>
      <c r="AK489" s="24"/>
      <c r="AL489" s="24"/>
      <c r="AM489" s="24"/>
    </row>
    <row r="490"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24"/>
      <c r="AJ490" s="24"/>
      <c r="AK490" s="24"/>
      <c r="AL490" s="24"/>
      <c r="AM490" s="24"/>
    </row>
    <row r="491"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24"/>
      <c r="AI491" s="24"/>
      <c r="AJ491" s="24"/>
      <c r="AK491" s="24"/>
      <c r="AL491" s="24"/>
      <c r="AM491" s="24"/>
    </row>
    <row r="492"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24"/>
      <c r="AI492" s="24"/>
      <c r="AJ492" s="24"/>
      <c r="AK492" s="24"/>
      <c r="AL492" s="24"/>
      <c r="AM492" s="24"/>
    </row>
    <row r="493"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24"/>
      <c r="AI493" s="24"/>
      <c r="AJ493" s="24"/>
      <c r="AK493" s="24"/>
      <c r="AL493" s="24"/>
      <c r="AM493" s="24"/>
    </row>
    <row r="494"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24"/>
      <c r="AI494" s="24"/>
      <c r="AJ494" s="24"/>
      <c r="AK494" s="24"/>
      <c r="AL494" s="24"/>
      <c r="AM494" s="24"/>
    </row>
    <row r="495"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  <c r="AH495" s="24"/>
      <c r="AI495" s="24"/>
      <c r="AJ495" s="24"/>
      <c r="AK495" s="24"/>
      <c r="AL495" s="24"/>
      <c r="AM495" s="24"/>
    </row>
    <row r="496"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  <c r="AH496" s="24"/>
      <c r="AI496" s="24"/>
      <c r="AJ496" s="24"/>
      <c r="AK496" s="24"/>
      <c r="AL496" s="24"/>
      <c r="AM496" s="24"/>
    </row>
    <row r="497"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  <c r="AH497" s="24"/>
      <c r="AI497" s="24"/>
      <c r="AJ497" s="24"/>
      <c r="AK497" s="24"/>
      <c r="AL497" s="24"/>
      <c r="AM497" s="24"/>
    </row>
    <row r="498"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  <c r="AH498" s="24"/>
      <c r="AI498" s="24"/>
      <c r="AJ498" s="24"/>
      <c r="AK498" s="24"/>
      <c r="AL498" s="24"/>
      <c r="AM498" s="24"/>
    </row>
    <row r="499"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  <c r="AH499" s="24"/>
      <c r="AI499" s="24"/>
      <c r="AJ499" s="24"/>
      <c r="AK499" s="24"/>
      <c r="AL499" s="24"/>
      <c r="AM499" s="24"/>
    </row>
    <row r="500"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  <c r="AH500" s="24"/>
      <c r="AI500" s="24"/>
      <c r="AJ500" s="24"/>
      <c r="AK500" s="24"/>
      <c r="AL500" s="24"/>
      <c r="AM500" s="24"/>
    </row>
    <row r="501"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  <c r="AH501" s="24"/>
      <c r="AI501" s="24"/>
      <c r="AJ501" s="24"/>
      <c r="AK501" s="24"/>
      <c r="AL501" s="24"/>
      <c r="AM501" s="24"/>
    </row>
    <row r="502"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  <c r="AH502" s="24"/>
      <c r="AI502" s="24"/>
      <c r="AJ502" s="24"/>
      <c r="AK502" s="24"/>
      <c r="AL502" s="24"/>
      <c r="AM502" s="24"/>
    </row>
    <row r="503"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  <c r="AH503" s="24"/>
      <c r="AI503" s="24"/>
      <c r="AJ503" s="24"/>
      <c r="AK503" s="24"/>
      <c r="AL503" s="24"/>
      <c r="AM503" s="24"/>
    </row>
    <row r="504"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  <c r="AH504" s="24"/>
      <c r="AI504" s="24"/>
      <c r="AJ504" s="24"/>
      <c r="AK504" s="24"/>
      <c r="AL504" s="24"/>
      <c r="AM504" s="24"/>
    </row>
    <row r="505"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  <c r="AH505" s="24"/>
      <c r="AI505" s="24"/>
      <c r="AJ505" s="24"/>
      <c r="AK505" s="24"/>
      <c r="AL505" s="24"/>
      <c r="AM505" s="24"/>
    </row>
    <row r="506"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  <c r="AH506" s="24"/>
      <c r="AI506" s="24"/>
      <c r="AJ506" s="24"/>
      <c r="AK506" s="24"/>
      <c r="AL506" s="24"/>
      <c r="AM506" s="24"/>
    </row>
    <row r="507"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  <c r="AH507" s="24"/>
      <c r="AI507" s="24"/>
      <c r="AJ507" s="24"/>
      <c r="AK507" s="24"/>
      <c r="AL507" s="24"/>
      <c r="AM507" s="24"/>
    </row>
    <row r="508"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  <c r="AH508" s="24"/>
      <c r="AI508" s="24"/>
      <c r="AJ508" s="24"/>
      <c r="AK508" s="24"/>
      <c r="AL508" s="24"/>
      <c r="AM508" s="24"/>
    </row>
    <row r="509"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  <c r="AH509" s="24"/>
      <c r="AI509" s="24"/>
      <c r="AJ509" s="24"/>
      <c r="AK509" s="24"/>
      <c r="AL509" s="24"/>
      <c r="AM509" s="24"/>
    </row>
    <row r="510"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  <c r="AH510" s="24"/>
      <c r="AI510" s="24"/>
      <c r="AJ510" s="24"/>
      <c r="AK510" s="24"/>
      <c r="AL510" s="24"/>
      <c r="AM510" s="24"/>
    </row>
    <row r="511"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  <c r="AH511" s="24"/>
      <c r="AI511" s="24"/>
      <c r="AJ511" s="24"/>
      <c r="AK511" s="24"/>
      <c r="AL511" s="24"/>
      <c r="AM511" s="24"/>
    </row>
    <row r="512"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  <c r="AH512" s="24"/>
      <c r="AI512" s="24"/>
      <c r="AJ512" s="24"/>
      <c r="AK512" s="24"/>
      <c r="AL512" s="24"/>
      <c r="AM512" s="24"/>
    </row>
    <row r="513"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  <c r="AH513" s="24"/>
      <c r="AI513" s="24"/>
      <c r="AJ513" s="24"/>
      <c r="AK513" s="24"/>
      <c r="AL513" s="24"/>
      <c r="AM513" s="24"/>
    </row>
    <row r="514"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  <c r="AH514" s="24"/>
      <c r="AI514" s="24"/>
      <c r="AJ514" s="24"/>
      <c r="AK514" s="24"/>
      <c r="AL514" s="24"/>
      <c r="AM514" s="24"/>
    </row>
    <row r="515"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  <c r="AH515" s="24"/>
      <c r="AI515" s="24"/>
      <c r="AJ515" s="24"/>
      <c r="AK515" s="24"/>
      <c r="AL515" s="24"/>
      <c r="AM515" s="24"/>
    </row>
    <row r="516"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  <c r="AH516" s="24"/>
      <c r="AI516" s="24"/>
      <c r="AJ516" s="24"/>
      <c r="AK516" s="24"/>
      <c r="AL516" s="24"/>
      <c r="AM516" s="24"/>
    </row>
    <row r="517"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  <c r="AH517" s="24"/>
      <c r="AI517" s="24"/>
      <c r="AJ517" s="24"/>
      <c r="AK517" s="24"/>
      <c r="AL517" s="24"/>
      <c r="AM517" s="24"/>
    </row>
    <row r="518"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  <c r="AH518" s="24"/>
      <c r="AI518" s="24"/>
      <c r="AJ518" s="24"/>
      <c r="AK518" s="24"/>
      <c r="AL518" s="24"/>
      <c r="AM518" s="24"/>
    </row>
    <row r="519"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  <c r="AL519" s="24"/>
      <c r="AM519" s="24"/>
    </row>
    <row r="520"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  <c r="AH520" s="24"/>
      <c r="AI520" s="24"/>
      <c r="AJ520" s="24"/>
      <c r="AK520" s="24"/>
      <c r="AL520" s="24"/>
      <c r="AM520" s="24"/>
    </row>
    <row r="521"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  <c r="AH521" s="24"/>
      <c r="AI521" s="24"/>
      <c r="AJ521" s="24"/>
      <c r="AK521" s="24"/>
      <c r="AL521" s="24"/>
      <c r="AM521" s="24"/>
    </row>
    <row r="522"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L522" s="24"/>
      <c r="AM522" s="24"/>
    </row>
    <row r="523"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  <c r="AH523" s="24"/>
      <c r="AI523" s="24"/>
      <c r="AJ523" s="24"/>
      <c r="AK523" s="24"/>
      <c r="AL523" s="24"/>
      <c r="AM523" s="24"/>
    </row>
    <row r="524"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  <c r="AH524" s="24"/>
      <c r="AI524" s="24"/>
      <c r="AJ524" s="24"/>
      <c r="AK524" s="24"/>
      <c r="AL524" s="24"/>
      <c r="AM524" s="24"/>
    </row>
    <row r="525"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  <c r="AH525" s="24"/>
      <c r="AI525" s="24"/>
      <c r="AJ525" s="24"/>
      <c r="AK525" s="24"/>
      <c r="AL525" s="24"/>
      <c r="AM525" s="24"/>
    </row>
    <row r="526"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  <c r="AH526" s="24"/>
      <c r="AI526" s="24"/>
      <c r="AJ526" s="24"/>
      <c r="AK526" s="24"/>
      <c r="AL526" s="24"/>
      <c r="AM526" s="24"/>
    </row>
    <row r="527"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  <c r="AH527" s="24"/>
      <c r="AI527" s="24"/>
      <c r="AJ527" s="24"/>
      <c r="AK527" s="24"/>
      <c r="AL527" s="24"/>
      <c r="AM527" s="24"/>
    </row>
    <row r="528"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  <c r="AH528" s="24"/>
      <c r="AI528" s="24"/>
      <c r="AJ528" s="24"/>
      <c r="AK528" s="24"/>
      <c r="AL528" s="24"/>
      <c r="AM528" s="24"/>
    </row>
    <row r="529"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  <c r="AH529" s="24"/>
      <c r="AI529" s="24"/>
      <c r="AJ529" s="24"/>
      <c r="AK529" s="24"/>
      <c r="AL529" s="24"/>
      <c r="AM529" s="24"/>
    </row>
    <row r="530"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  <c r="AH530" s="24"/>
      <c r="AI530" s="24"/>
      <c r="AJ530" s="24"/>
      <c r="AK530" s="24"/>
      <c r="AL530" s="24"/>
      <c r="AM530" s="24"/>
    </row>
    <row r="531"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  <c r="AH531" s="24"/>
      <c r="AI531" s="24"/>
      <c r="AJ531" s="24"/>
      <c r="AK531" s="24"/>
      <c r="AL531" s="24"/>
      <c r="AM531" s="24"/>
    </row>
    <row r="532"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  <c r="AH532" s="24"/>
      <c r="AI532" s="24"/>
      <c r="AJ532" s="24"/>
      <c r="AK532" s="24"/>
      <c r="AL532" s="24"/>
      <c r="AM532" s="24"/>
    </row>
    <row r="533"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  <c r="AH533" s="24"/>
      <c r="AI533" s="24"/>
      <c r="AJ533" s="24"/>
      <c r="AK533" s="24"/>
      <c r="AL533" s="24"/>
      <c r="AM533" s="24"/>
    </row>
    <row r="534"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  <c r="AH534" s="24"/>
      <c r="AI534" s="24"/>
      <c r="AJ534" s="24"/>
      <c r="AK534" s="24"/>
      <c r="AL534" s="24"/>
      <c r="AM534" s="24"/>
    </row>
    <row r="535"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  <c r="AH535" s="24"/>
      <c r="AI535" s="24"/>
      <c r="AJ535" s="24"/>
      <c r="AK535" s="24"/>
      <c r="AL535" s="24"/>
      <c r="AM535" s="24"/>
    </row>
    <row r="536"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  <c r="AH536" s="24"/>
      <c r="AI536" s="24"/>
      <c r="AJ536" s="24"/>
      <c r="AK536" s="24"/>
      <c r="AL536" s="24"/>
      <c r="AM536" s="24"/>
    </row>
    <row r="537"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  <c r="AH537" s="24"/>
      <c r="AI537" s="24"/>
      <c r="AJ537" s="24"/>
      <c r="AK537" s="24"/>
      <c r="AL537" s="24"/>
      <c r="AM537" s="24"/>
    </row>
    <row r="538"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  <c r="AH538" s="24"/>
      <c r="AI538" s="24"/>
      <c r="AJ538" s="24"/>
      <c r="AK538" s="24"/>
      <c r="AL538" s="24"/>
      <c r="AM538" s="24"/>
    </row>
    <row r="539"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  <c r="AH539" s="24"/>
      <c r="AI539" s="24"/>
      <c r="AJ539" s="24"/>
      <c r="AK539" s="24"/>
      <c r="AL539" s="24"/>
      <c r="AM539" s="24"/>
    </row>
    <row r="540"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  <c r="AH540" s="24"/>
      <c r="AI540" s="24"/>
      <c r="AJ540" s="24"/>
      <c r="AK540" s="24"/>
      <c r="AL540" s="24"/>
      <c r="AM540" s="24"/>
    </row>
    <row r="541"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  <c r="AH541" s="24"/>
      <c r="AI541" s="24"/>
      <c r="AJ541" s="24"/>
      <c r="AK541" s="24"/>
      <c r="AL541" s="24"/>
      <c r="AM541" s="24"/>
    </row>
    <row r="542"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  <c r="AH542" s="24"/>
      <c r="AI542" s="24"/>
      <c r="AJ542" s="24"/>
      <c r="AK542" s="24"/>
      <c r="AL542" s="24"/>
      <c r="AM542" s="24"/>
    </row>
    <row r="543"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  <c r="AH543" s="24"/>
      <c r="AI543" s="24"/>
      <c r="AJ543" s="24"/>
      <c r="AK543" s="24"/>
      <c r="AL543" s="24"/>
      <c r="AM543" s="24"/>
    </row>
    <row r="544"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  <c r="AH544" s="24"/>
      <c r="AI544" s="24"/>
      <c r="AJ544" s="24"/>
      <c r="AK544" s="24"/>
      <c r="AL544" s="24"/>
      <c r="AM544" s="24"/>
    </row>
    <row r="545"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  <c r="AH545" s="24"/>
      <c r="AI545" s="24"/>
      <c r="AJ545" s="24"/>
      <c r="AK545" s="24"/>
      <c r="AL545" s="24"/>
      <c r="AM545" s="24"/>
    </row>
    <row r="546"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  <c r="AH546" s="24"/>
      <c r="AI546" s="24"/>
      <c r="AJ546" s="24"/>
      <c r="AK546" s="24"/>
      <c r="AL546" s="24"/>
      <c r="AM546" s="24"/>
    </row>
    <row r="547"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  <c r="AH547" s="24"/>
      <c r="AI547" s="24"/>
      <c r="AJ547" s="24"/>
      <c r="AK547" s="24"/>
      <c r="AL547" s="24"/>
      <c r="AM547" s="24"/>
    </row>
    <row r="548"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  <c r="AH548" s="24"/>
      <c r="AI548" s="24"/>
      <c r="AJ548" s="24"/>
      <c r="AK548" s="24"/>
      <c r="AL548" s="24"/>
      <c r="AM548" s="24"/>
    </row>
    <row r="549"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  <c r="AH549" s="24"/>
      <c r="AI549" s="24"/>
      <c r="AJ549" s="24"/>
      <c r="AK549" s="24"/>
      <c r="AL549" s="24"/>
      <c r="AM549" s="24"/>
    </row>
    <row r="550"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  <c r="AH550" s="24"/>
      <c r="AI550" s="24"/>
      <c r="AJ550" s="24"/>
      <c r="AK550" s="24"/>
      <c r="AL550" s="24"/>
      <c r="AM550" s="24"/>
    </row>
    <row r="551"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  <c r="AH551" s="24"/>
      <c r="AI551" s="24"/>
      <c r="AJ551" s="24"/>
      <c r="AK551" s="24"/>
      <c r="AL551" s="24"/>
      <c r="AM551" s="24"/>
    </row>
    <row r="552"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  <c r="AH552" s="24"/>
      <c r="AI552" s="24"/>
      <c r="AJ552" s="24"/>
      <c r="AK552" s="24"/>
      <c r="AL552" s="24"/>
      <c r="AM552" s="24"/>
    </row>
    <row r="553"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  <c r="AH553" s="24"/>
      <c r="AI553" s="24"/>
      <c r="AJ553" s="24"/>
      <c r="AK553" s="24"/>
      <c r="AL553" s="24"/>
      <c r="AM553" s="24"/>
    </row>
    <row r="554"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  <c r="AH554" s="24"/>
      <c r="AI554" s="24"/>
      <c r="AJ554" s="24"/>
      <c r="AK554" s="24"/>
      <c r="AL554" s="24"/>
      <c r="AM554" s="24"/>
    </row>
    <row r="555"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  <c r="AH555" s="24"/>
      <c r="AI555" s="24"/>
      <c r="AJ555" s="24"/>
      <c r="AK555" s="24"/>
      <c r="AL555" s="24"/>
      <c r="AM555" s="24"/>
    </row>
    <row r="556"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  <c r="AH556" s="24"/>
      <c r="AI556" s="24"/>
      <c r="AJ556" s="24"/>
      <c r="AK556" s="24"/>
      <c r="AL556" s="24"/>
      <c r="AM556" s="24"/>
    </row>
    <row r="557"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  <c r="AL557" s="24"/>
      <c r="AM557" s="24"/>
    </row>
    <row r="558"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  <c r="AH558" s="24"/>
      <c r="AI558" s="24"/>
      <c r="AJ558" s="24"/>
      <c r="AK558" s="24"/>
      <c r="AL558" s="24"/>
      <c r="AM558" s="24"/>
    </row>
    <row r="559"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  <c r="AH559" s="24"/>
      <c r="AI559" s="24"/>
      <c r="AJ559" s="24"/>
      <c r="AK559" s="24"/>
      <c r="AL559" s="24"/>
      <c r="AM559" s="24"/>
    </row>
    <row r="560"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24"/>
      <c r="AJ560" s="24"/>
      <c r="AK560" s="24"/>
      <c r="AL560" s="24"/>
      <c r="AM560" s="24"/>
    </row>
    <row r="561"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  <c r="AH561" s="24"/>
      <c r="AI561" s="24"/>
      <c r="AJ561" s="24"/>
      <c r="AK561" s="24"/>
      <c r="AL561" s="24"/>
      <c r="AM561" s="24"/>
    </row>
    <row r="562"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  <c r="AH562" s="24"/>
      <c r="AI562" s="24"/>
      <c r="AJ562" s="24"/>
      <c r="AK562" s="24"/>
      <c r="AL562" s="24"/>
      <c r="AM562" s="24"/>
    </row>
    <row r="563"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  <c r="AH563" s="24"/>
      <c r="AI563" s="24"/>
      <c r="AJ563" s="24"/>
      <c r="AK563" s="24"/>
      <c r="AL563" s="24"/>
      <c r="AM563" s="24"/>
    </row>
    <row r="564"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  <c r="AH564" s="24"/>
      <c r="AI564" s="24"/>
      <c r="AJ564" s="24"/>
      <c r="AK564" s="24"/>
      <c r="AL564" s="24"/>
      <c r="AM564" s="24"/>
    </row>
    <row r="565"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  <c r="AH565" s="24"/>
      <c r="AI565" s="24"/>
      <c r="AJ565" s="24"/>
      <c r="AK565" s="24"/>
      <c r="AL565" s="24"/>
      <c r="AM565" s="24"/>
    </row>
    <row r="566"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  <c r="AH566" s="24"/>
      <c r="AI566" s="24"/>
      <c r="AJ566" s="24"/>
      <c r="AK566" s="24"/>
      <c r="AL566" s="24"/>
      <c r="AM566" s="24"/>
    </row>
    <row r="567"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  <c r="AH567" s="24"/>
      <c r="AI567" s="24"/>
      <c r="AJ567" s="24"/>
      <c r="AK567" s="24"/>
      <c r="AL567" s="24"/>
      <c r="AM567" s="24"/>
    </row>
    <row r="568"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  <c r="AH568" s="24"/>
      <c r="AI568" s="24"/>
      <c r="AJ568" s="24"/>
      <c r="AK568" s="24"/>
      <c r="AL568" s="24"/>
      <c r="AM568" s="24"/>
    </row>
    <row r="569"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  <c r="AH569" s="24"/>
      <c r="AI569" s="24"/>
      <c r="AJ569" s="24"/>
      <c r="AK569" s="24"/>
      <c r="AL569" s="24"/>
      <c r="AM569" s="24"/>
    </row>
    <row r="570"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  <c r="AH570" s="24"/>
      <c r="AI570" s="24"/>
      <c r="AJ570" s="24"/>
      <c r="AK570" s="24"/>
      <c r="AL570" s="24"/>
      <c r="AM570" s="24"/>
    </row>
    <row r="571"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  <c r="AH571" s="24"/>
      <c r="AI571" s="24"/>
      <c r="AJ571" s="24"/>
      <c r="AK571" s="24"/>
      <c r="AL571" s="24"/>
      <c r="AM571" s="24"/>
    </row>
    <row r="572"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  <c r="AH572" s="24"/>
      <c r="AI572" s="24"/>
      <c r="AJ572" s="24"/>
      <c r="AK572" s="24"/>
      <c r="AL572" s="24"/>
      <c r="AM572" s="24"/>
    </row>
    <row r="573"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  <c r="AH573" s="24"/>
      <c r="AI573" s="24"/>
      <c r="AJ573" s="24"/>
      <c r="AK573" s="24"/>
      <c r="AL573" s="24"/>
      <c r="AM573" s="24"/>
    </row>
    <row r="574"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  <c r="AH574" s="24"/>
      <c r="AI574" s="24"/>
      <c r="AJ574" s="24"/>
      <c r="AK574" s="24"/>
      <c r="AL574" s="24"/>
      <c r="AM574" s="24"/>
    </row>
    <row r="575"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  <c r="AH575" s="24"/>
      <c r="AI575" s="24"/>
      <c r="AJ575" s="24"/>
      <c r="AK575" s="24"/>
      <c r="AL575" s="24"/>
      <c r="AM575" s="24"/>
    </row>
    <row r="576"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  <c r="AH576" s="24"/>
      <c r="AI576" s="24"/>
      <c r="AJ576" s="24"/>
      <c r="AK576" s="24"/>
      <c r="AL576" s="24"/>
      <c r="AM576" s="24"/>
    </row>
    <row r="577"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  <c r="AH577" s="24"/>
      <c r="AI577" s="24"/>
      <c r="AJ577" s="24"/>
      <c r="AK577" s="24"/>
      <c r="AL577" s="24"/>
      <c r="AM577" s="24"/>
    </row>
    <row r="578"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  <c r="AH578" s="24"/>
      <c r="AI578" s="24"/>
      <c r="AJ578" s="24"/>
      <c r="AK578" s="24"/>
      <c r="AL578" s="24"/>
      <c r="AM578" s="24"/>
    </row>
    <row r="579"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  <c r="AH579" s="24"/>
      <c r="AI579" s="24"/>
      <c r="AJ579" s="24"/>
      <c r="AK579" s="24"/>
      <c r="AL579" s="24"/>
      <c r="AM579" s="24"/>
    </row>
    <row r="580"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  <c r="AH580" s="24"/>
      <c r="AI580" s="24"/>
      <c r="AJ580" s="24"/>
      <c r="AK580" s="24"/>
      <c r="AL580" s="24"/>
      <c r="AM580" s="24"/>
    </row>
    <row r="581"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  <c r="AH581" s="24"/>
      <c r="AI581" s="24"/>
      <c r="AJ581" s="24"/>
      <c r="AK581" s="24"/>
      <c r="AL581" s="24"/>
      <c r="AM581" s="24"/>
    </row>
    <row r="582"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  <c r="AH582" s="24"/>
      <c r="AI582" s="24"/>
      <c r="AJ582" s="24"/>
      <c r="AK582" s="24"/>
      <c r="AL582" s="24"/>
      <c r="AM582" s="24"/>
    </row>
    <row r="583"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  <c r="AH583" s="24"/>
      <c r="AI583" s="24"/>
      <c r="AJ583" s="24"/>
      <c r="AK583" s="24"/>
      <c r="AL583" s="24"/>
      <c r="AM583" s="24"/>
    </row>
    <row r="584"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  <c r="AH584" s="24"/>
      <c r="AI584" s="24"/>
      <c r="AJ584" s="24"/>
      <c r="AK584" s="24"/>
      <c r="AL584" s="24"/>
      <c r="AM584" s="24"/>
    </row>
    <row r="585"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  <c r="AH585" s="24"/>
      <c r="AI585" s="24"/>
      <c r="AJ585" s="24"/>
      <c r="AK585" s="24"/>
      <c r="AL585" s="24"/>
      <c r="AM585" s="24"/>
    </row>
    <row r="586"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  <c r="AH586" s="24"/>
      <c r="AI586" s="24"/>
      <c r="AJ586" s="24"/>
      <c r="AK586" s="24"/>
      <c r="AL586" s="24"/>
      <c r="AM586" s="24"/>
    </row>
    <row r="587"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  <c r="AH587" s="24"/>
      <c r="AI587" s="24"/>
      <c r="AJ587" s="24"/>
      <c r="AK587" s="24"/>
      <c r="AL587" s="24"/>
      <c r="AM587" s="24"/>
    </row>
    <row r="588"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  <c r="AH588" s="24"/>
      <c r="AI588" s="24"/>
      <c r="AJ588" s="24"/>
      <c r="AK588" s="24"/>
      <c r="AL588" s="24"/>
      <c r="AM588" s="24"/>
    </row>
    <row r="589"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  <c r="AH589" s="24"/>
      <c r="AI589" s="24"/>
      <c r="AJ589" s="24"/>
      <c r="AK589" s="24"/>
      <c r="AL589" s="24"/>
      <c r="AM589" s="24"/>
    </row>
    <row r="590"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  <c r="AH590" s="24"/>
      <c r="AI590" s="24"/>
      <c r="AJ590" s="24"/>
      <c r="AK590" s="24"/>
      <c r="AL590" s="24"/>
      <c r="AM590" s="24"/>
    </row>
    <row r="591"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  <c r="AH591" s="24"/>
      <c r="AI591" s="24"/>
      <c r="AJ591" s="24"/>
      <c r="AK591" s="24"/>
      <c r="AL591" s="24"/>
      <c r="AM591" s="24"/>
    </row>
    <row r="592"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  <c r="AH592" s="24"/>
      <c r="AI592" s="24"/>
      <c r="AJ592" s="24"/>
      <c r="AK592" s="24"/>
      <c r="AL592" s="24"/>
      <c r="AM592" s="24"/>
    </row>
    <row r="593"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  <c r="AH593" s="24"/>
      <c r="AI593" s="24"/>
      <c r="AJ593" s="24"/>
      <c r="AK593" s="24"/>
      <c r="AL593" s="24"/>
      <c r="AM593" s="24"/>
    </row>
    <row r="594"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  <c r="AH594" s="24"/>
      <c r="AI594" s="24"/>
      <c r="AJ594" s="24"/>
      <c r="AK594" s="24"/>
      <c r="AL594" s="24"/>
      <c r="AM594" s="24"/>
    </row>
    <row r="595"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  <c r="AL595" s="24"/>
      <c r="AM595" s="24"/>
    </row>
    <row r="596"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  <c r="AH596" s="24"/>
      <c r="AI596" s="24"/>
      <c r="AJ596" s="24"/>
      <c r="AK596" s="24"/>
      <c r="AL596" s="24"/>
      <c r="AM596" s="24"/>
    </row>
    <row r="597"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  <c r="AH597" s="24"/>
      <c r="AI597" s="24"/>
      <c r="AJ597" s="24"/>
      <c r="AK597" s="24"/>
      <c r="AL597" s="24"/>
      <c r="AM597" s="24"/>
    </row>
    <row r="598"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24"/>
      <c r="AJ598" s="24"/>
      <c r="AK598" s="24"/>
      <c r="AL598" s="24"/>
      <c r="AM598" s="24"/>
    </row>
    <row r="599"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  <c r="AH599" s="24"/>
      <c r="AI599" s="24"/>
      <c r="AJ599" s="24"/>
      <c r="AK599" s="24"/>
      <c r="AL599" s="24"/>
      <c r="AM599" s="24"/>
    </row>
    <row r="600"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  <c r="AH600" s="24"/>
      <c r="AI600" s="24"/>
      <c r="AJ600" s="24"/>
      <c r="AK600" s="24"/>
      <c r="AL600" s="24"/>
      <c r="AM600" s="24"/>
    </row>
    <row r="601"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  <c r="AH601" s="24"/>
      <c r="AI601" s="24"/>
      <c r="AJ601" s="24"/>
      <c r="AK601" s="24"/>
      <c r="AL601" s="24"/>
      <c r="AM601" s="24"/>
    </row>
    <row r="602"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  <c r="AH602" s="24"/>
      <c r="AI602" s="24"/>
      <c r="AJ602" s="24"/>
      <c r="AK602" s="24"/>
      <c r="AL602" s="24"/>
      <c r="AM602" s="24"/>
    </row>
    <row r="603"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  <c r="AH603" s="24"/>
      <c r="AI603" s="24"/>
      <c r="AJ603" s="24"/>
      <c r="AK603" s="24"/>
      <c r="AL603" s="24"/>
      <c r="AM603" s="24"/>
    </row>
    <row r="604"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  <c r="AH604" s="24"/>
      <c r="AI604" s="24"/>
      <c r="AJ604" s="24"/>
      <c r="AK604" s="24"/>
      <c r="AL604" s="24"/>
      <c r="AM604" s="24"/>
    </row>
    <row r="605"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  <c r="AH605" s="24"/>
      <c r="AI605" s="24"/>
      <c r="AJ605" s="24"/>
      <c r="AK605" s="24"/>
      <c r="AL605" s="24"/>
      <c r="AM605" s="24"/>
    </row>
    <row r="606"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  <c r="AH606" s="24"/>
      <c r="AI606" s="24"/>
      <c r="AJ606" s="24"/>
      <c r="AK606" s="24"/>
      <c r="AL606" s="24"/>
      <c r="AM606" s="24"/>
    </row>
    <row r="607"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  <c r="AH607" s="24"/>
      <c r="AI607" s="24"/>
      <c r="AJ607" s="24"/>
      <c r="AK607" s="24"/>
      <c r="AL607" s="24"/>
      <c r="AM607" s="24"/>
    </row>
    <row r="608"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  <c r="AH608" s="24"/>
      <c r="AI608" s="24"/>
      <c r="AJ608" s="24"/>
      <c r="AK608" s="24"/>
      <c r="AL608" s="24"/>
      <c r="AM608" s="24"/>
    </row>
    <row r="609"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  <c r="AH609" s="24"/>
      <c r="AI609" s="24"/>
      <c r="AJ609" s="24"/>
      <c r="AK609" s="24"/>
      <c r="AL609" s="24"/>
      <c r="AM609" s="24"/>
    </row>
    <row r="610"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  <c r="AH610" s="24"/>
      <c r="AI610" s="24"/>
      <c r="AJ610" s="24"/>
      <c r="AK610" s="24"/>
      <c r="AL610" s="24"/>
      <c r="AM610" s="24"/>
    </row>
    <row r="611"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  <c r="AH611" s="24"/>
      <c r="AI611" s="24"/>
      <c r="AJ611" s="24"/>
      <c r="AK611" s="24"/>
      <c r="AL611" s="24"/>
      <c r="AM611" s="24"/>
    </row>
    <row r="612"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  <c r="AH612" s="24"/>
      <c r="AI612" s="24"/>
      <c r="AJ612" s="24"/>
      <c r="AK612" s="24"/>
      <c r="AL612" s="24"/>
      <c r="AM612" s="24"/>
    </row>
    <row r="613"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  <c r="AH613" s="24"/>
      <c r="AI613" s="24"/>
      <c r="AJ613" s="24"/>
      <c r="AK613" s="24"/>
      <c r="AL613" s="24"/>
      <c r="AM613" s="24"/>
    </row>
    <row r="614"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  <c r="AH614" s="24"/>
      <c r="AI614" s="24"/>
      <c r="AJ614" s="24"/>
      <c r="AK614" s="24"/>
      <c r="AL614" s="24"/>
      <c r="AM614" s="24"/>
    </row>
    <row r="615"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  <c r="AH615" s="24"/>
      <c r="AI615" s="24"/>
      <c r="AJ615" s="24"/>
      <c r="AK615" s="24"/>
      <c r="AL615" s="24"/>
      <c r="AM615" s="24"/>
    </row>
    <row r="616"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  <c r="AH616" s="24"/>
      <c r="AI616" s="24"/>
      <c r="AJ616" s="24"/>
      <c r="AK616" s="24"/>
      <c r="AL616" s="24"/>
      <c r="AM616" s="24"/>
    </row>
    <row r="617"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  <c r="AH617" s="24"/>
      <c r="AI617" s="24"/>
      <c r="AJ617" s="24"/>
      <c r="AK617" s="24"/>
      <c r="AL617" s="24"/>
      <c r="AM617" s="24"/>
    </row>
    <row r="618"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  <c r="AH618" s="24"/>
      <c r="AI618" s="24"/>
      <c r="AJ618" s="24"/>
      <c r="AK618" s="24"/>
      <c r="AL618" s="24"/>
      <c r="AM618" s="24"/>
    </row>
    <row r="619"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  <c r="AH619" s="24"/>
      <c r="AI619" s="24"/>
      <c r="AJ619" s="24"/>
      <c r="AK619" s="24"/>
      <c r="AL619" s="24"/>
      <c r="AM619" s="24"/>
    </row>
    <row r="620"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  <c r="AH620" s="24"/>
      <c r="AI620" s="24"/>
      <c r="AJ620" s="24"/>
      <c r="AK620" s="24"/>
      <c r="AL620" s="24"/>
      <c r="AM620" s="24"/>
    </row>
    <row r="621"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  <c r="AH621" s="24"/>
      <c r="AI621" s="24"/>
      <c r="AJ621" s="24"/>
      <c r="AK621" s="24"/>
      <c r="AL621" s="24"/>
      <c r="AM621" s="24"/>
    </row>
    <row r="622"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  <c r="AH622" s="24"/>
      <c r="AI622" s="24"/>
      <c r="AJ622" s="24"/>
      <c r="AK622" s="24"/>
      <c r="AL622" s="24"/>
      <c r="AM622" s="24"/>
    </row>
    <row r="623"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  <c r="AH623" s="24"/>
      <c r="AI623" s="24"/>
      <c r="AJ623" s="24"/>
      <c r="AK623" s="24"/>
      <c r="AL623" s="24"/>
      <c r="AM623" s="24"/>
    </row>
    <row r="624"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  <c r="AH624" s="24"/>
      <c r="AI624" s="24"/>
      <c r="AJ624" s="24"/>
      <c r="AK624" s="24"/>
      <c r="AL624" s="24"/>
      <c r="AM624" s="24"/>
    </row>
    <row r="625"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  <c r="AH625" s="24"/>
      <c r="AI625" s="24"/>
      <c r="AJ625" s="24"/>
      <c r="AK625" s="24"/>
      <c r="AL625" s="24"/>
      <c r="AM625" s="24"/>
    </row>
    <row r="626"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  <c r="AH626" s="24"/>
      <c r="AI626" s="24"/>
      <c r="AJ626" s="24"/>
      <c r="AK626" s="24"/>
      <c r="AL626" s="24"/>
      <c r="AM626" s="24"/>
    </row>
    <row r="627"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  <c r="AH627" s="24"/>
      <c r="AI627" s="24"/>
      <c r="AJ627" s="24"/>
      <c r="AK627" s="24"/>
      <c r="AL627" s="24"/>
      <c r="AM627" s="24"/>
    </row>
    <row r="628"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  <c r="AH628" s="24"/>
      <c r="AI628" s="24"/>
      <c r="AJ628" s="24"/>
      <c r="AK628" s="24"/>
      <c r="AL628" s="24"/>
      <c r="AM628" s="24"/>
    </row>
    <row r="629"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  <c r="AH629" s="24"/>
      <c r="AI629" s="24"/>
      <c r="AJ629" s="24"/>
      <c r="AK629" s="24"/>
      <c r="AL629" s="24"/>
      <c r="AM629" s="24"/>
    </row>
    <row r="630"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  <c r="AH630" s="24"/>
      <c r="AI630" s="24"/>
      <c r="AJ630" s="24"/>
      <c r="AK630" s="24"/>
      <c r="AL630" s="24"/>
      <c r="AM630" s="24"/>
    </row>
    <row r="631"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  <c r="AH631" s="24"/>
      <c r="AI631" s="24"/>
      <c r="AJ631" s="24"/>
      <c r="AK631" s="24"/>
      <c r="AL631" s="24"/>
      <c r="AM631" s="24"/>
    </row>
    <row r="632"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  <c r="AH632" s="24"/>
      <c r="AI632" s="24"/>
      <c r="AJ632" s="24"/>
      <c r="AK632" s="24"/>
      <c r="AL632" s="24"/>
      <c r="AM632" s="24"/>
    </row>
    <row r="633"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24"/>
      <c r="AJ633" s="24"/>
      <c r="AK633" s="24"/>
      <c r="AL633" s="24"/>
      <c r="AM633" s="24"/>
    </row>
    <row r="634"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  <c r="AH634" s="24"/>
      <c r="AI634" s="24"/>
      <c r="AJ634" s="24"/>
      <c r="AK634" s="24"/>
      <c r="AL634" s="24"/>
      <c r="AM634" s="24"/>
    </row>
    <row r="635"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  <c r="AH635" s="24"/>
      <c r="AI635" s="24"/>
      <c r="AJ635" s="24"/>
      <c r="AK635" s="24"/>
      <c r="AL635" s="24"/>
      <c r="AM635" s="24"/>
    </row>
    <row r="636"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24"/>
      <c r="AJ636" s="24"/>
      <c r="AK636" s="24"/>
      <c r="AL636" s="24"/>
      <c r="AM636" s="24"/>
    </row>
    <row r="637"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  <c r="AH637" s="24"/>
      <c r="AI637" s="24"/>
      <c r="AJ637" s="24"/>
      <c r="AK637" s="24"/>
      <c r="AL637" s="24"/>
      <c r="AM637" s="24"/>
    </row>
    <row r="638"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  <c r="AH638" s="24"/>
      <c r="AI638" s="24"/>
      <c r="AJ638" s="24"/>
      <c r="AK638" s="24"/>
      <c r="AL638" s="24"/>
      <c r="AM638" s="24"/>
    </row>
    <row r="639"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  <c r="AH639" s="24"/>
      <c r="AI639" s="24"/>
      <c r="AJ639" s="24"/>
      <c r="AK639" s="24"/>
      <c r="AL639" s="24"/>
      <c r="AM639" s="24"/>
    </row>
    <row r="640"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  <c r="AH640" s="24"/>
      <c r="AI640" s="24"/>
      <c r="AJ640" s="24"/>
      <c r="AK640" s="24"/>
      <c r="AL640" s="24"/>
      <c r="AM640" s="24"/>
    </row>
    <row r="641"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  <c r="AH641" s="24"/>
      <c r="AI641" s="24"/>
      <c r="AJ641" s="24"/>
      <c r="AK641" s="24"/>
      <c r="AL641" s="24"/>
      <c r="AM641" s="24"/>
    </row>
    <row r="642"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  <c r="AH642" s="24"/>
      <c r="AI642" s="24"/>
      <c r="AJ642" s="24"/>
      <c r="AK642" s="24"/>
      <c r="AL642" s="24"/>
      <c r="AM642" s="24"/>
    </row>
    <row r="643"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  <c r="AH643" s="24"/>
      <c r="AI643" s="24"/>
      <c r="AJ643" s="24"/>
      <c r="AK643" s="24"/>
      <c r="AL643" s="24"/>
      <c r="AM643" s="24"/>
    </row>
    <row r="644"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  <c r="AH644" s="24"/>
      <c r="AI644" s="24"/>
      <c r="AJ644" s="24"/>
      <c r="AK644" s="24"/>
      <c r="AL644" s="24"/>
      <c r="AM644" s="24"/>
    </row>
    <row r="645"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  <c r="AH645" s="24"/>
      <c r="AI645" s="24"/>
      <c r="AJ645" s="24"/>
      <c r="AK645" s="24"/>
      <c r="AL645" s="24"/>
      <c r="AM645" s="24"/>
    </row>
    <row r="646"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  <c r="AH646" s="24"/>
      <c r="AI646" s="24"/>
      <c r="AJ646" s="24"/>
      <c r="AK646" s="24"/>
      <c r="AL646" s="24"/>
      <c r="AM646" s="24"/>
    </row>
    <row r="647"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  <c r="AH647" s="24"/>
      <c r="AI647" s="24"/>
      <c r="AJ647" s="24"/>
      <c r="AK647" s="24"/>
      <c r="AL647" s="24"/>
      <c r="AM647" s="24"/>
    </row>
    <row r="648"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  <c r="AH648" s="24"/>
      <c r="AI648" s="24"/>
      <c r="AJ648" s="24"/>
      <c r="AK648" s="24"/>
      <c r="AL648" s="24"/>
      <c r="AM648" s="24"/>
    </row>
    <row r="649"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  <c r="AH649" s="24"/>
      <c r="AI649" s="24"/>
      <c r="AJ649" s="24"/>
      <c r="AK649" s="24"/>
      <c r="AL649" s="24"/>
      <c r="AM649" s="24"/>
    </row>
    <row r="650"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  <c r="AH650" s="24"/>
      <c r="AI650" s="24"/>
      <c r="AJ650" s="24"/>
      <c r="AK650" s="24"/>
      <c r="AL650" s="24"/>
      <c r="AM650" s="24"/>
    </row>
    <row r="651"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  <c r="AH651" s="24"/>
      <c r="AI651" s="24"/>
      <c r="AJ651" s="24"/>
      <c r="AK651" s="24"/>
      <c r="AL651" s="24"/>
      <c r="AM651" s="24"/>
    </row>
    <row r="652"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  <c r="AH652" s="24"/>
      <c r="AI652" s="24"/>
      <c r="AJ652" s="24"/>
      <c r="AK652" s="24"/>
      <c r="AL652" s="24"/>
      <c r="AM652" s="24"/>
    </row>
    <row r="653"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  <c r="AH653" s="24"/>
      <c r="AI653" s="24"/>
      <c r="AJ653" s="24"/>
      <c r="AK653" s="24"/>
      <c r="AL653" s="24"/>
      <c r="AM653" s="24"/>
    </row>
    <row r="654"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  <c r="AH654" s="24"/>
      <c r="AI654" s="24"/>
      <c r="AJ654" s="24"/>
      <c r="AK654" s="24"/>
      <c r="AL654" s="24"/>
      <c r="AM654" s="24"/>
    </row>
    <row r="655"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  <c r="AH655" s="24"/>
      <c r="AI655" s="24"/>
      <c r="AJ655" s="24"/>
      <c r="AK655" s="24"/>
      <c r="AL655" s="24"/>
      <c r="AM655" s="24"/>
    </row>
    <row r="656"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  <c r="AH656" s="24"/>
      <c r="AI656" s="24"/>
      <c r="AJ656" s="24"/>
      <c r="AK656" s="24"/>
      <c r="AL656" s="24"/>
      <c r="AM656" s="24"/>
    </row>
    <row r="657"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  <c r="AH657" s="24"/>
      <c r="AI657" s="24"/>
      <c r="AJ657" s="24"/>
      <c r="AK657" s="24"/>
      <c r="AL657" s="24"/>
      <c r="AM657" s="24"/>
    </row>
    <row r="658"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  <c r="AH658" s="24"/>
      <c r="AI658" s="24"/>
      <c r="AJ658" s="24"/>
      <c r="AK658" s="24"/>
      <c r="AL658" s="24"/>
      <c r="AM658" s="24"/>
    </row>
    <row r="659"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  <c r="AH659" s="24"/>
      <c r="AI659" s="24"/>
      <c r="AJ659" s="24"/>
      <c r="AK659" s="24"/>
      <c r="AL659" s="24"/>
      <c r="AM659" s="24"/>
    </row>
    <row r="660"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  <c r="AH660" s="24"/>
      <c r="AI660" s="24"/>
      <c r="AJ660" s="24"/>
      <c r="AK660" s="24"/>
      <c r="AL660" s="24"/>
      <c r="AM660" s="24"/>
    </row>
    <row r="661"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  <c r="AH661" s="24"/>
      <c r="AI661" s="24"/>
      <c r="AJ661" s="24"/>
      <c r="AK661" s="24"/>
      <c r="AL661" s="24"/>
      <c r="AM661" s="24"/>
    </row>
    <row r="662"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  <c r="AH662" s="24"/>
      <c r="AI662" s="24"/>
      <c r="AJ662" s="24"/>
      <c r="AK662" s="24"/>
      <c r="AL662" s="24"/>
      <c r="AM662" s="24"/>
    </row>
    <row r="663"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  <c r="AH663" s="24"/>
      <c r="AI663" s="24"/>
      <c r="AJ663" s="24"/>
      <c r="AK663" s="24"/>
      <c r="AL663" s="24"/>
      <c r="AM663" s="24"/>
    </row>
    <row r="664"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  <c r="AH664" s="24"/>
      <c r="AI664" s="24"/>
      <c r="AJ664" s="24"/>
      <c r="AK664" s="24"/>
      <c r="AL664" s="24"/>
      <c r="AM664" s="24"/>
    </row>
    <row r="665"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  <c r="AH665" s="24"/>
      <c r="AI665" s="24"/>
      <c r="AJ665" s="24"/>
      <c r="AK665" s="24"/>
      <c r="AL665" s="24"/>
      <c r="AM665" s="24"/>
    </row>
    <row r="666"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  <c r="AH666" s="24"/>
      <c r="AI666" s="24"/>
      <c r="AJ666" s="24"/>
      <c r="AK666" s="24"/>
      <c r="AL666" s="24"/>
      <c r="AM666" s="24"/>
    </row>
    <row r="667"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  <c r="AH667" s="24"/>
      <c r="AI667" s="24"/>
      <c r="AJ667" s="24"/>
      <c r="AK667" s="24"/>
      <c r="AL667" s="24"/>
      <c r="AM667" s="24"/>
    </row>
    <row r="668"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  <c r="AH668" s="24"/>
      <c r="AI668" s="24"/>
      <c r="AJ668" s="24"/>
      <c r="AK668" s="24"/>
      <c r="AL668" s="24"/>
      <c r="AM668" s="24"/>
    </row>
    <row r="669"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  <c r="AH669" s="24"/>
      <c r="AI669" s="24"/>
      <c r="AJ669" s="24"/>
      <c r="AK669" s="24"/>
      <c r="AL669" s="24"/>
      <c r="AM669" s="24"/>
    </row>
    <row r="670"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  <c r="AH670" s="24"/>
      <c r="AI670" s="24"/>
      <c r="AJ670" s="24"/>
      <c r="AK670" s="24"/>
      <c r="AL670" s="24"/>
      <c r="AM670" s="24"/>
    </row>
    <row r="671"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24"/>
      <c r="AI671" s="24"/>
      <c r="AJ671" s="24"/>
      <c r="AK671" s="24"/>
      <c r="AL671" s="24"/>
      <c r="AM671" s="24"/>
    </row>
    <row r="672"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  <c r="AH672" s="24"/>
      <c r="AI672" s="24"/>
      <c r="AJ672" s="24"/>
      <c r="AK672" s="24"/>
      <c r="AL672" s="24"/>
      <c r="AM672" s="24"/>
    </row>
    <row r="673"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  <c r="AH673" s="24"/>
      <c r="AI673" s="24"/>
      <c r="AJ673" s="24"/>
      <c r="AK673" s="24"/>
      <c r="AL673" s="24"/>
      <c r="AM673" s="24"/>
    </row>
    <row r="674"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  <c r="AH674" s="24"/>
      <c r="AI674" s="24"/>
      <c r="AJ674" s="24"/>
      <c r="AK674" s="24"/>
      <c r="AL674" s="24"/>
      <c r="AM674" s="24"/>
    </row>
    <row r="675"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  <c r="AH675" s="24"/>
      <c r="AI675" s="24"/>
      <c r="AJ675" s="24"/>
      <c r="AK675" s="24"/>
      <c r="AL675" s="24"/>
      <c r="AM675" s="24"/>
    </row>
    <row r="676"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  <c r="AH676" s="24"/>
      <c r="AI676" s="24"/>
      <c r="AJ676" s="24"/>
      <c r="AK676" s="24"/>
      <c r="AL676" s="24"/>
      <c r="AM676" s="24"/>
    </row>
    <row r="677"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  <c r="AH677" s="24"/>
      <c r="AI677" s="24"/>
      <c r="AJ677" s="24"/>
      <c r="AK677" s="24"/>
      <c r="AL677" s="24"/>
      <c r="AM677" s="24"/>
    </row>
    <row r="678"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  <c r="AH678" s="24"/>
      <c r="AI678" s="24"/>
      <c r="AJ678" s="24"/>
      <c r="AK678" s="24"/>
      <c r="AL678" s="24"/>
      <c r="AM678" s="24"/>
    </row>
    <row r="679"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  <c r="AH679" s="24"/>
      <c r="AI679" s="24"/>
      <c r="AJ679" s="24"/>
      <c r="AK679" s="24"/>
      <c r="AL679" s="24"/>
      <c r="AM679" s="24"/>
    </row>
    <row r="680"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  <c r="AH680" s="24"/>
      <c r="AI680" s="24"/>
      <c r="AJ680" s="24"/>
      <c r="AK680" s="24"/>
      <c r="AL680" s="24"/>
      <c r="AM680" s="24"/>
    </row>
    <row r="681"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  <c r="AH681" s="24"/>
      <c r="AI681" s="24"/>
      <c r="AJ681" s="24"/>
      <c r="AK681" s="24"/>
      <c r="AL681" s="24"/>
      <c r="AM681" s="24"/>
    </row>
    <row r="682"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  <c r="AH682" s="24"/>
      <c r="AI682" s="24"/>
      <c r="AJ682" s="24"/>
      <c r="AK682" s="24"/>
      <c r="AL682" s="24"/>
      <c r="AM682" s="24"/>
    </row>
    <row r="683"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  <c r="AH683" s="24"/>
      <c r="AI683" s="24"/>
      <c r="AJ683" s="24"/>
      <c r="AK683" s="24"/>
      <c r="AL683" s="24"/>
      <c r="AM683" s="24"/>
    </row>
    <row r="684"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  <c r="AH684" s="24"/>
      <c r="AI684" s="24"/>
      <c r="AJ684" s="24"/>
      <c r="AK684" s="24"/>
      <c r="AL684" s="24"/>
      <c r="AM684" s="24"/>
    </row>
    <row r="685"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  <c r="AH685" s="24"/>
      <c r="AI685" s="24"/>
      <c r="AJ685" s="24"/>
      <c r="AK685" s="24"/>
      <c r="AL685" s="24"/>
      <c r="AM685" s="24"/>
    </row>
    <row r="686"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  <c r="AH686" s="24"/>
      <c r="AI686" s="24"/>
      <c r="AJ686" s="24"/>
      <c r="AK686" s="24"/>
      <c r="AL686" s="24"/>
      <c r="AM686" s="24"/>
    </row>
    <row r="687"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  <c r="AH687" s="24"/>
      <c r="AI687" s="24"/>
      <c r="AJ687" s="24"/>
      <c r="AK687" s="24"/>
      <c r="AL687" s="24"/>
      <c r="AM687" s="24"/>
    </row>
    <row r="688"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  <c r="AH688" s="24"/>
      <c r="AI688" s="24"/>
      <c r="AJ688" s="24"/>
      <c r="AK688" s="24"/>
      <c r="AL688" s="24"/>
      <c r="AM688" s="24"/>
    </row>
    <row r="689"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  <c r="AH689" s="24"/>
      <c r="AI689" s="24"/>
      <c r="AJ689" s="24"/>
      <c r="AK689" s="24"/>
      <c r="AL689" s="24"/>
      <c r="AM689" s="24"/>
    </row>
    <row r="690"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  <c r="AH690" s="24"/>
      <c r="AI690" s="24"/>
      <c r="AJ690" s="24"/>
      <c r="AK690" s="24"/>
      <c r="AL690" s="24"/>
      <c r="AM690" s="24"/>
    </row>
    <row r="691"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  <c r="AH691" s="24"/>
      <c r="AI691" s="24"/>
      <c r="AJ691" s="24"/>
      <c r="AK691" s="24"/>
      <c r="AL691" s="24"/>
      <c r="AM691" s="24"/>
    </row>
    <row r="692"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  <c r="AH692" s="24"/>
      <c r="AI692" s="24"/>
      <c r="AJ692" s="24"/>
      <c r="AK692" s="24"/>
      <c r="AL692" s="24"/>
      <c r="AM692" s="24"/>
    </row>
    <row r="693"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  <c r="AH693" s="24"/>
      <c r="AI693" s="24"/>
      <c r="AJ693" s="24"/>
      <c r="AK693" s="24"/>
      <c r="AL693" s="24"/>
      <c r="AM693" s="24"/>
    </row>
    <row r="694"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  <c r="AH694" s="24"/>
      <c r="AI694" s="24"/>
      <c r="AJ694" s="24"/>
      <c r="AK694" s="24"/>
      <c r="AL694" s="24"/>
      <c r="AM694" s="24"/>
    </row>
    <row r="695"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  <c r="AH695" s="24"/>
      <c r="AI695" s="24"/>
      <c r="AJ695" s="24"/>
      <c r="AK695" s="24"/>
      <c r="AL695" s="24"/>
      <c r="AM695" s="24"/>
    </row>
    <row r="696"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  <c r="AH696" s="24"/>
      <c r="AI696" s="24"/>
      <c r="AJ696" s="24"/>
      <c r="AK696" s="24"/>
      <c r="AL696" s="24"/>
      <c r="AM696" s="24"/>
    </row>
    <row r="697"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  <c r="AH697" s="24"/>
      <c r="AI697" s="24"/>
      <c r="AJ697" s="24"/>
      <c r="AK697" s="24"/>
      <c r="AL697" s="24"/>
      <c r="AM697" s="24"/>
    </row>
    <row r="698"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  <c r="AH698" s="24"/>
      <c r="AI698" s="24"/>
      <c r="AJ698" s="24"/>
      <c r="AK698" s="24"/>
      <c r="AL698" s="24"/>
      <c r="AM698" s="24"/>
    </row>
    <row r="699"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  <c r="AH699" s="24"/>
      <c r="AI699" s="24"/>
      <c r="AJ699" s="24"/>
      <c r="AK699" s="24"/>
      <c r="AL699" s="24"/>
      <c r="AM699" s="24"/>
    </row>
    <row r="700"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  <c r="AH700" s="24"/>
      <c r="AI700" s="24"/>
      <c r="AJ700" s="24"/>
      <c r="AK700" s="24"/>
      <c r="AL700" s="24"/>
      <c r="AM700" s="24"/>
    </row>
    <row r="701"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  <c r="AH701" s="24"/>
      <c r="AI701" s="24"/>
      <c r="AJ701" s="24"/>
      <c r="AK701" s="24"/>
      <c r="AL701" s="24"/>
      <c r="AM701" s="24"/>
    </row>
    <row r="702"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  <c r="AH702" s="24"/>
      <c r="AI702" s="24"/>
      <c r="AJ702" s="24"/>
      <c r="AK702" s="24"/>
      <c r="AL702" s="24"/>
      <c r="AM702" s="24"/>
    </row>
    <row r="703"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  <c r="AH703" s="24"/>
      <c r="AI703" s="24"/>
      <c r="AJ703" s="24"/>
      <c r="AK703" s="24"/>
      <c r="AL703" s="24"/>
      <c r="AM703" s="24"/>
    </row>
    <row r="704"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  <c r="AH704" s="24"/>
      <c r="AI704" s="24"/>
      <c r="AJ704" s="24"/>
      <c r="AK704" s="24"/>
      <c r="AL704" s="24"/>
      <c r="AM704" s="24"/>
    </row>
    <row r="705"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  <c r="AH705" s="24"/>
      <c r="AI705" s="24"/>
      <c r="AJ705" s="24"/>
      <c r="AK705" s="24"/>
      <c r="AL705" s="24"/>
      <c r="AM705" s="24"/>
    </row>
    <row r="706"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  <c r="AH706" s="24"/>
      <c r="AI706" s="24"/>
      <c r="AJ706" s="24"/>
      <c r="AK706" s="24"/>
      <c r="AL706" s="24"/>
      <c r="AM706" s="24"/>
    </row>
    <row r="707"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  <c r="AH707" s="24"/>
      <c r="AI707" s="24"/>
      <c r="AJ707" s="24"/>
      <c r="AK707" s="24"/>
      <c r="AL707" s="24"/>
      <c r="AM707" s="24"/>
    </row>
    <row r="708"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  <c r="AH708" s="24"/>
      <c r="AI708" s="24"/>
      <c r="AJ708" s="24"/>
      <c r="AK708" s="24"/>
      <c r="AL708" s="24"/>
      <c r="AM708" s="24"/>
    </row>
    <row r="709"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  <c r="AH709" s="24"/>
      <c r="AI709" s="24"/>
      <c r="AJ709" s="24"/>
      <c r="AK709" s="24"/>
      <c r="AL709" s="24"/>
      <c r="AM709" s="24"/>
    </row>
    <row r="710"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  <c r="AH710" s="24"/>
      <c r="AI710" s="24"/>
      <c r="AJ710" s="24"/>
      <c r="AK710" s="24"/>
      <c r="AL710" s="24"/>
      <c r="AM710" s="24"/>
    </row>
    <row r="711"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  <c r="AH711" s="24"/>
      <c r="AI711" s="24"/>
      <c r="AJ711" s="24"/>
      <c r="AK711" s="24"/>
      <c r="AL711" s="24"/>
      <c r="AM711" s="24"/>
    </row>
    <row r="712"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  <c r="AH712" s="24"/>
      <c r="AI712" s="24"/>
      <c r="AJ712" s="24"/>
      <c r="AK712" s="24"/>
      <c r="AL712" s="24"/>
      <c r="AM712" s="24"/>
    </row>
    <row r="713"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  <c r="AH713" s="24"/>
      <c r="AI713" s="24"/>
      <c r="AJ713" s="24"/>
      <c r="AK713" s="24"/>
      <c r="AL713" s="24"/>
      <c r="AM713" s="24"/>
    </row>
    <row r="714"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  <c r="AH714" s="24"/>
      <c r="AI714" s="24"/>
      <c r="AJ714" s="24"/>
      <c r="AK714" s="24"/>
      <c r="AL714" s="24"/>
      <c r="AM714" s="24"/>
    </row>
    <row r="715"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  <c r="AH715" s="24"/>
      <c r="AI715" s="24"/>
      <c r="AJ715" s="24"/>
      <c r="AK715" s="24"/>
      <c r="AL715" s="24"/>
      <c r="AM715" s="24"/>
    </row>
    <row r="716"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  <c r="AH716" s="24"/>
      <c r="AI716" s="24"/>
      <c r="AJ716" s="24"/>
      <c r="AK716" s="24"/>
      <c r="AL716" s="24"/>
      <c r="AM716" s="24"/>
    </row>
    <row r="717"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  <c r="AH717" s="24"/>
      <c r="AI717" s="24"/>
      <c r="AJ717" s="24"/>
      <c r="AK717" s="24"/>
      <c r="AL717" s="24"/>
      <c r="AM717" s="24"/>
    </row>
    <row r="718"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  <c r="AH718" s="24"/>
      <c r="AI718" s="24"/>
      <c r="AJ718" s="24"/>
      <c r="AK718" s="24"/>
      <c r="AL718" s="24"/>
      <c r="AM718" s="24"/>
    </row>
    <row r="719"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  <c r="AH719" s="24"/>
      <c r="AI719" s="24"/>
      <c r="AJ719" s="24"/>
      <c r="AK719" s="24"/>
      <c r="AL719" s="24"/>
      <c r="AM719" s="24"/>
    </row>
    <row r="720"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  <c r="AH720" s="24"/>
      <c r="AI720" s="24"/>
      <c r="AJ720" s="24"/>
      <c r="AK720" s="24"/>
      <c r="AL720" s="24"/>
      <c r="AM720" s="24"/>
    </row>
    <row r="721"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  <c r="AH721" s="24"/>
      <c r="AI721" s="24"/>
      <c r="AJ721" s="24"/>
      <c r="AK721" s="24"/>
      <c r="AL721" s="24"/>
      <c r="AM721" s="24"/>
    </row>
    <row r="722"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  <c r="AH722" s="24"/>
      <c r="AI722" s="24"/>
      <c r="AJ722" s="24"/>
      <c r="AK722" s="24"/>
      <c r="AL722" s="24"/>
      <c r="AM722" s="24"/>
    </row>
    <row r="723"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  <c r="AH723" s="24"/>
      <c r="AI723" s="24"/>
      <c r="AJ723" s="24"/>
      <c r="AK723" s="24"/>
      <c r="AL723" s="24"/>
      <c r="AM723" s="24"/>
    </row>
    <row r="724"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  <c r="AH724" s="24"/>
      <c r="AI724" s="24"/>
      <c r="AJ724" s="24"/>
      <c r="AK724" s="24"/>
      <c r="AL724" s="24"/>
      <c r="AM724" s="24"/>
    </row>
    <row r="725"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  <c r="AH725" s="24"/>
      <c r="AI725" s="24"/>
      <c r="AJ725" s="24"/>
      <c r="AK725" s="24"/>
      <c r="AL725" s="24"/>
      <c r="AM725" s="24"/>
    </row>
    <row r="726"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  <c r="AH726" s="24"/>
      <c r="AI726" s="24"/>
      <c r="AJ726" s="24"/>
      <c r="AK726" s="24"/>
      <c r="AL726" s="24"/>
      <c r="AM726" s="24"/>
    </row>
    <row r="727"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  <c r="AH727" s="24"/>
      <c r="AI727" s="24"/>
      <c r="AJ727" s="24"/>
      <c r="AK727" s="24"/>
      <c r="AL727" s="24"/>
      <c r="AM727" s="24"/>
    </row>
    <row r="728"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  <c r="AH728" s="24"/>
      <c r="AI728" s="24"/>
      <c r="AJ728" s="24"/>
      <c r="AK728" s="24"/>
      <c r="AL728" s="24"/>
      <c r="AM728" s="24"/>
    </row>
    <row r="729"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  <c r="AH729" s="24"/>
      <c r="AI729" s="24"/>
      <c r="AJ729" s="24"/>
      <c r="AK729" s="24"/>
      <c r="AL729" s="24"/>
      <c r="AM729" s="24"/>
    </row>
    <row r="730"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  <c r="AH730" s="24"/>
      <c r="AI730" s="24"/>
      <c r="AJ730" s="24"/>
      <c r="AK730" s="24"/>
      <c r="AL730" s="24"/>
      <c r="AM730" s="24"/>
    </row>
    <row r="731"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  <c r="AH731" s="24"/>
      <c r="AI731" s="24"/>
      <c r="AJ731" s="24"/>
      <c r="AK731" s="24"/>
      <c r="AL731" s="24"/>
      <c r="AM731" s="24"/>
    </row>
    <row r="732"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  <c r="AH732" s="24"/>
      <c r="AI732" s="24"/>
      <c r="AJ732" s="24"/>
      <c r="AK732" s="24"/>
      <c r="AL732" s="24"/>
      <c r="AM732" s="24"/>
    </row>
    <row r="733"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  <c r="AH733" s="24"/>
      <c r="AI733" s="24"/>
      <c r="AJ733" s="24"/>
      <c r="AK733" s="24"/>
      <c r="AL733" s="24"/>
      <c r="AM733" s="24"/>
    </row>
    <row r="734"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  <c r="AH734" s="24"/>
      <c r="AI734" s="24"/>
      <c r="AJ734" s="24"/>
      <c r="AK734" s="24"/>
      <c r="AL734" s="24"/>
      <c r="AM734" s="24"/>
    </row>
    <row r="735"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  <c r="AH735" s="24"/>
      <c r="AI735" s="24"/>
      <c r="AJ735" s="24"/>
      <c r="AK735" s="24"/>
      <c r="AL735" s="24"/>
      <c r="AM735" s="24"/>
    </row>
    <row r="736"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  <c r="AH736" s="24"/>
      <c r="AI736" s="24"/>
      <c r="AJ736" s="24"/>
      <c r="AK736" s="24"/>
      <c r="AL736" s="24"/>
      <c r="AM736" s="24"/>
    </row>
    <row r="737"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  <c r="AH737" s="24"/>
      <c r="AI737" s="24"/>
      <c r="AJ737" s="24"/>
      <c r="AK737" s="24"/>
      <c r="AL737" s="24"/>
      <c r="AM737" s="24"/>
    </row>
    <row r="738"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  <c r="AH738" s="24"/>
      <c r="AI738" s="24"/>
      <c r="AJ738" s="24"/>
      <c r="AK738" s="24"/>
      <c r="AL738" s="24"/>
      <c r="AM738" s="24"/>
    </row>
    <row r="739"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  <c r="AH739" s="24"/>
      <c r="AI739" s="24"/>
      <c r="AJ739" s="24"/>
      <c r="AK739" s="24"/>
      <c r="AL739" s="24"/>
      <c r="AM739" s="24"/>
    </row>
    <row r="740"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  <c r="AH740" s="24"/>
      <c r="AI740" s="24"/>
      <c r="AJ740" s="24"/>
      <c r="AK740" s="24"/>
      <c r="AL740" s="24"/>
      <c r="AM740" s="24"/>
    </row>
    <row r="741"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  <c r="AH741" s="24"/>
      <c r="AI741" s="24"/>
      <c r="AJ741" s="24"/>
      <c r="AK741" s="24"/>
      <c r="AL741" s="24"/>
      <c r="AM741" s="24"/>
    </row>
    <row r="742"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  <c r="AH742" s="24"/>
      <c r="AI742" s="24"/>
      <c r="AJ742" s="24"/>
      <c r="AK742" s="24"/>
      <c r="AL742" s="24"/>
      <c r="AM742" s="24"/>
    </row>
    <row r="743"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  <c r="AH743" s="24"/>
      <c r="AI743" s="24"/>
      <c r="AJ743" s="24"/>
      <c r="AK743" s="24"/>
      <c r="AL743" s="24"/>
      <c r="AM743" s="24"/>
    </row>
    <row r="744"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  <c r="AH744" s="24"/>
      <c r="AI744" s="24"/>
      <c r="AJ744" s="24"/>
      <c r="AK744" s="24"/>
      <c r="AL744" s="24"/>
      <c r="AM744" s="24"/>
    </row>
    <row r="745"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  <c r="AH745" s="24"/>
      <c r="AI745" s="24"/>
      <c r="AJ745" s="24"/>
      <c r="AK745" s="24"/>
      <c r="AL745" s="24"/>
      <c r="AM745" s="24"/>
    </row>
    <row r="746"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  <c r="AH746" s="24"/>
      <c r="AI746" s="24"/>
      <c r="AJ746" s="24"/>
      <c r="AK746" s="24"/>
      <c r="AL746" s="24"/>
      <c r="AM746" s="24"/>
    </row>
    <row r="747"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  <c r="AH747" s="24"/>
      <c r="AI747" s="24"/>
      <c r="AJ747" s="24"/>
      <c r="AK747" s="24"/>
      <c r="AL747" s="24"/>
      <c r="AM747" s="24"/>
    </row>
    <row r="748"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  <c r="AH748" s="24"/>
      <c r="AI748" s="24"/>
      <c r="AJ748" s="24"/>
      <c r="AK748" s="24"/>
      <c r="AL748" s="24"/>
      <c r="AM748" s="24"/>
    </row>
    <row r="749"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  <c r="AH749" s="24"/>
      <c r="AI749" s="24"/>
      <c r="AJ749" s="24"/>
      <c r="AK749" s="24"/>
      <c r="AL749" s="24"/>
      <c r="AM749" s="24"/>
    </row>
    <row r="750"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  <c r="AH750" s="24"/>
      <c r="AI750" s="24"/>
      <c r="AJ750" s="24"/>
      <c r="AK750" s="24"/>
      <c r="AL750" s="24"/>
      <c r="AM750" s="24"/>
    </row>
    <row r="751"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  <c r="AH751" s="24"/>
      <c r="AI751" s="24"/>
      <c r="AJ751" s="24"/>
      <c r="AK751" s="24"/>
      <c r="AL751" s="24"/>
      <c r="AM751" s="24"/>
    </row>
    <row r="752"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  <c r="AH752" s="24"/>
      <c r="AI752" s="24"/>
      <c r="AJ752" s="24"/>
      <c r="AK752" s="24"/>
      <c r="AL752" s="24"/>
      <c r="AM752" s="24"/>
    </row>
    <row r="753"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  <c r="AH753" s="24"/>
      <c r="AI753" s="24"/>
      <c r="AJ753" s="24"/>
      <c r="AK753" s="24"/>
      <c r="AL753" s="24"/>
      <c r="AM753" s="24"/>
    </row>
    <row r="754"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  <c r="AH754" s="24"/>
      <c r="AI754" s="24"/>
      <c r="AJ754" s="24"/>
      <c r="AK754" s="24"/>
      <c r="AL754" s="24"/>
      <c r="AM754" s="24"/>
    </row>
    <row r="755"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  <c r="AH755" s="24"/>
      <c r="AI755" s="24"/>
      <c r="AJ755" s="24"/>
      <c r="AK755" s="24"/>
      <c r="AL755" s="24"/>
      <c r="AM755" s="24"/>
    </row>
    <row r="756"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  <c r="AH756" s="24"/>
      <c r="AI756" s="24"/>
      <c r="AJ756" s="24"/>
      <c r="AK756" s="24"/>
      <c r="AL756" s="24"/>
      <c r="AM756" s="24"/>
    </row>
    <row r="757"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  <c r="AH757" s="24"/>
      <c r="AI757" s="24"/>
      <c r="AJ757" s="24"/>
      <c r="AK757" s="24"/>
      <c r="AL757" s="24"/>
      <c r="AM757" s="24"/>
    </row>
    <row r="758"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  <c r="AH758" s="24"/>
      <c r="AI758" s="24"/>
      <c r="AJ758" s="24"/>
      <c r="AK758" s="24"/>
      <c r="AL758" s="24"/>
      <c r="AM758" s="24"/>
    </row>
    <row r="759"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  <c r="AH759" s="24"/>
      <c r="AI759" s="24"/>
      <c r="AJ759" s="24"/>
      <c r="AK759" s="24"/>
      <c r="AL759" s="24"/>
      <c r="AM759" s="24"/>
    </row>
    <row r="760"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  <c r="AH760" s="24"/>
      <c r="AI760" s="24"/>
      <c r="AJ760" s="24"/>
      <c r="AK760" s="24"/>
      <c r="AL760" s="24"/>
      <c r="AM760" s="24"/>
    </row>
    <row r="761"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  <c r="AH761" s="24"/>
      <c r="AI761" s="24"/>
      <c r="AJ761" s="24"/>
      <c r="AK761" s="24"/>
      <c r="AL761" s="24"/>
      <c r="AM761" s="24"/>
    </row>
    <row r="762"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  <c r="AH762" s="24"/>
      <c r="AI762" s="24"/>
      <c r="AJ762" s="24"/>
      <c r="AK762" s="24"/>
      <c r="AL762" s="24"/>
      <c r="AM762" s="24"/>
    </row>
    <row r="763"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  <c r="AH763" s="24"/>
      <c r="AI763" s="24"/>
      <c r="AJ763" s="24"/>
      <c r="AK763" s="24"/>
      <c r="AL763" s="24"/>
      <c r="AM763" s="24"/>
    </row>
    <row r="764"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  <c r="AH764" s="24"/>
      <c r="AI764" s="24"/>
      <c r="AJ764" s="24"/>
      <c r="AK764" s="24"/>
      <c r="AL764" s="24"/>
      <c r="AM764" s="24"/>
    </row>
    <row r="765"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  <c r="AH765" s="24"/>
      <c r="AI765" s="24"/>
      <c r="AJ765" s="24"/>
      <c r="AK765" s="24"/>
      <c r="AL765" s="24"/>
      <c r="AM765" s="24"/>
    </row>
    <row r="766"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  <c r="AH766" s="24"/>
      <c r="AI766" s="24"/>
      <c r="AJ766" s="24"/>
      <c r="AK766" s="24"/>
      <c r="AL766" s="24"/>
      <c r="AM766" s="24"/>
    </row>
    <row r="767"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  <c r="AH767" s="24"/>
      <c r="AI767" s="24"/>
      <c r="AJ767" s="24"/>
      <c r="AK767" s="24"/>
      <c r="AL767" s="24"/>
      <c r="AM767" s="24"/>
    </row>
    <row r="768"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  <c r="AH768" s="24"/>
      <c r="AI768" s="24"/>
      <c r="AJ768" s="24"/>
      <c r="AK768" s="24"/>
      <c r="AL768" s="24"/>
      <c r="AM768" s="24"/>
    </row>
    <row r="769"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  <c r="AH769" s="24"/>
      <c r="AI769" s="24"/>
      <c r="AJ769" s="24"/>
      <c r="AK769" s="24"/>
      <c r="AL769" s="24"/>
      <c r="AM769" s="24"/>
    </row>
    <row r="770"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  <c r="AH770" s="24"/>
      <c r="AI770" s="24"/>
      <c r="AJ770" s="24"/>
      <c r="AK770" s="24"/>
      <c r="AL770" s="24"/>
      <c r="AM770" s="24"/>
    </row>
    <row r="771"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  <c r="AH771" s="24"/>
      <c r="AI771" s="24"/>
      <c r="AJ771" s="24"/>
      <c r="AK771" s="24"/>
      <c r="AL771" s="24"/>
      <c r="AM771" s="24"/>
    </row>
    <row r="772"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  <c r="AH772" s="24"/>
      <c r="AI772" s="24"/>
      <c r="AJ772" s="24"/>
      <c r="AK772" s="24"/>
      <c r="AL772" s="24"/>
      <c r="AM772" s="24"/>
    </row>
    <row r="773"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  <c r="AH773" s="24"/>
      <c r="AI773" s="24"/>
      <c r="AJ773" s="24"/>
      <c r="AK773" s="24"/>
      <c r="AL773" s="24"/>
      <c r="AM773" s="24"/>
    </row>
    <row r="774"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  <c r="AH774" s="24"/>
      <c r="AI774" s="24"/>
      <c r="AJ774" s="24"/>
      <c r="AK774" s="24"/>
      <c r="AL774" s="24"/>
      <c r="AM774" s="24"/>
    </row>
    <row r="775"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  <c r="AH775" s="24"/>
      <c r="AI775" s="24"/>
      <c r="AJ775" s="24"/>
      <c r="AK775" s="24"/>
      <c r="AL775" s="24"/>
      <c r="AM775" s="24"/>
    </row>
    <row r="776"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  <c r="AH776" s="24"/>
      <c r="AI776" s="24"/>
      <c r="AJ776" s="24"/>
      <c r="AK776" s="24"/>
      <c r="AL776" s="24"/>
      <c r="AM776" s="24"/>
    </row>
    <row r="777"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  <c r="AH777" s="24"/>
      <c r="AI777" s="24"/>
      <c r="AJ777" s="24"/>
      <c r="AK777" s="24"/>
      <c r="AL777" s="24"/>
      <c r="AM777" s="24"/>
    </row>
    <row r="778"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  <c r="AH778" s="24"/>
      <c r="AI778" s="24"/>
      <c r="AJ778" s="24"/>
      <c r="AK778" s="24"/>
      <c r="AL778" s="24"/>
      <c r="AM778" s="24"/>
    </row>
    <row r="779"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  <c r="AH779" s="24"/>
      <c r="AI779" s="24"/>
      <c r="AJ779" s="24"/>
      <c r="AK779" s="24"/>
      <c r="AL779" s="24"/>
      <c r="AM779" s="24"/>
    </row>
    <row r="780"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  <c r="AH780" s="24"/>
      <c r="AI780" s="24"/>
      <c r="AJ780" s="24"/>
      <c r="AK780" s="24"/>
      <c r="AL780" s="24"/>
      <c r="AM780" s="24"/>
    </row>
    <row r="781"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  <c r="AH781" s="24"/>
      <c r="AI781" s="24"/>
      <c r="AJ781" s="24"/>
      <c r="AK781" s="24"/>
      <c r="AL781" s="24"/>
      <c r="AM781" s="24"/>
    </row>
    <row r="782"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  <c r="AH782" s="24"/>
      <c r="AI782" s="24"/>
      <c r="AJ782" s="24"/>
      <c r="AK782" s="24"/>
      <c r="AL782" s="24"/>
      <c r="AM782" s="24"/>
    </row>
    <row r="783"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  <c r="AH783" s="24"/>
      <c r="AI783" s="24"/>
      <c r="AJ783" s="24"/>
      <c r="AK783" s="24"/>
      <c r="AL783" s="24"/>
      <c r="AM783" s="24"/>
    </row>
    <row r="784"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  <c r="AH784" s="24"/>
      <c r="AI784" s="24"/>
      <c r="AJ784" s="24"/>
      <c r="AK784" s="24"/>
      <c r="AL784" s="24"/>
      <c r="AM784" s="24"/>
    </row>
    <row r="785"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  <c r="AH785" s="24"/>
      <c r="AI785" s="24"/>
      <c r="AJ785" s="24"/>
      <c r="AK785" s="24"/>
      <c r="AL785" s="24"/>
      <c r="AM785" s="24"/>
    </row>
    <row r="786"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  <c r="AH786" s="24"/>
      <c r="AI786" s="24"/>
      <c r="AJ786" s="24"/>
      <c r="AK786" s="24"/>
      <c r="AL786" s="24"/>
      <c r="AM786" s="24"/>
    </row>
    <row r="787"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  <c r="AH787" s="24"/>
      <c r="AI787" s="24"/>
      <c r="AJ787" s="24"/>
      <c r="AK787" s="24"/>
      <c r="AL787" s="24"/>
      <c r="AM787" s="24"/>
    </row>
    <row r="788"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  <c r="AH788" s="24"/>
      <c r="AI788" s="24"/>
      <c r="AJ788" s="24"/>
      <c r="AK788" s="24"/>
      <c r="AL788" s="24"/>
      <c r="AM788" s="24"/>
    </row>
    <row r="789"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  <c r="AH789" s="24"/>
      <c r="AI789" s="24"/>
      <c r="AJ789" s="24"/>
      <c r="AK789" s="24"/>
      <c r="AL789" s="24"/>
      <c r="AM789" s="24"/>
    </row>
    <row r="790"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  <c r="AH790" s="24"/>
      <c r="AI790" s="24"/>
      <c r="AJ790" s="24"/>
      <c r="AK790" s="24"/>
      <c r="AL790" s="24"/>
      <c r="AM790" s="24"/>
    </row>
    <row r="791"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  <c r="AH791" s="24"/>
      <c r="AI791" s="24"/>
      <c r="AJ791" s="24"/>
      <c r="AK791" s="24"/>
      <c r="AL791" s="24"/>
      <c r="AM791" s="24"/>
    </row>
    <row r="792"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  <c r="AH792" s="24"/>
      <c r="AI792" s="24"/>
      <c r="AJ792" s="24"/>
      <c r="AK792" s="24"/>
      <c r="AL792" s="24"/>
      <c r="AM792" s="24"/>
    </row>
    <row r="793"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  <c r="AH793" s="24"/>
      <c r="AI793" s="24"/>
      <c r="AJ793" s="24"/>
      <c r="AK793" s="24"/>
      <c r="AL793" s="24"/>
      <c r="AM793" s="24"/>
    </row>
    <row r="794"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  <c r="AH794" s="24"/>
      <c r="AI794" s="24"/>
      <c r="AJ794" s="24"/>
      <c r="AK794" s="24"/>
      <c r="AL794" s="24"/>
      <c r="AM794" s="24"/>
    </row>
    <row r="795"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  <c r="AH795" s="24"/>
      <c r="AI795" s="24"/>
      <c r="AJ795" s="24"/>
      <c r="AK795" s="24"/>
      <c r="AL795" s="24"/>
      <c r="AM795" s="24"/>
    </row>
    <row r="796"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  <c r="AH796" s="24"/>
      <c r="AI796" s="24"/>
      <c r="AJ796" s="24"/>
      <c r="AK796" s="24"/>
      <c r="AL796" s="24"/>
      <c r="AM796" s="24"/>
    </row>
    <row r="797"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  <c r="AH797" s="24"/>
      <c r="AI797" s="24"/>
      <c r="AJ797" s="24"/>
      <c r="AK797" s="24"/>
      <c r="AL797" s="24"/>
      <c r="AM797" s="24"/>
    </row>
    <row r="798"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  <c r="AH798" s="24"/>
      <c r="AI798" s="24"/>
      <c r="AJ798" s="24"/>
      <c r="AK798" s="24"/>
      <c r="AL798" s="24"/>
      <c r="AM798" s="24"/>
    </row>
    <row r="799"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  <c r="AH799" s="24"/>
      <c r="AI799" s="24"/>
      <c r="AJ799" s="24"/>
      <c r="AK799" s="24"/>
      <c r="AL799" s="24"/>
      <c r="AM799" s="24"/>
    </row>
    <row r="800"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  <c r="AH800" s="24"/>
      <c r="AI800" s="24"/>
      <c r="AJ800" s="24"/>
      <c r="AK800" s="24"/>
      <c r="AL800" s="24"/>
      <c r="AM800" s="24"/>
    </row>
    <row r="801"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  <c r="AH801" s="24"/>
      <c r="AI801" s="24"/>
      <c r="AJ801" s="24"/>
      <c r="AK801" s="24"/>
      <c r="AL801" s="24"/>
      <c r="AM801" s="24"/>
    </row>
    <row r="802"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  <c r="AH802" s="24"/>
      <c r="AI802" s="24"/>
      <c r="AJ802" s="24"/>
      <c r="AK802" s="24"/>
      <c r="AL802" s="24"/>
      <c r="AM802" s="24"/>
    </row>
    <row r="803"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  <c r="AH803" s="24"/>
      <c r="AI803" s="24"/>
      <c r="AJ803" s="24"/>
      <c r="AK803" s="24"/>
      <c r="AL803" s="24"/>
      <c r="AM803" s="24"/>
    </row>
    <row r="804"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  <c r="AH804" s="24"/>
      <c r="AI804" s="24"/>
      <c r="AJ804" s="24"/>
      <c r="AK804" s="24"/>
      <c r="AL804" s="24"/>
      <c r="AM804" s="24"/>
    </row>
    <row r="805"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  <c r="AH805" s="24"/>
      <c r="AI805" s="24"/>
      <c r="AJ805" s="24"/>
      <c r="AK805" s="24"/>
      <c r="AL805" s="24"/>
      <c r="AM805" s="24"/>
    </row>
    <row r="806"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  <c r="AH806" s="24"/>
      <c r="AI806" s="24"/>
      <c r="AJ806" s="24"/>
      <c r="AK806" s="24"/>
      <c r="AL806" s="24"/>
      <c r="AM806" s="24"/>
    </row>
    <row r="807"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  <c r="AH807" s="24"/>
      <c r="AI807" s="24"/>
      <c r="AJ807" s="24"/>
      <c r="AK807" s="24"/>
      <c r="AL807" s="24"/>
      <c r="AM807" s="24"/>
    </row>
    <row r="808"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  <c r="AH808" s="24"/>
      <c r="AI808" s="24"/>
      <c r="AJ808" s="24"/>
      <c r="AK808" s="24"/>
      <c r="AL808" s="24"/>
      <c r="AM808" s="24"/>
    </row>
    <row r="809"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  <c r="AH809" s="24"/>
      <c r="AI809" s="24"/>
      <c r="AJ809" s="24"/>
      <c r="AK809" s="24"/>
      <c r="AL809" s="24"/>
      <c r="AM809" s="24"/>
    </row>
    <row r="810"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  <c r="AH810" s="24"/>
      <c r="AI810" s="24"/>
      <c r="AJ810" s="24"/>
      <c r="AK810" s="24"/>
      <c r="AL810" s="24"/>
      <c r="AM810" s="24"/>
    </row>
    <row r="811"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  <c r="AH811" s="24"/>
      <c r="AI811" s="24"/>
      <c r="AJ811" s="24"/>
      <c r="AK811" s="24"/>
      <c r="AL811" s="24"/>
      <c r="AM811" s="24"/>
    </row>
    <row r="812"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  <c r="AH812" s="24"/>
      <c r="AI812" s="24"/>
      <c r="AJ812" s="24"/>
      <c r="AK812" s="24"/>
      <c r="AL812" s="24"/>
      <c r="AM812" s="24"/>
    </row>
    <row r="813"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  <c r="AH813" s="24"/>
      <c r="AI813" s="24"/>
      <c r="AJ813" s="24"/>
      <c r="AK813" s="24"/>
      <c r="AL813" s="24"/>
      <c r="AM813" s="24"/>
    </row>
    <row r="814"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  <c r="AH814" s="24"/>
      <c r="AI814" s="24"/>
      <c r="AJ814" s="24"/>
      <c r="AK814" s="24"/>
      <c r="AL814" s="24"/>
      <c r="AM814" s="24"/>
    </row>
    <row r="815"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  <c r="AH815" s="24"/>
      <c r="AI815" s="24"/>
      <c r="AJ815" s="24"/>
      <c r="AK815" s="24"/>
      <c r="AL815" s="24"/>
      <c r="AM815" s="24"/>
    </row>
    <row r="816"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  <c r="AH816" s="24"/>
      <c r="AI816" s="24"/>
      <c r="AJ816" s="24"/>
      <c r="AK816" s="24"/>
      <c r="AL816" s="24"/>
      <c r="AM816" s="24"/>
    </row>
    <row r="817"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  <c r="AH817" s="24"/>
      <c r="AI817" s="24"/>
      <c r="AJ817" s="24"/>
      <c r="AK817" s="24"/>
      <c r="AL817" s="24"/>
      <c r="AM817" s="24"/>
    </row>
    <row r="818"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  <c r="AH818" s="24"/>
      <c r="AI818" s="24"/>
      <c r="AJ818" s="24"/>
      <c r="AK818" s="24"/>
      <c r="AL818" s="24"/>
      <c r="AM818" s="24"/>
    </row>
    <row r="819"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  <c r="AH819" s="24"/>
      <c r="AI819" s="24"/>
      <c r="AJ819" s="24"/>
      <c r="AK819" s="24"/>
      <c r="AL819" s="24"/>
      <c r="AM819" s="24"/>
    </row>
    <row r="820"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  <c r="AH820" s="24"/>
      <c r="AI820" s="24"/>
      <c r="AJ820" s="24"/>
      <c r="AK820" s="24"/>
      <c r="AL820" s="24"/>
      <c r="AM820" s="24"/>
    </row>
    <row r="821"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  <c r="AH821" s="24"/>
      <c r="AI821" s="24"/>
      <c r="AJ821" s="24"/>
      <c r="AK821" s="24"/>
      <c r="AL821" s="24"/>
      <c r="AM821" s="24"/>
    </row>
    <row r="822"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  <c r="AH822" s="24"/>
      <c r="AI822" s="24"/>
      <c r="AJ822" s="24"/>
      <c r="AK822" s="24"/>
      <c r="AL822" s="24"/>
      <c r="AM822" s="24"/>
    </row>
    <row r="823"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  <c r="AH823" s="24"/>
      <c r="AI823" s="24"/>
      <c r="AJ823" s="24"/>
      <c r="AK823" s="24"/>
      <c r="AL823" s="24"/>
      <c r="AM823" s="24"/>
    </row>
    <row r="824"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  <c r="AH824" s="24"/>
      <c r="AI824" s="24"/>
      <c r="AJ824" s="24"/>
      <c r="AK824" s="24"/>
      <c r="AL824" s="24"/>
      <c r="AM824" s="24"/>
    </row>
    <row r="825"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  <c r="AH825" s="24"/>
      <c r="AI825" s="24"/>
      <c r="AJ825" s="24"/>
      <c r="AK825" s="24"/>
      <c r="AL825" s="24"/>
      <c r="AM825" s="24"/>
    </row>
    <row r="826"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  <c r="AH826" s="24"/>
      <c r="AI826" s="24"/>
      <c r="AJ826" s="24"/>
      <c r="AK826" s="24"/>
      <c r="AL826" s="24"/>
      <c r="AM826" s="24"/>
    </row>
    <row r="827"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  <c r="AH827" s="24"/>
      <c r="AI827" s="24"/>
      <c r="AJ827" s="24"/>
      <c r="AK827" s="24"/>
      <c r="AL827" s="24"/>
      <c r="AM827" s="24"/>
    </row>
    <row r="828"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  <c r="AH828" s="24"/>
      <c r="AI828" s="24"/>
      <c r="AJ828" s="24"/>
      <c r="AK828" s="24"/>
      <c r="AL828" s="24"/>
      <c r="AM828" s="24"/>
    </row>
    <row r="829"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  <c r="AH829" s="24"/>
      <c r="AI829" s="24"/>
      <c r="AJ829" s="24"/>
      <c r="AK829" s="24"/>
      <c r="AL829" s="24"/>
      <c r="AM829" s="24"/>
    </row>
    <row r="830"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  <c r="AH830" s="24"/>
      <c r="AI830" s="24"/>
      <c r="AJ830" s="24"/>
      <c r="AK830" s="24"/>
      <c r="AL830" s="24"/>
      <c r="AM830" s="24"/>
    </row>
    <row r="831"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  <c r="AH831" s="24"/>
      <c r="AI831" s="24"/>
      <c r="AJ831" s="24"/>
      <c r="AK831" s="24"/>
      <c r="AL831" s="24"/>
      <c r="AM831" s="24"/>
    </row>
    <row r="832"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  <c r="AH832" s="24"/>
      <c r="AI832" s="24"/>
      <c r="AJ832" s="24"/>
      <c r="AK832" s="24"/>
      <c r="AL832" s="24"/>
      <c r="AM832" s="24"/>
    </row>
    <row r="833"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  <c r="AH833" s="24"/>
      <c r="AI833" s="24"/>
      <c r="AJ833" s="24"/>
      <c r="AK833" s="24"/>
      <c r="AL833" s="24"/>
      <c r="AM833" s="24"/>
    </row>
    <row r="834"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  <c r="AH834" s="24"/>
      <c r="AI834" s="24"/>
      <c r="AJ834" s="24"/>
      <c r="AK834" s="24"/>
      <c r="AL834" s="24"/>
      <c r="AM834" s="24"/>
    </row>
    <row r="835"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  <c r="AH835" s="24"/>
      <c r="AI835" s="24"/>
      <c r="AJ835" s="24"/>
      <c r="AK835" s="24"/>
      <c r="AL835" s="24"/>
      <c r="AM835" s="24"/>
    </row>
    <row r="836"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  <c r="AH836" s="24"/>
      <c r="AI836" s="24"/>
      <c r="AJ836" s="24"/>
      <c r="AK836" s="24"/>
      <c r="AL836" s="24"/>
      <c r="AM836" s="24"/>
    </row>
    <row r="837"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  <c r="AH837" s="24"/>
      <c r="AI837" s="24"/>
      <c r="AJ837" s="24"/>
      <c r="AK837" s="24"/>
      <c r="AL837" s="24"/>
      <c r="AM837" s="24"/>
    </row>
    <row r="838"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  <c r="AH838" s="24"/>
      <c r="AI838" s="24"/>
      <c r="AJ838" s="24"/>
      <c r="AK838" s="24"/>
      <c r="AL838" s="24"/>
      <c r="AM838" s="24"/>
    </row>
    <row r="839"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  <c r="AH839" s="24"/>
      <c r="AI839" s="24"/>
      <c r="AJ839" s="24"/>
      <c r="AK839" s="24"/>
      <c r="AL839" s="24"/>
      <c r="AM839" s="24"/>
    </row>
    <row r="840"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  <c r="AH840" s="24"/>
      <c r="AI840" s="24"/>
      <c r="AJ840" s="24"/>
      <c r="AK840" s="24"/>
      <c r="AL840" s="24"/>
      <c r="AM840" s="24"/>
    </row>
    <row r="841"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  <c r="AH841" s="24"/>
      <c r="AI841" s="24"/>
      <c r="AJ841" s="24"/>
      <c r="AK841" s="24"/>
      <c r="AL841" s="24"/>
      <c r="AM841" s="24"/>
    </row>
    <row r="842"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  <c r="AH842" s="24"/>
      <c r="AI842" s="24"/>
      <c r="AJ842" s="24"/>
      <c r="AK842" s="24"/>
      <c r="AL842" s="24"/>
      <c r="AM842" s="24"/>
    </row>
    <row r="843"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  <c r="AH843" s="24"/>
      <c r="AI843" s="24"/>
      <c r="AJ843" s="24"/>
      <c r="AK843" s="24"/>
      <c r="AL843" s="24"/>
      <c r="AM843" s="24"/>
    </row>
    <row r="844"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  <c r="AH844" s="24"/>
      <c r="AI844" s="24"/>
      <c r="AJ844" s="24"/>
      <c r="AK844" s="24"/>
      <c r="AL844" s="24"/>
      <c r="AM844" s="24"/>
    </row>
    <row r="845"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  <c r="AH845" s="24"/>
      <c r="AI845" s="24"/>
      <c r="AJ845" s="24"/>
      <c r="AK845" s="24"/>
      <c r="AL845" s="24"/>
      <c r="AM845" s="24"/>
    </row>
    <row r="846"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  <c r="AH846" s="24"/>
      <c r="AI846" s="24"/>
      <c r="AJ846" s="24"/>
      <c r="AK846" s="24"/>
      <c r="AL846" s="24"/>
      <c r="AM846" s="24"/>
    </row>
    <row r="847"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  <c r="AH847" s="24"/>
      <c r="AI847" s="24"/>
      <c r="AJ847" s="24"/>
      <c r="AK847" s="24"/>
      <c r="AL847" s="24"/>
      <c r="AM847" s="24"/>
    </row>
    <row r="848"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  <c r="AH848" s="24"/>
      <c r="AI848" s="24"/>
      <c r="AJ848" s="24"/>
      <c r="AK848" s="24"/>
      <c r="AL848" s="24"/>
      <c r="AM848" s="24"/>
    </row>
    <row r="849"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  <c r="AH849" s="24"/>
      <c r="AI849" s="24"/>
      <c r="AJ849" s="24"/>
      <c r="AK849" s="24"/>
      <c r="AL849" s="24"/>
      <c r="AM849" s="24"/>
    </row>
    <row r="850"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  <c r="AH850" s="24"/>
      <c r="AI850" s="24"/>
      <c r="AJ850" s="24"/>
      <c r="AK850" s="24"/>
      <c r="AL850" s="24"/>
      <c r="AM850" s="24"/>
    </row>
    <row r="851"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  <c r="AH851" s="24"/>
      <c r="AI851" s="24"/>
      <c r="AJ851" s="24"/>
      <c r="AK851" s="24"/>
      <c r="AL851" s="24"/>
      <c r="AM851" s="24"/>
    </row>
    <row r="852"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  <c r="AH852" s="24"/>
      <c r="AI852" s="24"/>
      <c r="AJ852" s="24"/>
      <c r="AK852" s="24"/>
      <c r="AL852" s="24"/>
      <c r="AM852" s="24"/>
    </row>
    <row r="853"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  <c r="AH853" s="24"/>
      <c r="AI853" s="24"/>
      <c r="AJ853" s="24"/>
      <c r="AK853" s="24"/>
      <c r="AL853" s="24"/>
      <c r="AM853" s="24"/>
    </row>
    <row r="854"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  <c r="AH854" s="24"/>
      <c r="AI854" s="24"/>
      <c r="AJ854" s="24"/>
      <c r="AK854" s="24"/>
      <c r="AL854" s="24"/>
      <c r="AM854" s="24"/>
    </row>
    <row r="855"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  <c r="AH855" s="24"/>
      <c r="AI855" s="24"/>
      <c r="AJ855" s="24"/>
      <c r="AK855" s="24"/>
      <c r="AL855" s="24"/>
      <c r="AM855" s="24"/>
    </row>
    <row r="856"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  <c r="AH856" s="24"/>
      <c r="AI856" s="24"/>
      <c r="AJ856" s="24"/>
      <c r="AK856" s="24"/>
      <c r="AL856" s="24"/>
      <c r="AM856" s="24"/>
    </row>
    <row r="857"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  <c r="AH857" s="24"/>
      <c r="AI857" s="24"/>
      <c r="AJ857" s="24"/>
      <c r="AK857" s="24"/>
      <c r="AL857" s="24"/>
      <c r="AM857" s="24"/>
    </row>
    <row r="858"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  <c r="AH858" s="24"/>
      <c r="AI858" s="24"/>
      <c r="AJ858" s="24"/>
      <c r="AK858" s="24"/>
      <c r="AL858" s="24"/>
      <c r="AM858" s="24"/>
    </row>
    <row r="859"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  <c r="AH859" s="24"/>
      <c r="AI859" s="24"/>
      <c r="AJ859" s="24"/>
      <c r="AK859" s="24"/>
      <c r="AL859" s="24"/>
      <c r="AM859" s="24"/>
    </row>
    <row r="860"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  <c r="AH860" s="24"/>
      <c r="AI860" s="24"/>
      <c r="AJ860" s="24"/>
      <c r="AK860" s="24"/>
      <c r="AL860" s="24"/>
      <c r="AM860" s="24"/>
    </row>
    <row r="861"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  <c r="AH861" s="24"/>
      <c r="AI861" s="24"/>
      <c r="AJ861" s="24"/>
      <c r="AK861" s="24"/>
      <c r="AL861" s="24"/>
      <c r="AM861" s="24"/>
    </row>
    <row r="862"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  <c r="AH862" s="24"/>
      <c r="AI862" s="24"/>
      <c r="AJ862" s="24"/>
      <c r="AK862" s="24"/>
      <c r="AL862" s="24"/>
      <c r="AM862" s="24"/>
    </row>
    <row r="863"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  <c r="AH863" s="24"/>
      <c r="AI863" s="24"/>
      <c r="AJ863" s="24"/>
      <c r="AK863" s="24"/>
      <c r="AL863" s="24"/>
      <c r="AM863" s="24"/>
    </row>
    <row r="864"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  <c r="AH864" s="24"/>
      <c r="AI864" s="24"/>
      <c r="AJ864" s="24"/>
      <c r="AK864" s="24"/>
      <c r="AL864" s="24"/>
      <c r="AM864" s="24"/>
    </row>
    <row r="865"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  <c r="AH865" s="24"/>
      <c r="AI865" s="24"/>
      <c r="AJ865" s="24"/>
      <c r="AK865" s="24"/>
      <c r="AL865" s="24"/>
      <c r="AM865" s="24"/>
    </row>
    <row r="866"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  <c r="AH866" s="24"/>
      <c r="AI866" s="24"/>
      <c r="AJ866" s="24"/>
      <c r="AK866" s="24"/>
      <c r="AL866" s="24"/>
      <c r="AM866" s="24"/>
    </row>
    <row r="867"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  <c r="AH867" s="24"/>
      <c r="AI867" s="24"/>
      <c r="AJ867" s="24"/>
      <c r="AK867" s="24"/>
      <c r="AL867" s="24"/>
      <c r="AM867" s="24"/>
    </row>
    <row r="868"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  <c r="AH868" s="24"/>
      <c r="AI868" s="24"/>
      <c r="AJ868" s="24"/>
      <c r="AK868" s="24"/>
      <c r="AL868" s="24"/>
      <c r="AM868" s="24"/>
    </row>
    <row r="869"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  <c r="AH869" s="24"/>
      <c r="AI869" s="24"/>
      <c r="AJ869" s="24"/>
      <c r="AK869" s="24"/>
      <c r="AL869" s="24"/>
      <c r="AM869" s="24"/>
    </row>
    <row r="870"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  <c r="AH870" s="24"/>
      <c r="AI870" s="24"/>
      <c r="AJ870" s="24"/>
      <c r="AK870" s="24"/>
      <c r="AL870" s="24"/>
      <c r="AM870" s="24"/>
    </row>
    <row r="871"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  <c r="AH871" s="24"/>
      <c r="AI871" s="24"/>
      <c r="AJ871" s="24"/>
      <c r="AK871" s="24"/>
      <c r="AL871" s="24"/>
      <c r="AM871" s="24"/>
    </row>
    <row r="872"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  <c r="AH872" s="24"/>
      <c r="AI872" s="24"/>
      <c r="AJ872" s="24"/>
      <c r="AK872" s="24"/>
      <c r="AL872" s="24"/>
      <c r="AM872" s="24"/>
    </row>
    <row r="873"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  <c r="AH873" s="24"/>
      <c r="AI873" s="24"/>
      <c r="AJ873" s="24"/>
      <c r="AK873" s="24"/>
      <c r="AL873" s="24"/>
      <c r="AM873" s="24"/>
    </row>
    <row r="874"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  <c r="AH874" s="24"/>
      <c r="AI874" s="24"/>
      <c r="AJ874" s="24"/>
      <c r="AK874" s="24"/>
      <c r="AL874" s="24"/>
      <c r="AM874" s="24"/>
    </row>
    <row r="875"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  <c r="AH875" s="24"/>
      <c r="AI875" s="24"/>
      <c r="AJ875" s="24"/>
      <c r="AK875" s="24"/>
      <c r="AL875" s="24"/>
      <c r="AM875" s="24"/>
    </row>
    <row r="876"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  <c r="AH876" s="24"/>
      <c r="AI876" s="24"/>
      <c r="AJ876" s="24"/>
      <c r="AK876" s="24"/>
      <c r="AL876" s="24"/>
      <c r="AM876" s="24"/>
    </row>
    <row r="877"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  <c r="AH877" s="24"/>
      <c r="AI877" s="24"/>
      <c r="AJ877" s="24"/>
      <c r="AK877" s="24"/>
      <c r="AL877" s="24"/>
      <c r="AM877" s="24"/>
    </row>
    <row r="878"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  <c r="AH878" s="24"/>
      <c r="AI878" s="24"/>
      <c r="AJ878" s="24"/>
      <c r="AK878" s="24"/>
      <c r="AL878" s="24"/>
      <c r="AM878" s="24"/>
    </row>
    <row r="879"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  <c r="AH879" s="24"/>
      <c r="AI879" s="24"/>
      <c r="AJ879" s="24"/>
      <c r="AK879" s="24"/>
      <c r="AL879" s="24"/>
      <c r="AM879" s="24"/>
    </row>
    <row r="880"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  <c r="AH880" s="24"/>
      <c r="AI880" s="24"/>
      <c r="AJ880" s="24"/>
      <c r="AK880" s="24"/>
      <c r="AL880" s="24"/>
      <c r="AM880" s="24"/>
    </row>
    <row r="881"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  <c r="AH881" s="24"/>
      <c r="AI881" s="24"/>
      <c r="AJ881" s="24"/>
      <c r="AK881" s="24"/>
      <c r="AL881" s="24"/>
      <c r="AM881" s="24"/>
    </row>
    <row r="882"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  <c r="AH882" s="24"/>
      <c r="AI882" s="24"/>
      <c r="AJ882" s="24"/>
      <c r="AK882" s="24"/>
      <c r="AL882" s="24"/>
      <c r="AM882" s="24"/>
    </row>
    <row r="883"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  <c r="AH883" s="24"/>
      <c r="AI883" s="24"/>
      <c r="AJ883" s="24"/>
      <c r="AK883" s="24"/>
      <c r="AL883" s="24"/>
      <c r="AM883" s="24"/>
    </row>
    <row r="884"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  <c r="AH884" s="24"/>
      <c r="AI884" s="24"/>
      <c r="AJ884" s="24"/>
      <c r="AK884" s="24"/>
      <c r="AL884" s="24"/>
      <c r="AM884" s="24"/>
    </row>
    <row r="885"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  <c r="AH885" s="24"/>
      <c r="AI885" s="24"/>
      <c r="AJ885" s="24"/>
      <c r="AK885" s="24"/>
      <c r="AL885" s="24"/>
      <c r="AM885" s="24"/>
    </row>
    <row r="886"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  <c r="AH886" s="24"/>
      <c r="AI886" s="24"/>
      <c r="AJ886" s="24"/>
      <c r="AK886" s="24"/>
      <c r="AL886" s="24"/>
      <c r="AM886" s="24"/>
    </row>
    <row r="887"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  <c r="AH887" s="24"/>
      <c r="AI887" s="24"/>
      <c r="AJ887" s="24"/>
      <c r="AK887" s="24"/>
      <c r="AL887" s="24"/>
      <c r="AM887" s="24"/>
    </row>
    <row r="888"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  <c r="AH888" s="24"/>
      <c r="AI888" s="24"/>
      <c r="AJ888" s="24"/>
      <c r="AK888" s="24"/>
      <c r="AL888" s="24"/>
      <c r="AM888" s="24"/>
    </row>
    <row r="889"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  <c r="AH889" s="24"/>
      <c r="AI889" s="24"/>
      <c r="AJ889" s="24"/>
      <c r="AK889" s="24"/>
      <c r="AL889" s="24"/>
      <c r="AM889" s="24"/>
    </row>
    <row r="890"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  <c r="AH890" s="24"/>
      <c r="AI890" s="24"/>
      <c r="AJ890" s="24"/>
      <c r="AK890" s="24"/>
      <c r="AL890" s="24"/>
      <c r="AM890" s="24"/>
    </row>
    <row r="891"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  <c r="AH891" s="24"/>
      <c r="AI891" s="24"/>
      <c r="AJ891" s="24"/>
      <c r="AK891" s="24"/>
      <c r="AL891" s="24"/>
      <c r="AM891" s="24"/>
    </row>
    <row r="892"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  <c r="AH892" s="24"/>
      <c r="AI892" s="24"/>
      <c r="AJ892" s="24"/>
      <c r="AK892" s="24"/>
      <c r="AL892" s="24"/>
      <c r="AM892" s="24"/>
    </row>
    <row r="893"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  <c r="AH893" s="24"/>
      <c r="AI893" s="24"/>
      <c r="AJ893" s="24"/>
      <c r="AK893" s="24"/>
      <c r="AL893" s="24"/>
      <c r="AM893" s="24"/>
    </row>
    <row r="894"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  <c r="AH894" s="24"/>
      <c r="AI894" s="24"/>
      <c r="AJ894" s="24"/>
      <c r="AK894" s="24"/>
      <c r="AL894" s="24"/>
      <c r="AM894" s="24"/>
    </row>
    <row r="895"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  <c r="AH895" s="24"/>
      <c r="AI895" s="24"/>
      <c r="AJ895" s="24"/>
      <c r="AK895" s="24"/>
      <c r="AL895" s="24"/>
      <c r="AM895" s="24"/>
    </row>
    <row r="896"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  <c r="AH896" s="24"/>
      <c r="AI896" s="24"/>
      <c r="AJ896" s="24"/>
      <c r="AK896" s="24"/>
      <c r="AL896" s="24"/>
      <c r="AM896" s="24"/>
    </row>
    <row r="897"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  <c r="AH897" s="24"/>
      <c r="AI897" s="24"/>
      <c r="AJ897" s="24"/>
      <c r="AK897" s="24"/>
      <c r="AL897" s="24"/>
      <c r="AM897" s="24"/>
    </row>
    <row r="898"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  <c r="AH898" s="24"/>
      <c r="AI898" s="24"/>
      <c r="AJ898" s="24"/>
      <c r="AK898" s="24"/>
      <c r="AL898" s="24"/>
      <c r="AM898" s="24"/>
    </row>
    <row r="899"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  <c r="AH899" s="24"/>
      <c r="AI899" s="24"/>
      <c r="AJ899" s="24"/>
      <c r="AK899" s="24"/>
      <c r="AL899" s="24"/>
      <c r="AM899" s="24"/>
    </row>
    <row r="900"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  <c r="AH900" s="24"/>
      <c r="AI900" s="24"/>
      <c r="AJ900" s="24"/>
      <c r="AK900" s="24"/>
      <c r="AL900" s="24"/>
      <c r="AM900" s="24"/>
    </row>
    <row r="901"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  <c r="AH901" s="24"/>
      <c r="AI901" s="24"/>
      <c r="AJ901" s="24"/>
      <c r="AK901" s="24"/>
      <c r="AL901" s="24"/>
      <c r="AM901" s="24"/>
    </row>
    <row r="902"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  <c r="AH902" s="24"/>
      <c r="AI902" s="24"/>
      <c r="AJ902" s="24"/>
      <c r="AK902" s="24"/>
      <c r="AL902" s="24"/>
      <c r="AM902" s="24"/>
    </row>
    <row r="903"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  <c r="AH903" s="24"/>
      <c r="AI903" s="24"/>
      <c r="AJ903" s="24"/>
      <c r="AK903" s="24"/>
      <c r="AL903" s="24"/>
      <c r="AM903" s="24"/>
    </row>
    <row r="904"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  <c r="AH904" s="24"/>
      <c r="AI904" s="24"/>
      <c r="AJ904" s="24"/>
      <c r="AK904" s="24"/>
      <c r="AL904" s="24"/>
      <c r="AM904" s="24"/>
    </row>
    <row r="905"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  <c r="AH905" s="24"/>
      <c r="AI905" s="24"/>
      <c r="AJ905" s="24"/>
      <c r="AK905" s="24"/>
      <c r="AL905" s="24"/>
      <c r="AM905" s="24"/>
    </row>
    <row r="906"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  <c r="AH906" s="24"/>
      <c r="AI906" s="24"/>
      <c r="AJ906" s="24"/>
      <c r="AK906" s="24"/>
      <c r="AL906" s="24"/>
      <c r="AM906" s="24"/>
    </row>
    <row r="907"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  <c r="AH907" s="24"/>
      <c r="AI907" s="24"/>
      <c r="AJ907" s="24"/>
      <c r="AK907" s="24"/>
      <c r="AL907" s="24"/>
      <c r="AM907" s="24"/>
    </row>
    <row r="908"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  <c r="AH908" s="24"/>
      <c r="AI908" s="24"/>
      <c r="AJ908" s="24"/>
      <c r="AK908" s="24"/>
      <c r="AL908" s="24"/>
      <c r="AM908" s="24"/>
    </row>
    <row r="909"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  <c r="AH909" s="24"/>
      <c r="AI909" s="24"/>
      <c r="AJ909" s="24"/>
      <c r="AK909" s="24"/>
      <c r="AL909" s="24"/>
      <c r="AM909" s="24"/>
    </row>
    <row r="910"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  <c r="AH910" s="24"/>
      <c r="AI910" s="24"/>
      <c r="AJ910" s="24"/>
      <c r="AK910" s="24"/>
      <c r="AL910" s="24"/>
      <c r="AM910" s="24"/>
    </row>
    <row r="911"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  <c r="AH911" s="24"/>
      <c r="AI911" s="24"/>
      <c r="AJ911" s="24"/>
      <c r="AK911" s="24"/>
      <c r="AL911" s="24"/>
      <c r="AM911" s="24"/>
    </row>
    <row r="912"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  <c r="AH912" s="24"/>
      <c r="AI912" s="24"/>
      <c r="AJ912" s="24"/>
      <c r="AK912" s="24"/>
      <c r="AL912" s="24"/>
      <c r="AM912" s="24"/>
    </row>
    <row r="913"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  <c r="AH913" s="24"/>
      <c r="AI913" s="24"/>
      <c r="AJ913" s="24"/>
      <c r="AK913" s="24"/>
      <c r="AL913" s="24"/>
      <c r="AM913" s="24"/>
    </row>
    <row r="914"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  <c r="AH914" s="24"/>
      <c r="AI914" s="24"/>
      <c r="AJ914" s="24"/>
      <c r="AK914" s="24"/>
      <c r="AL914" s="24"/>
      <c r="AM914" s="24"/>
    </row>
    <row r="915"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  <c r="AH915" s="24"/>
      <c r="AI915" s="24"/>
      <c r="AJ915" s="24"/>
      <c r="AK915" s="24"/>
      <c r="AL915" s="24"/>
      <c r="AM915" s="24"/>
    </row>
    <row r="916"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  <c r="AH916" s="24"/>
      <c r="AI916" s="24"/>
      <c r="AJ916" s="24"/>
      <c r="AK916" s="24"/>
      <c r="AL916" s="24"/>
      <c r="AM916" s="24"/>
    </row>
    <row r="917"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  <c r="AH917" s="24"/>
      <c r="AI917" s="24"/>
      <c r="AJ917" s="24"/>
      <c r="AK917" s="24"/>
      <c r="AL917" s="24"/>
      <c r="AM917" s="24"/>
    </row>
    <row r="918"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  <c r="AH918" s="24"/>
      <c r="AI918" s="24"/>
      <c r="AJ918" s="24"/>
      <c r="AK918" s="24"/>
      <c r="AL918" s="24"/>
      <c r="AM918" s="24"/>
    </row>
    <row r="919"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  <c r="AH919" s="24"/>
      <c r="AI919" s="24"/>
      <c r="AJ919" s="24"/>
      <c r="AK919" s="24"/>
      <c r="AL919" s="24"/>
      <c r="AM919" s="24"/>
    </row>
    <row r="920"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  <c r="AH920" s="24"/>
      <c r="AI920" s="24"/>
      <c r="AJ920" s="24"/>
      <c r="AK920" s="24"/>
      <c r="AL920" s="24"/>
      <c r="AM920" s="24"/>
    </row>
    <row r="921"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  <c r="AH921" s="24"/>
      <c r="AI921" s="24"/>
      <c r="AJ921" s="24"/>
      <c r="AK921" s="24"/>
      <c r="AL921" s="24"/>
      <c r="AM921" s="24"/>
    </row>
    <row r="922"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  <c r="AH922" s="24"/>
      <c r="AI922" s="24"/>
      <c r="AJ922" s="24"/>
      <c r="AK922" s="24"/>
      <c r="AL922" s="24"/>
      <c r="AM922" s="24"/>
    </row>
    <row r="923"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  <c r="AH923" s="24"/>
      <c r="AI923" s="24"/>
      <c r="AJ923" s="24"/>
      <c r="AK923" s="24"/>
      <c r="AL923" s="24"/>
      <c r="AM923" s="24"/>
    </row>
    <row r="924"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  <c r="AH924" s="24"/>
      <c r="AI924" s="24"/>
      <c r="AJ924" s="24"/>
      <c r="AK924" s="24"/>
      <c r="AL924" s="24"/>
      <c r="AM924" s="24"/>
    </row>
    <row r="925"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  <c r="AH925" s="24"/>
      <c r="AI925" s="24"/>
      <c r="AJ925" s="24"/>
      <c r="AK925" s="24"/>
      <c r="AL925" s="24"/>
      <c r="AM925" s="24"/>
    </row>
    <row r="926"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  <c r="AH926" s="24"/>
      <c r="AI926" s="24"/>
      <c r="AJ926" s="24"/>
      <c r="AK926" s="24"/>
      <c r="AL926" s="24"/>
      <c r="AM926" s="24"/>
    </row>
    <row r="927"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  <c r="AH927" s="24"/>
      <c r="AI927" s="24"/>
      <c r="AJ927" s="24"/>
      <c r="AK927" s="24"/>
      <c r="AL927" s="24"/>
      <c r="AM927" s="24"/>
    </row>
    <row r="928"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  <c r="AH928" s="24"/>
      <c r="AI928" s="24"/>
      <c r="AJ928" s="24"/>
      <c r="AK928" s="24"/>
      <c r="AL928" s="24"/>
      <c r="AM928" s="24"/>
    </row>
    <row r="929"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  <c r="AH929" s="24"/>
      <c r="AI929" s="24"/>
      <c r="AJ929" s="24"/>
      <c r="AK929" s="24"/>
      <c r="AL929" s="24"/>
      <c r="AM929" s="24"/>
    </row>
    <row r="930"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  <c r="AH930" s="24"/>
      <c r="AI930" s="24"/>
      <c r="AJ930" s="24"/>
      <c r="AK930" s="24"/>
      <c r="AL930" s="24"/>
      <c r="AM930" s="24"/>
    </row>
    <row r="931"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  <c r="AH931" s="24"/>
      <c r="AI931" s="24"/>
      <c r="AJ931" s="24"/>
      <c r="AK931" s="24"/>
      <c r="AL931" s="24"/>
      <c r="AM931" s="24"/>
    </row>
    <row r="932"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  <c r="AH932" s="24"/>
      <c r="AI932" s="24"/>
      <c r="AJ932" s="24"/>
      <c r="AK932" s="24"/>
      <c r="AL932" s="24"/>
      <c r="AM932" s="24"/>
    </row>
    <row r="933"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  <c r="AH933" s="24"/>
      <c r="AI933" s="24"/>
      <c r="AJ933" s="24"/>
      <c r="AK933" s="24"/>
      <c r="AL933" s="24"/>
      <c r="AM933" s="24"/>
    </row>
    <row r="934"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  <c r="AH934" s="24"/>
      <c r="AI934" s="24"/>
      <c r="AJ934" s="24"/>
      <c r="AK934" s="24"/>
      <c r="AL934" s="24"/>
      <c r="AM934" s="24"/>
    </row>
    <row r="935"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  <c r="AH935" s="24"/>
      <c r="AI935" s="24"/>
      <c r="AJ935" s="24"/>
      <c r="AK935" s="24"/>
      <c r="AL935" s="24"/>
      <c r="AM935" s="24"/>
    </row>
    <row r="936"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  <c r="AH936" s="24"/>
      <c r="AI936" s="24"/>
      <c r="AJ936" s="24"/>
      <c r="AK936" s="24"/>
      <c r="AL936" s="24"/>
      <c r="AM936" s="24"/>
    </row>
    <row r="937"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  <c r="AH937" s="24"/>
      <c r="AI937" s="24"/>
      <c r="AJ937" s="24"/>
      <c r="AK937" s="24"/>
      <c r="AL937" s="24"/>
      <c r="AM937" s="24"/>
    </row>
    <row r="938"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  <c r="AH938" s="24"/>
      <c r="AI938" s="24"/>
      <c r="AJ938" s="24"/>
      <c r="AK938" s="24"/>
      <c r="AL938" s="24"/>
      <c r="AM938" s="24"/>
    </row>
    <row r="939"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  <c r="AH939" s="24"/>
      <c r="AI939" s="24"/>
      <c r="AJ939" s="24"/>
      <c r="AK939" s="24"/>
      <c r="AL939" s="24"/>
      <c r="AM939" s="24"/>
    </row>
    <row r="940"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  <c r="AH940" s="24"/>
      <c r="AI940" s="24"/>
      <c r="AJ940" s="24"/>
      <c r="AK940" s="24"/>
      <c r="AL940" s="24"/>
      <c r="AM940" s="24"/>
    </row>
    <row r="941"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  <c r="AH941" s="24"/>
      <c r="AI941" s="24"/>
      <c r="AJ941" s="24"/>
      <c r="AK941" s="24"/>
      <c r="AL941" s="24"/>
      <c r="AM941" s="24"/>
    </row>
    <row r="942"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  <c r="AH942" s="24"/>
      <c r="AI942" s="24"/>
      <c r="AJ942" s="24"/>
      <c r="AK942" s="24"/>
      <c r="AL942" s="24"/>
      <c r="AM942" s="24"/>
    </row>
    <row r="943"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  <c r="AH943" s="24"/>
      <c r="AI943" s="24"/>
      <c r="AJ943" s="24"/>
      <c r="AK943" s="24"/>
      <c r="AL943" s="24"/>
      <c r="AM943" s="24"/>
    </row>
    <row r="944"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  <c r="AH944" s="24"/>
      <c r="AI944" s="24"/>
      <c r="AJ944" s="24"/>
      <c r="AK944" s="24"/>
      <c r="AL944" s="24"/>
      <c r="AM944" s="24"/>
    </row>
    <row r="945"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  <c r="AH945" s="24"/>
      <c r="AI945" s="24"/>
      <c r="AJ945" s="24"/>
      <c r="AK945" s="24"/>
      <c r="AL945" s="24"/>
      <c r="AM945" s="24"/>
    </row>
    <row r="946"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  <c r="AH946" s="24"/>
      <c r="AI946" s="24"/>
      <c r="AJ946" s="24"/>
      <c r="AK946" s="24"/>
      <c r="AL946" s="24"/>
      <c r="AM946" s="24"/>
    </row>
    <row r="947"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  <c r="AH947" s="24"/>
      <c r="AI947" s="24"/>
      <c r="AJ947" s="24"/>
      <c r="AK947" s="24"/>
      <c r="AL947" s="24"/>
      <c r="AM947" s="24"/>
    </row>
    <row r="948"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  <c r="AH948" s="24"/>
      <c r="AI948" s="24"/>
      <c r="AJ948" s="24"/>
      <c r="AK948" s="24"/>
      <c r="AL948" s="24"/>
      <c r="AM948" s="24"/>
    </row>
    <row r="949"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  <c r="AH949" s="24"/>
      <c r="AI949" s="24"/>
      <c r="AJ949" s="24"/>
      <c r="AK949" s="24"/>
      <c r="AL949" s="24"/>
      <c r="AM949" s="24"/>
    </row>
    <row r="950"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  <c r="AH950" s="24"/>
      <c r="AI950" s="24"/>
      <c r="AJ950" s="24"/>
      <c r="AK950" s="24"/>
      <c r="AL950" s="24"/>
      <c r="AM950" s="24"/>
    </row>
    <row r="951"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  <c r="AH951" s="24"/>
      <c r="AI951" s="24"/>
      <c r="AJ951" s="24"/>
      <c r="AK951" s="24"/>
      <c r="AL951" s="24"/>
      <c r="AM951" s="24"/>
    </row>
    <row r="952"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  <c r="AH952" s="24"/>
      <c r="AI952" s="24"/>
      <c r="AJ952" s="24"/>
      <c r="AK952" s="24"/>
      <c r="AL952" s="24"/>
      <c r="AM952" s="24"/>
    </row>
    <row r="953"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  <c r="AH953" s="24"/>
      <c r="AI953" s="24"/>
      <c r="AJ953" s="24"/>
      <c r="AK953" s="24"/>
      <c r="AL953" s="24"/>
      <c r="AM953" s="24"/>
    </row>
    <row r="954"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  <c r="AH954" s="24"/>
      <c r="AI954" s="24"/>
      <c r="AJ954" s="24"/>
      <c r="AK954" s="24"/>
      <c r="AL954" s="24"/>
      <c r="AM954" s="24"/>
    </row>
    <row r="955"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  <c r="AH955" s="24"/>
      <c r="AI955" s="24"/>
      <c r="AJ955" s="24"/>
      <c r="AK955" s="24"/>
      <c r="AL955" s="24"/>
      <c r="AM955" s="24"/>
    </row>
    <row r="956"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  <c r="AH956" s="24"/>
      <c r="AI956" s="24"/>
      <c r="AJ956" s="24"/>
      <c r="AK956" s="24"/>
      <c r="AL956" s="24"/>
      <c r="AM956" s="24"/>
    </row>
    <row r="957"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  <c r="AH957" s="24"/>
      <c r="AI957" s="24"/>
      <c r="AJ957" s="24"/>
      <c r="AK957" s="24"/>
      <c r="AL957" s="24"/>
      <c r="AM957" s="24"/>
    </row>
    <row r="958"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  <c r="AH958" s="24"/>
      <c r="AI958" s="24"/>
      <c r="AJ958" s="24"/>
      <c r="AK958" s="24"/>
      <c r="AL958" s="24"/>
      <c r="AM958" s="24"/>
    </row>
    <row r="959"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  <c r="AH959" s="24"/>
      <c r="AI959" s="24"/>
      <c r="AJ959" s="24"/>
      <c r="AK959" s="24"/>
      <c r="AL959" s="24"/>
      <c r="AM959" s="24"/>
    </row>
    <row r="960"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  <c r="AH960" s="24"/>
      <c r="AI960" s="24"/>
      <c r="AJ960" s="24"/>
      <c r="AK960" s="24"/>
      <c r="AL960" s="24"/>
      <c r="AM960" s="24"/>
    </row>
    <row r="961"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  <c r="AH961" s="24"/>
      <c r="AI961" s="24"/>
      <c r="AJ961" s="24"/>
      <c r="AK961" s="24"/>
      <c r="AL961" s="24"/>
      <c r="AM961" s="24"/>
    </row>
    <row r="962"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  <c r="AH962" s="24"/>
      <c r="AI962" s="24"/>
      <c r="AJ962" s="24"/>
      <c r="AK962" s="24"/>
      <c r="AL962" s="24"/>
      <c r="AM962" s="24"/>
    </row>
    <row r="963"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  <c r="AH963" s="24"/>
      <c r="AI963" s="24"/>
      <c r="AJ963" s="24"/>
      <c r="AK963" s="24"/>
      <c r="AL963" s="24"/>
      <c r="AM963" s="24"/>
    </row>
    <row r="964"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  <c r="AH964" s="24"/>
      <c r="AI964" s="24"/>
      <c r="AJ964" s="24"/>
      <c r="AK964" s="24"/>
      <c r="AL964" s="24"/>
      <c r="AM964" s="24"/>
    </row>
    <row r="965"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  <c r="AH965" s="24"/>
      <c r="AI965" s="24"/>
      <c r="AJ965" s="24"/>
      <c r="AK965" s="24"/>
      <c r="AL965" s="24"/>
      <c r="AM965" s="24"/>
    </row>
    <row r="966"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  <c r="AH966" s="24"/>
      <c r="AI966" s="24"/>
      <c r="AJ966" s="24"/>
      <c r="AK966" s="24"/>
      <c r="AL966" s="24"/>
      <c r="AM966" s="24"/>
    </row>
    <row r="967"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  <c r="AH967" s="24"/>
      <c r="AI967" s="24"/>
      <c r="AJ967" s="24"/>
      <c r="AK967" s="24"/>
      <c r="AL967" s="24"/>
      <c r="AM967" s="24"/>
    </row>
    <row r="968"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  <c r="AH968" s="24"/>
      <c r="AI968" s="24"/>
      <c r="AJ968" s="24"/>
      <c r="AK968" s="24"/>
      <c r="AL968" s="24"/>
      <c r="AM968" s="24"/>
    </row>
    <row r="969"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  <c r="AH969" s="24"/>
      <c r="AI969" s="24"/>
      <c r="AJ969" s="24"/>
      <c r="AK969" s="24"/>
      <c r="AL969" s="24"/>
      <c r="AM969" s="24"/>
    </row>
    <row r="970"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  <c r="AH970" s="24"/>
      <c r="AI970" s="24"/>
      <c r="AJ970" s="24"/>
      <c r="AK970" s="24"/>
      <c r="AL970" s="24"/>
      <c r="AM970" s="24"/>
    </row>
    <row r="971"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  <c r="AH971" s="24"/>
      <c r="AI971" s="24"/>
      <c r="AJ971" s="24"/>
      <c r="AK971" s="24"/>
      <c r="AL971" s="24"/>
      <c r="AM971" s="24"/>
    </row>
    <row r="972"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  <c r="AH972" s="24"/>
      <c r="AI972" s="24"/>
      <c r="AJ972" s="24"/>
      <c r="AK972" s="24"/>
      <c r="AL972" s="24"/>
      <c r="AM972" s="24"/>
    </row>
    <row r="973"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  <c r="AG973" s="24"/>
      <c r="AH973" s="24"/>
      <c r="AI973" s="24"/>
      <c r="AJ973" s="24"/>
      <c r="AK973" s="24"/>
      <c r="AL973" s="24"/>
      <c r="AM973" s="24"/>
    </row>
    <row r="974"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  <c r="AG974" s="24"/>
      <c r="AH974" s="24"/>
      <c r="AI974" s="24"/>
      <c r="AJ974" s="24"/>
      <c r="AK974" s="24"/>
      <c r="AL974" s="24"/>
      <c r="AM974" s="24"/>
    </row>
    <row r="975"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  <c r="AH975" s="24"/>
      <c r="AI975" s="24"/>
      <c r="AJ975" s="24"/>
      <c r="AK975" s="24"/>
      <c r="AL975" s="24"/>
      <c r="AM975" s="24"/>
    </row>
    <row r="976"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  <c r="AG976" s="24"/>
      <c r="AH976" s="24"/>
      <c r="AI976" s="24"/>
      <c r="AJ976" s="24"/>
      <c r="AK976" s="24"/>
      <c r="AL976" s="24"/>
      <c r="AM976" s="24"/>
    </row>
    <row r="977"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  <c r="AG977" s="24"/>
      <c r="AH977" s="24"/>
      <c r="AI977" s="24"/>
      <c r="AJ977" s="24"/>
      <c r="AK977" s="24"/>
      <c r="AL977" s="24"/>
      <c r="AM977" s="24"/>
    </row>
    <row r="978"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  <c r="AH978" s="24"/>
      <c r="AI978" s="24"/>
      <c r="AJ978" s="24"/>
      <c r="AK978" s="24"/>
      <c r="AL978" s="24"/>
      <c r="AM978" s="24"/>
    </row>
    <row r="979"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  <c r="AF979" s="24"/>
      <c r="AG979" s="24"/>
      <c r="AH979" s="24"/>
      <c r="AI979" s="24"/>
      <c r="AJ979" s="24"/>
      <c r="AK979" s="24"/>
      <c r="AL979" s="24"/>
      <c r="AM979" s="24"/>
    </row>
    <row r="980"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  <c r="AF980" s="24"/>
      <c r="AG980" s="24"/>
      <c r="AH980" s="24"/>
      <c r="AI980" s="24"/>
      <c r="AJ980" s="24"/>
      <c r="AK980" s="24"/>
      <c r="AL980" s="24"/>
      <c r="AM980" s="24"/>
    </row>
    <row r="981"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  <c r="AF981" s="24"/>
      <c r="AG981" s="24"/>
      <c r="AH981" s="24"/>
      <c r="AI981" s="24"/>
      <c r="AJ981" s="24"/>
      <c r="AK981" s="24"/>
      <c r="AL981" s="24"/>
      <c r="AM981" s="24"/>
    </row>
    <row r="982"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  <c r="AF982" s="24"/>
      <c r="AG982" s="24"/>
      <c r="AH982" s="24"/>
      <c r="AI982" s="24"/>
      <c r="AJ982" s="24"/>
      <c r="AK982" s="24"/>
      <c r="AL982" s="24"/>
      <c r="AM982" s="24"/>
    </row>
    <row r="983"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  <c r="AF983" s="24"/>
      <c r="AG983" s="24"/>
      <c r="AH983" s="24"/>
      <c r="AI983" s="24"/>
      <c r="AJ983" s="24"/>
      <c r="AK983" s="24"/>
      <c r="AL983" s="24"/>
      <c r="AM983" s="24"/>
    </row>
    <row r="984"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  <c r="AE984" s="24"/>
      <c r="AF984" s="24"/>
      <c r="AG984" s="24"/>
      <c r="AH984" s="24"/>
      <c r="AI984" s="24"/>
      <c r="AJ984" s="24"/>
      <c r="AK984" s="24"/>
      <c r="AL984" s="24"/>
      <c r="AM984" s="24"/>
    </row>
    <row r="985"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  <c r="AF985" s="24"/>
      <c r="AG985" s="24"/>
      <c r="AH985" s="24"/>
      <c r="AI985" s="24"/>
      <c r="AJ985" s="24"/>
      <c r="AK985" s="24"/>
      <c r="AL985" s="24"/>
      <c r="AM985" s="24"/>
    </row>
    <row r="986"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  <c r="AF986" s="24"/>
      <c r="AG986" s="24"/>
      <c r="AH986" s="24"/>
      <c r="AI986" s="24"/>
      <c r="AJ986" s="24"/>
      <c r="AK986" s="24"/>
      <c r="AL986" s="24"/>
      <c r="AM986" s="24"/>
    </row>
    <row r="987"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  <c r="AE987" s="24"/>
      <c r="AF987" s="24"/>
      <c r="AG987" s="24"/>
      <c r="AH987" s="24"/>
      <c r="AI987" s="24"/>
      <c r="AJ987" s="24"/>
      <c r="AK987" s="24"/>
      <c r="AL987" s="24"/>
      <c r="AM987" s="24"/>
    </row>
    <row r="988"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  <c r="AE988" s="24"/>
      <c r="AF988" s="24"/>
      <c r="AG988" s="24"/>
      <c r="AH988" s="24"/>
      <c r="AI988" s="24"/>
      <c r="AJ988" s="24"/>
      <c r="AK988" s="24"/>
      <c r="AL988" s="24"/>
      <c r="AM988" s="24"/>
    </row>
    <row r="989"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  <c r="AE989" s="24"/>
      <c r="AF989" s="24"/>
      <c r="AG989" s="24"/>
      <c r="AH989" s="24"/>
      <c r="AI989" s="24"/>
      <c r="AJ989" s="24"/>
      <c r="AK989" s="24"/>
      <c r="AL989" s="24"/>
      <c r="AM989" s="24"/>
    </row>
    <row r="990"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  <c r="AE990" s="24"/>
      <c r="AF990" s="24"/>
      <c r="AG990" s="24"/>
      <c r="AH990" s="24"/>
      <c r="AI990" s="24"/>
      <c r="AJ990" s="24"/>
      <c r="AK990" s="24"/>
      <c r="AL990" s="24"/>
      <c r="AM990" s="24"/>
    </row>
    <row r="991"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  <c r="AE991" s="24"/>
      <c r="AF991" s="24"/>
      <c r="AG991" s="24"/>
      <c r="AH991" s="24"/>
      <c r="AI991" s="24"/>
      <c r="AJ991" s="24"/>
      <c r="AK991" s="24"/>
      <c r="AL991" s="24"/>
      <c r="AM991" s="24"/>
    </row>
    <row r="992"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  <c r="AE992" s="24"/>
      <c r="AF992" s="24"/>
      <c r="AG992" s="24"/>
      <c r="AH992" s="24"/>
      <c r="AI992" s="24"/>
      <c r="AJ992" s="24"/>
      <c r="AK992" s="24"/>
      <c r="AL992" s="24"/>
      <c r="AM992" s="24"/>
    </row>
    <row r="993"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  <c r="AE993" s="24"/>
      <c r="AF993" s="24"/>
      <c r="AG993" s="24"/>
      <c r="AH993" s="24"/>
      <c r="AI993" s="24"/>
      <c r="AJ993" s="24"/>
      <c r="AK993" s="24"/>
      <c r="AL993" s="24"/>
      <c r="AM993" s="24"/>
    </row>
    <row r="994"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  <c r="AE994" s="24"/>
      <c r="AF994" s="24"/>
      <c r="AG994" s="24"/>
      <c r="AH994" s="24"/>
      <c r="AI994" s="24"/>
      <c r="AJ994" s="24"/>
      <c r="AK994" s="24"/>
      <c r="AL994" s="24"/>
      <c r="AM994" s="24"/>
    </row>
    <row r="995"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  <c r="AE995" s="24"/>
      <c r="AF995" s="24"/>
      <c r="AG995" s="24"/>
      <c r="AH995" s="24"/>
      <c r="AI995" s="24"/>
      <c r="AJ995" s="24"/>
      <c r="AK995" s="24"/>
      <c r="AL995" s="24"/>
      <c r="AM995" s="24"/>
    </row>
    <row r="996"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  <c r="AE996" s="24"/>
      <c r="AF996" s="24"/>
      <c r="AG996" s="24"/>
      <c r="AH996" s="24"/>
      <c r="AI996" s="24"/>
      <c r="AJ996" s="24"/>
      <c r="AK996" s="24"/>
      <c r="AL996" s="24"/>
      <c r="AM996" s="24"/>
    </row>
  </sheetData>
  <drawing r:id="rId1"/>
</worksheet>
</file>