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KS" sheetId="1" r:id="rId5"/>
    <sheet state="visible" name="PISOS" sheetId="2" r:id="rId6"/>
    <sheet state="visible" name="PAINEIS" sheetId="3" r:id="rId7"/>
    <sheet state="visible" name="FORRO" sheetId="4" r:id="rId8"/>
    <sheet state="visible" name="RODAPÉS" sheetId="5" r:id="rId9"/>
    <sheet state="hidden" name="Produtos acabados" sheetId="6" r:id="rId10"/>
    <sheet state="visible" name="Produtos Instalação" sheetId="7" r:id="rId11"/>
    <sheet state="visible" name="Grade de Insumos" sheetId="8" r:id="rId12"/>
  </sheets>
  <definedNames>
    <definedName hidden="1" localSheetId="1" name="_xlnm._FilterDatabase">PISOS!$B$3:$H$43</definedName>
    <definedName hidden="1" localSheetId="3" name="_xlnm._FilterDatabase">FORRO!$B$3:$N$100</definedName>
    <definedName hidden="1" localSheetId="5" name="_xlnm._FilterDatabase">'Produtos acabados'!$A$1:$B$8226</definedName>
    <definedName hidden="1" localSheetId="6" name="_xlnm._FilterDatabase">'Produtos Instalação'!$A$1:$J$1407</definedName>
  </definedNames>
  <calcPr/>
</workbook>
</file>

<file path=xl/sharedStrings.xml><?xml version="1.0" encoding="utf-8"?>
<sst xmlns="http://schemas.openxmlformats.org/spreadsheetml/2006/main" count="6604" uniqueCount="2681">
  <si>
    <t>PARKET</t>
  </si>
  <si>
    <t>Codigo</t>
  </si>
  <si>
    <t>Descrição</t>
  </si>
  <si>
    <t>UND</t>
  </si>
  <si>
    <t>QTDE</t>
  </si>
  <si>
    <t>CUSTO</t>
  </si>
  <si>
    <t>QTDE * CUSTO</t>
  </si>
  <si>
    <t>CUSTO TOTAL</t>
  </si>
  <si>
    <t>Margem de venda</t>
  </si>
  <si>
    <t>VALOR DO LIQUIDO</t>
  </si>
  <si>
    <t>VALOR VENDA RECOMENDADO</t>
  </si>
  <si>
    <t xml:space="preserve">Margem de Lucro </t>
  </si>
  <si>
    <t>Cod.Produto</t>
  </si>
  <si>
    <t>Descrição tec. Produto</t>
  </si>
  <si>
    <t>M²</t>
  </si>
  <si>
    <t>PKT100251IN</t>
  </si>
  <si>
    <t>SACO DE ENTULHO</t>
  </si>
  <si>
    <t>PKT0005MP</t>
  </si>
  <si>
    <t>BARROTE 4 X 4</t>
  </si>
  <si>
    <t>ML</t>
  </si>
  <si>
    <t>PKT100206IN</t>
  </si>
  <si>
    <t>PARAFUSO 60X60</t>
  </si>
  <si>
    <t>PKT100024IN</t>
  </si>
  <si>
    <t>BUCHA 8mm</t>
  </si>
  <si>
    <t>PKT20010C</t>
  </si>
  <si>
    <t>CAVILHA</t>
  </si>
  <si>
    <t>PKT100242IN</t>
  </si>
  <si>
    <t>PRESILHA ALUMINIO</t>
  </si>
  <si>
    <t>PKT100065IN</t>
  </si>
  <si>
    <t>PARAFUSO 4,2X38 PRETO</t>
  </si>
  <si>
    <t>PKT20009C</t>
  </si>
  <si>
    <t>COLA FIXA TUDO</t>
  </si>
  <si>
    <t>PKT100173IN</t>
  </si>
  <si>
    <t>NEUTROL</t>
  </si>
  <si>
    <t>PKT100025IN</t>
  </si>
  <si>
    <t>PINCEL</t>
  </si>
  <si>
    <t>PKT100021IN</t>
  </si>
  <si>
    <t>BROCA SDS 8X160</t>
  </si>
  <si>
    <t>PKT400393P</t>
  </si>
  <si>
    <t>DECK CUMARU PREMIUM TG 2,5 X 5 X COMPR. VARIAVEIS</t>
  </si>
  <si>
    <t>PKT400649P</t>
  </si>
  <si>
    <t>DECK PEROBA DO CAMPO TG 2,5x10xCOMP. VAR.</t>
  </si>
  <si>
    <t xml:space="preserve">PKT400155P </t>
  </si>
  <si>
    <t>DECK CUMARU PREMIUM 2,5X7X90A450CM</t>
  </si>
  <si>
    <t/>
  </si>
  <si>
    <t>PKT100038IN</t>
  </si>
  <si>
    <t>COLA PU</t>
  </si>
  <si>
    <t>KG</t>
  </si>
  <si>
    <t>PKT200014C</t>
  </si>
  <si>
    <t>PANO DE CHAO</t>
  </si>
  <si>
    <t>PKT400388P</t>
  </si>
  <si>
    <t>PISO CARVALHO EUROPEU MARRONE CHEVRON 15/3 X 1900X 740MM</t>
  </si>
  <si>
    <t>PKT400389P</t>
  </si>
  <si>
    <t>PISO CARVALHO EUROPEU MARRONE 15/3 X 125 X 1200MM</t>
  </si>
  <si>
    <t>PKT400390P</t>
  </si>
  <si>
    <t>PISO CARVALHO EUROPEU MARRONE 15/3 X 190 X 1900MM</t>
  </si>
  <si>
    <t>PKT400391P</t>
  </si>
  <si>
    <t>PISO CARVALHO EUROPEU MARRONE 20/6 X 300 X 4000MM</t>
  </si>
  <si>
    <t>PKT400392P</t>
  </si>
  <si>
    <t>PISO CARVALHO EUROPEU MARRONE 20/6 X 400 X 5000MM</t>
  </si>
  <si>
    <t xml:space="preserve">PKT400386P </t>
  </si>
  <si>
    <t>PISO CARVALHO EUROPEU MONT BLANC CHEVRON 15/3 X 1900X 740MM</t>
  </si>
  <si>
    <t>PKT400406P</t>
  </si>
  <si>
    <t>PISO CARVALHO EUROPEU MONT BLANC ESPINHA DE PEIXE TG 15/3 X 125X900MM</t>
  </si>
  <si>
    <t>PKT400407P</t>
  </si>
  <si>
    <t>PISO CARVALHO EUROPEU MONT BLANC 15/3 X 125 X 1200MM</t>
  </si>
  <si>
    <t>PKT400408P</t>
  </si>
  <si>
    <t>PISO CARVALHO EUROPEU MONT BLANC 15/3 X 190 X 1900MM</t>
  </si>
  <si>
    <t>PKT400409P</t>
  </si>
  <si>
    <t>PISO CARVALHO EUROPEU MONT BLANC 20/6 X 300 X 4000MM</t>
  </si>
  <si>
    <t xml:space="preserve">PKT400630P </t>
  </si>
  <si>
    <t xml:space="preserve">PISO ASSOALHO TAUARI HONEY 19 X 60A3000 </t>
  </si>
  <si>
    <t>PKT400631P</t>
  </si>
  <si>
    <t>PISO TAUARI NATURALLE CHEVRON 9 x 54 MULTIESTRUTURADO</t>
  </si>
  <si>
    <t>PKT400633P</t>
  </si>
  <si>
    <t>PISO CUMARU ESPINHA DE PEIXE TG 15/3 X 125X900MM</t>
  </si>
  <si>
    <t>0001 </t>
  </si>
  <si>
    <t>PISO CARVALHO EUROPEU NATURAL TG 1.5/3X9X91CM</t>
  </si>
  <si>
    <t>PED-20260205-186</t>
  </si>
  <si>
    <t>SEP-20260205-630</t>
  </si>
  <si>
    <t>Equipe de Estoque</t>
  </si>
  <si>
    <t>Em Separação</t>
  </si>
  <si>
    <t>Itens sendo separados para o pedido</t>
  </si>
  <si>
    <t>PKT400404P</t>
  </si>
  <si>
    <t>PAINEL CARVALHO CARVALHO EUROPEU MARRONE 15/3 X 125 X 1200MM</t>
  </si>
  <si>
    <t>PAINEL CARVALHO CARVALHO EUROPEU MARRONE 15/3 X 190 X 1900MM</t>
  </si>
  <si>
    <t>PKT400663P</t>
  </si>
  <si>
    <t>MARCENARIA PAINEL LACA</t>
  </si>
  <si>
    <t>PKT400403P</t>
  </si>
  <si>
    <t>PAINEL CARVALHO CARVALHO EUROPEU MARRONE CHEVRON 15/3 X 1900X 740MM</t>
  </si>
  <si>
    <t>x</t>
  </si>
  <si>
    <t xml:space="preserve">M² * QTDE TOTAL </t>
  </si>
  <si>
    <t xml:space="preserve">Valor Total de Insumo </t>
  </si>
  <si>
    <t>Mão de Obra</t>
  </si>
  <si>
    <t>VALOR LIQUIDO</t>
  </si>
  <si>
    <t>LUCRO LIQUIDO</t>
  </si>
  <si>
    <t>FORRO CUMARU PREMIUM TG 2,5 X 5 X COMPR. VARIAVEIS</t>
  </si>
  <si>
    <t>MO</t>
  </si>
  <si>
    <t>MÃO DE OBRA</t>
  </si>
  <si>
    <t>H</t>
  </si>
  <si>
    <t>PKT400632P</t>
  </si>
  <si>
    <t>FORRO RIPADO CUMARU PREMIUM 1.8X3.5XCOMPR. VAR.</t>
  </si>
  <si>
    <t>PKT400634P</t>
  </si>
  <si>
    <t>FORRO RIPADO CUMARU PREMIUM 1.8X5XCOMPR. VAR.</t>
  </si>
  <si>
    <t>PKT400637P</t>
  </si>
  <si>
    <t>FORRO CONVENCIONAL CARVALHO EUROPEU LIGHT BROWN 15/3 X 190 X 1900MM</t>
  </si>
  <si>
    <t>PKT400653P</t>
  </si>
  <si>
    <t>FORRO CONVENCIONAL CARVALHO EUROPEU LIGHT BROWN 20/6 X 300 X 4000MM</t>
  </si>
  <si>
    <t>PKT400654P</t>
  </si>
  <si>
    <t>PISO CARVALHO EUROPEU - LISTONE GIORDANO (HERITAGE 140 FILIGRANA - SIENNA 1179) TG 1,25 X 14,0 X 83,50CM</t>
  </si>
  <si>
    <t>PKT400664P</t>
  </si>
  <si>
    <t>FORRO CARVALHO EUROPEU SMOKED 1.5/3X19X190CM</t>
  </si>
  <si>
    <t>PKT400671P</t>
  </si>
  <si>
    <t>FORRO CONVENCIONAL CARVALHO EUROPEU SNOW 15/3 X 190 X 1900MM</t>
  </si>
  <si>
    <t>PKT400894P</t>
  </si>
  <si>
    <t>FORRO CARVALHO EUROPEU LIGHT BROWN 1.5/3X19X190CM</t>
  </si>
  <si>
    <t>RODAPÉ CUMARU PREMIUM TG 2,5 X 5 X COMPR. VARIAVEIS</t>
  </si>
  <si>
    <t>PKT100218IN</t>
  </si>
  <si>
    <t>PINO F30</t>
  </si>
  <si>
    <t>Código Brascomm</t>
  </si>
  <si>
    <t xml:space="preserve">Descrição Brascomm </t>
  </si>
  <si>
    <t>PISO CARVALHO EUROPEU MONT BLANC 20/6 X 400 X 5000MM</t>
  </si>
  <si>
    <t>PISO CARVALHO EUROPEU NATURAL CHEVRON TG 15/3 X 125 X 775MM</t>
  </si>
  <si>
    <t>PISO CARVALHO EUROPEU NATURALLE CHEVRON 15/3 X 1900X 740MM</t>
  </si>
  <si>
    <t>PISO CARVALHO EUROPEU NATURALLE CHEVRON 60º 15/3 X 1900X 910MM</t>
  </si>
  <si>
    <t>PISO CARVALHO EUROPEU NATURALLE FINE 10/06 X 1900 X 1900MM</t>
  </si>
  <si>
    <t>PISO CARVALHO EUROPEU NATURALLE 15/3 X 125 X 1200MM</t>
  </si>
  <si>
    <t>PISO CARVALHO EUROPEU NATURALLE 15/3 X 190 X 1900MM</t>
  </si>
  <si>
    <t>PISO CARVALHO EUROPEU NATURALLE 20/6 X 300 X 4000MM</t>
  </si>
  <si>
    <t>PISO CARVALHO EUROPEU NATURALLE 20/6 X 400 X 5000MM</t>
  </si>
  <si>
    <t>PISO CARVALHO EUROPEU CAPUCCINO CHEVRON 15/3 X 1900X 740MM</t>
  </si>
  <si>
    <t>PISO CARVALHO EUROPEU CAPUCCINO 15/3 X 125 X 1200MM</t>
  </si>
  <si>
    <t>PISO CARVALHO EUROPEU CAPPUCCINO ESPINHA DE PEIXE TG 15/3 X 125X900MM</t>
  </si>
  <si>
    <t>PISO CARVALHO EUROPEU CAPUCCINO 15/3 X 190 X 1900MM</t>
  </si>
  <si>
    <t>PISO CARVALHO EUROPEU CAPUCCINO 20/6 X 300 X 4000MM</t>
  </si>
  <si>
    <t>PISO CARVALHO EUROPEU CAPUCCINO 20/6 X 400 X 5000MM</t>
  </si>
  <si>
    <t>PISO CARVALHO EUROPEU BABY GREY CHEVRON 15/3 X 1900X 740MM</t>
  </si>
  <si>
    <t>PISO CARVALHO EUROPEU BABY GREY 15/3 X 125 X 1200MM</t>
  </si>
  <si>
    <t>PISO CARVALHO EUROPEU BABY GREY 15/3 X 190 X 1900MM</t>
  </si>
  <si>
    <t>PISO CARVALHO EUROPEU BABY GREY 20/6 X 300 X 4000MM</t>
  </si>
  <si>
    <t>PISO CARVALHO EUROPEU BABY GREY 20/6 X 400 X 5000MM</t>
  </si>
  <si>
    <t>PISO CARVALHO EUROPEU GRIGIO NERO 15/3 X 125 X 1200MM</t>
  </si>
  <si>
    <t>PISO CARVALHO EUROPEU GRIGIO NERO 15/3 X 190 X 1900MM</t>
  </si>
  <si>
    <t>PISO CARVALHO EUROPEU GRIGIO NERO 20/6 X 300 X 4000MM</t>
  </si>
  <si>
    <t>PISO CARVALHO EUROPEU GRIGIO NERO 20/6 X 400 X 5000MM</t>
  </si>
  <si>
    <t>PISO CARVALHO EUROPEU LIGHT BROWN CHEVRON 15/3 X 1900X 740MM</t>
  </si>
  <si>
    <t>PISO CARVALHO EUROPEU LIGHT BROWN 15/3 X 125 X 1200MM</t>
  </si>
  <si>
    <t>PISO CARVALHO EUROPEU LIGHT BROWN 15/3 X 190 X 1900MM</t>
  </si>
  <si>
    <t>PISO CARVALHO EUROPEU LIGHT BROWN 20/6 X 300 X 4000MM</t>
  </si>
  <si>
    <t>PISO CARVALHO EUROPEU LIGHT BROWN 20/6 X 400 X 5000MM</t>
  </si>
  <si>
    <t>PISO CARVALHO EUROPEU - LISTONE GIORDANO (HERITAGE 140 FILIGRANA - SIENNA 1179) TG 1,25 X 14,0 X 83,50CM --</t>
  </si>
  <si>
    <t>PISO CARVALHO EUROPEU MILANO CHEVRON 15/3 X 1900X 740MM</t>
  </si>
  <si>
    <t>PISO CARVALHO EUROPEU MILANO 15/3 X 125 X 1200MM</t>
  </si>
  <si>
    <t>PISO CARVALHO EUROPEU MILANO 15/3 X 190 X 1900MM</t>
  </si>
  <si>
    <t>PISO CARVALHO EUROPEU MILANO 20/6 X 300 X 4000MM</t>
  </si>
  <si>
    <t>PISO CARVALHO EUROPEU MILANO 20/6 X 400 X 5000MM</t>
  </si>
  <si>
    <t>PISO CARVALHO EUROPEU SMOKED CHEVRON 15/3 X 1900X 740MM</t>
  </si>
  <si>
    <t>PISO CARVALHO EUROPEU SMOKED 15/3 X 125 X 1200MM</t>
  </si>
  <si>
    <t>PISO CARVALHO EUROPEU SMOKED 15/3 X 190 X 1900MM</t>
  </si>
  <si>
    <t>PISO CARVALHO EUROPEU SMOKED 20/6 X 300 X 4000MM</t>
  </si>
  <si>
    <t>PISO CARVALHO EUROPEU SMOKED 20/6 X 400 X 5000MM</t>
  </si>
  <si>
    <t>PISO CARVALHO EUROPEU GIZ CHEVRON 15/3 X 1900X 740MM</t>
  </si>
  <si>
    <t>PISO CARVALHO EUROPEU GIZ 15/3 X 125 X 1200MM</t>
  </si>
  <si>
    <t>PISO CARVALHO EUROPEU GIZ 15/3 X 190 X 1900MM</t>
  </si>
  <si>
    <t>PISO CARVALHO EUROPEU GIZ 20/6 X 300 X 4000MM</t>
  </si>
  <si>
    <t>PISO CARVALHO EUROPEU GIZ 20/6 X 400 X 5000MM</t>
  </si>
  <si>
    <t>PISO CARVALHO EUROPEU SNOW CHEVRON 15/3 X 1900X 740MM</t>
  </si>
  <si>
    <t>PISO CARVALHO EUROPEU SNOW 15/3 X 125 X 1200MM</t>
  </si>
  <si>
    <t>PISO CARVALHO EUROPEU SNOW 15/3 X 190 X 1900MM</t>
  </si>
  <si>
    <t>PISO CARVALHO EUROPEU SNOW 20/6 X 300 X 4000MM</t>
  </si>
  <si>
    <t>PISO CARVALHO EUROPEU SNOW 20/6 X 400 X 5000MM</t>
  </si>
  <si>
    <t>PISO CARVALHO EUROPEU WILD CHEVRON 15/3 X 1900X 740MM</t>
  </si>
  <si>
    <t>PISO CARVALHO EUROPEU WILD 15/3 X 125 X 1200MM</t>
  </si>
  <si>
    <t>PISO CARVALHO EUROPEU WILD 15/3 X 190 X 1900MM</t>
  </si>
  <si>
    <t>PISO CARVALHO EUROPEU WILD 20/6 X 300 X 4000MM</t>
  </si>
  <si>
    <t>PISO CARVALHO EUROPEU WILD 20/6 X 400 X 5000MM</t>
  </si>
  <si>
    <t>PISO CARVALHO EUROPEU NEVADO CHEVRON 15/3 X 1900X 740MM</t>
  </si>
  <si>
    <t>PISO CARVALHO EUROPEU NEVADO 15/3 X 125 X 1200MM</t>
  </si>
  <si>
    <t>PISO CARVALHO EUROPEU NEVADO 15/3 X 190 X 1900MM</t>
  </si>
  <si>
    <t>PISO CARVALHO EUROPEU NEVADO 20/6 X 300 X 4000MM</t>
  </si>
  <si>
    <t>PISO CARVALHO EUROPEU NEVADO 20/6 X 400 X 5000MM</t>
  </si>
  <si>
    <t>PISO CARVALHO EUROPEU CONCRETE GREY CHEVRON 15/3 X 1900X 740MM</t>
  </si>
  <si>
    <t>PISO CARVALHO EUROPEU CONCRETE GREY 15/3 X 125 X 1200MM</t>
  </si>
  <si>
    <t>PISO CARVALHO EUROPEU CONCRETE GREY 15/3 X 190 X 1900MM</t>
  </si>
  <si>
    <t>PISO CARVALHO EUROPEU CONCRETE GREY 20/6 X 300 X 4000MM</t>
  </si>
  <si>
    <t>PISO CARVALHO EUROPEU CONCRETE GREY 20/6 X 400 X 5000MM</t>
  </si>
  <si>
    <t>PISO CARVALHO EUROPEU ITALY BROWN CHEVRON 15/3 X 1900X 740MM</t>
  </si>
  <si>
    <t>PISO CARVALHO EUROPEU ITALY BROWN 15/3 X 125 X 1200MM</t>
  </si>
  <si>
    <t>PISO CARVALHO EUROPEU ITALY BROWN 15/3 X 190 X 1900MM</t>
  </si>
  <si>
    <t>PISO CARVALHO EUROPEU ITALY BROWN 20/6 X 300 X 4000MM</t>
  </si>
  <si>
    <t>PISO CARVALHO EUROPEU ITALY BROWN 20/6 X 400 X 5000MM</t>
  </si>
  <si>
    <t>PISO CARVALHO EUROPEU ALL BLACK CHEVRON 15/3 X 1900X 740MM</t>
  </si>
  <si>
    <t>PISO CARVALHO EUROPEU ALL BLACK 15/3 X 125 X 1200MM</t>
  </si>
  <si>
    <t>PISO CARVALHO EUROPEU BLACK CHEVRON TG 15/3 X 125 X 775CM</t>
  </si>
  <si>
    <t>PISO CARVALHO EUROPEU ALL BLACK 15/3 X 190 X 1900MM</t>
  </si>
  <si>
    <t>PISO CARVALHO EUROPEU ALL BLACK 20/6 X 300 X 4000MM</t>
  </si>
  <si>
    <t>PISO CARVALHO EUROPEU ALL BLACK 20/6 X 400 X 5000MM</t>
  </si>
  <si>
    <t>PISO CARVALHO EUROPEU URBAN GREY CHEVRON 15/3 X 1900X 740MM</t>
  </si>
  <si>
    <t>PISO CARVALHO EUROPEU URBAN GREY 15/3 X 125 X 1200MM</t>
  </si>
  <si>
    <t>PISO CARVALHO EUROPEU URBAN GREY 15/3 X 190 X 1900MM</t>
  </si>
  <si>
    <t>PISO CARVALHO EUROPEU URBAN GREY 20/6 X 300 X 4000MM</t>
  </si>
  <si>
    <t>PISO CARVALHO EUROPEU URBAN GREY 20/6 X 400 X 5000MM</t>
  </si>
  <si>
    <t>PISO CARVALHO EUROPEU CARAMEL CHEVRON 15/3 X 1900X 740MM</t>
  </si>
  <si>
    <t>PISO CARVALHO EUROPEU CARAMEL 15/3 X 125 X 1200MM</t>
  </si>
  <si>
    <t>PISO CARVALHO EUROPEU CARAMEL 15/3 X 190 X 1900MM</t>
  </si>
  <si>
    <t>PISO CARVALHO EUROPEU CARAMEL 20/6 X 300 X 4000MM</t>
  </si>
  <si>
    <t>PISO CARVALHO EUROPEU CARAMEL 20/6 X 400 X 5000MM</t>
  </si>
  <si>
    <t>PISO CARVALHO EUROPEU CHEMICAL CHEVRON TG 15/3*190*740MM</t>
  </si>
  <si>
    <t>PISO CARVALHO EUROPEU WHITE RUSTIC 15/4*189*1860MM</t>
  </si>
  <si>
    <t>PISO CARVALHO EUROPEU CUSTOMIZADO 14/3 X 12,7 X 186CM</t>
  </si>
  <si>
    <t>PISO CARVALHO EUROPEU CUSTOMIZADO 2.0 X 19 X 190CM (C2)</t>
  </si>
  <si>
    <t>PISO CARVALHO EUROPEU NATURAL CHEVRON TG 1.5/3 X 9X 51CM</t>
  </si>
  <si>
    <t>PISO CARVALHO EUROPEU NATURAL TG 1.5/3 X 9 X 91CM</t>
  </si>
  <si>
    <t>PISO CARVALHO EUROPEU NUDE CHEVRON 60.. TG 15/3 X 190 X 90CM</t>
  </si>
  <si>
    <t>PISO CARVALHO EUROPEU NUDE CHEVRON TG 1.5/3X 12.5X 63CM</t>
  </si>
  <si>
    <t>PISO WALNUT 15/3 X 125 X 910MM</t>
  </si>
  <si>
    <t>PISO WALNUT 15/3 X 190 X 1900MM</t>
  </si>
  <si>
    <t>PISO WALNUT 20/2 X 300 X 4000MM</t>
  </si>
  <si>
    <t>PISO BAMBU ALTA DENS. CUST PREMIUM TG 1.5/4 X19X185CM</t>
  </si>
  <si>
    <t>PISO BAMBU CARAMEL ALTA DENSIDADE TG 1.5/4 X19X186CM</t>
  </si>
  <si>
    <t>PISO RIPADO CUMARU PREMIUM TG 1,8 X 3,5+0,5CM PROF. BIT 0</t>
  </si>
  <si>
    <t>PISO RIPADO CATUABA PREMIUM TG 1,8 X 3,5+0,5CM PROF. BIT 0</t>
  </si>
  <si>
    <t>PISO RIPADO CABREUVA BRANCA PREMIUM TG 1,8 X 3,5+0,5CM PROF. BIT 0</t>
  </si>
  <si>
    <t>PISO RIPADO CABREUVA DOURADA PREMIUM TG 1,8 X 3,5+0,5CM PROF. BIT 0</t>
  </si>
  <si>
    <t>PISO RIPADO TAUARI PREMIUM TG 1,8 X 3,5+0,5CM PROF. BIT 0</t>
  </si>
  <si>
    <t>PISO RIPADO PEROBA PREMIUM TG 1,8 X 3,5+0,5CM PROF. BIT 0</t>
  </si>
  <si>
    <t>PISO RIPADO LORO PARDO PREMIUM TG 1,8 X 3,5+0,5CM PROF. BIT 0</t>
  </si>
  <si>
    <t>PISO CUMARU MULTI PREMIUM 19 X 190 X 600 A 2200MM</t>
  </si>
  <si>
    <t>PISO CATUABA MULTI PREMIUM 19 X 190 X 600 A 2200MM</t>
  </si>
  <si>
    <t>PISO CABREUVA BRACA MULTI PREMIUM 19 X 190 X 600 A 2200MM</t>
  </si>
  <si>
    <t>PISO CABREUVA DOURADA MULTI PREMIUM 19 X 190 X 600 A 2200MM</t>
  </si>
  <si>
    <t>PISO TAUARI MULTI PREMIUM 19 X 190 X 600 A 2200MM</t>
  </si>
  <si>
    <t>PISO PEROBA MULTI PREMIUM 19 X 190 X 600 A 2200MM</t>
  </si>
  <si>
    <t>PISO LORO PARDO MULTI PREMIUM 19 X 190 X 600 A 2200MM</t>
  </si>
  <si>
    <t>PISO MUXARABI CUMARU PREMIUM</t>
  </si>
  <si>
    <t>PISO MUXARABI CATUABA PREMIUM</t>
  </si>
  <si>
    <t>PISO MUXARABI CABREUVA BRANCA PREMIUM</t>
  </si>
  <si>
    <t>PISO MUXARABI CABREUVA DOURADA PREMIUM</t>
  </si>
  <si>
    <t>PISO MUXARABI TAUARI PREMIUM</t>
  </si>
  <si>
    <t>PISO MUXARABI PEROBA PREMIUM</t>
  </si>
  <si>
    <t>PISO MUXARABI LORO PARDO PREMIUM</t>
  </si>
  <si>
    <t>PISO TOBLERONE CUMARU PREMIUM 3 X 3 COMPR. VARIAVEIS</t>
  </si>
  <si>
    <t>PISO TOBLERONE CATUABA PREMIUM 3 X 3 COMPR. VARIAVEIS</t>
  </si>
  <si>
    <t>PISO TOBLERONE CABREUVA BRANCA PREMIUM 3 X 3 COMPR. VARIAVEIS</t>
  </si>
  <si>
    <t>PISO TOBLERONE CABREUVA DOURADA PREMIUM 3 X 3 COMPR. VARIAVEIS</t>
  </si>
  <si>
    <t>PISO TOBLERONE TAUARI PREMIUM 3 X 3 COMPR. VARIAVEIS</t>
  </si>
  <si>
    <t>PISO TOBLERONE PEROBA PREMIUM 3 X 3 COMPR. VARIAVEIS</t>
  </si>
  <si>
    <t>PISO TOBLERONE LORO PARDO PREMIUM 3 X 3 COMPR. VARIAVEIS</t>
  </si>
  <si>
    <t>PISO DECK CUMARU PREMIUM TG 2,5 X 5 X COMPR. VARIAVEIS</t>
  </si>
  <si>
    <t>PISO DECK CUMARU PREMIUM TG 2,5 X 10 X COMPR. VARIAVEIS</t>
  </si>
  <si>
    <t>PISO DECK CATUABA PREMIUM TG 2,5 X 5 X COMPR. VARIAVEIS</t>
  </si>
  <si>
    <t>PISO DECK CATUABA PREMIUM TG 2,5 X 10 X COMPR. VARIAVEIS</t>
  </si>
  <si>
    <t>PISO DECK CABREUVA BRANCA PREMIUM TG 2,5 X 5 X COMPR. VARIAVEIS</t>
  </si>
  <si>
    <t>PISO DECK CABREUVA BRANCA PREMIUM TG 2,5 X 10 X COMPR. VARIAVEIS</t>
  </si>
  <si>
    <t>PISO DECK CABREUVA DOURADA PREMIUM TG 2,5 X 5 X COMPR. VARIAVEIS</t>
  </si>
  <si>
    <t>PISO DECK CABREUVA DOURADA PREMIUM TG 2,5 X 10 X COMPR. VARIAVEIS</t>
  </si>
  <si>
    <t>PISO DECK TAUARI PREMIUM TG 2,5 X 5 X COMPR. VARIAVEIS</t>
  </si>
  <si>
    <t>PISO DECK TAUARI PREMIUM TG 2,5 X 10 X COMPR. VARIAVEIS</t>
  </si>
  <si>
    <t>PISO DECK PEROBA PREMIUM TG 2,5 X 5 X COMPR. VARIAVEIS</t>
  </si>
  <si>
    <t>PISO DECK PEROBA PREMIUM TG 2,5 X 10 X COMPR. VARIAVEIS</t>
  </si>
  <si>
    <t>PISO DECK BAMBU CARAMEL ALTA DENSIDADE</t>
  </si>
  <si>
    <t>PISO DECK BPC CINZA ESCURO 2 X15X 290CM PÇ/0.435M2</t>
  </si>
  <si>
    <t>PISO DECK BPC MORROM 2X15X220CM</t>
  </si>
  <si>
    <t>PISO DECK WPC CINZA 2,2*14,6*220CM</t>
  </si>
  <si>
    <t>PISO PEROBA RUSTICA DE DEMOLIÇÃO</t>
  </si>
  <si>
    <t>PISO CANELA RUSTICA DE DEMOLIÇÃO</t>
  </si>
  <si>
    <t>FORRO CONVENCIONAL CARVALHO EUROPEU MARRONE CHEVRON 15/3 X 1900X 740MM</t>
  </si>
  <si>
    <t>FORRO CONVENCIONAL CARVALHO EUROPEU MARRONE 15/3 X 125 X 1200MM</t>
  </si>
  <si>
    <t>FORRO CONVENCIONAL CARVALHO EUROPEU MARRONE 15/3 X 190 X 1900MM</t>
  </si>
  <si>
    <t>FORRO CONVENCIONAL CARVALHO EUROPEU MARRONE 20/6 X 300 X 4000MM</t>
  </si>
  <si>
    <t>FORRO CONVENCIONAL CARVALHO EUROPEU MARRONE 20/6 X 400 X 5000MM</t>
  </si>
  <si>
    <t>FORRO CONVENCIONAL CARVALHO EUROPEU MONT BLANC CHEVRON 15/3 X 1900X 740MM</t>
  </si>
  <si>
    <t>FORRO CONVENCIONAL CARVALHO EUROPEU MONT BLANC ESPINHA DE PEIXE TG 15/3 X 125X900MM</t>
  </si>
  <si>
    <t>FORRO CONVENCIONAL CARVALHO EUROPEU MONT BLANC 15/3 X 125 X 1200MM</t>
  </si>
  <si>
    <t>FORRO CONVENCIONAL CARVALHO EUROPEU MONT BLANC 15/3 X 190 X 1900MM</t>
  </si>
  <si>
    <t>FORRO CONVENCIONAL CARVALHO EUROPEU MONT BLANC 20/6 X 300 X 4000MM</t>
  </si>
  <si>
    <t>FORRO CONVENCIONAL CARVALHO EUROPEU MONT BLANC 20/6 X 400 X 5000MM</t>
  </si>
  <si>
    <t>FORRO CONVENCIONAL CARVALHO EUROPEU NATURAL CHEVRON TG 15/3 X 125 X 775MM</t>
  </si>
  <si>
    <t>FORRO CONVENCIONAL CARVALHO EUROPEU NATURALLE CHEVRON 15/3 X 1900X 740MM</t>
  </si>
  <si>
    <t>FORRO CONVENCIONAL CARVALHO EUROPEU NATURALLE CHEVRON 60º 15/3 X 1900X 910MM</t>
  </si>
  <si>
    <t>FORRO CONVENCIONAL CARVALHO EUROPEU NATURALLE FINE 10/06 X 1900 X 1900MM</t>
  </si>
  <si>
    <t>FORRO CONVENCIONAL CARVALHO EUROPEU NATURALLE 15/3 X 125 X 1200MM</t>
  </si>
  <si>
    <t>FORRO CONVENCIONAL CARVALHO EUROPEU NATURALLE 15/3 X 190 X 1900MM</t>
  </si>
  <si>
    <t>FORRO CONVENCIONAL CARVALHO EUROPEU NATURALLE 20/6 X 300 X 4000MM</t>
  </si>
  <si>
    <t>FORRO CONVENCIONAL CARVALHO EUROPEU NATURALLE 20/6 X 400 X 5000MM</t>
  </si>
  <si>
    <t>FORRO CONVENCIONAL CARVALHO EUROPEU CAPUCCINO CHEVRON 15/3 X 1900X 740MM</t>
  </si>
  <si>
    <t>FORRO CONVENCIONAL CARVALHO EUROPEU CAPUCCINO 15/3 X 125 X 1200MM</t>
  </si>
  <si>
    <t>FORRO CONVENCIONAL CARVALHO EUROPEU CAPPUCCINO ESPINHA DE PEIXE TG 15/3 X 125X900MM</t>
  </si>
  <si>
    <t>FORRO CONVENCIONAL CARVALHO EUROPEU CAPUCCINO 15/3 X 190 X 1900MM</t>
  </si>
  <si>
    <t>FORRO CONVENCIONAL CARVALHO EUROPEU CAPUCCINO 20/6 X 300 X 4000MM</t>
  </si>
  <si>
    <t>FORRO CONVENCIONAL CARVALHO EUROPEU CAPUCCINO 20/6 X 400 X 5000MM</t>
  </si>
  <si>
    <t>FORRO CONVENCIONAL CARVALHO EUROPEU BABY GREY CHEVRON 15/3 X 1900X 740MM</t>
  </si>
  <si>
    <t>FORRO CONVENCIONAL CARVALHO EUROPEU BABY GREY 15/3 X 125 X 1200MM</t>
  </si>
  <si>
    <t>FORRO CONVENCIONAL CARVALHO EUROPEU BABY GREY 15/3 X 190 X 1900MM</t>
  </si>
  <si>
    <t>FORRO CONVENCIONAL CARVALHO EUROPEU BABY GREY 20/6 X 300 X 4000MM</t>
  </si>
  <si>
    <t>FORRO CONVENCIONAL CARVALHO EUROPEU BABY GREY 20/6 X 400 X 5000MM</t>
  </si>
  <si>
    <t>FORRO CONVENCIONAL CARVALHO EUROPEU GRIGIO NERO CHEVRON 15/3 X 1900X 740MM</t>
  </si>
  <si>
    <t>FORRO CONVENCIONAL CARVALHO EUROPEU GRIGIO NERO 15/3 X 125 X 1200MM</t>
  </si>
  <si>
    <t>FORRO CONVENCIONAL CARVALHO EUROPEU GRIGIO NERO 15/3 X 190 X 1900MM</t>
  </si>
  <si>
    <t>FORRO CONVENCIONAL CARVALHO EUROPEU GRIGIO NERO 20/6 X 300 X 4000MM</t>
  </si>
  <si>
    <t>FORRO CONVENCIONAL CARVALHO EUROPEU GRIGIO NERO 20/6 X 400 X 5000MM</t>
  </si>
  <si>
    <t>FORRO CONVENCIONAL CARVALHO EUROPEU LIGHT BROWN CHEVRON 15/3 X 1900X 740MM</t>
  </si>
  <si>
    <t>FORRO CONVENCIONAL CARVALHO EUROPEU LIGHT BROWN 15/3 X 125 X 1200MM</t>
  </si>
  <si>
    <t>FORRO CONVENCIONAL CARVALHO EUROPEU LIGHT BROWN 20/6 X 400 X 5000MM</t>
  </si>
  <si>
    <t>FORRO CONVENCIONAL CARVALHO EUROPEU - LISTONE GIORDANO (HERITAGE 140 FILIGRANA - SIENNA 1179) TG 1,25 X 14,0 X 83,50CM --</t>
  </si>
  <si>
    <t>FORRO CONVENCIONAL CARVALHO EUROPEU MILANO CHEVRON 15/3 X 1900X 740MM</t>
  </si>
  <si>
    <t>FORRO CONVENCIONAL CARVALHO EUROPEU MILANO 15/3 X 125 X 1200MM</t>
  </si>
  <si>
    <t>FORRO CONVENCIONAL CARVALHO EUROPEU MILANO 15/3 X 190 X 1900MM</t>
  </si>
  <si>
    <t>FORRO CONVENCIONAL CARVALHO EUROPEU MILANO 20/6 X 300 X 4000MM</t>
  </si>
  <si>
    <t>FORRO CONVENCIONAL CARVALHO EUROPEU MILANO 20/6 X 400 X 5000MM</t>
  </si>
  <si>
    <t>FORRO CONVENCIONAL CARVALHO EUROPEU SMOKED CHEVRON 15/3 X 1900X 740MM</t>
  </si>
  <si>
    <t>FORRO CONVENCIONAL CARVALHO EUROPEU SMOKED 15/3 X 125 X 1200MM</t>
  </si>
  <si>
    <t>FORRO CONVENCIONAL CARVALHO EUROPEU SMOKED 15/3 X 190 X 1900MM</t>
  </si>
  <si>
    <t>FORRO CONVENCIONAL CARVALHO EUROPEU SMOKED 20/6 X 300 X 4000MM</t>
  </si>
  <si>
    <t>FORRO CONVENCIONAL CARVALHO EUROPEU SMOKED 20/6 X 400 X 5000MM</t>
  </si>
  <si>
    <t>FORRO CONVENCIONAL CARVALHO EUROPEU GIZ CHEVRON 15/3 X 1900X 740MM</t>
  </si>
  <si>
    <t>FORRO CONVENCIONAL CARVALHO EUROPEU GIZ 15/3 X 125 X 1200MM</t>
  </si>
  <si>
    <t>FORRO CONVENCIONAL CARVALHO EUROPEU GIZ 15/3 X 190 X 1900MM</t>
  </si>
  <si>
    <t>FORRO CONVENCIONAL CARVALHO EUROPEU GIZ 20/6 X 300 X 4000MM</t>
  </si>
  <si>
    <t>FORRO CONVENCIONAL CARVALHO EUROPEU GIZ 20/6 X 400 X 5000MM</t>
  </si>
  <si>
    <t>FORRO CONVENCIONAL CARVALHO EUROPEU SNOW CHEVRON 15/3 X 1900X 740MM</t>
  </si>
  <si>
    <t>FORRO CONVENCIONAL CARVALHO EUROPEU SNOW 15/3 X 125 X 1200MM</t>
  </si>
  <si>
    <t>FORRO CONVENCIONAL CARVALHO EUROPEU SNOW 20/6 X 300 X 4000MM</t>
  </si>
  <si>
    <t>FORRO CONVENCIONAL CARVALHO EUROPEU SNOW 20/6 X 400 X 5000MM</t>
  </si>
  <si>
    <t>FORRO CONVENCIONAL CARVALHO EUROPEU WILD CHEVRON 15/3 X 1900X 740MM</t>
  </si>
  <si>
    <t>FORRO CONVENCIONAL CARVALHO EUROPEU WILD 15/3 X 125 X 1200MM</t>
  </si>
  <si>
    <t>FORRO CONVENCIONAL CARVALHO EUROPEU WILD 15/3 X 190 X 1900MM</t>
  </si>
  <si>
    <t>FORRO CONVENCIONAL CARVALHO EUROPEU WILD 20/6 X 300 X 4000MM</t>
  </si>
  <si>
    <t>FORRO CONVENCIONAL CARVALHO EUROPEU WILD 20/6 X 400 X 5000MM</t>
  </si>
  <si>
    <t>FORRO CONVENCIONAL CARVALHO EUROPEU NEVADO CHEVRON 15/3 X 1900X 740MM</t>
  </si>
  <si>
    <t>FORRO CONVENCIONAL CARVALHO EUROPEU NEVADO 15/3 X 125 X 1200MM</t>
  </si>
  <si>
    <t>FORRO CONVENCIONAL CARVALHO EUROPEU NEVADO 15/3 X 190 X 1900MM</t>
  </si>
  <si>
    <t>FORRO CONVENCIONAL CARVALHO EUROPEU NEVADO 20/6 X 300 X 4000MM</t>
  </si>
  <si>
    <t>FORRO CONVENCIONAL CARVALHO EUROPEU NEVADO 20/6 X 400 X 5000MM</t>
  </si>
  <si>
    <t>FORRO CONVENCIONAL CARVALHO EUROPEU CONCRETE GREY CHEVRON 15/3 X 1900X 740MM</t>
  </si>
  <si>
    <t>FORRO CONVENCIONAL CARVALHO EUROPEU CONCRETE GREY 15/3 X 125 X 1200MM</t>
  </si>
  <si>
    <t>FORRO CONVENCIONAL CARVALHO EUROPEU CONCRETE GREY 15/3 X 190 X 1900MM</t>
  </si>
  <si>
    <t>FORRO CONVENCIONAL CARVALHO EUROPEU CONCRETE GREY 20/6 X 300 X 4000MM</t>
  </si>
  <si>
    <t>FORRO CONVENCIONAL CARVALHO EUROPEU CONCRETE GREY 20/6 X 400 X 5000MM</t>
  </si>
  <si>
    <t>FORRO CONVENCIONAL CARVALHO EUROPEU ITALY BROWN CHEVRON 15/3 X 1900X 740MM</t>
  </si>
  <si>
    <t>FORRO CONVENCIONAL CARVALHO EUROPEU ITALY BROWN 15/3 X 125 X 1200MM</t>
  </si>
  <si>
    <t>FORRO CONVENCIONAL CARVALHO EUROPEU ITALY BROWN 15/3 X 190 X 1900MM</t>
  </si>
  <si>
    <t>FORRO CONVENCIONAL CARVALHO EUROPEU ITALY BROWN 20/6 X 300 X 4000MM</t>
  </si>
  <si>
    <t>FORRO CONVENCIONAL CARVALHO EUROPEU ITALY BROWN 20/6 X 400 X 5000MM</t>
  </si>
  <si>
    <t>FORRO CONVENCIONAL CARVALHO EUROPEU ALL BLACK CHEVRON 15/3 X 1900X 740MM</t>
  </si>
  <si>
    <t>FORRO CONVENCIONAL CARVALHO EUROPEU ALL BLACK 15/3 X 125 X 1200MM</t>
  </si>
  <si>
    <t>FORRO CONVENCIONAL CARVALHO EUROPEU BLACK CHEVRON TG 15/3 X 125 X 775CM</t>
  </si>
  <si>
    <t>FORRO CONVENCIONAL CARVALHO EUROPEU ALL BLACK 15/3 X 190 X 1900MM</t>
  </si>
  <si>
    <t>FORRO CONVENCIONAL CARVALHO EUROPEU ALL BLACK 20/6 X 300 X 4000MM</t>
  </si>
  <si>
    <t>FORRO CONVENCIONAL CARVALHO EUROPEU ALL BLACK 20/6 X 400 X 5000MM</t>
  </si>
  <si>
    <t>FORRO CONVENCIONAL CARVALHO EUROPEU URBAN GREY CHEVRON 15/3 X 1900X 740MM</t>
  </si>
  <si>
    <t>FORRO CONVENCIONAL CARVALHO EUROPEU URBAN GREY 15/3 X 125 X 1200MM</t>
  </si>
  <si>
    <t>FORRO CONVENCIONAL CARVALHO EUROPEU URBAN GREY 15/3 X 190 X 1900MM</t>
  </si>
  <si>
    <t>FORRO CONVENCIONAL CARVALHO EUROPEU URBAN GREY 20/6 X 300 X 4000MM</t>
  </si>
  <si>
    <t>FORRO CONVENCIONAL CARVALHO EUROPEU URBAN GREY 20/6 X 400 X 5000MM</t>
  </si>
  <si>
    <t>FORRO CONVENCIONAL CARVALHO EUROPEU CARAMEL CHEVRON 15/3 X 1900X 740MM</t>
  </si>
  <si>
    <t>FORRO CONVENCIONAL CARVALHO EUROPEU CARAMEL 15/3 X 125 X 1200MM</t>
  </si>
  <si>
    <t>FORRO CONVENCIONAL CARVALHO EUROPEU CARAMEL 15/3 X 190 X 1900MM</t>
  </si>
  <si>
    <t>FORRO CONVENCIONAL CARVALHO EUROPEU CARAMEL 20/6 X 300 X 4000MM</t>
  </si>
  <si>
    <t>FORRO CONVENCIONAL CARVALHO EUROPEU CARAMEL 20/6 X 400 X 5000MM</t>
  </si>
  <si>
    <t>FORRO CONVENCIONAL CARVALHO EUROPEU CHEMICAL CHEVRON TG 15/3*190*740MM</t>
  </si>
  <si>
    <t>FORRO CONVENCIONAL CARVALHO EUROPEU WHITE RUSTIC 15/4*189*1860MM</t>
  </si>
  <si>
    <t>FORRO CONVENCIONAL CARVALHO EUROPEU CUSTOMIZADO 14/3 X 12,7 X 186CM</t>
  </si>
  <si>
    <t>FORRO CONVENCIONAL CARVALHO EUROPEU CUSTOMIZADO 2.0 X 19 X 190CM (C2)</t>
  </si>
  <si>
    <t>FORRO CONVENCIONAL CARVALHO EUROPEU NATURAL CHEVRON TG 1.5/3 X 9X 51CM</t>
  </si>
  <si>
    <t>FORRO CONVENCIONAL CARVALHO EUROPEU NATURAL TG 1.5/3 X 9 X 91CM</t>
  </si>
  <si>
    <t>FORRO CONVENCIONAL CARVALHO EUROPEU NUDE CHEVRON 60.. TG 15/3 X 190 X 90CM</t>
  </si>
  <si>
    <t>FORRO CONVENCIONAL CARVALHO EUROPEU NUDE CHEVRON TG 1.5/3X 12.5X 63CM</t>
  </si>
  <si>
    <t>FORRO CONVENCIONAL WALNUT 15/3 X 125 X 910MM</t>
  </si>
  <si>
    <t>FORRO CONVENCIONAL WALNUT 15/3 X 190 X 1900MM</t>
  </si>
  <si>
    <t>FORRO CONVENCIONAL WALNUT 20/2 X 300 X 4000MM</t>
  </si>
  <si>
    <t>FORRO CONVENCIONAL BAMBU ALTA DENS. CUST PREMIUM TG 1.5/4 X19X185CM</t>
  </si>
  <si>
    <t>FORRO CONVENCIONAL BAMBU CARAMEL ALTA DENSIDADE TG 1.5/4 X19X186CM</t>
  </si>
  <si>
    <t>FORRO CONVENCIONAL RIPADO CUMARU PREMIUM TG 1,8 X 3,5+0,5CM PROF. BIT 0</t>
  </si>
  <si>
    <t>FORRO CONVENCIONAL RIPADO CATUABA PREMIUM TG 1,8 X 3,5+0,5CM PROF. BIT 0</t>
  </si>
  <si>
    <t>FORRO CONVENCIONAL RIPADO CABREUVA BRANCA PREMIUM TG 1,8 X 3,5+0,5CM PROF. BIT 0</t>
  </si>
  <si>
    <t>FORRO CONVENCIONAL RIPADO CABREUVA DOURADA PREMIUM TG 1,8 X 3,5+0,5CM PROF. BIT 0</t>
  </si>
  <si>
    <t>FORRO CONVENCIONAL RIPADO TAUARI PREMIUM TG 1,8 X 3,5+0,5CM PROF. BIT 0</t>
  </si>
  <si>
    <t>FORRO CONVENCIONAL RIPADO PEROBA PREMIUM TG 1,8 X 3,5+0,5CM PROF. BIT 0</t>
  </si>
  <si>
    <t>FORRO CONVENCIONAL RIPADO LORO PARDO PREMIUM TG 1,8 X 3,5+0,5CM PROF. BIT 0</t>
  </si>
  <si>
    <t>FORRO CONVENCIONAL CUMARU MULTI PREMIUM 19 X 190 X 600 A 2200MM</t>
  </si>
  <si>
    <t>FORRO CONVENCIONAL CATUABA MULTI PREMIUM 19 X 190 X 600 A 2200MM</t>
  </si>
  <si>
    <t>FORRO CONVENCIONAL CABREUVA BRACA MULTI PREMIUM 19 X 190 X 600 A 2200MM</t>
  </si>
  <si>
    <t>FORRO CONVENCIONAL CABREUVA DOURADA MULTI PREMIUM 19 X 190 X 600 A 2200MM</t>
  </si>
  <si>
    <t>FORRO CONVENCIONAL TAUARI MULTI PREMIUM 19 X 190 X 600 A 2200MM</t>
  </si>
  <si>
    <t>FORRO CONVENCIONAL PEROBA MULTI PREMIUM 19 X 190 X 600 A 2200MM</t>
  </si>
  <si>
    <t>FORRO CONVENCIONAL LORO PARDO MULTI PREMIUM 19 X 190 X 600 A 2200MM</t>
  </si>
  <si>
    <t>FORRO CONVENCIONAL MUXARABI CUMARU PREMIUM</t>
  </si>
  <si>
    <t>FORRO CONVENCIONAL MUXARABI CATUABA PREMIUM</t>
  </si>
  <si>
    <t>FORRO CONVENCIONAL MUXARABI CABREUVA BRANCA PREMIUM</t>
  </si>
  <si>
    <t>FORRO CONVENCIONAL MUXARABI CABREUVA DOURADA PREMIUM</t>
  </si>
  <si>
    <t>FORRO CONVENCIONAL MUXARABI TAUARI PREMIUM</t>
  </si>
  <si>
    <t>FORRO CONVENCIONAL MUXARABI PEROBA PREMIUM</t>
  </si>
  <si>
    <t>FORRO CONVENCIONAL MUXARABI LORO PARDO PREMIUM</t>
  </si>
  <si>
    <t>FORRO CONVENCIONAL TOBLERONE CUMARU PREMIUM 3 X 3 COMPR. VARIAVEIS</t>
  </si>
  <si>
    <t>FORRO CONVENCIONAL TOBLERONE CATUABA PREMIUM 3 X 3 COMPR. VARIAVEIS</t>
  </si>
  <si>
    <t>FORRO CONVENCIONAL TOBLERONE CABREUVA BRANCA PREMIUM 3 X 3 COMPR. VARIAVEIS</t>
  </si>
  <si>
    <t>FORRO CONVENCIONAL TOBLERONE CABREUVA DOURADA PREMIUM 3 X 3 COMPR. VARIAVEIS</t>
  </si>
  <si>
    <t>FORRO CONVENCIONAL TOBLERONE TAUARI PREMIUM 3 X 3 COMPR. VARIAVEIS</t>
  </si>
  <si>
    <t>FORRO CONVENCIONAL TOBLERONE PEROBA PREMIUM 3 X 3 COMPR. VARIAVEIS</t>
  </si>
  <si>
    <t>FORRO CONVENCIONAL TOBLERONE LORO PARDO PREMIUM 3 X 3 COMPR. VARIAVEIS</t>
  </si>
  <si>
    <t>FORRO CONVENCIONAL DECK CUMARU PREMIUM TG 2,5 X 5 X COMPR. VARIAVEIS</t>
  </si>
  <si>
    <t>FORRO CONVENCIONAL DECK CUMARU PREMIUM TG 2,5 X 10 X COMPR. VARIAVEIS</t>
  </si>
  <si>
    <t>FORRO CONVENCIONAL DECK CATUABA PREMIUM TG 2,5 X 5 X COMPR. VARIAVEIS</t>
  </si>
  <si>
    <t>FORRO CONVENCIONAL DECK CATUABA PREMIUM TG 2,5 X 10 X COMPR. VARIAVEIS</t>
  </si>
  <si>
    <t>FORRO CONVENCIONAL DECK CABREUVA BRANCA PREMIUM TG 2,5 X 5 X COMPR. VARIAVEIS</t>
  </si>
  <si>
    <t>FORRO CONVENCIONAL DECK CABREUVA BRANCA PREMIUM TG 2,5 X 10 X COMPR. VARIAVEIS</t>
  </si>
  <si>
    <t>FORRO CONVENCIONAL DECK CABREUVA DOURADA PREMIUM TG 2,5 X 5 X COMPR. VARIAVEIS</t>
  </si>
  <si>
    <t>FORRO CONVENCIONAL DECK CABREUVA DOURADA PREMIUM TG 2,5 X 10 X COMPR. VARIAVEIS</t>
  </si>
  <si>
    <t>FORRO CONVENCIONAL DECK TAUARI PREMIUM TG 2,5 X 5 X COMPR. VARIAVEIS</t>
  </si>
  <si>
    <t>FORRO CONVENCIONAL DECK TAUARI PREMIUM TG 2,5 X 10 X COMPR. VARIAVEIS</t>
  </si>
  <si>
    <t>FORRO CONVENCIONAL DECK PEROBA PREMIUM TG 2,5 X 5 X COMPR. VARIAVEIS</t>
  </si>
  <si>
    <t>FORRO CONVENCIONAL DECK PEROBA PREMIUM TG 2,5 X 10 X COMPR. VARIAVEIS</t>
  </si>
  <si>
    <t>FORRO CONVENCIONAL DECK BAMBU CARAMEL ALTA DENSIDADE</t>
  </si>
  <si>
    <t>FORRO CONVENCIONAL DECK BPC CINZA ESCURO 2 X15X 290CM PÇ/0.435M2</t>
  </si>
  <si>
    <t>FORRO CONVENCIONAL DECK BPC MORROM 2X15X220CM</t>
  </si>
  <si>
    <t>FORRO CONVENCIONAL DECK WPC CINZA 2,2*14,6*220CM</t>
  </si>
  <si>
    <t>FORRO CONVENCIONAL PEROBA RUSTICA DE DEMOLIÇÃO</t>
  </si>
  <si>
    <t>FORRO CONVENCIONAL CANELA RUSTICA DE DEMOLIÇÃO</t>
  </si>
  <si>
    <t>PAINEL CARVALHO CARVALHO EUROPEU MARRONE 20/6 X 300 X 4000MM</t>
  </si>
  <si>
    <t>PAINEL CARVALHO CARVALHO EUROPEU MARRONE 20/6 X 400 X 5000MM</t>
  </si>
  <si>
    <t>PAINEL CARVALHO CARVALHO EUROPEU MONT BLANC CHEVRON 15/3 X 1900X 740MM</t>
  </si>
  <si>
    <t>PAINEL CARVALHO CARVALHO EUROPEU MONT BLANC ESPINHA DE PEIXE TG 15/3 X 125X900MM</t>
  </si>
  <si>
    <t>PAINEL CARVALHO CARVALHO EUROPEU MONT BLANC 15/3 X 125 X 1200MM</t>
  </si>
  <si>
    <t>PAINEL CARVALHO CARVALHO EUROPEU MONT BLANC 15/3 X 190 X 1900MM</t>
  </si>
  <si>
    <t>PAINEL CARVALHO CARVALHO EUROPEU MONT BLANC 20/6 X 300 X 4000MM</t>
  </si>
  <si>
    <t>PAINEL CARVALHO CARVALHO EUROPEU MONT BLANC 20/6 X 400 X 5000MM</t>
  </si>
  <si>
    <t>PAINEL CARVALHO CARVALHO EUROPEU NATURAL CHEVRON TG 15/3 X 125 X 775MM</t>
  </si>
  <si>
    <t>PAINEL CARVALHO CARVALHO EUROPEU NATURALLE CHEVRON 15/3 X 1900X 740MM</t>
  </si>
  <si>
    <t>PAINEL CARVALHO CARVALHO EUROPEU NATURALLE CHEVRON 60º 15/3 X 1900X 910MM</t>
  </si>
  <si>
    <t>PAINEL CARVALHO CARVALHO EUROPEU NATURALLE FINE 10/06 X 1900 X 1900MM</t>
  </si>
  <si>
    <t>PAINEL CARVALHO CARVALHO EUROPEU NATURALLE 15/3 X 125 X 1200MM</t>
  </si>
  <si>
    <t>PAINEL CARVALHO CARVALHO EUROPEU NATURALLE 15/3 X 190 X 1900MM</t>
  </si>
  <si>
    <t>PAINEL CARVALHO CARVALHO EUROPEU NATURALLE 20/6 X 300 X 4000MM</t>
  </si>
  <si>
    <t>PAINEL CARVALHO CARVALHO EUROPEU NATURALLE 20/6 X 400 X 5000MM</t>
  </si>
  <si>
    <t>PAINEL CARVALHO CARVALHO EUROPEU CAPUCCINO CHEVRON 15/3 X 1900X 740MM</t>
  </si>
  <si>
    <t>PAINEL CARVALHO CARVALHO EUROPEU CAPUCCINO 15/3 X 125 X 1200MM</t>
  </si>
  <si>
    <t>PAINEL CARVALHO CARVALHO EUROPEU CAPPUCCINO ESPINHA DE PEIXE TG 15/3 X 125X900MM</t>
  </si>
  <si>
    <t>PAINEL CARVALHO CARVALHO EUROPEU CAPUCCINO 15/3 X 190 X 1900MM</t>
  </si>
  <si>
    <t>PAINEL CARVALHO CARVALHO EUROPEU CAPUCCINO 20/6 X 300 X 4000MM</t>
  </si>
  <si>
    <t>PAINEL CARVALHO CARVALHO EUROPEU CAPUCCINO 20/6 X 400 X 5000MM</t>
  </si>
  <si>
    <t>PAINEL CARVALHO CARVALHO EUROPEU BABY GREY CHEVRON 15/3 X 1900X 740MM</t>
  </si>
  <si>
    <t>PAINEL CARVALHO CARVALHO EUROPEU BABY GREY 15/3 X 125 X 1200MM</t>
  </si>
  <si>
    <t>PAINEL CARVALHO CARVALHO EUROPEU BABY GREY 15/3 X 190 X 1900MM</t>
  </si>
  <si>
    <t>PAINEL CARVALHO CARVALHO EUROPEU BABY GREY 20/6 X 300 X 4000MM</t>
  </si>
  <si>
    <t>PAINEL CARVALHO CARVALHO EUROPEU BABY GREY 20/6 X 400 X 5000MM</t>
  </si>
  <si>
    <t>PAINEL CARVALHO CARVALHO EUROPEU GRIGIO NERO CHEVRON 15/3 X 1900X 740MM</t>
  </si>
  <si>
    <t>PAINEL CARVALHO CARVALHO EUROPEU GRIGIO NERO 15/3 X 125 X 1200MM</t>
  </si>
  <si>
    <t>PAINEL CARVALHO CARVALHO EUROPEU GRIGIO NERO 15/3 X 190 X 1900MM</t>
  </si>
  <si>
    <t>PAINEL CARVALHO CARVALHO EUROPEU GRIGIO NERO 20/6 X 300 X 4000MM</t>
  </si>
  <si>
    <t>PAINEL CARVALHO CARVALHO EUROPEU GRIGIO NERO 20/6 X 400 X 5000MM</t>
  </si>
  <si>
    <t>PAINEL CARVALHO CARVALHO EUROPEU LIGHT BROWN CHEVRON 15/3 X 1900X 740MM</t>
  </si>
  <si>
    <t>PAINEL CARVALHO CARVALHO EUROPEU LIGHT BROWN 15/3 X 125 X 1200MM</t>
  </si>
  <si>
    <t>PAINEL CARVALHO CARVALHO EUROPEU LIGHT BROWN 15/3 X 190 X 1900MM</t>
  </si>
  <si>
    <t>PAINEL CARVALHO CARVALHO EUROPEU LIGHT BROWN 20/6 X 300 X 4000MM</t>
  </si>
  <si>
    <t>PAINEL CARVALHO CARVALHO EUROPEU LIGHT BROWN 20/6 X 400 X 5000MM</t>
  </si>
  <si>
    <t>PAINEL CARVALHO CARVALHO EUROPEU - LISTONE GIORDANO (HERITAGE 140 FILIGRANA - SIENNA 1179) TG 1,25 X 14,0 X 83,50CM --</t>
  </si>
  <si>
    <t>PAINEL CARVALHO CARVALHO EUROPEU MILANO CHEVRON 15/3 X 1900X 740MM</t>
  </si>
  <si>
    <t>PAINEL CARVALHO CARVALHO EUROPEU MILANO 15/3 X 125 X 1200MM</t>
  </si>
  <si>
    <t>PAINEL CARVALHO CARVALHO EUROPEU MILANO 15/3 X 190 X 1900MM</t>
  </si>
  <si>
    <t>PAINEL CARVALHO CARVALHO EUROPEU MILANO 20/6 X 300 X 4000MM</t>
  </si>
  <si>
    <t>PAINEL CARVALHO CARVALHO EUROPEU MILANO 20/6 X 400 X 5000MM</t>
  </si>
  <si>
    <t>PAINEL CARVALHO CARVALHO EUROPEU SMOKED CHEVRON 15/3 X 1900X 740MM</t>
  </si>
  <si>
    <t>PAINEL CARVALHO CARVALHO EUROPEU SMOKED 15/3 X 125 X 1200MM</t>
  </si>
  <si>
    <t>PAINEL CARVALHO CARVALHO EUROPEU SMOKED 15/3 X 190 X 1900MM</t>
  </si>
  <si>
    <t>PAINEL CARVALHO CARVALHO EUROPEU SMOKED 20/6 X 300 X 4000MM</t>
  </si>
  <si>
    <t>PAINEL CARVALHO CARVALHO EUROPEU SMOKED 20/6 X 400 X 5000MM</t>
  </si>
  <si>
    <t>PAINEL CARVALHO CARVALHO EUROPEU GIZ CHEVRON 15/3 X 1900X 740MM</t>
  </si>
  <si>
    <t>PAINEL CARVALHO CARVALHO EUROPEU GIZ 15/3 X 125 X 1200MM</t>
  </si>
  <si>
    <t>PAINEL CARVALHO CARVALHO EUROPEU GIZ 15/3 X 190 X 1900MM</t>
  </si>
  <si>
    <t>PAINEL CARVALHO CARVALHO EUROPEU GIZ 20/6 X 300 X 4000MM</t>
  </si>
  <si>
    <t>PAINEL CARVALHO CARVALHO EUROPEU GIZ 20/6 X 400 X 5000MM</t>
  </si>
  <si>
    <t>PAINEL CARVALHO CARVALHO EUROPEU SNOW CHEVRON 15/3 X 1900X 740MM</t>
  </si>
  <si>
    <t>PAINEL CARVALHO CARVALHO EUROPEU SNOW 15/3 X 125 X 1200MM</t>
  </si>
  <si>
    <t>PAINEL CARVALHO CARVALHO EUROPEU SNOW 15/3 X 190 X 1900MM</t>
  </si>
  <si>
    <t>PAINEL CARVALHO CARVALHO EUROPEU SNOW 20/6 X 300 X 4000MM</t>
  </si>
  <si>
    <t>PAINEL CARVALHO CARVALHO EUROPEU SNOW 20/6 X 400 X 5000MM</t>
  </si>
  <si>
    <t>PAINEL CARVALHO CARVALHO EUROPEU WILD CHEVRON 15/3 X 1900X 740MM</t>
  </si>
  <si>
    <t>PAINEL CARVALHO CARVALHO EUROPEU WILD 15/3 X 125 X 1200MM</t>
  </si>
  <si>
    <t>PAINEL CARVALHO CARVALHO EUROPEU WILD 15/3 X 190 X 1900MM</t>
  </si>
  <si>
    <t>PAINEL CARVALHO CARVALHO EUROPEU WILD 20/6 X 300 X 4000MM</t>
  </si>
  <si>
    <t>PAINEL CARVALHO CARVALHO EUROPEU WILD 20/6 X 400 X 5000MM</t>
  </si>
  <si>
    <t>PAINEL CARVALHO CARVALHO EUROPEU NEVADO CHEVRON 15/3 X 1900X 740MM</t>
  </si>
  <si>
    <t>PAINEL CARVALHO CARVALHO EUROPEU NEVADO 15/3 X 125 X 1200MM</t>
  </si>
  <si>
    <t>PAINEL CARVALHO CARVALHO EUROPEU NEVADO 15/3 X 190 X 1900MM</t>
  </si>
  <si>
    <t>PAINEL CARVALHO CARVALHO EUROPEU NEVADO 20/6 X 300 X 4000MM</t>
  </si>
  <si>
    <t>PAINEL CARVALHO CARVALHO EUROPEU NEVADO 20/6 X 400 X 5000MM</t>
  </si>
  <si>
    <t>PAINEL CARVALHO CARVALHO EUROPEU CONCRETE GREY CHEVRON 15/3 X 1900X 740MM</t>
  </si>
  <si>
    <t>PAINEL CARVALHO CARVALHO EUROPEU CONCRETE GREY 15/3 X 125 X 1200MM</t>
  </si>
  <si>
    <t>PAINEL CARVALHO CARVALHO EUROPEU CONCRETE GREY 15/3 X 190 X 1900MM</t>
  </si>
  <si>
    <t>PAINEL CARVALHO CARVALHO EUROPEU CONCRETE GREY 20/6 X 300 X 4000MM</t>
  </si>
  <si>
    <t>PAINEL CARVALHO CARVALHO EUROPEU CONCRETE GREY 20/6 X 400 X 5000MM</t>
  </si>
  <si>
    <t>PAINEL CARVALHO CARVALHO EUROPEU ITALY BROWN CHEVRON 15/3 X 1900X 740MM</t>
  </si>
  <si>
    <t>PAINEL CARVALHO CARVALHO EUROPEU ITALY BROWN 15/3 X 125 X 1200MM</t>
  </si>
  <si>
    <t>PAINEL CARVALHO CARVALHO EUROPEU ITALY BROWN 15/3 X 190 X 1900MM</t>
  </si>
  <si>
    <t>PAINEL CARVALHO CARVALHO EUROPEU ITALY BROWN 20/6 X 300 X 4000MM</t>
  </si>
  <si>
    <t>PAINEL CARVALHO CARVALHO EUROPEU ITALY BROWN 20/6 X 400 X 5000MM</t>
  </si>
  <si>
    <t>PAINEL CARVALHO CARVALHO EUROPEU ALL BLACK CHEVRON 15/3 X 1900X 740MM</t>
  </si>
  <si>
    <t>PAINEL CARVALHO CARVALHO EUROPEU ALL BLACK 15/3 X 125 X 1200MM</t>
  </si>
  <si>
    <t>PAINEL CARVALHO CARVALHO EUROPEU BLACK CHEVRON TG 15/3 X 125 X 775CM</t>
  </si>
  <si>
    <t>PAINEL CARVALHO CARVALHO EUROPEU ALL BLACK 15/3 X 190 X 1900MM</t>
  </si>
  <si>
    <t>PAINEL CARVALHO CARVALHO EUROPEU ALL BLACK 20/6 X 300 X 4000MM</t>
  </si>
  <si>
    <t>PAINEL CARVALHO CARVALHO EUROPEU ALL BLACK 20/6 X 400 X 5000MM</t>
  </si>
  <si>
    <t>PAINEL CARVALHO CARVALHO EUROPEU URBAN GREY CHEVRON 15/3 X 1900X 740MM</t>
  </si>
  <si>
    <t>PAINEL CARVALHO CARVALHO EUROPEU URBAN GREY 15/3 X 125 X 1200MM</t>
  </si>
  <si>
    <t>PAINEL CARVALHO CARVALHO EUROPEU URBAN GREY 15/3 X 190 X 1900MM</t>
  </si>
  <si>
    <t>PAINEL CARVALHO CARVALHO EUROPEU URBAN GREY 20/6 X 300 X 4000MM</t>
  </si>
  <si>
    <t>PAINEL CARVALHO CARVALHO EUROPEU URBAN GREY 20/6 X 400 X 5000MM</t>
  </si>
  <si>
    <t>PAINEL CARVALHO CARVALHO EUROPEU CARAMEL CHEVRON 15/3 X 1900X 740MM</t>
  </si>
  <si>
    <t>PAINEL CARVALHO CARVALHO EUROPEU CARAMEL 15/3 X 125 X 1200MM</t>
  </si>
  <si>
    <t>PAINEL CARVALHO CARVALHO EUROPEU CARAMEL 15/3 X 190 X 1900MM</t>
  </si>
  <si>
    <t>PAINEL CARVALHO CARVALHO EUROPEU CARAMEL 20/6 X 300 X 4000MM</t>
  </si>
  <si>
    <t>PAINEL CARVALHO CARVALHO EUROPEU CARAMEL 20/6 X 400 X 5000MM</t>
  </si>
  <si>
    <t>PAINEL CARVALHO CARVALHO EUROPEU CHEMICAL CHEVRON TG 15/3*190*740MM</t>
  </si>
  <si>
    <t>PAINEL CARVALHO CARVALHO EUROPEU WHITE RUSTIC 15/4*189*1860MM</t>
  </si>
  <si>
    <t>PAINEL CARVALHO CARVALHO EUROPEU CUSTOMIZADO 14/3 X 12,7 X 186CM</t>
  </si>
  <si>
    <t>PAINEL CARVALHO CARVALHO EUROPEU CUSTOMIZADO 2.0 X 19 X 190CM (C2)</t>
  </si>
  <si>
    <t>PAINEL CARVALHO CARVALHO EUROPEU NATURAL CHEVRON TG 1.5/3 X 9X 51CM</t>
  </si>
  <si>
    <t>PAINEL CARVALHO CARVALHO EUROPEU NATURAL TG 1.5/3 X 9 X 91CM</t>
  </si>
  <si>
    <t>PAINEL CARVALHO CARVALHO EUROPEU NUDE CHEVRON 60.. TG 15/3 X 190 X 90CM</t>
  </si>
  <si>
    <t>PAINEL CARVALHO CARVALHO EUROPEU NUDE CHEVRON TG 1.5/3X 12.5X 63CM</t>
  </si>
  <si>
    <t>PAINEL CARVALHO WALNUT 15/3 X 125 X 910MM</t>
  </si>
  <si>
    <t>PAINEL CARVALHO WALNUT 15/3 X 190 X 1900MM</t>
  </si>
  <si>
    <t>PAINEL CARVALHO WALNUT 20/2 X 300 X 4000MM</t>
  </si>
  <si>
    <t>PAINEL CARVALHO BAMBU ALTA DENS. CUST PREMIUM TG 1.5/4 X19X185CM</t>
  </si>
  <si>
    <t>PAINEL CARVALHO BAMBU CARAMEL ALTA DENSIDADE TG 1.5/4 X19X186CM</t>
  </si>
  <si>
    <t>PAINEL CARVALHO RIPADO CUMARU PREMIUM TG 1,8 X 3,5+0,5CM PROF. BIT 0</t>
  </si>
  <si>
    <t>PAINEL CARVALHO RIPADO CATUABA PREMIUM TG 1,8 X 3,5+0,5CM PROF. BIT 0</t>
  </si>
  <si>
    <t>PAINEL CARVALHO RIPADO CABREUVA BRANCA PREMIUM TG 1,8 X 3,5+0,5CM PROF. BIT 0</t>
  </si>
  <si>
    <t>PAINEL CARVALHO RIPADO CABREUVA DOURADA PREMIUM TG 1,8 X 3,5+0,5CM PROF. BIT 0</t>
  </si>
  <si>
    <t>PAINEL CARVALHO RIPADO TAUARI PREMIUM TG 1,8 X 3,5+0,5CM PROF. BIT 0</t>
  </si>
  <si>
    <t>PAINEL CARVALHO RIPADO PEROBA PREMIUM TG 1,8 X 3,5+0,5CM PROF. BIT 0</t>
  </si>
  <si>
    <t>PAINEL CARVALHO RIPADO LORO PARDO PREMIUM TG 1,8 X 3,5+0,5CM PROF. BIT 0</t>
  </si>
  <si>
    <t>PAINEL CARVALHO CUMARU MULTI PREMIUM 19 X 190 X 600 A 2200MM</t>
  </si>
  <si>
    <t>PAINEL CARVALHO CATUABA MULTI PREMIUM 19 X 190 X 600 A 2200MM</t>
  </si>
  <si>
    <t>PAINEL CARVALHO CABREUVA BRACA MULTI PREMIUM 19 X 190 X 600 A 2200MM</t>
  </si>
  <si>
    <t>PAINEL CARVALHO CABREUVA DOURADA MULTI PREMIUM 19 X 190 X 600 A 2200MM</t>
  </si>
  <si>
    <t>PAINEL CARVALHO TAUARI MULTI PREMIUM 19 X 190 X 600 A 2200MM</t>
  </si>
  <si>
    <t>PAINEL CARVALHO PEROBA MULTI PREMIUM 19 X 190 X 600 A 2200MM</t>
  </si>
  <si>
    <t>PAINEL CARVALHO LORO PARDO MULTI PREMIUM 19 X 190 X 600 A 2200MM</t>
  </si>
  <si>
    <t>PAINEL CARVALHO MUXARABI CUMARU PREMIUM</t>
  </si>
  <si>
    <t>PAINEL CARVALHO MUXARABI CATUABA PREMIUM</t>
  </si>
  <si>
    <t>PAINEL CARVALHO MUXARABI CABREUVA BRANCA PREMIUM</t>
  </si>
  <si>
    <t>PAINEL CARVALHO MUXARABI CABREUVA DOURADA PREMIUM</t>
  </si>
  <si>
    <t>PAINEL CARVALHO MUXARABI TAUARI PREMIUM</t>
  </si>
  <si>
    <t>PAINEL CARVALHO MUXARABI PEROBA PREMIUM</t>
  </si>
  <si>
    <t>PAINEL CARVALHO MUXARABI LORO PARDO PREMIUM</t>
  </si>
  <si>
    <t>PAINEL CARVALHO TOBLERONE CUMARU PREMIUM 3 X 3 COMPR. VARIAVEIS</t>
  </si>
  <si>
    <t>PAINEL CARVALHO TOBLERONE CATUABA PREMIUM 3 X 3 COMPR. VARIAVEIS</t>
  </si>
  <si>
    <t>PAINEL CARVALHO TOBLERONE CABREUVA BRANCA PREMIUM 3 X 3 COMPR. VARIAVEIS</t>
  </si>
  <si>
    <t>PAINEL CARVALHO TOBLERONE CABREUVA DOURADA PREMIUM 3 X 3 COMPR. VARIAVEIS</t>
  </si>
  <si>
    <t>PAINEL CARVALHO TOBLERONE TAUARI PREMIUM 3 X 3 COMPR. VARIAVEIS</t>
  </si>
  <si>
    <t>PAINEL CARVALHO TOBLERONE PEROBA PREMIUM 3 X 3 COMPR. VARIAVEIS</t>
  </si>
  <si>
    <t>PAINEL CARVALHO TOBLERONE LORO PARDO PREMIUM 3 X 3 COMPR. VARIAVEIS</t>
  </si>
  <si>
    <t>PAINEL CARVALHO DECK CUMARU PREMIUM TG 2,5 X 5 X COMPR. VARIAVEIS</t>
  </si>
  <si>
    <t>PAINEL CARVALHO DECK CUMARU PREMIUM TG 2,5 X 10 X COMPR. VARIAVEIS</t>
  </si>
  <si>
    <t>PAINEL CARVALHO DECK CATUABA PREMIUM TG 2,5 X 5 X COMPR. VARIAVEIS</t>
  </si>
  <si>
    <t>PAINEL CARVALHO DECK CATUABA PREMIUM TG 2,5 X 10 X COMPR. VARIAVEIS</t>
  </si>
  <si>
    <t>PAINEL CARVALHO DECK CABREUVA BRANCA PREMIUM TG 2,5 X 5 X COMPR. VARIAVEIS</t>
  </si>
  <si>
    <t>PAINEL CARVALHO DECK CABREUVA BRANCA PREMIUM TG 2,5 X 10 X COMPR. VARIAVEIS</t>
  </si>
  <si>
    <t>PAINEL CARVALHO DECK CABREUVA DOURADA PREMIUM TG 2,5 X 5 X COMPR. VARIAVEIS</t>
  </si>
  <si>
    <t>PAINEL CARVALHO DECK CABREUVA DOURADA PREMIUM TG 2,5 X 10 X COMPR. VARIAVEIS</t>
  </si>
  <si>
    <t>PAINEL CARVALHO DECK TAUARI PREMIUM TG 2,5 X 5 X COMPR. VARIAVEIS</t>
  </si>
  <si>
    <t>PAINEL CARVALHO DECK TAUARI PREMIUM TG 2,5 X 10 X COMPR. VARIAVEIS</t>
  </si>
  <si>
    <t>PAINEL CARVALHO DECK PEROBA PREMIUM TG 2,5 X 5 X COMPR. VARIAVEIS</t>
  </si>
  <si>
    <t>PAINEL CARVALHO DECK PEROBA PREMIUM TG 2,5 X 10 X COMPR. VARIAVEIS</t>
  </si>
  <si>
    <t>PAINEL CARVALHO DECK BAMBU CARAMEL ALTA DENSIDADE</t>
  </si>
  <si>
    <t>PAINEL CARVALHO DECK BPC CINZA ESCURO 2 X15X 290CM PÇ/0.435M2</t>
  </si>
  <si>
    <t>PAINEL CARVALHO DECK BPC MORROM 2X15X220CM</t>
  </si>
  <si>
    <t>PAINEL CARVALHO DECK WPC CINZA 2,2*14,6*220CM</t>
  </si>
  <si>
    <t>PAINEL CARVALHO PEROBA RUSTICA DE DEMOLIÇÃO</t>
  </si>
  <si>
    <t>PAINEL CARVALHO CANELA RUSTICA DE DEMOLIÇÃO</t>
  </si>
  <si>
    <t>FORRO FINCAPINO CARVALHO EUROPEU MARRONE CHEVRON 15/3 X 1900X 740MM</t>
  </si>
  <si>
    <t>FORRO FINCAPINO CARVALHO EUROPEU MARRONE 15/3 X 125 X 1200MM</t>
  </si>
  <si>
    <t>FORRO FINCAPINO CARVALHO EUROPEU MARRONE 15/3 X 190 X 1900MM</t>
  </si>
  <si>
    <t>FORRO FINCAPINO CARVALHO EUROPEU MARRONE 20/6 X 300 X 4000MM</t>
  </si>
  <si>
    <t>FORRO FINCAPINO CARVALHO EUROPEU MARRONE 20/6 X 400 X 5000MM</t>
  </si>
  <si>
    <t>FORRO FINCAPINO CARVALHO EUROPEU MONT BLANC CHEVRON 15/3 X 1900X 740MM</t>
  </si>
  <si>
    <t>FORRO FINCAPINO CARVALHO EUROPEU MONT BLANC ESPINHA DE PEIXE TG 15/3 X 125X900MM</t>
  </si>
  <si>
    <t>FORRO FINCAPINO CARVALHO EUROPEU MONT BLANC 15/3 X 125 X 1200MM</t>
  </si>
  <si>
    <t>FORRO FINCAPINO CARVALHO EUROPEU MONT BLANC 15/3 X 190 X 1900MM</t>
  </si>
  <si>
    <t>FORRO FINCAPINO CARVALHO EUROPEU MONT BLANC 20/6 X 300 X 4000MM</t>
  </si>
  <si>
    <t>FORRO FINCAPINO CARVALHO EUROPEU MONT BLANC 20/6 X 400 X 5000MM</t>
  </si>
  <si>
    <t>FORRO FINCAPINO CARVALHO EUROPEU NATURAL CHEVRON TG 15/3 X 125 X 775MM</t>
  </si>
  <si>
    <t>FORRO FINCAPINO CARVALHO EUROPEU NATURALLE CHEVRON 15/3 X 1900X 740MM</t>
  </si>
  <si>
    <t>FORRO FINCAPINO CARVALHO EUROPEU NATURALLE CHEVRON 60º 15/3 X 1900X 910MM</t>
  </si>
  <si>
    <t>FORRO FINCAPINO CARVALHO EUROPEU NATURALLE FINE 10/06 X 1900 X 1900MM</t>
  </si>
  <si>
    <t>FORRO FINCAPINO CARVALHO EUROPEU NATURALLE 15/3 X 125 X 1200MM</t>
  </si>
  <si>
    <t>FORRO FINCAPINO CARVALHO EUROPEU NATURALLE 15/3 X 190 X 1900MM</t>
  </si>
  <si>
    <t>FORRO FINCAPINO CARVALHO EUROPEU NATURALLE 20/6 X 300 X 4000MM</t>
  </si>
  <si>
    <t>FORRO FINCAPINO CARVALHO EUROPEU NATURALLE 20/6 X 400 X 5000MM</t>
  </si>
  <si>
    <t>FORRO FINCAPINO CARVALHO EUROPEU CAPUCCINO CHEVRON 15/3 X 1900X 740MM</t>
  </si>
  <si>
    <t>FORRO FINCAPINO CARVALHO EUROPEU CAPUCCINO 15/3 X 125 X 1200MM</t>
  </si>
  <si>
    <t>FORRO FINCAPINO CARVALHO EUROPEU CAPPUCCINO ESPINHA DE PEIXE TG 15/3 X 125X900MM</t>
  </si>
  <si>
    <t>FORRO FINCAPINO CARVALHO EUROPEU CAPUCCINO 15/3 X 190 X 1900MM</t>
  </si>
  <si>
    <t>FORRO FINCAPINO CARVALHO EUROPEU CAPUCCINO 20/6 X 300 X 4000MM</t>
  </si>
  <si>
    <t>FORRO FINCAPINO CARVALHO EUROPEU CAPUCCINO 20/6 X 400 X 5000MM</t>
  </si>
  <si>
    <t>FORRO FINCAPINO CARVALHO EUROPEU BABY GREY CHEVRON 15/3 X 1900X 740MM</t>
  </si>
  <si>
    <t>FORRO FINCAPINO CARVALHO EUROPEU BABY GREY 15/3 X 125 X 1200MM</t>
  </si>
  <si>
    <t>FORRO FINCAPINO CARVALHO EUROPEU BABY GREY 15/3 X 190 X 1900MM</t>
  </si>
  <si>
    <t>FORRO FINCAPINO CARVALHO EUROPEU BABY GREY 20/6 X 300 X 4000MM</t>
  </si>
  <si>
    <t>FORRO FINCAPINO CARVALHO EUROPEU BABY GREY 20/6 X 400 X 5000MM</t>
  </si>
  <si>
    <t>FORRO FINCAPINO CARVALHO EUROPEU GRIGIO NERO CHEVRON 15/3 X 1900X 740MM</t>
  </si>
  <si>
    <t>FORRO FINCAPINO CARVALHO EUROPEU GRIGIO NERO 15/3 X 125 X 1200MM</t>
  </si>
  <si>
    <t>FORRO FINCAPINO CARVALHO EUROPEU GRIGIO NERO 15/3 X 190 X 1900MM</t>
  </si>
  <si>
    <t>FORRO FINCAPINO CARVALHO EUROPEU GRIGIO NERO 20/6 X 300 X 4000MM</t>
  </si>
  <si>
    <t>FORRO FINCAPINO CARVALHO EUROPEU GRIGIO NERO 20/6 X 400 X 5000MM</t>
  </si>
  <si>
    <t>FORRO FINCAPINO CARVALHO EUROPEU LIGHT BROWN CHEVRON 15/3 X 1900X 740MM</t>
  </si>
  <si>
    <t>FORRO FINCAPINO CARVALHO EUROPEU LIGHT BROWN 15/3 X 125 X 1200MM</t>
  </si>
  <si>
    <t>FORRO FINCAPINO CARVALHO EUROPEU LIGHT BROWN 15/3 X 190 X 1900MM</t>
  </si>
  <si>
    <t>FORRO FINCAPINO CARVALHO EUROPEU LIGHT BROWN 20/6 X 300 X 4000MM</t>
  </si>
  <si>
    <t>FORRO FINCAPINO CARVALHO EUROPEU LIGHT BROWN 20/6 X 400 X 5000MM</t>
  </si>
  <si>
    <t>FORRO FINCAPINO CARVALHO EUROPEU - LISTONE GIORDANO (HERITAGE 140 FILIGRANA - SIENNA 1179) TG 1,25 X 14,0 X 83,50CM --</t>
  </si>
  <si>
    <t>FORRO FINCAPINO CARVALHO EUROPEU MILANO CHEVRON 15/3 X 1900X 740MM</t>
  </si>
  <si>
    <t>FORRO FINCAPINO CARVALHO EUROPEU MILANO 15/3 X 125 X 1200MM</t>
  </si>
  <si>
    <t>FORRO FINCAPINO CARVALHO EUROPEU MILANO 15/3 X 190 X 1900MM</t>
  </si>
  <si>
    <t>FORRO FINCAPINO CARVALHO EUROPEU MILANO 20/6 X 300 X 4000MM</t>
  </si>
  <si>
    <t>FORRO FINCAPINO CARVALHO EUROPEU MILANO 20/6 X 400 X 5000MM</t>
  </si>
  <si>
    <t>FORRO FINCAPINO CARVALHO EUROPEU SMOKED CHEVRON 15/3 X 1900X 740MM</t>
  </si>
  <si>
    <t>FORRO FINCAPINO CARVALHO EUROPEU SMOKED 15/3 X 125 X 1200MM</t>
  </si>
  <si>
    <t>FORRO FINCAPINO CARVALHO EUROPEU SMOKED 15/3 X 190 X 1900MM</t>
  </si>
  <si>
    <t>FORRO FINCAPINO CARVALHO EUROPEU SMOKED 20/6 X 300 X 4000MM</t>
  </si>
  <si>
    <t>FORRO FINCAPINO CARVALHO EUROPEU SMOKED 20/6 X 400 X 5000MM</t>
  </si>
  <si>
    <t>FORRO FINCAPINO CARVALHO EUROPEU GIZ CHEVRON 15/3 X 1900X 740MM</t>
  </si>
  <si>
    <t>FORRO FINCAPINO CARVALHO EUROPEU GIZ 15/3 X 125 X 1200MM</t>
  </si>
  <si>
    <t>FORRO FINCAPINO CARVALHO EUROPEU GIZ 15/3 X 190 X 1900MM</t>
  </si>
  <si>
    <t>FORRO FINCAPINO CARVALHO EUROPEU GIZ 20/6 X 300 X 4000MM</t>
  </si>
  <si>
    <t>FORRO FINCAPINO CARVALHO EUROPEU GIZ 20/6 X 400 X 5000MM</t>
  </si>
  <si>
    <t>FORRO FINCAPINO CARVALHO EUROPEU SNOW CHEVRON 15/3 X 1900X 740MM</t>
  </si>
  <si>
    <t>FORRO FINCAPINO CARVALHO EUROPEU SNOW 15/3 X 125 X 1200MM</t>
  </si>
  <si>
    <t>FORRO FINCAPINO CARVALHO EUROPEU SNOW 15/3 X 190 X 1900MM</t>
  </si>
  <si>
    <t>FORRO FINCAPINO CARVALHO EUROPEU SNOW 20/6 X 300 X 4000MM</t>
  </si>
  <si>
    <t>FORRO FINCAPINO CARVALHO EUROPEU SNOW 20/6 X 400 X 5000MM</t>
  </si>
  <si>
    <t>FORRO FINCAPINO CARVALHO EUROPEU WILD CHEVRON 15/3 X 1900X 740MM</t>
  </si>
  <si>
    <t>FORRO FINCAPINO CARVALHO EUROPEU WILD 15/3 X 125 X 1200MM</t>
  </si>
  <si>
    <t>FORRO FINCAPINO CARVALHO EUROPEU WILD 15/3 X 190 X 1900MM</t>
  </si>
  <si>
    <t>FORRO FINCAPINO CARVALHO EUROPEU WILD 20/6 X 300 X 4000MM</t>
  </si>
  <si>
    <t>FORRO FINCAPINO CARVALHO EUROPEU WILD 20/6 X 400 X 5000MM</t>
  </si>
  <si>
    <t>FORRO FINCAPINO CARVALHO EUROPEU NEVADO CHEVRON 15/3 X 1900X 740MM</t>
  </si>
  <si>
    <t>FORRO FINCAPINO CARVALHO EUROPEU NEVADO 15/3 X 125 X 1200MM</t>
  </si>
  <si>
    <t>FORRO FINCAPINO CARVALHO EUROPEU NEVADO 15/3 X 190 X 1900MM</t>
  </si>
  <si>
    <t>FORRO FINCAPINO CARVALHO EUROPEU NEVADO 20/6 X 300 X 4000MM</t>
  </si>
  <si>
    <t>FORRO FINCAPINO CARVALHO EUROPEU NEVADO 20/6 X 400 X 5000MM</t>
  </si>
  <si>
    <t>FORRO FINCAPINO CARVALHO EUROPEU CONCRETE GREY CHEVRON 15/3 X 1900X 740MM</t>
  </si>
  <si>
    <t>FORRO FINCAPINO CARVALHO EUROPEU CONCRETE GREY 15/3 X 125 X 1200MM</t>
  </si>
  <si>
    <t>FORRO FINCAPINO CARVALHO EUROPEU CONCRETE GREY 15/3 X 190 X 1900MM</t>
  </si>
  <si>
    <t>FORRO FINCAPINO CARVALHO EUROPEU CONCRETE GREY 20/6 X 300 X 4000MM</t>
  </si>
  <si>
    <t>FORRO FINCAPINO CARVALHO EUROPEU CONCRETE GREY 20/6 X 400 X 5000MM</t>
  </si>
  <si>
    <t>FORRO FINCAPINO CARVALHO EUROPEU ITALY BROWN CHEVRON 15/3 X 1900X 740MM</t>
  </si>
  <si>
    <t>FORRO FINCAPINO CARVALHO EUROPEU ITALY BROWN 15/3 X 125 X 1200MM</t>
  </si>
  <si>
    <t>FORRO FINCAPINO CARVALHO EUROPEU ITALY BROWN 15/3 X 190 X 1900MM</t>
  </si>
  <si>
    <t>FORRO FINCAPINO CARVALHO EUROPEU ITALY BROWN 20/6 X 300 X 4000MM</t>
  </si>
  <si>
    <t>FORRO FINCAPINO CARVALHO EUROPEU ITALY BROWN 20/6 X 400 X 5000MM</t>
  </si>
  <si>
    <t>FORRO FINCAPINO CARVALHO EUROPEU ALL BLACK CHEVRON 15/3 X 1900X 740MM</t>
  </si>
  <si>
    <t>FORRO FINCAPINO CARVALHO EUROPEU ALL BLACK 15/3 X 125 X 1200MM</t>
  </si>
  <si>
    <t>FORRO FINCAPINO CARVALHO EUROPEU BLACK CHEVRON TG 15/3 X 125 X 775CM</t>
  </si>
  <si>
    <t>FORRO FINCAPINO CARVALHO EUROPEU ALL BLACK 15/3 X 190 X 1900MM</t>
  </si>
  <si>
    <t>FORRO FINCAPINO CARVALHO EUROPEU ALL BLACK 20/6 X 300 X 4000MM</t>
  </si>
  <si>
    <t>FORRO FINCAPINO CARVALHO EUROPEU ALL BLACK 20/6 X 400 X 5000MM</t>
  </si>
  <si>
    <t>FORRO FINCAPINO CARVALHO EUROPEU URBAN GREY CHEVRON 15/3 X 1900X 740MM</t>
  </si>
  <si>
    <t>FORRO FINCAPINO CARVALHO EUROPEU URBAN GREY 15/3 X 125 X 1200MM</t>
  </si>
  <si>
    <t>FORRO FINCAPINO CARVALHO EUROPEU URBAN GREY 15/3 X 190 X 1900MM</t>
  </si>
  <si>
    <t>FORRO FINCAPINO CARVALHO EUROPEU URBAN GREY 20/6 X 300 X 4000MM</t>
  </si>
  <si>
    <t>FORRO FINCAPINO CARVALHO EUROPEU URBAN GREY 20/6 X 400 X 5000MM</t>
  </si>
  <si>
    <t>FORRO FINCAPINO CARVALHO EUROPEU CARAMEL CHEVRON 15/3 X 1900X 740MM</t>
  </si>
  <si>
    <t>FORRO FINCAPINO CARVALHO EUROPEU CARAMEL 15/3 X 125 X 1200MM</t>
  </si>
  <si>
    <t>FORRO FINCAPINO CARVALHO EUROPEU CARAMEL 15/3 X 190 X 1900MM</t>
  </si>
  <si>
    <t>FORRO FINCAPINO CARVALHO EUROPEU CARAMEL 20/6 X 300 X 4000MM</t>
  </si>
  <si>
    <t>FORRO FINCAPINO CARVALHO EUROPEU CARAMEL 20/6 X 400 X 5000MM</t>
  </si>
  <si>
    <t>FORRO FINCAPINO CARVALHO EUROPEU CHEMICAL CHEVRON TG 15/3*190*740MM</t>
  </si>
  <si>
    <t>FORRO FINCAPINO CARVALHO EUROPEU WHITE RUSTIC 15/4*189*1860MM</t>
  </si>
  <si>
    <t>FORRO FINCAPINO CARVALHO EUROPEU CUSTOMIZADO 14/3 X 12,7 X 186CM</t>
  </si>
  <si>
    <t>FORRO FINCAPINO CARVALHO EUROPEU CUSTOMIZADO 2.0 X 19 X 190CM (C2)</t>
  </si>
  <si>
    <t>FORRO FINCAPINO CARVALHO EUROPEU NATURAL CHEVRON TG 1.5/3 X 9X 51CM</t>
  </si>
  <si>
    <t>FORRO FINCAPINO CARVALHO EUROPEU NATURAL TG 1.5/3 X 9 X 91CM</t>
  </si>
  <si>
    <t>FORRO FINCAPINO CARVALHO EUROPEU NUDE CHEVRON 60.. TG 15/3 X 190 X 90CM</t>
  </si>
  <si>
    <t>FORRO FINCAPINO CARVALHO EUROPEU NUDE CHEVRON TG 1.5/3X 12.5X 63CM</t>
  </si>
  <si>
    <t>FORRO FINCAPINO WALNUT 15/3 X 125 X 910MM</t>
  </si>
  <si>
    <t>FORRO FINCAPINO WALNUT 15/3 X 190 X 1900MM</t>
  </si>
  <si>
    <t>FORRO FINCAPINO WALNUT 20/2 X 300 X 4000MM</t>
  </si>
  <si>
    <t>FORRO FINCAPINO BAMBU ALTA DENS. CUST PREMIUM TG 1.5/4 X19X185CM</t>
  </si>
  <si>
    <t>FORRO FINCAPINO BAMBU CARAMEL ALTA DENSIDADE TG 1.5/4 X19X186CM</t>
  </si>
  <si>
    <t>FORRO FINCAPINO RIPADO CUMARU PREMIUM TG 1,8 X 3,5+0,5CM PROF. BIT 0</t>
  </si>
  <si>
    <t>FORRO FINCAPINO RIPADO CATUABA PREMIUM TG 1,8 X 3,5+0,5CM PROF. BIT 0</t>
  </si>
  <si>
    <t>FORRO FINCAPINO RIPADO CABREUVA BRANCA PREMIUM TG 1,8 X 3,5+0,5CM PROF. BIT 0</t>
  </si>
  <si>
    <t>FORRO FINCAPINO RIPADO CABREUVA DOURADA PREMIUM TG 1,8 X 3,5+0,5CM PROF. BIT 0</t>
  </si>
  <si>
    <t>FORRO FINCAPINO RIPADO TAUARI PREMIUM TG 1,8 X 3,5+0,5CM PROF. BIT 0</t>
  </si>
  <si>
    <t>FORRO FINCAPINO RIPADO PEROBA PREMIUM TG 1,8 X 3,5+0,5CM PROF. BIT 0</t>
  </si>
  <si>
    <t>FORRO FINCAPINO RIPADO LORO PARDO PREMIUM TG 1,8 X 3,5+0,5CM PROF. BIT 0</t>
  </si>
  <si>
    <t>FORRO FINCAPINO CUMARU MULTI PREMIUM 19 X 190 X 600 A 2200MM</t>
  </si>
  <si>
    <t>FORRO FINCAPINO CATUABA MULTI PREMIUM 19 X 190 X 600 A 2200MM</t>
  </si>
  <si>
    <t>FORRO FINCAPINO CABREUVA BRACA MULTI PREMIUM 19 X 190 X 600 A 2200MM</t>
  </si>
  <si>
    <t>FORRO FINCAPINO CABREUVA DOURADA MULTI PREMIUM 19 X 190 X 600 A 2200MM</t>
  </si>
  <si>
    <t>FORRO FINCAPINO TAUARI MULTI PREMIUM 19 X 190 X 600 A 2200MM</t>
  </si>
  <si>
    <t>FORRO FINCAPINO PEROBA MULTI PREMIUM 19 X 190 X 600 A 2200MM</t>
  </si>
  <si>
    <t>FORRO FINCAPINO LORO PARDO MULTI PREMIUM 19 X 190 X 600 A 2200MM</t>
  </si>
  <si>
    <t>FORRO FINCAPINO MUXARABI CUMARU PREMIUM</t>
  </si>
  <si>
    <t>FORRO FINCAPINO MUXARABI CATUABA PREMIUM</t>
  </si>
  <si>
    <t>FORRO FINCAPINO MUXARABI CABREUVA BRANCA PREMIUM</t>
  </si>
  <si>
    <t>FORRO FINCAPINO MUXARABI CABREUVA DOURADA PREMIUM</t>
  </si>
  <si>
    <t>FORRO FINCAPINO MUXARABI TAUARI PREMIUM</t>
  </si>
  <si>
    <t>FORRO FINCAPINO MUXARABI PEROBA PREMIUM</t>
  </si>
  <si>
    <t>FORRO FINCAPINO MUXARABI LORO PARDO PREMIUM</t>
  </si>
  <si>
    <t>FORRO FINCAPINO TOBLERONE CUMARU PREMIUM 3 X 3 COMPR. VARIAVEIS</t>
  </si>
  <si>
    <t>FORRO FINCAPINO TOBLERONE CATUABA PREMIUM 3 X 3 COMPR. VARIAVEIS</t>
  </si>
  <si>
    <t>FORRO FINCAPINO TOBLERONE CABREUVA BRANCA PREMIUM 3 X 3 COMPR. VARIAVEIS</t>
  </si>
  <si>
    <t>FORRO FINCAPINO TOBLERONE CABREUVA DOURADA PREMIUM 3 X 3 COMPR. VARIAVEIS</t>
  </si>
  <si>
    <t>FORRO FINCAPINO TOBLERONE TAUARI PREMIUM 3 X 3 COMPR. VARIAVEIS</t>
  </si>
  <si>
    <t>FORRO FINCAPINO TOBLERONE PEROBA PREMIUM 3 X 3 COMPR. VARIAVEIS</t>
  </si>
  <si>
    <t>FORRO FINCAPINO TOBLERONE LORO PARDO PREMIUM 3 X 3 COMPR. VARIAVEIS</t>
  </si>
  <si>
    <t>FORRO FINCAPINO DECK CUMARU PREMIUM TG 2,5 X 5 X COMPR. VARIAVEIS</t>
  </si>
  <si>
    <t>FORRO FINCAPINO DECK CUMARU PREMIUM TG 2,5 X 10 X COMPR. VARIAVEIS</t>
  </si>
  <si>
    <t>FORRO FINCAPINO DECK CATUABA PREMIUM TG 2,5 X 5 X COMPR. VARIAVEIS</t>
  </si>
  <si>
    <t>FORRO FINCAPINO DECK CATUABA PREMIUM TG 2,5 X 10 X COMPR. VARIAVEIS</t>
  </si>
  <si>
    <t>FORRO FINCAPINO DECK CABREUVA BRANCA PREMIUM TG 2,5 X 5 X COMPR. VARIAVEIS</t>
  </si>
  <si>
    <t>FORRO FINCAPINO DECK CABREUVA BRANCA PREMIUM TG 2,5 X 10 X COMPR. VARIAVEIS</t>
  </si>
  <si>
    <t>FORRO FINCAPINO DECK CABREUVA DOURADA PREMIUM TG 2,5 X 5 X COMPR. VARIAVEIS</t>
  </si>
  <si>
    <t>FORRO FINCAPINO DECK CABREUVA DOURADA PREMIUM TG 2,5 X 10 X COMPR. VARIAVEIS</t>
  </si>
  <si>
    <t>FORRO FINCAPINO DECK TAUARI PREMIUM TG 2,5 X 5 X COMPR. VARIAVEIS</t>
  </si>
  <si>
    <t>FORRO FINCAPINO DECK TAUARI PREMIUM TG 2,5 X 10 X COMPR. VARIAVEIS</t>
  </si>
  <si>
    <t>FORRO FINCAPINO DECK PEROBA PREMIUM TG 2,5 X 5 X COMPR. VARIAVEIS</t>
  </si>
  <si>
    <t>FORRO FINCAPINO DECK PEROBA PREMIUM TG 2,5 X 10 X COMPR. VARIAVEIS</t>
  </si>
  <si>
    <t>FORRO FINCAPINO DECK BAMBU CARAMEL ALTA DENSIDADE</t>
  </si>
  <si>
    <t>FORRO FINCAPINO DECK BPC CINZA ESCURO 2 X15X 290CM PÇ/0.435M2</t>
  </si>
  <si>
    <t>FORRO FINCAPINO DECK BPC MORROM 2X15X220CM</t>
  </si>
  <si>
    <t>FORRO FINCAPINO DECK WPC CINZA 2,2*14,6*220CM</t>
  </si>
  <si>
    <t>FORRO FINCAPINO PEROBA RUSTICA DE DEMOLIÇÃO</t>
  </si>
  <si>
    <t>FORRO FINCAPINO CANELA RUSTICA DE DEMOLIÇÃO</t>
  </si>
  <si>
    <t>FORRO AUTOBROCANTE CARVALHO EUROPEU MARRONE CHEVRON 15/3 X 1900X 740MM</t>
  </si>
  <si>
    <t>FORRO AUTOBROCANTE CARVALHO EUROPEU MARRONE 15/3 X 125 X 1200MM</t>
  </si>
  <si>
    <t>FORRO AUTOBROCANTE CARVALHO EUROPEU MARRONE 15/3 X 190 X 1900MM</t>
  </si>
  <si>
    <t>FORRO AUTOBROCANTE CARVALHO EUROPEU MARRONE 20/6 X 300 X 4000MM</t>
  </si>
  <si>
    <t>FORRO AUTOBROCANTE CARVALHO EUROPEU MARRONE 20/6 X 400 X 5000MM</t>
  </si>
  <si>
    <t>FORRO AUTOBROCANTE CARVALHO EUROPEU MONT BLANC CHEVRON 15/3 X 1900X 740MM</t>
  </si>
  <si>
    <t>FORRO AUTOBROCANTE CARVALHO EUROPEU MONT BLANC ESPINHA DE PEIXE TG 15/3 X 125X900MM</t>
  </si>
  <si>
    <t>FORRO AUTOBROCANTE CARVALHO EUROPEU MONT BLANC 15/3 X 125 X 1200MM</t>
  </si>
  <si>
    <t>FORRO AUTOBROCANTE CARVALHO EUROPEU MONT BLANC 15/3 X 190 X 1900MM</t>
  </si>
  <si>
    <t>FORRO AUTOBROCANTE CARVALHO EUROPEU MONT BLANC 20/6 X 300 X 4000MM</t>
  </si>
  <si>
    <t>FORRO AUTOBROCANTE CARVALHO EUROPEU MONT BLANC 20/6 X 400 X 5000MM</t>
  </si>
  <si>
    <t>FORRO AUTOBROCANTE CARVALHO EUROPEU NATURAL CHEVRON TG 15/3 X 125 X 775MM</t>
  </si>
  <si>
    <t>FORRO AUTOBROCANTE CARVALHO EUROPEU NATURALLE CHEVRON 15/3 X 1900X 740MM</t>
  </si>
  <si>
    <t>FORRO AUTOBROCANTE CARVALHO EUROPEU NATURALLE CHEVRON 60º 15/3 X 1900X 910MM</t>
  </si>
  <si>
    <t>FORRO AUTOBROCANTE CARVALHO EUROPEU NATURALLE FINE 10/06 X 1900 X 1900MM</t>
  </si>
  <si>
    <t>FORRO AUTOBROCANTE CARVALHO EUROPEU NATURALLE 15/3 X 125 X 1200MM</t>
  </si>
  <si>
    <t>FORRO AUTOBROCANTE CARVALHO EUROPEU NATURALLE 15/3 X 190 X 1900MM</t>
  </si>
  <si>
    <t>FORRO AUTOBROCANTE CARVALHO EUROPEU NATURALLE 20/6 X 300 X 4000MM</t>
  </si>
  <si>
    <t>FORRO AUTOBROCANTE CARVALHO EUROPEU NATURALLE 20/6 X 400 X 5000MM</t>
  </si>
  <si>
    <t>FORRO AUTOBROCANTE CARVALHO EUROPEU CAPUCCINO CHEVRON 15/3 X 1900X 740MM</t>
  </si>
  <si>
    <t>FORRO AUTOBROCANTE CARVALHO EUROPEU CAPUCCINO 15/3 X 125 X 1200MM</t>
  </si>
  <si>
    <t>FORRO AUTOBROCANTE CARVALHO EUROPEU CAPPUCCINO ESPINHA DE PEIXE TG 15/3 X 125X900MM</t>
  </si>
  <si>
    <t>FORRO AUTOBROCANTE CARVALHO EUROPEU CAPUCCINO 15/3 X 190 X 1900MM</t>
  </si>
  <si>
    <t>FORRO AUTOBROCANTE CARVALHO EUROPEU CAPUCCINO 20/6 X 300 X 4000MM</t>
  </si>
  <si>
    <t>FORRO AUTOBROCANTE CARVALHO EUROPEU CAPUCCINO 20/6 X 400 X 5000MM</t>
  </si>
  <si>
    <t>FORRO AUTOBROCANTE CARVALHO EUROPEU BABY GREY CHEVRON 15/3 X 1900X 740MM</t>
  </si>
  <si>
    <t>FORRO AUTOBROCANTE CARVALHO EUROPEU BABY GREY 15/3 X 125 X 1200MM</t>
  </si>
  <si>
    <t>FORRO AUTOBROCANTE CARVALHO EUROPEU BABY GREY 15/3 X 190 X 1900MM</t>
  </si>
  <si>
    <t>FORRO AUTOBROCANTE CARVALHO EUROPEU BABY GREY 20/6 X 300 X 4000MM</t>
  </si>
  <si>
    <t>FORRO AUTOBROCANTE CARVALHO EUROPEU BABY GREY 20/6 X 400 X 5000MM</t>
  </si>
  <si>
    <t>FORRO AUTOBROCANTE CARVALHO EUROPEU GRIGIO NERO CHEVRON 15/3 X 1900X 740MM</t>
  </si>
  <si>
    <t>FORRO AUTOBROCANTE CARVALHO EUROPEU GRIGIO NERO 15/3 X 125 X 1200MM</t>
  </si>
  <si>
    <t>FORRO AUTOBROCANTE CARVALHO EUROPEU GRIGIO NERO 15/3 X 190 X 1900MM</t>
  </si>
  <si>
    <t>FORRO AUTOBROCANTE CARVALHO EUROPEU GRIGIO NERO 20/6 X 300 X 4000MM</t>
  </si>
  <si>
    <t>FORRO AUTOBROCANTE CARVALHO EUROPEU GRIGIO NERO 20/6 X 400 X 5000MM</t>
  </si>
  <si>
    <t>FORRO AUTOBROCANTE CARVALHO EUROPEU LIGHT BROWN CHEVRON 15/3 X 1900X 740MM</t>
  </si>
  <si>
    <t>FORRO AUTOBROCANTE CARVALHO EUROPEU LIGHT BROWN 15/3 X 125 X 1200MM</t>
  </si>
  <si>
    <t>FORRO AUTOBROCANTE CARVALHO EUROPEU LIGHT BROWN 15/3 X 190 X 1900MM</t>
  </si>
  <si>
    <t>FORRO AUTOBROCANTE CARVALHO EUROPEU LIGHT BROWN 20/6 X 300 X 4000MM</t>
  </si>
  <si>
    <t>FORRO AUTOBROCANTE CARVALHO EUROPEU LIGHT BROWN 20/6 X 400 X 5000MM</t>
  </si>
  <si>
    <t>FORRO AUTOBROCANTE CARVALHO EUROPEU - LISTONE GIORDANO (HERITAGE 140 FILIGRANA - SIENNA 1179) TG 1,25 X 14,0 X 83,50CM --</t>
  </si>
  <si>
    <t>FORRO AUTOBROCANTE CARVALHO EUROPEU MILANO CHEVRON 15/3 X 1900X 740MM</t>
  </si>
  <si>
    <t>FORRO AUTOBROCANTE CARVALHO EUROPEU MILANO 15/3 X 125 X 1200MM</t>
  </si>
  <si>
    <t>FORRO AUTOBROCANTE CARVALHO EUROPEU MILANO 15/3 X 190 X 1900MM</t>
  </si>
  <si>
    <t>FORRO AUTOBROCANTE CARVALHO EUROPEU MILANO 20/6 X 300 X 4000MM</t>
  </si>
  <si>
    <t>FORRO AUTOBROCANTE CARVALHO EUROPEU MILANO 20/6 X 400 X 5000MM</t>
  </si>
  <si>
    <t>FORRO AUTOBROCANTE CARVALHO EUROPEU SMOKED CHEVRON 15/3 X 1900X 740MM</t>
  </si>
  <si>
    <t>FORRO AUTOBROCANTE CARVALHO EUROPEU SMOKED 15/3 X 125 X 1200MM</t>
  </si>
  <si>
    <t>FORRO AUTOBROCANTE CARVALHO EUROPEU SMOKED 15/3 X 190 X 1900MM</t>
  </si>
  <si>
    <t>FORRO AUTOBROCANTE CARVALHO EUROPEU SMOKED 20/6 X 300 X 4000MM</t>
  </si>
  <si>
    <t>FORRO AUTOBROCANTE CARVALHO EUROPEU SMOKED 20/6 X 400 X 5000MM</t>
  </si>
  <si>
    <t>FORRO AUTOBROCANTE CARVALHO EUROPEU GIZ CHEVRON 15/3 X 1900X 740MM</t>
  </si>
  <si>
    <t>FORRO AUTOBROCANTE CARVALHO EUROPEU GIZ 15/3 X 125 X 1200MM</t>
  </si>
  <si>
    <t>FORRO AUTOBROCANTE CARVALHO EUROPEU GIZ 15/3 X 190 X 1900MM</t>
  </si>
  <si>
    <t>FORRO AUTOBROCANTE CARVALHO EUROPEU GIZ 20/6 X 300 X 4000MM</t>
  </si>
  <si>
    <t>FORRO AUTOBROCANTE CARVALHO EUROPEU GIZ 20/6 X 400 X 5000MM</t>
  </si>
  <si>
    <t>FORRO AUTOBROCANTE CARVALHO EUROPEU SNOW CHEVRON 15/3 X 1900X 740MM</t>
  </si>
  <si>
    <t>FORRO AUTOBROCANTE CARVALHO EUROPEU SNOW 15/3 X 125 X 1200MM</t>
  </si>
  <si>
    <t>FORRO AUTOBROCANTE CARVALHO EUROPEU SNOW 15/3 X 190 X 1900MM</t>
  </si>
  <si>
    <t>FORRO AUTOBROCANTE CARVALHO EUROPEU SNOW 20/6 X 300 X 4000MM</t>
  </si>
  <si>
    <t>FORRO AUTOBROCANTE CARVALHO EUROPEU SNOW 20/6 X 400 X 5000MM</t>
  </si>
  <si>
    <t>FORRO AUTOBROCANTE CARVALHO EUROPEU WILD CHEVRON 15/3 X 1900X 740MM</t>
  </si>
  <si>
    <t>FORRO AUTOBROCANTE CARVALHO EUROPEU WILD 15/3 X 125 X 1200MM</t>
  </si>
  <si>
    <t>FORRO AUTOBROCANTE CARVALHO EUROPEU WILD 15/3 X 190 X 1900MM</t>
  </si>
  <si>
    <t>FORRO AUTOBROCANTE CARVALHO EUROPEU WILD 20/6 X 300 X 4000MM</t>
  </si>
  <si>
    <t>FORRO AUTOBROCANTE CARVALHO EUROPEU WILD 20/6 X 400 X 5000MM</t>
  </si>
  <si>
    <t>FORRO AUTOBROCANTE CARVALHO EUROPEU NEVADO CHEVRON 15/3 X 1900X 740MM</t>
  </si>
  <si>
    <t>FORRO AUTOBROCANTE CARVALHO EUROPEU NEVADO 15/3 X 125 X 1200MM</t>
  </si>
  <si>
    <t>FORRO AUTOBROCANTE CARVALHO EUROPEU NEVADO 15/3 X 190 X 1900MM</t>
  </si>
  <si>
    <t>FORRO AUTOBROCANTE CARVALHO EUROPEU NEVADO 20/6 X 300 X 4000MM</t>
  </si>
  <si>
    <t>FORRO AUTOBROCANTE CARVALHO EUROPEU NEVADO 20/6 X 400 X 5000MM</t>
  </si>
  <si>
    <t>FORRO AUTOBROCANTE CARVALHO EUROPEU CONCRETE GREY CHEVRON 15/3 X 1900X 740MM</t>
  </si>
  <si>
    <t>FORRO AUTOBROCANTE CARVALHO EUROPEU CONCRETE GREY 15/3 X 125 X 1200MM</t>
  </si>
  <si>
    <t>FORRO AUTOBROCANTE CARVALHO EUROPEU CONCRETE GREY 15/3 X 190 X 1900MM</t>
  </si>
  <si>
    <t>FORRO AUTOBROCANTE CARVALHO EUROPEU CONCRETE GREY 20/6 X 300 X 4000MM</t>
  </si>
  <si>
    <t>FORRO AUTOBROCANTE CARVALHO EUROPEU CONCRETE GREY 20/6 X 400 X 5000MM</t>
  </si>
  <si>
    <t>FORRO AUTOBROCANTE CARVALHO EUROPEU ITALY BROWN CHEVRON 15/3 X 1900X 740MM</t>
  </si>
  <si>
    <t>FORRO AUTOBROCANTE CARVALHO EUROPEU ITALY BROWN 15/3 X 125 X 1200MM</t>
  </si>
  <si>
    <t>FORRO AUTOBROCANTE CARVALHO EUROPEU ITALY BROWN 15/3 X 190 X 1900MM</t>
  </si>
  <si>
    <t>FORRO AUTOBROCANTE CARVALHO EUROPEU ITALY BROWN 20/6 X 300 X 4000MM</t>
  </si>
  <si>
    <t>FORRO AUTOBROCANTE CARVALHO EUROPEU ITALY BROWN 20/6 X 400 X 5000MM</t>
  </si>
  <si>
    <t>FORRO AUTOBROCANTE CARVALHO EUROPEU ALL BLACK CHEVRON 15/3 X 1900X 740MM</t>
  </si>
  <si>
    <t>FORRO AUTOBROCANTE CARVALHO EUROPEU ALL BLACK 15/3 X 125 X 1200MM</t>
  </si>
  <si>
    <t>FORRO AUTOBROCANTE CARVALHO EUROPEU BLACK CHEVRON TG 15/3 X 125 X 775CM</t>
  </si>
  <si>
    <t>FORRO AUTOBROCANTE CARVALHO EUROPEU ALL BLACK 15/3 X 190 X 1900MM</t>
  </si>
  <si>
    <t>FORRO AUTOBROCANTE CARVALHO EUROPEU ALL BLACK 20/6 X 300 X 4000MM</t>
  </si>
  <si>
    <t>FORRO AUTOBROCANTE CARVALHO EUROPEU ALL BLACK 20/6 X 400 X 5000MM</t>
  </si>
  <si>
    <t>FORRO AUTOBROCANTE CARVALHO EUROPEU URBAN GREY CHEVRON 15/3 X 1900X 740MM</t>
  </si>
  <si>
    <t>FORRO AUTOBROCANTE CARVALHO EUROPEU URBAN GREY 15/3 X 125 X 1200MM</t>
  </si>
  <si>
    <t>FORRO AUTOBROCANTE CARVALHO EUROPEU URBAN GREY 15/3 X 190 X 1900MM</t>
  </si>
  <si>
    <t>FORRO AUTOBROCANTE CARVALHO EUROPEU URBAN GREY 20/6 X 300 X 4000MM</t>
  </si>
  <si>
    <t>FORRO AUTOBROCANTE CARVALHO EUROPEU URBAN GREY 20/6 X 400 X 5000MM</t>
  </si>
  <si>
    <t>FORRO AUTOBROCANTE CARVALHO EUROPEU CARAMEL CHEVRON 15/3 X 1900X 740MM</t>
  </si>
  <si>
    <t>FORRO AUTOBROCANTE CARVALHO EUROPEU CARAMEL 15/3 X 125 X 1200MM</t>
  </si>
  <si>
    <t>FORRO AUTOBROCANTE CARVALHO EUROPEU CARAMEL 15/3 X 190 X 1900MM</t>
  </si>
  <si>
    <t>FORRO AUTOBROCANTE CARVALHO EUROPEU CARAMEL 20/6 X 300 X 4000MM</t>
  </si>
  <si>
    <t>FORRO AUTOBROCANTE CARVALHO EUROPEU CARAMEL 20/6 X 400 X 5000MM</t>
  </si>
  <si>
    <t>FORRO AUTOBROCANTE CARVALHO EUROPEU CHEMICAL CHEVRON TG 15/3*190*740MM</t>
  </si>
  <si>
    <t>FORRO AUTOBROCANTE CARVALHO EUROPEU WHITE RUSTIC 15/4*189*1860MM</t>
  </si>
  <si>
    <t>FORRO AUTOBROCANTE CARVALHO EUROPEU CUSTOMIZADO 14/3 X 12,7 X 186CM</t>
  </si>
  <si>
    <t>FORRO AUTOBROCANTE CARVALHO EUROPEU CUSTOMIZADO 2.0 X 19 X 190CM (C2)</t>
  </si>
  <si>
    <t>FORRO AUTOBROCANTE CARVALHO EUROPEU NATURAL CHEVRON TG 1.5/3 X 9X 51CM</t>
  </si>
  <si>
    <t>FORRO AUTOBROCANTE CARVALHO EUROPEU NATURAL TG 1.5/3 X 9 X 91CM</t>
  </si>
  <si>
    <t>FORRO AUTOBROCANTE CARVALHO EUROPEU NUDE CHEVRON 60.. TG 15/3 X 190 X 90CM</t>
  </si>
  <si>
    <t>FORRO AUTOBROCANTE CARVALHO EUROPEU NUDE CHEVRON TG 1.5/3X 12.5X 63CM</t>
  </si>
  <si>
    <t>FORRO AUTOBROCANTE WALNUT 15/3 X 125 X 910MM</t>
  </si>
  <si>
    <t>FORRO AUTOBROCANTE WALNUT 15/3 X 190 X 1900MM</t>
  </si>
  <si>
    <t>FORRO AUTOBROCANTE WALNUT 20/2 X 300 X 4000MM</t>
  </si>
  <si>
    <t>FORRO AUTOBROCANTE BAMBU ALTA DENS. CUST PREMIUM TG 1.5/4 X19X185CM</t>
  </si>
  <si>
    <t>FORRO AUTOBROCANTE BAMBU CARAMEL ALTA DENSIDADE TG 1.5/4 X19X186CM</t>
  </si>
  <si>
    <t>FORRO AUTOBROCANTE RIPADO CUMARU PREMIUM TG 1,8 X 3,5+0,5CM PROF. BIT 0</t>
  </si>
  <si>
    <t>FORRO AUTOBROCANTE RIPADO CATUABA PREMIUM TG 1,8 X 3,5+0,5CM PROF. BIT 0</t>
  </si>
  <si>
    <t>FORRO AUTOBROCANTE RIPADO CABREUVA BRANCA PREMIUM TG 1,8 X 3,5+0,5CM PROF. BIT 0</t>
  </si>
  <si>
    <t>FORRO AUTOBROCANTE RIPADO CABREUVA DOURADA PREMIUM TG 1,8 X 3,5+0,5CM PROF. BIT 0</t>
  </si>
  <si>
    <t>FORRO AUTOBROCANTE RIPADO TAUARI PREMIUM TG 1,8 X 3,5+0,5CM PROF. BIT 0</t>
  </si>
  <si>
    <t>FORRO AUTOBROCANTE RIPADO PEROBA PREMIUM TG 1,8 X 3,5+0,5CM PROF. BIT 0</t>
  </si>
  <si>
    <t>FORRO AUTOBROCANTE RIPADO LORO PARDO PREMIUM TG 1,8 X 3,5+0,5CM PROF. BIT 0</t>
  </si>
  <si>
    <t>FORRO AUTOBROCANTE CUMARU MULTI PREMIUM 19 X 190 X 600 A 2200MM</t>
  </si>
  <si>
    <t>FORRO AUTOBROCANTE CATUABA MULTI PREMIUM 19 X 190 X 600 A 2200MM</t>
  </si>
  <si>
    <t>FORRO AUTOBROCANTE CABREUVA BRACA MULTI PREMIUM 19 X 190 X 600 A 2200MM</t>
  </si>
  <si>
    <t>FORRO AUTOBROCANTE CABREUVA DOURADA MULTI PREMIUM 19 X 190 X 600 A 2200MM</t>
  </si>
  <si>
    <t>FORRO AUTOBROCANTE TAUARI MULTI PREMIUM 19 X 190 X 600 A 2200MM</t>
  </si>
  <si>
    <t>FORRO AUTOBROCANTE PEROBA MULTI PREMIUM 19 X 190 X 600 A 2200MM</t>
  </si>
  <si>
    <t>FORRO AUTOBROCANTE LORO PARDO MULTI PREMIUM 19 X 190 X 600 A 2200MM</t>
  </si>
  <si>
    <t>FORRO AUTOBROCANTE MUXARABI CUMARU PREMIUM</t>
  </si>
  <si>
    <t>FORRO AUTOBROCANTE MUXARABI CATUABA PREMIUM</t>
  </si>
  <si>
    <t>FORRO AUTOBROCANTE MUXARABI CABREUVA BRANCA PREMIUM</t>
  </si>
  <si>
    <t>FORRO AUTOBROCANTE MUXARABI CABREUVA DOURADA PREMIUM</t>
  </si>
  <si>
    <t>FORRO AUTOBROCANTE MUXARABI TAUARI PREMIUM</t>
  </si>
  <si>
    <t>FORRO AUTOBROCANTE MUXARABI PEROBA PREMIUM</t>
  </si>
  <si>
    <t>FORRO AUTOBROCANTE MUXARABI LORO PARDO PREMIUM</t>
  </si>
  <si>
    <t>FORRO AUTOBROCANTE TOBLERONE CUMARU PREMIUM 3 X 3 COMPR. VARIAVEIS</t>
  </si>
  <si>
    <t>FORRO AUTOBROCANTE TOBLERONE CATUABA PREMIUM 3 X 3 COMPR. VARIAVEIS</t>
  </si>
  <si>
    <t>FORRO AUTOBROCANTE TOBLERONE CABREUVA BRANCA PREMIUM 3 X 3 COMPR. VARIAVEIS</t>
  </si>
  <si>
    <t>FORRO AUTOBROCANTE TOBLERONE CABREUVA DOURADA PREMIUM 3 X 3 COMPR. VARIAVEIS</t>
  </si>
  <si>
    <t>FORRO AUTOBROCANTE TOBLERONE TAUARI PREMIUM 3 X 3 COMPR. VARIAVEIS</t>
  </si>
  <si>
    <t>FORRO AUTOBROCANTE TOBLERONE PEROBA PREMIUM 3 X 3 COMPR. VARIAVEIS</t>
  </si>
  <si>
    <t>FORRO AUTOBROCANTE TOBLERONE LORO PARDO PREMIUM 3 X 3 COMPR. VARIAVEIS</t>
  </si>
  <si>
    <t>FORRO AUTOBROCANTE DECK CUMARU PREMIUM TG 2,5 X 5 X COMPR. VARIAVEIS</t>
  </si>
  <si>
    <t>FORRO AUTOBROCANTE DECK CUMARU PREMIUM TG 2,5 X 10 X COMPR. VARIAVEIS</t>
  </si>
  <si>
    <t>FORRO AUTOBROCANTE DECK CATUABA PREMIUM TG 2,5 X 5 X COMPR. VARIAVEIS</t>
  </si>
  <si>
    <t>FORRO AUTOBROCANTE DECK CATUABA PREMIUM TG 2,5 X 10 X COMPR. VARIAVEIS</t>
  </si>
  <si>
    <t>FORRO AUTOBROCANTE DECK CABREUVA BRANCA PREMIUM TG 2,5 X 5 X COMPR. VARIAVEIS</t>
  </si>
  <si>
    <t>FORRO AUTOBROCANTE DECK CABREUVA BRANCA PREMIUM TG 2,5 X 10 X COMPR. VARIAVEIS</t>
  </si>
  <si>
    <t>FORRO AUTOBROCANTE DECK CABREUVA DOURADA PREMIUM TG 2,5 X 5 X COMPR. VARIAVEIS</t>
  </si>
  <si>
    <t>FORRO AUTOBROCANTE DECK CABREUVA DOURADA PREMIUM TG 2,5 X 10 X COMPR. VARIAVEIS</t>
  </si>
  <si>
    <t>FORRO AUTOBROCANTE DECK TAUARI PREMIUM TG 2,5 X 5 X COMPR. VARIAVEIS</t>
  </si>
  <si>
    <t>FORRO AUTOBROCANTE DECK TAUARI PREMIUM TG 2,5 X 10 X COMPR. VARIAVEIS</t>
  </si>
  <si>
    <t>FORRO AUTOBROCANTE DECK PEROBA PREMIUM TG 2,5 X 5 X COMPR. VARIAVEIS</t>
  </si>
  <si>
    <t>FORRO AUTOBROCANTE DECK PEROBA PREMIUM TG 2,5 X 10 X COMPR. VARIAVEIS</t>
  </si>
  <si>
    <t>FORRO AUTOBROCANTE DECK BAMBU CARAMEL ALTA DENSIDADE</t>
  </si>
  <si>
    <t>FORRO AUTOBROCANTE DECK BPC CINZA ESCURO 2 X15X 290CM PÇ/0.435M2</t>
  </si>
  <si>
    <t>FORRO AUTOBROCANTE DECK BPC MORROM 2X15X220CM</t>
  </si>
  <si>
    <t>FORRO AUTOBROCANTE DECK WPC CINZA 2,2*14,6*220CM</t>
  </si>
  <si>
    <t>FORRO AUTOBROCANTE PEROBA RUSTICA DE DEMOLIÇÃO</t>
  </si>
  <si>
    <t>FORRO AUTOBROCANTE CANELA RUSTICA DE DEMOLIÇÃO</t>
  </si>
  <si>
    <t>FORRO INOX CARVALHO EUROPEU MARRONE CHEVRON 15/3 X 1900X 740MM</t>
  </si>
  <si>
    <t>FORRO INOX CARVALHO EUROPEU MARRONE 15/3 X 125 X 1200MM</t>
  </si>
  <si>
    <t>FORRO INOX CARVALHO EUROPEU MARRONE 15/3 X 190 X 1900MM</t>
  </si>
  <si>
    <t>FORRO INOX CARVALHO EUROPEU MARRONE 20/6 X 300 X 4000MM</t>
  </si>
  <si>
    <t>FORRO INOX CARVALHO EUROPEU MARRONE 20/6 X 400 X 5000MM</t>
  </si>
  <si>
    <t>FORRO INOX CARVALHO EUROPEU MONT BLANC CHEVRON 15/3 X 1900X 740MM</t>
  </si>
  <si>
    <t>FORRO INOX CARVALHO EUROPEU MONT BLANC ESPINHA DE PEIXE TG 15/3 X 125X900MM</t>
  </si>
  <si>
    <t>FORRO INOX CARVALHO EUROPEU MONT BLANC 15/3 X 125 X 1200MM</t>
  </si>
  <si>
    <t>FORRO INOX CARVALHO EUROPEU MONT BLANC 15/3 X 190 X 1900MM</t>
  </si>
  <si>
    <t>FORRO INOX CARVALHO EUROPEU MONT BLANC 20/6 X 300 X 4000MM</t>
  </si>
  <si>
    <t>FORRO INOX CARVALHO EUROPEU MONT BLANC 20/6 X 400 X 5000MM</t>
  </si>
  <si>
    <t>FORRO INOX CARVALHO EUROPEU NATURAL CHEVRON TG 15/3 X 125 X 775MM</t>
  </si>
  <si>
    <t>FORRO INOX CARVALHO EUROPEU NATURALLE CHEVRON 15/3 X 1900X 740MM</t>
  </si>
  <si>
    <t>FORRO INOX CARVALHO EUROPEU NATURALLE CHEVRON 60º 15/3 X 1900X 910MM</t>
  </si>
  <si>
    <t>FORRO INOX CARVALHO EUROPEU NATURALLE FINE 10/06 X 1900 X 1900MM</t>
  </si>
  <si>
    <t>FORRO INOX CARVALHO EUROPEU NATURALLE 15/3 X 125 X 1200MM</t>
  </si>
  <si>
    <t>FORRO INOX CARVALHO EUROPEU NATURALLE 15/3 X 190 X 1900MM</t>
  </si>
  <si>
    <t>FORRO INOX CARVALHO EUROPEU NATURALLE 20/6 X 300 X 4000MM</t>
  </si>
  <si>
    <t>FORRO INOX CARVALHO EUROPEU NATURALLE 20/6 X 400 X 5000MM</t>
  </si>
  <si>
    <t>FORRO INOX CARVALHO EUROPEU CAPUCCINO CHEVRON 15/3 X 1900X 740MM</t>
  </si>
  <si>
    <t>FORRO INOX CARVALHO EUROPEU CAPUCCINO 15/3 X 125 X 1200MM</t>
  </si>
  <si>
    <t>FORRO INOX CARVALHO EUROPEU CAPPUCCINO ESPINHA DE PEIXE TG 15/3 X 125X900MM</t>
  </si>
  <si>
    <t>FORRO INOX CARVALHO EUROPEU CAPUCCINO 15/3 X 190 X 1900MM</t>
  </si>
  <si>
    <t>FORRO INOX CARVALHO EUROPEU CAPUCCINO 20/6 X 300 X 4000MM</t>
  </si>
  <si>
    <t>FORRO INOX CARVALHO EUROPEU CAPUCCINO 20/6 X 400 X 5000MM</t>
  </si>
  <si>
    <t>FORRO INOX CARVALHO EUROPEU BABY GREY CHEVRON 15/3 X 1900X 740MM</t>
  </si>
  <si>
    <t>FORRO INOX CARVALHO EUROPEU BABY GREY 15/3 X 125 X 1200MM</t>
  </si>
  <si>
    <t>FORRO INOX CARVALHO EUROPEU BABY GREY 15/3 X 190 X 1900MM</t>
  </si>
  <si>
    <t>FORRO INOX CARVALHO EUROPEU BABY GREY 20/6 X 300 X 4000MM</t>
  </si>
  <si>
    <t>FORRO INOX CARVALHO EUROPEU BABY GREY 20/6 X 400 X 5000MM</t>
  </si>
  <si>
    <t>FORRO INOX CARVALHO EUROPEU GRIGIO NERO CHEVRON 15/3 X 1900X 740MM</t>
  </si>
  <si>
    <t>FORRO INOX CARVALHO EUROPEU GRIGIO NERO 15/3 X 125 X 1200MM</t>
  </si>
  <si>
    <t>FORRO INOX CARVALHO EUROPEU GRIGIO NERO 15/3 X 190 X 1900MM</t>
  </si>
  <si>
    <t>FORRO INOX CARVALHO EUROPEU GRIGIO NERO 20/6 X 300 X 4000MM</t>
  </si>
  <si>
    <t>FORRO INOX CARVALHO EUROPEU GRIGIO NERO 20/6 X 400 X 5000MM</t>
  </si>
  <si>
    <t>FORRO INOX CARVALHO EUROPEU LIGHT BROWN CHEVRON 15/3 X 1900X 740MM</t>
  </si>
  <si>
    <t>FORRO INOX CARVALHO EUROPEU LIGHT BROWN 15/3 X 125 X 1200MM</t>
  </si>
  <si>
    <t>FORRO INOX CARVALHO EUROPEU LIGHT BROWN 15/3 X 190 X 1900MM</t>
  </si>
  <si>
    <t>FORRO INOX CARVALHO EUROPEU LIGHT BROWN 20/6 X 300 X 4000MM</t>
  </si>
  <si>
    <t>FORRO INOX CARVALHO EUROPEU LIGHT BROWN 20/6 X 400 X 5000MM</t>
  </si>
  <si>
    <t>FORRO INOX CARVALHO EUROPEU - LISTONE GIORDANO (HERITAGE 140 FILIGRANA - SIENNA 1179) TG 1,25 X 14,0 X 83,50CM --</t>
  </si>
  <si>
    <t>FORRO INOX CARVALHO EUROPEU MILANO CHEVRON 15/3 X 1900X 740MM</t>
  </si>
  <si>
    <t>FORRO INOX CARVALHO EUROPEU MILANO 15/3 X 125 X 1200MM</t>
  </si>
  <si>
    <t>FORRO INOX CARVALHO EUROPEU MILANO 15/3 X 190 X 1900MM</t>
  </si>
  <si>
    <t>FORRO INOX CARVALHO EUROPEU MILANO 20/6 X 300 X 4000MM</t>
  </si>
  <si>
    <t>FORRO INOX CARVALHO EUROPEU MILANO 20/6 X 400 X 5000MM</t>
  </si>
  <si>
    <t>FORRO INOX CARVALHO EUROPEU SMOKED CHEVRON 15/3 X 1900X 740MM</t>
  </si>
  <si>
    <t>FORRO INOX CARVALHO EUROPEU SMOKED 15/3 X 125 X 1200MM</t>
  </si>
  <si>
    <t>FORRO INOX CARVALHO EUROPEU SMOKED 15/3 X 190 X 1900MM</t>
  </si>
  <si>
    <t>FORRO INOX CARVALHO EUROPEU SMOKED 20/6 X 300 X 4000MM</t>
  </si>
  <si>
    <t>FORRO INOX CARVALHO EUROPEU SMOKED 20/6 X 400 X 5000MM</t>
  </si>
  <si>
    <t>FORRO INOX CARVALHO EUROPEU GIZ CHEVRON 15/3 X 1900X 740MM</t>
  </si>
  <si>
    <t>FORRO INOX CARVALHO EUROPEU GIZ 15/3 X 125 X 1200MM</t>
  </si>
  <si>
    <t>FORRO INOX CARVALHO EUROPEU GIZ 15/3 X 190 X 1900MM</t>
  </si>
  <si>
    <t>FORRO INOX CARVALHO EUROPEU GIZ 20/6 X 300 X 4000MM</t>
  </si>
  <si>
    <t>FORRO INOX CARVALHO EUROPEU GIZ 20/6 X 400 X 5000MM</t>
  </si>
  <si>
    <t>FORRO INOX CARVALHO EUROPEU SNOW CHEVRON 15/3 X 1900X 740MM</t>
  </si>
  <si>
    <t>FORRO INOX CARVALHO EUROPEU SNOW 15/3 X 125 X 1200MM</t>
  </si>
  <si>
    <t>FORRO INOX CARVALHO EUROPEU SNOW 15/3 X 190 X 1900MM</t>
  </si>
  <si>
    <t>FORRO INOX CARVALHO EUROPEU SNOW 20/6 X 300 X 4000MM</t>
  </si>
  <si>
    <t>FORRO INOX CARVALHO EUROPEU SNOW 20/6 X 400 X 5000MM</t>
  </si>
  <si>
    <t>FORRO INOX CARVALHO EUROPEU WILD CHEVRON 15/3 X 1900X 740MM</t>
  </si>
  <si>
    <t>FORRO INOX CARVALHO EUROPEU WILD 15/3 X 125 X 1200MM</t>
  </si>
  <si>
    <t>FORRO INOX CARVALHO EUROPEU WILD 15/3 X 190 X 1900MM</t>
  </si>
  <si>
    <t>FORRO INOX CARVALHO EUROPEU WILD 20/6 X 300 X 4000MM</t>
  </si>
  <si>
    <t>FORRO INOX CARVALHO EUROPEU WILD 20/6 X 400 X 5000MM</t>
  </si>
  <si>
    <t>FORRO INOX CARVALHO EUROPEU NEVADO CHEVRON 15/3 X 1900X 740MM</t>
  </si>
  <si>
    <t>FORRO INOX CARVALHO EUROPEU NEVADO 15/3 X 125 X 1200MM</t>
  </si>
  <si>
    <t>FORRO INOX CARVALHO EUROPEU NEVADO 15/3 X 190 X 1900MM</t>
  </si>
  <si>
    <t>FORRO INOX CARVALHO EUROPEU NEVADO 20/6 X 300 X 4000MM</t>
  </si>
  <si>
    <t>FORRO INOX CARVALHO EUROPEU NEVADO 20/6 X 400 X 5000MM</t>
  </si>
  <si>
    <t>FORRO INOX CARVALHO EUROPEU CONCRETE GREY CHEVRON 15/3 X 1900X 740MM</t>
  </si>
  <si>
    <t>FORRO INOX CARVALHO EUROPEU CONCRETE GREY 15/3 X 125 X 1200MM</t>
  </si>
  <si>
    <t>FORRO INOX CARVALHO EUROPEU CONCRETE GREY 15/3 X 190 X 1900MM</t>
  </si>
  <si>
    <t>FORRO INOX CARVALHO EUROPEU CONCRETE GREY 20/6 X 300 X 4000MM</t>
  </si>
  <si>
    <t>FORRO INOX CARVALHO EUROPEU CONCRETE GREY 20/6 X 400 X 5000MM</t>
  </si>
  <si>
    <t>FORRO INOX CARVALHO EUROPEU ITALY BROWN CHEVRON 15/3 X 1900X 740MM</t>
  </si>
  <si>
    <t>FORRO INOX CARVALHO EUROPEU ITALY BROWN 15/3 X 125 X 1200MM</t>
  </si>
  <si>
    <t>FORRO INOX CARVALHO EUROPEU ITALY BROWN 15/3 X 190 X 1900MM</t>
  </si>
  <si>
    <t>FORRO INOX CARVALHO EUROPEU ITALY BROWN 20/6 X 300 X 4000MM</t>
  </si>
  <si>
    <t>FORRO INOX CARVALHO EUROPEU ITALY BROWN 20/6 X 400 X 5000MM</t>
  </si>
  <si>
    <t>FORRO INOX CARVALHO EUROPEU ALL BLACK CHEVRON 15/3 X 1900X 740MM</t>
  </si>
  <si>
    <t>FORRO INOX CARVALHO EUROPEU ALL BLACK 15/3 X 125 X 1200MM</t>
  </si>
  <si>
    <t>FORRO INOX CARVALHO EUROPEU BLACK CHEVRON TG 15/3 X 125 X 775CM</t>
  </si>
  <si>
    <t>FORRO INOX CARVALHO EUROPEU ALL BLACK 15/3 X 190 X 1900MM</t>
  </si>
  <si>
    <t>FORRO INOX CARVALHO EUROPEU ALL BLACK 20/6 X 300 X 4000MM</t>
  </si>
  <si>
    <t>FORRO INOX CARVALHO EUROPEU ALL BLACK 20/6 X 400 X 5000MM</t>
  </si>
  <si>
    <t>FORRO INOX CARVALHO EUROPEU URBAN GREY CHEVRON 15/3 X 1900X 740MM</t>
  </si>
  <si>
    <t>FORRO INOX CARVALHO EUROPEU URBAN GREY 15/3 X 125 X 1200MM</t>
  </si>
  <si>
    <t>FORRO INOX CARVALHO EUROPEU URBAN GREY 15/3 X 190 X 1900MM</t>
  </si>
  <si>
    <t>FORRO INOX CARVALHO EUROPEU URBAN GREY 20/6 X 300 X 4000MM</t>
  </si>
  <si>
    <t>FORRO INOX CARVALHO EUROPEU URBAN GREY 20/6 X 400 X 5000MM</t>
  </si>
  <si>
    <t>FORRO INOX CARVALHO EUROPEU CARAMEL CHEVRON 15/3 X 1900X 740MM</t>
  </si>
  <si>
    <t>FORRO INOX CARVALHO EUROPEU CARAMEL 15/3 X 125 X 1200MM</t>
  </si>
  <si>
    <t>FORRO INOX CARVALHO EUROPEU CARAMEL 15/3 X 190 X 1900MM</t>
  </si>
  <si>
    <t>FORRO INOX CARVALHO EUROPEU CARAMEL 20/6 X 300 X 4000MM</t>
  </si>
  <si>
    <t>FORRO INOX CARVALHO EUROPEU CARAMEL 20/6 X 400 X 5000MM</t>
  </si>
  <si>
    <t>FORRO INOX CARVALHO EUROPEU CHEMICAL CHEVRON TG 15/3*190*740MM</t>
  </si>
  <si>
    <t>FORRO INOX CARVALHO EUROPEU WHITE RUSTIC 15/4*189*1860MM</t>
  </si>
  <si>
    <t>FORRO INOX CARVALHO EUROPEU CUSTOMIZADO 14/3 X 12,7 X 186CM</t>
  </si>
  <si>
    <t>FORRO INOX CARVALHO EUROPEU CUSTOMIZADO 2.0 X 19 X 190CM (C2)</t>
  </si>
  <si>
    <t>FORRO INOX CARVALHO EUROPEU NATURAL CHEVRON TG 1.5/3 X 9X 51CM</t>
  </si>
  <si>
    <t>FORRO INOX CARVALHO EUROPEU NATURAL TG 1.5/3 X 9 X 91CM</t>
  </si>
  <si>
    <t>FORRO INOX CARVALHO EUROPEU NUDE CHEVRON 60.. TG 15/3 X 190 X 90CM</t>
  </si>
  <si>
    <t>FORRO INOX CARVALHO EUROPEU NUDE CHEVRON TG 1.5/3X 12.5X 63CM</t>
  </si>
  <si>
    <t>FORRO INOX WALNUT 15/3 X 125 X 910MM</t>
  </si>
  <si>
    <t>FORRO INOX WALNUT 15/3 X 190 X 1900MM</t>
  </si>
  <si>
    <t>FORRO INOX WALNUT 20/2 X 300 X 4000MM</t>
  </si>
  <si>
    <t>FORRO INOX BAMBU ALTA DENS. CUST PREMIUM TG 1.5/4 X19X185CM</t>
  </si>
  <si>
    <t>FORRO INOX BAMBU CARAMEL ALTA DENSIDADE TG 1.5/4 X19X186CM</t>
  </si>
  <si>
    <t>FORRO INOX RIPADO CUMARU PREMIUM TG 1,8 X 3,5+0,5CM PROF. BIT 0</t>
  </si>
  <si>
    <t>FORRO INOX RIPADO CATUABA PREMIUM TG 1,8 X 3,5+0,5CM PROF. BIT 0</t>
  </si>
  <si>
    <t>FORRO INOX RIPADO CABREUVA BRANCA PREMIUM TG 1,8 X 3,5+0,5CM PROF. BIT 0</t>
  </si>
  <si>
    <t>FORRO INOX RIPADO CABREUVA DOURADA PREMIUM TG 1,8 X 3,5+0,5CM PROF. BIT 0</t>
  </si>
  <si>
    <t>FORRO INOX RIPADO TAUARI PREMIUM TG 1,8 X 3,5+0,5CM PROF. BIT 0</t>
  </si>
  <si>
    <t>FORRO INOX RIPADO PEROBA PREMIUM TG 1,8 X 3,5+0,5CM PROF. BIT 0</t>
  </si>
  <si>
    <t>FORRO INOX RIPADO LORO PARDO PREMIUM TG 1,8 X 3,5+0,5CM PROF. BIT 0</t>
  </si>
  <si>
    <t>FORRO INOX CUMARU MULTI PREMIUM 19 X 190 X 600 A 2200MM</t>
  </si>
  <si>
    <t>FORRO INOX CATUABA MULTI PREMIUM 19 X 190 X 600 A 2200MM</t>
  </si>
  <si>
    <t>FORRO INOX CABREUVA BRACA MULTI PREMIUM 19 X 190 X 600 A 2200MM</t>
  </si>
  <si>
    <t>FORRO INOX CABREUVA DOURADA MULTI PREMIUM 19 X 190 X 600 A 2200MM</t>
  </si>
  <si>
    <t>FORRO INOX TAUARI MULTI PREMIUM 19 X 190 X 600 A 2200MM</t>
  </si>
  <si>
    <t>FORRO INOX PEROBA MULTI PREMIUM 19 X 190 X 600 A 2200MM</t>
  </si>
  <si>
    <t>FORRO INOX LORO PARDO MULTI PREMIUM 19 X 190 X 600 A 2200MM</t>
  </si>
  <si>
    <t>FORRO INOX MUXARABI CUMARU PREMIUM</t>
  </si>
  <si>
    <t>FORRO INOX MUXARABI CATUABA PREMIUM</t>
  </si>
  <si>
    <t>FORRO INOX MUXARABI CABREUVA BRANCA PREMIUM</t>
  </si>
  <si>
    <t>FORRO INOX MUXARABI CABREUVA DOURADA PREMIUM</t>
  </si>
  <si>
    <t>FORRO INOX MUXARABI TAUARI PREMIUM</t>
  </si>
  <si>
    <t>FORRO INOX MUXARABI PEROBA PREMIUM</t>
  </si>
  <si>
    <t>FORRO INOX MUXARABI LORO PARDO PREMIUM</t>
  </si>
  <si>
    <t>FORRO INOX TOBLERONE CUMARU PREMIUM 3 X 3 COMPR. VARIAVEIS</t>
  </si>
  <si>
    <t>FORRO INOX TOBLERONE CATUABA PREMIUM 3 X 3 COMPR. VARIAVEIS</t>
  </si>
  <si>
    <t>FORRO INOX TOBLERONE CABREUVA BRANCA PREMIUM 3 X 3 COMPR. VARIAVEIS</t>
  </si>
  <si>
    <t>FORRO INOX TOBLERONE CABREUVA DOURADA PREMIUM 3 X 3 COMPR. VARIAVEIS</t>
  </si>
  <si>
    <t>FORRO INOX TOBLERONE TAUARI PREMIUM 3 X 3 COMPR. VARIAVEIS</t>
  </si>
  <si>
    <t>FORRO INOX TOBLERONE PEROBA PREMIUM 3 X 3 COMPR. VARIAVEIS</t>
  </si>
  <si>
    <t>FORRO INOX TOBLERONE LORO PARDO PREMIUM 3 X 3 COMPR. VARIAVEIS</t>
  </si>
  <si>
    <t>FORRO INOX DECK CUMARU PREMIUM TG 2,5 X 5 X COMPR. VARIAVEIS</t>
  </si>
  <si>
    <t>FORRO INOX DECK CUMARU PREMIUM TG 2,5 X 10 X COMPR. VARIAVEIS</t>
  </si>
  <si>
    <t>FORRO INOX DECK CATUABA PREMIUM TG 2,5 X 5 X COMPR. VARIAVEIS</t>
  </si>
  <si>
    <t>FORRO INOX DECK CATUABA PREMIUM TG 2,5 X 10 X COMPR. VARIAVEIS</t>
  </si>
  <si>
    <t>FORRO INOX DECK CABREUVA BRANCA PREMIUM TG 2,5 X 5 X COMPR. VARIAVEIS</t>
  </si>
  <si>
    <t>FORRO INOX DECK CABREUVA BRANCA PREMIUM TG 2,5 X 10 X COMPR. VARIAVEIS</t>
  </si>
  <si>
    <t>FORRO INOX DECK CABREUVA DOURADA PREMIUM TG 2,5 X 5 X COMPR. VARIAVEIS</t>
  </si>
  <si>
    <t>FORRO INOX DECK CABREUVA DOURADA PREMIUM TG 2,5 X 10 X COMPR. VARIAVEIS</t>
  </si>
  <si>
    <t>FORRO INOX DECK TAUARI PREMIUM TG 2,5 X 5 X COMPR. VARIAVEIS</t>
  </si>
  <si>
    <t>FORRO INOX DECK TAUARI PREMIUM TG 2,5 X 10 X COMPR. VARIAVEIS</t>
  </si>
  <si>
    <t>FORRO INOX DECK PEROBA PREMIUM TG 2,5 X 5 X COMPR. VARIAVEIS</t>
  </si>
  <si>
    <t>FORRO INOX DECK PEROBA PREMIUM TG 2,5 X 10 X COMPR. VARIAVEIS</t>
  </si>
  <si>
    <t>FORRO INOX DECK BAMBU CARAMEL ALTA DENSIDADE</t>
  </si>
  <si>
    <t>FORRO INOX DECK BPC CINZA ESCURO 2 X15X 290CM PÇ/0.435M2</t>
  </si>
  <si>
    <t>FORRO INOX DECK BPC MORROM 2X15X220CM</t>
  </si>
  <si>
    <t>FORRO INOX DECK WPC CINZA 2,2*14,6*220CM</t>
  </si>
  <si>
    <t>FORRO INOX PEROBA RUSTICA DE DEMOLIÇÃO</t>
  </si>
  <si>
    <t>FORRO INOX CANELA RUSTICA DE DEMOLIÇÃO</t>
  </si>
  <si>
    <t>DECK 10 CARVALHO EUROPEU MARRONE CHEVRON 15/3 X 1900X 740MM</t>
  </si>
  <si>
    <t>DECK 10 CARVALHO EUROPEU MARRONE 15/3 X 125 X 1200MM</t>
  </si>
  <si>
    <t>DECK 10 CARVALHO EUROPEU MARRONE 15/3 X 190 X 1900MM</t>
  </si>
  <si>
    <t>DECK 10 CARVALHO EUROPEU MARRONE 20/6 X 300 X 4000MM</t>
  </si>
  <si>
    <t>DECK 10 CARVALHO EUROPEU MARRONE 20/6 X 400 X 5000MM</t>
  </si>
  <si>
    <t>DECK 10 CARVALHO EUROPEU MONT BLANC CHEVRON 15/3 X 1900X 740MM</t>
  </si>
  <si>
    <t>DECK 10 CARVALHO EUROPEU MONT BLANC ESPINHA DE PEIXE TG 15/3 X 125X900MM</t>
  </si>
  <si>
    <t>DECK 10 CARVALHO EUROPEU MONT BLANC 15/3 X 125 X 1200MM</t>
  </si>
  <si>
    <t>DECK 10 CARVALHO EUROPEU MONT BLANC 15/3 X 190 X 1900MM</t>
  </si>
  <si>
    <t>DECK 10 CARVALHO EUROPEU MONT BLANC 20/6 X 300 X 4000MM</t>
  </si>
  <si>
    <t>DECK 10 CARVALHO EUROPEU MONT BLANC 20/6 X 400 X 5000MM</t>
  </si>
  <si>
    <t>DECK 10 CARVALHO EUROPEU NATURAL CHEVRON TG 15/3 X 125 X 775MM</t>
  </si>
  <si>
    <t>DECK 10 CARVALHO EUROPEU NATURALLE CHEVRON 15/3 X 1900X 740MM</t>
  </si>
  <si>
    <t>DECK 10 CARVALHO EUROPEU NATURALLE CHEVRON 60º 15/3 X 1900X 910MM</t>
  </si>
  <si>
    <t>DECK 10 CARVALHO EUROPEU NATURALLE FINE 10/06 X 1900 X 1900MM</t>
  </si>
  <si>
    <t>DECK 10 CARVALHO EUROPEU NATURALLE 15/3 X 125 X 1200MM</t>
  </si>
  <si>
    <t>DECK 10 CARVALHO EUROPEU NATURALLE 15/3 X 190 X 1900MM</t>
  </si>
  <si>
    <t>DECK 10 CARVALHO EUROPEU NATURALLE 20/6 X 300 X 4000MM</t>
  </si>
  <si>
    <t>DECK 10 CARVALHO EUROPEU NATURALLE 20/6 X 400 X 5000MM</t>
  </si>
  <si>
    <t>DECK 10 CARVALHO EUROPEU CAPUCCINO CHEVRON 15/3 X 1900X 740MM</t>
  </si>
  <si>
    <t>DECK 10 CARVALHO EUROPEU CAPUCCINO 15/3 X 125 X 1200MM</t>
  </si>
  <si>
    <t>DECK 10 CARVALHO EUROPEU CAPPUCCINO ESPINHA DE PEIXE TG 15/3 X 125X900MM</t>
  </si>
  <si>
    <t>DECK 10 CARVALHO EUROPEU CAPUCCINO 15/3 X 190 X 1900MM</t>
  </si>
  <si>
    <t>DECK 10 CARVALHO EUROPEU CAPUCCINO 20/6 X 300 X 4000MM</t>
  </si>
  <si>
    <t>DECK 10 CARVALHO EUROPEU CAPUCCINO 20/6 X 400 X 5000MM</t>
  </si>
  <si>
    <t>DECK 10 CARVALHO EUROPEU BABY GREY CHEVRON 15/3 X 1900X 740MM</t>
  </si>
  <si>
    <t>DECK 10 CARVALHO EUROPEU BABY GREY 15/3 X 125 X 1200MM</t>
  </si>
  <si>
    <t>DECK 10 CARVALHO EUROPEU BABY GREY 15/3 X 190 X 1900MM</t>
  </si>
  <si>
    <t>DECK 10 CARVALHO EUROPEU BABY GREY 20/6 X 300 X 4000MM</t>
  </si>
  <si>
    <t>DECK 10 CARVALHO EUROPEU BABY GREY 20/6 X 400 X 5000MM</t>
  </si>
  <si>
    <t>DECK 10 CARVALHO EUROPEU GRIGIO NERO CHEVRON 15/3 X 1900X 740MM</t>
  </si>
  <si>
    <t>DECK 10 CARVALHO EUROPEU GRIGIO NERO 15/3 X 125 X 1200MM</t>
  </si>
  <si>
    <t>DECK 10 CARVALHO EUROPEU GRIGIO NERO 15/3 X 190 X 1900MM</t>
  </si>
  <si>
    <t>DECK 10 CARVALHO EUROPEU GRIGIO NERO 20/6 X 300 X 4000MM</t>
  </si>
  <si>
    <t>DECK 10 CARVALHO EUROPEU GRIGIO NERO 20/6 X 400 X 5000MM</t>
  </si>
  <si>
    <t>DECK 10 CARVALHO EUROPEU LIGHT BROWN CHEVRON 15/3 X 1900X 740MM</t>
  </si>
  <si>
    <t>DECK 10 CARVALHO EUROPEU LIGHT BROWN 15/3 X 125 X 1200MM</t>
  </si>
  <si>
    <t>DECK 10 CARVALHO EUROPEU LIGHT BROWN 15/3 X 190 X 1900MM</t>
  </si>
  <si>
    <t>DECK 10 CARVALHO EUROPEU LIGHT BROWN 20/6 X 300 X 4000MM</t>
  </si>
  <si>
    <t>DECK 10 CARVALHO EUROPEU LIGHT BROWN 20/6 X 400 X 5000MM</t>
  </si>
  <si>
    <t>DECK 10 CARVALHO EUROPEU - LISTONE GIORDANO (HERITAGE 140 FILIGRANA - SIENNA 1179) TG 1,25 X 14,0 X 83,50CM --</t>
  </si>
  <si>
    <t>DECK 10 CARVALHO EUROPEU MILANO CHEVRON 15/3 X 1900X 740MM</t>
  </si>
  <si>
    <t>DECK 10 CARVALHO EUROPEU MILANO 15/3 X 125 X 1200MM</t>
  </si>
  <si>
    <t>DECK 10 CARVALHO EUROPEU MILANO 15/3 X 190 X 1900MM</t>
  </si>
  <si>
    <t>DECK 10 CARVALHO EUROPEU MILANO 20/6 X 300 X 4000MM</t>
  </si>
  <si>
    <t>DECK 10 CARVALHO EUROPEU MILANO 20/6 X 400 X 5000MM</t>
  </si>
  <si>
    <t>DECK 10 CARVALHO EUROPEU SMOKED CHEVRON 15/3 X 1900X 740MM</t>
  </si>
  <si>
    <t>DECK 10 CARVALHO EUROPEU SMOKED 15/3 X 125 X 1200MM</t>
  </si>
  <si>
    <t>DECK 10 CARVALHO EUROPEU SMOKED 15/3 X 190 X 1900MM</t>
  </si>
  <si>
    <t>DECK 10 CARVALHO EUROPEU SMOKED 20/6 X 300 X 4000MM</t>
  </si>
  <si>
    <t>DECK 10 CARVALHO EUROPEU SMOKED 20/6 X 400 X 5000MM</t>
  </si>
  <si>
    <t>DECK 10 CARVALHO EUROPEU GIZ CHEVRON 15/3 X 1900X 740MM</t>
  </si>
  <si>
    <t>DECK 10 CARVALHO EUROPEU GIZ 15/3 X 125 X 1200MM</t>
  </si>
  <si>
    <t>DECK 10 CARVALHO EUROPEU GIZ 15/3 X 190 X 1900MM</t>
  </si>
  <si>
    <t>DECK 10 CARVALHO EUROPEU GIZ 20/6 X 300 X 4000MM</t>
  </si>
  <si>
    <t>DECK 10 CARVALHO EUROPEU GIZ 20/6 X 400 X 5000MM</t>
  </si>
  <si>
    <t>DECK 10 CARVALHO EUROPEU SNOW CHEVRON 15/3 X 1900X 740MM</t>
  </si>
  <si>
    <t>DECK 10 CARVALHO EUROPEU SNOW 15/3 X 125 X 1200MM</t>
  </si>
  <si>
    <t>DECK 10 CARVALHO EUROPEU SNOW 15/3 X 190 X 1900MM</t>
  </si>
  <si>
    <t>DECK 10 CARVALHO EUROPEU SNOW 20/6 X 300 X 4000MM</t>
  </si>
  <si>
    <t>DECK 10 CARVALHO EUROPEU SNOW 20/6 X 400 X 5000MM</t>
  </si>
  <si>
    <t>DECK 10 CARVALHO EUROPEU WILD CHEVRON 15/3 X 1900X 740MM</t>
  </si>
  <si>
    <t>DECK 10 CARVALHO EUROPEU WILD 15/3 X 125 X 1200MM</t>
  </si>
  <si>
    <t>DECK 10 CARVALHO EUROPEU WILD 15/3 X 190 X 1900MM</t>
  </si>
  <si>
    <t>DECK 10 CARVALHO EUROPEU WILD 20/6 X 300 X 4000MM</t>
  </si>
  <si>
    <t>DECK 10 CARVALHO EUROPEU WILD 20/6 X 400 X 5000MM</t>
  </si>
  <si>
    <t>DECK 10 CARVALHO EUROPEU NEVADO CHEVRON 15/3 X 1900X 740MM</t>
  </si>
  <si>
    <t>DECK 10 CARVALHO EUROPEU NEVADO 15/3 X 125 X 1200MM</t>
  </si>
  <si>
    <t>DECK 10 CARVALHO EUROPEU NEVADO 15/3 X 190 X 1900MM</t>
  </si>
  <si>
    <t>DECK 10 CARVALHO EUROPEU NEVADO 20/6 X 300 X 4000MM</t>
  </si>
  <si>
    <t>DECK 10 CARVALHO EUROPEU NEVADO 20/6 X 400 X 5000MM</t>
  </si>
  <si>
    <t>DECK 10 CARVALHO EUROPEU CONCRETE GREY CHEVRON 15/3 X 1900X 740MM</t>
  </si>
  <si>
    <t>DECK 10 CARVALHO EUROPEU CONCRETE GREY 15/3 X 125 X 1200MM</t>
  </si>
  <si>
    <t>DECK 10 CARVALHO EUROPEU CONCRETE GREY 15/3 X 190 X 1900MM</t>
  </si>
  <si>
    <t>DECK 10 CARVALHO EUROPEU CONCRETE GREY 20/6 X 300 X 4000MM</t>
  </si>
  <si>
    <t>DECK 10 CARVALHO EUROPEU CONCRETE GREY 20/6 X 400 X 5000MM</t>
  </si>
  <si>
    <t>DECK 10 CARVALHO EUROPEU ITALY BROWN CHEVRON 15/3 X 1900X 740MM</t>
  </si>
  <si>
    <t>DECK 10 CARVALHO EUROPEU ITALY BROWN 15/3 X 125 X 1200MM</t>
  </si>
  <si>
    <t>DECK 10 CARVALHO EUROPEU ITALY BROWN 15/3 X 190 X 1900MM</t>
  </si>
  <si>
    <t>DECK 10 CARVALHO EUROPEU ITALY BROWN 20/6 X 300 X 4000MM</t>
  </si>
  <si>
    <t>DECK 10 CARVALHO EUROPEU ITALY BROWN 20/6 X 400 X 5000MM</t>
  </si>
  <si>
    <t>DECK 10 CARVALHO EUROPEU ALL BLACK CHEVRON 15/3 X 1900X 740MM</t>
  </si>
  <si>
    <t>DECK 10 CARVALHO EUROPEU ALL BLACK 15/3 X 125 X 1200MM</t>
  </si>
  <si>
    <t>DECK 10 CARVALHO EUROPEU BLACK CHEVRON TG 15/3 X 125 X 775CM</t>
  </si>
  <si>
    <t>DECK 10 CARVALHO EUROPEU ALL BLACK 15/3 X 190 X 1900MM</t>
  </si>
  <si>
    <t>DECK 10 CARVALHO EUROPEU ALL BLACK 20/6 X 300 X 4000MM</t>
  </si>
  <si>
    <t>DECK 10 CARVALHO EUROPEU ALL BLACK 20/6 X 400 X 5000MM</t>
  </si>
  <si>
    <t>DECK 10 CARVALHO EUROPEU URBAN GREY CHEVRON 15/3 X 1900X 740MM</t>
  </si>
  <si>
    <t>DECK 10 CARVALHO EUROPEU URBAN GREY 15/3 X 125 X 1200MM</t>
  </si>
  <si>
    <t>DECK 10 CARVALHO EUROPEU URBAN GREY 15/3 X 190 X 1900MM</t>
  </si>
  <si>
    <t>DECK 10 CARVALHO EUROPEU URBAN GREY 20/6 X 300 X 4000MM</t>
  </si>
  <si>
    <t>DECK 10 CARVALHO EUROPEU URBAN GREY 20/6 X 400 X 5000MM</t>
  </si>
  <si>
    <t>DECK 10 CARVALHO EUROPEU CARAMEL CHEVRON 15/3 X 1900X 740MM</t>
  </si>
  <si>
    <t>DECK 10 CARVALHO EUROPEU CARAMEL 15/3 X 125 X 1200MM</t>
  </si>
  <si>
    <t>DECK 10 CARVALHO EUROPEU CARAMEL 15/3 X 190 X 1900MM</t>
  </si>
  <si>
    <t>DECK 10 CARVALHO EUROPEU CARAMEL 20/6 X 300 X 4000MM</t>
  </si>
  <si>
    <t>DECK 10 CARVALHO EUROPEU CARAMEL 20/6 X 400 X 5000MM</t>
  </si>
  <si>
    <t>DECK 10 CARVALHO EUROPEU CHEMICAL CHEVRON TG 15/3*190*740MM</t>
  </si>
  <si>
    <t>DECK 10 CARVALHO EUROPEU WHITE RUSTIC 15/4*189*1860MM</t>
  </si>
  <si>
    <t>DECK 10 CARVALHO EUROPEU CUSTOMIZADO 14/3 X 12,7 X 186CM</t>
  </si>
  <si>
    <t>DECK 10 CARVALHO EUROPEU CUSTOMIZADO 2.0 X 19 X 190CM (C2)</t>
  </si>
  <si>
    <t>DECK 10 CARVALHO EUROPEU NATURAL CHEVRON TG 1.5/3 X 9X 51CM</t>
  </si>
  <si>
    <t>DECK 10 CARVALHO EUROPEU NATURAL TG 1.5/3 X 9 X 91CM</t>
  </si>
  <si>
    <t>DECK 10 CARVALHO EUROPEU NUDE CHEVRON 60.. TG 15/3 X 190 X 90CM</t>
  </si>
  <si>
    <t>DECK 10 CARVALHO EUROPEU NUDE CHEVRON TG 1.5/3X 12.5X 63CM</t>
  </si>
  <si>
    <t>DECK 10 WALNUT 15/3 X 125 X 910MM</t>
  </si>
  <si>
    <t>DECK 10 WALNUT 15/3 X 190 X 1900MM</t>
  </si>
  <si>
    <t>DECK 10 WALNUT 20/2 X 300 X 4000MM</t>
  </si>
  <si>
    <t>DECK 10 BAMBU ALTA DENS. CUST PREMIUM TG 1.5/4 X19X185CM</t>
  </si>
  <si>
    <t>DECK 10 BAMBU CARAMEL ALTA DENSIDADE TG 1.5/4 X19X186CM</t>
  </si>
  <si>
    <t>DECK 10 RIPADO CUMARU PREMIUM TG 1,8 X 3,5+0,5CM PROF. BIT 0</t>
  </si>
  <si>
    <t>DECK 10 RIPADO CATUABA PREMIUM TG 1,8 X 3,5+0,5CM PROF. BIT 0</t>
  </si>
  <si>
    <t>DECK 10 RIPADO CABREUVA BRANCA PREMIUM TG 1,8 X 3,5+0,5CM PROF. BIT 0</t>
  </si>
  <si>
    <t>DECK 10 RIPADO CABREUVA DOURADA PREMIUM TG 1,8 X 3,5+0,5CM PROF. BIT 0</t>
  </si>
  <si>
    <t>DECK 10 RIPADO TAUARI PREMIUM TG 1,8 X 3,5+0,5CM PROF. BIT 0</t>
  </si>
  <si>
    <t>DECK 10 RIPADO PEROBA PREMIUM TG 1,8 X 3,5+0,5CM PROF. BIT 0</t>
  </si>
  <si>
    <t>DECK 10 RIPADO LORO PARDO PREMIUM TG 1,8 X 3,5+0,5CM PROF. BIT 0</t>
  </si>
  <si>
    <t>DECK 10 CUMARU MULTI PREMIUM 19 X 190 X 600 A 2200MM</t>
  </si>
  <si>
    <t>DECK 10 CATUABA MULTI PREMIUM 19 X 190 X 600 A 2200MM</t>
  </si>
  <si>
    <t>DECK 10 CABREUVA BRACA MULTI PREMIUM 19 X 190 X 600 A 2200MM</t>
  </si>
  <si>
    <t>DECK 10 CABREUVA DOURADA MULTI PREMIUM 19 X 190 X 600 A 2200MM</t>
  </si>
  <si>
    <t>DECK 10 TAUARI MULTI PREMIUM 19 X 190 X 600 A 2200MM</t>
  </si>
  <si>
    <t>DECK 10 PEROBA MULTI PREMIUM 19 X 190 X 600 A 2200MM</t>
  </si>
  <si>
    <t>DECK 10 LORO PARDO MULTI PREMIUM 19 X 190 X 600 A 2200MM</t>
  </si>
  <si>
    <t>DECK 10 MUXARABI CUMARU PREMIUM</t>
  </si>
  <si>
    <t>DECK 10 MUXARABI CATUABA PREMIUM</t>
  </si>
  <si>
    <t>DECK 10 MUXARABI CABREUVA BRANCA PREMIUM</t>
  </si>
  <si>
    <t>DECK 10 MUXARABI CABREUVA DOURADA PREMIUM</t>
  </si>
  <si>
    <t>DECK 10 MUXARABI TAUARI PREMIUM</t>
  </si>
  <si>
    <t>DECK 10 MUXARABI PEROBA PREMIUM</t>
  </si>
  <si>
    <t>DECK 10 MUXARABI LORO PARDO PREMIUM</t>
  </si>
  <si>
    <t>DECK 10 TOBLERONE CUMARU PREMIUM 3 X 3 COMPR. VARIAVEIS</t>
  </si>
  <si>
    <t>DECK 10 TOBLERONE CATUABA PREMIUM 3 X 3 COMPR. VARIAVEIS</t>
  </si>
  <si>
    <t>DECK 10 TOBLERONE CABREUVA BRANCA PREMIUM 3 X 3 COMPR. VARIAVEIS</t>
  </si>
  <si>
    <t>DECK 10 TOBLERONE CABREUVA DOURADA PREMIUM 3 X 3 COMPR. VARIAVEIS</t>
  </si>
  <si>
    <t>DECK 10 TOBLERONE TAUARI PREMIUM 3 X 3 COMPR. VARIAVEIS</t>
  </si>
  <si>
    <t>DECK 10 TOBLERONE PEROBA PREMIUM 3 X 3 COMPR. VARIAVEIS</t>
  </si>
  <si>
    <t>DECK 10 TOBLERONE LORO PARDO PREMIUM 3 X 3 COMPR. VARIAVEIS</t>
  </si>
  <si>
    <t>DECK 10 DECK CUMARU PREMIUM TG 2,5 X 5 X COMPR. VARIAVEIS</t>
  </si>
  <si>
    <t>DECK 10 DECK CUMARU PREMIUM TG 2,5 X 10 X COMPR. VARIAVEIS</t>
  </si>
  <si>
    <t>DECK 10 DECK CATUABA PREMIUM TG 2,5 X 5 X COMPR. VARIAVEIS</t>
  </si>
  <si>
    <t>DECK 10 DECK CATUABA PREMIUM TG 2,5 X 10 X COMPR. VARIAVEIS</t>
  </si>
  <si>
    <t>DECK 10 DECK CABREUVA BRANCA PREMIUM TG 2,5 X 5 X COMPR. VARIAVEIS</t>
  </si>
  <si>
    <t>DECK 10 DECK CABREUVA BRANCA PREMIUM TG 2,5 X 10 X COMPR. VARIAVEIS</t>
  </si>
  <si>
    <t>DECK 10 DECK CABREUVA DOURADA PREMIUM TG 2,5 X 5 X COMPR. VARIAVEIS</t>
  </si>
  <si>
    <t>DECK 10 DECK CABREUVA DOURADA PREMIUM TG 2,5 X 10 X COMPR. VARIAVEIS</t>
  </si>
  <si>
    <t>DECK 10 DECK TAUARI PREMIUM TG 2,5 X 5 X COMPR. VARIAVEIS</t>
  </si>
  <si>
    <t>DECK 10 DECK TAUARI PREMIUM TG 2,5 X 10 X COMPR. VARIAVEIS</t>
  </si>
  <si>
    <t>DECK 10 DECK PEROBA PREMIUM TG 2,5 X 5 X COMPR. VARIAVEIS</t>
  </si>
  <si>
    <t>DECK 10 DECK PEROBA PREMIUM TG 2,5 X 10 X COMPR. VARIAVEIS</t>
  </si>
  <si>
    <t>DECK 10 DECK BAMBU CARAMEL ALTA DENSIDADE</t>
  </si>
  <si>
    <t>DECK 10 DECK BPC CINZA ESCURO 2 X15X 290CM PÇ/0.435M2</t>
  </si>
  <si>
    <t>DECK 10 DECK BPC MORROM 2X15X220CM</t>
  </si>
  <si>
    <t>DECK 10 DECK WPC CINZA 2,2*14,6*220CM</t>
  </si>
  <si>
    <t>DECK 10 PEROBA RUSTICA DE DEMOLIÇÃO</t>
  </si>
  <si>
    <t>DECK 10 CANELA RUSTICA DE DEMOLIÇÃO</t>
  </si>
  <si>
    <t>DECK 05 CARVALHO EUROPEU MARRONE CHEVRON 15/3 X 1900X 740MM</t>
  </si>
  <si>
    <t>DECK 05 CARVALHO EUROPEU MARRONE 15/3 X 125 X 1200MM</t>
  </si>
  <si>
    <t>DECK 05 CARVALHO EUROPEU MARRONE 15/3 X 190 X 1900MM</t>
  </si>
  <si>
    <t>DECK 05 CARVALHO EUROPEU MARRONE 20/6 X 300 X 4000MM</t>
  </si>
  <si>
    <t>DECK 05 CARVALHO EUROPEU MARRONE 20/6 X 400 X 5000MM</t>
  </si>
  <si>
    <t>DECK 05 CARVALHO EUROPEU MONT BLANC CHEVRON 15/3 X 1900X 740MM</t>
  </si>
  <si>
    <t>DECK 05 CARVALHO EUROPEU MONT BLANC ESPINHA DE PEIXE TG 15/3 X 125X900MM</t>
  </si>
  <si>
    <t>DECK 05 CARVALHO EUROPEU MONT BLANC 15/3 X 125 X 1200MM</t>
  </si>
  <si>
    <t>DECK 05 CARVALHO EUROPEU MONT BLANC 15/3 X 190 X 1900MM</t>
  </si>
  <si>
    <t>DECK 05 CARVALHO EUROPEU MONT BLANC 20/6 X 300 X 4000MM</t>
  </si>
  <si>
    <t>DECK 05 CARVALHO EUROPEU MONT BLANC 20/6 X 400 X 5000MM</t>
  </si>
  <si>
    <t>DECK 05 CARVALHO EUROPEU NATURAL CHEVRON TG 15/3 X 125 X 775MM</t>
  </si>
  <si>
    <t>DECK 05 CARVALHO EUROPEU NATURALLE CHEVRON 15/3 X 1900X 740MM</t>
  </si>
  <si>
    <t>DECK 05 CARVALHO EUROPEU NATURALLE CHEVRON 60º 15/3 X 1900X 910MM</t>
  </si>
  <si>
    <t>DECK 05 CARVALHO EUROPEU NATURALLE FINE 10/06 X 1900 X 1900MM</t>
  </si>
  <si>
    <t>DECK 05 CARVALHO EUROPEU NATURALLE 15/3 X 125 X 1200MM</t>
  </si>
  <si>
    <t>DECK 05 CARVALHO EUROPEU NATURALLE 15/3 X 190 X 1900MM</t>
  </si>
  <si>
    <t>DECK 05 CARVALHO EUROPEU NATURALLE 20/6 X 300 X 4000MM</t>
  </si>
  <si>
    <t>DECK 05 CARVALHO EUROPEU NATURALLE 20/6 X 400 X 5000MM</t>
  </si>
  <si>
    <t>DECK 05 CARVALHO EUROPEU CAPUCCINO CHEVRON 15/3 X 1900X 740MM</t>
  </si>
  <si>
    <t>DECK 05 CARVALHO EUROPEU CAPUCCINO 15/3 X 125 X 1200MM</t>
  </si>
  <si>
    <t>DECK 05 CARVALHO EUROPEU CAPPUCCINO ESPINHA DE PEIXE TG 15/3 X 125X900MM</t>
  </si>
  <si>
    <t>DECK 05 CARVALHO EUROPEU CAPUCCINO 15/3 X 190 X 1900MM</t>
  </si>
  <si>
    <t>DECK 05 CARVALHO EUROPEU CAPUCCINO 20/6 X 300 X 4000MM</t>
  </si>
  <si>
    <t>DECK 05 CARVALHO EUROPEU CAPUCCINO 20/6 X 400 X 5000MM</t>
  </si>
  <si>
    <t>DECK 05 CARVALHO EUROPEU BABY GREY CHEVRON 15/3 X 1900X 740MM</t>
  </si>
  <si>
    <t>DECK 05 CARVALHO EUROPEU BABY GREY 15/3 X 125 X 1200MM</t>
  </si>
  <si>
    <t>DECK 05 CARVALHO EUROPEU BABY GREY 15/3 X 190 X 1900MM</t>
  </si>
  <si>
    <t>DECK 05 CARVALHO EUROPEU BABY GREY 20/6 X 300 X 4000MM</t>
  </si>
  <si>
    <t>DECK 05 CARVALHO EUROPEU BABY GREY 20/6 X 400 X 5000MM</t>
  </si>
  <si>
    <t>DECK 05 CARVALHO EUROPEU GRIGIO NERO CHEVRON 15/3 X 1900X 740MM</t>
  </si>
  <si>
    <t>DECK 05 CARVALHO EUROPEU GRIGIO NERO 15/3 X 125 X 1200MM</t>
  </si>
  <si>
    <t>DECK 05 CARVALHO EUROPEU GRIGIO NERO 15/3 X 190 X 1900MM</t>
  </si>
  <si>
    <t>DECK 05 CARVALHO EUROPEU GRIGIO NERO 20/6 X 300 X 4000MM</t>
  </si>
  <si>
    <t>DECK 05 CARVALHO EUROPEU GRIGIO NERO 20/6 X 400 X 5000MM</t>
  </si>
  <si>
    <t>DECK 05 CARVALHO EUROPEU LIGHT BROWN CHEVRON 15/3 X 1900X 740MM</t>
  </si>
  <si>
    <t>DECK 05 CARVALHO EUROPEU LIGHT BROWN 15/3 X 125 X 1200MM</t>
  </si>
  <si>
    <t>DECK 05 CARVALHO EUROPEU LIGHT BROWN 15/3 X 190 X 1900MM</t>
  </si>
  <si>
    <t>DECK 05 CARVALHO EUROPEU LIGHT BROWN 20/6 X 300 X 4000MM</t>
  </si>
  <si>
    <t>DECK 05 CARVALHO EUROPEU LIGHT BROWN 20/6 X 400 X 5000MM</t>
  </si>
  <si>
    <t>DECK 05 CARVALHO EUROPEU - LISTONE GIORDANO (HERITAGE 140 FILIGRANA - SIENNA 1179) TG 1,25 X 14,0 X 83,50CM --</t>
  </si>
  <si>
    <t>DECK 05 CARVALHO EUROPEU MILANO CHEVRON 15/3 X 1900X 740MM</t>
  </si>
  <si>
    <t>DECK 05 CARVALHO EUROPEU MILANO 15/3 X 125 X 1200MM</t>
  </si>
  <si>
    <t>DECK 05 CARVALHO EUROPEU MILANO 15/3 X 190 X 1900MM</t>
  </si>
  <si>
    <t>DECK 05 CARVALHO EUROPEU MILANO 20/6 X 300 X 4000MM</t>
  </si>
  <si>
    <t>DECK 05 CARVALHO EUROPEU MILANO 20/6 X 400 X 5000MM</t>
  </si>
  <si>
    <t>DECK 05 CARVALHO EUROPEU SMOKED CHEVRON 15/3 X 1900X 740MM</t>
  </si>
  <si>
    <t>DECK 05 CARVALHO EUROPEU SMOKED 15/3 X 125 X 1200MM</t>
  </si>
  <si>
    <t>DECK 05 CARVALHO EUROPEU SMOKED 15/3 X 190 X 1900MM</t>
  </si>
  <si>
    <t>DECK 05 CARVALHO EUROPEU SMOKED 20/6 X 300 X 4000MM</t>
  </si>
  <si>
    <t>DECK 05 CARVALHO EUROPEU SMOKED 20/6 X 400 X 5000MM</t>
  </si>
  <si>
    <t>DECK 05 CARVALHO EUROPEU GIZ CHEVRON 15/3 X 1900X 740MM</t>
  </si>
  <si>
    <t>DECK 05 CARVALHO EUROPEU GIZ 15/3 X 125 X 1200MM</t>
  </si>
  <si>
    <t>DECK 05 CARVALHO EUROPEU GIZ 15/3 X 190 X 1900MM</t>
  </si>
  <si>
    <t>DECK 05 CARVALHO EUROPEU GIZ 20/6 X 300 X 4000MM</t>
  </si>
  <si>
    <t>DECK 05 CARVALHO EUROPEU GIZ 20/6 X 400 X 5000MM</t>
  </si>
  <si>
    <t>DECK 05 CARVALHO EUROPEU SNOW CHEVRON 15/3 X 1900X 740MM</t>
  </si>
  <si>
    <t>DECK 05 CARVALHO EUROPEU SNOW 15/3 X 125 X 1200MM</t>
  </si>
  <si>
    <t>DECK 05 CARVALHO EUROPEU SNOW 15/3 X 190 X 1900MM</t>
  </si>
  <si>
    <t>DECK 05 CARVALHO EUROPEU SNOW 20/6 X 300 X 4000MM</t>
  </si>
  <si>
    <t>DECK 05 CARVALHO EUROPEU SNOW 20/6 X 400 X 5000MM</t>
  </si>
  <si>
    <t>DECK 05 CARVALHO EUROPEU WILD CHEVRON 15/3 X 1900X 740MM</t>
  </si>
  <si>
    <t>DECK 05 CARVALHO EUROPEU WILD 15/3 X 125 X 1200MM</t>
  </si>
  <si>
    <t>DECK 05 CARVALHO EUROPEU WILD 15/3 X 190 X 1900MM</t>
  </si>
  <si>
    <t>DECK 05 CARVALHO EUROPEU WILD 20/6 X 300 X 4000MM</t>
  </si>
  <si>
    <t>DECK 05 CARVALHO EUROPEU WILD 20/6 X 400 X 5000MM</t>
  </si>
  <si>
    <t>DECK 05 CARVALHO EUROPEU NEVADO CHEVRON 15/3 X 1900X 740MM</t>
  </si>
  <si>
    <t>DECK 05 CARVALHO EUROPEU NEVADO 15/3 X 125 X 1200MM</t>
  </si>
  <si>
    <t>DECK 05 CARVALHO EUROPEU NEVADO 15/3 X 190 X 1900MM</t>
  </si>
  <si>
    <t>DECK 05 CARVALHO EUROPEU NEVADO 20/6 X 300 X 4000MM</t>
  </si>
  <si>
    <t>DECK 05 CARVALHO EUROPEU NEVADO 20/6 X 400 X 5000MM</t>
  </si>
  <si>
    <t>DECK 05 CARVALHO EUROPEU CONCRETE GREY CHEVRON 15/3 X 1900X 740MM</t>
  </si>
  <si>
    <t>DECK 05 CARVALHO EUROPEU CONCRETE GREY 15/3 X 125 X 1200MM</t>
  </si>
  <si>
    <t>DECK 05 CARVALHO EUROPEU CONCRETE GREY 15/3 X 190 X 1900MM</t>
  </si>
  <si>
    <t>DECK 05 CARVALHO EUROPEU CONCRETE GREY 20/6 X 300 X 4000MM</t>
  </si>
  <si>
    <t>DECK 05 CARVALHO EUROPEU CONCRETE GREY 20/6 X 400 X 5000MM</t>
  </si>
  <si>
    <t>DECK 05 CARVALHO EUROPEU ITALY BROWN CHEVRON 15/3 X 1900X 740MM</t>
  </si>
  <si>
    <t>DECK 05 CARVALHO EUROPEU ITALY BROWN 15/3 X 125 X 1200MM</t>
  </si>
  <si>
    <t>DECK 05 CARVALHO EUROPEU ITALY BROWN 15/3 X 190 X 1900MM</t>
  </si>
  <si>
    <t>DECK 05 CARVALHO EUROPEU ITALY BROWN 20/6 X 300 X 4000MM</t>
  </si>
  <si>
    <t>DECK 05 CARVALHO EUROPEU ITALY BROWN 20/6 X 400 X 5000MM</t>
  </si>
  <si>
    <t>DECK 05 CARVALHO EUROPEU ALL BLACK CHEVRON 15/3 X 1900X 740MM</t>
  </si>
  <si>
    <t>DECK 05 CARVALHO EUROPEU ALL BLACK 15/3 X 125 X 1200MM</t>
  </si>
  <si>
    <t>DECK 05 CARVALHO EUROPEU BLACK CHEVRON TG 15/3 X 125 X 775CM</t>
  </si>
  <si>
    <t>DECK 05 CARVALHO EUROPEU ALL BLACK 15/3 X 190 X 1900MM</t>
  </si>
  <si>
    <t>DECK 05 CARVALHO EUROPEU ALL BLACK 20/6 X 300 X 4000MM</t>
  </si>
  <si>
    <t>DECK 05 CARVALHO EUROPEU ALL BLACK 20/6 X 400 X 5000MM</t>
  </si>
  <si>
    <t>DECK 05 CARVALHO EUROPEU URBAN GREY CHEVRON 15/3 X 1900X 740MM</t>
  </si>
  <si>
    <t>DECK 05 CARVALHO EUROPEU URBAN GREY 15/3 X 125 X 1200MM</t>
  </si>
  <si>
    <t>DECK 05 CARVALHO EUROPEU URBAN GREY 15/3 X 190 X 1900MM</t>
  </si>
  <si>
    <t>DECK 05 CARVALHO EUROPEU URBAN GREY 20/6 X 300 X 4000MM</t>
  </si>
  <si>
    <t>DECK 05 CARVALHO EUROPEU URBAN GREY 20/6 X 400 X 5000MM</t>
  </si>
  <si>
    <t>DECK 05 CARVALHO EUROPEU CARAMEL CHEVRON 15/3 X 1900X 740MM</t>
  </si>
  <si>
    <t>DECK 05 CARVALHO EUROPEU CARAMEL 15/3 X 125 X 1200MM</t>
  </si>
  <si>
    <t>DECK 05 CARVALHO EUROPEU CARAMEL 15/3 X 190 X 1900MM</t>
  </si>
  <si>
    <t>DECK 05 CARVALHO EUROPEU CARAMEL 20/6 X 300 X 4000MM</t>
  </si>
  <si>
    <t>DECK 05 CARVALHO EUROPEU CARAMEL 20/6 X 400 X 5000MM</t>
  </si>
  <si>
    <t>DECK 05 CARVALHO EUROPEU CHEMICAL CHEVRON TG 15/3*190*740MM</t>
  </si>
  <si>
    <t>DECK 05 CARVALHO EUROPEU WHITE RUSTIC 15/4*189*1860MM</t>
  </si>
  <si>
    <t>DECK 05 CARVALHO EUROPEU CUSTOMIZADO 14/3 X 12,7 X 186CM</t>
  </si>
  <si>
    <t>DECK 05 CARVALHO EUROPEU CUSTOMIZADO 2.0 X 19 X 190CM (C2)</t>
  </si>
  <si>
    <t>DECK 05 CARVALHO EUROPEU NATURAL CHEVRON TG 1.5/3 X 9X 51CM</t>
  </si>
  <si>
    <t>DECK 05 CARVALHO EUROPEU NATURAL TG 1.5/3 X 9 X 91CM</t>
  </si>
  <si>
    <t>DECK 05 CARVALHO EUROPEU NUDE CHEVRON 60.. TG 15/3 X 190 X 90CM</t>
  </si>
  <si>
    <t>DECK 05 CARVALHO EUROPEU NUDE CHEVRON TG 1.5/3X 12.5X 63CM</t>
  </si>
  <si>
    <t>DECK 05 WALNUT 15/3 X 125 X 910MM</t>
  </si>
  <si>
    <t>DECK 05 WALNUT 15/3 X 190 X 1900MM</t>
  </si>
  <si>
    <t>DECK 05 WALNUT 20/2 X 300 X 4000MM</t>
  </si>
  <si>
    <t>DECK 05 BAMBU ALTA DENS. CUST PREMIUM TG 1.5/4 X19X185CM</t>
  </si>
  <si>
    <t>DECK 05 BAMBU CARAMEL ALTA DENSIDADE TG 1.5/4 X19X186CM</t>
  </si>
  <si>
    <t>DECK 05 RIPADO CUMARU PREMIUM TG 1,8 X 3,5+0,5CM PROF. BIT 0</t>
  </si>
  <si>
    <t>DECK 05 RIPADO CATUABA PREMIUM TG 1,8 X 3,5+0,5CM PROF. BIT 0</t>
  </si>
  <si>
    <t>DECK 05 RIPADO CABREUVA BRANCA PREMIUM TG 1,8 X 3,5+0,5CM PROF. BIT 0</t>
  </si>
  <si>
    <t>DECK 05 RIPADO CABREUVA DOURADA PREMIUM TG 1,8 X 3,5+0,5CM PROF. BIT 0</t>
  </si>
  <si>
    <t>DECK 05 RIPADO TAUARI PREMIUM TG 1,8 X 3,5+0,5CM PROF. BIT 0</t>
  </si>
  <si>
    <t>DECK 05 RIPADO PEROBA PREMIUM TG 1,8 X 3,5+0,5CM PROF. BIT 0</t>
  </si>
  <si>
    <t>DECK 05 RIPADO LORO PARDO PREMIUM TG 1,8 X 3,5+0,5CM PROF. BIT 0</t>
  </si>
  <si>
    <t>DECK 05 CUMARU MULTI PREMIUM 19 X 190 X 600 A 2200MM</t>
  </si>
  <si>
    <t>DECK 05 CATUABA MULTI PREMIUM 19 X 190 X 600 A 2200MM</t>
  </si>
  <si>
    <t>DECK 05 CABREUVA BRACA MULTI PREMIUM 19 X 190 X 600 A 2200MM</t>
  </si>
  <si>
    <t>DECK 05 CABREUVA DOURADA MULTI PREMIUM 19 X 190 X 600 A 2200MM</t>
  </si>
  <si>
    <t>DECK 05 TAUARI MULTI PREMIUM 19 X 190 X 600 A 2200MM</t>
  </si>
  <si>
    <t>DECK 05 PEROBA MULTI PREMIUM 19 X 190 X 600 A 2200MM</t>
  </si>
  <si>
    <t>DECK 05 LORO PARDO MULTI PREMIUM 19 X 190 X 600 A 2200MM</t>
  </si>
  <si>
    <t>DECK 05 MUXARABI CUMARU PREMIUM</t>
  </si>
  <si>
    <t>DECK 05 MUXARABI CATUABA PREMIUM</t>
  </si>
  <si>
    <t>DECK 05 MUXARABI CABREUVA BRANCA PREMIUM</t>
  </si>
  <si>
    <t>DECK 05 MUXARABI CABREUVA DOURADA PREMIUM</t>
  </si>
  <si>
    <t>DECK 05 MUXARABI TAUARI PREMIUM</t>
  </si>
  <si>
    <t>DECK 05 MUXARABI PEROBA PREMIUM</t>
  </si>
  <si>
    <t>DECK 05 MUXARABI LORO PARDO PREMIUM</t>
  </si>
  <si>
    <t>DECK 05 TOBLERONE CUMARU PREMIUM 3 X 3 COMPR. VARIAVEIS</t>
  </si>
  <si>
    <t>DECK 05 TOBLERONE CATUABA PREMIUM 3 X 3 COMPR. VARIAVEIS</t>
  </si>
  <si>
    <t>DECK 05 TOBLERONE CABREUVA BRANCA PREMIUM 3 X 3 COMPR. VARIAVEIS</t>
  </si>
  <si>
    <t>DECK 05 TOBLERONE CABREUVA DOURADA PREMIUM 3 X 3 COMPR. VARIAVEIS</t>
  </si>
  <si>
    <t>DECK 05 TOBLERONE TAUARI PREMIUM 3 X 3 COMPR. VARIAVEIS</t>
  </si>
  <si>
    <t>DECK 05 TOBLERONE PEROBA PREMIUM 3 X 3 COMPR. VARIAVEIS</t>
  </si>
  <si>
    <t>DECK 05 TOBLERONE LORO PARDO PREMIUM 3 X 3 COMPR. VARIAVEIS</t>
  </si>
  <si>
    <t>DECK 05 DECK CUMARU PREMIUM TG 2,5 X 5 X COMPR. VARIAVEIS</t>
  </si>
  <si>
    <t>DECK 05 DECK CUMARU PREMIUM TG 2,5 X 10 X COMPR. VARIAVEIS</t>
  </si>
  <si>
    <t>DECK 05 DECK CATUABA PREMIUM TG 2,5 X 5 X COMPR. VARIAVEIS</t>
  </si>
  <si>
    <t>DECK 05 DECK CATUABA PREMIUM TG 2,5 X 10 X COMPR. VARIAVEIS</t>
  </si>
  <si>
    <t>DECK 05 DECK CABREUVA BRANCA PREMIUM TG 2,5 X 5 X COMPR. VARIAVEIS</t>
  </si>
  <si>
    <t>DECK 05 DECK CABREUVA BRANCA PREMIUM TG 2,5 X 10 X COMPR. VARIAVEIS</t>
  </si>
  <si>
    <t>DECK 05 DECK CABREUVA DOURADA PREMIUM TG 2,5 X 5 X COMPR. VARIAVEIS</t>
  </si>
  <si>
    <t>DECK 05 DECK CABREUVA DOURADA PREMIUM TG 2,5 X 10 X COMPR. VARIAVEIS</t>
  </si>
  <si>
    <t>DECK 05 DECK TAUARI PREMIUM TG 2,5 X 5 X COMPR. VARIAVEIS</t>
  </si>
  <si>
    <t>DECK 05 DECK TAUARI PREMIUM TG 2,5 X 10 X COMPR. VARIAVEIS</t>
  </si>
  <si>
    <t>DECK 05 DECK PEROBA PREMIUM TG 2,5 X 5 X COMPR. VARIAVEIS</t>
  </si>
  <si>
    <t>DECK 05 DECK PEROBA PREMIUM TG 2,5 X 10 X COMPR. VARIAVEIS</t>
  </si>
  <si>
    <t>DECK 05 DECK BAMBU CARAMEL ALTA DENSIDADE</t>
  </si>
  <si>
    <t>DECK 05 DECK BPC CINZA ESCURO 2 X15X 290CM PÇ/0.435M2</t>
  </si>
  <si>
    <t>DECK 05 DECK BPC MORROM 2X15X220CM</t>
  </si>
  <si>
    <t>DECK 05 DECK WPC CINZA 2,2*14,6*220CM</t>
  </si>
  <si>
    <t>DECK 05 PEROBA RUSTICA DE DEMOLIÇÃO</t>
  </si>
  <si>
    <t>DECK 05 CANELA RUSTICA DE DEMOLIÇÃO</t>
  </si>
  <si>
    <t>RODAPÉ CARVALHO EUROPEU MARRONE CHEVRON 15/3 X 1900X 740MM</t>
  </si>
  <si>
    <t>RODAPÉ CARVALHO EUROPEU MARRONE 15/3 X 125 X 1200MM</t>
  </si>
  <si>
    <t>RODAPÉ CARVALHO EUROPEU MARRONE 15/3 X 190 X 1900MM</t>
  </si>
  <si>
    <t>RODAPÉ CARVALHO EUROPEU MARRONE 20/6 X 300 X 4000MM</t>
  </si>
  <si>
    <t>RODAPÉ CARVALHO EUROPEU MARRONE 20/6 X 400 X 5000MM</t>
  </si>
  <si>
    <t>RODAPÉ CARVALHO EUROPEU MONT BLANC CHEVRON 15/3 X 1900X 740MM</t>
  </si>
  <si>
    <t>RODAPÉ CARVALHO EUROPEU MONT BLANC ESPINHA DE PEIXE TG 15/3 X 125X900MM</t>
  </si>
  <si>
    <t>RODAPÉ CARVALHO EUROPEU MONT BLANC 15/3 X 125 X 1200MM</t>
  </si>
  <si>
    <t>RODAPÉ CARVALHO EUROPEU MONT BLANC 15/3 X 190 X 1900MM</t>
  </si>
  <si>
    <t>RODAPÉ CARVALHO EUROPEU MONT BLANC 20/6 X 300 X 4000MM</t>
  </si>
  <si>
    <t>RODAPÉ CARVALHO EUROPEU MONT BLANC 20/6 X 400 X 5000MM</t>
  </si>
  <si>
    <t>RODAPÉ CARVALHO EUROPEU NATURAL CHEVRON TG 15/3 X 125 X 775MM</t>
  </si>
  <si>
    <t>RODAPÉ CARVALHO EUROPEU NATURALLE CHEVRON 15/3 X 1900X 740MM</t>
  </si>
  <si>
    <t>RODAPÉ CARVALHO EUROPEU NATURALLE CHEVRON 60º 15/3 X 1900X 910MM</t>
  </si>
  <si>
    <t>RODAPÉ CARVALHO EUROPEU NATURALLE FINE 10/06 X 1900 X 1900MM</t>
  </si>
  <si>
    <t>RODAPÉ CARVALHO EUROPEU NATURALLE 15/3 X 125 X 1200MM</t>
  </si>
  <si>
    <t>RODAPÉ CARVALHO EUROPEU NATURALLE 15/3 X 190 X 1900MM</t>
  </si>
  <si>
    <t>RODAPÉ CARVALHO EUROPEU NATURALLE 20/6 X 300 X 4000MM</t>
  </si>
  <si>
    <t>RODAPÉ CARVALHO EUROPEU NATURALLE 20/6 X 400 X 5000MM</t>
  </si>
  <si>
    <t>RODAPÉ CARVALHO EUROPEU CAPUCCINO CHEVRON 15/3 X 1900X 740MM</t>
  </si>
  <si>
    <t>RODAPÉ CARVALHO EUROPEU CAPUCCINO 15/3 X 125 X 1200MM</t>
  </si>
  <si>
    <t>RODAPÉ CARVALHO EUROPEU CAPPUCCINO ESPINHA DE PEIXE TG 15/3 X 125X900MM</t>
  </si>
  <si>
    <t>RODAPÉ CARVALHO EUROPEU CAPUCCINO 15/3 X 190 X 1900MM</t>
  </si>
  <si>
    <t>RODAPÉ CARVALHO EUROPEU CAPUCCINO 20/6 X 300 X 4000MM</t>
  </si>
  <si>
    <t>RODAPÉ CARVALHO EUROPEU CAPUCCINO 20/6 X 400 X 5000MM</t>
  </si>
  <si>
    <t>RODAPÉ CARVALHO EUROPEU BABY GREY CHEVRON 15/3 X 1900X 740MM</t>
  </si>
  <si>
    <t>RODAPÉ CARVALHO EUROPEU BABY GREY 15/3 X 125 X 1200MM</t>
  </si>
  <si>
    <t>RODAPÉ CARVALHO EUROPEU BABY GREY 15/3 X 190 X 1900MM</t>
  </si>
  <si>
    <t>RODAPÉ CARVALHO EUROPEU BABY GREY 20/6 X 300 X 4000MM</t>
  </si>
  <si>
    <t>RODAPÉ CARVALHO EUROPEU BABY GREY 20/6 X 400 X 5000MM</t>
  </si>
  <si>
    <t>RODAPÉ CARVALHO EUROPEU GRIGIO NERO CHEVRON 15/3 X 1900X 740MM</t>
  </si>
  <si>
    <t>RODAPÉ CARVALHO EUROPEU GRIGIO NERO 15/3 X 125 X 1200MM</t>
  </si>
  <si>
    <t>RODAPÉ CARVALHO EUROPEU GRIGIO NERO 15/3 X 190 X 1900MM</t>
  </si>
  <si>
    <t>RODAPÉ CARVALHO EUROPEU GRIGIO NERO 20/6 X 300 X 4000MM</t>
  </si>
  <si>
    <t>RODAPÉ CARVALHO EUROPEU GRIGIO NERO 20/6 X 400 X 5000MM</t>
  </si>
  <si>
    <t>RODAPÉ CARVALHO EUROPEU LIGHT BROWN CHEVRON 15/3 X 1900X 740MM</t>
  </si>
  <si>
    <t>RODAPÉ CARVALHO EUROPEU LIGHT BROWN 15/3 X 125 X 1200MM</t>
  </si>
  <si>
    <t>RODAPÉ CARVALHO EUROPEU LIGHT BROWN 15/3 X 190 X 1900MM</t>
  </si>
  <si>
    <t>RODAPÉ CARVALHO EUROPEU LIGHT BROWN 20/6 X 300 X 4000MM</t>
  </si>
  <si>
    <t>RODAPÉ CARVALHO EUROPEU LIGHT BROWN 20/6 X 400 X 5000MM</t>
  </si>
  <si>
    <t>RODAPÉ CARVALHO EUROPEU - LISTONE GIORDANO (HERITAGE 140 FILIGRANA - SIENNA 1179) TG 1,25 X 14,0 X 83,50CM --</t>
  </si>
  <si>
    <t>RODAPÉ CARVALHO EUROPEU MILANO CHEVRON 15/3 X 1900X 740MM</t>
  </si>
  <si>
    <t>RODAPÉ CARVALHO EUROPEU MILANO 15/3 X 125 X 1200MM</t>
  </si>
  <si>
    <t>RODAPÉ CARVALHO EUROPEU MILANO 15/3 X 190 X 1900MM</t>
  </si>
  <si>
    <t>RODAPÉ CARVALHO EUROPEU MILANO 20/6 X 300 X 4000MM</t>
  </si>
  <si>
    <t>RODAPÉ CARVALHO EUROPEU MILANO 20/6 X 400 X 5000MM</t>
  </si>
  <si>
    <t>RODAPÉ CARVALHO EUROPEU SMOKED CHEVRON 15/3 X 1900X 740MM</t>
  </si>
  <si>
    <t>RODAPÉ CARVALHO EUROPEU SMOKED 15/3 X 125 X 1200MM</t>
  </si>
  <si>
    <t>RODAPÉ CARVALHO EUROPEU SMOKED 15/3 X 190 X 1900MM</t>
  </si>
  <si>
    <t>RODAPÉ CARVALHO EUROPEU SMOKED 20/6 X 300 X 4000MM</t>
  </si>
  <si>
    <t>RODAPÉ CARVALHO EUROPEU SMOKED 20/6 X 400 X 5000MM</t>
  </si>
  <si>
    <t>RODAPÉ CARVALHO EUROPEU GIZ CHEVRON 15/3 X 1900X 740MM</t>
  </si>
  <si>
    <t>RODAPÉ CARVALHO EUROPEU GIZ 15/3 X 125 X 1200MM</t>
  </si>
  <si>
    <t>RODAPÉ CARVALHO EUROPEU GIZ 15/3 X 190 X 1900MM</t>
  </si>
  <si>
    <t>RODAPÉ CARVALHO EUROPEU GIZ 20/6 X 300 X 4000MM</t>
  </si>
  <si>
    <t>RODAPÉ CARVALHO EUROPEU GIZ 20/6 X 400 X 5000MM</t>
  </si>
  <si>
    <t>RODAPÉ CARVALHO EUROPEU SNOW CHEVRON 15/3 X 1900X 740MM</t>
  </si>
  <si>
    <t>RODAPÉ CARVALHO EUROPEU SNOW 15/3 X 125 X 1200MM</t>
  </si>
  <si>
    <t>RODAPÉ CARVALHO EUROPEU SNOW 15/3 X 190 X 1900MM</t>
  </si>
  <si>
    <t>RODAPÉ CARVALHO EUROPEU SNOW 20/6 X 300 X 4000MM</t>
  </si>
  <si>
    <t>RODAPÉ CARVALHO EUROPEU SNOW 20/6 X 400 X 5000MM</t>
  </si>
  <si>
    <t>RODAPÉ CARVALHO EUROPEU WILD CHEVRON 15/3 X 1900X 740MM</t>
  </si>
  <si>
    <t>RODAPÉ CARVALHO EUROPEU WILD 15/3 X 125 X 1200MM</t>
  </si>
  <si>
    <t>RODAPÉ CARVALHO EUROPEU WILD 15/3 X 190 X 1900MM</t>
  </si>
  <si>
    <t>RODAPÉ CARVALHO EUROPEU WILD 20/6 X 300 X 4000MM</t>
  </si>
  <si>
    <t>RODAPÉ CARVALHO EUROPEU WILD 20/6 X 400 X 5000MM</t>
  </si>
  <si>
    <t>RODAPÉ CARVALHO EUROPEU NEVADO CHEVRON 15/3 X 1900X 740MM</t>
  </si>
  <si>
    <t>RODAPÉ CARVALHO EUROPEU NEVADO 15/3 X 125 X 1200MM</t>
  </si>
  <si>
    <t>RODAPÉ CARVALHO EUROPEU NEVADO 15/3 X 190 X 1900MM</t>
  </si>
  <si>
    <t>RODAPÉ CARVALHO EUROPEU NEVADO 20/6 X 300 X 4000MM</t>
  </si>
  <si>
    <t>RODAPÉ CARVALHO EUROPEU NEVADO 20/6 X 400 X 5000MM</t>
  </si>
  <si>
    <t>RODAPÉ CARVALHO EUROPEU CONCRETE GREY CHEVRON 15/3 X 1900X 740MM</t>
  </si>
  <si>
    <t>RODAPÉ CARVALHO EUROPEU CONCRETE GREY 15/3 X 125 X 1200MM</t>
  </si>
  <si>
    <t>RODAPÉ CARVALHO EUROPEU CONCRETE GREY 15/3 X 190 X 1900MM</t>
  </si>
  <si>
    <t>RODAPÉ CARVALHO EUROPEU CONCRETE GREY 20/6 X 300 X 4000MM</t>
  </si>
  <si>
    <t>RODAPÉ CARVALHO EUROPEU CONCRETE GREY 20/6 X 400 X 5000MM</t>
  </si>
  <si>
    <t>RODAPÉ CARVALHO EUROPEU ITALY BROWN CHEVRON 15/3 X 1900X 740MM</t>
  </si>
  <si>
    <t>RODAPÉ CARVALHO EUROPEU ITALY BROWN 15/3 X 125 X 1200MM</t>
  </si>
  <si>
    <t>RODAPÉ CARVALHO EUROPEU ITALY BROWN 15/3 X 190 X 1900MM</t>
  </si>
  <si>
    <t>RODAPÉ CARVALHO EUROPEU ITALY BROWN 20/6 X 300 X 4000MM</t>
  </si>
  <si>
    <t>RODAPÉ CARVALHO EUROPEU ITALY BROWN 20/6 X 400 X 5000MM</t>
  </si>
  <si>
    <t>RODAPÉ CARVALHO EUROPEU ALL BLACK CHEVRON 15/3 X 1900X 740MM</t>
  </si>
  <si>
    <t>RODAPÉ CARVALHO EUROPEU ALL BLACK 15/3 X 125 X 1200MM</t>
  </si>
  <si>
    <t>RODAPÉ CARVALHO EUROPEU BLACK CHEVRON TG 15/3 X 125 X 775CM</t>
  </si>
  <si>
    <t>RODAPÉ CARVALHO EUROPEU ALL BLACK 15/3 X 190 X 1900MM</t>
  </si>
  <si>
    <t>RODAPÉ CARVALHO EUROPEU ALL BLACK 20/6 X 300 X 4000MM</t>
  </si>
  <si>
    <t>RODAPÉ CARVALHO EUROPEU ALL BLACK 20/6 X 400 X 5000MM</t>
  </si>
  <si>
    <t>RODAPÉ CARVALHO EUROPEU URBAN GREY CHEVRON 15/3 X 1900X 740MM</t>
  </si>
  <si>
    <t>RODAPÉ CARVALHO EUROPEU URBAN GREY 15/3 X 125 X 1200MM</t>
  </si>
  <si>
    <t>RODAPÉ CARVALHO EUROPEU URBAN GREY 15/3 X 190 X 1900MM</t>
  </si>
  <si>
    <t>RODAPÉ CARVALHO EUROPEU URBAN GREY 20/6 X 300 X 4000MM</t>
  </si>
  <si>
    <t>RODAPÉ CARVALHO EUROPEU URBAN GREY 20/6 X 400 X 5000MM</t>
  </si>
  <si>
    <t>RODAPÉ CARVALHO EUROPEU CARAMEL CHEVRON 15/3 X 1900X 740MM</t>
  </si>
  <si>
    <t>RODAPÉ CARVALHO EUROPEU CARAMEL 15/3 X 125 X 1200MM</t>
  </si>
  <si>
    <t>RODAPÉ CARVALHO EUROPEU CARAMEL 15/3 X 190 X 1900MM</t>
  </si>
  <si>
    <t>RODAPÉ CARVALHO EUROPEU CARAMEL 20/6 X 300 X 4000MM</t>
  </si>
  <si>
    <t>RODAPÉ CARVALHO EUROPEU CARAMEL 20/6 X 400 X 5000MM</t>
  </si>
  <si>
    <t>RODAPÉ CARVALHO EUROPEU CHEMICAL CHEVRON TG 15/3*190*740MM</t>
  </si>
  <si>
    <t>RODAPÉ CARVALHO EUROPEU WHITE RUSTIC 15/4*189*1860MM</t>
  </si>
  <si>
    <t>RODAPÉ CARVALHO EUROPEU CUSTOMIZADO 14/3 X 12,7 X 186CM</t>
  </si>
  <si>
    <t>RODAPÉ CARVALHO EUROPEU CUSTOMIZADO 2.0 X 19 X 190CM (C2)</t>
  </si>
  <si>
    <t>RODAPÉ CARVALHO EUROPEU NATURAL CHEVRON TG 1.5/3 X 9X 51CM</t>
  </si>
  <si>
    <t>RODAPÉ CARVALHO EUROPEU NATURAL TG 1.5/3 X 9 X 91CM</t>
  </si>
  <si>
    <t>RODAPÉ CARVALHO EUROPEU NUDE CHEVRON 60.. TG 15/3 X 190 X 90CM</t>
  </si>
  <si>
    <t>RODAPÉ CARVALHO EUROPEU NUDE CHEVRON TG 1.5/3X 12.5X 63CM</t>
  </si>
  <si>
    <t>RODAPÉ WALNUT 15/3 X 125 X 910MM</t>
  </si>
  <si>
    <t>RODAPÉ WALNUT 15/3 X 190 X 1900MM</t>
  </si>
  <si>
    <t>RODAPÉ WALNUT 20/2 X 300 X 4000MM</t>
  </si>
  <si>
    <t>RODAPÉ BAMBU ALTA DENS. CUST PREMIUM TG 1.5/4 X19X185CM</t>
  </si>
  <si>
    <t>RODAPÉ BAMBU CARAMEL ALTA DENSIDADE TG 1.5/4 X19X186CM</t>
  </si>
  <si>
    <t>RODAPÉ RIPADO CUMARU PREMIUM TG 1,8 X 3,5+0,5CM PROF. BIT 0</t>
  </si>
  <si>
    <t>RODAPÉ RIPADO CATUABA PREMIUM TG 1,8 X 3,5+0,5CM PROF. BIT 0</t>
  </si>
  <si>
    <t>RODAPÉ RIPADO CABREUVA BRANCA PREMIUM TG 1,8 X 3,5+0,5CM PROF. BIT 0</t>
  </si>
  <si>
    <t>RODAPÉ RIPADO CABREUVA DOURADA PREMIUM TG 1,8 X 3,5+0,5CM PROF. BIT 0</t>
  </si>
  <si>
    <t>RODAPÉ RIPADO TAUARI PREMIUM TG 1,8 X 3,5+0,5CM PROF. BIT 0</t>
  </si>
  <si>
    <t>RODAPÉ RIPADO PEROBA PREMIUM TG 1,8 X 3,5+0,5CM PROF. BIT 0</t>
  </si>
  <si>
    <t>RODAPÉ RIPADO LORO PARDO PREMIUM TG 1,8 X 3,5+0,5CM PROF. BIT 0</t>
  </si>
  <si>
    <t>RODAPÉ CUMARU MULTI PREMIUM 19 X 190 X 600 A 2200MM</t>
  </si>
  <si>
    <t>RODAPÉ CATUABA MULTI PREMIUM 19 X 190 X 600 A 2200MM</t>
  </si>
  <si>
    <t>RODAPÉ CABREUVA BRACA MULTI PREMIUM 19 X 190 X 600 A 2200MM</t>
  </si>
  <si>
    <t>RODAPÉ CABREUVA DOURADA MULTI PREMIUM 19 X 190 X 600 A 2200MM</t>
  </si>
  <si>
    <t>RODAPÉ TAUARI MULTI PREMIUM 19 X 190 X 600 A 2200MM</t>
  </si>
  <si>
    <t>RODAPÉ PEROBA MULTI PREMIUM 19 X 190 X 600 A 2200MM</t>
  </si>
  <si>
    <t>RODAPÉ LORO PARDO MULTI PREMIUM 19 X 190 X 600 A 2200MM</t>
  </si>
  <si>
    <t>RODAPÉ MUXARABI CUMARU PREMIUM</t>
  </si>
  <si>
    <t>RODAPÉ MUXARABI CATUABA PREMIUM</t>
  </si>
  <si>
    <t>RODAPÉ MUXARABI CABREUVA BRANCA PREMIUM</t>
  </si>
  <si>
    <t>RODAPÉ MUXARABI CABREUVA DOURADA PREMIUM</t>
  </si>
  <si>
    <t>RODAPÉ MUXARABI TAUARI PREMIUM</t>
  </si>
  <si>
    <t>RODAPÉ MUXARABI PEROBA PREMIUM</t>
  </si>
  <si>
    <t>RODAPÉ MUXARABI LORO PARDO PREMIUM</t>
  </si>
  <si>
    <t>RODAPÉ TOBLERONE CUMARU PREMIUM 3 X 3 COMPR. VARIAVEIS</t>
  </si>
  <si>
    <t>RODAPÉ TOBLERONE CATUABA PREMIUM 3 X 3 COMPR. VARIAVEIS</t>
  </si>
  <si>
    <t>RODAPÉ TOBLERONE CABREUVA BRANCA PREMIUM 3 X 3 COMPR. VARIAVEIS</t>
  </si>
  <si>
    <t>RODAPÉ TOBLERONE CABREUVA DOURADA PREMIUM 3 X 3 COMPR. VARIAVEIS</t>
  </si>
  <si>
    <t>RODAPÉ TOBLERONE TAUARI PREMIUM 3 X 3 COMPR. VARIAVEIS</t>
  </si>
  <si>
    <t>RODAPÉ TOBLERONE PEROBA PREMIUM 3 X 3 COMPR. VARIAVEIS</t>
  </si>
  <si>
    <t>RODAPÉ TOBLERONE LORO PARDO PREMIUM 3 X 3 COMPR. VARIAVEIS</t>
  </si>
  <si>
    <t>RODAPÉ DECK CUMARU PREMIUM TG 2,5 X 5 X COMPR. VARIAVEIS</t>
  </si>
  <si>
    <t>RODAPÉ DECK CUMARU PREMIUM TG 2,5 X 10 X COMPR. VARIAVEIS</t>
  </si>
  <si>
    <t>RODAPÉ DECK CATUABA PREMIUM TG 2,5 X 5 X COMPR. VARIAVEIS</t>
  </si>
  <si>
    <t>RODAPÉ DECK CATUABA PREMIUM TG 2,5 X 10 X COMPR. VARIAVEIS</t>
  </si>
  <si>
    <t>RODAPÉ DECK CABREUVA BRANCA PREMIUM TG 2,5 X 5 X COMPR. VARIAVEIS</t>
  </si>
  <si>
    <t>RODAPÉ DECK CABREUVA BRANCA PREMIUM TG 2,5 X 10 X COMPR. VARIAVEIS</t>
  </si>
  <si>
    <t>RODAPÉ DECK CABREUVA DOURADA PREMIUM TG 2,5 X 5 X COMPR. VARIAVEIS</t>
  </si>
  <si>
    <t>RODAPÉ DECK CABREUVA DOURADA PREMIUM TG 2,5 X 10 X COMPR. VARIAVEIS</t>
  </si>
  <si>
    <t>RODAPÉ DECK TAUARI PREMIUM TG 2,5 X 5 X COMPR. VARIAVEIS</t>
  </si>
  <si>
    <t>RODAPÉ DECK TAUARI PREMIUM TG 2,5 X 10 X COMPR. VARIAVEIS</t>
  </si>
  <si>
    <t>RODAPÉ DECK PEROBA PREMIUM TG 2,5 X 5 X COMPR. VARIAVEIS</t>
  </si>
  <si>
    <t>RODAPÉ DECK PEROBA PREMIUM TG 2,5 X 10 X COMPR. VARIAVEIS</t>
  </si>
  <si>
    <t>RODAPÉ DECK BAMBU CARAMEL ALTA DENSIDADE</t>
  </si>
  <si>
    <t>RODAPÉ DECK BPC CINZA ESCURO 2 X15X 290CM PÇ/0.435M2</t>
  </si>
  <si>
    <t>RODAPÉ DECK BPC MORROM 2X15X220CM</t>
  </si>
  <si>
    <t>RODAPÉ DECK WPC CINZA 2,2*14,6*220CM</t>
  </si>
  <si>
    <t>RODAPÉ PEROBA RUSTICA DE DEMOLIÇÃO</t>
  </si>
  <si>
    <t>RODAPÉ CANELA RUSTICA DE DEMOLIÇÃO</t>
  </si>
  <si>
    <t xml:space="preserve">PRODUTO </t>
  </si>
  <si>
    <t xml:space="preserve">TIPO DE INSTALAÇÃO </t>
  </si>
  <si>
    <t>CODIGO BRASCOMM</t>
  </si>
  <si>
    <t>QUANT</t>
  </si>
  <si>
    <t>CUSTO M2</t>
  </si>
  <si>
    <t>VR TTL</t>
  </si>
  <si>
    <t>Nome corrigido</t>
  </si>
  <si>
    <t>Custo</t>
  </si>
  <si>
    <t>CARVALHO EUROPEU MARRONE CHEVRON 15/3 X 1900X 740MM</t>
  </si>
  <si>
    <t>CARVALHO EUROPEU MARRONE 15/3 X 125 X 1200MM</t>
  </si>
  <si>
    <t>CARVALHO EUROPEU MARRONE 15/3 X 190 X 1900MM</t>
  </si>
  <si>
    <t>CARVALHO EUROPEU MARRONE 20/6 X 300 X 4000MM</t>
  </si>
  <si>
    <t>CARVALHO EUROPEU MARRONE 20/6 X 400 X 5000MM</t>
  </si>
  <si>
    <t>CARVALHO EUROPEU MONT BLANC CHEVRON 15/3 X 1900X 740MM</t>
  </si>
  <si>
    <t>CARVALHO EUROPEU MONT BLANC ESPINHA DE PEIXE TG 15/3 X 125X900MM</t>
  </si>
  <si>
    <t>CARVALHO EUROPEU MONT BLANC 15/3 X 125 X 1200MM</t>
  </si>
  <si>
    <t>CARVALHO EUROPEU MONT BLANC 15/3 X 190 X 1900MM</t>
  </si>
  <si>
    <t>CARVALHO EUROPEU MONT BLANC 20/6 X 300 X 4000MM</t>
  </si>
  <si>
    <t>CARVALHO EUROPEU MONT BLANC 20/6 X 400 X 5000MM</t>
  </si>
  <si>
    <t>PKT400410P</t>
  </si>
  <si>
    <t>CARVALHO EUROPEU NATURAL CHEVRON TG 15/3 X 125 X 775MM</t>
  </si>
  <si>
    <t>PKT400411P</t>
  </si>
  <si>
    <t>CARVALHO EUROPEU NATURALLE CHEVRON 15/3 X 1900X 740MM</t>
  </si>
  <si>
    <t>PKT400412P</t>
  </si>
  <si>
    <t>CARVALHO EUROPEU NATURALLE CHEVRON 60º 15/3 X 1900X 910MM</t>
  </si>
  <si>
    <t>PKT400413P</t>
  </si>
  <si>
    <t>CARVALHO EUROPEU NATURALLE FINE 10/06 X 1900 X 1900MM</t>
  </si>
  <si>
    <t>PKT400414P</t>
  </si>
  <si>
    <t>CARVALHO EUROPEU NATURALLE 15/3 X 125 X 1200MM</t>
  </si>
  <si>
    <t>PKT400415P</t>
  </si>
  <si>
    <t>CARVALHO EUROPEU NATURALLE 15/3 X 190 X 1900MM</t>
  </si>
  <si>
    <t>PKT400416P</t>
  </si>
  <si>
    <t>CARVALHO EUROPEU NATURALLE 20/6 X 300 X 4000MM</t>
  </si>
  <si>
    <t>PKT400417P</t>
  </si>
  <si>
    <t>CARVALHO EUROPEU NATURALLE 20/6 X 400 X 5000MM</t>
  </si>
  <si>
    <t>PKT400418P</t>
  </si>
  <si>
    <t>CARVALHO EUROPEU CAPUCCINO CHEVRON 15/3 X 1900X 740MM</t>
  </si>
  <si>
    <t>PKT400419P</t>
  </si>
  <si>
    <t>CARVALHO EUROPEU CAPUCCINO 15/3 X 125 X 1200MM</t>
  </si>
  <si>
    <t>PKT400420P</t>
  </si>
  <si>
    <t>CARVALHO EUROPEU CAPPUCCINO ESPINHA DE PEIXE TG 15/3 X 125X900MM</t>
  </si>
  <si>
    <t>PKT400421P</t>
  </si>
  <si>
    <t>CARVALHO EUROPEU CAPUCCINO 15/3 X 190 X 1900MM</t>
  </si>
  <si>
    <t>PKT400422P</t>
  </si>
  <si>
    <t>CARVALHO EUROPEU CAPUCCINO 20/6 X 300 X 4000MM</t>
  </si>
  <si>
    <t>PKT400423P</t>
  </si>
  <si>
    <t>CARVALHO EUROPEU CAPUCCINO 20/6 X 400 X 5000MM</t>
  </si>
  <si>
    <t>PKT400424P</t>
  </si>
  <si>
    <t>CARVALHO EUROPEU BABY GREY CHEVRON 15/3 X 1900X 740MM</t>
  </si>
  <si>
    <t>PKT400425P</t>
  </si>
  <si>
    <t>CARVALHO EUROPEU BABY GREY 15/3 X 125 X 1200MM</t>
  </si>
  <si>
    <t>PKT400426P</t>
  </si>
  <si>
    <t>CARVALHO EUROPEU BABY GREY 15/3 X 190 X 1900MM</t>
  </si>
  <si>
    <t>PKT400427P</t>
  </si>
  <si>
    <t>CARVALHO EUROPEU BABY GREY 20/6 X 300 X 4000MM</t>
  </si>
  <si>
    <t>PKT400428P</t>
  </si>
  <si>
    <t>CARVALHO EUROPEU BABY GREY 20/6 X 400 X 5000MM</t>
  </si>
  <si>
    <t>PKT400429P</t>
  </si>
  <si>
    <t>CARVALHO EUROPEU GRIGIO NERO CHEVRON 15/3 X 1900X 740MM</t>
  </si>
  <si>
    <t>PKT400430P</t>
  </si>
  <si>
    <t>PISO CARVALHO EUROPEU GRIGIO NERO CHEVRON 15/3 X 1900X 740MM</t>
  </si>
  <si>
    <t>CARVALHO EUROPEU GRIGIO NERO 15/3 X 125 X 1200MM</t>
  </si>
  <si>
    <t>PKT400431P</t>
  </si>
  <si>
    <t>CARVALHO EUROPEU GRIGIO NERO 15/3 X 190 X 1900MM</t>
  </si>
  <si>
    <t>PKT400432P</t>
  </si>
  <si>
    <t>CARVALHO EUROPEU GRIGIO NERO 20/6 X 300 X 4000MM</t>
  </si>
  <si>
    <t>PKT400433P</t>
  </si>
  <si>
    <t>CARVALHO EUROPEU GRIGIO NERO 20/6 X 400 X 5000MM</t>
  </si>
  <si>
    <t>PKT400435P</t>
  </si>
  <si>
    <t>CARVALHO EUROPEU LIGHT BROWN CHEVRON 15/3 X 1900X 740MM</t>
  </si>
  <si>
    <t>PKT400436P</t>
  </si>
  <si>
    <t>CARVALHO EUROPEU LIGHT BROWN 15/3 X 125 X 1200MM</t>
  </si>
  <si>
    <t>PKT400437P</t>
  </si>
  <si>
    <t>CARVALHO EUROPEU LIGHT BROWN 15/3 X 190 X 1900MM</t>
  </si>
  <si>
    <t>PKT400438P</t>
  </si>
  <si>
    <t>CARVALHO EUROPEU LIGHT BROWN 20/6 X 300 X 4000MM</t>
  </si>
  <si>
    <t>PKT400439P</t>
  </si>
  <si>
    <t>CARVALHO EUROPEU - LISTONE GIORDANO (HERITAGE 140 FILIGRANA - SIENNA 1179) TG 1,25 X 14,0 X 83,50CM --</t>
  </si>
  <si>
    <t>PKT400441P</t>
  </si>
  <si>
    <t>CARVALHO EUROPEU MILANO CHEVRON 15/3 X 1900X 740MM</t>
  </si>
  <si>
    <t>PKT400442P</t>
  </si>
  <si>
    <t>CARVALHO EUROPEU MILANO 15/3 X 125 X 1200MM</t>
  </si>
  <si>
    <t>PKT400443P</t>
  </si>
  <si>
    <t>CARVALHO EUROPEU MILANO 15/3 X 190 X 1900MM</t>
  </si>
  <si>
    <t>PKT400444P</t>
  </si>
  <si>
    <t>CARVALHO EUROPEU MILANO 20/6 X 300 X 4000MM</t>
  </si>
  <si>
    <t>PKT400445P</t>
  </si>
  <si>
    <t>CARVALHO EUROPEU MILANO 20/6 X 400 X 5000MM</t>
  </si>
  <si>
    <t>PKT400446P</t>
  </si>
  <si>
    <t>CARVALHO EUROPEU SMOKED CHEVRON 15/3 X 1900X 740MM</t>
  </si>
  <si>
    <t>PKT400447P</t>
  </si>
  <si>
    <t>CARVALHO EUROPEU SMOKED 15/3 X 125 X 1200MM</t>
  </si>
  <si>
    <t>PKT400448P</t>
  </si>
  <si>
    <t>CARVALHO EUROPEU SMOKED 15/3 X 190 X 1900MM</t>
  </si>
  <si>
    <t>PKT400449P</t>
  </si>
  <si>
    <t>CARVALHO EUROPEU SMOKED 20/6 X 300 X 4000MM</t>
  </si>
  <si>
    <t>PKT400450P</t>
  </si>
  <si>
    <t>CARVALHO EUROPEU SMOKED 20/6 X 400 X 5000MM</t>
  </si>
  <si>
    <t>PKT400451P</t>
  </si>
  <si>
    <t>CARVALHO EUROPEU GIZ CHEVRON 15/3 X 1900X 740MM</t>
  </si>
  <si>
    <t>PKT400452P</t>
  </si>
  <si>
    <t>CARVALHO EUROPEU GIZ 15/3 X 125 X 1200MM</t>
  </si>
  <si>
    <t>PKT400453P</t>
  </si>
  <si>
    <t>CARVALHO EUROPEU GIZ 15/3 X 190 X 1900MM</t>
  </si>
  <si>
    <t>PKT400454P</t>
  </si>
  <si>
    <t>CARVALHO EUROPEU GIZ 20/6 X 300 X 4000MM</t>
  </si>
  <si>
    <t>PKT400455P</t>
  </si>
  <si>
    <t>CARVALHO EUROPEU GIZ 20/6 X 400 X 5000MM</t>
  </si>
  <si>
    <t>PKT400456P</t>
  </si>
  <si>
    <t>CARVALHO EUROPEU SNOW CHEVRON 15/3 X 1900X 740MM</t>
  </si>
  <si>
    <t>PKT400457P</t>
  </si>
  <si>
    <t>CARVALHO EUROPEU SNOW 15/3 X 125 X 1200MM</t>
  </si>
  <si>
    <t>PKT400458P</t>
  </si>
  <si>
    <t>CARVALHO EUROPEU SNOW 15/3 X 190 X 1900MM</t>
  </si>
  <si>
    <t>PKT400459P</t>
  </si>
  <si>
    <t>CARVALHO EUROPEU SNOW 20/6 X 300 X 4000MM</t>
  </si>
  <si>
    <t>PKT400460P</t>
  </si>
  <si>
    <t>CARVALHO EUROPEU SNOW 20/6 X 400 X 5000MM</t>
  </si>
  <si>
    <t>PKT400461P</t>
  </si>
  <si>
    <t>CARVALHO EUROPEU WILD CHEVRON 15/3 X 1900X 740MM</t>
  </si>
  <si>
    <t>PKT400462P</t>
  </si>
  <si>
    <t>CARVALHO EUROPEU WILD 15/3 X 125 X 1200MM</t>
  </si>
  <si>
    <t>PKT400463P</t>
  </si>
  <si>
    <t>CARVALHO EUROPEU WILD 15/3 X 190 X 1900MM</t>
  </si>
  <si>
    <t>PKT400464P</t>
  </si>
  <si>
    <t>CARVALHO EUROPEU WILD 20/6 X 300 X 4000MM</t>
  </si>
  <si>
    <t>PKT400465P</t>
  </si>
  <si>
    <t>CARVALHO EUROPEU WILD 20/6 X 400 X 5000MM</t>
  </si>
  <si>
    <t>PKT400466P</t>
  </si>
  <si>
    <t>CARVALHO EUROPEU NEVADO CHEVRON 15/3 X 1900X 740MM</t>
  </si>
  <si>
    <t>PKT400467P</t>
  </si>
  <si>
    <t>CARVALHO EUROPEU NEVADO 15/3 X 125 X 1200MM</t>
  </si>
  <si>
    <t>PKT400468P</t>
  </si>
  <si>
    <t>CARVALHO EUROPEU NEVADO 15/3 X 190 X 1900MM</t>
  </si>
  <si>
    <t>PKT400469P</t>
  </si>
  <si>
    <t>CARVALHO EUROPEU NEVADO 20/6 X 300 X 4000MM</t>
  </si>
  <si>
    <t>PKT400470P</t>
  </si>
  <si>
    <t>CARVALHO EUROPEU NEVADO 20/6 X 400 X 5000MM</t>
  </si>
  <si>
    <t>PKT400471</t>
  </si>
  <si>
    <t>CARVALHO EUROPEU CONCRETE GREY CHEVRON 15/3 X 1900X 740MM</t>
  </si>
  <si>
    <t>PKT400472P</t>
  </si>
  <si>
    <t>CARVALHO EUROPEU CONCRETE GREY 15/3 X 125 X 1200MM</t>
  </si>
  <si>
    <t>PKT400473P</t>
  </si>
  <si>
    <t>CARVALHO EUROPEU CONCRETE GREY 15/3 X 190 X 1900MM</t>
  </si>
  <si>
    <t>PKT400474P</t>
  </si>
  <si>
    <t>CARVALHO EUROPEU CONCRETE GREY 20/6 X 300 X 4000MM</t>
  </si>
  <si>
    <t>PKT400475P</t>
  </si>
  <si>
    <t>CARVALHO EUROPEU CONCRETE GREY 20/6 X 400 X 5000MM</t>
  </si>
  <si>
    <t>PKT400476P</t>
  </si>
  <si>
    <t>CARVALHO EUROPEU ITALY BROWN CHEVRON 15/3 X 1900X 740MM</t>
  </si>
  <si>
    <t>PKT400477P</t>
  </si>
  <si>
    <t>CARVALHO EUROPEU ITALY BROWN 15/3 X 125 X 1200MM</t>
  </si>
  <si>
    <t>PKT400478P</t>
  </si>
  <si>
    <t>CARVALHO EUROPEU ITALY BROWN 15/3 X 190 X 1900MM</t>
  </si>
  <si>
    <t>PKT400479P</t>
  </si>
  <si>
    <t>CARVALHO EUROPEU ITALY BROWN 20/6 X 300 X 4000MM</t>
  </si>
  <si>
    <t>PKT400480P</t>
  </si>
  <si>
    <t>CARVALHO EUROPEU ITALY BROWN 20/6 X 400 X 5000MM</t>
  </si>
  <si>
    <t>PKT400481P</t>
  </si>
  <si>
    <t>CARVALHO EUROPEU ALL BLACK CHEVRON 15/3 X 1900X 740MM</t>
  </si>
  <si>
    <t>PKT400482P</t>
  </si>
  <si>
    <t>CARVALHO EUROPEU ALL BLACK 15/3 X 125 X 1200MM</t>
  </si>
  <si>
    <t>PKT400483P</t>
  </si>
  <si>
    <t>CARVALHO EUROPEU BLACK CHEVRON TG 15/3 X 125 X 775CM</t>
  </si>
  <si>
    <t>PKT400484P</t>
  </si>
  <si>
    <t>CARVALHO EUROPEU ALL BLACK 15/3 X 190 X 1900MM</t>
  </si>
  <si>
    <t>PKT400485P</t>
  </si>
  <si>
    <t>CARVALHO EUROPEU ALL BLACK 20/6 X 300 X 4000MM</t>
  </si>
  <si>
    <t>PKT400486P</t>
  </si>
  <si>
    <t>CARVALHO EUROPEU ALL BLACK 20/6 X 400 X 5000MM</t>
  </si>
  <si>
    <t>PKT400487P</t>
  </si>
  <si>
    <t>CARVALHO EUROPEU URBAN GREY CHEVRON 15/3 X 1900X 740MM</t>
  </si>
  <si>
    <t>PKT400488P</t>
  </si>
  <si>
    <t>CARVALHO EUROPEU URBAN GREY 15/3 X 125 X 1200MM</t>
  </si>
  <si>
    <t>PKT400489P</t>
  </si>
  <si>
    <t>CARVALHO EUROPEU URBAN GREY 15/3 X 190 X 1900MM</t>
  </si>
  <si>
    <t>PKT400490P</t>
  </si>
  <si>
    <t>CARVALHO EUROPEU URBAN GREY 20/6 X 300 X 4000MM</t>
  </si>
  <si>
    <t>PKT400491P</t>
  </si>
  <si>
    <t>CARVALHO EUROPEU URBAN GREY 20/6 X 400 X 5000MM</t>
  </si>
  <si>
    <t>PKT400492P</t>
  </si>
  <si>
    <t>CARVALHO EUROPEU CARAMEL CHEVRON 15/3 X 1900X 740MM</t>
  </si>
  <si>
    <t>PKT400493P</t>
  </si>
  <si>
    <t>CARVALHO EUROPEU CARAMEL 15/3 X 125 X 1200MM</t>
  </si>
  <si>
    <t>PKT400494P</t>
  </si>
  <si>
    <t>CARVALHO EUROPEU CARAMEL 15/3 X 190 X 1900MM</t>
  </si>
  <si>
    <t>PKT400495P</t>
  </si>
  <si>
    <t>CARVALHO EUROPEU CARAMEL 20/6 X 300 X 4000MM</t>
  </si>
  <si>
    <t>PKT400496P</t>
  </si>
  <si>
    <t>CARVALHO EUROPEU CARAMEL 20/6 X 400 X 5000MM</t>
  </si>
  <si>
    <t>PKT400497P</t>
  </si>
  <si>
    <t>CARVALHO EUROPEU CHEMICAL CHEVRON TG 15/3*190*740MM</t>
  </si>
  <si>
    <t>PKT400498P</t>
  </si>
  <si>
    <t>CARVALHO EUROPEU WHITE RUSTIC 15/4*189*1860MM</t>
  </si>
  <si>
    <t>PKT400499P</t>
  </si>
  <si>
    <t>CARVALHO EUROPEU CUSTOMIZADO 14/3 X 12,7 X 186CM</t>
  </si>
  <si>
    <t>PKT400500P</t>
  </si>
  <si>
    <t>CARVALHO EUROPEU CUSTOMIZADO 2.0 X 19 X 190CM (C2)</t>
  </si>
  <si>
    <t>PKT400501P</t>
  </si>
  <si>
    <t>CARVALHO EUROPEU NATURAL CHEVRON TG 1.5/3 X 9X 51CM</t>
  </si>
  <si>
    <t>PKT400502P</t>
  </si>
  <si>
    <t>PKT400503P</t>
  </si>
  <si>
    <t>CARVALHO EUROPEU NUDE CHEVRON 60.. TG 15/3 X 190 X 90CM</t>
  </si>
  <si>
    <t>PKT400506P</t>
  </si>
  <si>
    <t>CARVALHO EUROPEU NUDE CHEVRON TG 1.5/3X 12.5X 63CM</t>
  </si>
  <si>
    <t>PKT400507P</t>
  </si>
  <si>
    <t>WALNUT 15/3 X 125 X 910MM</t>
  </si>
  <si>
    <t>PKT400508P</t>
  </si>
  <si>
    <t>WALNUT 15/3 X 190 X 1900MM</t>
  </si>
  <si>
    <t>PKT400509P</t>
  </si>
  <si>
    <t>WALNUT 20/2 X 300 X 4000MM</t>
  </si>
  <si>
    <t>PKT500510P</t>
  </si>
  <si>
    <t>BAMBU ALTA DENS. CUST PREMIUM TG 1.5/4 X19X185CM</t>
  </si>
  <si>
    <t>PKT400511P</t>
  </si>
  <si>
    <t>BAMBU CARAMEL ALTA DENSIDADE TG 1.5/4 X19X186CM</t>
  </si>
  <si>
    <t>PKT400512P</t>
  </si>
  <si>
    <t>RIPADO CUMARU PREMIUM TG 1,8 X 3,5+0,5CM PROF. BIT 0</t>
  </si>
  <si>
    <t>PKT400513P</t>
  </si>
  <si>
    <t>RIPADO CATUABA PREMIUM TG 1,8 X 3,5+0,5CM PROF. BIT 0</t>
  </si>
  <si>
    <t>PKT500514P</t>
  </si>
  <si>
    <t>RIPADO CABREUVA BRANCA PREMIUM TG 1,8 X 3,5+0,5CM PROF. BIT 0</t>
  </si>
  <si>
    <t>PKT500515P</t>
  </si>
  <si>
    <t>RIPADO CABREUVA DOURADA PREMIUM TG 1,8 X 3,5+0,5CM PROF. BIT 0</t>
  </si>
  <si>
    <t>PKT500516P</t>
  </si>
  <si>
    <t>RIPADO TAUARI PREMIUM TG 1,8 X 3,5+0,5CM PROF. BIT 0</t>
  </si>
  <si>
    <t>PKT500517P</t>
  </si>
  <si>
    <t>RIPADO PEROBA PREMIUM TG 1,8 X 3,5+0,5CM PROF. BIT 0</t>
  </si>
  <si>
    <t>PKT400518P</t>
  </si>
  <si>
    <t>RIPADO LORO PARDO PREMIUM TG 1,8 X 3,5+0,5CM PROF. BIT 0</t>
  </si>
  <si>
    <t>PKT400519P</t>
  </si>
  <si>
    <t>CUMARU MULTI PREMIUM 19 X 190 X 600 A 2200MM</t>
  </si>
  <si>
    <t>PKT400520P</t>
  </si>
  <si>
    <t>CATUABA MULTI PREMIUM 19 X 190 X 600 A 2200MM</t>
  </si>
  <si>
    <t>PKT400521P</t>
  </si>
  <si>
    <t>CABREUVA BRACA MULTI PREMIUM 19 X 190 X 600 A 2200MM</t>
  </si>
  <si>
    <t>PKT400522P</t>
  </si>
  <si>
    <t>CABREUVA DOURADA MULTI PREMIUM 19 X 190 X 600 A 2200MM</t>
  </si>
  <si>
    <t>PKT400523P</t>
  </si>
  <si>
    <t>TAUARI MULTI PREMIUM 19 X 190 X 600 A 2200MM</t>
  </si>
  <si>
    <t>PKT400524P</t>
  </si>
  <si>
    <t>PEROBA MULTI PREMIUM 19 X 190 X 600 A 2200MM</t>
  </si>
  <si>
    <t>PKT400525P</t>
  </si>
  <si>
    <t>LORO PARDO MULTI PREMIUM 19 X 190 X 600 A 2200MM</t>
  </si>
  <si>
    <t>PKT400526P</t>
  </si>
  <si>
    <t>INATIVO</t>
  </si>
  <si>
    <t>MUXARABI CUMARU PREMIUM</t>
  </si>
  <si>
    <t>PKT400527P</t>
  </si>
  <si>
    <t>MUXARABI CATUABA PREMIUM</t>
  </si>
  <si>
    <t>PKT400528P</t>
  </si>
  <si>
    <t>MUXARABI CABREUVA BRANCA PREMIUM</t>
  </si>
  <si>
    <t>PKT400529P</t>
  </si>
  <si>
    <t>MUXARABI CABREUVA DOURADA PREMIUM</t>
  </si>
  <si>
    <t>PKT400530P</t>
  </si>
  <si>
    <t>MUXARABI TAUARI PREMIUM</t>
  </si>
  <si>
    <t>PKT400531P</t>
  </si>
  <si>
    <t>MUXARABI PEROBA PREMIUM</t>
  </si>
  <si>
    <t>PKT400532P</t>
  </si>
  <si>
    <t>MUXARABI LORO PARDO PREMIUM</t>
  </si>
  <si>
    <t>PKT400533P</t>
  </si>
  <si>
    <t>TOBLERONE CUMARU PREMIUM 3 X 3 COMPR. VARIAVEIS</t>
  </si>
  <si>
    <t>PKT400534P</t>
  </si>
  <si>
    <t>TOBLERONE CATUABA PREMIUM 3 X 3 COMPR. VARIAVEIS</t>
  </si>
  <si>
    <t>PKT400535P</t>
  </si>
  <si>
    <t>TOBLERONE CABREUVA BRANCA PREMIUM 3 X 3 COMPR. VARIAVEIS</t>
  </si>
  <si>
    <t>PKT400536P</t>
  </si>
  <si>
    <t>TOBLERONE CABREUVA DOURADA PREMIUM 3 X 3 COMPR. VARIAVEIS</t>
  </si>
  <si>
    <t>PKT400537P</t>
  </si>
  <si>
    <t>TOBLERONE TAUARI PREMIUM 3 X 3 COMPR. VARIAVEIS</t>
  </si>
  <si>
    <t>PKT400538P</t>
  </si>
  <si>
    <t>TOBLERONE PEROBA PREMIUM 3 X 3 COMPR. VARIAVEIS</t>
  </si>
  <si>
    <t>PKT400539P</t>
  </si>
  <si>
    <t>TOBLERONE LORO PARDO PREMIUM 3 X 3 COMPR. VARIAVEIS</t>
  </si>
  <si>
    <t>PISO CUMARU PREMIUM TG 2,5 X 5 X COMPR. VARIAVEIS</t>
  </si>
  <si>
    <t>PKT400394P</t>
  </si>
  <si>
    <t>PISO CUMARU PREMIUM TG 2,5 X 10 X COMPR. VARIAVEIS</t>
  </si>
  <si>
    <t>DECK CUMARU PREMIUM TG 2,5 X 10 X COMPR. VARIAVEIS</t>
  </si>
  <si>
    <t>PKT400395P</t>
  </si>
  <si>
    <t>PISO CATUABA PREMIUM TG 2,5 X 5 X COMPR. VARIAVEIS</t>
  </si>
  <si>
    <t>DECK CATUABA PREMIUM TG 2,5 X 5 X COMPR. VARIAVEIS</t>
  </si>
  <si>
    <t>PKT400396P</t>
  </si>
  <si>
    <t>PISO CATUABA PREMIUM TG 2,5 X 10 X COMPR. VARIAVEIS</t>
  </si>
  <si>
    <t>DECK CATUABA PREMIUM TG 2,5 X 10 X COMPR. VARIAVEIS</t>
  </si>
  <si>
    <t>PKT400545P</t>
  </si>
  <si>
    <t>PISO CABREUVA BRANCA PREMIUM TG 2,5 X 5 X COMPR. VARIAVEIS</t>
  </si>
  <si>
    <t>DECK CABREUVA BRANCA PREMIUM TG 2,5 X 5 X COMPR. VARIAVEIS</t>
  </si>
  <si>
    <t>PKT400549P</t>
  </si>
  <si>
    <t>PISO CABREUVA BRANCA PREMIUM TG 2,5 X 10 X COMPR. VARIAVEIS</t>
  </si>
  <si>
    <t>DECK CABREUVA BRANCA PREMIUM TG 2,5 X 10 X COMPR. VARIAVEIS</t>
  </si>
  <si>
    <t>PKT400550P</t>
  </si>
  <si>
    <t>PISO CABREUVA DOURADA PREMIUM TG 2,5 X 5 X COMPR. VARIAVEIS</t>
  </si>
  <si>
    <t>DECK CABREUVA DOURADA PREMIUM TG 2,5 X 5 X COMPR. VARIAVEIS</t>
  </si>
  <si>
    <t>PKT400551P</t>
  </si>
  <si>
    <t>PISO CABREUVA DOURADA PREMIUM TG 2,5 X 10 X COMPR. VARIAVEIS</t>
  </si>
  <si>
    <t>DECK CABREUVA DOURADA PREMIUM TG 2,5 X 10 X COMPR. VARIAVEIS</t>
  </si>
  <si>
    <t>PKT400552P</t>
  </si>
  <si>
    <t>PISO TAUARI PREMIUM TG 2,5 X 5 X COMPR. VARIAVEIS</t>
  </si>
  <si>
    <t>DECK TAUARI PREMIUM TG 2,5 X 5 X COMPR. VARIAVEIS</t>
  </si>
  <si>
    <t>PKT400553P</t>
  </si>
  <si>
    <t>PISO TAUARI PREMIUM TG 2,5 X 10 X COMPR. VARIAVEIS</t>
  </si>
  <si>
    <t>DECK TAUARI PREMIUM TG 2,5 X 10 X COMPR. VARIAVEIS</t>
  </si>
  <si>
    <t>PKT400554P</t>
  </si>
  <si>
    <t>PISO PEROBA PREMIUM TG 2,5 X 5 X COMPR. VARIAVEIS</t>
  </si>
  <si>
    <t>DECK PEROBA PREMIUM TG 2,5 X 5 X COMPR. VARIAVEIS</t>
  </si>
  <si>
    <t>PKT400555P</t>
  </si>
  <si>
    <t>PISO PEROBA PREMIUM TG 2,5 X 10 X COMPR. VARIAVEIS</t>
  </si>
  <si>
    <t>DECK PEROBA PREMIUM TG 2,5 X 10 X COMPR. VARIAVEIS</t>
  </si>
  <si>
    <t>PKT400556P</t>
  </si>
  <si>
    <t>PISO BAMBU CARAMEL ALTA DENSIDADE</t>
  </si>
  <si>
    <t>DECK BAMBU CARAMEL ALTA DENSIDADE</t>
  </si>
  <si>
    <t>PKT400397P</t>
  </si>
  <si>
    <t>DECK WPC CINZA ESCURO 2 X15X 290CM PÇ/0.435M2</t>
  </si>
  <si>
    <t>DECK BPC CINZA ESCURO 2 X15X 290CM PÇ/0.435M2</t>
  </si>
  <si>
    <t>PKT400557P</t>
  </si>
  <si>
    <t>DECK WPC MORROM 2X15X220CM</t>
  </si>
  <si>
    <t>DECK BPC MORROM 2X15X220CM</t>
  </si>
  <si>
    <t>PKT400558P</t>
  </si>
  <si>
    <t>DECK WPC CINZA 2,2*14,6*220CM</t>
  </si>
  <si>
    <t>PKT400559P</t>
  </si>
  <si>
    <t>PEROBA RUSTICA DE DEMOLIÇÃO</t>
  </si>
  <si>
    <t>PKT400560P</t>
  </si>
  <si>
    <t>CANELA RUSTICA DE DEMOLIÇÃO</t>
  </si>
  <si>
    <t>PKT400398P</t>
  </si>
  <si>
    <t xml:space="preserve">LAMINA PEROBA </t>
  </si>
  <si>
    <t>PKT000399P</t>
  </si>
  <si>
    <t>PKT400400P</t>
  </si>
  <si>
    <t>PKT400401P</t>
  </si>
  <si>
    <t>PKT400402P</t>
  </si>
  <si>
    <t>PKT400561P</t>
  </si>
  <si>
    <t>PKT400562P</t>
  </si>
  <si>
    <t>PKT400563P</t>
  </si>
  <si>
    <t>PKT400564P</t>
  </si>
  <si>
    <t>PKT400565P</t>
  </si>
  <si>
    <t>PKT400566P</t>
  </si>
  <si>
    <t>PKT400567P</t>
  </si>
  <si>
    <t>PKT400568P</t>
  </si>
  <si>
    <t>PKT400569P</t>
  </si>
  <si>
    <t>PKT400570P</t>
  </si>
  <si>
    <t>PKT400571P</t>
  </si>
  <si>
    <t>PKT400572P</t>
  </si>
  <si>
    <t>PKT400573P</t>
  </si>
  <si>
    <t>PKT400574P</t>
  </si>
  <si>
    <t>PKT400575P</t>
  </si>
  <si>
    <t>PKT400576P</t>
  </si>
  <si>
    <t>PKT400577P</t>
  </si>
  <si>
    <t>PKT400578P</t>
  </si>
  <si>
    <t>PKT400579P</t>
  </si>
  <si>
    <t>PKT400580P</t>
  </si>
  <si>
    <t>PKT400581P</t>
  </si>
  <si>
    <t>PKT400582P</t>
  </si>
  <si>
    <t>PKT400583P</t>
  </si>
  <si>
    <t>PKT400584P</t>
  </si>
  <si>
    <t>PKT400586P</t>
  </si>
  <si>
    <t>´PKT400587P</t>
  </si>
  <si>
    <t>PKT400591P</t>
  </si>
  <si>
    <t>PKT400593P</t>
  </si>
  <si>
    <t>PKT400594P</t>
  </si>
  <si>
    <t>PKT400595P</t>
  </si>
  <si>
    <t>PKT400596P</t>
  </si>
  <si>
    <t>PKT400597P</t>
  </si>
  <si>
    <t>PKT400652P</t>
  </si>
  <si>
    <t>PKT400700P</t>
  </si>
  <si>
    <t>PKT400701P</t>
  </si>
  <si>
    <t>PKT400702P</t>
  </si>
  <si>
    <t>PKT400703P</t>
  </si>
  <si>
    <t>PKT400704P</t>
  </si>
  <si>
    <t>PKT400705P</t>
  </si>
  <si>
    <t>PKT400706P</t>
  </si>
  <si>
    <t>PKT400707P</t>
  </si>
  <si>
    <t>PKT400708P</t>
  </si>
  <si>
    <t>PKT400709P</t>
  </si>
  <si>
    <t>PKT400710P</t>
  </si>
  <si>
    <t>PKT400711P</t>
  </si>
  <si>
    <t>PKT400712P</t>
  </si>
  <si>
    <t>PKT400720P</t>
  </si>
  <si>
    <t>PKT400721P</t>
  </si>
  <si>
    <t>PKT400722P</t>
  </si>
  <si>
    <t>PKT400723P</t>
  </si>
  <si>
    <t>PKT400672</t>
  </si>
  <si>
    <t xml:space="preserve">PKT400672P </t>
  </si>
  <si>
    <t>PKT400673</t>
  </si>
  <si>
    <t>PKT400674</t>
  </si>
  <si>
    <t>PKT400675</t>
  </si>
  <si>
    <t>PKT400676</t>
  </si>
  <si>
    <t>PKT400677</t>
  </si>
  <si>
    <t>PKT400678</t>
  </si>
  <si>
    <t>PKT400679</t>
  </si>
  <si>
    <t>PKT400680</t>
  </si>
  <si>
    <t>PKT400681</t>
  </si>
  <si>
    <t>PKT400682</t>
  </si>
  <si>
    <t>PKT400683</t>
  </si>
  <si>
    <t>PKT400684</t>
  </si>
  <si>
    <t>PKT400685</t>
  </si>
  <si>
    <t>PKT400686</t>
  </si>
  <si>
    <t>PKT400687</t>
  </si>
  <si>
    <t>PKT400688</t>
  </si>
  <si>
    <t>PKT400689</t>
  </si>
  <si>
    <t>PKT400690</t>
  </si>
  <si>
    <t>PKT400691</t>
  </si>
  <si>
    <t>PKT400692</t>
  </si>
  <si>
    <t>PKT400693</t>
  </si>
  <si>
    <t>PKT400694</t>
  </si>
  <si>
    <t>PKT400695</t>
  </si>
  <si>
    <t>PKT400696</t>
  </si>
  <si>
    <t>PKT400697</t>
  </si>
  <si>
    <t>PKT400698</t>
  </si>
  <si>
    <t>PKT400699</t>
  </si>
  <si>
    <t>PKT400700</t>
  </si>
  <si>
    <t>PKT400701</t>
  </si>
  <si>
    <t>PKT400702</t>
  </si>
  <si>
    <t>PKT400703</t>
  </si>
  <si>
    <t>PKT400704</t>
  </si>
  <si>
    <t>PKT400705</t>
  </si>
  <si>
    <t>PKT400706</t>
  </si>
  <si>
    <t>PKT400707</t>
  </si>
  <si>
    <t>PKT400708</t>
  </si>
  <si>
    <t>PKT400709</t>
  </si>
  <si>
    <t>PKT400710</t>
  </si>
  <si>
    <t>PKT400711</t>
  </si>
  <si>
    <t>PKT400712</t>
  </si>
  <si>
    <t>PKT400713</t>
  </si>
  <si>
    <t>PKT400714</t>
  </si>
  <si>
    <t>PKT400715</t>
  </si>
  <si>
    <t>PKT400716</t>
  </si>
  <si>
    <t>PKT400717</t>
  </si>
  <si>
    <t>PKT400718</t>
  </si>
  <si>
    <t>PKT400719</t>
  </si>
  <si>
    <t>PKT400720</t>
  </si>
  <si>
    <t>PKT400721</t>
  </si>
  <si>
    <t>PKT400722</t>
  </si>
  <si>
    <t>PKT400723</t>
  </si>
  <si>
    <t>PKT400724</t>
  </si>
  <si>
    <t>PKT400725</t>
  </si>
  <si>
    <t>PKT400726</t>
  </si>
  <si>
    <t>PKT400727</t>
  </si>
  <si>
    <t>PKT400728</t>
  </si>
  <si>
    <t>PKT400729</t>
  </si>
  <si>
    <t>PKT400730</t>
  </si>
  <si>
    <t>PKT400731</t>
  </si>
  <si>
    <t>PKT400732</t>
  </si>
  <si>
    <t>PKT400733</t>
  </si>
  <si>
    <t>PKT400734</t>
  </si>
  <si>
    <t>PKT400735</t>
  </si>
  <si>
    <t>PKT400736</t>
  </si>
  <si>
    <t>PKT400737</t>
  </si>
  <si>
    <t>PKT400738</t>
  </si>
  <si>
    <t>PKT400739</t>
  </si>
  <si>
    <t>PKT400740</t>
  </si>
  <si>
    <t>PKT400741</t>
  </si>
  <si>
    <t>PKT400742</t>
  </si>
  <si>
    <t>PKT400743</t>
  </si>
  <si>
    <t>PKT400744</t>
  </si>
  <si>
    <t>PKT400745</t>
  </si>
  <si>
    <t>PKT400746</t>
  </si>
  <si>
    <t>PKT400747</t>
  </si>
  <si>
    <t>PKT400748</t>
  </si>
  <si>
    <t>PKT400749</t>
  </si>
  <si>
    <t>PKT400750</t>
  </si>
  <si>
    <t>PKT400751</t>
  </si>
  <si>
    <t>PKT400752</t>
  </si>
  <si>
    <t>PKT400753</t>
  </si>
  <si>
    <t>PKT400754</t>
  </si>
  <si>
    <t>PKT400755</t>
  </si>
  <si>
    <t>PKT400756</t>
  </si>
  <si>
    <t>PKT400757</t>
  </si>
  <si>
    <t>PKT400758</t>
  </si>
  <si>
    <t>PKT400759</t>
  </si>
  <si>
    <t>PKT400760</t>
  </si>
  <si>
    <t>PKT400761</t>
  </si>
  <si>
    <t>PKT400762</t>
  </si>
  <si>
    <t>PKT400763</t>
  </si>
  <si>
    <t>PKT400764</t>
  </si>
  <si>
    <t>PKT400765</t>
  </si>
  <si>
    <t>PKT400766</t>
  </si>
  <si>
    <t>PKT400767</t>
  </si>
  <si>
    <t>PKT400768</t>
  </si>
  <si>
    <t>PKT400405P</t>
  </si>
  <si>
    <t>PKT400769</t>
  </si>
  <si>
    <t>PKT400770</t>
  </si>
  <si>
    <t>PKT400771</t>
  </si>
  <si>
    <t>PKT400772</t>
  </si>
  <si>
    <t>PKT400773</t>
  </si>
  <si>
    <t>PKT400774</t>
  </si>
  <si>
    <t>PKT400775</t>
  </si>
  <si>
    <t>PKT400776</t>
  </si>
  <si>
    <t>PKT400777</t>
  </si>
  <si>
    <t>PKT400778</t>
  </si>
  <si>
    <t>PKT400779</t>
  </si>
  <si>
    <t>PKT400780</t>
  </si>
  <si>
    <t>PKT400781</t>
  </si>
  <si>
    <t>PKT400782</t>
  </si>
  <si>
    <t>PKT400783</t>
  </si>
  <si>
    <t>PKT400784</t>
  </si>
  <si>
    <t>PKT400785</t>
  </si>
  <si>
    <t>PKT400786</t>
  </si>
  <si>
    <t>PKT400787</t>
  </si>
  <si>
    <t>PKT400788</t>
  </si>
  <si>
    <t>PKT400789</t>
  </si>
  <si>
    <t>PKT400790</t>
  </si>
  <si>
    <t>PKT400791</t>
  </si>
  <si>
    <t>PKT400792</t>
  </si>
  <si>
    <t>PKT400793</t>
  </si>
  <si>
    <t>PKT400794</t>
  </si>
  <si>
    <t>PKT400795</t>
  </si>
  <si>
    <t>PKT400796</t>
  </si>
  <si>
    <t>PKT400797</t>
  </si>
  <si>
    <t>PKT400798</t>
  </si>
  <si>
    <t>PKT400799</t>
  </si>
  <si>
    <t>PKT400800</t>
  </si>
  <si>
    <t>PKT400801</t>
  </si>
  <si>
    <t>PKT400802</t>
  </si>
  <si>
    <t>PKT400803</t>
  </si>
  <si>
    <t>PKT400804</t>
  </si>
  <si>
    <t>PKT400805</t>
  </si>
  <si>
    <t>PKT400806</t>
  </si>
  <si>
    <t>PKT400807</t>
  </si>
  <si>
    <t>PKT400808</t>
  </si>
  <si>
    <t>PKT400809</t>
  </si>
  <si>
    <t>PKT400810</t>
  </si>
  <si>
    <t>PKT400811</t>
  </si>
  <si>
    <t>PKT400812</t>
  </si>
  <si>
    <t>PKT400813</t>
  </si>
  <si>
    <t>PKT400814</t>
  </si>
  <si>
    <t>PKT400815</t>
  </si>
  <si>
    <t>PKT400816</t>
  </si>
  <si>
    <t>PKT400817</t>
  </si>
  <si>
    <t>PKT400818</t>
  </si>
  <si>
    <t>PKT400819</t>
  </si>
  <si>
    <t>PKT400820</t>
  </si>
  <si>
    <t>PKT400821</t>
  </si>
  <si>
    <t>PKT400822</t>
  </si>
  <si>
    <t>PKT400823</t>
  </si>
  <si>
    <t>PKT400824</t>
  </si>
  <si>
    <t>PKT400825</t>
  </si>
  <si>
    <t>PKT400826</t>
  </si>
  <si>
    <t>PKT400827</t>
  </si>
  <si>
    <t>PKT400828</t>
  </si>
  <si>
    <t>PKT400829</t>
  </si>
  <si>
    <t>PKT400830</t>
  </si>
  <si>
    <t>PKT400831</t>
  </si>
  <si>
    <t>PKT400832</t>
  </si>
  <si>
    <t>PKT400833</t>
  </si>
  <si>
    <t>PKT400834</t>
  </si>
  <si>
    <t>PKT400835</t>
  </si>
  <si>
    <t>PKT400836</t>
  </si>
  <si>
    <t>PKT400837</t>
  </si>
  <si>
    <t>PKT400838</t>
  </si>
  <si>
    <t>PKT400839</t>
  </si>
  <si>
    <t>PKT400840</t>
  </si>
  <si>
    <t>PKT400841</t>
  </si>
  <si>
    <t>PKT400842</t>
  </si>
  <si>
    <t>PKT400843</t>
  </si>
  <si>
    <t>PKT400844</t>
  </si>
  <si>
    <t>PKT400845</t>
  </si>
  <si>
    <t>PKT400846</t>
  </si>
  <si>
    <t>PKT400847</t>
  </si>
  <si>
    <t>PKT400848</t>
  </si>
  <si>
    <t>PKT400849</t>
  </si>
  <si>
    <t>PKT400850</t>
  </si>
  <si>
    <t>PKT400851</t>
  </si>
  <si>
    <t>PKT400852</t>
  </si>
  <si>
    <t>PKT400853</t>
  </si>
  <si>
    <t>PKT400854</t>
  </si>
  <si>
    <t>PKT400855</t>
  </si>
  <si>
    <t>PKT400856</t>
  </si>
  <si>
    <t>PKT400857</t>
  </si>
  <si>
    <t>PKT400858</t>
  </si>
  <si>
    <t>PKT400859</t>
  </si>
  <si>
    <t>PKT400860</t>
  </si>
  <si>
    <t>PKT400861</t>
  </si>
  <si>
    <t>PKT400862</t>
  </si>
  <si>
    <t>PKT400863</t>
  </si>
  <si>
    <t>PKT400864</t>
  </si>
  <si>
    <t>PKT400865</t>
  </si>
  <si>
    <t>PKT400866</t>
  </si>
  <si>
    <t>PKT400867</t>
  </si>
  <si>
    <t>PKT400868</t>
  </si>
  <si>
    <t>PKT400869</t>
  </si>
  <si>
    <t>PKT400870</t>
  </si>
  <si>
    <t>PKT400871</t>
  </si>
  <si>
    <t>PKT400872</t>
  </si>
  <si>
    <t>PKT400873</t>
  </si>
  <si>
    <t>PKT400874</t>
  </si>
  <si>
    <t>PKT400875</t>
  </si>
  <si>
    <t>PKT400876</t>
  </si>
  <si>
    <t>PKT400877</t>
  </si>
  <si>
    <t>PKT400878</t>
  </si>
  <si>
    <t>PKT400879</t>
  </si>
  <si>
    <t>PKT400880</t>
  </si>
  <si>
    <t>PKT400881</t>
  </si>
  <si>
    <t>PKT400882</t>
  </si>
  <si>
    <t>PKT400883</t>
  </si>
  <si>
    <t>PKT400884</t>
  </si>
  <si>
    <t>PKT400885</t>
  </si>
  <si>
    <t>PKT400886</t>
  </si>
  <si>
    <t>PKT400887</t>
  </si>
  <si>
    <t>PKT400888</t>
  </si>
  <si>
    <t>PKT400889</t>
  </si>
  <si>
    <t>PKT400890</t>
  </si>
  <si>
    <t>PKT400891</t>
  </si>
  <si>
    <t>PKT400892</t>
  </si>
  <si>
    <t>PKT400893</t>
  </si>
  <si>
    <t>PKT400894</t>
  </si>
  <si>
    <t>PKT400895</t>
  </si>
  <si>
    <t>PKT400896</t>
  </si>
  <si>
    <t>PKT400897</t>
  </si>
  <si>
    <t>PKT400898</t>
  </si>
  <si>
    <t>PKT400899</t>
  </si>
  <si>
    <t>PKT400900</t>
  </si>
  <si>
    <t>PKT400901</t>
  </si>
  <si>
    <t>PKT400902</t>
  </si>
  <si>
    <t>PKT400903</t>
  </si>
  <si>
    <t>PKT400904</t>
  </si>
  <si>
    <t>PKT400905</t>
  </si>
  <si>
    <t>PKT400906</t>
  </si>
  <si>
    <t>PKT400907</t>
  </si>
  <si>
    <t>PKT400908</t>
  </si>
  <si>
    <t>PKT400909</t>
  </si>
  <si>
    <t>PKT400910</t>
  </si>
  <si>
    <t>PKT400911</t>
  </si>
  <si>
    <t>PKT400912</t>
  </si>
  <si>
    <t>PKT400913</t>
  </si>
  <si>
    <t>PKT400914</t>
  </si>
  <si>
    <t>PKT400915</t>
  </si>
  <si>
    <t>PKT400916</t>
  </si>
  <si>
    <t>PKT400917</t>
  </si>
  <si>
    <t>PKT400918</t>
  </si>
  <si>
    <t>PKT400919</t>
  </si>
  <si>
    <t>PKT400920</t>
  </si>
  <si>
    <t>PKT400544P</t>
  </si>
  <si>
    <t>PAINEL CARVALHO EUROPEU NATURALLE 1.5/3X19X190CM</t>
  </si>
  <si>
    <t>PKT400921</t>
  </si>
  <si>
    <t>PKT400922</t>
  </si>
  <si>
    <t>PKT400923</t>
  </si>
  <si>
    <t>PKT400924</t>
  </si>
  <si>
    <t>PKT400925</t>
  </si>
  <si>
    <t>PKT400926</t>
  </si>
  <si>
    <t>PKT400927</t>
  </si>
  <si>
    <t>PKT400928</t>
  </si>
  <si>
    <t>PKT400929</t>
  </si>
  <si>
    <t>PKT400930</t>
  </si>
  <si>
    <t>PKT400931</t>
  </si>
  <si>
    <t>PKT400932</t>
  </si>
  <si>
    <t>PKT400933</t>
  </si>
  <si>
    <t>PKT400934</t>
  </si>
  <si>
    <t>PKT400935</t>
  </si>
  <si>
    <t>PKT400936</t>
  </si>
  <si>
    <t>PKT400937</t>
  </si>
  <si>
    <t>PKT400938</t>
  </si>
  <si>
    <t>PKT400939</t>
  </si>
  <si>
    <t>PKT400940</t>
  </si>
  <si>
    <t>PKT400941</t>
  </si>
  <si>
    <t>PKT400942</t>
  </si>
  <si>
    <t>PKT400943</t>
  </si>
  <si>
    <t>PKT400944</t>
  </si>
  <si>
    <t>PKT400945</t>
  </si>
  <si>
    <t>PKT400946</t>
  </si>
  <si>
    <t>PKT400947</t>
  </si>
  <si>
    <t>PKT400948</t>
  </si>
  <si>
    <t>PKT400949</t>
  </si>
  <si>
    <t>PKT400950</t>
  </si>
  <si>
    <t>PKT400951</t>
  </si>
  <si>
    <t>PKT400952</t>
  </si>
  <si>
    <t>PKT400953</t>
  </si>
  <si>
    <t>PKT400954</t>
  </si>
  <si>
    <t>PKT400955</t>
  </si>
  <si>
    <t>PKT400956</t>
  </si>
  <si>
    <t>PKT400957</t>
  </si>
  <si>
    <t>PKT400958</t>
  </si>
  <si>
    <t>PKT400959</t>
  </si>
  <si>
    <t>PKT400960</t>
  </si>
  <si>
    <t>PKT400961</t>
  </si>
  <si>
    <t>PKT400962</t>
  </si>
  <si>
    <t>PKT400963</t>
  </si>
  <si>
    <t>PKT400964</t>
  </si>
  <si>
    <t>PKT400965</t>
  </si>
  <si>
    <t>PKT400966</t>
  </si>
  <si>
    <t>PKT400967</t>
  </si>
  <si>
    <t>PKT400968</t>
  </si>
  <si>
    <t>PKT400969</t>
  </si>
  <si>
    <t>PKT400970</t>
  </si>
  <si>
    <t>PKT400971</t>
  </si>
  <si>
    <t>PKT400972</t>
  </si>
  <si>
    <t>PKT400973</t>
  </si>
  <si>
    <t>PKT400974</t>
  </si>
  <si>
    <t>PKT400975</t>
  </si>
  <si>
    <t>PKT400976</t>
  </si>
  <si>
    <t>PKT400977</t>
  </si>
  <si>
    <t>PKT400978</t>
  </si>
  <si>
    <t>PKT400979</t>
  </si>
  <si>
    <t>PKT400980</t>
  </si>
  <si>
    <t>PKT400981</t>
  </si>
  <si>
    <t>PKT400982</t>
  </si>
  <si>
    <t>PKT400983</t>
  </si>
  <si>
    <t>PKT400984</t>
  </si>
  <si>
    <t>PKT400985</t>
  </si>
  <si>
    <t>PKT400986</t>
  </si>
  <si>
    <t>PKT400987</t>
  </si>
  <si>
    <t>PKT400988</t>
  </si>
  <si>
    <t>PKT400989</t>
  </si>
  <si>
    <t>PKT400990</t>
  </si>
  <si>
    <t>PKT400991</t>
  </si>
  <si>
    <t>PKT400992</t>
  </si>
  <si>
    <t>PKT400993</t>
  </si>
  <si>
    <t>PKT400994</t>
  </si>
  <si>
    <t>PKT400995</t>
  </si>
  <si>
    <t>PKT400996</t>
  </si>
  <si>
    <t>PKT400997</t>
  </si>
  <si>
    <t>PKT400998</t>
  </si>
  <si>
    <t>PKT400999</t>
  </si>
  <si>
    <t>PKT401000</t>
  </si>
  <si>
    <t>PKT401001</t>
  </si>
  <si>
    <t>PKT401002</t>
  </si>
  <si>
    <t>PKT401003</t>
  </si>
  <si>
    <t>PKT401004</t>
  </si>
  <si>
    <t>PKT401005</t>
  </si>
  <si>
    <t>PKT401006</t>
  </si>
  <si>
    <t>PKT401007</t>
  </si>
  <si>
    <t>PKT401008</t>
  </si>
  <si>
    <t>PKT401009</t>
  </si>
  <si>
    <t>PKT401010</t>
  </si>
  <si>
    <t>PKT401011</t>
  </si>
  <si>
    <t>PKT401012</t>
  </si>
  <si>
    <t>PKT401013</t>
  </si>
  <si>
    <t>PKT401014</t>
  </si>
  <si>
    <t>PKT401015</t>
  </si>
  <si>
    <t>PKT401016</t>
  </si>
  <si>
    <t>PKT401017</t>
  </si>
  <si>
    <t>PKT401018</t>
  </si>
  <si>
    <t>PKT401019</t>
  </si>
  <si>
    <t>PKT401020</t>
  </si>
  <si>
    <t>PKT401021</t>
  </si>
  <si>
    <t>PKT401022</t>
  </si>
  <si>
    <t>PKT401023</t>
  </si>
  <si>
    <t>PKT401024</t>
  </si>
  <si>
    <t>PKT401025</t>
  </si>
  <si>
    <t>PKT401026</t>
  </si>
  <si>
    <t>PKT401027</t>
  </si>
  <si>
    <t>PKT401028</t>
  </si>
  <si>
    <t>PKT401029</t>
  </si>
  <si>
    <t>PKT401030</t>
  </si>
  <si>
    <t>PKT401031</t>
  </si>
  <si>
    <t>PKT401032</t>
  </si>
  <si>
    <t>PKT401033</t>
  </si>
  <si>
    <t>PKT401034</t>
  </si>
  <si>
    <t>PKT401035</t>
  </si>
  <si>
    <t>PKT401036</t>
  </si>
  <si>
    <t>PKT401037</t>
  </si>
  <si>
    <t>PKT401038</t>
  </si>
  <si>
    <t>PKT401039</t>
  </si>
  <si>
    <t>PKT401040</t>
  </si>
  <si>
    <t>FORRO FINCAPINO CUMARU PREMIUM TG 2,5 X 5 X COMPR. VARIAVEIS</t>
  </si>
  <si>
    <t>PKT401041</t>
  </si>
  <si>
    <t>FORRO FINCAPINO CUMARU PREMIUM TG 2,5 X 10 X COMPR. VARIAVEIS</t>
  </si>
  <si>
    <t>PKT401042</t>
  </si>
  <si>
    <t>FORRO FINCAPINO CATUABA PREMIUM TG 2,5 X 5 X COMPR. VARIAVEIS</t>
  </si>
  <si>
    <t>PKT401043</t>
  </si>
  <si>
    <t>FORRO FINCAPINO CATUABA PREMIUM TG 2,5 X 10 X COMPR. VARIAVEIS</t>
  </si>
  <si>
    <t>PKT401044</t>
  </si>
  <si>
    <t>FORRO FINCAPINO CABREUVA BRANCA PREMIUM TG 2,5 X 5 X COMPR. VARIAVEIS</t>
  </si>
  <si>
    <t>PKT401045</t>
  </si>
  <si>
    <t>FORRO FINCAPINO CABREUVA BRANCA PREMIUM TG 2,5 X 10 X COMPR. VARIAVEIS</t>
  </si>
  <si>
    <t>PKT401046</t>
  </si>
  <si>
    <t>FORRO FINCAPINO CABREUVA DOURADA PREMIUM TG 2,5 X 5 X COMPR. VARIAVEIS</t>
  </si>
  <si>
    <t>PKT401047</t>
  </si>
  <si>
    <t>FORRO FINCAPINO CABREUVA DOURADA PREMIUM TG 2,5 X 10 X COMPR. VARIAVEIS</t>
  </si>
  <si>
    <t>PKT401048</t>
  </si>
  <si>
    <t>FORRO FINCAPINO TAUARI PREMIUM TG 2,5 X 5 X COMPR. VARIAVEIS</t>
  </si>
  <si>
    <t>PKT401049</t>
  </si>
  <si>
    <t>FORRO FINCAPINO TAUARI PREMIUM TG 2,5 X 10 X COMPR. VARIAVEIS</t>
  </si>
  <si>
    <t>PKT401050</t>
  </si>
  <si>
    <t>FORRO FINCAPINO PEROBA PREMIUM TG 2,5 X 5 X COMPR. VARIAVEIS</t>
  </si>
  <si>
    <t>PKT401051</t>
  </si>
  <si>
    <t>FORRO FINCAPINO PEROBA PREMIUM TG 2,5 X 10 X COMPR. VARIAVEIS</t>
  </si>
  <si>
    <t>PKT401052</t>
  </si>
  <si>
    <t>FORRO FINCAPINO BAMBU CARAMEL ALTA DENSIDADE</t>
  </si>
  <si>
    <t>PKT401053</t>
  </si>
  <si>
    <t>PKT401054</t>
  </si>
  <si>
    <t>PKT401055</t>
  </si>
  <si>
    <t>PKT401056</t>
  </si>
  <si>
    <t>PKT401057</t>
  </si>
  <si>
    <t>PKT401058</t>
  </si>
  <si>
    <t>PKT401059</t>
  </si>
  <si>
    <t>PKT401060</t>
  </si>
  <si>
    <t>PKT401061</t>
  </si>
  <si>
    <t>PKT401062</t>
  </si>
  <si>
    <t>PKT401063</t>
  </si>
  <si>
    <t>PKT401064</t>
  </si>
  <si>
    <t>PKT401065</t>
  </si>
  <si>
    <t>PKT401066</t>
  </si>
  <si>
    <t>PKT401067</t>
  </si>
  <si>
    <t>PKT401068</t>
  </si>
  <si>
    <t>PKT401069</t>
  </si>
  <si>
    <t>PKT401070</t>
  </si>
  <si>
    <t>PKT401071</t>
  </si>
  <si>
    <t>PKT401072</t>
  </si>
  <si>
    <t>PKT401073</t>
  </si>
  <si>
    <t>PKT401074</t>
  </si>
  <si>
    <t>PKT401075</t>
  </si>
  <si>
    <t>PKT401076</t>
  </si>
  <si>
    <t>PKT401077</t>
  </si>
  <si>
    <t>PKT401078</t>
  </si>
  <si>
    <t>PKT401079</t>
  </si>
  <si>
    <t>PKT401080</t>
  </si>
  <si>
    <t>PKT401081</t>
  </si>
  <si>
    <t>PKT401082</t>
  </si>
  <si>
    <t>PKT401083</t>
  </si>
  <si>
    <t>PKT401084</t>
  </si>
  <si>
    <t>PKT401085</t>
  </si>
  <si>
    <t>PKT401086</t>
  </si>
  <si>
    <t>PKT401087</t>
  </si>
  <si>
    <t>PKT401088</t>
  </si>
  <si>
    <t>PKT401089</t>
  </si>
  <si>
    <t>PKT401090</t>
  </si>
  <si>
    <t>PKT401091</t>
  </si>
  <si>
    <t>PKT401092</t>
  </si>
  <si>
    <t>PKT401093</t>
  </si>
  <si>
    <t>PKT401094</t>
  </si>
  <si>
    <t>PKT401095</t>
  </si>
  <si>
    <t>PKT401096</t>
  </si>
  <si>
    <t>PKT401097</t>
  </si>
  <si>
    <t>PKT401098</t>
  </si>
  <si>
    <t>PKT401099</t>
  </si>
  <si>
    <t>PKT401100</t>
  </si>
  <si>
    <t>PKT401101</t>
  </si>
  <si>
    <t>PKT401102</t>
  </si>
  <si>
    <t>PKT401103</t>
  </si>
  <si>
    <t>PKT401104</t>
  </si>
  <si>
    <t>PKT401105</t>
  </si>
  <si>
    <t>PKT401106</t>
  </si>
  <si>
    <t>PKT401107</t>
  </si>
  <si>
    <t>PKT401108</t>
  </si>
  <si>
    <t>PKT401109</t>
  </si>
  <si>
    <t>PKT401110</t>
  </si>
  <si>
    <t>PKT401111</t>
  </si>
  <si>
    <t>PKT401112</t>
  </si>
  <si>
    <t>PKT401113</t>
  </si>
  <si>
    <t>PKT401114</t>
  </si>
  <si>
    <t>PKT401115</t>
  </si>
  <si>
    <t>PKT401116</t>
  </si>
  <si>
    <t>PKT401117</t>
  </si>
  <si>
    <t>PKT401118</t>
  </si>
  <si>
    <t>PKT401119</t>
  </si>
  <si>
    <t>PKT401120</t>
  </si>
  <si>
    <t>PKT401121</t>
  </si>
  <si>
    <t>PKT401122</t>
  </si>
  <si>
    <t>PKT401123</t>
  </si>
  <si>
    <t>PKT401124</t>
  </si>
  <si>
    <t>PKT401125</t>
  </si>
  <si>
    <t>PKT401126</t>
  </si>
  <si>
    <t>PKT401127</t>
  </si>
  <si>
    <t>PKT401128</t>
  </si>
  <si>
    <t>PKT401129</t>
  </si>
  <si>
    <t>PKT401130</t>
  </si>
  <si>
    <t>PKT401131</t>
  </si>
  <si>
    <t>PKT401132</t>
  </si>
  <si>
    <t>PKT401133</t>
  </si>
  <si>
    <t>PKT401134</t>
  </si>
  <si>
    <t>PKT401135</t>
  </si>
  <si>
    <t>PKT401136</t>
  </si>
  <si>
    <t>PKT401137</t>
  </si>
  <si>
    <t>PKT401138</t>
  </si>
  <si>
    <t>PKT401139</t>
  </si>
  <si>
    <t>PKT401140</t>
  </si>
  <si>
    <t>PKT401141</t>
  </si>
  <si>
    <t>PKT401142</t>
  </si>
  <si>
    <t>PKT401143</t>
  </si>
  <si>
    <t>PKT401144</t>
  </si>
  <si>
    <t>PKT401145</t>
  </si>
  <si>
    <t>PKT401146</t>
  </si>
  <si>
    <t>PKT401147</t>
  </si>
  <si>
    <t>PKT401148</t>
  </si>
  <si>
    <t>PKT401149</t>
  </si>
  <si>
    <t>PKT401150</t>
  </si>
  <si>
    <t>PKT401151</t>
  </si>
  <si>
    <t>PKT401152</t>
  </si>
  <si>
    <t>PKT401153</t>
  </si>
  <si>
    <t>PKT401154</t>
  </si>
  <si>
    <t>PKT401155</t>
  </si>
  <si>
    <t>PKT401156</t>
  </si>
  <si>
    <t>PKT401157</t>
  </si>
  <si>
    <t>PKT401158</t>
  </si>
  <si>
    <t>FORRO AUTOBROCANTE CUMARU PREMIUM TG 2,5 X 5 X COMPR. VARIAVEIS</t>
  </si>
  <si>
    <t>PKT401159</t>
  </si>
  <si>
    <t>FORRO AUTOBROCANTE CUMARU PREMIUM TG 2,5 X 10 X COMPR. VARIAVEIS</t>
  </si>
  <si>
    <t>PKT401160</t>
  </si>
  <si>
    <t>FORRO AUTOBROCANTE CATUABA PREMIUM TG 2,5 X 5 X COMPR. VARIAVEIS</t>
  </si>
  <si>
    <t>PKT401161</t>
  </si>
  <si>
    <t>FORRO AUTOBROCANTE  CATUABA PREMIUM TG 2,5 X 10 X COMPR. VARIAVEIS</t>
  </si>
  <si>
    <t>PKT401162</t>
  </si>
  <si>
    <t>FORRO AUTOBROCANTE CABREUVA BRANCA PREMIUM TG 2,5 X 5 X COMPR. VARIAVEIS</t>
  </si>
  <si>
    <t>PKT401163</t>
  </si>
  <si>
    <t>FORRO AUTOBROCANTE CABREUVA BRANCA PREMIUM TG 2,5 X 10 X COMPR. VARIAVEIS</t>
  </si>
  <si>
    <t>PKT401164</t>
  </si>
  <si>
    <t>FORRO AUTOBROCANTE CABREUVA DOURADA PREMIUM TG 2,5 X 5 X COMPR. VARIAVEIS</t>
  </si>
  <si>
    <t>PKT401165</t>
  </si>
  <si>
    <t>FORRO AUTOBROCANTE CABREUVA DOURADA PREMIUM TG 2,5 X 10 X COMPR. VARIAVEIS</t>
  </si>
  <si>
    <t>PKT401166</t>
  </si>
  <si>
    <t>FORRO AUTOBROCANTE TAUARI PREMIUM TG 2,5 X 5 X COMPR. VARIAVEIS</t>
  </si>
  <si>
    <t>PKT401167</t>
  </si>
  <si>
    <t>FORRO AUTOBROCANTE TAUARI PREMIUM TG 2,5 X 10 X COMPR. VARIAVEIS</t>
  </si>
  <si>
    <t>PKT401168</t>
  </si>
  <si>
    <t>FORRO AUTOBROCANTE PEROBA PREMIUM TG 2,5 X 5 X COMPR. VARIAVEIS</t>
  </si>
  <si>
    <t>PKT401169</t>
  </si>
  <si>
    <t>FORRO AUTOBROCANTE PEROBA PREMIUM TG 2,5 X 10 X COMPR. VARIAVEIS</t>
  </si>
  <si>
    <t>PKT401170</t>
  </si>
  <si>
    <t>FORRO AUTOBROCANTE BAMBU CARAMEL ALTA DENSIDADE</t>
  </si>
  <si>
    <t>PKT401171</t>
  </si>
  <si>
    <t>PKT401172</t>
  </si>
  <si>
    <t>PKT401173</t>
  </si>
  <si>
    <t>PKT401174</t>
  </si>
  <si>
    <t>PKT401175</t>
  </si>
  <si>
    <t>PKT401176</t>
  </si>
  <si>
    <t>PKT401177</t>
  </si>
  <si>
    <t>PKT401178</t>
  </si>
  <si>
    <t>PKT401179</t>
  </si>
  <si>
    <t>PKT401180</t>
  </si>
  <si>
    <t>PKT401181</t>
  </si>
  <si>
    <t>PKT401182</t>
  </si>
  <si>
    <t>PKT401183</t>
  </si>
  <si>
    <t>PKT401184</t>
  </si>
  <si>
    <t>PKT401185</t>
  </si>
  <si>
    <t>PKT401186</t>
  </si>
  <si>
    <t>PKT401187</t>
  </si>
  <si>
    <t>PKT401188</t>
  </si>
  <si>
    <t>PKT401189</t>
  </si>
  <si>
    <t>PKT401190</t>
  </si>
  <si>
    <t>PKT401191</t>
  </si>
  <si>
    <t>PKT401192</t>
  </si>
  <si>
    <t>PKT401193</t>
  </si>
  <si>
    <t>PKT401194</t>
  </si>
  <si>
    <t>PKT401195</t>
  </si>
  <si>
    <t>PKT401196</t>
  </si>
  <si>
    <t>PKT401197</t>
  </si>
  <si>
    <t>PKT401198</t>
  </si>
  <si>
    <t>PKT401199</t>
  </si>
  <si>
    <t>PKT401200</t>
  </si>
  <si>
    <t>PKT401201</t>
  </si>
  <si>
    <t>PKT401202</t>
  </si>
  <si>
    <t>PKT401203</t>
  </si>
  <si>
    <t>PKT401204</t>
  </si>
  <si>
    <t>PKT401205</t>
  </si>
  <si>
    <t>PKT401206</t>
  </si>
  <si>
    <t>PKT401207</t>
  </si>
  <si>
    <t>PKT401208</t>
  </si>
  <si>
    <t>PKT401209</t>
  </si>
  <si>
    <t>PKT401210</t>
  </si>
  <si>
    <t>PKT401211</t>
  </si>
  <si>
    <t>PKT401212</t>
  </si>
  <si>
    <t>PKT401213</t>
  </si>
  <si>
    <t>PKT401214</t>
  </si>
  <si>
    <t>PKT401215</t>
  </si>
  <si>
    <t>PKT401216</t>
  </si>
  <si>
    <t>PKT401217</t>
  </si>
  <si>
    <t>PKT401218</t>
  </si>
  <si>
    <t>PKT401219</t>
  </si>
  <si>
    <t>PKT401220</t>
  </si>
  <si>
    <t>PKT401221</t>
  </si>
  <si>
    <t>PKT401222</t>
  </si>
  <si>
    <t>PKT401223</t>
  </si>
  <si>
    <t>PKT401224</t>
  </si>
  <si>
    <t>PKT401225</t>
  </si>
  <si>
    <t>PKT401226</t>
  </si>
  <si>
    <t>PKT401227</t>
  </si>
  <si>
    <t>PKT401228</t>
  </si>
  <si>
    <t>PKT401229</t>
  </si>
  <si>
    <t>PKT401230</t>
  </si>
  <si>
    <t>PKT401231</t>
  </si>
  <si>
    <t>PKT401232</t>
  </si>
  <si>
    <t>PKT401233</t>
  </si>
  <si>
    <t>PKT401234</t>
  </si>
  <si>
    <t>PKT401235</t>
  </si>
  <si>
    <t>PKT401236</t>
  </si>
  <si>
    <t>PKT401237</t>
  </si>
  <si>
    <t>PKT401238</t>
  </si>
  <si>
    <t>PKT401239</t>
  </si>
  <si>
    <t>PKT401240</t>
  </si>
  <si>
    <t>PKT401241</t>
  </si>
  <si>
    <t>PKT401242</t>
  </si>
  <si>
    <t>PKT401243</t>
  </si>
  <si>
    <t>PKT401244</t>
  </si>
  <si>
    <t>PKT401245</t>
  </si>
  <si>
    <t>PKT401246</t>
  </si>
  <si>
    <t>PKT401247</t>
  </si>
  <si>
    <t>PKT401248</t>
  </si>
  <si>
    <t>PKT401249</t>
  </si>
  <si>
    <t>PKT401250</t>
  </si>
  <si>
    <t>PKT401251</t>
  </si>
  <si>
    <t>PKT401252</t>
  </si>
  <si>
    <t>PKT401253</t>
  </si>
  <si>
    <t>PKT401254</t>
  </si>
  <si>
    <t>PKT401255</t>
  </si>
  <si>
    <t>PKT401256</t>
  </si>
  <si>
    <t>PKT401257</t>
  </si>
  <si>
    <t>PKT401258</t>
  </si>
  <si>
    <t>PKT401259</t>
  </si>
  <si>
    <t>PKT401260</t>
  </si>
  <si>
    <t>PKT401261</t>
  </si>
  <si>
    <t>PKT401262</t>
  </si>
  <si>
    <t>PKT401263</t>
  </si>
  <si>
    <t>PKT401264</t>
  </si>
  <si>
    <t>PKT401265</t>
  </si>
  <si>
    <t>PKT401266</t>
  </si>
  <si>
    <t>PKT401267</t>
  </si>
  <si>
    <t>PKT401268</t>
  </si>
  <si>
    <t>PKT401269</t>
  </si>
  <si>
    <t>PKT401270</t>
  </si>
  <si>
    <t>PKT401271</t>
  </si>
  <si>
    <t>PKT401272</t>
  </si>
  <si>
    <t>PKT401273</t>
  </si>
  <si>
    <t>PKT401274</t>
  </si>
  <si>
    <t>PKT401275</t>
  </si>
  <si>
    <t>PKT401276</t>
  </si>
  <si>
    <t>PKT401277</t>
  </si>
  <si>
    <t>PKT401278</t>
  </si>
  <si>
    <t>PKT401279</t>
  </si>
  <si>
    <t>PKT401280</t>
  </si>
  <si>
    <t>PKT401281</t>
  </si>
  <si>
    <t>PKT401282</t>
  </si>
  <si>
    <t>PKT401283</t>
  </si>
  <si>
    <t>PKT401284</t>
  </si>
  <si>
    <t>PKT401285</t>
  </si>
  <si>
    <t>PKT401286</t>
  </si>
  <si>
    <t>PKT401287</t>
  </si>
  <si>
    <t>PKT401288</t>
  </si>
  <si>
    <t>PKT401289</t>
  </si>
  <si>
    <t>PKT401290</t>
  </si>
  <si>
    <t xml:space="preserve"> DECK CUMARU PREMIUM TG 2,5 X 5 X COMPR. VARIAVEIS</t>
  </si>
  <si>
    <t>PKT401291</t>
  </si>
  <si>
    <t xml:space="preserve"> DECK CUMARU PREMIUM TG 2,5 X 10 X COMPR. VARIAVEIS</t>
  </si>
  <si>
    <t>PKT401292</t>
  </si>
  <si>
    <t xml:space="preserve"> DECK CATUABA PREMIUM TG 2,5 X 5 X COMPR. VARIAVEIS</t>
  </si>
  <si>
    <t>PKT401293</t>
  </si>
  <si>
    <t xml:space="preserve"> DECK CATUABA PREMIUM TG 2,5 X 10 X COMPR. VARIAVEIS</t>
  </si>
  <si>
    <t>PKT401294</t>
  </si>
  <si>
    <t xml:space="preserve"> DECK CABREUVA BRANCA PREMIUM TG 2,5 X 5 X COMPR. VARIAVEIS</t>
  </si>
  <si>
    <t>PKT401295</t>
  </si>
  <si>
    <t xml:space="preserve"> DECK CABREUVA BRANCA PREMIUM TG 2,5 X 10 X COMPR. VARIAVEIS</t>
  </si>
  <si>
    <t>PKT401296</t>
  </si>
  <si>
    <t xml:space="preserve"> DECK CABREUVA DOURADA PREMIUM TG 2,5 X 5 X COMPR. VARIAVEIS</t>
  </si>
  <si>
    <t>PKT401297</t>
  </si>
  <si>
    <t xml:space="preserve"> DECK CABREUVA DOURADA PREMIUM TG 2,5 X 10 X COMPR. VARIAVEIS</t>
  </si>
  <si>
    <t>PKT401298</t>
  </si>
  <si>
    <t xml:space="preserve"> DECK TAUARI PREMIUM TG 2,5 X 5 X COMPR. VARIAVEIS</t>
  </si>
  <si>
    <t>PKT401299</t>
  </si>
  <si>
    <t xml:space="preserve"> DECK TAUARI PREMIUM TG 2,5 X 10 X COMPR. VARIAVEIS</t>
  </si>
  <si>
    <t>PKT401300</t>
  </si>
  <si>
    <t xml:space="preserve"> DECK PEROBA PREMIUM TG 2,5 X 5 X COMPR. VARIAVEIS</t>
  </si>
  <si>
    <t>PKT401301</t>
  </si>
  <si>
    <t xml:space="preserve"> DECK PEROBA PREMIUM TG 2,5 X 10 X COMPR. VARIAVEIS</t>
  </si>
  <si>
    <t>PKT401302</t>
  </si>
  <si>
    <t xml:space="preserve"> DECK BAMBU CARAMEL ALTA DENSIDADE</t>
  </si>
  <si>
    <t>PKT401303</t>
  </si>
  <si>
    <t xml:space="preserve"> DECK BPC CINZA ESCURO 2 X15X 290CM PÇ/0.435M2</t>
  </si>
  <si>
    <t>PKT401304</t>
  </si>
  <si>
    <t xml:space="preserve"> DECK BPC MORROM 2X15X220CM</t>
  </si>
  <si>
    <t>PKT401305</t>
  </si>
  <si>
    <t xml:space="preserve"> DECK WPC CINZA 2,2*14,6*220CM</t>
  </si>
  <si>
    <t>PKT401306</t>
  </si>
  <si>
    <t>DECK 05 CUMARU PREMIUM TG 2,5 X 5 X COMPR. VARIAVEIS</t>
  </si>
  <si>
    <t>DECK 05 CUMARU PREMIUM TG 2,5 X 10 X COMPR. VARIAVEIS</t>
  </si>
  <si>
    <t>DECK 05 CATUABA PREMIUM TG 2,5 X 5 X COMPR. VARIAVEIS</t>
  </si>
  <si>
    <t>DECK 05 CATUABA PREMIUM TG 2,5 X 10 X COMPR. VARIAVEIS</t>
  </si>
  <si>
    <t>DECK 05 CABREUVA BRANCA PREMIUM TG 2,5 X 5 X COMPR. VARIAVEIS</t>
  </si>
  <si>
    <t>DECK 05 CABREUVA BRANCA PREMIUM TG 2,5 X 10 X COMPR. VARIAVEIS</t>
  </si>
  <si>
    <t>DECK 05 CABREUVA DOURADA PREMIUM TG 2,5 X 5 X COMPR. VARIAVEIS</t>
  </si>
  <si>
    <t>DECK 05 CABREUVA DOURADA PREMIUM TG 2,5 X 10 X COMPR. VARIAVEIS</t>
  </si>
  <si>
    <t>DECK 05 TAUARI PREMIUM TG 2,5 X 5 X COMPR. VARIAVEIS</t>
  </si>
  <si>
    <t>DECK 05 TAUARI PREMIUM TG 2,5 X 10 X COMPR. VARIAVEIS</t>
  </si>
  <si>
    <t>DECK 05 PEROBA PREMIUM TG 2,5 X 5 X COMPR. VARIAVEIS</t>
  </si>
  <si>
    <t>DECK 05 PEROBA PREMIUM TG 2,5 X 10 X COMPR. VARIAVEIS</t>
  </si>
  <si>
    <t>DECK 05 BAMBU CARAMEL ALTA DENSIDADE</t>
  </si>
  <si>
    <t>FORRO RIPADO TAUARI NATURALLE 1.8 X 3.5/0.5 X COMP. VAR.</t>
  </si>
  <si>
    <t>Validar Custo***</t>
  </si>
  <si>
    <t>/</t>
  </si>
  <si>
    <t>PRODUTOS</t>
  </si>
  <si>
    <t>Custos</t>
  </si>
  <si>
    <t>Custo Total</t>
  </si>
  <si>
    <t>Custo total por M²</t>
  </si>
  <si>
    <t>Obs técnica</t>
  </si>
  <si>
    <t xml:space="preserve">SUGESTÃO: A CADA 100M² MANDAR 5 SACO DE ENTULHO </t>
  </si>
  <si>
    <t>PISOS ATÉ 19 CM</t>
  </si>
  <si>
    <t>Todos produtos de KG, ML, M² será calculado a cada 1M².</t>
  </si>
  <si>
    <t>Descrição: INSUMOS</t>
  </si>
  <si>
    <t>UND MED</t>
  </si>
  <si>
    <t>QTDE m² PROJ</t>
  </si>
  <si>
    <t>QTDADE m²</t>
  </si>
  <si>
    <t>TOTAL</t>
  </si>
  <si>
    <t>Custo por Obra</t>
  </si>
  <si>
    <t>Por 1 m²</t>
  </si>
  <si>
    <t>5 por Obra</t>
  </si>
  <si>
    <t xml:space="preserve">3 Por Obra </t>
  </si>
  <si>
    <t>Total</t>
  </si>
  <si>
    <t>Codigo Brascomm</t>
  </si>
  <si>
    <t>PISOS CHEVRON/ESCAMA DE PEIXE/ VERSALHES/MACIÇO e acima de 30cm</t>
  </si>
  <si>
    <t xml:space="preserve">Quando usar: Mateial que consome mais cola </t>
  </si>
  <si>
    <t>INSUMOS</t>
  </si>
  <si>
    <t xml:space="preserve">    RODAPÉ CORDÃO</t>
  </si>
  <si>
    <t>QTDE mL PROJ</t>
  </si>
  <si>
    <t>QTDADE ml</t>
  </si>
  <si>
    <t>FORRO FINCAPINO acimas 60m²</t>
  </si>
  <si>
    <t>Quando usar: A cima de obras com 60 m²</t>
  </si>
  <si>
    <t>QTDADE</t>
  </si>
  <si>
    <t>BARROTE 4 X2</t>
  </si>
  <si>
    <t>PKT100523IN</t>
  </si>
  <si>
    <t>PINO 30X30</t>
  </si>
  <si>
    <t>PKT300036F</t>
  </si>
  <si>
    <t>FINCAPINO BLUE</t>
  </si>
  <si>
    <t>PKT100220IN</t>
  </si>
  <si>
    <t>PINO F40</t>
  </si>
  <si>
    <t>PKT100013IN</t>
  </si>
  <si>
    <t>BROCA 3,5</t>
  </si>
  <si>
    <t>A CADA 100M² MANDAR 3</t>
  </si>
  <si>
    <t>BROCA SDS 6MM</t>
  </si>
  <si>
    <t>A CADA 100M² MANDAR 1</t>
  </si>
  <si>
    <t>PKT200011C</t>
  </si>
  <si>
    <t>ELETROCALHA</t>
  </si>
  <si>
    <t>PKT100187IN</t>
  </si>
  <si>
    <t>PARAFUSO 4X45</t>
  </si>
  <si>
    <t>PKT100524IN</t>
  </si>
  <si>
    <t>PARAFUSO GN 25</t>
  </si>
  <si>
    <t>PKT100239IN</t>
  </si>
  <si>
    <t>PORCA 1/4</t>
  </si>
  <si>
    <t>PKT100066IN</t>
  </si>
  <si>
    <t>COLA TITEBOND 1KG</t>
  </si>
  <si>
    <t>1 cola a cada 15 m²</t>
  </si>
  <si>
    <t>Colocar marca parket na embalagem da cola</t>
  </si>
  <si>
    <t>Devem mandar fotos das sobras dos materiais</t>
  </si>
  <si>
    <t>FORRO CONVENCIONAL  abaixo de 60m²</t>
  </si>
  <si>
    <t>Quando usar:  Obras abaixo de 60m²</t>
  </si>
  <si>
    <t>5 a cada 100 M²</t>
  </si>
  <si>
    <t>PINO F 30</t>
  </si>
  <si>
    <t>PINO F 40</t>
  </si>
  <si>
    <t>PKT100201IN</t>
  </si>
  <si>
    <t>PARAFUSO CABEÇA PANELA 55X50</t>
  </si>
  <si>
    <t>BROCA SD 8 1 UND A CADA 100 M²</t>
  </si>
  <si>
    <t>BUCHA 8</t>
  </si>
  <si>
    <t>COLA TITEBOND</t>
  </si>
  <si>
    <t>PAINÉIS</t>
  </si>
  <si>
    <t>BARROTE 4 X 2</t>
  </si>
  <si>
    <t>PKT100193IN</t>
  </si>
  <si>
    <t>OBSERVAÇÃO: a cada 100 M² uma unidade de cola</t>
  </si>
  <si>
    <t>BROCA SDS 8 1 UND A CADA 100 M²</t>
  </si>
  <si>
    <t>FORRO AUTOBROCANTE</t>
  </si>
  <si>
    <t>Quando usar:  Obra for estrutura metalica  (Steel Frame, Steel Deck))</t>
  </si>
  <si>
    <t>PKT100527IN</t>
  </si>
  <si>
    <t>PARAFUSO AUTOBROCANTE SESTAVADO 55X50</t>
  </si>
  <si>
    <t>FORRO PRAIA (INOX)</t>
  </si>
  <si>
    <t>Quando usar: Quando for litoral</t>
  </si>
  <si>
    <t>PKT100219IN</t>
  </si>
  <si>
    <t>PINO F 30 INOX</t>
  </si>
  <si>
    <t>PKT20033C</t>
  </si>
  <si>
    <t>PINO F 40 INOX</t>
  </si>
  <si>
    <t>PKT100525IN</t>
  </si>
  <si>
    <t>PARAFUSO CABEÇA PANELA 55X50 INOX</t>
  </si>
  <si>
    <t>PKT100526IN</t>
  </si>
  <si>
    <t>PARAFUSO 4X45 INOX</t>
  </si>
  <si>
    <t>DECK MADEIRA  2,5 X 10 X COMPR. VARIAVEIS</t>
  </si>
  <si>
    <t>Quando usar:  Quantidade de insumos</t>
  </si>
  <si>
    <t xml:space="preserve">taco de madeira instalado </t>
  </si>
  <si>
    <t>painel de ripado</t>
  </si>
  <si>
    <t>1 SACO POR OBRA</t>
  </si>
  <si>
    <t>1 bisnaga de 300 g para 15 m²</t>
  </si>
  <si>
    <t>A CADA 25 M² 1 GALÃO QUE O PREÇOO DO GALÃO É R$53,90</t>
  </si>
  <si>
    <t>2 POR OBRA</t>
  </si>
  <si>
    <t>DECK BPC 2X15X220CM</t>
  </si>
  <si>
    <t>.</t>
  </si>
  <si>
    <t>PKT20007C</t>
  </si>
  <si>
    <t>PRESILHA ALUMINIO BPC</t>
  </si>
  <si>
    <t>PKT20008C</t>
  </si>
  <si>
    <t>PARAFUSO ACOMPANHA PRESILHA</t>
  </si>
  <si>
    <t>DECK MADEIRA 2,5 X 5 X COMPR. VARIAVEIS</t>
  </si>
  <si>
    <t>1 SACO POR 100 M² DE OBRA</t>
  </si>
  <si>
    <t xml:space="preserve">1 SACO DE CAVILHA CADA OBRA 1 SACO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</si>
</sst>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yyyy-mm-dd hh:mm:ss"/>
  </numFmts>
  <fonts count="53">
    <font>
      <sz val="11.0"/>
      <color rgb="FF000000"/>
      <name val="Calibri"/>
      <scheme val="minor"/>
    </font>
    <font>
      <sz val="80.0"/>
      <color rgb="FFFFFFFF"/>
      <name val="Calibri"/>
      <scheme val="minor"/>
    </font>
    <font>
      <b/>
      <sz val="49.0"/>
      <color rgb="FFFFFFFF"/>
      <name val="Arial"/>
    </font>
    <font>
      <sz val="50.0"/>
      <color theme="1"/>
      <name val="Calibri"/>
      <scheme val="minor"/>
    </font>
    <font/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1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b/>
      <sz val="12.0"/>
      <color rgb="FFFFFFFF"/>
      <name val="Arial"/>
    </font>
    <font>
      <color theme="1"/>
      <name val="Calibri"/>
      <scheme val="minor"/>
    </font>
    <font>
      <b/>
      <sz val="14.0"/>
      <color rgb="FF000000"/>
      <name val="Calibri"/>
      <scheme val="minor"/>
    </font>
    <font>
      <b/>
      <sz val="13.0"/>
      <color rgb="FF000000"/>
      <name val="Calibri"/>
      <scheme val="minor"/>
    </font>
    <font>
      <sz val="11.0"/>
      <color theme="1"/>
      <name val="Calibri"/>
    </font>
    <font>
      <b/>
      <sz val="60.0"/>
      <color rgb="FFFFFFFF"/>
      <name val="Arial"/>
    </font>
    <font>
      <b/>
      <sz val="49.0"/>
      <color rgb="FF000000"/>
      <name val="Arial"/>
    </font>
    <font>
      <b/>
      <sz val="12.0"/>
      <color rgb="FF333333"/>
      <name val="Arial"/>
    </font>
    <font>
      <sz val="11.0"/>
      <color rgb="FF000000"/>
      <name val="Calibri"/>
    </font>
    <font>
      <b/>
      <sz val="11.0"/>
      <color rgb="FF000000"/>
      <name val="Arial"/>
    </font>
    <font>
      <sz val="13.0"/>
      <color theme="1"/>
      <name val="Arial"/>
    </font>
    <font>
      <sz val="14.0"/>
      <color theme="1"/>
      <name val="Arial"/>
    </font>
    <font>
      <sz val="13.0"/>
      <color rgb="FF000000"/>
      <name val="Arial"/>
    </font>
    <font>
      <color rgb="FF000000"/>
      <name val="Calibri"/>
    </font>
    <font>
      <sz val="13.0"/>
      <color theme="1"/>
      <name val="Calibri"/>
      <scheme val="minor"/>
    </font>
    <font>
      <sz val="11.0"/>
      <color rgb="FFFFFFFF"/>
      <name val="Calibri"/>
    </font>
    <font>
      <b/>
      <sz val="11.0"/>
      <color theme="1"/>
      <name val="Calibri"/>
    </font>
    <font>
      <b/>
      <sz val="12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Lato"/>
    </font>
    <font>
      <b/>
      <color rgb="FF000000"/>
      <name val="Lato"/>
    </font>
    <font>
      <color rgb="FF000000"/>
      <name val="Arial"/>
    </font>
    <font>
      <b/>
      <color theme="1"/>
      <name val="Calibri"/>
      <scheme val="minor"/>
    </font>
    <font>
      <color rgb="FF000000"/>
      <name val="Lato"/>
    </font>
    <font>
      <sz val="11.0"/>
      <color theme="1"/>
      <name val="Arial"/>
    </font>
    <font>
      <b/>
      <sz val="12.0"/>
      <color rgb="FF000000"/>
      <name val="Calibri"/>
      <scheme val="minor"/>
    </font>
    <font>
      <b/>
      <sz val="12.0"/>
      <color rgb="FFFF0000"/>
      <name val="Calibri"/>
      <scheme val="minor"/>
    </font>
    <font>
      <color rgb="FFFF0000"/>
      <name val="Arial"/>
    </font>
    <font>
      <b/>
      <sz val="12.0"/>
      <color theme="9"/>
      <name val="Calibri"/>
      <scheme val="minor"/>
    </font>
    <font>
      <color theme="9"/>
      <name val="Arial"/>
    </font>
    <font>
      <color rgb="FF70AD47"/>
      <name val="Calibri"/>
      <scheme val="minor"/>
    </font>
    <font>
      <sz val="11.0"/>
      <color rgb="FF70AD47"/>
      <name val="Arial"/>
    </font>
    <font>
      <b/>
      <sz val="12.0"/>
      <color rgb="FF70AD47"/>
      <name val="Calibri"/>
      <scheme val="minor"/>
    </font>
    <font>
      <color rgb="FF70AD47"/>
      <name val="Arial"/>
    </font>
    <font>
      <sz val="12.0"/>
      <color theme="1"/>
      <name val="Calibri"/>
      <scheme val="minor"/>
    </font>
    <font>
      <b/>
      <sz val="14.0"/>
      <color rgb="FFFFFFFF"/>
      <name val="Arial"/>
    </font>
    <font>
      <b/>
      <sz val="13.0"/>
      <color rgb="FF000000"/>
      <name val="Arial"/>
    </font>
    <font>
      <b/>
      <sz val="14.0"/>
      <color theme="1"/>
      <name val="Arial"/>
    </font>
    <font>
      <b/>
      <sz val="13.0"/>
      <color theme="1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0F8FF"/>
        <bgColor rgb="FFF0F8FF"/>
      </patternFill>
    </fill>
    <fill>
      <patternFill patternType="solid">
        <fgColor rgb="FFF9FAFB"/>
        <bgColor rgb="FFF9FAFB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262626"/>
        <bgColor rgb="FF262626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548235"/>
        <bgColor rgb="FF548235"/>
      </patternFill>
    </fill>
    <fill>
      <patternFill patternType="solid">
        <fgColor rgb="FF3C1A56"/>
        <bgColor rgb="FF3C1A56"/>
      </patternFill>
    </fill>
    <fill>
      <patternFill patternType="solid">
        <fgColor rgb="FF993366"/>
        <bgColor rgb="FF993366"/>
      </patternFill>
    </fill>
    <fill>
      <patternFill patternType="solid">
        <fgColor rgb="FFBF8F00"/>
        <bgColor rgb="FFBF8F00"/>
      </patternFill>
    </fill>
    <fill>
      <patternFill patternType="solid">
        <fgColor rgb="FFE7E6E6"/>
        <bgColor rgb="FFE7E6E6"/>
      </patternFill>
    </fill>
    <fill>
      <patternFill patternType="solid">
        <fgColor rgb="FFC65911"/>
        <bgColor rgb="FFC65911"/>
      </patternFill>
    </fill>
    <fill>
      <patternFill patternType="solid">
        <fgColor rgb="FF805540"/>
        <bgColor rgb="FF805540"/>
      </patternFill>
    </fill>
    <fill>
      <patternFill patternType="solid">
        <fgColor rgb="FF695757"/>
        <bgColor rgb="FF695757"/>
      </patternFill>
    </fill>
  </fills>
  <borders count="5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  <border>
      <right style="thin">
        <color rgb="FF222426"/>
      </right>
      <bottom style="thin">
        <color rgb="FF222426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left style="medium">
        <color rgb="FFFFFFFF"/>
      </left>
      <right style="medium">
        <color rgb="FFFFFFFF"/>
      </right>
    </border>
    <border>
      <right style="thin">
        <color rgb="FFFFFFFF"/>
      </right>
    </border>
    <border>
      <left style="medium">
        <color rgb="FFFFFFFF"/>
      </left>
      <right style="medium">
        <color rgb="FFFFFFFF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shrinkToFit="0" textRotation="0" vertical="center" wrapText="1"/>
    </xf>
    <xf borderId="0" fillId="2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1" fillId="3" fontId="3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5" fontId="5" numFmtId="164" xfId="0" applyAlignment="1" applyBorder="1" applyFill="1" applyFont="1" applyNumberFormat="1">
      <alignment horizontal="center" readingOrder="0" vertical="bottom"/>
    </xf>
    <xf borderId="7" fillId="5" fontId="5" numFmtId="0" xfId="0" applyAlignment="1" applyBorder="1" applyFont="1">
      <alignment horizontal="center" readingOrder="0" vertical="bottom"/>
    </xf>
    <xf borderId="8" fillId="6" fontId="6" numFmtId="0" xfId="0" applyAlignment="1" applyBorder="1" applyFill="1" applyFont="1">
      <alignment horizontal="center" readingOrder="0" vertical="bottom"/>
    </xf>
    <xf borderId="7" fillId="6" fontId="6" numFmtId="0" xfId="0" applyAlignment="1" applyBorder="1" applyFont="1">
      <alignment readingOrder="0" vertical="bottom"/>
    </xf>
    <xf borderId="7" fillId="6" fontId="6" numFmtId="0" xfId="0" applyAlignment="1" applyBorder="1" applyFont="1">
      <alignment horizontal="center" vertical="bottom"/>
    </xf>
    <xf borderId="7" fillId="6" fontId="6" numFmtId="0" xfId="0" applyAlignment="1" applyBorder="1" applyFont="1">
      <alignment horizontal="center" readingOrder="0" vertical="bottom"/>
    </xf>
    <xf borderId="7" fillId="6" fontId="6" numFmtId="164" xfId="0" applyAlignment="1" applyBorder="1" applyFont="1" applyNumberFormat="1">
      <alignment horizontal="center"/>
    </xf>
    <xf borderId="9" fillId="7" fontId="7" numFmtId="164" xfId="0" applyAlignment="1" applyBorder="1" applyFill="1" applyFont="1" applyNumberFormat="1">
      <alignment horizontal="center" vertical="center"/>
    </xf>
    <xf borderId="9" fillId="6" fontId="6" numFmtId="9" xfId="0" applyAlignment="1" applyBorder="1" applyFont="1" applyNumberFormat="1">
      <alignment horizontal="center" readingOrder="0" vertical="center"/>
    </xf>
    <xf borderId="9" fillId="7" fontId="6" numFmtId="164" xfId="0" applyAlignment="1" applyBorder="1" applyFont="1" applyNumberFormat="1">
      <alignment horizontal="center" vertical="center"/>
    </xf>
    <xf borderId="10" fillId="7" fontId="6" numFmtId="164" xfId="0" applyAlignment="1" applyBorder="1" applyFont="1" applyNumberFormat="1">
      <alignment horizontal="center" vertical="center"/>
    </xf>
    <xf borderId="10" fillId="7" fontId="6" numFmtId="10" xfId="0" applyAlignment="1" applyBorder="1" applyFont="1" applyNumberFormat="1">
      <alignment horizontal="center" readingOrder="0" vertical="center"/>
    </xf>
    <xf borderId="11" fillId="3" fontId="8" numFmtId="0" xfId="0" applyAlignment="1" applyBorder="1" applyFont="1">
      <alignment horizontal="center" shrinkToFit="0" vertical="top" wrapText="1"/>
    </xf>
    <xf borderId="12" fillId="3" fontId="8" numFmtId="0" xfId="0" applyAlignment="1" applyBorder="1" applyFont="1">
      <alignment horizontal="center" shrinkToFit="0" wrapText="1"/>
    </xf>
    <xf borderId="12" fillId="8" fontId="9" numFmtId="0" xfId="0" applyAlignment="1" applyBorder="1" applyFill="1" applyFont="1">
      <alignment horizontal="center" shrinkToFit="0" vertical="top" wrapText="1"/>
    </xf>
    <xf borderId="12" fillId="3" fontId="10" numFmtId="0" xfId="0" applyAlignment="1" applyBorder="1" applyFont="1">
      <alignment horizontal="center" readingOrder="0" shrinkToFit="0" vertical="top" wrapText="1"/>
    </xf>
    <xf borderId="12" fillId="3" fontId="10" numFmtId="164" xfId="0" applyAlignment="1" applyBorder="1" applyFont="1" applyNumberFormat="1">
      <alignment horizontal="center" shrinkToFit="0" vertical="top" wrapText="1"/>
    </xf>
    <xf borderId="13" fillId="3" fontId="8" numFmtId="164" xfId="0" applyAlignment="1" applyBorder="1" applyFont="1" applyNumberFormat="1">
      <alignment horizontal="center" shrinkToFit="0" vertical="top" wrapText="1"/>
    </xf>
    <xf borderId="14" fillId="0" fontId="4" numFmtId="0" xfId="0" applyBorder="1" applyFont="1"/>
    <xf borderId="15" fillId="0" fontId="4" numFmtId="0" xfId="0" applyBorder="1" applyFont="1"/>
    <xf borderId="16" fillId="3" fontId="8" numFmtId="0" xfId="0" applyAlignment="1" applyBorder="1" applyFont="1">
      <alignment horizontal="center" shrinkToFit="0" vertical="top" wrapText="1"/>
    </xf>
    <xf borderId="17" fillId="3" fontId="8" numFmtId="0" xfId="0" applyAlignment="1" applyBorder="1" applyFont="1">
      <alignment horizontal="center" shrinkToFit="0" wrapText="1"/>
    </xf>
    <xf borderId="17" fillId="8" fontId="9" numFmtId="0" xfId="0" applyAlignment="1" applyBorder="1" applyFont="1">
      <alignment horizontal="center" shrinkToFit="0" vertical="top" wrapText="1"/>
    </xf>
    <xf borderId="17" fillId="3" fontId="10" numFmtId="0" xfId="0" applyAlignment="1" applyBorder="1" applyFont="1">
      <alignment horizontal="center" shrinkToFit="0" vertical="top" wrapText="1"/>
    </xf>
    <xf borderId="17" fillId="3" fontId="10" numFmtId="164" xfId="0" applyAlignment="1" applyBorder="1" applyFont="1" applyNumberFormat="1">
      <alignment horizontal="center" shrinkToFit="0" vertical="top" wrapText="1"/>
    </xf>
    <xf borderId="18" fillId="3" fontId="8" numFmtId="164" xfId="0" applyAlignment="1" applyBorder="1" applyFont="1" applyNumberFormat="1">
      <alignment horizontal="center" shrinkToFit="0" vertical="top" wrapText="1"/>
    </xf>
    <xf borderId="17" fillId="3" fontId="10" numFmtId="0" xfId="0" applyAlignment="1" applyBorder="1" applyFont="1">
      <alignment horizontal="center" shrinkToFit="0" vertical="top" wrapText="1"/>
    </xf>
    <xf borderId="17" fillId="3" fontId="11" numFmtId="0" xfId="0" applyAlignment="1" applyBorder="1" applyFont="1">
      <alignment horizontal="center" readingOrder="0" shrinkToFit="0" vertical="top" wrapText="1"/>
    </xf>
    <xf borderId="19" fillId="3" fontId="8" numFmtId="0" xfId="0" applyAlignment="1" applyBorder="1" applyFont="1">
      <alignment horizontal="center" shrinkToFit="0" vertical="top" wrapText="1"/>
    </xf>
    <xf borderId="20" fillId="3" fontId="8" numFmtId="0" xfId="0" applyAlignment="1" applyBorder="1" applyFont="1">
      <alignment horizontal="center" shrinkToFit="0" wrapText="1"/>
    </xf>
    <xf borderId="20" fillId="8" fontId="9" numFmtId="0" xfId="0" applyAlignment="1" applyBorder="1" applyFont="1">
      <alignment horizontal="center" shrinkToFit="0" vertical="top" wrapText="1"/>
    </xf>
    <xf borderId="20" fillId="3" fontId="11" numFmtId="0" xfId="0" applyAlignment="1" applyBorder="1" applyFont="1">
      <alignment horizontal="center" shrinkToFit="0" vertical="top" wrapText="1"/>
    </xf>
    <xf borderId="20" fillId="3" fontId="10" numFmtId="164" xfId="0" applyAlignment="1" applyBorder="1" applyFont="1" applyNumberFormat="1">
      <alignment horizontal="center" shrinkToFit="0" vertical="top" wrapText="1"/>
    </xf>
    <xf borderId="21" fillId="3" fontId="8" numFmtId="164" xfId="0" applyAlignment="1" applyBorder="1" applyFont="1" applyNumberFormat="1">
      <alignment horizontal="center" shrinkToFit="0" vertical="top" wrapText="1"/>
    </xf>
    <xf borderId="22" fillId="0" fontId="4" numFmtId="0" xfId="0" applyBorder="1" applyFont="1"/>
    <xf borderId="23" fillId="0" fontId="4" numFmtId="0" xfId="0" applyBorder="1" applyFont="1"/>
    <xf borderId="8" fillId="6" fontId="6" numFmtId="0" xfId="0" applyAlignment="1" applyBorder="1" applyFont="1">
      <alignment horizontal="center" vertical="bottom"/>
    </xf>
    <xf borderId="7" fillId="6" fontId="6" numFmtId="0" xfId="0" applyAlignment="1" applyBorder="1" applyFont="1">
      <alignment vertical="bottom"/>
    </xf>
    <xf borderId="16" fillId="3" fontId="8" numFmtId="0" xfId="0" applyAlignment="1" applyBorder="1" applyFont="1">
      <alignment horizontal="center" shrinkToFit="0" vertical="top" wrapText="1"/>
    </xf>
    <xf borderId="17" fillId="3" fontId="11" numFmtId="0" xfId="0" applyAlignment="1" applyBorder="1" applyFont="1">
      <alignment horizontal="center" shrinkToFit="0" vertical="top" wrapText="1"/>
    </xf>
    <xf borderId="7" fillId="6" fontId="6" numFmtId="164" xfId="0" applyAlignment="1" applyBorder="1" applyFont="1" applyNumberFormat="1">
      <alignment horizontal="center" readingOrder="0"/>
    </xf>
    <xf borderId="9" fillId="7" fontId="6" numFmtId="164" xfId="0" applyAlignment="1" applyBorder="1" applyFont="1" applyNumberFormat="1">
      <alignment horizontal="center"/>
    </xf>
    <xf borderId="15" fillId="7" fontId="6" numFmtId="164" xfId="0" applyAlignment="1" applyBorder="1" applyFont="1" applyNumberFormat="1">
      <alignment horizontal="center" vertical="center"/>
    </xf>
    <xf borderId="0" fillId="3" fontId="8" numFmtId="0" xfId="0" applyAlignment="1" applyFont="1">
      <alignment horizontal="center" shrinkToFit="0" vertical="top" wrapText="1"/>
    </xf>
    <xf borderId="0" fillId="3" fontId="8" numFmtId="0" xfId="0" applyAlignment="1" applyFont="1">
      <alignment horizontal="center" shrinkToFit="0" wrapText="1"/>
    </xf>
    <xf borderId="0" fillId="3" fontId="12" numFmtId="0" xfId="0" applyAlignment="1" applyFont="1">
      <alignment horizontal="center" shrinkToFit="0" vertical="top" wrapText="1"/>
    </xf>
    <xf borderId="0" fillId="3" fontId="13" numFmtId="0" xfId="0" applyAlignment="1" applyFont="1">
      <alignment horizontal="center" shrinkToFit="0" vertical="top" wrapText="1"/>
    </xf>
    <xf borderId="0" fillId="3" fontId="14" numFmtId="164" xfId="0" applyAlignment="1" applyFont="1" applyNumberFormat="1">
      <alignment horizontal="center" shrinkToFit="0" vertical="top" wrapText="1"/>
    </xf>
    <xf borderId="0" fillId="3" fontId="8" numFmtId="164" xfId="0" applyAlignment="1" applyFont="1" applyNumberFormat="1">
      <alignment horizontal="center" shrinkToFit="0" vertical="top" wrapText="1"/>
    </xf>
    <xf borderId="0" fillId="3" fontId="7" numFmtId="164" xfId="0" applyAlignment="1" applyFont="1" applyNumberFormat="1">
      <alignment horizontal="center" vertical="center"/>
    </xf>
    <xf borderId="0" fillId="3" fontId="6" numFmtId="9" xfId="0" applyAlignment="1" applyFont="1" applyNumberFormat="1">
      <alignment horizontal="center" readingOrder="0" vertical="center"/>
    </xf>
    <xf borderId="0" fillId="3" fontId="6" numFmtId="164" xfId="0" applyAlignment="1" applyFont="1" applyNumberFormat="1">
      <alignment horizontal="center" vertical="center"/>
    </xf>
    <xf borderId="24" fillId="2" fontId="15" numFmtId="0" xfId="0" applyAlignment="1" applyBorder="1" applyFont="1">
      <alignment readingOrder="0"/>
    </xf>
    <xf borderId="0" fillId="2" fontId="2" numFmtId="0" xfId="0" applyAlignment="1" applyFont="1">
      <alignment horizontal="center" readingOrder="0" shrinkToFit="0" vertical="center" wrapText="1"/>
    </xf>
    <xf borderId="0" fillId="2" fontId="15" numFmtId="0" xfId="0" applyFont="1"/>
    <xf borderId="25" fillId="2" fontId="15" numFmtId="0" xfId="0" applyAlignment="1" applyBorder="1" applyFont="1">
      <alignment horizontal="center" shrinkToFit="0" wrapText="0"/>
    </xf>
    <xf borderId="25" fillId="4" fontId="5" numFmtId="0" xfId="0" applyAlignment="1" applyBorder="1" applyFont="1">
      <alignment horizontal="center" vertical="bottom"/>
    </xf>
    <xf borderId="25" fillId="4" fontId="5" numFmtId="0" xfId="0" applyAlignment="1" applyBorder="1" applyFont="1">
      <alignment vertical="bottom"/>
    </xf>
    <xf borderId="1" fillId="4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/>
    </xf>
    <xf borderId="26" fillId="4" fontId="5" numFmtId="164" xfId="0" applyAlignment="1" applyBorder="1" applyFont="1" applyNumberFormat="1">
      <alignment horizontal="center"/>
    </xf>
    <xf borderId="26" fillId="4" fontId="5" numFmtId="164" xfId="0" applyAlignment="1" applyBorder="1" applyFont="1" applyNumberFormat="1">
      <alignment horizontal="center" readingOrder="0"/>
    </xf>
    <xf borderId="0" fillId="5" fontId="5" numFmtId="0" xfId="0" applyAlignment="1" applyFont="1">
      <alignment horizontal="center" readingOrder="0" vertical="bottom"/>
    </xf>
    <xf borderId="25" fillId="7" fontId="6" numFmtId="0" xfId="0" applyAlignment="1" applyBorder="1" applyFont="1">
      <alignment horizontal="center" vertical="bottom"/>
    </xf>
    <xf borderId="25" fillId="7" fontId="6" numFmtId="0" xfId="0" applyAlignment="1" applyBorder="1" applyFont="1">
      <alignment readingOrder="0" vertical="bottom"/>
    </xf>
    <xf borderId="25" fillId="7" fontId="6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center" readingOrder="0"/>
    </xf>
    <xf borderId="25" fillId="7" fontId="16" numFmtId="164" xfId="0" applyAlignment="1" applyBorder="1" applyFont="1" applyNumberFormat="1">
      <alignment horizontal="center" readingOrder="0" vertical="center"/>
    </xf>
    <xf borderId="1" fillId="7" fontId="16" numFmtId="164" xfId="0" applyAlignment="1" applyBorder="1" applyFont="1" applyNumberFormat="1">
      <alignment horizontal="center" readingOrder="0" vertical="center"/>
    </xf>
    <xf borderId="9" fillId="7" fontId="17" numFmtId="164" xfId="0" applyAlignment="1" applyBorder="1" applyFont="1" applyNumberFormat="1">
      <alignment horizontal="center" shrinkToFit="0" vertical="center" wrapText="0"/>
    </xf>
    <xf borderId="9" fillId="7" fontId="6" numFmtId="10" xfId="0" applyAlignment="1" applyBorder="1" applyFont="1" applyNumberFormat="1">
      <alignment horizontal="center" readingOrder="0" vertical="center"/>
    </xf>
    <xf borderId="12" fillId="3" fontId="8" numFmtId="0" xfId="0" applyAlignment="1" applyBorder="1" applyFont="1">
      <alignment horizontal="center" vertical="bottom"/>
    </xf>
    <xf borderId="12" fillId="3" fontId="8" numFmtId="0" xfId="0" applyAlignment="1" applyBorder="1" applyFont="1">
      <alignment vertical="bottom"/>
    </xf>
    <xf borderId="13" fillId="3" fontId="8" numFmtId="0" xfId="0" applyAlignment="1" applyBorder="1" applyFont="1">
      <alignment horizontal="center" readingOrder="0"/>
    </xf>
    <xf borderId="22" fillId="3" fontId="11" numFmtId="164" xfId="0" applyAlignment="1" applyBorder="1" applyFont="1" applyNumberFormat="1">
      <alignment horizontal="center" shrinkToFit="0" vertical="top" wrapText="1"/>
    </xf>
    <xf borderId="17" fillId="3" fontId="8" numFmtId="0" xfId="0" applyAlignment="1" applyBorder="1" applyFont="1">
      <alignment horizontal="center" vertical="bottom"/>
    </xf>
    <xf borderId="18" fillId="3" fontId="8" numFmtId="0" xfId="0" applyAlignment="1" applyBorder="1" applyFont="1">
      <alignment vertical="bottom"/>
    </xf>
    <xf borderId="18" fillId="3" fontId="8" numFmtId="0" xfId="0" applyAlignment="1" applyBorder="1" applyFont="1">
      <alignment horizontal="center" readingOrder="0"/>
    </xf>
    <xf borderId="7" fillId="3" fontId="11" numFmtId="164" xfId="0" applyAlignment="1" applyBorder="1" applyFont="1" applyNumberFormat="1">
      <alignment horizontal="center" shrinkToFit="0" vertical="top" wrapText="1"/>
    </xf>
    <xf borderId="20" fillId="3" fontId="8" numFmtId="0" xfId="0" applyAlignment="1" applyBorder="1" applyFont="1">
      <alignment horizontal="center" vertical="bottom"/>
    </xf>
    <xf borderId="21" fillId="3" fontId="8" numFmtId="0" xfId="0" applyAlignment="1" applyBorder="1" applyFont="1">
      <alignment vertical="bottom"/>
    </xf>
    <xf borderId="21" fillId="3" fontId="8" numFmtId="0" xfId="0" applyAlignment="1" applyBorder="1" applyFont="1">
      <alignment horizontal="center" readingOrder="0"/>
    </xf>
    <xf borderId="9" fillId="3" fontId="11" numFmtId="164" xfId="0" applyAlignment="1" applyBorder="1" applyFont="1" applyNumberFormat="1">
      <alignment horizontal="center" shrinkToFit="0" vertical="top" wrapText="1"/>
    </xf>
    <xf borderId="25" fillId="7" fontId="6" numFmtId="0" xfId="0" applyAlignment="1" applyBorder="1" applyFont="1">
      <alignment horizontal="center" readingOrder="0" vertical="bottom"/>
    </xf>
    <xf borderId="1" fillId="2" fontId="15" numFmtId="0" xfId="0" applyAlignment="1" applyBorder="1" applyFont="1">
      <alignment horizontal="center" shrinkToFit="0" wrapText="0"/>
    </xf>
    <xf borderId="2" fillId="7" fontId="6" numFmtId="0" xfId="0" applyAlignment="1" applyBorder="1" applyFont="1">
      <alignment readingOrder="0" vertical="bottom"/>
    </xf>
    <xf borderId="1" fillId="7" fontId="6" numFmtId="0" xfId="0" applyAlignment="1" applyBorder="1" applyFont="1">
      <alignment readingOrder="0" vertical="bottom"/>
    </xf>
    <xf borderId="20" fillId="3" fontId="8" numFmtId="0" xfId="0" applyAlignment="1" applyBorder="1" applyFont="1">
      <alignment horizontal="center" vertical="bottom"/>
    </xf>
    <xf borderId="27" fillId="3" fontId="8" numFmtId="0" xfId="0" applyAlignment="1" applyBorder="1" applyFont="1">
      <alignment horizontal="center" vertical="bottom"/>
    </xf>
    <xf borderId="28" fillId="3" fontId="8" numFmtId="0" xfId="0" applyAlignment="1" applyBorder="1" applyFont="1">
      <alignment horizontal="center" vertical="bottom"/>
    </xf>
    <xf borderId="29" fillId="7" fontId="6" numFmtId="0" xfId="0" applyAlignment="1" applyBorder="1" applyFont="1">
      <alignment horizontal="center" readingOrder="0" vertical="bottom"/>
    </xf>
    <xf borderId="27" fillId="3" fontId="8" numFmtId="0" xfId="0" applyAlignment="1" applyBorder="1" applyFont="1">
      <alignment horizontal="center" vertical="bottom"/>
    </xf>
    <xf borderId="12" fillId="3" fontId="8" numFmtId="0" xfId="0" applyAlignment="1" applyBorder="1" applyFont="1">
      <alignment horizontal="center" vertical="bottom"/>
    </xf>
    <xf borderId="0" fillId="2" fontId="15" numFmtId="0" xfId="0" applyAlignment="1" applyFont="1">
      <alignment horizontal="center" shrinkToFit="0" wrapText="0"/>
    </xf>
    <xf borderId="1" fillId="7" fontId="6" numFmtId="0" xfId="0" applyAlignment="1" applyBorder="1" applyFont="1">
      <alignment vertical="bottom"/>
    </xf>
    <xf borderId="1" fillId="7" fontId="6" numFmtId="0" xfId="0" applyAlignment="1" applyBorder="1" applyFont="1">
      <alignment horizontal="center" vertical="bottom"/>
    </xf>
    <xf borderId="25" fillId="7" fontId="6" numFmtId="0" xfId="0" applyAlignment="1" applyBorder="1" applyFont="1">
      <alignment horizontal="center"/>
    </xf>
    <xf borderId="1" fillId="7" fontId="6" numFmtId="164" xfId="0" applyAlignment="1" applyBorder="1" applyFont="1" applyNumberFormat="1">
      <alignment horizontal="center"/>
    </xf>
    <xf borderId="13" fillId="3" fontId="8" numFmtId="0" xfId="0" applyAlignment="1" applyBorder="1" applyFont="1">
      <alignment horizontal="center" vertical="bottom"/>
    </xf>
    <xf borderId="13" fillId="3" fontId="8" numFmtId="0" xfId="0" applyAlignment="1" applyBorder="1" applyFont="1">
      <alignment horizontal="center" readingOrder="0" vertical="bottom"/>
    </xf>
    <xf borderId="18" fillId="3" fontId="8" numFmtId="0" xfId="0" applyAlignment="1" applyBorder="1" applyFont="1">
      <alignment horizontal="center" vertical="bottom"/>
    </xf>
    <xf borderId="21" fillId="3" fontId="8" numFmtId="0" xfId="0" applyAlignment="1" applyBorder="1" applyFont="1">
      <alignment horizontal="center" readingOrder="0" vertical="bottom"/>
    </xf>
    <xf borderId="21" fillId="3" fontId="8" numFmtId="0" xfId="0" applyAlignment="1" applyBorder="1" applyFont="1">
      <alignment readingOrder="0" vertical="bottom"/>
    </xf>
    <xf borderId="1" fillId="7" fontId="6" numFmtId="164" xfId="0" applyAlignment="1" applyBorder="1" applyFont="1" applyNumberFormat="1">
      <alignment horizontal="center" readingOrder="0"/>
    </xf>
    <xf borderId="0" fillId="2" fontId="18" numFmtId="0" xfId="0" applyAlignment="1" applyFont="1">
      <alignment vertical="bottom"/>
    </xf>
    <xf borderId="25" fillId="7" fontId="6" numFmtId="164" xfId="0" applyAlignment="1" applyBorder="1" applyFont="1" applyNumberFormat="1">
      <alignment horizontal="center" readingOrder="0" vertical="bottom"/>
    </xf>
    <xf borderId="1" fillId="7" fontId="6" numFmtId="164" xfId="0" applyAlignment="1" applyBorder="1" applyFont="1" applyNumberFormat="1">
      <alignment horizontal="center" vertical="bottom"/>
    </xf>
    <xf borderId="18" fillId="3" fontId="8" numFmtId="0" xfId="0" applyAlignment="1" applyBorder="1" applyFont="1">
      <alignment vertical="bottom"/>
    </xf>
    <xf borderId="23" fillId="3" fontId="11" numFmtId="164" xfId="0" applyAlignment="1" applyBorder="1" applyFont="1" applyNumberFormat="1">
      <alignment horizontal="center" shrinkToFit="0" vertical="top" wrapText="1"/>
    </xf>
    <xf borderId="30" fillId="3" fontId="11" numFmtId="164" xfId="0" applyAlignment="1" applyBorder="1" applyFont="1" applyNumberFormat="1">
      <alignment horizontal="center" shrinkToFit="0" vertical="top" wrapText="1"/>
    </xf>
    <xf borderId="10" fillId="3" fontId="11" numFmtId="164" xfId="0" applyAlignment="1" applyBorder="1" applyFont="1" applyNumberFormat="1">
      <alignment horizontal="center" shrinkToFit="0" vertical="top" wrapText="1"/>
    </xf>
    <xf borderId="0" fillId="3" fontId="8" numFmtId="0" xfId="0" applyAlignment="1" applyFont="1">
      <alignment horizontal="center" vertical="bottom"/>
    </xf>
    <xf borderId="0" fillId="3" fontId="8" numFmtId="165" xfId="0" applyAlignment="1" applyFont="1" applyNumberFormat="1">
      <alignment readingOrder="0" vertical="bottom"/>
    </xf>
    <xf borderId="0" fillId="3" fontId="8" numFmtId="0" xfId="0" applyAlignment="1" applyFont="1">
      <alignment horizontal="center" readingOrder="0"/>
    </xf>
    <xf borderId="0" fillId="3" fontId="11" numFmtId="164" xfId="0" applyAlignment="1" applyFont="1" applyNumberFormat="1">
      <alignment horizontal="center" readingOrder="0" shrinkToFit="0" vertical="top" wrapText="1"/>
    </xf>
    <xf borderId="0" fillId="3" fontId="17" numFmtId="0" xfId="0" applyAlignment="1" applyFont="1">
      <alignment horizontal="center" readingOrder="0" shrinkToFit="0" vertical="center" wrapText="0"/>
    </xf>
    <xf borderId="0" fillId="3" fontId="8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top" wrapText="1"/>
    </xf>
    <xf borderId="0" fillId="3" fontId="17" numFmtId="0" xfId="0" applyAlignment="1" applyFont="1">
      <alignment horizontal="center" shrinkToFit="0" vertical="center" wrapText="0"/>
    </xf>
    <xf borderId="0" fillId="2" fontId="19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vertical="bottom"/>
    </xf>
    <xf borderId="0" fillId="2" fontId="2" numFmtId="0" xfId="0" applyAlignment="1" applyFont="1">
      <alignment horizontal="center" readingOrder="0" shrinkToFit="0" textRotation="0" vertical="center" wrapText="1"/>
    </xf>
    <xf borderId="31" fillId="5" fontId="5" numFmtId="0" xfId="0" applyAlignment="1" applyBorder="1" applyFont="1">
      <alignment horizontal="center" vertical="bottom"/>
    </xf>
    <xf borderId="26" fillId="5" fontId="5" numFmtId="0" xfId="0" applyAlignment="1" applyBorder="1" applyFont="1">
      <alignment vertical="bottom"/>
    </xf>
    <xf borderId="26" fillId="5" fontId="5" numFmtId="0" xfId="0" applyAlignment="1" applyBorder="1" applyFont="1">
      <alignment horizontal="center" vertical="bottom"/>
    </xf>
    <xf borderId="26" fillId="5" fontId="5" numFmtId="164" xfId="0" applyAlignment="1" applyBorder="1" applyFont="1" applyNumberFormat="1">
      <alignment horizontal="center" vertical="bottom"/>
    </xf>
    <xf borderId="32" fillId="5" fontId="5" numFmtId="164" xfId="0" applyAlignment="1" applyBorder="1" applyFont="1" applyNumberFormat="1">
      <alignment horizontal="center" vertical="bottom"/>
    </xf>
    <xf borderId="7" fillId="6" fontId="6" numFmtId="0" xfId="0" applyAlignment="1" applyBorder="1" applyFont="1">
      <alignment vertical="bottom"/>
    </xf>
    <xf borderId="30" fillId="6" fontId="6" numFmtId="164" xfId="0" applyAlignment="1" applyBorder="1" applyFont="1" applyNumberFormat="1">
      <alignment horizontal="center"/>
    </xf>
    <xf borderId="15" fillId="7" fontId="6" numFmtId="10" xfId="0" applyAlignment="1" applyBorder="1" applyFont="1" applyNumberFormat="1">
      <alignment horizontal="center" vertical="center"/>
    </xf>
    <xf borderId="20" fillId="3" fontId="11" numFmtId="0" xfId="0" applyAlignment="1" applyBorder="1" applyFont="1">
      <alignment horizontal="center" readingOrder="0" shrinkToFit="0" vertical="top" wrapText="1"/>
    </xf>
    <xf borderId="7" fillId="6" fontId="6" numFmtId="0" xfId="0" applyAlignment="1" applyBorder="1" applyFont="1">
      <alignment horizontal="center"/>
    </xf>
    <xf borderId="8" fillId="6" fontId="6" numFmtId="0" xfId="0" applyAlignment="1" applyBorder="1" applyFont="1">
      <alignment horizontal="center" vertical="bottom"/>
    </xf>
    <xf borderId="12" fillId="3" fontId="10" numFmtId="0" xfId="0" applyAlignment="1" applyBorder="1" applyFont="1">
      <alignment horizontal="center" shrinkToFit="0" vertical="top" wrapText="1"/>
    </xf>
    <xf borderId="0" fillId="8" fontId="9" numFmtId="0" xfId="0" applyAlignment="1" applyFont="1">
      <alignment horizontal="center" shrinkToFit="0" vertical="top" wrapText="1"/>
    </xf>
    <xf borderId="0" fillId="3" fontId="11" numFmtId="0" xfId="0" applyAlignment="1" applyFont="1">
      <alignment horizontal="center" readingOrder="0" shrinkToFit="0" vertical="top" wrapText="1"/>
    </xf>
    <xf borderId="0" fillId="3" fontId="10" numFmtId="164" xfId="0" applyAlignment="1" applyFont="1" applyNumberFormat="1">
      <alignment horizontal="center" shrinkToFit="0" vertical="top" wrapText="1"/>
    </xf>
    <xf borderId="0" fillId="2" fontId="20" numFmtId="0" xfId="0" applyAlignment="1" applyFont="1">
      <alignment horizontal="center" readingOrder="0" shrinkToFit="0" textRotation="0" vertical="center" wrapText="1"/>
    </xf>
    <xf borderId="0" fillId="2" fontId="2" numFmtId="10" xfId="0" applyAlignment="1" applyFont="1" applyNumberFormat="1">
      <alignment horizontal="center" shrinkToFit="0" textRotation="0" vertical="center" wrapText="1"/>
    </xf>
    <xf borderId="25" fillId="5" fontId="5" numFmtId="0" xfId="0" applyAlignment="1" applyBorder="1" applyFont="1">
      <alignment horizontal="center" vertical="center"/>
    </xf>
    <xf borderId="25" fillId="5" fontId="5" numFmtId="0" xfId="0" applyAlignment="1" applyBorder="1" applyFont="1">
      <alignment vertical="bottom"/>
    </xf>
    <xf borderId="25" fillId="5" fontId="5" numFmtId="0" xfId="0" applyAlignment="1" applyBorder="1" applyFont="1">
      <alignment horizontal="center" vertical="bottom"/>
    </xf>
    <xf borderId="25" fillId="5" fontId="5" numFmtId="0" xfId="0" applyAlignment="1" applyBorder="1" applyFont="1">
      <alignment horizontal="center" readingOrder="0" vertical="center"/>
    </xf>
    <xf borderId="25" fillId="5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readingOrder="0" vertical="center"/>
    </xf>
    <xf borderId="8" fillId="5" fontId="5" numFmtId="164" xfId="0" applyAlignment="1" applyBorder="1" applyFont="1" applyNumberFormat="1">
      <alignment horizontal="center" readingOrder="0" vertical="bottom"/>
    </xf>
    <xf borderId="7" fillId="5" fontId="5" numFmtId="10" xfId="0" applyAlignment="1" applyBorder="1" applyFont="1" applyNumberFormat="1">
      <alignment horizontal="center" readingOrder="0" vertical="bottom"/>
    </xf>
    <xf borderId="33" fillId="6" fontId="6" numFmtId="0" xfId="0" applyAlignment="1" applyBorder="1" applyFont="1">
      <alignment horizontal="center" vertical="center"/>
    </xf>
    <xf borderId="22" fillId="6" fontId="6" numFmtId="0" xfId="0" applyAlignment="1" applyBorder="1" applyFont="1">
      <alignment readingOrder="0" vertical="bottom"/>
    </xf>
    <xf borderId="22" fillId="6" fontId="6" numFmtId="0" xfId="0" applyAlignment="1" applyBorder="1" applyFont="1">
      <alignment horizontal="center" vertical="bottom"/>
    </xf>
    <xf borderId="22" fillId="6" fontId="6" numFmtId="0" xfId="0" applyAlignment="1" applyBorder="1" applyFont="1">
      <alignment horizontal="center" readingOrder="0" vertical="bottom"/>
    </xf>
    <xf borderId="22" fillId="6" fontId="6" numFmtId="0" xfId="0" applyAlignment="1" applyBorder="1" applyFont="1">
      <alignment horizontal="center" readingOrder="0" vertical="center"/>
    </xf>
    <xf borderId="22" fillId="6" fontId="6" numFmtId="164" xfId="0" applyAlignment="1" applyBorder="1" applyFont="1" applyNumberFormat="1">
      <alignment horizontal="center" vertical="bottom"/>
    </xf>
    <xf borderId="23" fillId="6" fontId="6" numFmtId="164" xfId="0" applyAlignment="1" applyBorder="1" applyFont="1" applyNumberFormat="1">
      <alignment horizontal="center" vertical="bottom"/>
    </xf>
    <xf borderId="15" fillId="6" fontId="6" numFmtId="164" xfId="0" applyAlignment="1" applyBorder="1" applyFont="1" applyNumberFormat="1">
      <alignment horizontal="center" readingOrder="0" vertical="center"/>
    </xf>
    <xf borderId="15" fillId="6" fontId="6" numFmtId="9" xfId="0" applyAlignment="1" applyBorder="1" applyFont="1" applyNumberFormat="1">
      <alignment horizontal="center" readingOrder="0" vertical="center"/>
    </xf>
    <xf borderId="20" fillId="7" fontId="6" numFmtId="164" xfId="0" applyAlignment="1" applyBorder="1" applyFont="1" applyNumberFormat="1">
      <alignment horizontal="center" vertical="center"/>
    </xf>
    <xf borderId="34" fillId="3" fontId="8" numFmtId="0" xfId="0" applyAlignment="1" applyBorder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bottom" wrapText="1"/>
    </xf>
    <xf borderId="12" fillId="3" fontId="10" numFmtId="0" xfId="0" applyAlignment="1" applyBorder="1" applyFont="1">
      <alignment horizontal="center" readingOrder="0" shrinkToFit="0" vertical="center" wrapText="1"/>
    </xf>
    <xf borderId="28" fillId="0" fontId="4" numFmtId="0" xfId="0" applyBorder="1" applyFont="1"/>
    <xf borderId="35" fillId="3" fontId="8" numFmtId="0" xfId="0" applyAlignment="1" applyBorder="1" applyFont="1">
      <alignment horizontal="center" shrinkToFit="0" vertical="center" wrapText="1"/>
    </xf>
    <xf borderId="17" fillId="3" fontId="8" numFmtId="0" xfId="0" applyAlignment="1" applyBorder="1" applyFont="1">
      <alignment horizontal="center" shrinkToFit="0" vertical="bottom" wrapText="1"/>
    </xf>
    <xf borderId="36" fillId="3" fontId="8" numFmtId="0" xfId="0" applyAlignment="1" applyBorder="1" applyFont="1">
      <alignment horizontal="center" shrinkToFit="0" vertical="center" wrapText="1"/>
    </xf>
    <xf borderId="20" fillId="3" fontId="8" numFmtId="0" xfId="0" applyAlignment="1" applyBorder="1" applyFont="1">
      <alignment horizontal="center" shrinkToFit="0" vertical="bottom" wrapText="1"/>
    </xf>
    <xf borderId="12" fillId="0" fontId="4" numFmtId="0" xfId="0" applyBorder="1" applyFont="1"/>
    <xf borderId="7" fillId="6" fontId="6" numFmtId="0" xfId="0" applyAlignment="1" applyBorder="1" applyFont="1">
      <alignment horizontal="center" vertical="center"/>
    </xf>
    <xf borderId="7" fillId="6" fontId="6" numFmtId="0" xfId="0" applyAlignment="1" applyBorder="1" applyFont="1">
      <alignment horizontal="center" readingOrder="0" vertical="center"/>
    </xf>
    <xf borderId="7" fillId="6" fontId="6" numFmtId="164" xfId="0" applyAlignment="1" applyBorder="1" applyFont="1" applyNumberFormat="1">
      <alignment horizontal="center" vertical="bottom"/>
    </xf>
    <xf borderId="30" fillId="6" fontId="6" numFmtId="164" xfId="0" applyAlignment="1" applyBorder="1" applyFont="1" applyNumberFormat="1">
      <alignment horizontal="center" vertical="bottom"/>
    </xf>
    <xf borderId="9" fillId="6" fontId="6" numFmtId="10" xfId="0" applyAlignment="1" applyBorder="1" applyFont="1" applyNumberFormat="1">
      <alignment horizontal="center" readingOrder="0" vertical="center"/>
    </xf>
    <xf borderId="17" fillId="3" fontId="8" numFmtId="0" xfId="0" applyAlignment="1" applyBorder="1" applyFont="1">
      <alignment horizontal="center" readingOrder="0" shrinkToFit="0" vertical="center" wrapText="1"/>
    </xf>
    <xf borderId="17" fillId="3" fontId="8" numFmtId="0" xfId="0" applyAlignment="1" applyBorder="1" applyFont="1">
      <alignment horizontal="center" readingOrder="0" shrinkToFit="0" vertical="bottom" wrapText="1"/>
    </xf>
    <xf borderId="17" fillId="8" fontId="9" numFmtId="0" xfId="0" applyAlignment="1" applyBorder="1" applyFont="1">
      <alignment horizontal="center" readingOrder="0" shrinkToFit="0" vertical="top" wrapText="1"/>
    </xf>
    <xf borderId="17" fillId="3" fontId="10" numFmtId="0" xfId="0" applyAlignment="1" applyBorder="1" applyFont="1">
      <alignment horizontal="center" readingOrder="0" shrinkToFit="0" vertical="center" wrapText="1"/>
    </xf>
    <xf borderId="17" fillId="9" fontId="21" numFmtId="164" xfId="0" applyBorder="1" applyFill="1" applyFont="1" applyNumberFormat="1"/>
    <xf borderId="37" fillId="6" fontId="6" numFmtId="164" xfId="0" applyAlignment="1" applyBorder="1" applyFont="1" applyNumberFormat="1">
      <alignment horizontal="center" readingOrder="0" vertical="center"/>
    </xf>
    <xf borderId="23" fillId="6" fontId="6" numFmtId="9" xfId="0" applyAlignment="1" applyBorder="1" applyFont="1" applyNumberFormat="1">
      <alignment horizontal="center" readingOrder="0" vertical="center"/>
    </xf>
    <xf borderId="7" fillId="6" fontId="6" numFmtId="9" xfId="0" applyAlignment="1" applyBorder="1" applyFont="1" applyNumberFormat="1">
      <alignment horizontal="center" readingOrder="0" vertical="center"/>
    </xf>
    <xf borderId="7" fillId="7" fontId="6" numFmtId="164" xfId="0" applyAlignment="1" applyBorder="1" applyFont="1" applyNumberFormat="1">
      <alignment horizontal="center" vertical="center"/>
    </xf>
    <xf borderId="30" fillId="7" fontId="6" numFmtId="164" xfId="0" applyAlignment="1" applyBorder="1" applyFont="1" applyNumberFormat="1">
      <alignment horizontal="center" vertical="center"/>
    </xf>
    <xf borderId="30" fillId="7" fontId="6" numFmtId="10" xfId="0" applyAlignment="1" applyBorder="1" applyFont="1" applyNumberFormat="1">
      <alignment horizontal="center" readingOrder="0" vertical="center"/>
    </xf>
    <xf borderId="17" fillId="7" fontId="6" numFmtId="164" xfId="0" applyAlignment="1" applyBorder="1" applyFont="1" applyNumberFormat="1">
      <alignment horizontal="center" vertical="center"/>
    </xf>
    <xf borderId="15" fillId="6" fontId="6" numFmtId="9" xfId="0" applyAlignment="1" applyBorder="1" applyFont="1" applyNumberFormat="1">
      <alignment horizontal="center" vertical="center"/>
    </xf>
    <xf borderId="12" fillId="3" fontId="10" numFmtId="0" xfId="0" applyAlignment="1" applyBorder="1" applyFont="1">
      <alignment horizontal="center" shrinkToFit="0" vertical="center" wrapText="1"/>
    </xf>
    <xf borderId="28" fillId="3" fontId="10" numFmtId="0" xfId="0" applyAlignment="1" applyBorder="1" applyFont="1">
      <alignment horizontal="center" shrinkToFit="0" vertical="center" wrapText="1"/>
    </xf>
    <xf borderId="0" fillId="7" fontId="6" numFmtId="164" xfId="0" applyAlignment="1" applyFont="1" applyNumberFormat="1">
      <alignment horizontal="center" vertical="center"/>
    </xf>
    <xf borderId="7" fillId="6" fontId="6" numFmtId="4" xfId="0" applyAlignment="1" applyBorder="1" applyFont="1" applyNumberFormat="1">
      <alignment horizontal="center" readingOrder="0" vertical="bottom"/>
    </xf>
    <xf borderId="0" fillId="3" fontId="6" numFmtId="10" xfId="0" applyAlignment="1" applyFont="1" applyNumberFormat="1">
      <alignment horizontal="center" readingOrder="0" vertical="center"/>
    </xf>
    <xf borderId="6" fillId="3" fontId="8" numFmtId="0" xfId="0" applyAlignment="1" applyBorder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bottom" wrapText="1"/>
    </xf>
    <xf borderId="0" fillId="8" fontId="9" numFmtId="0" xfId="0" applyAlignment="1" applyFont="1">
      <alignment horizontal="center" readingOrder="0" shrinkToFit="0" vertical="top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0" numFmtId="164" xfId="0" applyAlignment="1" applyFont="1" applyNumberFormat="1">
      <alignment horizontal="center" readingOrder="0" shrinkToFit="0" vertical="top" wrapText="1"/>
    </xf>
    <xf borderId="0" fillId="3" fontId="8" numFmtId="164" xfId="0" applyAlignment="1" applyFont="1" applyNumberFormat="1">
      <alignment horizontal="center" readingOrder="0" shrinkToFit="0" vertical="top" wrapText="1"/>
    </xf>
    <xf borderId="33" fillId="6" fontId="6" numFmtId="0" xfId="0" applyAlignment="1" applyBorder="1" applyFont="1">
      <alignment horizontal="center" readingOrder="0" vertical="center"/>
    </xf>
    <xf borderId="22" fillId="6" fontId="6" numFmtId="0" xfId="0" applyAlignment="1" applyBorder="1" applyFont="1">
      <alignment vertical="bottom"/>
    </xf>
    <xf borderId="0" fillId="2" fontId="2" numFmtId="0" xfId="0" applyAlignment="1" applyFont="1">
      <alignment horizontal="center" shrinkToFit="0" vertical="center" wrapText="1"/>
    </xf>
    <xf borderId="0" fillId="0" fontId="18" numFmtId="0" xfId="0" applyAlignment="1" applyFont="1">
      <alignment vertical="bottom"/>
    </xf>
    <xf borderId="32" fillId="2" fontId="22" numFmtId="0" xfId="0" applyAlignment="1" applyBorder="1" applyFont="1">
      <alignment vertical="bottom"/>
    </xf>
    <xf borderId="26" fillId="5" fontId="5" numFmtId="0" xfId="0" applyAlignment="1" applyBorder="1" applyFont="1">
      <alignment horizontal="center" vertical="bottom"/>
    </xf>
    <xf borderId="26" fillId="5" fontId="5" numFmtId="0" xfId="0" applyAlignment="1" applyBorder="1" applyFont="1">
      <alignment vertical="bottom"/>
    </xf>
    <xf borderId="9" fillId="5" fontId="5" numFmtId="164" xfId="0" applyAlignment="1" applyBorder="1" applyFont="1" applyNumberFormat="1">
      <alignment horizontal="center" readingOrder="0" vertical="bottom"/>
    </xf>
    <xf borderId="0" fillId="2" fontId="22" numFmtId="0" xfId="0" applyAlignment="1" applyFont="1">
      <alignment vertical="bottom"/>
    </xf>
    <xf borderId="8" fillId="6" fontId="6" numFmtId="0" xfId="0" applyAlignment="1" applyBorder="1" applyFont="1">
      <alignment horizontal="center" vertical="bottom"/>
    </xf>
    <xf borderId="7" fillId="6" fontId="6" numFmtId="164" xfId="0" applyAlignment="1" applyBorder="1" applyFont="1" applyNumberFormat="1">
      <alignment horizontal="center" readingOrder="0" vertical="bottom"/>
    </xf>
    <xf borderId="11" fillId="3" fontId="23" numFmtId="0" xfId="0" applyAlignment="1" applyBorder="1" applyFont="1">
      <alignment horizontal="center" readingOrder="0" shrinkToFit="0" vertical="top" wrapText="1"/>
    </xf>
    <xf borderId="12" fillId="3" fontId="23" numFmtId="0" xfId="0" applyAlignment="1" applyBorder="1" applyFont="1">
      <alignment horizontal="center" readingOrder="0" shrinkToFit="0" vertical="center" wrapText="1"/>
    </xf>
    <xf borderId="12" fillId="3" fontId="9" numFmtId="0" xfId="0" applyAlignment="1" applyBorder="1" applyFont="1">
      <alignment horizontal="center" readingOrder="0" shrinkToFit="0" vertical="top" wrapText="1"/>
    </xf>
    <xf borderId="12" fillId="3" fontId="23" numFmtId="0" xfId="0" applyAlignment="1" applyBorder="1" applyFont="1">
      <alignment horizontal="center" readingOrder="0" shrinkToFit="0" vertical="top" wrapText="1"/>
    </xf>
    <xf borderId="13" fillId="3" fontId="23" numFmtId="0" xfId="0" applyAlignment="1" applyBorder="1" applyFont="1">
      <alignment horizontal="center" readingOrder="0" shrinkToFit="0" vertical="center" wrapText="1"/>
    </xf>
    <xf borderId="16" fillId="3" fontId="9" numFmtId="0" xfId="0" applyAlignment="1" applyBorder="1" applyFont="1">
      <alignment horizontal="center" readingOrder="0" shrinkToFit="0" vertical="center" wrapText="1"/>
    </xf>
    <xf borderId="17" fillId="3" fontId="23" numFmtId="0" xfId="0" applyAlignment="1" applyBorder="1" applyFont="1">
      <alignment horizontal="center" shrinkToFit="0" vertical="center" wrapText="1"/>
    </xf>
    <xf borderId="17" fillId="3" fontId="9" numFmtId="0" xfId="0" applyAlignment="1" applyBorder="1" applyFont="1">
      <alignment horizontal="center" readingOrder="0" shrinkToFit="0" vertical="top" wrapText="1"/>
    </xf>
    <xf borderId="17" fillId="3" fontId="11" numFmtId="164" xfId="0" applyAlignment="1" applyBorder="1" applyFont="1" applyNumberFormat="1">
      <alignment horizontal="center" readingOrder="0" shrinkToFit="0" vertical="top" wrapText="1"/>
    </xf>
    <xf borderId="18" fillId="3" fontId="23" numFmtId="0" xfId="0" applyAlignment="1" applyBorder="1" applyFont="1">
      <alignment horizontal="center" shrinkToFit="0" vertical="center" wrapText="1"/>
    </xf>
    <xf borderId="0" fillId="3" fontId="18" numFmtId="0" xfId="0" applyAlignment="1" applyFont="1">
      <alignment vertical="bottom"/>
    </xf>
    <xf borderId="0" fillId="3" fontId="9" numFmtId="0" xfId="0" applyAlignment="1" applyFont="1">
      <alignment horizontal="center" readingOrder="0" shrinkToFit="0" vertical="center" wrapText="1"/>
    </xf>
    <xf borderId="0" fillId="3" fontId="23" numFmtId="0" xfId="0" applyAlignment="1" applyFont="1">
      <alignment horizontal="center" shrinkToFit="0" vertical="center" wrapText="1"/>
    </xf>
    <xf borderId="0" fillId="3" fontId="9" numFmtId="0" xfId="0" applyAlignment="1" applyFont="1">
      <alignment horizontal="center" readingOrder="0" shrinkToFit="0" vertical="top" wrapText="1"/>
    </xf>
    <xf borderId="14" fillId="6" fontId="6" numFmtId="9" xfId="0" applyAlignment="1" applyBorder="1" applyFont="1" applyNumberFormat="1">
      <alignment horizontal="center" readingOrder="0" vertical="center"/>
    </xf>
    <xf borderId="14" fillId="7" fontId="6" numFmtId="164" xfId="0" applyAlignment="1" applyBorder="1" applyFont="1" applyNumberFormat="1">
      <alignment horizontal="center" vertical="center"/>
    </xf>
    <xf borderId="22" fillId="6" fontId="6" numFmtId="9" xfId="0" applyAlignment="1" applyBorder="1" applyFont="1" applyNumberFormat="1">
      <alignment horizontal="center" readingOrder="0" vertical="center"/>
    </xf>
    <xf borderId="22" fillId="7" fontId="6" numFmtId="164" xfId="0" applyAlignment="1" applyBorder="1" applyFont="1" applyNumberFormat="1">
      <alignment horizontal="center" vertical="center"/>
    </xf>
    <xf borderId="23" fillId="7" fontId="6" numFmtId="164" xfId="0" applyAlignment="1" applyBorder="1" applyFont="1" applyNumberFormat="1">
      <alignment horizontal="center" vertical="center"/>
    </xf>
    <xf borderId="23" fillId="7" fontId="6" numFmtId="10" xfId="0" applyAlignment="1" applyBorder="1" applyFont="1" applyNumberFormat="1">
      <alignment horizontal="center" vertical="center"/>
    </xf>
    <xf borderId="17" fillId="3" fontId="24" numFmtId="0" xfId="0" applyAlignment="1" applyBorder="1" applyFont="1">
      <alignment readingOrder="0"/>
    </xf>
    <xf borderId="0" fillId="3" fontId="11" numFmtId="0" xfId="0" applyAlignment="1" applyFont="1">
      <alignment readingOrder="0"/>
    </xf>
    <xf borderId="17" fillId="3" fontId="25" numFmtId="0" xfId="0" applyAlignment="1" applyBorder="1" applyFont="1">
      <alignment horizontal="center" readingOrder="0" vertical="center"/>
    </xf>
    <xf borderId="17" fillId="3" fontId="24" numFmtId="0" xfId="0" applyAlignment="1" applyBorder="1" applyFont="1">
      <alignment horizontal="left" readingOrder="0"/>
    </xf>
    <xf borderId="0" fillId="3" fontId="25" numFmtId="0" xfId="0" applyAlignment="1" applyFont="1">
      <alignment horizontal="center" readingOrder="0" vertical="center"/>
    </xf>
    <xf borderId="17" fillId="3" fontId="22" numFmtId="0" xfId="0" applyAlignment="1" applyBorder="1" applyFont="1">
      <alignment horizontal="left"/>
    </xf>
    <xf borderId="17" fillId="3" fontId="24" numFmtId="0" xfId="0" applyBorder="1" applyFont="1"/>
    <xf borderId="0" fillId="3" fontId="24" numFmtId="0" xfId="0" applyAlignment="1" applyFont="1">
      <alignment readingOrder="0"/>
    </xf>
    <xf borderId="17" fillId="3" fontId="22" numFmtId="0" xfId="0" applyAlignment="1" applyBorder="1" applyFont="1">
      <alignment horizontal="left" readingOrder="0"/>
    </xf>
    <xf borderId="0" fillId="0" fontId="26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17" fillId="3" fontId="27" numFmtId="0" xfId="0" applyAlignment="1" applyBorder="1" applyFont="1">
      <alignment horizontal="left" readingOrder="0"/>
    </xf>
    <xf borderId="17" fillId="3" fontId="24" numFmtId="0" xfId="0" applyAlignment="1" applyBorder="1" applyFont="1">
      <alignment readingOrder="0" shrinkToFit="0" wrapText="1"/>
    </xf>
    <xf borderId="0" fillId="3" fontId="24" numFmtId="0" xfId="0" applyAlignment="1" applyFont="1">
      <alignment readingOrder="0" shrinkToFit="0" wrapText="1"/>
    </xf>
    <xf borderId="17" fillId="3" fontId="24" numFmtId="0" xfId="0" applyAlignment="1" applyBorder="1" applyFont="1">
      <alignment readingOrder="0" shrinkToFit="0" vertical="bottom" wrapText="1"/>
    </xf>
    <xf borderId="0" fillId="3" fontId="24" numFmtId="0" xfId="0" applyAlignment="1" applyFont="1">
      <alignment readingOrder="0" shrinkToFit="0" vertical="bottom" wrapText="1"/>
    </xf>
    <xf borderId="17" fillId="3" fontId="28" numFmtId="0" xfId="0" applyBorder="1" applyFont="1"/>
    <xf borderId="0" fillId="3" fontId="24" numFmtId="0" xfId="0" applyAlignment="1" applyFont="1">
      <alignment horizontal="left"/>
    </xf>
    <xf borderId="0" fillId="3" fontId="24" numFmtId="0" xfId="0" applyAlignment="1" applyFont="1">
      <alignment horizontal="left" readingOrder="0"/>
    </xf>
    <xf borderId="0" fillId="2" fontId="29" numFmtId="0" xfId="0" applyAlignment="1" applyFont="1">
      <alignment horizontal="left"/>
    </xf>
    <xf borderId="17" fillId="2" fontId="29" numFmtId="0" xfId="0" applyAlignment="1" applyBorder="1" applyFont="1">
      <alignment horizontal="left" readingOrder="0"/>
    </xf>
    <xf borderId="17" fillId="2" fontId="30" numFmtId="0" xfId="0" applyBorder="1" applyFont="1"/>
    <xf borderId="17" fillId="2" fontId="25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vertical="bottom"/>
    </xf>
    <xf borderId="17" fillId="2" fontId="32" numFmtId="0" xfId="0" applyAlignment="1" applyBorder="1" applyFont="1">
      <alignment readingOrder="0"/>
    </xf>
    <xf borderId="17" fillId="2" fontId="32" numFmtId="0" xfId="0" applyAlignment="1" applyBorder="1" applyFont="1">
      <alignment vertical="bottom"/>
    </xf>
    <xf borderId="17" fillId="2" fontId="30" numFmtId="0" xfId="0" applyBorder="1" applyFont="1"/>
    <xf borderId="0" fillId="10" fontId="33" numFmtId="0" xfId="0" applyAlignment="1" applyFill="1" applyFont="1">
      <alignment horizontal="center" vertical="bottom"/>
    </xf>
    <xf borderId="17" fillId="10" fontId="34" numFmtId="0" xfId="0" applyAlignment="1" applyBorder="1" applyFont="1">
      <alignment readingOrder="0" shrinkToFit="0" vertical="bottom" wrapText="0"/>
    </xf>
    <xf borderId="0" fillId="0" fontId="35" numFmtId="0" xfId="0" applyAlignment="1" applyFont="1">
      <alignment horizontal="center" readingOrder="0" shrinkToFit="0" vertical="bottom" wrapText="0"/>
    </xf>
    <xf borderId="0" fillId="10" fontId="31" numFmtId="0" xfId="0" applyAlignment="1" applyFont="1">
      <alignment horizontal="center" vertical="bottom"/>
    </xf>
    <xf borderId="0" fillId="0" fontId="35" numFmtId="0" xfId="0" applyAlignment="1" applyFont="1">
      <alignment shrinkToFit="0" vertical="bottom" wrapText="0"/>
    </xf>
    <xf borderId="0" fillId="0" fontId="36" numFmtId="0" xfId="0" applyAlignment="1" applyFont="1">
      <alignment readingOrder="0"/>
    </xf>
    <xf borderId="0" fillId="0" fontId="35" numFmtId="0" xfId="0" applyAlignment="1" applyFont="1">
      <alignment readingOrder="0" shrinkToFit="0" vertical="bottom" wrapText="0"/>
    </xf>
    <xf borderId="0" fillId="0" fontId="18" numFmtId="0" xfId="0" applyAlignment="1" applyFont="1">
      <alignment vertical="bottom"/>
    </xf>
    <xf borderId="17" fillId="3" fontId="18" numFmtId="0" xfId="0" applyBorder="1" applyFont="1"/>
    <xf borderId="0" fillId="3" fontId="37" numFmtId="0" xfId="0" applyAlignment="1" applyFont="1">
      <alignment readingOrder="0" shrinkToFit="0" vertical="bottom" wrapText="0"/>
    </xf>
    <xf borderId="17" fillId="3" fontId="37" numFmtId="0" xfId="0" applyAlignment="1" applyBorder="1" applyFont="1">
      <alignment readingOrder="0" shrinkToFit="0" vertical="bottom" wrapText="0"/>
    </xf>
    <xf borderId="17" fillId="3" fontId="37" numFmtId="4" xfId="0" applyAlignment="1" applyBorder="1" applyFont="1" applyNumberFormat="1">
      <alignment horizontal="right" readingOrder="0" shrinkToFit="0" vertical="bottom" wrapText="0"/>
    </xf>
    <xf borderId="17" fillId="0" fontId="35" numFmtId="0" xfId="0" applyAlignment="1" applyBorder="1" applyFont="1">
      <alignment horizontal="right" readingOrder="0" shrinkToFit="0" vertical="bottom" wrapText="0"/>
    </xf>
    <xf borderId="17" fillId="0" fontId="35" numFmtId="4" xfId="0" applyAlignment="1" applyBorder="1" applyFont="1" applyNumberFormat="1">
      <alignment horizontal="right" readingOrder="0" shrinkToFit="0" vertical="bottom" wrapText="0"/>
    </xf>
    <xf borderId="0" fillId="11" fontId="31" numFmtId="0" xfId="0" applyAlignment="1" applyFill="1" applyFont="1">
      <alignment horizontal="center" readingOrder="0" vertical="bottom"/>
    </xf>
    <xf borderId="0" fillId="11" fontId="35" numFmtId="0" xfId="0" applyAlignment="1" applyFont="1">
      <alignment shrinkToFit="0" vertical="bottom" wrapText="0"/>
    </xf>
    <xf borderId="0" fillId="0" fontId="15" numFmtId="0" xfId="0" applyFont="1"/>
    <xf borderId="0" fillId="0" fontId="38" numFmtId="0" xfId="0" applyAlignment="1" applyFont="1">
      <alignment vertical="bottom"/>
    </xf>
    <xf borderId="0" fillId="0" fontId="35" numFmtId="0" xfId="0" applyAlignment="1" applyFont="1">
      <alignment shrinkToFit="0" vertical="bottom" wrapText="0"/>
    </xf>
    <xf borderId="17" fillId="3" fontId="15" numFmtId="0" xfId="0" applyBorder="1" applyFont="1"/>
    <xf borderId="0" fillId="11" fontId="35" numFmtId="0" xfId="0" applyAlignment="1" applyFont="1">
      <alignment shrinkToFit="0" vertical="bottom" wrapText="0"/>
    </xf>
    <xf borderId="0" fillId="0" fontId="38" numFmtId="0" xfId="0" applyAlignment="1" applyFont="1">
      <alignment vertical="bottom"/>
    </xf>
    <xf borderId="17" fillId="0" fontId="35" numFmtId="0" xfId="0" applyAlignment="1" applyBorder="1" applyFont="1">
      <alignment shrinkToFit="0" vertical="bottom" wrapText="0"/>
    </xf>
    <xf borderId="17" fillId="3" fontId="37" numFmtId="0" xfId="0" applyAlignment="1" applyBorder="1" applyFont="1">
      <alignment horizontal="right" readingOrder="0" shrinkToFit="0" vertical="bottom" wrapText="0"/>
    </xf>
    <xf borderId="0" fillId="11" fontId="39" numFmtId="0" xfId="0" applyAlignment="1" applyFont="1">
      <alignment horizontal="center" readingOrder="0"/>
    </xf>
    <xf borderId="0" fillId="3" fontId="31" numFmtId="0" xfId="0" applyAlignment="1" applyFont="1">
      <alignment horizontal="center" readingOrder="0" vertical="bottom"/>
    </xf>
    <xf borderId="17" fillId="3" fontId="35" numFmtId="4" xfId="0" applyAlignment="1" applyBorder="1" applyFont="1" applyNumberFormat="1">
      <alignment horizontal="right" readingOrder="0" shrinkToFit="0" vertical="bottom" wrapText="0"/>
    </xf>
    <xf borderId="0" fillId="3" fontId="35" numFmtId="0" xfId="0" applyAlignment="1" applyFont="1">
      <alignment shrinkToFit="0" vertical="bottom" wrapText="0"/>
    </xf>
    <xf borderId="0" fillId="3" fontId="15" numFmtId="0" xfId="0" applyFont="1"/>
    <xf borderId="0" fillId="3" fontId="35" numFmtId="0" xfId="0" applyAlignment="1" applyFont="1">
      <alignment shrinkToFit="0" vertical="bottom" wrapText="0"/>
    </xf>
    <xf borderId="0" fillId="3" fontId="38" numFmtId="0" xfId="0" applyAlignment="1" applyFont="1">
      <alignment vertical="bottom"/>
    </xf>
    <xf borderId="0" fillId="0" fontId="31" numFmtId="0" xfId="0" applyFont="1"/>
    <xf borderId="17" fillId="0" fontId="35" numFmtId="0" xfId="0" applyAlignment="1" applyBorder="1" applyFont="1">
      <alignment shrinkToFit="0" vertical="bottom" wrapText="0"/>
    </xf>
    <xf borderId="17" fillId="3" fontId="35" numFmtId="0" xfId="0" applyAlignment="1" applyBorder="1" applyFont="1">
      <alignment shrinkToFit="0" vertical="bottom" wrapText="0"/>
    </xf>
    <xf borderId="17" fillId="3" fontId="35" numFmtId="0" xfId="0" applyAlignment="1" applyBorder="1" applyFont="1">
      <alignment horizontal="right" readingOrder="0" shrinkToFit="0" vertical="bottom" wrapText="0"/>
    </xf>
    <xf borderId="0" fillId="3" fontId="38" numFmtId="0" xfId="0" applyAlignment="1" applyFont="1">
      <alignment vertical="bottom"/>
    </xf>
    <xf borderId="38" fillId="3" fontId="37" numFmtId="0" xfId="0" applyAlignment="1" applyBorder="1" applyFont="1">
      <alignment readingOrder="0" shrinkToFit="0" vertical="bottom" wrapText="0"/>
    </xf>
    <xf borderId="39" fillId="3" fontId="37" numFmtId="0" xfId="0" applyAlignment="1" applyBorder="1" applyFont="1">
      <alignment horizontal="right" readingOrder="0" shrinkToFit="0" vertical="bottom" wrapText="0"/>
    </xf>
    <xf borderId="0" fillId="0" fontId="31" numFmtId="0" xfId="0" applyAlignment="1" applyFont="1">
      <alignment horizontal="center" readingOrder="0" vertical="bottom"/>
    </xf>
    <xf borderId="17" fillId="0" fontId="35" numFmtId="0" xfId="0" applyAlignment="1" applyBorder="1" applyFont="1">
      <alignment readingOrder="0" shrinkToFit="0" vertical="bottom" wrapText="0"/>
    </xf>
    <xf borderId="0" fillId="0" fontId="40" numFmtId="0" xfId="0" applyAlignment="1" applyFont="1">
      <alignment horizontal="center" readingOrder="0" vertical="bottom"/>
    </xf>
    <xf borderId="0" fillId="0" fontId="41" numFmtId="0" xfId="0" applyAlignment="1" applyFont="1">
      <alignment shrinkToFit="0" vertical="bottom" wrapText="0"/>
    </xf>
    <xf borderId="0" fillId="0" fontId="42" numFmtId="0" xfId="0" applyAlignment="1" applyFont="1">
      <alignment horizontal="center" readingOrder="0" vertical="bottom"/>
    </xf>
    <xf borderId="0" fillId="0" fontId="43" numFmtId="0" xfId="0" applyAlignment="1" applyFont="1">
      <alignment shrinkToFit="0" vertical="bottom" wrapText="0"/>
    </xf>
    <xf borderId="0" fillId="0" fontId="44" numFmtId="0" xfId="0" applyAlignment="1" applyFont="1">
      <alignment readingOrder="0"/>
    </xf>
    <xf borderId="0" fillId="0" fontId="45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12" fontId="15" numFmtId="0" xfId="0" applyAlignment="1" applyFill="1" applyFont="1">
      <alignment readingOrder="0"/>
    </xf>
    <xf borderId="20" fillId="0" fontId="35" numFmtId="0" xfId="0" applyAlignment="1" applyBorder="1" applyFont="1">
      <alignment readingOrder="0" shrinkToFit="0" vertical="bottom" wrapText="0"/>
    </xf>
    <xf borderId="20" fillId="3" fontId="37" numFmtId="0" xfId="0" applyAlignment="1" applyBorder="1" applyFont="1">
      <alignment horizontal="right" readingOrder="0" shrinkToFit="0" vertical="bottom" wrapText="0"/>
    </xf>
    <xf borderId="20" fillId="0" fontId="35" numFmtId="0" xfId="0" applyAlignment="1" applyBorder="1" applyFont="1">
      <alignment horizontal="right" readingOrder="0" shrinkToFit="0" vertical="bottom" wrapText="0"/>
    </xf>
    <xf borderId="20" fillId="0" fontId="35" numFmtId="4" xfId="0" applyAlignment="1" applyBorder="1" applyFont="1" applyNumberFormat="1">
      <alignment horizontal="right" readingOrder="0" shrinkToFit="0" vertical="bottom" wrapText="0"/>
    </xf>
    <xf borderId="17" fillId="0" fontId="35" numFmtId="0" xfId="0" applyAlignment="1" applyBorder="1" applyFont="1">
      <alignment shrinkToFit="0" vertical="bottom" wrapText="0"/>
    </xf>
    <xf borderId="0" fillId="0" fontId="35" numFmtId="0" xfId="0" applyAlignment="1" applyFont="1">
      <alignment shrinkToFit="0" vertical="bottom" wrapText="0"/>
    </xf>
    <xf borderId="0" fillId="0" fontId="38" numFmtId="0" xfId="0" applyFont="1"/>
    <xf borderId="0" fillId="0" fontId="31" numFmtId="0" xfId="0" applyAlignment="1" applyFont="1">
      <alignment horizontal="center" vertical="bottom"/>
    </xf>
    <xf borderId="0" fillId="0" fontId="46" numFmtId="0" xfId="0" applyAlignment="1" applyFont="1">
      <alignment horizontal="center" readingOrder="0" vertical="bottom"/>
    </xf>
    <xf borderId="0" fillId="0" fontId="47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31" numFmtId="0" xfId="0" applyAlignment="1" applyFont="1">
      <alignment horizontal="center" vertical="bottom"/>
    </xf>
    <xf borderId="0" fillId="3" fontId="22" numFmtId="0" xfId="0" applyAlignment="1" applyFont="1">
      <alignment horizontal="left"/>
    </xf>
    <xf borderId="17" fillId="3" fontId="25" numFmtId="0" xfId="0" applyAlignment="1" applyBorder="1" applyFont="1">
      <alignment horizontal="center" vertical="center"/>
    </xf>
    <xf borderId="0" fillId="3" fontId="31" numFmtId="0" xfId="0" applyAlignment="1" applyFont="1">
      <alignment horizontal="center" vertical="bottom"/>
    </xf>
    <xf borderId="17" fillId="3" fontId="18" numFmtId="0" xfId="0" applyAlignment="1" applyBorder="1" applyFont="1">
      <alignment vertical="bottom"/>
    </xf>
    <xf borderId="17" fillId="3" fontId="25" numFmtId="0" xfId="0" applyAlignment="1" applyBorder="1" applyFont="1">
      <alignment horizontal="center" vertical="center"/>
    </xf>
    <xf borderId="17" fillId="3" fontId="15" numFmtId="0" xfId="0" applyAlignment="1" applyBorder="1" applyFont="1">
      <alignment readingOrder="0"/>
    </xf>
    <xf borderId="0" fillId="13" fontId="15" numFmtId="0" xfId="0" applyFill="1" applyFont="1"/>
    <xf borderId="0" fillId="3" fontId="25" numFmtId="0" xfId="0" applyAlignment="1" applyFont="1">
      <alignment horizontal="center" vertical="center"/>
    </xf>
    <xf borderId="0" fillId="0" fontId="48" numFmtId="0" xfId="0" applyFont="1"/>
    <xf borderId="0" fillId="3" fontId="15" numFmtId="0" xfId="0" applyAlignment="1" applyFont="1">
      <alignment readingOrder="0"/>
    </xf>
    <xf borderId="0" fillId="2" fontId="13" numFmtId="0" xfId="0" applyAlignment="1" applyFont="1">
      <alignment horizontal="center" readingOrder="0" shrinkToFit="0" vertical="center" wrapText="1"/>
    </xf>
    <xf borderId="0" fillId="2" fontId="13" numFmtId="0" xfId="0" applyAlignment="1" applyFont="1">
      <alignment horizontal="center" shrinkToFit="0" vertical="center" wrapText="1"/>
    </xf>
    <xf borderId="0" fillId="2" fontId="49" numFmtId="0" xfId="0" applyAlignment="1" applyFont="1">
      <alignment horizontal="center" shrinkToFit="0" vertical="center" wrapText="1"/>
    </xf>
    <xf borderId="0" fillId="2" fontId="13" numFmtId="164" xfId="0" applyAlignment="1" applyFont="1" applyNumberForma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top" wrapText="1"/>
    </xf>
    <xf borderId="0" fillId="3" fontId="11" numFmtId="0" xfId="0" applyAlignment="1" applyFont="1">
      <alignment horizontal="center" shrinkToFit="0" vertical="top" wrapText="1"/>
    </xf>
    <xf borderId="40" fillId="14" fontId="13" numFmtId="0" xfId="0" applyAlignment="1" applyBorder="1" applyFill="1" applyFont="1">
      <alignment horizontal="center" readingOrder="0" shrinkToFit="0" vertical="center" wrapText="1"/>
    </xf>
    <xf borderId="41" fillId="14" fontId="13" numFmtId="0" xfId="0" applyAlignment="1" applyBorder="1" applyFont="1">
      <alignment horizontal="center" shrinkToFit="0" vertical="center" wrapText="1"/>
    </xf>
    <xf borderId="42" fillId="0" fontId="4" numFmtId="0" xfId="0" applyBorder="1" applyFont="1"/>
    <xf borderId="43" fillId="0" fontId="4" numFmtId="0" xfId="0" applyBorder="1" applyFont="1"/>
    <xf borderId="40" fillId="14" fontId="13" numFmtId="164" xfId="0" applyAlignment="1" applyBorder="1" applyFont="1" applyNumberFormat="1">
      <alignment horizontal="center" readingOrder="0" shrinkToFit="0" vertical="center" wrapText="1"/>
    </xf>
    <xf borderId="44" fillId="2" fontId="13" numFmtId="0" xfId="0" applyAlignment="1" applyBorder="1" applyFont="1">
      <alignment horizontal="center" readingOrder="0" shrinkToFit="0" vertical="center" wrapText="1"/>
    </xf>
    <xf borderId="41" fillId="14" fontId="13" numFmtId="0" xfId="0" applyAlignment="1" applyBorder="1" applyFont="1">
      <alignment horizontal="center" readingOrder="0" shrinkToFit="0" vertical="center" wrapText="1"/>
    </xf>
    <xf borderId="45" fillId="0" fontId="4" numFmtId="0" xfId="0" applyBorder="1" applyFont="1"/>
    <xf borderId="46" fillId="0" fontId="4" numFmtId="0" xfId="0" applyBorder="1" applyFont="1"/>
    <xf borderId="47" fillId="0" fontId="4" numFmtId="0" xfId="0" applyBorder="1" applyFont="1"/>
    <xf borderId="48" fillId="0" fontId="4" numFmtId="0" xfId="0" applyBorder="1" applyFont="1"/>
    <xf borderId="0" fillId="2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horizontal="center" shrinkToFit="0" vertical="top" wrapText="1"/>
    </xf>
    <xf borderId="49" fillId="2" fontId="13" numFmtId="0" xfId="0" applyAlignment="1" applyBorder="1" applyFont="1">
      <alignment horizontal="center" readingOrder="0" shrinkToFit="0" vertical="center" wrapText="1"/>
    </xf>
    <xf borderId="50" fillId="0" fontId="4" numFmtId="0" xfId="0" applyBorder="1" applyFont="1"/>
    <xf borderId="51" fillId="0" fontId="4" numFmtId="0" xfId="0" applyBorder="1" applyFont="1"/>
    <xf borderId="14" fillId="2" fontId="15" numFmtId="0" xfId="0" applyBorder="1" applyFont="1"/>
    <xf borderId="50" fillId="2" fontId="11" numFmtId="0" xfId="0" applyAlignment="1" applyBorder="1" applyFont="1">
      <alignment horizontal="center" readingOrder="0" shrinkToFit="0" vertical="center" wrapText="1"/>
    </xf>
    <xf borderId="52" fillId="15" fontId="13" numFmtId="0" xfId="0" applyAlignment="1" applyBorder="1" applyFill="1" applyFont="1">
      <alignment horizontal="center" readingOrder="0" shrinkToFit="0" vertical="center" wrapText="1"/>
    </xf>
    <xf borderId="0" fillId="16" fontId="13" numFmtId="0" xfId="0" applyAlignment="1" applyFill="1" applyFont="1">
      <alignment horizontal="center" readingOrder="0" shrinkToFit="0" vertical="center" wrapText="1"/>
    </xf>
    <xf borderId="0" fillId="15" fontId="13" numFmtId="164" xfId="0" applyAlignment="1" applyFont="1" applyNumberFormat="1">
      <alignment horizontal="center" readingOrder="0" shrinkToFit="0" vertical="center" wrapText="1"/>
    </xf>
    <xf borderId="0" fillId="15" fontId="13" numFmtId="0" xfId="0" applyAlignment="1" applyFont="1">
      <alignment horizontal="center" readingOrder="0" shrinkToFit="0" vertical="center" wrapText="1"/>
    </xf>
    <xf borderId="53" fillId="2" fontId="15" numFmtId="0" xfId="0" applyBorder="1" applyFont="1"/>
    <xf borderId="42" fillId="17" fontId="11" numFmtId="0" xfId="0" applyAlignment="1" applyBorder="1" applyFill="1" applyFont="1">
      <alignment horizontal="center" readingOrder="0" shrinkToFit="0" vertical="center" wrapText="1"/>
    </xf>
    <xf borderId="0" fillId="2" fontId="13" numFmtId="0" xfId="0" applyAlignment="1" applyFont="1">
      <alignment horizontal="center" shrinkToFit="0" vertical="top" wrapText="1"/>
    </xf>
    <xf borderId="52" fillId="18" fontId="13" numFmtId="0" xfId="0" applyAlignment="1" applyBorder="1" applyFill="1" applyFont="1">
      <alignment horizontal="center" shrinkToFit="0" vertical="top" wrapText="1"/>
    </xf>
    <xf borderId="0" fillId="18" fontId="13" numFmtId="0" xfId="0" applyAlignment="1" applyFont="1">
      <alignment horizontal="center" readingOrder="0" shrinkToFit="0" vertical="center" wrapText="1"/>
    </xf>
    <xf borderId="0" fillId="18" fontId="13" numFmtId="0" xfId="0" applyAlignment="1" applyFont="1">
      <alignment horizontal="center" shrinkToFit="0" vertical="top" wrapText="1"/>
    </xf>
    <xf borderId="0" fillId="18" fontId="49" numFmtId="0" xfId="0" applyAlignment="1" applyFont="1">
      <alignment horizontal="center" shrinkToFit="0" vertical="center" wrapText="1"/>
    </xf>
    <xf borderId="0" fillId="19" fontId="13" numFmtId="164" xfId="0" applyAlignment="1" applyFill="1" applyFont="1" applyNumberFormat="1">
      <alignment horizontal="center" readingOrder="0" shrinkToFit="0" vertical="center" wrapText="1"/>
    </xf>
    <xf borderId="53" fillId="2" fontId="11" numFmtId="0" xfId="0" applyAlignment="1" applyBorder="1" applyFont="1">
      <alignment horizontal="center" shrinkToFit="0" vertical="center" wrapText="1"/>
    </xf>
    <xf borderId="0" fillId="2" fontId="50" numFmtId="0" xfId="0" applyAlignment="1" applyFont="1">
      <alignment horizontal="center" readingOrder="0" shrinkToFit="0" vertical="top" wrapText="1"/>
    </xf>
    <xf borderId="52" fillId="20" fontId="50" numFmtId="0" xfId="0" applyAlignment="1" applyBorder="1" applyFill="1" applyFont="1">
      <alignment horizontal="center" readingOrder="0" shrinkToFit="0" vertical="top" wrapText="1"/>
    </xf>
    <xf borderId="0" fillId="17" fontId="50" numFmtId="0" xfId="0" applyAlignment="1" applyFont="1">
      <alignment horizontal="center" readingOrder="0" shrinkToFit="0" vertical="center" wrapText="1"/>
    </xf>
    <xf borderId="0" fillId="17" fontId="11" numFmtId="0" xfId="0" applyAlignment="1" applyFont="1">
      <alignment horizontal="center" shrinkToFit="0" vertical="top" wrapText="1"/>
    </xf>
    <xf borderId="0" fillId="21" fontId="51" numFmtId="0" xfId="0" applyAlignment="1" applyFill="1" applyFont="1">
      <alignment horizontal="center" readingOrder="0" shrinkToFit="0" vertical="center" wrapText="1"/>
    </xf>
    <xf borderId="0" fillId="17" fontId="11" numFmtId="164" xfId="0" applyAlignment="1" applyFont="1" applyNumberFormat="1">
      <alignment horizontal="center" readingOrder="0" shrinkToFit="0" vertical="top" wrapText="1"/>
    </xf>
    <xf borderId="0" fillId="8" fontId="11" numFmtId="164" xfId="0" applyAlignment="1" applyFont="1" applyNumberFormat="1">
      <alignment horizontal="center" readingOrder="0" shrinkToFit="0" vertical="top" wrapText="1"/>
    </xf>
    <xf borderId="0" fillId="3" fontId="11" numFmtId="164" xfId="0" applyAlignment="1" applyFont="1" applyNumberFormat="1">
      <alignment horizontal="center" readingOrder="0" shrinkToFit="0" vertical="center" wrapText="1"/>
    </xf>
    <xf borderId="53" fillId="2" fontId="11" numFmtId="0" xfId="0" applyAlignment="1" applyBorder="1" applyFont="1">
      <alignment horizontal="center" readingOrder="0" shrinkToFit="0" vertical="top" wrapText="1"/>
    </xf>
    <xf borderId="50" fillId="17" fontId="11" numFmtId="0" xfId="0" applyAlignment="1" applyBorder="1" applyFont="1">
      <alignment horizontal="center" readingOrder="0" shrinkToFit="0" vertical="center" wrapText="1"/>
    </xf>
    <xf borderId="0" fillId="17" fontId="11" numFmtId="0" xfId="0" applyAlignment="1" applyFont="1">
      <alignment horizontal="center" readingOrder="0" shrinkToFit="0" vertical="top" wrapText="1"/>
    </xf>
    <xf borderId="53" fillId="2" fontId="11" numFmtId="0" xfId="0" applyAlignment="1" applyBorder="1" applyFont="1">
      <alignment horizontal="center" readingOrder="0" shrinkToFit="0" vertical="center" wrapText="1"/>
    </xf>
    <xf borderId="52" fillId="8" fontId="11" numFmtId="0" xfId="0" applyAlignment="1" applyBorder="1" applyFont="1">
      <alignment horizontal="center" shrinkToFit="0" vertical="top" wrapText="1"/>
    </xf>
    <xf borderId="0" fillId="8" fontId="50" numFmtId="0" xfId="0" applyAlignment="1" applyFont="1">
      <alignment horizontal="center" shrinkToFit="0" vertical="center" wrapText="1"/>
    </xf>
    <xf borderId="0" fillId="8" fontId="11" numFmtId="0" xfId="0" applyAlignment="1" applyFont="1">
      <alignment horizontal="center" shrinkToFit="0" vertical="top" wrapText="1"/>
    </xf>
    <xf borderId="0" fillId="8" fontId="51" numFmtId="0" xfId="0" applyAlignment="1" applyFont="1">
      <alignment horizontal="center" shrinkToFit="0" vertical="center" wrapText="1"/>
    </xf>
    <xf borderId="0" fillId="8" fontId="11" numFmtId="0" xfId="0" applyAlignment="1" applyFont="1">
      <alignment horizontal="center" readingOrder="0" shrinkToFit="0" vertical="top" wrapText="1"/>
    </xf>
    <xf borderId="50" fillId="17" fontId="11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top" wrapText="1"/>
    </xf>
    <xf borderId="52" fillId="14" fontId="13" numFmtId="0" xfId="0" applyAlignment="1" applyBorder="1" applyFont="1">
      <alignment horizontal="center" readingOrder="0" shrinkToFit="0" vertical="top" wrapText="1"/>
    </xf>
    <xf borderId="0" fillId="22" fontId="13" numFmtId="0" xfId="0" applyAlignment="1" applyFill="1" applyFont="1">
      <alignment horizontal="center" readingOrder="0" shrinkToFit="0" vertical="center" wrapText="1"/>
    </xf>
    <xf borderId="0" fillId="22" fontId="11" numFmtId="164" xfId="0" applyAlignment="1" applyFont="1" applyNumberFormat="1">
      <alignment horizontal="center" readingOrder="0" shrinkToFit="0" vertical="top" wrapText="1"/>
    </xf>
    <xf borderId="0" fillId="18" fontId="13" numFmtId="0" xfId="0" applyAlignment="1" applyFont="1">
      <alignment horizontal="center" shrinkToFit="0" vertical="center" wrapText="1"/>
    </xf>
    <xf borderId="0" fillId="8" fontId="50" numFmtId="0" xfId="0" applyAlignment="1" applyFont="1">
      <alignment horizontal="center" readingOrder="0" shrinkToFit="0" vertical="center" wrapText="1"/>
    </xf>
    <xf borderId="0" fillId="8" fontId="11" numFmtId="164" xfId="0" applyAlignment="1" applyFont="1" applyNumberFormat="1">
      <alignment horizontal="center" readingOrder="0" shrinkToFit="0" vertical="center" wrapText="1"/>
    </xf>
    <xf borderId="0" fillId="8" fontId="11" numFmtId="164" xfId="0" applyAlignment="1" applyFont="1" applyNumberFormat="1">
      <alignment horizontal="center" shrinkToFit="0" vertical="top" wrapText="1"/>
    </xf>
    <xf borderId="0" fillId="8" fontId="11" numFmtId="0" xfId="0" applyAlignment="1" applyFont="1">
      <alignment horizontal="center" readingOrder="0" shrinkToFit="0" vertical="center" wrapText="1"/>
    </xf>
    <xf borderId="42" fillId="17" fontId="11" numFmtId="0" xfId="0" applyAlignment="1" applyBorder="1" applyFont="1">
      <alignment horizontal="center" shrinkToFit="0" vertical="center" wrapText="1"/>
    </xf>
    <xf borderId="49" fillId="23" fontId="13" numFmtId="0" xfId="0" applyAlignment="1" applyBorder="1" applyFill="1" applyFont="1">
      <alignment horizontal="center" shrinkToFit="0" vertical="top" wrapText="1"/>
    </xf>
    <xf borderId="50" fillId="23" fontId="13" numFmtId="0" xfId="0" applyAlignment="1" applyBorder="1" applyFont="1">
      <alignment horizontal="center" readingOrder="0" shrinkToFit="0" vertical="center" wrapText="1"/>
    </xf>
    <xf borderId="50" fillId="23" fontId="11" numFmtId="164" xfId="0" applyAlignment="1" applyBorder="1" applyFont="1" applyNumberFormat="1">
      <alignment horizontal="center" readingOrder="0" shrinkToFit="0" vertical="top" wrapText="1"/>
    </xf>
    <xf borderId="54" fillId="0" fontId="4" numFmtId="0" xfId="0" applyBorder="1" applyFont="1"/>
    <xf borderId="52" fillId="20" fontId="11" numFmtId="0" xfId="0" applyAlignment="1" applyBorder="1" applyFont="1">
      <alignment horizontal="center" readingOrder="0" shrinkToFit="0" vertical="top" wrapText="1"/>
    </xf>
    <xf borderId="0" fillId="8" fontId="11" numFmtId="0" xfId="0" applyAlignment="1" applyFont="1">
      <alignment horizontal="center" shrinkToFit="0" vertical="center" wrapText="1"/>
    </xf>
    <xf borderId="49" fillId="24" fontId="13" numFmtId="0" xfId="0" applyAlignment="1" applyBorder="1" applyFill="1" applyFont="1">
      <alignment horizontal="center" readingOrder="0" shrinkToFit="0" vertical="top" wrapText="1"/>
    </xf>
    <xf borderId="50" fillId="24" fontId="13" numFmtId="0" xfId="0" applyAlignment="1" applyBorder="1" applyFont="1">
      <alignment horizontal="center" readingOrder="0" shrinkToFit="0" vertical="center" wrapText="1"/>
    </xf>
    <xf borderId="50" fillId="24" fontId="52" numFmtId="164" xfId="0" applyAlignment="1" applyBorder="1" applyFont="1" applyNumberFormat="1">
      <alignment readingOrder="0"/>
    </xf>
    <xf borderId="0" fillId="3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top" wrapText="1"/>
    </xf>
    <xf borderId="49" fillId="25" fontId="13" numFmtId="0" xfId="0" applyAlignment="1" applyBorder="1" applyFill="1" applyFont="1">
      <alignment horizontal="center" shrinkToFit="0" vertical="top" wrapText="1"/>
    </xf>
    <xf borderId="50" fillId="25" fontId="13" numFmtId="0" xfId="0" applyAlignment="1" applyBorder="1" applyFont="1">
      <alignment horizontal="center" readingOrder="0" shrinkToFit="0" vertical="center" wrapText="1"/>
    </xf>
    <xf borderId="50" fillId="25" fontId="11" numFmtId="164" xfId="0" applyAlignment="1" applyBorder="1" applyFont="1" applyNumberFormat="1">
      <alignment horizontal="center" readingOrder="0" shrinkToFit="0" vertical="top" wrapText="1"/>
    </xf>
    <xf borderId="49" fillId="26" fontId="13" numFmtId="0" xfId="0" applyAlignment="1" applyBorder="1" applyFill="1" applyFont="1">
      <alignment horizontal="center" shrinkToFit="0" vertical="top" wrapText="1"/>
    </xf>
    <xf borderId="50" fillId="26" fontId="13" numFmtId="0" xfId="0" applyAlignment="1" applyBorder="1" applyFont="1">
      <alignment horizontal="center" readingOrder="0" shrinkToFit="0" vertical="center" wrapText="1"/>
    </xf>
    <xf borderId="50" fillId="26" fontId="11" numFmtId="164" xfId="0" applyAlignment="1" applyBorder="1" applyFont="1" applyNumberFormat="1">
      <alignment horizontal="center" readingOrder="0" shrinkToFit="0" vertical="top" wrapText="1"/>
    </xf>
    <xf borderId="52" fillId="27" fontId="11" numFmtId="0" xfId="0" applyAlignment="1" applyBorder="1" applyFill="1" applyFont="1">
      <alignment horizontal="center" shrinkToFit="0" vertical="top" wrapText="1"/>
    </xf>
    <xf borderId="49" fillId="28" fontId="13" numFmtId="0" xfId="0" applyAlignment="1" applyBorder="1" applyFill="1" applyFont="1">
      <alignment horizontal="center" shrinkToFit="0" vertical="top" wrapText="1"/>
    </xf>
    <xf borderId="50" fillId="28" fontId="13" numFmtId="0" xfId="0" applyAlignment="1" applyBorder="1" applyFont="1">
      <alignment horizontal="center" shrinkToFit="0" vertical="center" wrapText="1"/>
    </xf>
    <xf borderId="50" fillId="28" fontId="11" numFmtId="164" xfId="0" applyAlignment="1" applyBorder="1" applyFont="1" applyNumberFormat="1">
      <alignment horizontal="center" readingOrder="0" shrinkToFit="0" vertical="top" wrapText="1"/>
    </xf>
    <xf borderId="0" fillId="2" fontId="50" numFmtId="0" xfId="0" applyAlignment="1" applyFont="1">
      <alignment horizontal="center" readingOrder="0" shrinkToFit="0" vertical="top" wrapText="1"/>
    </xf>
    <xf borderId="52" fillId="20" fontId="50" numFmtId="0" xfId="0" applyAlignment="1" applyBorder="1" applyFont="1">
      <alignment horizontal="center" readingOrder="0" shrinkToFit="0" vertical="top" wrapText="1"/>
    </xf>
    <xf borderId="52" fillId="0" fontId="11" numFmtId="0" xfId="0" applyAlignment="1" applyBorder="1" applyFont="1">
      <alignment horizontal="center" shrinkToFit="0" vertical="top" wrapText="1"/>
    </xf>
    <xf borderId="50" fillId="23" fontId="13" numFmtId="0" xfId="0" applyAlignment="1" applyBorder="1" applyFont="1">
      <alignment horizontal="center" shrinkToFit="0" vertical="center" wrapText="1"/>
    </xf>
    <xf borderId="49" fillId="29" fontId="13" numFmtId="0" xfId="0" applyAlignment="1" applyBorder="1" applyFill="1" applyFont="1">
      <alignment horizontal="center" shrinkToFit="0" vertical="top" wrapText="1"/>
    </xf>
    <xf borderId="50" fillId="29" fontId="13" numFmtId="0" xfId="0" applyAlignment="1" applyBorder="1" applyFont="1">
      <alignment horizontal="center" readingOrder="0" shrinkToFit="0" vertical="center" wrapText="1"/>
    </xf>
    <xf borderId="50" fillId="29" fontId="11" numFmtId="164" xfId="0" applyAlignment="1" applyBorder="1" applyFont="1" applyNumberFormat="1">
      <alignment horizontal="center" readingOrder="0" shrinkToFit="0" vertical="top" wrapText="1"/>
    </xf>
    <xf borderId="52" fillId="8" fontId="13" numFmtId="0" xfId="0" applyAlignment="1" applyBorder="1" applyFont="1">
      <alignment horizontal="center" shrinkToFit="0" vertical="top" wrapText="1"/>
    </xf>
    <xf borderId="0" fillId="8" fontId="13" numFmtId="0" xfId="0" applyAlignment="1" applyFont="1">
      <alignment horizontal="center" shrinkToFit="0" vertical="center" wrapText="1"/>
    </xf>
    <xf borderId="0" fillId="8" fontId="49" numFmtId="0" xfId="0" applyAlignment="1" applyFont="1">
      <alignment horizontal="center" shrinkToFit="0" vertical="center" wrapText="1"/>
    </xf>
    <xf borderId="49" fillId="30" fontId="13" numFmtId="0" xfId="0" applyAlignment="1" applyBorder="1" applyFill="1" applyFont="1">
      <alignment horizontal="center" shrinkToFit="0" vertical="top" wrapText="1"/>
    </xf>
    <xf borderId="50" fillId="30" fontId="13" numFmtId="0" xfId="0" applyAlignment="1" applyBorder="1" applyFont="1">
      <alignment horizontal="center" readingOrder="0" shrinkToFit="0" vertical="center" wrapText="1"/>
    </xf>
    <xf borderId="50" fillId="30" fontId="11" numFmtId="164" xfId="0" applyAlignment="1" applyBorder="1" applyFont="1" applyNumberFormat="1">
      <alignment horizontal="center" readingOrder="0" shrinkToFit="0" vertical="top" wrapText="1"/>
    </xf>
    <xf borderId="54" fillId="3" fontId="11" numFmtId="164" xfId="0" applyAlignment="1" applyBorder="1" applyFont="1" applyNumberFormat="1">
      <alignment horizontal="center" readingOrder="0" shrinkToFit="0" vertical="center" wrapText="1"/>
    </xf>
    <xf borderId="0" fillId="2" fontId="50" numFmtId="0" xfId="0" applyAlignment="1" applyFont="1">
      <alignment horizontal="center" shrinkToFit="0" vertical="top" wrapText="1"/>
    </xf>
    <xf borderId="52" fillId="20" fontId="50" numFmtId="0" xfId="0" applyAlignment="1" applyBorder="1" applyFont="1">
      <alignment horizontal="center" shrinkToFit="0" vertical="top" wrapText="1"/>
    </xf>
    <xf borderId="0" fillId="18" fontId="49" numFmtId="0" xfId="0" applyAlignment="1" applyFont="1">
      <alignment horizontal="center" readingOrder="0" shrinkToFit="0" vertical="center" wrapText="1"/>
    </xf>
    <xf borderId="49" fillId="27" fontId="11" numFmtId="164" xfId="0" applyAlignment="1" applyBorder="1" applyFont="1" applyNumberFormat="1">
      <alignment horizontal="center" readingOrder="0" shrinkToFit="0" vertical="center" wrapText="1"/>
    </xf>
    <xf borderId="53" fillId="2" fontId="11" numFmtId="0" xfId="0" applyAlignment="1" applyBorder="1" applyFont="1">
      <alignment horizontal="right" readingOrder="0" shrinkToFit="0" vertical="center" wrapText="1"/>
    </xf>
    <xf borderId="46" fillId="8" fontId="11" numFmtId="0" xfId="0" applyAlignment="1" applyBorder="1" applyFont="1">
      <alignment horizontal="center" shrinkToFit="0" vertical="top" wrapText="1"/>
    </xf>
    <xf borderId="47" fillId="8" fontId="11" numFmtId="0" xfId="0" applyAlignment="1" applyBorder="1" applyFont="1">
      <alignment horizontal="center" shrinkToFit="0" vertical="top" wrapText="1"/>
    </xf>
    <xf borderId="47" fillId="8" fontId="11" numFmtId="0" xfId="0" applyAlignment="1" applyBorder="1" applyFont="1">
      <alignment horizontal="center" readingOrder="0" shrinkToFit="0" vertical="top" wrapText="1"/>
    </xf>
    <xf borderId="47" fillId="8" fontId="11" numFmtId="164" xfId="0" applyAlignment="1" applyBorder="1" applyFont="1" applyNumberFormat="1">
      <alignment horizontal="center" shrinkToFit="0" vertical="top" wrapText="1"/>
    </xf>
    <xf borderId="47" fillId="8" fontId="11" numFmtId="164" xfId="0" applyAlignment="1" applyBorder="1" applyFont="1" applyNumberFormat="1">
      <alignment horizontal="center" readingOrder="0" shrinkToFit="0" vertical="top" wrapText="1"/>
    </xf>
    <xf borderId="47" fillId="8" fontId="11" numFmtId="164" xfId="0" applyAlignment="1" applyBorder="1" applyFont="1" applyNumberFormat="1">
      <alignment horizontal="center" readingOrder="0" shrinkToFit="0" vertical="center" wrapText="1"/>
    </xf>
    <xf borderId="55" fillId="2" fontId="11" numFmtId="0" xfId="0" applyAlignment="1" applyBorder="1" applyFont="1">
      <alignment horizontal="center" shrinkToFit="0" vertical="center" wrapText="1"/>
    </xf>
    <xf borderId="41" fillId="19" fontId="11" numFmtId="0" xfId="0" applyAlignment="1" applyBorder="1" applyFont="1">
      <alignment horizontal="center" shrinkToFit="0" vertical="top" wrapText="1"/>
    </xf>
    <xf borderId="52" fillId="0" fontId="4" numFmtId="0" xfId="0" applyBorder="1" applyFont="1"/>
    <xf borderId="0" fillId="0" fontId="51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top" wrapText="1"/>
    </xf>
    <xf borderId="0" fillId="3" fontId="11" numFmtId="0" xfId="0" applyAlignment="1" applyFont="1">
      <alignment horizontal="center" shrinkToFit="0" vertical="center" wrapText="1"/>
    </xf>
    <xf borderId="0" fillId="0" fontId="50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1</xdr:row>
      <xdr:rowOff>638175</xdr:rowOff>
    </xdr:from>
    <xdr:ext cx="2581275" cy="666750"/>
    <xdr:sp>
      <xdr:nvSpPr>
        <xdr:cNvPr id="3" name="Shape 3"/>
        <xdr:cNvSpPr/>
      </xdr:nvSpPr>
      <xdr:spPr>
        <a:xfrm>
          <a:off x="1962000" y="1115175"/>
          <a:ext cx="1818900" cy="427500"/>
        </a:xfrm>
        <a:prstGeom prst="rect">
          <a:avLst/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highlight>
                <a:srgbClr val="434343"/>
              </a:highlight>
            </a:rPr>
            <a:t>Adicionar linhas</a:t>
          </a:r>
          <a:endParaRPr sz="1400">
            <a:solidFill>
              <a:srgbClr val="FFFFFF"/>
            </a:solidFill>
            <a:highlight>
              <a:srgbClr val="434343"/>
            </a:highlight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28575</xdr:rowOff>
    </xdr:from>
    <xdr:ext cx="2486025" cy="647700"/>
    <xdr:sp>
      <xdr:nvSpPr>
        <xdr:cNvPr id="4" name="Shape 4"/>
        <xdr:cNvSpPr/>
      </xdr:nvSpPr>
      <xdr:spPr>
        <a:xfrm>
          <a:off x="540700" y="588400"/>
          <a:ext cx="2057400" cy="507000"/>
        </a:xfrm>
        <a:prstGeom prst="rect">
          <a:avLst/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highlight>
                <a:srgbClr val="434343"/>
              </a:highlight>
            </a:rPr>
            <a:t>Adicionar linhas</a:t>
          </a:r>
          <a:endParaRPr sz="1400">
            <a:solidFill>
              <a:srgbClr val="FFFFFF"/>
            </a:solidFill>
            <a:highlight>
              <a:srgbClr val="434343"/>
            </a:highlight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</xdr:row>
      <xdr:rowOff>276225</xdr:rowOff>
    </xdr:from>
    <xdr:ext cx="1905000" cy="714375"/>
    <xdr:sp>
      <xdr:nvSpPr>
        <xdr:cNvPr id="5" name="Shape 5"/>
        <xdr:cNvSpPr/>
      </xdr:nvSpPr>
      <xdr:spPr>
        <a:xfrm>
          <a:off x="1763200" y="846825"/>
          <a:ext cx="2087100" cy="556500"/>
        </a:xfrm>
        <a:prstGeom prst="rect">
          <a:avLst/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highlight>
                <a:srgbClr val="434343"/>
              </a:highlight>
            </a:rPr>
            <a:t>Gerar Linhas</a:t>
          </a:r>
          <a:endParaRPr sz="1400">
            <a:solidFill>
              <a:srgbClr val="FFFFFF"/>
            </a:solidFill>
            <a:highlight>
              <a:srgbClr val="434343"/>
            </a:highlight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123825</xdr:rowOff>
    </xdr:from>
    <xdr:ext cx="2133600" cy="571500"/>
    <xdr:sp>
      <xdr:nvSpPr>
        <xdr:cNvPr id="6" name="Shape 6"/>
        <xdr:cNvSpPr/>
      </xdr:nvSpPr>
      <xdr:spPr>
        <a:xfrm>
          <a:off x="3423025" y="926325"/>
          <a:ext cx="2117100" cy="556500"/>
        </a:xfrm>
        <a:prstGeom prst="rect">
          <a:avLst/>
        </a:prstGeom>
        <a:solidFill>
          <a:srgbClr val="66666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highlight>
                <a:srgbClr val="666666"/>
              </a:highlight>
            </a:rPr>
            <a:t>Adicionar 12 linhas</a:t>
          </a:r>
          <a:endParaRPr b="1" sz="1400">
            <a:solidFill>
              <a:srgbClr val="FFFFFF"/>
            </a:solidFill>
            <a:highlight>
              <a:srgbClr val="666666"/>
            </a:highlight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14"/>
    <col customWidth="1" min="2" max="2" width="38.0"/>
    <col customWidth="1" min="3" max="3" width="65.57"/>
    <col customWidth="1" min="4" max="4" width="7.29"/>
    <col customWidth="1" min="5" max="5" width="8.43"/>
    <col customWidth="1" min="6" max="6" width="12.14"/>
    <col customWidth="1" min="7" max="7" width="19.71"/>
    <col customWidth="1" min="8" max="8" width="18.43"/>
    <col customWidth="1" min="9" max="9" width="27.14"/>
    <col customWidth="1" min="10" max="10" width="21.0"/>
    <col customWidth="1" min="11" max="11" width="37.57"/>
    <col customWidth="1" min="12" max="13" width="43.71"/>
    <col customWidth="1" min="14" max="14" width="5.14"/>
  </cols>
  <sheetData>
    <row r="1" ht="22.5" customHeight="1">
      <c r="A1" s="1" t="s">
        <v>0</v>
      </c>
      <c r="I1" s="2"/>
      <c r="J1" s="2"/>
      <c r="K1" s="2"/>
      <c r="L1" s="2"/>
      <c r="M1" s="2"/>
      <c r="N1" s="1" t="s">
        <v>0</v>
      </c>
    </row>
    <row r="2" ht="52.5" customHeight="1">
      <c r="I2" s="2"/>
      <c r="J2" s="2"/>
      <c r="K2" s="2"/>
      <c r="L2" s="2"/>
      <c r="M2" s="2"/>
      <c r="N2" s="1"/>
    </row>
    <row r="3" ht="52.5" customHeight="1">
      <c r="A3" s="3"/>
      <c r="B3" s="4"/>
      <c r="C3" s="5"/>
      <c r="D3" s="6"/>
      <c r="E3" s="6"/>
      <c r="F3" s="6"/>
      <c r="G3" s="6"/>
      <c r="H3" s="6"/>
      <c r="I3" s="6"/>
      <c r="J3" s="6"/>
      <c r="K3" s="6"/>
      <c r="L3" s="6"/>
      <c r="M3" s="7"/>
      <c r="N3" s="3"/>
    </row>
    <row r="4">
      <c r="A4" s="3"/>
      <c r="B4" s="8" t="s">
        <v>1</v>
      </c>
      <c r="C4" s="9" t="s">
        <v>2</v>
      </c>
      <c r="D4" s="10" t="s">
        <v>3</v>
      </c>
      <c r="E4" s="10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4" t="s">
        <v>7</v>
      </c>
      <c r="K4" s="14" t="s">
        <v>9</v>
      </c>
      <c r="L4" s="14" t="s">
        <v>10</v>
      </c>
      <c r="M4" s="14" t="s">
        <v>11</v>
      </c>
      <c r="N4" s="3"/>
    </row>
    <row r="5">
      <c r="A5" s="3"/>
      <c r="B5" s="15" t="s">
        <v>12</v>
      </c>
      <c r="C5" s="16" t="s">
        <v>13</v>
      </c>
      <c r="D5" s="17" t="s">
        <v>14</v>
      </c>
      <c r="E5" s="18">
        <v>1.0</v>
      </c>
      <c r="F5" s="19">
        <v>194.56</v>
      </c>
      <c r="G5" s="19">
        <f t="shared" ref="G5:G28" si="1">SUM(E5*F5)</f>
        <v>194.56</v>
      </c>
      <c r="H5" s="20">
        <f>SUM(G5:G16)</f>
        <v>356.2</v>
      </c>
      <c r="I5" s="21">
        <v>2.1</v>
      </c>
      <c r="J5" s="22">
        <f>SUM(H4:H15)</f>
        <v>356.2</v>
      </c>
      <c r="K5" s="22">
        <f>SUM(I5*J5)</f>
        <v>748.02</v>
      </c>
      <c r="L5" s="23">
        <f>SUM(J5+K5)</f>
        <v>1104.22</v>
      </c>
      <c r="M5" s="24">
        <v>0.6772</v>
      </c>
      <c r="N5" s="3"/>
    </row>
    <row r="6">
      <c r="A6" s="3"/>
      <c r="B6" s="25" t="s">
        <v>15</v>
      </c>
      <c r="C6" s="26" t="s">
        <v>16</v>
      </c>
      <c r="D6" s="27" t="s">
        <v>3</v>
      </c>
      <c r="E6" s="28">
        <v>0.0</v>
      </c>
      <c r="F6" s="29">
        <v>2.59</v>
      </c>
      <c r="G6" s="30">
        <f t="shared" si="1"/>
        <v>0</v>
      </c>
      <c r="H6" s="31"/>
      <c r="I6" s="31"/>
      <c r="J6" s="31"/>
      <c r="K6" s="31"/>
      <c r="L6" s="32"/>
      <c r="M6" s="32"/>
      <c r="N6" s="3"/>
    </row>
    <row r="7">
      <c r="A7" s="3"/>
      <c r="B7" s="33" t="s">
        <v>17</v>
      </c>
      <c r="C7" s="34" t="s">
        <v>18</v>
      </c>
      <c r="D7" s="35" t="s">
        <v>19</v>
      </c>
      <c r="E7" s="36">
        <v>4.0</v>
      </c>
      <c r="F7" s="37">
        <v>13.6</v>
      </c>
      <c r="G7" s="38">
        <f t="shared" si="1"/>
        <v>54.4</v>
      </c>
      <c r="H7" s="31"/>
      <c r="I7" s="31"/>
      <c r="J7" s="31"/>
      <c r="K7" s="31"/>
      <c r="L7" s="32"/>
      <c r="M7" s="32"/>
      <c r="N7" s="3"/>
    </row>
    <row r="8">
      <c r="A8" s="3"/>
      <c r="B8" s="33" t="s">
        <v>20</v>
      </c>
      <c r="C8" s="34" t="s">
        <v>21</v>
      </c>
      <c r="D8" s="35" t="s">
        <v>3</v>
      </c>
      <c r="E8" s="36">
        <v>10.0</v>
      </c>
      <c r="F8" s="37">
        <v>0.19</v>
      </c>
      <c r="G8" s="38">
        <f t="shared" si="1"/>
        <v>1.9</v>
      </c>
      <c r="H8" s="31"/>
      <c r="I8" s="31"/>
      <c r="J8" s="31"/>
      <c r="K8" s="31"/>
      <c r="L8" s="32"/>
      <c r="M8" s="32"/>
      <c r="N8" s="3"/>
    </row>
    <row r="9">
      <c r="A9" s="3"/>
      <c r="B9" s="33" t="s">
        <v>22</v>
      </c>
      <c r="C9" s="34" t="s">
        <v>23</v>
      </c>
      <c r="D9" s="35" t="s">
        <v>3</v>
      </c>
      <c r="E9" s="36">
        <v>10.0</v>
      </c>
      <c r="F9" s="37">
        <v>0.3</v>
      </c>
      <c r="G9" s="38">
        <f t="shared" si="1"/>
        <v>3</v>
      </c>
      <c r="H9" s="31"/>
      <c r="I9" s="31"/>
      <c r="J9" s="31"/>
      <c r="K9" s="31"/>
      <c r="L9" s="32"/>
      <c r="M9" s="32"/>
      <c r="N9" s="3"/>
    </row>
    <row r="10">
      <c r="A10" s="3"/>
      <c r="B10" s="33" t="s">
        <v>24</v>
      </c>
      <c r="C10" s="34" t="s">
        <v>25</v>
      </c>
      <c r="D10" s="35" t="s">
        <v>3</v>
      </c>
      <c r="E10" s="36">
        <v>1.0</v>
      </c>
      <c r="F10" s="37">
        <v>0.15</v>
      </c>
      <c r="G10" s="38">
        <f t="shared" si="1"/>
        <v>0.15</v>
      </c>
      <c r="H10" s="31"/>
      <c r="I10" s="31"/>
      <c r="J10" s="31"/>
      <c r="K10" s="31"/>
      <c r="L10" s="32"/>
      <c r="M10" s="32"/>
      <c r="N10" s="3"/>
    </row>
    <row r="11">
      <c r="A11" s="3"/>
      <c r="B11" s="33" t="s">
        <v>26</v>
      </c>
      <c r="C11" s="34" t="s">
        <v>27</v>
      </c>
      <c r="D11" s="35" t="s">
        <v>3</v>
      </c>
      <c r="E11" s="36">
        <v>50.0</v>
      </c>
      <c r="F11" s="37">
        <v>1.3</v>
      </c>
      <c r="G11" s="38">
        <f t="shared" si="1"/>
        <v>65</v>
      </c>
      <c r="H11" s="31"/>
      <c r="I11" s="31"/>
      <c r="J11" s="31"/>
      <c r="K11" s="31"/>
      <c r="L11" s="32"/>
      <c r="M11" s="32"/>
      <c r="N11" s="3"/>
    </row>
    <row r="12">
      <c r="A12" s="3"/>
      <c r="B12" s="33" t="s">
        <v>28</v>
      </c>
      <c r="C12" s="34" t="s">
        <v>29</v>
      </c>
      <c r="D12" s="35" t="s">
        <v>3</v>
      </c>
      <c r="E12" s="36">
        <v>50.0</v>
      </c>
      <c r="F12" s="37">
        <v>0.14</v>
      </c>
      <c r="G12" s="38">
        <f t="shared" si="1"/>
        <v>7</v>
      </c>
      <c r="H12" s="31"/>
      <c r="I12" s="31"/>
      <c r="J12" s="31"/>
      <c r="K12" s="31"/>
      <c r="L12" s="32"/>
      <c r="M12" s="32"/>
      <c r="N12" s="3"/>
    </row>
    <row r="13">
      <c r="A13" s="3"/>
      <c r="B13" s="33" t="s">
        <v>30</v>
      </c>
      <c r="C13" s="34" t="s">
        <v>31</v>
      </c>
      <c r="D13" s="35" t="s">
        <v>3</v>
      </c>
      <c r="E13" s="36">
        <v>1.0</v>
      </c>
      <c r="F13" s="37">
        <v>23.9</v>
      </c>
      <c r="G13" s="38">
        <f t="shared" si="1"/>
        <v>23.9</v>
      </c>
      <c r="H13" s="31"/>
      <c r="I13" s="31"/>
      <c r="J13" s="31"/>
      <c r="K13" s="31"/>
      <c r="L13" s="32"/>
      <c r="M13" s="32"/>
      <c r="N13" s="3"/>
    </row>
    <row r="14">
      <c r="A14" s="3"/>
      <c r="B14" s="33" t="s">
        <v>32</v>
      </c>
      <c r="C14" s="34" t="s">
        <v>33</v>
      </c>
      <c r="D14" s="35" t="s">
        <v>3</v>
      </c>
      <c r="E14" s="39">
        <v>2.0</v>
      </c>
      <c r="F14" s="37">
        <v>2.5</v>
      </c>
      <c r="G14" s="38">
        <f t="shared" si="1"/>
        <v>5</v>
      </c>
      <c r="H14" s="31"/>
      <c r="I14" s="31"/>
      <c r="J14" s="31"/>
      <c r="K14" s="31"/>
      <c r="L14" s="32"/>
      <c r="M14" s="32"/>
      <c r="N14" s="3"/>
    </row>
    <row r="15">
      <c r="A15" s="3"/>
      <c r="B15" s="33" t="s">
        <v>34</v>
      </c>
      <c r="C15" s="34" t="s">
        <v>35</v>
      </c>
      <c r="D15" s="35" t="s">
        <v>3</v>
      </c>
      <c r="E15" s="40">
        <v>0.0</v>
      </c>
      <c r="F15" s="37">
        <v>2.0</v>
      </c>
      <c r="G15" s="38">
        <f t="shared" si="1"/>
        <v>0</v>
      </c>
      <c r="H15" s="31"/>
      <c r="I15" s="31"/>
      <c r="J15" s="31"/>
      <c r="K15" s="31"/>
      <c r="L15" s="32"/>
      <c r="M15" s="32"/>
      <c r="N15" s="3"/>
    </row>
    <row r="16">
      <c r="A16" s="3"/>
      <c r="B16" s="41" t="s">
        <v>36</v>
      </c>
      <c r="C16" s="42" t="s">
        <v>37</v>
      </c>
      <c r="D16" s="43" t="s">
        <v>3</v>
      </c>
      <c r="E16" s="44">
        <v>0.1</v>
      </c>
      <c r="F16" s="45">
        <v>12.9</v>
      </c>
      <c r="G16" s="46">
        <f t="shared" si="1"/>
        <v>1.29</v>
      </c>
      <c r="H16" s="47"/>
      <c r="I16" s="47"/>
      <c r="J16" s="47"/>
      <c r="K16" s="47"/>
      <c r="L16" s="48"/>
      <c r="M16" s="48"/>
      <c r="N16" s="3"/>
    </row>
    <row r="17">
      <c r="A17" s="3"/>
      <c r="B17" s="49" t="s">
        <v>38</v>
      </c>
      <c r="C17" s="50" t="s">
        <v>39</v>
      </c>
      <c r="D17" s="17" t="s">
        <v>14</v>
      </c>
      <c r="E17" s="17">
        <v>1.0</v>
      </c>
      <c r="F17" s="19">
        <v>194.56</v>
      </c>
      <c r="G17" s="19">
        <f t="shared" si="1"/>
        <v>194.56</v>
      </c>
      <c r="H17" s="20">
        <f>SUM(G17:G28)</f>
        <v>356.2</v>
      </c>
      <c r="I17" s="21">
        <v>2.09824</v>
      </c>
      <c r="J17" s="22">
        <f>SUM(G16:G27)</f>
        <v>356.2</v>
      </c>
      <c r="K17" s="22">
        <f>SUM(I17*J17)</f>
        <v>747.393088</v>
      </c>
      <c r="L17" s="23">
        <f>SUM(J17+K17)</f>
        <v>1103.593088</v>
      </c>
      <c r="M17" s="23"/>
      <c r="N17" s="3"/>
    </row>
    <row r="18">
      <c r="A18" s="3"/>
      <c r="B18" s="25" t="s">
        <v>15</v>
      </c>
      <c r="C18" s="26" t="s">
        <v>16</v>
      </c>
      <c r="D18" s="27" t="s">
        <v>3</v>
      </c>
      <c r="E18" s="28">
        <v>0.0</v>
      </c>
      <c r="F18" s="29">
        <v>2.59</v>
      </c>
      <c r="G18" s="30">
        <f t="shared" si="1"/>
        <v>0</v>
      </c>
      <c r="H18" s="31"/>
      <c r="I18" s="31"/>
      <c r="J18" s="31"/>
      <c r="K18" s="31"/>
      <c r="L18" s="32"/>
      <c r="M18" s="32"/>
      <c r="N18" s="3"/>
    </row>
    <row r="19">
      <c r="A19" s="3"/>
      <c r="B19" s="33" t="s">
        <v>17</v>
      </c>
      <c r="C19" s="34" t="s">
        <v>18</v>
      </c>
      <c r="D19" s="35" t="s">
        <v>19</v>
      </c>
      <c r="E19" s="36">
        <v>4.0</v>
      </c>
      <c r="F19" s="37">
        <v>13.6</v>
      </c>
      <c r="G19" s="38">
        <f t="shared" si="1"/>
        <v>54.4</v>
      </c>
      <c r="H19" s="31"/>
      <c r="I19" s="31"/>
      <c r="J19" s="31"/>
      <c r="K19" s="31"/>
      <c r="L19" s="32"/>
      <c r="M19" s="32"/>
      <c r="N19" s="3"/>
    </row>
    <row r="20">
      <c r="A20" s="3"/>
      <c r="B20" s="33" t="s">
        <v>20</v>
      </c>
      <c r="C20" s="34" t="s">
        <v>21</v>
      </c>
      <c r="D20" s="35" t="s">
        <v>3</v>
      </c>
      <c r="E20" s="36">
        <v>10.0</v>
      </c>
      <c r="F20" s="37">
        <v>0.19</v>
      </c>
      <c r="G20" s="38">
        <f t="shared" si="1"/>
        <v>1.9</v>
      </c>
      <c r="H20" s="31"/>
      <c r="I20" s="31"/>
      <c r="J20" s="31"/>
      <c r="K20" s="31"/>
      <c r="L20" s="32"/>
      <c r="M20" s="32"/>
      <c r="N20" s="3"/>
    </row>
    <row r="21">
      <c r="A21" s="3"/>
      <c r="B21" s="33" t="s">
        <v>22</v>
      </c>
      <c r="C21" s="34" t="s">
        <v>23</v>
      </c>
      <c r="D21" s="35" t="s">
        <v>3</v>
      </c>
      <c r="E21" s="36">
        <v>10.0</v>
      </c>
      <c r="F21" s="37">
        <v>0.3</v>
      </c>
      <c r="G21" s="38">
        <f t="shared" si="1"/>
        <v>3</v>
      </c>
      <c r="H21" s="31"/>
      <c r="I21" s="31"/>
      <c r="J21" s="31"/>
      <c r="K21" s="31"/>
      <c r="L21" s="32"/>
      <c r="M21" s="32"/>
      <c r="N21" s="3"/>
    </row>
    <row r="22">
      <c r="A22" s="3"/>
      <c r="B22" s="33" t="s">
        <v>24</v>
      </c>
      <c r="C22" s="34" t="s">
        <v>25</v>
      </c>
      <c r="D22" s="35" t="s">
        <v>3</v>
      </c>
      <c r="E22" s="36">
        <v>1.0</v>
      </c>
      <c r="F22" s="37">
        <v>0.15</v>
      </c>
      <c r="G22" s="38">
        <f t="shared" si="1"/>
        <v>0.15</v>
      </c>
      <c r="H22" s="31"/>
      <c r="I22" s="31"/>
      <c r="J22" s="31"/>
      <c r="K22" s="31"/>
      <c r="L22" s="32"/>
      <c r="M22" s="32"/>
      <c r="N22" s="3"/>
    </row>
    <row r="23">
      <c r="A23" s="3"/>
      <c r="B23" s="33" t="s">
        <v>26</v>
      </c>
      <c r="C23" s="34" t="s">
        <v>27</v>
      </c>
      <c r="D23" s="35" t="s">
        <v>3</v>
      </c>
      <c r="E23" s="36">
        <v>50.0</v>
      </c>
      <c r="F23" s="37">
        <v>1.3</v>
      </c>
      <c r="G23" s="38">
        <f t="shared" si="1"/>
        <v>65</v>
      </c>
      <c r="H23" s="31"/>
      <c r="I23" s="31"/>
      <c r="J23" s="31"/>
      <c r="K23" s="31"/>
      <c r="L23" s="32"/>
      <c r="M23" s="32"/>
      <c r="N23" s="3"/>
    </row>
    <row r="24">
      <c r="A24" s="3"/>
      <c r="B24" s="33" t="s">
        <v>28</v>
      </c>
      <c r="C24" s="34" t="s">
        <v>29</v>
      </c>
      <c r="D24" s="35" t="s">
        <v>3</v>
      </c>
      <c r="E24" s="36">
        <v>50.0</v>
      </c>
      <c r="F24" s="37">
        <v>0.14</v>
      </c>
      <c r="G24" s="38">
        <f t="shared" si="1"/>
        <v>7</v>
      </c>
      <c r="H24" s="31"/>
      <c r="I24" s="31"/>
      <c r="J24" s="31"/>
      <c r="K24" s="31"/>
      <c r="L24" s="32"/>
      <c r="M24" s="32"/>
      <c r="N24" s="3"/>
    </row>
    <row r="25">
      <c r="A25" s="3"/>
      <c r="B25" s="33" t="s">
        <v>30</v>
      </c>
      <c r="C25" s="34" t="s">
        <v>31</v>
      </c>
      <c r="D25" s="35" t="s">
        <v>3</v>
      </c>
      <c r="E25" s="36">
        <v>1.0</v>
      </c>
      <c r="F25" s="37">
        <v>23.9</v>
      </c>
      <c r="G25" s="38">
        <f t="shared" si="1"/>
        <v>23.9</v>
      </c>
      <c r="H25" s="31"/>
      <c r="I25" s="31"/>
      <c r="J25" s="31"/>
      <c r="K25" s="31"/>
      <c r="L25" s="32"/>
      <c r="M25" s="32"/>
      <c r="N25" s="3"/>
    </row>
    <row r="26">
      <c r="A26" s="3"/>
      <c r="B26" s="33" t="s">
        <v>32</v>
      </c>
      <c r="C26" s="34" t="s">
        <v>33</v>
      </c>
      <c r="D26" s="35" t="s">
        <v>3</v>
      </c>
      <c r="E26" s="39">
        <v>2.0</v>
      </c>
      <c r="F26" s="37">
        <v>2.5</v>
      </c>
      <c r="G26" s="38">
        <f t="shared" si="1"/>
        <v>5</v>
      </c>
      <c r="H26" s="31"/>
      <c r="I26" s="31"/>
      <c r="J26" s="31"/>
      <c r="K26" s="31"/>
      <c r="L26" s="32"/>
      <c r="M26" s="32"/>
      <c r="N26" s="3"/>
    </row>
    <row r="27">
      <c r="A27" s="3"/>
      <c r="B27" s="33" t="s">
        <v>34</v>
      </c>
      <c r="C27" s="34" t="s">
        <v>35</v>
      </c>
      <c r="D27" s="35" t="s">
        <v>3</v>
      </c>
      <c r="E27" s="40">
        <v>0.0</v>
      </c>
      <c r="F27" s="37">
        <v>2.0</v>
      </c>
      <c r="G27" s="38">
        <f t="shared" si="1"/>
        <v>0</v>
      </c>
      <c r="H27" s="31"/>
      <c r="I27" s="31"/>
      <c r="J27" s="31"/>
      <c r="K27" s="31"/>
      <c r="L27" s="32"/>
      <c r="M27" s="32"/>
      <c r="N27" s="3"/>
    </row>
    <row r="28">
      <c r="A28" s="3"/>
      <c r="B28" s="51" t="s">
        <v>36</v>
      </c>
      <c r="C28" s="34" t="s">
        <v>37</v>
      </c>
      <c r="D28" s="35" t="s">
        <v>3</v>
      </c>
      <c r="E28" s="52">
        <v>0.1</v>
      </c>
      <c r="F28" s="37">
        <v>12.9</v>
      </c>
      <c r="G28" s="38">
        <f t="shared" si="1"/>
        <v>1.29</v>
      </c>
      <c r="H28" s="47"/>
      <c r="I28" s="47"/>
      <c r="J28" s="47"/>
      <c r="K28" s="47"/>
      <c r="L28" s="48"/>
      <c r="M28" s="48"/>
      <c r="N28" s="3"/>
    </row>
    <row r="29">
      <c r="A29" s="3"/>
      <c r="B29" s="15" t="s">
        <v>40</v>
      </c>
      <c r="C29" s="16" t="s">
        <v>41</v>
      </c>
      <c r="D29" s="17" t="s">
        <v>14</v>
      </c>
      <c r="E29" s="18">
        <v>1.0</v>
      </c>
      <c r="F29" s="53">
        <v>284.0</v>
      </c>
      <c r="G29" s="53">
        <v>284.0</v>
      </c>
      <c r="H29" s="20">
        <f>SUM(G29:G40)</f>
        <v>444.479</v>
      </c>
      <c r="I29" s="21">
        <v>2.09824</v>
      </c>
      <c r="J29" s="22">
        <f>SUM(G29:G39)</f>
        <v>444.35</v>
      </c>
      <c r="K29" s="22">
        <f>SUM(I29*J29)</f>
        <v>932.352944</v>
      </c>
      <c r="L29" s="23">
        <f>SUM(J29+K29)</f>
        <v>1376.702944</v>
      </c>
      <c r="M29" s="23"/>
      <c r="N29" s="3"/>
    </row>
    <row r="30">
      <c r="A30" s="3"/>
      <c r="B30" s="25" t="s">
        <v>15</v>
      </c>
      <c r="C30" s="26" t="s">
        <v>16</v>
      </c>
      <c r="D30" s="27" t="s">
        <v>3</v>
      </c>
      <c r="E30" s="28">
        <v>0.0</v>
      </c>
      <c r="F30" s="29">
        <v>2.59</v>
      </c>
      <c r="G30" s="30">
        <f t="shared" ref="G30:G40" si="2">SUM(E30*F30)</f>
        <v>0</v>
      </c>
      <c r="H30" s="31"/>
      <c r="I30" s="31"/>
      <c r="J30" s="31"/>
      <c r="K30" s="31"/>
      <c r="L30" s="32"/>
      <c r="M30" s="32"/>
      <c r="N30" s="3"/>
    </row>
    <row r="31">
      <c r="A31" s="3"/>
      <c r="B31" s="33" t="s">
        <v>17</v>
      </c>
      <c r="C31" s="34" t="s">
        <v>18</v>
      </c>
      <c r="D31" s="35" t="s">
        <v>19</v>
      </c>
      <c r="E31" s="36">
        <v>4.0</v>
      </c>
      <c r="F31" s="37">
        <v>13.6</v>
      </c>
      <c r="G31" s="38">
        <f t="shared" si="2"/>
        <v>54.4</v>
      </c>
      <c r="H31" s="31"/>
      <c r="I31" s="31"/>
      <c r="J31" s="31"/>
      <c r="K31" s="31"/>
      <c r="L31" s="32"/>
      <c r="M31" s="32"/>
      <c r="N31" s="3"/>
    </row>
    <row r="32">
      <c r="A32" s="3"/>
      <c r="B32" s="33" t="s">
        <v>20</v>
      </c>
      <c r="C32" s="34" t="s">
        <v>21</v>
      </c>
      <c r="D32" s="35" t="s">
        <v>3</v>
      </c>
      <c r="E32" s="36">
        <v>10.0</v>
      </c>
      <c r="F32" s="37">
        <v>0.19</v>
      </c>
      <c r="G32" s="38">
        <f t="shared" si="2"/>
        <v>1.9</v>
      </c>
      <c r="H32" s="31"/>
      <c r="I32" s="31"/>
      <c r="J32" s="31"/>
      <c r="K32" s="31"/>
      <c r="L32" s="32"/>
      <c r="M32" s="32"/>
      <c r="N32" s="3"/>
    </row>
    <row r="33">
      <c r="A33" s="3"/>
      <c r="B33" s="33" t="s">
        <v>22</v>
      </c>
      <c r="C33" s="34" t="s">
        <v>23</v>
      </c>
      <c r="D33" s="35" t="s">
        <v>3</v>
      </c>
      <c r="E33" s="36">
        <v>10.0</v>
      </c>
      <c r="F33" s="37">
        <v>0.3</v>
      </c>
      <c r="G33" s="38">
        <f t="shared" si="2"/>
        <v>3</v>
      </c>
      <c r="H33" s="31"/>
      <c r="I33" s="31"/>
      <c r="J33" s="31"/>
      <c r="K33" s="31"/>
      <c r="L33" s="32"/>
      <c r="M33" s="32"/>
      <c r="N33" s="3"/>
    </row>
    <row r="34">
      <c r="A34" s="3"/>
      <c r="B34" s="33" t="s">
        <v>24</v>
      </c>
      <c r="C34" s="34" t="s">
        <v>25</v>
      </c>
      <c r="D34" s="35" t="s">
        <v>3</v>
      </c>
      <c r="E34" s="36">
        <v>1.0</v>
      </c>
      <c r="F34" s="37">
        <v>0.15</v>
      </c>
      <c r="G34" s="38">
        <f t="shared" si="2"/>
        <v>0.15</v>
      </c>
      <c r="H34" s="31"/>
      <c r="I34" s="31"/>
      <c r="J34" s="31"/>
      <c r="K34" s="31"/>
      <c r="L34" s="32"/>
      <c r="M34" s="32"/>
      <c r="N34" s="3"/>
    </row>
    <row r="35">
      <c r="A35" s="3"/>
      <c r="B35" s="33" t="s">
        <v>26</v>
      </c>
      <c r="C35" s="34" t="s">
        <v>27</v>
      </c>
      <c r="D35" s="35" t="s">
        <v>3</v>
      </c>
      <c r="E35" s="36">
        <v>50.0</v>
      </c>
      <c r="F35" s="37">
        <v>1.3</v>
      </c>
      <c r="G35" s="38">
        <f t="shared" si="2"/>
        <v>65</v>
      </c>
      <c r="H35" s="31"/>
      <c r="I35" s="31"/>
      <c r="J35" s="31"/>
      <c r="K35" s="31"/>
      <c r="L35" s="32"/>
      <c r="M35" s="32"/>
      <c r="N35" s="3"/>
    </row>
    <row r="36">
      <c r="A36" s="3"/>
      <c r="B36" s="33" t="s">
        <v>28</v>
      </c>
      <c r="C36" s="34" t="s">
        <v>29</v>
      </c>
      <c r="D36" s="35" t="s">
        <v>3</v>
      </c>
      <c r="E36" s="36">
        <v>50.0</v>
      </c>
      <c r="F36" s="37">
        <v>0.14</v>
      </c>
      <c r="G36" s="38">
        <f t="shared" si="2"/>
        <v>7</v>
      </c>
      <c r="H36" s="31"/>
      <c r="I36" s="31"/>
      <c r="J36" s="31"/>
      <c r="K36" s="31"/>
      <c r="L36" s="32"/>
      <c r="M36" s="32"/>
      <c r="N36" s="3"/>
    </row>
    <row r="37">
      <c r="A37" s="3"/>
      <c r="B37" s="33" t="s">
        <v>30</v>
      </c>
      <c r="C37" s="34" t="s">
        <v>31</v>
      </c>
      <c r="D37" s="35" t="s">
        <v>3</v>
      </c>
      <c r="E37" s="36">
        <v>1.0</v>
      </c>
      <c r="F37" s="37">
        <v>23.9</v>
      </c>
      <c r="G37" s="38">
        <f t="shared" si="2"/>
        <v>23.9</v>
      </c>
      <c r="H37" s="31"/>
      <c r="I37" s="31"/>
      <c r="J37" s="31"/>
      <c r="K37" s="31"/>
      <c r="L37" s="32"/>
      <c r="M37" s="32"/>
      <c r="N37" s="3"/>
    </row>
    <row r="38">
      <c r="A38" s="3"/>
      <c r="B38" s="33" t="s">
        <v>32</v>
      </c>
      <c r="C38" s="34" t="s">
        <v>33</v>
      </c>
      <c r="D38" s="35" t="s">
        <v>3</v>
      </c>
      <c r="E38" s="39">
        <v>2.0</v>
      </c>
      <c r="F38" s="37">
        <v>2.5</v>
      </c>
      <c r="G38" s="38">
        <f t="shared" si="2"/>
        <v>5</v>
      </c>
      <c r="H38" s="31"/>
      <c r="I38" s="31"/>
      <c r="J38" s="31"/>
      <c r="K38" s="31"/>
      <c r="L38" s="32"/>
      <c r="M38" s="32"/>
      <c r="N38" s="3"/>
    </row>
    <row r="39">
      <c r="A39" s="3"/>
      <c r="B39" s="33" t="s">
        <v>34</v>
      </c>
      <c r="C39" s="34" t="s">
        <v>35</v>
      </c>
      <c r="D39" s="35" t="s">
        <v>3</v>
      </c>
      <c r="E39" s="40">
        <v>0.0</v>
      </c>
      <c r="F39" s="37">
        <v>2.0</v>
      </c>
      <c r="G39" s="38">
        <f t="shared" si="2"/>
        <v>0</v>
      </c>
      <c r="H39" s="31"/>
      <c r="I39" s="31"/>
      <c r="J39" s="31"/>
      <c r="K39" s="31"/>
      <c r="L39" s="32"/>
      <c r="M39" s="32"/>
      <c r="N39" s="3"/>
    </row>
    <row r="40">
      <c r="A40" s="3"/>
      <c r="B40" s="51" t="s">
        <v>36</v>
      </c>
      <c r="C40" s="34" t="s">
        <v>37</v>
      </c>
      <c r="D40" s="35" t="s">
        <v>3</v>
      </c>
      <c r="E40" s="40">
        <v>0.01</v>
      </c>
      <c r="F40" s="37">
        <v>12.9</v>
      </c>
      <c r="G40" s="38">
        <f t="shared" si="2"/>
        <v>0.129</v>
      </c>
      <c r="H40" s="47"/>
      <c r="I40" s="47"/>
      <c r="J40" s="47"/>
      <c r="K40" s="47"/>
      <c r="L40" s="48"/>
      <c r="M40" s="48"/>
      <c r="N40" s="3"/>
    </row>
    <row r="41">
      <c r="A41" s="3"/>
      <c r="B41" s="15" t="s">
        <v>42</v>
      </c>
      <c r="C41" s="16" t="s">
        <v>43</v>
      </c>
      <c r="D41" s="17" t="s">
        <v>14</v>
      </c>
      <c r="E41" s="17">
        <v>1.0</v>
      </c>
      <c r="F41" s="53">
        <v>284.0</v>
      </c>
      <c r="G41" s="53">
        <v>284.0</v>
      </c>
      <c r="H41" s="20">
        <f>SUM(G41:G52)</f>
        <v>444.479</v>
      </c>
      <c r="I41" s="21">
        <v>2.09824</v>
      </c>
      <c r="J41" s="22">
        <f>SUM(G40:G51)</f>
        <v>444.479</v>
      </c>
      <c r="K41" s="22">
        <f>SUM(I41*J41)</f>
        <v>932.623617</v>
      </c>
      <c r="L41" s="23">
        <f>SUM(J41+K41)</f>
        <v>1377.102617</v>
      </c>
      <c r="M41" s="23"/>
      <c r="N41" s="3"/>
    </row>
    <row r="42">
      <c r="A42" s="3"/>
      <c r="B42" s="25" t="s">
        <v>15</v>
      </c>
      <c r="C42" s="26" t="s">
        <v>16</v>
      </c>
      <c r="D42" s="27" t="s">
        <v>3</v>
      </c>
      <c r="E42" s="28">
        <v>0.0</v>
      </c>
      <c r="F42" s="29">
        <v>2.59</v>
      </c>
      <c r="G42" s="30">
        <f t="shared" ref="G42:G100" si="3">SUM(E42*F42)</f>
        <v>0</v>
      </c>
      <c r="H42" s="31"/>
      <c r="I42" s="31"/>
      <c r="J42" s="31"/>
      <c r="K42" s="31"/>
      <c r="L42" s="32"/>
      <c r="M42" s="32"/>
      <c r="N42" s="3"/>
    </row>
    <row r="43">
      <c r="A43" s="3"/>
      <c r="B43" s="33" t="s">
        <v>17</v>
      </c>
      <c r="C43" s="34" t="s">
        <v>18</v>
      </c>
      <c r="D43" s="35" t="s">
        <v>19</v>
      </c>
      <c r="E43" s="36">
        <v>4.0</v>
      </c>
      <c r="F43" s="37">
        <v>13.6</v>
      </c>
      <c r="G43" s="38">
        <f t="shared" si="3"/>
        <v>54.4</v>
      </c>
      <c r="H43" s="31"/>
      <c r="I43" s="31"/>
      <c r="J43" s="31"/>
      <c r="K43" s="31"/>
      <c r="L43" s="32"/>
      <c r="M43" s="32"/>
      <c r="N43" s="3"/>
    </row>
    <row r="44">
      <c r="A44" s="3"/>
      <c r="B44" s="33" t="s">
        <v>20</v>
      </c>
      <c r="C44" s="34" t="s">
        <v>21</v>
      </c>
      <c r="D44" s="35" t="s">
        <v>3</v>
      </c>
      <c r="E44" s="36">
        <v>10.0</v>
      </c>
      <c r="F44" s="37">
        <v>0.19</v>
      </c>
      <c r="G44" s="38">
        <f t="shared" si="3"/>
        <v>1.9</v>
      </c>
      <c r="H44" s="31"/>
      <c r="I44" s="31"/>
      <c r="J44" s="31"/>
      <c r="K44" s="31"/>
      <c r="L44" s="32"/>
      <c r="M44" s="32"/>
      <c r="N44" s="3"/>
    </row>
    <row r="45">
      <c r="A45" s="3"/>
      <c r="B45" s="33" t="s">
        <v>22</v>
      </c>
      <c r="C45" s="34" t="s">
        <v>23</v>
      </c>
      <c r="D45" s="35" t="s">
        <v>3</v>
      </c>
      <c r="E45" s="36">
        <v>10.0</v>
      </c>
      <c r="F45" s="37">
        <v>0.3</v>
      </c>
      <c r="G45" s="38">
        <f t="shared" si="3"/>
        <v>3</v>
      </c>
      <c r="H45" s="31"/>
      <c r="I45" s="31"/>
      <c r="J45" s="31"/>
      <c r="K45" s="31"/>
      <c r="L45" s="32"/>
      <c r="M45" s="32"/>
      <c r="N45" s="3"/>
    </row>
    <row r="46">
      <c r="A46" s="3"/>
      <c r="B46" s="33" t="s">
        <v>24</v>
      </c>
      <c r="C46" s="34" t="s">
        <v>25</v>
      </c>
      <c r="D46" s="35" t="s">
        <v>3</v>
      </c>
      <c r="E46" s="36">
        <v>1.0</v>
      </c>
      <c r="F46" s="37">
        <v>0.15</v>
      </c>
      <c r="G46" s="38">
        <f t="shared" si="3"/>
        <v>0.15</v>
      </c>
      <c r="H46" s="31"/>
      <c r="I46" s="31"/>
      <c r="J46" s="31"/>
      <c r="K46" s="31"/>
      <c r="L46" s="32"/>
      <c r="M46" s="32"/>
      <c r="N46" s="3"/>
    </row>
    <row r="47">
      <c r="A47" s="3"/>
      <c r="B47" s="33" t="s">
        <v>26</v>
      </c>
      <c r="C47" s="34" t="s">
        <v>27</v>
      </c>
      <c r="D47" s="35" t="s">
        <v>3</v>
      </c>
      <c r="E47" s="36">
        <v>50.0</v>
      </c>
      <c r="F47" s="37">
        <v>1.3</v>
      </c>
      <c r="G47" s="38">
        <f t="shared" si="3"/>
        <v>65</v>
      </c>
      <c r="H47" s="31"/>
      <c r="I47" s="31"/>
      <c r="J47" s="31"/>
      <c r="K47" s="31"/>
      <c r="L47" s="32"/>
      <c r="M47" s="32"/>
      <c r="N47" s="3"/>
    </row>
    <row r="48">
      <c r="A48" s="3"/>
      <c r="B48" s="33" t="s">
        <v>28</v>
      </c>
      <c r="C48" s="34" t="s">
        <v>29</v>
      </c>
      <c r="D48" s="35" t="s">
        <v>3</v>
      </c>
      <c r="E48" s="36">
        <v>50.0</v>
      </c>
      <c r="F48" s="37">
        <v>0.14</v>
      </c>
      <c r="G48" s="38">
        <f t="shared" si="3"/>
        <v>7</v>
      </c>
      <c r="H48" s="31"/>
      <c r="I48" s="31"/>
      <c r="J48" s="31"/>
      <c r="K48" s="31"/>
      <c r="L48" s="32"/>
      <c r="M48" s="32"/>
      <c r="N48" s="3"/>
    </row>
    <row r="49">
      <c r="A49" s="3"/>
      <c r="B49" s="33" t="s">
        <v>30</v>
      </c>
      <c r="C49" s="34" t="s">
        <v>31</v>
      </c>
      <c r="D49" s="35" t="s">
        <v>3</v>
      </c>
      <c r="E49" s="36">
        <v>1.0</v>
      </c>
      <c r="F49" s="37">
        <v>23.9</v>
      </c>
      <c r="G49" s="38">
        <f t="shared" si="3"/>
        <v>23.9</v>
      </c>
      <c r="H49" s="31"/>
      <c r="I49" s="31"/>
      <c r="J49" s="31"/>
      <c r="K49" s="31"/>
      <c r="L49" s="32"/>
      <c r="M49" s="32"/>
      <c r="N49" s="3"/>
    </row>
    <row r="50">
      <c r="A50" s="3"/>
      <c r="B50" s="33" t="s">
        <v>32</v>
      </c>
      <c r="C50" s="34" t="s">
        <v>33</v>
      </c>
      <c r="D50" s="35" t="s">
        <v>3</v>
      </c>
      <c r="E50" s="39">
        <v>2.0</v>
      </c>
      <c r="F50" s="37">
        <v>2.5</v>
      </c>
      <c r="G50" s="38">
        <f t="shared" si="3"/>
        <v>5</v>
      </c>
      <c r="H50" s="31"/>
      <c r="I50" s="31"/>
      <c r="J50" s="31"/>
      <c r="K50" s="31"/>
      <c r="L50" s="32"/>
      <c r="M50" s="32"/>
      <c r="N50" s="3"/>
    </row>
    <row r="51">
      <c r="A51" s="3"/>
      <c r="B51" s="33" t="s">
        <v>34</v>
      </c>
      <c r="C51" s="34" t="s">
        <v>35</v>
      </c>
      <c r="D51" s="35" t="s">
        <v>3</v>
      </c>
      <c r="E51" s="40">
        <v>0.0</v>
      </c>
      <c r="F51" s="37">
        <v>2.0</v>
      </c>
      <c r="G51" s="38">
        <f t="shared" si="3"/>
        <v>0</v>
      </c>
      <c r="H51" s="31"/>
      <c r="I51" s="31"/>
      <c r="J51" s="31"/>
      <c r="K51" s="31"/>
      <c r="L51" s="32"/>
      <c r="M51" s="32"/>
      <c r="N51" s="3"/>
    </row>
    <row r="52">
      <c r="A52" s="3"/>
      <c r="B52" s="51" t="s">
        <v>36</v>
      </c>
      <c r="C52" s="34" t="s">
        <v>37</v>
      </c>
      <c r="D52" s="35" t="s">
        <v>3</v>
      </c>
      <c r="E52" s="40">
        <v>0.01</v>
      </c>
      <c r="F52" s="37">
        <v>12.9</v>
      </c>
      <c r="G52" s="38">
        <f t="shared" si="3"/>
        <v>0.129</v>
      </c>
      <c r="H52" s="47"/>
      <c r="I52" s="47"/>
      <c r="J52" s="47"/>
      <c r="K52" s="47"/>
      <c r="L52" s="48"/>
      <c r="M52" s="48"/>
      <c r="N52" s="3"/>
    </row>
    <row r="53">
      <c r="A53" s="3"/>
      <c r="B53" s="49" t="s">
        <v>38</v>
      </c>
      <c r="C53" s="50" t="s">
        <v>39</v>
      </c>
      <c r="D53" s="17" t="s">
        <v>14</v>
      </c>
      <c r="E53" s="17">
        <v>1.0</v>
      </c>
      <c r="F53" s="19">
        <v>194.56</v>
      </c>
      <c r="G53" s="19">
        <f t="shared" si="3"/>
        <v>194.56</v>
      </c>
      <c r="H53" s="20">
        <f>SUM(G53:G64)</f>
        <v>356.2</v>
      </c>
      <c r="I53" s="21">
        <v>2.09824</v>
      </c>
      <c r="J53" s="22">
        <f>SUM(G52:G63)</f>
        <v>355.039</v>
      </c>
      <c r="K53" s="22">
        <f>SUM(I53*J53)</f>
        <v>744.9570314</v>
      </c>
      <c r="L53" s="23">
        <f>SUM(J53+K53)</f>
        <v>1099.996031</v>
      </c>
      <c r="M53" s="23"/>
      <c r="N53" s="3"/>
    </row>
    <row r="54">
      <c r="A54" s="3"/>
      <c r="B54" s="25" t="s">
        <v>15</v>
      </c>
      <c r="C54" s="26" t="s">
        <v>16</v>
      </c>
      <c r="D54" s="27" t="s">
        <v>3</v>
      </c>
      <c r="E54" s="28">
        <v>0.0</v>
      </c>
      <c r="F54" s="29">
        <v>2.59</v>
      </c>
      <c r="G54" s="30">
        <f t="shared" si="3"/>
        <v>0</v>
      </c>
      <c r="H54" s="31"/>
      <c r="I54" s="31"/>
      <c r="J54" s="31"/>
      <c r="K54" s="31"/>
      <c r="L54" s="32"/>
      <c r="M54" s="32"/>
      <c r="N54" s="3"/>
    </row>
    <row r="55">
      <c r="A55" s="3"/>
      <c r="B55" s="33" t="s">
        <v>17</v>
      </c>
      <c r="C55" s="34" t="s">
        <v>18</v>
      </c>
      <c r="D55" s="35" t="s">
        <v>19</v>
      </c>
      <c r="E55" s="36">
        <v>4.0</v>
      </c>
      <c r="F55" s="37">
        <v>13.6</v>
      </c>
      <c r="G55" s="38">
        <f t="shared" si="3"/>
        <v>54.4</v>
      </c>
      <c r="H55" s="31"/>
      <c r="I55" s="31"/>
      <c r="J55" s="31"/>
      <c r="K55" s="31"/>
      <c r="L55" s="32"/>
      <c r="M55" s="32"/>
      <c r="N55" s="3"/>
    </row>
    <row r="56">
      <c r="A56" s="3"/>
      <c r="B56" s="33" t="s">
        <v>20</v>
      </c>
      <c r="C56" s="34" t="s">
        <v>21</v>
      </c>
      <c r="D56" s="35" t="s">
        <v>3</v>
      </c>
      <c r="E56" s="36">
        <v>10.0</v>
      </c>
      <c r="F56" s="37">
        <v>0.19</v>
      </c>
      <c r="G56" s="38">
        <f t="shared" si="3"/>
        <v>1.9</v>
      </c>
      <c r="H56" s="31"/>
      <c r="I56" s="31"/>
      <c r="J56" s="31"/>
      <c r="K56" s="31"/>
      <c r="L56" s="32"/>
      <c r="M56" s="32"/>
      <c r="N56" s="3"/>
    </row>
    <row r="57">
      <c r="A57" s="3"/>
      <c r="B57" s="33" t="s">
        <v>22</v>
      </c>
      <c r="C57" s="34" t="s">
        <v>23</v>
      </c>
      <c r="D57" s="35" t="s">
        <v>3</v>
      </c>
      <c r="E57" s="36">
        <v>10.0</v>
      </c>
      <c r="F57" s="37">
        <v>0.3</v>
      </c>
      <c r="G57" s="38">
        <f t="shared" si="3"/>
        <v>3</v>
      </c>
      <c r="H57" s="31"/>
      <c r="I57" s="31"/>
      <c r="J57" s="31"/>
      <c r="K57" s="31"/>
      <c r="L57" s="32"/>
      <c r="M57" s="32"/>
      <c r="N57" s="3"/>
    </row>
    <row r="58">
      <c r="A58" s="3"/>
      <c r="B58" s="33" t="s">
        <v>24</v>
      </c>
      <c r="C58" s="34" t="s">
        <v>25</v>
      </c>
      <c r="D58" s="35" t="s">
        <v>3</v>
      </c>
      <c r="E58" s="36">
        <v>1.0</v>
      </c>
      <c r="F58" s="37">
        <v>0.15</v>
      </c>
      <c r="G58" s="38">
        <f t="shared" si="3"/>
        <v>0.15</v>
      </c>
      <c r="H58" s="31"/>
      <c r="I58" s="31"/>
      <c r="J58" s="31"/>
      <c r="K58" s="31"/>
      <c r="L58" s="32"/>
      <c r="M58" s="32"/>
      <c r="N58" s="3"/>
    </row>
    <row r="59">
      <c r="A59" s="3"/>
      <c r="B59" s="33" t="s">
        <v>26</v>
      </c>
      <c r="C59" s="34" t="s">
        <v>27</v>
      </c>
      <c r="D59" s="35" t="s">
        <v>3</v>
      </c>
      <c r="E59" s="36">
        <v>50.0</v>
      </c>
      <c r="F59" s="37">
        <v>1.3</v>
      </c>
      <c r="G59" s="38">
        <f t="shared" si="3"/>
        <v>65</v>
      </c>
      <c r="H59" s="31"/>
      <c r="I59" s="31"/>
      <c r="J59" s="31"/>
      <c r="K59" s="31"/>
      <c r="L59" s="32"/>
      <c r="M59" s="32"/>
      <c r="N59" s="3"/>
    </row>
    <row r="60">
      <c r="A60" s="3"/>
      <c r="B60" s="33" t="s">
        <v>28</v>
      </c>
      <c r="C60" s="34" t="s">
        <v>29</v>
      </c>
      <c r="D60" s="35" t="s">
        <v>3</v>
      </c>
      <c r="E60" s="36">
        <v>50.0</v>
      </c>
      <c r="F60" s="37">
        <v>0.14</v>
      </c>
      <c r="G60" s="38">
        <f t="shared" si="3"/>
        <v>7</v>
      </c>
      <c r="H60" s="31"/>
      <c r="I60" s="31"/>
      <c r="J60" s="31"/>
      <c r="K60" s="31"/>
      <c r="L60" s="32"/>
      <c r="M60" s="32"/>
      <c r="N60" s="3"/>
    </row>
    <row r="61">
      <c r="A61" s="3"/>
      <c r="B61" s="33" t="s">
        <v>30</v>
      </c>
      <c r="C61" s="34" t="s">
        <v>31</v>
      </c>
      <c r="D61" s="35" t="s">
        <v>3</v>
      </c>
      <c r="E61" s="36">
        <v>1.0</v>
      </c>
      <c r="F61" s="37">
        <v>23.9</v>
      </c>
      <c r="G61" s="38">
        <f t="shared" si="3"/>
        <v>23.9</v>
      </c>
      <c r="H61" s="31"/>
      <c r="I61" s="31"/>
      <c r="J61" s="31"/>
      <c r="K61" s="31"/>
      <c r="L61" s="32"/>
      <c r="M61" s="32"/>
      <c r="N61" s="3"/>
    </row>
    <row r="62">
      <c r="A62" s="3"/>
      <c r="B62" s="33" t="s">
        <v>32</v>
      </c>
      <c r="C62" s="34" t="s">
        <v>33</v>
      </c>
      <c r="D62" s="35" t="s">
        <v>3</v>
      </c>
      <c r="E62" s="39">
        <v>2.0</v>
      </c>
      <c r="F62" s="37">
        <v>2.5</v>
      </c>
      <c r="G62" s="38">
        <f t="shared" si="3"/>
        <v>5</v>
      </c>
      <c r="H62" s="31"/>
      <c r="I62" s="31"/>
      <c r="J62" s="31"/>
      <c r="K62" s="31"/>
      <c r="L62" s="32"/>
      <c r="M62" s="32"/>
      <c r="N62" s="3"/>
    </row>
    <row r="63">
      <c r="A63" s="3"/>
      <c r="B63" s="33" t="s">
        <v>34</v>
      </c>
      <c r="C63" s="34" t="s">
        <v>35</v>
      </c>
      <c r="D63" s="35" t="s">
        <v>3</v>
      </c>
      <c r="E63" s="40">
        <v>0.0</v>
      </c>
      <c r="F63" s="37">
        <v>2.0</v>
      </c>
      <c r="G63" s="38">
        <f t="shared" si="3"/>
        <v>0</v>
      </c>
      <c r="H63" s="31"/>
      <c r="I63" s="31"/>
      <c r="J63" s="31"/>
      <c r="K63" s="31"/>
      <c r="L63" s="32"/>
      <c r="M63" s="32"/>
      <c r="N63" s="3"/>
    </row>
    <row r="64">
      <c r="A64" s="3"/>
      <c r="B64" s="41" t="s">
        <v>36</v>
      </c>
      <c r="C64" s="42" t="s">
        <v>37</v>
      </c>
      <c r="D64" s="43" t="s">
        <v>3</v>
      </c>
      <c r="E64" s="44">
        <v>0.1</v>
      </c>
      <c r="F64" s="45">
        <v>12.9</v>
      </c>
      <c r="G64" s="46">
        <f t="shared" si="3"/>
        <v>1.29</v>
      </c>
      <c r="H64" s="47"/>
      <c r="I64" s="47"/>
      <c r="J64" s="47"/>
      <c r="K64" s="47"/>
      <c r="L64" s="48"/>
      <c r="M64" s="48"/>
      <c r="N64" s="3"/>
    </row>
    <row r="65">
      <c r="A65" s="3"/>
      <c r="B65" s="49" t="s">
        <v>38</v>
      </c>
      <c r="C65" s="50" t="s">
        <v>39</v>
      </c>
      <c r="D65" s="17" t="s">
        <v>14</v>
      </c>
      <c r="E65" s="17">
        <v>1.0</v>
      </c>
      <c r="F65" s="19">
        <v>194.56</v>
      </c>
      <c r="G65" s="19">
        <f t="shared" si="3"/>
        <v>194.56</v>
      </c>
      <c r="H65" s="20">
        <f>SUM(G65:G137)</f>
        <v>1068.6</v>
      </c>
      <c r="I65" s="21">
        <v>2.09824</v>
      </c>
      <c r="J65" s="22">
        <f>SUM(G64:G75)</f>
        <v>356.2</v>
      </c>
      <c r="K65" s="22">
        <f>SUM(I65*J65)</f>
        <v>747.393088</v>
      </c>
      <c r="L65" s="23">
        <f>SUM(J65+K65)</f>
        <v>1103.593088</v>
      </c>
      <c r="M65" s="23"/>
      <c r="N65" s="3"/>
    </row>
    <row r="66">
      <c r="A66" s="3"/>
      <c r="B66" s="25" t="s">
        <v>15</v>
      </c>
      <c r="C66" s="26" t="s">
        <v>16</v>
      </c>
      <c r="D66" s="27" t="s">
        <v>3</v>
      </c>
      <c r="E66" s="28">
        <v>0.0</v>
      </c>
      <c r="F66" s="29">
        <v>2.59</v>
      </c>
      <c r="G66" s="30">
        <f t="shared" si="3"/>
        <v>0</v>
      </c>
      <c r="H66" s="31"/>
      <c r="I66" s="31"/>
      <c r="J66" s="31"/>
      <c r="K66" s="31"/>
      <c r="L66" s="32"/>
      <c r="M66" s="32"/>
      <c r="N66" s="3"/>
    </row>
    <row r="67">
      <c r="A67" s="3"/>
      <c r="B67" s="33" t="s">
        <v>17</v>
      </c>
      <c r="C67" s="34" t="s">
        <v>18</v>
      </c>
      <c r="D67" s="35" t="s">
        <v>19</v>
      </c>
      <c r="E67" s="36">
        <v>4.0</v>
      </c>
      <c r="F67" s="37">
        <v>13.6</v>
      </c>
      <c r="G67" s="38">
        <f t="shared" si="3"/>
        <v>54.4</v>
      </c>
      <c r="H67" s="31"/>
      <c r="I67" s="31"/>
      <c r="J67" s="31"/>
      <c r="K67" s="31"/>
      <c r="L67" s="32"/>
      <c r="M67" s="32"/>
      <c r="N67" s="3"/>
    </row>
    <row r="68">
      <c r="A68" s="3"/>
      <c r="B68" s="33" t="s">
        <v>20</v>
      </c>
      <c r="C68" s="34" t="s">
        <v>21</v>
      </c>
      <c r="D68" s="35" t="s">
        <v>3</v>
      </c>
      <c r="E68" s="36">
        <v>10.0</v>
      </c>
      <c r="F68" s="37">
        <v>0.19</v>
      </c>
      <c r="G68" s="38">
        <f t="shared" si="3"/>
        <v>1.9</v>
      </c>
      <c r="H68" s="31"/>
      <c r="I68" s="31"/>
      <c r="J68" s="31"/>
      <c r="K68" s="31"/>
      <c r="L68" s="32"/>
      <c r="M68" s="32"/>
      <c r="N68" s="3"/>
    </row>
    <row r="69">
      <c r="A69" s="3"/>
      <c r="B69" s="33" t="s">
        <v>22</v>
      </c>
      <c r="C69" s="34" t="s">
        <v>23</v>
      </c>
      <c r="D69" s="35" t="s">
        <v>3</v>
      </c>
      <c r="E69" s="36">
        <v>10.0</v>
      </c>
      <c r="F69" s="37">
        <v>0.3</v>
      </c>
      <c r="G69" s="38">
        <f t="shared" si="3"/>
        <v>3</v>
      </c>
      <c r="H69" s="31"/>
      <c r="I69" s="31"/>
      <c r="J69" s="31"/>
      <c r="K69" s="31"/>
      <c r="L69" s="32"/>
      <c r="M69" s="32"/>
      <c r="N69" s="3"/>
    </row>
    <row r="70">
      <c r="A70" s="3"/>
      <c r="B70" s="33" t="s">
        <v>24</v>
      </c>
      <c r="C70" s="34" t="s">
        <v>25</v>
      </c>
      <c r="D70" s="35" t="s">
        <v>3</v>
      </c>
      <c r="E70" s="36">
        <v>1.0</v>
      </c>
      <c r="F70" s="37">
        <v>0.15</v>
      </c>
      <c r="G70" s="38">
        <f t="shared" si="3"/>
        <v>0.15</v>
      </c>
      <c r="H70" s="31"/>
      <c r="I70" s="31"/>
      <c r="J70" s="31"/>
      <c r="K70" s="31"/>
      <c r="L70" s="32"/>
      <c r="M70" s="32"/>
      <c r="N70" s="3"/>
    </row>
    <row r="71">
      <c r="A71" s="3"/>
      <c r="B71" s="33" t="s">
        <v>26</v>
      </c>
      <c r="C71" s="34" t="s">
        <v>27</v>
      </c>
      <c r="D71" s="35" t="s">
        <v>3</v>
      </c>
      <c r="E71" s="36">
        <v>50.0</v>
      </c>
      <c r="F71" s="37">
        <v>1.3</v>
      </c>
      <c r="G71" s="38">
        <f t="shared" si="3"/>
        <v>65</v>
      </c>
      <c r="H71" s="31"/>
      <c r="I71" s="31"/>
      <c r="J71" s="31"/>
      <c r="K71" s="31"/>
      <c r="L71" s="32"/>
      <c r="M71" s="32"/>
      <c r="N71" s="3"/>
    </row>
    <row r="72">
      <c r="A72" s="3"/>
      <c r="B72" s="33" t="s">
        <v>28</v>
      </c>
      <c r="C72" s="34" t="s">
        <v>29</v>
      </c>
      <c r="D72" s="35" t="s">
        <v>3</v>
      </c>
      <c r="E72" s="36">
        <v>50.0</v>
      </c>
      <c r="F72" s="37">
        <v>0.14</v>
      </c>
      <c r="G72" s="38">
        <f t="shared" si="3"/>
        <v>7</v>
      </c>
      <c r="H72" s="31"/>
      <c r="I72" s="31"/>
      <c r="J72" s="31"/>
      <c r="K72" s="31"/>
      <c r="L72" s="32"/>
      <c r="M72" s="32"/>
      <c r="N72" s="3"/>
    </row>
    <row r="73">
      <c r="A73" s="3"/>
      <c r="B73" s="33" t="s">
        <v>30</v>
      </c>
      <c r="C73" s="34" t="s">
        <v>31</v>
      </c>
      <c r="D73" s="35" t="s">
        <v>3</v>
      </c>
      <c r="E73" s="36">
        <v>1.0</v>
      </c>
      <c r="F73" s="37">
        <v>23.9</v>
      </c>
      <c r="G73" s="38">
        <f t="shared" si="3"/>
        <v>23.9</v>
      </c>
      <c r="H73" s="31"/>
      <c r="I73" s="31"/>
      <c r="J73" s="31"/>
      <c r="K73" s="31"/>
      <c r="L73" s="32"/>
      <c r="M73" s="32"/>
      <c r="N73" s="3"/>
    </row>
    <row r="74">
      <c r="A74" s="3"/>
      <c r="B74" s="33" t="s">
        <v>32</v>
      </c>
      <c r="C74" s="34" t="s">
        <v>33</v>
      </c>
      <c r="D74" s="35" t="s">
        <v>3</v>
      </c>
      <c r="E74" s="39">
        <v>2.0</v>
      </c>
      <c r="F74" s="37">
        <v>2.5</v>
      </c>
      <c r="G74" s="38">
        <f t="shared" si="3"/>
        <v>5</v>
      </c>
      <c r="H74" s="31"/>
      <c r="I74" s="31"/>
      <c r="J74" s="31"/>
      <c r="K74" s="31"/>
      <c r="L74" s="32"/>
      <c r="M74" s="32"/>
      <c r="N74" s="3"/>
    </row>
    <row r="75">
      <c r="A75" s="3"/>
      <c r="B75" s="33" t="s">
        <v>34</v>
      </c>
      <c r="C75" s="34" t="s">
        <v>35</v>
      </c>
      <c r="D75" s="35" t="s">
        <v>3</v>
      </c>
      <c r="E75" s="40">
        <v>0.0</v>
      </c>
      <c r="F75" s="37">
        <v>2.0</v>
      </c>
      <c r="G75" s="38">
        <f t="shared" si="3"/>
        <v>0</v>
      </c>
      <c r="H75" s="31"/>
      <c r="I75" s="31"/>
      <c r="J75" s="31"/>
      <c r="K75" s="31"/>
      <c r="L75" s="32"/>
      <c r="M75" s="32"/>
      <c r="N75" s="3"/>
    </row>
    <row r="76">
      <c r="A76" s="3"/>
      <c r="B76" s="41" t="s">
        <v>36</v>
      </c>
      <c r="C76" s="42" t="s">
        <v>37</v>
      </c>
      <c r="D76" s="43" t="s">
        <v>3</v>
      </c>
      <c r="E76" s="44">
        <v>0.1</v>
      </c>
      <c r="F76" s="45">
        <v>12.9</v>
      </c>
      <c r="G76" s="46">
        <f t="shared" si="3"/>
        <v>1.29</v>
      </c>
      <c r="H76" s="47"/>
      <c r="I76" s="31"/>
      <c r="J76" s="31"/>
      <c r="K76" s="47"/>
      <c r="L76" s="32"/>
      <c r="M76" s="48"/>
      <c r="N76" s="3"/>
    </row>
    <row r="77">
      <c r="A77" s="3"/>
      <c r="B77" s="49" t="s">
        <v>38</v>
      </c>
      <c r="C77" s="50" t="s">
        <v>39</v>
      </c>
      <c r="D77" s="17" t="s">
        <v>14</v>
      </c>
      <c r="E77" s="17">
        <v>1.0</v>
      </c>
      <c r="F77" s="19">
        <v>194.56</v>
      </c>
      <c r="G77" s="19">
        <f t="shared" si="3"/>
        <v>194.56</v>
      </c>
      <c r="H77" s="20">
        <f>SUM(G77:G88)</f>
        <v>356.2</v>
      </c>
      <c r="I77" s="21">
        <v>2.09824</v>
      </c>
      <c r="J77" s="22">
        <f>SUM(G76:G87)</f>
        <v>356.2</v>
      </c>
      <c r="K77" s="54">
        <f>SUM(I77*J77)</f>
        <v>747.393088</v>
      </c>
      <c r="L77" s="23">
        <f>SUM(J77+K77)</f>
        <v>1103.593088</v>
      </c>
      <c r="M77" s="23"/>
      <c r="N77" s="3"/>
    </row>
    <row r="78">
      <c r="A78" s="3"/>
      <c r="B78" s="25" t="s">
        <v>15</v>
      </c>
      <c r="C78" s="26" t="s">
        <v>16</v>
      </c>
      <c r="D78" s="27" t="s">
        <v>3</v>
      </c>
      <c r="E78" s="28">
        <v>0.0</v>
      </c>
      <c r="F78" s="29">
        <v>2.59</v>
      </c>
      <c r="G78" s="30">
        <f t="shared" si="3"/>
        <v>0</v>
      </c>
      <c r="H78" s="31"/>
      <c r="I78" s="31"/>
      <c r="J78" s="31"/>
      <c r="K78" s="31"/>
      <c r="L78" s="32"/>
      <c r="M78" s="32"/>
      <c r="N78" s="3"/>
    </row>
    <row r="79">
      <c r="A79" s="3"/>
      <c r="B79" s="33" t="s">
        <v>17</v>
      </c>
      <c r="C79" s="34" t="s">
        <v>18</v>
      </c>
      <c r="D79" s="35" t="s">
        <v>19</v>
      </c>
      <c r="E79" s="36">
        <v>4.0</v>
      </c>
      <c r="F79" s="37">
        <v>13.6</v>
      </c>
      <c r="G79" s="38">
        <f t="shared" si="3"/>
        <v>54.4</v>
      </c>
      <c r="H79" s="31"/>
      <c r="I79" s="31"/>
      <c r="J79" s="31"/>
      <c r="K79" s="31"/>
      <c r="L79" s="32"/>
      <c r="M79" s="32"/>
      <c r="N79" s="3"/>
    </row>
    <row r="80">
      <c r="A80" s="3"/>
      <c r="B80" s="33" t="s">
        <v>20</v>
      </c>
      <c r="C80" s="34" t="s">
        <v>21</v>
      </c>
      <c r="D80" s="35" t="s">
        <v>3</v>
      </c>
      <c r="E80" s="36">
        <v>10.0</v>
      </c>
      <c r="F80" s="37">
        <v>0.19</v>
      </c>
      <c r="G80" s="38">
        <f t="shared" si="3"/>
        <v>1.9</v>
      </c>
      <c r="H80" s="31"/>
      <c r="I80" s="31"/>
      <c r="J80" s="31"/>
      <c r="K80" s="31"/>
      <c r="L80" s="32"/>
      <c r="M80" s="32"/>
      <c r="N80" s="3"/>
    </row>
    <row r="81">
      <c r="A81" s="3"/>
      <c r="B81" s="33" t="s">
        <v>22</v>
      </c>
      <c r="C81" s="34" t="s">
        <v>23</v>
      </c>
      <c r="D81" s="35" t="s">
        <v>3</v>
      </c>
      <c r="E81" s="36">
        <v>10.0</v>
      </c>
      <c r="F81" s="37">
        <v>0.3</v>
      </c>
      <c r="G81" s="38">
        <f t="shared" si="3"/>
        <v>3</v>
      </c>
      <c r="H81" s="31"/>
      <c r="I81" s="31"/>
      <c r="J81" s="31"/>
      <c r="K81" s="31"/>
      <c r="L81" s="32"/>
      <c r="M81" s="32"/>
      <c r="N81" s="3"/>
    </row>
    <row r="82">
      <c r="A82" s="3"/>
      <c r="B82" s="33" t="s">
        <v>24</v>
      </c>
      <c r="C82" s="34" t="s">
        <v>25</v>
      </c>
      <c r="D82" s="35" t="s">
        <v>3</v>
      </c>
      <c r="E82" s="36">
        <v>1.0</v>
      </c>
      <c r="F82" s="37">
        <v>0.15</v>
      </c>
      <c r="G82" s="38">
        <f t="shared" si="3"/>
        <v>0.15</v>
      </c>
      <c r="H82" s="31"/>
      <c r="I82" s="31"/>
      <c r="J82" s="31"/>
      <c r="K82" s="31"/>
      <c r="L82" s="32"/>
      <c r="M82" s="32"/>
      <c r="N82" s="3"/>
    </row>
    <row r="83">
      <c r="A83" s="3"/>
      <c r="B83" s="33" t="s">
        <v>26</v>
      </c>
      <c r="C83" s="34" t="s">
        <v>27</v>
      </c>
      <c r="D83" s="35" t="s">
        <v>3</v>
      </c>
      <c r="E83" s="36">
        <v>50.0</v>
      </c>
      <c r="F83" s="37">
        <v>1.3</v>
      </c>
      <c r="G83" s="38">
        <f t="shared" si="3"/>
        <v>65</v>
      </c>
      <c r="H83" s="31"/>
      <c r="I83" s="31"/>
      <c r="J83" s="31"/>
      <c r="K83" s="31"/>
      <c r="L83" s="32"/>
      <c r="M83" s="32"/>
      <c r="N83" s="3"/>
    </row>
    <row r="84">
      <c r="A84" s="3"/>
      <c r="B84" s="33" t="s">
        <v>28</v>
      </c>
      <c r="C84" s="34" t="s">
        <v>29</v>
      </c>
      <c r="D84" s="35" t="s">
        <v>3</v>
      </c>
      <c r="E84" s="36">
        <v>50.0</v>
      </c>
      <c r="F84" s="37">
        <v>0.14</v>
      </c>
      <c r="G84" s="38">
        <f t="shared" si="3"/>
        <v>7</v>
      </c>
      <c r="H84" s="31"/>
      <c r="I84" s="31"/>
      <c r="J84" s="31"/>
      <c r="K84" s="31"/>
      <c r="L84" s="32"/>
      <c r="M84" s="32"/>
      <c r="N84" s="3"/>
    </row>
    <row r="85">
      <c r="A85" s="3"/>
      <c r="B85" s="33" t="s">
        <v>30</v>
      </c>
      <c r="C85" s="34" t="s">
        <v>31</v>
      </c>
      <c r="D85" s="35" t="s">
        <v>3</v>
      </c>
      <c r="E85" s="36">
        <v>1.0</v>
      </c>
      <c r="F85" s="37">
        <v>23.9</v>
      </c>
      <c r="G85" s="38">
        <f t="shared" si="3"/>
        <v>23.9</v>
      </c>
      <c r="H85" s="31"/>
      <c r="I85" s="31"/>
      <c r="J85" s="31"/>
      <c r="K85" s="31"/>
      <c r="L85" s="32"/>
      <c r="M85" s="32"/>
      <c r="N85" s="3"/>
    </row>
    <row r="86">
      <c r="A86" s="3"/>
      <c r="B86" s="33" t="s">
        <v>32</v>
      </c>
      <c r="C86" s="34" t="s">
        <v>33</v>
      </c>
      <c r="D86" s="35" t="s">
        <v>3</v>
      </c>
      <c r="E86" s="39">
        <v>2.0</v>
      </c>
      <c r="F86" s="37">
        <v>2.5</v>
      </c>
      <c r="G86" s="38">
        <f t="shared" si="3"/>
        <v>5</v>
      </c>
      <c r="H86" s="31"/>
      <c r="I86" s="31"/>
      <c r="J86" s="31"/>
      <c r="K86" s="31"/>
      <c r="L86" s="32"/>
      <c r="M86" s="32"/>
      <c r="N86" s="3"/>
    </row>
    <row r="87">
      <c r="A87" s="3"/>
      <c r="B87" s="33" t="s">
        <v>34</v>
      </c>
      <c r="C87" s="34" t="s">
        <v>35</v>
      </c>
      <c r="D87" s="35" t="s">
        <v>3</v>
      </c>
      <c r="E87" s="40">
        <v>0.0</v>
      </c>
      <c r="F87" s="37">
        <v>2.0</v>
      </c>
      <c r="G87" s="38">
        <f t="shared" si="3"/>
        <v>0</v>
      </c>
      <c r="H87" s="31"/>
      <c r="I87" s="31"/>
      <c r="J87" s="31"/>
      <c r="K87" s="31"/>
      <c r="L87" s="32"/>
      <c r="M87" s="32"/>
      <c r="N87" s="3"/>
    </row>
    <row r="88">
      <c r="A88" s="3"/>
      <c r="B88" s="41" t="s">
        <v>36</v>
      </c>
      <c r="C88" s="42" t="s">
        <v>37</v>
      </c>
      <c r="D88" s="43" t="s">
        <v>3</v>
      </c>
      <c r="E88" s="44">
        <v>0.1</v>
      </c>
      <c r="F88" s="45">
        <v>12.9</v>
      </c>
      <c r="G88" s="46">
        <f t="shared" si="3"/>
        <v>1.29</v>
      </c>
      <c r="H88" s="47"/>
      <c r="I88" s="47"/>
      <c r="J88" s="47"/>
      <c r="K88" s="47"/>
      <c r="L88" s="48"/>
      <c r="M88" s="48"/>
      <c r="N88" s="3"/>
    </row>
    <row r="89">
      <c r="A89" s="3"/>
      <c r="B89" s="49"/>
      <c r="C89" s="50"/>
      <c r="D89" s="17" t="s">
        <v>14</v>
      </c>
      <c r="E89" s="17">
        <v>1.0</v>
      </c>
      <c r="F89" s="19">
        <v>194.56</v>
      </c>
      <c r="G89" s="19">
        <f t="shared" si="3"/>
        <v>194.56</v>
      </c>
      <c r="H89" s="20">
        <f>SUM(G89:G100)</f>
        <v>356.2</v>
      </c>
      <c r="I89" s="21">
        <v>2.09824</v>
      </c>
      <c r="J89" s="22">
        <f>SUM(G88:G98)</f>
        <v>356.2</v>
      </c>
      <c r="K89" s="22">
        <f>SUM(I89*J89)</f>
        <v>747.393088</v>
      </c>
      <c r="L89" s="23">
        <f>SUM(J89+K89)</f>
        <v>1103.593088</v>
      </c>
      <c r="M89" s="55"/>
      <c r="N89" s="3"/>
    </row>
    <row r="90">
      <c r="A90" s="3"/>
      <c r="B90" s="25" t="s">
        <v>15</v>
      </c>
      <c r="C90" s="26" t="s">
        <v>16</v>
      </c>
      <c r="D90" s="27" t="s">
        <v>3</v>
      </c>
      <c r="E90" s="28">
        <v>0.0</v>
      </c>
      <c r="F90" s="29">
        <v>2.59</v>
      </c>
      <c r="G90" s="30">
        <f t="shared" si="3"/>
        <v>0</v>
      </c>
      <c r="H90" s="31"/>
      <c r="I90" s="31"/>
      <c r="J90" s="31"/>
      <c r="K90" s="31"/>
      <c r="L90" s="32"/>
      <c r="M90" s="32"/>
      <c r="N90" s="3"/>
    </row>
    <row r="91">
      <c r="A91" s="3"/>
      <c r="B91" s="33" t="s">
        <v>17</v>
      </c>
      <c r="C91" s="34" t="s">
        <v>18</v>
      </c>
      <c r="D91" s="35" t="s">
        <v>19</v>
      </c>
      <c r="E91" s="36">
        <v>4.0</v>
      </c>
      <c r="F91" s="37">
        <v>13.6</v>
      </c>
      <c r="G91" s="38">
        <f t="shared" si="3"/>
        <v>54.4</v>
      </c>
      <c r="H91" s="31"/>
      <c r="I91" s="31"/>
      <c r="J91" s="31"/>
      <c r="K91" s="31"/>
      <c r="L91" s="32"/>
      <c r="M91" s="32"/>
      <c r="N91" s="3"/>
    </row>
    <row r="92">
      <c r="A92" s="3"/>
      <c r="B92" s="33" t="s">
        <v>20</v>
      </c>
      <c r="C92" s="34" t="s">
        <v>21</v>
      </c>
      <c r="D92" s="35" t="s">
        <v>3</v>
      </c>
      <c r="E92" s="36">
        <v>10.0</v>
      </c>
      <c r="F92" s="37">
        <v>0.19</v>
      </c>
      <c r="G92" s="38">
        <f t="shared" si="3"/>
        <v>1.9</v>
      </c>
      <c r="H92" s="31"/>
      <c r="I92" s="31"/>
      <c r="J92" s="31"/>
      <c r="K92" s="31"/>
      <c r="L92" s="32"/>
      <c r="M92" s="32"/>
      <c r="N92" s="3"/>
    </row>
    <row r="93">
      <c r="A93" s="3"/>
      <c r="B93" s="33" t="s">
        <v>22</v>
      </c>
      <c r="C93" s="34" t="s">
        <v>23</v>
      </c>
      <c r="D93" s="35" t="s">
        <v>3</v>
      </c>
      <c r="E93" s="36">
        <v>10.0</v>
      </c>
      <c r="F93" s="37">
        <v>0.3</v>
      </c>
      <c r="G93" s="38">
        <f t="shared" si="3"/>
        <v>3</v>
      </c>
      <c r="H93" s="31"/>
      <c r="I93" s="31"/>
      <c r="J93" s="31"/>
      <c r="K93" s="31"/>
      <c r="L93" s="32"/>
      <c r="M93" s="32"/>
      <c r="N93" s="3"/>
    </row>
    <row r="94">
      <c r="A94" s="3"/>
      <c r="B94" s="33" t="s">
        <v>24</v>
      </c>
      <c r="C94" s="34" t="s">
        <v>25</v>
      </c>
      <c r="D94" s="35" t="s">
        <v>3</v>
      </c>
      <c r="E94" s="36">
        <v>1.0</v>
      </c>
      <c r="F94" s="37">
        <v>0.15</v>
      </c>
      <c r="G94" s="38">
        <f t="shared" si="3"/>
        <v>0.15</v>
      </c>
      <c r="H94" s="31"/>
      <c r="I94" s="31"/>
      <c r="J94" s="31"/>
      <c r="K94" s="31"/>
      <c r="L94" s="32"/>
      <c r="M94" s="32"/>
      <c r="N94" s="3"/>
    </row>
    <row r="95">
      <c r="A95" s="3"/>
      <c r="B95" s="33" t="s">
        <v>26</v>
      </c>
      <c r="C95" s="34" t="s">
        <v>27</v>
      </c>
      <c r="D95" s="35" t="s">
        <v>3</v>
      </c>
      <c r="E95" s="36">
        <v>50.0</v>
      </c>
      <c r="F95" s="37">
        <v>1.3</v>
      </c>
      <c r="G95" s="38">
        <f t="shared" si="3"/>
        <v>65</v>
      </c>
      <c r="H95" s="31"/>
      <c r="I95" s="31"/>
      <c r="J95" s="31"/>
      <c r="K95" s="31"/>
      <c r="L95" s="32"/>
      <c r="M95" s="32"/>
      <c r="N95" s="3"/>
    </row>
    <row r="96">
      <c r="A96" s="3"/>
      <c r="B96" s="33" t="s">
        <v>28</v>
      </c>
      <c r="C96" s="34" t="s">
        <v>29</v>
      </c>
      <c r="D96" s="35" t="s">
        <v>3</v>
      </c>
      <c r="E96" s="36">
        <v>50.0</v>
      </c>
      <c r="F96" s="37">
        <v>0.14</v>
      </c>
      <c r="G96" s="38">
        <f t="shared" si="3"/>
        <v>7</v>
      </c>
      <c r="H96" s="31"/>
      <c r="I96" s="31"/>
      <c r="J96" s="31"/>
      <c r="K96" s="31"/>
      <c r="L96" s="32"/>
      <c r="M96" s="32"/>
      <c r="N96" s="3"/>
    </row>
    <row r="97">
      <c r="A97" s="3"/>
      <c r="B97" s="33" t="s">
        <v>30</v>
      </c>
      <c r="C97" s="34" t="s">
        <v>31</v>
      </c>
      <c r="D97" s="35" t="s">
        <v>3</v>
      </c>
      <c r="E97" s="36">
        <v>1.0</v>
      </c>
      <c r="F97" s="37">
        <v>23.9</v>
      </c>
      <c r="G97" s="38">
        <f t="shared" si="3"/>
        <v>23.9</v>
      </c>
      <c r="H97" s="31"/>
      <c r="I97" s="31"/>
      <c r="J97" s="31"/>
      <c r="K97" s="31"/>
      <c r="L97" s="32"/>
      <c r="M97" s="32"/>
      <c r="N97" s="3"/>
    </row>
    <row r="98">
      <c r="A98" s="3"/>
      <c r="B98" s="33" t="s">
        <v>32</v>
      </c>
      <c r="C98" s="34" t="s">
        <v>33</v>
      </c>
      <c r="D98" s="35" t="s">
        <v>3</v>
      </c>
      <c r="E98" s="39">
        <v>2.0</v>
      </c>
      <c r="F98" s="37">
        <v>2.5</v>
      </c>
      <c r="G98" s="38">
        <f t="shared" si="3"/>
        <v>5</v>
      </c>
      <c r="H98" s="31"/>
      <c r="I98" s="31"/>
      <c r="J98" s="31"/>
      <c r="K98" s="31"/>
      <c r="L98" s="32"/>
      <c r="M98" s="32"/>
      <c r="N98" s="3"/>
    </row>
    <row r="99">
      <c r="A99" s="3"/>
      <c r="B99" s="33" t="s">
        <v>34</v>
      </c>
      <c r="C99" s="34" t="s">
        <v>35</v>
      </c>
      <c r="D99" s="35" t="s">
        <v>3</v>
      </c>
      <c r="E99" s="40">
        <v>0.0</v>
      </c>
      <c r="F99" s="37">
        <v>2.0</v>
      </c>
      <c r="G99" s="38">
        <f t="shared" si="3"/>
        <v>0</v>
      </c>
      <c r="H99" s="31"/>
      <c r="I99" s="31"/>
      <c r="J99" s="31"/>
      <c r="K99" s="31"/>
      <c r="L99" s="32"/>
      <c r="M99" s="32"/>
      <c r="N99" s="3"/>
    </row>
    <row r="100">
      <c r="A100" s="3"/>
      <c r="B100" s="41" t="s">
        <v>36</v>
      </c>
      <c r="C100" s="42" t="s">
        <v>37</v>
      </c>
      <c r="D100" s="43" t="s">
        <v>3</v>
      </c>
      <c r="E100" s="44">
        <v>0.1</v>
      </c>
      <c r="F100" s="45">
        <v>12.9</v>
      </c>
      <c r="G100" s="46">
        <f t="shared" si="3"/>
        <v>1.29</v>
      </c>
      <c r="H100" s="47"/>
      <c r="I100" s="47"/>
      <c r="J100" s="47"/>
      <c r="K100" s="47"/>
      <c r="L100" s="48"/>
      <c r="M100" s="48"/>
      <c r="N100" s="3"/>
    </row>
    <row r="101">
      <c r="A101" s="3"/>
      <c r="B101" s="56"/>
      <c r="C101" s="57"/>
      <c r="D101" s="58"/>
      <c r="E101" s="59"/>
      <c r="F101" s="60"/>
      <c r="G101" s="61"/>
      <c r="H101" s="62"/>
      <c r="I101" s="63"/>
      <c r="J101" s="64"/>
      <c r="K101" s="64"/>
      <c r="L101" s="64"/>
      <c r="M101" s="64"/>
      <c r="N101" s="3"/>
    </row>
    <row r="102">
      <c r="A102" s="3"/>
      <c r="B102" s="56"/>
      <c r="C102" s="57"/>
      <c r="D102" s="58"/>
      <c r="E102" s="59"/>
      <c r="F102" s="60"/>
      <c r="G102" s="61"/>
      <c r="H102" s="62"/>
      <c r="I102" s="63"/>
      <c r="J102" s="64"/>
      <c r="K102" s="64"/>
      <c r="L102" s="64"/>
      <c r="M102" s="64"/>
      <c r="N102" s="3"/>
    </row>
    <row r="103">
      <c r="A103" s="3"/>
      <c r="B103" s="56"/>
      <c r="C103" s="57"/>
      <c r="D103" s="58"/>
      <c r="E103" s="59"/>
      <c r="F103" s="60"/>
      <c r="G103" s="61"/>
      <c r="H103" s="62"/>
      <c r="I103" s="63"/>
      <c r="J103" s="64"/>
      <c r="K103" s="64"/>
      <c r="L103" s="64"/>
      <c r="M103" s="64"/>
      <c r="N103" s="3"/>
    </row>
    <row r="104">
      <c r="A104" s="3"/>
      <c r="B104" s="56"/>
      <c r="C104" s="57"/>
      <c r="D104" s="58"/>
      <c r="E104" s="59"/>
      <c r="F104" s="60"/>
      <c r="G104" s="61"/>
      <c r="H104" s="62"/>
      <c r="I104" s="63"/>
      <c r="J104" s="64"/>
      <c r="K104" s="64"/>
      <c r="L104" s="64"/>
      <c r="M104" s="64"/>
      <c r="N104" s="3"/>
    </row>
    <row r="105">
      <c r="A105" s="3"/>
      <c r="B105" s="56"/>
      <c r="C105" s="57"/>
      <c r="D105" s="58"/>
      <c r="E105" s="59"/>
      <c r="F105" s="60"/>
      <c r="G105" s="61"/>
      <c r="H105" s="62"/>
      <c r="I105" s="63"/>
      <c r="J105" s="64"/>
      <c r="K105" s="64"/>
      <c r="L105" s="64"/>
      <c r="M105" s="64"/>
      <c r="N105" s="3"/>
    </row>
    <row r="106">
      <c r="A106" s="3"/>
      <c r="B106" s="56"/>
      <c r="C106" s="57"/>
      <c r="D106" s="58"/>
      <c r="E106" s="59"/>
      <c r="F106" s="60"/>
      <c r="G106" s="61"/>
      <c r="H106" s="62"/>
      <c r="I106" s="63"/>
      <c r="J106" s="64"/>
      <c r="K106" s="64"/>
      <c r="L106" s="64"/>
      <c r="M106" s="64"/>
      <c r="N106" s="3"/>
    </row>
    <row r="107">
      <c r="A107" s="3"/>
      <c r="B107" s="56"/>
      <c r="C107" s="57"/>
      <c r="D107" s="58"/>
      <c r="E107" s="59"/>
      <c r="F107" s="60"/>
      <c r="G107" s="61"/>
      <c r="H107" s="62"/>
      <c r="I107" s="63"/>
      <c r="J107" s="64"/>
      <c r="K107" s="64"/>
      <c r="L107" s="64"/>
      <c r="M107" s="64"/>
      <c r="N107" s="3"/>
    </row>
    <row r="108">
      <c r="A108" s="3"/>
      <c r="B108" s="56"/>
      <c r="C108" s="57"/>
      <c r="D108" s="58"/>
      <c r="E108" s="59"/>
      <c r="F108" s="60"/>
      <c r="G108" s="61"/>
      <c r="H108" s="62"/>
      <c r="I108" s="63"/>
      <c r="J108" s="64"/>
      <c r="K108" s="64"/>
      <c r="L108" s="64"/>
      <c r="M108" s="64"/>
      <c r="N108" s="3"/>
    </row>
    <row r="109">
      <c r="A109" s="3"/>
      <c r="B109" s="56"/>
      <c r="C109" s="57"/>
      <c r="D109" s="58"/>
      <c r="E109" s="59"/>
      <c r="F109" s="60"/>
      <c r="G109" s="61"/>
      <c r="H109" s="62"/>
      <c r="I109" s="63"/>
      <c r="J109" s="64"/>
      <c r="K109" s="64"/>
      <c r="L109" s="64"/>
      <c r="M109" s="64"/>
      <c r="N109" s="3"/>
    </row>
    <row r="110">
      <c r="A110" s="3"/>
      <c r="B110" s="56"/>
      <c r="C110" s="57"/>
      <c r="D110" s="58"/>
      <c r="E110" s="59"/>
      <c r="F110" s="60"/>
      <c r="G110" s="61"/>
      <c r="H110" s="62"/>
      <c r="I110" s="63"/>
      <c r="J110" s="64"/>
      <c r="K110" s="64"/>
      <c r="L110" s="64"/>
      <c r="M110" s="64"/>
      <c r="N110" s="3"/>
    </row>
    <row r="111">
      <c r="A111" s="3"/>
      <c r="B111" s="56"/>
      <c r="C111" s="57"/>
      <c r="D111" s="58"/>
      <c r="E111" s="59"/>
      <c r="F111" s="60"/>
      <c r="G111" s="61"/>
      <c r="H111" s="62"/>
      <c r="I111" s="63"/>
      <c r="J111" s="64"/>
      <c r="K111" s="64"/>
      <c r="L111" s="64"/>
      <c r="M111" s="64"/>
      <c r="N111" s="3"/>
    </row>
    <row r="112">
      <c r="A112" s="3"/>
      <c r="B112" s="56"/>
      <c r="C112" s="57"/>
      <c r="D112" s="58"/>
      <c r="E112" s="59"/>
      <c r="F112" s="60"/>
      <c r="G112" s="61"/>
      <c r="H112" s="62"/>
      <c r="I112" s="63"/>
      <c r="J112" s="64"/>
      <c r="K112" s="64"/>
      <c r="L112" s="64"/>
      <c r="M112" s="64"/>
      <c r="N112" s="3"/>
    </row>
    <row r="113">
      <c r="A113" s="3"/>
      <c r="B113" s="56"/>
      <c r="C113" s="57"/>
      <c r="D113" s="58"/>
      <c r="E113" s="59"/>
      <c r="F113" s="60"/>
      <c r="G113" s="61"/>
      <c r="H113" s="62"/>
      <c r="I113" s="63"/>
      <c r="J113" s="64"/>
      <c r="K113" s="64"/>
      <c r="L113" s="64"/>
      <c r="M113" s="64"/>
      <c r="N113" s="3"/>
    </row>
    <row r="114">
      <c r="A114" s="3"/>
      <c r="B114" s="56"/>
      <c r="C114" s="57"/>
      <c r="D114" s="58"/>
      <c r="E114" s="59"/>
      <c r="F114" s="60"/>
      <c r="G114" s="61"/>
      <c r="H114" s="62"/>
      <c r="I114" s="63"/>
      <c r="J114" s="64"/>
      <c r="K114" s="64"/>
      <c r="L114" s="64"/>
      <c r="M114" s="64"/>
      <c r="N114" s="3"/>
    </row>
    <row r="115">
      <c r="A115" s="3"/>
      <c r="B115" s="56"/>
      <c r="C115" s="57"/>
      <c r="D115" s="58"/>
      <c r="E115" s="59"/>
      <c r="F115" s="60"/>
      <c r="G115" s="61"/>
      <c r="H115" s="62"/>
      <c r="I115" s="63"/>
      <c r="J115" s="64"/>
      <c r="K115" s="64"/>
      <c r="L115" s="64"/>
      <c r="M115" s="64"/>
      <c r="N115" s="3"/>
    </row>
    <row r="116">
      <c r="A116" s="3"/>
      <c r="B116" s="56"/>
      <c r="C116" s="57"/>
      <c r="D116" s="58"/>
      <c r="E116" s="59"/>
      <c r="F116" s="60"/>
      <c r="G116" s="61"/>
      <c r="H116" s="62"/>
      <c r="I116" s="63"/>
      <c r="J116" s="64"/>
      <c r="K116" s="64"/>
      <c r="L116" s="64"/>
      <c r="M116" s="64"/>
      <c r="N116" s="3"/>
    </row>
    <row r="117">
      <c r="A117" s="3"/>
      <c r="B117" s="56"/>
      <c r="C117" s="57"/>
      <c r="D117" s="58"/>
      <c r="E117" s="59"/>
      <c r="F117" s="60"/>
      <c r="G117" s="61"/>
      <c r="H117" s="62"/>
      <c r="I117" s="63"/>
      <c r="J117" s="64"/>
      <c r="K117" s="64"/>
      <c r="L117" s="64"/>
      <c r="M117" s="64"/>
      <c r="N117" s="3"/>
    </row>
    <row r="118">
      <c r="A118" s="3"/>
      <c r="B118" s="56"/>
      <c r="C118" s="57"/>
      <c r="D118" s="58"/>
      <c r="E118" s="59"/>
      <c r="F118" s="60"/>
      <c r="G118" s="61"/>
      <c r="H118" s="62"/>
      <c r="I118" s="63"/>
      <c r="J118" s="64"/>
      <c r="K118" s="64"/>
      <c r="L118" s="64"/>
      <c r="M118" s="64"/>
      <c r="N118" s="3"/>
    </row>
    <row r="119">
      <c r="A119" s="3"/>
      <c r="B119" s="56"/>
      <c r="C119" s="57"/>
      <c r="D119" s="58"/>
      <c r="E119" s="59"/>
      <c r="F119" s="60"/>
      <c r="G119" s="61"/>
      <c r="H119" s="62"/>
      <c r="I119" s="63"/>
      <c r="J119" s="64"/>
      <c r="K119" s="64"/>
      <c r="L119" s="64"/>
      <c r="M119" s="64"/>
      <c r="N119" s="3"/>
    </row>
    <row r="120">
      <c r="A120" s="3"/>
      <c r="B120" s="56"/>
      <c r="C120" s="57"/>
      <c r="D120" s="58"/>
      <c r="E120" s="59"/>
      <c r="F120" s="60"/>
      <c r="G120" s="61"/>
      <c r="H120" s="62"/>
      <c r="I120" s="63"/>
      <c r="J120" s="64"/>
      <c r="K120" s="64"/>
      <c r="L120" s="64"/>
      <c r="M120" s="64"/>
      <c r="N120" s="3"/>
    </row>
    <row r="121">
      <c r="A121" s="3"/>
      <c r="B121" s="56"/>
      <c r="C121" s="57"/>
      <c r="D121" s="58"/>
      <c r="E121" s="59"/>
      <c r="F121" s="60"/>
      <c r="G121" s="61"/>
      <c r="H121" s="62"/>
      <c r="I121" s="63"/>
      <c r="J121" s="64"/>
      <c r="K121" s="64"/>
      <c r="L121" s="64"/>
      <c r="M121" s="64"/>
      <c r="N121" s="3"/>
    </row>
    <row r="122">
      <c r="A122" s="3"/>
      <c r="B122" s="56"/>
      <c r="C122" s="57"/>
      <c r="D122" s="58"/>
      <c r="E122" s="59"/>
      <c r="F122" s="60"/>
      <c r="G122" s="61"/>
      <c r="H122" s="62"/>
      <c r="I122" s="63"/>
      <c r="J122" s="64"/>
      <c r="K122" s="64"/>
      <c r="L122" s="64"/>
      <c r="M122" s="64"/>
      <c r="N122" s="3"/>
    </row>
    <row r="123">
      <c r="A123" s="3"/>
      <c r="B123" s="56"/>
      <c r="C123" s="57"/>
      <c r="D123" s="58"/>
      <c r="E123" s="59"/>
      <c r="F123" s="60"/>
      <c r="G123" s="61"/>
      <c r="H123" s="62"/>
      <c r="I123" s="63"/>
      <c r="J123" s="64"/>
      <c r="K123" s="64"/>
      <c r="L123" s="64"/>
      <c r="M123" s="64"/>
      <c r="N123" s="3"/>
    </row>
    <row r="124">
      <c r="A124" s="3"/>
      <c r="B124" s="56"/>
      <c r="C124" s="57"/>
      <c r="D124" s="58"/>
      <c r="E124" s="59"/>
      <c r="F124" s="60"/>
      <c r="G124" s="61"/>
      <c r="H124" s="62"/>
      <c r="I124" s="63"/>
      <c r="J124" s="64"/>
      <c r="K124" s="64"/>
      <c r="L124" s="64"/>
      <c r="M124" s="64"/>
      <c r="N124" s="3"/>
    </row>
    <row r="125">
      <c r="A125" s="3"/>
      <c r="B125" s="56"/>
      <c r="C125" s="57"/>
      <c r="D125" s="58"/>
      <c r="E125" s="59"/>
      <c r="F125" s="60"/>
      <c r="G125" s="61"/>
      <c r="H125" s="62"/>
      <c r="I125" s="63"/>
      <c r="J125" s="64"/>
      <c r="K125" s="64"/>
      <c r="L125" s="64"/>
      <c r="M125" s="64"/>
      <c r="N125" s="3"/>
    </row>
    <row r="126">
      <c r="A126" s="3"/>
      <c r="B126" s="56"/>
      <c r="C126" s="57"/>
      <c r="D126" s="58"/>
      <c r="E126" s="59"/>
      <c r="F126" s="60"/>
      <c r="G126" s="61"/>
      <c r="H126" s="62"/>
      <c r="I126" s="63"/>
      <c r="J126" s="64"/>
      <c r="K126" s="64"/>
      <c r="L126" s="64"/>
      <c r="M126" s="64"/>
      <c r="N126" s="3"/>
    </row>
    <row r="127">
      <c r="A127" s="3"/>
      <c r="B127" s="56"/>
      <c r="C127" s="57"/>
      <c r="D127" s="58"/>
      <c r="E127" s="59"/>
      <c r="F127" s="60"/>
      <c r="G127" s="61"/>
      <c r="H127" s="62"/>
      <c r="I127" s="63"/>
      <c r="J127" s="64"/>
      <c r="K127" s="64"/>
      <c r="L127" s="64"/>
      <c r="M127" s="64"/>
      <c r="N127" s="3"/>
    </row>
    <row r="128">
      <c r="A128" s="3"/>
      <c r="B128" s="56"/>
      <c r="C128" s="57"/>
      <c r="D128" s="58"/>
      <c r="E128" s="59"/>
      <c r="F128" s="60"/>
      <c r="G128" s="61"/>
      <c r="H128" s="62"/>
      <c r="I128" s="63"/>
      <c r="J128" s="64"/>
      <c r="K128" s="64"/>
      <c r="L128" s="64"/>
      <c r="M128" s="64"/>
      <c r="N128" s="3"/>
    </row>
    <row r="129">
      <c r="A129" s="3"/>
      <c r="B129" s="56"/>
      <c r="C129" s="57"/>
      <c r="D129" s="58"/>
      <c r="E129" s="59"/>
      <c r="F129" s="60"/>
      <c r="G129" s="61"/>
      <c r="H129" s="62"/>
      <c r="I129" s="63"/>
      <c r="J129" s="64"/>
      <c r="K129" s="64"/>
      <c r="L129" s="64"/>
      <c r="M129" s="64"/>
      <c r="N129" s="3"/>
    </row>
    <row r="130">
      <c r="A130" s="3"/>
      <c r="B130" s="56"/>
      <c r="C130" s="57"/>
      <c r="D130" s="58"/>
      <c r="E130" s="59"/>
      <c r="F130" s="60"/>
      <c r="G130" s="61"/>
      <c r="H130" s="62"/>
      <c r="I130" s="63"/>
      <c r="J130" s="64"/>
      <c r="K130" s="64"/>
      <c r="L130" s="64"/>
      <c r="M130" s="64"/>
      <c r="N130" s="3"/>
    </row>
    <row r="131">
      <c r="A131" s="3"/>
      <c r="B131" s="56"/>
      <c r="C131" s="57"/>
      <c r="D131" s="58"/>
      <c r="E131" s="59"/>
      <c r="F131" s="60"/>
      <c r="G131" s="61"/>
      <c r="H131" s="62"/>
      <c r="I131" s="63"/>
      <c r="J131" s="64"/>
      <c r="K131" s="64"/>
      <c r="L131" s="64"/>
      <c r="M131" s="64"/>
      <c r="N131" s="3"/>
    </row>
    <row r="132">
      <c r="A132" s="3"/>
      <c r="B132" s="56"/>
      <c r="C132" s="57"/>
      <c r="D132" s="58"/>
      <c r="E132" s="59"/>
      <c r="F132" s="60"/>
      <c r="G132" s="61"/>
      <c r="H132" s="62"/>
      <c r="I132" s="63"/>
      <c r="J132" s="64"/>
      <c r="K132" s="64"/>
      <c r="L132" s="64"/>
      <c r="M132" s="64"/>
      <c r="N132" s="3"/>
    </row>
    <row r="133">
      <c r="A133" s="3"/>
      <c r="B133" s="56"/>
      <c r="C133" s="57"/>
      <c r="D133" s="58"/>
      <c r="E133" s="59"/>
      <c r="F133" s="60"/>
      <c r="G133" s="61"/>
      <c r="H133" s="62"/>
      <c r="I133" s="63"/>
      <c r="J133" s="64"/>
      <c r="K133" s="64"/>
      <c r="L133" s="64"/>
      <c r="M133" s="64"/>
      <c r="N133" s="3"/>
    </row>
    <row r="134">
      <c r="A134" s="3"/>
      <c r="B134" s="56"/>
      <c r="C134" s="57"/>
      <c r="D134" s="58"/>
      <c r="E134" s="59"/>
      <c r="F134" s="60"/>
      <c r="G134" s="61"/>
      <c r="H134" s="62"/>
      <c r="I134" s="63"/>
      <c r="J134" s="64"/>
      <c r="K134" s="64"/>
      <c r="L134" s="64"/>
      <c r="M134" s="64"/>
      <c r="N134" s="3"/>
    </row>
    <row r="135">
      <c r="A135" s="3"/>
      <c r="B135" s="56"/>
      <c r="C135" s="57"/>
      <c r="D135" s="58"/>
      <c r="E135" s="59"/>
      <c r="F135" s="60"/>
      <c r="G135" s="61"/>
      <c r="H135" s="62"/>
      <c r="I135" s="63"/>
      <c r="J135" s="64"/>
      <c r="K135" s="64"/>
      <c r="L135" s="64"/>
      <c r="M135" s="64"/>
      <c r="N135" s="3"/>
    </row>
    <row r="136">
      <c r="A136" s="3"/>
      <c r="B136" s="56"/>
      <c r="C136" s="57"/>
      <c r="D136" s="58"/>
      <c r="E136" s="59"/>
      <c r="F136" s="60"/>
      <c r="G136" s="61"/>
      <c r="H136" s="62"/>
      <c r="I136" s="63"/>
      <c r="J136" s="64"/>
      <c r="K136" s="64"/>
      <c r="L136" s="64"/>
      <c r="M136" s="64"/>
      <c r="N136" s="3"/>
    </row>
  </sheetData>
  <mergeCells count="50">
    <mergeCell ref="A1:H2"/>
    <mergeCell ref="C3:M3"/>
    <mergeCell ref="I5:I16"/>
    <mergeCell ref="J5:J16"/>
    <mergeCell ref="K5:K16"/>
    <mergeCell ref="L5:L16"/>
    <mergeCell ref="M5:M16"/>
    <mergeCell ref="H5:H16"/>
    <mergeCell ref="H17:H28"/>
    <mergeCell ref="I17:I28"/>
    <mergeCell ref="J17:J28"/>
    <mergeCell ref="K17:K28"/>
    <mergeCell ref="L17:L28"/>
    <mergeCell ref="M17:M28"/>
    <mergeCell ref="K41:K52"/>
    <mergeCell ref="L41:L52"/>
    <mergeCell ref="K53:K64"/>
    <mergeCell ref="L53:L64"/>
    <mergeCell ref="M53:M64"/>
    <mergeCell ref="K65:K76"/>
    <mergeCell ref="L65:L76"/>
    <mergeCell ref="M65:M76"/>
    <mergeCell ref="H29:H40"/>
    <mergeCell ref="I29:I40"/>
    <mergeCell ref="J29:J40"/>
    <mergeCell ref="K29:K40"/>
    <mergeCell ref="L29:L40"/>
    <mergeCell ref="M29:M40"/>
    <mergeCell ref="H41:H52"/>
    <mergeCell ref="M41:M52"/>
    <mergeCell ref="H65:H76"/>
    <mergeCell ref="H77:H88"/>
    <mergeCell ref="I77:I88"/>
    <mergeCell ref="J77:J88"/>
    <mergeCell ref="K77:K88"/>
    <mergeCell ref="L77:L88"/>
    <mergeCell ref="M77:M88"/>
    <mergeCell ref="H89:H100"/>
    <mergeCell ref="I89:I100"/>
    <mergeCell ref="J89:J100"/>
    <mergeCell ref="K89:K100"/>
    <mergeCell ref="L89:L100"/>
    <mergeCell ref="M89:M100"/>
    <mergeCell ref="I41:I52"/>
    <mergeCell ref="J41:J52"/>
    <mergeCell ref="H53:H64"/>
    <mergeCell ref="I53:I64"/>
    <mergeCell ref="J53:J64"/>
    <mergeCell ref="I65:I76"/>
    <mergeCell ref="J65:J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8.0"/>
    <col customWidth="1" min="3" max="3" width="93.43"/>
    <col customWidth="1" min="4" max="4" width="10.0"/>
    <col customWidth="1" min="5" max="5" width="11.14"/>
    <col customWidth="1" min="6" max="6" width="12.86"/>
    <col customWidth="1" min="7" max="7" width="22.57"/>
    <col customWidth="1" min="8" max="8" width="17.29"/>
    <col customWidth="1" min="9" max="9" width="27.14"/>
    <col customWidth="1" min="10" max="10" width="21.0"/>
    <col customWidth="1" min="11" max="11" width="46.86"/>
    <col customWidth="1" min="12" max="13" width="43.71"/>
    <col customWidth="1" min="14" max="14" width="5.14"/>
  </cols>
  <sheetData>
    <row r="1">
      <c r="A1" s="65" t="s">
        <v>44</v>
      </c>
      <c r="B1" s="66" t="s">
        <v>0</v>
      </c>
      <c r="N1" s="1"/>
    </row>
    <row r="2" ht="32.25" customHeight="1">
      <c r="A2" s="67"/>
      <c r="B2" s="66"/>
      <c r="C2" s="66"/>
      <c r="D2" s="66"/>
      <c r="E2" s="66"/>
      <c r="F2" s="66"/>
      <c r="G2" s="66"/>
      <c r="H2" s="66"/>
      <c r="I2" s="2"/>
      <c r="J2" s="2"/>
      <c r="K2" s="2"/>
      <c r="L2" s="2"/>
      <c r="M2" s="2"/>
      <c r="N2" s="1"/>
    </row>
    <row r="3">
      <c r="A3" s="68"/>
      <c r="B3" s="69" t="s">
        <v>1</v>
      </c>
      <c r="C3" s="70" t="s">
        <v>2</v>
      </c>
      <c r="D3" s="71" t="s">
        <v>3</v>
      </c>
      <c r="E3" s="72" t="s">
        <v>4</v>
      </c>
      <c r="F3" s="73" t="s">
        <v>5</v>
      </c>
      <c r="G3" s="74" t="s">
        <v>6</v>
      </c>
      <c r="H3" s="13" t="s">
        <v>8</v>
      </c>
      <c r="I3" s="14" t="s">
        <v>7</v>
      </c>
      <c r="J3" s="14" t="s">
        <v>9</v>
      </c>
      <c r="K3" s="14" t="s">
        <v>10</v>
      </c>
      <c r="L3" s="14" t="s">
        <v>11</v>
      </c>
      <c r="M3" s="75" t="s">
        <v>11</v>
      </c>
      <c r="N3" s="3"/>
    </row>
    <row r="4">
      <c r="A4" s="68"/>
      <c r="B4" s="76"/>
      <c r="C4" s="77"/>
      <c r="D4" s="78" t="s">
        <v>14</v>
      </c>
      <c r="E4" s="79">
        <v>1.0</v>
      </c>
      <c r="F4" s="80">
        <v>194.56</v>
      </c>
      <c r="G4" s="81">
        <f t="shared" ref="G4:G39" si="1">SUM(E4*F4)</f>
        <v>194.56</v>
      </c>
      <c r="H4" s="82">
        <f>SUM(G4:G7)</f>
        <v>198.8594</v>
      </c>
      <c r="I4" s="21">
        <v>2.09824</v>
      </c>
      <c r="J4" s="22">
        <f>SUM(H3:H14)</f>
        <v>596.5782</v>
      </c>
      <c r="K4" s="22">
        <f>SUM(I4*J4)</f>
        <v>1251.764242</v>
      </c>
      <c r="L4" s="22">
        <f>SUM(J4+K4)</f>
        <v>1848.342442</v>
      </c>
      <c r="M4" s="83">
        <v>0.6772</v>
      </c>
      <c r="N4" s="3"/>
    </row>
    <row r="5">
      <c r="A5" s="68"/>
      <c r="B5" s="84" t="s">
        <v>15</v>
      </c>
      <c r="C5" s="85" t="s">
        <v>16</v>
      </c>
      <c r="D5" s="86" t="s">
        <v>3</v>
      </c>
      <c r="E5" s="86">
        <v>0.0</v>
      </c>
      <c r="F5" s="87">
        <v>15.0</v>
      </c>
      <c r="G5" s="87">
        <f t="shared" si="1"/>
        <v>0</v>
      </c>
      <c r="H5" s="31"/>
      <c r="I5" s="31"/>
      <c r="J5" s="31"/>
      <c r="K5" s="31"/>
      <c r="L5" s="31"/>
      <c r="M5" s="31"/>
      <c r="N5" s="3"/>
    </row>
    <row r="6">
      <c r="A6" s="68"/>
      <c r="B6" s="88" t="s">
        <v>45</v>
      </c>
      <c r="C6" s="89" t="s">
        <v>46</v>
      </c>
      <c r="D6" s="90" t="s">
        <v>47</v>
      </c>
      <c r="E6" s="90">
        <v>1.66</v>
      </c>
      <c r="F6" s="91">
        <v>2.59</v>
      </c>
      <c r="G6" s="91">
        <f t="shared" si="1"/>
        <v>4.2994</v>
      </c>
      <c r="H6" s="31"/>
      <c r="I6" s="31"/>
      <c r="J6" s="31"/>
      <c r="K6" s="31"/>
      <c r="L6" s="31"/>
      <c r="M6" s="31"/>
      <c r="N6" s="3"/>
    </row>
    <row r="7">
      <c r="A7" s="68"/>
      <c r="B7" s="92" t="s">
        <v>48</v>
      </c>
      <c r="C7" s="93" t="s">
        <v>49</v>
      </c>
      <c r="D7" s="86" t="s">
        <v>3</v>
      </c>
      <c r="E7" s="94">
        <v>0.0</v>
      </c>
      <c r="F7" s="95">
        <v>3.9</v>
      </c>
      <c r="G7" s="95">
        <f t="shared" si="1"/>
        <v>0</v>
      </c>
      <c r="H7" s="47"/>
      <c r="I7" s="47"/>
      <c r="J7" s="47"/>
      <c r="K7" s="47"/>
      <c r="L7" s="47"/>
      <c r="M7" s="47"/>
      <c r="N7" s="3"/>
    </row>
    <row r="8">
      <c r="A8" s="68"/>
      <c r="B8" s="96" t="s">
        <v>50</v>
      </c>
      <c r="C8" s="77" t="s">
        <v>51</v>
      </c>
      <c r="D8" s="78" t="s">
        <v>14</v>
      </c>
      <c r="E8" s="79">
        <v>1.0</v>
      </c>
      <c r="F8" s="80">
        <v>194.56</v>
      </c>
      <c r="G8" s="81">
        <f t="shared" si="1"/>
        <v>194.56</v>
      </c>
      <c r="H8" s="82">
        <f>SUM(G8:G11)</f>
        <v>198.8594</v>
      </c>
      <c r="I8" s="21">
        <v>2.1</v>
      </c>
      <c r="J8" s="22">
        <f>SUM(H7:H18)</f>
        <v>631.8382</v>
      </c>
      <c r="K8" s="22">
        <f>SUM(I8*J8)</f>
        <v>1326.86022</v>
      </c>
      <c r="L8" s="22">
        <f>SUM(J8+K8)</f>
        <v>1958.69842</v>
      </c>
      <c r="M8" s="83">
        <v>0.6772</v>
      </c>
      <c r="N8" s="3"/>
    </row>
    <row r="9">
      <c r="A9" s="68"/>
      <c r="B9" s="84" t="s">
        <v>15</v>
      </c>
      <c r="C9" s="85" t="s">
        <v>16</v>
      </c>
      <c r="D9" s="86" t="s">
        <v>3</v>
      </c>
      <c r="E9" s="86">
        <v>0.0</v>
      </c>
      <c r="F9" s="87">
        <v>15.0</v>
      </c>
      <c r="G9" s="87">
        <f t="shared" si="1"/>
        <v>0</v>
      </c>
      <c r="H9" s="31"/>
      <c r="I9" s="31"/>
      <c r="J9" s="31"/>
      <c r="K9" s="31"/>
      <c r="L9" s="31"/>
      <c r="M9" s="31"/>
      <c r="N9" s="3"/>
    </row>
    <row r="10">
      <c r="A10" s="68"/>
      <c r="B10" s="88" t="s">
        <v>45</v>
      </c>
      <c r="C10" s="89" t="s">
        <v>46</v>
      </c>
      <c r="D10" s="90" t="s">
        <v>14</v>
      </c>
      <c r="E10" s="90">
        <v>1.66</v>
      </c>
      <c r="F10" s="91">
        <v>2.59</v>
      </c>
      <c r="G10" s="91">
        <f t="shared" si="1"/>
        <v>4.2994</v>
      </c>
      <c r="H10" s="31"/>
      <c r="I10" s="31"/>
      <c r="J10" s="31"/>
      <c r="K10" s="31"/>
      <c r="L10" s="31"/>
      <c r="M10" s="31"/>
      <c r="N10" s="3"/>
    </row>
    <row r="11">
      <c r="A11" s="68"/>
      <c r="B11" s="92" t="s">
        <v>48</v>
      </c>
      <c r="C11" s="93" t="s">
        <v>49</v>
      </c>
      <c r="D11" s="86" t="s">
        <v>3</v>
      </c>
      <c r="E11" s="94">
        <v>0.0</v>
      </c>
      <c r="F11" s="95">
        <v>3.9</v>
      </c>
      <c r="G11" s="95">
        <f t="shared" si="1"/>
        <v>0</v>
      </c>
      <c r="H11" s="47"/>
      <c r="I11" s="47"/>
      <c r="J11" s="47"/>
      <c r="K11" s="47"/>
      <c r="L11" s="47"/>
      <c r="M11" s="47"/>
      <c r="N11" s="3"/>
    </row>
    <row r="12">
      <c r="A12" s="97"/>
      <c r="B12" s="96" t="s">
        <v>52</v>
      </c>
      <c r="C12" s="98" t="s">
        <v>53</v>
      </c>
      <c r="D12" s="78" t="s">
        <v>14</v>
      </c>
      <c r="E12" s="79">
        <v>1.0</v>
      </c>
      <c r="F12" s="80">
        <v>194.56</v>
      </c>
      <c r="G12" s="81">
        <f t="shared" si="1"/>
        <v>194.56</v>
      </c>
      <c r="H12" s="82">
        <f>SUM(G12:G15)</f>
        <v>198.8594</v>
      </c>
      <c r="I12" s="21">
        <v>2.09824</v>
      </c>
      <c r="J12" s="22">
        <f>SUM(H11:H22)</f>
        <v>707.8382</v>
      </c>
      <c r="K12" s="22">
        <f>SUM(I12*J12)</f>
        <v>1485.214425</v>
      </c>
      <c r="L12" s="22">
        <f>SUM(J12+K12)</f>
        <v>2193.052625</v>
      </c>
      <c r="M12" s="83">
        <v>0.6772</v>
      </c>
      <c r="N12" s="3"/>
    </row>
    <row r="13">
      <c r="A13" s="68"/>
      <c r="B13" s="84" t="s">
        <v>15</v>
      </c>
      <c r="C13" s="85" t="s">
        <v>16</v>
      </c>
      <c r="D13" s="86" t="s">
        <v>3</v>
      </c>
      <c r="E13" s="86">
        <v>0.0</v>
      </c>
      <c r="F13" s="87">
        <v>15.0</v>
      </c>
      <c r="G13" s="87">
        <f t="shared" si="1"/>
        <v>0</v>
      </c>
      <c r="H13" s="31"/>
      <c r="I13" s="31"/>
      <c r="J13" s="31"/>
      <c r="K13" s="31"/>
      <c r="L13" s="31"/>
      <c r="M13" s="31"/>
      <c r="N13" s="3"/>
    </row>
    <row r="14">
      <c r="A14" s="68"/>
      <c r="B14" s="88" t="s">
        <v>45</v>
      </c>
      <c r="C14" s="89" t="s">
        <v>46</v>
      </c>
      <c r="D14" s="90" t="s">
        <v>14</v>
      </c>
      <c r="E14" s="90">
        <v>1.66</v>
      </c>
      <c r="F14" s="91">
        <v>2.59</v>
      </c>
      <c r="G14" s="91">
        <f t="shared" si="1"/>
        <v>4.2994</v>
      </c>
      <c r="H14" s="31"/>
      <c r="I14" s="31"/>
      <c r="J14" s="31"/>
      <c r="K14" s="31"/>
      <c r="L14" s="31"/>
      <c r="M14" s="31"/>
      <c r="N14" s="3"/>
    </row>
    <row r="15">
      <c r="A15" s="68"/>
      <c r="B15" s="92" t="s">
        <v>48</v>
      </c>
      <c r="C15" s="93" t="s">
        <v>49</v>
      </c>
      <c r="D15" s="86" t="s">
        <v>3</v>
      </c>
      <c r="E15" s="94">
        <v>0.0</v>
      </c>
      <c r="F15" s="95">
        <v>3.9</v>
      </c>
      <c r="G15" s="95">
        <f t="shared" si="1"/>
        <v>0</v>
      </c>
      <c r="H15" s="47"/>
      <c r="I15" s="47"/>
      <c r="J15" s="47"/>
      <c r="K15" s="47"/>
      <c r="L15" s="47"/>
      <c r="M15" s="47"/>
      <c r="N15" s="3"/>
    </row>
    <row r="16">
      <c r="A16" s="68"/>
      <c r="B16" s="96" t="s">
        <v>54</v>
      </c>
      <c r="C16" s="99" t="s">
        <v>55</v>
      </c>
      <c r="D16" s="78" t="s">
        <v>14</v>
      </c>
      <c r="E16" s="79">
        <v>1.0</v>
      </c>
      <c r="F16" s="80">
        <v>229.82</v>
      </c>
      <c r="G16" s="81">
        <f t="shared" si="1"/>
        <v>229.82</v>
      </c>
      <c r="H16" s="82">
        <f>SUM(G16:G19)</f>
        <v>234.1194</v>
      </c>
      <c r="I16" s="21">
        <v>2.09824</v>
      </c>
      <c r="J16" s="22">
        <f>SUM(H15:H26)</f>
        <v>817.2782</v>
      </c>
      <c r="K16" s="22">
        <f>SUM(I16*J16)</f>
        <v>1714.84581</v>
      </c>
      <c r="L16" s="22">
        <f>SUM(J16+K16)</f>
        <v>2532.12401</v>
      </c>
      <c r="M16" s="83">
        <v>0.6772</v>
      </c>
      <c r="N16" s="3"/>
    </row>
    <row r="17">
      <c r="A17" s="68"/>
      <c r="B17" s="84" t="s">
        <v>15</v>
      </c>
      <c r="C17" s="85" t="s">
        <v>16</v>
      </c>
      <c r="D17" s="86" t="s">
        <v>3</v>
      </c>
      <c r="E17" s="86">
        <v>0.0</v>
      </c>
      <c r="F17" s="87">
        <v>15.0</v>
      </c>
      <c r="G17" s="87">
        <f t="shared" si="1"/>
        <v>0</v>
      </c>
      <c r="H17" s="31"/>
      <c r="I17" s="31"/>
      <c r="J17" s="31"/>
      <c r="K17" s="31"/>
      <c r="L17" s="31"/>
      <c r="M17" s="31"/>
      <c r="N17" s="3"/>
    </row>
    <row r="18">
      <c r="A18" s="68"/>
      <c r="B18" s="100" t="s">
        <v>45</v>
      </c>
      <c r="C18" s="89" t="s">
        <v>46</v>
      </c>
      <c r="D18" s="90" t="s">
        <v>14</v>
      </c>
      <c r="E18" s="90">
        <v>1.66</v>
      </c>
      <c r="F18" s="91">
        <v>2.59</v>
      </c>
      <c r="G18" s="91">
        <f t="shared" si="1"/>
        <v>4.2994</v>
      </c>
      <c r="H18" s="31"/>
      <c r="I18" s="31"/>
      <c r="J18" s="31"/>
      <c r="K18" s="31"/>
      <c r="L18" s="31"/>
      <c r="M18" s="31"/>
      <c r="N18" s="3"/>
    </row>
    <row r="19">
      <c r="A19" s="68"/>
      <c r="B19" s="101" t="s">
        <v>48</v>
      </c>
      <c r="C19" s="93" t="s">
        <v>49</v>
      </c>
      <c r="D19" s="86" t="s">
        <v>3</v>
      </c>
      <c r="E19" s="94">
        <v>0.0</v>
      </c>
      <c r="F19" s="95">
        <v>3.9</v>
      </c>
      <c r="G19" s="95">
        <f t="shared" si="1"/>
        <v>0</v>
      </c>
      <c r="H19" s="47"/>
      <c r="I19" s="47"/>
      <c r="J19" s="47"/>
      <c r="K19" s="47"/>
      <c r="L19" s="47"/>
      <c r="M19" s="47"/>
      <c r="N19" s="3"/>
    </row>
    <row r="20">
      <c r="A20" s="68"/>
      <c r="B20" s="96" t="s">
        <v>56</v>
      </c>
      <c r="C20" s="99" t="s">
        <v>57</v>
      </c>
      <c r="D20" s="78" t="s">
        <v>14</v>
      </c>
      <c r="E20" s="79">
        <v>1.0</v>
      </c>
      <c r="F20" s="80">
        <v>270.56</v>
      </c>
      <c r="G20" s="81">
        <f t="shared" si="1"/>
        <v>270.56</v>
      </c>
      <c r="H20" s="82">
        <f>SUM(G20:G23)</f>
        <v>274.8594</v>
      </c>
      <c r="I20" s="21">
        <v>2.09824</v>
      </c>
      <c r="J20" s="22">
        <f>SUM(H19:H30)</f>
        <v>817.2782</v>
      </c>
      <c r="K20" s="22">
        <f>SUM(I20*J20)</f>
        <v>1714.84581</v>
      </c>
      <c r="L20" s="22">
        <f>SUM(J20+K20)</f>
        <v>2532.12401</v>
      </c>
      <c r="M20" s="83">
        <v>0.6772</v>
      </c>
      <c r="N20" s="3"/>
    </row>
    <row r="21">
      <c r="A21" s="68"/>
      <c r="B21" s="84" t="s">
        <v>15</v>
      </c>
      <c r="C21" s="85" t="s">
        <v>16</v>
      </c>
      <c r="D21" s="86" t="s">
        <v>3</v>
      </c>
      <c r="E21" s="86">
        <v>0.0</v>
      </c>
      <c r="F21" s="87">
        <v>15.0</v>
      </c>
      <c r="G21" s="87">
        <f t="shared" si="1"/>
        <v>0</v>
      </c>
      <c r="H21" s="31"/>
      <c r="I21" s="31"/>
      <c r="J21" s="31"/>
      <c r="K21" s="31"/>
      <c r="L21" s="31"/>
      <c r="M21" s="31"/>
      <c r="N21" s="3"/>
    </row>
    <row r="22">
      <c r="A22" s="68"/>
      <c r="B22" s="88" t="s">
        <v>45</v>
      </c>
      <c r="C22" s="89" t="s">
        <v>46</v>
      </c>
      <c r="D22" s="90" t="s">
        <v>14</v>
      </c>
      <c r="E22" s="90">
        <v>1.66</v>
      </c>
      <c r="F22" s="91">
        <v>2.59</v>
      </c>
      <c r="G22" s="91">
        <f t="shared" si="1"/>
        <v>4.2994</v>
      </c>
      <c r="H22" s="31"/>
      <c r="I22" s="31"/>
      <c r="J22" s="31"/>
      <c r="K22" s="31"/>
      <c r="L22" s="31"/>
      <c r="M22" s="31"/>
      <c r="N22" s="3"/>
    </row>
    <row r="23">
      <c r="A23" s="68"/>
      <c r="B23" s="102" t="s">
        <v>48</v>
      </c>
      <c r="C23" s="93" t="s">
        <v>49</v>
      </c>
      <c r="D23" s="86" t="s">
        <v>3</v>
      </c>
      <c r="E23" s="94">
        <v>0.0</v>
      </c>
      <c r="F23" s="95">
        <v>3.9</v>
      </c>
      <c r="G23" s="95">
        <f t="shared" si="1"/>
        <v>0</v>
      </c>
      <c r="H23" s="47"/>
      <c r="I23" s="47"/>
      <c r="J23" s="47"/>
      <c r="K23" s="47"/>
      <c r="L23" s="47"/>
      <c r="M23" s="47"/>
      <c r="N23" s="3"/>
    </row>
    <row r="24">
      <c r="A24" s="68"/>
      <c r="B24" s="103" t="s">
        <v>58</v>
      </c>
      <c r="C24" s="99" t="s">
        <v>59</v>
      </c>
      <c r="D24" s="78" t="s">
        <v>14</v>
      </c>
      <c r="E24" s="79">
        <v>1.0</v>
      </c>
      <c r="F24" s="80">
        <v>304.0</v>
      </c>
      <c r="G24" s="81">
        <f t="shared" si="1"/>
        <v>304</v>
      </c>
      <c r="H24" s="82">
        <f>SUM(G24:G27)</f>
        <v>308.2994</v>
      </c>
      <c r="I24" s="21">
        <v>2.09824</v>
      </c>
      <c r="J24" s="22">
        <f>SUM(H23:H34)</f>
        <v>741.2782</v>
      </c>
      <c r="K24" s="22">
        <f>SUM(I24*J24)</f>
        <v>1555.37957</v>
      </c>
      <c r="L24" s="22">
        <f>SUM(J24+K24)</f>
        <v>2296.65777</v>
      </c>
      <c r="M24" s="83">
        <v>0.6772</v>
      </c>
      <c r="N24" s="3"/>
    </row>
    <row r="25">
      <c r="A25" s="68"/>
      <c r="B25" s="102" t="s">
        <v>15</v>
      </c>
      <c r="C25" s="85" t="s">
        <v>16</v>
      </c>
      <c r="D25" s="86" t="s">
        <v>3</v>
      </c>
      <c r="E25" s="86">
        <v>0.0</v>
      </c>
      <c r="F25" s="87">
        <v>15.0</v>
      </c>
      <c r="G25" s="87">
        <f t="shared" si="1"/>
        <v>0</v>
      </c>
      <c r="H25" s="31"/>
      <c r="I25" s="31"/>
      <c r="J25" s="31"/>
      <c r="K25" s="31"/>
      <c r="L25" s="31"/>
      <c r="M25" s="31"/>
      <c r="N25" s="3"/>
    </row>
    <row r="26">
      <c r="A26" s="68"/>
      <c r="B26" s="104" t="s">
        <v>45</v>
      </c>
      <c r="C26" s="89" t="s">
        <v>46</v>
      </c>
      <c r="D26" s="90" t="s">
        <v>14</v>
      </c>
      <c r="E26" s="90">
        <v>1.66</v>
      </c>
      <c r="F26" s="91">
        <v>2.59</v>
      </c>
      <c r="G26" s="91">
        <f t="shared" si="1"/>
        <v>4.2994</v>
      </c>
      <c r="H26" s="31"/>
      <c r="I26" s="31"/>
      <c r="J26" s="31"/>
      <c r="K26" s="31"/>
      <c r="L26" s="31"/>
      <c r="M26" s="31"/>
      <c r="N26" s="3"/>
    </row>
    <row r="27">
      <c r="A27" s="68"/>
      <c r="B27" s="92" t="s">
        <v>48</v>
      </c>
      <c r="C27" s="93" t="s">
        <v>49</v>
      </c>
      <c r="D27" s="86" t="s">
        <v>3</v>
      </c>
      <c r="E27" s="94">
        <v>0.0</v>
      </c>
      <c r="F27" s="95">
        <v>3.9</v>
      </c>
      <c r="G27" s="95">
        <f t="shared" si="1"/>
        <v>0</v>
      </c>
      <c r="H27" s="47"/>
      <c r="I27" s="47"/>
      <c r="J27" s="47"/>
      <c r="K27" s="47"/>
      <c r="L27" s="47"/>
      <c r="M27" s="47"/>
      <c r="N27" s="3"/>
    </row>
    <row r="28">
      <c r="A28" s="68"/>
      <c r="B28" s="96" t="s">
        <v>60</v>
      </c>
      <c r="C28" s="99" t="s">
        <v>61</v>
      </c>
      <c r="D28" s="78" t="s">
        <v>14</v>
      </c>
      <c r="E28" s="79">
        <v>1.0</v>
      </c>
      <c r="F28" s="80">
        <v>229.82</v>
      </c>
      <c r="G28" s="81">
        <f t="shared" si="1"/>
        <v>229.82</v>
      </c>
      <c r="H28" s="82">
        <f>SUM(G28:G31)</f>
        <v>234.1194</v>
      </c>
      <c r="I28" s="21">
        <v>2.09824</v>
      </c>
      <c r="J28" s="22">
        <f>SUM(H27:H38)</f>
        <v>631.8382</v>
      </c>
      <c r="K28" s="22">
        <f>SUM(I28*J28)</f>
        <v>1325.748185</v>
      </c>
      <c r="L28" s="22">
        <f>SUM(J28+K28)</f>
        <v>1957.586385</v>
      </c>
      <c r="M28" s="83">
        <v>0.6772</v>
      </c>
      <c r="N28" s="3"/>
    </row>
    <row r="29">
      <c r="A29" s="68"/>
      <c r="B29" s="84" t="s">
        <v>15</v>
      </c>
      <c r="C29" s="85" t="s">
        <v>16</v>
      </c>
      <c r="D29" s="86" t="s">
        <v>3</v>
      </c>
      <c r="E29" s="86">
        <v>0.0</v>
      </c>
      <c r="F29" s="87">
        <v>15.0</v>
      </c>
      <c r="G29" s="87">
        <f t="shared" si="1"/>
        <v>0</v>
      </c>
      <c r="H29" s="31"/>
      <c r="I29" s="31"/>
      <c r="J29" s="31"/>
      <c r="K29" s="31"/>
      <c r="L29" s="31"/>
      <c r="M29" s="31"/>
      <c r="N29" s="3"/>
    </row>
    <row r="30">
      <c r="A30" s="68"/>
      <c r="B30" s="105" t="s">
        <v>45</v>
      </c>
      <c r="C30" s="89" t="s">
        <v>46</v>
      </c>
      <c r="D30" s="90" t="s">
        <v>14</v>
      </c>
      <c r="E30" s="90">
        <v>1.66</v>
      </c>
      <c r="F30" s="91">
        <v>2.59</v>
      </c>
      <c r="G30" s="91">
        <f t="shared" si="1"/>
        <v>4.2994</v>
      </c>
      <c r="H30" s="31"/>
      <c r="I30" s="31"/>
      <c r="J30" s="31"/>
      <c r="K30" s="31"/>
      <c r="L30" s="31"/>
      <c r="M30" s="31"/>
      <c r="N30" s="3"/>
    </row>
    <row r="31">
      <c r="A31" s="106"/>
      <c r="B31" s="92" t="s">
        <v>48</v>
      </c>
      <c r="C31" s="93" t="s">
        <v>49</v>
      </c>
      <c r="D31" s="86" t="s">
        <v>3</v>
      </c>
      <c r="E31" s="94">
        <v>0.0</v>
      </c>
      <c r="F31" s="95">
        <v>3.9</v>
      </c>
      <c r="G31" s="95">
        <f t="shared" si="1"/>
        <v>0</v>
      </c>
      <c r="H31" s="47"/>
      <c r="I31" s="47"/>
      <c r="J31" s="47"/>
      <c r="K31" s="47"/>
      <c r="L31" s="47"/>
      <c r="M31" s="47"/>
      <c r="N31" s="3"/>
    </row>
    <row r="32">
      <c r="A32" s="106"/>
      <c r="B32" s="76" t="s">
        <v>62</v>
      </c>
      <c r="C32" s="107" t="s">
        <v>63</v>
      </c>
      <c r="D32" s="76" t="s">
        <v>14</v>
      </c>
      <c r="E32" s="108">
        <v>1.0</v>
      </c>
      <c r="F32" s="109">
        <v>194.56</v>
      </c>
      <c r="G32" s="110">
        <f t="shared" si="1"/>
        <v>194.56</v>
      </c>
      <c r="H32" s="20">
        <f>SUM(G32:G35)</f>
        <v>198.8594</v>
      </c>
      <c r="I32" s="21">
        <v>2.09824</v>
      </c>
      <c r="J32" s="22">
        <f>SUM(H31:H42)</f>
        <v>631.8382</v>
      </c>
      <c r="K32" s="22">
        <f>SUM(I32*J32)</f>
        <v>1325.748185</v>
      </c>
      <c r="L32" s="22">
        <f>SUM(J32+K32)</f>
        <v>1957.586385</v>
      </c>
      <c r="M32" s="83">
        <v>0.6772</v>
      </c>
      <c r="N32" s="3"/>
    </row>
    <row r="33">
      <c r="A33" s="106"/>
      <c r="B33" s="84" t="s">
        <v>15</v>
      </c>
      <c r="C33" s="85" t="s">
        <v>16</v>
      </c>
      <c r="D33" s="111" t="s">
        <v>3</v>
      </c>
      <c r="E33" s="112">
        <v>0.0</v>
      </c>
      <c r="F33" s="87">
        <v>15.0</v>
      </c>
      <c r="G33" s="87">
        <f t="shared" si="1"/>
        <v>0</v>
      </c>
      <c r="H33" s="31"/>
      <c r="I33" s="31"/>
      <c r="J33" s="31"/>
      <c r="K33" s="31"/>
      <c r="L33" s="31"/>
      <c r="M33" s="31"/>
      <c r="N33" s="3"/>
    </row>
    <row r="34">
      <c r="A34" s="106"/>
      <c r="B34" s="105" t="s">
        <v>45</v>
      </c>
      <c r="C34" s="89" t="s">
        <v>46</v>
      </c>
      <c r="D34" s="113" t="s">
        <v>14</v>
      </c>
      <c r="E34" s="113">
        <v>1.66</v>
      </c>
      <c r="F34" s="91">
        <v>2.59</v>
      </c>
      <c r="G34" s="91">
        <f t="shared" si="1"/>
        <v>4.2994</v>
      </c>
      <c r="H34" s="31"/>
      <c r="I34" s="31"/>
      <c r="J34" s="31"/>
      <c r="K34" s="31"/>
      <c r="L34" s="31"/>
      <c r="M34" s="31"/>
      <c r="N34" s="3"/>
    </row>
    <row r="35">
      <c r="A35" s="106"/>
      <c r="B35" s="92" t="s">
        <v>48</v>
      </c>
      <c r="C35" s="93" t="s">
        <v>49</v>
      </c>
      <c r="D35" s="111" t="s">
        <v>3</v>
      </c>
      <c r="E35" s="114">
        <v>0.0</v>
      </c>
      <c r="F35" s="95">
        <v>3.9</v>
      </c>
      <c r="G35" s="95">
        <f t="shared" si="1"/>
        <v>0</v>
      </c>
      <c r="H35" s="47"/>
      <c r="I35" s="47"/>
      <c r="J35" s="47"/>
      <c r="K35" s="47"/>
      <c r="L35" s="47"/>
      <c r="M35" s="47"/>
      <c r="N35" s="3"/>
    </row>
    <row r="36">
      <c r="A36" s="106"/>
      <c r="B36" s="96" t="s">
        <v>64</v>
      </c>
      <c r="C36" s="107" t="s">
        <v>65</v>
      </c>
      <c r="D36" s="76" t="s">
        <v>14</v>
      </c>
      <c r="E36" s="108">
        <v>1.0</v>
      </c>
      <c r="F36" s="109">
        <v>194.56</v>
      </c>
      <c r="G36" s="110">
        <f t="shared" si="1"/>
        <v>194.56</v>
      </c>
      <c r="H36" s="20">
        <f>SUM(G36:G39)</f>
        <v>198.8594</v>
      </c>
      <c r="I36" s="21">
        <v>2.09824</v>
      </c>
      <c r="J36" s="22">
        <f>SUM(H35:H46)</f>
        <v>707.8382</v>
      </c>
      <c r="K36" s="22">
        <f>SUM(I36*J36)</f>
        <v>1485.214425</v>
      </c>
      <c r="L36" s="22">
        <f>SUM(J36+K36)</f>
        <v>2193.052625</v>
      </c>
      <c r="M36" s="83">
        <v>0.6772</v>
      </c>
      <c r="N36" s="3"/>
    </row>
    <row r="37">
      <c r="A37" s="106"/>
      <c r="B37" s="84" t="s">
        <v>15</v>
      </c>
      <c r="C37" s="85" t="s">
        <v>16</v>
      </c>
      <c r="D37" s="111" t="s">
        <v>3</v>
      </c>
      <c r="E37" s="112">
        <v>0.0</v>
      </c>
      <c r="F37" s="87">
        <v>15.0</v>
      </c>
      <c r="G37" s="87">
        <f t="shared" si="1"/>
        <v>0</v>
      </c>
      <c r="H37" s="31"/>
      <c r="I37" s="31"/>
      <c r="J37" s="31"/>
      <c r="K37" s="31"/>
      <c r="L37" s="31"/>
      <c r="M37" s="31"/>
      <c r="N37" s="3"/>
    </row>
    <row r="38">
      <c r="A38" s="106"/>
      <c r="B38" s="105" t="s">
        <v>45</v>
      </c>
      <c r="C38" s="89" t="s">
        <v>46</v>
      </c>
      <c r="D38" s="113" t="s">
        <v>14</v>
      </c>
      <c r="E38" s="113">
        <v>1.66</v>
      </c>
      <c r="F38" s="91">
        <v>2.59</v>
      </c>
      <c r="G38" s="91">
        <f t="shared" si="1"/>
        <v>4.2994</v>
      </c>
      <c r="H38" s="31"/>
      <c r="I38" s="31"/>
      <c r="J38" s="31"/>
      <c r="K38" s="31"/>
      <c r="L38" s="31"/>
      <c r="M38" s="31"/>
      <c r="N38" s="3"/>
    </row>
    <row r="39">
      <c r="A39" s="106"/>
      <c r="B39" s="92" t="s">
        <v>48</v>
      </c>
      <c r="C39" s="115" t="s">
        <v>66</v>
      </c>
      <c r="D39" s="111" t="s">
        <v>3</v>
      </c>
      <c r="E39" s="114">
        <v>0.0</v>
      </c>
      <c r="F39" s="95">
        <v>3.9</v>
      </c>
      <c r="G39" s="95">
        <f t="shared" si="1"/>
        <v>0</v>
      </c>
      <c r="H39" s="47"/>
      <c r="I39" s="47"/>
      <c r="J39" s="47"/>
      <c r="K39" s="47"/>
      <c r="L39" s="47"/>
      <c r="M39" s="47"/>
      <c r="N39" s="3"/>
    </row>
    <row r="40">
      <c r="A40" s="106"/>
      <c r="B40" s="96" t="s">
        <v>66</v>
      </c>
      <c r="C40" s="107" t="s">
        <v>67</v>
      </c>
      <c r="D40" s="76" t="s">
        <v>14</v>
      </c>
      <c r="E40" s="108">
        <v>1.0</v>
      </c>
      <c r="F40" s="109">
        <v>194.56</v>
      </c>
      <c r="G40" s="116">
        <v>229.82</v>
      </c>
      <c r="H40" s="20">
        <f>SUM(G40:G43)</f>
        <v>234.1194</v>
      </c>
      <c r="I40" s="21">
        <v>2.09824</v>
      </c>
      <c r="J40" s="22">
        <f>SUM(H39:H50)</f>
        <v>513.2782</v>
      </c>
      <c r="K40" s="22">
        <f>SUM(I40*J40)</f>
        <v>1076.98085</v>
      </c>
      <c r="L40" s="22">
        <f>SUM(J40+K40)</f>
        <v>1590.25905</v>
      </c>
      <c r="M40" s="83">
        <v>0.6772</v>
      </c>
      <c r="N40" s="3"/>
    </row>
    <row r="41">
      <c r="A41" s="106"/>
      <c r="B41" s="84" t="s">
        <v>15</v>
      </c>
      <c r="C41" s="85" t="s">
        <v>16</v>
      </c>
      <c r="D41" s="111" t="s">
        <v>3</v>
      </c>
      <c r="E41" s="112">
        <v>0.0</v>
      </c>
      <c r="F41" s="87">
        <v>15.0</v>
      </c>
      <c r="G41" s="87">
        <f t="shared" ref="G41:G43" si="2">SUM(E41*F41)</f>
        <v>0</v>
      </c>
      <c r="H41" s="31"/>
      <c r="I41" s="31"/>
      <c r="J41" s="31"/>
      <c r="K41" s="31"/>
      <c r="L41" s="31"/>
      <c r="M41" s="31"/>
      <c r="N41" s="3"/>
    </row>
    <row r="42">
      <c r="A42" s="106"/>
      <c r="B42" s="105" t="s">
        <v>45</v>
      </c>
      <c r="C42" s="89" t="s">
        <v>46</v>
      </c>
      <c r="D42" s="113" t="s">
        <v>14</v>
      </c>
      <c r="E42" s="113">
        <v>1.66</v>
      </c>
      <c r="F42" s="91">
        <v>2.59</v>
      </c>
      <c r="G42" s="91">
        <f t="shared" si="2"/>
        <v>4.2994</v>
      </c>
      <c r="H42" s="31"/>
      <c r="I42" s="31"/>
      <c r="J42" s="31"/>
      <c r="K42" s="31"/>
      <c r="L42" s="31"/>
      <c r="M42" s="31"/>
      <c r="N42" s="3"/>
    </row>
    <row r="43">
      <c r="A43" s="106"/>
      <c r="B43" s="92" t="s">
        <v>48</v>
      </c>
      <c r="C43" s="93" t="s">
        <v>49</v>
      </c>
      <c r="D43" s="111" t="s">
        <v>3</v>
      </c>
      <c r="E43" s="114">
        <v>0.0</v>
      </c>
      <c r="F43" s="95">
        <v>3.9</v>
      </c>
      <c r="G43" s="95">
        <f t="shared" si="2"/>
        <v>0</v>
      </c>
      <c r="H43" s="47"/>
      <c r="I43" s="47"/>
      <c r="J43" s="47"/>
      <c r="K43" s="47"/>
      <c r="L43" s="47"/>
      <c r="M43" s="47"/>
      <c r="N43" s="3"/>
    </row>
    <row r="44">
      <c r="A44" s="106"/>
      <c r="B44" s="96" t="s">
        <v>68</v>
      </c>
      <c r="C44" s="107" t="s">
        <v>69</v>
      </c>
      <c r="D44" s="76" t="s">
        <v>14</v>
      </c>
      <c r="E44" s="108">
        <v>1.0</v>
      </c>
      <c r="F44" s="109">
        <v>194.56</v>
      </c>
      <c r="G44" s="116">
        <v>270.56</v>
      </c>
      <c r="H44" s="20">
        <f>SUM(G44:G47)</f>
        <v>274.8594</v>
      </c>
      <c r="I44" s="21">
        <v>2.09824</v>
      </c>
      <c r="J44" s="22">
        <f>SUM(H43:H54)</f>
        <v>513.3482</v>
      </c>
      <c r="K44" s="22">
        <f>SUM(I44*J44)</f>
        <v>1077.127727</v>
      </c>
      <c r="L44" s="22">
        <f>SUM(J44+K44)</f>
        <v>1590.475927</v>
      </c>
      <c r="M44" s="83">
        <v>0.6772</v>
      </c>
      <c r="N44" s="3"/>
    </row>
    <row r="45">
      <c r="A45" s="106"/>
      <c r="B45" s="84" t="s">
        <v>15</v>
      </c>
      <c r="C45" s="85" t="s">
        <v>16</v>
      </c>
      <c r="D45" s="111" t="s">
        <v>3</v>
      </c>
      <c r="E45" s="112">
        <v>0.0</v>
      </c>
      <c r="F45" s="87">
        <v>15.0</v>
      </c>
      <c r="G45" s="87">
        <f t="shared" ref="G45:G71" si="3">SUM(E45*F45)</f>
        <v>0</v>
      </c>
      <c r="H45" s="31"/>
      <c r="I45" s="31"/>
      <c r="J45" s="31"/>
      <c r="K45" s="31"/>
      <c r="L45" s="31"/>
      <c r="M45" s="31"/>
      <c r="N45" s="3"/>
    </row>
    <row r="46">
      <c r="A46" s="106"/>
      <c r="B46" s="105" t="s">
        <v>45</v>
      </c>
      <c r="C46" s="89" t="s">
        <v>46</v>
      </c>
      <c r="D46" s="113" t="s">
        <v>14</v>
      </c>
      <c r="E46" s="113">
        <v>1.66</v>
      </c>
      <c r="F46" s="91">
        <v>2.59</v>
      </c>
      <c r="G46" s="91">
        <f t="shared" si="3"/>
        <v>4.2994</v>
      </c>
      <c r="H46" s="31"/>
      <c r="I46" s="31"/>
      <c r="J46" s="31"/>
      <c r="K46" s="31"/>
      <c r="L46" s="31"/>
      <c r="M46" s="31"/>
      <c r="N46" s="3"/>
    </row>
    <row r="47">
      <c r="A47" s="106"/>
      <c r="B47" s="92" t="s">
        <v>48</v>
      </c>
      <c r="C47" s="93" t="s">
        <v>49</v>
      </c>
      <c r="D47" s="111" t="s">
        <v>3</v>
      </c>
      <c r="E47" s="114">
        <v>0.0</v>
      </c>
      <c r="F47" s="95">
        <v>3.9</v>
      </c>
      <c r="G47" s="95">
        <f t="shared" si="3"/>
        <v>0</v>
      </c>
      <c r="H47" s="47"/>
      <c r="I47" s="47"/>
      <c r="J47" s="47"/>
      <c r="K47" s="47"/>
      <c r="L47" s="47"/>
      <c r="M47" s="47"/>
      <c r="N47" s="3"/>
    </row>
    <row r="48" ht="17.25" customHeight="1">
      <c r="A48" s="117"/>
      <c r="B48" s="96" t="s">
        <v>70</v>
      </c>
      <c r="C48" s="99" t="s">
        <v>71</v>
      </c>
      <c r="D48" s="76" t="s">
        <v>14</v>
      </c>
      <c r="E48" s="108">
        <v>1.0</v>
      </c>
      <c r="F48" s="118">
        <v>0.0</v>
      </c>
      <c r="G48" s="119">
        <f t="shared" si="3"/>
        <v>0</v>
      </c>
      <c r="H48" s="20">
        <f>SUM(G48:G51)</f>
        <v>4.2994</v>
      </c>
      <c r="I48" s="21">
        <v>2.09824</v>
      </c>
      <c r="J48" s="22">
        <f>SUM(H47:H58)</f>
        <v>242.7882</v>
      </c>
      <c r="K48" s="22">
        <f>SUM(I48*J48)</f>
        <v>509.4279128</v>
      </c>
      <c r="L48" s="22">
        <f>SUM(J48+K48)</f>
        <v>752.2161128</v>
      </c>
      <c r="M48" s="83">
        <v>0.6772</v>
      </c>
      <c r="N48" s="3"/>
    </row>
    <row r="49">
      <c r="A49" s="117"/>
      <c r="B49" s="84" t="s">
        <v>15</v>
      </c>
      <c r="C49" s="85" t="s">
        <v>16</v>
      </c>
      <c r="D49" s="111" t="s">
        <v>3</v>
      </c>
      <c r="E49" s="112">
        <v>0.0</v>
      </c>
      <c r="F49" s="87">
        <v>15.0</v>
      </c>
      <c r="G49" s="87">
        <f t="shared" si="3"/>
        <v>0</v>
      </c>
      <c r="H49" s="31"/>
      <c r="I49" s="31"/>
      <c r="J49" s="31"/>
      <c r="K49" s="31"/>
      <c r="L49" s="31"/>
      <c r="M49" s="31"/>
      <c r="N49" s="3"/>
    </row>
    <row r="50">
      <c r="A50" s="117"/>
      <c r="B50" s="84" t="s">
        <v>45</v>
      </c>
      <c r="C50" s="120" t="s">
        <v>46</v>
      </c>
      <c r="D50" s="113" t="s">
        <v>14</v>
      </c>
      <c r="E50" s="113">
        <v>1.66</v>
      </c>
      <c r="F50" s="91">
        <v>2.59</v>
      </c>
      <c r="G50" s="91">
        <f t="shared" si="3"/>
        <v>4.2994</v>
      </c>
      <c r="H50" s="31"/>
      <c r="I50" s="31"/>
      <c r="J50" s="31"/>
      <c r="K50" s="31"/>
      <c r="L50" s="31"/>
      <c r="M50" s="31"/>
      <c r="N50" s="3"/>
    </row>
    <row r="51">
      <c r="A51" s="117"/>
      <c r="B51" s="92" t="s">
        <v>48</v>
      </c>
      <c r="C51" s="93" t="s">
        <v>49</v>
      </c>
      <c r="D51" s="111" t="s">
        <v>3</v>
      </c>
      <c r="E51" s="114">
        <v>0.0</v>
      </c>
      <c r="F51" s="95">
        <v>3.9</v>
      </c>
      <c r="G51" s="95">
        <f t="shared" si="3"/>
        <v>0</v>
      </c>
      <c r="H51" s="47"/>
      <c r="I51" s="47"/>
      <c r="J51" s="47"/>
      <c r="K51" s="47"/>
      <c r="L51" s="47"/>
      <c r="M51" s="47"/>
      <c r="N51" s="3"/>
    </row>
    <row r="52">
      <c r="A52" s="117"/>
      <c r="B52" s="96" t="s">
        <v>72</v>
      </c>
      <c r="C52" s="99" t="s">
        <v>73</v>
      </c>
      <c r="D52" s="76" t="s">
        <v>14</v>
      </c>
      <c r="E52" s="108">
        <v>1.0</v>
      </c>
      <c r="F52" s="118">
        <v>229.89</v>
      </c>
      <c r="G52" s="119">
        <f t="shared" si="3"/>
        <v>229.89</v>
      </c>
      <c r="H52" s="20">
        <f>SUM(G52:G55)</f>
        <v>234.1894</v>
      </c>
      <c r="I52" s="21">
        <v>2.09824</v>
      </c>
      <c r="J52" s="22">
        <f>SUM(H51:H62)</f>
        <v>437.3482</v>
      </c>
      <c r="K52" s="22">
        <f>SUM(I52*J52)</f>
        <v>917.6614872</v>
      </c>
      <c r="L52" s="22">
        <f>SUM(J52+K52)</f>
        <v>1355.009687</v>
      </c>
      <c r="M52" s="83">
        <v>0.6772</v>
      </c>
      <c r="N52" s="3"/>
    </row>
    <row r="53">
      <c r="A53" s="117"/>
      <c r="B53" s="84" t="s">
        <v>15</v>
      </c>
      <c r="C53" s="85" t="s">
        <v>16</v>
      </c>
      <c r="D53" s="111" t="s">
        <v>3</v>
      </c>
      <c r="E53" s="112">
        <v>0.0</v>
      </c>
      <c r="F53" s="87">
        <v>15.0</v>
      </c>
      <c r="G53" s="87">
        <f t="shared" si="3"/>
        <v>0</v>
      </c>
      <c r="H53" s="31"/>
      <c r="I53" s="31"/>
      <c r="J53" s="31"/>
      <c r="K53" s="31"/>
      <c r="L53" s="31"/>
      <c r="M53" s="31"/>
      <c r="N53" s="3"/>
    </row>
    <row r="54">
      <c r="A54" s="117"/>
      <c r="B54" s="84" t="s">
        <v>45</v>
      </c>
      <c r="C54" s="120" t="s">
        <v>46</v>
      </c>
      <c r="D54" s="113" t="s">
        <v>14</v>
      </c>
      <c r="E54" s="113">
        <v>1.66</v>
      </c>
      <c r="F54" s="91">
        <v>2.59</v>
      </c>
      <c r="G54" s="91">
        <f t="shared" si="3"/>
        <v>4.2994</v>
      </c>
      <c r="H54" s="31"/>
      <c r="I54" s="31"/>
      <c r="J54" s="31"/>
      <c r="K54" s="31"/>
      <c r="L54" s="31"/>
      <c r="M54" s="31"/>
      <c r="N54" s="3"/>
    </row>
    <row r="55">
      <c r="A55" s="117"/>
      <c r="B55" s="92" t="s">
        <v>48</v>
      </c>
      <c r="C55" s="93" t="s">
        <v>49</v>
      </c>
      <c r="D55" s="111" t="s">
        <v>3</v>
      </c>
      <c r="E55" s="114">
        <v>0.0</v>
      </c>
      <c r="F55" s="95">
        <v>3.9</v>
      </c>
      <c r="G55" s="95">
        <f t="shared" si="3"/>
        <v>0</v>
      </c>
      <c r="H55" s="47"/>
      <c r="I55" s="47"/>
      <c r="J55" s="47"/>
      <c r="K55" s="47"/>
      <c r="L55" s="47"/>
      <c r="M55" s="47"/>
      <c r="N55" s="3"/>
    </row>
    <row r="56">
      <c r="A56" s="117"/>
      <c r="B56" s="96" t="s">
        <v>74</v>
      </c>
      <c r="C56" s="99" t="s">
        <v>75</v>
      </c>
      <c r="D56" s="76" t="s">
        <v>14</v>
      </c>
      <c r="E56" s="108">
        <v>1.0</v>
      </c>
      <c r="F56" s="118">
        <v>0.0</v>
      </c>
      <c r="G56" s="119">
        <f t="shared" si="3"/>
        <v>0</v>
      </c>
      <c r="H56" s="20">
        <f>SUM(G56:G59)</f>
        <v>4.2994</v>
      </c>
      <c r="I56" s="21">
        <v>2.09824</v>
      </c>
      <c r="J56" s="22">
        <f>SUM(H55:H66)</f>
        <v>402.0182</v>
      </c>
      <c r="K56" s="22">
        <f>SUM(I56*J56)</f>
        <v>843.530668</v>
      </c>
      <c r="L56" s="22">
        <f>SUM(J56+K56)</f>
        <v>1245.548868</v>
      </c>
      <c r="M56" s="83">
        <v>0.6772</v>
      </c>
      <c r="N56" s="3"/>
    </row>
    <row r="57">
      <c r="A57" s="117"/>
      <c r="B57" s="84" t="s">
        <v>15</v>
      </c>
      <c r="C57" s="85" t="s">
        <v>16</v>
      </c>
      <c r="D57" s="111" t="s">
        <v>3</v>
      </c>
      <c r="E57" s="112">
        <v>0.0</v>
      </c>
      <c r="F57" s="87">
        <v>15.0</v>
      </c>
      <c r="G57" s="87">
        <f t="shared" si="3"/>
        <v>0</v>
      </c>
      <c r="H57" s="31"/>
      <c r="I57" s="31"/>
      <c r="J57" s="31"/>
      <c r="K57" s="31"/>
      <c r="L57" s="31"/>
      <c r="M57" s="31"/>
      <c r="N57" s="3"/>
    </row>
    <row r="58">
      <c r="A58" s="117"/>
      <c r="B58" s="84" t="s">
        <v>45</v>
      </c>
      <c r="C58" s="120" t="s">
        <v>46</v>
      </c>
      <c r="D58" s="113" t="s">
        <v>14</v>
      </c>
      <c r="E58" s="113">
        <v>1.66</v>
      </c>
      <c r="F58" s="91">
        <v>2.59</v>
      </c>
      <c r="G58" s="91">
        <f t="shared" si="3"/>
        <v>4.2994</v>
      </c>
      <c r="H58" s="31"/>
      <c r="I58" s="31"/>
      <c r="J58" s="31"/>
      <c r="K58" s="31"/>
      <c r="L58" s="31"/>
      <c r="M58" s="31"/>
      <c r="N58" s="3"/>
    </row>
    <row r="59">
      <c r="A59" s="117"/>
      <c r="B59" s="92" t="s">
        <v>48</v>
      </c>
      <c r="C59" s="93" t="s">
        <v>49</v>
      </c>
      <c r="D59" s="111" t="s">
        <v>3</v>
      </c>
      <c r="E59" s="114">
        <v>0.0</v>
      </c>
      <c r="F59" s="91">
        <v>3.9</v>
      </c>
      <c r="G59" s="91">
        <f t="shared" si="3"/>
        <v>0</v>
      </c>
      <c r="H59" s="47"/>
      <c r="I59" s="47"/>
      <c r="J59" s="47"/>
      <c r="K59" s="47"/>
      <c r="L59" s="47"/>
      <c r="M59" s="47"/>
      <c r="N59" s="3"/>
    </row>
    <row r="60">
      <c r="A60" s="68"/>
      <c r="B60" s="76" t="s">
        <v>76</v>
      </c>
      <c r="C60" s="77" t="s">
        <v>77</v>
      </c>
      <c r="D60" s="78" t="s">
        <v>14</v>
      </c>
      <c r="E60" s="79">
        <v>1.0</v>
      </c>
      <c r="F60" s="80">
        <v>194.56</v>
      </c>
      <c r="G60" s="81">
        <f t="shared" si="3"/>
        <v>194.56</v>
      </c>
      <c r="H60" s="82">
        <f>SUM(G60:G63)</f>
        <v>198.8594</v>
      </c>
      <c r="I60" s="21">
        <v>2.09824</v>
      </c>
      <c r="J60" s="22">
        <f>SUM(H59:H70)</f>
        <v>596.5782</v>
      </c>
      <c r="K60" s="22">
        <f>SUM(I60*J60)</f>
        <v>1251.764242</v>
      </c>
      <c r="L60" s="22">
        <f>SUM(J60+K60)</f>
        <v>1848.342442</v>
      </c>
      <c r="M60" s="83">
        <v>0.6772</v>
      </c>
      <c r="N60" s="3"/>
    </row>
    <row r="61">
      <c r="A61" s="68"/>
      <c r="B61" s="84" t="s">
        <v>15</v>
      </c>
      <c r="C61" s="85" t="s">
        <v>16</v>
      </c>
      <c r="D61" s="86" t="s">
        <v>3</v>
      </c>
      <c r="E61" s="86">
        <v>0.0</v>
      </c>
      <c r="F61" s="87">
        <v>15.0</v>
      </c>
      <c r="G61" s="87">
        <f t="shared" si="3"/>
        <v>0</v>
      </c>
      <c r="H61" s="31"/>
      <c r="I61" s="31"/>
      <c r="J61" s="31"/>
      <c r="K61" s="31"/>
      <c r="L61" s="31"/>
      <c r="M61" s="31"/>
      <c r="N61" s="3"/>
    </row>
    <row r="62">
      <c r="A62" s="68"/>
      <c r="B62" s="88" t="s">
        <v>45</v>
      </c>
      <c r="C62" s="89" t="s">
        <v>46</v>
      </c>
      <c r="D62" s="90" t="s">
        <v>47</v>
      </c>
      <c r="E62" s="90">
        <v>1.66</v>
      </c>
      <c r="F62" s="91">
        <v>2.59</v>
      </c>
      <c r="G62" s="91">
        <f t="shared" si="3"/>
        <v>4.2994</v>
      </c>
      <c r="H62" s="31"/>
      <c r="I62" s="31"/>
      <c r="J62" s="31"/>
      <c r="K62" s="31"/>
      <c r="L62" s="31"/>
      <c r="M62" s="31"/>
      <c r="N62" s="3"/>
    </row>
    <row r="63">
      <c r="A63" s="68"/>
      <c r="B63" s="92" t="s">
        <v>48</v>
      </c>
      <c r="C63" s="93" t="s">
        <v>49</v>
      </c>
      <c r="D63" s="86" t="s">
        <v>3</v>
      </c>
      <c r="E63" s="94">
        <v>0.0</v>
      </c>
      <c r="F63" s="95">
        <v>3.9</v>
      </c>
      <c r="G63" s="95">
        <f t="shared" si="3"/>
        <v>0</v>
      </c>
      <c r="H63" s="47"/>
      <c r="I63" s="47"/>
      <c r="J63" s="47"/>
      <c r="K63" s="47"/>
      <c r="L63" s="47"/>
      <c r="M63" s="47"/>
      <c r="N63" s="3"/>
    </row>
    <row r="64">
      <c r="A64" s="68"/>
      <c r="B64" s="76"/>
      <c r="C64" s="77"/>
      <c r="D64" s="78" t="s">
        <v>14</v>
      </c>
      <c r="E64" s="79">
        <v>1.0</v>
      </c>
      <c r="F64" s="80">
        <v>194.56</v>
      </c>
      <c r="G64" s="81">
        <f t="shared" si="3"/>
        <v>194.56</v>
      </c>
      <c r="H64" s="82">
        <f>SUM(G64:G67)</f>
        <v>198.8594</v>
      </c>
      <c r="I64" s="21">
        <v>2.09824</v>
      </c>
      <c r="J64" s="22">
        <f>SUM(H63:H74)</f>
        <v>397.7188</v>
      </c>
      <c r="K64" s="22">
        <f>SUM(I64*J64)</f>
        <v>834.5094949</v>
      </c>
      <c r="L64" s="22">
        <f>SUM(J64+K64)</f>
        <v>1232.228295</v>
      </c>
      <c r="M64" s="83">
        <v>0.6772</v>
      </c>
      <c r="N64" s="3"/>
    </row>
    <row r="65">
      <c r="A65" s="68"/>
      <c r="B65" s="84" t="s">
        <v>15</v>
      </c>
      <c r="C65" s="85" t="s">
        <v>16</v>
      </c>
      <c r="D65" s="86" t="s">
        <v>3</v>
      </c>
      <c r="E65" s="86">
        <v>0.0</v>
      </c>
      <c r="F65" s="87">
        <v>15.0</v>
      </c>
      <c r="G65" s="87">
        <f t="shared" si="3"/>
        <v>0</v>
      </c>
      <c r="H65" s="31"/>
      <c r="I65" s="31"/>
      <c r="J65" s="31"/>
      <c r="K65" s="31"/>
      <c r="L65" s="31"/>
      <c r="M65" s="31"/>
      <c r="N65" s="3"/>
    </row>
    <row r="66">
      <c r="A66" s="68"/>
      <c r="B66" s="88" t="s">
        <v>45</v>
      </c>
      <c r="C66" s="89" t="s">
        <v>46</v>
      </c>
      <c r="D66" s="90" t="s">
        <v>47</v>
      </c>
      <c r="E66" s="90">
        <v>1.66</v>
      </c>
      <c r="F66" s="91">
        <v>2.59</v>
      </c>
      <c r="G66" s="91">
        <f t="shared" si="3"/>
        <v>4.2994</v>
      </c>
      <c r="H66" s="31"/>
      <c r="I66" s="31"/>
      <c r="J66" s="31"/>
      <c r="K66" s="31"/>
      <c r="L66" s="31"/>
      <c r="M66" s="31"/>
      <c r="N66" s="3"/>
    </row>
    <row r="67">
      <c r="A67" s="68"/>
      <c r="B67" s="92" t="s">
        <v>48</v>
      </c>
      <c r="C67" s="93" t="s">
        <v>49</v>
      </c>
      <c r="D67" s="86" t="s">
        <v>3</v>
      </c>
      <c r="E67" s="94">
        <v>0.0</v>
      </c>
      <c r="F67" s="95">
        <v>3.9</v>
      </c>
      <c r="G67" s="95">
        <f t="shared" si="3"/>
        <v>0</v>
      </c>
      <c r="H67" s="47"/>
      <c r="I67" s="47"/>
      <c r="J67" s="47"/>
      <c r="K67" s="47"/>
      <c r="L67" s="47"/>
      <c r="M67" s="47"/>
      <c r="N67" s="3"/>
    </row>
    <row r="68">
      <c r="A68" s="68"/>
      <c r="B68" s="76" t="s">
        <v>76</v>
      </c>
      <c r="C68" s="77" t="s">
        <v>77</v>
      </c>
      <c r="D68" s="78" t="s">
        <v>14</v>
      </c>
      <c r="E68" s="79">
        <v>1.0</v>
      </c>
      <c r="F68" s="80">
        <v>194.56</v>
      </c>
      <c r="G68" s="81">
        <f t="shared" si="3"/>
        <v>194.56</v>
      </c>
      <c r="H68" s="82">
        <f>SUM(G68:G71)</f>
        <v>198.8594</v>
      </c>
      <c r="I68" s="21">
        <v>2.09824</v>
      </c>
      <c r="J68" s="22">
        <f>SUM(H67:H78)</f>
        <v>198.8594</v>
      </c>
      <c r="K68" s="22">
        <f>SUM(I68*J68)</f>
        <v>417.2547475</v>
      </c>
      <c r="L68" s="22">
        <f>SUM(J68+K68)</f>
        <v>616.1141475</v>
      </c>
      <c r="M68" s="83">
        <v>0.6772</v>
      </c>
      <c r="N68" s="3"/>
    </row>
    <row r="69">
      <c r="A69" s="68"/>
      <c r="B69" s="84" t="s">
        <v>15</v>
      </c>
      <c r="C69" s="85" t="s">
        <v>16</v>
      </c>
      <c r="D69" s="86" t="s">
        <v>3</v>
      </c>
      <c r="E69" s="86">
        <v>0.0</v>
      </c>
      <c r="F69" s="87">
        <v>15.0</v>
      </c>
      <c r="G69" s="121">
        <f t="shared" si="3"/>
        <v>0</v>
      </c>
      <c r="H69" s="31"/>
      <c r="I69" s="31"/>
      <c r="J69" s="31"/>
      <c r="K69" s="31"/>
      <c r="L69" s="31"/>
      <c r="M69" s="31"/>
      <c r="N69" s="3"/>
    </row>
    <row r="70">
      <c r="A70" s="68"/>
      <c r="B70" s="88" t="s">
        <v>45</v>
      </c>
      <c r="C70" s="89" t="s">
        <v>46</v>
      </c>
      <c r="D70" s="90" t="s">
        <v>47</v>
      </c>
      <c r="E70" s="90">
        <v>1.66</v>
      </c>
      <c r="F70" s="91">
        <v>2.59</v>
      </c>
      <c r="G70" s="122">
        <f t="shared" si="3"/>
        <v>4.2994</v>
      </c>
      <c r="H70" s="31"/>
      <c r="I70" s="31"/>
      <c r="J70" s="31"/>
      <c r="K70" s="31"/>
      <c r="L70" s="31"/>
      <c r="M70" s="31"/>
      <c r="N70" s="3"/>
    </row>
    <row r="71">
      <c r="A71" s="68"/>
      <c r="B71" s="92" t="s">
        <v>48</v>
      </c>
      <c r="C71" s="93" t="s">
        <v>49</v>
      </c>
      <c r="D71" s="86" t="s">
        <v>3</v>
      </c>
      <c r="E71" s="94">
        <v>0.0</v>
      </c>
      <c r="F71" s="95">
        <v>3.9</v>
      </c>
      <c r="G71" s="123">
        <f t="shared" si="3"/>
        <v>0</v>
      </c>
      <c r="H71" s="47"/>
      <c r="I71" s="47"/>
      <c r="J71" s="47"/>
      <c r="K71" s="47"/>
      <c r="L71" s="47"/>
      <c r="M71" s="47"/>
      <c r="N71" s="3"/>
    </row>
    <row r="72">
      <c r="A72" s="106"/>
      <c r="B72" s="124"/>
      <c r="C72" s="125">
        <v>46058.67506944444</v>
      </c>
      <c r="D72" s="126" t="s">
        <v>78</v>
      </c>
      <c r="E72" s="126" t="s">
        <v>79</v>
      </c>
      <c r="F72" s="127" t="s">
        <v>80</v>
      </c>
      <c r="G72" s="127" t="s">
        <v>81</v>
      </c>
      <c r="H72" s="128" t="s">
        <v>82</v>
      </c>
      <c r="I72" s="63"/>
      <c r="J72" s="64"/>
      <c r="K72" s="64"/>
      <c r="L72" s="64"/>
      <c r="M72" s="64"/>
      <c r="N72" s="3"/>
    </row>
    <row r="73">
      <c r="A73" s="106"/>
      <c r="B73" s="124"/>
      <c r="C73" s="129"/>
      <c r="D73" s="126"/>
      <c r="E73" s="126"/>
      <c r="F73" s="130"/>
      <c r="G73" s="130"/>
      <c r="H73" s="131"/>
      <c r="I73" s="63"/>
      <c r="J73" s="64"/>
      <c r="K73" s="64"/>
      <c r="L73" s="64"/>
      <c r="M73" s="64"/>
      <c r="N73" s="3"/>
    </row>
    <row r="74">
      <c r="A74" s="106"/>
      <c r="B74" s="124"/>
      <c r="C74" s="129"/>
      <c r="D74" s="126"/>
      <c r="E74" s="126"/>
      <c r="F74" s="130"/>
      <c r="G74" s="130"/>
      <c r="H74" s="131"/>
      <c r="I74" s="63"/>
      <c r="J74" s="64"/>
      <c r="K74" s="64"/>
      <c r="L74" s="64"/>
      <c r="M74" s="64"/>
      <c r="N74" s="3"/>
    </row>
    <row r="75">
      <c r="A75" s="106"/>
      <c r="B75" s="124"/>
      <c r="C75" s="129"/>
      <c r="D75" s="126"/>
      <c r="E75" s="126"/>
      <c r="F75" s="130"/>
      <c r="G75" s="130"/>
      <c r="H75" s="131"/>
      <c r="I75" s="63"/>
      <c r="J75" s="64"/>
      <c r="K75" s="64"/>
      <c r="L75" s="64"/>
      <c r="M75" s="64"/>
      <c r="N75" s="3"/>
    </row>
    <row r="76">
      <c r="A76" s="106"/>
      <c r="B76" s="124"/>
      <c r="C76" s="129"/>
      <c r="D76" s="126"/>
      <c r="E76" s="126"/>
      <c r="F76" s="130"/>
      <c r="G76" s="130"/>
      <c r="H76" s="131"/>
      <c r="I76" s="63"/>
      <c r="J76" s="64"/>
      <c r="K76" s="64"/>
      <c r="L76" s="64"/>
      <c r="M76" s="64"/>
      <c r="N76" s="3"/>
    </row>
    <row r="77">
      <c r="A77" s="106"/>
      <c r="B77" s="124"/>
      <c r="C77" s="129"/>
      <c r="D77" s="126"/>
      <c r="E77" s="126"/>
      <c r="F77" s="130"/>
      <c r="G77" s="130"/>
      <c r="H77" s="131"/>
      <c r="I77" s="63"/>
      <c r="J77" s="64"/>
      <c r="K77" s="64"/>
      <c r="L77" s="64"/>
      <c r="M77" s="64"/>
      <c r="N77" s="3"/>
    </row>
    <row r="78">
      <c r="A78" s="106"/>
      <c r="B78" s="124"/>
      <c r="C78" s="129"/>
      <c r="D78" s="126"/>
      <c r="E78" s="126"/>
      <c r="F78" s="130"/>
      <c r="G78" s="130"/>
      <c r="H78" s="131"/>
      <c r="I78" s="63"/>
      <c r="J78" s="64"/>
      <c r="K78" s="64"/>
      <c r="L78" s="64"/>
      <c r="M78" s="64"/>
      <c r="N78" s="3"/>
    </row>
    <row r="79">
      <c r="A79" s="106"/>
      <c r="B79" s="124"/>
      <c r="C79" s="129"/>
      <c r="D79" s="126"/>
      <c r="E79" s="126"/>
      <c r="F79" s="130"/>
      <c r="G79" s="130"/>
      <c r="H79" s="131"/>
      <c r="I79" s="63"/>
      <c r="J79" s="64"/>
      <c r="K79" s="64"/>
      <c r="L79" s="64"/>
      <c r="M79" s="64"/>
      <c r="N79" s="3"/>
    </row>
    <row r="80">
      <c r="A80" s="106"/>
      <c r="B80" s="124"/>
      <c r="C80" s="129"/>
      <c r="D80" s="126"/>
      <c r="E80" s="126"/>
      <c r="F80" s="130"/>
      <c r="G80" s="130"/>
      <c r="H80" s="131"/>
      <c r="I80" s="63"/>
      <c r="J80" s="64"/>
      <c r="K80" s="64"/>
      <c r="L80" s="64"/>
      <c r="M80" s="64"/>
      <c r="N80" s="3"/>
    </row>
    <row r="81">
      <c r="A81" s="106"/>
      <c r="B81" s="124"/>
      <c r="C81" s="129"/>
      <c r="D81" s="126"/>
      <c r="E81" s="126"/>
      <c r="F81" s="130"/>
      <c r="G81" s="130"/>
      <c r="H81" s="131"/>
      <c r="I81" s="63"/>
      <c r="J81" s="64"/>
      <c r="K81" s="64"/>
      <c r="L81" s="64"/>
      <c r="M81" s="64"/>
      <c r="N81" s="3"/>
    </row>
    <row r="82">
      <c r="A82" s="106"/>
      <c r="B82" s="124"/>
      <c r="C82" s="129"/>
      <c r="D82" s="126"/>
      <c r="E82" s="126"/>
      <c r="F82" s="130"/>
      <c r="G82" s="130"/>
      <c r="H82" s="131"/>
      <c r="I82" s="63"/>
      <c r="J82" s="64"/>
      <c r="K82" s="64"/>
      <c r="L82" s="64"/>
      <c r="M82" s="64"/>
      <c r="N82" s="3"/>
    </row>
    <row r="83">
      <c r="A83" s="106"/>
      <c r="B83" s="124"/>
      <c r="C83" s="129"/>
      <c r="D83" s="126"/>
      <c r="E83" s="126"/>
      <c r="F83" s="130"/>
      <c r="G83" s="130"/>
      <c r="H83" s="131"/>
      <c r="I83" s="63"/>
      <c r="J83" s="64"/>
      <c r="K83" s="64"/>
      <c r="L83" s="64"/>
      <c r="M83" s="64"/>
      <c r="N83" s="3"/>
    </row>
    <row r="84">
      <c r="A84" s="106"/>
      <c r="B84" s="124"/>
      <c r="C84" s="129"/>
      <c r="D84" s="126"/>
      <c r="E84" s="126"/>
      <c r="F84" s="130"/>
      <c r="G84" s="130"/>
      <c r="H84" s="131"/>
      <c r="I84" s="63"/>
      <c r="J84" s="64"/>
      <c r="K84" s="64"/>
      <c r="L84" s="64"/>
      <c r="M84" s="64"/>
      <c r="N84" s="3"/>
    </row>
    <row r="85">
      <c r="A85" s="106"/>
      <c r="B85" s="124"/>
      <c r="C85" s="129"/>
      <c r="D85" s="126"/>
      <c r="E85" s="126"/>
      <c r="F85" s="130"/>
      <c r="G85" s="130"/>
      <c r="H85" s="131"/>
      <c r="I85" s="63"/>
      <c r="J85" s="64"/>
      <c r="K85" s="64"/>
      <c r="L85" s="64"/>
      <c r="M85" s="64"/>
      <c r="N85" s="3"/>
    </row>
    <row r="86">
      <c r="A86" s="106"/>
      <c r="B86" s="124"/>
      <c r="C86" s="129"/>
      <c r="D86" s="126"/>
      <c r="E86" s="126"/>
      <c r="F86" s="130"/>
      <c r="G86" s="130"/>
      <c r="H86" s="131"/>
      <c r="I86" s="63"/>
      <c r="J86" s="64"/>
      <c r="K86" s="64"/>
      <c r="L86" s="64"/>
      <c r="M86" s="64"/>
      <c r="N86" s="3"/>
    </row>
    <row r="87">
      <c r="A87" s="106"/>
      <c r="B87" s="124"/>
      <c r="C87" s="129"/>
      <c r="D87" s="126"/>
      <c r="E87" s="126"/>
      <c r="F87" s="130"/>
      <c r="G87" s="130"/>
      <c r="H87" s="131"/>
      <c r="I87" s="63"/>
      <c r="J87" s="64"/>
      <c r="K87" s="64"/>
      <c r="L87" s="64"/>
      <c r="M87" s="64"/>
      <c r="N87" s="3"/>
    </row>
    <row r="88">
      <c r="A88" s="106"/>
      <c r="B88" s="124"/>
      <c r="C88" s="129"/>
      <c r="D88" s="126"/>
      <c r="E88" s="126"/>
      <c r="F88" s="130"/>
      <c r="G88" s="130"/>
      <c r="H88" s="131"/>
      <c r="I88" s="63"/>
      <c r="J88" s="64"/>
      <c r="K88" s="64"/>
      <c r="L88" s="64"/>
      <c r="M88" s="64"/>
      <c r="N88" s="3"/>
    </row>
    <row r="89">
      <c r="A89" s="106"/>
      <c r="B89" s="124"/>
      <c r="C89" s="129"/>
      <c r="D89" s="126"/>
      <c r="E89" s="126"/>
      <c r="F89" s="130"/>
      <c r="G89" s="130"/>
      <c r="H89" s="131"/>
      <c r="I89" s="63"/>
      <c r="J89" s="64"/>
      <c r="K89" s="64"/>
      <c r="L89" s="64"/>
      <c r="M89" s="64"/>
      <c r="N89" s="3"/>
    </row>
    <row r="90">
      <c r="A90" s="106"/>
      <c r="B90" s="124"/>
      <c r="C90" s="129"/>
      <c r="D90" s="126"/>
      <c r="E90" s="126"/>
      <c r="F90" s="130"/>
      <c r="G90" s="130"/>
      <c r="H90" s="131"/>
      <c r="I90" s="63"/>
      <c r="J90" s="64"/>
      <c r="K90" s="64"/>
      <c r="L90" s="64"/>
      <c r="M90" s="64"/>
      <c r="N90" s="3"/>
    </row>
    <row r="91">
      <c r="A91" s="106"/>
      <c r="B91" s="124"/>
      <c r="C91" s="129"/>
      <c r="D91" s="126"/>
      <c r="E91" s="126"/>
      <c r="F91" s="130"/>
      <c r="G91" s="130"/>
      <c r="H91" s="131"/>
      <c r="I91" s="63"/>
      <c r="J91" s="64"/>
      <c r="K91" s="64"/>
      <c r="L91" s="64"/>
      <c r="M91" s="64"/>
      <c r="N91" s="3"/>
    </row>
    <row r="92">
      <c r="A92" s="106"/>
      <c r="B92" s="124"/>
      <c r="C92" s="129"/>
      <c r="D92" s="126"/>
      <c r="E92" s="126"/>
      <c r="F92" s="130"/>
      <c r="G92" s="130"/>
      <c r="H92" s="131"/>
      <c r="I92" s="63"/>
      <c r="J92" s="64"/>
      <c r="K92" s="64"/>
      <c r="L92" s="64"/>
      <c r="M92" s="64"/>
      <c r="N92" s="3"/>
    </row>
    <row r="93">
      <c r="A93" s="106"/>
      <c r="B93" s="124"/>
      <c r="C93" s="129"/>
      <c r="D93" s="126"/>
      <c r="E93" s="126"/>
      <c r="F93" s="130"/>
      <c r="G93" s="130"/>
      <c r="H93" s="131"/>
      <c r="I93" s="63"/>
      <c r="J93" s="64"/>
      <c r="K93" s="64"/>
      <c r="L93" s="64"/>
      <c r="M93" s="64"/>
      <c r="N93" s="3"/>
    </row>
    <row r="94">
      <c r="A94" s="106"/>
      <c r="B94" s="124"/>
      <c r="C94" s="129"/>
      <c r="D94" s="126"/>
      <c r="E94" s="126"/>
      <c r="F94" s="130"/>
      <c r="G94" s="130"/>
      <c r="H94" s="131"/>
      <c r="I94" s="63"/>
      <c r="J94" s="64"/>
      <c r="K94" s="64"/>
      <c r="L94" s="64"/>
      <c r="M94" s="64"/>
      <c r="N94" s="3"/>
    </row>
    <row r="95">
      <c r="A95" s="106"/>
      <c r="B95" s="124"/>
      <c r="C95" s="129"/>
      <c r="D95" s="126"/>
      <c r="E95" s="126"/>
      <c r="F95" s="130"/>
      <c r="G95" s="130"/>
      <c r="H95" s="131"/>
      <c r="I95" s="63"/>
      <c r="J95" s="64"/>
      <c r="K95" s="64"/>
      <c r="L95" s="64"/>
      <c r="M95" s="64"/>
      <c r="N95" s="3"/>
    </row>
    <row r="96">
      <c r="A96" s="106"/>
      <c r="B96" s="124"/>
      <c r="C96" s="129"/>
      <c r="D96" s="126"/>
      <c r="E96" s="126"/>
      <c r="F96" s="130"/>
      <c r="G96" s="130"/>
      <c r="H96" s="131"/>
      <c r="I96" s="63"/>
      <c r="J96" s="64"/>
      <c r="K96" s="64"/>
      <c r="L96" s="64"/>
      <c r="M96" s="64"/>
      <c r="N96" s="3"/>
    </row>
    <row r="97">
      <c r="A97" s="106"/>
      <c r="B97" s="124"/>
      <c r="C97" s="129"/>
      <c r="D97" s="126"/>
      <c r="E97" s="126"/>
      <c r="F97" s="130"/>
      <c r="G97" s="130"/>
      <c r="H97" s="131"/>
      <c r="I97" s="63"/>
      <c r="J97" s="64"/>
      <c r="K97" s="64"/>
      <c r="L97" s="64"/>
      <c r="M97" s="64"/>
      <c r="N97" s="3"/>
    </row>
    <row r="98">
      <c r="A98" s="106"/>
      <c r="B98" s="124"/>
      <c r="C98" s="129"/>
      <c r="D98" s="126"/>
      <c r="E98" s="126"/>
      <c r="F98" s="130"/>
      <c r="G98" s="130"/>
      <c r="H98" s="131"/>
      <c r="I98" s="63"/>
      <c r="J98" s="64"/>
      <c r="K98" s="64"/>
      <c r="L98" s="64"/>
      <c r="M98" s="64"/>
      <c r="N98" s="3"/>
    </row>
    <row r="99">
      <c r="A99" s="106"/>
      <c r="B99" s="124"/>
      <c r="C99" s="129"/>
      <c r="D99" s="126"/>
      <c r="E99" s="126"/>
      <c r="F99" s="130"/>
      <c r="G99" s="130"/>
      <c r="H99" s="131"/>
      <c r="I99" s="63"/>
      <c r="J99" s="64"/>
      <c r="K99" s="64"/>
      <c r="L99" s="64"/>
      <c r="M99" s="64"/>
      <c r="N99" s="3"/>
    </row>
    <row r="100">
      <c r="A100" s="106"/>
      <c r="B100" s="124"/>
      <c r="C100" s="129"/>
      <c r="D100" s="126"/>
      <c r="E100" s="126"/>
      <c r="F100" s="130"/>
      <c r="G100" s="130"/>
      <c r="H100" s="131"/>
      <c r="I100" s="63"/>
      <c r="J100" s="64"/>
      <c r="K100" s="64"/>
      <c r="L100" s="64"/>
      <c r="M100" s="64"/>
      <c r="N100" s="3"/>
    </row>
    <row r="101">
      <c r="A101" s="106"/>
      <c r="B101" s="124"/>
      <c r="C101" s="129"/>
      <c r="D101" s="126"/>
      <c r="E101" s="126"/>
      <c r="F101" s="130"/>
      <c r="G101" s="130"/>
      <c r="H101" s="131"/>
      <c r="I101" s="63"/>
      <c r="J101" s="64"/>
      <c r="K101" s="64"/>
      <c r="L101" s="64"/>
      <c r="M101" s="64"/>
      <c r="N101" s="3"/>
    </row>
    <row r="102">
      <c r="A102" s="106"/>
      <c r="B102" s="124"/>
      <c r="C102" s="129"/>
      <c r="D102" s="126"/>
      <c r="E102" s="126"/>
      <c r="F102" s="130"/>
      <c r="G102" s="130"/>
      <c r="H102" s="131"/>
      <c r="I102" s="63"/>
      <c r="J102" s="64"/>
      <c r="K102" s="64"/>
      <c r="L102" s="64"/>
      <c r="M102" s="64"/>
      <c r="N102" s="3"/>
    </row>
    <row r="103">
      <c r="A103" s="106"/>
      <c r="B103" s="124"/>
      <c r="C103" s="129"/>
      <c r="D103" s="126"/>
      <c r="E103" s="126"/>
      <c r="F103" s="130"/>
      <c r="G103" s="130"/>
      <c r="H103" s="131"/>
      <c r="I103" s="63"/>
      <c r="J103" s="64"/>
      <c r="K103" s="64"/>
      <c r="L103" s="64"/>
      <c r="M103" s="64"/>
      <c r="N103" s="3"/>
    </row>
    <row r="104">
      <c r="A104" s="106"/>
      <c r="B104" s="124"/>
      <c r="C104" s="129"/>
      <c r="D104" s="126"/>
      <c r="E104" s="126"/>
      <c r="F104" s="130"/>
      <c r="G104" s="130"/>
      <c r="H104" s="131"/>
      <c r="I104" s="63"/>
      <c r="J104" s="64"/>
      <c r="K104" s="64"/>
      <c r="L104" s="64"/>
      <c r="M104" s="64"/>
      <c r="N104" s="3"/>
    </row>
    <row r="105">
      <c r="A105" s="106"/>
      <c r="B105" s="124"/>
      <c r="C105" s="129"/>
      <c r="D105" s="126"/>
      <c r="E105" s="126"/>
      <c r="F105" s="130"/>
      <c r="G105" s="130"/>
      <c r="H105" s="131"/>
      <c r="I105" s="63"/>
      <c r="J105" s="64"/>
      <c r="K105" s="64"/>
      <c r="L105" s="64"/>
      <c r="M105" s="64"/>
      <c r="N105" s="3"/>
    </row>
    <row r="106">
      <c r="A106" s="106"/>
      <c r="B106" s="124"/>
      <c r="C106" s="129"/>
      <c r="D106" s="126"/>
      <c r="E106" s="126"/>
      <c r="F106" s="130"/>
      <c r="G106" s="130"/>
      <c r="H106" s="131"/>
      <c r="I106" s="63"/>
      <c r="J106" s="64"/>
      <c r="K106" s="64"/>
      <c r="L106" s="64"/>
      <c r="M106" s="64"/>
      <c r="N106" s="3"/>
    </row>
    <row r="107">
      <c r="A107" s="106"/>
      <c r="B107" s="124"/>
      <c r="C107" s="129"/>
      <c r="D107" s="126"/>
      <c r="E107" s="126"/>
      <c r="F107" s="130"/>
      <c r="G107" s="130"/>
      <c r="H107" s="131"/>
      <c r="I107" s="63"/>
      <c r="J107" s="64"/>
      <c r="K107" s="64"/>
      <c r="L107" s="64"/>
      <c r="M107" s="64"/>
      <c r="N107" s="3"/>
    </row>
    <row r="108">
      <c r="A108" s="106"/>
      <c r="B108" s="124"/>
      <c r="C108" s="129"/>
      <c r="D108" s="126"/>
      <c r="E108" s="126"/>
      <c r="F108" s="130"/>
      <c r="G108" s="130"/>
      <c r="H108" s="131"/>
      <c r="I108" s="63"/>
      <c r="J108" s="64"/>
      <c r="K108" s="64"/>
      <c r="L108" s="64"/>
      <c r="M108" s="64"/>
      <c r="N108" s="3"/>
    </row>
    <row r="109">
      <c r="A109" s="106"/>
      <c r="B109" s="124"/>
      <c r="C109" s="129"/>
      <c r="D109" s="126"/>
      <c r="E109" s="126"/>
      <c r="F109" s="130"/>
      <c r="G109" s="130"/>
      <c r="H109" s="131"/>
      <c r="I109" s="63"/>
      <c r="J109" s="64"/>
      <c r="K109" s="64"/>
      <c r="L109" s="64"/>
      <c r="M109" s="64"/>
      <c r="N109" s="3"/>
    </row>
    <row r="110">
      <c r="A110" s="106"/>
      <c r="B110" s="124"/>
      <c r="C110" s="129"/>
      <c r="D110" s="126"/>
      <c r="E110" s="126"/>
      <c r="F110" s="130"/>
      <c r="G110" s="130"/>
      <c r="H110" s="131"/>
      <c r="I110" s="63"/>
      <c r="J110" s="64"/>
      <c r="K110" s="64"/>
      <c r="L110" s="64"/>
      <c r="M110" s="64"/>
      <c r="N110" s="3"/>
    </row>
    <row r="111">
      <c r="A111" s="106"/>
      <c r="B111" s="124"/>
      <c r="C111" s="129"/>
      <c r="D111" s="126"/>
      <c r="E111" s="126"/>
      <c r="F111" s="130"/>
      <c r="G111" s="130"/>
      <c r="H111" s="131"/>
      <c r="I111" s="63"/>
      <c r="J111" s="64"/>
      <c r="K111" s="64"/>
      <c r="L111" s="64"/>
      <c r="M111" s="64"/>
      <c r="N111" s="3"/>
    </row>
    <row r="112">
      <c r="A112" s="106"/>
      <c r="B112" s="124"/>
      <c r="C112" s="129"/>
      <c r="D112" s="126"/>
      <c r="E112" s="126"/>
      <c r="F112" s="130"/>
      <c r="G112" s="130"/>
      <c r="H112" s="131"/>
      <c r="I112" s="63"/>
      <c r="J112" s="64"/>
      <c r="K112" s="64"/>
      <c r="L112" s="64"/>
      <c r="M112" s="64"/>
      <c r="N112" s="3"/>
    </row>
    <row r="113">
      <c r="A113" s="106"/>
      <c r="B113" s="124"/>
      <c r="C113" s="129"/>
      <c r="D113" s="126"/>
      <c r="E113" s="126"/>
      <c r="F113" s="130"/>
      <c r="G113" s="130"/>
      <c r="H113" s="131"/>
      <c r="I113" s="63"/>
      <c r="J113" s="64"/>
      <c r="K113" s="64"/>
      <c r="L113" s="64"/>
      <c r="M113" s="64"/>
      <c r="N113" s="3"/>
    </row>
    <row r="114">
      <c r="A114" s="106"/>
      <c r="B114" s="124"/>
      <c r="C114" s="129"/>
      <c r="D114" s="126"/>
      <c r="E114" s="126"/>
      <c r="F114" s="130"/>
      <c r="G114" s="130"/>
      <c r="H114" s="131"/>
      <c r="I114" s="63"/>
      <c r="J114" s="64"/>
      <c r="K114" s="64"/>
      <c r="L114" s="64"/>
      <c r="M114" s="64"/>
      <c r="N114" s="3"/>
    </row>
    <row r="115">
      <c r="A115" s="106"/>
      <c r="B115" s="124"/>
      <c r="C115" s="129"/>
      <c r="D115" s="126"/>
      <c r="E115" s="126"/>
      <c r="F115" s="130"/>
      <c r="G115" s="130"/>
      <c r="H115" s="131"/>
      <c r="I115" s="63"/>
      <c r="J115" s="64"/>
      <c r="K115" s="64"/>
      <c r="L115" s="64"/>
      <c r="M115" s="64"/>
      <c r="N115" s="3"/>
    </row>
    <row r="116">
      <c r="A116" s="106"/>
      <c r="B116" s="124"/>
      <c r="C116" s="129"/>
      <c r="D116" s="126"/>
      <c r="E116" s="126"/>
      <c r="F116" s="130"/>
      <c r="G116" s="130"/>
      <c r="H116" s="131"/>
      <c r="I116" s="63"/>
      <c r="J116" s="64"/>
      <c r="K116" s="64"/>
      <c r="L116" s="64"/>
      <c r="M116" s="64"/>
      <c r="N116" s="3"/>
    </row>
    <row r="117">
      <c r="A117" s="106"/>
      <c r="B117" s="124"/>
      <c r="C117" s="129"/>
      <c r="D117" s="126"/>
      <c r="E117" s="126"/>
      <c r="F117" s="130"/>
      <c r="G117" s="130"/>
      <c r="H117" s="131"/>
      <c r="I117" s="63"/>
      <c r="J117" s="64"/>
      <c r="K117" s="64"/>
      <c r="L117" s="64"/>
      <c r="M117" s="64"/>
      <c r="N117" s="3"/>
    </row>
    <row r="118">
      <c r="A118" s="106"/>
      <c r="B118" s="124"/>
      <c r="C118" s="129"/>
      <c r="D118" s="126"/>
      <c r="E118" s="126"/>
      <c r="F118" s="130"/>
      <c r="G118" s="130"/>
      <c r="H118" s="131"/>
      <c r="I118" s="63"/>
      <c r="J118" s="64"/>
      <c r="K118" s="64"/>
      <c r="L118" s="64"/>
      <c r="M118" s="64"/>
      <c r="N118" s="3"/>
    </row>
    <row r="119">
      <c r="A119" s="106"/>
      <c r="B119" s="124"/>
      <c r="C119" s="129"/>
      <c r="D119" s="126"/>
      <c r="E119" s="126"/>
      <c r="F119" s="130"/>
      <c r="G119" s="130"/>
      <c r="H119" s="131"/>
      <c r="I119" s="63"/>
      <c r="J119" s="64"/>
      <c r="K119" s="64"/>
      <c r="L119" s="64"/>
      <c r="M119" s="64"/>
      <c r="N119" s="3"/>
    </row>
    <row r="120">
      <c r="A120" s="106"/>
      <c r="B120" s="124"/>
      <c r="C120" s="129"/>
      <c r="D120" s="126"/>
      <c r="E120" s="126"/>
      <c r="F120" s="130"/>
      <c r="G120" s="130"/>
      <c r="H120" s="131"/>
      <c r="I120" s="63"/>
      <c r="J120" s="64"/>
      <c r="K120" s="64"/>
      <c r="L120" s="64"/>
      <c r="M120" s="64"/>
      <c r="N120" s="3"/>
    </row>
    <row r="121">
      <c r="A121" s="106"/>
      <c r="B121" s="124"/>
      <c r="C121" s="129"/>
      <c r="D121" s="126"/>
      <c r="E121" s="126"/>
      <c r="F121" s="130"/>
      <c r="G121" s="130"/>
      <c r="H121" s="131"/>
      <c r="I121" s="63"/>
      <c r="J121" s="64"/>
      <c r="K121" s="64"/>
      <c r="L121" s="64"/>
      <c r="M121" s="64"/>
      <c r="N121" s="3"/>
    </row>
    <row r="122">
      <c r="A122" s="106"/>
      <c r="B122" s="124"/>
      <c r="C122" s="129"/>
      <c r="D122" s="126"/>
      <c r="E122" s="126"/>
      <c r="F122" s="130"/>
      <c r="G122" s="130"/>
      <c r="H122" s="131"/>
      <c r="I122" s="63"/>
      <c r="J122" s="64"/>
      <c r="K122" s="64"/>
      <c r="L122" s="64"/>
      <c r="M122" s="64"/>
      <c r="N122" s="3"/>
    </row>
    <row r="123">
      <c r="A123" s="106"/>
      <c r="B123" s="124"/>
      <c r="C123" s="129"/>
      <c r="D123" s="126"/>
      <c r="E123" s="126"/>
      <c r="F123" s="130"/>
      <c r="G123" s="130"/>
      <c r="H123" s="131"/>
      <c r="I123" s="63"/>
      <c r="J123" s="64"/>
      <c r="K123" s="64"/>
      <c r="L123" s="64"/>
      <c r="M123" s="64"/>
      <c r="N123" s="3"/>
    </row>
    <row r="124">
      <c r="A124" s="106"/>
      <c r="B124" s="124"/>
      <c r="C124" s="129"/>
      <c r="D124" s="126"/>
      <c r="E124" s="126"/>
      <c r="F124" s="130"/>
      <c r="G124" s="130"/>
      <c r="H124" s="131"/>
      <c r="I124" s="63"/>
      <c r="J124" s="64"/>
      <c r="K124" s="64"/>
      <c r="L124" s="64"/>
      <c r="M124" s="64"/>
      <c r="N124" s="3"/>
    </row>
    <row r="125">
      <c r="A125" s="106"/>
      <c r="B125" s="124"/>
      <c r="C125" s="129"/>
      <c r="D125" s="126"/>
      <c r="E125" s="126"/>
      <c r="F125" s="130"/>
      <c r="G125" s="130"/>
      <c r="H125" s="131"/>
      <c r="I125" s="63"/>
      <c r="J125" s="64"/>
      <c r="K125" s="64"/>
      <c r="L125" s="64"/>
      <c r="M125" s="64"/>
      <c r="N125" s="3"/>
    </row>
    <row r="126">
      <c r="A126" s="106"/>
      <c r="B126" s="124"/>
      <c r="C126" s="129"/>
      <c r="D126" s="126"/>
      <c r="E126" s="126"/>
      <c r="F126" s="130"/>
      <c r="G126" s="130"/>
      <c r="H126" s="131"/>
      <c r="I126" s="63"/>
      <c r="J126" s="64"/>
      <c r="K126" s="64"/>
      <c r="L126" s="64"/>
      <c r="M126" s="64"/>
      <c r="N126" s="3"/>
    </row>
    <row r="127">
      <c r="A127" s="106"/>
      <c r="B127" s="124"/>
      <c r="C127" s="129"/>
      <c r="D127" s="126"/>
      <c r="E127" s="126"/>
      <c r="F127" s="130"/>
      <c r="G127" s="130"/>
      <c r="H127" s="131"/>
      <c r="I127" s="63"/>
      <c r="J127" s="64"/>
      <c r="K127" s="64"/>
      <c r="L127" s="64"/>
      <c r="M127" s="64"/>
      <c r="N127" s="3"/>
    </row>
    <row r="128">
      <c r="A128" s="106"/>
      <c r="B128" s="124"/>
      <c r="C128" s="129"/>
      <c r="D128" s="126"/>
      <c r="E128" s="126"/>
      <c r="F128" s="130"/>
      <c r="G128" s="130"/>
      <c r="H128" s="131"/>
      <c r="I128" s="63"/>
      <c r="J128" s="64"/>
      <c r="K128" s="64"/>
      <c r="L128" s="64"/>
      <c r="M128" s="64"/>
      <c r="N128" s="3"/>
    </row>
    <row r="129">
      <c r="A129" s="106"/>
      <c r="B129" s="124"/>
      <c r="C129" s="129"/>
      <c r="D129" s="126"/>
      <c r="E129" s="126"/>
      <c r="F129" s="130"/>
      <c r="G129" s="130"/>
      <c r="H129" s="131"/>
      <c r="I129" s="63"/>
      <c r="J129" s="64"/>
      <c r="K129" s="64"/>
      <c r="L129" s="64"/>
      <c r="M129" s="64"/>
      <c r="N129" s="3"/>
    </row>
    <row r="130">
      <c r="A130" s="106"/>
      <c r="B130" s="124"/>
      <c r="C130" s="129"/>
      <c r="D130" s="126"/>
      <c r="E130" s="126"/>
      <c r="F130" s="130"/>
      <c r="G130" s="130"/>
      <c r="H130" s="131"/>
      <c r="I130" s="63"/>
      <c r="J130" s="64"/>
      <c r="K130" s="64"/>
      <c r="L130" s="64"/>
      <c r="M130" s="64"/>
      <c r="N130" s="3"/>
    </row>
    <row r="131">
      <c r="A131" s="106"/>
      <c r="B131" s="124"/>
      <c r="C131" s="129"/>
      <c r="D131" s="126"/>
      <c r="E131" s="126"/>
      <c r="F131" s="130"/>
      <c r="G131" s="130"/>
      <c r="H131" s="131"/>
      <c r="I131" s="63"/>
      <c r="J131" s="64"/>
      <c r="K131" s="64"/>
      <c r="L131" s="64"/>
      <c r="M131" s="64"/>
      <c r="N131" s="3"/>
    </row>
    <row r="132">
      <c r="A132" s="106"/>
      <c r="B132" s="124"/>
      <c r="C132" s="129"/>
      <c r="D132" s="126"/>
      <c r="E132" s="126"/>
      <c r="F132" s="130"/>
      <c r="G132" s="130"/>
      <c r="H132" s="131"/>
      <c r="I132" s="63"/>
      <c r="J132" s="64"/>
      <c r="K132" s="64"/>
      <c r="L132" s="64"/>
      <c r="M132" s="64"/>
      <c r="N132" s="3"/>
    </row>
    <row r="133">
      <c r="A133" s="106"/>
      <c r="B133" s="124"/>
      <c r="C133" s="129"/>
      <c r="D133" s="126"/>
      <c r="E133" s="126"/>
      <c r="F133" s="130"/>
      <c r="G133" s="130"/>
      <c r="H133" s="131"/>
      <c r="I133" s="63"/>
      <c r="J133" s="64"/>
      <c r="K133" s="64"/>
      <c r="L133" s="64"/>
      <c r="M133" s="64"/>
      <c r="N133" s="3"/>
    </row>
    <row r="134">
      <c r="A134" s="106"/>
      <c r="B134" s="124"/>
      <c r="C134" s="129"/>
      <c r="D134" s="126"/>
      <c r="E134" s="126"/>
      <c r="F134" s="130"/>
      <c r="G134" s="130"/>
      <c r="H134" s="131"/>
      <c r="I134" s="63"/>
      <c r="J134" s="64"/>
      <c r="K134" s="64"/>
      <c r="L134" s="64"/>
      <c r="M134" s="64"/>
      <c r="N134" s="3"/>
    </row>
    <row r="135">
      <c r="A135" s="106"/>
      <c r="B135" s="124"/>
      <c r="C135" s="129"/>
      <c r="D135" s="126"/>
      <c r="E135" s="126"/>
      <c r="F135" s="130"/>
      <c r="G135" s="130"/>
      <c r="H135" s="131"/>
      <c r="I135" s="63"/>
      <c r="J135" s="64"/>
      <c r="K135" s="64"/>
      <c r="L135" s="64"/>
      <c r="M135" s="64"/>
      <c r="N135" s="3"/>
    </row>
    <row r="136">
      <c r="A136" s="106"/>
      <c r="B136" s="124"/>
      <c r="C136" s="129"/>
      <c r="D136" s="126"/>
      <c r="E136" s="126"/>
      <c r="F136" s="130"/>
      <c r="G136" s="130"/>
      <c r="H136" s="131"/>
      <c r="I136" s="63"/>
      <c r="J136" s="64"/>
      <c r="K136" s="64"/>
      <c r="L136" s="64"/>
      <c r="M136" s="64"/>
      <c r="N136" s="3"/>
    </row>
  </sheetData>
  <autoFilter ref="$B$3:$H$43"/>
  <mergeCells count="103">
    <mergeCell ref="K32:K35"/>
    <mergeCell ref="L32:L35"/>
    <mergeCell ref="K36:K39"/>
    <mergeCell ref="L36:L39"/>
    <mergeCell ref="M36:M39"/>
    <mergeCell ref="K40:K43"/>
    <mergeCell ref="L40:L43"/>
    <mergeCell ref="M40:M43"/>
    <mergeCell ref="I32:I35"/>
    <mergeCell ref="J32:J35"/>
    <mergeCell ref="H36:H39"/>
    <mergeCell ref="I36:I39"/>
    <mergeCell ref="J36:J39"/>
    <mergeCell ref="I40:I43"/>
    <mergeCell ref="J40:J43"/>
    <mergeCell ref="K52:K55"/>
    <mergeCell ref="L52:L55"/>
    <mergeCell ref="K56:K59"/>
    <mergeCell ref="L56:L59"/>
    <mergeCell ref="M56:M59"/>
    <mergeCell ref="K60:K63"/>
    <mergeCell ref="L60:L63"/>
    <mergeCell ref="M60:M63"/>
    <mergeCell ref="H48:H51"/>
    <mergeCell ref="I48:I51"/>
    <mergeCell ref="J48:J51"/>
    <mergeCell ref="K48:K51"/>
    <mergeCell ref="L48:L51"/>
    <mergeCell ref="M48:M51"/>
    <mergeCell ref="H52:H55"/>
    <mergeCell ref="M52:M55"/>
    <mergeCell ref="H60:H63"/>
    <mergeCell ref="H64:H67"/>
    <mergeCell ref="I64:I67"/>
    <mergeCell ref="J64:J67"/>
    <mergeCell ref="K64:K67"/>
    <mergeCell ref="L64:L67"/>
    <mergeCell ref="M64:M67"/>
    <mergeCell ref="H68:H71"/>
    <mergeCell ref="I68:I71"/>
    <mergeCell ref="J68:J71"/>
    <mergeCell ref="K68:K71"/>
    <mergeCell ref="L68:L71"/>
    <mergeCell ref="M68:M71"/>
    <mergeCell ref="I52:I55"/>
    <mergeCell ref="J52:J55"/>
    <mergeCell ref="H56:H59"/>
    <mergeCell ref="I56:I59"/>
    <mergeCell ref="J56:J59"/>
    <mergeCell ref="I60:I63"/>
    <mergeCell ref="J60:J63"/>
    <mergeCell ref="B1:M1"/>
    <mergeCell ref="H4:H7"/>
    <mergeCell ref="I4:I7"/>
    <mergeCell ref="J4:J7"/>
    <mergeCell ref="K4:K7"/>
    <mergeCell ref="L4:L7"/>
    <mergeCell ref="M4:M7"/>
    <mergeCell ref="K12:K15"/>
    <mergeCell ref="L12:L15"/>
    <mergeCell ref="K16:K19"/>
    <mergeCell ref="L16:L19"/>
    <mergeCell ref="M16:M19"/>
    <mergeCell ref="K20:K23"/>
    <mergeCell ref="L20:L23"/>
    <mergeCell ref="M20:M23"/>
    <mergeCell ref="H8:H11"/>
    <mergeCell ref="I8:I11"/>
    <mergeCell ref="J8:J11"/>
    <mergeCell ref="K8:K11"/>
    <mergeCell ref="L8:L11"/>
    <mergeCell ref="M8:M11"/>
    <mergeCell ref="H12:H15"/>
    <mergeCell ref="M12:M15"/>
    <mergeCell ref="H20:H23"/>
    <mergeCell ref="H24:H27"/>
    <mergeCell ref="I24:I27"/>
    <mergeCell ref="J24:J27"/>
    <mergeCell ref="K24:K27"/>
    <mergeCell ref="L24:L27"/>
    <mergeCell ref="M24:M27"/>
    <mergeCell ref="I12:I15"/>
    <mergeCell ref="J12:J15"/>
    <mergeCell ref="H16:H19"/>
    <mergeCell ref="I16:I19"/>
    <mergeCell ref="J16:J19"/>
    <mergeCell ref="I20:I23"/>
    <mergeCell ref="J20:J23"/>
    <mergeCell ref="H28:H31"/>
    <mergeCell ref="I28:I31"/>
    <mergeCell ref="J28:J31"/>
    <mergeCell ref="K28:K31"/>
    <mergeCell ref="L28:L31"/>
    <mergeCell ref="M28:M31"/>
    <mergeCell ref="H32:H35"/>
    <mergeCell ref="M32:M35"/>
    <mergeCell ref="H40:H43"/>
    <mergeCell ref="H44:H47"/>
    <mergeCell ref="I44:I47"/>
    <mergeCell ref="J44:J47"/>
    <mergeCell ref="K44:K47"/>
    <mergeCell ref="L44:L47"/>
    <mergeCell ref="M44:M47"/>
  </mergeCells>
  <printOptions horizontalCentered="1" verticalCentered="1"/>
  <pageMargins bottom="0.75" footer="0.0" header="0.0" left="0.7" right="0.7" top="0.75"/>
  <pageSetup paperSize="9" orientation="landscape"/>
  <colBreaks count="2" manualBreakCount="2">
    <brk man="1"/>
    <brk id="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29"/>
    <col customWidth="1" min="3" max="3" width="94.57"/>
    <col customWidth="1" min="4" max="4" width="19.14"/>
    <col customWidth="1" min="5" max="5" width="18.14"/>
    <col customWidth="1" min="6" max="6" width="20.71"/>
    <col customWidth="1" min="7" max="7" width="20.86"/>
    <col customWidth="1" min="8" max="8" width="27.14"/>
    <col customWidth="1" min="9" max="9" width="21.0"/>
    <col customWidth="1" min="10" max="10" width="37.57"/>
    <col customWidth="1" min="11" max="12" width="43.71"/>
    <col customWidth="1" min="13" max="13" width="6.29"/>
  </cols>
  <sheetData>
    <row r="1" ht="46.5" customHeight="1">
      <c r="A1" s="132" t="s">
        <v>0</v>
      </c>
    </row>
    <row r="2" ht="24.0" customHeight="1"/>
    <row r="3" ht="56.25" customHeight="1">
      <c r="A3" s="106"/>
      <c r="B3" s="133"/>
      <c r="M3" s="134"/>
    </row>
    <row r="4">
      <c r="A4" s="106"/>
      <c r="B4" s="135" t="s">
        <v>1</v>
      </c>
      <c r="C4" s="136" t="s">
        <v>2</v>
      </c>
      <c r="D4" s="137" t="s">
        <v>3</v>
      </c>
      <c r="E4" s="137" t="s">
        <v>4</v>
      </c>
      <c r="F4" s="138" t="s">
        <v>5</v>
      </c>
      <c r="G4" s="139" t="s">
        <v>6</v>
      </c>
      <c r="H4" s="13" t="s">
        <v>8</v>
      </c>
      <c r="I4" s="14" t="s">
        <v>7</v>
      </c>
      <c r="J4" s="14" t="s">
        <v>9</v>
      </c>
      <c r="K4" s="14" t="s">
        <v>10</v>
      </c>
      <c r="L4" s="14" t="s">
        <v>11</v>
      </c>
      <c r="M4" s="134"/>
    </row>
    <row r="5" hidden="1">
      <c r="A5" s="106"/>
      <c r="B5" s="15"/>
      <c r="C5" s="140"/>
      <c r="D5" s="17" t="s">
        <v>14</v>
      </c>
      <c r="E5" s="17">
        <v>1.0</v>
      </c>
      <c r="F5" s="19">
        <v>229.82</v>
      </c>
      <c r="G5" s="141">
        <f t="shared" ref="G5:G28" si="1">SUM(E5*F5)</f>
        <v>229.82</v>
      </c>
      <c r="H5" s="21">
        <v>2.09824</v>
      </c>
      <c r="I5" s="22">
        <f>SUM(G5:G16)</f>
        <v>390.299</v>
      </c>
      <c r="J5" s="22">
        <f>SUM(H5*I5)</f>
        <v>818.9409738</v>
      </c>
      <c r="K5" s="23">
        <f>I5 * (1 + H5)</f>
        <v>1209.239974</v>
      </c>
      <c r="L5" s="142">
        <f>J5 / K5</f>
        <v>0.6772361082</v>
      </c>
      <c r="M5" s="134"/>
    </row>
    <row r="6" hidden="1">
      <c r="A6" s="106"/>
      <c r="B6" s="25" t="s">
        <v>15</v>
      </c>
      <c r="C6" s="26" t="s">
        <v>16</v>
      </c>
      <c r="D6" s="27" t="s">
        <v>3</v>
      </c>
      <c r="E6" s="28">
        <v>0.0</v>
      </c>
      <c r="F6" s="29">
        <v>2.59</v>
      </c>
      <c r="G6" s="30">
        <f t="shared" si="1"/>
        <v>0</v>
      </c>
      <c r="H6" s="31"/>
      <c r="I6" s="31"/>
      <c r="J6" s="31"/>
      <c r="K6" s="32"/>
      <c r="L6" s="32"/>
      <c r="M6" s="134"/>
    </row>
    <row r="7" hidden="1">
      <c r="A7" s="106"/>
      <c r="B7" s="33" t="s">
        <v>17</v>
      </c>
      <c r="C7" s="34" t="s">
        <v>18</v>
      </c>
      <c r="D7" s="35" t="s">
        <v>19</v>
      </c>
      <c r="E7" s="36">
        <v>4.0</v>
      </c>
      <c r="F7" s="37">
        <v>13.6</v>
      </c>
      <c r="G7" s="38">
        <f t="shared" si="1"/>
        <v>54.4</v>
      </c>
      <c r="H7" s="31"/>
      <c r="I7" s="31"/>
      <c r="J7" s="31"/>
      <c r="K7" s="32"/>
      <c r="L7" s="32"/>
      <c r="M7" s="134"/>
    </row>
    <row r="8" hidden="1">
      <c r="A8" s="106"/>
      <c r="B8" s="33" t="s">
        <v>20</v>
      </c>
      <c r="C8" s="34" t="s">
        <v>21</v>
      </c>
      <c r="D8" s="35" t="s">
        <v>3</v>
      </c>
      <c r="E8" s="36">
        <v>10.0</v>
      </c>
      <c r="F8" s="37">
        <v>0.19</v>
      </c>
      <c r="G8" s="38">
        <f t="shared" si="1"/>
        <v>1.9</v>
      </c>
      <c r="H8" s="31"/>
      <c r="I8" s="31"/>
      <c r="J8" s="31"/>
      <c r="K8" s="32"/>
      <c r="L8" s="32"/>
      <c r="M8" s="134"/>
    </row>
    <row r="9" hidden="1">
      <c r="A9" s="106"/>
      <c r="B9" s="33" t="s">
        <v>22</v>
      </c>
      <c r="C9" s="34" t="s">
        <v>23</v>
      </c>
      <c r="D9" s="35" t="s">
        <v>3</v>
      </c>
      <c r="E9" s="36">
        <v>10.0</v>
      </c>
      <c r="F9" s="37">
        <v>0.3</v>
      </c>
      <c r="G9" s="38">
        <f t="shared" si="1"/>
        <v>3</v>
      </c>
      <c r="H9" s="31"/>
      <c r="I9" s="31"/>
      <c r="J9" s="31"/>
      <c r="K9" s="32"/>
      <c r="L9" s="32"/>
      <c r="M9" s="134"/>
    </row>
    <row r="10" hidden="1">
      <c r="A10" s="106"/>
      <c r="B10" s="33" t="s">
        <v>24</v>
      </c>
      <c r="C10" s="34" t="s">
        <v>25</v>
      </c>
      <c r="D10" s="35" t="s">
        <v>3</v>
      </c>
      <c r="E10" s="36">
        <v>1.0</v>
      </c>
      <c r="F10" s="37">
        <v>0.15</v>
      </c>
      <c r="G10" s="38">
        <f t="shared" si="1"/>
        <v>0.15</v>
      </c>
      <c r="H10" s="31"/>
      <c r="I10" s="31"/>
      <c r="J10" s="31"/>
      <c r="K10" s="32"/>
      <c r="L10" s="32"/>
      <c r="M10" s="134"/>
    </row>
    <row r="11" hidden="1">
      <c r="A11" s="106"/>
      <c r="B11" s="33" t="s">
        <v>26</v>
      </c>
      <c r="C11" s="34" t="s">
        <v>27</v>
      </c>
      <c r="D11" s="35" t="s">
        <v>3</v>
      </c>
      <c r="E11" s="36">
        <v>50.0</v>
      </c>
      <c r="F11" s="37">
        <v>1.3</v>
      </c>
      <c r="G11" s="38">
        <f t="shared" si="1"/>
        <v>65</v>
      </c>
      <c r="H11" s="31"/>
      <c r="I11" s="31"/>
      <c r="J11" s="31"/>
      <c r="K11" s="32"/>
      <c r="L11" s="32"/>
      <c r="M11" s="134"/>
    </row>
    <row r="12" hidden="1">
      <c r="A12" s="106"/>
      <c r="B12" s="33" t="s">
        <v>28</v>
      </c>
      <c r="C12" s="34" t="s">
        <v>29</v>
      </c>
      <c r="D12" s="35" t="s">
        <v>3</v>
      </c>
      <c r="E12" s="36">
        <v>50.0</v>
      </c>
      <c r="F12" s="37">
        <v>0.14</v>
      </c>
      <c r="G12" s="38">
        <f t="shared" si="1"/>
        <v>7</v>
      </c>
      <c r="H12" s="31"/>
      <c r="I12" s="31"/>
      <c r="J12" s="31"/>
      <c r="K12" s="32"/>
      <c r="L12" s="32"/>
      <c r="M12" s="134"/>
    </row>
    <row r="13" hidden="1">
      <c r="A13" s="106"/>
      <c r="B13" s="33" t="s">
        <v>30</v>
      </c>
      <c r="C13" s="34" t="s">
        <v>31</v>
      </c>
      <c r="D13" s="35" t="s">
        <v>3</v>
      </c>
      <c r="E13" s="36">
        <v>1.0</v>
      </c>
      <c r="F13" s="37">
        <v>23.9</v>
      </c>
      <c r="G13" s="38">
        <f t="shared" si="1"/>
        <v>23.9</v>
      </c>
      <c r="H13" s="31"/>
      <c r="I13" s="31"/>
      <c r="J13" s="31"/>
      <c r="K13" s="32"/>
      <c r="L13" s="32"/>
      <c r="M13" s="134"/>
    </row>
    <row r="14" hidden="1">
      <c r="A14" s="106"/>
      <c r="B14" s="33" t="s">
        <v>32</v>
      </c>
      <c r="C14" s="34" t="s">
        <v>33</v>
      </c>
      <c r="D14" s="35" t="s">
        <v>3</v>
      </c>
      <c r="E14" s="39">
        <v>2.0</v>
      </c>
      <c r="F14" s="37">
        <v>2.5</v>
      </c>
      <c r="G14" s="38">
        <f t="shared" si="1"/>
        <v>5</v>
      </c>
      <c r="H14" s="31"/>
      <c r="I14" s="31"/>
      <c r="J14" s="31"/>
      <c r="K14" s="32"/>
      <c r="L14" s="32"/>
      <c r="M14" s="134"/>
    </row>
    <row r="15" hidden="1">
      <c r="A15" s="106"/>
      <c r="B15" s="33" t="s">
        <v>34</v>
      </c>
      <c r="C15" s="34" t="s">
        <v>35</v>
      </c>
      <c r="D15" s="35" t="s">
        <v>3</v>
      </c>
      <c r="E15" s="40">
        <v>0.0</v>
      </c>
      <c r="F15" s="37">
        <v>2.0</v>
      </c>
      <c r="G15" s="38">
        <f t="shared" si="1"/>
        <v>0</v>
      </c>
      <c r="H15" s="31"/>
      <c r="I15" s="31"/>
      <c r="J15" s="31"/>
      <c r="K15" s="32"/>
      <c r="L15" s="32"/>
      <c r="M15" s="134"/>
    </row>
    <row r="16" hidden="1">
      <c r="A16" s="106"/>
      <c r="B16" s="41" t="s">
        <v>36</v>
      </c>
      <c r="C16" s="42" t="s">
        <v>37</v>
      </c>
      <c r="D16" s="43" t="s">
        <v>3</v>
      </c>
      <c r="E16" s="143">
        <v>0.01</v>
      </c>
      <c r="F16" s="45">
        <v>12.9</v>
      </c>
      <c r="G16" s="46">
        <f t="shared" si="1"/>
        <v>0.129</v>
      </c>
      <c r="H16" s="47"/>
      <c r="I16" s="47"/>
      <c r="J16" s="47"/>
      <c r="K16" s="48"/>
      <c r="L16" s="48"/>
      <c r="M16" s="134"/>
    </row>
    <row r="17">
      <c r="A17" s="106"/>
      <c r="B17" s="15" t="s">
        <v>83</v>
      </c>
      <c r="C17" s="140" t="s">
        <v>84</v>
      </c>
      <c r="D17" s="17" t="s">
        <v>14</v>
      </c>
      <c r="E17" s="17">
        <v>1.0</v>
      </c>
      <c r="F17" s="144">
        <v>194.56</v>
      </c>
      <c r="G17" s="141">
        <f t="shared" si="1"/>
        <v>194.56</v>
      </c>
      <c r="H17" s="21">
        <v>2.09824</v>
      </c>
      <c r="I17" s="22">
        <f>SUM(G17:G28)</f>
        <v>356.2</v>
      </c>
      <c r="J17" s="22">
        <f>SUM(H17*I17)</f>
        <v>747.393088</v>
      </c>
      <c r="K17" s="23">
        <f>I17 * (1 + H17)</f>
        <v>1103.593088</v>
      </c>
      <c r="L17" s="142">
        <f>J17 / K17</f>
        <v>0.6772361082</v>
      </c>
      <c r="M17" s="134"/>
    </row>
    <row r="18">
      <c r="A18" s="106"/>
      <c r="B18" s="25" t="s">
        <v>15</v>
      </c>
      <c r="C18" s="26" t="s">
        <v>16</v>
      </c>
      <c r="D18" s="27" t="s">
        <v>3</v>
      </c>
      <c r="E18" s="28">
        <v>0.0</v>
      </c>
      <c r="F18" s="29">
        <v>2.59</v>
      </c>
      <c r="G18" s="30">
        <f t="shared" si="1"/>
        <v>0</v>
      </c>
      <c r="H18" s="31"/>
      <c r="I18" s="31"/>
      <c r="J18" s="31"/>
      <c r="K18" s="32"/>
      <c r="L18" s="32"/>
      <c r="M18" s="134"/>
    </row>
    <row r="19">
      <c r="A19" s="106"/>
      <c r="B19" s="33" t="s">
        <v>17</v>
      </c>
      <c r="C19" s="34" t="s">
        <v>18</v>
      </c>
      <c r="D19" s="35" t="s">
        <v>19</v>
      </c>
      <c r="E19" s="36">
        <v>4.0</v>
      </c>
      <c r="F19" s="37">
        <v>13.6</v>
      </c>
      <c r="G19" s="38">
        <f t="shared" si="1"/>
        <v>54.4</v>
      </c>
      <c r="H19" s="31"/>
      <c r="I19" s="31"/>
      <c r="J19" s="31"/>
      <c r="K19" s="32"/>
      <c r="L19" s="32"/>
      <c r="M19" s="134"/>
    </row>
    <row r="20">
      <c r="A20" s="106"/>
      <c r="B20" s="33" t="s">
        <v>20</v>
      </c>
      <c r="C20" s="34" t="s">
        <v>21</v>
      </c>
      <c r="D20" s="35" t="s">
        <v>3</v>
      </c>
      <c r="E20" s="36">
        <v>10.0</v>
      </c>
      <c r="F20" s="37">
        <v>0.19</v>
      </c>
      <c r="G20" s="38">
        <f t="shared" si="1"/>
        <v>1.9</v>
      </c>
      <c r="H20" s="31"/>
      <c r="I20" s="31"/>
      <c r="J20" s="31"/>
      <c r="K20" s="32"/>
      <c r="L20" s="32"/>
      <c r="M20" s="134"/>
    </row>
    <row r="21">
      <c r="A21" s="106"/>
      <c r="B21" s="33" t="s">
        <v>22</v>
      </c>
      <c r="C21" s="34" t="s">
        <v>23</v>
      </c>
      <c r="D21" s="35" t="s">
        <v>3</v>
      </c>
      <c r="E21" s="36">
        <v>10.0</v>
      </c>
      <c r="F21" s="37">
        <v>0.3</v>
      </c>
      <c r="G21" s="38">
        <f t="shared" si="1"/>
        <v>3</v>
      </c>
      <c r="H21" s="31"/>
      <c r="I21" s="31"/>
      <c r="J21" s="31"/>
      <c r="K21" s="32"/>
      <c r="L21" s="32"/>
      <c r="M21" s="134"/>
    </row>
    <row r="22">
      <c r="A22" s="106"/>
      <c r="B22" s="33" t="s">
        <v>24</v>
      </c>
      <c r="C22" s="34" t="s">
        <v>25</v>
      </c>
      <c r="D22" s="35" t="s">
        <v>3</v>
      </c>
      <c r="E22" s="36">
        <v>1.0</v>
      </c>
      <c r="F22" s="37">
        <v>0.15</v>
      </c>
      <c r="G22" s="38">
        <f t="shared" si="1"/>
        <v>0.15</v>
      </c>
      <c r="H22" s="31"/>
      <c r="I22" s="31"/>
      <c r="J22" s="31"/>
      <c r="K22" s="32"/>
      <c r="L22" s="32"/>
      <c r="M22" s="134"/>
    </row>
    <row r="23">
      <c r="A23" s="106"/>
      <c r="B23" s="33" t="s">
        <v>26</v>
      </c>
      <c r="C23" s="34" t="s">
        <v>27</v>
      </c>
      <c r="D23" s="35" t="s">
        <v>3</v>
      </c>
      <c r="E23" s="36">
        <v>50.0</v>
      </c>
      <c r="F23" s="37">
        <v>1.3</v>
      </c>
      <c r="G23" s="38">
        <f t="shared" si="1"/>
        <v>65</v>
      </c>
      <c r="H23" s="31"/>
      <c r="I23" s="31"/>
      <c r="J23" s="31"/>
      <c r="K23" s="32"/>
      <c r="L23" s="32"/>
      <c r="M23" s="134"/>
    </row>
    <row r="24">
      <c r="A24" s="106"/>
      <c r="B24" s="33" t="s">
        <v>28</v>
      </c>
      <c r="C24" s="34" t="s">
        <v>29</v>
      </c>
      <c r="D24" s="35" t="s">
        <v>3</v>
      </c>
      <c r="E24" s="36">
        <v>50.0</v>
      </c>
      <c r="F24" s="37">
        <v>0.14</v>
      </c>
      <c r="G24" s="38">
        <f t="shared" si="1"/>
        <v>7</v>
      </c>
      <c r="H24" s="31"/>
      <c r="I24" s="31"/>
      <c r="J24" s="31"/>
      <c r="K24" s="32"/>
      <c r="L24" s="32"/>
      <c r="M24" s="134"/>
    </row>
    <row r="25">
      <c r="A25" s="106"/>
      <c r="B25" s="33" t="s">
        <v>30</v>
      </c>
      <c r="C25" s="34" t="s">
        <v>31</v>
      </c>
      <c r="D25" s="35" t="s">
        <v>3</v>
      </c>
      <c r="E25" s="36">
        <v>1.0</v>
      </c>
      <c r="F25" s="37">
        <v>23.9</v>
      </c>
      <c r="G25" s="38">
        <f t="shared" si="1"/>
        <v>23.9</v>
      </c>
      <c r="H25" s="31"/>
      <c r="I25" s="31"/>
      <c r="J25" s="31"/>
      <c r="K25" s="32"/>
      <c r="L25" s="32"/>
      <c r="M25" s="134"/>
    </row>
    <row r="26">
      <c r="A26" s="106"/>
      <c r="B26" s="33" t="s">
        <v>32</v>
      </c>
      <c r="C26" s="34" t="s">
        <v>33</v>
      </c>
      <c r="D26" s="35" t="s">
        <v>3</v>
      </c>
      <c r="E26" s="39">
        <v>2.0</v>
      </c>
      <c r="F26" s="37">
        <v>2.5</v>
      </c>
      <c r="G26" s="38">
        <f t="shared" si="1"/>
        <v>5</v>
      </c>
      <c r="H26" s="31"/>
      <c r="I26" s="31"/>
      <c r="J26" s="31"/>
      <c r="K26" s="32"/>
      <c r="L26" s="32"/>
      <c r="M26" s="134"/>
    </row>
    <row r="27">
      <c r="A27" s="106"/>
      <c r="B27" s="33" t="s">
        <v>34</v>
      </c>
      <c r="C27" s="34" t="s">
        <v>35</v>
      </c>
      <c r="D27" s="35" t="s">
        <v>3</v>
      </c>
      <c r="E27" s="40">
        <v>0.0</v>
      </c>
      <c r="F27" s="37">
        <v>2.0</v>
      </c>
      <c r="G27" s="38">
        <f t="shared" si="1"/>
        <v>0</v>
      </c>
      <c r="H27" s="31"/>
      <c r="I27" s="31"/>
      <c r="J27" s="31"/>
      <c r="K27" s="32"/>
      <c r="L27" s="32"/>
      <c r="M27" s="134"/>
    </row>
    <row r="28">
      <c r="A28" s="106"/>
      <c r="B28" s="51" t="s">
        <v>36</v>
      </c>
      <c r="C28" s="34" t="s">
        <v>37</v>
      </c>
      <c r="D28" s="35" t="s">
        <v>3</v>
      </c>
      <c r="E28" s="52">
        <v>0.1</v>
      </c>
      <c r="F28" s="37">
        <v>12.9</v>
      </c>
      <c r="G28" s="38">
        <f t="shared" si="1"/>
        <v>1.29</v>
      </c>
      <c r="H28" s="47"/>
      <c r="I28" s="47"/>
      <c r="J28" s="47"/>
      <c r="K28" s="48"/>
      <c r="L28" s="48"/>
      <c r="M28" s="134"/>
    </row>
    <row r="29">
      <c r="A29" s="106"/>
      <c r="B29" s="145" t="s">
        <v>85</v>
      </c>
      <c r="C29" s="140" t="s">
        <v>85</v>
      </c>
      <c r="D29" s="17" t="s">
        <v>14</v>
      </c>
      <c r="E29" s="17">
        <v>1.0</v>
      </c>
      <c r="F29" s="144">
        <v>194.56</v>
      </c>
      <c r="G29" s="141">
        <v>270.56</v>
      </c>
      <c r="H29" s="21">
        <v>2.09824</v>
      </c>
      <c r="I29" s="22">
        <f>SUM(G29:G40)</f>
        <v>431.039</v>
      </c>
      <c r="J29" s="22">
        <f>SUM(H29*I29)</f>
        <v>904.4232714</v>
      </c>
      <c r="K29" s="23">
        <f>I29 * (1 + H29)</f>
        <v>1335.462271</v>
      </c>
      <c r="L29" s="142">
        <f>J29 / K29</f>
        <v>0.6772361082</v>
      </c>
      <c r="M29" s="134"/>
    </row>
    <row r="30">
      <c r="A30" s="106"/>
      <c r="B30" s="25" t="s">
        <v>15</v>
      </c>
      <c r="C30" s="26" t="s">
        <v>16</v>
      </c>
      <c r="D30" s="27" t="s">
        <v>3</v>
      </c>
      <c r="E30" s="28">
        <v>0.0</v>
      </c>
      <c r="F30" s="29">
        <v>2.59</v>
      </c>
      <c r="G30" s="30">
        <f t="shared" ref="G30:G88" si="2">SUM(E30*F30)</f>
        <v>0</v>
      </c>
      <c r="H30" s="31"/>
      <c r="I30" s="31"/>
      <c r="J30" s="31"/>
      <c r="K30" s="32"/>
      <c r="L30" s="32"/>
      <c r="M30" s="134"/>
    </row>
    <row r="31">
      <c r="A31" s="106"/>
      <c r="B31" s="33" t="s">
        <v>17</v>
      </c>
      <c r="C31" s="34" t="s">
        <v>18</v>
      </c>
      <c r="D31" s="35" t="s">
        <v>19</v>
      </c>
      <c r="E31" s="36">
        <v>4.0</v>
      </c>
      <c r="F31" s="37">
        <v>13.6</v>
      </c>
      <c r="G31" s="38">
        <f t="shared" si="2"/>
        <v>54.4</v>
      </c>
      <c r="H31" s="31"/>
      <c r="I31" s="31"/>
      <c r="J31" s="31"/>
      <c r="K31" s="32"/>
      <c r="L31" s="32"/>
      <c r="M31" s="134"/>
    </row>
    <row r="32">
      <c r="A32" s="106"/>
      <c r="B32" s="33" t="s">
        <v>20</v>
      </c>
      <c r="C32" s="34" t="s">
        <v>21</v>
      </c>
      <c r="D32" s="35" t="s">
        <v>3</v>
      </c>
      <c r="E32" s="36">
        <v>10.0</v>
      </c>
      <c r="F32" s="37">
        <v>0.19</v>
      </c>
      <c r="G32" s="38">
        <f t="shared" si="2"/>
        <v>1.9</v>
      </c>
      <c r="H32" s="31"/>
      <c r="I32" s="31"/>
      <c r="J32" s="31"/>
      <c r="K32" s="32"/>
      <c r="L32" s="32"/>
      <c r="M32" s="134"/>
    </row>
    <row r="33">
      <c r="A33" s="106"/>
      <c r="B33" s="33" t="s">
        <v>22</v>
      </c>
      <c r="C33" s="34" t="s">
        <v>23</v>
      </c>
      <c r="D33" s="35" t="s">
        <v>3</v>
      </c>
      <c r="E33" s="36">
        <v>10.0</v>
      </c>
      <c r="F33" s="37">
        <v>0.3</v>
      </c>
      <c r="G33" s="38">
        <f t="shared" si="2"/>
        <v>3</v>
      </c>
      <c r="H33" s="31"/>
      <c r="I33" s="31"/>
      <c r="J33" s="31"/>
      <c r="K33" s="32"/>
      <c r="L33" s="32"/>
      <c r="M33" s="134"/>
    </row>
    <row r="34">
      <c r="A34" s="106"/>
      <c r="B34" s="33" t="s">
        <v>24</v>
      </c>
      <c r="C34" s="34" t="s">
        <v>25</v>
      </c>
      <c r="D34" s="35" t="s">
        <v>3</v>
      </c>
      <c r="E34" s="36">
        <v>1.0</v>
      </c>
      <c r="F34" s="37">
        <v>0.15</v>
      </c>
      <c r="G34" s="38">
        <f t="shared" si="2"/>
        <v>0.15</v>
      </c>
      <c r="H34" s="31"/>
      <c r="I34" s="31"/>
      <c r="J34" s="31"/>
      <c r="K34" s="32"/>
      <c r="L34" s="32"/>
      <c r="M34" s="134"/>
    </row>
    <row r="35">
      <c r="A35" s="106"/>
      <c r="B35" s="33" t="s">
        <v>26</v>
      </c>
      <c r="C35" s="34" t="s">
        <v>27</v>
      </c>
      <c r="D35" s="35" t="s">
        <v>3</v>
      </c>
      <c r="E35" s="36">
        <v>50.0</v>
      </c>
      <c r="F35" s="37">
        <v>1.3</v>
      </c>
      <c r="G35" s="38">
        <f t="shared" si="2"/>
        <v>65</v>
      </c>
      <c r="H35" s="31"/>
      <c r="I35" s="31"/>
      <c r="J35" s="31"/>
      <c r="K35" s="32"/>
      <c r="L35" s="32"/>
      <c r="M35" s="134"/>
    </row>
    <row r="36">
      <c r="A36" s="106"/>
      <c r="B36" s="33" t="s">
        <v>28</v>
      </c>
      <c r="C36" s="34" t="s">
        <v>29</v>
      </c>
      <c r="D36" s="35" t="s">
        <v>3</v>
      </c>
      <c r="E36" s="36">
        <v>50.0</v>
      </c>
      <c r="F36" s="37">
        <v>0.14</v>
      </c>
      <c r="G36" s="38">
        <f t="shared" si="2"/>
        <v>7</v>
      </c>
      <c r="H36" s="31"/>
      <c r="I36" s="31"/>
      <c r="J36" s="31"/>
      <c r="K36" s="32"/>
      <c r="L36" s="32"/>
      <c r="M36" s="134"/>
    </row>
    <row r="37">
      <c r="A37" s="106"/>
      <c r="B37" s="33" t="s">
        <v>30</v>
      </c>
      <c r="C37" s="34" t="s">
        <v>31</v>
      </c>
      <c r="D37" s="35" t="s">
        <v>3</v>
      </c>
      <c r="E37" s="36">
        <v>1.0</v>
      </c>
      <c r="F37" s="37">
        <v>23.9</v>
      </c>
      <c r="G37" s="38">
        <f t="shared" si="2"/>
        <v>23.9</v>
      </c>
      <c r="H37" s="31"/>
      <c r="I37" s="31"/>
      <c r="J37" s="31"/>
      <c r="K37" s="32"/>
      <c r="L37" s="32"/>
      <c r="M37" s="134"/>
    </row>
    <row r="38">
      <c r="A38" s="106"/>
      <c r="B38" s="33" t="s">
        <v>32</v>
      </c>
      <c r="C38" s="34" t="s">
        <v>33</v>
      </c>
      <c r="D38" s="35" t="s">
        <v>3</v>
      </c>
      <c r="E38" s="39">
        <v>2.0</v>
      </c>
      <c r="F38" s="37">
        <v>2.5</v>
      </c>
      <c r="G38" s="38">
        <f t="shared" si="2"/>
        <v>5</v>
      </c>
      <c r="H38" s="31"/>
      <c r="I38" s="31"/>
      <c r="J38" s="31"/>
      <c r="K38" s="32"/>
      <c r="L38" s="32"/>
      <c r="M38" s="134"/>
    </row>
    <row r="39">
      <c r="A39" s="106"/>
      <c r="B39" s="33" t="s">
        <v>34</v>
      </c>
      <c r="C39" s="34" t="s">
        <v>35</v>
      </c>
      <c r="D39" s="35" t="s">
        <v>3</v>
      </c>
      <c r="E39" s="40">
        <v>0.0</v>
      </c>
      <c r="F39" s="37">
        <v>2.0</v>
      </c>
      <c r="G39" s="38">
        <f t="shared" si="2"/>
        <v>0</v>
      </c>
      <c r="H39" s="31"/>
      <c r="I39" s="31"/>
      <c r="J39" s="31"/>
      <c r="K39" s="32"/>
      <c r="L39" s="32"/>
      <c r="M39" s="134"/>
    </row>
    <row r="40">
      <c r="A40" s="106"/>
      <c r="B40" s="51" t="s">
        <v>36</v>
      </c>
      <c r="C40" s="34" t="s">
        <v>37</v>
      </c>
      <c r="D40" s="35" t="s">
        <v>3</v>
      </c>
      <c r="E40" s="143">
        <v>0.01</v>
      </c>
      <c r="F40" s="37">
        <v>12.9</v>
      </c>
      <c r="G40" s="38">
        <f t="shared" si="2"/>
        <v>0.129</v>
      </c>
      <c r="H40" s="47"/>
      <c r="I40" s="47"/>
      <c r="J40" s="47"/>
      <c r="K40" s="48"/>
      <c r="L40" s="48"/>
      <c r="M40" s="134"/>
    </row>
    <row r="41">
      <c r="A41" s="106"/>
      <c r="B41" s="15" t="s">
        <v>86</v>
      </c>
      <c r="C41" s="16" t="s">
        <v>87</v>
      </c>
      <c r="D41" s="17" t="s">
        <v>14</v>
      </c>
      <c r="E41" s="17">
        <v>1.0</v>
      </c>
      <c r="F41" s="19">
        <v>229.82</v>
      </c>
      <c r="G41" s="141">
        <f t="shared" si="2"/>
        <v>229.82</v>
      </c>
      <c r="H41" s="21">
        <v>2.09824</v>
      </c>
      <c r="I41" s="22">
        <f>SUM(G41:G52)</f>
        <v>403.249</v>
      </c>
      <c r="J41" s="22">
        <f>SUM(H41*I41)</f>
        <v>846.1131818</v>
      </c>
      <c r="K41" s="23">
        <f>I41 * (1 + H41)</f>
        <v>1249.362182</v>
      </c>
      <c r="L41" s="142">
        <f>J41 / K41</f>
        <v>0.6772361082</v>
      </c>
      <c r="M41" s="134"/>
    </row>
    <row r="42">
      <c r="A42" s="106"/>
      <c r="B42" s="25" t="s">
        <v>15</v>
      </c>
      <c r="C42" s="26" t="s">
        <v>16</v>
      </c>
      <c r="D42" s="27" t="s">
        <v>3</v>
      </c>
      <c r="E42" s="146">
        <v>5.0</v>
      </c>
      <c r="F42" s="29">
        <v>2.59</v>
      </c>
      <c r="G42" s="30">
        <f t="shared" si="2"/>
        <v>12.95</v>
      </c>
      <c r="H42" s="31"/>
      <c r="I42" s="31"/>
      <c r="J42" s="31"/>
      <c r="K42" s="32"/>
      <c r="L42" s="32"/>
      <c r="M42" s="134"/>
    </row>
    <row r="43">
      <c r="A43" s="106"/>
      <c r="B43" s="33" t="s">
        <v>17</v>
      </c>
      <c r="C43" s="34" t="s">
        <v>18</v>
      </c>
      <c r="D43" s="35" t="s">
        <v>19</v>
      </c>
      <c r="E43" s="36">
        <v>4.0</v>
      </c>
      <c r="F43" s="37">
        <v>13.6</v>
      </c>
      <c r="G43" s="38">
        <f t="shared" si="2"/>
        <v>54.4</v>
      </c>
      <c r="H43" s="31"/>
      <c r="I43" s="31"/>
      <c r="J43" s="31"/>
      <c r="K43" s="32"/>
      <c r="L43" s="32"/>
      <c r="M43" s="134"/>
    </row>
    <row r="44">
      <c r="A44" s="106"/>
      <c r="B44" s="33" t="s">
        <v>20</v>
      </c>
      <c r="C44" s="34" t="s">
        <v>21</v>
      </c>
      <c r="D44" s="35" t="s">
        <v>3</v>
      </c>
      <c r="E44" s="36">
        <v>10.0</v>
      </c>
      <c r="F44" s="37">
        <v>0.19</v>
      </c>
      <c r="G44" s="38">
        <f t="shared" si="2"/>
        <v>1.9</v>
      </c>
      <c r="H44" s="31"/>
      <c r="I44" s="31"/>
      <c r="J44" s="31"/>
      <c r="K44" s="32"/>
      <c r="L44" s="32"/>
      <c r="M44" s="134"/>
    </row>
    <row r="45">
      <c r="A45" s="106"/>
      <c r="B45" s="33" t="s">
        <v>22</v>
      </c>
      <c r="C45" s="34" t="s">
        <v>23</v>
      </c>
      <c r="D45" s="35" t="s">
        <v>3</v>
      </c>
      <c r="E45" s="36">
        <v>10.0</v>
      </c>
      <c r="F45" s="37">
        <v>0.3</v>
      </c>
      <c r="G45" s="38">
        <f t="shared" si="2"/>
        <v>3</v>
      </c>
      <c r="H45" s="31"/>
      <c r="I45" s="31"/>
      <c r="J45" s="31"/>
      <c r="K45" s="32"/>
      <c r="L45" s="32"/>
      <c r="M45" s="134"/>
    </row>
    <row r="46">
      <c r="A46" s="106"/>
      <c r="B46" s="33" t="s">
        <v>24</v>
      </c>
      <c r="C46" s="34" t="s">
        <v>25</v>
      </c>
      <c r="D46" s="35" t="s">
        <v>3</v>
      </c>
      <c r="E46" s="36">
        <v>1.0</v>
      </c>
      <c r="F46" s="37">
        <v>0.15</v>
      </c>
      <c r="G46" s="38">
        <f t="shared" si="2"/>
        <v>0.15</v>
      </c>
      <c r="H46" s="31"/>
      <c r="I46" s="31"/>
      <c r="J46" s="31"/>
      <c r="K46" s="32"/>
      <c r="L46" s="32"/>
      <c r="M46" s="134"/>
    </row>
    <row r="47">
      <c r="A47" s="106"/>
      <c r="B47" s="33" t="s">
        <v>26</v>
      </c>
      <c r="C47" s="34" t="s">
        <v>27</v>
      </c>
      <c r="D47" s="35" t="s">
        <v>3</v>
      </c>
      <c r="E47" s="36">
        <v>50.0</v>
      </c>
      <c r="F47" s="37">
        <v>1.3</v>
      </c>
      <c r="G47" s="38">
        <f t="shared" si="2"/>
        <v>65</v>
      </c>
      <c r="H47" s="31"/>
      <c r="I47" s="31"/>
      <c r="J47" s="31"/>
      <c r="K47" s="32"/>
      <c r="L47" s="32"/>
      <c r="M47" s="134"/>
    </row>
    <row r="48">
      <c r="A48" s="106"/>
      <c r="B48" s="33" t="s">
        <v>28</v>
      </c>
      <c r="C48" s="34" t="s">
        <v>29</v>
      </c>
      <c r="D48" s="35" t="s">
        <v>3</v>
      </c>
      <c r="E48" s="36">
        <v>50.0</v>
      </c>
      <c r="F48" s="37">
        <v>0.14</v>
      </c>
      <c r="G48" s="38">
        <f t="shared" si="2"/>
        <v>7</v>
      </c>
      <c r="H48" s="31"/>
      <c r="I48" s="31"/>
      <c r="J48" s="31"/>
      <c r="K48" s="32"/>
      <c r="L48" s="32"/>
      <c r="M48" s="134"/>
    </row>
    <row r="49">
      <c r="A49" s="106"/>
      <c r="B49" s="33" t="s">
        <v>30</v>
      </c>
      <c r="C49" s="34" t="s">
        <v>31</v>
      </c>
      <c r="D49" s="35" t="s">
        <v>3</v>
      </c>
      <c r="E49" s="36">
        <v>1.0</v>
      </c>
      <c r="F49" s="37">
        <v>23.9</v>
      </c>
      <c r="G49" s="38">
        <f t="shared" si="2"/>
        <v>23.9</v>
      </c>
      <c r="H49" s="31"/>
      <c r="I49" s="31"/>
      <c r="J49" s="31"/>
      <c r="K49" s="32"/>
      <c r="L49" s="32"/>
      <c r="M49" s="134"/>
    </row>
    <row r="50">
      <c r="A50" s="106"/>
      <c r="B50" s="33" t="s">
        <v>32</v>
      </c>
      <c r="C50" s="34" t="s">
        <v>33</v>
      </c>
      <c r="D50" s="35" t="s">
        <v>3</v>
      </c>
      <c r="E50" s="39">
        <v>2.0</v>
      </c>
      <c r="F50" s="37">
        <v>2.5</v>
      </c>
      <c r="G50" s="38">
        <f t="shared" si="2"/>
        <v>5</v>
      </c>
      <c r="H50" s="31"/>
      <c r="I50" s="31"/>
      <c r="J50" s="31"/>
      <c r="K50" s="32"/>
      <c r="L50" s="32"/>
      <c r="M50" s="134"/>
    </row>
    <row r="51">
      <c r="A51" s="106"/>
      <c r="B51" s="33" t="s">
        <v>34</v>
      </c>
      <c r="C51" s="34" t="s">
        <v>35</v>
      </c>
      <c r="D51" s="35" t="s">
        <v>3</v>
      </c>
      <c r="E51" s="40">
        <v>0.0</v>
      </c>
      <c r="F51" s="37">
        <v>2.0</v>
      </c>
      <c r="G51" s="38">
        <f t="shared" si="2"/>
        <v>0</v>
      </c>
      <c r="H51" s="31"/>
      <c r="I51" s="31"/>
      <c r="J51" s="31"/>
      <c r="K51" s="32"/>
      <c r="L51" s="32"/>
      <c r="M51" s="134"/>
    </row>
    <row r="52">
      <c r="A52" s="106"/>
      <c r="B52" s="51" t="s">
        <v>36</v>
      </c>
      <c r="C52" s="34" t="s">
        <v>37</v>
      </c>
      <c r="D52" s="35" t="s">
        <v>3</v>
      </c>
      <c r="E52" s="143">
        <v>0.01</v>
      </c>
      <c r="F52" s="37">
        <v>12.9</v>
      </c>
      <c r="G52" s="38">
        <f t="shared" si="2"/>
        <v>0.129</v>
      </c>
      <c r="H52" s="47"/>
      <c r="I52" s="47"/>
      <c r="J52" s="47"/>
      <c r="K52" s="48"/>
      <c r="L52" s="48"/>
      <c r="M52" s="134"/>
    </row>
    <row r="53">
      <c r="A53" s="106"/>
      <c r="B53" s="15" t="s">
        <v>88</v>
      </c>
      <c r="C53" s="140" t="s">
        <v>89</v>
      </c>
      <c r="D53" s="17" t="s">
        <v>14</v>
      </c>
      <c r="E53" s="17">
        <v>1.0</v>
      </c>
      <c r="F53" s="19">
        <v>229.82</v>
      </c>
      <c r="G53" s="141">
        <f t="shared" si="2"/>
        <v>229.82</v>
      </c>
      <c r="H53" s="21">
        <v>2.09824</v>
      </c>
      <c r="I53" s="22">
        <f>SUM(G53:G64)</f>
        <v>390.299</v>
      </c>
      <c r="J53" s="22">
        <f>SUM(H53*I53)</f>
        <v>818.9409738</v>
      </c>
      <c r="K53" s="23">
        <f>I53 * (1 + H53)</f>
        <v>1209.239974</v>
      </c>
      <c r="L53" s="142">
        <f>J53 / K53</f>
        <v>0.6772361082</v>
      </c>
      <c r="M53" s="134"/>
    </row>
    <row r="54">
      <c r="A54" s="106"/>
      <c r="B54" s="25" t="s">
        <v>15</v>
      </c>
      <c r="C54" s="26" t="s">
        <v>16</v>
      </c>
      <c r="D54" s="27" t="s">
        <v>3</v>
      </c>
      <c r="E54" s="28">
        <v>0.0</v>
      </c>
      <c r="F54" s="29">
        <v>2.59</v>
      </c>
      <c r="G54" s="30">
        <f t="shared" si="2"/>
        <v>0</v>
      </c>
      <c r="H54" s="31"/>
      <c r="I54" s="31"/>
      <c r="J54" s="31"/>
      <c r="K54" s="32"/>
      <c r="L54" s="32"/>
      <c r="M54" s="134"/>
    </row>
    <row r="55">
      <c r="A55" s="106"/>
      <c r="B55" s="33" t="s">
        <v>17</v>
      </c>
      <c r="C55" s="34" t="s">
        <v>18</v>
      </c>
      <c r="D55" s="35" t="s">
        <v>19</v>
      </c>
      <c r="E55" s="36">
        <v>4.0</v>
      </c>
      <c r="F55" s="37">
        <v>13.6</v>
      </c>
      <c r="G55" s="38">
        <f t="shared" si="2"/>
        <v>54.4</v>
      </c>
      <c r="H55" s="31"/>
      <c r="I55" s="31"/>
      <c r="J55" s="31"/>
      <c r="K55" s="32"/>
      <c r="L55" s="32"/>
      <c r="M55" s="134"/>
    </row>
    <row r="56">
      <c r="A56" s="106"/>
      <c r="B56" s="33" t="s">
        <v>20</v>
      </c>
      <c r="C56" s="34" t="s">
        <v>21</v>
      </c>
      <c r="D56" s="35" t="s">
        <v>3</v>
      </c>
      <c r="E56" s="36">
        <v>10.0</v>
      </c>
      <c r="F56" s="37">
        <v>0.19</v>
      </c>
      <c r="G56" s="38">
        <f t="shared" si="2"/>
        <v>1.9</v>
      </c>
      <c r="H56" s="31"/>
      <c r="I56" s="31"/>
      <c r="J56" s="31"/>
      <c r="K56" s="32"/>
      <c r="L56" s="32"/>
      <c r="M56" s="134"/>
    </row>
    <row r="57">
      <c r="A57" s="106"/>
      <c r="B57" s="33" t="s">
        <v>22</v>
      </c>
      <c r="C57" s="34" t="s">
        <v>23</v>
      </c>
      <c r="D57" s="35" t="s">
        <v>3</v>
      </c>
      <c r="E57" s="36">
        <v>10.0</v>
      </c>
      <c r="F57" s="37">
        <v>0.3</v>
      </c>
      <c r="G57" s="38">
        <f t="shared" si="2"/>
        <v>3</v>
      </c>
      <c r="H57" s="31"/>
      <c r="I57" s="31"/>
      <c r="J57" s="31"/>
      <c r="K57" s="32"/>
      <c r="L57" s="32"/>
      <c r="M57" s="134"/>
    </row>
    <row r="58">
      <c r="A58" s="106"/>
      <c r="B58" s="33" t="s">
        <v>24</v>
      </c>
      <c r="C58" s="34" t="s">
        <v>25</v>
      </c>
      <c r="D58" s="35" t="s">
        <v>3</v>
      </c>
      <c r="E58" s="36">
        <v>1.0</v>
      </c>
      <c r="F58" s="37">
        <v>0.15</v>
      </c>
      <c r="G58" s="38">
        <f t="shared" si="2"/>
        <v>0.15</v>
      </c>
      <c r="H58" s="31"/>
      <c r="I58" s="31"/>
      <c r="J58" s="31"/>
      <c r="K58" s="32"/>
      <c r="L58" s="32"/>
      <c r="M58" s="134"/>
    </row>
    <row r="59">
      <c r="A59" s="106"/>
      <c r="B59" s="33" t="s">
        <v>26</v>
      </c>
      <c r="C59" s="34" t="s">
        <v>27</v>
      </c>
      <c r="D59" s="35" t="s">
        <v>3</v>
      </c>
      <c r="E59" s="36">
        <v>50.0</v>
      </c>
      <c r="F59" s="37">
        <v>1.3</v>
      </c>
      <c r="G59" s="38">
        <f t="shared" si="2"/>
        <v>65</v>
      </c>
      <c r="H59" s="31"/>
      <c r="I59" s="31"/>
      <c r="J59" s="31"/>
      <c r="K59" s="32"/>
      <c r="L59" s="32"/>
      <c r="M59" s="134"/>
    </row>
    <row r="60">
      <c r="A60" s="106"/>
      <c r="B60" s="33" t="s">
        <v>28</v>
      </c>
      <c r="C60" s="34" t="s">
        <v>29</v>
      </c>
      <c r="D60" s="35" t="s">
        <v>3</v>
      </c>
      <c r="E60" s="36">
        <v>50.0</v>
      </c>
      <c r="F60" s="37">
        <v>0.14</v>
      </c>
      <c r="G60" s="38">
        <f t="shared" si="2"/>
        <v>7</v>
      </c>
      <c r="H60" s="31"/>
      <c r="I60" s="31"/>
      <c r="J60" s="31"/>
      <c r="K60" s="32"/>
      <c r="L60" s="32"/>
      <c r="M60" s="134"/>
    </row>
    <row r="61">
      <c r="A61" s="106"/>
      <c r="B61" s="33" t="s">
        <v>30</v>
      </c>
      <c r="C61" s="34" t="s">
        <v>31</v>
      </c>
      <c r="D61" s="35" t="s">
        <v>3</v>
      </c>
      <c r="E61" s="36">
        <v>1.0</v>
      </c>
      <c r="F61" s="37">
        <v>23.9</v>
      </c>
      <c r="G61" s="38">
        <f t="shared" si="2"/>
        <v>23.9</v>
      </c>
      <c r="H61" s="31"/>
      <c r="I61" s="31"/>
      <c r="J61" s="31"/>
      <c r="K61" s="32"/>
      <c r="L61" s="32"/>
      <c r="M61" s="134"/>
    </row>
    <row r="62">
      <c r="A62" s="106"/>
      <c r="B62" s="33" t="s">
        <v>32</v>
      </c>
      <c r="C62" s="34" t="s">
        <v>33</v>
      </c>
      <c r="D62" s="35" t="s">
        <v>3</v>
      </c>
      <c r="E62" s="39">
        <v>2.0</v>
      </c>
      <c r="F62" s="37">
        <v>2.5</v>
      </c>
      <c r="G62" s="38">
        <f t="shared" si="2"/>
        <v>5</v>
      </c>
      <c r="H62" s="31"/>
      <c r="I62" s="31"/>
      <c r="J62" s="31"/>
      <c r="K62" s="32"/>
      <c r="L62" s="32"/>
      <c r="M62" s="134"/>
    </row>
    <row r="63">
      <c r="A63" s="106"/>
      <c r="B63" s="33" t="s">
        <v>34</v>
      </c>
      <c r="C63" s="34" t="s">
        <v>35</v>
      </c>
      <c r="D63" s="35" t="s">
        <v>3</v>
      </c>
      <c r="E63" s="40">
        <v>0.0</v>
      </c>
      <c r="F63" s="37">
        <v>2.0</v>
      </c>
      <c r="G63" s="38">
        <f t="shared" si="2"/>
        <v>0</v>
      </c>
      <c r="H63" s="31"/>
      <c r="I63" s="31"/>
      <c r="J63" s="31"/>
      <c r="K63" s="32"/>
      <c r="L63" s="32"/>
      <c r="M63" s="134"/>
    </row>
    <row r="64">
      <c r="A64" s="106"/>
      <c r="B64" s="41" t="s">
        <v>36</v>
      </c>
      <c r="C64" s="42" t="s">
        <v>37</v>
      </c>
      <c r="D64" s="43" t="s">
        <v>3</v>
      </c>
      <c r="E64" s="143">
        <v>0.01</v>
      </c>
      <c r="F64" s="45">
        <v>12.9</v>
      </c>
      <c r="G64" s="46">
        <f t="shared" si="2"/>
        <v>0.129</v>
      </c>
      <c r="H64" s="47"/>
      <c r="I64" s="47"/>
      <c r="J64" s="47"/>
      <c r="K64" s="48"/>
      <c r="L64" s="48"/>
      <c r="M64" s="134"/>
    </row>
    <row r="65">
      <c r="A65" s="106"/>
      <c r="B65" s="15" t="s">
        <v>88</v>
      </c>
      <c r="C65" s="140" t="s">
        <v>89</v>
      </c>
      <c r="D65" s="17" t="s">
        <v>14</v>
      </c>
      <c r="E65" s="17">
        <v>1.0</v>
      </c>
      <c r="F65" s="19">
        <v>229.82</v>
      </c>
      <c r="G65" s="141">
        <f t="shared" si="2"/>
        <v>229.82</v>
      </c>
      <c r="H65" s="21">
        <v>2.09824</v>
      </c>
      <c r="I65" s="22">
        <f>SUM(G65:G76)</f>
        <v>390.299</v>
      </c>
      <c r="J65" s="22">
        <f>SUM(H65*I65)</f>
        <v>818.9409738</v>
      </c>
      <c r="K65" s="23">
        <f>I65 * (1 + H65)</f>
        <v>1209.239974</v>
      </c>
      <c r="L65" s="142">
        <f>J65 / K65</f>
        <v>0.6772361082</v>
      </c>
      <c r="M65" s="134"/>
    </row>
    <row r="66">
      <c r="A66" s="106"/>
      <c r="B66" s="25" t="s">
        <v>15</v>
      </c>
      <c r="C66" s="26" t="s">
        <v>16</v>
      </c>
      <c r="D66" s="27" t="s">
        <v>3</v>
      </c>
      <c r="E66" s="28">
        <v>0.0</v>
      </c>
      <c r="F66" s="29">
        <v>2.59</v>
      </c>
      <c r="G66" s="30">
        <f t="shared" si="2"/>
        <v>0</v>
      </c>
      <c r="H66" s="31"/>
      <c r="I66" s="31"/>
      <c r="J66" s="31"/>
      <c r="K66" s="32"/>
      <c r="L66" s="32"/>
      <c r="M66" s="134"/>
    </row>
    <row r="67">
      <c r="A67" s="106"/>
      <c r="B67" s="33" t="s">
        <v>17</v>
      </c>
      <c r="C67" s="34" t="s">
        <v>18</v>
      </c>
      <c r="D67" s="35" t="s">
        <v>19</v>
      </c>
      <c r="E67" s="36">
        <v>4.0</v>
      </c>
      <c r="F67" s="37">
        <v>13.6</v>
      </c>
      <c r="G67" s="38">
        <f t="shared" si="2"/>
        <v>54.4</v>
      </c>
      <c r="H67" s="31"/>
      <c r="I67" s="31"/>
      <c r="J67" s="31"/>
      <c r="K67" s="32"/>
      <c r="L67" s="32"/>
      <c r="M67" s="134"/>
    </row>
    <row r="68">
      <c r="A68" s="106"/>
      <c r="B68" s="33" t="s">
        <v>20</v>
      </c>
      <c r="C68" s="34" t="s">
        <v>21</v>
      </c>
      <c r="D68" s="35" t="s">
        <v>3</v>
      </c>
      <c r="E68" s="36">
        <v>10.0</v>
      </c>
      <c r="F68" s="37">
        <v>0.19</v>
      </c>
      <c r="G68" s="38">
        <f t="shared" si="2"/>
        <v>1.9</v>
      </c>
      <c r="H68" s="31"/>
      <c r="I68" s="31"/>
      <c r="J68" s="31"/>
      <c r="K68" s="32"/>
      <c r="L68" s="32"/>
      <c r="M68" s="134"/>
    </row>
    <row r="69">
      <c r="A69" s="106"/>
      <c r="B69" s="33" t="s">
        <v>22</v>
      </c>
      <c r="C69" s="34" t="s">
        <v>23</v>
      </c>
      <c r="D69" s="35" t="s">
        <v>3</v>
      </c>
      <c r="E69" s="36">
        <v>10.0</v>
      </c>
      <c r="F69" s="37">
        <v>0.3</v>
      </c>
      <c r="G69" s="38">
        <f t="shared" si="2"/>
        <v>3</v>
      </c>
      <c r="H69" s="31"/>
      <c r="I69" s="31"/>
      <c r="J69" s="31"/>
      <c r="K69" s="32"/>
      <c r="L69" s="32"/>
      <c r="M69" s="134"/>
    </row>
    <row r="70">
      <c r="A70" s="106"/>
      <c r="B70" s="33" t="s">
        <v>24</v>
      </c>
      <c r="C70" s="34" t="s">
        <v>25</v>
      </c>
      <c r="D70" s="35" t="s">
        <v>3</v>
      </c>
      <c r="E70" s="36">
        <v>1.0</v>
      </c>
      <c r="F70" s="37">
        <v>0.15</v>
      </c>
      <c r="G70" s="38">
        <f t="shared" si="2"/>
        <v>0.15</v>
      </c>
      <c r="H70" s="31"/>
      <c r="I70" s="31"/>
      <c r="J70" s="31"/>
      <c r="K70" s="32"/>
      <c r="L70" s="32"/>
      <c r="M70" s="134"/>
    </row>
    <row r="71">
      <c r="A71" s="106"/>
      <c r="B71" s="33" t="s">
        <v>26</v>
      </c>
      <c r="C71" s="34" t="s">
        <v>27</v>
      </c>
      <c r="D71" s="35" t="s">
        <v>3</v>
      </c>
      <c r="E71" s="36">
        <v>50.0</v>
      </c>
      <c r="F71" s="37">
        <v>1.3</v>
      </c>
      <c r="G71" s="38">
        <f t="shared" si="2"/>
        <v>65</v>
      </c>
      <c r="H71" s="31"/>
      <c r="I71" s="31"/>
      <c r="J71" s="31"/>
      <c r="K71" s="32"/>
      <c r="L71" s="32"/>
      <c r="M71" s="134"/>
    </row>
    <row r="72">
      <c r="A72" s="106"/>
      <c r="B72" s="33" t="s">
        <v>28</v>
      </c>
      <c r="C72" s="34" t="s">
        <v>29</v>
      </c>
      <c r="D72" s="35" t="s">
        <v>3</v>
      </c>
      <c r="E72" s="36">
        <v>50.0</v>
      </c>
      <c r="F72" s="37">
        <v>0.14</v>
      </c>
      <c r="G72" s="38">
        <f t="shared" si="2"/>
        <v>7</v>
      </c>
      <c r="H72" s="31"/>
      <c r="I72" s="31"/>
      <c r="J72" s="31"/>
      <c r="K72" s="32"/>
      <c r="L72" s="32"/>
      <c r="M72" s="134"/>
    </row>
    <row r="73">
      <c r="A73" s="106"/>
      <c r="B73" s="33" t="s">
        <v>30</v>
      </c>
      <c r="C73" s="34" t="s">
        <v>31</v>
      </c>
      <c r="D73" s="35" t="s">
        <v>3</v>
      </c>
      <c r="E73" s="36">
        <v>1.0</v>
      </c>
      <c r="F73" s="37">
        <v>23.9</v>
      </c>
      <c r="G73" s="38">
        <f t="shared" si="2"/>
        <v>23.9</v>
      </c>
      <c r="H73" s="31"/>
      <c r="I73" s="31"/>
      <c r="J73" s="31"/>
      <c r="K73" s="32"/>
      <c r="L73" s="32"/>
      <c r="M73" s="134"/>
    </row>
    <row r="74">
      <c r="A74" s="106"/>
      <c r="B74" s="33" t="s">
        <v>32</v>
      </c>
      <c r="C74" s="34" t="s">
        <v>33</v>
      </c>
      <c r="D74" s="35" t="s">
        <v>3</v>
      </c>
      <c r="E74" s="39">
        <v>2.0</v>
      </c>
      <c r="F74" s="37">
        <v>2.5</v>
      </c>
      <c r="G74" s="38">
        <f t="shared" si="2"/>
        <v>5</v>
      </c>
      <c r="H74" s="31"/>
      <c r="I74" s="31"/>
      <c r="J74" s="31"/>
      <c r="K74" s="32"/>
      <c r="L74" s="32"/>
      <c r="M74" s="134"/>
    </row>
    <row r="75">
      <c r="A75" s="106"/>
      <c r="B75" s="33" t="s">
        <v>34</v>
      </c>
      <c r="C75" s="34" t="s">
        <v>35</v>
      </c>
      <c r="D75" s="35" t="s">
        <v>3</v>
      </c>
      <c r="E75" s="40">
        <v>0.0</v>
      </c>
      <c r="F75" s="37">
        <v>2.0</v>
      </c>
      <c r="G75" s="38">
        <f t="shared" si="2"/>
        <v>0</v>
      </c>
      <c r="H75" s="31"/>
      <c r="I75" s="31"/>
      <c r="J75" s="31"/>
      <c r="K75" s="32"/>
      <c r="L75" s="32"/>
      <c r="M75" s="134"/>
    </row>
    <row r="76">
      <c r="A76" s="106"/>
      <c r="B76" s="41" t="s">
        <v>36</v>
      </c>
      <c r="C76" s="42" t="s">
        <v>37</v>
      </c>
      <c r="D76" s="43" t="s">
        <v>3</v>
      </c>
      <c r="E76" s="143">
        <v>0.01</v>
      </c>
      <c r="F76" s="45">
        <v>12.9</v>
      </c>
      <c r="G76" s="46">
        <f t="shared" si="2"/>
        <v>0.129</v>
      </c>
      <c r="H76" s="47"/>
      <c r="I76" s="47"/>
      <c r="J76" s="47"/>
      <c r="K76" s="48"/>
      <c r="L76" s="48"/>
      <c r="M76" s="134"/>
    </row>
    <row r="77">
      <c r="A77" s="106"/>
      <c r="B77" s="15"/>
      <c r="C77" s="140"/>
      <c r="D77" s="17" t="s">
        <v>14</v>
      </c>
      <c r="E77" s="17">
        <v>1.0</v>
      </c>
      <c r="F77" s="19">
        <v>229.82</v>
      </c>
      <c r="G77" s="141">
        <f t="shared" si="2"/>
        <v>229.82</v>
      </c>
      <c r="H77" s="21">
        <v>2.09824</v>
      </c>
      <c r="I77" s="22">
        <f>SUM(G77:G88)</f>
        <v>390.299</v>
      </c>
      <c r="J77" s="22">
        <f>SUM(H77*I77)</f>
        <v>818.9409738</v>
      </c>
      <c r="K77" s="23">
        <f>I77 * (1 + H77)</f>
        <v>1209.239974</v>
      </c>
      <c r="L77" s="142">
        <f>J77 / K77</f>
        <v>0.6772361082</v>
      </c>
      <c r="M77" s="134"/>
    </row>
    <row r="78">
      <c r="A78" s="106"/>
      <c r="B78" s="25" t="s">
        <v>15</v>
      </c>
      <c r="C78" s="26" t="s">
        <v>16</v>
      </c>
      <c r="D78" s="27" t="s">
        <v>3</v>
      </c>
      <c r="E78" s="28">
        <v>0.0</v>
      </c>
      <c r="F78" s="29">
        <v>2.59</v>
      </c>
      <c r="G78" s="30">
        <f t="shared" si="2"/>
        <v>0</v>
      </c>
      <c r="H78" s="31"/>
      <c r="I78" s="31"/>
      <c r="J78" s="31"/>
      <c r="K78" s="32"/>
      <c r="L78" s="32"/>
      <c r="M78" s="134"/>
    </row>
    <row r="79">
      <c r="A79" s="106"/>
      <c r="B79" s="33" t="s">
        <v>17</v>
      </c>
      <c r="C79" s="34" t="s">
        <v>18</v>
      </c>
      <c r="D79" s="35" t="s">
        <v>19</v>
      </c>
      <c r="E79" s="36">
        <v>4.0</v>
      </c>
      <c r="F79" s="37">
        <v>13.6</v>
      </c>
      <c r="G79" s="38">
        <f t="shared" si="2"/>
        <v>54.4</v>
      </c>
      <c r="H79" s="31"/>
      <c r="I79" s="31"/>
      <c r="J79" s="31"/>
      <c r="K79" s="32"/>
      <c r="L79" s="32"/>
      <c r="M79" s="134"/>
    </row>
    <row r="80">
      <c r="A80" s="106"/>
      <c r="B80" s="33" t="s">
        <v>20</v>
      </c>
      <c r="C80" s="34" t="s">
        <v>21</v>
      </c>
      <c r="D80" s="35" t="s">
        <v>3</v>
      </c>
      <c r="E80" s="36">
        <v>10.0</v>
      </c>
      <c r="F80" s="37">
        <v>0.19</v>
      </c>
      <c r="G80" s="38">
        <f t="shared" si="2"/>
        <v>1.9</v>
      </c>
      <c r="H80" s="31"/>
      <c r="I80" s="31"/>
      <c r="J80" s="31"/>
      <c r="K80" s="32"/>
      <c r="L80" s="32"/>
      <c r="M80" s="134"/>
    </row>
    <row r="81">
      <c r="A81" s="106"/>
      <c r="B81" s="33" t="s">
        <v>22</v>
      </c>
      <c r="C81" s="34" t="s">
        <v>23</v>
      </c>
      <c r="D81" s="35" t="s">
        <v>3</v>
      </c>
      <c r="E81" s="36">
        <v>10.0</v>
      </c>
      <c r="F81" s="37">
        <v>0.3</v>
      </c>
      <c r="G81" s="38">
        <f t="shared" si="2"/>
        <v>3</v>
      </c>
      <c r="H81" s="31"/>
      <c r="I81" s="31"/>
      <c r="J81" s="31"/>
      <c r="K81" s="32"/>
      <c r="L81" s="32"/>
      <c r="M81" s="134"/>
    </row>
    <row r="82">
      <c r="A82" s="106"/>
      <c r="B82" s="33" t="s">
        <v>24</v>
      </c>
      <c r="C82" s="34" t="s">
        <v>25</v>
      </c>
      <c r="D82" s="35" t="s">
        <v>3</v>
      </c>
      <c r="E82" s="36">
        <v>1.0</v>
      </c>
      <c r="F82" s="37">
        <v>0.15</v>
      </c>
      <c r="G82" s="38">
        <f t="shared" si="2"/>
        <v>0.15</v>
      </c>
      <c r="H82" s="31"/>
      <c r="I82" s="31"/>
      <c r="J82" s="31"/>
      <c r="K82" s="32"/>
      <c r="L82" s="32"/>
      <c r="M82" s="134"/>
    </row>
    <row r="83">
      <c r="A83" s="106"/>
      <c r="B83" s="33" t="s">
        <v>26</v>
      </c>
      <c r="C83" s="34" t="s">
        <v>27</v>
      </c>
      <c r="D83" s="35" t="s">
        <v>3</v>
      </c>
      <c r="E83" s="36">
        <v>50.0</v>
      </c>
      <c r="F83" s="37">
        <v>1.3</v>
      </c>
      <c r="G83" s="38">
        <f t="shared" si="2"/>
        <v>65</v>
      </c>
      <c r="H83" s="31"/>
      <c r="I83" s="31"/>
      <c r="J83" s="31"/>
      <c r="K83" s="32"/>
      <c r="L83" s="32"/>
      <c r="M83" s="134"/>
    </row>
    <row r="84">
      <c r="A84" s="106"/>
      <c r="B84" s="33" t="s">
        <v>28</v>
      </c>
      <c r="C84" s="34" t="s">
        <v>29</v>
      </c>
      <c r="D84" s="35" t="s">
        <v>3</v>
      </c>
      <c r="E84" s="36">
        <v>50.0</v>
      </c>
      <c r="F84" s="37">
        <v>0.14</v>
      </c>
      <c r="G84" s="38">
        <f t="shared" si="2"/>
        <v>7</v>
      </c>
      <c r="H84" s="31"/>
      <c r="I84" s="31"/>
      <c r="J84" s="31"/>
      <c r="K84" s="32"/>
      <c r="L84" s="32"/>
      <c r="M84" s="134"/>
    </row>
    <row r="85">
      <c r="A85" s="106"/>
      <c r="B85" s="33" t="s">
        <v>30</v>
      </c>
      <c r="C85" s="34" t="s">
        <v>31</v>
      </c>
      <c r="D85" s="35" t="s">
        <v>3</v>
      </c>
      <c r="E85" s="36">
        <v>1.0</v>
      </c>
      <c r="F85" s="37">
        <v>23.9</v>
      </c>
      <c r="G85" s="38">
        <f t="shared" si="2"/>
        <v>23.9</v>
      </c>
      <c r="H85" s="31"/>
      <c r="I85" s="31"/>
      <c r="J85" s="31"/>
      <c r="K85" s="32"/>
      <c r="L85" s="32"/>
      <c r="M85" s="134"/>
    </row>
    <row r="86">
      <c r="A86" s="106"/>
      <c r="B86" s="33" t="s">
        <v>32</v>
      </c>
      <c r="C86" s="34" t="s">
        <v>33</v>
      </c>
      <c r="D86" s="35" t="s">
        <v>3</v>
      </c>
      <c r="E86" s="39">
        <v>2.0</v>
      </c>
      <c r="F86" s="37">
        <v>2.5</v>
      </c>
      <c r="G86" s="38">
        <f t="shared" si="2"/>
        <v>5</v>
      </c>
      <c r="H86" s="31"/>
      <c r="I86" s="31"/>
      <c r="J86" s="31"/>
      <c r="K86" s="32"/>
      <c r="L86" s="32"/>
      <c r="M86" s="134"/>
    </row>
    <row r="87">
      <c r="A87" s="106"/>
      <c r="B87" s="33" t="s">
        <v>34</v>
      </c>
      <c r="C87" s="34" t="s">
        <v>35</v>
      </c>
      <c r="D87" s="35" t="s">
        <v>3</v>
      </c>
      <c r="E87" s="40">
        <v>0.0</v>
      </c>
      <c r="F87" s="37">
        <v>2.0</v>
      </c>
      <c r="G87" s="38">
        <f t="shared" si="2"/>
        <v>0</v>
      </c>
      <c r="H87" s="31"/>
      <c r="I87" s="31"/>
      <c r="J87" s="31"/>
      <c r="K87" s="32"/>
      <c r="L87" s="32"/>
      <c r="M87" s="134"/>
    </row>
    <row r="88">
      <c r="A88" s="106"/>
      <c r="B88" s="41" t="s">
        <v>36</v>
      </c>
      <c r="C88" s="42" t="s">
        <v>37</v>
      </c>
      <c r="D88" s="43" t="s">
        <v>3</v>
      </c>
      <c r="E88" s="143">
        <v>0.01</v>
      </c>
      <c r="F88" s="45">
        <v>12.9</v>
      </c>
      <c r="G88" s="46">
        <f t="shared" si="2"/>
        <v>0.129</v>
      </c>
      <c r="H88" s="47"/>
      <c r="I88" s="47"/>
      <c r="J88" s="47"/>
      <c r="K88" s="48"/>
      <c r="L88" s="48"/>
      <c r="M88" s="134"/>
    </row>
    <row r="89">
      <c r="A89" s="106"/>
      <c r="B89" s="56"/>
      <c r="C89" s="57"/>
      <c r="D89" s="147"/>
      <c r="E89" s="148"/>
      <c r="F89" s="149"/>
      <c r="G89" s="61"/>
      <c r="H89" s="63"/>
      <c r="I89" s="63"/>
      <c r="J89" s="63"/>
      <c r="K89" s="63"/>
      <c r="L89" s="63"/>
      <c r="M89" s="63"/>
    </row>
    <row r="90">
      <c r="A90" s="106"/>
      <c r="B90" s="56"/>
      <c r="C90" s="57"/>
      <c r="D90" s="147"/>
      <c r="E90" s="148"/>
      <c r="F90" s="149"/>
      <c r="G90" s="61"/>
      <c r="H90" s="63"/>
      <c r="I90" s="63"/>
      <c r="J90" s="63"/>
      <c r="K90" s="63"/>
      <c r="L90" s="63"/>
      <c r="M90" s="63"/>
    </row>
    <row r="91">
      <c r="A91" s="106"/>
      <c r="B91" s="56"/>
      <c r="C91" s="57"/>
      <c r="D91" s="147"/>
      <c r="E91" s="148"/>
      <c r="F91" s="149"/>
      <c r="G91" s="61"/>
      <c r="H91" s="63"/>
      <c r="I91" s="63"/>
      <c r="J91" s="63"/>
      <c r="K91" s="63"/>
      <c r="L91" s="63"/>
      <c r="M91" s="63"/>
    </row>
    <row r="92">
      <c r="A92" s="106"/>
      <c r="B92" s="56"/>
      <c r="C92" s="57"/>
      <c r="D92" s="147"/>
      <c r="E92" s="148"/>
      <c r="F92" s="149"/>
      <c r="G92" s="61"/>
      <c r="H92" s="63"/>
      <c r="I92" s="63"/>
      <c r="J92" s="63"/>
      <c r="K92" s="63"/>
      <c r="L92" s="63"/>
      <c r="M92" s="63"/>
    </row>
    <row r="93">
      <c r="A93" s="106"/>
      <c r="B93" s="56"/>
      <c r="C93" s="57"/>
      <c r="D93" s="147"/>
      <c r="E93" s="148"/>
      <c r="F93" s="149"/>
      <c r="G93" s="61"/>
      <c r="H93" s="63"/>
      <c r="I93" s="63"/>
      <c r="J93" s="63"/>
      <c r="K93" s="63"/>
      <c r="L93" s="63"/>
      <c r="M93" s="63"/>
    </row>
    <row r="94">
      <c r="A94" s="106"/>
      <c r="B94" s="56"/>
      <c r="C94" s="57"/>
      <c r="D94" s="147"/>
      <c r="E94" s="148"/>
      <c r="F94" s="149"/>
      <c r="G94" s="61"/>
      <c r="H94" s="63"/>
      <c r="I94" s="63"/>
      <c r="J94" s="63"/>
      <c r="K94" s="63"/>
      <c r="L94" s="63"/>
      <c r="M94" s="63"/>
    </row>
    <row r="95">
      <c r="A95" s="106"/>
      <c r="B95" s="56"/>
      <c r="C95" s="57"/>
      <c r="D95" s="147"/>
      <c r="E95" s="148"/>
      <c r="F95" s="149"/>
      <c r="G95" s="61"/>
      <c r="H95" s="63"/>
      <c r="I95" s="63"/>
      <c r="J95" s="63"/>
      <c r="K95" s="63"/>
      <c r="L95" s="63"/>
      <c r="M95" s="63"/>
    </row>
    <row r="96">
      <c r="A96" s="106"/>
      <c r="B96" s="56"/>
      <c r="C96" s="57"/>
      <c r="D96" s="147"/>
      <c r="E96" s="148"/>
      <c r="F96" s="149"/>
      <c r="G96" s="61"/>
      <c r="H96" s="63"/>
      <c r="I96" s="63"/>
      <c r="J96" s="63"/>
      <c r="K96" s="63"/>
      <c r="L96" s="63"/>
      <c r="M96" s="63"/>
    </row>
    <row r="97">
      <c r="A97" s="106"/>
      <c r="B97" s="56"/>
      <c r="C97" s="57"/>
      <c r="D97" s="147"/>
      <c r="E97" s="148"/>
      <c r="F97" s="149"/>
      <c r="G97" s="61"/>
      <c r="H97" s="63"/>
      <c r="I97" s="63"/>
      <c r="J97" s="63"/>
      <c r="K97" s="63"/>
      <c r="L97" s="63"/>
      <c r="M97" s="63"/>
    </row>
    <row r="98">
      <c r="A98" s="106"/>
      <c r="B98" s="56"/>
      <c r="C98" s="57"/>
      <c r="D98" s="147"/>
      <c r="E98" s="148"/>
      <c r="F98" s="149"/>
      <c r="G98" s="61"/>
      <c r="H98" s="63"/>
      <c r="I98" s="63"/>
      <c r="J98" s="63"/>
      <c r="K98" s="63"/>
      <c r="L98" s="63"/>
      <c r="M98" s="63"/>
    </row>
    <row r="99">
      <c r="A99" s="106"/>
      <c r="B99" s="56"/>
      <c r="C99" s="57"/>
      <c r="D99" s="147"/>
      <c r="E99" s="148"/>
      <c r="F99" s="149"/>
      <c r="G99" s="61"/>
      <c r="H99" s="63"/>
      <c r="I99" s="63"/>
      <c r="J99" s="63"/>
      <c r="K99" s="63"/>
      <c r="L99" s="63"/>
      <c r="M99" s="63"/>
    </row>
    <row r="100">
      <c r="A100" s="106"/>
      <c r="B100" s="56"/>
      <c r="C100" s="57"/>
      <c r="D100" s="147"/>
      <c r="E100" s="148"/>
      <c r="F100" s="149"/>
      <c r="G100" s="61"/>
      <c r="H100" s="63"/>
      <c r="I100" s="63"/>
      <c r="J100" s="63"/>
      <c r="K100" s="63"/>
      <c r="L100" s="63"/>
      <c r="M100" s="63"/>
    </row>
    <row r="101">
      <c r="A101" s="106"/>
      <c r="B101" s="56"/>
      <c r="C101" s="57"/>
      <c r="D101" s="147"/>
      <c r="E101" s="148"/>
      <c r="F101" s="149"/>
      <c r="G101" s="61"/>
      <c r="H101" s="63"/>
      <c r="I101" s="63"/>
      <c r="J101" s="63"/>
      <c r="K101" s="63"/>
      <c r="L101" s="63"/>
      <c r="M101" s="63"/>
    </row>
    <row r="102">
      <c r="A102" s="106"/>
      <c r="B102" s="56"/>
      <c r="C102" s="57"/>
      <c r="D102" s="147"/>
      <c r="E102" s="148"/>
      <c r="F102" s="149"/>
      <c r="G102" s="61"/>
      <c r="H102" s="63"/>
      <c r="I102" s="63"/>
      <c r="J102" s="63"/>
      <c r="K102" s="63"/>
      <c r="L102" s="63"/>
      <c r="M102" s="63"/>
    </row>
    <row r="103">
      <c r="A103" s="106"/>
      <c r="B103" s="56"/>
      <c r="C103" s="57"/>
      <c r="D103" s="147"/>
      <c r="E103" s="148"/>
      <c r="F103" s="149"/>
      <c r="G103" s="61"/>
      <c r="H103" s="63"/>
      <c r="I103" s="63"/>
      <c r="J103" s="63"/>
      <c r="K103" s="63"/>
      <c r="L103" s="63"/>
      <c r="M103" s="63"/>
    </row>
    <row r="104">
      <c r="A104" s="106"/>
      <c r="B104" s="56"/>
      <c r="C104" s="57"/>
      <c r="D104" s="147"/>
      <c r="E104" s="148"/>
      <c r="F104" s="149"/>
      <c r="G104" s="61"/>
      <c r="H104" s="63"/>
      <c r="I104" s="63"/>
      <c r="J104" s="63"/>
      <c r="K104" s="63"/>
      <c r="L104" s="63"/>
      <c r="M104" s="63"/>
    </row>
    <row r="105">
      <c r="A105" s="106"/>
      <c r="B105" s="56"/>
      <c r="C105" s="57"/>
      <c r="D105" s="147"/>
      <c r="E105" s="148"/>
      <c r="F105" s="149"/>
      <c r="G105" s="61"/>
      <c r="H105" s="63"/>
      <c r="I105" s="63"/>
      <c r="J105" s="63"/>
      <c r="K105" s="63"/>
      <c r="L105" s="63"/>
      <c r="M105" s="63"/>
    </row>
    <row r="106">
      <c r="A106" s="106"/>
      <c r="B106" s="56"/>
      <c r="C106" s="57"/>
      <c r="D106" s="147"/>
      <c r="E106" s="148"/>
      <c r="F106" s="149"/>
      <c r="G106" s="61"/>
      <c r="H106" s="63"/>
      <c r="I106" s="63"/>
      <c r="J106" s="63"/>
      <c r="K106" s="63"/>
      <c r="L106" s="63"/>
      <c r="M106" s="63"/>
    </row>
    <row r="107">
      <c r="A107" s="106"/>
      <c r="B107" s="56"/>
      <c r="C107" s="57"/>
      <c r="D107" s="147"/>
      <c r="E107" s="148"/>
      <c r="F107" s="149"/>
      <c r="G107" s="61"/>
      <c r="H107" s="63"/>
      <c r="I107" s="63"/>
      <c r="J107" s="63"/>
      <c r="K107" s="63"/>
      <c r="L107" s="63"/>
      <c r="M107" s="63"/>
    </row>
    <row r="108">
      <c r="A108" s="106"/>
      <c r="B108" s="56"/>
      <c r="C108" s="57"/>
      <c r="D108" s="147"/>
      <c r="E108" s="148"/>
      <c r="F108" s="149"/>
      <c r="G108" s="61"/>
      <c r="H108" s="63"/>
      <c r="I108" s="63"/>
      <c r="J108" s="63"/>
      <c r="K108" s="63"/>
      <c r="L108" s="63"/>
      <c r="M108" s="63"/>
    </row>
    <row r="109">
      <c r="A109" s="106"/>
      <c r="B109" s="56"/>
      <c r="C109" s="57"/>
      <c r="D109" s="147"/>
      <c r="E109" s="148"/>
      <c r="F109" s="149"/>
      <c r="G109" s="61"/>
      <c r="H109" s="63"/>
      <c r="I109" s="63"/>
      <c r="J109" s="63"/>
      <c r="K109" s="63"/>
      <c r="L109" s="63"/>
      <c r="M109" s="63"/>
    </row>
    <row r="110">
      <c r="A110" s="106"/>
      <c r="B110" s="56"/>
      <c r="C110" s="57"/>
      <c r="D110" s="147"/>
      <c r="E110" s="148"/>
      <c r="F110" s="149"/>
      <c r="G110" s="61"/>
      <c r="H110" s="63"/>
      <c r="I110" s="63"/>
      <c r="J110" s="63"/>
      <c r="K110" s="63"/>
      <c r="L110" s="63"/>
      <c r="M110" s="63"/>
    </row>
    <row r="111">
      <c r="A111" s="106"/>
      <c r="B111" s="56"/>
      <c r="C111" s="57"/>
      <c r="D111" s="147"/>
      <c r="E111" s="148"/>
      <c r="F111" s="149"/>
      <c r="G111" s="61"/>
      <c r="H111" s="63"/>
      <c r="I111" s="63"/>
      <c r="J111" s="63"/>
      <c r="K111" s="63"/>
      <c r="L111" s="63"/>
      <c r="M111" s="63"/>
    </row>
    <row r="112">
      <c r="A112" s="106"/>
      <c r="B112" s="56"/>
      <c r="C112" s="57"/>
      <c r="D112" s="147"/>
      <c r="E112" s="148"/>
      <c r="F112" s="149"/>
      <c r="G112" s="61"/>
      <c r="H112" s="63"/>
      <c r="I112" s="63"/>
      <c r="J112" s="63"/>
      <c r="K112" s="63"/>
      <c r="L112" s="63"/>
      <c r="M112" s="63"/>
    </row>
    <row r="113">
      <c r="A113" s="106"/>
      <c r="B113" s="56"/>
      <c r="C113" s="57"/>
      <c r="D113" s="147"/>
      <c r="E113" s="148"/>
      <c r="F113" s="149"/>
      <c r="G113" s="61"/>
      <c r="H113" s="63"/>
      <c r="I113" s="63"/>
      <c r="J113" s="63"/>
      <c r="K113" s="63"/>
      <c r="L113" s="63"/>
      <c r="M113" s="63"/>
    </row>
    <row r="114">
      <c r="A114" s="106"/>
      <c r="B114" s="56"/>
      <c r="C114" s="57"/>
      <c r="D114" s="147"/>
      <c r="E114" s="148"/>
      <c r="F114" s="149"/>
      <c r="G114" s="61"/>
      <c r="H114" s="63"/>
      <c r="I114" s="63"/>
      <c r="J114" s="63"/>
      <c r="K114" s="63"/>
      <c r="L114" s="63"/>
      <c r="M114" s="63"/>
    </row>
    <row r="115">
      <c r="A115" s="106"/>
      <c r="B115" s="56"/>
      <c r="C115" s="57"/>
      <c r="D115" s="147"/>
      <c r="E115" s="148"/>
      <c r="F115" s="149"/>
      <c r="G115" s="61"/>
      <c r="H115" s="63"/>
      <c r="I115" s="63"/>
      <c r="J115" s="63"/>
      <c r="K115" s="63"/>
      <c r="L115" s="63"/>
      <c r="M115" s="63"/>
    </row>
    <row r="116">
      <c r="A116" s="106"/>
      <c r="B116" s="56"/>
      <c r="C116" s="57"/>
      <c r="D116" s="147"/>
      <c r="E116" s="148"/>
      <c r="F116" s="149"/>
      <c r="G116" s="61"/>
      <c r="H116" s="63"/>
      <c r="I116" s="63"/>
      <c r="J116" s="63"/>
      <c r="K116" s="63"/>
      <c r="L116" s="63"/>
      <c r="M116" s="63"/>
    </row>
    <row r="117">
      <c r="A117" s="106"/>
      <c r="B117" s="56"/>
      <c r="C117" s="57"/>
      <c r="D117" s="147"/>
      <c r="E117" s="148"/>
      <c r="F117" s="149"/>
      <c r="G117" s="61"/>
      <c r="H117" s="63"/>
      <c r="I117" s="63"/>
      <c r="J117" s="63"/>
      <c r="K117" s="63"/>
      <c r="L117" s="63"/>
      <c r="M117" s="63"/>
    </row>
    <row r="118">
      <c r="A118" s="106"/>
      <c r="B118" s="56"/>
      <c r="C118" s="57"/>
      <c r="D118" s="147"/>
      <c r="E118" s="148"/>
      <c r="F118" s="149"/>
      <c r="G118" s="61"/>
      <c r="H118" s="63"/>
      <c r="I118" s="63"/>
      <c r="J118" s="63"/>
      <c r="K118" s="63"/>
      <c r="L118" s="63"/>
      <c r="M118" s="63"/>
    </row>
    <row r="119">
      <c r="A119" s="106"/>
      <c r="B119" s="56"/>
      <c r="C119" s="57"/>
      <c r="D119" s="147"/>
      <c r="E119" s="148"/>
      <c r="F119" s="149"/>
      <c r="G119" s="61"/>
      <c r="H119" s="63"/>
      <c r="I119" s="63"/>
      <c r="J119" s="63"/>
      <c r="K119" s="63"/>
      <c r="L119" s="63"/>
      <c r="M119" s="63"/>
    </row>
    <row r="120">
      <c r="A120" s="106"/>
      <c r="B120" s="56"/>
      <c r="C120" s="57"/>
      <c r="D120" s="147"/>
      <c r="E120" s="148"/>
      <c r="F120" s="149"/>
      <c r="G120" s="61"/>
      <c r="H120" s="63"/>
      <c r="I120" s="63"/>
      <c r="J120" s="63"/>
      <c r="K120" s="63"/>
      <c r="L120" s="63"/>
      <c r="M120" s="63"/>
    </row>
    <row r="121">
      <c r="A121" s="106"/>
      <c r="B121" s="56"/>
      <c r="C121" s="57"/>
      <c r="D121" s="147"/>
      <c r="E121" s="148"/>
      <c r="F121" s="149"/>
      <c r="G121" s="61"/>
      <c r="H121" s="63"/>
      <c r="I121" s="63"/>
      <c r="J121" s="63"/>
      <c r="K121" s="63"/>
      <c r="L121" s="63"/>
      <c r="M121" s="63"/>
    </row>
    <row r="122">
      <c r="A122" s="106"/>
      <c r="B122" s="56"/>
      <c r="C122" s="57"/>
      <c r="D122" s="147"/>
      <c r="E122" s="148"/>
      <c r="F122" s="149"/>
      <c r="G122" s="61"/>
      <c r="H122" s="63"/>
      <c r="I122" s="63"/>
      <c r="J122" s="63"/>
      <c r="K122" s="63"/>
      <c r="L122" s="63"/>
      <c r="M122" s="63"/>
    </row>
    <row r="123">
      <c r="A123" s="106"/>
      <c r="B123" s="56"/>
      <c r="C123" s="57"/>
      <c r="D123" s="147"/>
      <c r="E123" s="148"/>
      <c r="F123" s="149"/>
      <c r="G123" s="61"/>
      <c r="H123" s="63"/>
      <c r="I123" s="63"/>
      <c r="J123" s="63"/>
      <c r="K123" s="63"/>
      <c r="L123" s="63"/>
      <c r="M123" s="63"/>
    </row>
    <row r="124">
      <c r="A124" s="106"/>
      <c r="B124" s="56"/>
      <c r="C124" s="57"/>
      <c r="D124" s="147"/>
      <c r="E124" s="148"/>
      <c r="F124" s="149"/>
      <c r="G124" s="61"/>
      <c r="H124" s="63"/>
      <c r="I124" s="63"/>
      <c r="J124" s="63"/>
      <c r="K124" s="63"/>
      <c r="L124" s="63"/>
      <c r="M124" s="63"/>
    </row>
    <row r="125">
      <c r="A125" s="106"/>
      <c r="B125" s="56"/>
      <c r="C125" s="57"/>
      <c r="D125" s="147"/>
      <c r="E125" s="148"/>
      <c r="F125" s="149"/>
      <c r="G125" s="61"/>
      <c r="H125" s="63"/>
      <c r="I125" s="63"/>
      <c r="J125" s="63"/>
      <c r="K125" s="63"/>
      <c r="L125" s="63"/>
      <c r="M125" s="63"/>
    </row>
    <row r="126">
      <c r="A126" s="106"/>
      <c r="B126" s="56"/>
      <c r="C126" s="57"/>
      <c r="D126" s="147"/>
      <c r="E126" s="148"/>
      <c r="F126" s="149"/>
      <c r="G126" s="61"/>
      <c r="H126" s="63"/>
      <c r="I126" s="63"/>
      <c r="J126" s="63"/>
      <c r="K126" s="63"/>
      <c r="L126" s="63"/>
      <c r="M126" s="63"/>
    </row>
    <row r="127">
      <c r="A127" s="106"/>
      <c r="B127" s="56"/>
      <c r="C127" s="57"/>
      <c r="D127" s="147"/>
      <c r="E127" s="148"/>
      <c r="F127" s="149"/>
      <c r="G127" s="61"/>
      <c r="H127" s="63"/>
      <c r="I127" s="63"/>
      <c r="J127" s="63"/>
      <c r="K127" s="63"/>
      <c r="L127" s="63"/>
      <c r="M127" s="63"/>
    </row>
    <row r="128">
      <c r="A128" s="106"/>
      <c r="B128" s="56"/>
      <c r="C128" s="57"/>
      <c r="D128" s="147"/>
      <c r="E128" s="148"/>
      <c r="F128" s="149"/>
      <c r="G128" s="61"/>
      <c r="H128" s="63"/>
      <c r="I128" s="63"/>
      <c r="J128" s="63"/>
      <c r="K128" s="63"/>
      <c r="L128" s="63"/>
      <c r="M128" s="63"/>
    </row>
    <row r="129">
      <c r="A129" s="106"/>
      <c r="B129" s="56"/>
      <c r="C129" s="57"/>
      <c r="D129" s="147"/>
      <c r="E129" s="148"/>
      <c r="F129" s="149"/>
      <c r="G129" s="61"/>
      <c r="H129" s="63"/>
      <c r="I129" s="63"/>
      <c r="J129" s="63"/>
      <c r="K129" s="63"/>
      <c r="L129" s="63"/>
      <c r="M129" s="63"/>
    </row>
    <row r="130">
      <c r="A130" s="106"/>
      <c r="B130" s="56"/>
      <c r="C130" s="57"/>
      <c r="D130" s="147"/>
      <c r="E130" s="148"/>
      <c r="F130" s="149"/>
      <c r="G130" s="61"/>
      <c r="H130" s="63"/>
      <c r="I130" s="63"/>
      <c r="J130" s="63"/>
      <c r="K130" s="63"/>
      <c r="L130" s="63"/>
      <c r="M130" s="63"/>
    </row>
    <row r="131">
      <c r="A131" s="106"/>
      <c r="B131" s="56"/>
      <c r="C131" s="57"/>
      <c r="D131" s="147"/>
      <c r="E131" s="148"/>
      <c r="F131" s="149"/>
      <c r="G131" s="61"/>
      <c r="H131" s="63"/>
      <c r="I131" s="63"/>
      <c r="J131" s="63"/>
      <c r="K131" s="63"/>
      <c r="L131" s="63"/>
      <c r="M131" s="63"/>
    </row>
    <row r="132">
      <c r="A132" s="106"/>
      <c r="B132" s="56"/>
      <c r="C132" s="57"/>
      <c r="D132" s="147"/>
      <c r="E132" s="148"/>
      <c r="F132" s="149"/>
      <c r="G132" s="61"/>
      <c r="H132" s="63"/>
      <c r="I132" s="63"/>
      <c r="J132" s="63"/>
      <c r="K132" s="63"/>
      <c r="L132" s="63"/>
      <c r="M132" s="63"/>
    </row>
    <row r="133">
      <c r="A133" s="106"/>
      <c r="B133" s="56"/>
      <c r="C133" s="57"/>
      <c r="D133" s="147"/>
      <c r="E133" s="148"/>
      <c r="F133" s="149"/>
      <c r="G133" s="61"/>
      <c r="H133" s="63"/>
      <c r="I133" s="63"/>
      <c r="J133" s="63"/>
      <c r="K133" s="63"/>
      <c r="L133" s="63"/>
      <c r="M133" s="63"/>
    </row>
    <row r="134">
      <c r="A134" s="106"/>
      <c r="B134" s="56"/>
      <c r="C134" s="57"/>
      <c r="D134" s="147"/>
      <c r="E134" s="148"/>
      <c r="F134" s="149"/>
      <c r="G134" s="61"/>
      <c r="H134" s="63"/>
      <c r="I134" s="63"/>
      <c r="J134" s="63"/>
      <c r="K134" s="63"/>
      <c r="L134" s="63"/>
      <c r="M134" s="63"/>
    </row>
    <row r="135">
      <c r="A135" s="106"/>
      <c r="B135" s="56"/>
      <c r="C135" s="57"/>
      <c r="D135" s="147"/>
      <c r="E135" s="148"/>
      <c r="F135" s="149"/>
      <c r="G135" s="61"/>
      <c r="H135" s="63"/>
      <c r="I135" s="63"/>
      <c r="J135" s="63"/>
      <c r="K135" s="63"/>
      <c r="L135" s="63"/>
      <c r="M135" s="63"/>
    </row>
    <row r="136">
      <c r="A136" s="106"/>
      <c r="B136" s="56"/>
      <c r="C136" s="57"/>
      <c r="D136" s="147"/>
      <c r="E136" s="148"/>
      <c r="F136" s="149"/>
      <c r="G136" s="61"/>
      <c r="H136" s="63"/>
      <c r="I136" s="63"/>
      <c r="J136" s="63"/>
      <c r="K136" s="63"/>
      <c r="L136" s="63"/>
      <c r="M136" s="63"/>
    </row>
    <row r="137">
      <c r="A137" s="106"/>
      <c r="B137" s="56"/>
      <c r="C137" s="57"/>
      <c r="D137" s="147"/>
      <c r="E137" s="148"/>
      <c r="F137" s="149"/>
      <c r="G137" s="61"/>
      <c r="H137" s="63"/>
      <c r="I137" s="63"/>
      <c r="J137" s="63"/>
      <c r="K137" s="63"/>
      <c r="L137" s="63"/>
      <c r="M137" s="63"/>
    </row>
    <row r="138">
      <c r="A138" s="106"/>
      <c r="B138" s="56"/>
      <c r="C138" s="57"/>
      <c r="D138" s="147"/>
      <c r="E138" s="148"/>
      <c r="F138" s="149"/>
      <c r="G138" s="61"/>
      <c r="H138" s="63"/>
      <c r="I138" s="63"/>
      <c r="J138" s="63"/>
      <c r="K138" s="63"/>
      <c r="L138" s="63"/>
      <c r="M138" s="63"/>
    </row>
    <row r="139">
      <c r="A139" s="106"/>
      <c r="B139" s="56"/>
      <c r="C139" s="57"/>
      <c r="D139" s="147"/>
      <c r="E139" s="148"/>
      <c r="F139" s="149"/>
      <c r="G139" s="61"/>
      <c r="H139" s="63"/>
      <c r="I139" s="63"/>
      <c r="J139" s="63"/>
      <c r="K139" s="63"/>
      <c r="L139" s="63"/>
      <c r="M139" s="63"/>
    </row>
    <row r="140">
      <c r="A140" s="106"/>
      <c r="B140" s="56"/>
      <c r="C140" s="57"/>
      <c r="D140" s="147"/>
      <c r="E140" s="148"/>
      <c r="F140" s="149"/>
      <c r="G140" s="61"/>
      <c r="H140" s="63"/>
      <c r="I140" s="63"/>
      <c r="J140" s="63"/>
      <c r="K140" s="63"/>
      <c r="L140" s="63"/>
      <c r="M140" s="63"/>
    </row>
    <row r="141">
      <c r="A141" s="106"/>
      <c r="B141" s="56"/>
      <c r="C141" s="57"/>
      <c r="D141" s="147"/>
      <c r="E141" s="148"/>
      <c r="F141" s="149"/>
      <c r="G141" s="61"/>
      <c r="H141" s="63"/>
      <c r="I141" s="63"/>
      <c r="J141" s="63"/>
      <c r="K141" s="63"/>
      <c r="L141" s="63"/>
      <c r="M141" s="63"/>
    </row>
    <row r="142">
      <c r="A142" s="106"/>
      <c r="B142" s="56"/>
      <c r="C142" s="57"/>
      <c r="D142" s="147"/>
      <c r="E142" s="148"/>
      <c r="F142" s="149"/>
      <c r="G142" s="61"/>
      <c r="H142" s="63"/>
      <c r="I142" s="63"/>
      <c r="J142" s="63"/>
      <c r="K142" s="63"/>
      <c r="L142" s="63"/>
      <c r="M142" s="63"/>
    </row>
    <row r="143">
      <c r="A143" s="106"/>
      <c r="B143" s="56"/>
      <c r="C143" s="57"/>
      <c r="D143" s="147"/>
      <c r="E143" s="148"/>
      <c r="F143" s="149"/>
      <c r="G143" s="61"/>
      <c r="H143" s="63"/>
      <c r="I143" s="63"/>
      <c r="J143" s="63"/>
      <c r="K143" s="63"/>
      <c r="L143" s="63"/>
      <c r="M143" s="63"/>
    </row>
    <row r="144">
      <c r="A144" s="106"/>
      <c r="B144" s="56"/>
      <c r="C144" s="57"/>
      <c r="D144" s="147"/>
      <c r="E144" s="148"/>
      <c r="F144" s="149"/>
      <c r="G144" s="61"/>
      <c r="H144" s="63"/>
      <c r="I144" s="63"/>
      <c r="J144" s="63"/>
      <c r="K144" s="63"/>
      <c r="L144" s="63"/>
      <c r="M144" s="63"/>
    </row>
    <row r="145">
      <c r="A145" s="106"/>
      <c r="B145" s="56"/>
      <c r="C145" s="57"/>
      <c r="D145" s="147"/>
      <c r="E145" s="148"/>
      <c r="F145" s="149"/>
      <c r="G145" s="61"/>
      <c r="H145" s="63"/>
      <c r="I145" s="63"/>
      <c r="J145" s="63"/>
      <c r="K145" s="63"/>
      <c r="L145" s="63"/>
      <c r="M145" s="63"/>
    </row>
    <row r="146">
      <c r="A146" s="106"/>
      <c r="B146" s="56"/>
      <c r="C146" s="57"/>
      <c r="D146" s="147"/>
      <c r="E146" s="148"/>
      <c r="F146" s="149"/>
      <c r="G146" s="61"/>
      <c r="H146" s="63"/>
      <c r="I146" s="63"/>
      <c r="J146" s="63"/>
      <c r="K146" s="63"/>
      <c r="L146" s="63"/>
      <c r="M146" s="63"/>
    </row>
    <row r="147">
      <c r="A147" s="106"/>
      <c r="B147" s="56"/>
      <c r="C147" s="57"/>
      <c r="D147" s="147"/>
      <c r="E147" s="148"/>
      <c r="F147" s="149"/>
      <c r="G147" s="61"/>
      <c r="H147" s="63"/>
      <c r="I147" s="63"/>
      <c r="J147" s="63"/>
      <c r="K147" s="63"/>
      <c r="L147" s="63"/>
      <c r="M147" s="63"/>
    </row>
  </sheetData>
  <mergeCells count="37">
    <mergeCell ref="A1:M2"/>
    <mergeCell ref="B3:G3"/>
    <mergeCell ref="H5:H16"/>
    <mergeCell ref="I5:I16"/>
    <mergeCell ref="J5:J16"/>
    <mergeCell ref="K5:K16"/>
    <mergeCell ref="L5:L16"/>
    <mergeCell ref="J29:J40"/>
    <mergeCell ref="K29:K40"/>
    <mergeCell ref="H17:H28"/>
    <mergeCell ref="I17:I28"/>
    <mergeCell ref="J17:J28"/>
    <mergeCell ref="K17:K28"/>
    <mergeCell ref="L17:L28"/>
    <mergeCell ref="I29:I40"/>
    <mergeCell ref="L29:L40"/>
    <mergeCell ref="I53:I64"/>
    <mergeCell ref="J53:J64"/>
    <mergeCell ref="H65:H76"/>
    <mergeCell ref="I65:I76"/>
    <mergeCell ref="J65:J76"/>
    <mergeCell ref="H77:H88"/>
    <mergeCell ref="I77:I88"/>
    <mergeCell ref="J77:J88"/>
    <mergeCell ref="K53:K64"/>
    <mergeCell ref="L53:L64"/>
    <mergeCell ref="K65:K76"/>
    <mergeCell ref="L65:L76"/>
    <mergeCell ref="K77:K88"/>
    <mergeCell ref="L77:L88"/>
    <mergeCell ref="H29:H40"/>
    <mergeCell ref="H41:H52"/>
    <mergeCell ref="I41:I52"/>
    <mergeCell ref="J41:J52"/>
    <mergeCell ref="K41:K52"/>
    <mergeCell ref="L41:L52"/>
    <mergeCell ref="H53:H6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29"/>
    <col customWidth="1" min="2" max="2" width="38.0"/>
    <col customWidth="1" min="3" max="3" width="132.71"/>
    <col customWidth="1" min="4" max="4" width="10.14"/>
    <col customWidth="1" min="5" max="5" width="11.29"/>
    <col customWidth="1" min="6" max="6" width="26.29"/>
    <col customWidth="1" min="7" max="7" width="12.86"/>
    <col customWidth="1" min="8" max="8" width="22.43"/>
    <col customWidth="1" min="9" max="9" width="32.29"/>
    <col customWidth="1" hidden="1" min="10" max="10" width="27.14"/>
    <col customWidth="1" min="11" max="11" width="27.14"/>
    <col customWidth="1" min="12" max="12" width="21.0"/>
    <col customWidth="1" min="13" max="13" width="37.57"/>
    <col customWidth="1" min="14" max="15" width="43.71"/>
    <col customWidth="1" hidden="1" min="16" max="16" width="43.71"/>
    <col customWidth="1" min="17" max="17" width="6.29"/>
  </cols>
  <sheetData>
    <row r="1" ht="25.5" customHeight="1">
      <c r="A1" s="150" t="s">
        <v>90</v>
      </c>
      <c r="B1" s="2" t="s">
        <v>0</v>
      </c>
      <c r="O1" s="151"/>
      <c r="P1" s="2"/>
      <c r="Q1" s="150" t="s">
        <v>90</v>
      </c>
    </row>
    <row r="2" ht="43.5" customHeight="1">
      <c r="A2" s="150"/>
      <c r="O2" s="151"/>
      <c r="P2" s="2"/>
      <c r="Q2" s="134"/>
    </row>
    <row r="3">
      <c r="A3" s="150"/>
      <c r="B3" s="152" t="s">
        <v>1</v>
      </c>
      <c r="C3" s="153" t="s">
        <v>2</v>
      </c>
      <c r="D3" s="154" t="s">
        <v>3</v>
      </c>
      <c r="E3" s="154" t="s">
        <v>4</v>
      </c>
      <c r="F3" s="155" t="s">
        <v>91</v>
      </c>
      <c r="G3" s="156" t="s">
        <v>5</v>
      </c>
      <c r="H3" s="157" t="s">
        <v>6</v>
      </c>
      <c r="I3" s="13" t="s">
        <v>92</v>
      </c>
      <c r="J3" s="158" t="s">
        <v>93</v>
      </c>
      <c r="K3" s="159" t="s">
        <v>8</v>
      </c>
      <c r="L3" s="14" t="s">
        <v>7</v>
      </c>
      <c r="M3" s="14" t="s">
        <v>94</v>
      </c>
      <c r="N3" s="14" t="s">
        <v>10</v>
      </c>
      <c r="O3" s="160" t="s">
        <v>11</v>
      </c>
      <c r="P3" s="75" t="s">
        <v>95</v>
      </c>
      <c r="Q3" s="134"/>
    </row>
    <row r="4" hidden="1">
      <c r="A4" s="150"/>
      <c r="B4" s="161"/>
      <c r="C4" s="162"/>
      <c r="D4" s="163" t="s">
        <v>14</v>
      </c>
      <c r="E4" s="164">
        <v>1.0</v>
      </c>
      <c r="F4" s="165" t="s">
        <v>90</v>
      </c>
      <c r="G4" s="166">
        <v>194.56</v>
      </c>
      <c r="H4" s="167">
        <f>SUM(E4*G4)</f>
        <v>194.56</v>
      </c>
      <c r="I4" s="168">
        <f>SUM(H5:H15)</f>
        <v>106.079</v>
      </c>
      <c r="J4" s="169">
        <v>0.25</v>
      </c>
      <c r="K4" s="21">
        <v>2.09824</v>
      </c>
      <c r="L4" s="22">
        <f>SUM(H4:H15)</f>
        <v>300.639</v>
      </c>
      <c r="M4" s="22">
        <f>SUM(K4*L4)</f>
        <v>630.8127754</v>
      </c>
      <c r="N4" s="23">
        <f>SUM(L4+M4)</f>
        <v>931.4517754</v>
      </c>
      <c r="O4" s="24">
        <f>IFERROR(M4/N4,"")</f>
        <v>0.6772361082</v>
      </c>
      <c r="P4" s="170">
        <f>SUM(N4-L4)</f>
        <v>630.8127754</v>
      </c>
      <c r="Q4" s="134"/>
    </row>
    <row r="5" hidden="1">
      <c r="A5" s="150"/>
      <c r="B5" s="171" t="s">
        <v>15</v>
      </c>
      <c r="C5" s="172" t="s">
        <v>16</v>
      </c>
      <c r="D5" s="27" t="s">
        <v>3</v>
      </c>
      <c r="E5" s="28">
        <v>0.0</v>
      </c>
      <c r="F5" s="173">
        <f t="shared" ref="F5:F6" si="1">(E4*E5)</f>
        <v>0</v>
      </c>
      <c r="G5" s="29">
        <v>2.59</v>
      </c>
      <c r="H5" s="30">
        <f t="shared" ref="H5:H15" si="2">SUM(F5*G5)</f>
        <v>0</v>
      </c>
      <c r="I5" s="32"/>
      <c r="J5" s="32"/>
      <c r="K5" s="31"/>
      <c r="L5" s="31"/>
      <c r="M5" s="31"/>
      <c r="N5" s="32"/>
      <c r="O5" s="32"/>
      <c r="P5" s="174"/>
      <c r="Q5" s="134"/>
    </row>
    <row r="6" hidden="1">
      <c r="A6" s="150"/>
      <c r="B6" s="175" t="s">
        <v>17</v>
      </c>
      <c r="C6" s="176" t="s">
        <v>18</v>
      </c>
      <c r="D6" s="35" t="s">
        <v>19</v>
      </c>
      <c r="E6" s="36">
        <v>4.0</v>
      </c>
      <c r="F6" s="173">
        <f t="shared" si="1"/>
        <v>0</v>
      </c>
      <c r="G6" s="37">
        <v>13.6</v>
      </c>
      <c r="H6" s="30">
        <f t="shared" si="2"/>
        <v>0</v>
      </c>
      <c r="I6" s="32"/>
      <c r="J6" s="32"/>
      <c r="K6" s="31"/>
      <c r="L6" s="31"/>
      <c r="M6" s="31"/>
      <c r="N6" s="32"/>
      <c r="O6" s="32"/>
      <c r="P6" s="174"/>
      <c r="Q6" s="134"/>
    </row>
    <row r="7" hidden="1">
      <c r="A7" s="150"/>
      <c r="B7" s="175" t="s">
        <v>20</v>
      </c>
      <c r="C7" s="176" t="s">
        <v>21</v>
      </c>
      <c r="D7" s="35" t="s">
        <v>3</v>
      </c>
      <c r="E7" s="36">
        <v>10.0</v>
      </c>
      <c r="F7" s="173">
        <f>(E4*E7)</f>
        <v>10</v>
      </c>
      <c r="G7" s="37">
        <v>0.19</v>
      </c>
      <c r="H7" s="30">
        <f t="shared" si="2"/>
        <v>1.9</v>
      </c>
      <c r="I7" s="32"/>
      <c r="J7" s="32"/>
      <c r="K7" s="31"/>
      <c r="L7" s="31"/>
      <c r="M7" s="31"/>
      <c r="N7" s="32"/>
      <c r="O7" s="32"/>
      <c r="P7" s="174"/>
      <c r="Q7" s="134"/>
    </row>
    <row r="8" hidden="1">
      <c r="A8" s="150"/>
      <c r="B8" s="175" t="s">
        <v>22</v>
      </c>
      <c r="C8" s="176" t="s">
        <v>23</v>
      </c>
      <c r="D8" s="35" t="s">
        <v>3</v>
      </c>
      <c r="E8" s="36">
        <v>10.0</v>
      </c>
      <c r="F8" s="173">
        <f>(E4*E8)</f>
        <v>10</v>
      </c>
      <c r="G8" s="37">
        <v>0.3</v>
      </c>
      <c r="H8" s="30">
        <f t="shared" si="2"/>
        <v>3</v>
      </c>
      <c r="I8" s="32"/>
      <c r="J8" s="32"/>
      <c r="K8" s="31"/>
      <c r="L8" s="31"/>
      <c r="M8" s="31"/>
      <c r="N8" s="32"/>
      <c r="O8" s="32"/>
      <c r="P8" s="174"/>
      <c r="Q8" s="134"/>
    </row>
    <row r="9" hidden="1">
      <c r="A9" s="150"/>
      <c r="B9" s="175" t="s">
        <v>24</v>
      </c>
      <c r="C9" s="176" t="s">
        <v>25</v>
      </c>
      <c r="D9" s="35" t="s">
        <v>3</v>
      </c>
      <c r="E9" s="36">
        <v>1.0</v>
      </c>
      <c r="F9" s="173">
        <f>(E4*E9)</f>
        <v>1</v>
      </c>
      <c r="G9" s="37">
        <v>0.15</v>
      </c>
      <c r="H9" s="30">
        <f t="shared" si="2"/>
        <v>0.15</v>
      </c>
      <c r="I9" s="32"/>
      <c r="J9" s="32"/>
      <c r="K9" s="31"/>
      <c r="L9" s="31"/>
      <c r="M9" s="31"/>
      <c r="N9" s="32"/>
      <c r="O9" s="32"/>
      <c r="P9" s="174"/>
      <c r="Q9" s="134"/>
    </row>
    <row r="10" hidden="1">
      <c r="A10" s="150"/>
      <c r="B10" s="175" t="s">
        <v>26</v>
      </c>
      <c r="C10" s="176" t="s">
        <v>27</v>
      </c>
      <c r="D10" s="35" t="s">
        <v>3</v>
      </c>
      <c r="E10" s="36">
        <v>50.0</v>
      </c>
      <c r="F10" s="173">
        <f>(E4*E10)</f>
        <v>50</v>
      </c>
      <c r="G10" s="37">
        <v>1.3</v>
      </c>
      <c r="H10" s="30">
        <f t="shared" si="2"/>
        <v>65</v>
      </c>
      <c r="I10" s="32"/>
      <c r="J10" s="32"/>
      <c r="K10" s="31"/>
      <c r="L10" s="31"/>
      <c r="M10" s="31"/>
      <c r="N10" s="32"/>
      <c r="O10" s="32"/>
      <c r="P10" s="174"/>
      <c r="Q10" s="134"/>
    </row>
    <row r="11" hidden="1">
      <c r="A11" s="150"/>
      <c r="B11" s="175" t="s">
        <v>28</v>
      </c>
      <c r="C11" s="176" t="s">
        <v>29</v>
      </c>
      <c r="D11" s="35" t="s">
        <v>3</v>
      </c>
      <c r="E11" s="36">
        <v>50.0</v>
      </c>
      <c r="F11" s="173">
        <f>(E4*E11)</f>
        <v>50</v>
      </c>
      <c r="G11" s="37">
        <v>0.14</v>
      </c>
      <c r="H11" s="30">
        <f t="shared" si="2"/>
        <v>7</v>
      </c>
      <c r="I11" s="32"/>
      <c r="J11" s="32"/>
      <c r="K11" s="31"/>
      <c r="L11" s="31"/>
      <c r="M11" s="31"/>
      <c r="N11" s="32"/>
      <c r="O11" s="32"/>
      <c r="P11" s="174"/>
      <c r="Q11" s="134"/>
    </row>
    <row r="12" hidden="1">
      <c r="A12" s="150"/>
      <c r="B12" s="175" t="s">
        <v>30</v>
      </c>
      <c r="C12" s="176" t="s">
        <v>31</v>
      </c>
      <c r="D12" s="35" t="s">
        <v>3</v>
      </c>
      <c r="E12" s="36">
        <v>1.0</v>
      </c>
      <c r="F12" s="173">
        <f>(E4*E12)</f>
        <v>1</v>
      </c>
      <c r="G12" s="37">
        <v>23.9</v>
      </c>
      <c r="H12" s="30">
        <f t="shared" si="2"/>
        <v>23.9</v>
      </c>
      <c r="I12" s="32"/>
      <c r="J12" s="32"/>
      <c r="K12" s="31"/>
      <c r="L12" s="31"/>
      <c r="M12" s="31"/>
      <c r="N12" s="32"/>
      <c r="O12" s="32"/>
      <c r="P12" s="174"/>
      <c r="Q12" s="134"/>
    </row>
    <row r="13" hidden="1">
      <c r="A13" s="150"/>
      <c r="B13" s="175" t="s">
        <v>32</v>
      </c>
      <c r="C13" s="176" t="s">
        <v>33</v>
      </c>
      <c r="D13" s="35" t="s">
        <v>3</v>
      </c>
      <c r="E13" s="36">
        <v>2.0</v>
      </c>
      <c r="F13" s="173">
        <f>(E4*E13)</f>
        <v>2</v>
      </c>
      <c r="G13" s="37">
        <v>2.5</v>
      </c>
      <c r="H13" s="30">
        <f t="shared" si="2"/>
        <v>5</v>
      </c>
      <c r="I13" s="32"/>
      <c r="J13" s="32"/>
      <c r="K13" s="31"/>
      <c r="L13" s="31"/>
      <c r="M13" s="31"/>
      <c r="N13" s="32"/>
      <c r="O13" s="32"/>
      <c r="P13" s="174"/>
      <c r="Q13" s="134"/>
    </row>
    <row r="14" hidden="1">
      <c r="A14" s="150"/>
      <c r="B14" s="175" t="s">
        <v>34</v>
      </c>
      <c r="C14" s="176" t="s">
        <v>35</v>
      </c>
      <c r="D14" s="35" t="s">
        <v>3</v>
      </c>
      <c r="E14" s="40">
        <v>0.0</v>
      </c>
      <c r="F14" s="173">
        <f>(E4*E14)</f>
        <v>0</v>
      </c>
      <c r="G14" s="37">
        <v>2.0</v>
      </c>
      <c r="H14" s="30">
        <f t="shared" si="2"/>
        <v>0</v>
      </c>
      <c r="I14" s="32"/>
      <c r="J14" s="32"/>
      <c r="K14" s="31"/>
      <c r="L14" s="31"/>
      <c r="M14" s="31"/>
      <c r="N14" s="32"/>
      <c r="O14" s="32"/>
      <c r="P14" s="174"/>
      <c r="Q14" s="134"/>
    </row>
    <row r="15" hidden="1">
      <c r="A15" s="150"/>
      <c r="B15" s="177" t="s">
        <v>36</v>
      </c>
      <c r="C15" s="178" t="s">
        <v>37</v>
      </c>
      <c r="D15" s="43" t="s">
        <v>3</v>
      </c>
      <c r="E15" s="143">
        <v>0.01</v>
      </c>
      <c r="F15" s="173">
        <f>(E4*E15)</f>
        <v>0.01</v>
      </c>
      <c r="G15" s="45">
        <v>12.9</v>
      </c>
      <c r="H15" s="30">
        <f t="shared" si="2"/>
        <v>0.129</v>
      </c>
      <c r="I15" s="48"/>
      <c r="J15" s="48"/>
      <c r="K15" s="47"/>
      <c r="L15" s="47"/>
      <c r="M15" s="47"/>
      <c r="N15" s="48"/>
      <c r="O15" s="48"/>
      <c r="P15" s="179"/>
      <c r="Q15" s="134"/>
    </row>
    <row r="16">
      <c r="A16" s="150"/>
      <c r="B16" s="180" t="s">
        <v>38</v>
      </c>
      <c r="C16" s="16" t="s">
        <v>96</v>
      </c>
      <c r="D16" s="17" t="s">
        <v>14</v>
      </c>
      <c r="E16" s="18">
        <v>1.0</v>
      </c>
      <c r="F16" s="181" t="s">
        <v>90</v>
      </c>
      <c r="G16" s="182">
        <v>194.56</v>
      </c>
      <c r="H16" s="183">
        <f>SUM(E16*G16)</f>
        <v>194.56</v>
      </c>
      <c r="I16" s="168">
        <f>SUM(H17:H28)</f>
        <v>477.109</v>
      </c>
      <c r="J16" s="169">
        <v>0.25</v>
      </c>
      <c r="K16" s="184">
        <v>1.20346</v>
      </c>
      <c r="L16" s="22">
        <f>SUM(H16:H28)</f>
        <v>671.669</v>
      </c>
      <c r="M16" s="22">
        <f>SUM(K16*L16)</f>
        <v>808.3267747</v>
      </c>
      <c r="N16" s="23">
        <f>SUM(L16+M16)</f>
        <v>1479.995775</v>
      </c>
      <c r="O16" s="24">
        <f>IFERROR(M16/N16,"")</f>
        <v>0.5461682989</v>
      </c>
      <c r="P16" s="170">
        <f>SUM(N16-L16)</f>
        <v>808.3267747</v>
      </c>
      <c r="Q16" s="134"/>
    </row>
    <row r="17">
      <c r="A17" s="150"/>
      <c r="B17" s="171" t="s">
        <v>15</v>
      </c>
      <c r="C17" s="172" t="s">
        <v>16</v>
      </c>
      <c r="D17" s="27" t="s">
        <v>3</v>
      </c>
      <c r="E17" s="28">
        <v>0.0</v>
      </c>
      <c r="F17" s="173">
        <f>(E16*E17)</f>
        <v>0</v>
      </c>
      <c r="G17" s="29">
        <v>2.59</v>
      </c>
      <c r="H17" s="38">
        <f t="shared" ref="H17:H28" si="3">SUM(G17*F17)</f>
        <v>0</v>
      </c>
      <c r="I17" s="32"/>
      <c r="J17" s="32"/>
      <c r="K17" s="31"/>
      <c r="L17" s="31"/>
      <c r="M17" s="31"/>
      <c r="N17" s="32"/>
      <c r="O17" s="32"/>
      <c r="P17" s="174"/>
      <c r="Q17" s="134"/>
    </row>
    <row r="18">
      <c r="A18" s="150"/>
      <c r="B18" s="175" t="s">
        <v>17</v>
      </c>
      <c r="C18" s="176" t="s">
        <v>18</v>
      </c>
      <c r="D18" s="35" t="s">
        <v>19</v>
      </c>
      <c r="E18" s="36">
        <v>4.0</v>
      </c>
      <c r="F18" s="173">
        <f>(E16*E18)</f>
        <v>4</v>
      </c>
      <c r="G18" s="37">
        <v>13.6</v>
      </c>
      <c r="H18" s="38">
        <f t="shared" si="3"/>
        <v>54.4</v>
      </c>
      <c r="I18" s="32"/>
      <c r="J18" s="32"/>
      <c r="K18" s="31"/>
      <c r="L18" s="31"/>
      <c r="M18" s="31"/>
      <c r="N18" s="32"/>
      <c r="O18" s="32"/>
      <c r="P18" s="174"/>
      <c r="Q18" s="134"/>
    </row>
    <row r="19">
      <c r="A19" s="150"/>
      <c r="B19" s="175" t="s">
        <v>20</v>
      </c>
      <c r="C19" s="176" t="s">
        <v>21</v>
      </c>
      <c r="D19" s="35" t="s">
        <v>3</v>
      </c>
      <c r="E19" s="36">
        <v>10.0</v>
      </c>
      <c r="F19" s="173">
        <f>(E16*E19)</f>
        <v>10</v>
      </c>
      <c r="G19" s="37">
        <v>0.19</v>
      </c>
      <c r="H19" s="38">
        <f t="shared" si="3"/>
        <v>1.9</v>
      </c>
      <c r="I19" s="32"/>
      <c r="J19" s="32"/>
      <c r="K19" s="31"/>
      <c r="L19" s="31"/>
      <c r="M19" s="31"/>
      <c r="N19" s="32"/>
      <c r="O19" s="32"/>
      <c r="P19" s="174"/>
      <c r="Q19" s="134"/>
    </row>
    <row r="20">
      <c r="A20" s="150"/>
      <c r="B20" s="175" t="s">
        <v>22</v>
      </c>
      <c r="C20" s="176" t="s">
        <v>23</v>
      </c>
      <c r="D20" s="35" t="s">
        <v>3</v>
      </c>
      <c r="E20" s="36">
        <v>10.0</v>
      </c>
      <c r="F20" s="173">
        <f>(E16*E20)</f>
        <v>10</v>
      </c>
      <c r="G20" s="37">
        <v>0.3</v>
      </c>
      <c r="H20" s="38">
        <f t="shared" si="3"/>
        <v>3</v>
      </c>
      <c r="I20" s="32"/>
      <c r="J20" s="32"/>
      <c r="K20" s="31"/>
      <c r="L20" s="31"/>
      <c r="M20" s="31"/>
      <c r="N20" s="32"/>
      <c r="O20" s="32"/>
      <c r="P20" s="174"/>
      <c r="Q20" s="134"/>
    </row>
    <row r="21">
      <c r="A21" s="150"/>
      <c r="B21" s="175" t="s">
        <v>24</v>
      </c>
      <c r="C21" s="176" t="s">
        <v>25</v>
      </c>
      <c r="D21" s="35" t="s">
        <v>3</v>
      </c>
      <c r="E21" s="36">
        <v>1.0</v>
      </c>
      <c r="F21" s="173">
        <f>(E16*E21)</f>
        <v>1</v>
      </c>
      <c r="G21" s="37">
        <v>0.15</v>
      </c>
      <c r="H21" s="38">
        <f t="shared" si="3"/>
        <v>0.15</v>
      </c>
      <c r="I21" s="32"/>
      <c r="J21" s="32"/>
      <c r="K21" s="31"/>
      <c r="L21" s="31"/>
      <c r="M21" s="31"/>
      <c r="N21" s="32"/>
      <c r="O21" s="32"/>
      <c r="P21" s="174"/>
      <c r="Q21" s="134"/>
    </row>
    <row r="22">
      <c r="A22" s="150"/>
      <c r="B22" s="175" t="s">
        <v>26</v>
      </c>
      <c r="C22" s="176" t="s">
        <v>27</v>
      </c>
      <c r="D22" s="35" t="s">
        <v>3</v>
      </c>
      <c r="E22" s="36">
        <v>50.0</v>
      </c>
      <c r="F22" s="173">
        <f>(E16*E22)</f>
        <v>50</v>
      </c>
      <c r="G22" s="37">
        <v>1.3</v>
      </c>
      <c r="H22" s="38">
        <f t="shared" si="3"/>
        <v>65</v>
      </c>
      <c r="I22" s="32"/>
      <c r="J22" s="32"/>
      <c r="K22" s="31"/>
      <c r="L22" s="31"/>
      <c r="M22" s="31"/>
      <c r="N22" s="32"/>
      <c r="O22" s="32"/>
      <c r="P22" s="174"/>
      <c r="Q22" s="134"/>
    </row>
    <row r="23">
      <c r="A23" s="150"/>
      <c r="B23" s="175" t="s">
        <v>28</v>
      </c>
      <c r="C23" s="176" t="s">
        <v>29</v>
      </c>
      <c r="D23" s="35" t="s">
        <v>3</v>
      </c>
      <c r="E23" s="36">
        <v>50.0</v>
      </c>
      <c r="F23" s="173">
        <f>(E16*E23)</f>
        <v>50</v>
      </c>
      <c r="G23" s="37">
        <v>0.14</v>
      </c>
      <c r="H23" s="38">
        <f t="shared" si="3"/>
        <v>7</v>
      </c>
      <c r="I23" s="32"/>
      <c r="J23" s="32"/>
      <c r="K23" s="31"/>
      <c r="L23" s="31"/>
      <c r="M23" s="31"/>
      <c r="N23" s="32"/>
      <c r="O23" s="32"/>
      <c r="P23" s="174"/>
      <c r="Q23" s="134"/>
    </row>
    <row r="24">
      <c r="A24" s="150"/>
      <c r="B24" s="175" t="s">
        <v>30</v>
      </c>
      <c r="C24" s="176" t="s">
        <v>31</v>
      </c>
      <c r="D24" s="35" t="s">
        <v>3</v>
      </c>
      <c r="E24" s="36">
        <v>1.0</v>
      </c>
      <c r="F24" s="173">
        <f>(E16*E24)</f>
        <v>1</v>
      </c>
      <c r="G24" s="37">
        <v>23.9</v>
      </c>
      <c r="H24" s="38">
        <f t="shared" si="3"/>
        <v>23.9</v>
      </c>
      <c r="I24" s="32"/>
      <c r="J24" s="32"/>
      <c r="K24" s="31"/>
      <c r="L24" s="31"/>
      <c r="M24" s="31"/>
      <c r="N24" s="32"/>
      <c r="O24" s="32"/>
      <c r="P24" s="174"/>
      <c r="Q24" s="134"/>
    </row>
    <row r="25">
      <c r="A25" s="150"/>
      <c r="B25" s="175" t="s">
        <v>32</v>
      </c>
      <c r="C25" s="176" t="s">
        <v>33</v>
      </c>
      <c r="D25" s="35" t="s">
        <v>3</v>
      </c>
      <c r="E25" s="36">
        <v>2.0</v>
      </c>
      <c r="F25" s="173">
        <f>(E16*E25)</f>
        <v>2</v>
      </c>
      <c r="G25" s="37">
        <v>2.5</v>
      </c>
      <c r="H25" s="38">
        <f t="shared" si="3"/>
        <v>5</v>
      </c>
      <c r="I25" s="32"/>
      <c r="J25" s="32"/>
      <c r="K25" s="31"/>
      <c r="L25" s="31"/>
      <c r="M25" s="31"/>
      <c r="N25" s="32"/>
      <c r="O25" s="32"/>
      <c r="P25" s="174"/>
      <c r="Q25" s="134"/>
    </row>
    <row r="26">
      <c r="A26" s="150"/>
      <c r="B26" s="175" t="s">
        <v>34</v>
      </c>
      <c r="C26" s="176" t="s">
        <v>35</v>
      </c>
      <c r="D26" s="35" t="s">
        <v>3</v>
      </c>
      <c r="E26" s="52">
        <v>2.0</v>
      </c>
      <c r="F26" s="173">
        <f>(E16*E26)</f>
        <v>2</v>
      </c>
      <c r="G26" s="37">
        <v>2.0</v>
      </c>
      <c r="H26" s="38">
        <f t="shared" si="3"/>
        <v>4</v>
      </c>
      <c r="I26" s="32"/>
      <c r="J26" s="32"/>
      <c r="K26" s="31"/>
      <c r="L26" s="31"/>
      <c r="M26" s="31"/>
      <c r="N26" s="32"/>
      <c r="O26" s="32"/>
      <c r="P26" s="174"/>
      <c r="Q26" s="134"/>
    </row>
    <row r="27">
      <c r="A27" s="150"/>
      <c r="B27" s="177" t="s">
        <v>36</v>
      </c>
      <c r="C27" s="178" t="s">
        <v>37</v>
      </c>
      <c r="D27" s="43" t="s">
        <v>3</v>
      </c>
      <c r="E27" s="143">
        <v>0.01</v>
      </c>
      <c r="F27" s="173">
        <f>(E16*E27)</f>
        <v>0.01</v>
      </c>
      <c r="G27" s="45">
        <v>12.9</v>
      </c>
      <c r="H27" s="38">
        <f t="shared" si="3"/>
        <v>0.129</v>
      </c>
      <c r="I27" s="48"/>
      <c r="J27" s="48"/>
      <c r="K27" s="47"/>
      <c r="L27" s="47"/>
      <c r="M27" s="47"/>
      <c r="N27" s="48"/>
      <c r="O27" s="48"/>
      <c r="P27" s="179"/>
      <c r="Q27" s="134"/>
    </row>
    <row r="28">
      <c r="A28" s="150"/>
      <c r="B28" s="185" t="s">
        <v>97</v>
      </c>
      <c r="C28" s="186" t="s">
        <v>98</v>
      </c>
      <c r="D28" s="187" t="s">
        <v>99</v>
      </c>
      <c r="E28" s="40">
        <v>1.0</v>
      </c>
      <c r="F28" s="188">
        <v>1.0</v>
      </c>
      <c r="G28" s="189">
        <v>312.63</v>
      </c>
      <c r="H28" s="38">
        <f t="shared" si="3"/>
        <v>312.63</v>
      </c>
      <c r="I28" s="190"/>
      <c r="J28" s="191"/>
      <c r="K28" s="192"/>
      <c r="L28" s="193"/>
      <c r="M28" s="193"/>
      <c r="N28" s="194"/>
      <c r="O28" s="195"/>
      <c r="P28" s="196"/>
      <c r="Q28" s="134"/>
    </row>
    <row r="29">
      <c r="A29" s="150"/>
      <c r="B29" s="165" t="s">
        <v>100</v>
      </c>
      <c r="C29" s="162" t="s">
        <v>101</v>
      </c>
      <c r="D29" s="163" t="s">
        <v>14</v>
      </c>
      <c r="E29" s="164">
        <v>1.0</v>
      </c>
      <c r="F29" s="165" t="s">
        <v>90</v>
      </c>
      <c r="G29" s="164">
        <v>199.0</v>
      </c>
      <c r="H29" s="167">
        <f t="shared" ref="H29:H99" si="4">SUM(E29*G29)</f>
        <v>199</v>
      </c>
      <c r="I29" s="168">
        <f>SUM(H30:H40)</f>
        <v>160.479</v>
      </c>
      <c r="J29" s="197">
        <v>0.25</v>
      </c>
      <c r="K29" s="21">
        <v>4.91875</v>
      </c>
      <c r="L29" s="22">
        <f>SUM(G29:G40)</f>
        <v>258.57</v>
      </c>
      <c r="M29" s="22">
        <f>SUM(K29*L29)</f>
        <v>1271.841188</v>
      </c>
      <c r="N29" s="23">
        <f>SUM(L29+M29)</f>
        <v>1530.411188</v>
      </c>
      <c r="O29" s="24"/>
      <c r="P29" s="170">
        <f>SUM(N29-L29)</f>
        <v>1271.841188</v>
      </c>
      <c r="Q29" s="134"/>
    </row>
    <row r="30">
      <c r="A30" s="150"/>
      <c r="B30" s="171" t="s">
        <v>15</v>
      </c>
      <c r="C30" s="172" t="s">
        <v>16</v>
      </c>
      <c r="D30" s="27" t="s">
        <v>3</v>
      </c>
      <c r="E30" s="28">
        <v>0.0</v>
      </c>
      <c r="F30" s="173">
        <f>(E29*E30)</f>
        <v>0</v>
      </c>
      <c r="G30" s="29">
        <v>2.59</v>
      </c>
      <c r="H30" s="30">
        <f t="shared" si="4"/>
        <v>0</v>
      </c>
      <c r="I30" s="32"/>
      <c r="J30" s="32"/>
      <c r="K30" s="31"/>
      <c r="L30" s="31"/>
      <c r="M30" s="31"/>
      <c r="N30" s="32"/>
      <c r="O30" s="32"/>
      <c r="P30" s="174"/>
      <c r="Q30" s="134"/>
    </row>
    <row r="31">
      <c r="A31" s="150"/>
      <c r="B31" s="175" t="s">
        <v>17</v>
      </c>
      <c r="C31" s="176" t="s">
        <v>18</v>
      </c>
      <c r="D31" s="35" t="s">
        <v>19</v>
      </c>
      <c r="E31" s="36">
        <v>4.0</v>
      </c>
      <c r="F31" s="173">
        <f>(E29*E31)</f>
        <v>4</v>
      </c>
      <c r="G31" s="37">
        <v>13.6</v>
      </c>
      <c r="H31" s="38">
        <f t="shared" si="4"/>
        <v>54.4</v>
      </c>
      <c r="I31" s="32"/>
      <c r="J31" s="32"/>
      <c r="K31" s="31"/>
      <c r="L31" s="31"/>
      <c r="M31" s="31"/>
      <c r="N31" s="32"/>
      <c r="O31" s="32"/>
      <c r="P31" s="174"/>
      <c r="Q31" s="134"/>
    </row>
    <row r="32">
      <c r="A32" s="150"/>
      <c r="B32" s="175" t="s">
        <v>20</v>
      </c>
      <c r="C32" s="176" t="s">
        <v>21</v>
      </c>
      <c r="D32" s="35" t="s">
        <v>3</v>
      </c>
      <c r="E32" s="36">
        <v>10.0</v>
      </c>
      <c r="F32" s="173">
        <f>(E29*E32)</f>
        <v>10</v>
      </c>
      <c r="G32" s="37">
        <v>0.19</v>
      </c>
      <c r="H32" s="38">
        <f t="shared" si="4"/>
        <v>1.9</v>
      </c>
      <c r="I32" s="32"/>
      <c r="J32" s="32"/>
      <c r="K32" s="31"/>
      <c r="L32" s="31"/>
      <c r="M32" s="31"/>
      <c r="N32" s="32"/>
      <c r="O32" s="32"/>
      <c r="P32" s="174"/>
      <c r="Q32" s="134"/>
    </row>
    <row r="33">
      <c r="A33" s="150"/>
      <c r="B33" s="175" t="s">
        <v>22</v>
      </c>
      <c r="C33" s="176" t="s">
        <v>23</v>
      </c>
      <c r="D33" s="35" t="s">
        <v>3</v>
      </c>
      <c r="E33" s="36">
        <v>10.0</v>
      </c>
      <c r="F33" s="173">
        <f>(E29*E33)</f>
        <v>10</v>
      </c>
      <c r="G33" s="37">
        <v>0.3</v>
      </c>
      <c r="H33" s="38">
        <f t="shared" si="4"/>
        <v>3</v>
      </c>
      <c r="I33" s="32"/>
      <c r="J33" s="32"/>
      <c r="K33" s="31"/>
      <c r="L33" s="31"/>
      <c r="M33" s="31"/>
      <c r="N33" s="32"/>
      <c r="O33" s="32"/>
      <c r="P33" s="174"/>
      <c r="Q33" s="134"/>
    </row>
    <row r="34">
      <c r="A34" s="150"/>
      <c r="B34" s="175" t="s">
        <v>24</v>
      </c>
      <c r="C34" s="176" t="s">
        <v>25</v>
      </c>
      <c r="D34" s="35" t="s">
        <v>3</v>
      </c>
      <c r="E34" s="36">
        <v>1.0</v>
      </c>
      <c r="F34" s="173">
        <f>(E29*E34)</f>
        <v>1</v>
      </c>
      <c r="G34" s="37">
        <v>0.15</v>
      </c>
      <c r="H34" s="38">
        <f t="shared" si="4"/>
        <v>0.15</v>
      </c>
      <c r="I34" s="32"/>
      <c r="J34" s="32"/>
      <c r="K34" s="31"/>
      <c r="L34" s="31"/>
      <c r="M34" s="31"/>
      <c r="N34" s="32"/>
      <c r="O34" s="32"/>
      <c r="P34" s="174"/>
      <c r="Q34" s="134"/>
    </row>
    <row r="35">
      <c r="A35" s="150"/>
      <c r="B35" s="175" t="s">
        <v>26</v>
      </c>
      <c r="C35" s="176" t="s">
        <v>27</v>
      </c>
      <c r="D35" s="35" t="s">
        <v>3</v>
      </c>
      <c r="E35" s="36">
        <v>50.0</v>
      </c>
      <c r="F35" s="173">
        <f>(E29*E35)</f>
        <v>50</v>
      </c>
      <c r="G35" s="37">
        <v>1.3</v>
      </c>
      <c r="H35" s="38">
        <f t="shared" si="4"/>
        <v>65</v>
      </c>
      <c r="I35" s="32"/>
      <c r="J35" s="32"/>
      <c r="K35" s="31"/>
      <c r="L35" s="31"/>
      <c r="M35" s="31"/>
      <c r="N35" s="32"/>
      <c r="O35" s="32"/>
      <c r="P35" s="174"/>
      <c r="Q35" s="134"/>
    </row>
    <row r="36">
      <c r="A36" s="150"/>
      <c r="B36" s="175" t="s">
        <v>28</v>
      </c>
      <c r="C36" s="176" t="s">
        <v>29</v>
      </c>
      <c r="D36" s="35" t="s">
        <v>3</v>
      </c>
      <c r="E36" s="36">
        <v>50.0</v>
      </c>
      <c r="F36" s="173">
        <f>(E29*E36)</f>
        <v>50</v>
      </c>
      <c r="G36" s="37">
        <v>0.14</v>
      </c>
      <c r="H36" s="38">
        <f t="shared" si="4"/>
        <v>7</v>
      </c>
      <c r="I36" s="32"/>
      <c r="J36" s="32"/>
      <c r="K36" s="31"/>
      <c r="L36" s="31"/>
      <c r="M36" s="31"/>
      <c r="N36" s="32"/>
      <c r="O36" s="32"/>
      <c r="P36" s="174"/>
      <c r="Q36" s="134"/>
    </row>
    <row r="37">
      <c r="A37" s="150"/>
      <c r="B37" s="175" t="s">
        <v>30</v>
      </c>
      <c r="C37" s="176" t="s">
        <v>31</v>
      </c>
      <c r="D37" s="35" t="s">
        <v>3</v>
      </c>
      <c r="E37" s="36">
        <v>1.0</v>
      </c>
      <c r="F37" s="173">
        <f>(E29*E37)</f>
        <v>1</v>
      </c>
      <c r="G37" s="37">
        <v>23.9</v>
      </c>
      <c r="H37" s="38">
        <f t="shared" si="4"/>
        <v>23.9</v>
      </c>
      <c r="I37" s="32"/>
      <c r="J37" s="32"/>
      <c r="K37" s="31"/>
      <c r="L37" s="31"/>
      <c r="M37" s="31"/>
      <c r="N37" s="32"/>
      <c r="O37" s="32"/>
      <c r="P37" s="174"/>
      <c r="Q37" s="134"/>
    </row>
    <row r="38">
      <c r="A38" s="150"/>
      <c r="B38" s="175" t="s">
        <v>32</v>
      </c>
      <c r="C38" s="176" t="s">
        <v>33</v>
      </c>
      <c r="D38" s="35" t="s">
        <v>3</v>
      </c>
      <c r="E38" s="36">
        <v>2.0</v>
      </c>
      <c r="F38" s="173">
        <f>(E29*E38)</f>
        <v>2</v>
      </c>
      <c r="G38" s="37">
        <v>2.5</v>
      </c>
      <c r="H38" s="38">
        <f t="shared" si="4"/>
        <v>5</v>
      </c>
      <c r="I38" s="32"/>
      <c r="J38" s="32"/>
      <c r="K38" s="31"/>
      <c r="L38" s="31"/>
      <c r="M38" s="31"/>
      <c r="N38" s="32"/>
      <c r="O38" s="32"/>
      <c r="P38" s="174"/>
      <c r="Q38" s="134"/>
    </row>
    <row r="39">
      <c r="A39" s="150"/>
      <c r="B39" s="175" t="s">
        <v>34</v>
      </c>
      <c r="C39" s="176" t="s">
        <v>35</v>
      </c>
      <c r="D39" s="35" t="s">
        <v>3</v>
      </c>
      <c r="E39" s="40">
        <v>0.0</v>
      </c>
      <c r="F39" s="173">
        <f>(E29*E39)</f>
        <v>0</v>
      </c>
      <c r="G39" s="37">
        <v>2.0</v>
      </c>
      <c r="H39" s="38">
        <f t="shared" si="4"/>
        <v>0</v>
      </c>
      <c r="I39" s="32"/>
      <c r="J39" s="32"/>
      <c r="K39" s="31"/>
      <c r="L39" s="31"/>
      <c r="M39" s="31"/>
      <c r="N39" s="32"/>
      <c r="O39" s="32"/>
      <c r="P39" s="174"/>
      <c r="Q39" s="134"/>
    </row>
    <row r="40">
      <c r="A40" s="150"/>
      <c r="B40" s="175" t="s">
        <v>36</v>
      </c>
      <c r="C40" s="176" t="s">
        <v>37</v>
      </c>
      <c r="D40" s="35" t="s">
        <v>3</v>
      </c>
      <c r="E40" s="143">
        <v>0.01</v>
      </c>
      <c r="F40" s="173">
        <f>(E29*E40)</f>
        <v>0.01</v>
      </c>
      <c r="G40" s="37">
        <v>12.9</v>
      </c>
      <c r="H40" s="38">
        <f t="shared" si="4"/>
        <v>0.129</v>
      </c>
      <c r="I40" s="48"/>
      <c r="J40" s="48"/>
      <c r="K40" s="47"/>
      <c r="L40" s="47"/>
      <c r="M40" s="47"/>
      <c r="N40" s="48"/>
      <c r="O40" s="48"/>
      <c r="P40" s="179"/>
      <c r="Q40" s="134"/>
    </row>
    <row r="41">
      <c r="A41" s="150"/>
      <c r="B41" s="181" t="s">
        <v>102</v>
      </c>
      <c r="C41" s="16" t="s">
        <v>103</v>
      </c>
      <c r="D41" s="17" t="s">
        <v>14</v>
      </c>
      <c r="E41" s="18">
        <v>1.0</v>
      </c>
      <c r="F41" s="181" t="s">
        <v>90</v>
      </c>
      <c r="G41" s="18">
        <v>284.0</v>
      </c>
      <c r="H41" s="183">
        <f t="shared" si="4"/>
        <v>284</v>
      </c>
      <c r="I41" s="168">
        <f>SUM(H42:H52)</f>
        <v>160.479</v>
      </c>
      <c r="J41" s="197">
        <v>0.25</v>
      </c>
      <c r="K41" s="21">
        <v>2.09824</v>
      </c>
      <c r="L41" s="22">
        <f>SUM(G41:G52)</f>
        <v>343.57</v>
      </c>
      <c r="M41" s="22">
        <f>SUM(K41*L41)</f>
        <v>720.8923168</v>
      </c>
      <c r="N41" s="23">
        <f>SUM(L41+M41)</f>
        <v>1064.462317</v>
      </c>
      <c r="O41" s="24"/>
      <c r="P41" s="170">
        <f>SUM(N41-L41)</f>
        <v>720.8923168</v>
      </c>
      <c r="Q41" s="134"/>
    </row>
    <row r="42">
      <c r="A42" s="150"/>
      <c r="B42" s="171" t="s">
        <v>15</v>
      </c>
      <c r="C42" s="172" t="s">
        <v>16</v>
      </c>
      <c r="D42" s="27" t="s">
        <v>3</v>
      </c>
      <c r="E42" s="28">
        <v>0.0</v>
      </c>
      <c r="F42" s="173">
        <f>(E41*E42)</f>
        <v>0</v>
      </c>
      <c r="G42" s="29">
        <v>2.59</v>
      </c>
      <c r="H42" s="30">
        <f t="shared" si="4"/>
        <v>0</v>
      </c>
      <c r="I42" s="32"/>
      <c r="J42" s="32"/>
      <c r="K42" s="31"/>
      <c r="L42" s="31"/>
      <c r="M42" s="31"/>
      <c r="N42" s="32"/>
      <c r="O42" s="32"/>
      <c r="P42" s="174"/>
      <c r="Q42" s="134"/>
    </row>
    <row r="43">
      <c r="A43" s="150"/>
      <c r="B43" s="175" t="s">
        <v>17</v>
      </c>
      <c r="C43" s="176" t="s">
        <v>18</v>
      </c>
      <c r="D43" s="35" t="s">
        <v>19</v>
      </c>
      <c r="E43" s="36">
        <v>4.0</v>
      </c>
      <c r="F43" s="173">
        <f>(E41*E43)</f>
        <v>4</v>
      </c>
      <c r="G43" s="37">
        <v>13.6</v>
      </c>
      <c r="H43" s="38">
        <f t="shared" si="4"/>
        <v>54.4</v>
      </c>
      <c r="I43" s="32"/>
      <c r="J43" s="32"/>
      <c r="K43" s="31"/>
      <c r="L43" s="31"/>
      <c r="M43" s="31"/>
      <c r="N43" s="32"/>
      <c r="O43" s="32"/>
      <c r="P43" s="174"/>
      <c r="Q43" s="134"/>
    </row>
    <row r="44">
      <c r="A44" s="150"/>
      <c r="B44" s="175" t="s">
        <v>20</v>
      </c>
      <c r="C44" s="176" t="s">
        <v>21</v>
      </c>
      <c r="D44" s="35" t="s">
        <v>3</v>
      </c>
      <c r="E44" s="36">
        <v>10.0</v>
      </c>
      <c r="F44" s="173">
        <f>(E41*E44)</f>
        <v>10</v>
      </c>
      <c r="G44" s="37">
        <v>0.19</v>
      </c>
      <c r="H44" s="38">
        <f t="shared" si="4"/>
        <v>1.9</v>
      </c>
      <c r="I44" s="32"/>
      <c r="J44" s="32"/>
      <c r="K44" s="31"/>
      <c r="L44" s="31"/>
      <c r="M44" s="31"/>
      <c r="N44" s="32"/>
      <c r="O44" s="32"/>
      <c r="P44" s="174"/>
      <c r="Q44" s="134"/>
    </row>
    <row r="45">
      <c r="A45" s="150"/>
      <c r="B45" s="175" t="s">
        <v>22</v>
      </c>
      <c r="C45" s="176" t="s">
        <v>23</v>
      </c>
      <c r="D45" s="35" t="s">
        <v>3</v>
      </c>
      <c r="E45" s="36">
        <v>10.0</v>
      </c>
      <c r="F45" s="173">
        <f>(E41*E45)</f>
        <v>10</v>
      </c>
      <c r="G45" s="37">
        <v>0.3</v>
      </c>
      <c r="H45" s="38">
        <f t="shared" si="4"/>
        <v>3</v>
      </c>
      <c r="I45" s="32"/>
      <c r="J45" s="32"/>
      <c r="K45" s="31"/>
      <c r="L45" s="31"/>
      <c r="M45" s="31"/>
      <c r="N45" s="32"/>
      <c r="O45" s="32"/>
      <c r="P45" s="174"/>
      <c r="Q45" s="134"/>
    </row>
    <row r="46">
      <c r="A46" s="150"/>
      <c r="B46" s="175" t="s">
        <v>24</v>
      </c>
      <c r="C46" s="176" t="s">
        <v>25</v>
      </c>
      <c r="D46" s="35" t="s">
        <v>3</v>
      </c>
      <c r="E46" s="36">
        <v>1.0</v>
      </c>
      <c r="F46" s="173">
        <f>(E41*E46)</f>
        <v>1</v>
      </c>
      <c r="G46" s="37">
        <v>0.15</v>
      </c>
      <c r="H46" s="38">
        <f t="shared" si="4"/>
        <v>0.15</v>
      </c>
      <c r="I46" s="32"/>
      <c r="J46" s="32"/>
      <c r="K46" s="31"/>
      <c r="L46" s="31"/>
      <c r="M46" s="31"/>
      <c r="N46" s="32"/>
      <c r="O46" s="32"/>
      <c r="P46" s="174"/>
      <c r="Q46" s="134"/>
    </row>
    <row r="47">
      <c r="A47" s="150"/>
      <c r="B47" s="175" t="s">
        <v>26</v>
      </c>
      <c r="C47" s="176" t="s">
        <v>27</v>
      </c>
      <c r="D47" s="35" t="s">
        <v>3</v>
      </c>
      <c r="E47" s="36">
        <v>50.0</v>
      </c>
      <c r="F47" s="173">
        <f>(E46*E47)</f>
        <v>50</v>
      </c>
      <c r="G47" s="37">
        <v>1.3</v>
      </c>
      <c r="H47" s="38">
        <f t="shared" si="4"/>
        <v>65</v>
      </c>
      <c r="I47" s="32"/>
      <c r="J47" s="32"/>
      <c r="K47" s="31"/>
      <c r="L47" s="31"/>
      <c r="M47" s="31"/>
      <c r="N47" s="32"/>
      <c r="O47" s="32"/>
      <c r="P47" s="174"/>
      <c r="Q47" s="134"/>
    </row>
    <row r="48">
      <c r="A48" s="150"/>
      <c r="B48" s="175" t="s">
        <v>28</v>
      </c>
      <c r="C48" s="176" t="s">
        <v>29</v>
      </c>
      <c r="D48" s="35" t="s">
        <v>3</v>
      </c>
      <c r="E48" s="36">
        <v>50.0</v>
      </c>
      <c r="F48" s="173">
        <f>(E41*E48)</f>
        <v>50</v>
      </c>
      <c r="G48" s="37">
        <v>0.14</v>
      </c>
      <c r="H48" s="38">
        <f t="shared" si="4"/>
        <v>7</v>
      </c>
      <c r="I48" s="32"/>
      <c r="J48" s="32"/>
      <c r="K48" s="31"/>
      <c r="L48" s="31"/>
      <c r="M48" s="31"/>
      <c r="N48" s="32"/>
      <c r="O48" s="32"/>
      <c r="P48" s="174"/>
      <c r="Q48" s="134"/>
    </row>
    <row r="49">
      <c r="A49" s="150"/>
      <c r="B49" s="175" t="s">
        <v>30</v>
      </c>
      <c r="C49" s="176" t="s">
        <v>31</v>
      </c>
      <c r="D49" s="35" t="s">
        <v>3</v>
      </c>
      <c r="E49" s="36">
        <v>1.0</v>
      </c>
      <c r="F49" s="173">
        <f>(E41*E49)</f>
        <v>1</v>
      </c>
      <c r="G49" s="37">
        <v>23.9</v>
      </c>
      <c r="H49" s="38">
        <f t="shared" si="4"/>
        <v>23.9</v>
      </c>
      <c r="I49" s="32"/>
      <c r="J49" s="32"/>
      <c r="K49" s="31"/>
      <c r="L49" s="31"/>
      <c r="M49" s="31"/>
      <c r="N49" s="32"/>
      <c r="O49" s="32"/>
      <c r="P49" s="174"/>
      <c r="Q49" s="134"/>
    </row>
    <row r="50">
      <c r="A50" s="150"/>
      <c r="B50" s="175" t="s">
        <v>32</v>
      </c>
      <c r="C50" s="176" t="s">
        <v>33</v>
      </c>
      <c r="D50" s="35" t="s">
        <v>3</v>
      </c>
      <c r="E50" s="36">
        <v>2.0</v>
      </c>
      <c r="F50" s="173">
        <f>(E49*E50)</f>
        <v>2</v>
      </c>
      <c r="G50" s="37">
        <v>2.5</v>
      </c>
      <c r="H50" s="38">
        <f t="shared" si="4"/>
        <v>5</v>
      </c>
      <c r="I50" s="32"/>
      <c r="J50" s="32"/>
      <c r="K50" s="31"/>
      <c r="L50" s="31"/>
      <c r="M50" s="31"/>
      <c r="N50" s="32"/>
      <c r="O50" s="32"/>
      <c r="P50" s="174"/>
      <c r="Q50" s="134"/>
    </row>
    <row r="51">
      <c r="A51" s="150"/>
      <c r="B51" s="175" t="s">
        <v>34</v>
      </c>
      <c r="C51" s="176" t="s">
        <v>35</v>
      </c>
      <c r="D51" s="35" t="s">
        <v>3</v>
      </c>
      <c r="E51" s="40">
        <v>0.0</v>
      </c>
      <c r="F51" s="173">
        <f>(E41*E51)</f>
        <v>0</v>
      </c>
      <c r="G51" s="37">
        <v>2.0</v>
      </c>
      <c r="H51" s="38">
        <f t="shared" si="4"/>
        <v>0</v>
      </c>
      <c r="I51" s="32"/>
      <c r="J51" s="32"/>
      <c r="K51" s="31"/>
      <c r="L51" s="31"/>
      <c r="M51" s="31"/>
      <c r="N51" s="32"/>
      <c r="O51" s="32"/>
      <c r="P51" s="174"/>
      <c r="Q51" s="134"/>
    </row>
    <row r="52">
      <c r="A52" s="150"/>
      <c r="B52" s="175" t="s">
        <v>36</v>
      </c>
      <c r="C52" s="176" t="s">
        <v>37</v>
      </c>
      <c r="D52" s="35" t="s">
        <v>3</v>
      </c>
      <c r="E52" s="143">
        <v>0.01</v>
      </c>
      <c r="F52" s="173">
        <f>(E41*E52)</f>
        <v>0.01</v>
      </c>
      <c r="G52" s="37">
        <v>12.9</v>
      </c>
      <c r="H52" s="38">
        <f t="shared" si="4"/>
        <v>0.129</v>
      </c>
      <c r="I52" s="48"/>
      <c r="J52" s="48"/>
      <c r="K52" s="47"/>
      <c r="L52" s="47"/>
      <c r="M52" s="47"/>
      <c r="N52" s="48"/>
      <c r="O52" s="48"/>
      <c r="P52" s="179"/>
      <c r="Q52" s="134"/>
    </row>
    <row r="53">
      <c r="A53" s="150"/>
      <c r="B53" s="181" t="s">
        <v>104</v>
      </c>
      <c r="C53" s="16" t="s">
        <v>105</v>
      </c>
      <c r="D53" s="17" t="s">
        <v>14</v>
      </c>
      <c r="E53" s="18">
        <v>1.0</v>
      </c>
      <c r="F53" s="181" t="s">
        <v>90</v>
      </c>
      <c r="G53" s="18">
        <v>284.0</v>
      </c>
      <c r="H53" s="183">
        <f t="shared" si="4"/>
        <v>284</v>
      </c>
      <c r="I53" s="168">
        <f>SUM(H54:H64)</f>
        <v>160.479</v>
      </c>
      <c r="J53" s="197">
        <v>0.25</v>
      </c>
      <c r="K53" s="21">
        <v>2.09824</v>
      </c>
      <c r="L53" s="22">
        <f>SUM(G53:G64)</f>
        <v>343.57</v>
      </c>
      <c r="M53" s="22">
        <f>SUM(K53*L53)</f>
        <v>720.8923168</v>
      </c>
      <c r="N53" s="23">
        <f>SUM(L53+M53)</f>
        <v>1064.462317</v>
      </c>
      <c r="O53" s="24">
        <f>IFERROR(M53/N53,"")</f>
        <v>0.6772361082</v>
      </c>
      <c r="P53" s="170">
        <f>SUM(N53-L53)</f>
        <v>720.8923168</v>
      </c>
      <c r="Q53" s="134"/>
    </row>
    <row r="54">
      <c r="A54" s="150"/>
      <c r="B54" s="171" t="s">
        <v>15</v>
      </c>
      <c r="C54" s="172" t="s">
        <v>16</v>
      </c>
      <c r="D54" s="27" t="s">
        <v>3</v>
      </c>
      <c r="E54" s="28">
        <v>0.0</v>
      </c>
      <c r="F54" s="173">
        <f>(E53*E54)</f>
        <v>0</v>
      </c>
      <c r="G54" s="29">
        <v>2.59</v>
      </c>
      <c r="H54" s="30">
        <f t="shared" si="4"/>
        <v>0</v>
      </c>
      <c r="I54" s="32"/>
      <c r="J54" s="32"/>
      <c r="K54" s="31"/>
      <c r="L54" s="31"/>
      <c r="M54" s="31"/>
      <c r="N54" s="32"/>
      <c r="O54" s="32"/>
      <c r="P54" s="174"/>
      <c r="Q54" s="134"/>
    </row>
    <row r="55">
      <c r="A55" s="150"/>
      <c r="B55" s="175" t="s">
        <v>17</v>
      </c>
      <c r="C55" s="176" t="s">
        <v>18</v>
      </c>
      <c r="D55" s="35" t="s">
        <v>19</v>
      </c>
      <c r="E55" s="36">
        <v>4.0</v>
      </c>
      <c r="F55" s="173">
        <f>(E53*E55)</f>
        <v>4</v>
      </c>
      <c r="G55" s="37">
        <v>13.6</v>
      </c>
      <c r="H55" s="38">
        <f t="shared" si="4"/>
        <v>54.4</v>
      </c>
      <c r="I55" s="32"/>
      <c r="J55" s="32"/>
      <c r="K55" s="31"/>
      <c r="L55" s="31"/>
      <c r="M55" s="31"/>
      <c r="N55" s="32"/>
      <c r="O55" s="32"/>
      <c r="P55" s="174"/>
      <c r="Q55" s="134"/>
    </row>
    <row r="56">
      <c r="A56" s="150"/>
      <c r="B56" s="175" t="s">
        <v>20</v>
      </c>
      <c r="C56" s="176" t="s">
        <v>21</v>
      </c>
      <c r="D56" s="35" t="s">
        <v>3</v>
      </c>
      <c r="E56" s="36">
        <v>10.0</v>
      </c>
      <c r="F56" s="173">
        <f>(E53*E56)</f>
        <v>10</v>
      </c>
      <c r="G56" s="37">
        <v>0.19</v>
      </c>
      <c r="H56" s="38">
        <f t="shared" si="4"/>
        <v>1.9</v>
      </c>
      <c r="I56" s="32"/>
      <c r="J56" s="32"/>
      <c r="K56" s="31"/>
      <c r="L56" s="31"/>
      <c r="M56" s="31"/>
      <c r="N56" s="32"/>
      <c r="O56" s="32"/>
      <c r="P56" s="174"/>
      <c r="Q56" s="134"/>
    </row>
    <row r="57">
      <c r="A57" s="150"/>
      <c r="B57" s="175" t="s">
        <v>22</v>
      </c>
      <c r="C57" s="176" t="s">
        <v>23</v>
      </c>
      <c r="D57" s="35" t="s">
        <v>3</v>
      </c>
      <c r="E57" s="36">
        <v>10.0</v>
      </c>
      <c r="F57" s="173">
        <f>(E53*E57)</f>
        <v>10</v>
      </c>
      <c r="G57" s="37">
        <v>0.3</v>
      </c>
      <c r="H57" s="38">
        <f t="shared" si="4"/>
        <v>3</v>
      </c>
      <c r="I57" s="32"/>
      <c r="J57" s="32"/>
      <c r="K57" s="31"/>
      <c r="L57" s="31"/>
      <c r="M57" s="31"/>
      <c r="N57" s="32"/>
      <c r="O57" s="32"/>
      <c r="P57" s="174"/>
      <c r="Q57" s="134"/>
    </row>
    <row r="58">
      <c r="A58" s="150"/>
      <c r="B58" s="175" t="s">
        <v>24</v>
      </c>
      <c r="C58" s="176" t="s">
        <v>25</v>
      </c>
      <c r="D58" s="35" t="s">
        <v>3</v>
      </c>
      <c r="E58" s="36">
        <v>1.0</v>
      </c>
      <c r="F58" s="173">
        <f>(E53*E58)</f>
        <v>1</v>
      </c>
      <c r="G58" s="37">
        <v>0.15</v>
      </c>
      <c r="H58" s="38">
        <f t="shared" si="4"/>
        <v>0.15</v>
      </c>
      <c r="I58" s="32"/>
      <c r="J58" s="32"/>
      <c r="K58" s="31"/>
      <c r="L58" s="31"/>
      <c r="M58" s="31"/>
      <c r="N58" s="32"/>
      <c r="O58" s="32"/>
      <c r="P58" s="174"/>
      <c r="Q58" s="134"/>
    </row>
    <row r="59">
      <c r="A59" s="150"/>
      <c r="B59" s="175" t="s">
        <v>26</v>
      </c>
      <c r="C59" s="176" t="s">
        <v>27</v>
      </c>
      <c r="D59" s="35" t="s">
        <v>3</v>
      </c>
      <c r="E59" s="36">
        <v>50.0</v>
      </c>
      <c r="F59" s="173">
        <f>(E58*E59)</f>
        <v>50</v>
      </c>
      <c r="G59" s="37">
        <v>1.3</v>
      </c>
      <c r="H59" s="38">
        <f t="shared" si="4"/>
        <v>65</v>
      </c>
      <c r="I59" s="32"/>
      <c r="J59" s="32"/>
      <c r="K59" s="31"/>
      <c r="L59" s="31"/>
      <c r="M59" s="31"/>
      <c r="N59" s="32"/>
      <c r="O59" s="32"/>
      <c r="P59" s="174"/>
      <c r="Q59" s="134"/>
    </row>
    <row r="60">
      <c r="A60" s="150"/>
      <c r="B60" s="175" t="s">
        <v>28</v>
      </c>
      <c r="C60" s="176" t="s">
        <v>29</v>
      </c>
      <c r="D60" s="35" t="s">
        <v>3</v>
      </c>
      <c r="E60" s="36">
        <v>50.0</v>
      </c>
      <c r="F60" s="173">
        <f>(E53*E60)</f>
        <v>50</v>
      </c>
      <c r="G60" s="37">
        <v>0.14</v>
      </c>
      <c r="H60" s="38">
        <f t="shared" si="4"/>
        <v>7</v>
      </c>
      <c r="I60" s="32"/>
      <c r="J60" s="32"/>
      <c r="K60" s="31"/>
      <c r="L60" s="31"/>
      <c r="M60" s="31"/>
      <c r="N60" s="32"/>
      <c r="O60" s="32"/>
      <c r="P60" s="174"/>
      <c r="Q60" s="134"/>
    </row>
    <row r="61">
      <c r="A61" s="150"/>
      <c r="B61" s="175" t="s">
        <v>30</v>
      </c>
      <c r="C61" s="176" t="s">
        <v>31</v>
      </c>
      <c r="D61" s="35" t="s">
        <v>3</v>
      </c>
      <c r="E61" s="36">
        <v>1.0</v>
      </c>
      <c r="F61" s="173">
        <f>(E53*E61)</f>
        <v>1</v>
      </c>
      <c r="G61" s="37">
        <v>23.9</v>
      </c>
      <c r="H61" s="38">
        <f t="shared" si="4"/>
        <v>23.9</v>
      </c>
      <c r="I61" s="32"/>
      <c r="J61" s="32"/>
      <c r="K61" s="31"/>
      <c r="L61" s="31"/>
      <c r="M61" s="31"/>
      <c r="N61" s="32"/>
      <c r="O61" s="32"/>
      <c r="P61" s="174"/>
      <c r="Q61" s="134"/>
    </row>
    <row r="62">
      <c r="A62" s="150"/>
      <c r="B62" s="175" t="s">
        <v>32</v>
      </c>
      <c r="C62" s="176" t="s">
        <v>33</v>
      </c>
      <c r="D62" s="35" t="s">
        <v>3</v>
      </c>
      <c r="E62" s="36">
        <v>2.0</v>
      </c>
      <c r="F62" s="173">
        <f>(E61*E62)</f>
        <v>2</v>
      </c>
      <c r="G62" s="37">
        <v>2.5</v>
      </c>
      <c r="H62" s="38">
        <f t="shared" si="4"/>
        <v>5</v>
      </c>
      <c r="I62" s="32"/>
      <c r="J62" s="32"/>
      <c r="K62" s="31"/>
      <c r="L62" s="31"/>
      <c r="M62" s="31"/>
      <c r="N62" s="32"/>
      <c r="O62" s="32"/>
      <c r="P62" s="174"/>
      <c r="Q62" s="134"/>
    </row>
    <row r="63">
      <c r="A63" s="150"/>
      <c r="B63" s="175" t="s">
        <v>34</v>
      </c>
      <c r="C63" s="176" t="s">
        <v>35</v>
      </c>
      <c r="D63" s="35" t="s">
        <v>3</v>
      </c>
      <c r="E63" s="40">
        <v>0.0</v>
      </c>
      <c r="F63" s="173">
        <f>(E53*E63)</f>
        <v>0</v>
      </c>
      <c r="G63" s="37">
        <v>2.0</v>
      </c>
      <c r="H63" s="38">
        <f t="shared" si="4"/>
        <v>0</v>
      </c>
      <c r="I63" s="32"/>
      <c r="J63" s="32"/>
      <c r="K63" s="31"/>
      <c r="L63" s="31"/>
      <c r="M63" s="31"/>
      <c r="N63" s="32"/>
      <c r="O63" s="32"/>
      <c r="P63" s="174"/>
      <c r="Q63" s="134"/>
    </row>
    <row r="64">
      <c r="A64" s="150"/>
      <c r="B64" s="175" t="s">
        <v>36</v>
      </c>
      <c r="C64" s="176" t="s">
        <v>37</v>
      </c>
      <c r="D64" s="35" t="s">
        <v>3</v>
      </c>
      <c r="E64" s="143">
        <v>0.01</v>
      </c>
      <c r="F64" s="173">
        <f>(E53*E64)</f>
        <v>0.01</v>
      </c>
      <c r="G64" s="37">
        <v>12.9</v>
      </c>
      <c r="H64" s="38">
        <f t="shared" si="4"/>
        <v>0.129</v>
      </c>
      <c r="I64" s="48"/>
      <c r="J64" s="48"/>
      <c r="K64" s="47"/>
      <c r="L64" s="47"/>
      <c r="M64" s="47"/>
      <c r="N64" s="48"/>
      <c r="O64" s="48"/>
      <c r="P64" s="179"/>
      <c r="Q64" s="134"/>
    </row>
    <row r="65" ht="14.25" customHeight="1">
      <c r="A65" s="150"/>
      <c r="B65" s="181" t="s">
        <v>106</v>
      </c>
      <c r="C65" s="16" t="s">
        <v>107</v>
      </c>
      <c r="D65" s="17" t="s">
        <v>14</v>
      </c>
      <c r="E65" s="17">
        <v>1.0</v>
      </c>
      <c r="F65" s="181" t="s">
        <v>90</v>
      </c>
      <c r="G65" s="17">
        <v>284.0</v>
      </c>
      <c r="H65" s="183">
        <f t="shared" si="4"/>
        <v>284</v>
      </c>
      <c r="I65" s="168">
        <f>SUM(H66:H76)</f>
        <v>160.479</v>
      </c>
      <c r="J65" s="197">
        <v>0.25</v>
      </c>
      <c r="K65" s="21">
        <v>2.09824</v>
      </c>
      <c r="L65" s="22">
        <f>SUM(G65:G76)</f>
        <v>343.57</v>
      </c>
      <c r="M65" s="22">
        <f>SUM(K65*L65)</f>
        <v>720.8923168</v>
      </c>
      <c r="N65" s="23">
        <f>SUM(L65+M65)</f>
        <v>1064.462317</v>
      </c>
      <c r="O65" s="24">
        <f>IFERROR(M65/N65,"")</f>
        <v>0.6772361082</v>
      </c>
      <c r="P65" s="170">
        <f>SUM(N65-L65)</f>
        <v>720.8923168</v>
      </c>
      <c r="Q65" s="134"/>
    </row>
    <row r="66">
      <c r="A66" s="150"/>
      <c r="B66" s="171" t="s">
        <v>15</v>
      </c>
      <c r="C66" s="172" t="s">
        <v>16</v>
      </c>
      <c r="D66" s="27" t="s">
        <v>3</v>
      </c>
      <c r="E66" s="146">
        <v>0.0</v>
      </c>
      <c r="F66" s="198">
        <f>(E65*E66)</f>
        <v>0</v>
      </c>
      <c r="G66" s="29">
        <v>2.59</v>
      </c>
      <c r="H66" s="30">
        <f t="shared" si="4"/>
        <v>0</v>
      </c>
      <c r="I66" s="32"/>
      <c r="J66" s="32"/>
      <c r="K66" s="31"/>
      <c r="L66" s="31"/>
      <c r="M66" s="31"/>
      <c r="N66" s="32"/>
      <c r="O66" s="32"/>
      <c r="P66" s="174"/>
      <c r="Q66" s="134"/>
    </row>
    <row r="67">
      <c r="A67" s="150"/>
      <c r="B67" s="175" t="s">
        <v>17</v>
      </c>
      <c r="C67" s="176" t="s">
        <v>18</v>
      </c>
      <c r="D67" s="35" t="s">
        <v>19</v>
      </c>
      <c r="E67" s="36">
        <v>4.0</v>
      </c>
      <c r="F67" s="198">
        <f>(E65*E67)</f>
        <v>4</v>
      </c>
      <c r="G67" s="37">
        <v>13.6</v>
      </c>
      <c r="H67" s="38">
        <f t="shared" si="4"/>
        <v>54.4</v>
      </c>
      <c r="I67" s="32"/>
      <c r="J67" s="32"/>
      <c r="K67" s="31"/>
      <c r="L67" s="31"/>
      <c r="M67" s="31"/>
      <c r="N67" s="32"/>
      <c r="O67" s="32"/>
      <c r="P67" s="174"/>
      <c r="Q67" s="134"/>
    </row>
    <row r="68">
      <c r="A68" s="150"/>
      <c r="B68" s="175" t="s">
        <v>20</v>
      </c>
      <c r="C68" s="176" t="s">
        <v>21</v>
      </c>
      <c r="D68" s="35" t="s">
        <v>3</v>
      </c>
      <c r="E68" s="36">
        <v>10.0</v>
      </c>
      <c r="F68" s="198">
        <f>(E65*E68)</f>
        <v>10</v>
      </c>
      <c r="G68" s="37">
        <v>0.19</v>
      </c>
      <c r="H68" s="38">
        <f t="shared" si="4"/>
        <v>1.9</v>
      </c>
      <c r="I68" s="32"/>
      <c r="J68" s="32"/>
      <c r="K68" s="31"/>
      <c r="L68" s="31"/>
      <c r="M68" s="31"/>
      <c r="N68" s="32"/>
      <c r="O68" s="32"/>
      <c r="P68" s="174"/>
      <c r="Q68" s="134"/>
    </row>
    <row r="69">
      <c r="A69" s="150"/>
      <c r="B69" s="175" t="s">
        <v>22</v>
      </c>
      <c r="C69" s="176" t="s">
        <v>23</v>
      </c>
      <c r="D69" s="35" t="s">
        <v>3</v>
      </c>
      <c r="E69" s="36">
        <v>10.0</v>
      </c>
      <c r="F69" s="198">
        <f>(E65*E69)</f>
        <v>10</v>
      </c>
      <c r="G69" s="37">
        <v>0.3</v>
      </c>
      <c r="H69" s="38">
        <f t="shared" si="4"/>
        <v>3</v>
      </c>
      <c r="I69" s="32"/>
      <c r="J69" s="32"/>
      <c r="K69" s="31"/>
      <c r="L69" s="31"/>
      <c r="M69" s="31"/>
      <c r="N69" s="32"/>
      <c r="O69" s="32"/>
      <c r="P69" s="174"/>
      <c r="Q69" s="134"/>
    </row>
    <row r="70">
      <c r="A70" s="150"/>
      <c r="B70" s="175" t="s">
        <v>24</v>
      </c>
      <c r="C70" s="176" t="s">
        <v>25</v>
      </c>
      <c r="D70" s="35" t="s">
        <v>3</v>
      </c>
      <c r="E70" s="36">
        <v>1.0</v>
      </c>
      <c r="F70" s="198">
        <f>(E65*E70)</f>
        <v>1</v>
      </c>
      <c r="G70" s="37">
        <v>0.15</v>
      </c>
      <c r="H70" s="38">
        <f t="shared" si="4"/>
        <v>0.15</v>
      </c>
      <c r="I70" s="32"/>
      <c r="J70" s="32"/>
      <c r="K70" s="31"/>
      <c r="L70" s="31"/>
      <c r="M70" s="31"/>
      <c r="N70" s="32"/>
      <c r="O70" s="32"/>
      <c r="P70" s="174"/>
      <c r="Q70" s="134"/>
    </row>
    <row r="71">
      <c r="A71" s="150"/>
      <c r="B71" s="175" t="s">
        <v>26</v>
      </c>
      <c r="C71" s="176" t="s">
        <v>27</v>
      </c>
      <c r="D71" s="35" t="s">
        <v>3</v>
      </c>
      <c r="E71" s="36">
        <v>50.0</v>
      </c>
      <c r="F71" s="198">
        <f>(E70*E71)</f>
        <v>50</v>
      </c>
      <c r="G71" s="37">
        <v>1.3</v>
      </c>
      <c r="H71" s="38">
        <f t="shared" si="4"/>
        <v>65</v>
      </c>
      <c r="I71" s="32"/>
      <c r="J71" s="32"/>
      <c r="K71" s="31"/>
      <c r="L71" s="31"/>
      <c r="M71" s="31"/>
      <c r="N71" s="32"/>
      <c r="O71" s="32"/>
      <c r="P71" s="174"/>
      <c r="Q71" s="134"/>
    </row>
    <row r="72">
      <c r="A72" s="150"/>
      <c r="B72" s="175" t="s">
        <v>28</v>
      </c>
      <c r="C72" s="176" t="s">
        <v>29</v>
      </c>
      <c r="D72" s="35" t="s">
        <v>3</v>
      </c>
      <c r="E72" s="36">
        <v>50.0</v>
      </c>
      <c r="F72" s="198">
        <f>(E65*E72)</f>
        <v>50</v>
      </c>
      <c r="G72" s="37">
        <v>0.14</v>
      </c>
      <c r="H72" s="38">
        <f t="shared" si="4"/>
        <v>7</v>
      </c>
      <c r="I72" s="32"/>
      <c r="J72" s="32"/>
      <c r="K72" s="31"/>
      <c r="L72" s="31"/>
      <c r="M72" s="31"/>
      <c r="N72" s="32"/>
      <c r="O72" s="32"/>
      <c r="P72" s="174"/>
      <c r="Q72" s="134"/>
    </row>
    <row r="73">
      <c r="A73" s="150"/>
      <c r="B73" s="175" t="s">
        <v>30</v>
      </c>
      <c r="C73" s="176" t="s">
        <v>31</v>
      </c>
      <c r="D73" s="35" t="s">
        <v>3</v>
      </c>
      <c r="E73" s="36">
        <v>1.0</v>
      </c>
      <c r="F73" s="198">
        <f>(E65*E73)</f>
        <v>1</v>
      </c>
      <c r="G73" s="37">
        <v>23.9</v>
      </c>
      <c r="H73" s="38">
        <f t="shared" si="4"/>
        <v>23.9</v>
      </c>
      <c r="I73" s="32"/>
      <c r="J73" s="32"/>
      <c r="K73" s="31"/>
      <c r="L73" s="31"/>
      <c r="M73" s="31"/>
      <c r="N73" s="32"/>
      <c r="O73" s="32"/>
      <c r="P73" s="174"/>
      <c r="Q73" s="134"/>
    </row>
    <row r="74">
      <c r="A74" s="150"/>
      <c r="B74" s="175" t="s">
        <v>32</v>
      </c>
      <c r="C74" s="176" t="s">
        <v>33</v>
      </c>
      <c r="D74" s="35" t="s">
        <v>3</v>
      </c>
      <c r="E74" s="36">
        <v>2.0</v>
      </c>
      <c r="F74" s="198">
        <f>(E73*E74)</f>
        <v>2</v>
      </c>
      <c r="G74" s="37">
        <v>2.5</v>
      </c>
      <c r="H74" s="38">
        <f t="shared" si="4"/>
        <v>5</v>
      </c>
      <c r="I74" s="32"/>
      <c r="J74" s="32"/>
      <c r="K74" s="31"/>
      <c r="L74" s="31"/>
      <c r="M74" s="31"/>
      <c r="N74" s="32"/>
      <c r="O74" s="32"/>
      <c r="P74" s="174"/>
      <c r="Q74" s="134"/>
    </row>
    <row r="75">
      <c r="A75" s="150"/>
      <c r="B75" s="175" t="s">
        <v>34</v>
      </c>
      <c r="C75" s="176" t="s">
        <v>35</v>
      </c>
      <c r="D75" s="35" t="s">
        <v>3</v>
      </c>
      <c r="E75" s="52">
        <v>0.0</v>
      </c>
      <c r="F75" s="198">
        <f>(E65*E75)</f>
        <v>0</v>
      </c>
      <c r="G75" s="37">
        <v>2.0</v>
      </c>
      <c r="H75" s="38">
        <f t="shared" si="4"/>
        <v>0</v>
      </c>
      <c r="I75" s="32"/>
      <c r="J75" s="32"/>
      <c r="K75" s="31"/>
      <c r="L75" s="31"/>
      <c r="M75" s="31"/>
      <c r="N75" s="32"/>
      <c r="O75" s="32"/>
      <c r="P75" s="174"/>
      <c r="Q75" s="134"/>
    </row>
    <row r="76">
      <c r="A76" s="150"/>
      <c r="B76" s="177" t="s">
        <v>36</v>
      </c>
      <c r="C76" s="178" t="s">
        <v>37</v>
      </c>
      <c r="D76" s="43" t="s">
        <v>3</v>
      </c>
      <c r="E76" s="143">
        <v>0.01</v>
      </c>
      <c r="F76" s="199">
        <f>(E65*E76)</f>
        <v>0.01</v>
      </c>
      <c r="G76" s="45">
        <v>12.9</v>
      </c>
      <c r="H76" s="46">
        <f t="shared" si="4"/>
        <v>0.129</v>
      </c>
      <c r="I76" s="48"/>
      <c r="J76" s="48"/>
      <c r="K76" s="47"/>
      <c r="L76" s="47"/>
      <c r="M76" s="47"/>
      <c r="N76" s="48"/>
      <c r="O76" s="48"/>
      <c r="P76" s="179"/>
      <c r="Q76" s="134"/>
    </row>
    <row r="77">
      <c r="A77" s="150"/>
      <c r="B77" s="181" t="s">
        <v>106</v>
      </c>
      <c r="C77" s="16" t="s">
        <v>107</v>
      </c>
      <c r="D77" s="17" t="s">
        <v>14</v>
      </c>
      <c r="E77" s="17">
        <v>1.0</v>
      </c>
      <c r="F77" s="181" t="s">
        <v>90</v>
      </c>
      <c r="G77" s="17">
        <v>284.0</v>
      </c>
      <c r="H77" s="183">
        <f t="shared" si="4"/>
        <v>284</v>
      </c>
      <c r="I77" s="168">
        <f>SUM(H78:H88)</f>
        <v>160.479</v>
      </c>
      <c r="J77" s="197">
        <v>0.25</v>
      </c>
      <c r="K77" s="21">
        <v>2.09824</v>
      </c>
      <c r="L77" s="22">
        <f>SUM(G77:G88)</f>
        <v>343.57</v>
      </c>
      <c r="M77" s="22">
        <f>SUM(K77*L77)</f>
        <v>720.8923168</v>
      </c>
      <c r="N77" s="23">
        <f>SUM(L77+M77)</f>
        <v>1064.462317</v>
      </c>
      <c r="O77" s="24">
        <f>IFERROR(M77/N77,"")</f>
        <v>0.6772361082</v>
      </c>
      <c r="P77" s="200"/>
      <c r="Q77" s="134"/>
    </row>
    <row r="78">
      <c r="A78" s="150"/>
      <c r="B78" s="171" t="s">
        <v>15</v>
      </c>
      <c r="C78" s="172" t="s">
        <v>16</v>
      </c>
      <c r="D78" s="27" t="s">
        <v>3</v>
      </c>
      <c r="E78" s="146">
        <v>0.0</v>
      </c>
      <c r="F78" s="198">
        <f>(E77*E78)</f>
        <v>0</v>
      </c>
      <c r="G78" s="29">
        <v>2.59</v>
      </c>
      <c r="H78" s="30">
        <f t="shared" si="4"/>
        <v>0</v>
      </c>
      <c r="I78" s="32"/>
      <c r="J78" s="32"/>
      <c r="K78" s="31"/>
      <c r="L78" s="31"/>
      <c r="M78" s="31"/>
      <c r="N78" s="32"/>
      <c r="O78" s="32"/>
      <c r="P78" s="200"/>
      <c r="Q78" s="134"/>
    </row>
    <row r="79">
      <c r="A79" s="150"/>
      <c r="B79" s="175" t="s">
        <v>17</v>
      </c>
      <c r="C79" s="176" t="s">
        <v>18</v>
      </c>
      <c r="D79" s="35" t="s">
        <v>19</v>
      </c>
      <c r="E79" s="36">
        <v>4.0</v>
      </c>
      <c r="F79" s="198">
        <f>(E77*E79)</f>
        <v>4</v>
      </c>
      <c r="G79" s="37">
        <v>13.6</v>
      </c>
      <c r="H79" s="38">
        <f t="shared" si="4"/>
        <v>54.4</v>
      </c>
      <c r="I79" s="32"/>
      <c r="J79" s="32"/>
      <c r="K79" s="31"/>
      <c r="L79" s="31"/>
      <c r="M79" s="31"/>
      <c r="N79" s="32"/>
      <c r="O79" s="32"/>
      <c r="P79" s="200"/>
      <c r="Q79" s="134"/>
    </row>
    <row r="80">
      <c r="A80" s="150"/>
      <c r="B80" s="175" t="s">
        <v>20</v>
      </c>
      <c r="C80" s="176" t="s">
        <v>21</v>
      </c>
      <c r="D80" s="35" t="s">
        <v>3</v>
      </c>
      <c r="E80" s="36">
        <v>10.0</v>
      </c>
      <c r="F80" s="198">
        <f>(E77*E80)</f>
        <v>10</v>
      </c>
      <c r="G80" s="37">
        <v>0.19</v>
      </c>
      <c r="H80" s="38">
        <f t="shared" si="4"/>
        <v>1.9</v>
      </c>
      <c r="I80" s="32"/>
      <c r="J80" s="32"/>
      <c r="K80" s="31"/>
      <c r="L80" s="31"/>
      <c r="M80" s="31"/>
      <c r="N80" s="32"/>
      <c r="O80" s="32"/>
      <c r="P80" s="200"/>
      <c r="Q80" s="134"/>
    </row>
    <row r="81">
      <c r="A81" s="150"/>
      <c r="B81" s="175" t="s">
        <v>22</v>
      </c>
      <c r="C81" s="176" t="s">
        <v>23</v>
      </c>
      <c r="D81" s="35" t="s">
        <v>3</v>
      </c>
      <c r="E81" s="36">
        <v>10.0</v>
      </c>
      <c r="F81" s="198">
        <f>(E77*E81)</f>
        <v>10</v>
      </c>
      <c r="G81" s="37">
        <v>0.3</v>
      </c>
      <c r="H81" s="38">
        <f t="shared" si="4"/>
        <v>3</v>
      </c>
      <c r="I81" s="32"/>
      <c r="J81" s="32"/>
      <c r="K81" s="31"/>
      <c r="L81" s="31"/>
      <c r="M81" s="31"/>
      <c r="N81" s="32"/>
      <c r="O81" s="32"/>
      <c r="P81" s="200"/>
      <c r="Q81" s="134"/>
    </row>
    <row r="82">
      <c r="A82" s="150"/>
      <c r="B82" s="175" t="s">
        <v>24</v>
      </c>
      <c r="C82" s="176" t="s">
        <v>25</v>
      </c>
      <c r="D82" s="35" t="s">
        <v>3</v>
      </c>
      <c r="E82" s="36">
        <v>1.0</v>
      </c>
      <c r="F82" s="198">
        <f>(E77*E82)</f>
        <v>1</v>
      </c>
      <c r="G82" s="37">
        <v>0.15</v>
      </c>
      <c r="H82" s="38">
        <f t="shared" si="4"/>
        <v>0.15</v>
      </c>
      <c r="I82" s="32"/>
      <c r="J82" s="32"/>
      <c r="K82" s="31"/>
      <c r="L82" s="31"/>
      <c r="M82" s="31"/>
      <c r="N82" s="32"/>
      <c r="O82" s="32"/>
      <c r="P82" s="200"/>
      <c r="Q82" s="134"/>
    </row>
    <row r="83">
      <c r="A83" s="150"/>
      <c r="B83" s="175" t="s">
        <v>26</v>
      </c>
      <c r="C83" s="176" t="s">
        <v>27</v>
      </c>
      <c r="D83" s="35" t="s">
        <v>3</v>
      </c>
      <c r="E83" s="36">
        <v>50.0</v>
      </c>
      <c r="F83" s="198">
        <f>(E82*E83)</f>
        <v>50</v>
      </c>
      <c r="G83" s="37">
        <v>1.3</v>
      </c>
      <c r="H83" s="38">
        <f t="shared" si="4"/>
        <v>65</v>
      </c>
      <c r="I83" s="32"/>
      <c r="J83" s="32"/>
      <c r="K83" s="31"/>
      <c r="L83" s="31"/>
      <c r="M83" s="31"/>
      <c r="N83" s="32"/>
      <c r="O83" s="32"/>
      <c r="P83" s="200"/>
      <c r="Q83" s="134"/>
    </row>
    <row r="84">
      <c r="A84" s="150"/>
      <c r="B84" s="175" t="s">
        <v>28</v>
      </c>
      <c r="C84" s="176" t="s">
        <v>29</v>
      </c>
      <c r="D84" s="35" t="s">
        <v>3</v>
      </c>
      <c r="E84" s="36">
        <v>50.0</v>
      </c>
      <c r="F84" s="198">
        <f>(E77*E84)</f>
        <v>50</v>
      </c>
      <c r="G84" s="37">
        <v>0.14</v>
      </c>
      <c r="H84" s="38">
        <f t="shared" si="4"/>
        <v>7</v>
      </c>
      <c r="I84" s="32"/>
      <c r="J84" s="32"/>
      <c r="K84" s="31"/>
      <c r="L84" s="31"/>
      <c r="M84" s="31"/>
      <c r="N84" s="32"/>
      <c r="O84" s="32"/>
      <c r="P84" s="200"/>
      <c r="Q84" s="134"/>
    </row>
    <row r="85">
      <c r="A85" s="150"/>
      <c r="B85" s="175" t="s">
        <v>30</v>
      </c>
      <c r="C85" s="176" t="s">
        <v>31</v>
      </c>
      <c r="D85" s="35" t="s">
        <v>3</v>
      </c>
      <c r="E85" s="36">
        <v>1.0</v>
      </c>
      <c r="F85" s="198">
        <f>(E77*E85)</f>
        <v>1</v>
      </c>
      <c r="G85" s="37">
        <v>23.9</v>
      </c>
      <c r="H85" s="38">
        <f t="shared" si="4"/>
        <v>23.9</v>
      </c>
      <c r="I85" s="32"/>
      <c r="J85" s="32"/>
      <c r="K85" s="31"/>
      <c r="L85" s="31"/>
      <c r="M85" s="31"/>
      <c r="N85" s="32"/>
      <c r="O85" s="32"/>
      <c r="P85" s="200"/>
      <c r="Q85" s="134"/>
    </row>
    <row r="86">
      <c r="A86" s="150"/>
      <c r="B86" s="175" t="s">
        <v>32</v>
      </c>
      <c r="C86" s="176" t="s">
        <v>33</v>
      </c>
      <c r="D86" s="35" t="s">
        <v>3</v>
      </c>
      <c r="E86" s="36">
        <v>2.0</v>
      </c>
      <c r="F86" s="198">
        <f>(E85*E86)</f>
        <v>2</v>
      </c>
      <c r="G86" s="37">
        <v>2.5</v>
      </c>
      <c r="H86" s="38">
        <f t="shared" si="4"/>
        <v>5</v>
      </c>
      <c r="I86" s="32"/>
      <c r="J86" s="32"/>
      <c r="K86" s="31"/>
      <c r="L86" s="31"/>
      <c r="M86" s="31"/>
      <c r="N86" s="32"/>
      <c r="O86" s="32"/>
      <c r="P86" s="200"/>
      <c r="Q86" s="134"/>
    </row>
    <row r="87">
      <c r="A87" s="150"/>
      <c r="B87" s="175" t="s">
        <v>34</v>
      </c>
      <c r="C87" s="176" t="s">
        <v>35</v>
      </c>
      <c r="D87" s="35" t="s">
        <v>3</v>
      </c>
      <c r="E87" s="52">
        <v>0.0</v>
      </c>
      <c r="F87" s="198">
        <f>(E77*E87)</f>
        <v>0</v>
      </c>
      <c r="G87" s="37">
        <v>2.0</v>
      </c>
      <c r="H87" s="38">
        <f t="shared" si="4"/>
        <v>0</v>
      </c>
      <c r="I87" s="32"/>
      <c r="J87" s="32"/>
      <c r="K87" s="31"/>
      <c r="L87" s="31"/>
      <c r="M87" s="31"/>
      <c r="N87" s="32"/>
      <c r="O87" s="32"/>
      <c r="P87" s="200"/>
      <c r="Q87" s="134"/>
    </row>
    <row r="88">
      <c r="A88" s="150"/>
      <c r="B88" s="177" t="s">
        <v>36</v>
      </c>
      <c r="C88" s="178" t="s">
        <v>37</v>
      </c>
      <c r="D88" s="43" t="s">
        <v>3</v>
      </c>
      <c r="E88" s="143">
        <v>0.01</v>
      </c>
      <c r="F88" s="199">
        <f>(E77*E88)</f>
        <v>0.01</v>
      </c>
      <c r="G88" s="45">
        <v>12.9</v>
      </c>
      <c r="H88" s="46">
        <f t="shared" si="4"/>
        <v>0.129</v>
      </c>
      <c r="I88" s="48"/>
      <c r="J88" s="48"/>
      <c r="K88" s="47"/>
      <c r="L88" s="47"/>
      <c r="M88" s="47"/>
      <c r="N88" s="48"/>
      <c r="O88" s="48"/>
      <c r="P88" s="200"/>
      <c r="Q88" s="134"/>
    </row>
    <row r="89">
      <c r="A89" s="150"/>
      <c r="B89" s="181" t="s">
        <v>108</v>
      </c>
      <c r="C89" s="16" t="s">
        <v>109</v>
      </c>
      <c r="D89" s="17" t="s">
        <v>14</v>
      </c>
      <c r="E89" s="17">
        <v>1.0</v>
      </c>
      <c r="F89" s="181" t="s">
        <v>90</v>
      </c>
      <c r="G89" s="201">
        <v>1095.0</v>
      </c>
      <c r="H89" s="183">
        <f t="shared" si="4"/>
        <v>1095</v>
      </c>
      <c r="I89" s="168">
        <f>SUM(H90:H100)</f>
        <v>160.35</v>
      </c>
      <c r="J89" s="197">
        <v>0.25</v>
      </c>
      <c r="K89" s="21">
        <v>2.09824</v>
      </c>
      <c r="L89" s="22">
        <f>SUM(G89:G99)</f>
        <v>1141.67</v>
      </c>
      <c r="M89" s="22">
        <f>SUM(K89*L89)</f>
        <v>2395.497661</v>
      </c>
      <c r="N89" s="23">
        <f>SUM(L89+M89)</f>
        <v>3537.167661</v>
      </c>
      <c r="O89" s="24">
        <f>IFERROR(M89/N89,"")</f>
        <v>0.6772361082</v>
      </c>
      <c r="P89" s="202"/>
      <c r="Q89" s="134"/>
    </row>
    <row r="90">
      <c r="A90" s="150"/>
      <c r="B90" s="171" t="s">
        <v>15</v>
      </c>
      <c r="C90" s="172" t="s">
        <v>16</v>
      </c>
      <c r="D90" s="27" t="s">
        <v>3</v>
      </c>
      <c r="E90" s="146">
        <v>0.0</v>
      </c>
      <c r="F90" s="198">
        <f>(E89*E90)</f>
        <v>0</v>
      </c>
      <c r="G90" s="29">
        <v>2.59</v>
      </c>
      <c r="H90" s="30">
        <f t="shared" si="4"/>
        <v>0</v>
      </c>
      <c r="I90" s="32"/>
      <c r="J90" s="32"/>
      <c r="K90" s="31"/>
      <c r="L90" s="31"/>
      <c r="M90" s="31"/>
      <c r="N90" s="32"/>
      <c r="O90" s="32"/>
      <c r="P90" s="202"/>
      <c r="Q90" s="134"/>
    </row>
    <row r="91">
      <c r="A91" s="150"/>
      <c r="B91" s="175" t="s">
        <v>17</v>
      </c>
      <c r="C91" s="176" t="s">
        <v>18</v>
      </c>
      <c r="D91" s="35" t="s">
        <v>19</v>
      </c>
      <c r="E91" s="36">
        <v>4.0</v>
      </c>
      <c r="F91" s="198">
        <f>(E89*E91)</f>
        <v>4</v>
      </c>
      <c r="G91" s="37">
        <v>13.6</v>
      </c>
      <c r="H91" s="38">
        <f t="shared" si="4"/>
        <v>54.4</v>
      </c>
      <c r="I91" s="32"/>
      <c r="J91" s="32"/>
      <c r="K91" s="31"/>
      <c r="L91" s="31"/>
      <c r="M91" s="31"/>
      <c r="N91" s="32"/>
      <c r="O91" s="32"/>
      <c r="P91" s="202"/>
      <c r="Q91" s="134"/>
    </row>
    <row r="92">
      <c r="A92" s="150"/>
      <c r="B92" s="175" t="s">
        <v>20</v>
      </c>
      <c r="C92" s="176" t="s">
        <v>21</v>
      </c>
      <c r="D92" s="35" t="s">
        <v>3</v>
      </c>
      <c r="E92" s="36">
        <v>10.0</v>
      </c>
      <c r="F92" s="198">
        <f>(E89*E92)</f>
        <v>10</v>
      </c>
      <c r="G92" s="37">
        <v>0.19</v>
      </c>
      <c r="H92" s="38">
        <f t="shared" si="4"/>
        <v>1.9</v>
      </c>
      <c r="I92" s="32"/>
      <c r="J92" s="32"/>
      <c r="K92" s="31"/>
      <c r="L92" s="31"/>
      <c r="M92" s="31"/>
      <c r="N92" s="32"/>
      <c r="O92" s="32"/>
      <c r="P92" s="202"/>
      <c r="Q92" s="134"/>
    </row>
    <row r="93">
      <c r="A93" s="150"/>
      <c r="B93" s="175" t="s">
        <v>22</v>
      </c>
      <c r="C93" s="176" t="s">
        <v>23</v>
      </c>
      <c r="D93" s="35" t="s">
        <v>3</v>
      </c>
      <c r="E93" s="36">
        <v>10.0</v>
      </c>
      <c r="F93" s="198">
        <f>(E89*E93)</f>
        <v>10</v>
      </c>
      <c r="G93" s="37">
        <v>0.3</v>
      </c>
      <c r="H93" s="38">
        <f t="shared" si="4"/>
        <v>3</v>
      </c>
      <c r="I93" s="32"/>
      <c r="J93" s="32"/>
      <c r="K93" s="31"/>
      <c r="L93" s="31"/>
      <c r="M93" s="31"/>
      <c r="N93" s="32"/>
      <c r="O93" s="32"/>
      <c r="P93" s="202"/>
      <c r="Q93" s="134"/>
    </row>
    <row r="94">
      <c r="A94" s="150"/>
      <c r="B94" s="175" t="s">
        <v>24</v>
      </c>
      <c r="C94" s="176" t="s">
        <v>25</v>
      </c>
      <c r="D94" s="35" t="s">
        <v>3</v>
      </c>
      <c r="E94" s="36">
        <v>1.0</v>
      </c>
      <c r="F94" s="198">
        <f>(E89*E94)</f>
        <v>1</v>
      </c>
      <c r="G94" s="37">
        <v>0.15</v>
      </c>
      <c r="H94" s="38">
        <f t="shared" si="4"/>
        <v>0.15</v>
      </c>
      <c r="I94" s="32"/>
      <c r="J94" s="32"/>
      <c r="K94" s="31"/>
      <c r="L94" s="31"/>
      <c r="M94" s="31"/>
      <c r="N94" s="32"/>
      <c r="O94" s="32"/>
      <c r="P94" s="202"/>
      <c r="Q94" s="134"/>
    </row>
    <row r="95">
      <c r="A95" s="150"/>
      <c r="B95" s="175" t="s">
        <v>26</v>
      </c>
      <c r="C95" s="176" t="s">
        <v>27</v>
      </c>
      <c r="D95" s="35" t="s">
        <v>3</v>
      </c>
      <c r="E95" s="36">
        <v>50.0</v>
      </c>
      <c r="F95" s="198">
        <f>(E94*E95)</f>
        <v>50</v>
      </c>
      <c r="G95" s="37">
        <v>1.3</v>
      </c>
      <c r="H95" s="38">
        <f t="shared" si="4"/>
        <v>65</v>
      </c>
      <c r="I95" s="32"/>
      <c r="J95" s="32"/>
      <c r="K95" s="31"/>
      <c r="L95" s="31"/>
      <c r="M95" s="31"/>
      <c r="N95" s="32"/>
      <c r="O95" s="32"/>
      <c r="P95" s="202"/>
      <c r="Q95" s="134"/>
    </row>
    <row r="96">
      <c r="A96" s="150"/>
      <c r="B96" s="175" t="s">
        <v>28</v>
      </c>
      <c r="C96" s="176" t="s">
        <v>29</v>
      </c>
      <c r="D96" s="35" t="s">
        <v>3</v>
      </c>
      <c r="E96" s="36">
        <v>50.0</v>
      </c>
      <c r="F96" s="198">
        <f>(E89*E96)</f>
        <v>50</v>
      </c>
      <c r="G96" s="37">
        <v>0.14</v>
      </c>
      <c r="H96" s="38">
        <f t="shared" si="4"/>
        <v>7</v>
      </c>
      <c r="I96" s="32"/>
      <c r="J96" s="32"/>
      <c r="K96" s="31"/>
      <c r="L96" s="31"/>
      <c r="M96" s="31"/>
      <c r="N96" s="32"/>
      <c r="O96" s="32"/>
      <c r="P96" s="202"/>
      <c r="Q96" s="134"/>
    </row>
    <row r="97">
      <c r="A97" s="150"/>
      <c r="B97" s="175" t="s">
        <v>30</v>
      </c>
      <c r="C97" s="176" t="s">
        <v>31</v>
      </c>
      <c r="D97" s="35" t="s">
        <v>3</v>
      </c>
      <c r="E97" s="36">
        <v>1.0</v>
      </c>
      <c r="F97" s="198">
        <f>(E89*E97)</f>
        <v>1</v>
      </c>
      <c r="G97" s="37">
        <v>23.9</v>
      </c>
      <c r="H97" s="38">
        <f t="shared" si="4"/>
        <v>23.9</v>
      </c>
      <c r="I97" s="32"/>
      <c r="J97" s="32"/>
      <c r="K97" s="31"/>
      <c r="L97" s="31"/>
      <c r="M97" s="31"/>
      <c r="N97" s="32"/>
      <c r="O97" s="32"/>
      <c r="P97" s="202"/>
      <c r="Q97" s="134"/>
    </row>
    <row r="98">
      <c r="A98" s="150"/>
      <c r="B98" s="175" t="s">
        <v>32</v>
      </c>
      <c r="C98" s="176" t="s">
        <v>33</v>
      </c>
      <c r="D98" s="35" t="s">
        <v>3</v>
      </c>
      <c r="E98" s="36">
        <v>2.0</v>
      </c>
      <c r="F98" s="198">
        <f>(E97*E98)</f>
        <v>2</v>
      </c>
      <c r="G98" s="37">
        <v>2.5</v>
      </c>
      <c r="H98" s="38">
        <f t="shared" si="4"/>
        <v>5</v>
      </c>
      <c r="I98" s="32"/>
      <c r="J98" s="32"/>
      <c r="K98" s="31"/>
      <c r="L98" s="31"/>
      <c r="M98" s="31"/>
      <c r="N98" s="32"/>
      <c r="O98" s="32"/>
      <c r="P98" s="202"/>
      <c r="Q98" s="134"/>
    </row>
    <row r="99">
      <c r="A99" s="150"/>
      <c r="B99" s="175" t="s">
        <v>34</v>
      </c>
      <c r="C99" s="176" t="s">
        <v>35</v>
      </c>
      <c r="D99" s="35" t="s">
        <v>3</v>
      </c>
      <c r="E99" s="52">
        <v>0.0</v>
      </c>
      <c r="F99" s="198">
        <f>(E89*E99)</f>
        <v>0</v>
      </c>
      <c r="G99" s="37">
        <v>2.0</v>
      </c>
      <c r="H99" s="38">
        <f t="shared" si="4"/>
        <v>0</v>
      </c>
      <c r="I99" s="32"/>
      <c r="J99" s="32"/>
      <c r="K99" s="47"/>
      <c r="L99" s="47"/>
      <c r="M99" s="47"/>
      <c r="N99" s="48"/>
      <c r="O99" s="32"/>
      <c r="P99" s="202"/>
      <c r="Q99" s="134"/>
    </row>
    <row r="100">
      <c r="A100" s="150"/>
      <c r="B100" s="203" t="s">
        <v>90</v>
      </c>
      <c r="C100" s="204" t="s">
        <v>90</v>
      </c>
      <c r="D100" s="205" t="s">
        <v>90</v>
      </c>
      <c r="E100" s="148" t="s">
        <v>90</v>
      </c>
      <c r="F100" s="206" t="s">
        <v>90</v>
      </c>
      <c r="G100" s="207" t="s">
        <v>90</v>
      </c>
      <c r="H100" s="208" t="s">
        <v>90</v>
      </c>
      <c r="I100" s="48"/>
      <c r="J100" s="48"/>
      <c r="K100" s="192"/>
      <c r="L100" s="193"/>
      <c r="M100" s="193"/>
      <c r="N100" s="194"/>
      <c r="O100" s="32"/>
      <c r="P100" s="202"/>
      <c r="Q100" s="134"/>
    </row>
    <row r="101">
      <c r="A101" s="150"/>
      <c r="B101" s="209" t="s">
        <v>110</v>
      </c>
      <c r="C101" s="162" t="s">
        <v>111</v>
      </c>
      <c r="D101" s="163" t="s">
        <v>14</v>
      </c>
      <c r="E101" s="164">
        <v>1.0</v>
      </c>
      <c r="F101" s="165" t="s">
        <v>90</v>
      </c>
      <c r="G101" s="166"/>
      <c r="H101" s="167">
        <f t="shared" ref="H101:H149" si="5">SUM(E101*G101)</f>
        <v>0</v>
      </c>
      <c r="I101" s="168">
        <f>SUM(H102:H112)</f>
        <v>160.479</v>
      </c>
      <c r="J101" s="169"/>
      <c r="K101" s="21">
        <v>2.09824</v>
      </c>
      <c r="L101" s="22">
        <f>SUM(H101:H112)</f>
        <v>160.479</v>
      </c>
      <c r="M101" s="22">
        <f>SUM(K101*L101)</f>
        <v>336.723457</v>
      </c>
      <c r="N101" s="23">
        <f>SUM(L101+M101)</f>
        <v>497.202457</v>
      </c>
      <c r="O101" s="48"/>
      <c r="P101" s="170">
        <f>SUM(N101-L101)</f>
        <v>336.723457</v>
      </c>
      <c r="Q101" s="150" t="s">
        <v>90</v>
      </c>
    </row>
    <row r="102">
      <c r="A102" s="150"/>
      <c r="B102" s="171" t="s">
        <v>15</v>
      </c>
      <c r="C102" s="172" t="s">
        <v>16</v>
      </c>
      <c r="D102" s="27" t="s">
        <v>3</v>
      </c>
      <c r="E102" s="28">
        <v>0.0</v>
      </c>
      <c r="F102" s="173">
        <f t="shared" ref="F102:F103" si="6">(E101*E102)</f>
        <v>0</v>
      </c>
      <c r="G102" s="29">
        <v>2.59</v>
      </c>
      <c r="H102" s="30">
        <f t="shared" si="5"/>
        <v>0</v>
      </c>
      <c r="I102" s="32"/>
      <c r="J102" s="32"/>
      <c r="K102" s="31"/>
      <c r="L102" s="31"/>
      <c r="M102" s="31"/>
      <c r="N102" s="32"/>
      <c r="O102" s="24" t="str">
        <f>IFERROR(M102/N102,"")</f>
        <v/>
      </c>
      <c r="P102" s="174"/>
    </row>
    <row r="103">
      <c r="A103" s="150"/>
      <c r="B103" s="175" t="s">
        <v>17</v>
      </c>
      <c r="C103" s="176" t="s">
        <v>18</v>
      </c>
      <c r="D103" s="35" t="s">
        <v>19</v>
      </c>
      <c r="E103" s="36">
        <v>4.0</v>
      </c>
      <c r="F103" s="173">
        <f t="shared" si="6"/>
        <v>0</v>
      </c>
      <c r="G103" s="37">
        <v>13.6</v>
      </c>
      <c r="H103" s="38">
        <f t="shared" si="5"/>
        <v>54.4</v>
      </c>
      <c r="I103" s="32"/>
      <c r="J103" s="32"/>
      <c r="K103" s="31"/>
      <c r="L103" s="31"/>
      <c r="M103" s="31"/>
      <c r="N103" s="32"/>
      <c r="O103" s="32"/>
      <c r="P103" s="174"/>
    </row>
    <row r="104">
      <c r="A104" s="150"/>
      <c r="B104" s="175" t="s">
        <v>20</v>
      </c>
      <c r="C104" s="176" t="s">
        <v>21</v>
      </c>
      <c r="D104" s="35" t="s">
        <v>3</v>
      </c>
      <c r="E104" s="36">
        <v>10.0</v>
      </c>
      <c r="F104" s="173">
        <f>(E101*E104)</f>
        <v>10</v>
      </c>
      <c r="G104" s="37">
        <v>0.19</v>
      </c>
      <c r="H104" s="38">
        <f t="shared" si="5"/>
        <v>1.9</v>
      </c>
      <c r="I104" s="32"/>
      <c r="J104" s="32"/>
      <c r="K104" s="31"/>
      <c r="L104" s="31"/>
      <c r="M104" s="31"/>
      <c r="N104" s="32"/>
      <c r="O104" s="32"/>
      <c r="P104" s="174"/>
    </row>
    <row r="105">
      <c r="A105" s="150"/>
      <c r="B105" s="175" t="s">
        <v>22</v>
      </c>
      <c r="C105" s="176" t="s">
        <v>23</v>
      </c>
      <c r="D105" s="35" t="s">
        <v>3</v>
      </c>
      <c r="E105" s="36">
        <v>10.0</v>
      </c>
      <c r="F105" s="173">
        <f>(E101*E105)</f>
        <v>10</v>
      </c>
      <c r="G105" s="37">
        <v>0.3</v>
      </c>
      <c r="H105" s="38">
        <f t="shared" si="5"/>
        <v>3</v>
      </c>
      <c r="I105" s="32"/>
      <c r="J105" s="32"/>
      <c r="K105" s="31"/>
      <c r="L105" s="31"/>
      <c r="M105" s="31"/>
      <c r="N105" s="32"/>
      <c r="O105" s="32"/>
      <c r="P105" s="174"/>
    </row>
    <row r="106">
      <c r="A106" s="150"/>
      <c r="B106" s="175" t="s">
        <v>24</v>
      </c>
      <c r="C106" s="176" t="s">
        <v>25</v>
      </c>
      <c r="D106" s="35" t="s">
        <v>3</v>
      </c>
      <c r="E106" s="36">
        <v>1.0</v>
      </c>
      <c r="F106" s="173">
        <f>(E101*E106)</f>
        <v>1</v>
      </c>
      <c r="G106" s="37">
        <v>0.15</v>
      </c>
      <c r="H106" s="38">
        <f t="shared" si="5"/>
        <v>0.15</v>
      </c>
      <c r="I106" s="32"/>
      <c r="J106" s="32"/>
      <c r="K106" s="31"/>
      <c r="L106" s="31"/>
      <c r="M106" s="31"/>
      <c r="N106" s="32"/>
      <c r="O106" s="32"/>
      <c r="P106" s="174"/>
    </row>
    <row r="107">
      <c r="A107" s="150"/>
      <c r="B107" s="175" t="s">
        <v>26</v>
      </c>
      <c r="C107" s="176" t="s">
        <v>27</v>
      </c>
      <c r="D107" s="35" t="s">
        <v>3</v>
      </c>
      <c r="E107" s="36">
        <v>50.0</v>
      </c>
      <c r="F107" s="173">
        <f>(E101*E107)</f>
        <v>50</v>
      </c>
      <c r="G107" s="37">
        <v>1.3</v>
      </c>
      <c r="H107" s="38">
        <f t="shared" si="5"/>
        <v>65</v>
      </c>
      <c r="I107" s="32"/>
      <c r="J107" s="32"/>
      <c r="K107" s="31"/>
      <c r="L107" s="31"/>
      <c r="M107" s="31"/>
      <c r="N107" s="32"/>
      <c r="O107" s="32"/>
      <c r="P107" s="174"/>
    </row>
    <row r="108">
      <c r="A108" s="150"/>
      <c r="B108" s="175" t="s">
        <v>28</v>
      </c>
      <c r="C108" s="176" t="s">
        <v>29</v>
      </c>
      <c r="D108" s="35" t="s">
        <v>3</v>
      </c>
      <c r="E108" s="36">
        <v>50.0</v>
      </c>
      <c r="F108" s="173">
        <f>(E101*E108)</f>
        <v>50</v>
      </c>
      <c r="G108" s="37">
        <v>0.14</v>
      </c>
      <c r="H108" s="38">
        <f t="shared" si="5"/>
        <v>7</v>
      </c>
      <c r="I108" s="32"/>
      <c r="J108" s="32"/>
      <c r="K108" s="31"/>
      <c r="L108" s="31"/>
      <c r="M108" s="31"/>
      <c r="N108" s="32"/>
      <c r="O108" s="32"/>
      <c r="P108" s="174"/>
    </row>
    <row r="109">
      <c r="A109" s="150"/>
      <c r="B109" s="175" t="s">
        <v>30</v>
      </c>
      <c r="C109" s="176" t="s">
        <v>31</v>
      </c>
      <c r="D109" s="35" t="s">
        <v>3</v>
      </c>
      <c r="E109" s="36">
        <v>1.0</v>
      </c>
      <c r="F109" s="173">
        <f>(E101*E109)</f>
        <v>1</v>
      </c>
      <c r="G109" s="37">
        <v>23.9</v>
      </c>
      <c r="H109" s="38">
        <f t="shared" si="5"/>
        <v>23.9</v>
      </c>
      <c r="I109" s="32"/>
      <c r="J109" s="32"/>
      <c r="K109" s="31"/>
      <c r="L109" s="31"/>
      <c r="M109" s="31"/>
      <c r="N109" s="32"/>
      <c r="O109" s="32"/>
      <c r="P109" s="174"/>
    </row>
    <row r="110">
      <c r="A110" s="150"/>
      <c r="B110" s="175" t="s">
        <v>32</v>
      </c>
      <c r="C110" s="176" t="s">
        <v>33</v>
      </c>
      <c r="D110" s="35" t="s">
        <v>3</v>
      </c>
      <c r="E110" s="36">
        <v>2.0</v>
      </c>
      <c r="F110" s="173">
        <f>(E101*E110)</f>
        <v>2</v>
      </c>
      <c r="G110" s="37">
        <v>2.5</v>
      </c>
      <c r="H110" s="38">
        <f t="shared" si="5"/>
        <v>5</v>
      </c>
      <c r="I110" s="32"/>
      <c r="J110" s="32"/>
      <c r="K110" s="31"/>
      <c r="L110" s="31"/>
      <c r="M110" s="31"/>
      <c r="N110" s="32"/>
      <c r="O110" s="32"/>
      <c r="P110" s="174"/>
    </row>
    <row r="111">
      <c r="A111" s="150"/>
      <c r="B111" s="175" t="s">
        <v>34</v>
      </c>
      <c r="C111" s="176" t="s">
        <v>35</v>
      </c>
      <c r="D111" s="35" t="s">
        <v>3</v>
      </c>
      <c r="E111" s="40">
        <v>0.0</v>
      </c>
      <c r="F111" s="173">
        <f>(E101*E111)</f>
        <v>0</v>
      </c>
      <c r="G111" s="37">
        <v>2.0</v>
      </c>
      <c r="H111" s="38">
        <f t="shared" si="5"/>
        <v>0</v>
      </c>
      <c r="I111" s="32"/>
      <c r="J111" s="32"/>
      <c r="K111" s="31"/>
      <c r="L111" s="31"/>
      <c r="M111" s="31"/>
      <c r="N111" s="32"/>
      <c r="O111" s="32"/>
      <c r="P111" s="174"/>
    </row>
    <row r="112">
      <c r="A112" s="150"/>
      <c r="B112" s="177" t="s">
        <v>36</v>
      </c>
      <c r="C112" s="178" t="s">
        <v>37</v>
      </c>
      <c r="D112" s="43" t="s">
        <v>3</v>
      </c>
      <c r="E112" s="143">
        <v>0.01</v>
      </c>
      <c r="F112" s="173">
        <f>(E101*E112)</f>
        <v>0.01</v>
      </c>
      <c r="G112" s="45">
        <v>12.9</v>
      </c>
      <c r="H112" s="46">
        <f t="shared" si="5"/>
        <v>0.129</v>
      </c>
      <c r="I112" s="48"/>
      <c r="J112" s="48"/>
      <c r="K112" s="47"/>
      <c r="L112" s="47"/>
      <c r="M112" s="47"/>
      <c r="N112" s="48"/>
      <c r="O112" s="32"/>
      <c r="P112" s="179"/>
    </row>
    <row r="113">
      <c r="A113" s="150"/>
      <c r="B113" s="161" t="s">
        <v>38</v>
      </c>
      <c r="C113" s="162" t="s">
        <v>96</v>
      </c>
      <c r="D113" s="163" t="s">
        <v>14</v>
      </c>
      <c r="E113" s="164">
        <v>1.0</v>
      </c>
      <c r="F113" s="165" t="s">
        <v>90</v>
      </c>
      <c r="G113" s="166">
        <v>194.56</v>
      </c>
      <c r="H113" s="167">
        <f t="shared" si="5"/>
        <v>194.56</v>
      </c>
      <c r="I113" s="168">
        <f>SUM(H114:H124)</f>
        <v>160.479</v>
      </c>
      <c r="J113" s="169"/>
      <c r="K113" s="21">
        <v>2.09824</v>
      </c>
      <c r="L113" s="22">
        <f>SUM(H113:H124)</f>
        <v>355.039</v>
      </c>
      <c r="M113" s="22">
        <f>SUM(K113*L113)</f>
        <v>744.9570314</v>
      </c>
      <c r="N113" s="23">
        <f>SUM(L113+M113)</f>
        <v>1099.996031</v>
      </c>
      <c r="O113" s="48"/>
      <c r="P113" s="170">
        <f>SUM(N113-L113)</f>
        <v>744.9570314</v>
      </c>
      <c r="Q113" s="150"/>
    </row>
    <row r="114">
      <c r="A114" s="150"/>
      <c r="B114" s="171" t="s">
        <v>15</v>
      </c>
      <c r="C114" s="172" t="s">
        <v>16</v>
      </c>
      <c r="D114" s="27" t="s">
        <v>3</v>
      </c>
      <c r="E114" s="28">
        <v>0.0</v>
      </c>
      <c r="F114" s="173">
        <f t="shared" ref="F114:F115" si="7">(E113*E114)</f>
        <v>0</v>
      </c>
      <c r="G114" s="29">
        <v>2.59</v>
      </c>
      <c r="H114" s="30">
        <f t="shared" si="5"/>
        <v>0</v>
      </c>
      <c r="I114" s="32"/>
      <c r="J114" s="32"/>
      <c r="K114" s="31"/>
      <c r="L114" s="31"/>
      <c r="M114" s="31"/>
      <c r="N114" s="32"/>
      <c r="O114" s="24" t="str">
        <f>IFERROR(M114/N114,"")</f>
        <v/>
      </c>
      <c r="P114" s="174"/>
      <c r="Q114" s="150"/>
    </row>
    <row r="115">
      <c r="A115" s="150"/>
      <c r="B115" s="175" t="s">
        <v>17</v>
      </c>
      <c r="C115" s="176" t="s">
        <v>18</v>
      </c>
      <c r="D115" s="35" t="s">
        <v>19</v>
      </c>
      <c r="E115" s="36">
        <v>4.0</v>
      </c>
      <c r="F115" s="173">
        <f t="shared" si="7"/>
        <v>0</v>
      </c>
      <c r="G115" s="37">
        <v>13.6</v>
      </c>
      <c r="H115" s="38">
        <f t="shared" si="5"/>
        <v>54.4</v>
      </c>
      <c r="I115" s="32"/>
      <c r="J115" s="32"/>
      <c r="K115" s="31"/>
      <c r="L115" s="31"/>
      <c r="M115" s="31"/>
      <c r="N115" s="32"/>
      <c r="O115" s="32"/>
      <c r="P115" s="174"/>
      <c r="Q115" s="150"/>
    </row>
    <row r="116">
      <c r="A116" s="150"/>
      <c r="B116" s="175" t="s">
        <v>20</v>
      </c>
      <c r="C116" s="176" t="s">
        <v>21</v>
      </c>
      <c r="D116" s="35" t="s">
        <v>3</v>
      </c>
      <c r="E116" s="36">
        <v>10.0</v>
      </c>
      <c r="F116" s="173">
        <f>(E113*E116)</f>
        <v>10</v>
      </c>
      <c r="G116" s="37">
        <v>0.19</v>
      </c>
      <c r="H116" s="38">
        <f t="shared" si="5"/>
        <v>1.9</v>
      </c>
      <c r="I116" s="32"/>
      <c r="J116" s="32"/>
      <c r="K116" s="31"/>
      <c r="L116" s="31"/>
      <c r="M116" s="31"/>
      <c r="N116" s="32"/>
      <c r="O116" s="32"/>
      <c r="P116" s="174"/>
      <c r="Q116" s="150"/>
    </row>
    <row r="117">
      <c r="A117" s="150"/>
      <c r="B117" s="175" t="s">
        <v>22</v>
      </c>
      <c r="C117" s="176" t="s">
        <v>23</v>
      </c>
      <c r="D117" s="35" t="s">
        <v>3</v>
      </c>
      <c r="E117" s="36">
        <v>10.0</v>
      </c>
      <c r="F117" s="173">
        <f>(E113*E117)</f>
        <v>10</v>
      </c>
      <c r="G117" s="37">
        <v>0.3</v>
      </c>
      <c r="H117" s="38">
        <f t="shared" si="5"/>
        <v>3</v>
      </c>
      <c r="I117" s="32"/>
      <c r="J117" s="32"/>
      <c r="K117" s="31"/>
      <c r="L117" s="31"/>
      <c r="M117" s="31"/>
      <c r="N117" s="32"/>
      <c r="O117" s="32"/>
      <c r="P117" s="174"/>
      <c r="Q117" s="150"/>
    </row>
    <row r="118">
      <c r="A118" s="150"/>
      <c r="B118" s="175" t="s">
        <v>24</v>
      </c>
      <c r="C118" s="176" t="s">
        <v>25</v>
      </c>
      <c r="D118" s="35" t="s">
        <v>3</v>
      </c>
      <c r="E118" s="36">
        <v>1.0</v>
      </c>
      <c r="F118" s="173">
        <f>(E113*E118)</f>
        <v>1</v>
      </c>
      <c r="G118" s="37">
        <v>0.15</v>
      </c>
      <c r="H118" s="38">
        <f t="shared" si="5"/>
        <v>0.15</v>
      </c>
      <c r="I118" s="32"/>
      <c r="J118" s="32"/>
      <c r="K118" s="31"/>
      <c r="L118" s="31"/>
      <c r="M118" s="31"/>
      <c r="N118" s="32"/>
      <c r="O118" s="32"/>
      <c r="P118" s="174"/>
      <c r="Q118" s="150"/>
    </row>
    <row r="119">
      <c r="A119" s="150"/>
      <c r="B119" s="175" t="s">
        <v>26</v>
      </c>
      <c r="C119" s="176" t="s">
        <v>27</v>
      </c>
      <c r="D119" s="35" t="s">
        <v>3</v>
      </c>
      <c r="E119" s="36">
        <v>50.0</v>
      </c>
      <c r="F119" s="173">
        <f>(E113*E119)</f>
        <v>50</v>
      </c>
      <c r="G119" s="37">
        <v>1.3</v>
      </c>
      <c r="H119" s="38">
        <f t="shared" si="5"/>
        <v>65</v>
      </c>
      <c r="I119" s="32"/>
      <c r="J119" s="32"/>
      <c r="K119" s="31"/>
      <c r="L119" s="31"/>
      <c r="M119" s="31"/>
      <c r="N119" s="32"/>
      <c r="O119" s="32"/>
      <c r="P119" s="174"/>
      <c r="Q119" s="150"/>
    </row>
    <row r="120">
      <c r="A120" s="150"/>
      <c r="B120" s="175" t="s">
        <v>28</v>
      </c>
      <c r="C120" s="176" t="s">
        <v>29</v>
      </c>
      <c r="D120" s="35" t="s">
        <v>3</v>
      </c>
      <c r="E120" s="36">
        <v>50.0</v>
      </c>
      <c r="F120" s="173">
        <f>(E113*E120)</f>
        <v>50</v>
      </c>
      <c r="G120" s="37">
        <v>0.14</v>
      </c>
      <c r="H120" s="38">
        <f t="shared" si="5"/>
        <v>7</v>
      </c>
      <c r="I120" s="32"/>
      <c r="J120" s="32"/>
      <c r="K120" s="31"/>
      <c r="L120" s="31"/>
      <c r="M120" s="31"/>
      <c r="N120" s="32"/>
      <c r="O120" s="32"/>
      <c r="P120" s="174"/>
      <c r="Q120" s="150"/>
    </row>
    <row r="121">
      <c r="A121" s="150"/>
      <c r="B121" s="175" t="s">
        <v>30</v>
      </c>
      <c r="C121" s="176" t="s">
        <v>31</v>
      </c>
      <c r="D121" s="35" t="s">
        <v>3</v>
      </c>
      <c r="E121" s="36">
        <v>1.0</v>
      </c>
      <c r="F121" s="173">
        <f>(E113*E121)</f>
        <v>1</v>
      </c>
      <c r="G121" s="37">
        <v>23.9</v>
      </c>
      <c r="H121" s="38">
        <f t="shared" si="5"/>
        <v>23.9</v>
      </c>
      <c r="I121" s="32"/>
      <c r="J121" s="32"/>
      <c r="K121" s="31"/>
      <c r="L121" s="31"/>
      <c r="M121" s="31"/>
      <c r="N121" s="32"/>
      <c r="O121" s="32"/>
      <c r="P121" s="174"/>
      <c r="Q121" s="150"/>
    </row>
    <row r="122">
      <c r="A122" s="150"/>
      <c r="B122" s="175" t="s">
        <v>32</v>
      </c>
      <c r="C122" s="176" t="s">
        <v>33</v>
      </c>
      <c r="D122" s="35" t="s">
        <v>3</v>
      </c>
      <c r="E122" s="36">
        <v>2.0</v>
      </c>
      <c r="F122" s="173">
        <f>(E113*E122)</f>
        <v>2</v>
      </c>
      <c r="G122" s="37">
        <v>2.5</v>
      </c>
      <c r="H122" s="38">
        <f t="shared" si="5"/>
        <v>5</v>
      </c>
      <c r="I122" s="32"/>
      <c r="J122" s="32"/>
      <c r="K122" s="31"/>
      <c r="L122" s="31"/>
      <c r="M122" s="31"/>
      <c r="N122" s="32"/>
      <c r="O122" s="32"/>
      <c r="P122" s="174"/>
      <c r="Q122" s="150"/>
    </row>
    <row r="123">
      <c r="A123" s="150"/>
      <c r="B123" s="175" t="s">
        <v>34</v>
      </c>
      <c r="C123" s="176" t="s">
        <v>35</v>
      </c>
      <c r="D123" s="35" t="s">
        <v>3</v>
      </c>
      <c r="E123" s="40">
        <v>0.0</v>
      </c>
      <c r="F123" s="173">
        <f>(E113*E123)</f>
        <v>0</v>
      </c>
      <c r="G123" s="37">
        <v>2.0</v>
      </c>
      <c r="H123" s="38">
        <f t="shared" si="5"/>
        <v>0</v>
      </c>
      <c r="I123" s="32"/>
      <c r="J123" s="32"/>
      <c r="K123" s="31"/>
      <c r="L123" s="31"/>
      <c r="M123" s="31"/>
      <c r="N123" s="32"/>
      <c r="O123" s="32"/>
      <c r="P123" s="174"/>
      <c r="Q123" s="150"/>
    </row>
    <row r="124">
      <c r="A124" s="150"/>
      <c r="B124" s="177" t="s">
        <v>36</v>
      </c>
      <c r="C124" s="178" t="s">
        <v>37</v>
      </c>
      <c r="D124" s="43" t="s">
        <v>3</v>
      </c>
      <c r="E124" s="143">
        <v>0.01</v>
      </c>
      <c r="F124" s="173">
        <f>(E113*E124)</f>
        <v>0.01</v>
      </c>
      <c r="G124" s="45">
        <v>12.9</v>
      </c>
      <c r="H124" s="46">
        <f t="shared" si="5"/>
        <v>0.129</v>
      </c>
      <c r="I124" s="48"/>
      <c r="J124" s="48"/>
      <c r="K124" s="47"/>
      <c r="L124" s="47"/>
      <c r="M124" s="47"/>
      <c r="N124" s="48"/>
      <c r="O124" s="32"/>
      <c r="P124" s="179"/>
      <c r="Q124" s="150"/>
    </row>
    <row r="125">
      <c r="A125" s="150"/>
      <c r="B125" s="209" t="s">
        <v>112</v>
      </c>
      <c r="C125" s="210" t="s">
        <v>113</v>
      </c>
      <c r="D125" s="163" t="s">
        <v>14</v>
      </c>
      <c r="E125" s="164">
        <v>1.0</v>
      </c>
      <c r="F125" s="165" t="s">
        <v>90</v>
      </c>
      <c r="G125" s="166">
        <v>194.56</v>
      </c>
      <c r="H125" s="167">
        <f t="shared" si="5"/>
        <v>194.56</v>
      </c>
      <c r="I125" s="168">
        <f>SUM(H126:H136)</f>
        <v>160.479</v>
      </c>
      <c r="J125" s="197">
        <v>0.25</v>
      </c>
      <c r="K125" s="21">
        <v>2.09824</v>
      </c>
      <c r="L125" s="22">
        <f>SUM(H125:H136)</f>
        <v>355.039</v>
      </c>
      <c r="M125" s="22">
        <f>SUM(K125*L125)</f>
        <v>744.9570314</v>
      </c>
      <c r="N125" s="23">
        <f>SUM(L125+M125)</f>
        <v>1099.996031</v>
      </c>
      <c r="O125" s="48"/>
      <c r="P125" s="170">
        <f>SUM(N125-L125)</f>
        <v>744.9570314</v>
      </c>
      <c r="Q125" s="134"/>
    </row>
    <row r="126">
      <c r="A126" s="150"/>
      <c r="B126" s="171" t="s">
        <v>15</v>
      </c>
      <c r="C126" s="172" t="s">
        <v>16</v>
      </c>
      <c r="D126" s="27" t="s">
        <v>3</v>
      </c>
      <c r="E126" s="28">
        <v>0.0</v>
      </c>
      <c r="F126" s="173">
        <f t="shared" ref="F126:F127" si="8">(E125*E126)</f>
        <v>0</v>
      </c>
      <c r="G126" s="29">
        <v>2.59</v>
      </c>
      <c r="H126" s="30">
        <f t="shared" si="5"/>
        <v>0</v>
      </c>
      <c r="I126" s="32"/>
      <c r="J126" s="32"/>
      <c r="K126" s="31"/>
      <c r="L126" s="31"/>
      <c r="M126" s="31"/>
      <c r="N126" s="32"/>
      <c r="O126" s="24" t="str">
        <f>IFERROR(M126/N126,"")</f>
        <v/>
      </c>
      <c r="P126" s="174"/>
      <c r="Q126" s="134"/>
    </row>
    <row r="127">
      <c r="A127" s="150"/>
      <c r="B127" s="175" t="s">
        <v>17</v>
      </c>
      <c r="C127" s="176" t="s">
        <v>18</v>
      </c>
      <c r="D127" s="35" t="s">
        <v>19</v>
      </c>
      <c r="E127" s="36">
        <v>4.0</v>
      </c>
      <c r="F127" s="173">
        <f t="shared" si="8"/>
        <v>0</v>
      </c>
      <c r="G127" s="37">
        <v>13.6</v>
      </c>
      <c r="H127" s="38">
        <f t="shared" si="5"/>
        <v>54.4</v>
      </c>
      <c r="I127" s="32"/>
      <c r="J127" s="32"/>
      <c r="K127" s="31"/>
      <c r="L127" s="31"/>
      <c r="M127" s="31"/>
      <c r="N127" s="32"/>
      <c r="O127" s="32"/>
      <c r="P127" s="174"/>
      <c r="Q127" s="134"/>
    </row>
    <row r="128">
      <c r="A128" s="150"/>
      <c r="B128" s="175" t="s">
        <v>20</v>
      </c>
      <c r="C128" s="176" t="s">
        <v>21</v>
      </c>
      <c r="D128" s="35" t="s">
        <v>3</v>
      </c>
      <c r="E128" s="36">
        <v>10.0</v>
      </c>
      <c r="F128" s="173">
        <f>(E125*E128)</f>
        <v>10</v>
      </c>
      <c r="G128" s="37">
        <v>0.19</v>
      </c>
      <c r="H128" s="38">
        <f t="shared" si="5"/>
        <v>1.9</v>
      </c>
      <c r="I128" s="32"/>
      <c r="J128" s="32"/>
      <c r="K128" s="31"/>
      <c r="L128" s="31"/>
      <c r="M128" s="31"/>
      <c r="N128" s="32"/>
      <c r="O128" s="32"/>
      <c r="P128" s="174"/>
      <c r="Q128" s="134"/>
    </row>
    <row r="129">
      <c r="A129" s="150"/>
      <c r="B129" s="175" t="s">
        <v>22</v>
      </c>
      <c r="C129" s="176" t="s">
        <v>23</v>
      </c>
      <c r="D129" s="35" t="s">
        <v>3</v>
      </c>
      <c r="E129" s="36">
        <v>10.0</v>
      </c>
      <c r="F129" s="173">
        <f>(E125*E129)</f>
        <v>10</v>
      </c>
      <c r="G129" s="37">
        <v>0.3</v>
      </c>
      <c r="H129" s="38">
        <f t="shared" si="5"/>
        <v>3</v>
      </c>
      <c r="I129" s="32"/>
      <c r="J129" s="32"/>
      <c r="K129" s="31"/>
      <c r="L129" s="31"/>
      <c r="M129" s="31"/>
      <c r="N129" s="32"/>
      <c r="O129" s="32"/>
      <c r="P129" s="174"/>
      <c r="Q129" s="134"/>
    </row>
    <row r="130">
      <c r="A130" s="150"/>
      <c r="B130" s="175" t="s">
        <v>24</v>
      </c>
      <c r="C130" s="176" t="s">
        <v>25</v>
      </c>
      <c r="D130" s="35" t="s">
        <v>3</v>
      </c>
      <c r="E130" s="36">
        <v>1.0</v>
      </c>
      <c r="F130" s="173">
        <f>(E125*E130)</f>
        <v>1</v>
      </c>
      <c r="G130" s="37">
        <v>0.15</v>
      </c>
      <c r="H130" s="38">
        <f t="shared" si="5"/>
        <v>0.15</v>
      </c>
      <c r="I130" s="32"/>
      <c r="J130" s="32"/>
      <c r="K130" s="31"/>
      <c r="L130" s="31"/>
      <c r="M130" s="31"/>
      <c r="N130" s="32"/>
      <c r="O130" s="32"/>
      <c r="P130" s="174"/>
      <c r="Q130" s="134"/>
    </row>
    <row r="131">
      <c r="A131" s="150"/>
      <c r="B131" s="175" t="s">
        <v>26</v>
      </c>
      <c r="C131" s="176" t="s">
        <v>27</v>
      </c>
      <c r="D131" s="35" t="s">
        <v>3</v>
      </c>
      <c r="E131" s="36">
        <v>50.0</v>
      </c>
      <c r="F131" s="173">
        <f>(E125*E131)</f>
        <v>50</v>
      </c>
      <c r="G131" s="37">
        <v>1.3</v>
      </c>
      <c r="H131" s="38">
        <f t="shared" si="5"/>
        <v>65</v>
      </c>
      <c r="I131" s="32"/>
      <c r="J131" s="32"/>
      <c r="K131" s="31"/>
      <c r="L131" s="31"/>
      <c r="M131" s="31"/>
      <c r="N131" s="32"/>
      <c r="O131" s="32"/>
      <c r="P131" s="174"/>
      <c r="Q131" s="134"/>
    </row>
    <row r="132">
      <c r="A132" s="150"/>
      <c r="B132" s="175" t="s">
        <v>28</v>
      </c>
      <c r="C132" s="176" t="s">
        <v>29</v>
      </c>
      <c r="D132" s="35" t="s">
        <v>3</v>
      </c>
      <c r="E132" s="36">
        <v>50.0</v>
      </c>
      <c r="F132" s="173">
        <f>(E125*E132)</f>
        <v>50</v>
      </c>
      <c r="G132" s="37">
        <v>0.14</v>
      </c>
      <c r="H132" s="38">
        <f t="shared" si="5"/>
        <v>7</v>
      </c>
      <c r="I132" s="32"/>
      <c r="J132" s="32"/>
      <c r="K132" s="31"/>
      <c r="L132" s="31"/>
      <c r="M132" s="31"/>
      <c r="N132" s="32"/>
      <c r="O132" s="32"/>
      <c r="P132" s="174"/>
      <c r="Q132" s="134"/>
    </row>
    <row r="133">
      <c r="A133" s="150"/>
      <c r="B133" s="175" t="s">
        <v>30</v>
      </c>
      <c r="C133" s="176" t="s">
        <v>31</v>
      </c>
      <c r="D133" s="35" t="s">
        <v>3</v>
      </c>
      <c r="E133" s="36">
        <v>1.0</v>
      </c>
      <c r="F133" s="173">
        <f>(E125*E133)</f>
        <v>1</v>
      </c>
      <c r="G133" s="37">
        <v>23.9</v>
      </c>
      <c r="H133" s="38">
        <f t="shared" si="5"/>
        <v>23.9</v>
      </c>
      <c r="I133" s="32"/>
      <c r="J133" s="32"/>
      <c r="K133" s="31"/>
      <c r="L133" s="31"/>
      <c r="M133" s="31"/>
      <c r="N133" s="32"/>
      <c r="O133" s="32"/>
      <c r="P133" s="174"/>
      <c r="Q133" s="134"/>
    </row>
    <row r="134">
      <c r="A134" s="150"/>
      <c r="B134" s="175" t="s">
        <v>32</v>
      </c>
      <c r="C134" s="176" t="s">
        <v>33</v>
      </c>
      <c r="D134" s="35" t="s">
        <v>3</v>
      </c>
      <c r="E134" s="36">
        <v>2.0</v>
      </c>
      <c r="F134" s="173">
        <f>(E125*E134)</f>
        <v>2</v>
      </c>
      <c r="G134" s="37">
        <v>2.5</v>
      </c>
      <c r="H134" s="38">
        <f t="shared" si="5"/>
        <v>5</v>
      </c>
      <c r="I134" s="32"/>
      <c r="J134" s="32"/>
      <c r="K134" s="31"/>
      <c r="L134" s="31"/>
      <c r="M134" s="31"/>
      <c r="N134" s="32"/>
      <c r="O134" s="32"/>
      <c r="P134" s="174"/>
      <c r="Q134" s="134"/>
    </row>
    <row r="135">
      <c r="A135" s="150"/>
      <c r="B135" s="175" t="s">
        <v>34</v>
      </c>
      <c r="C135" s="176" t="s">
        <v>35</v>
      </c>
      <c r="D135" s="35" t="s">
        <v>3</v>
      </c>
      <c r="E135" s="40">
        <v>0.0</v>
      </c>
      <c r="F135" s="173">
        <f>(E125*E135)</f>
        <v>0</v>
      </c>
      <c r="G135" s="37">
        <v>2.0</v>
      </c>
      <c r="H135" s="38">
        <f t="shared" si="5"/>
        <v>0</v>
      </c>
      <c r="I135" s="32"/>
      <c r="J135" s="32"/>
      <c r="K135" s="31"/>
      <c r="L135" s="31"/>
      <c r="M135" s="31"/>
      <c r="N135" s="32"/>
      <c r="O135" s="32"/>
      <c r="P135" s="174"/>
      <c r="Q135" s="134"/>
    </row>
    <row r="136">
      <c r="A136" s="150"/>
      <c r="B136" s="177" t="s">
        <v>36</v>
      </c>
      <c r="C136" s="178" t="s">
        <v>37</v>
      </c>
      <c r="D136" s="43" t="s">
        <v>3</v>
      </c>
      <c r="E136" s="143">
        <v>0.01</v>
      </c>
      <c r="F136" s="173">
        <f>(E125*E136)</f>
        <v>0.01</v>
      </c>
      <c r="G136" s="45">
        <v>12.9</v>
      </c>
      <c r="H136" s="46">
        <f t="shared" si="5"/>
        <v>0.129</v>
      </c>
      <c r="I136" s="48"/>
      <c r="J136" s="48"/>
      <c r="K136" s="47"/>
      <c r="L136" s="47"/>
      <c r="M136" s="47"/>
      <c r="N136" s="48"/>
      <c r="O136" s="32"/>
      <c r="P136" s="179"/>
      <c r="Q136" s="134"/>
    </row>
    <row r="137">
      <c r="A137" s="150"/>
      <c r="B137" s="209" t="s">
        <v>114</v>
      </c>
      <c r="C137" s="162" t="s">
        <v>115</v>
      </c>
      <c r="D137" s="163" t="s">
        <v>14</v>
      </c>
      <c r="E137" s="164">
        <v>1.0</v>
      </c>
      <c r="F137" s="165" t="s">
        <v>90</v>
      </c>
      <c r="G137" s="166">
        <v>194.56</v>
      </c>
      <c r="H137" s="167">
        <f t="shared" si="5"/>
        <v>194.56</v>
      </c>
      <c r="I137" s="168">
        <f>SUM(H138:H148)</f>
        <v>160.479</v>
      </c>
      <c r="J137" s="197">
        <v>0.25</v>
      </c>
      <c r="K137" s="21">
        <v>2.09824</v>
      </c>
      <c r="L137" s="22">
        <f>SUM(H137:H148)</f>
        <v>355.039</v>
      </c>
      <c r="M137" s="22">
        <f>SUM(K137*L137)</f>
        <v>744.9570314</v>
      </c>
      <c r="N137" s="23">
        <f>SUM(L137+M137)</f>
        <v>1099.996031</v>
      </c>
      <c r="O137" s="48"/>
      <c r="P137" s="170">
        <f>SUM(N137-L137)</f>
        <v>744.9570314</v>
      </c>
      <c r="Q137" s="134"/>
    </row>
    <row r="138">
      <c r="A138" s="150"/>
      <c r="B138" s="171" t="s">
        <v>15</v>
      </c>
      <c r="C138" s="172" t="s">
        <v>16</v>
      </c>
      <c r="D138" s="27" t="s">
        <v>3</v>
      </c>
      <c r="E138" s="28">
        <v>0.0</v>
      </c>
      <c r="F138" s="173">
        <f t="shared" ref="F138:F139" si="9">(E137*E138)</f>
        <v>0</v>
      </c>
      <c r="G138" s="29">
        <v>2.59</v>
      </c>
      <c r="H138" s="30">
        <f t="shared" si="5"/>
        <v>0</v>
      </c>
      <c r="I138" s="32"/>
      <c r="J138" s="32"/>
      <c r="K138" s="31"/>
      <c r="L138" s="31"/>
      <c r="M138" s="31"/>
      <c r="N138" s="32"/>
      <c r="O138" s="24" t="str">
        <f>IFERROR(M138/N138,"")</f>
        <v/>
      </c>
      <c r="P138" s="174"/>
      <c r="Q138" s="134"/>
    </row>
    <row r="139">
      <c r="A139" s="150"/>
      <c r="B139" s="175" t="s">
        <v>17</v>
      </c>
      <c r="C139" s="176" t="s">
        <v>18</v>
      </c>
      <c r="D139" s="35" t="s">
        <v>19</v>
      </c>
      <c r="E139" s="36">
        <v>4.0</v>
      </c>
      <c r="F139" s="173">
        <f t="shared" si="9"/>
        <v>0</v>
      </c>
      <c r="G139" s="37">
        <v>13.6</v>
      </c>
      <c r="H139" s="38">
        <f t="shared" si="5"/>
        <v>54.4</v>
      </c>
      <c r="I139" s="32"/>
      <c r="J139" s="32"/>
      <c r="K139" s="31"/>
      <c r="L139" s="31"/>
      <c r="M139" s="31"/>
      <c r="N139" s="32"/>
      <c r="O139" s="32"/>
      <c r="P139" s="174"/>
      <c r="Q139" s="134"/>
    </row>
    <row r="140">
      <c r="A140" s="150"/>
      <c r="B140" s="175" t="s">
        <v>20</v>
      </c>
      <c r="C140" s="176" t="s">
        <v>21</v>
      </c>
      <c r="D140" s="35" t="s">
        <v>3</v>
      </c>
      <c r="E140" s="36">
        <v>10.0</v>
      </c>
      <c r="F140" s="173">
        <f>(E137*E140)</f>
        <v>10</v>
      </c>
      <c r="G140" s="37">
        <v>0.19</v>
      </c>
      <c r="H140" s="38">
        <f t="shared" si="5"/>
        <v>1.9</v>
      </c>
      <c r="I140" s="32"/>
      <c r="J140" s="32"/>
      <c r="K140" s="31"/>
      <c r="L140" s="31"/>
      <c r="M140" s="31"/>
      <c r="N140" s="32"/>
      <c r="O140" s="32"/>
      <c r="P140" s="174"/>
      <c r="Q140" s="134"/>
    </row>
    <row r="141">
      <c r="A141" s="150"/>
      <c r="B141" s="175" t="s">
        <v>22</v>
      </c>
      <c r="C141" s="176" t="s">
        <v>23</v>
      </c>
      <c r="D141" s="35" t="s">
        <v>3</v>
      </c>
      <c r="E141" s="36">
        <v>10.0</v>
      </c>
      <c r="F141" s="173">
        <f>(E137*E141)</f>
        <v>10</v>
      </c>
      <c r="G141" s="37">
        <v>0.3</v>
      </c>
      <c r="H141" s="38">
        <f t="shared" si="5"/>
        <v>3</v>
      </c>
      <c r="I141" s="32"/>
      <c r="J141" s="32"/>
      <c r="K141" s="31"/>
      <c r="L141" s="31"/>
      <c r="M141" s="31"/>
      <c r="N141" s="32"/>
      <c r="O141" s="32"/>
      <c r="P141" s="174"/>
      <c r="Q141" s="134"/>
    </row>
    <row r="142">
      <c r="A142" s="150"/>
      <c r="B142" s="175" t="s">
        <v>24</v>
      </c>
      <c r="C142" s="176" t="s">
        <v>25</v>
      </c>
      <c r="D142" s="35" t="s">
        <v>3</v>
      </c>
      <c r="E142" s="36">
        <v>1.0</v>
      </c>
      <c r="F142" s="173">
        <f>(E137*E142)</f>
        <v>1</v>
      </c>
      <c r="G142" s="37">
        <v>0.15</v>
      </c>
      <c r="H142" s="38">
        <f t="shared" si="5"/>
        <v>0.15</v>
      </c>
      <c r="I142" s="32"/>
      <c r="J142" s="32"/>
      <c r="K142" s="31"/>
      <c r="L142" s="31"/>
      <c r="M142" s="31"/>
      <c r="N142" s="32"/>
      <c r="O142" s="32"/>
      <c r="P142" s="174"/>
      <c r="Q142" s="134"/>
    </row>
    <row r="143">
      <c r="A143" s="150"/>
      <c r="B143" s="175" t="s">
        <v>26</v>
      </c>
      <c r="C143" s="176" t="s">
        <v>27</v>
      </c>
      <c r="D143" s="35" t="s">
        <v>3</v>
      </c>
      <c r="E143" s="36">
        <v>50.0</v>
      </c>
      <c r="F143" s="173">
        <f>(E137*E143)</f>
        <v>50</v>
      </c>
      <c r="G143" s="37">
        <v>1.3</v>
      </c>
      <c r="H143" s="38">
        <f t="shared" si="5"/>
        <v>65</v>
      </c>
      <c r="I143" s="32"/>
      <c r="J143" s="32"/>
      <c r="K143" s="31"/>
      <c r="L143" s="31"/>
      <c r="M143" s="31"/>
      <c r="N143" s="32"/>
      <c r="O143" s="32"/>
      <c r="P143" s="174"/>
      <c r="Q143" s="134"/>
    </row>
    <row r="144">
      <c r="A144" s="150"/>
      <c r="B144" s="175" t="s">
        <v>28</v>
      </c>
      <c r="C144" s="176" t="s">
        <v>29</v>
      </c>
      <c r="D144" s="35" t="s">
        <v>3</v>
      </c>
      <c r="E144" s="36">
        <v>50.0</v>
      </c>
      <c r="F144" s="173">
        <f>(E137*E144)</f>
        <v>50</v>
      </c>
      <c r="G144" s="37">
        <v>0.14</v>
      </c>
      <c r="H144" s="38">
        <f t="shared" si="5"/>
        <v>7</v>
      </c>
      <c r="I144" s="32"/>
      <c r="J144" s="32"/>
      <c r="K144" s="31"/>
      <c r="L144" s="31"/>
      <c r="M144" s="31"/>
      <c r="N144" s="32"/>
      <c r="O144" s="32"/>
      <c r="P144" s="174"/>
      <c r="Q144" s="134"/>
    </row>
    <row r="145">
      <c r="A145" s="150"/>
      <c r="B145" s="175" t="s">
        <v>30</v>
      </c>
      <c r="C145" s="176" t="s">
        <v>31</v>
      </c>
      <c r="D145" s="35" t="s">
        <v>3</v>
      </c>
      <c r="E145" s="36">
        <v>1.0</v>
      </c>
      <c r="F145" s="173">
        <f>(E137*E145)</f>
        <v>1</v>
      </c>
      <c r="G145" s="37">
        <v>23.9</v>
      </c>
      <c r="H145" s="38">
        <f t="shared" si="5"/>
        <v>23.9</v>
      </c>
      <c r="I145" s="32"/>
      <c r="J145" s="32"/>
      <c r="K145" s="31"/>
      <c r="L145" s="31"/>
      <c r="M145" s="31"/>
      <c r="N145" s="32"/>
      <c r="O145" s="32"/>
      <c r="P145" s="174"/>
      <c r="Q145" s="134"/>
    </row>
    <row r="146">
      <c r="A146" s="150"/>
      <c r="B146" s="175" t="s">
        <v>32</v>
      </c>
      <c r="C146" s="176" t="s">
        <v>33</v>
      </c>
      <c r="D146" s="35" t="s">
        <v>3</v>
      </c>
      <c r="E146" s="36">
        <v>2.0</v>
      </c>
      <c r="F146" s="173">
        <f>(E137*E146)</f>
        <v>2</v>
      </c>
      <c r="G146" s="37">
        <v>2.5</v>
      </c>
      <c r="H146" s="38">
        <f t="shared" si="5"/>
        <v>5</v>
      </c>
      <c r="I146" s="32"/>
      <c r="J146" s="32"/>
      <c r="K146" s="31"/>
      <c r="L146" s="31"/>
      <c r="M146" s="31"/>
      <c r="N146" s="32"/>
      <c r="O146" s="32"/>
      <c r="P146" s="174"/>
      <c r="Q146" s="134"/>
    </row>
    <row r="147">
      <c r="A147" s="150"/>
      <c r="B147" s="175" t="s">
        <v>34</v>
      </c>
      <c r="C147" s="176" t="s">
        <v>35</v>
      </c>
      <c r="D147" s="35" t="s">
        <v>3</v>
      </c>
      <c r="E147" s="40">
        <v>0.0</v>
      </c>
      <c r="F147" s="173">
        <f>(E137*E147)</f>
        <v>0</v>
      </c>
      <c r="G147" s="37">
        <v>2.0</v>
      </c>
      <c r="H147" s="38">
        <f t="shared" si="5"/>
        <v>0</v>
      </c>
      <c r="I147" s="32"/>
      <c r="J147" s="32"/>
      <c r="K147" s="31"/>
      <c r="L147" s="31"/>
      <c r="M147" s="31"/>
      <c r="N147" s="32"/>
      <c r="O147" s="32"/>
      <c r="P147" s="174"/>
      <c r="Q147" s="134"/>
    </row>
    <row r="148">
      <c r="A148" s="150"/>
      <c r="B148" s="177" t="s">
        <v>36</v>
      </c>
      <c r="C148" s="178" t="s">
        <v>37</v>
      </c>
      <c r="D148" s="43" t="s">
        <v>3</v>
      </c>
      <c r="E148" s="143">
        <v>0.01</v>
      </c>
      <c r="F148" s="173">
        <f>(E137*E148)</f>
        <v>0.01</v>
      </c>
      <c r="G148" s="45">
        <v>12.9</v>
      </c>
      <c r="H148" s="46">
        <f t="shared" si="5"/>
        <v>0.129</v>
      </c>
      <c r="I148" s="48"/>
      <c r="J148" s="48"/>
      <c r="K148" s="47"/>
      <c r="L148" s="47"/>
      <c r="M148" s="47"/>
      <c r="N148" s="48"/>
      <c r="O148" s="48"/>
      <c r="P148" s="179"/>
      <c r="Q148" s="134"/>
    </row>
    <row r="149">
      <c r="A149" s="150"/>
      <c r="B149" s="161"/>
      <c r="C149" s="162"/>
      <c r="D149" s="163" t="s">
        <v>14</v>
      </c>
      <c r="E149" s="164">
        <v>1.0</v>
      </c>
      <c r="F149" s="165" t="s">
        <v>90</v>
      </c>
      <c r="G149" s="166">
        <v>194.56</v>
      </c>
      <c r="H149" s="167">
        <f t="shared" si="5"/>
        <v>194.56</v>
      </c>
      <c r="I149" s="168">
        <f>SUM(H150:H160)</f>
        <v>106.079</v>
      </c>
      <c r="J149" s="197">
        <v>0.25</v>
      </c>
      <c r="K149" s="21">
        <v>2.09824</v>
      </c>
      <c r="L149" s="22">
        <f>SUM(H149:H160)</f>
        <v>300.639</v>
      </c>
      <c r="M149" s="22">
        <f>SUM(K149*L149)</f>
        <v>630.8127754</v>
      </c>
      <c r="N149" s="23">
        <f>SUM(L149+M149)</f>
        <v>931.4517754</v>
      </c>
      <c r="O149" s="24">
        <f>IFERROR(M149/N149,"")</f>
        <v>0.6772361082</v>
      </c>
      <c r="P149" s="170">
        <f>SUM(N149-L149)</f>
        <v>630.8127754</v>
      </c>
      <c r="Q149" s="134"/>
    </row>
    <row r="150">
      <c r="A150" s="150"/>
      <c r="B150" s="171" t="s">
        <v>15</v>
      </c>
      <c r="C150" s="172" t="s">
        <v>16</v>
      </c>
      <c r="D150" s="27" t="s">
        <v>3</v>
      </c>
      <c r="E150" s="28">
        <v>0.0</v>
      </c>
      <c r="F150" s="173">
        <f t="shared" ref="F150:F151" si="10">(E149*E150)</f>
        <v>0</v>
      </c>
      <c r="G150" s="29">
        <v>2.59</v>
      </c>
      <c r="H150" s="30">
        <f t="shared" ref="H150:H160" si="11">SUM(F150*G150)</f>
        <v>0</v>
      </c>
      <c r="I150" s="32"/>
      <c r="J150" s="32"/>
      <c r="K150" s="31"/>
      <c r="L150" s="31"/>
      <c r="M150" s="31"/>
      <c r="N150" s="32"/>
      <c r="O150" s="32"/>
      <c r="P150" s="174"/>
      <c r="Q150" s="134"/>
    </row>
    <row r="151">
      <c r="A151" s="150"/>
      <c r="B151" s="175" t="s">
        <v>17</v>
      </c>
      <c r="C151" s="176" t="s">
        <v>18</v>
      </c>
      <c r="D151" s="35" t="s">
        <v>19</v>
      </c>
      <c r="E151" s="36">
        <v>4.0</v>
      </c>
      <c r="F151" s="173">
        <f t="shared" si="10"/>
        <v>0</v>
      </c>
      <c r="G151" s="37">
        <v>13.6</v>
      </c>
      <c r="H151" s="30">
        <f t="shared" si="11"/>
        <v>0</v>
      </c>
      <c r="I151" s="32"/>
      <c r="J151" s="32"/>
      <c r="K151" s="31"/>
      <c r="L151" s="31"/>
      <c r="M151" s="31"/>
      <c r="N151" s="32"/>
      <c r="O151" s="32"/>
      <c r="P151" s="174"/>
      <c r="Q151" s="134"/>
    </row>
    <row r="152">
      <c r="A152" s="150"/>
      <c r="B152" s="175" t="s">
        <v>20</v>
      </c>
      <c r="C152" s="176" t="s">
        <v>21</v>
      </c>
      <c r="D152" s="35" t="s">
        <v>3</v>
      </c>
      <c r="E152" s="36">
        <v>10.0</v>
      </c>
      <c r="F152" s="173">
        <f>(E149*E152)</f>
        <v>10</v>
      </c>
      <c r="G152" s="37">
        <v>0.19</v>
      </c>
      <c r="H152" s="30">
        <f t="shared" si="11"/>
        <v>1.9</v>
      </c>
      <c r="I152" s="32"/>
      <c r="J152" s="32"/>
      <c r="K152" s="31"/>
      <c r="L152" s="31"/>
      <c r="M152" s="31"/>
      <c r="N152" s="32"/>
      <c r="O152" s="32"/>
      <c r="P152" s="174"/>
      <c r="Q152" s="134"/>
    </row>
    <row r="153">
      <c r="A153" s="150"/>
      <c r="B153" s="175" t="s">
        <v>22</v>
      </c>
      <c r="C153" s="176" t="s">
        <v>23</v>
      </c>
      <c r="D153" s="35" t="s">
        <v>3</v>
      </c>
      <c r="E153" s="36">
        <v>10.0</v>
      </c>
      <c r="F153" s="173">
        <f>(E149*E153)</f>
        <v>10</v>
      </c>
      <c r="G153" s="37">
        <v>0.3</v>
      </c>
      <c r="H153" s="30">
        <f t="shared" si="11"/>
        <v>3</v>
      </c>
      <c r="I153" s="32"/>
      <c r="J153" s="32"/>
      <c r="K153" s="31"/>
      <c r="L153" s="31"/>
      <c r="M153" s="31"/>
      <c r="N153" s="32"/>
      <c r="O153" s="32"/>
      <c r="P153" s="174"/>
      <c r="Q153" s="134"/>
    </row>
    <row r="154">
      <c r="A154" s="150"/>
      <c r="B154" s="175" t="s">
        <v>24</v>
      </c>
      <c r="C154" s="176" t="s">
        <v>25</v>
      </c>
      <c r="D154" s="35" t="s">
        <v>3</v>
      </c>
      <c r="E154" s="36">
        <v>1.0</v>
      </c>
      <c r="F154" s="173">
        <f>(E149*E154)</f>
        <v>1</v>
      </c>
      <c r="G154" s="37">
        <v>0.15</v>
      </c>
      <c r="H154" s="30">
        <f t="shared" si="11"/>
        <v>0.15</v>
      </c>
      <c r="I154" s="32"/>
      <c r="J154" s="32"/>
      <c r="K154" s="31"/>
      <c r="L154" s="31"/>
      <c r="M154" s="31"/>
      <c r="N154" s="32"/>
      <c r="O154" s="32"/>
      <c r="P154" s="174"/>
      <c r="Q154" s="134"/>
    </row>
    <row r="155">
      <c r="A155" s="150"/>
      <c r="B155" s="175" t="s">
        <v>26</v>
      </c>
      <c r="C155" s="176" t="s">
        <v>27</v>
      </c>
      <c r="D155" s="35" t="s">
        <v>3</v>
      </c>
      <c r="E155" s="36">
        <v>50.0</v>
      </c>
      <c r="F155" s="173">
        <f>(E149*E155)</f>
        <v>50</v>
      </c>
      <c r="G155" s="37">
        <v>1.3</v>
      </c>
      <c r="H155" s="30">
        <f t="shared" si="11"/>
        <v>65</v>
      </c>
      <c r="I155" s="32"/>
      <c r="J155" s="32"/>
      <c r="K155" s="31"/>
      <c r="L155" s="31"/>
      <c r="M155" s="31"/>
      <c r="N155" s="32"/>
      <c r="O155" s="32"/>
      <c r="P155" s="174"/>
      <c r="Q155" s="134"/>
    </row>
    <row r="156">
      <c r="A156" s="150"/>
      <c r="B156" s="175" t="s">
        <v>28</v>
      </c>
      <c r="C156" s="176" t="s">
        <v>29</v>
      </c>
      <c r="D156" s="35" t="s">
        <v>3</v>
      </c>
      <c r="E156" s="36">
        <v>50.0</v>
      </c>
      <c r="F156" s="173">
        <f>(E149*E156)</f>
        <v>50</v>
      </c>
      <c r="G156" s="37">
        <v>0.14</v>
      </c>
      <c r="H156" s="30">
        <f t="shared" si="11"/>
        <v>7</v>
      </c>
      <c r="I156" s="32"/>
      <c r="J156" s="32"/>
      <c r="K156" s="31"/>
      <c r="L156" s="31"/>
      <c r="M156" s="31"/>
      <c r="N156" s="32"/>
      <c r="O156" s="32"/>
      <c r="P156" s="174"/>
      <c r="Q156" s="134"/>
    </row>
    <row r="157">
      <c r="A157" s="150"/>
      <c r="B157" s="175" t="s">
        <v>30</v>
      </c>
      <c r="C157" s="176" t="s">
        <v>31</v>
      </c>
      <c r="D157" s="35" t="s">
        <v>3</v>
      </c>
      <c r="E157" s="36">
        <v>1.0</v>
      </c>
      <c r="F157" s="173">
        <f>(E149*E157)</f>
        <v>1</v>
      </c>
      <c r="G157" s="37">
        <v>23.9</v>
      </c>
      <c r="H157" s="30">
        <f t="shared" si="11"/>
        <v>23.9</v>
      </c>
      <c r="I157" s="32"/>
      <c r="J157" s="32"/>
      <c r="K157" s="31"/>
      <c r="L157" s="31"/>
      <c r="M157" s="31"/>
      <c r="N157" s="32"/>
      <c r="O157" s="32"/>
      <c r="P157" s="174"/>
      <c r="Q157" s="134"/>
    </row>
    <row r="158">
      <c r="A158" s="150"/>
      <c r="B158" s="175" t="s">
        <v>32</v>
      </c>
      <c r="C158" s="176" t="s">
        <v>33</v>
      </c>
      <c r="D158" s="35" t="s">
        <v>3</v>
      </c>
      <c r="E158" s="36">
        <v>2.0</v>
      </c>
      <c r="F158" s="173">
        <f>(E149*E158)</f>
        <v>2</v>
      </c>
      <c r="G158" s="37">
        <v>2.5</v>
      </c>
      <c r="H158" s="30">
        <f t="shared" si="11"/>
        <v>5</v>
      </c>
      <c r="I158" s="32"/>
      <c r="J158" s="32"/>
      <c r="K158" s="31"/>
      <c r="L158" s="31"/>
      <c r="M158" s="31"/>
      <c r="N158" s="32"/>
      <c r="O158" s="32"/>
      <c r="P158" s="174"/>
      <c r="Q158" s="134"/>
    </row>
    <row r="159">
      <c r="A159" s="150"/>
      <c r="B159" s="175" t="s">
        <v>34</v>
      </c>
      <c r="C159" s="176" t="s">
        <v>35</v>
      </c>
      <c r="D159" s="35" t="s">
        <v>3</v>
      </c>
      <c r="E159" s="40">
        <v>0.0</v>
      </c>
      <c r="F159" s="173">
        <f>(E149*E159)</f>
        <v>0</v>
      </c>
      <c r="G159" s="37">
        <v>2.0</v>
      </c>
      <c r="H159" s="30">
        <f t="shared" si="11"/>
        <v>0</v>
      </c>
      <c r="I159" s="32"/>
      <c r="J159" s="32"/>
      <c r="K159" s="31"/>
      <c r="L159" s="31"/>
      <c r="M159" s="31"/>
      <c r="N159" s="32"/>
      <c r="O159" s="32"/>
      <c r="P159" s="174"/>
      <c r="Q159" s="134"/>
    </row>
    <row r="160">
      <c r="A160" s="150"/>
      <c r="B160" s="177" t="s">
        <v>36</v>
      </c>
      <c r="C160" s="178" t="s">
        <v>37</v>
      </c>
      <c r="D160" s="43" t="s">
        <v>3</v>
      </c>
      <c r="E160" s="143">
        <v>0.01</v>
      </c>
      <c r="F160" s="173">
        <f>(E149*E160)</f>
        <v>0.01</v>
      </c>
      <c r="G160" s="45">
        <v>12.9</v>
      </c>
      <c r="H160" s="30">
        <f t="shared" si="11"/>
        <v>0.129</v>
      </c>
      <c r="I160" s="48"/>
      <c r="J160" s="48"/>
      <c r="K160" s="47"/>
      <c r="L160" s="47"/>
      <c r="M160" s="47"/>
      <c r="N160" s="48"/>
      <c r="O160" s="48"/>
      <c r="P160" s="179"/>
      <c r="Q160" s="134"/>
    </row>
    <row r="161">
      <c r="A161" s="150"/>
      <c r="B161" s="161"/>
      <c r="C161" s="162"/>
      <c r="D161" s="163" t="s">
        <v>14</v>
      </c>
      <c r="E161" s="164">
        <v>1.0</v>
      </c>
      <c r="F161" s="165" t="s">
        <v>90</v>
      </c>
      <c r="G161" s="166">
        <v>194.56</v>
      </c>
      <c r="H161" s="167">
        <f>SUM(E161*G161)</f>
        <v>194.56</v>
      </c>
      <c r="I161" s="168">
        <f>SUM(H162:H172)</f>
        <v>106.079</v>
      </c>
      <c r="J161" s="169">
        <v>0.25</v>
      </c>
      <c r="K161" s="21">
        <v>2.09824</v>
      </c>
      <c r="L161" s="22">
        <f>SUM(H161:H172)</f>
        <v>300.639</v>
      </c>
      <c r="M161" s="22">
        <f>SUM(K161*L161)</f>
        <v>630.8127754</v>
      </c>
      <c r="N161" s="23">
        <f>SUM(L161+M161)</f>
        <v>931.4517754</v>
      </c>
      <c r="O161" s="24">
        <f>IFERROR(M161/N161,"")</f>
        <v>0.6772361082</v>
      </c>
      <c r="P161" s="170">
        <f>SUM(N161-L161)</f>
        <v>630.8127754</v>
      </c>
      <c r="Q161" s="134"/>
    </row>
    <row r="162">
      <c r="A162" s="150"/>
      <c r="B162" s="171" t="s">
        <v>15</v>
      </c>
      <c r="C162" s="172" t="s">
        <v>16</v>
      </c>
      <c r="D162" s="27" t="s">
        <v>3</v>
      </c>
      <c r="E162" s="28">
        <v>0.0</v>
      </c>
      <c r="F162" s="173">
        <f t="shared" ref="F162:F163" si="12">(E161*E162)</f>
        <v>0</v>
      </c>
      <c r="G162" s="29">
        <v>2.59</v>
      </c>
      <c r="H162" s="30">
        <f t="shared" ref="H162:H172" si="13">SUM(F162*G162)</f>
        <v>0</v>
      </c>
      <c r="I162" s="32"/>
      <c r="J162" s="32"/>
      <c r="K162" s="31"/>
      <c r="L162" s="31"/>
      <c r="M162" s="31"/>
      <c r="N162" s="32"/>
      <c r="O162" s="32"/>
      <c r="P162" s="174"/>
      <c r="Q162" s="134"/>
    </row>
    <row r="163">
      <c r="A163" s="150"/>
      <c r="B163" s="175" t="s">
        <v>17</v>
      </c>
      <c r="C163" s="176" t="s">
        <v>18</v>
      </c>
      <c r="D163" s="35" t="s">
        <v>19</v>
      </c>
      <c r="E163" s="36">
        <v>4.0</v>
      </c>
      <c r="F163" s="173">
        <f t="shared" si="12"/>
        <v>0</v>
      </c>
      <c r="G163" s="37">
        <v>13.6</v>
      </c>
      <c r="H163" s="30">
        <f t="shared" si="13"/>
        <v>0</v>
      </c>
      <c r="I163" s="32"/>
      <c r="J163" s="32"/>
      <c r="K163" s="31"/>
      <c r="L163" s="31"/>
      <c r="M163" s="31"/>
      <c r="N163" s="32"/>
      <c r="O163" s="32"/>
      <c r="P163" s="174"/>
      <c r="Q163" s="134"/>
    </row>
    <row r="164">
      <c r="A164" s="150"/>
      <c r="B164" s="175" t="s">
        <v>20</v>
      </c>
      <c r="C164" s="176" t="s">
        <v>21</v>
      </c>
      <c r="D164" s="35" t="s">
        <v>3</v>
      </c>
      <c r="E164" s="36">
        <v>10.0</v>
      </c>
      <c r="F164" s="173">
        <f>(E161*E164)</f>
        <v>10</v>
      </c>
      <c r="G164" s="37">
        <v>0.19</v>
      </c>
      <c r="H164" s="30">
        <f t="shared" si="13"/>
        <v>1.9</v>
      </c>
      <c r="I164" s="32"/>
      <c r="J164" s="32"/>
      <c r="K164" s="31"/>
      <c r="L164" s="31"/>
      <c r="M164" s="31"/>
      <c r="N164" s="32"/>
      <c r="O164" s="32"/>
      <c r="P164" s="174"/>
      <c r="Q164" s="134"/>
    </row>
    <row r="165">
      <c r="A165" s="150"/>
      <c r="B165" s="175" t="s">
        <v>22</v>
      </c>
      <c r="C165" s="176" t="s">
        <v>23</v>
      </c>
      <c r="D165" s="35" t="s">
        <v>3</v>
      </c>
      <c r="E165" s="36">
        <v>10.0</v>
      </c>
      <c r="F165" s="173">
        <f>(E161*E165)</f>
        <v>10</v>
      </c>
      <c r="G165" s="37">
        <v>0.3</v>
      </c>
      <c r="H165" s="30">
        <f t="shared" si="13"/>
        <v>3</v>
      </c>
      <c r="I165" s="32"/>
      <c r="J165" s="32"/>
      <c r="K165" s="31"/>
      <c r="L165" s="31"/>
      <c r="M165" s="31"/>
      <c r="N165" s="32"/>
      <c r="O165" s="32"/>
      <c r="P165" s="174"/>
      <c r="Q165" s="134"/>
    </row>
    <row r="166">
      <c r="A166" s="150"/>
      <c r="B166" s="175" t="s">
        <v>24</v>
      </c>
      <c r="C166" s="176" t="s">
        <v>25</v>
      </c>
      <c r="D166" s="35" t="s">
        <v>3</v>
      </c>
      <c r="E166" s="36">
        <v>1.0</v>
      </c>
      <c r="F166" s="173">
        <f>(E161*E166)</f>
        <v>1</v>
      </c>
      <c r="G166" s="37">
        <v>0.15</v>
      </c>
      <c r="H166" s="30">
        <f t="shared" si="13"/>
        <v>0.15</v>
      </c>
      <c r="I166" s="32"/>
      <c r="J166" s="32"/>
      <c r="K166" s="31"/>
      <c r="L166" s="31"/>
      <c r="M166" s="31"/>
      <c r="N166" s="32"/>
      <c r="O166" s="32"/>
      <c r="P166" s="174"/>
      <c r="Q166" s="134"/>
    </row>
    <row r="167">
      <c r="A167" s="150"/>
      <c r="B167" s="175" t="s">
        <v>26</v>
      </c>
      <c r="C167" s="176" t="s">
        <v>27</v>
      </c>
      <c r="D167" s="35" t="s">
        <v>3</v>
      </c>
      <c r="E167" s="36">
        <v>50.0</v>
      </c>
      <c r="F167" s="173">
        <f>(E161*E167)</f>
        <v>50</v>
      </c>
      <c r="G167" s="37">
        <v>1.3</v>
      </c>
      <c r="H167" s="30">
        <f t="shared" si="13"/>
        <v>65</v>
      </c>
      <c r="I167" s="32"/>
      <c r="J167" s="32"/>
      <c r="K167" s="31"/>
      <c r="L167" s="31"/>
      <c r="M167" s="31"/>
      <c r="N167" s="32"/>
      <c r="O167" s="32"/>
      <c r="P167" s="174"/>
      <c r="Q167" s="134"/>
    </row>
    <row r="168">
      <c r="A168" s="150"/>
      <c r="B168" s="175" t="s">
        <v>28</v>
      </c>
      <c r="C168" s="176" t="s">
        <v>29</v>
      </c>
      <c r="D168" s="35" t="s">
        <v>3</v>
      </c>
      <c r="E168" s="36">
        <v>50.0</v>
      </c>
      <c r="F168" s="173">
        <f>(E161*E168)</f>
        <v>50</v>
      </c>
      <c r="G168" s="37">
        <v>0.14</v>
      </c>
      <c r="H168" s="30">
        <f t="shared" si="13"/>
        <v>7</v>
      </c>
      <c r="I168" s="32"/>
      <c r="J168" s="32"/>
      <c r="K168" s="31"/>
      <c r="L168" s="31"/>
      <c r="M168" s="31"/>
      <c r="N168" s="32"/>
      <c r="O168" s="32"/>
      <c r="P168" s="174"/>
      <c r="Q168" s="134"/>
    </row>
    <row r="169">
      <c r="A169" s="150"/>
      <c r="B169" s="175" t="s">
        <v>30</v>
      </c>
      <c r="C169" s="176" t="s">
        <v>31</v>
      </c>
      <c r="D169" s="35" t="s">
        <v>3</v>
      </c>
      <c r="E169" s="36">
        <v>1.0</v>
      </c>
      <c r="F169" s="173">
        <f>(E161*E169)</f>
        <v>1</v>
      </c>
      <c r="G169" s="37">
        <v>23.9</v>
      </c>
      <c r="H169" s="30">
        <f t="shared" si="13"/>
        <v>23.9</v>
      </c>
      <c r="I169" s="32"/>
      <c r="J169" s="32"/>
      <c r="K169" s="31"/>
      <c r="L169" s="31"/>
      <c r="M169" s="31"/>
      <c r="N169" s="32"/>
      <c r="O169" s="32"/>
      <c r="P169" s="174"/>
      <c r="Q169" s="134"/>
    </row>
    <row r="170">
      <c r="A170" s="150"/>
      <c r="B170" s="175" t="s">
        <v>32</v>
      </c>
      <c r="C170" s="176" t="s">
        <v>33</v>
      </c>
      <c r="D170" s="35" t="s">
        <v>3</v>
      </c>
      <c r="E170" s="36">
        <v>2.0</v>
      </c>
      <c r="F170" s="173">
        <f>(E161*E170)</f>
        <v>2</v>
      </c>
      <c r="G170" s="37">
        <v>2.5</v>
      </c>
      <c r="H170" s="30">
        <f t="shared" si="13"/>
        <v>5</v>
      </c>
      <c r="I170" s="32"/>
      <c r="J170" s="32"/>
      <c r="K170" s="31"/>
      <c r="L170" s="31"/>
      <c r="M170" s="31"/>
      <c r="N170" s="32"/>
      <c r="O170" s="32"/>
      <c r="P170" s="174"/>
      <c r="Q170" s="134"/>
    </row>
    <row r="171">
      <c r="A171" s="150"/>
      <c r="B171" s="175" t="s">
        <v>34</v>
      </c>
      <c r="C171" s="176" t="s">
        <v>35</v>
      </c>
      <c r="D171" s="35" t="s">
        <v>3</v>
      </c>
      <c r="E171" s="40">
        <v>0.0</v>
      </c>
      <c r="F171" s="173">
        <f>(E161*E171)</f>
        <v>0</v>
      </c>
      <c r="G171" s="37">
        <v>2.0</v>
      </c>
      <c r="H171" s="30">
        <f t="shared" si="13"/>
        <v>0</v>
      </c>
      <c r="I171" s="32"/>
      <c r="J171" s="32"/>
      <c r="K171" s="31"/>
      <c r="L171" s="31"/>
      <c r="M171" s="31"/>
      <c r="N171" s="32"/>
      <c r="O171" s="32"/>
      <c r="P171" s="174"/>
      <c r="Q171" s="134"/>
    </row>
    <row r="172">
      <c r="A172" s="150"/>
      <c r="B172" s="177" t="s">
        <v>36</v>
      </c>
      <c r="C172" s="178" t="s">
        <v>37</v>
      </c>
      <c r="D172" s="43" t="s">
        <v>3</v>
      </c>
      <c r="E172" s="143">
        <v>0.01</v>
      </c>
      <c r="F172" s="173">
        <f>(E161*E172)</f>
        <v>0.01</v>
      </c>
      <c r="G172" s="45">
        <v>12.9</v>
      </c>
      <c r="H172" s="30">
        <f t="shared" si="13"/>
        <v>0.129</v>
      </c>
      <c r="I172" s="48"/>
      <c r="J172" s="48"/>
      <c r="K172" s="47"/>
      <c r="L172" s="47"/>
      <c r="M172" s="47"/>
      <c r="N172" s="48"/>
      <c r="O172" s="48"/>
      <c r="P172" s="179"/>
      <c r="Q172" s="134"/>
    </row>
  </sheetData>
  <autoFilter ref="$B$3:$N$100"/>
  <mergeCells count="112">
    <mergeCell ref="J41:J52"/>
    <mergeCell ref="K41:K52"/>
    <mergeCell ref="L41:L52"/>
    <mergeCell ref="M41:M52"/>
    <mergeCell ref="N41:N52"/>
    <mergeCell ref="O41:O52"/>
    <mergeCell ref="P41:P52"/>
    <mergeCell ref="I41:I52"/>
    <mergeCell ref="I53:I64"/>
    <mergeCell ref="J53:J64"/>
    <mergeCell ref="K53:K64"/>
    <mergeCell ref="L53:L64"/>
    <mergeCell ref="M53:M64"/>
    <mergeCell ref="N53:N64"/>
    <mergeCell ref="J65:J76"/>
    <mergeCell ref="K65:K76"/>
    <mergeCell ref="L65:L76"/>
    <mergeCell ref="M65:M76"/>
    <mergeCell ref="N65:N76"/>
    <mergeCell ref="O65:O76"/>
    <mergeCell ref="P65:P76"/>
    <mergeCell ref="I65:I76"/>
    <mergeCell ref="J77:J88"/>
    <mergeCell ref="K77:K88"/>
    <mergeCell ref="L77:L88"/>
    <mergeCell ref="M77:M88"/>
    <mergeCell ref="N77:N88"/>
    <mergeCell ref="O77:O88"/>
    <mergeCell ref="I77:I88"/>
    <mergeCell ref="J89:J100"/>
    <mergeCell ref="K89:K99"/>
    <mergeCell ref="L89:L99"/>
    <mergeCell ref="M89:M99"/>
    <mergeCell ref="N89:N99"/>
    <mergeCell ref="O89:O101"/>
    <mergeCell ref="I89:I100"/>
    <mergeCell ref="J101:J112"/>
    <mergeCell ref="K101:K112"/>
    <mergeCell ref="L101:L112"/>
    <mergeCell ref="M101:M112"/>
    <mergeCell ref="N101:N112"/>
    <mergeCell ref="O102:O113"/>
    <mergeCell ref="P113:P124"/>
    <mergeCell ref="O114:O125"/>
    <mergeCell ref="P125:P136"/>
    <mergeCell ref="O126:O137"/>
    <mergeCell ref="P137:P148"/>
    <mergeCell ref="O138:O148"/>
    <mergeCell ref="I101:I112"/>
    <mergeCell ref="I113:I124"/>
    <mergeCell ref="J113:J124"/>
    <mergeCell ref="K113:K124"/>
    <mergeCell ref="L113:L124"/>
    <mergeCell ref="M113:M124"/>
    <mergeCell ref="N113:N124"/>
    <mergeCell ref="L137:L148"/>
    <mergeCell ref="M137:M148"/>
    <mergeCell ref="L149:L160"/>
    <mergeCell ref="M149:M160"/>
    <mergeCell ref="N149:N160"/>
    <mergeCell ref="O149:O160"/>
    <mergeCell ref="P149:P160"/>
    <mergeCell ref="I125:I136"/>
    <mergeCell ref="J125:J136"/>
    <mergeCell ref="K125:K136"/>
    <mergeCell ref="L125:L136"/>
    <mergeCell ref="M125:M136"/>
    <mergeCell ref="N125:N136"/>
    <mergeCell ref="I137:I148"/>
    <mergeCell ref="N137:N148"/>
    <mergeCell ref="K161:K172"/>
    <mergeCell ref="L161:L172"/>
    <mergeCell ref="M161:M172"/>
    <mergeCell ref="N161:N172"/>
    <mergeCell ref="O161:O172"/>
    <mergeCell ref="P161:P172"/>
    <mergeCell ref="J137:J148"/>
    <mergeCell ref="K137:K148"/>
    <mergeCell ref="I149:I160"/>
    <mergeCell ref="J149:J160"/>
    <mergeCell ref="K149:K160"/>
    <mergeCell ref="I161:I172"/>
    <mergeCell ref="J161:J172"/>
    <mergeCell ref="O4:O15"/>
    <mergeCell ref="P4:P15"/>
    <mergeCell ref="B1:N2"/>
    <mergeCell ref="I4:I15"/>
    <mergeCell ref="J4:J15"/>
    <mergeCell ref="K4:K15"/>
    <mergeCell ref="L4:L15"/>
    <mergeCell ref="M4:M15"/>
    <mergeCell ref="N4:N15"/>
    <mergeCell ref="J16:J27"/>
    <mergeCell ref="K16:K27"/>
    <mergeCell ref="L16:L27"/>
    <mergeCell ref="M16:M27"/>
    <mergeCell ref="N16:N27"/>
    <mergeCell ref="O16:O27"/>
    <mergeCell ref="P16:P27"/>
    <mergeCell ref="O29:O40"/>
    <mergeCell ref="P29:P40"/>
    <mergeCell ref="I16:I27"/>
    <mergeCell ref="I29:I40"/>
    <mergeCell ref="J29:J40"/>
    <mergeCell ref="K29:K40"/>
    <mergeCell ref="L29:L40"/>
    <mergeCell ref="M29:M40"/>
    <mergeCell ref="N29:N40"/>
    <mergeCell ref="O53:O64"/>
    <mergeCell ref="P53:P64"/>
    <mergeCell ref="P101:P112"/>
    <mergeCell ref="Q101:Q1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5.0"/>
    <col customWidth="1" min="3" max="3" width="69.0"/>
    <col customWidth="1" min="4" max="4" width="7.29"/>
    <col customWidth="1" min="5" max="5" width="8.43"/>
    <col customWidth="1" min="6" max="6" width="12.14"/>
    <col customWidth="1" min="7" max="7" width="24.14"/>
    <col customWidth="1" min="8" max="8" width="18.29"/>
    <col customWidth="1" min="9" max="9" width="26.14"/>
    <col customWidth="1" min="10" max="10" width="40.86"/>
    <col customWidth="1" min="11" max="11" width="24.0"/>
    <col customWidth="1" min="12" max="16" width="18.71"/>
  </cols>
  <sheetData>
    <row r="1" ht="18.0" customHeight="1">
      <c r="A1" s="211"/>
      <c r="B1" s="211" t="s">
        <v>0</v>
      </c>
      <c r="I1" s="211"/>
      <c r="J1" s="117"/>
      <c r="K1" s="117"/>
      <c r="L1" s="117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</row>
    <row r="2" ht="18.75" customHeight="1">
      <c r="A2" s="211"/>
      <c r="I2" s="211"/>
      <c r="J2" s="117"/>
      <c r="K2" s="117"/>
      <c r="L2" s="117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</row>
    <row r="3">
      <c r="A3" s="213"/>
      <c r="B3" s="214" t="s">
        <v>1</v>
      </c>
      <c r="C3" s="215" t="s">
        <v>2</v>
      </c>
      <c r="D3" s="214" t="s">
        <v>3</v>
      </c>
      <c r="E3" s="214" t="s">
        <v>4</v>
      </c>
      <c r="F3" s="138" t="s">
        <v>5</v>
      </c>
      <c r="G3" s="216" t="s">
        <v>8</v>
      </c>
      <c r="H3" s="14" t="s">
        <v>7</v>
      </c>
      <c r="I3" s="14" t="s">
        <v>9</v>
      </c>
      <c r="J3" s="14" t="s">
        <v>10</v>
      </c>
      <c r="K3" s="14" t="s">
        <v>11</v>
      </c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</row>
    <row r="4">
      <c r="A4" s="217"/>
      <c r="B4" s="218" t="s">
        <v>38</v>
      </c>
      <c r="C4" s="16" t="s">
        <v>116</v>
      </c>
      <c r="D4" s="17" t="s">
        <v>14</v>
      </c>
      <c r="E4" s="17">
        <v>1.0</v>
      </c>
      <c r="F4" s="219">
        <v>0.0</v>
      </c>
      <c r="G4" s="182">
        <f>SUM(E4*F4)</f>
        <v>0</v>
      </c>
      <c r="H4" s="21">
        <v>2.09824</v>
      </c>
      <c r="I4" s="22">
        <f>SUM(G4:G15)</f>
        <v>0</v>
      </c>
      <c r="J4" s="22">
        <f>SUM(H4*I4)</f>
        <v>0</v>
      </c>
      <c r="K4" s="23">
        <f>I4 * (1 + H4)</f>
        <v>0</v>
      </c>
      <c r="L4" s="142" t="str">
        <f>J4 / K4</f>
        <v>#DIV/0!</v>
      </c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</row>
    <row r="5">
      <c r="A5" s="217"/>
      <c r="B5" s="220" t="s">
        <v>15</v>
      </c>
      <c r="C5" s="221" t="s">
        <v>16</v>
      </c>
      <c r="D5" s="222" t="s">
        <v>3</v>
      </c>
      <c r="E5" s="221">
        <v>0.0</v>
      </c>
      <c r="F5" s="223">
        <v>2.59</v>
      </c>
      <c r="G5" s="224"/>
      <c r="H5" s="31"/>
      <c r="I5" s="31"/>
      <c r="J5" s="31"/>
      <c r="K5" s="32"/>
      <c r="L5" s="3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</row>
    <row r="6">
      <c r="A6" s="217"/>
      <c r="B6" s="225" t="s">
        <v>117</v>
      </c>
      <c r="C6" s="226" t="s">
        <v>118</v>
      </c>
      <c r="D6" s="227" t="s">
        <v>3</v>
      </c>
      <c r="E6" s="40">
        <v>3.0</v>
      </c>
      <c r="F6" s="228">
        <v>0.01</v>
      </c>
      <c r="G6" s="229"/>
      <c r="H6" s="31"/>
      <c r="I6" s="31"/>
      <c r="J6" s="31"/>
      <c r="K6" s="32"/>
      <c r="L6" s="3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</row>
    <row r="7">
      <c r="A7" s="230"/>
      <c r="B7" s="231"/>
      <c r="C7" s="232"/>
      <c r="D7" s="233"/>
      <c r="E7" s="127"/>
      <c r="F7" s="127"/>
      <c r="G7" s="232"/>
      <c r="H7" s="234"/>
      <c r="I7" s="235"/>
      <c r="J7" s="235"/>
      <c r="K7" s="55"/>
      <c r="L7" s="14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</row>
    <row r="8">
      <c r="A8" s="230"/>
      <c r="B8" s="231"/>
      <c r="C8" s="232"/>
      <c r="D8" s="233"/>
      <c r="E8" s="127"/>
      <c r="F8" s="127"/>
      <c r="G8" s="232"/>
      <c r="H8" s="234"/>
      <c r="I8" s="235"/>
      <c r="J8" s="235"/>
      <c r="K8" s="55"/>
      <c r="L8" s="14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</row>
    <row r="9">
      <c r="A9" s="230"/>
      <c r="B9" s="231"/>
      <c r="C9" s="232"/>
      <c r="D9" s="233"/>
      <c r="E9" s="127"/>
      <c r="F9" s="127"/>
      <c r="G9" s="232"/>
      <c r="H9" s="234"/>
      <c r="I9" s="235"/>
      <c r="J9" s="235"/>
      <c r="K9" s="55"/>
      <c r="L9" s="14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</row>
    <row r="10">
      <c r="A10" s="230"/>
      <c r="B10" s="231"/>
      <c r="C10" s="232"/>
      <c r="D10" s="233"/>
      <c r="E10" s="127"/>
      <c r="F10" s="127"/>
      <c r="G10" s="232"/>
      <c r="H10" s="234"/>
      <c r="I10" s="235"/>
      <c r="J10" s="235"/>
      <c r="K10" s="55"/>
      <c r="L10" s="14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</row>
    <row r="11">
      <c r="A11" s="230"/>
      <c r="B11" s="231"/>
      <c r="C11" s="232"/>
      <c r="D11" s="233"/>
      <c r="E11" s="127"/>
      <c r="F11" s="127"/>
      <c r="G11" s="232"/>
      <c r="H11" s="234"/>
      <c r="I11" s="235"/>
      <c r="J11" s="235"/>
      <c r="K11" s="55"/>
      <c r="L11" s="14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</row>
    <row r="12">
      <c r="A12" s="230"/>
      <c r="B12" s="231"/>
      <c r="C12" s="232"/>
      <c r="D12" s="233"/>
      <c r="E12" s="127"/>
      <c r="F12" s="127"/>
      <c r="G12" s="232"/>
      <c r="H12" s="234"/>
      <c r="I12" s="235"/>
      <c r="J12" s="235"/>
      <c r="K12" s="55"/>
      <c r="L12" s="14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</row>
    <row r="13">
      <c r="A13" s="230"/>
      <c r="B13" s="231"/>
      <c r="C13" s="232"/>
      <c r="D13" s="233"/>
      <c r="E13" s="127"/>
      <c r="F13" s="127"/>
      <c r="G13" s="232"/>
      <c r="H13" s="234"/>
      <c r="I13" s="235"/>
      <c r="J13" s="235"/>
      <c r="K13" s="55"/>
      <c r="L13" s="14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</row>
    <row r="14">
      <c r="A14" s="230"/>
      <c r="B14" s="231"/>
      <c r="C14" s="232"/>
      <c r="D14" s="233"/>
      <c r="E14" s="127"/>
      <c r="F14" s="127"/>
      <c r="G14" s="232"/>
      <c r="H14" s="234"/>
      <c r="I14" s="235"/>
      <c r="J14" s="235"/>
      <c r="K14" s="55"/>
      <c r="L14" s="14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</row>
    <row r="15">
      <c r="A15" s="230"/>
      <c r="B15" s="231"/>
      <c r="C15" s="232"/>
      <c r="D15" s="233"/>
      <c r="E15" s="127"/>
      <c r="F15" s="127"/>
      <c r="G15" s="232"/>
      <c r="H15" s="236"/>
      <c r="I15" s="237"/>
      <c r="J15" s="237"/>
      <c r="K15" s="238"/>
      <c r="L15" s="239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</row>
    <row r="16">
      <c r="A16" s="230"/>
      <c r="B16" s="231"/>
      <c r="C16" s="232"/>
      <c r="D16" s="233"/>
      <c r="E16" s="127"/>
      <c r="F16" s="127"/>
      <c r="G16" s="232"/>
      <c r="H16" s="64"/>
      <c r="I16" s="230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</row>
    <row r="17">
      <c r="A17" s="212"/>
      <c r="B17" s="212"/>
      <c r="C17" s="212"/>
      <c r="D17" s="212"/>
      <c r="E17" s="212"/>
      <c r="F17" s="212"/>
      <c r="G17" s="212"/>
      <c r="H17" s="230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</row>
    <row r="18">
      <c r="A18" s="212"/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</row>
    <row r="19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</row>
    <row r="20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</row>
    <row r="21">
      <c r="A21" s="212"/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</row>
    <row r="22">
      <c r="A22" s="212"/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</row>
    <row r="23">
      <c r="A23" s="212"/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</row>
    <row r="24">
      <c r="A24" s="212"/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</row>
    <row r="25">
      <c r="A25" s="212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</row>
    <row r="26">
      <c r="A26" s="212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</row>
    <row r="27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</row>
    <row r="28">
      <c r="A28" s="212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</row>
    <row r="29">
      <c r="A29" s="212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</row>
    <row r="30">
      <c r="A30" s="212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</row>
    <row r="31">
      <c r="A31" s="212"/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</row>
    <row r="32">
      <c r="A32" s="212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</row>
    <row r="33">
      <c r="A33" s="212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</row>
    <row r="34">
      <c r="A34" s="212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</row>
    <row r="35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</row>
    <row r="36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</row>
    <row r="37">
      <c r="A37" s="212"/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</row>
    <row r="38">
      <c r="A38" s="212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</row>
    <row r="39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</row>
    <row r="40">
      <c r="A40" s="212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</row>
    <row r="41">
      <c r="A41" s="212"/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</row>
    <row r="42">
      <c r="A42" s="212"/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</row>
    <row r="43">
      <c r="A43" s="212"/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</row>
    <row r="44">
      <c r="A44" s="212"/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</row>
    <row r="45">
      <c r="A45" s="212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</row>
    <row r="46">
      <c r="A46" s="212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</row>
    <row r="47">
      <c r="A47" s="212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</row>
    <row r="48">
      <c r="A48" s="212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</row>
    <row r="49">
      <c r="A49" s="21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</row>
    <row r="50">
      <c r="A50" s="21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</row>
    <row r="51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</row>
    <row r="52">
      <c r="A52" s="212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</row>
    <row r="53">
      <c r="A53" s="212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</row>
    <row r="54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</row>
    <row r="55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</row>
    <row r="56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</row>
    <row r="57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</row>
    <row r="58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</row>
    <row r="59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</row>
    <row r="60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</row>
    <row r="6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</row>
    <row r="62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</row>
    <row r="63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</row>
    <row r="64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</row>
    <row r="65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</row>
    <row r="66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</row>
    <row r="67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</row>
    <row r="68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</row>
    <row r="69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</row>
    <row r="70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</row>
    <row r="71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</row>
    <row r="72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</row>
    <row r="73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</row>
    <row r="74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</row>
    <row r="7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</row>
    <row r="76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</row>
    <row r="77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</row>
    <row r="78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</row>
    <row r="79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</row>
    <row r="80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</row>
    <row r="81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</row>
    <row r="82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</row>
    <row r="83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</row>
    <row r="84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</row>
    <row r="86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</row>
    <row r="87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</row>
    <row r="88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</row>
    <row r="89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</row>
    <row r="90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</row>
    <row r="91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</row>
    <row r="92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</row>
    <row r="93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</row>
    <row r="94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</row>
    <row r="95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</row>
    <row r="96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</row>
    <row r="97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</row>
    <row r="98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</row>
    <row r="99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</row>
    <row r="100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</row>
    <row r="101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</row>
    <row r="102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</row>
    <row r="103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</row>
    <row r="104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</row>
    <row r="105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</row>
    <row r="106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</row>
    <row r="107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</row>
    <row r="108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</row>
    <row r="109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</row>
    <row r="110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</row>
    <row r="111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</row>
    <row r="112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</row>
    <row r="113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</row>
    <row r="114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</row>
    <row r="115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</row>
    <row r="116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</row>
    <row r="117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</row>
    <row r="118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</row>
    <row r="119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</row>
    <row r="120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</row>
    <row r="121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</row>
    <row r="122">
      <c r="A122" s="21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</row>
    <row r="123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</row>
    <row r="124">
      <c r="A124" s="212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</row>
    <row r="125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</row>
    <row r="126">
      <c r="A126" s="212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</row>
    <row r="127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</row>
    <row r="128">
      <c r="A128" s="21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</row>
    <row r="129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</row>
    <row r="130">
      <c r="A130" s="212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</row>
    <row r="13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</row>
    <row r="132">
      <c r="A132" s="212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</row>
    <row r="133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</row>
    <row r="134">
      <c r="A134" s="21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</row>
    <row r="135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</row>
    <row r="136">
      <c r="A136" s="212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</row>
    <row r="137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</row>
    <row r="138">
      <c r="A138" s="212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</row>
    <row r="139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</row>
    <row r="140">
      <c r="A140" s="212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</row>
    <row r="141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</row>
    <row r="142">
      <c r="A142" s="212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</row>
    <row r="143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</row>
    <row r="144">
      <c r="A144" s="212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</row>
    <row r="145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</row>
    <row r="146">
      <c r="A146" s="212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</row>
    <row r="147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</row>
    <row r="148">
      <c r="A148" s="212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</row>
    <row r="149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</row>
    <row r="150">
      <c r="A150" s="212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</row>
    <row r="151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</row>
    <row r="152">
      <c r="A152" s="212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</row>
    <row r="153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</row>
    <row r="154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</row>
    <row r="155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</row>
    <row r="156">
      <c r="A156" s="212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</row>
    <row r="157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</row>
    <row r="158">
      <c r="A158" s="212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</row>
    <row r="159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</row>
    <row r="160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</row>
    <row r="161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</row>
    <row r="162">
      <c r="A162" s="212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</row>
    <row r="163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</row>
    <row r="164">
      <c r="A164" s="212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</row>
    <row r="165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</row>
    <row r="166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</row>
    <row r="167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</row>
    <row r="168">
      <c r="A168" s="212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</row>
    <row r="169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</row>
    <row r="170">
      <c r="A170" s="212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</row>
    <row r="17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</row>
    <row r="172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</row>
    <row r="173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</row>
    <row r="174">
      <c r="A174" s="212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</row>
    <row r="175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</row>
    <row r="176">
      <c r="A176" s="212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</row>
    <row r="177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</row>
    <row r="178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</row>
    <row r="179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</row>
    <row r="180">
      <c r="A180" s="212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</row>
    <row r="181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</row>
    <row r="182">
      <c r="A182" s="212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</row>
    <row r="183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</row>
    <row r="184">
      <c r="A184" s="212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</row>
    <row r="185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</row>
    <row r="186">
      <c r="A186" s="212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</row>
    <row r="187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</row>
    <row r="188">
      <c r="A188" s="212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</row>
    <row r="189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</row>
    <row r="190">
      <c r="A190" s="212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</row>
    <row r="191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</row>
    <row r="192">
      <c r="A192" s="21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</row>
    <row r="193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</row>
    <row r="194">
      <c r="A194" s="21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</row>
    <row r="195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</row>
    <row r="196">
      <c r="A196" s="21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</row>
    <row r="197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</row>
    <row r="198">
      <c r="A198" s="21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</row>
    <row r="199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</row>
    <row r="200">
      <c r="A200" s="21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</row>
    <row r="201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</row>
    <row r="202">
      <c r="A202" s="21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</row>
    <row r="203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</row>
    <row r="204">
      <c r="A204" s="21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</row>
    <row r="205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</row>
    <row r="206">
      <c r="A206" s="21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</row>
    <row r="207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</row>
    <row r="208">
      <c r="A208" s="21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</row>
    <row r="209">
      <c r="A209" s="21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</row>
    <row r="210">
      <c r="A210" s="21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</row>
    <row r="211">
      <c r="A211" s="21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</row>
    <row r="212">
      <c r="A212" s="212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</row>
    <row r="213">
      <c r="A213" s="212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</row>
    <row r="214">
      <c r="A214" s="212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</row>
    <row r="215">
      <c r="A215" s="212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</row>
    <row r="216">
      <c r="A216" s="212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</row>
    <row r="217">
      <c r="A217" s="212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</row>
    <row r="218">
      <c r="A218" s="212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</row>
    <row r="219">
      <c r="A219" s="212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</row>
    <row r="220">
      <c r="A220" s="212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</row>
    <row r="221">
      <c r="A221" s="212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</row>
    <row r="222">
      <c r="A222" s="212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</row>
    <row r="223">
      <c r="A223" s="212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</row>
    <row r="224">
      <c r="A224" s="212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</row>
    <row r="225">
      <c r="A225" s="212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</row>
    <row r="226">
      <c r="A226" s="212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</row>
    <row r="227">
      <c r="A227" s="212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</row>
    <row r="228">
      <c r="A228" s="212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</row>
    <row r="229">
      <c r="A229" s="212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</row>
    <row r="230">
      <c r="A230" s="212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</row>
    <row r="231">
      <c r="A231" s="212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</row>
    <row r="232">
      <c r="A232" s="212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</row>
    <row r="233">
      <c r="A233" s="212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</row>
    <row r="234">
      <c r="A234" s="21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</row>
    <row r="235">
      <c r="A235" s="212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</row>
    <row r="236">
      <c r="A236" s="212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</row>
    <row r="237">
      <c r="A237" s="212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</row>
    <row r="238">
      <c r="A238" s="212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</row>
    <row r="239">
      <c r="A239" s="212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</row>
    <row r="240">
      <c r="A240" s="212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</row>
    <row r="241">
      <c r="A241" s="212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</row>
    <row r="242">
      <c r="A242" s="212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</row>
    <row r="243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</row>
    <row r="244">
      <c r="A244" s="21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</row>
    <row r="245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</row>
    <row r="246">
      <c r="A246" s="212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</row>
    <row r="247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</row>
    <row r="248">
      <c r="A248" s="212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</row>
    <row r="249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</row>
    <row r="250">
      <c r="A250" s="212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</row>
    <row r="251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</row>
    <row r="252">
      <c r="A252" s="212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</row>
    <row r="253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</row>
    <row r="254">
      <c r="A254" s="212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</row>
    <row r="255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</row>
    <row r="256">
      <c r="A256" s="21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</row>
    <row r="257">
      <c r="A257" s="212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</row>
    <row r="258">
      <c r="A258" s="212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</row>
    <row r="259">
      <c r="A259" s="212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</row>
    <row r="260">
      <c r="A260" s="212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</row>
    <row r="261">
      <c r="A261" s="212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</row>
    <row r="262">
      <c r="A262" s="212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</row>
    <row r="263">
      <c r="A263" s="212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</row>
    <row r="264">
      <c r="A264" s="212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</row>
    <row r="265">
      <c r="A265" s="212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</row>
    <row r="266">
      <c r="A266" s="212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</row>
    <row r="267">
      <c r="A267" s="212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</row>
    <row r="268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</row>
    <row r="269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</row>
    <row r="270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</row>
    <row r="27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</row>
    <row r="272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</row>
    <row r="273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</row>
    <row r="274">
      <c r="A274" s="212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</row>
    <row r="275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</row>
    <row r="276">
      <c r="A276" s="212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</row>
    <row r="277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</row>
    <row r="278">
      <c r="A278" s="212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</row>
    <row r="279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</row>
    <row r="280">
      <c r="A280" s="212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</row>
    <row r="281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</row>
    <row r="282">
      <c r="A282" s="212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</row>
    <row r="283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</row>
    <row r="284">
      <c r="A284" s="212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</row>
    <row r="285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</row>
    <row r="286">
      <c r="A286" s="212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</row>
    <row r="287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</row>
    <row r="288">
      <c r="A288" s="212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</row>
    <row r="289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</row>
    <row r="290">
      <c r="A290" s="212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</row>
    <row r="291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</row>
    <row r="292">
      <c r="A292" s="212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</row>
    <row r="293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</row>
    <row r="294">
      <c r="A294" s="212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</row>
    <row r="295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</row>
    <row r="296">
      <c r="A296" s="212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</row>
    <row r="297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</row>
    <row r="298">
      <c r="A298" s="212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</row>
    <row r="299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</row>
    <row r="300">
      <c r="A300" s="212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</row>
    <row r="301">
      <c r="A301" s="212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</row>
    <row r="302">
      <c r="A302" s="212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</row>
    <row r="303">
      <c r="A303" s="212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</row>
    <row r="304">
      <c r="A304" s="212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</row>
    <row r="305">
      <c r="A305" s="212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</row>
    <row r="306">
      <c r="A306" s="212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</row>
    <row r="307">
      <c r="A307" s="212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</row>
    <row r="308">
      <c r="A308" s="212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</row>
    <row r="309">
      <c r="A309" s="212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</row>
    <row r="310">
      <c r="A310" s="212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</row>
    <row r="311">
      <c r="A311" s="212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</row>
    <row r="312">
      <c r="A312" s="212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</row>
    <row r="313">
      <c r="A313" s="212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</row>
    <row r="314">
      <c r="A314" s="212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</row>
    <row r="315">
      <c r="A315" s="212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</row>
    <row r="316">
      <c r="A316" s="212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</row>
    <row r="317">
      <c r="A317" s="212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</row>
    <row r="318">
      <c r="A318" s="212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</row>
    <row r="319">
      <c r="A319" s="212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</row>
    <row r="320">
      <c r="A320" s="212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</row>
    <row r="321">
      <c r="A321" s="212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</row>
    <row r="322">
      <c r="A322" s="212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</row>
    <row r="323">
      <c r="A323" s="212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</row>
    <row r="324">
      <c r="A324" s="212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</row>
    <row r="325">
      <c r="A325" s="212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</row>
    <row r="326">
      <c r="A326" s="212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</row>
    <row r="327">
      <c r="A327" s="212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</row>
    <row r="328">
      <c r="A328" s="212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</row>
    <row r="329">
      <c r="A329" s="212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</row>
    <row r="330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</row>
    <row r="33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</row>
    <row r="332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</row>
    <row r="333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</row>
    <row r="334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</row>
    <row r="335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</row>
    <row r="336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</row>
    <row r="337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</row>
    <row r="338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</row>
    <row r="339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</row>
    <row r="340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</row>
    <row r="34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</row>
    <row r="342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</row>
    <row r="343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</row>
    <row r="344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</row>
    <row r="345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</row>
    <row r="346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</row>
    <row r="347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</row>
    <row r="348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</row>
    <row r="349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</row>
    <row r="350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</row>
    <row r="35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</row>
    <row r="352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</row>
    <row r="353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</row>
    <row r="354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</row>
    <row r="355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</row>
    <row r="356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</row>
    <row r="357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</row>
    <row r="358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</row>
    <row r="359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</row>
    <row r="360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</row>
    <row r="36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</row>
    <row r="362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</row>
    <row r="363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</row>
    <row r="364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</row>
    <row r="365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</row>
    <row r="366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</row>
    <row r="367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</row>
    <row r="368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</row>
    <row r="369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</row>
    <row r="370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</row>
    <row r="37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</row>
    <row r="372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</row>
    <row r="373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</row>
    <row r="374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</row>
    <row r="375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</row>
    <row r="376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</row>
    <row r="377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</row>
    <row r="378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</row>
    <row r="379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</row>
    <row r="380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</row>
    <row r="38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</row>
    <row r="382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</row>
    <row r="383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</row>
    <row r="384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</row>
    <row r="385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</row>
    <row r="386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</row>
    <row r="387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</row>
    <row r="388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</row>
    <row r="389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</row>
    <row r="390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</row>
    <row r="39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</row>
    <row r="392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</row>
    <row r="393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</row>
    <row r="394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</row>
    <row r="395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</row>
    <row r="396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</row>
    <row r="397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</row>
    <row r="398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</row>
    <row r="399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</row>
    <row r="400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</row>
    <row r="40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</row>
    <row r="402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</row>
    <row r="403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</row>
    <row r="404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</row>
    <row r="405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</row>
    <row r="406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</row>
    <row r="407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</row>
    <row r="408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</row>
    <row r="409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</row>
    <row r="410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</row>
    <row r="41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</row>
    <row r="412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</row>
    <row r="413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</row>
    <row r="414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</row>
    <row r="415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</row>
    <row r="416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</row>
    <row r="417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</row>
    <row r="418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</row>
    <row r="419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</row>
    <row r="420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</row>
    <row r="42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</row>
    <row r="422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</row>
    <row r="423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</row>
    <row r="424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</row>
    <row r="425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</row>
    <row r="426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</row>
    <row r="427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</row>
    <row r="428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</row>
    <row r="429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</row>
    <row r="430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</row>
    <row r="43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</row>
    <row r="432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</row>
    <row r="433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</row>
    <row r="434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</row>
    <row r="435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</row>
    <row r="436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</row>
    <row r="437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</row>
    <row r="438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</row>
    <row r="439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</row>
    <row r="440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</row>
    <row r="44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</row>
    <row r="442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</row>
    <row r="443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</row>
    <row r="444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</row>
    <row r="445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</row>
    <row r="446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</row>
    <row r="447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</row>
    <row r="448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</row>
    <row r="449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</row>
    <row r="450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</row>
    <row r="45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</row>
    <row r="452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</row>
    <row r="453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</row>
    <row r="454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</row>
    <row r="455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</row>
    <row r="456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</row>
    <row r="457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</row>
    <row r="458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</row>
    <row r="459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</row>
    <row r="460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</row>
    <row r="46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</row>
    <row r="462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</row>
    <row r="463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</row>
    <row r="464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</row>
    <row r="465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</row>
    <row r="466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</row>
    <row r="467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</row>
    <row r="468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</row>
    <row r="469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</row>
    <row r="470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</row>
    <row r="47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</row>
    <row r="472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</row>
    <row r="473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</row>
    <row r="474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</row>
    <row r="475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</row>
    <row r="476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</row>
    <row r="477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</row>
    <row r="478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</row>
    <row r="479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</row>
    <row r="480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</row>
    <row r="48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</row>
    <row r="482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</row>
    <row r="483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</row>
    <row r="484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</row>
    <row r="485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</row>
    <row r="486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</row>
    <row r="487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</row>
    <row r="488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</row>
    <row r="489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</row>
    <row r="490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</row>
    <row r="49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</row>
    <row r="492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</row>
    <row r="493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</row>
    <row r="494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</row>
    <row r="495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</row>
    <row r="496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</row>
    <row r="497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</row>
    <row r="498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</row>
    <row r="499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</row>
    <row r="500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</row>
    <row r="50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</row>
    <row r="502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</row>
    <row r="503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</row>
    <row r="504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</row>
    <row r="505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</row>
    <row r="506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</row>
    <row r="507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</row>
    <row r="508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</row>
    <row r="509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</row>
    <row r="510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</row>
    <row r="51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</row>
    <row r="512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</row>
    <row r="513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</row>
    <row r="514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</row>
    <row r="515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</row>
    <row r="516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</row>
    <row r="517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</row>
    <row r="518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</row>
    <row r="519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</row>
    <row r="520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</row>
    <row r="52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</row>
    <row r="522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</row>
    <row r="523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</row>
    <row r="524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</row>
    <row r="525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</row>
    <row r="526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</row>
    <row r="527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</row>
    <row r="528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</row>
    <row r="529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</row>
    <row r="530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</row>
    <row r="53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</row>
    <row r="532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</row>
    <row r="533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</row>
    <row r="534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</row>
    <row r="535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</row>
    <row r="536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</row>
    <row r="537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</row>
    <row r="538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</row>
    <row r="539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</row>
    <row r="540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</row>
    <row r="54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</row>
    <row r="542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</row>
    <row r="543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</row>
    <row r="544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</row>
    <row r="545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</row>
    <row r="546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</row>
    <row r="547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</row>
    <row r="548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</row>
    <row r="549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</row>
    <row r="550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</row>
    <row r="55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</row>
    <row r="552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</row>
    <row r="553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</row>
    <row r="554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</row>
    <row r="555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</row>
    <row r="556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</row>
    <row r="557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</row>
    <row r="558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</row>
    <row r="559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</row>
    <row r="560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</row>
    <row r="56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</row>
    <row r="562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</row>
    <row r="563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</row>
    <row r="564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</row>
    <row r="565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</row>
    <row r="566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</row>
    <row r="567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</row>
    <row r="568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</row>
    <row r="569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</row>
    <row r="570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</row>
    <row r="57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</row>
    <row r="572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</row>
    <row r="573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</row>
    <row r="574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</row>
    <row r="575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</row>
    <row r="576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</row>
    <row r="577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</row>
    <row r="578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</row>
    <row r="579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</row>
    <row r="580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</row>
    <row r="58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</row>
    <row r="582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</row>
    <row r="583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</row>
    <row r="584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</row>
    <row r="585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</row>
    <row r="586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</row>
    <row r="587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</row>
    <row r="588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</row>
    <row r="589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</row>
    <row r="590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</row>
    <row r="59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</row>
    <row r="592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</row>
    <row r="593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</row>
    <row r="594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</row>
    <row r="595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</row>
    <row r="596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</row>
    <row r="597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</row>
    <row r="598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</row>
    <row r="599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</row>
    <row r="600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</row>
    <row r="60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</row>
    <row r="602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</row>
    <row r="603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</row>
    <row r="604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</row>
    <row r="605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</row>
    <row r="606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</row>
    <row r="607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</row>
    <row r="608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</row>
    <row r="609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</row>
    <row r="610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</row>
    <row r="61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</row>
    <row r="612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</row>
    <row r="613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</row>
    <row r="614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</row>
    <row r="615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</row>
    <row r="616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</row>
    <row r="617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</row>
    <row r="618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</row>
    <row r="619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</row>
    <row r="620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</row>
    <row r="62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</row>
    <row r="622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</row>
    <row r="623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</row>
    <row r="624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</row>
    <row r="625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</row>
    <row r="626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</row>
    <row r="627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</row>
    <row r="628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</row>
    <row r="629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</row>
    <row r="630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</row>
    <row r="63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</row>
    <row r="632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</row>
    <row r="633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</row>
    <row r="634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</row>
    <row r="635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</row>
    <row r="636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</row>
    <row r="637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</row>
    <row r="638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</row>
    <row r="639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</row>
    <row r="640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</row>
    <row r="64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</row>
    <row r="642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</row>
    <row r="643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</row>
    <row r="644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</row>
    <row r="645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</row>
    <row r="646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</row>
    <row r="647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</row>
    <row r="648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</row>
    <row r="649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</row>
    <row r="650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</row>
    <row r="65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</row>
    <row r="652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</row>
    <row r="653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</row>
    <row r="654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</row>
    <row r="655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</row>
    <row r="656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</row>
    <row r="657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</row>
    <row r="658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</row>
    <row r="659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</row>
    <row r="660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</row>
    <row r="66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</row>
    <row r="662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</row>
    <row r="663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</row>
    <row r="664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</row>
    <row r="665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</row>
    <row r="666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</row>
    <row r="667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</row>
    <row r="668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</row>
    <row r="669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</row>
    <row r="670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</row>
    <row r="67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</row>
    <row r="672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</row>
    <row r="673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</row>
    <row r="674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</row>
    <row r="675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</row>
    <row r="676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</row>
    <row r="677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</row>
    <row r="678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</row>
    <row r="679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</row>
    <row r="680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</row>
    <row r="68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</row>
    <row r="682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</row>
    <row r="683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</row>
    <row r="684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</row>
    <row r="685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</row>
    <row r="686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</row>
    <row r="687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</row>
    <row r="688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</row>
    <row r="689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</row>
    <row r="690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</row>
    <row r="69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</row>
    <row r="692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</row>
    <row r="693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</row>
    <row r="694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</row>
    <row r="695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</row>
    <row r="696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</row>
    <row r="697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</row>
    <row r="698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</row>
    <row r="699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</row>
    <row r="700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</row>
    <row r="70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</row>
    <row r="702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</row>
    <row r="703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</row>
    <row r="704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</row>
    <row r="705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</row>
    <row r="706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</row>
    <row r="707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</row>
    <row r="708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</row>
    <row r="709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</row>
    <row r="710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</row>
    <row r="71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</row>
    <row r="712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</row>
    <row r="713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</row>
    <row r="714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</row>
    <row r="715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</row>
    <row r="716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</row>
    <row r="717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</row>
    <row r="718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</row>
    <row r="719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</row>
    <row r="720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</row>
    <row r="72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</row>
    <row r="722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</row>
    <row r="723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</row>
    <row r="724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</row>
    <row r="725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</row>
    <row r="726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</row>
    <row r="727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</row>
    <row r="728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</row>
    <row r="729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</row>
    <row r="730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</row>
    <row r="73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</row>
    <row r="732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</row>
    <row r="733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</row>
    <row r="734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</row>
    <row r="735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</row>
    <row r="736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</row>
    <row r="737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</row>
    <row r="738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</row>
    <row r="739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</row>
    <row r="740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</row>
    <row r="74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</row>
    <row r="742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</row>
    <row r="743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</row>
    <row r="744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</row>
    <row r="745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</row>
    <row r="746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</row>
    <row r="747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</row>
    <row r="748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</row>
    <row r="749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</row>
    <row r="750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</row>
    <row r="75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</row>
    <row r="752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</row>
    <row r="753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</row>
    <row r="754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</row>
    <row r="755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</row>
    <row r="756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</row>
    <row r="757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</row>
    <row r="758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</row>
    <row r="759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</row>
    <row r="760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</row>
    <row r="76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</row>
    <row r="762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</row>
    <row r="763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</row>
    <row r="764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</row>
    <row r="765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</row>
    <row r="766">
      <c r="A766" s="212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</row>
    <row r="767">
      <c r="A767" s="212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</row>
    <row r="768">
      <c r="A768" s="212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</row>
    <row r="769">
      <c r="A769" s="212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</row>
    <row r="770">
      <c r="A770" s="212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</row>
    <row r="771">
      <c r="A771" s="212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</row>
    <row r="772">
      <c r="A772" s="212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</row>
    <row r="773">
      <c r="A773" s="212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</row>
    <row r="774">
      <c r="A774" s="212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</row>
    <row r="775">
      <c r="A775" s="212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</row>
    <row r="776">
      <c r="A776" s="212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</row>
    <row r="777">
      <c r="A777" s="212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</row>
    <row r="778">
      <c r="A778" s="212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</row>
    <row r="779">
      <c r="A779" s="212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</row>
    <row r="780">
      <c r="A780" s="212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</row>
    <row r="781">
      <c r="A781" s="212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</row>
    <row r="782">
      <c r="A782" s="212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</row>
    <row r="783">
      <c r="A783" s="212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</row>
    <row r="784">
      <c r="A784" s="212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</row>
    <row r="785">
      <c r="A785" s="212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</row>
    <row r="786">
      <c r="A786" s="212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</row>
    <row r="787">
      <c r="A787" s="212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</row>
    <row r="788">
      <c r="A788" s="212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</row>
    <row r="789">
      <c r="A789" s="212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</row>
    <row r="790">
      <c r="A790" s="212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</row>
    <row r="791">
      <c r="A791" s="212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</row>
    <row r="792">
      <c r="A792" s="212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</row>
    <row r="793">
      <c r="A793" s="212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</row>
    <row r="794">
      <c r="A794" s="212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</row>
    <row r="795">
      <c r="A795" s="212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</row>
    <row r="796">
      <c r="A796" s="212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</row>
    <row r="797">
      <c r="A797" s="212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</row>
    <row r="798">
      <c r="A798" s="212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</row>
    <row r="799">
      <c r="A799" s="212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</row>
    <row r="800">
      <c r="A800" s="212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</row>
    <row r="801">
      <c r="A801" s="212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</row>
    <row r="802">
      <c r="A802" s="212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</row>
    <row r="803">
      <c r="A803" s="212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</row>
    <row r="804">
      <c r="A804" s="212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</row>
    <row r="805">
      <c r="A805" s="212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</row>
    <row r="806">
      <c r="A806" s="212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</row>
    <row r="807">
      <c r="A807" s="212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</row>
    <row r="808">
      <c r="A808" s="212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</row>
    <row r="809">
      <c r="A809" s="212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</row>
    <row r="810">
      <c r="A810" s="212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</row>
    <row r="811">
      <c r="A811" s="212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</row>
    <row r="812">
      <c r="A812" s="212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</row>
    <row r="813">
      <c r="A813" s="212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</row>
    <row r="814">
      <c r="A814" s="212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</row>
    <row r="815">
      <c r="A815" s="212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</row>
    <row r="816">
      <c r="A816" s="212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</row>
    <row r="817">
      <c r="A817" s="212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</row>
    <row r="818">
      <c r="A818" s="212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</row>
    <row r="819">
      <c r="A819" s="212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</row>
    <row r="820">
      <c r="A820" s="212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</row>
    <row r="821">
      <c r="A821" s="212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</row>
    <row r="822">
      <c r="A822" s="212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</row>
    <row r="823">
      <c r="A823" s="212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</row>
    <row r="824">
      <c r="A824" s="212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</row>
    <row r="825">
      <c r="A825" s="212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</row>
    <row r="826">
      <c r="A826" s="212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</row>
    <row r="827">
      <c r="A827" s="212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</row>
    <row r="828">
      <c r="A828" s="212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</row>
    <row r="829">
      <c r="A829" s="212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</row>
    <row r="830">
      <c r="A830" s="212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</row>
    <row r="831">
      <c r="A831" s="212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</row>
    <row r="832">
      <c r="A832" s="212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</row>
    <row r="833">
      <c r="A833" s="212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</row>
    <row r="834">
      <c r="A834" s="212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</row>
    <row r="835">
      <c r="A835" s="212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</row>
    <row r="836">
      <c r="A836" s="212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</row>
    <row r="837">
      <c r="A837" s="212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</row>
    <row r="838">
      <c r="A838" s="212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</row>
    <row r="839">
      <c r="A839" s="212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</row>
    <row r="840">
      <c r="A840" s="212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</row>
    <row r="841">
      <c r="A841" s="212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</row>
    <row r="842">
      <c r="A842" s="212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</row>
    <row r="843">
      <c r="A843" s="212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</row>
    <row r="844">
      <c r="A844" s="212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</row>
    <row r="845">
      <c r="A845" s="212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</row>
    <row r="846">
      <c r="A846" s="212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</row>
    <row r="847">
      <c r="A847" s="212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</row>
    <row r="848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</row>
    <row r="849">
      <c r="A849" s="212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</row>
    <row r="850">
      <c r="A850" s="212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</row>
    <row r="851">
      <c r="A851" s="212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</row>
    <row r="852">
      <c r="A852" s="212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</row>
    <row r="853">
      <c r="A853" s="212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</row>
    <row r="854">
      <c r="A854" s="212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</row>
    <row r="855">
      <c r="A855" s="212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</row>
    <row r="856">
      <c r="A856" s="212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</row>
    <row r="857">
      <c r="A857" s="212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</row>
    <row r="858">
      <c r="A858" s="212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</row>
    <row r="859">
      <c r="A859" s="212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</row>
    <row r="860">
      <c r="A860" s="212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</row>
    <row r="861">
      <c r="A861" s="212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</row>
    <row r="862">
      <c r="A862" s="212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</row>
    <row r="863">
      <c r="A863" s="212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</row>
    <row r="864">
      <c r="A864" s="212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</row>
    <row r="865">
      <c r="A865" s="212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</row>
    <row r="866">
      <c r="A866" s="212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</row>
    <row r="867">
      <c r="A867" s="212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</row>
    <row r="868">
      <c r="A868" s="212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</row>
    <row r="869">
      <c r="A869" s="212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</row>
    <row r="870">
      <c r="A870" s="212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</row>
    <row r="871">
      <c r="A871" s="212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</row>
    <row r="872">
      <c r="A872" s="212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</row>
    <row r="873">
      <c r="A873" s="212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</row>
    <row r="874">
      <c r="A874" s="212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</row>
    <row r="875">
      <c r="A875" s="212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</row>
    <row r="876">
      <c r="A876" s="212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</row>
    <row r="877">
      <c r="A877" s="212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</row>
    <row r="878">
      <c r="A878" s="212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</row>
    <row r="879">
      <c r="A879" s="212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</row>
    <row r="880">
      <c r="A880" s="212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</row>
    <row r="881">
      <c r="A881" s="212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</row>
    <row r="882">
      <c r="A882" s="212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</row>
    <row r="883">
      <c r="A883" s="212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</row>
    <row r="884">
      <c r="A884" s="212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</row>
    <row r="885">
      <c r="A885" s="212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</row>
    <row r="886">
      <c r="A886" s="212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</row>
    <row r="887">
      <c r="A887" s="212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</row>
    <row r="888">
      <c r="A888" s="212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</row>
    <row r="889">
      <c r="A889" s="212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</row>
    <row r="890">
      <c r="A890" s="212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</row>
    <row r="891">
      <c r="A891" s="212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</row>
    <row r="892">
      <c r="A892" s="212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</row>
    <row r="893">
      <c r="A893" s="212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</row>
    <row r="894">
      <c r="A894" s="212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</row>
    <row r="895">
      <c r="A895" s="212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</row>
    <row r="896">
      <c r="A896" s="212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</row>
    <row r="897">
      <c r="A897" s="212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</row>
    <row r="898">
      <c r="A898" s="212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</row>
    <row r="899">
      <c r="A899" s="212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</row>
    <row r="900">
      <c r="A900" s="212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</row>
    <row r="901">
      <c r="A901" s="212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</row>
    <row r="902">
      <c r="A902" s="212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</row>
    <row r="903">
      <c r="A903" s="212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</row>
    <row r="904">
      <c r="A904" s="212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</row>
    <row r="905">
      <c r="A905" s="212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</row>
    <row r="906">
      <c r="A906" s="212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</row>
    <row r="907">
      <c r="A907" s="212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</row>
    <row r="908">
      <c r="A908" s="212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</row>
    <row r="909">
      <c r="A909" s="212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</row>
    <row r="910">
      <c r="A910" s="212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</row>
    <row r="911">
      <c r="A911" s="212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</row>
    <row r="912">
      <c r="A912" s="212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</row>
    <row r="913">
      <c r="A913" s="212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</row>
    <row r="914">
      <c r="A914" s="212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</row>
    <row r="915">
      <c r="A915" s="212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</row>
    <row r="916">
      <c r="A916" s="212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</row>
    <row r="917">
      <c r="A917" s="212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</row>
    <row r="918">
      <c r="A918" s="212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</row>
    <row r="919">
      <c r="A919" s="212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</row>
    <row r="920">
      <c r="A920" s="212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</row>
    <row r="921">
      <c r="A921" s="212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</row>
    <row r="922">
      <c r="A922" s="212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</row>
    <row r="923">
      <c r="A923" s="212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</row>
    <row r="924">
      <c r="A924" s="212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</row>
    <row r="925">
      <c r="A925" s="212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</row>
    <row r="926">
      <c r="A926" s="212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</row>
    <row r="927">
      <c r="A927" s="212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</row>
    <row r="928">
      <c r="A928" s="212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</row>
    <row r="929">
      <c r="A929" s="212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</row>
    <row r="930">
      <c r="A930" s="212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</row>
    <row r="931">
      <c r="A931" s="212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</row>
    <row r="932">
      <c r="A932" s="212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</row>
    <row r="933">
      <c r="A933" s="212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</row>
    <row r="934">
      <c r="A934" s="212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</row>
    <row r="935">
      <c r="A935" s="212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</row>
    <row r="936">
      <c r="A936" s="212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</row>
    <row r="937">
      <c r="A937" s="212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</row>
    <row r="938">
      <c r="A938" s="212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</row>
    <row r="939">
      <c r="A939" s="212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</row>
    <row r="940">
      <c r="A940" s="212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</row>
    <row r="94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</row>
    <row r="942">
      <c r="A942" s="212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</row>
    <row r="943">
      <c r="A943" s="212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</row>
    <row r="944">
      <c r="A944" s="212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</row>
    <row r="945">
      <c r="A945" s="212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</row>
    <row r="946">
      <c r="A946" s="212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</row>
    <row r="947">
      <c r="A947" s="212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</row>
    <row r="948">
      <c r="A948" s="212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</row>
    <row r="949">
      <c r="A949" s="212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</row>
    <row r="950">
      <c r="A950" s="212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</row>
    <row r="951">
      <c r="A951" s="212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</row>
    <row r="952">
      <c r="A952" s="212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</row>
    <row r="953">
      <c r="A953" s="212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</row>
    <row r="954">
      <c r="A954" s="212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</row>
    <row r="955">
      <c r="A955" s="212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</row>
    <row r="956">
      <c r="A956" s="212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</row>
    <row r="957">
      <c r="A957" s="212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</row>
    <row r="958">
      <c r="A958" s="212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</row>
    <row r="959">
      <c r="A959" s="212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</row>
  </sheetData>
  <mergeCells count="6">
    <mergeCell ref="B1:H2"/>
    <mergeCell ref="H4:H6"/>
    <mergeCell ref="I4:I6"/>
    <mergeCell ref="J4:J6"/>
    <mergeCell ref="K4:K6"/>
    <mergeCell ref="L4:L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57"/>
    <col customWidth="1" min="2" max="2" width="171.14"/>
    <col customWidth="1" min="3" max="3" width="127.57"/>
  </cols>
  <sheetData>
    <row r="1">
      <c r="A1" s="240" t="s">
        <v>119</v>
      </c>
      <c r="C1" s="241"/>
    </row>
    <row r="2">
      <c r="A2" s="242"/>
      <c r="B2" s="243" t="s">
        <v>120</v>
      </c>
      <c r="C2" s="244"/>
    </row>
    <row r="3">
      <c r="A3" s="245"/>
      <c r="B3" s="246" t="s">
        <v>51</v>
      </c>
      <c r="C3" s="247"/>
    </row>
    <row r="4">
      <c r="A4" s="248"/>
      <c r="B4" s="249" t="s">
        <v>53</v>
      </c>
      <c r="C4" s="247"/>
    </row>
    <row r="5">
      <c r="A5" s="245"/>
      <c r="B5" s="249" t="s">
        <v>55</v>
      </c>
      <c r="C5" s="247"/>
    </row>
    <row r="6">
      <c r="A6" s="245"/>
      <c r="B6" s="249" t="s">
        <v>57</v>
      </c>
      <c r="C6" s="247"/>
    </row>
    <row r="7">
      <c r="A7" s="248"/>
      <c r="B7" s="249" t="s">
        <v>59</v>
      </c>
      <c r="C7" s="247"/>
    </row>
    <row r="8">
      <c r="A8" s="248"/>
      <c r="B8" s="249" t="s">
        <v>61</v>
      </c>
      <c r="C8" s="247"/>
    </row>
    <row r="9">
      <c r="A9" s="248"/>
      <c r="B9" s="249" t="s">
        <v>63</v>
      </c>
      <c r="C9" s="247"/>
    </row>
    <row r="10">
      <c r="A10" s="248"/>
      <c r="B10" s="249" t="s">
        <v>65</v>
      </c>
      <c r="C10" s="247"/>
    </row>
    <row r="11">
      <c r="A11" s="245"/>
      <c r="B11" s="249" t="s">
        <v>67</v>
      </c>
      <c r="C11" s="247"/>
    </row>
    <row r="12">
      <c r="A12" s="240"/>
      <c r="B12" s="249" t="s">
        <v>69</v>
      </c>
      <c r="C12" s="247"/>
    </row>
    <row r="13">
      <c r="A13" s="240"/>
      <c r="B13" s="250" t="s">
        <v>121</v>
      </c>
      <c r="C13" s="247"/>
    </row>
    <row r="14">
      <c r="A14" s="245"/>
      <c r="B14" s="249" t="s">
        <v>122</v>
      </c>
      <c r="C14" s="247"/>
    </row>
    <row r="15">
      <c r="A15" s="240"/>
      <c r="B15" s="249" t="s">
        <v>123</v>
      </c>
      <c r="C15" s="247"/>
    </row>
    <row r="16">
      <c r="A16" s="240"/>
      <c r="B16" s="249" t="s">
        <v>124</v>
      </c>
      <c r="C16" s="247"/>
    </row>
    <row r="17">
      <c r="A17" s="240"/>
      <c r="B17" s="249" t="s">
        <v>125</v>
      </c>
      <c r="C17" s="247"/>
    </row>
    <row r="18">
      <c r="A18" s="240"/>
      <c r="B18" s="249" t="s">
        <v>126</v>
      </c>
      <c r="C18" s="247"/>
    </row>
    <row r="19">
      <c r="A19" s="240"/>
      <c r="B19" s="249" t="s">
        <v>127</v>
      </c>
      <c r="C19" s="247"/>
    </row>
    <row r="20">
      <c r="A20" s="240"/>
      <c r="B20" s="249" t="s">
        <v>128</v>
      </c>
      <c r="C20" s="247"/>
    </row>
    <row r="21">
      <c r="A21" s="245"/>
      <c r="B21" s="249" t="s">
        <v>129</v>
      </c>
      <c r="C21" s="247"/>
    </row>
    <row r="22">
      <c r="A22" s="240"/>
      <c r="B22" s="249" t="s">
        <v>130</v>
      </c>
      <c r="C22" s="247"/>
    </row>
    <row r="23">
      <c r="A23" s="240"/>
      <c r="B23" s="249" t="s">
        <v>131</v>
      </c>
      <c r="C23" s="247"/>
    </row>
    <row r="24">
      <c r="A24" s="240"/>
      <c r="B24" s="250" t="s">
        <v>132</v>
      </c>
      <c r="C24" s="247"/>
    </row>
    <row r="25">
      <c r="A25" s="240"/>
      <c r="B25" s="249" t="s">
        <v>133</v>
      </c>
      <c r="C25" s="247"/>
    </row>
    <row r="26">
      <c r="A26" s="240"/>
      <c r="B26" s="249" t="s">
        <v>134</v>
      </c>
      <c r="C26" s="247"/>
    </row>
    <row r="27">
      <c r="A27" s="245"/>
      <c r="B27" s="249" t="s">
        <v>135</v>
      </c>
      <c r="C27" s="247"/>
    </row>
    <row r="28">
      <c r="A28" s="245"/>
      <c r="B28" s="249" t="s">
        <v>136</v>
      </c>
      <c r="C28" s="247"/>
    </row>
    <row r="29">
      <c r="A29" s="240"/>
      <c r="B29" s="249" t="s">
        <v>137</v>
      </c>
      <c r="C29" s="247"/>
    </row>
    <row r="30">
      <c r="A30" s="251"/>
      <c r="B30" s="249" t="s">
        <v>138</v>
      </c>
      <c r="C30" s="247"/>
    </row>
    <row r="31">
      <c r="A31" s="240"/>
      <c r="B31" s="249" t="s">
        <v>139</v>
      </c>
      <c r="C31" s="247"/>
    </row>
    <row r="32">
      <c r="A32" s="240"/>
      <c r="B32" s="249" t="s">
        <v>140</v>
      </c>
      <c r="C32" s="247"/>
    </row>
    <row r="33">
      <c r="A33" s="240"/>
      <c r="B33" s="249" t="s">
        <v>141</v>
      </c>
      <c r="C33" s="247"/>
    </row>
    <row r="34">
      <c r="A34" s="240"/>
      <c r="B34" s="249" t="s">
        <v>142</v>
      </c>
      <c r="C34" s="247"/>
    </row>
    <row r="35">
      <c r="A35" s="240"/>
      <c r="B35" s="249" t="s">
        <v>143</v>
      </c>
      <c r="C35" s="247"/>
    </row>
    <row r="36">
      <c r="A36" s="240"/>
      <c r="B36" s="249" t="s">
        <v>144</v>
      </c>
      <c r="C36" s="247"/>
    </row>
    <row r="37">
      <c r="A37" s="251"/>
      <c r="B37" s="249" t="s">
        <v>145</v>
      </c>
      <c r="C37" s="247"/>
    </row>
    <row r="38">
      <c r="A38" s="240"/>
      <c r="B38" s="250" t="s">
        <v>146</v>
      </c>
      <c r="C38" s="247"/>
    </row>
    <row r="39">
      <c r="A39" s="240"/>
      <c r="B39" s="250" t="s">
        <v>147</v>
      </c>
      <c r="C39" s="247"/>
    </row>
    <row r="40">
      <c r="A40" s="240"/>
      <c r="B40" s="250" t="s">
        <v>148</v>
      </c>
      <c r="C40" s="247"/>
    </row>
    <row r="41">
      <c r="A41" s="240"/>
      <c r="B41" s="250" t="s">
        <v>149</v>
      </c>
      <c r="C41" s="247"/>
    </row>
    <row r="42">
      <c r="A42" s="240"/>
      <c r="B42" s="250" t="s">
        <v>150</v>
      </c>
      <c r="C42" s="247"/>
    </row>
    <row r="43">
      <c r="A43" s="245"/>
      <c r="B43" s="250" t="s">
        <v>151</v>
      </c>
      <c r="C43" s="247"/>
    </row>
    <row r="44">
      <c r="A44" s="245"/>
      <c r="B44" s="250" t="s">
        <v>152</v>
      </c>
      <c r="C44" s="247"/>
    </row>
    <row r="45">
      <c r="A45" s="245"/>
      <c r="B45" s="250" t="s">
        <v>153</v>
      </c>
      <c r="C45" s="247"/>
    </row>
    <row r="46">
      <c r="A46" s="240"/>
      <c r="B46" s="249" t="s">
        <v>154</v>
      </c>
      <c r="C46" s="247"/>
    </row>
    <row r="47">
      <c r="A47" s="240"/>
      <c r="B47" s="249" t="s">
        <v>155</v>
      </c>
      <c r="C47" s="247"/>
    </row>
    <row r="48">
      <c r="A48" s="240"/>
      <c r="B48" s="249" t="s">
        <v>156</v>
      </c>
      <c r="C48" s="247"/>
    </row>
    <row r="49">
      <c r="A49" s="240"/>
      <c r="B49" s="249" t="s">
        <v>157</v>
      </c>
      <c r="C49" s="247"/>
    </row>
    <row r="50">
      <c r="A50" s="240"/>
      <c r="B50" s="249" t="s">
        <v>158</v>
      </c>
      <c r="C50" s="247"/>
    </row>
    <row r="51">
      <c r="A51" s="245"/>
      <c r="B51" s="249" t="s">
        <v>159</v>
      </c>
      <c r="C51" s="247"/>
    </row>
    <row r="52">
      <c r="A52" s="245"/>
      <c r="B52" s="249" t="s">
        <v>160</v>
      </c>
      <c r="C52" s="247"/>
    </row>
    <row r="53">
      <c r="A53" s="248"/>
      <c r="B53" s="249" t="s">
        <v>161</v>
      </c>
      <c r="C53" s="247"/>
    </row>
    <row r="54">
      <c r="A54" s="240"/>
      <c r="B54" s="249" t="s">
        <v>162</v>
      </c>
      <c r="C54" s="247"/>
    </row>
    <row r="55">
      <c r="A55" s="240"/>
      <c r="B55" s="249" t="s">
        <v>163</v>
      </c>
      <c r="C55" s="247"/>
    </row>
    <row r="56">
      <c r="A56" s="240"/>
      <c r="B56" s="249" t="s">
        <v>164</v>
      </c>
      <c r="C56" s="247"/>
    </row>
    <row r="57">
      <c r="A57" s="240"/>
      <c r="B57" s="249" t="s">
        <v>165</v>
      </c>
      <c r="C57" s="247"/>
    </row>
    <row r="58">
      <c r="A58" s="240"/>
      <c r="B58" s="249" t="s">
        <v>166</v>
      </c>
      <c r="C58" s="247"/>
    </row>
    <row r="59">
      <c r="A59" s="245"/>
      <c r="B59" s="249" t="s">
        <v>167</v>
      </c>
      <c r="C59" s="247"/>
    </row>
    <row r="60">
      <c r="A60" s="245"/>
      <c r="B60" s="249" t="s">
        <v>168</v>
      </c>
      <c r="C60" s="247"/>
    </row>
    <row r="61">
      <c r="A61" s="245"/>
      <c r="B61" s="249" t="s">
        <v>169</v>
      </c>
      <c r="C61" s="247"/>
    </row>
    <row r="62">
      <c r="A62" s="240"/>
      <c r="B62" s="249" t="s">
        <v>170</v>
      </c>
      <c r="C62" s="247"/>
    </row>
    <row r="63">
      <c r="A63" s="240"/>
      <c r="B63" s="249" t="s">
        <v>171</v>
      </c>
      <c r="C63" s="247"/>
    </row>
    <row r="64">
      <c r="A64" s="240"/>
      <c r="B64" s="249" t="s">
        <v>172</v>
      </c>
      <c r="C64" s="247"/>
    </row>
    <row r="65">
      <c r="A65" s="240"/>
      <c r="B65" s="249" t="s">
        <v>173</v>
      </c>
      <c r="C65" s="247"/>
    </row>
    <row r="66">
      <c r="A66" s="240"/>
      <c r="B66" s="249" t="s">
        <v>174</v>
      </c>
      <c r="C66" s="247"/>
    </row>
    <row r="67">
      <c r="A67" s="245"/>
      <c r="B67" s="249" t="s">
        <v>175</v>
      </c>
      <c r="C67" s="247"/>
    </row>
    <row r="68">
      <c r="A68" s="240"/>
      <c r="B68" s="249" t="s">
        <v>176</v>
      </c>
      <c r="C68" s="247"/>
    </row>
    <row r="69">
      <c r="A69" s="248"/>
      <c r="B69" s="249" t="s">
        <v>177</v>
      </c>
      <c r="C69" s="247"/>
    </row>
    <row r="70">
      <c r="A70" s="240"/>
      <c r="B70" s="249" t="s">
        <v>178</v>
      </c>
      <c r="C70" s="247"/>
    </row>
    <row r="71">
      <c r="A71" s="252"/>
      <c r="B71" s="249" t="s">
        <v>179</v>
      </c>
      <c r="C71" s="253"/>
    </row>
    <row r="72">
      <c r="A72" s="252"/>
      <c r="B72" s="249" t="s">
        <v>180</v>
      </c>
      <c r="C72" s="253"/>
    </row>
    <row r="73">
      <c r="A73" s="252"/>
      <c r="B73" s="249" t="s">
        <v>181</v>
      </c>
      <c r="C73" s="253"/>
    </row>
    <row r="74">
      <c r="A74" s="252"/>
      <c r="B74" s="249" t="s">
        <v>182</v>
      </c>
      <c r="C74" s="253"/>
    </row>
    <row r="75">
      <c r="A75" s="245"/>
      <c r="B75" s="249" t="s">
        <v>183</v>
      </c>
      <c r="C75" s="253"/>
    </row>
    <row r="76">
      <c r="A76" s="252"/>
      <c r="B76" s="249" t="s">
        <v>184</v>
      </c>
      <c r="C76" s="253"/>
    </row>
    <row r="77">
      <c r="A77" s="252"/>
      <c r="B77" s="249" t="s">
        <v>185</v>
      </c>
      <c r="C77" s="253"/>
    </row>
    <row r="78">
      <c r="A78" s="245"/>
      <c r="B78" s="249" t="s">
        <v>186</v>
      </c>
      <c r="C78" s="253"/>
    </row>
    <row r="79">
      <c r="A79" s="252"/>
      <c r="B79" s="249" t="s">
        <v>187</v>
      </c>
      <c r="C79" s="253"/>
    </row>
    <row r="80">
      <c r="A80" s="245"/>
      <c r="B80" s="249" t="s">
        <v>188</v>
      </c>
      <c r="C80" s="253"/>
    </row>
    <row r="81">
      <c r="A81" s="252"/>
      <c r="B81" s="249" t="s">
        <v>189</v>
      </c>
      <c r="C81" s="253"/>
    </row>
    <row r="82">
      <c r="A82" s="252"/>
      <c r="B82" s="249" t="s">
        <v>190</v>
      </c>
      <c r="C82" s="253"/>
    </row>
    <row r="83">
      <c r="A83" s="245"/>
      <c r="B83" s="249" t="s">
        <v>191</v>
      </c>
      <c r="C83" s="253"/>
    </row>
    <row r="84">
      <c r="A84" s="252"/>
      <c r="B84" s="249" t="s">
        <v>192</v>
      </c>
      <c r="C84" s="253"/>
    </row>
    <row r="85">
      <c r="A85" s="252"/>
      <c r="B85" s="249" t="s">
        <v>193</v>
      </c>
      <c r="C85" s="253"/>
    </row>
    <row r="86">
      <c r="A86" s="252"/>
      <c r="B86" s="249" t="s">
        <v>194</v>
      </c>
      <c r="C86" s="253"/>
    </row>
    <row r="87">
      <c r="A87" s="252"/>
      <c r="B87" s="249" t="s">
        <v>195</v>
      </c>
      <c r="C87" s="253"/>
    </row>
    <row r="88">
      <c r="A88" s="252"/>
      <c r="B88" s="249" t="s">
        <v>196</v>
      </c>
      <c r="C88" s="253"/>
    </row>
    <row r="89">
      <c r="A89" s="252"/>
      <c r="B89" s="249" t="s">
        <v>197</v>
      </c>
      <c r="C89" s="253"/>
    </row>
    <row r="90">
      <c r="A90" s="240"/>
      <c r="B90" s="249" t="s">
        <v>198</v>
      </c>
      <c r="C90" s="247"/>
    </row>
    <row r="91">
      <c r="A91" s="240"/>
      <c r="B91" s="249" t="s">
        <v>199</v>
      </c>
      <c r="C91" s="247"/>
    </row>
    <row r="92">
      <c r="A92" s="252"/>
      <c r="B92" s="249" t="s">
        <v>200</v>
      </c>
      <c r="C92" s="253"/>
    </row>
    <row r="93">
      <c r="A93" s="252"/>
      <c r="B93" s="249" t="s">
        <v>201</v>
      </c>
      <c r="C93" s="253"/>
    </row>
    <row r="94">
      <c r="A94" s="252"/>
      <c r="B94" s="249" t="s">
        <v>202</v>
      </c>
      <c r="C94" s="253"/>
    </row>
    <row r="95">
      <c r="A95" s="252"/>
      <c r="B95" s="249" t="s">
        <v>203</v>
      </c>
      <c r="C95" s="253"/>
    </row>
    <row r="96">
      <c r="A96" s="252"/>
      <c r="B96" s="249" t="s">
        <v>204</v>
      </c>
      <c r="C96" s="253"/>
    </row>
    <row r="97">
      <c r="A97" s="252"/>
      <c r="B97" s="249" t="s">
        <v>205</v>
      </c>
      <c r="C97" s="253"/>
    </row>
    <row r="98">
      <c r="A98" s="252"/>
      <c r="B98" s="249" t="s">
        <v>206</v>
      </c>
      <c r="C98" s="253"/>
    </row>
    <row r="99">
      <c r="A99" s="252"/>
      <c r="B99" s="249" t="s">
        <v>207</v>
      </c>
      <c r="C99" s="253"/>
    </row>
    <row r="100">
      <c r="A100" s="252"/>
      <c r="B100" s="249" t="s">
        <v>208</v>
      </c>
      <c r="C100" s="253"/>
    </row>
    <row r="101">
      <c r="A101" s="252"/>
      <c r="B101" s="249" t="s">
        <v>209</v>
      </c>
      <c r="C101" s="253"/>
    </row>
    <row r="102">
      <c r="A102" s="240"/>
      <c r="B102" s="249" t="s">
        <v>210</v>
      </c>
      <c r="C102" s="247"/>
    </row>
    <row r="103">
      <c r="A103" s="252"/>
      <c r="B103" s="249" t="s">
        <v>211</v>
      </c>
      <c r="C103" s="253"/>
    </row>
    <row r="104">
      <c r="A104" s="252"/>
      <c r="B104" s="249" t="s">
        <v>212</v>
      </c>
      <c r="C104" s="253"/>
    </row>
    <row r="105">
      <c r="A105" s="252"/>
      <c r="B105" s="249" t="s">
        <v>213</v>
      </c>
      <c r="C105" s="253"/>
    </row>
    <row r="106">
      <c r="A106" s="252"/>
      <c r="B106" s="249" t="s">
        <v>214</v>
      </c>
      <c r="C106" s="253"/>
    </row>
    <row r="107">
      <c r="A107" s="252"/>
      <c r="B107" s="249" t="s">
        <v>215</v>
      </c>
      <c r="C107" s="253"/>
    </row>
    <row r="108">
      <c r="A108" s="252"/>
      <c r="B108" s="249" t="s">
        <v>216</v>
      </c>
      <c r="C108" s="253"/>
    </row>
    <row r="109">
      <c r="A109" s="252"/>
      <c r="B109" s="249" t="s">
        <v>217</v>
      </c>
      <c r="C109" s="253"/>
    </row>
    <row r="110">
      <c r="A110" s="252"/>
      <c r="B110" s="249" t="s">
        <v>218</v>
      </c>
      <c r="C110" s="253"/>
    </row>
    <row r="111">
      <c r="A111" s="252"/>
      <c r="B111" s="249" t="s">
        <v>219</v>
      </c>
      <c r="C111" s="253"/>
    </row>
    <row r="112">
      <c r="A112" s="252"/>
      <c r="B112" s="249" t="s">
        <v>220</v>
      </c>
      <c r="C112" s="253"/>
    </row>
    <row r="113">
      <c r="A113" s="252"/>
      <c r="B113" s="249" t="s">
        <v>221</v>
      </c>
      <c r="C113" s="253"/>
    </row>
    <row r="114">
      <c r="A114" s="252"/>
      <c r="B114" s="249" t="s">
        <v>222</v>
      </c>
      <c r="C114" s="253"/>
    </row>
    <row r="115">
      <c r="A115" s="252"/>
      <c r="B115" s="249" t="s">
        <v>223</v>
      </c>
      <c r="C115" s="253"/>
    </row>
    <row r="116">
      <c r="A116" s="252"/>
      <c r="B116" s="249" t="s">
        <v>224</v>
      </c>
      <c r="C116" s="253"/>
    </row>
    <row r="117">
      <c r="A117" s="252"/>
      <c r="B117" s="249" t="s">
        <v>225</v>
      </c>
      <c r="C117" s="253"/>
    </row>
    <row r="118" ht="18.0" customHeight="1">
      <c r="A118" s="252"/>
      <c r="B118" s="249" t="s">
        <v>226</v>
      </c>
      <c r="C118" s="253"/>
    </row>
    <row r="119" ht="18.0" customHeight="1">
      <c r="A119" s="252"/>
      <c r="B119" s="249" t="s">
        <v>227</v>
      </c>
      <c r="C119" s="253"/>
    </row>
    <row r="120" ht="18.0" customHeight="1">
      <c r="A120" s="252"/>
      <c r="B120" s="249" t="s">
        <v>228</v>
      </c>
      <c r="C120" s="253"/>
    </row>
    <row r="121" ht="18.0" customHeight="1">
      <c r="A121" s="252"/>
      <c r="B121" s="249" t="s">
        <v>229</v>
      </c>
      <c r="C121" s="253"/>
    </row>
    <row r="122" ht="18.0" customHeight="1">
      <c r="A122" s="252"/>
      <c r="B122" s="249" t="s">
        <v>230</v>
      </c>
      <c r="C122" s="253"/>
    </row>
    <row r="123" ht="18.0" customHeight="1">
      <c r="A123" s="252"/>
      <c r="B123" s="249" t="s">
        <v>231</v>
      </c>
      <c r="C123" s="253"/>
    </row>
    <row r="124" ht="18.0" customHeight="1">
      <c r="A124" s="252"/>
      <c r="B124" s="249" t="s">
        <v>232</v>
      </c>
      <c r="C124" s="253"/>
    </row>
    <row r="125" ht="18.0" customHeight="1">
      <c r="A125" s="252"/>
      <c r="B125" s="249" t="s">
        <v>233</v>
      </c>
      <c r="C125" s="253"/>
    </row>
    <row r="126">
      <c r="A126" s="252"/>
      <c r="B126" s="249" t="s">
        <v>234</v>
      </c>
      <c r="C126" s="253"/>
    </row>
    <row r="127">
      <c r="A127" s="254"/>
      <c r="B127" s="249" t="s">
        <v>235</v>
      </c>
      <c r="C127" s="255"/>
    </row>
    <row r="128" ht="18.0" customHeight="1">
      <c r="A128" s="254"/>
      <c r="B128" s="249" t="s">
        <v>236</v>
      </c>
      <c r="C128" s="255"/>
    </row>
    <row r="129" ht="18.0" customHeight="1">
      <c r="A129" s="254"/>
      <c r="B129" s="249" t="s">
        <v>237</v>
      </c>
      <c r="C129" s="255"/>
    </row>
    <row r="130" ht="18.0" customHeight="1">
      <c r="A130" s="254"/>
      <c r="B130" s="249" t="s">
        <v>238</v>
      </c>
      <c r="C130" s="255"/>
    </row>
    <row r="131" ht="18.0" customHeight="1">
      <c r="A131" s="254"/>
      <c r="B131" s="249" t="s">
        <v>239</v>
      </c>
      <c r="C131" s="255"/>
    </row>
    <row r="132" ht="18.0" customHeight="1">
      <c r="A132" s="254"/>
      <c r="B132" s="249" t="s">
        <v>240</v>
      </c>
      <c r="C132" s="255"/>
    </row>
    <row r="133" ht="18.0" customHeight="1">
      <c r="A133" s="254"/>
      <c r="B133" s="249" t="s">
        <v>241</v>
      </c>
      <c r="C133" s="255"/>
    </row>
    <row r="134" ht="18.0" customHeight="1">
      <c r="A134" s="254"/>
      <c r="B134" s="249" t="s">
        <v>242</v>
      </c>
      <c r="C134" s="255"/>
    </row>
    <row r="135" ht="18.0" customHeight="1">
      <c r="A135" s="252"/>
      <c r="B135" s="249" t="s">
        <v>243</v>
      </c>
      <c r="C135" s="253"/>
    </row>
    <row r="136" ht="18.0" customHeight="1">
      <c r="A136" s="252"/>
      <c r="B136" s="249" t="s">
        <v>244</v>
      </c>
      <c r="C136" s="253"/>
    </row>
    <row r="137">
      <c r="A137" s="252"/>
      <c r="B137" s="249" t="s">
        <v>245</v>
      </c>
      <c r="C137" s="253"/>
    </row>
    <row r="138">
      <c r="A138" s="252"/>
      <c r="B138" s="249" t="s">
        <v>246</v>
      </c>
      <c r="C138" s="253"/>
    </row>
    <row r="139">
      <c r="A139" s="252"/>
      <c r="B139" s="249" t="s">
        <v>247</v>
      </c>
      <c r="C139" s="253"/>
    </row>
    <row r="140">
      <c r="A140" s="252"/>
      <c r="B140" s="249" t="s">
        <v>248</v>
      </c>
      <c r="C140" s="253"/>
    </row>
    <row r="141">
      <c r="A141" s="252"/>
      <c r="B141" s="249" t="s">
        <v>249</v>
      </c>
      <c r="C141" s="253"/>
    </row>
    <row r="142">
      <c r="A142" s="252"/>
      <c r="B142" s="249" t="s">
        <v>250</v>
      </c>
      <c r="C142" s="253"/>
    </row>
    <row r="143">
      <c r="A143" s="252"/>
      <c r="B143" s="249" t="s">
        <v>251</v>
      </c>
      <c r="C143" s="253"/>
    </row>
    <row r="144">
      <c r="A144" s="252"/>
      <c r="B144" s="249" t="s">
        <v>252</v>
      </c>
      <c r="C144" s="253"/>
    </row>
    <row r="145">
      <c r="A145" s="240"/>
      <c r="B145" s="249" t="s">
        <v>253</v>
      </c>
      <c r="C145" s="247"/>
    </row>
    <row r="146">
      <c r="A146" s="252"/>
      <c r="B146" s="249" t="s">
        <v>254</v>
      </c>
      <c r="C146" s="253"/>
    </row>
    <row r="147">
      <c r="A147" s="252"/>
      <c r="B147" s="249" t="s">
        <v>255</v>
      </c>
      <c r="C147" s="253"/>
    </row>
    <row r="148">
      <c r="A148" s="252"/>
      <c r="B148" s="249" t="s">
        <v>256</v>
      </c>
      <c r="C148" s="253"/>
    </row>
    <row r="149">
      <c r="A149" s="252"/>
      <c r="B149" s="249" t="s">
        <v>257</v>
      </c>
      <c r="C149" s="253"/>
    </row>
    <row r="150">
      <c r="A150" s="252"/>
      <c r="B150" s="249" t="s">
        <v>258</v>
      </c>
      <c r="C150" s="253"/>
    </row>
    <row r="151">
      <c r="A151" s="252"/>
      <c r="B151" s="249" t="s">
        <v>259</v>
      </c>
      <c r="C151" s="253"/>
    </row>
    <row r="152">
      <c r="A152" s="252"/>
      <c r="B152" s="249" t="s">
        <v>260</v>
      </c>
      <c r="C152" s="253"/>
    </row>
    <row r="153">
      <c r="A153" s="252"/>
      <c r="B153" s="249" t="s">
        <v>261</v>
      </c>
      <c r="C153" s="253"/>
    </row>
    <row r="154">
      <c r="A154" s="252"/>
      <c r="B154" s="249" t="s">
        <v>262</v>
      </c>
      <c r="C154" s="253"/>
    </row>
    <row r="155" ht="15.75" customHeight="1">
      <c r="A155" s="240"/>
      <c r="B155" s="249" t="s">
        <v>263</v>
      </c>
      <c r="C155" s="247"/>
    </row>
    <row r="156">
      <c r="A156" s="252"/>
      <c r="B156" s="249" t="s">
        <v>264</v>
      </c>
      <c r="C156" s="253"/>
    </row>
    <row r="157">
      <c r="A157" s="252"/>
      <c r="B157" s="249" t="s">
        <v>265</v>
      </c>
      <c r="C157" s="253"/>
    </row>
    <row r="158">
      <c r="A158" s="252"/>
      <c r="B158" s="249" t="s">
        <v>266</v>
      </c>
      <c r="C158" s="253"/>
    </row>
    <row r="159">
      <c r="A159" s="252"/>
      <c r="B159" s="249" t="s">
        <v>267</v>
      </c>
      <c r="C159" s="253"/>
    </row>
    <row r="160">
      <c r="A160" s="252"/>
      <c r="B160" s="249" t="s">
        <v>268</v>
      </c>
      <c r="C160" s="253"/>
    </row>
    <row r="161">
      <c r="A161" s="252"/>
      <c r="B161" s="249" t="s">
        <v>269</v>
      </c>
      <c r="C161" s="253"/>
    </row>
    <row r="162">
      <c r="A162" s="252"/>
      <c r="B162" s="249" t="s">
        <v>270</v>
      </c>
      <c r="C162" s="253"/>
    </row>
    <row r="163">
      <c r="A163" s="252"/>
      <c r="B163" s="249" t="s">
        <v>271</v>
      </c>
      <c r="C163" s="253"/>
    </row>
    <row r="164">
      <c r="A164" s="252"/>
      <c r="B164" s="249" t="s">
        <v>272</v>
      </c>
      <c r="C164" s="253"/>
    </row>
    <row r="165">
      <c r="A165" s="252"/>
      <c r="B165" s="249" t="s">
        <v>273</v>
      </c>
      <c r="C165" s="253"/>
    </row>
    <row r="166">
      <c r="A166" s="252"/>
      <c r="B166" s="249" t="s">
        <v>274</v>
      </c>
      <c r="C166" s="253"/>
    </row>
    <row r="167">
      <c r="A167" s="252"/>
      <c r="B167" s="249" t="s">
        <v>275</v>
      </c>
      <c r="C167" s="253"/>
    </row>
    <row r="168">
      <c r="A168" s="252"/>
      <c r="B168" s="249" t="s">
        <v>276</v>
      </c>
      <c r="C168" s="253"/>
    </row>
    <row r="169">
      <c r="A169" s="252"/>
      <c r="B169" s="249" t="s">
        <v>277</v>
      </c>
      <c r="C169" s="253"/>
    </row>
    <row r="170">
      <c r="A170" s="252"/>
      <c r="B170" s="249" t="s">
        <v>278</v>
      </c>
      <c r="C170" s="253"/>
    </row>
    <row r="171">
      <c r="A171" s="252"/>
      <c r="B171" s="249" t="s">
        <v>279</v>
      </c>
      <c r="C171" s="253"/>
    </row>
    <row r="172">
      <c r="A172" s="252"/>
      <c r="B172" s="249" t="s">
        <v>280</v>
      </c>
      <c r="C172" s="253"/>
    </row>
    <row r="173">
      <c r="A173" s="252"/>
      <c r="B173" s="249" t="s">
        <v>281</v>
      </c>
      <c r="C173" s="253"/>
    </row>
    <row r="174">
      <c r="A174" s="252"/>
      <c r="B174" s="249" t="s">
        <v>282</v>
      </c>
      <c r="C174" s="253"/>
    </row>
    <row r="175">
      <c r="A175" s="252"/>
      <c r="B175" s="249" t="s">
        <v>283</v>
      </c>
      <c r="C175" s="253"/>
    </row>
    <row r="176">
      <c r="A176" s="252"/>
      <c r="B176" s="249" t="s">
        <v>284</v>
      </c>
      <c r="C176" s="253"/>
    </row>
    <row r="177">
      <c r="A177" s="252"/>
      <c r="B177" s="249" t="s">
        <v>285</v>
      </c>
      <c r="C177" s="253"/>
    </row>
    <row r="178">
      <c r="A178" s="252"/>
      <c r="B178" s="249" t="s">
        <v>286</v>
      </c>
      <c r="C178" s="253"/>
    </row>
    <row r="179">
      <c r="A179" s="240"/>
      <c r="B179" s="249" t="s">
        <v>287</v>
      </c>
      <c r="C179" s="247"/>
    </row>
    <row r="180">
      <c r="A180" s="252"/>
      <c r="B180" s="249" t="s">
        <v>288</v>
      </c>
      <c r="C180" s="253"/>
    </row>
    <row r="181">
      <c r="A181" s="252"/>
      <c r="B181" s="249" t="s">
        <v>289</v>
      </c>
      <c r="C181" s="253"/>
    </row>
    <row r="182">
      <c r="A182" s="252"/>
      <c r="B182" s="249" t="s">
        <v>290</v>
      </c>
      <c r="C182" s="253"/>
    </row>
    <row r="183">
      <c r="A183" s="240"/>
      <c r="B183" s="249" t="s">
        <v>291</v>
      </c>
      <c r="C183" s="247"/>
    </row>
    <row r="184">
      <c r="A184" s="252"/>
      <c r="B184" s="249" t="s">
        <v>292</v>
      </c>
      <c r="C184" s="253"/>
    </row>
    <row r="185">
      <c r="A185" s="252"/>
      <c r="B185" s="249" t="s">
        <v>293</v>
      </c>
      <c r="C185" s="253"/>
    </row>
    <row r="186">
      <c r="A186" s="252"/>
      <c r="B186" s="249" t="s">
        <v>294</v>
      </c>
      <c r="C186" s="253"/>
    </row>
    <row r="187">
      <c r="A187" s="240"/>
      <c r="B187" s="249" t="s">
        <v>295</v>
      </c>
      <c r="C187" s="247"/>
    </row>
    <row r="188">
      <c r="A188" s="252"/>
      <c r="B188" s="249" t="s">
        <v>296</v>
      </c>
      <c r="C188" s="253"/>
    </row>
    <row r="189">
      <c r="A189" s="252"/>
      <c r="B189" s="249" t="s">
        <v>297</v>
      </c>
      <c r="C189" s="253"/>
    </row>
    <row r="190">
      <c r="A190" s="252"/>
      <c r="B190" s="249" t="s">
        <v>298</v>
      </c>
      <c r="C190" s="253"/>
    </row>
    <row r="191">
      <c r="A191" s="240"/>
      <c r="B191" s="249" t="s">
        <v>299</v>
      </c>
      <c r="C191" s="247"/>
    </row>
    <row r="192">
      <c r="A192" s="252"/>
      <c r="B192" s="249" t="s">
        <v>300</v>
      </c>
      <c r="C192" s="253"/>
    </row>
    <row r="193">
      <c r="A193" s="252"/>
      <c r="B193" s="249" t="s">
        <v>301</v>
      </c>
      <c r="C193" s="253"/>
    </row>
    <row r="194">
      <c r="A194" s="252"/>
      <c r="B194" s="249" t="s">
        <v>302</v>
      </c>
      <c r="C194" s="253"/>
    </row>
    <row r="195">
      <c r="A195" s="240"/>
      <c r="B195" s="249" t="s">
        <v>105</v>
      </c>
      <c r="C195" s="247"/>
    </row>
    <row r="196">
      <c r="A196" s="252"/>
      <c r="B196" s="249" t="s">
        <v>107</v>
      </c>
      <c r="C196" s="253"/>
    </row>
    <row r="197">
      <c r="A197" s="252"/>
      <c r="B197" s="249" t="s">
        <v>303</v>
      </c>
      <c r="C197" s="253"/>
    </row>
    <row r="198">
      <c r="A198" s="252"/>
      <c r="B198" s="249" t="s">
        <v>304</v>
      </c>
      <c r="C198" s="253"/>
    </row>
    <row r="199">
      <c r="A199" s="240"/>
      <c r="B199" s="249" t="s">
        <v>305</v>
      </c>
      <c r="C199" s="247"/>
    </row>
    <row r="200">
      <c r="A200" s="252"/>
      <c r="B200" s="249" t="s">
        <v>306</v>
      </c>
      <c r="C200" s="253"/>
    </row>
    <row r="201">
      <c r="A201" s="252"/>
      <c r="B201" s="249" t="s">
        <v>307</v>
      </c>
      <c r="C201" s="253"/>
    </row>
    <row r="202">
      <c r="A202" s="252"/>
      <c r="B202" s="249" t="s">
        <v>308</v>
      </c>
      <c r="C202" s="253"/>
    </row>
    <row r="203">
      <c r="A203" s="240"/>
      <c r="B203" s="249" t="s">
        <v>309</v>
      </c>
      <c r="C203" s="247"/>
    </row>
    <row r="204">
      <c r="A204" s="252"/>
      <c r="B204" s="249" t="s">
        <v>310</v>
      </c>
      <c r="C204" s="253"/>
    </row>
    <row r="205">
      <c r="A205" s="252"/>
      <c r="B205" s="249" t="s">
        <v>311</v>
      </c>
      <c r="C205" s="253"/>
    </row>
    <row r="206">
      <c r="A206" s="252"/>
      <c r="B206" s="249" t="s">
        <v>312</v>
      </c>
      <c r="C206" s="253"/>
    </row>
    <row r="207">
      <c r="A207" s="240"/>
      <c r="B207" s="249" t="s">
        <v>313</v>
      </c>
      <c r="C207" s="247"/>
    </row>
    <row r="208">
      <c r="A208" s="252"/>
      <c r="B208" s="249" t="s">
        <v>314</v>
      </c>
      <c r="C208" s="253"/>
    </row>
    <row r="209">
      <c r="A209" s="252"/>
      <c r="B209" s="249" t="s">
        <v>315</v>
      </c>
      <c r="C209" s="253"/>
    </row>
    <row r="210">
      <c r="A210" s="252"/>
      <c r="B210" s="249" t="s">
        <v>316</v>
      </c>
      <c r="C210" s="253"/>
    </row>
    <row r="211">
      <c r="A211" s="240"/>
      <c r="B211" s="249" t="s">
        <v>317</v>
      </c>
      <c r="C211" s="247"/>
    </row>
    <row r="212">
      <c r="A212" s="252"/>
      <c r="B212" s="249" t="s">
        <v>318</v>
      </c>
      <c r="C212" s="253"/>
    </row>
    <row r="213">
      <c r="A213" s="252"/>
      <c r="B213" s="249" t="s">
        <v>319</v>
      </c>
      <c r="C213" s="253"/>
    </row>
    <row r="214">
      <c r="A214" s="252"/>
      <c r="B214" s="249" t="s">
        <v>320</v>
      </c>
      <c r="C214" s="253"/>
    </row>
    <row r="215">
      <c r="A215" s="240"/>
      <c r="B215" s="249" t="s">
        <v>321</v>
      </c>
      <c r="C215" s="247"/>
    </row>
    <row r="216">
      <c r="A216" s="240"/>
      <c r="B216" s="249" t="s">
        <v>113</v>
      </c>
      <c r="C216" s="247"/>
    </row>
    <row r="217">
      <c r="A217" s="252"/>
      <c r="B217" s="249" t="s">
        <v>322</v>
      </c>
      <c r="C217" s="253"/>
    </row>
    <row r="218">
      <c r="A218" s="252"/>
      <c r="B218" s="249" t="s">
        <v>323</v>
      </c>
      <c r="C218" s="253"/>
    </row>
    <row r="219">
      <c r="A219" s="240"/>
      <c r="B219" s="249" t="s">
        <v>324</v>
      </c>
      <c r="C219" s="247"/>
    </row>
    <row r="220">
      <c r="A220" s="252"/>
      <c r="B220" s="249" t="s">
        <v>325</v>
      </c>
      <c r="C220" s="253"/>
    </row>
    <row r="221">
      <c r="A221" s="252"/>
      <c r="B221" s="249" t="s">
        <v>326</v>
      </c>
      <c r="C221" s="253"/>
    </row>
    <row r="222">
      <c r="A222" s="252"/>
      <c r="B222" s="249" t="s">
        <v>327</v>
      </c>
      <c r="C222" s="253"/>
    </row>
    <row r="223">
      <c r="A223" s="240"/>
      <c r="B223" s="249" t="s">
        <v>328</v>
      </c>
      <c r="C223" s="247"/>
    </row>
    <row r="224">
      <c r="A224" s="252"/>
      <c r="B224" s="249" t="s">
        <v>329</v>
      </c>
      <c r="C224" s="253"/>
    </row>
    <row r="225">
      <c r="A225" s="252"/>
      <c r="B225" s="249" t="s">
        <v>330</v>
      </c>
      <c r="C225" s="253"/>
    </row>
    <row r="226">
      <c r="A226" s="252"/>
      <c r="B226" s="249" t="s">
        <v>331</v>
      </c>
      <c r="C226" s="253"/>
    </row>
    <row r="227">
      <c r="A227" s="240"/>
      <c r="B227" s="249" t="s">
        <v>332</v>
      </c>
      <c r="C227" s="247"/>
    </row>
    <row r="228">
      <c r="A228" s="252"/>
      <c r="B228" s="249" t="s">
        <v>333</v>
      </c>
      <c r="C228" s="253"/>
    </row>
    <row r="229">
      <c r="A229" s="252"/>
      <c r="B229" s="249" t="s">
        <v>334</v>
      </c>
      <c r="C229" s="253"/>
    </row>
    <row r="230">
      <c r="A230" s="252"/>
      <c r="B230" s="249" t="s">
        <v>335</v>
      </c>
      <c r="C230" s="253"/>
    </row>
    <row r="231">
      <c r="A231" s="240"/>
      <c r="B231" s="249" t="s">
        <v>336</v>
      </c>
      <c r="C231" s="247"/>
    </row>
    <row r="232">
      <c r="A232" s="252"/>
      <c r="B232" s="249" t="s">
        <v>337</v>
      </c>
      <c r="C232" s="253"/>
    </row>
    <row r="233">
      <c r="A233" s="252"/>
      <c r="B233" s="249" t="s">
        <v>338</v>
      </c>
      <c r="C233" s="253"/>
    </row>
    <row r="234">
      <c r="A234" s="252"/>
      <c r="B234" s="249" t="s">
        <v>339</v>
      </c>
      <c r="C234" s="253"/>
    </row>
    <row r="235">
      <c r="A235" s="240"/>
      <c r="B235" s="249" t="s">
        <v>340</v>
      </c>
      <c r="C235" s="247"/>
    </row>
    <row r="236">
      <c r="A236" s="252"/>
      <c r="B236" s="249" t="s">
        <v>341</v>
      </c>
      <c r="C236" s="253"/>
    </row>
    <row r="237">
      <c r="A237" s="252"/>
      <c r="B237" s="249" t="s">
        <v>342</v>
      </c>
      <c r="C237" s="253"/>
    </row>
    <row r="238">
      <c r="A238" s="252"/>
      <c r="B238" s="249" t="s">
        <v>343</v>
      </c>
      <c r="C238" s="253"/>
    </row>
    <row r="239">
      <c r="A239" s="240"/>
      <c r="B239" s="249" t="s">
        <v>344</v>
      </c>
      <c r="C239" s="247"/>
    </row>
    <row r="240">
      <c r="A240" s="252"/>
      <c r="B240" s="249" t="s">
        <v>345</v>
      </c>
      <c r="C240" s="253"/>
    </row>
    <row r="241">
      <c r="A241" s="252"/>
      <c r="B241" s="249" t="s">
        <v>346</v>
      </c>
      <c r="C241" s="253"/>
    </row>
    <row r="242">
      <c r="A242" s="252"/>
      <c r="B242" s="249" t="s">
        <v>347</v>
      </c>
      <c r="C242" s="253"/>
    </row>
    <row r="243">
      <c r="A243" s="240"/>
      <c r="B243" s="249" t="s">
        <v>348</v>
      </c>
      <c r="C243" s="247"/>
    </row>
    <row r="244">
      <c r="A244" s="240"/>
      <c r="B244" s="249" t="s">
        <v>349</v>
      </c>
      <c r="C244" s="247"/>
    </row>
    <row r="245">
      <c r="A245" s="252"/>
      <c r="B245" s="249" t="s">
        <v>350</v>
      </c>
      <c r="C245" s="253"/>
    </row>
    <row r="246">
      <c r="A246" s="252"/>
      <c r="B246" s="249" t="s">
        <v>351</v>
      </c>
      <c r="C246" s="253"/>
    </row>
    <row r="247">
      <c r="A247" s="240"/>
      <c r="B247" s="249" t="s">
        <v>352</v>
      </c>
      <c r="C247" s="247"/>
    </row>
    <row r="248">
      <c r="A248" s="240"/>
      <c r="B248" s="249" t="s">
        <v>353</v>
      </c>
      <c r="C248" s="247"/>
    </row>
    <row r="249">
      <c r="A249" s="252"/>
      <c r="B249" s="249" t="s">
        <v>354</v>
      </c>
      <c r="C249" s="253"/>
    </row>
    <row r="250">
      <c r="A250" s="252"/>
      <c r="B250" s="249" t="s">
        <v>355</v>
      </c>
      <c r="C250" s="253"/>
    </row>
    <row r="251">
      <c r="A251" s="240"/>
      <c r="B251" s="249" t="s">
        <v>356</v>
      </c>
      <c r="C251" s="247"/>
    </row>
    <row r="252">
      <c r="A252" s="240"/>
      <c r="B252" s="249" t="s">
        <v>357</v>
      </c>
      <c r="C252" s="247"/>
    </row>
    <row r="253">
      <c r="A253" s="252"/>
      <c r="B253" s="249" t="s">
        <v>358</v>
      </c>
      <c r="C253" s="253"/>
    </row>
    <row r="254">
      <c r="A254" s="252"/>
      <c r="B254" s="249" t="s">
        <v>359</v>
      </c>
      <c r="C254" s="253"/>
    </row>
    <row r="255">
      <c r="A255" s="240"/>
      <c r="B255" s="249" t="s">
        <v>360</v>
      </c>
      <c r="C255" s="247"/>
    </row>
    <row r="256">
      <c r="A256" s="240"/>
      <c r="B256" s="249" t="s">
        <v>361</v>
      </c>
      <c r="C256" s="247"/>
    </row>
    <row r="257">
      <c r="A257" s="252"/>
      <c r="B257" s="249" t="s">
        <v>362</v>
      </c>
      <c r="C257" s="253"/>
    </row>
    <row r="258">
      <c r="A258" s="252"/>
      <c r="B258" s="249" t="s">
        <v>363</v>
      </c>
      <c r="C258" s="253"/>
    </row>
    <row r="259">
      <c r="A259" s="240"/>
      <c r="B259" s="249" t="s">
        <v>364</v>
      </c>
      <c r="C259" s="247"/>
    </row>
    <row r="260">
      <c r="A260" s="240"/>
      <c r="B260" s="249" t="s">
        <v>365</v>
      </c>
      <c r="C260" s="247"/>
    </row>
    <row r="261">
      <c r="A261" s="252"/>
      <c r="B261" s="249" t="s">
        <v>366</v>
      </c>
      <c r="C261" s="253"/>
    </row>
    <row r="262">
      <c r="A262" s="252"/>
      <c r="B262" s="249" t="s">
        <v>367</v>
      </c>
      <c r="C262" s="253"/>
    </row>
    <row r="263">
      <c r="A263" s="240"/>
      <c r="B263" s="249" t="s">
        <v>368</v>
      </c>
      <c r="C263" s="247"/>
    </row>
    <row r="264">
      <c r="A264" s="240"/>
      <c r="B264" s="249" t="s">
        <v>369</v>
      </c>
      <c r="C264" s="247"/>
    </row>
    <row r="265">
      <c r="A265" s="252"/>
      <c r="B265" s="249" t="s">
        <v>370</v>
      </c>
      <c r="C265" s="253"/>
    </row>
    <row r="266">
      <c r="A266" s="252"/>
      <c r="B266" s="249" t="s">
        <v>371</v>
      </c>
      <c r="C266" s="253"/>
    </row>
    <row r="267">
      <c r="A267" s="240"/>
      <c r="B267" s="249" t="s">
        <v>372</v>
      </c>
      <c r="C267" s="247"/>
    </row>
    <row r="268">
      <c r="A268" s="240"/>
      <c r="B268" s="249" t="s">
        <v>373</v>
      </c>
      <c r="C268" s="247"/>
    </row>
    <row r="269">
      <c r="A269" s="252"/>
      <c r="B269" s="249" t="s">
        <v>374</v>
      </c>
      <c r="C269" s="253"/>
    </row>
    <row r="270">
      <c r="A270" s="252"/>
      <c r="B270" s="249" t="s">
        <v>375</v>
      </c>
      <c r="C270" s="253"/>
    </row>
    <row r="271">
      <c r="A271" s="240"/>
      <c r="B271" s="249" t="s">
        <v>376</v>
      </c>
      <c r="C271" s="247"/>
    </row>
    <row r="272">
      <c r="A272" s="240"/>
      <c r="B272" s="249" t="s">
        <v>377</v>
      </c>
      <c r="C272" s="247"/>
    </row>
    <row r="273">
      <c r="A273" s="252"/>
      <c r="B273" s="249" t="s">
        <v>378</v>
      </c>
      <c r="C273" s="253"/>
    </row>
    <row r="274">
      <c r="A274" s="252"/>
      <c r="B274" s="249" t="s">
        <v>379</v>
      </c>
      <c r="C274" s="253"/>
    </row>
    <row r="275">
      <c r="A275" s="240"/>
      <c r="B275" s="249" t="s">
        <v>380</v>
      </c>
      <c r="C275" s="247"/>
    </row>
    <row r="276">
      <c r="A276" s="240"/>
      <c r="B276" s="249" t="s">
        <v>381</v>
      </c>
      <c r="C276" s="247"/>
    </row>
    <row r="277">
      <c r="A277" s="252"/>
      <c r="B277" s="249" t="s">
        <v>382</v>
      </c>
      <c r="C277" s="253"/>
    </row>
    <row r="278">
      <c r="A278" s="252"/>
      <c r="B278" s="249" t="s">
        <v>383</v>
      </c>
      <c r="C278" s="253"/>
    </row>
    <row r="279">
      <c r="A279" s="240"/>
      <c r="B279" s="249" t="s">
        <v>384</v>
      </c>
      <c r="C279" s="247"/>
    </row>
    <row r="280">
      <c r="A280" s="240"/>
      <c r="B280" s="249" t="s">
        <v>385</v>
      </c>
      <c r="C280" s="247"/>
    </row>
    <row r="281">
      <c r="A281" s="252"/>
      <c r="B281" s="249" t="s">
        <v>386</v>
      </c>
      <c r="C281" s="253"/>
    </row>
    <row r="282">
      <c r="A282" s="252"/>
      <c r="B282" s="249" t="s">
        <v>387</v>
      </c>
      <c r="C282" s="253"/>
    </row>
    <row r="283">
      <c r="A283" s="240"/>
      <c r="B283" s="249" t="s">
        <v>388</v>
      </c>
      <c r="C283" s="247"/>
    </row>
    <row r="284">
      <c r="A284" s="240"/>
      <c r="B284" s="249" t="s">
        <v>389</v>
      </c>
      <c r="C284" s="247"/>
    </row>
    <row r="285">
      <c r="A285" s="252"/>
      <c r="B285" s="249" t="s">
        <v>390</v>
      </c>
      <c r="C285" s="253"/>
    </row>
    <row r="286">
      <c r="A286" s="252"/>
      <c r="B286" s="249" t="s">
        <v>391</v>
      </c>
      <c r="C286" s="253"/>
    </row>
    <row r="287">
      <c r="A287" s="240"/>
      <c r="B287" s="249" t="s">
        <v>392</v>
      </c>
      <c r="C287" s="247"/>
    </row>
    <row r="288">
      <c r="A288" s="240"/>
      <c r="B288" s="249" t="s">
        <v>393</v>
      </c>
      <c r="C288" s="247"/>
    </row>
    <row r="289">
      <c r="A289" s="252"/>
      <c r="B289" s="249" t="s">
        <v>394</v>
      </c>
      <c r="C289" s="253"/>
    </row>
    <row r="290">
      <c r="A290" s="240"/>
      <c r="B290" s="249" t="s">
        <v>395</v>
      </c>
      <c r="C290" s="247"/>
    </row>
    <row r="291">
      <c r="A291" s="240"/>
      <c r="B291" s="249" t="s">
        <v>396</v>
      </c>
      <c r="C291" s="247"/>
    </row>
    <row r="292">
      <c r="A292" s="240"/>
      <c r="B292" s="249" t="s">
        <v>397</v>
      </c>
      <c r="C292" s="247"/>
    </row>
    <row r="293">
      <c r="A293" s="252"/>
      <c r="B293" s="249" t="s">
        <v>398</v>
      </c>
      <c r="C293" s="253"/>
    </row>
    <row r="294">
      <c r="A294" s="252"/>
      <c r="B294" s="249" t="s">
        <v>399</v>
      </c>
      <c r="C294" s="253"/>
    </row>
    <row r="295">
      <c r="A295" s="240"/>
      <c r="B295" s="249" t="s">
        <v>400</v>
      </c>
      <c r="C295" s="247"/>
    </row>
    <row r="296">
      <c r="A296" s="240"/>
      <c r="B296" s="249" t="s">
        <v>401</v>
      </c>
      <c r="C296" s="247"/>
    </row>
    <row r="297">
      <c r="A297" s="252"/>
      <c r="B297" s="249" t="s">
        <v>402</v>
      </c>
      <c r="C297" s="253"/>
    </row>
    <row r="298">
      <c r="A298" s="252"/>
      <c r="B298" s="249" t="s">
        <v>403</v>
      </c>
      <c r="C298" s="253"/>
    </row>
    <row r="299">
      <c r="A299" s="240"/>
      <c r="B299" s="249" t="s">
        <v>404</v>
      </c>
      <c r="C299" s="247"/>
    </row>
    <row r="300">
      <c r="A300" s="240"/>
      <c r="B300" s="249" t="s">
        <v>405</v>
      </c>
      <c r="C300" s="247"/>
    </row>
    <row r="301">
      <c r="A301" s="252"/>
      <c r="B301" s="249" t="s">
        <v>406</v>
      </c>
      <c r="C301" s="253"/>
    </row>
    <row r="302">
      <c r="A302" s="252"/>
      <c r="B302" s="249" t="s">
        <v>407</v>
      </c>
      <c r="C302" s="253"/>
    </row>
    <row r="303">
      <c r="A303" s="240"/>
      <c r="B303" s="249" t="s">
        <v>408</v>
      </c>
      <c r="C303" s="247"/>
    </row>
    <row r="304">
      <c r="A304" s="240"/>
      <c r="B304" s="249" t="s">
        <v>409</v>
      </c>
      <c r="C304" s="247"/>
    </row>
    <row r="305">
      <c r="A305" s="252"/>
      <c r="B305" s="249" t="s">
        <v>410</v>
      </c>
      <c r="C305" s="253"/>
    </row>
    <row r="306">
      <c r="A306" s="252"/>
      <c r="B306" s="249" t="s">
        <v>411</v>
      </c>
      <c r="C306" s="253"/>
    </row>
    <row r="307">
      <c r="A307" s="240"/>
      <c r="B307" s="249" t="s">
        <v>412</v>
      </c>
      <c r="C307" s="247"/>
    </row>
    <row r="308">
      <c r="A308" s="240"/>
      <c r="B308" s="249" t="s">
        <v>413</v>
      </c>
      <c r="C308" s="247"/>
    </row>
    <row r="309">
      <c r="A309" s="252"/>
      <c r="B309" s="249" t="s">
        <v>414</v>
      </c>
      <c r="C309" s="253"/>
    </row>
    <row r="310">
      <c r="A310" s="252"/>
      <c r="B310" s="249" t="s">
        <v>415</v>
      </c>
      <c r="C310" s="253"/>
    </row>
    <row r="311">
      <c r="A311" s="240"/>
      <c r="B311" s="249" t="s">
        <v>416</v>
      </c>
      <c r="C311" s="247"/>
    </row>
    <row r="312">
      <c r="A312" s="240"/>
      <c r="B312" s="249" t="s">
        <v>417</v>
      </c>
      <c r="C312" s="247"/>
    </row>
    <row r="313">
      <c r="A313" s="252"/>
      <c r="B313" s="249" t="s">
        <v>418</v>
      </c>
      <c r="C313" s="253"/>
    </row>
    <row r="314">
      <c r="A314" s="252"/>
      <c r="B314" s="249" t="s">
        <v>89</v>
      </c>
      <c r="C314" s="253"/>
    </row>
    <row r="315">
      <c r="A315" s="240"/>
      <c r="B315" s="249" t="s">
        <v>84</v>
      </c>
      <c r="C315" s="247"/>
    </row>
    <row r="316">
      <c r="A316" s="240"/>
      <c r="B316" s="249" t="s">
        <v>85</v>
      </c>
      <c r="C316" s="247"/>
    </row>
    <row r="317">
      <c r="A317" s="252"/>
      <c r="B317" s="249" t="s">
        <v>419</v>
      </c>
      <c r="C317" s="253"/>
    </row>
    <row r="318">
      <c r="A318" s="252"/>
      <c r="B318" s="249" t="s">
        <v>420</v>
      </c>
      <c r="C318" s="253"/>
    </row>
    <row r="319">
      <c r="A319" s="240"/>
      <c r="B319" s="249" t="s">
        <v>421</v>
      </c>
      <c r="C319" s="247"/>
    </row>
    <row r="320">
      <c r="A320" s="240"/>
      <c r="B320" s="249" t="s">
        <v>422</v>
      </c>
      <c r="C320" s="247"/>
    </row>
    <row r="321">
      <c r="A321" s="252"/>
      <c r="B321" s="249" t="s">
        <v>423</v>
      </c>
      <c r="C321" s="253"/>
    </row>
    <row r="322">
      <c r="A322" s="252"/>
      <c r="B322" s="249" t="s">
        <v>424</v>
      </c>
      <c r="C322" s="253"/>
    </row>
    <row r="323">
      <c r="A323" s="240"/>
      <c r="B323" s="249" t="s">
        <v>425</v>
      </c>
      <c r="C323" s="247"/>
    </row>
    <row r="324">
      <c r="A324" s="240"/>
      <c r="B324" s="249" t="s">
        <v>426</v>
      </c>
      <c r="C324" s="247"/>
    </row>
    <row r="325">
      <c r="A325" s="252"/>
      <c r="B325" s="249" t="s">
        <v>427</v>
      </c>
      <c r="C325" s="253"/>
    </row>
    <row r="326">
      <c r="A326" s="252"/>
      <c r="B326" s="249" t="s">
        <v>428</v>
      </c>
      <c r="C326" s="253"/>
    </row>
    <row r="327">
      <c r="A327" s="240"/>
      <c r="B327" s="249" t="s">
        <v>429</v>
      </c>
      <c r="C327" s="247"/>
    </row>
    <row r="328">
      <c r="A328" s="240"/>
      <c r="B328" s="249" t="s">
        <v>430</v>
      </c>
      <c r="C328" s="247"/>
    </row>
    <row r="329">
      <c r="A329" s="252"/>
      <c r="B329" s="249" t="s">
        <v>431</v>
      </c>
      <c r="C329" s="253"/>
    </row>
    <row r="330">
      <c r="A330" s="252"/>
      <c r="B330" s="249" t="s">
        <v>432</v>
      </c>
      <c r="C330" s="253"/>
    </row>
    <row r="331">
      <c r="A331" s="240"/>
      <c r="B331" s="249" t="s">
        <v>433</v>
      </c>
      <c r="C331" s="247"/>
    </row>
    <row r="332">
      <c r="A332" s="240"/>
      <c r="B332" s="249" t="s">
        <v>434</v>
      </c>
      <c r="C332" s="247"/>
    </row>
    <row r="333">
      <c r="A333" s="252"/>
      <c r="B333" s="249" t="s">
        <v>435</v>
      </c>
      <c r="C333" s="253"/>
    </row>
    <row r="334">
      <c r="A334" s="252"/>
      <c r="B334" s="249" t="s">
        <v>436</v>
      </c>
      <c r="C334" s="253"/>
    </row>
    <row r="335">
      <c r="A335" s="240"/>
      <c r="B335" s="249" t="s">
        <v>437</v>
      </c>
      <c r="C335" s="247"/>
    </row>
    <row r="336">
      <c r="A336" s="240"/>
      <c r="B336" s="249" t="s">
        <v>438</v>
      </c>
      <c r="C336" s="247"/>
    </row>
    <row r="337">
      <c r="A337" s="252"/>
      <c r="B337" s="249" t="s">
        <v>439</v>
      </c>
      <c r="C337" s="253"/>
    </row>
    <row r="338">
      <c r="A338" s="252"/>
      <c r="B338" s="249" t="s">
        <v>440</v>
      </c>
      <c r="C338" s="253"/>
    </row>
    <row r="339">
      <c r="A339" s="240"/>
      <c r="B339" s="249" t="s">
        <v>441</v>
      </c>
      <c r="C339" s="247"/>
    </row>
    <row r="340">
      <c r="A340" s="240"/>
      <c r="B340" s="249" t="s">
        <v>442</v>
      </c>
      <c r="C340" s="247"/>
    </row>
    <row r="341">
      <c r="A341" s="252"/>
      <c r="B341" s="249" t="s">
        <v>443</v>
      </c>
      <c r="C341" s="253"/>
    </row>
    <row r="342">
      <c r="A342" s="252"/>
      <c r="B342" s="249" t="s">
        <v>444</v>
      </c>
      <c r="C342" s="253"/>
    </row>
    <row r="343">
      <c r="A343" s="240"/>
      <c r="B343" s="249" t="s">
        <v>445</v>
      </c>
      <c r="C343" s="247"/>
    </row>
    <row r="344">
      <c r="A344" s="240"/>
      <c r="B344" s="249" t="s">
        <v>446</v>
      </c>
      <c r="C344" s="247"/>
    </row>
    <row r="345">
      <c r="A345" s="252"/>
      <c r="B345" s="249" t="s">
        <v>447</v>
      </c>
      <c r="C345" s="253"/>
    </row>
    <row r="346">
      <c r="A346" s="252"/>
      <c r="B346" s="249" t="s">
        <v>448</v>
      </c>
      <c r="C346" s="253"/>
    </row>
    <row r="347">
      <c r="A347" s="240"/>
      <c r="B347" s="249" t="s">
        <v>449</v>
      </c>
      <c r="C347" s="247"/>
    </row>
    <row r="348">
      <c r="A348" s="240"/>
      <c r="B348" s="249" t="s">
        <v>450</v>
      </c>
      <c r="C348" s="247"/>
    </row>
    <row r="349">
      <c r="A349" s="252"/>
      <c r="B349" s="249" t="s">
        <v>451</v>
      </c>
      <c r="C349" s="253"/>
    </row>
    <row r="350">
      <c r="A350" s="252"/>
      <c r="B350" s="249" t="s">
        <v>452</v>
      </c>
      <c r="C350" s="253"/>
    </row>
    <row r="351">
      <c r="A351" s="240"/>
      <c r="B351" s="249" t="s">
        <v>453</v>
      </c>
      <c r="C351" s="247"/>
    </row>
    <row r="352">
      <c r="A352" s="240"/>
      <c r="B352" s="249" t="s">
        <v>454</v>
      </c>
      <c r="C352" s="247"/>
    </row>
    <row r="353">
      <c r="A353" s="252"/>
      <c r="B353" s="249" t="s">
        <v>455</v>
      </c>
      <c r="C353" s="253"/>
    </row>
    <row r="354">
      <c r="A354" s="252"/>
      <c r="B354" s="249" t="s">
        <v>456</v>
      </c>
      <c r="C354" s="253"/>
    </row>
    <row r="355">
      <c r="A355" s="240"/>
      <c r="B355" s="249" t="s">
        <v>457</v>
      </c>
      <c r="C355" s="247"/>
    </row>
    <row r="356">
      <c r="A356" s="240"/>
      <c r="B356" s="249" t="s">
        <v>458</v>
      </c>
      <c r="C356" s="247"/>
    </row>
    <row r="357">
      <c r="A357" s="252"/>
      <c r="B357" s="249" t="s">
        <v>459</v>
      </c>
      <c r="C357" s="253"/>
    </row>
    <row r="358">
      <c r="A358" s="240"/>
      <c r="B358" s="249" t="s">
        <v>460</v>
      </c>
      <c r="C358" s="247"/>
    </row>
    <row r="359">
      <c r="A359" s="240"/>
      <c r="B359" s="249" t="s">
        <v>461</v>
      </c>
      <c r="C359" s="247"/>
    </row>
    <row r="360">
      <c r="A360" s="240"/>
      <c r="B360" s="249" t="s">
        <v>462</v>
      </c>
      <c r="C360" s="247"/>
    </row>
    <row r="361">
      <c r="A361" s="240"/>
      <c r="B361" s="249" t="s">
        <v>463</v>
      </c>
      <c r="C361" s="247"/>
    </row>
    <row r="362">
      <c r="A362" s="240"/>
      <c r="B362" s="249" t="s">
        <v>464</v>
      </c>
      <c r="C362" s="247"/>
    </row>
    <row r="363">
      <c r="A363" s="240"/>
      <c r="B363" s="249" t="s">
        <v>465</v>
      </c>
      <c r="C363" s="247"/>
    </row>
    <row r="364">
      <c r="A364" s="240"/>
      <c r="B364" s="249" t="s">
        <v>466</v>
      </c>
      <c r="C364" s="247"/>
    </row>
    <row r="365">
      <c r="A365" s="252"/>
      <c r="B365" s="249" t="s">
        <v>467</v>
      </c>
      <c r="C365" s="253"/>
    </row>
    <row r="366">
      <c r="A366" s="252"/>
      <c r="B366" s="249" t="s">
        <v>468</v>
      </c>
      <c r="C366" s="253"/>
    </row>
    <row r="367">
      <c r="A367" s="240"/>
      <c r="B367" s="249" t="s">
        <v>469</v>
      </c>
      <c r="C367" s="247"/>
    </row>
    <row r="368">
      <c r="A368" s="240"/>
      <c r="B368" s="249" t="s">
        <v>470</v>
      </c>
      <c r="C368" s="247"/>
    </row>
    <row r="369">
      <c r="A369" s="240"/>
      <c r="B369" s="249" t="s">
        <v>471</v>
      </c>
      <c r="C369" s="247"/>
    </row>
    <row r="370">
      <c r="A370" s="252"/>
      <c r="B370" s="249" t="s">
        <v>472</v>
      </c>
      <c r="C370" s="253"/>
    </row>
    <row r="371">
      <c r="A371" s="252"/>
      <c r="B371" s="249" t="s">
        <v>473</v>
      </c>
      <c r="C371" s="253"/>
    </row>
    <row r="372">
      <c r="A372" s="240"/>
      <c r="B372" s="249" t="s">
        <v>474</v>
      </c>
      <c r="C372" s="247"/>
    </row>
    <row r="373">
      <c r="A373" s="240"/>
      <c r="B373" s="249" t="s">
        <v>475</v>
      </c>
      <c r="C373" s="247"/>
    </row>
    <row r="374">
      <c r="A374" s="240"/>
      <c r="B374" s="249" t="s">
        <v>476</v>
      </c>
      <c r="C374" s="247"/>
    </row>
    <row r="375">
      <c r="A375" s="252"/>
      <c r="B375" s="249" t="s">
        <v>477</v>
      </c>
      <c r="C375" s="253"/>
    </row>
    <row r="376">
      <c r="A376" s="252"/>
      <c r="B376" s="249" t="s">
        <v>478</v>
      </c>
      <c r="C376" s="253"/>
    </row>
    <row r="377">
      <c r="A377" s="240"/>
      <c r="B377" s="249" t="s">
        <v>479</v>
      </c>
      <c r="C377" s="247"/>
    </row>
    <row r="378">
      <c r="A378" s="240"/>
      <c r="B378" s="249" t="s">
        <v>480</v>
      </c>
      <c r="C378" s="247"/>
    </row>
    <row r="379">
      <c r="A379" s="252"/>
      <c r="B379" s="249" t="s">
        <v>481</v>
      </c>
      <c r="C379" s="253"/>
    </row>
    <row r="380">
      <c r="A380" s="252"/>
      <c r="B380" s="249" t="s">
        <v>482</v>
      </c>
      <c r="C380" s="253"/>
    </row>
    <row r="381">
      <c r="A381" s="240"/>
      <c r="B381" s="249" t="s">
        <v>483</v>
      </c>
      <c r="C381" s="247"/>
    </row>
    <row r="382">
      <c r="A382" s="240"/>
      <c r="B382" s="249" t="s">
        <v>484</v>
      </c>
      <c r="C382" s="247"/>
    </row>
    <row r="383">
      <c r="A383" s="252"/>
      <c r="B383" s="249" t="s">
        <v>485</v>
      </c>
      <c r="C383" s="253"/>
    </row>
    <row r="384">
      <c r="A384" s="240"/>
      <c r="B384" s="249" t="s">
        <v>486</v>
      </c>
      <c r="C384" s="247"/>
    </row>
    <row r="385">
      <c r="A385" s="240"/>
      <c r="B385" s="249" t="s">
        <v>487</v>
      </c>
      <c r="C385" s="247"/>
    </row>
    <row r="386">
      <c r="A386" s="240"/>
      <c r="B386" s="249" t="s">
        <v>488</v>
      </c>
      <c r="C386" s="247"/>
    </row>
    <row r="387">
      <c r="A387" s="252"/>
      <c r="B387" s="249" t="s">
        <v>489</v>
      </c>
      <c r="C387" s="253"/>
    </row>
    <row r="388">
      <c r="A388" s="252"/>
      <c r="B388" s="249" t="s">
        <v>490</v>
      </c>
      <c r="C388" s="253"/>
    </row>
    <row r="389">
      <c r="A389" s="240"/>
      <c r="B389" s="249" t="s">
        <v>491</v>
      </c>
      <c r="C389" s="247"/>
    </row>
    <row r="390">
      <c r="A390" s="240"/>
      <c r="B390" s="249" t="s">
        <v>492</v>
      </c>
      <c r="C390" s="247"/>
    </row>
    <row r="391">
      <c r="A391" s="252"/>
      <c r="B391" s="249" t="s">
        <v>493</v>
      </c>
      <c r="C391" s="253"/>
    </row>
    <row r="392">
      <c r="A392" s="252"/>
      <c r="B392" s="249" t="s">
        <v>494</v>
      </c>
      <c r="C392" s="253"/>
    </row>
    <row r="393">
      <c r="A393" s="240"/>
      <c r="B393" s="249" t="s">
        <v>495</v>
      </c>
      <c r="C393" s="247"/>
    </row>
    <row r="394">
      <c r="A394" s="252"/>
      <c r="B394" s="249" t="s">
        <v>496</v>
      </c>
      <c r="C394" s="253"/>
    </row>
    <row r="395">
      <c r="A395" s="252"/>
      <c r="B395" s="249" t="s">
        <v>497</v>
      </c>
      <c r="C395" s="253"/>
    </row>
    <row r="396">
      <c r="A396" s="240"/>
      <c r="B396" s="249" t="s">
        <v>498</v>
      </c>
      <c r="C396" s="247"/>
    </row>
    <row r="397">
      <c r="A397" s="240"/>
      <c r="B397" s="249" t="s">
        <v>499</v>
      </c>
      <c r="C397" s="247"/>
    </row>
    <row r="398">
      <c r="A398" s="240"/>
      <c r="B398" s="249" t="s">
        <v>500</v>
      </c>
      <c r="C398" s="247"/>
    </row>
    <row r="399">
      <c r="A399" s="240"/>
      <c r="B399" s="249" t="s">
        <v>501</v>
      </c>
      <c r="C399" s="247"/>
    </row>
    <row r="400">
      <c r="A400" s="252"/>
      <c r="B400" s="249" t="s">
        <v>502</v>
      </c>
      <c r="C400" s="253"/>
    </row>
    <row r="401">
      <c r="A401" s="240"/>
      <c r="B401" s="249" t="s">
        <v>503</v>
      </c>
      <c r="C401" s="247"/>
    </row>
    <row r="402">
      <c r="A402" s="240"/>
      <c r="B402" s="249" t="s">
        <v>504</v>
      </c>
      <c r="C402" s="247"/>
    </row>
    <row r="403">
      <c r="A403" s="240"/>
      <c r="B403" s="249" t="s">
        <v>505</v>
      </c>
      <c r="C403" s="247"/>
    </row>
    <row r="404">
      <c r="A404" s="240"/>
      <c r="B404" s="249" t="s">
        <v>506</v>
      </c>
      <c r="C404" s="247"/>
    </row>
    <row r="405">
      <c r="A405" s="252"/>
      <c r="B405" s="249" t="s">
        <v>507</v>
      </c>
      <c r="C405" s="253"/>
    </row>
    <row r="406">
      <c r="A406" s="240"/>
      <c r="B406" s="249" t="s">
        <v>508</v>
      </c>
      <c r="C406" s="247"/>
    </row>
    <row r="407">
      <c r="A407" s="240"/>
      <c r="B407" s="249" t="s">
        <v>509</v>
      </c>
      <c r="C407" s="247"/>
    </row>
    <row r="408">
      <c r="A408" s="240"/>
      <c r="B408" s="249" t="s">
        <v>510</v>
      </c>
      <c r="C408" s="247"/>
    </row>
    <row r="409">
      <c r="A409" s="240"/>
      <c r="B409" s="249" t="s">
        <v>511</v>
      </c>
      <c r="C409" s="247"/>
    </row>
    <row r="410">
      <c r="A410" s="240"/>
      <c r="B410" s="249" t="s">
        <v>512</v>
      </c>
      <c r="C410" s="247"/>
    </row>
    <row r="411">
      <c r="A411" s="240"/>
      <c r="B411" s="249" t="s">
        <v>513</v>
      </c>
      <c r="C411" s="247"/>
    </row>
    <row r="412">
      <c r="A412" s="240"/>
      <c r="B412" s="249" t="s">
        <v>514</v>
      </c>
      <c r="C412" s="247"/>
    </row>
    <row r="413">
      <c r="A413" s="240"/>
      <c r="B413" s="249" t="s">
        <v>515</v>
      </c>
      <c r="C413" s="247"/>
    </row>
    <row r="414">
      <c r="A414" s="240"/>
      <c r="B414" s="249" t="s">
        <v>516</v>
      </c>
      <c r="C414" s="247"/>
    </row>
    <row r="415">
      <c r="A415" s="240"/>
      <c r="B415" s="249" t="s">
        <v>517</v>
      </c>
      <c r="C415" s="247"/>
    </row>
    <row r="416">
      <c r="A416" s="240"/>
      <c r="B416" s="249" t="s">
        <v>518</v>
      </c>
      <c r="C416" s="247"/>
    </row>
    <row r="417">
      <c r="A417" s="240"/>
      <c r="B417" s="249" t="s">
        <v>519</v>
      </c>
      <c r="C417" s="247"/>
    </row>
    <row r="418">
      <c r="A418" s="240"/>
      <c r="B418" s="249" t="s">
        <v>520</v>
      </c>
      <c r="C418" s="247"/>
    </row>
    <row r="419">
      <c r="A419" s="240"/>
      <c r="B419" s="249" t="s">
        <v>521</v>
      </c>
      <c r="C419" s="247"/>
    </row>
    <row r="420">
      <c r="A420" s="240"/>
      <c r="B420" s="249" t="s">
        <v>522</v>
      </c>
      <c r="C420" s="247"/>
    </row>
    <row r="421">
      <c r="A421" s="240"/>
      <c r="B421" s="249" t="s">
        <v>523</v>
      </c>
      <c r="C421" s="247"/>
    </row>
    <row r="422">
      <c r="A422" s="240"/>
      <c r="B422" s="249" t="s">
        <v>524</v>
      </c>
      <c r="C422" s="247"/>
    </row>
    <row r="423">
      <c r="A423" s="240"/>
      <c r="B423" s="249" t="s">
        <v>525</v>
      </c>
      <c r="C423" s="247"/>
    </row>
    <row r="424">
      <c r="A424" s="240"/>
      <c r="B424" s="249" t="s">
        <v>526</v>
      </c>
      <c r="C424" s="247"/>
    </row>
    <row r="425">
      <c r="A425" s="240"/>
      <c r="B425" s="249" t="s">
        <v>527</v>
      </c>
      <c r="C425" s="247"/>
    </row>
    <row r="426">
      <c r="A426" s="240"/>
      <c r="B426" s="249" t="s">
        <v>528</v>
      </c>
      <c r="C426" s="247"/>
    </row>
    <row r="427">
      <c r="A427" s="240"/>
      <c r="B427" s="249" t="s">
        <v>529</v>
      </c>
      <c r="C427" s="247"/>
    </row>
    <row r="428">
      <c r="A428" s="240"/>
      <c r="B428" s="249" t="s">
        <v>530</v>
      </c>
      <c r="C428" s="247"/>
    </row>
    <row r="429">
      <c r="A429" s="240"/>
      <c r="B429" s="249" t="s">
        <v>531</v>
      </c>
      <c r="C429" s="247"/>
    </row>
    <row r="430">
      <c r="A430" s="240"/>
      <c r="B430" s="249" t="s">
        <v>532</v>
      </c>
      <c r="C430" s="247"/>
    </row>
    <row r="431">
      <c r="A431" s="240"/>
      <c r="B431" s="249" t="s">
        <v>533</v>
      </c>
      <c r="C431" s="247"/>
    </row>
    <row r="432">
      <c r="A432" s="240"/>
      <c r="B432" s="249" t="s">
        <v>534</v>
      </c>
      <c r="C432" s="247"/>
    </row>
    <row r="433">
      <c r="A433" s="240"/>
      <c r="B433" s="249" t="s">
        <v>535</v>
      </c>
      <c r="C433" s="247"/>
    </row>
    <row r="434">
      <c r="A434" s="240"/>
      <c r="B434" s="249" t="s">
        <v>536</v>
      </c>
      <c r="C434" s="247"/>
    </row>
    <row r="435">
      <c r="A435" s="240"/>
      <c r="B435" s="249" t="s">
        <v>537</v>
      </c>
      <c r="C435" s="247"/>
    </row>
    <row r="436">
      <c r="A436" s="240"/>
      <c r="B436" s="249" t="s">
        <v>538</v>
      </c>
      <c r="C436" s="247"/>
    </row>
    <row r="437">
      <c r="A437" s="240"/>
      <c r="B437" s="249" t="s">
        <v>539</v>
      </c>
      <c r="C437" s="247"/>
    </row>
    <row r="438">
      <c r="A438" s="240"/>
      <c r="B438" s="249" t="s">
        <v>540</v>
      </c>
      <c r="C438" s="247"/>
    </row>
    <row r="439">
      <c r="A439" s="240"/>
      <c r="B439" s="249" t="s">
        <v>541</v>
      </c>
      <c r="C439" s="247"/>
    </row>
    <row r="440">
      <c r="A440" s="240"/>
      <c r="B440" s="249" t="s">
        <v>542</v>
      </c>
      <c r="C440" s="247"/>
    </row>
    <row r="441">
      <c r="A441" s="240"/>
      <c r="B441" s="249" t="s">
        <v>543</v>
      </c>
      <c r="C441" s="247"/>
    </row>
    <row r="442">
      <c r="A442" s="240"/>
      <c r="B442" s="249" t="s">
        <v>544</v>
      </c>
      <c r="C442" s="247"/>
    </row>
    <row r="443">
      <c r="A443" s="240"/>
      <c r="B443" s="249" t="s">
        <v>545</v>
      </c>
      <c r="C443" s="247"/>
    </row>
    <row r="444">
      <c r="A444" s="240"/>
      <c r="B444" s="249" t="s">
        <v>546</v>
      </c>
      <c r="C444" s="247"/>
    </row>
    <row r="445">
      <c r="A445" s="240"/>
      <c r="B445" s="249" t="s">
        <v>547</v>
      </c>
      <c r="C445" s="247"/>
    </row>
    <row r="446">
      <c r="A446" s="240"/>
      <c r="B446" s="249" t="s">
        <v>548</v>
      </c>
      <c r="C446" s="247"/>
    </row>
    <row r="447">
      <c r="A447" s="240"/>
      <c r="B447" s="249" t="s">
        <v>549</v>
      </c>
      <c r="C447" s="247"/>
    </row>
    <row r="448">
      <c r="A448" s="240"/>
      <c r="B448" s="249" t="s">
        <v>550</v>
      </c>
      <c r="C448" s="247"/>
    </row>
    <row r="449">
      <c r="A449" s="240"/>
      <c r="B449" s="249" t="s">
        <v>551</v>
      </c>
      <c r="C449" s="247"/>
    </row>
    <row r="450">
      <c r="A450" s="240"/>
      <c r="B450" s="249" t="s">
        <v>552</v>
      </c>
      <c r="C450" s="247"/>
    </row>
    <row r="451">
      <c r="A451" s="240"/>
      <c r="B451" s="249" t="s">
        <v>553</v>
      </c>
      <c r="C451" s="247"/>
    </row>
    <row r="452">
      <c r="A452" s="240"/>
      <c r="B452" s="249" t="s">
        <v>554</v>
      </c>
      <c r="C452" s="247"/>
    </row>
    <row r="453">
      <c r="A453" s="240"/>
      <c r="B453" s="249" t="s">
        <v>555</v>
      </c>
      <c r="C453" s="247"/>
    </row>
    <row r="454">
      <c r="A454" s="240"/>
      <c r="B454" s="249" t="s">
        <v>556</v>
      </c>
      <c r="C454" s="247"/>
    </row>
    <row r="455">
      <c r="A455" s="240"/>
      <c r="B455" s="249" t="s">
        <v>557</v>
      </c>
      <c r="C455" s="247"/>
    </row>
    <row r="456">
      <c r="A456" s="240"/>
      <c r="B456" s="249" t="s">
        <v>558</v>
      </c>
      <c r="C456" s="247"/>
    </row>
    <row r="457">
      <c r="A457" s="240"/>
      <c r="B457" s="249" t="s">
        <v>559</v>
      </c>
      <c r="C457" s="247"/>
    </row>
    <row r="458">
      <c r="A458" s="240"/>
      <c r="B458" s="249" t="s">
        <v>560</v>
      </c>
      <c r="C458" s="247"/>
    </row>
    <row r="459">
      <c r="A459" s="240"/>
      <c r="B459" s="249" t="s">
        <v>561</v>
      </c>
      <c r="C459" s="247"/>
    </row>
    <row r="460">
      <c r="A460" s="240"/>
      <c r="B460" s="249" t="s">
        <v>562</v>
      </c>
      <c r="C460" s="247"/>
    </row>
    <row r="461">
      <c r="A461" s="240"/>
      <c r="B461" s="249" t="s">
        <v>563</v>
      </c>
      <c r="C461" s="247"/>
    </row>
    <row r="462">
      <c r="A462" s="240"/>
      <c r="B462" s="249" t="s">
        <v>564</v>
      </c>
      <c r="C462" s="247"/>
    </row>
    <row r="463">
      <c r="A463" s="240"/>
      <c r="B463" s="249" t="s">
        <v>565</v>
      </c>
      <c r="C463" s="247"/>
    </row>
    <row r="464">
      <c r="A464" s="240"/>
      <c r="B464" s="249" t="s">
        <v>566</v>
      </c>
      <c r="C464" s="247"/>
    </row>
    <row r="465">
      <c r="A465" s="240"/>
      <c r="B465" s="249" t="s">
        <v>567</v>
      </c>
      <c r="C465" s="247"/>
    </row>
    <row r="466">
      <c r="A466" s="240"/>
      <c r="B466" s="249" t="s">
        <v>568</v>
      </c>
      <c r="C466" s="247"/>
    </row>
    <row r="467">
      <c r="A467" s="240"/>
      <c r="B467" s="249" t="s">
        <v>569</v>
      </c>
      <c r="C467" s="247"/>
    </row>
    <row r="468">
      <c r="A468" s="240"/>
      <c r="B468" s="249" t="s">
        <v>570</v>
      </c>
      <c r="C468" s="247"/>
    </row>
    <row r="469">
      <c r="A469" s="240"/>
      <c r="B469" s="249" t="s">
        <v>571</v>
      </c>
      <c r="C469" s="247"/>
    </row>
    <row r="470">
      <c r="A470" s="240"/>
      <c r="B470" s="249" t="s">
        <v>572</v>
      </c>
      <c r="C470" s="247"/>
    </row>
    <row r="471">
      <c r="A471" s="240"/>
      <c r="B471" s="249" t="s">
        <v>573</v>
      </c>
      <c r="C471" s="247"/>
    </row>
    <row r="472">
      <c r="A472" s="240"/>
      <c r="B472" s="249" t="s">
        <v>574</v>
      </c>
      <c r="C472" s="247"/>
    </row>
    <row r="473">
      <c r="A473" s="240"/>
      <c r="B473" s="249" t="s">
        <v>575</v>
      </c>
      <c r="C473" s="247"/>
    </row>
    <row r="474">
      <c r="A474" s="240"/>
      <c r="B474" s="249" t="s">
        <v>576</v>
      </c>
      <c r="C474" s="247"/>
    </row>
    <row r="475">
      <c r="A475" s="240"/>
      <c r="B475" s="249" t="s">
        <v>577</v>
      </c>
      <c r="C475" s="247"/>
    </row>
    <row r="476">
      <c r="A476" s="240"/>
      <c r="B476" s="249" t="s">
        <v>578</v>
      </c>
      <c r="C476" s="247"/>
    </row>
    <row r="477">
      <c r="A477" s="240"/>
      <c r="B477" s="249" t="s">
        <v>579</v>
      </c>
      <c r="C477" s="247"/>
    </row>
    <row r="478">
      <c r="A478" s="240"/>
      <c r="B478" s="249" t="s">
        <v>580</v>
      </c>
      <c r="C478" s="247"/>
    </row>
    <row r="479">
      <c r="A479" s="240"/>
      <c r="B479" s="249" t="s">
        <v>581</v>
      </c>
      <c r="C479" s="247"/>
    </row>
    <row r="480">
      <c r="A480" s="240"/>
      <c r="B480" s="249" t="s">
        <v>582</v>
      </c>
      <c r="C480" s="247"/>
    </row>
    <row r="481">
      <c r="A481" s="240"/>
      <c r="B481" s="249" t="s">
        <v>583</v>
      </c>
      <c r="C481" s="247"/>
    </row>
    <row r="482">
      <c r="A482" s="240"/>
      <c r="B482" s="249" t="s">
        <v>584</v>
      </c>
      <c r="C482" s="247"/>
    </row>
    <row r="483">
      <c r="A483" s="240"/>
      <c r="B483" s="249" t="s">
        <v>585</v>
      </c>
      <c r="C483" s="247"/>
    </row>
    <row r="484">
      <c r="A484" s="240"/>
      <c r="B484" s="249" t="s">
        <v>586</v>
      </c>
      <c r="C484" s="247"/>
    </row>
    <row r="485">
      <c r="A485" s="240"/>
      <c r="B485" s="249" t="s">
        <v>587</v>
      </c>
      <c r="C485" s="247"/>
    </row>
    <row r="486">
      <c r="A486" s="240"/>
      <c r="B486" s="249" t="s">
        <v>588</v>
      </c>
      <c r="C486" s="247"/>
    </row>
    <row r="487">
      <c r="A487" s="240"/>
      <c r="B487" s="249" t="s">
        <v>589</v>
      </c>
      <c r="C487" s="247"/>
    </row>
    <row r="488">
      <c r="A488" s="240"/>
      <c r="B488" s="249" t="s">
        <v>590</v>
      </c>
      <c r="C488" s="247"/>
    </row>
    <row r="489">
      <c r="A489" s="240"/>
      <c r="B489" s="249" t="s">
        <v>591</v>
      </c>
      <c r="C489" s="247"/>
    </row>
    <row r="490">
      <c r="A490" s="240"/>
      <c r="B490" s="249" t="s">
        <v>592</v>
      </c>
      <c r="C490" s="247"/>
    </row>
    <row r="491">
      <c r="A491" s="240"/>
      <c r="B491" s="249" t="s">
        <v>593</v>
      </c>
      <c r="C491" s="247"/>
    </row>
    <row r="492">
      <c r="A492" s="240"/>
      <c r="B492" s="249" t="s">
        <v>594</v>
      </c>
      <c r="C492" s="247"/>
    </row>
    <row r="493">
      <c r="A493" s="240"/>
      <c r="B493" s="249" t="s">
        <v>595</v>
      </c>
      <c r="C493" s="247"/>
    </row>
    <row r="494">
      <c r="A494" s="240"/>
      <c r="B494" s="249" t="s">
        <v>596</v>
      </c>
      <c r="C494" s="247"/>
    </row>
    <row r="495">
      <c r="A495" s="240"/>
      <c r="B495" s="249" t="s">
        <v>597</v>
      </c>
      <c r="C495" s="247"/>
    </row>
    <row r="496">
      <c r="A496" s="240"/>
      <c r="B496" s="249" t="s">
        <v>598</v>
      </c>
      <c r="C496" s="247"/>
    </row>
    <row r="497">
      <c r="A497" s="240"/>
      <c r="B497" s="249" t="s">
        <v>599</v>
      </c>
      <c r="C497" s="247"/>
    </row>
    <row r="498">
      <c r="A498" s="240"/>
      <c r="B498" s="249" t="s">
        <v>600</v>
      </c>
      <c r="C498" s="247"/>
    </row>
    <row r="499">
      <c r="A499" s="240"/>
      <c r="B499" s="249" t="s">
        <v>601</v>
      </c>
      <c r="C499" s="247"/>
    </row>
    <row r="500">
      <c r="A500" s="240"/>
      <c r="B500" s="249" t="s">
        <v>602</v>
      </c>
      <c r="C500" s="247"/>
    </row>
    <row r="501">
      <c r="A501" s="240"/>
      <c r="B501" s="249" t="s">
        <v>603</v>
      </c>
      <c r="C501" s="247"/>
    </row>
    <row r="502">
      <c r="A502" s="240"/>
      <c r="B502" s="249" t="s">
        <v>604</v>
      </c>
      <c r="C502" s="247"/>
    </row>
    <row r="503">
      <c r="A503" s="240"/>
      <c r="B503" s="249" t="s">
        <v>605</v>
      </c>
      <c r="C503" s="247"/>
    </row>
    <row r="504">
      <c r="A504" s="240"/>
      <c r="B504" s="249" t="s">
        <v>606</v>
      </c>
      <c r="C504" s="247"/>
    </row>
    <row r="505">
      <c r="A505" s="240"/>
      <c r="B505" s="249" t="s">
        <v>607</v>
      </c>
      <c r="C505" s="247"/>
    </row>
    <row r="506">
      <c r="A506" s="240"/>
      <c r="B506" s="249" t="s">
        <v>608</v>
      </c>
      <c r="C506" s="247"/>
    </row>
    <row r="507">
      <c r="A507" s="240"/>
      <c r="B507" s="249" t="s">
        <v>609</v>
      </c>
      <c r="C507" s="247"/>
    </row>
    <row r="508">
      <c r="A508" s="240"/>
      <c r="B508" s="249" t="s">
        <v>610</v>
      </c>
      <c r="C508" s="247"/>
    </row>
    <row r="509">
      <c r="A509" s="240"/>
      <c r="B509" s="249" t="s">
        <v>611</v>
      </c>
      <c r="C509" s="247"/>
    </row>
    <row r="510">
      <c r="A510" s="240"/>
      <c r="B510" s="249" t="s">
        <v>612</v>
      </c>
      <c r="C510" s="247"/>
    </row>
    <row r="511">
      <c r="A511" s="240"/>
      <c r="B511" s="249" t="s">
        <v>613</v>
      </c>
      <c r="C511" s="247"/>
    </row>
    <row r="512">
      <c r="A512" s="240"/>
      <c r="B512" s="249" t="s">
        <v>614</v>
      </c>
      <c r="C512" s="247"/>
    </row>
    <row r="513">
      <c r="A513" s="240"/>
      <c r="B513" s="249" t="s">
        <v>615</v>
      </c>
      <c r="C513" s="247"/>
    </row>
    <row r="514">
      <c r="A514" s="240"/>
      <c r="B514" s="249" t="s">
        <v>616</v>
      </c>
      <c r="C514" s="247"/>
    </row>
    <row r="515">
      <c r="A515" s="240"/>
      <c r="B515" s="249" t="s">
        <v>617</v>
      </c>
      <c r="C515" s="247"/>
    </row>
    <row r="516">
      <c r="A516" s="240"/>
      <c r="B516" s="249" t="s">
        <v>618</v>
      </c>
      <c r="C516" s="247"/>
    </row>
    <row r="517">
      <c r="A517" s="240"/>
      <c r="B517" s="249" t="s">
        <v>619</v>
      </c>
      <c r="C517" s="247"/>
    </row>
    <row r="518">
      <c r="A518" s="240"/>
      <c r="B518" s="249" t="s">
        <v>620</v>
      </c>
      <c r="C518" s="247"/>
    </row>
    <row r="519">
      <c r="A519" s="240"/>
      <c r="B519" s="249" t="s">
        <v>621</v>
      </c>
      <c r="C519" s="247"/>
    </row>
    <row r="520">
      <c r="A520" s="240"/>
      <c r="B520" s="249" t="s">
        <v>622</v>
      </c>
      <c r="C520" s="247"/>
    </row>
    <row r="521">
      <c r="A521" s="240"/>
      <c r="B521" s="249" t="s">
        <v>623</v>
      </c>
      <c r="C521" s="247"/>
    </row>
    <row r="522">
      <c r="A522" s="240"/>
      <c r="B522" s="249" t="s">
        <v>624</v>
      </c>
      <c r="C522" s="247"/>
    </row>
    <row r="523">
      <c r="A523" s="240"/>
      <c r="B523" s="249" t="s">
        <v>625</v>
      </c>
      <c r="C523" s="247"/>
    </row>
    <row r="524">
      <c r="A524" s="240"/>
      <c r="B524" s="249" t="s">
        <v>626</v>
      </c>
      <c r="C524" s="247"/>
    </row>
    <row r="525">
      <c r="A525" s="240"/>
      <c r="B525" s="249" t="s">
        <v>627</v>
      </c>
      <c r="C525" s="247"/>
    </row>
    <row r="526">
      <c r="A526" s="240"/>
      <c r="B526" s="249" t="s">
        <v>628</v>
      </c>
      <c r="C526" s="247"/>
    </row>
    <row r="527">
      <c r="A527" s="240"/>
      <c r="B527" s="249" t="s">
        <v>629</v>
      </c>
      <c r="C527" s="247"/>
    </row>
    <row r="528">
      <c r="A528" s="240"/>
      <c r="B528" s="249" t="s">
        <v>630</v>
      </c>
      <c r="C528" s="247"/>
    </row>
    <row r="529">
      <c r="A529" s="240"/>
      <c r="B529" s="249" t="s">
        <v>631</v>
      </c>
      <c r="C529" s="247"/>
    </row>
    <row r="530">
      <c r="A530" s="240"/>
      <c r="B530" s="249" t="s">
        <v>632</v>
      </c>
      <c r="C530" s="247"/>
    </row>
    <row r="531">
      <c r="A531" s="240"/>
      <c r="B531" s="249" t="s">
        <v>633</v>
      </c>
      <c r="C531" s="247"/>
    </row>
    <row r="532">
      <c r="A532" s="240"/>
      <c r="B532" s="249" t="s">
        <v>634</v>
      </c>
      <c r="C532" s="247"/>
    </row>
    <row r="533">
      <c r="A533" s="240"/>
      <c r="B533" s="249" t="s">
        <v>635</v>
      </c>
      <c r="C533" s="247"/>
    </row>
    <row r="534">
      <c r="A534" s="240"/>
      <c r="B534" s="249" t="s">
        <v>636</v>
      </c>
      <c r="C534" s="247"/>
    </row>
    <row r="535">
      <c r="A535" s="240"/>
      <c r="B535" s="249" t="s">
        <v>637</v>
      </c>
      <c r="C535" s="247"/>
    </row>
    <row r="536">
      <c r="A536" s="240"/>
      <c r="B536" s="249" t="s">
        <v>638</v>
      </c>
      <c r="C536" s="247"/>
    </row>
    <row r="537">
      <c r="A537" s="240"/>
      <c r="B537" s="249" t="s">
        <v>639</v>
      </c>
      <c r="C537" s="247"/>
    </row>
    <row r="538">
      <c r="A538" s="240"/>
      <c r="B538" s="249" t="s">
        <v>640</v>
      </c>
      <c r="C538" s="247"/>
    </row>
    <row r="539">
      <c r="A539" s="240"/>
      <c r="B539" s="249" t="s">
        <v>641</v>
      </c>
      <c r="C539" s="247"/>
    </row>
    <row r="540">
      <c r="A540" s="240"/>
      <c r="B540" s="249" t="s">
        <v>642</v>
      </c>
      <c r="C540" s="247"/>
    </row>
    <row r="541">
      <c r="A541" s="240"/>
      <c r="B541" s="249" t="s">
        <v>643</v>
      </c>
      <c r="C541" s="247"/>
    </row>
    <row r="542">
      <c r="A542" s="240"/>
      <c r="B542" s="249" t="s">
        <v>644</v>
      </c>
      <c r="C542" s="247"/>
    </row>
    <row r="543">
      <c r="A543" s="240"/>
      <c r="B543" s="249" t="s">
        <v>645</v>
      </c>
      <c r="C543" s="247"/>
    </row>
    <row r="544">
      <c r="A544" s="240"/>
      <c r="B544" s="249" t="s">
        <v>646</v>
      </c>
      <c r="C544" s="247"/>
    </row>
    <row r="545">
      <c r="A545" s="240"/>
      <c r="B545" s="249" t="s">
        <v>647</v>
      </c>
      <c r="C545" s="247"/>
    </row>
    <row r="546">
      <c r="A546" s="240"/>
      <c r="B546" s="250" t="s">
        <v>648</v>
      </c>
      <c r="C546" s="247"/>
    </row>
    <row r="547">
      <c r="A547" s="240"/>
      <c r="B547" s="250" t="s">
        <v>649</v>
      </c>
      <c r="C547" s="247"/>
    </row>
    <row r="548">
      <c r="A548" s="240"/>
      <c r="B548" s="250" t="s">
        <v>650</v>
      </c>
      <c r="C548" s="247"/>
    </row>
    <row r="549">
      <c r="A549" s="240"/>
      <c r="B549" s="250" t="s">
        <v>651</v>
      </c>
      <c r="C549" s="247"/>
    </row>
    <row r="550">
      <c r="A550" s="240"/>
      <c r="B550" s="250" t="s">
        <v>652</v>
      </c>
      <c r="C550" s="247"/>
    </row>
    <row r="551">
      <c r="A551" s="240"/>
      <c r="B551" s="250" t="s">
        <v>653</v>
      </c>
      <c r="C551" s="247"/>
    </row>
    <row r="552">
      <c r="A552" s="240"/>
      <c r="B552" s="250" t="s">
        <v>654</v>
      </c>
      <c r="C552" s="247"/>
    </row>
    <row r="553">
      <c r="A553" s="240"/>
      <c r="B553" s="250" t="s">
        <v>655</v>
      </c>
      <c r="C553" s="247"/>
    </row>
    <row r="554">
      <c r="A554" s="240"/>
      <c r="B554" s="250" t="s">
        <v>656</v>
      </c>
      <c r="C554" s="247"/>
    </row>
    <row r="555">
      <c r="A555" s="240"/>
      <c r="B555" s="250" t="s">
        <v>657</v>
      </c>
      <c r="C555" s="247"/>
    </row>
    <row r="556">
      <c r="A556" s="240"/>
      <c r="B556" s="250" t="s">
        <v>658</v>
      </c>
      <c r="C556" s="247"/>
    </row>
    <row r="557">
      <c r="A557" s="240"/>
      <c r="B557" s="250" t="s">
        <v>659</v>
      </c>
      <c r="C557" s="247"/>
    </row>
    <row r="558">
      <c r="A558" s="240"/>
      <c r="B558" s="250" t="s">
        <v>660</v>
      </c>
      <c r="C558" s="247"/>
    </row>
    <row r="559">
      <c r="A559" s="240"/>
      <c r="B559" s="250" t="s">
        <v>661</v>
      </c>
      <c r="C559" s="247"/>
    </row>
    <row r="560">
      <c r="A560" s="240"/>
      <c r="B560" s="250" t="s">
        <v>662</v>
      </c>
      <c r="C560" s="247"/>
    </row>
    <row r="561">
      <c r="A561" s="240"/>
      <c r="B561" s="250" t="s">
        <v>663</v>
      </c>
      <c r="C561" s="247"/>
    </row>
    <row r="562">
      <c r="A562" s="240"/>
      <c r="B562" s="250" t="s">
        <v>664</v>
      </c>
      <c r="C562" s="247"/>
    </row>
    <row r="563">
      <c r="A563" s="240"/>
      <c r="B563" s="250" t="s">
        <v>665</v>
      </c>
      <c r="C563" s="247"/>
    </row>
    <row r="564">
      <c r="A564" s="240"/>
      <c r="B564" s="250" t="s">
        <v>666</v>
      </c>
      <c r="C564" s="247"/>
    </row>
    <row r="565">
      <c r="A565" s="240"/>
      <c r="B565" s="250" t="s">
        <v>667</v>
      </c>
      <c r="C565" s="247"/>
    </row>
    <row r="566">
      <c r="A566" s="240"/>
      <c r="B566" s="250" t="s">
        <v>668</v>
      </c>
      <c r="C566" s="247"/>
    </row>
    <row r="567">
      <c r="A567" s="240"/>
      <c r="B567" s="250" t="s">
        <v>669</v>
      </c>
      <c r="C567" s="247"/>
    </row>
    <row r="568">
      <c r="A568" s="240"/>
      <c r="B568" s="250" t="s">
        <v>670</v>
      </c>
      <c r="C568" s="247"/>
    </row>
    <row r="569">
      <c r="A569" s="240"/>
      <c r="B569" s="250" t="s">
        <v>671</v>
      </c>
      <c r="C569" s="247"/>
    </row>
    <row r="570">
      <c r="A570" s="240"/>
      <c r="B570" s="250" t="s">
        <v>672</v>
      </c>
      <c r="C570" s="247"/>
    </row>
    <row r="571">
      <c r="A571" s="240"/>
      <c r="B571" s="250" t="s">
        <v>673</v>
      </c>
      <c r="C571" s="247"/>
    </row>
    <row r="572">
      <c r="A572" s="240"/>
      <c r="B572" s="250" t="s">
        <v>674</v>
      </c>
      <c r="C572" s="247"/>
    </row>
    <row r="573">
      <c r="A573" s="240"/>
      <c r="B573" s="250" t="s">
        <v>675</v>
      </c>
      <c r="C573" s="247"/>
    </row>
    <row r="574">
      <c r="A574" s="240"/>
      <c r="B574" s="250" t="s">
        <v>676</v>
      </c>
      <c r="C574" s="247"/>
    </row>
    <row r="575">
      <c r="A575" s="240"/>
      <c r="B575" s="250" t="s">
        <v>677</v>
      </c>
      <c r="C575" s="247"/>
    </row>
    <row r="576">
      <c r="A576" s="240"/>
      <c r="B576" s="250" t="s">
        <v>678</v>
      </c>
      <c r="C576" s="247"/>
    </row>
    <row r="577">
      <c r="A577" s="240"/>
      <c r="B577" s="250" t="s">
        <v>679</v>
      </c>
      <c r="C577" s="247"/>
    </row>
    <row r="578">
      <c r="A578" s="240"/>
      <c r="B578" s="250" t="s">
        <v>680</v>
      </c>
      <c r="C578" s="247"/>
    </row>
    <row r="579">
      <c r="A579" s="240"/>
      <c r="B579" s="250" t="s">
        <v>681</v>
      </c>
      <c r="C579" s="247"/>
    </row>
    <row r="580">
      <c r="A580" s="240"/>
      <c r="B580" s="250" t="s">
        <v>682</v>
      </c>
      <c r="C580" s="247"/>
    </row>
    <row r="581">
      <c r="A581" s="240"/>
      <c r="B581" s="250" t="s">
        <v>683</v>
      </c>
      <c r="C581" s="247"/>
    </row>
    <row r="582">
      <c r="A582" s="240"/>
      <c r="B582" s="250" t="s">
        <v>684</v>
      </c>
      <c r="C582" s="247"/>
    </row>
    <row r="583">
      <c r="A583" s="240"/>
      <c r="B583" s="250" t="s">
        <v>685</v>
      </c>
      <c r="C583" s="247"/>
    </row>
    <row r="584">
      <c r="A584" s="240"/>
      <c r="B584" s="250" t="s">
        <v>686</v>
      </c>
      <c r="C584" s="247"/>
    </row>
    <row r="585">
      <c r="A585" s="240"/>
      <c r="B585" s="250" t="s">
        <v>687</v>
      </c>
      <c r="C585" s="247"/>
    </row>
    <row r="586">
      <c r="A586" s="240"/>
      <c r="B586" s="250" t="s">
        <v>688</v>
      </c>
      <c r="C586" s="247"/>
    </row>
    <row r="587">
      <c r="A587" s="240"/>
      <c r="B587" s="250" t="s">
        <v>689</v>
      </c>
      <c r="C587" s="247"/>
    </row>
    <row r="588">
      <c r="A588" s="240"/>
      <c r="B588" s="250" t="s">
        <v>690</v>
      </c>
      <c r="C588" s="247"/>
    </row>
    <row r="589">
      <c r="A589" s="240"/>
      <c r="B589" s="250" t="s">
        <v>691</v>
      </c>
      <c r="C589" s="247"/>
    </row>
    <row r="590">
      <c r="A590" s="240"/>
      <c r="B590" s="250" t="s">
        <v>692</v>
      </c>
      <c r="C590" s="247"/>
    </row>
    <row r="591">
      <c r="A591" s="240"/>
      <c r="B591" s="250" t="s">
        <v>693</v>
      </c>
      <c r="C591" s="247"/>
    </row>
    <row r="592">
      <c r="A592" s="240"/>
      <c r="B592" s="250" t="s">
        <v>694</v>
      </c>
      <c r="C592" s="247"/>
    </row>
    <row r="593">
      <c r="A593" s="240"/>
      <c r="B593" s="250" t="s">
        <v>695</v>
      </c>
      <c r="C593" s="247"/>
    </row>
    <row r="594">
      <c r="A594" s="240"/>
      <c r="B594" s="250" t="s">
        <v>696</v>
      </c>
      <c r="C594" s="247"/>
    </row>
    <row r="595">
      <c r="A595" s="240"/>
      <c r="B595" s="250" t="s">
        <v>697</v>
      </c>
      <c r="C595" s="247"/>
    </row>
    <row r="596">
      <c r="A596" s="240"/>
      <c r="B596" s="250" t="s">
        <v>698</v>
      </c>
      <c r="C596" s="247"/>
    </row>
    <row r="597">
      <c r="A597" s="240"/>
      <c r="B597" s="250" t="s">
        <v>699</v>
      </c>
      <c r="C597" s="247"/>
    </row>
    <row r="598">
      <c r="A598" s="240"/>
      <c r="B598" s="250" t="s">
        <v>700</v>
      </c>
      <c r="C598" s="247"/>
    </row>
    <row r="599">
      <c r="A599" s="240"/>
      <c r="B599" s="250" t="s">
        <v>701</v>
      </c>
      <c r="C599" s="247"/>
    </row>
    <row r="600">
      <c r="A600" s="240"/>
      <c r="B600" s="250" t="s">
        <v>702</v>
      </c>
      <c r="C600" s="247"/>
    </row>
    <row r="601">
      <c r="A601" s="240"/>
      <c r="B601" s="250" t="s">
        <v>703</v>
      </c>
      <c r="C601" s="247"/>
    </row>
    <row r="602">
      <c r="A602" s="240"/>
      <c r="B602" s="250" t="s">
        <v>704</v>
      </c>
      <c r="C602" s="247"/>
    </row>
    <row r="603">
      <c r="A603" s="240"/>
      <c r="B603" s="250" t="s">
        <v>705</v>
      </c>
      <c r="C603" s="247"/>
    </row>
    <row r="604">
      <c r="A604" s="240"/>
      <c r="B604" s="250" t="s">
        <v>706</v>
      </c>
      <c r="C604" s="247"/>
    </row>
    <row r="605">
      <c r="A605" s="240"/>
      <c r="B605" s="250" t="s">
        <v>707</v>
      </c>
      <c r="C605" s="247"/>
    </row>
    <row r="606">
      <c r="A606" s="240"/>
      <c r="B606" s="250" t="s">
        <v>708</v>
      </c>
      <c r="C606" s="247"/>
    </row>
    <row r="607">
      <c r="A607" s="240"/>
      <c r="B607" s="250" t="s">
        <v>709</v>
      </c>
      <c r="C607" s="247"/>
    </row>
    <row r="608">
      <c r="A608" s="240"/>
      <c r="B608" s="250" t="s">
        <v>710</v>
      </c>
      <c r="C608" s="247"/>
    </row>
    <row r="609">
      <c r="A609" s="240"/>
      <c r="B609" s="250" t="s">
        <v>711</v>
      </c>
      <c r="C609" s="247"/>
    </row>
    <row r="610">
      <c r="A610" s="240"/>
      <c r="B610" s="250" t="s">
        <v>712</v>
      </c>
      <c r="C610" s="247"/>
    </row>
    <row r="611">
      <c r="A611" s="240"/>
      <c r="B611" s="250" t="s">
        <v>713</v>
      </c>
      <c r="C611" s="247"/>
    </row>
    <row r="612">
      <c r="A612" s="240"/>
      <c r="B612" s="250" t="s">
        <v>714</v>
      </c>
      <c r="C612" s="247"/>
    </row>
    <row r="613">
      <c r="A613" s="240"/>
      <c r="B613" s="250" t="s">
        <v>715</v>
      </c>
      <c r="C613" s="247"/>
    </row>
    <row r="614">
      <c r="A614" s="240"/>
      <c r="B614" s="250" t="s">
        <v>716</v>
      </c>
      <c r="C614" s="247"/>
    </row>
    <row r="615">
      <c r="A615" s="240"/>
      <c r="B615" s="250" t="s">
        <v>717</v>
      </c>
      <c r="C615" s="247"/>
    </row>
    <row r="616">
      <c r="A616" s="240"/>
      <c r="B616" s="250" t="s">
        <v>718</v>
      </c>
      <c r="C616" s="247"/>
    </row>
    <row r="617">
      <c r="A617" s="240"/>
      <c r="B617" s="250" t="s">
        <v>719</v>
      </c>
      <c r="C617" s="247"/>
    </row>
    <row r="618">
      <c r="A618" s="240"/>
      <c r="B618" s="250" t="s">
        <v>720</v>
      </c>
      <c r="C618" s="247"/>
    </row>
    <row r="619">
      <c r="A619" s="240"/>
      <c r="B619" s="250" t="s">
        <v>721</v>
      </c>
      <c r="C619" s="247"/>
    </row>
    <row r="620">
      <c r="A620" s="240"/>
      <c r="B620" s="250" t="s">
        <v>722</v>
      </c>
      <c r="C620" s="247"/>
    </row>
    <row r="621">
      <c r="A621" s="240"/>
      <c r="B621" s="250" t="s">
        <v>723</v>
      </c>
      <c r="C621" s="247"/>
    </row>
    <row r="622">
      <c r="A622" s="240"/>
      <c r="B622" s="250" t="s">
        <v>724</v>
      </c>
      <c r="C622" s="247"/>
    </row>
    <row r="623">
      <c r="A623" s="240"/>
      <c r="B623" s="250" t="s">
        <v>725</v>
      </c>
      <c r="C623" s="247"/>
    </row>
    <row r="624">
      <c r="A624" s="240"/>
      <c r="B624" s="250" t="s">
        <v>726</v>
      </c>
      <c r="C624" s="247"/>
    </row>
    <row r="625">
      <c r="A625" s="240"/>
      <c r="B625" s="250" t="s">
        <v>727</v>
      </c>
      <c r="C625" s="247"/>
    </row>
    <row r="626">
      <c r="A626" s="240"/>
      <c r="B626" s="250" t="s">
        <v>728</v>
      </c>
      <c r="C626" s="247"/>
    </row>
    <row r="627">
      <c r="A627" s="240"/>
      <c r="B627" s="250" t="s">
        <v>729</v>
      </c>
      <c r="C627" s="247"/>
    </row>
    <row r="628">
      <c r="A628" s="240"/>
      <c r="B628" s="250" t="s">
        <v>730</v>
      </c>
      <c r="C628" s="247"/>
    </row>
    <row r="629">
      <c r="A629" s="240"/>
      <c r="B629" s="250" t="s">
        <v>731</v>
      </c>
      <c r="C629" s="247"/>
    </row>
    <row r="630">
      <c r="A630" s="240"/>
      <c r="B630" s="250" t="s">
        <v>732</v>
      </c>
      <c r="C630" s="247"/>
    </row>
    <row r="631">
      <c r="A631" s="240"/>
      <c r="B631" s="250" t="s">
        <v>733</v>
      </c>
      <c r="C631" s="247"/>
    </row>
    <row r="632">
      <c r="A632" s="240"/>
      <c r="B632" s="250" t="s">
        <v>734</v>
      </c>
      <c r="C632" s="247"/>
    </row>
    <row r="633">
      <c r="A633" s="240"/>
      <c r="B633" s="250" t="s">
        <v>735</v>
      </c>
      <c r="C633" s="247"/>
    </row>
    <row r="634">
      <c r="A634" s="240"/>
      <c r="B634" s="250" t="s">
        <v>736</v>
      </c>
      <c r="C634" s="247"/>
    </row>
    <row r="635">
      <c r="A635" s="240"/>
      <c r="B635" s="250" t="s">
        <v>737</v>
      </c>
      <c r="C635" s="247"/>
    </row>
    <row r="636">
      <c r="A636" s="240"/>
      <c r="B636" s="250" t="s">
        <v>738</v>
      </c>
      <c r="C636" s="247"/>
    </row>
    <row r="637">
      <c r="A637" s="240"/>
      <c r="B637" s="250" t="s">
        <v>739</v>
      </c>
      <c r="C637" s="247"/>
    </row>
    <row r="638">
      <c r="A638" s="240"/>
      <c r="B638" s="250" t="s">
        <v>740</v>
      </c>
      <c r="C638" s="247"/>
    </row>
    <row r="639">
      <c r="A639" s="240"/>
      <c r="B639" s="250" t="s">
        <v>741</v>
      </c>
      <c r="C639" s="247"/>
    </row>
    <row r="640">
      <c r="A640" s="240"/>
      <c r="B640" s="250" t="s">
        <v>742</v>
      </c>
      <c r="C640" s="247"/>
    </row>
    <row r="641">
      <c r="A641" s="240"/>
      <c r="B641" s="250" t="s">
        <v>743</v>
      </c>
      <c r="C641" s="247"/>
    </row>
    <row r="642">
      <c r="A642" s="240"/>
      <c r="B642" s="250" t="s">
        <v>744</v>
      </c>
      <c r="C642" s="247"/>
    </row>
    <row r="643">
      <c r="A643" s="240"/>
      <c r="B643" s="250" t="s">
        <v>745</v>
      </c>
      <c r="C643" s="247"/>
    </row>
    <row r="644">
      <c r="A644" s="240"/>
      <c r="B644" s="250" t="s">
        <v>746</v>
      </c>
      <c r="C644" s="247"/>
    </row>
    <row r="645">
      <c r="A645" s="240"/>
      <c r="B645" s="250" t="s">
        <v>747</v>
      </c>
      <c r="C645" s="247"/>
    </row>
    <row r="646">
      <c r="A646" s="240"/>
      <c r="B646" s="250" t="s">
        <v>748</v>
      </c>
      <c r="C646" s="247"/>
    </row>
    <row r="647">
      <c r="A647" s="240"/>
      <c r="B647" s="250" t="s">
        <v>749</v>
      </c>
      <c r="C647" s="247"/>
    </row>
    <row r="648">
      <c r="A648" s="240"/>
      <c r="B648" s="250" t="s">
        <v>750</v>
      </c>
      <c r="C648" s="247"/>
    </row>
    <row r="649">
      <c r="A649" s="240"/>
      <c r="B649" s="250" t="s">
        <v>751</v>
      </c>
      <c r="C649" s="247"/>
    </row>
    <row r="650">
      <c r="A650" s="240"/>
      <c r="B650" s="250" t="s">
        <v>752</v>
      </c>
      <c r="C650" s="247"/>
    </row>
    <row r="651">
      <c r="A651" s="240"/>
      <c r="B651" s="250" t="s">
        <v>753</v>
      </c>
      <c r="C651" s="247"/>
    </row>
    <row r="652">
      <c r="A652" s="240"/>
      <c r="B652" s="250" t="s">
        <v>754</v>
      </c>
      <c r="C652" s="247"/>
    </row>
    <row r="653">
      <c r="A653" s="240"/>
      <c r="B653" s="250" t="s">
        <v>755</v>
      </c>
      <c r="C653" s="247"/>
    </row>
    <row r="654">
      <c r="A654" s="240"/>
      <c r="B654" s="250" t="s">
        <v>756</v>
      </c>
      <c r="C654" s="247"/>
    </row>
    <row r="655">
      <c r="A655" s="240"/>
      <c r="B655" s="250" t="s">
        <v>757</v>
      </c>
      <c r="C655" s="247"/>
    </row>
    <row r="656">
      <c r="A656" s="240"/>
      <c r="B656" s="250" t="s">
        <v>758</v>
      </c>
      <c r="C656" s="247"/>
    </row>
    <row r="657">
      <c r="A657" s="240"/>
      <c r="B657" s="250" t="s">
        <v>759</v>
      </c>
      <c r="C657" s="247"/>
    </row>
    <row r="658">
      <c r="A658" s="240"/>
      <c r="B658" s="250" t="s">
        <v>760</v>
      </c>
      <c r="C658" s="247"/>
    </row>
    <row r="659">
      <c r="A659" s="240"/>
      <c r="B659" s="250" t="s">
        <v>761</v>
      </c>
      <c r="C659" s="247"/>
    </row>
    <row r="660">
      <c r="A660" s="240"/>
      <c r="B660" s="250" t="s">
        <v>762</v>
      </c>
      <c r="C660" s="247"/>
    </row>
    <row r="661">
      <c r="A661" s="240"/>
      <c r="B661" s="250" t="s">
        <v>763</v>
      </c>
      <c r="C661" s="247"/>
    </row>
    <row r="662">
      <c r="A662" s="240"/>
      <c r="B662" s="250" t="s">
        <v>764</v>
      </c>
      <c r="C662" s="247"/>
    </row>
    <row r="663">
      <c r="A663" s="240"/>
      <c r="B663" s="250" t="s">
        <v>765</v>
      </c>
      <c r="C663" s="247"/>
    </row>
    <row r="664">
      <c r="A664" s="240"/>
      <c r="B664" s="250" t="s">
        <v>766</v>
      </c>
      <c r="C664" s="247"/>
    </row>
    <row r="665">
      <c r="A665" s="240"/>
      <c r="B665" s="250" t="s">
        <v>767</v>
      </c>
      <c r="C665" s="247"/>
    </row>
    <row r="666">
      <c r="A666" s="240"/>
      <c r="B666" s="250" t="s">
        <v>768</v>
      </c>
      <c r="C666" s="247"/>
    </row>
    <row r="667">
      <c r="A667" s="240"/>
      <c r="B667" s="250" t="s">
        <v>769</v>
      </c>
      <c r="C667" s="247"/>
    </row>
    <row r="668">
      <c r="A668" s="240"/>
      <c r="B668" s="250" t="s">
        <v>770</v>
      </c>
      <c r="C668" s="247"/>
    </row>
    <row r="669">
      <c r="A669" s="240"/>
      <c r="B669" s="250" t="s">
        <v>771</v>
      </c>
      <c r="C669" s="247"/>
    </row>
    <row r="670">
      <c r="A670" s="240"/>
      <c r="B670" s="250" t="s">
        <v>772</v>
      </c>
      <c r="C670" s="247"/>
    </row>
    <row r="671">
      <c r="A671" s="240"/>
      <c r="B671" s="250" t="s">
        <v>773</v>
      </c>
      <c r="C671" s="247"/>
    </row>
    <row r="672">
      <c r="A672" s="240"/>
      <c r="B672" s="250" t="s">
        <v>774</v>
      </c>
      <c r="C672" s="247"/>
    </row>
    <row r="673">
      <c r="A673" s="240"/>
      <c r="B673" s="250" t="s">
        <v>775</v>
      </c>
      <c r="C673" s="247"/>
    </row>
    <row r="674">
      <c r="A674" s="240"/>
      <c r="B674" s="250" t="s">
        <v>776</v>
      </c>
      <c r="C674" s="247"/>
    </row>
    <row r="675">
      <c r="A675" s="240"/>
      <c r="B675" s="250" t="s">
        <v>777</v>
      </c>
      <c r="C675" s="247"/>
    </row>
    <row r="676">
      <c r="A676" s="240"/>
      <c r="B676" s="250" t="s">
        <v>778</v>
      </c>
      <c r="C676" s="247"/>
    </row>
    <row r="677">
      <c r="A677" s="240"/>
      <c r="B677" s="250" t="s">
        <v>779</v>
      </c>
      <c r="C677" s="247"/>
    </row>
    <row r="678">
      <c r="A678" s="240"/>
      <c r="B678" s="250" t="s">
        <v>780</v>
      </c>
      <c r="C678" s="247"/>
    </row>
    <row r="679">
      <c r="A679" s="240"/>
      <c r="B679" s="250" t="s">
        <v>781</v>
      </c>
      <c r="C679" s="247"/>
    </row>
    <row r="680">
      <c r="A680" s="240"/>
      <c r="B680" s="250" t="s">
        <v>782</v>
      </c>
      <c r="C680" s="247"/>
    </row>
    <row r="681">
      <c r="A681" s="240"/>
      <c r="B681" s="250" t="s">
        <v>783</v>
      </c>
      <c r="C681" s="247"/>
    </row>
    <row r="682">
      <c r="A682" s="240"/>
      <c r="B682" s="250" t="s">
        <v>784</v>
      </c>
      <c r="C682" s="247"/>
    </row>
    <row r="683">
      <c r="A683" s="240"/>
      <c r="B683" s="250" t="s">
        <v>785</v>
      </c>
      <c r="C683" s="247"/>
    </row>
    <row r="684">
      <c r="A684" s="240"/>
      <c r="B684" s="250" t="s">
        <v>786</v>
      </c>
      <c r="C684" s="247"/>
    </row>
    <row r="685">
      <c r="A685" s="240"/>
      <c r="B685" s="250" t="s">
        <v>787</v>
      </c>
      <c r="C685" s="247"/>
    </row>
    <row r="686">
      <c r="A686" s="240"/>
      <c r="B686" s="250" t="s">
        <v>788</v>
      </c>
      <c r="C686" s="247"/>
    </row>
    <row r="687">
      <c r="A687" s="240"/>
      <c r="B687" s="250" t="s">
        <v>789</v>
      </c>
      <c r="C687" s="247"/>
    </row>
    <row r="688">
      <c r="A688" s="240"/>
      <c r="B688" s="250" t="s">
        <v>790</v>
      </c>
      <c r="C688" s="247"/>
    </row>
    <row r="689">
      <c r="A689" s="240"/>
      <c r="B689" s="250" t="s">
        <v>791</v>
      </c>
      <c r="C689" s="247"/>
    </row>
    <row r="690">
      <c r="A690" s="240"/>
      <c r="B690" s="250" t="s">
        <v>792</v>
      </c>
      <c r="C690" s="247"/>
    </row>
    <row r="691">
      <c r="A691" s="240"/>
      <c r="B691" s="250" t="s">
        <v>793</v>
      </c>
      <c r="C691" s="247"/>
    </row>
    <row r="692">
      <c r="A692" s="240"/>
      <c r="B692" s="250" t="s">
        <v>794</v>
      </c>
      <c r="C692" s="247"/>
    </row>
    <row r="693">
      <c r="A693" s="240"/>
      <c r="B693" s="250" t="s">
        <v>795</v>
      </c>
      <c r="C693" s="247"/>
    </row>
    <row r="694">
      <c r="A694" s="240"/>
      <c r="B694" s="250" t="s">
        <v>796</v>
      </c>
      <c r="C694" s="247"/>
    </row>
    <row r="695">
      <c r="A695" s="240"/>
      <c r="B695" s="250" t="s">
        <v>797</v>
      </c>
      <c r="C695" s="247"/>
    </row>
    <row r="696">
      <c r="A696" s="240"/>
      <c r="B696" s="250" t="s">
        <v>798</v>
      </c>
      <c r="C696" s="247"/>
    </row>
    <row r="697">
      <c r="A697" s="240"/>
      <c r="B697" s="250" t="s">
        <v>799</v>
      </c>
      <c r="C697" s="247"/>
    </row>
    <row r="698">
      <c r="A698" s="240"/>
      <c r="B698" s="250" t="s">
        <v>800</v>
      </c>
      <c r="C698" s="247"/>
    </row>
    <row r="699">
      <c r="A699" s="240"/>
      <c r="B699" s="250" t="s">
        <v>801</v>
      </c>
      <c r="C699" s="247"/>
    </row>
    <row r="700">
      <c r="A700" s="240"/>
      <c r="B700" s="250" t="s">
        <v>802</v>
      </c>
      <c r="C700" s="247"/>
    </row>
    <row r="701">
      <c r="A701" s="240"/>
      <c r="B701" s="250" t="s">
        <v>803</v>
      </c>
      <c r="C701" s="247"/>
    </row>
    <row r="702">
      <c r="A702" s="240"/>
      <c r="B702" s="250" t="s">
        <v>804</v>
      </c>
      <c r="C702" s="247"/>
    </row>
    <row r="703">
      <c r="A703" s="240"/>
      <c r="B703" s="250" t="s">
        <v>805</v>
      </c>
      <c r="C703" s="247"/>
    </row>
    <row r="704">
      <c r="A704" s="240"/>
      <c r="B704" s="250" t="s">
        <v>806</v>
      </c>
      <c r="C704" s="247"/>
    </row>
    <row r="705">
      <c r="A705" s="240"/>
      <c r="B705" s="250" t="s">
        <v>807</v>
      </c>
      <c r="C705" s="247"/>
    </row>
    <row r="706">
      <c r="A706" s="240"/>
      <c r="B706" s="249" t="s">
        <v>808</v>
      </c>
      <c r="C706" s="247"/>
    </row>
    <row r="707">
      <c r="A707" s="240"/>
      <c r="B707" s="249" t="s">
        <v>809</v>
      </c>
      <c r="C707" s="247"/>
    </row>
    <row r="708">
      <c r="A708" s="240"/>
      <c r="B708" s="249" t="s">
        <v>810</v>
      </c>
      <c r="C708" s="247"/>
    </row>
    <row r="709">
      <c r="A709" s="240"/>
      <c r="B709" s="250" t="s">
        <v>811</v>
      </c>
      <c r="C709" s="247"/>
    </row>
    <row r="710">
      <c r="A710" s="240"/>
      <c r="B710" s="250" t="s">
        <v>812</v>
      </c>
      <c r="C710" s="247"/>
    </row>
    <row r="711">
      <c r="A711" s="240"/>
      <c r="B711" s="250" t="s">
        <v>813</v>
      </c>
      <c r="C711" s="247"/>
    </row>
    <row r="712">
      <c r="A712" s="240"/>
      <c r="B712" s="250" t="s">
        <v>814</v>
      </c>
      <c r="C712" s="247"/>
    </row>
    <row r="713">
      <c r="A713" s="240"/>
      <c r="B713" s="250" t="s">
        <v>815</v>
      </c>
      <c r="C713" s="247"/>
    </row>
    <row r="714">
      <c r="A714" s="240"/>
      <c r="B714" s="250" t="s">
        <v>816</v>
      </c>
      <c r="C714" s="247"/>
    </row>
    <row r="715">
      <c r="A715" s="240"/>
      <c r="B715" s="250" t="s">
        <v>817</v>
      </c>
      <c r="C715" s="247"/>
    </row>
    <row r="716">
      <c r="A716" s="240"/>
      <c r="B716" s="250" t="s">
        <v>818</v>
      </c>
      <c r="C716" s="247"/>
    </row>
    <row r="717">
      <c r="A717" s="240"/>
      <c r="B717" s="250" t="s">
        <v>819</v>
      </c>
      <c r="C717" s="247"/>
    </row>
    <row r="718">
      <c r="A718" s="240"/>
      <c r="B718" s="250" t="s">
        <v>820</v>
      </c>
      <c r="C718" s="247"/>
    </row>
    <row r="719">
      <c r="A719" s="240"/>
      <c r="B719" s="250" t="s">
        <v>821</v>
      </c>
      <c r="C719" s="247"/>
    </row>
    <row r="720">
      <c r="A720" s="240"/>
      <c r="B720" s="250" t="s">
        <v>822</v>
      </c>
      <c r="C720" s="247"/>
    </row>
    <row r="721">
      <c r="A721" s="240"/>
      <c r="B721" s="250" t="s">
        <v>823</v>
      </c>
      <c r="C721" s="247"/>
    </row>
    <row r="722">
      <c r="A722" s="240"/>
      <c r="B722" s="250" t="s">
        <v>824</v>
      </c>
      <c r="C722" s="247"/>
    </row>
    <row r="723">
      <c r="A723" s="240"/>
      <c r="B723" s="250" t="s">
        <v>825</v>
      </c>
      <c r="C723" s="247"/>
    </row>
    <row r="724">
      <c r="A724" s="240"/>
      <c r="B724" s="250" t="s">
        <v>826</v>
      </c>
      <c r="C724" s="247"/>
    </row>
    <row r="725">
      <c r="A725" s="240"/>
      <c r="B725" s="250" t="s">
        <v>827</v>
      </c>
      <c r="C725" s="247"/>
    </row>
    <row r="726">
      <c r="A726" s="240"/>
      <c r="B726" s="250" t="s">
        <v>828</v>
      </c>
      <c r="C726" s="247"/>
    </row>
    <row r="727">
      <c r="A727" s="240"/>
      <c r="B727" s="250" t="s">
        <v>829</v>
      </c>
      <c r="C727" s="247"/>
    </row>
    <row r="728">
      <c r="A728" s="240"/>
      <c r="B728" s="250" t="s">
        <v>830</v>
      </c>
      <c r="C728" s="247"/>
    </row>
    <row r="729">
      <c r="A729" s="240"/>
      <c r="B729" s="250" t="s">
        <v>831</v>
      </c>
      <c r="C729" s="247"/>
    </row>
    <row r="730">
      <c r="A730" s="240"/>
      <c r="B730" s="250" t="s">
        <v>832</v>
      </c>
      <c r="C730" s="247"/>
    </row>
    <row r="731">
      <c r="A731" s="240"/>
      <c r="B731" s="250" t="s">
        <v>833</v>
      </c>
      <c r="C731" s="247"/>
    </row>
    <row r="732">
      <c r="A732" s="240"/>
      <c r="B732" s="250" t="s">
        <v>834</v>
      </c>
      <c r="C732" s="247"/>
    </row>
    <row r="733">
      <c r="A733" s="240"/>
      <c r="B733" s="250" t="s">
        <v>835</v>
      </c>
      <c r="C733" s="247"/>
    </row>
    <row r="734">
      <c r="A734" s="240"/>
      <c r="B734" s="250" t="s">
        <v>836</v>
      </c>
      <c r="C734" s="247"/>
    </row>
    <row r="735">
      <c r="A735" s="240"/>
      <c r="B735" s="250" t="s">
        <v>837</v>
      </c>
      <c r="C735" s="247"/>
    </row>
    <row r="736">
      <c r="A736" s="240"/>
      <c r="B736" s="250" t="s">
        <v>838</v>
      </c>
      <c r="C736" s="247"/>
    </row>
    <row r="737">
      <c r="A737" s="240"/>
      <c r="B737" s="250" t="s">
        <v>839</v>
      </c>
      <c r="C737" s="247"/>
    </row>
    <row r="738">
      <c r="A738" s="240"/>
      <c r="B738" s="250" t="s">
        <v>840</v>
      </c>
      <c r="C738" s="247"/>
    </row>
    <row r="739">
      <c r="A739" s="240"/>
      <c r="B739" s="250" t="s">
        <v>841</v>
      </c>
      <c r="C739" s="247"/>
    </row>
    <row r="740">
      <c r="A740" s="240"/>
      <c r="B740" s="250" t="s">
        <v>842</v>
      </c>
      <c r="C740" s="247"/>
    </row>
    <row r="741">
      <c r="A741" s="240"/>
      <c r="B741" s="250" t="s">
        <v>843</v>
      </c>
      <c r="C741" s="247"/>
    </row>
    <row r="742">
      <c r="A742" s="240"/>
      <c r="B742" s="250" t="s">
        <v>844</v>
      </c>
      <c r="C742" s="247"/>
    </row>
    <row r="743">
      <c r="A743" s="240"/>
      <c r="B743" s="250" t="s">
        <v>845</v>
      </c>
      <c r="C743" s="247"/>
    </row>
    <row r="744">
      <c r="A744" s="240"/>
      <c r="B744" s="250" t="s">
        <v>846</v>
      </c>
      <c r="C744" s="247"/>
    </row>
    <row r="745">
      <c r="A745" s="240"/>
      <c r="B745" s="250" t="s">
        <v>847</v>
      </c>
      <c r="C745" s="247"/>
    </row>
    <row r="746">
      <c r="A746" s="240"/>
      <c r="B746" s="250" t="s">
        <v>848</v>
      </c>
      <c r="C746" s="247"/>
    </row>
    <row r="747">
      <c r="A747" s="240"/>
      <c r="B747" s="250" t="s">
        <v>849</v>
      </c>
      <c r="C747" s="247"/>
    </row>
    <row r="748">
      <c r="A748" s="240"/>
      <c r="B748" s="250" t="s">
        <v>850</v>
      </c>
      <c r="C748" s="247"/>
    </row>
    <row r="749">
      <c r="A749" s="240"/>
      <c r="B749" s="250" t="s">
        <v>851</v>
      </c>
      <c r="C749" s="247"/>
    </row>
    <row r="750">
      <c r="A750" s="240"/>
      <c r="B750" s="250" t="s">
        <v>852</v>
      </c>
      <c r="C750" s="247"/>
    </row>
    <row r="751">
      <c r="A751" s="240"/>
      <c r="B751" s="250" t="s">
        <v>853</v>
      </c>
      <c r="C751" s="247"/>
    </row>
    <row r="752">
      <c r="A752" s="240"/>
      <c r="B752" s="250" t="s">
        <v>854</v>
      </c>
      <c r="C752" s="247"/>
    </row>
    <row r="753">
      <c r="A753" s="240"/>
      <c r="B753" s="250" t="s">
        <v>855</v>
      </c>
      <c r="C753" s="247"/>
    </row>
    <row r="754">
      <c r="A754" s="240"/>
      <c r="B754" s="250" t="s">
        <v>856</v>
      </c>
      <c r="C754" s="247"/>
    </row>
    <row r="755">
      <c r="A755" s="240"/>
      <c r="B755" s="250" t="s">
        <v>857</v>
      </c>
      <c r="C755" s="247"/>
    </row>
    <row r="756">
      <c r="A756" s="240"/>
      <c r="B756" s="250" t="s">
        <v>858</v>
      </c>
      <c r="C756" s="247"/>
    </row>
    <row r="757">
      <c r="A757" s="240"/>
      <c r="B757" s="250" t="s">
        <v>859</v>
      </c>
      <c r="C757" s="247"/>
    </row>
    <row r="758">
      <c r="A758" s="240"/>
      <c r="B758" s="250" t="s">
        <v>860</v>
      </c>
      <c r="C758" s="247"/>
    </row>
    <row r="759">
      <c r="A759" s="240"/>
      <c r="B759" s="250" t="s">
        <v>861</v>
      </c>
      <c r="C759" s="247"/>
    </row>
    <row r="760">
      <c r="A760" s="240"/>
      <c r="B760" s="250" t="s">
        <v>862</v>
      </c>
      <c r="C760" s="247"/>
    </row>
    <row r="761">
      <c r="A761" s="240"/>
      <c r="B761" s="250" t="s">
        <v>863</v>
      </c>
      <c r="C761" s="247"/>
    </row>
    <row r="762">
      <c r="A762" s="240"/>
      <c r="B762" s="250" t="s">
        <v>864</v>
      </c>
      <c r="C762" s="247"/>
    </row>
    <row r="763">
      <c r="A763" s="240"/>
      <c r="B763" s="250" t="s">
        <v>865</v>
      </c>
      <c r="C763" s="247"/>
    </row>
    <row r="764">
      <c r="A764" s="240"/>
      <c r="B764" s="250" t="s">
        <v>866</v>
      </c>
      <c r="C764" s="247"/>
    </row>
    <row r="765">
      <c r="A765" s="240"/>
      <c r="B765" s="250" t="s">
        <v>867</v>
      </c>
      <c r="C765" s="247"/>
    </row>
    <row r="766">
      <c r="A766" s="240"/>
      <c r="B766" s="250" t="s">
        <v>868</v>
      </c>
      <c r="C766" s="247"/>
    </row>
    <row r="767">
      <c r="A767" s="240"/>
      <c r="B767" s="250" t="s">
        <v>869</v>
      </c>
      <c r="C767" s="247"/>
    </row>
    <row r="768">
      <c r="A768" s="240"/>
      <c r="B768" s="250" t="s">
        <v>870</v>
      </c>
      <c r="C768" s="247"/>
    </row>
    <row r="769">
      <c r="A769" s="240"/>
      <c r="B769" s="250" t="s">
        <v>871</v>
      </c>
      <c r="C769" s="247"/>
    </row>
    <row r="770">
      <c r="A770" s="240"/>
      <c r="B770" s="250" t="s">
        <v>872</v>
      </c>
      <c r="C770" s="247"/>
    </row>
    <row r="771">
      <c r="A771" s="240"/>
      <c r="B771" s="250" t="s">
        <v>873</v>
      </c>
      <c r="C771" s="247"/>
    </row>
    <row r="772">
      <c r="A772" s="240"/>
      <c r="B772" s="250" t="s">
        <v>874</v>
      </c>
      <c r="C772" s="247"/>
    </row>
    <row r="773">
      <c r="A773" s="240"/>
      <c r="B773" s="250" t="s">
        <v>875</v>
      </c>
      <c r="C773" s="247"/>
    </row>
    <row r="774">
      <c r="A774" s="240"/>
      <c r="B774" s="250" t="s">
        <v>876</v>
      </c>
      <c r="C774" s="247"/>
    </row>
    <row r="775">
      <c r="A775" s="240"/>
      <c r="B775" s="250" t="s">
        <v>877</v>
      </c>
      <c r="C775" s="247"/>
    </row>
    <row r="776">
      <c r="A776" s="240"/>
      <c r="B776" s="250" t="s">
        <v>878</v>
      </c>
      <c r="C776" s="247"/>
    </row>
    <row r="777">
      <c r="A777" s="240"/>
      <c r="B777" s="250" t="s">
        <v>879</v>
      </c>
      <c r="C777" s="247"/>
    </row>
    <row r="778">
      <c r="A778" s="240"/>
      <c r="B778" s="250" t="s">
        <v>880</v>
      </c>
      <c r="C778" s="247"/>
    </row>
    <row r="779">
      <c r="A779" s="240"/>
      <c r="B779" s="250" t="s">
        <v>881</v>
      </c>
      <c r="C779" s="247"/>
    </row>
    <row r="780">
      <c r="A780" s="240"/>
      <c r="B780" s="250" t="s">
        <v>882</v>
      </c>
      <c r="C780" s="247"/>
    </row>
    <row r="781">
      <c r="A781" s="240"/>
      <c r="B781" s="250" t="s">
        <v>883</v>
      </c>
      <c r="C781" s="247"/>
    </row>
    <row r="782">
      <c r="A782" s="240"/>
      <c r="B782" s="250" t="s">
        <v>884</v>
      </c>
      <c r="C782" s="247"/>
    </row>
    <row r="783">
      <c r="A783" s="240"/>
      <c r="B783" s="250" t="s">
        <v>885</v>
      </c>
      <c r="C783" s="247"/>
    </row>
    <row r="784">
      <c r="A784" s="240"/>
      <c r="B784" s="250" t="s">
        <v>886</v>
      </c>
      <c r="C784" s="247"/>
    </row>
    <row r="785">
      <c r="A785" s="240"/>
      <c r="B785" s="250" t="s">
        <v>887</v>
      </c>
      <c r="C785" s="247"/>
    </row>
    <row r="786">
      <c r="A786" s="240"/>
      <c r="B786" s="250" t="s">
        <v>888</v>
      </c>
      <c r="C786" s="247"/>
    </row>
    <row r="787">
      <c r="A787" s="240"/>
      <c r="B787" s="250" t="s">
        <v>889</v>
      </c>
      <c r="C787" s="247"/>
    </row>
    <row r="788">
      <c r="A788" s="240"/>
      <c r="B788" s="250" t="s">
        <v>890</v>
      </c>
      <c r="C788" s="247"/>
    </row>
    <row r="789">
      <c r="A789" s="240"/>
      <c r="B789" s="250" t="s">
        <v>891</v>
      </c>
      <c r="C789" s="247"/>
    </row>
    <row r="790">
      <c r="A790" s="240"/>
      <c r="B790" s="250" t="s">
        <v>892</v>
      </c>
      <c r="C790" s="247"/>
    </row>
    <row r="791">
      <c r="A791" s="240"/>
      <c r="B791" s="250" t="s">
        <v>893</v>
      </c>
      <c r="C791" s="247"/>
    </row>
    <row r="792">
      <c r="A792" s="240"/>
      <c r="B792" s="250" t="s">
        <v>894</v>
      </c>
      <c r="C792" s="247"/>
    </row>
    <row r="793">
      <c r="A793" s="240"/>
      <c r="B793" s="250" t="s">
        <v>895</v>
      </c>
      <c r="C793" s="247"/>
    </row>
    <row r="794">
      <c r="A794" s="240"/>
      <c r="B794" s="250" t="s">
        <v>896</v>
      </c>
      <c r="C794" s="247"/>
    </row>
    <row r="795">
      <c r="A795" s="240"/>
      <c r="B795" s="250" t="s">
        <v>897</v>
      </c>
      <c r="C795" s="247"/>
    </row>
    <row r="796">
      <c r="A796" s="240"/>
      <c r="B796" s="250" t="s">
        <v>898</v>
      </c>
      <c r="C796" s="247"/>
    </row>
    <row r="797">
      <c r="A797" s="240"/>
      <c r="B797" s="250" t="s">
        <v>899</v>
      </c>
      <c r="C797" s="247"/>
    </row>
    <row r="798">
      <c r="A798" s="240"/>
      <c r="B798" s="250" t="s">
        <v>900</v>
      </c>
      <c r="C798" s="247"/>
    </row>
    <row r="799">
      <c r="A799" s="240"/>
      <c r="B799" s="250" t="s">
        <v>901</v>
      </c>
      <c r="C799" s="247"/>
    </row>
    <row r="800">
      <c r="A800" s="240"/>
      <c r="B800" s="250" t="s">
        <v>902</v>
      </c>
      <c r="C800" s="247"/>
    </row>
    <row r="801">
      <c r="A801" s="240"/>
      <c r="B801" s="250" t="s">
        <v>903</v>
      </c>
      <c r="C801" s="247"/>
    </row>
    <row r="802">
      <c r="A802" s="240"/>
      <c r="B802" s="250" t="s">
        <v>904</v>
      </c>
      <c r="C802" s="247"/>
    </row>
    <row r="803">
      <c r="A803" s="240"/>
      <c r="B803" s="250" t="s">
        <v>905</v>
      </c>
      <c r="C803" s="247"/>
    </row>
    <row r="804">
      <c r="A804" s="240"/>
      <c r="B804" s="250" t="s">
        <v>906</v>
      </c>
      <c r="C804" s="247"/>
    </row>
    <row r="805">
      <c r="A805" s="240"/>
      <c r="B805" s="250" t="s">
        <v>907</v>
      </c>
      <c r="C805" s="247"/>
    </row>
    <row r="806">
      <c r="A806" s="240"/>
      <c r="B806" s="250" t="s">
        <v>908</v>
      </c>
      <c r="C806" s="247"/>
    </row>
    <row r="807">
      <c r="A807" s="240"/>
      <c r="B807" s="250" t="s">
        <v>909</v>
      </c>
      <c r="C807" s="247"/>
    </row>
    <row r="808">
      <c r="A808" s="240"/>
      <c r="B808" s="250" t="s">
        <v>910</v>
      </c>
      <c r="C808" s="247"/>
    </row>
    <row r="809">
      <c r="A809" s="240"/>
      <c r="B809" s="250" t="s">
        <v>911</v>
      </c>
      <c r="C809" s="247"/>
    </row>
    <row r="810">
      <c r="A810" s="240"/>
      <c r="B810" s="250" t="s">
        <v>912</v>
      </c>
      <c r="C810" s="247"/>
    </row>
    <row r="811">
      <c r="A811" s="240"/>
      <c r="B811" s="250" t="s">
        <v>913</v>
      </c>
      <c r="C811" s="247"/>
    </row>
    <row r="812">
      <c r="A812" s="240"/>
      <c r="B812" s="250" t="s">
        <v>914</v>
      </c>
      <c r="C812" s="247"/>
    </row>
    <row r="813">
      <c r="A813" s="240"/>
      <c r="B813" s="250" t="s">
        <v>915</v>
      </c>
      <c r="C813" s="247"/>
    </row>
    <row r="814">
      <c r="A814" s="240"/>
      <c r="B814" s="250" t="s">
        <v>916</v>
      </c>
      <c r="C814" s="247"/>
    </row>
    <row r="815">
      <c r="A815" s="240"/>
      <c r="B815" s="250" t="s">
        <v>917</v>
      </c>
      <c r="C815" s="247"/>
    </row>
    <row r="816">
      <c r="A816" s="240"/>
      <c r="B816" s="250" t="s">
        <v>918</v>
      </c>
      <c r="C816" s="247"/>
    </row>
    <row r="817">
      <c r="A817" s="240"/>
      <c r="B817" s="250" t="s">
        <v>919</v>
      </c>
      <c r="C817" s="247"/>
    </row>
    <row r="818">
      <c r="A818" s="240"/>
      <c r="B818" s="250" t="s">
        <v>920</v>
      </c>
      <c r="C818" s="247"/>
    </row>
    <row r="819">
      <c r="A819" s="240"/>
      <c r="B819" s="250" t="s">
        <v>921</v>
      </c>
      <c r="C819" s="247"/>
    </row>
    <row r="820">
      <c r="A820" s="240"/>
      <c r="B820" s="250" t="s">
        <v>922</v>
      </c>
      <c r="C820" s="247"/>
    </row>
    <row r="821">
      <c r="A821" s="240"/>
      <c r="B821" s="250" t="s">
        <v>923</v>
      </c>
      <c r="C821" s="247"/>
    </row>
    <row r="822">
      <c r="A822" s="240"/>
      <c r="B822" s="250" t="s">
        <v>924</v>
      </c>
      <c r="C822" s="247"/>
    </row>
    <row r="823">
      <c r="A823" s="240"/>
      <c r="B823" s="250" t="s">
        <v>925</v>
      </c>
      <c r="C823" s="247"/>
    </row>
    <row r="824">
      <c r="A824" s="240"/>
      <c r="B824" s="250" t="s">
        <v>926</v>
      </c>
      <c r="C824" s="247"/>
    </row>
    <row r="825">
      <c r="A825" s="240"/>
      <c r="B825" s="250" t="s">
        <v>927</v>
      </c>
      <c r="C825" s="247"/>
    </row>
    <row r="826">
      <c r="A826" s="240"/>
      <c r="B826" s="250" t="s">
        <v>928</v>
      </c>
      <c r="C826" s="247"/>
    </row>
    <row r="827">
      <c r="A827" s="240"/>
      <c r="B827" s="250" t="s">
        <v>929</v>
      </c>
      <c r="C827" s="247"/>
    </row>
    <row r="828">
      <c r="A828" s="240"/>
      <c r="B828" s="250" t="s">
        <v>930</v>
      </c>
      <c r="C828" s="247"/>
    </row>
    <row r="829">
      <c r="A829" s="240"/>
      <c r="B829" s="250" t="s">
        <v>931</v>
      </c>
      <c r="C829" s="247"/>
    </row>
    <row r="830">
      <c r="A830" s="240"/>
      <c r="B830" s="250" t="s">
        <v>932</v>
      </c>
      <c r="C830" s="247"/>
    </row>
    <row r="831">
      <c r="A831" s="240"/>
      <c r="B831" s="250" t="s">
        <v>933</v>
      </c>
      <c r="C831" s="247"/>
    </row>
    <row r="832">
      <c r="A832" s="240"/>
      <c r="B832" s="250" t="s">
        <v>934</v>
      </c>
      <c r="C832" s="247"/>
    </row>
    <row r="833">
      <c r="A833" s="240"/>
      <c r="B833" s="250" t="s">
        <v>935</v>
      </c>
      <c r="C833" s="247"/>
    </row>
    <row r="834">
      <c r="A834" s="240"/>
      <c r="B834" s="250" t="s">
        <v>936</v>
      </c>
      <c r="C834" s="247"/>
    </row>
    <row r="835">
      <c r="A835" s="240"/>
      <c r="B835" s="250" t="s">
        <v>937</v>
      </c>
      <c r="C835" s="247"/>
    </row>
    <row r="836">
      <c r="A836" s="240"/>
      <c r="B836" s="250" t="s">
        <v>938</v>
      </c>
      <c r="C836" s="247"/>
    </row>
    <row r="837">
      <c r="A837" s="240"/>
      <c r="B837" s="250" t="s">
        <v>939</v>
      </c>
      <c r="C837" s="247"/>
    </row>
    <row r="838">
      <c r="A838" s="240"/>
      <c r="B838" s="250" t="s">
        <v>940</v>
      </c>
      <c r="C838" s="247"/>
    </row>
    <row r="839">
      <c r="A839" s="240"/>
      <c r="B839" s="250" t="s">
        <v>941</v>
      </c>
      <c r="C839" s="247"/>
    </row>
    <row r="840">
      <c r="A840" s="240"/>
      <c r="B840" s="250" t="s">
        <v>942</v>
      </c>
      <c r="C840" s="247"/>
    </row>
    <row r="841">
      <c r="A841" s="240"/>
      <c r="B841" s="250" t="s">
        <v>943</v>
      </c>
      <c r="C841" s="247"/>
    </row>
    <row r="842">
      <c r="A842" s="240"/>
      <c r="B842" s="250" t="s">
        <v>944</v>
      </c>
      <c r="C842" s="247"/>
    </row>
    <row r="843">
      <c r="A843" s="240"/>
      <c r="B843" s="250" t="s">
        <v>945</v>
      </c>
      <c r="C843" s="247"/>
    </row>
    <row r="844">
      <c r="A844" s="240"/>
      <c r="B844" s="250" t="s">
        <v>946</v>
      </c>
      <c r="C844" s="247"/>
    </row>
    <row r="845">
      <c r="A845" s="240"/>
      <c r="B845" s="250" t="s">
        <v>947</v>
      </c>
      <c r="C845" s="247"/>
    </row>
    <row r="846">
      <c r="A846" s="240"/>
      <c r="B846" s="250" t="s">
        <v>948</v>
      </c>
      <c r="C846" s="247"/>
    </row>
    <row r="847">
      <c r="A847" s="240"/>
      <c r="B847" s="250" t="s">
        <v>949</v>
      </c>
      <c r="C847" s="247"/>
    </row>
    <row r="848">
      <c r="A848" s="240"/>
      <c r="B848" s="250" t="s">
        <v>950</v>
      </c>
      <c r="C848" s="247"/>
    </row>
    <row r="849">
      <c r="A849" s="240"/>
      <c r="B849" s="250" t="s">
        <v>951</v>
      </c>
      <c r="C849" s="247"/>
    </row>
    <row r="850">
      <c r="A850" s="240"/>
      <c r="B850" s="250" t="s">
        <v>952</v>
      </c>
      <c r="C850" s="247"/>
    </row>
    <row r="851">
      <c r="A851" s="240"/>
      <c r="B851" s="250" t="s">
        <v>953</v>
      </c>
      <c r="C851" s="247"/>
    </row>
    <row r="852">
      <c r="A852" s="240"/>
      <c r="B852" s="250" t="s">
        <v>954</v>
      </c>
      <c r="C852" s="247"/>
    </row>
    <row r="853">
      <c r="A853" s="240"/>
      <c r="B853" s="250" t="s">
        <v>955</v>
      </c>
      <c r="C853" s="247"/>
    </row>
    <row r="854">
      <c r="A854" s="240"/>
      <c r="B854" s="250" t="s">
        <v>956</v>
      </c>
      <c r="C854" s="247"/>
    </row>
    <row r="855">
      <c r="A855" s="240"/>
      <c r="B855" s="250" t="s">
        <v>957</v>
      </c>
      <c r="C855" s="247"/>
    </row>
    <row r="856">
      <c r="A856" s="240"/>
      <c r="B856" s="250" t="s">
        <v>958</v>
      </c>
      <c r="C856" s="247"/>
    </row>
    <row r="857">
      <c r="A857" s="240"/>
      <c r="B857" s="250" t="s">
        <v>959</v>
      </c>
      <c r="C857" s="247"/>
    </row>
    <row r="858">
      <c r="A858" s="240"/>
      <c r="B858" s="250" t="s">
        <v>960</v>
      </c>
      <c r="C858" s="247"/>
    </row>
    <row r="859">
      <c r="A859" s="240"/>
      <c r="B859" s="250" t="s">
        <v>961</v>
      </c>
      <c r="C859" s="247"/>
    </row>
    <row r="860">
      <c r="A860" s="240"/>
      <c r="B860" s="250" t="s">
        <v>962</v>
      </c>
      <c r="C860" s="247"/>
    </row>
    <row r="861">
      <c r="A861" s="240"/>
      <c r="B861" s="250" t="s">
        <v>963</v>
      </c>
      <c r="C861" s="247"/>
    </row>
    <row r="862">
      <c r="A862" s="240"/>
      <c r="B862" s="250" t="s">
        <v>964</v>
      </c>
      <c r="C862" s="247"/>
    </row>
    <row r="863">
      <c r="A863" s="240"/>
      <c r="B863" s="250" t="s">
        <v>965</v>
      </c>
      <c r="C863" s="247"/>
    </row>
    <row r="864">
      <c r="A864" s="240"/>
      <c r="B864" s="250" t="s">
        <v>966</v>
      </c>
      <c r="C864" s="247"/>
    </row>
    <row r="865">
      <c r="A865" s="240"/>
      <c r="B865" s="250" t="s">
        <v>967</v>
      </c>
      <c r="C865" s="247"/>
    </row>
    <row r="866">
      <c r="A866" s="240"/>
      <c r="B866" s="250" t="s">
        <v>968</v>
      </c>
      <c r="C866" s="247"/>
    </row>
    <row r="867">
      <c r="A867" s="240"/>
      <c r="B867" s="250" t="s">
        <v>969</v>
      </c>
      <c r="C867" s="247"/>
    </row>
    <row r="868">
      <c r="A868" s="240"/>
      <c r="B868" s="250" t="s">
        <v>970</v>
      </c>
      <c r="C868" s="247"/>
    </row>
    <row r="869">
      <c r="A869" s="240"/>
      <c r="B869" s="250" t="s">
        <v>971</v>
      </c>
      <c r="C869" s="247"/>
    </row>
    <row r="870">
      <c r="A870" s="240"/>
      <c r="B870" s="250" t="s">
        <v>972</v>
      </c>
      <c r="C870" s="247"/>
    </row>
    <row r="871">
      <c r="A871" s="240"/>
      <c r="B871" s="250" t="s">
        <v>973</v>
      </c>
      <c r="C871" s="247"/>
    </row>
    <row r="872">
      <c r="A872" s="240"/>
      <c r="B872" s="250" t="s">
        <v>974</v>
      </c>
      <c r="C872" s="247"/>
    </row>
    <row r="873">
      <c r="A873" s="240"/>
      <c r="B873" s="250" t="s">
        <v>975</v>
      </c>
      <c r="C873" s="247"/>
    </row>
    <row r="874">
      <c r="A874" s="240"/>
      <c r="B874" s="250" t="s">
        <v>976</v>
      </c>
      <c r="C874" s="247"/>
    </row>
    <row r="875">
      <c r="A875" s="240"/>
      <c r="B875" s="250" t="s">
        <v>977</v>
      </c>
      <c r="C875" s="247"/>
    </row>
    <row r="876">
      <c r="A876" s="240"/>
      <c r="B876" s="250" t="s">
        <v>978</v>
      </c>
      <c r="C876" s="247"/>
    </row>
    <row r="877">
      <c r="A877" s="240"/>
      <c r="B877" s="250" t="s">
        <v>979</v>
      </c>
      <c r="C877" s="247"/>
    </row>
    <row r="878">
      <c r="A878" s="240"/>
      <c r="B878" s="250" t="s">
        <v>980</v>
      </c>
      <c r="C878" s="247"/>
    </row>
    <row r="879">
      <c r="A879" s="240"/>
      <c r="B879" s="250" t="s">
        <v>981</v>
      </c>
      <c r="C879" s="247"/>
    </row>
    <row r="880">
      <c r="A880" s="240"/>
      <c r="B880" s="250" t="s">
        <v>982</v>
      </c>
      <c r="C880" s="247"/>
    </row>
    <row r="881">
      <c r="A881" s="240"/>
      <c r="B881" s="250" t="s">
        <v>983</v>
      </c>
      <c r="C881" s="247"/>
    </row>
    <row r="882">
      <c r="A882" s="240"/>
      <c r="B882" s="250" t="s">
        <v>984</v>
      </c>
      <c r="C882" s="247"/>
    </row>
    <row r="883">
      <c r="A883" s="240"/>
      <c r="B883" s="250" t="s">
        <v>985</v>
      </c>
      <c r="C883" s="247"/>
    </row>
    <row r="884">
      <c r="A884" s="240"/>
      <c r="B884" s="250" t="s">
        <v>986</v>
      </c>
      <c r="C884" s="247"/>
    </row>
    <row r="885">
      <c r="A885" s="240"/>
      <c r="B885" s="250" t="s">
        <v>987</v>
      </c>
      <c r="C885" s="247"/>
    </row>
    <row r="886">
      <c r="A886" s="240"/>
      <c r="B886" s="250" t="s">
        <v>988</v>
      </c>
      <c r="C886" s="247"/>
    </row>
    <row r="887">
      <c r="A887" s="240"/>
      <c r="B887" s="250" t="s">
        <v>989</v>
      </c>
      <c r="C887" s="247"/>
    </row>
    <row r="888">
      <c r="A888" s="240"/>
      <c r="B888" s="250" t="s">
        <v>990</v>
      </c>
      <c r="C888" s="247"/>
    </row>
    <row r="889">
      <c r="A889" s="240"/>
      <c r="B889" s="250" t="s">
        <v>991</v>
      </c>
      <c r="C889" s="247"/>
    </row>
    <row r="890">
      <c r="A890" s="240"/>
      <c r="B890" s="250" t="s">
        <v>992</v>
      </c>
      <c r="C890" s="247"/>
    </row>
    <row r="891">
      <c r="A891" s="240"/>
      <c r="B891" s="250" t="s">
        <v>993</v>
      </c>
      <c r="C891" s="247"/>
    </row>
    <row r="892">
      <c r="A892" s="240"/>
      <c r="B892" s="250" t="s">
        <v>994</v>
      </c>
      <c r="C892" s="247"/>
    </row>
    <row r="893">
      <c r="A893" s="240"/>
      <c r="B893" s="250" t="s">
        <v>995</v>
      </c>
      <c r="C893" s="247"/>
    </row>
    <row r="894">
      <c r="A894" s="240"/>
      <c r="B894" s="250" t="s">
        <v>996</v>
      </c>
      <c r="C894" s="247"/>
    </row>
    <row r="895">
      <c r="A895" s="240"/>
      <c r="B895" s="250" t="s">
        <v>997</v>
      </c>
      <c r="C895" s="247"/>
    </row>
    <row r="896">
      <c r="A896" s="240"/>
      <c r="B896" s="250" t="s">
        <v>998</v>
      </c>
      <c r="C896" s="247"/>
    </row>
    <row r="897">
      <c r="A897" s="240"/>
      <c r="B897" s="250" t="s">
        <v>999</v>
      </c>
      <c r="C897" s="247"/>
    </row>
    <row r="898">
      <c r="A898" s="240"/>
      <c r="B898" s="250" t="s">
        <v>1000</v>
      </c>
      <c r="C898" s="247"/>
    </row>
    <row r="899">
      <c r="A899" s="240"/>
      <c r="B899" s="250" t="s">
        <v>1001</v>
      </c>
      <c r="C899" s="247"/>
    </row>
    <row r="900">
      <c r="A900" s="240"/>
      <c r="B900" s="250" t="s">
        <v>1002</v>
      </c>
      <c r="C900" s="247"/>
    </row>
    <row r="901">
      <c r="A901" s="240"/>
      <c r="B901" s="250" t="s">
        <v>1003</v>
      </c>
      <c r="C901" s="247"/>
    </row>
    <row r="902">
      <c r="A902" s="240"/>
      <c r="B902" s="250" t="s">
        <v>1004</v>
      </c>
      <c r="C902" s="247"/>
    </row>
    <row r="903">
      <c r="A903" s="240"/>
      <c r="B903" s="250" t="s">
        <v>1005</v>
      </c>
      <c r="C903" s="247"/>
    </row>
    <row r="904">
      <c r="A904" s="240"/>
      <c r="B904" s="250" t="s">
        <v>1006</v>
      </c>
      <c r="C904" s="247"/>
    </row>
    <row r="905">
      <c r="A905" s="240"/>
      <c r="B905" s="250" t="s">
        <v>1007</v>
      </c>
      <c r="C905" s="247"/>
    </row>
    <row r="906">
      <c r="A906" s="240"/>
      <c r="B906" s="250" t="s">
        <v>1008</v>
      </c>
      <c r="C906" s="247"/>
    </row>
    <row r="907">
      <c r="A907" s="240"/>
      <c r="B907" s="250" t="s">
        <v>1009</v>
      </c>
      <c r="C907" s="247"/>
    </row>
    <row r="908">
      <c r="A908" s="240"/>
      <c r="B908" s="250" t="s">
        <v>1010</v>
      </c>
      <c r="C908" s="247"/>
    </row>
    <row r="909">
      <c r="A909" s="240"/>
      <c r="B909" s="250" t="s">
        <v>1011</v>
      </c>
      <c r="C909" s="247"/>
    </row>
    <row r="910">
      <c r="A910" s="240"/>
      <c r="B910" s="250" t="s">
        <v>1012</v>
      </c>
      <c r="C910" s="247"/>
    </row>
    <row r="911">
      <c r="A911" s="240"/>
      <c r="B911" s="250" t="s">
        <v>1013</v>
      </c>
      <c r="C911" s="247"/>
    </row>
    <row r="912">
      <c r="A912" s="240"/>
      <c r="B912" s="250" t="s">
        <v>1014</v>
      </c>
      <c r="C912" s="247"/>
    </row>
    <row r="913">
      <c r="A913" s="240"/>
      <c r="B913" s="250" t="s">
        <v>1015</v>
      </c>
      <c r="C913" s="247"/>
    </row>
    <row r="914">
      <c r="A914" s="240"/>
      <c r="B914" s="250" t="s">
        <v>1016</v>
      </c>
      <c r="C914" s="247"/>
    </row>
    <row r="915">
      <c r="A915" s="240"/>
      <c r="B915" s="250" t="s">
        <v>1017</v>
      </c>
      <c r="C915" s="247"/>
    </row>
    <row r="916">
      <c r="A916" s="240"/>
      <c r="B916" s="250" t="s">
        <v>1018</v>
      </c>
      <c r="C916" s="247"/>
    </row>
    <row r="917">
      <c r="A917" s="240"/>
      <c r="B917" s="250" t="s">
        <v>1019</v>
      </c>
      <c r="C917" s="247"/>
    </row>
    <row r="918">
      <c r="A918" s="240"/>
      <c r="B918" s="250" t="s">
        <v>1020</v>
      </c>
      <c r="C918" s="247"/>
    </row>
    <row r="919">
      <c r="A919" s="240"/>
      <c r="B919" s="250" t="s">
        <v>1021</v>
      </c>
      <c r="C919" s="247"/>
    </row>
    <row r="920">
      <c r="A920" s="240"/>
      <c r="B920" s="250" t="s">
        <v>1022</v>
      </c>
      <c r="C920" s="247"/>
    </row>
    <row r="921">
      <c r="A921" s="240"/>
      <c r="B921" s="250" t="s">
        <v>1023</v>
      </c>
      <c r="C921" s="247"/>
    </row>
    <row r="922">
      <c r="A922" s="240"/>
      <c r="B922" s="250" t="s">
        <v>1024</v>
      </c>
      <c r="C922" s="247"/>
    </row>
    <row r="923">
      <c r="A923" s="240"/>
      <c r="B923" s="250" t="s">
        <v>1025</v>
      </c>
      <c r="C923" s="247"/>
    </row>
    <row r="924">
      <c r="A924" s="240"/>
      <c r="B924" s="250" t="s">
        <v>1026</v>
      </c>
      <c r="C924" s="247"/>
    </row>
    <row r="925">
      <c r="A925" s="240"/>
      <c r="B925" s="250" t="s">
        <v>1027</v>
      </c>
      <c r="C925" s="247"/>
    </row>
    <row r="926">
      <c r="A926" s="240"/>
      <c r="B926" s="250" t="s">
        <v>1028</v>
      </c>
      <c r="C926" s="247"/>
    </row>
    <row r="927">
      <c r="A927" s="240"/>
      <c r="B927" s="250" t="s">
        <v>1029</v>
      </c>
      <c r="C927" s="247"/>
    </row>
    <row r="928">
      <c r="A928" s="240"/>
      <c r="B928" s="250" t="s">
        <v>1030</v>
      </c>
      <c r="C928" s="247"/>
    </row>
    <row r="929">
      <c r="A929" s="240"/>
      <c r="B929" s="250" t="s">
        <v>1031</v>
      </c>
      <c r="C929" s="247"/>
    </row>
    <row r="930">
      <c r="A930" s="240"/>
      <c r="B930" s="250" t="s">
        <v>1032</v>
      </c>
      <c r="C930" s="247"/>
    </row>
    <row r="931">
      <c r="A931" s="240"/>
      <c r="B931" s="250" t="s">
        <v>1033</v>
      </c>
      <c r="C931" s="247"/>
    </row>
    <row r="932">
      <c r="A932" s="240"/>
      <c r="B932" s="250" t="s">
        <v>1034</v>
      </c>
      <c r="C932" s="247"/>
    </row>
    <row r="933">
      <c r="A933" s="240"/>
      <c r="B933" s="250" t="s">
        <v>1035</v>
      </c>
      <c r="C933" s="247"/>
    </row>
    <row r="934">
      <c r="A934" s="240"/>
      <c r="B934" s="250" t="s">
        <v>1036</v>
      </c>
      <c r="C934" s="247"/>
    </row>
    <row r="935">
      <c r="A935" s="240"/>
      <c r="B935" s="250" t="s">
        <v>1037</v>
      </c>
      <c r="C935" s="247"/>
    </row>
    <row r="936">
      <c r="A936" s="240"/>
      <c r="B936" s="250" t="s">
        <v>1038</v>
      </c>
      <c r="C936" s="247"/>
    </row>
    <row r="937">
      <c r="A937" s="240"/>
      <c r="B937" s="250" t="s">
        <v>1039</v>
      </c>
      <c r="C937" s="247"/>
    </row>
    <row r="938">
      <c r="A938" s="240"/>
      <c r="B938" s="250" t="s">
        <v>1040</v>
      </c>
      <c r="C938" s="247"/>
    </row>
    <row r="939">
      <c r="A939" s="240"/>
      <c r="B939" s="250" t="s">
        <v>1041</v>
      </c>
      <c r="C939" s="247"/>
    </row>
    <row r="940">
      <c r="A940" s="240"/>
      <c r="B940" s="250" t="s">
        <v>1042</v>
      </c>
      <c r="C940" s="247"/>
    </row>
    <row r="941">
      <c r="A941" s="240"/>
      <c r="B941" s="250" t="s">
        <v>1043</v>
      </c>
      <c r="C941" s="247"/>
    </row>
    <row r="942">
      <c r="A942" s="240"/>
      <c r="B942" s="250" t="s">
        <v>1044</v>
      </c>
      <c r="C942" s="247"/>
    </row>
    <row r="943">
      <c r="A943" s="240"/>
      <c r="B943" s="250" t="s">
        <v>1045</v>
      </c>
      <c r="C943" s="247"/>
    </row>
    <row r="944">
      <c r="A944" s="240"/>
      <c r="B944" s="250" t="s">
        <v>1046</v>
      </c>
      <c r="C944" s="247"/>
    </row>
    <row r="945">
      <c r="A945" s="240"/>
      <c r="B945" s="250" t="s">
        <v>1047</v>
      </c>
      <c r="C945" s="247"/>
    </row>
    <row r="946">
      <c r="A946" s="240"/>
      <c r="B946" s="250" t="s">
        <v>1048</v>
      </c>
      <c r="C946" s="247"/>
    </row>
    <row r="947">
      <c r="A947" s="240"/>
      <c r="B947" s="250" t="s">
        <v>1049</v>
      </c>
      <c r="C947" s="247"/>
    </row>
    <row r="948">
      <c r="A948" s="240"/>
      <c r="B948" s="250" t="s">
        <v>1050</v>
      </c>
      <c r="C948" s="247"/>
    </row>
    <row r="949">
      <c r="A949" s="240"/>
      <c r="B949" s="250" t="s">
        <v>1051</v>
      </c>
      <c r="C949" s="247"/>
    </row>
    <row r="950">
      <c r="A950" s="240"/>
      <c r="B950" s="250" t="s">
        <v>1052</v>
      </c>
      <c r="C950" s="247"/>
    </row>
    <row r="951">
      <c r="A951" s="240"/>
      <c r="B951" s="250" t="s">
        <v>1053</v>
      </c>
      <c r="C951" s="247"/>
    </row>
    <row r="952">
      <c r="A952" s="240"/>
      <c r="B952" s="250" t="s">
        <v>1054</v>
      </c>
      <c r="C952" s="247"/>
    </row>
    <row r="953">
      <c r="A953" s="240"/>
      <c r="B953" s="250" t="s">
        <v>1055</v>
      </c>
      <c r="C953" s="247"/>
    </row>
    <row r="954">
      <c r="A954" s="240"/>
      <c r="B954" s="250" t="s">
        <v>1056</v>
      </c>
      <c r="C954" s="247"/>
    </row>
    <row r="955">
      <c r="A955" s="240"/>
      <c r="B955" s="250" t="s">
        <v>1057</v>
      </c>
      <c r="C955" s="247"/>
    </row>
    <row r="956">
      <c r="A956" s="240"/>
      <c r="B956" s="250" t="s">
        <v>1058</v>
      </c>
      <c r="C956" s="247"/>
    </row>
    <row r="957">
      <c r="A957" s="240"/>
      <c r="B957" s="250" t="s">
        <v>1059</v>
      </c>
      <c r="C957" s="247"/>
    </row>
    <row r="958">
      <c r="A958" s="240"/>
      <c r="B958" s="250" t="s">
        <v>1060</v>
      </c>
      <c r="C958" s="247"/>
    </row>
    <row r="959">
      <c r="A959" s="240"/>
      <c r="B959" s="250" t="s">
        <v>1061</v>
      </c>
      <c r="C959" s="247"/>
    </row>
    <row r="960">
      <c r="A960" s="240"/>
      <c r="B960" s="250" t="s">
        <v>1062</v>
      </c>
      <c r="C960" s="247"/>
    </row>
    <row r="961">
      <c r="A961" s="240"/>
      <c r="B961" s="250" t="s">
        <v>1063</v>
      </c>
      <c r="C961" s="247"/>
    </row>
    <row r="962">
      <c r="A962" s="240"/>
      <c r="B962" s="250" t="s">
        <v>1064</v>
      </c>
      <c r="C962" s="247"/>
    </row>
    <row r="963">
      <c r="A963" s="240"/>
      <c r="B963" s="250" t="s">
        <v>1065</v>
      </c>
      <c r="C963" s="247"/>
    </row>
    <row r="964">
      <c r="A964" s="240"/>
      <c r="B964" s="250" t="s">
        <v>1066</v>
      </c>
      <c r="C964" s="247"/>
    </row>
    <row r="965">
      <c r="A965" s="240"/>
      <c r="B965" s="250" t="s">
        <v>1067</v>
      </c>
      <c r="C965" s="247"/>
    </row>
    <row r="966">
      <c r="A966" s="240"/>
      <c r="B966" s="250" t="s">
        <v>1068</v>
      </c>
      <c r="C966" s="247"/>
    </row>
    <row r="967">
      <c r="A967" s="240"/>
      <c r="B967" s="250" t="s">
        <v>1069</v>
      </c>
      <c r="C967" s="247"/>
    </row>
    <row r="968">
      <c r="A968" s="240"/>
      <c r="B968" s="250" t="s">
        <v>1070</v>
      </c>
      <c r="C968" s="247"/>
    </row>
    <row r="969">
      <c r="A969" s="240"/>
      <c r="B969" s="250" t="s">
        <v>1071</v>
      </c>
      <c r="C969" s="247"/>
    </row>
    <row r="970">
      <c r="A970" s="240"/>
      <c r="B970" s="250" t="s">
        <v>1072</v>
      </c>
      <c r="C970" s="247"/>
    </row>
    <row r="971">
      <c r="A971" s="240"/>
      <c r="B971" s="250" t="s">
        <v>1073</v>
      </c>
      <c r="C971" s="247"/>
    </row>
    <row r="972">
      <c r="A972" s="240"/>
      <c r="B972" s="250" t="s">
        <v>1074</v>
      </c>
      <c r="C972" s="247"/>
    </row>
    <row r="973">
      <c r="A973" s="240"/>
      <c r="B973" s="250" t="s">
        <v>1075</v>
      </c>
      <c r="C973" s="247"/>
    </row>
    <row r="974">
      <c r="A974" s="240"/>
      <c r="B974" s="250" t="s">
        <v>1076</v>
      </c>
      <c r="C974" s="247"/>
    </row>
    <row r="975">
      <c r="A975" s="240"/>
      <c r="B975" s="250" t="s">
        <v>1077</v>
      </c>
      <c r="C975" s="247"/>
    </row>
    <row r="976">
      <c r="A976" s="240"/>
      <c r="B976" s="250" t="s">
        <v>1078</v>
      </c>
      <c r="C976" s="247"/>
    </row>
    <row r="977">
      <c r="A977" s="240"/>
      <c r="B977" s="250" t="s">
        <v>1079</v>
      </c>
      <c r="C977" s="247"/>
    </row>
    <row r="978">
      <c r="A978" s="240"/>
      <c r="B978" s="250" t="s">
        <v>1080</v>
      </c>
      <c r="C978" s="247"/>
    </row>
    <row r="979">
      <c r="A979" s="240"/>
      <c r="B979" s="250" t="s">
        <v>1081</v>
      </c>
      <c r="C979" s="247"/>
    </row>
    <row r="980">
      <c r="A980" s="240"/>
      <c r="B980" s="250" t="s">
        <v>1082</v>
      </c>
      <c r="C980" s="247"/>
    </row>
    <row r="981">
      <c r="A981" s="240"/>
      <c r="B981" s="250" t="s">
        <v>1083</v>
      </c>
      <c r="C981" s="247"/>
    </row>
    <row r="982">
      <c r="A982" s="240"/>
      <c r="B982" s="250" t="s">
        <v>1084</v>
      </c>
      <c r="C982" s="247"/>
    </row>
    <row r="983">
      <c r="A983" s="240"/>
      <c r="B983" s="250" t="s">
        <v>1085</v>
      </c>
      <c r="C983" s="247"/>
    </row>
    <row r="984">
      <c r="A984" s="240"/>
      <c r="B984" s="250" t="s">
        <v>1086</v>
      </c>
      <c r="C984" s="247"/>
    </row>
    <row r="985">
      <c r="A985" s="240"/>
      <c r="B985" s="250" t="s">
        <v>1087</v>
      </c>
      <c r="C985" s="247"/>
    </row>
    <row r="986">
      <c r="A986" s="240"/>
      <c r="B986" s="250" t="s">
        <v>1088</v>
      </c>
      <c r="C986" s="247"/>
    </row>
    <row r="987">
      <c r="A987" s="240"/>
      <c r="B987" s="250" t="s">
        <v>1089</v>
      </c>
      <c r="C987" s="247"/>
    </row>
    <row r="988">
      <c r="A988" s="240"/>
      <c r="B988" s="250" t="s">
        <v>1090</v>
      </c>
      <c r="C988" s="247"/>
    </row>
    <row r="989">
      <c r="A989" s="240"/>
      <c r="B989" s="250" t="s">
        <v>1091</v>
      </c>
      <c r="C989" s="247"/>
    </row>
    <row r="990">
      <c r="A990" s="240"/>
      <c r="B990" s="250" t="s">
        <v>1092</v>
      </c>
      <c r="C990" s="247"/>
    </row>
    <row r="991">
      <c r="A991" s="240"/>
      <c r="B991" s="250" t="s">
        <v>1093</v>
      </c>
      <c r="C991" s="247"/>
    </row>
    <row r="992">
      <c r="A992" s="240"/>
      <c r="B992" s="250" t="s">
        <v>1094</v>
      </c>
      <c r="C992" s="247"/>
    </row>
    <row r="993">
      <c r="A993" s="240"/>
      <c r="B993" s="250" t="s">
        <v>1095</v>
      </c>
      <c r="C993" s="247"/>
    </row>
    <row r="994">
      <c r="A994" s="240"/>
      <c r="B994" s="250" t="s">
        <v>1096</v>
      </c>
      <c r="C994" s="247"/>
    </row>
    <row r="995">
      <c r="A995" s="240"/>
      <c r="B995" s="250" t="s">
        <v>1097</v>
      </c>
      <c r="C995" s="247"/>
    </row>
    <row r="996">
      <c r="A996" s="240"/>
      <c r="B996" s="250" t="s">
        <v>1098</v>
      </c>
      <c r="C996" s="247"/>
    </row>
    <row r="997">
      <c r="A997" s="240"/>
      <c r="B997" s="250" t="s">
        <v>1099</v>
      </c>
      <c r="C997" s="247"/>
    </row>
    <row r="998">
      <c r="A998" s="240"/>
      <c r="B998" s="250" t="s">
        <v>1100</v>
      </c>
      <c r="C998" s="247"/>
    </row>
    <row r="999">
      <c r="A999" s="240"/>
      <c r="B999" s="250" t="s">
        <v>1101</v>
      </c>
      <c r="C999" s="247"/>
    </row>
    <row r="1000">
      <c r="A1000" s="240"/>
      <c r="B1000" s="250" t="s">
        <v>1102</v>
      </c>
      <c r="C1000" s="247"/>
    </row>
    <row r="1001">
      <c r="A1001" s="240"/>
      <c r="B1001" s="250" t="s">
        <v>1103</v>
      </c>
      <c r="C1001" s="247"/>
    </row>
    <row r="1002">
      <c r="A1002" s="240"/>
      <c r="B1002" s="250" t="s">
        <v>1104</v>
      </c>
      <c r="C1002" s="247"/>
    </row>
    <row r="1003">
      <c r="A1003" s="240"/>
      <c r="B1003" s="250" t="s">
        <v>1105</v>
      </c>
      <c r="C1003" s="247"/>
    </row>
    <row r="1004">
      <c r="A1004" s="240"/>
      <c r="B1004" s="250" t="s">
        <v>1106</v>
      </c>
      <c r="C1004" s="247"/>
    </row>
    <row r="1005">
      <c r="A1005" s="240"/>
      <c r="B1005" s="250" t="s">
        <v>1107</v>
      </c>
      <c r="C1005" s="247"/>
    </row>
    <row r="1006">
      <c r="A1006" s="240"/>
      <c r="B1006" s="250" t="s">
        <v>1108</v>
      </c>
      <c r="C1006" s="247"/>
    </row>
    <row r="1007">
      <c r="A1007" s="240"/>
      <c r="B1007" s="250" t="s">
        <v>1109</v>
      </c>
      <c r="C1007" s="247"/>
    </row>
    <row r="1008">
      <c r="A1008" s="240"/>
      <c r="B1008" s="250" t="s">
        <v>1110</v>
      </c>
      <c r="C1008" s="247"/>
    </row>
    <row r="1009">
      <c r="A1009" s="240"/>
      <c r="B1009" s="250" t="s">
        <v>1111</v>
      </c>
      <c r="C1009" s="247"/>
    </row>
    <row r="1010">
      <c r="A1010" s="240"/>
      <c r="B1010" s="250" t="s">
        <v>1112</v>
      </c>
      <c r="C1010" s="247"/>
    </row>
    <row r="1011">
      <c r="A1011" s="240"/>
      <c r="B1011" s="250" t="s">
        <v>1113</v>
      </c>
      <c r="C1011" s="247"/>
    </row>
    <row r="1012">
      <c r="A1012" s="240"/>
      <c r="B1012" s="250" t="s">
        <v>1114</v>
      </c>
      <c r="C1012" s="247"/>
    </row>
    <row r="1013">
      <c r="A1013" s="240"/>
      <c r="B1013" s="250" t="s">
        <v>1115</v>
      </c>
      <c r="C1013" s="247"/>
    </row>
    <row r="1014">
      <c r="A1014" s="240"/>
      <c r="B1014" s="250" t="s">
        <v>1116</v>
      </c>
      <c r="C1014" s="247"/>
    </row>
    <row r="1015">
      <c r="A1015" s="240"/>
      <c r="B1015" s="250" t="s">
        <v>1117</v>
      </c>
      <c r="C1015" s="247"/>
    </row>
    <row r="1016">
      <c r="A1016" s="240"/>
      <c r="B1016" s="250" t="s">
        <v>1118</v>
      </c>
      <c r="C1016" s="247"/>
    </row>
    <row r="1017">
      <c r="A1017" s="240"/>
      <c r="B1017" s="250" t="s">
        <v>1119</v>
      </c>
      <c r="C1017" s="247"/>
    </row>
    <row r="1018">
      <c r="A1018" s="240"/>
      <c r="B1018" s="256" t="s">
        <v>1120</v>
      </c>
      <c r="C1018" s="247"/>
    </row>
    <row r="1019">
      <c r="A1019" s="240"/>
      <c r="B1019" s="256" t="s">
        <v>1121</v>
      </c>
      <c r="C1019" s="247"/>
    </row>
    <row r="1020">
      <c r="A1020" s="240"/>
      <c r="B1020" s="256" t="s">
        <v>1122</v>
      </c>
      <c r="C1020" s="247"/>
    </row>
    <row r="1021">
      <c r="A1021" s="240"/>
      <c r="B1021" s="256" t="s">
        <v>1123</v>
      </c>
      <c r="C1021" s="247"/>
    </row>
    <row r="1022">
      <c r="A1022" s="240"/>
      <c r="B1022" s="256" t="s">
        <v>1124</v>
      </c>
      <c r="C1022" s="247"/>
    </row>
    <row r="1023">
      <c r="A1023" s="240"/>
      <c r="B1023" s="256" t="s">
        <v>1125</v>
      </c>
      <c r="C1023" s="247"/>
    </row>
    <row r="1024">
      <c r="A1024" s="240"/>
      <c r="B1024" s="256" t="s">
        <v>1126</v>
      </c>
      <c r="C1024" s="247"/>
    </row>
    <row r="1025">
      <c r="A1025" s="240"/>
      <c r="B1025" s="256" t="s">
        <v>1127</v>
      </c>
      <c r="C1025" s="247"/>
    </row>
    <row r="1026">
      <c r="A1026" s="240"/>
      <c r="B1026" s="256" t="s">
        <v>1128</v>
      </c>
      <c r="C1026" s="247"/>
    </row>
    <row r="1027">
      <c r="A1027" s="240"/>
      <c r="B1027" s="256" t="s">
        <v>1129</v>
      </c>
      <c r="C1027" s="247"/>
    </row>
    <row r="1028">
      <c r="A1028" s="240"/>
      <c r="B1028" s="256" t="s">
        <v>1130</v>
      </c>
      <c r="C1028" s="247"/>
    </row>
    <row r="1029">
      <c r="A1029" s="240"/>
      <c r="B1029" s="256" t="s">
        <v>1131</v>
      </c>
      <c r="C1029" s="247"/>
    </row>
    <row r="1030">
      <c r="A1030" s="240"/>
      <c r="B1030" s="256" t="s">
        <v>1132</v>
      </c>
      <c r="C1030" s="247"/>
    </row>
    <row r="1031">
      <c r="A1031" s="240"/>
      <c r="B1031" s="256" t="s">
        <v>1133</v>
      </c>
      <c r="C1031" s="247"/>
    </row>
    <row r="1032">
      <c r="A1032" s="240"/>
      <c r="B1032" s="256" t="s">
        <v>1134</v>
      </c>
      <c r="C1032" s="247"/>
    </row>
    <row r="1033">
      <c r="A1033" s="240"/>
      <c r="B1033" s="256" t="s">
        <v>1135</v>
      </c>
      <c r="C1033" s="247"/>
    </row>
    <row r="1034">
      <c r="A1034" s="240"/>
      <c r="B1034" s="256" t="s">
        <v>1136</v>
      </c>
      <c r="C1034" s="247"/>
    </row>
    <row r="1035">
      <c r="A1035" s="240"/>
      <c r="B1035" s="256" t="s">
        <v>1137</v>
      </c>
      <c r="C1035" s="247"/>
    </row>
    <row r="1036">
      <c r="A1036" s="240"/>
      <c r="B1036" s="256" t="s">
        <v>1138</v>
      </c>
      <c r="C1036" s="247"/>
    </row>
    <row r="1037">
      <c r="A1037" s="240"/>
      <c r="B1037" s="256" t="s">
        <v>1139</v>
      </c>
      <c r="C1037" s="247"/>
    </row>
    <row r="1038">
      <c r="A1038" s="240"/>
      <c r="B1038" s="256" t="s">
        <v>1140</v>
      </c>
      <c r="C1038" s="247"/>
    </row>
    <row r="1039">
      <c r="A1039" s="240"/>
      <c r="B1039" s="256" t="s">
        <v>1141</v>
      </c>
      <c r="C1039" s="247"/>
    </row>
    <row r="1040">
      <c r="A1040" s="240"/>
      <c r="B1040" s="256" t="s">
        <v>1142</v>
      </c>
      <c r="C1040" s="247"/>
    </row>
    <row r="1041">
      <c r="A1041" s="240"/>
      <c r="B1041" s="256" t="s">
        <v>1143</v>
      </c>
      <c r="C1041" s="247"/>
    </row>
    <row r="1042">
      <c r="A1042" s="240"/>
      <c r="B1042" s="256" t="s">
        <v>1144</v>
      </c>
      <c r="C1042" s="247"/>
    </row>
    <row r="1043">
      <c r="A1043" s="240"/>
      <c r="B1043" s="256" t="s">
        <v>1145</v>
      </c>
      <c r="C1043" s="247"/>
    </row>
    <row r="1044">
      <c r="A1044" s="240"/>
      <c r="B1044" s="256" t="s">
        <v>1146</v>
      </c>
      <c r="C1044" s="247"/>
    </row>
    <row r="1045">
      <c r="A1045" s="240"/>
      <c r="B1045" s="256" t="s">
        <v>1147</v>
      </c>
      <c r="C1045" s="247"/>
    </row>
    <row r="1046">
      <c r="A1046" s="240"/>
      <c r="B1046" s="256" t="s">
        <v>1148</v>
      </c>
      <c r="C1046" s="247"/>
    </row>
    <row r="1047">
      <c r="A1047" s="240"/>
      <c r="B1047" s="256" t="s">
        <v>1149</v>
      </c>
      <c r="C1047" s="247"/>
    </row>
    <row r="1048">
      <c r="A1048" s="240"/>
      <c r="B1048" s="256" t="s">
        <v>1150</v>
      </c>
      <c r="C1048" s="247"/>
    </row>
    <row r="1049">
      <c r="A1049" s="240"/>
      <c r="B1049" s="256" t="s">
        <v>1151</v>
      </c>
      <c r="C1049" s="247"/>
    </row>
    <row r="1050">
      <c r="A1050" s="240"/>
      <c r="B1050" s="256" t="s">
        <v>1152</v>
      </c>
      <c r="C1050" s="247"/>
    </row>
    <row r="1051">
      <c r="A1051" s="240"/>
      <c r="B1051" s="256" t="s">
        <v>1153</v>
      </c>
      <c r="C1051" s="247"/>
    </row>
    <row r="1052">
      <c r="A1052" s="240"/>
      <c r="B1052" s="256" t="s">
        <v>1154</v>
      </c>
      <c r="C1052" s="247"/>
    </row>
    <row r="1053">
      <c r="A1053" s="240"/>
      <c r="B1053" s="256" t="s">
        <v>1155</v>
      </c>
      <c r="C1053" s="247"/>
    </row>
    <row r="1054">
      <c r="A1054" s="240"/>
      <c r="B1054" s="256" t="s">
        <v>1156</v>
      </c>
      <c r="C1054" s="247"/>
    </row>
    <row r="1055">
      <c r="A1055" s="240"/>
      <c r="B1055" s="256" t="s">
        <v>1157</v>
      </c>
      <c r="C1055" s="247"/>
    </row>
    <row r="1056">
      <c r="A1056" s="240"/>
      <c r="B1056" s="256" t="s">
        <v>1158</v>
      </c>
      <c r="C1056" s="247"/>
    </row>
    <row r="1057">
      <c r="A1057" s="240"/>
      <c r="B1057" s="256" t="s">
        <v>1159</v>
      </c>
      <c r="C1057" s="247"/>
    </row>
    <row r="1058">
      <c r="A1058" s="240"/>
      <c r="B1058" s="256" t="s">
        <v>1160</v>
      </c>
      <c r="C1058" s="247"/>
    </row>
    <row r="1059">
      <c r="A1059" s="240"/>
      <c r="B1059" s="256" t="s">
        <v>1161</v>
      </c>
      <c r="C1059" s="247"/>
    </row>
    <row r="1060">
      <c r="A1060" s="240"/>
      <c r="B1060" s="256" t="s">
        <v>1162</v>
      </c>
      <c r="C1060" s="247"/>
    </row>
    <row r="1061">
      <c r="A1061" s="240"/>
      <c r="B1061" s="256" t="s">
        <v>1163</v>
      </c>
      <c r="C1061" s="247"/>
    </row>
    <row r="1062">
      <c r="A1062" s="240"/>
      <c r="B1062" s="256" t="s">
        <v>1164</v>
      </c>
      <c r="C1062" s="247"/>
    </row>
    <row r="1063">
      <c r="A1063" s="240"/>
      <c r="B1063" s="256" t="s">
        <v>1165</v>
      </c>
      <c r="C1063" s="247"/>
    </row>
    <row r="1064">
      <c r="A1064" s="240"/>
      <c r="B1064" s="256" t="s">
        <v>1166</v>
      </c>
      <c r="C1064" s="247"/>
    </row>
    <row r="1065">
      <c r="A1065" s="240"/>
      <c r="B1065" s="256" t="s">
        <v>1167</v>
      </c>
      <c r="C1065" s="247"/>
    </row>
    <row r="1066">
      <c r="A1066" s="240"/>
      <c r="B1066" s="256" t="s">
        <v>1168</v>
      </c>
      <c r="C1066" s="247"/>
    </row>
    <row r="1067">
      <c r="A1067" s="240"/>
      <c r="B1067" s="256" t="s">
        <v>1169</v>
      </c>
      <c r="C1067" s="247"/>
    </row>
    <row r="1068">
      <c r="A1068" s="240"/>
      <c r="B1068" s="256" t="s">
        <v>1170</v>
      </c>
      <c r="C1068" s="247"/>
    </row>
    <row r="1069">
      <c r="A1069" s="240"/>
      <c r="B1069" s="256" t="s">
        <v>1171</v>
      </c>
      <c r="C1069" s="247"/>
    </row>
    <row r="1070">
      <c r="A1070" s="240"/>
      <c r="B1070" s="256" t="s">
        <v>1172</v>
      </c>
      <c r="C1070" s="247"/>
    </row>
    <row r="1071">
      <c r="A1071" s="240"/>
      <c r="B1071" s="256" t="s">
        <v>1173</v>
      </c>
      <c r="C1071" s="247"/>
    </row>
    <row r="1072">
      <c r="A1072" s="240"/>
      <c r="B1072" s="256" t="s">
        <v>1174</v>
      </c>
      <c r="C1072" s="247"/>
    </row>
    <row r="1073">
      <c r="A1073" s="240"/>
      <c r="B1073" s="256" t="s">
        <v>1175</v>
      </c>
      <c r="C1073" s="247"/>
    </row>
    <row r="1074">
      <c r="A1074" s="240"/>
      <c r="B1074" s="256" t="s">
        <v>1176</v>
      </c>
      <c r="C1074" s="247"/>
    </row>
    <row r="1075">
      <c r="A1075" s="240"/>
      <c r="B1075" s="256" t="s">
        <v>1177</v>
      </c>
      <c r="C1075" s="247"/>
    </row>
    <row r="1076">
      <c r="A1076" s="240"/>
      <c r="B1076" s="256" t="s">
        <v>1178</v>
      </c>
      <c r="C1076" s="247"/>
    </row>
    <row r="1077">
      <c r="A1077" s="240"/>
      <c r="B1077" s="256" t="s">
        <v>1179</v>
      </c>
      <c r="C1077" s="247"/>
    </row>
    <row r="1078">
      <c r="A1078" s="240"/>
      <c r="B1078" s="256" t="s">
        <v>1180</v>
      </c>
      <c r="C1078" s="247"/>
    </row>
    <row r="1079">
      <c r="A1079" s="240"/>
      <c r="B1079" s="256" t="s">
        <v>1181</v>
      </c>
      <c r="C1079" s="247"/>
    </row>
    <row r="1080">
      <c r="A1080" s="240"/>
      <c r="B1080" s="256" t="s">
        <v>1182</v>
      </c>
      <c r="C1080" s="247"/>
    </row>
    <row r="1081">
      <c r="A1081" s="240"/>
      <c r="B1081" s="256" t="s">
        <v>1183</v>
      </c>
      <c r="C1081" s="247"/>
    </row>
    <row r="1082">
      <c r="A1082" s="240"/>
      <c r="B1082" s="256" t="s">
        <v>1184</v>
      </c>
      <c r="C1082" s="247"/>
    </row>
    <row r="1083">
      <c r="A1083" s="240"/>
      <c r="B1083" s="256" t="s">
        <v>1185</v>
      </c>
      <c r="C1083" s="247"/>
    </row>
    <row r="1084">
      <c r="A1084" s="240"/>
      <c r="B1084" s="256" t="s">
        <v>1186</v>
      </c>
      <c r="C1084" s="247"/>
    </row>
    <row r="1085">
      <c r="A1085" s="240"/>
      <c r="B1085" s="256" t="s">
        <v>1187</v>
      </c>
      <c r="C1085" s="247"/>
    </row>
    <row r="1086">
      <c r="A1086" s="240"/>
      <c r="B1086" s="256" t="s">
        <v>1188</v>
      </c>
      <c r="C1086" s="247"/>
    </row>
    <row r="1087">
      <c r="A1087" s="240"/>
      <c r="B1087" s="256" t="s">
        <v>1189</v>
      </c>
      <c r="C1087" s="247"/>
    </row>
    <row r="1088">
      <c r="A1088" s="240"/>
      <c r="B1088" s="256" t="s">
        <v>1190</v>
      </c>
      <c r="C1088" s="247"/>
    </row>
    <row r="1089">
      <c r="A1089" s="240"/>
      <c r="B1089" s="256" t="s">
        <v>1191</v>
      </c>
      <c r="C1089" s="247"/>
    </row>
    <row r="1090">
      <c r="A1090" s="240"/>
      <c r="B1090" s="256" t="s">
        <v>1192</v>
      </c>
      <c r="C1090" s="247"/>
    </row>
    <row r="1091">
      <c r="A1091" s="240"/>
      <c r="B1091" s="256" t="s">
        <v>1193</v>
      </c>
      <c r="C1091" s="247"/>
    </row>
    <row r="1092">
      <c r="A1092" s="240"/>
      <c r="B1092" s="256" t="s">
        <v>1194</v>
      </c>
      <c r="C1092" s="247"/>
    </row>
    <row r="1093">
      <c r="A1093" s="240"/>
      <c r="B1093" s="256" t="s">
        <v>1195</v>
      </c>
      <c r="C1093" s="247"/>
    </row>
    <row r="1094">
      <c r="A1094" s="240"/>
      <c r="B1094" s="256" t="s">
        <v>1196</v>
      </c>
      <c r="C1094" s="247"/>
    </row>
    <row r="1095">
      <c r="A1095" s="240"/>
      <c r="B1095" s="256" t="s">
        <v>1197</v>
      </c>
      <c r="C1095" s="247"/>
    </row>
    <row r="1096">
      <c r="A1096" s="240"/>
      <c r="B1096" s="256" t="s">
        <v>1198</v>
      </c>
      <c r="C1096" s="247"/>
    </row>
    <row r="1097">
      <c r="A1097" s="240"/>
      <c r="B1097" s="256" t="s">
        <v>1199</v>
      </c>
      <c r="C1097" s="247"/>
    </row>
    <row r="1098">
      <c r="A1098" s="240"/>
      <c r="B1098" s="256" t="s">
        <v>1200</v>
      </c>
      <c r="C1098" s="247"/>
    </row>
    <row r="1099">
      <c r="A1099" s="240"/>
      <c r="B1099" s="256" t="s">
        <v>1201</v>
      </c>
      <c r="C1099" s="247"/>
    </row>
    <row r="1100">
      <c r="A1100" s="240"/>
      <c r="B1100" s="256" t="s">
        <v>1202</v>
      </c>
      <c r="C1100" s="247"/>
    </row>
    <row r="1101">
      <c r="A1101" s="240"/>
      <c r="B1101" s="256" t="s">
        <v>1203</v>
      </c>
      <c r="C1101" s="247"/>
    </row>
    <row r="1102">
      <c r="A1102" s="240"/>
      <c r="B1102" s="256" t="s">
        <v>1204</v>
      </c>
      <c r="C1102" s="247"/>
    </row>
    <row r="1103">
      <c r="A1103" s="240"/>
      <c r="B1103" s="256" t="s">
        <v>1205</v>
      </c>
      <c r="C1103" s="247"/>
    </row>
    <row r="1104">
      <c r="A1104" s="240"/>
      <c r="B1104" s="256" t="s">
        <v>1206</v>
      </c>
      <c r="C1104" s="247"/>
    </row>
    <row r="1105">
      <c r="A1105" s="240"/>
      <c r="B1105" s="256" t="s">
        <v>1207</v>
      </c>
      <c r="C1105" s="247"/>
    </row>
    <row r="1106">
      <c r="A1106" s="240"/>
      <c r="B1106" s="256" t="s">
        <v>1208</v>
      </c>
      <c r="C1106" s="247"/>
    </row>
    <row r="1107">
      <c r="A1107" s="240"/>
      <c r="B1107" s="256" t="s">
        <v>1209</v>
      </c>
      <c r="C1107" s="247"/>
    </row>
    <row r="1108">
      <c r="A1108" s="240"/>
      <c r="B1108" s="256" t="s">
        <v>1210</v>
      </c>
      <c r="C1108" s="247"/>
    </row>
    <row r="1109">
      <c r="A1109" s="240"/>
      <c r="B1109" s="256" t="s">
        <v>1211</v>
      </c>
      <c r="C1109" s="247"/>
    </row>
    <row r="1110">
      <c r="A1110" s="240"/>
      <c r="B1110" s="256" t="s">
        <v>1212</v>
      </c>
      <c r="C1110" s="247"/>
    </row>
    <row r="1111">
      <c r="A1111" s="240"/>
      <c r="B1111" s="256" t="s">
        <v>1213</v>
      </c>
      <c r="C1111" s="247"/>
    </row>
    <row r="1112">
      <c r="A1112" s="240"/>
      <c r="B1112" s="256" t="s">
        <v>1214</v>
      </c>
      <c r="C1112" s="247"/>
    </row>
    <row r="1113">
      <c r="A1113" s="240"/>
      <c r="B1113" s="256" t="s">
        <v>1215</v>
      </c>
      <c r="C1113" s="247"/>
    </row>
    <row r="1114">
      <c r="A1114" s="240"/>
      <c r="B1114" s="256" t="s">
        <v>1216</v>
      </c>
      <c r="C1114" s="247"/>
    </row>
    <row r="1115">
      <c r="A1115" s="240"/>
      <c r="B1115" s="256" t="s">
        <v>1217</v>
      </c>
      <c r="C1115" s="247"/>
    </row>
    <row r="1116">
      <c r="A1116" s="240"/>
      <c r="B1116" s="256" t="s">
        <v>1218</v>
      </c>
      <c r="C1116" s="247"/>
    </row>
    <row r="1117">
      <c r="A1117" s="240"/>
      <c r="B1117" s="256" t="s">
        <v>1219</v>
      </c>
      <c r="C1117" s="247"/>
    </row>
    <row r="1118">
      <c r="A1118" s="240"/>
      <c r="B1118" s="256" t="s">
        <v>1220</v>
      </c>
      <c r="C1118" s="247"/>
    </row>
    <row r="1119">
      <c r="A1119" s="240"/>
      <c r="B1119" s="256" t="s">
        <v>1221</v>
      </c>
      <c r="C1119" s="247"/>
    </row>
    <row r="1120">
      <c r="A1120" s="240"/>
      <c r="B1120" s="256" t="s">
        <v>1222</v>
      </c>
      <c r="C1120" s="247"/>
    </row>
    <row r="1121">
      <c r="A1121" s="240"/>
      <c r="B1121" s="256" t="s">
        <v>1223</v>
      </c>
      <c r="C1121" s="247"/>
    </row>
    <row r="1122">
      <c r="A1122" s="240"/>
      <c r="B1122" s="256" t="s">
        <v>1224</v>
      </c>
      <c r="C1122" s="247"/>
    </row>
    <row r="1123">
      <c r="A1123" s="240"/>
      <c r="B1123" s="256" t="s">
        <v>1225</v>
      </c>
      <c r="C1123" s="247"/>
    </row>
    <row r="1124">
      <c r="A1124" s="240"/>
      <c r="B1124" s="256" t="s">
        <v>1226</v>
      </c>
      <c r="C1124" s="247"/>
    </row>
    <row r="1125">
      <c r="A1125" s="240"/>
      <c r="B1125" s="256" t="s">
        <v>1227</v>
      </c>
      <c r="C1125" s="247"/>
    </row>
    <row r="1126">
      <c r="A1126" s="240"/>
      <c r="B1126" s="256" t="s">
        <v>1228</v>
      </c>
      <c r="C1126" s="247"/>
    </row>
    <row r="1127">
      <c r="A1127" s="240"/>
      <c r="B1127" s="256" t="s">
        <v>1229</v>
      </c>
      <c r="C1127" s="247"/>
    </row>
    <row r="1128">
      <c r="A1128" s="240"/>
      <c r="B1128" s="256" t="s">
        <v>1230</v>
      </c>
      <c r="C1128" s="247"/>
    </row>
    <row r="1129">
      <c r="A1129" s="240"/>
      <c r="B1129" s="256" t="s">
        <v>1231</v>
      </c>
      <c r="C1129" s="247"/>
    </row>
    <row r="1130">
      <c r="A1130" s="240"/>
      <c r="B1130" s="256" t="s">
        <v>1232</v>
      </c>
      <c r="C1130" s="247"/>
    </row>
    <row r="1131">
      <c r="A1131" s="240"/>
      <c r="B1131" s="256" t="s">
        <v>1233</v>
      </c>
      <c r="C1131" s="247"/>
    </row>
    <row r="1132">
      <c r="A1132" s="240"/>
      <c r="B1132" s="256" t="s">
        <v>1234</v>
      </c>
      <c r="C1132" s="247"/>
    </row>
    <row r="1133">
      <c r="A1133" s="240"/>
      <c r="B1133" s="256" t="s">
        <v>1235</v>
      </c>
      <c r="C1133" s="247"/>
    </row>
    <row r="1134">
      <c r="A1134" s="240"/>
      <c r="B1134" s="256" t="s">
        <v>1236</v>
      </c>
      <c r="C1134" s="247"/>
    </row>
    <row r="1135">
      <c r="A1135" s="240"/>
      <c r="B1135" s="256" t="s">
        <v>1237</v>
      </c>
      <c r="C1135" s="247"/>
    </row>
    <row r="1136">
      <c r="A1136" s="240"/>
      <c r="B1136" s="256" t="s">
        <v>1238</v>
      </c>
      <c r="C1136" s="247"/>
    </row>
    <row r="1137">
      <c r="A1137" s="240"/>
      <c r="B1137" s="256" t="s">
        <v>1239</v>
      </c>
      <c r="C1137" s="247"/>
    </row>
    <row r="1138">
      <c r="A1138" s="240"/>
      <c r="B1138" s="256" t="s">
        <v>1240</v>
      </c>
      <c r="C1138" s="247"/>
    </row>
    <row r="1139">
      <c r="A1139" s="240"/>
      <c r="B1139" s="256" t="s">
        <v>1241</v>
      </c>
      <c r="C1139" s="247"/>
    </row>
    <row r="1140">
      <c r="A1140" s="240"/>
      <c r="B1140" s="256" t="s">
        <v>1242</v>
      </c>
      <c r="C1140" s="247"/>
    </row>
    <row r="1141">
      <c r="A1141" s="240"/>
      <c r="B1141" s="256" t="s">
        <v>1243</v>
      </c>
      <c r="C1141" s="247"/>
    </row>
    <row r="1142">
      <c r="A1142" s="240"/>
      <c r="B1142" s="256" t="s">
        <v>1244</v>
      </c>
      <c r="C1142" s="247"/>
    </row>
    <row r="1143">
      <c r="A1143" s="240"/>
      <c r="B1143" s="256" t="s">
        <v>1245</v>
      </c>
      <c r="C1143" s="247"/>
    </row>
    <row r="1144">
      <c r="A1144" s="240"/>
      <c r="B1144" s="256" t="s">
        <v>1246</v>
      </c>
      <c r="C1144" s="247"/>
    </row>
    <row r="1145">
      <c r="A1145" s="240"/>
      <c r="B1145" s="256" t="s">
        <v>1247</v>
      </c>
      <c r="C1145" s="247"/>
    </row>
    <row r="1146">
      <c r="A1146" s="240"/>
      <c r="B1146" s="256" t="s">
        <v>1248</v>
      </c>
      <c r="C1146" s="247"/>
    </row>
    <row r="1147">
      <c r="A1147" s="240"/>
      <c r="B1147" s="256" t="s">
        <v>1249</v>
      </c>
      <c r="C1147" s="247"/>
    </row>
    <row r="1148">
      <c r="A1148" s="240"/>
      <c r="B1148" s="256" t="s">
        <v>1250</v>
      </c>
      <c r="C1148" s="247"/>
    </row>
    <row r="1149">
      <c r="A1149" s="240"/>
      <c r="B1149" s="256" t="s">
        <v>1251</v>
      </c>
      <c r="C1149" s="247"/>
    </row>
    <row r="1150">
      <c r="A1150" s="240"/>
      <c r="B1150" s="256" t="s">
        <v>1252</v>
      </c>
      <c r="C1150" s="247"/>
    </row>
    <row r="1151">
      <c r="A1151" s="240"/>
      <c r="B1151" s="256" t="s">
        <v>1253</v>
      </c>
      <c r="C1151" s="247"/>
    </row>
    <row r="1152">
      <c r="A1152" s="240"/>
      <c r="B1152" s="256" t="s">
        <v>1254</v>
      </c>
      <c r="C1152" s="247"/>
    </row>
    <row r="1153">
      <c r="A1153" s="240"/>
      <c r="B1153" s="256" t="s">
        <v>1255</v>
      </c>
      <c r="C1153" s="247"/>
    </row>
    <row r="1154">
      <c r="A1154" s="240"/>
      <c r="B1154" s="256" t="s">
        <v>1256</v>
      </c>
      <c r="C1154" s="247"/>
    </row>
    <row r="1155">
      <c r="A1155" s="240"/>
      <c r="B1155" s="256" t="s">
        <v>1257</v>
      </c>
      <c r="C1155" s="247"/>
    </row>
    <row r="1156">
      <c r="A1156" s="240"/>
      <c r="B1156" s="256" t="s">
        <v>1258</v>
      </c>
      <c r="C1156" s="247"/>
    </row>
    <row r="1157">
      <c r="A1157" s="240"/>
      <c r="B1157" s="256" t="s">
        <v>1259</v>
      </c>
      <c r="C1157" s="247"/>
    </row>
    <row r="1158">
      <c r="A1158" s="240"/>
      <c r="B1158" s="256" t="s">
        <v>1260</v>
      </c>
      <c r="C1158" s="247"/>
    </row>
    <row r="1159">
      <c r="A1159" s="240"/>
      <c r="B1159" s="256" t="s">
        <v>1261</v>
      </c>
      <c r="C1159" s="247"/>
    </row>
    <row r="1160">
      <c r="A1160" s="240"/>
      <c r="B1160" s="256" t="s">
        <v>1262</v>
      </c>
      <c r="C1160" s="247"/>
    </row>
    <row r="1161">
      <c r="A1161" s="240"/>
      <c r="B1161" s="256" t="s">
        <v>1263</v>
      </c>
      <c r="C1161" s="247"/>
    </row>
    <row r="1162">
      <c r="A1162" s="240"/>
      <c r="B1162" s="256" t="s">
        <v>1264</v>
      </c>
      <c r="C1162" s="247"/>
    </row>
    <row r="1163">
      <c r="A1163" s="240"/>
      <c r="B1163" s="256" t="s">
        <v>1265</v>
      </c>
      <c r="C1163" s="247"/>
    </row>
    <row r="1164">
      <c r="A1164" s="240"/>
      <c r="B1164" s="256" t="s">
        <v>1266</v>
      </c>
      <c r="C1164" s="247"/>
    </row>
    <row r="1165">
      <c r="A1165" s="240"/>
      <c r="B1165" s="256" t="s">
        <v>1267</v>
      </c>
      <c r="C1165" s="247"/>
    </row>
    <row r="1166">
      <c r="A1166" s="240"/>
      <c r="B1166" s="256" t="s">
        <v>1268</v>
      </c>
      <c r="C1166" s="247"/>
    </row>
    <row r="1167">
      <c r="A1167" s="240"/>
      <c r="B1167" s="256" t="s">
        <v>1269</v>
      </c>
      <c r="C1167" s="247"/>
    </row>
    <row r="1168">
      <c r="A1168" s="240"/>
      <c r="B1168" s="256" t="s">
        <v>1270</v>
      </c>
      <c r="C1168" s="247"/>
    </row>
    <row r="1169">
      <c r="A1169" s="240"/>
      <c r="B1169" s="256" t="s">
        <v>1271</v>
      </c>
      <c r="C1169" s="247"/>
    </row>
    <row r="1170">
      <c r="A1170" s="240"/>
      <c r="B1170" s="256" t="s">
        <v>1272</v>
      </c>
      <c r="C1170" s="247"/>
    </row>
    <row r="1171">
      <c r="A1171" s="240"/>
      <c r="B1171" s="256" t="s">
        <v>1273</v>
      </c>
      <c r="C1171" s="247"/>
    </row>
    <row r="1172">
      <c r="A1172" s="240"/>
      <c r="B1172" s="256" t="s">
        <v>1274</v>
      </c>
      <c r="C1172" s="247"/>
    </row>
    <row r="1173">
      <c r="A1173" s="240"/>
      <c r="B1173" s="256" t="s">
        <v>1275</v>
      </c>
      <c r="C1173" s="247"/>
    </row>
    <row r="1174">
      <c r="A1174" s="240"/>
      <c r="B1174" s="256" t="s">
        <v>1276</v>
      </c>
      <c r="C1174" s="247"/>
    </row>
    <row r="1175">
      <c r="A1175" s="240"/>
      <c r="B1175" s="256" t="s">
        <v>1277</v>
      </c>
      <c r="C1175" s="247"/>
    </row>
    <row r="1176">
      <c r="A1176" s="240"/>
      <c r="B1176" s="256" t="s">
        <v>1278</v>
      </c>
      <c r="C1176" s="247"/>
    </row>
    <row r="1177">
      <c r="A1177" s="240"/>
      <c r="B1177" s="256" t="s">
        <v>1279</v>
      </c>
      <c r="C1177" s="247"/>
    </row>
    <row r="1178">
      <c r="A1178" s="240"/>
      <c r="B1178" s="256" t="s">
        <v>1280</v>
      </c>
      <c r="C1178" s="247"/>
    </row>
    <row r="1179">
      <c r="A1179" s="240"/>
      <c r="B1179" s="256" t="s">
        <v>1281</v>
      </c>
      <c r="C1179" s="247"/>
    </row>
    <row r="1180">
      <c r="A1180" s="240"/>
      <c r="B1180" s="256" t="s">
        <v>1282</v>
      </c>
      <c r="C1180" s="247"/>
    </row>
    <row r="1181">
      <c r="A1181" s="240"/>
      <c r="B1181" s="256" t="s">
        <v>1283</v>
      </c>
      <c r="C1181" s="247"/>
    </row>
    <row r="1182">
      <c r="A1182" s="240"/>
      <c r="B1182" s="256" t="s">
        <v>1284</v>
      </c>
      <c r="C1182" s="247"/>
    </row>
    <row r="1183">
      <c r="A1183" s="240"/>
      <c r="B1183" s="256" t="s">
        <v>1285</v>
      </c>
      <c r="C1183" s="247"/>
    </row>
    <row r="1184">
      <c r="A1184" s="240"/>
      <c r="B1184" s="256" t="s">
        <v>1286</v>
      </c>
      <c r="C1184" s="247"/>
    </row>
    <row r="1185">
      <c r="A1185" s="240"/>
      <c r="B1185" s="256" t="s">
        <v>1287</v>
      </c>
      <c r="C1185" s="247"/>
    </row>
    <row r="1186">
      <c r="A1186" s="240"/>
      <c r="B1186" s="256" t="s">
        <v>1288</v>
      </c>
      <c r="C1186" s="247"/>
    </row>
    <row r="1187">
      <c r="A1187" s="240"/>
      <c r="B1187" s="256" t="s">
        <v>1289</v>
      </c>
      <c r="C1187" s="247"/>
    </row>
    <row r="1188">
      <c r="A1188" s="240"/>
      <c r="B1188" s="256" t="s">
        <v>1290</v>
      </c>
      <c r="C1188" s="247"/>
    </row>
    <row r="1189">
      <c r="A1189" s="240"/>
      <c r="B1189" s="256" t="s">
        <v>1291</v>
      </c>
      <c r="C1189" s="247"/>
    </row>
    <row r="1190">
      <c r="A1190" s="240"/>
      <c r="B1190" s="256" t="s">
        <v>1292</v>
      </c>
      <c r="C1190" s="247"/>
    </row>
    <row r="1191">
      <c r="A1191" s="240"/>
      <c r="B1191" s="256" t="s">
        <v>1293</v>
      </c>
      <c r="C1191" s="247"/>
    </row>
    <row r="1192">
      <c r="A1192" s="240"/>
      <c r="B1192" s="256" t="s">
        <v>1294</v>
      </c>
      <c r="C1192" s="247"/>
    </row>
    <row r="1193">
      <c r="A1193" s="240"/>
      <c r="B1193" s="256" t="s">
        <v>1295</v>
      </c>
      <c r="C1193" s="247"/>
    </row>
    <row r="1194">
      <c r="A1194" s="240"/>
      <c r="B1194" s="256" t="s">
        <v>1296</v>
      </c>
      <c r="C1194" s="247"/>
    </row>
    <row r="1195">
      <c r="A1195" s="240"/>
      <c r="B1195" s="256" t="s">
        <v>1297</v>
      </c>
      <c r="C1195" s="247"/>
    </row>
    <row r="1196">
      <c r="A1196" s="240"/>
      <c r="B1196" s="256" t="s">
        <v>1298</v>
      </c>
      <c r="C1196" s="247"/>
    </row>
    <row r="1197">
      <c r="A1197" s="240"/>
      <c r="B1197" s="256" t="s">
        <v>1299</v>
      </c>
      <c r="C1197" s="247"/>
    </row>
    <row r="1198">
      <c r="A1198" s="240"/>
      <c r="B1198" s="256" t="s">
        <v>1300</v>
      </c>
      <c r="C1198" s="247"/>
    </row>
    <row r="1199">
      <c r="A1199" s="240"/>
      <c r="B1199" s="256" t="s">
        <v>1301</v>
      </c>
      <c r="C1199" s="247"/>
    </row>
    <row r="1200">
      <c r="A1200" s="240"/>
      <c r="B1200" s="256" t="s">
        <v>1302</v>
      </c>
      <c r="C1200" s="247"/>
    </row>
    <row r="1201">
      <c r="A1201" s="240"/>
      <c r="B1201" s="256" t="s">
        <v>1303</v>
      </c>
      <c r="C1201" s="247"/>
    </row>
    <row r="1202">
      <c r="A1202" s="240"/>
      <c r="B1202" s="256" t="s">
        <v>1304</v>
      </c>
      <c r="C1202" s="247"/>
    </row>
    <row r="1203">
      <c r="A1203" s="240"/>
      <c r="B1203" s="256" t="s">
        <v>1305</v>
      </c>
      <c r="C1203" s="247"/>
    </row>
    <row r="1204">
      <c r="A1204" s="240"/>
      <c r="B1204" s="256" t="s">
        <v>1306</v>
      </c>
      <c r="C1204" s="247"/>
    </row>
    <row r="1205">
      <c r="A1205" s="240"/>
      <c r="B1205" s="256" t="s">
        <v>1307</v>
      </c>
      <c r="C1205" s="247"/>
    </row>
    <row r="1206">
      <c r="A1206" s="240"/>
      <c r="B1206" s="256" t="s">
        <v>1308</v>
      </c>
      <c r="C1206" s="247"/>
    </row>
    <row r="1207">
      <c r="A1207" s="240"/>
      <c r="B1207" s="256" t="s">
        <v>1309</v>
      </c>
      <c r="C1207" s="247"/>
    </row>
    <row r="1208">
      <c r="A1208" s="240"/>
      <c r="B1208" s="256" t="s">
        <v>1310</v>
      </c>
      <c r="C1208" s="247"/>
    </row>
    <row r="1209">
      <c r="A1209" s="240"/>
      <c r="B1209" s="256" t="s">
        <v>1311</v>
      </c>
      <c r="C1209" s="247"/>
    </row>
    <row r="1210">
      <c r="A1210" s="240"/>
      <c r="B1210" s="256" t="s">
        <v>1312</v>
      </c>
      <c r="C1210" s="247"/>
    </row>
    <row r="1211">
      <c r="A1211" s="240"/>
      <c r="B1211" s="256" t="s">
        <v>1313</v>
      </c>
      <c r="C1211" s="247"/>
    </row>
    <row r="1212">
      <c r="A1212" s="240"/>
      <c r="B1212" s="256" t="s">
        <v>1314</v>
      </c>
      <c r="C1212" s="247"/>
    </row>
    <row r="1213">
      <c r="A1213" s="240"/>
      <c r="B1213" s="256" t="s">
        <v>1315</v>
      </c>
      <c r="C1213" s="247"/>
    </row>
    <row r="1214">
      <c r="A1214" s="240"/>
      <c r="B1214" s="256" t="s">
        <v>1316</v>
      </c>
      <c r="C1214" s="247"/>
    </row>
    <row r="1215">
      <c r="A1215" s="240"/>
      <c r="B1215" s="256" t="s">
        <v>1317</v>
      </c>
      <c r="C1215" s="247"/>
    </row>
    <row r="1216">
      <c r="A1216" s="240"/>
      <c r="B1216" s="256" t="s">
        <v>1318</v>
      </c>
      <c r="C1216" s="247"/>
    </row>
    <row r="1217">
      <c r="A1217" s="240"/>
      <c r="B1217" s="256" t="s">
        <v>1319</v>
      </c>
      <c r="C1217" s="247"/>
    </row>
    <row r="1218">
      <c r="A1218" s="240"/>
      <c r="B1218" s="256" t="s">
        <v>1320</v>
      </c>
      <c r="C1218" s="247"/>
    </row>
    <row r="1219">
      <c r="A1219" s="240"/>
      <c r="B1219" s="256" t="s">
        <v>1321</v>
      </c>
      <c r="C1219" s="247"/>
    </row>
    <row r="1220">
      <c r="A1220" s="240"/>
      <c r="B1220" s="256" t="s">
        <v>1322</v>
      </c>
      <c r="C1220" s="247"/>
    </row>
    <row r="1221">
      <c r="A1221" s="240"/>
      <c r="B1221" s="256" t="s">
        <v>1323</v>
      </c>
      <c r="C1221" s="247"/>
    </row>
    <row r="1222">
      <c r="A1222" s="240"/>
      <c r="B1222" s="256" t="s">
        <v>1324</v>
      </c>
      <c r="C1222" s="247"/>
    </row>
    <row r="1223">
      <c r="A1223" s="240"/>
      <c r="B1223" s="256" t="s">
        <v>1325</v>
      </c>
      <c r="C1223" s="247"/>
    </row>
    <row r="1224">
      <c r="A1224" s="240"/>
      <c r="B1224" s="256" t="s">
        <v>1326</v>
      </c>
      <c r="C1224" s="247"/>
    </row>
    <row r="1225">
      <c r="A1225" s="240"/>
      <c r="B1225" s="256" t="s">
        <v>1327</v>
      </c>
      <c r="C1225" s="247"/>
    </row>
    <row r="1226">
      <c r="A1226" s="240"/>
      <c r="B1226" s="256" t="s">
        <v>1328</v>
      </c>
      <c r="C1226" s="247"/>
    </row>
    <row r="1227">
      <c r="A1227" s="240"/>
      <c r="B1227" s="256" t="s">
        <v>1329</v>
      </c>
      <c r="C1227" s="247"/>
    </row>
    <row r="1228">
      <c r="A1228" s="240"/>
      <c r="B1228" s="256" t="s">
        <v>1330</v>
      </c>
      <c r="C1228" s="247"/>
    </row>
    <row r="1229">
      <c r="A1229" s="240"/>
      <c r="B1229" s="256" t="s">
        <v>1331</v>
      </c>
      <c r="C1229" s="247"/>
    </row>
    <row r="1230">
      <c r="A1230" s="240"/>
      <c r="B1230" s="256" t="s">
        <v>1332</v>
      </c>
      <c r="C1230" s="247"/>
    </row>
    <row r="1231">
      <c r="A1231" s="240"/>
      <c r="B1231" s="256" t="s">
        <v>1333</v>
      </c>
      <c r="C1231" s="247"/>
    </row>
    <row r="1232">
      <c r="A1232" s="240"/>
      <c r="B1232" s="256" t="s">
        <v>1334</v>
      </c>
      <c r="C1232" s="247"/>
    </row>
    <row r="1233">
      <c r="A1233" s="240"/>
      <c r="B1233" s="256" t="s">
        <v>1335</v>
      </c>
      <c r="C1233" s="247"/>
    </row>
    <row r="1234">
      <c r="A1234" s="240"/>
      <c r="B1234" s="256" t="s">
        <v>1336</v>
      </c>
      <c r="C1234" s="247"/>
    </row>
    <row r="1235">
      <c r="A1235" s="240"/>
      <c r="B1235" s="256" t="s">
        <v>1337</v>
      </c>
      <c r="C1235" s="247"/>
    </row>
    <row r="1236">
      <c r="A1236" s="240"/>
      <c r="B1236" s="256" t="s">
        <v>1338</v>
      </c>
      <c r="C1236" s="247"/>
    </row>
    <row r="1237">
      <c r="A1237" s="240"/>
      <c r="B1237" s="256" t="s">
        <v>1339</v>
      </c>
      <c r="C1237" s="247"/>
    </row>
    <row r="1238">
      <c r="A1238" s="240"/>
      <c r="B1238" s="256" t="s">
        <v>1340</v>
      </c>
      <c r="C1238" s="247"/>
    </row>
    <row r="1239">
      <c r="A1239" s="240"/>
      <c r="B1239" s="256" t="s">
        <v>1341</v>
      </c>
      <c r="C1239" s="247"/>
    </row>
    <row r="1240">
      <c r="A1240" s="240"/>
      <c r="B1240" s="256" t="s">
        <v>1342</v>
      </c>
      <c r="C1240" s="247"/>
    </row>
    <row r="1241">
      <c r="A1241" s="240"/>
      <c r="B1241" s="256" t="s">
        <v>1343</v>
      </c>
      <c r="C1241" s="247"/>
    </row>
    <row r="1242">
      <c r="A1242" s="240"/>
      <c r="B1242" s="256" t="s">
        <v>1344</v>
      </c>
      <c r="C1242" s="247"/>
    </row>
    <row r="1243">
      <c r="A1243" s="240"/>
      <c r="B1243" s="256" t="s">
        <v>1345</v>
      </c>
      <c r="C1243" s="247"/>
    </row>
    <row r="1244">
      <c r="A1244" s="240"/>
      <c r="B1244" s="256" t="s">
        <v>1346</v>
      </c>
      <c r="C1244" s="247"/>
    </row>
    <row r="1245">
      <c r="A1245" s="240"/>
      <c r="B1245" s="256" t="s">
        <v>1347</v>
      </c>
      <c r="C1245" s="247"/>
    </row>
    <row r="1246">
      <c r="A1246" s="240"/>
      <c r="B1246" s="256" t="s">
        <v>1348</v>
      </c>
      <c r="C1246" s="247"/>
    </row>
    <row r="1247">
      <c r="A1247" s="240"/>
      <c r="B1247" s="256" t="s">
        <v>1349</v>
      </c>
      <c r="C1247" s="247"/>
    </row>
    <row r="1248">
      <c r="A1248" s="240"/>
      <c r="B1248" s="256" t="s">
        <v>1350</v>
      </c>
      <c r="C1248" s="247"/>
    </row>
    <row r="1249">
      <c r="A1249" s="240"/>
      <c r="B1249" s="256" t="s">
        <v>1351</v>
      </c>
      <c r="C1249" s="247"/>
    </row>
    <row r="1250">
      <c r="A1250" s="240"/>
      <c r="B1250" s="256" t="s">
        <v>1352</v>
      </c>
      <c r="C1250" s="247"/>
    </row>
    <row r="1251">
      <c r="A1251" s="240"/>
      <c r="B1251" s="256" t="s">
        <v>1353</v>
      </c>
      <c r="C1251" s="247"/>
    </row>
    <row r="1252">
      <c r="A1252" s="240"/>
      <c r="B1252" s="256" t="s">
        <v>1354</v>
      </c>
      <c r="C1252" s="247"/>
    </row>
    <row r="1253">
      <c r="A1253" s="240"/>
      <c r="B1253" s="256" t="s">
        <v>1355</v>
      </c>
      <c r="C1253" s="247"/>
    </row>
    <row r="1254">
      <c r="A1254" s="240"/>
      <c r="B1254" s="256" t="s">
        <v>1356</v>
      </c>
      <c r="C1254" s="247"/>
    </row>
    <row r="1255">
      <c r="A1255" s="240"/>
      <c r="B1255" s="256" t="s">
        <v>1357</v>
      </c>
      <c r="C1255" s="247"/>
    </row>
    <row r="1256">
      <c r="A1256" s="240"/>
      <c r="B1256" s="256" t="s">
        <v>1358</v>
      </c>
      <c r="C1256" s="247"/>
    </row>
    <row r="1257">
      <c r="A1257" s="240"/>
      <c r="B1257" s="256" t="s">
        <v>1359</v>
      </c>
      <c r="C1257" s="247"/>
    </row>
    <row r="1258">
      <c r="A1258" s="240"/>
      <c r="B1258" s="256" t="s">
        <v>1360</v>
      </c>
      <c r="C1258" s="247"/>
    </row>
    <row r="1259">
      <c r="A1259" s="240"/>
      <c r="B1259" s="256" t="s">
        <v>1361</v>
      </c>
      <c r="C1259" s="247"/>
    </row>
    <row r="1260">
      <c r="A1260" s="240"/>
      <c r="B1260" s="256" t="s">
        <v>1362</v>
      </c>
      <c r="C1260" s="247"/>
    </row>
    <row r="1261">
      <c r="A1261" s="240"/>
      <c r="B1261" s="256" t="s">
        <v>1363</v>
      </c>
      <c r="C1261" s="247"/>
    </row>
    <row r="1262">
      <c r="A1262" s="240"/>
      <c r="B1262" s="256" t="s">
        <v>1364</v>
      </c>
      <c r="C1262" s="247"/>
    </row>
    <row r="1263">
      <c r="A1263" s="240"/>
      <c r="B1263" s="256" t="s">
        <v>1365</v>
      </c>
      <c r="C1263" s="247"/>
    </row>
    <row r="1264">
      <c r="A1264" s="240"/>
      <c r="B1264" s="256" t="s">
        <v>1366</v>
      </c>
      <c r="C1264" s="247"/>
    </row>
    <row r="1265">
      <c r="A1265" s="240"/>
      <c r="B1265" s="256" t="s">
        <v>1367</v>
      </c>
      <c r="C1265" s="247"/>
    </row>
    <row r="1266">
      <c r="A1266" s="240"/>
      <c r="B1266" s="256" t="s">
        <v>1368</v>
      </c>
      <c r="C1266" s="247"/>
    </row>
    <row r="1267">
      <c r="A1267" s="240"/>
      <c r="B1267" s="256" t="s">
        <v>1369</v>
      </c>
      <c r="C1267" s="247"/>
    </row>
    <row r="1268">
      <c r="A1268" s="240"/>
      <c r="B1268" s="256" t="s">
        <v>1370</v>
      </c>
      <c r="C1268" s="247"/>
    </row>
    <row r="1269">
      <c r="A1269" s="240"/>
      <c r="B1269" s="256" t="s">
        <v>1371</v>
      </c>
      <c r="C1269" s="247"/>
    </row>
    <row r="1270">
      <c r="A1270" s="240"/>
      <c r="B1270" s="256" t="s">
        <v>1372</v>
      </c>
      <c r="C1270" s="247"/>
    </row>
    <row r="1271">
      <c r="A1271" s="240"/>
      <c r="B1271" s="256" t="s">
        <v>1373</v>
      </c>
      <c r="C1271" s="247"/>
    </row>
    <row r="1272">
      <c r="A1272" s="240"/>
      <c r="B1272" s="256" t="s">
        <v>1374</v>
      </c>
      <c r="C1272" s="247"/>
    </row>
    <row r="1273">
      <c r="A1273" s="240"/>
      <c r="B1273" s="256" t="s">
        <v>1375</v>
      </c>
      <c r="C1273" s="247"/>
    </row>
    <row r="1274">
      <c r="A1274" s="240"/>
      <c r="B1274" s="256" t="s">
        <v>1376</v>
      </c>
      <c r="C1274" s="247"/>
    </row>
    <row r="1275">
      <c r="A1275" s="240"/>
      <c r="B1275" s="256" t="s">
        <v>1377</v>
      </c>
      <c r="C1275" s="247"/>
    </row>
    <row r="1276">
      <c r="A1276" s="240"/>
      <c r="B1276" s="256" t="s">
        <v>1378</v>
      </c>
      <c r="C1276" s="247"/>
    </row>
    <row r="1277">
      <c r="A1277" s="240"/>
      <c r="B1277" s="256" t="s">
        <v>1379</v>
      </c>
      <c r="C1277" s="247"/>
    </row>
    <row r="1278">
      <c r="A1278" s="240"/>
      <c r="B1278" s="256" t="s">
        <v>1380</v>
      </c>
      <c r="C1278" s="247"/>
    </row>
    <row r="1279">
      <c r="A1279" s="240"/>
      <c r="B1279" s="256" t="s">
        <v>1381</v>
      </c>
      <c r="C1279" s="247"/>
    </row>
    <row r="1280">
      <c r="A1280" s="240"/>
      <c r="B1280" s="256" t="s">
        <v>1382</v>
      </c>
      <c r="C1280" s="247"/>
    </row>
    <row r="1281">
      <c r="A1281" s="240"/>
      <c r="B1281" s="256" t="s">
        <v>1383</v>
      </c>
      <c r="C1281" s="247"/>
    </row>
    <row r="1282">
      <c r="A1282" s="240"/>
      <c r="B1282" s="256" t="s">
        <v>1384</v>
      </c>
      <c r="C1282" s="247"/>
    </row>
    <row r="1283">
      <c r="A1283" s="240"/>
      <c r="B1283" s="256" t="s">
        <v>1385</v>
      </c>
      <c r="C1283" s="247"/>
    </row>
    <row r="1284">
      <c r="A1284" s="240"/>
      <c r="B1284" s="256" t="s">
        <v>1386</v>
      </c>
      <c r="C1284" s="247"/>
    </row>
    <row r="1285">
      <c r="A1285" s="240"/>
      <c r="B1285" s="256" t="s">
        <v>1387</v>
      </c>
      <c r="C1285" s="247"/>
    </row>
    <row r="1286">
      <c r="A1286" s="240"/>
      <c r="B1286" s="256" t="s">
        <v>1388</v>
      </c>
      <c r="C1286" s="247"/>
    </row>
    <row r="1287">
      <c r="A1287" s="240"/>
      <c r="B1287" s="256" t="s">
        <v>1389</v>
      </c>
      <c r="C1287" s="247"/>
    </row>
    <row r="1288">
      <c r="A1288" s="240"/>
      <c r="B1288" s="256" t="s">
        <v>1390</v>
      </c>
      <c r="C1288" s="247"/>
    </row>
    <row r="1289">
      <c r="A1289" s="240"/>
      <c r="B1289" s="256" t="s">
        <v>1391</v>
      </c>
      <c r="C1289" s="247"/>
    </row>
    <row r="1290">
      <c r="A1290" s="240"/>
      <c r="B1290" s="256" t="s">
        <v>1392</v>
      </c>
      <c r="C1290" s="247"/>
    </row>
    <row r="1291">
      <c r="A1291" s="240"/>
      <c r="B1291" s="256" t="s">
        <v>1393</v>
      </c>
      <c r="C1291" s="247"/>
    </row>
    <row r="1292">
      <c r="A1292" s="240"/>
      <c r="B1292" s="256" t="s">
        <v>1394</v>
      </c>
      <c r="C1292" s="247"/>
    </row>
    <row r="1293">
      <c r="A1293" s="240"/>
      <c r="B1293" s="256" t="s">
        <v>1395</v>
      </c>
      <c r="C1293" s="247"/>
    </row>
    <row r="1294">
      <c r="A1294" s="240"/>
      <c r="B1294" s="256" t="s">
        <v>1396</v>
      </c>
      <c r="C1294" s="247"/>
    </row>
    <row r="1295">
      <c r="A1295" s="240"/>
      <c r="B1295" s="256" t="s">
        <v>1397</v>
      </c>
      <c r="C1295" s="247"/>
    </row>
    <row r="1296">
      <c r="A1296" s="240"/>
      <c r="B1296" s="256" t="s">
        <v>1398</v>
      </c>
      <c r="C1296" s="247"/>
    </row>
    <row r="1297">
      <c r="A1297" s="240"/>
      <c r="B1297" s="256" t="s">
        <v>1399</v>
      </c>
      <c r="C1297" s="247"/>
    </row>
    <row r="1298">
      <c r="A1298" s="240"/>
      <c r="B1298" s="256" t="s">
        <v>1400</v>
      </c>
      <c r="C1298" s="247"/>
    </row>
    <row r="1299">
      <c r="A1299" s="240"/>
      <c r="B1299" s="256" t="s">
        <v>1401</v>
      </c>
      <c r="C1299" s="247"/>
    </row>
    <row r="1300">
      <c r="A1300" s="240"/>
      <c r="B1300" s="256" t="s">
        <v>1402</v>
      </c>
      <c r="C1300" s="247"/>
    </row>
    <row r="1301">
      <c r="A1301" s="240"/>
      <c r="B1301" s="256" t="s">
        <v>1403</v>
      </c>
      <c r="C1301" s="247"/>
    </row>
    <row r="1302">
      <c r="A1302" s="240"/>
      <c r="B1302" s="256" t="s">
        <v>1404</v>
      </c>
      <c r="C1302" s="247"/>
    </row>
    <row r="1303">
      <c r="A1303" s="240"/>
      <c r="B1303" s="256" t="s">
        <v>1405</v>
      </c>
      <c r="C1303" s="247"/>
    </row>
    <row r="1304">
      <c r="A1304" s="240"/>
      <c r="B1304" s="256" t="s">
        <v>1406</v>
      </c>
      <c r="C1304" s="247"/>
    </row>
    <row r="1305">
      <c r="A1305" s="240"/>
      <c r="B1305" s="256" t="s">
        <v>1407</v>
      </c>
      <c r="C1305" s="247"/>
    </row>
    <row r="1306">
      <c r="A1306" s="240"/>
      <c r="B1306" s="256" t="s">
        <v>1408</v>
      </c>
      <c r="C1306" s="247"/>
    </row>
    <row r="1307">
      <c r="A1307" s="240"/>
      <c r="B1307" s="256" t="s">
        <v>1409</v>
      </c>
      <c r="C1307" s="247"/>
    </row>
    <row r="1308">
      <c r="A1308" s="240"/>
      <c r="B1308" s="256" t="s">
        <v>1410</v>
      </c>
      <c r="C1308" s="247"/>
    </row>
    <row r="1309">
      <c r="A1309" s="240"/>
      <c r="B1309" s="256" t="s">
        <v>1411</v>
      </c>
      <c r="C1309" s="247"/>
    </row>
    <row r="1310">
      <c r="A1310" s="240"/>
      <c r="B1310" s="256" t="s">
        <v>1412</v>
      </c>
      <c r="C1310" s="247"/>
    </row>
    <row r="1311">
      <c r="A1311" s="240"/>
      <c r="B1311" s="256" t="s">
        <v>1413</v>
      </c>
      <c r="C1311" s="247"/>
    </row>
    <row r="1312">
      <c r="A1312" s="240"/>
      <c r="B1312" s="256" t="s">
        <v>1414</v>
      </c>
      <c r="C1312" s="247"/>
    </row>
    <row r="1313">
      <c r="A1313" s="240"/>
      <c r="B1313" s="256" t="s">
        <v>1415</v>
      </c>
      <c r="C1313" s="247"/>
    </row>
    <row r="1314">
      <c r="A1314" s="240"/>
      <c r="B1314" s="256" t="s">
        <v>1416</v>
      </c>
      <c r="C1314" s="247"/>
    </row>
    <row r="1315">
      <c r="A1315" s="240"/>
      <c r="B1315" s="256" t="s">
        <v>1417</v>
      </c>
      <c r="C1315" s="247"/>
    </row>
    <row r="1316">
      <c r="A1316" s="240"/>
      <c r="B1316" s="256" t="s">
        <v>1418</v>
      </c>
      <c r="C1316" s="247"/>
    </row>
    <row r="1317">
      <c r="A1317" s="240"/>
      <c r="B1317" s="256" t="s">
        <v>1419</v>
      </c>
      <c r="C1317" s="247"/>
    </row>
    <row r="1318">
      <c r="A1318" s="240"/>
      <c r="B1318" s="256" t="s">
        <v>1420</v>
      </c>
      <c r="C1318" s="247"/>
    </row>
    <row r="1319">
      <c r="A1319" s="240"/>
      <c r="B1319" s="256" t="s">
        <v>1421</v>
      </c>
      <c r="C1319" s="247"/>
    </row>
    <row r="1320">
      <c r="A1320" s="240"/>
      <c r="B1320" s="256" t="s">
        <v>1422</v>
      </c>
      <c r="C1320" s="247"/>
    </row>
    <row r="1321">
      <c r="A1321" s="240"/>
      <c r="B1321" s="256" t="s">
        <v>1423</v>
      </c>
      <c r="C1321" s="247"/>
    </row>
    <row r="1322">
      <c r="A1322" s="240"/>
      <c r="B1322" s="256" t="s">
        <v>1424</v>
      </c>
      <c r="C1322" s="247"/>
    </row>
    <row r="1323">
      <c r="A1323" s="240"/>
      <c r="B1323" s="256" t="s">
        <v>1425</v>
      </c>
      <c r="C1323" s="247"/>
    </row>
    <row r="1324">
      <c r="A1324" s="240"/>
      <c r="B1324" s="256" t="s">
        <v>1426</v>
      </c>
      <c r="C1324" s="247"/>
    </row>
    <row r="1325">
      <c r="A1325" s="240"/>
      <c r="B1325" s="256" t="s">
        <v>1427</v>
      </c>
      <c r="C1325" s="247"/>
    </row>
    <row r="1326">
      <c r="A1326" s="240"/>
      <c r="B1326" s="256" t="s">
        <v>1428</v>
      </c>
      <c r="C1326" s="247"/>
    </row>
    <row r="1327">
      <c r="A1327" s="240"/>
      <c r="B1327" s="256" t="s">
        <v>1429</v>
      </c>
      <c r="C1327" s="247"/>
    </row>
    <row r="1328">
      <c r="A1328" s="240"/>
      <c r="B1328" s="256" t="s">
        <v>1430</v>
      </c>
      <c r="C1328" s="247"/>
    </row>
    <row r="1329">
      <c r="A1329" s="240"/>
      <c r="B1329" s="256" t="s">
        <v>1431</v>
      </c>
      <c r="C1329" s="247"/>
    </row>
    <row r="1330">
      <c r="A1330" s="240"/>
      <c r="B1330" s="256" t="s">
        <v>1432</v>
      </c>
      <c r="C1330" s="247"/>
    </row>
    <row r="1331">
      <c r="A1331" s="240"/>
      <c r="B1331" s="256" t="s">
        <v>1433</v>
      </c>
      <c r="C1331" s="247"/>
    </row>
    <row r="1332">
      <c r="A1332" s="240"/>
      <c r="B1332" s="256" t="s">
        <v>1434</v>
      </c>
      <c r="C1332" s="247"/>
    </row>
    <row r="1333">
      <c r="A1333" s="240"/>
      <c r="B1333" s="256" t="s">
        <v>1435</v>
      </c>
      <c r="C1333" s="247"/>
    </row>
    <row r="1334">
      <c r="A1334" s="240"/>
      <c r="B1334" s="256" t="s">
        <v>1436</v>
      </c>
      <c r="C1334" s="247"/>
    </row>
    <row r="1335">
      <c r="A1335" s="240"/>
      <c r="B1335" s="256" t="s">
        <v>1437</v>
      </c>
      <c r="C1335" s="247"/>
    </row>
    <row r="1336">
      <c r="A1336" s="240"/>
      <c r="B1336" s="256" t="s">
        <v>1438</v>
      </c>
      <c r="C1336" s="247"/>
    </row>
    <row r="1337">
      <c r="A1337" s="240"/>
      <c r="B1337" s="256" t="s">
        <v>1439</v>
      </c>
      <c r="C1337" s="247"/>
    </row>
    <row r="1338">
      <c r="A1338" s="240"/>
      <c r="B1338" s="256" t="s">
        <v>1440</v>
      </c>
      <c r="C1338" s="247"/>
    </row>
    <row r="1339">
      <c r="A1339" s="240"/>
      <c r="B1339" s="256" t="s">
        <v>1441</v>
      </c>
      <c r="C1339" s="247"/>
    </row>
    <row r="1340">
      <c r="A1340" s="240"/>
      <c r="B1340" s="256" t="s">
        <v>1442</v>
      </c>
      <c r="C1340" s="247"/>
    </row>
    <row r="1341">
      <c r="A1341" s="240"/>
      <c r="B1341" s="256" t="s">
        <v>1443</v>
      </c>
      <c r="C1341" s="247"/>
    </row>
    <row r="1342">
      <c r="A1342" s="240"/>
      <c r="B1342" s="256" t="s">
        <v>1444</v>
      </c>
      <c r="C1342" s="247"/>
    </row>
    <row r="1343">
      <c r="A1343" s="240"/>
      <c r="B1343" s="256" t="s">
        <v>1445</v>
      </c>
      <c r="C1343" s="247"/>
    </row>
    <row r="1344">
      <c r="A1344" s="240"/>
      <c r="B1344" s="256" t="s">
        <v>1446</v>
      </c>
      <c r="C1344" s="247"/>
    </row>
    <row r="1345">
      <c r="A1345" s="240"/>
      <c r="B1345" s="256" t="s">
        <v>1447</v>
      </c>
      <c r="C1345" s="247"/>
    </row>
    <row r="1346">
      <c r="A1346" s="240"/>
      <c r="B1346" s="256" t="s">
        <v>1448</v>
      </c>
      <c r="C1346" s="247"/>
    </row>
    <row r="1347">
      <c r="A1347" s="240"/>
      <c r="B1347" s="256" t="s">
        <v>1449</v>
      </c>
      <c r="C1347" s="247"/>
    </row>
    <row r="1348">
      <c r="A1348" s="240"/>
      <c r="B1348" s="256" t="s">
        <v>1450</v>
      </c>
      <c r="C1348" s="247"/>
    </row>
    <row r="1349">
      <c r="A1349" s="240"/>
      <c r="B1349" s="256" t="s">
        <v>1451</v>
      </c>
      <c r="C1349" s="247"/>
    </row>
    <row r="1350">
      <c r="A1350" s="240"/>
      <c r="B1350" s="256" t="s">
        <v>1452</v>
      </c>
      <c r="C1350" s="247"/>
    </row>
    <row r="1351">
      <c r="A1351" s="240"/>
      <c r="B1351" s="256" t="s">
        <v>1453</v>
      </c>
      <c r="C1351" s="247"/>
    </row>
    <row r="1352">
      <c r="A1352" s="240"/>
      <c r="B1352" s="256" t="s">
        <v>1454</v>
      </c>
      <c r="C1352" s="247"/>
    </row>
    <row r="1353">
      <c r="A1353" s="240"/>
      <c r="B1353" s="256" t="s">
        <v>1455</v>
      </c>
      <c r="C1353" s="247"/>
    </row>
    <row r="1354">
      <c r="A1354" s="240"/>
      <c r="B1354" s="256" t="s">
        <v>1456</v>
      </c>
      <c r="C1354" s="247"/>
    </row>
    <row r="1355">
      <c r="A1355" s="240"/>
      <c r="B1355" s="256" t="s">
        <v>1457</v>
      </c>
      <c r="C1355" s="247"/>
    </row>
    <row r="1356">
      <c r="A1356" s="240"/>
      <c r="B1356" s="256" t="s">
        <v>1458</v>
      </c>
      <c r="C1356" s="247"/>
    </row>
    <row r="1357">
      <c r="A1357" s="240"/>
      <c r="B1357" s="256" t="s">
        <v>1459</v>
      </c>
      <c r="C1357" s="247"/>
    </row>
    <row r="1358">
      <c r="A1358" s="240"/>
      <c r="B1358" s="256" t="s">
        <v>1460</v>
      </c>
      <c r="C1358" s="247"/>
    </row>
    <row r="1359">
      <c r="A1359" s="240"/>
      <c r="B1359" s="256" t="s">
        <v>1461</v>
      </c>
      <c r="C1359" s="247"/>
    </row>
    <row r="1360">
      <c r="A1360" s="240"/>
      <c r="B1360" s="256" t="s">
        <v>1462</v>
      </c>
      <c r="C1360" s="247"/>
    </row>
    <row r="1361">
      <c r="A1361" s="240"/>
      <c r="B1361" s="256" t="s">
        <v>1463</v>
      </c>
      <c r="C1361" s="247"/>
    </row>
    <row r="1362">
      <c r="A1362" s="240"/>
      <c r="B1362" s="256" t="s">
        <v>1464</v>
      </c>
      <c r="C1362" s="247"/>
    </row>
    <row r="1363">
      <c r="A1363" s="240"/>
      <c r="B1363" s="256" t="s">
        <v>1465</v>
      </c>
      <c r="C1363" s="247"/>
    </row>
    <row r="1364">
      <c r="A1364" s="240"/>
      <c r="B1364" s="256" t="s">
        <v>1466</v>
      </c>
      <c r="C1364" s="247"/>
    </row>
    <row r="1365">
      <c r="A1365" s="240"/>
      <c r="B1365" s="256" t="s">
        <v>1467</v>
      </c>
      <c r="C1365" s="247"/>
    </row>
    <row r="1366">
      <c r="A1366" s="247"/>
      <c r="B1366" s="257" t="s">
        <v>1468</v>
      </c>
      <c r="C1366" s="247"/>
    </row>
    <row r="1367">
      <c r="A1367" s="247"/>
      <c r="B1367" s="257" t="s">
        <v>1469</v>
      </c>
      <c r="C1367" s="247"/>
    </row>
    <row r="1368">
      <c r="A1368" s="247"/>
      <c r="B1368" s="257" t="s">
        <v>1470</v>
      </c>
      <c r="C1368" s="247"/>
    </row>
    <row r="1369">
      <c r="A1369" s="247"/>
      <c r="B1369" s="257" t="s">
        <v>1471</v>
      </c>
      <c r="C1369" s="247"/>
    </row>
    <row r="1370">
      <c r="A1370" s="247"/>
      <c r="B1370" s="257" t="s">
        <v>1472</v>
      </c>
      <c r="C1370" s="247"/>
    </row>
    <row r="1371">
      <c r="A1371" s="247"/>
      <c r="B1371" s="257" t="s">
        <v>1473</v>
      </c>
      <c r="C1371" s="247"/>
    </row>
    <row r="1372">
      <c r="A1372" s="247"/>
      <c r="B1372" s="257" t="s">
        <v>1474</v>
      </c>
      <c r="C1372" s="247"/>
    </row>
    <row r="1373">
      <c r="A1373" s="247"/>
      <c r="B1373" s="257" t="s">
        <v>1475</v>
      </c>
      <c r="C1373" s="247"/>
    </row>
    <row r="1374">
      <c r="A1374" s="247"/>
      <c r="B1374" s="257" t="s">
        <v>1476</v>
      </c>
      <c r="C1374" s="247"/>
    </row>
    <row r="1375">
      <c r="A1375" s="247"/>
      <c r="B1375" s="257" t="s">
        <v>1477</v>
      </c>
      <c r="C1375" s="247"/>
    </row>
    <row r="1376">
      <c r="A1376" s="247"/>
      <c r="B1376" s="257" t="s">
        <v>1478</v>
      </c>
      <c r="C1376" s="247"/>
    </row>
    <row r="1377">
      <c r="A1377" s="247"/>
      <c r="B1377" s="257" t="s">
        <v>1479</v>
      </c>
      <c r="C1377" s="247"/>
    </row>
    <row r="1378">
      <c r="A1378" s="247"/>
      <c r="B1378" s="257" t="s">
        <v>1480</v>
      </c>
      <c r="C1378" s="247"/>
    </row>
    <row r="1379">
      <c r="A1379" s="247"/>
      <c r="B1379" s="257" t="s">
        <v>1481</v>
      </c>
      <c r="C1379" s="247"/>
    </row>
    <row r="1380">
      <c r="A1380" s="247"/>
      <c r="B1380" s="257" t="s">
        <v>1482</v>
      </c>
      <c r="C1380" s="247"/>
    </row>
    <row r="1381">
      <c r="A1381" s="247"/>
      <c r="B1381" s="257" t="s">
        <v>1483</v>
      </c>
      <c r="C1381" s="247"/>
    </row>
    <row r="1382">
      <c r="A1382" s="247"/>
      <c r="B1382" s="257" t="s">
        <v>1484</v>
      </c>
      <c r="C1382" s="247"/>
    </row>
    <row r="1383">
      <c r="A1383" s="247"/>
      <c r="B1383" s="257" t="s">
        <v>1485</v>
      </c>
      <c r="C1383" s="247"/>
    </row>
    <row r="1384">
      <c r="A1384" s="247"/>
      <c r="B1384" s="257" t="s">
        <v>1486</v>
      </c>
      <c r="C1384" s="247"/>
    </row>
    <row r="1385">
      <c r="A1385" s="247"/>
      <c r="B1385" s="257" t="s">
        <v>1487</v>
      </c>
      <c r="C1385" s="247"/>
    </row>
    <row r="1386">
      <c r="A1386" s="247"/>
      <c r="B1386" s="257" t="s">
        <v>1488</v>
      </c>
      <c r="C1386" s="247"/>
    </row>
    <row r="1387">
      <c r="A1387" s="247"/>
      <c r="B1387" s="257" t="s">
        <v>1489</v>
      </c>
      <c r="C1387" s="247"/>
    </row>
    <row r="1388">
      <c r="A1388" s="247"/>
      <c r="B1388" s="257" t="s">
        <v>1490</v>
      </c>
      <c r="C1388" s="247"/>
    </row>
    <row r="1389">
      <c r="A1389" s="247"/>
      <c r="B1389" s="257" t="s">
        <v>1491</v>
      </c>
      <c r="C1389" s="247"/>
    </row>
    <row r="1390">
      <c r="A1390" s="247"/>
      <c r="B1390" s="257" t="s">
        <v>1492</v>
      </c>
      <c r="C1390" s="247"/>
    </row>
    <row r="1391">
      <c r="A1391" s="247"/>
      <c r="B1391" s="257" t="s">
        <v>1493</v>
      </c>
      <c r="C1391" s="247"/>
    </row>
    <row r="1392">
      <c r="A1392" s="247"/>
      <c r="B1392" s="257" t="s">
        <v>1494</v>
      </c>
      <c r="C1392" s="247"/>
    </row>
    <row r="1393">
      <c r="A1393" s="247"/>
      <c r="B1393" s="257" t="s">
        <v>1495</v>
      </c>
      <c r="C1393" s="247"/>
    </row>
    <row r="1394">
      <c r="A1394" s="247"/>
      <c r="B1394" s="257" t="s">
        <v>1496</v>
      </c>
      <c r="C1394" s="247"/>
    </row>
    <row r="1395">
      <c r="A1395" s="247"/>
      <c r="B1395" s="257" t="s">
        <v>1497</v>
      </c>
      <c r="C1395" s="247"/>
    </row>
    <row r="1396">
      <c r="A1396" s="247"/>
      <c r="B1396" s="257" t="s">
        <v>1498</v>
      </c>
      <c r="C1396" s="247"/>
    </row>
    <row r="1397">
      <c r="A1397" s="247"/>
      <c r="B1397" s="257" t="s">
        <v>1499</v>
      </c>
      <c r="C1397" s="247"/>
    </row>
    <row r="1398">
      <c r="A1398" s="247"/>
      <c r="B1398" s="257" t="s">
        <v>1500</v>
      </c>
      <c r="C1398" s="247"/>
    </row>
    <row r="1399">
      <c r="A1399" s="247"/>
      <c r="B1399" s="257" t="s">
        <v>1501</v>
      </c>
      <c r="C1399" s="247"/>
    </row>
    <row r="1400">
      <c r="A1400" s="247"/>
      <c r="B1400" s="257" t="s">
        <v>1502</v>
      </c>
      <c r="C1400" s="247"/>
    </row>
    <row r="1401">
      <c r="A1401" s="247"/>
      <c r="B1401" s="257" t="s">
        <v>1503</v>
      </c>
      <c r="C1401" s="247"/>
    </row>
    <row r="1402">
      <c r="A1402" s="247"/>
      <c r="B1402" s="257" t="s">
        <v>1504</v>
      </c>
      <c r="C1402" s="247"/>
    </row>
    <row r="1403">
      <c r="A1403" s="247"/>
      <c r="B1403" s="257" t="s">
        <v>1505</v>
      </c>
      <c r="C1403" s="247"/>
    </row>
    <row r="1404">
      <c r="A1404" s="247"/>
      <c r="B1404" s="257" t="s">
        <v>1506</v>
      </c>
      <c r="C1404" s="247"/>
    </row>
    <row r="1405">
      <c r="A1405" s="247"/>
      <c r="B1405" s="257" t="s">
        <v>1507</v>
      </c>
      <c r="C1405" s="247"/>
    </row>
    <row r="1406">
      <c r="A1406" s="247"/>
      <c r="B1406" s="258"/>
      <c r="C1406" s="247"/>
    </row>
    <row r="1407">
      <c r="A1407" s="247"/>
      <c r="B1407" s="258"/>
      <c r="C1407" s="247"/>
    </row>
    <row r="1408">
      <c r="A1408" s="247"/>
      <c r="B1408" s="258"/>
      <c r="C1408" s="247"/>
    </row>
    <row r="1409">
      <c r="A1409" s="247"/>
      <c r="B1409" s="258"/>
      <c r="C1409" s="247"/>
    </row>
    <row r="1410">
      <c r="A1410" s="247"/>
      <c r="B1410" s="258"/>
      <c r="C1410" s="247"/>
    </row>
    <row r="1411">
      <c r="A1411" s="247"/>
      <c r="B1411" s="258"/>
      <c r="C1411" s="247"/>
    </row>
    <row r="1412">
      <c r="A1412" s="247"/>
      <c r="B1412" s="258"/>
      <c r="C1412" s="247"/>
    </row>
    <row r="1413">
      <c r="A1413" s="247"/>
      <c r="B1413" s="258"/>
      <c r="C1413" s="247"/>
    </row>
    <row r="1414">
      <c r="A1414" s="247"/>
      <c r="B1414" s="258"/>
      <c r="C1414" s="247"/>
    </row>
    <row r="1415">
      <c r="A1415" s="247"/>
      <c r="B1415" s="258"/>
      <c r="C1415" s="247"/>
    </row>
    <row r="1416">
      <c r="A1416" s="247"/>
      <c r="B1416" s="258"/>
      <c r="C1416" s="247"/>
    </row>
    <row r="1417">
      <c r="A1417" s="247"/>
      <c r="B1417" s="258"/>
      <c r="C1417" s="247"/>
    </row>
    <row r="1418">
      <c r="A1418" s="247"/>
      <c r="B1418" s="258"/>
      <c r="C1418" s="247"/>
    </row>
    <row r="1419">
      <c r="A1419" s="247"/>
      <c r="B1419" s="258"/>
      <c r="C1419" s="247"/>
    </row>
    <row r="1420">
      <c r="A1420" s="247"/>
      <c r="B1420" s="258"/>
      <c r="C1420" s="247"/>
    </row>
    <row r="1421">
      <c r="A1421" s="247"/>
      <c r="B1421" s="258"/>
      <c r="C1421" s="247"/>
    </row>
    <row r="1422">
      <c r="A1422" s="247"/>
      <c r="B1422" s="258"/>
      <c r="C1422" s="247"/>
    </row>
    <row r="1423">
      <c r="A1423" s="247"/>
      <c r="B1423" s="258"/>
      <c r="C1423" s="247"/>
    </row>
    <row r="1424">
      <c r="A1424" s="247"/>
      <c r="B1424" s="258"/>
      <c r="C1424" s="247"/>
    </row>
    <row r="1425">
      <c r="A1425" s="247"/>
      <c r="B1425" s="258"/>
      <c r="C1425" s="247"/>
    </row>
    <row r="1426">
      <c r="A1426" s="247"/>
      <c r="B1426" s="258"/>
      <c r="C1426" s="247"/>
    </row>
    <row r="1427">
      <c r="A1427" s="247"/>
      <c r="B1427" s="258"/>
      <c r="C1427" s="247"/>
    </row>
    <row r="1428">
      <c r="A1428" s="247"/>
      <c r="B1428" s="258"/>
      <c r="C1428" s="247"/>
    </row>
    <row r="1429">
      <c r="A1429" s="247"/>
      <c r="B1429" s="258"/>
      <c r="C1429" s="247"/>
    </row>
    <row r="1430">
      <c r="A1430" s="247"/>
      <c r="B1430" s="258"/>
      <c r="C1430" s="247"/>
    </row>
    <row r="1431">
      <c r="A1431" s="247"/>
      <c r="B1431" s="258"/>
      <c r="C1431" s="247"/>
    </row>
    <row r="1432">
      <c r="A1432" s="247"/>
      <c r="B1432" s="258"/>
      <c r="C1432" s="247"/>
    </row>
    <row r="1433">
      <c r="A1433" s="247"/>
      <c r="B1433" s="258"/>
      <c r="C1433" s="247"/>
    </row>
    <row r="1434">
      <c r="A1434" s="247"/>
      <c r="B1434" s="258"/>
      <c r="C1434" s="247"/>
    </row>
    <row r="1435">
      <c r="A1435" s="247"/>
      <c r="B1435" s="258"/>
      <c r="C1435" s="247"/>
    </row>
    <row r="1436">
      <c r="A1436" s="247"/>
      <c r="B1436" s="258"/>
      <c r="C1436" s="247"/>
    </row>
    <row r="1437">
      <c r="A1437" s="247"/>
      <c r="B1437" s="258"/>
      <c r="C1437" s="247"/>
    </row>
    <row r="1438">
      <c r="A1438" s="247"/>
      <c r="B1438" s="258"/>
      <c r="C1438" s="247"/>
    </row>
    <row r="1439">
      <c r="A1439" s="247"/>
      <c r="B1439" s="258"/>
      <c r="C1439" s="247"/>
    </row>
    <row r="1440">
      <c r="A1440" s="247"/>
      <c r="B1440" s="258"/>
      <c r="C1440" s="247"/>
    </row>
    <row r="1441">
      <c r="A1441" s="247"/>
      <c r="B1441" s="258"/>
      <c r="C1441" s="247"/>
    </row>
    <row r="1442">
      <c r="A1442" s="247"/>
      <c r="B1442" s="258"/>
      <c r="C1442" s="247"/>
    </row>
    <row r="1443">
      <c r="A1443" s="247"/>
      <c r="B1443" s="258"/>
      <c r="C1443" s="247"/>
    </row>
    <row r="1444">
      <c r="A1444" s="247"/>
      <c r="B1444" s="258"/>
      <c r="C1444" s="247"/>
    </row>
    <row r="1445">
      <c r="A1445" s="247"/>
      <c r="B1445" s="258"/>
      <c r="C1445" s="247"/>
    </row>
    <row r="1446">
      <c r="A1446" s="247"/>
      <c r="B1446" s="258"/>
      <c r="C1446" s="247"/>
    </row>
    <row r="1447">
      <c r="A1447" s="247"/>
      <c r="B1447" s="258"/>
      <c r="C1447" s="247"/>
    </row>
    <row r="1448">
      <c r="A1448" s="247"/>
      <c r="B1448" s="258"/>
      <c r="C1448" s="247"/>
    </row>
    <row r="1449">
      <c r="A1449" s="247"/>
      <c r="B1449" s="258"/>
      <c r="C1449" s="247"/>
    </row>
    <row r="1450">
      <c r="A1450" s="247"/>
      <c r="B1450" s="258"/>
      <c r="C1450" s="247"/>
    </row>
    <row r="1451">
      <c r="A1451" s="247"/>
      <c r="B1451" s="258"/>
      <c r="C1451" s="247"/>
    </row>
    <row r="1452">
      <c r="A1452" s="247"/>
      <c r="B1452" s="258"/>
      <c r="C1452" s="247"/>
    </row>
    <row r="1453">
      <c r="A1453" s="247"/>
      <c r="B1453" s="258"/>
      <c r="C1453" s="247"/>
    </row>
    <row r="1454">
      <c r="A1454" s="247"/>
      <c r="B1454" s="258"/>
      <c r="C1454" s="247"/>
    </row>
    <row r="1455">
      <c r="A1455" s="247"/>
      <c r="B1455" s="258"/>
      <c r="C1455" s="247"/>
    </row>
    <row r="1456">
      <c r="A1456" s="247"/>
      <c r="B1456" s="258"/>
      <c r="C1456" s="247"/>
    </row>
    <row r="1457">
      <c r="A1457" s="247"/>
      <c r="B1457" s="258"/>
      <c r="C1457" s="247"/>
    </row>
    <row r="1458">
      <c r="A1458" s="247"/>
      <c r="B1458" s="258"/>
      <c r="C1458" s="247"/>
    </row>
    <row r="1459">
      <c r="A1459" s="247"/>
      <c r="B1459" s="258"/>
      <c r="C1459" s="247"/>
    </row>
    <row r="1460">
      <c r="A1460" s="247"/>
      <c r="B1460" s="258"/>
      <c r="C1460" s="247"/>
    </row>
    <row r="1461">
      <c r="A1461" s="247"/>
      <c r="B1461" s="258"/>
      <c r="C1461" s="247"/>
    </row>
    <row r="1462">
      <c r="A1462" s="247"/>
      <c r="B1462" s="258"/>
      <c r="C1462" s="247"/>
    </row>
    <row r="1463">
      <c r="A1463" s="247"/>
      <c r="B1463" s="258"/>
      <c r="C1463" s="247"/>
    </row>
    <row r="1464">
      <c r="A1464" s="247"/>
      <c r="B1464" s="258"/>
      <c r="C1464" s="247"/>
    </row>
    <row r="1465">
      <c r="A1465" s="247"/>
      <c r="B1465" s="258"/>
      <c r="C1465" s="247"/>
    </row>
    <row r="1466">
      <c r="A1466" s="247"/>
      <c r="B1466" s="258"/>
      <c r="C1466" s="247"/>
    </row>
    <row r="1467">
      <c r="A1467" s="247"/>
      <c r="B1467" s="258"/>
      <c r="C1467" s="247"/>
    </row>
    <row r="1468">
      <c r="A1468" s="247"/>
      <c r="B1468" s="258"/>
      <c r="C1468" s="247"/>
    </row>
    <row r="1469">
      <c r="A1469" s="247"/>
      <c r="B1469" s="258"/>
      <c r="C1469" s="247"/>
    </row>
    <row r="1470">
      <c r="A1470" s="247"/>
      <c r="B1470" s="258"/>
      <c r="C1470" s="247"/>
    </row>
    <row r="1471">
      <c r="A1471" s="247"/>
      <c r="B1471" s="258"/>
      <c r="C1471" s="247"/>
    </row>
    <row r="1472">
      <c r="A1472" s="247"/>
      <c r="B1472" s="258"/>
      <c r="C1472" s="247"/>
    </row>
    <row r="1473">
      <c r="A1473" s="247"/>
      <c r="B1473" s="258"/>
      <c r="C1473" s="247"/>
    </row>
    <row r="1474">
      <c r="A1474" s="247"/>
      <c r="B1474" s="258"/>
      <c r="C1474" s="247"/>
    </row>
    <row r="1475">
      <c r="A1475" s="247"/>
      <c r="B1475" s="258"/>
      <c r="C1475" s="247"/>
    </row>
    <row r="1476">
      <c r="A1476" s="247"/>
      <c r="B1476" s="258"/>
      <c r="C1476" s="247"/>
    </row>
    <row r="1477">
      <c r="A1477" s="247"/>
      <c r="B1477" s="258"/>
      <c r="C1477" s="247"/>
    </row>
    <row r="1478">
      <c r="A1478" s="247"/>
      <c r="B1478" s="258"/>
      <c r="C1478" s="247"/>
    </row>
    <row r="1479">
      <c r="A1479" s="247"/>
      <c r="B1479" s="258"/>
      <c r="C1479" s="247"/>
    </row>
    <row r="1480">
      <c r="A1480" s="247"/>
      <c r="B1480" s="258"/>
      <c r="C1480" s="247"/>
    </row>
    <row r="1481">
      <c r="A1481" s="247"/>
      <c r="B1481" s="258"/>
      <c r="C1481" s="247"/>
    </row>
    <row r="1482">
      <c r="A1482" s="247"/>
      <c r="B1482" s="258"/>
      <c r="C1482" s="247"/>
    </row>
    <row r="1483">
      <c r="A1483" s="247"/>
      <c r="B1483" s="258"/>
      <c r="C1483" s="247"/>
    </row>
    <row r="1484">
      <c r="A1484" s="247"/>
      <c r="B1484" s="258"/>
      <c r="C1484" s="247"/>
    </row>
    <row r="1485">
      <c r="A1485" s="247"/>
      <c r="B1485" s="258"/>
      <c r="C1485" s="247"/>
    </row>
    <row r="1486">
      <c r="A1486" s="247"/>
      <c r="B1486" s="258"/>
      <c r="C1486" s="247"/>
    </row>
    <row r="1487">
      <c r="A1487" s="247"/>
      <c r="B1487" s="258"/>
      <c r="C1487" s="247"/>
    </row>
    <row r="1488">
      <c r="A1488" s="247"/>
      <c r="B1488" s="258"/>
      <c r="C1488" s="247"/>
    </row>
    <row r="1489">
      <c r="A1489" s="247"/>
      <c r="B1489" s="258"/>
      <c r="C1489" s="247"/>
    </row>
    <row r="1490">
      <c r="A1490" s="247"/>
      <c r="B1490" s="258"/>
      <c r="C1490" s="247"/>
    </row>
    <row r="1491">
      <c r="A1491" s="247"/>
      <c r="B1491" s="258"/>
      <c r="C1491" s="247"/>
    </row>
    <row r="1492">
      <c r="A1492" s="247"/>
      <c r="B1492" s="258"/>
      <c r="C1492" s="247"/>
    </row>
    <row r="1493">
      <c r="A1493" s="247"/>
      <c r="B1493" s="258"/>
      <c r="C1493" s="247"/>
    </row>
    <row r="1494">
      <c r="A1494" s="247"/>
      <c r="B1494" s="258"/>
      <c r="C1494" s="247"/>
    </row>
    <row r="1495">
      <c r="A1495" s="247"/>
      <c r="B1495" s="258"/>
      <c r="C1495" s="247"/>
    </row>
    <row r="1496">
      <c r="A1496" s="247"/>
      <c r="B1496" s="258"/>
      <c r="C1496" s="247"/>
    </row>
    <row r="1497">
      <c r="A1497" s="247"/>
      <c r="B1497" s="258"/>
      <c r="C1497" s="247"/>
    </row>
    <row r="1498">
      <c r="A1498" s="247"/>
      <c r="B1498" s="258"/>
      <c r="C1498" s="247"/>
    </row>
    <row r="1499">
      <c r="A1499" s="247"/>
      <c r="B1499" s="258"/>
      <c r="C1499" s="247"/>
    </row>
    <row r="1500">
      <c r="A1500" s="247"/>
      <c r="B1500" s="258"/>
      <c r="C1500" s="247"/>
    </row>
    <row r="1501">
      <c r="A1501" s="247"/>
      <c r="B1501" s="258"/>
      <c r="C1501" s="247"/>
    </row>
    <row r="1502">
      <c r="A1502" s="247"/>
      <c r="B1502" s="258"/>
      <c r="C1502" s="247"/>
    </row>
    <row r="1503">
      <c r="A1503" s="247"/>
      <c r="B1503" s="258"/>
      <c r="C1503" s="247"/>
    </row>
    <row r="1504">
      <c r="A1504" s="247"/>
      <c r="B1504" s="258"/>
      <c r="C1504" s="247"/>
    </row>
    <row r="1505">
      <c r="A1505" s="247"/>
      <c r="B1505" s="258"/>
      <c r="C1505" s="247"/>
    </row>
    <row r="1506">
      <c r="A1506" s="247"/>
      <c r="B1506" s="258"/>
      <c r="C1506" s="247"/>
    </row>
    <row r="1507">
      <c r="A1507" s="247"/>
      <c r="B1507" s="258"/>
      <c r="C1507" s="247"/>
    </row>
    <row r="1508">
      <c r="A1508" s="247"/>
      <c r="B1508" s="258"/>
      <c r="C1508" s="247"/>
    </row>
    <row r="1509">
      <c r="A1509" s="247"/>
      <c r="B1509" s="258"/>
      <c r="C1509" s="247"/>
    </row>
    <row r="1510">
      <c r="A1510" s="247"/>
      <c r="B1510" s="258"/>
      <c r="C1510" s="247"/>
    </row>
    <row r="1511">
      <c r="A1511" s="247"/>
      <c r="B1511" s="258"/>
      <c r="C1511" s="247"/>
    </row>
    <row r="1512">
      <c r="A1512" s="247"/>
      <c r="B1512" s="258"/>
      <c r="C1512" s="247"/>
    </row>
    <row r="1513">
      <c r="A1513" s="247"/>
      <c r="B1513" s="258"/>
      <c r="C1513" s="247"/>
    </row>
    <row r="1514">
      <c r="A1514" s="247"/>
      <c r="B1514" s="258"/>
      <c r="C1514" s="247"/>
    </row>
    <row r="1515">
      <c r="A1515" s="247"/>
      <c r="B1515" s="258"/>
      <c r="C1515" s="247"/>
    </row>
    <row r="1516">
      <c r="A1516" s="247"/>
      <c r="B1516" s="258"/>
      <c r="C1516" s="247"/>
    </row>
    <row r="1517">
      <c r="A1517" s="247"/>
      <c r="B1517" s="258"/>
      <c r="C1517" s="247"/>
    </row>
    <row r="1518">
      <c r="A1518" s="247"/>
      <c r="B1518" s="258"/>
      <c r="C1518" s="247"/>
    </row>
    <row r="1519">
      <c r="A1519" s="247"/>
      <c r="B1519" s="258"/>
      <c r="C1519" s="247"/>
    </row>
    <row r="1520">
      <c r="A1520" s="247"/>
      <c r="B1520" s="258"/>
      <c r="C1520" s="247"/>
    </row>
    <row r="1521">
      <c r="A1521" s="247"/>
      <c r="B1521" s="258"/>
      <c r="C1521" s="247"/>
    </row>
    <row r="1522">
      <c r="A1522" s="247"/>
      <c r="B1522" s="258"/>
      <c r="C1522" s="247"/>
    </row>
    <row r="1523">
      <c r="A1523" s="247"/>
      <c r="B1523" s="258"/>
      <c r="C1523" s="247"/>
    </row>
    <row r="1524">
      <c r="A1524" s="247"/>
      <c r="B1524" s="258"/>
      <c r="C1524" s="247"/>
    </row>
    <row r="1525">
      <c r="A1525" s="247"/>
      <c r="B1525" s="258"/>
      <c r="C1525" s="247"/>
    </row>
    <row r="1526">
      <c r="A1526" s="247"/>
      <c r="B1526" s="258"/>
      <c r="C1526" s="247"/>
    </row>
    <row r="1527">
      <c r="A1527" s="247"/>
      <c r="B1527" s="258"/>
      <c r="C1527" s="247"/>
    </row>
    <row r="1528">
      <c r="A1528" s="247"/>
      <c r="B1528" s="258"/>
      <c r="C1528" s="247"/>
    </row>
    <row r="1529">
      <c r="A1529" s="247"/>
      <c r="B1529" s="258"/>
      <c r="C1529" s="247"/>
    </row>
    <row r="1530">
      <c r="A1530" s="247"/>
      <c r="B1530" s="258"/>
      <c r="C1530" s="247"/>
    </row>
    <row r="1531">
      <c r="A1531" s="247"/>
      <c r="B1531" s="258"/>
      <c r="C1531" s="247"/>
    </row>
    <row r="1532">
      <c r="A1532" s="247"/>
      <c r="B1532" s="258"/>
      <c r="C1532" s="247"/>
    </row>
    <row r="1533">
      <c r="A1533" s="247"/>
      <c r="B1533" s="258"/>
      <c r="C1533" s="247"/>
    </row>
    <row r="1534">
      <c r="A1534" s="247"/>
      <c r="B1534" s="258"/>
      <c r="C1534" s="247"/>
    </row>
    <row r="1535">
      <c r="A1535" s="247"/>
      <c r="B1535" s="258"/>
      <c r="C1535" s="247"/>
    </row>
    <row r="1536">
      <c r="A1536" s="247"/>
      <c r="B1536" s="258"/>
      <c r="C1536" s="247"/>
    </row>
    <row r="1537">
      <c r="A1537" s="247"/>
      <c r="B1537" s="258"/>
      <c r="C1537" s="247"/>
    </row>
    <row r="1538">
      <c r="A1538" s="247"/>
      <c r="B1538" s="258"/>
      <c r="C1538" s="247"/>
    </row>
    <row r="1539">
      <c r="A1539" s="247"/>
      <c r="B1539" s="258"/>
      <c r="C1539" s="247"/>
    </row>
    <row r="1540">
      <c r="A1540" s="247"/>
      <c r="B1540" s="258"/>
      <c r="C1540" s="247"/>
    </row>
    <row r="1541">
      <c r="A1541" s="247"/>
      <c r="B1541" s="258"/>
      <c r="C1541" s="247"/>
    </row>
    <row r="1542">
      <c r="A1542" s="247"/>
      <c r="B1542" s="258"/>
      <c r="C1542" s="247"/>
    </row>
    <row r="1543">
      <c r="A1543" s="247"/>
      <c r="B1543" s="258"/>
      <c r="C1543" s="247"/>
    </row>
    <row r="1544">
      <c r="A1544" s="247"/>
      <c r="B1544" s="258"/>
      <c r="C1544" s="247"/>
    </row>
    <row r="1545">
      <c r="A1545" s="247"/>
      <c r="B1545" s="258"/>
      <c r="C1545" s="247"/>
    </row>
    <row r="1546">
      <c r="A1546" s="247"/>
      <c r="B1546" s="258"/>
      <c r="C1546" s="247"/>
    </row>
    <row r="1547">
      <c r="A1547" s="247"/>
      <c r="B1547" s="258"/>
      <c r="C1547" s="247"/>
    </row>
    <row r="1548">
      <c r="A1548" s="247"/>
      <c r="B1548" s="258"/>
      <c r="C1548" s="247"/>
    </row>
    <row r="1549">
      <c r="A1549" s="247"/>
      <c r="B1549" s="258"/>
      <c r="C1549" s="247"/>
    </row>
    <row r="1550">
      <c r="A1550" s="247"/>
      <c r="B1550" s="258"/>
      <c r="C1550" s="247"/>
    </row>
    <row r="1551">
      <c r="A1551" s="247"/>
      <c r="B1551" s="258"/>
      <c r="C1551" s="247"/>
    </row>
    <row r="1552">
      <c r="A1552" s="247"/>
      <c r="B1552" s="258"/>
      <c r="C1552" s="247"/>
    </row>
    <row r="1553">
      <c r="A1553" s="247"/>
      <c r="B1553" s="258"/>
      <c r="C1553" s="247"/>
    </row>
    <row r="1554">
      <c r="A1554" s="247"/>
      <c r="B1554" s="258"/>
      <c r="C1554" s="247"/>
    </row>
    <row r="1555">
      <c r="A1555" s="247"/>
      <c r="B1555" s="258"/>
      <c r="C1555" s="247"/>
    </row>
    <row r="1556">
      <c r="A1556" s="247"/>
      <c r="B1556" s="258"/>
      <c r="C1556" s="247"/>
    </row>
    <row r="1557">
      <c r="A1557" s="247"/>
      <c r="B1557" s="258"/>
      <c r="C1557" s="247"/>
    </row>
    <row r="1558">
      <c r="A1558" s="247"/>
      <c r="B1558" s="258"/>
      <c r="C1558" s="247"/>
    </row>
    <row r="1559">
      <c r="A1559" s="247"/>
      <c r="B1559" s="258"/>
      <c r="C1559" s="247"/>
    </row>
    <row r="1560">
      <c r="A1560" s="247"/>
      <c r="B1560" s="258"/>
      <c r="C1560" s="247"/>
    </row>
    <row r="1561">
      <c r="A1561" s="247"/>
      <c r="B1561" s="258"/>
      <c r="C1561" s="247"/>
    </row>
    <row r="1562">
      <c r="A1562" s="247"/>
      <c r="B1562" s="258"/>
      <c r="C1562" s="247"/>
    </row>
    <row r="1563">
      <c r="A1563" s="247"/>
      <c r="B1563" s="258"/>
      <c r="C1563" s="247"/>
    </row>
    <row r="1564">
      <c r="A1564" s="247"/>
      <c r="B1564" s="258"/>
      <c r="C1564" s="247"/>
    </row>
    <row r="1565">
      <c r="A1565" s="247"/>
      <c r="B1565" s="258"/>
      <c r="C1565" s="247"/>
    </row>
    <row r="1566">
      <c r="A1566" s="247"/>
      <c r="B1566" s="258"/>
      <c r="C1566" s="247"/>
    </row>
    <row r="1567">
      <c r="A1567" s="247"/>
      <c r="B1567" s="258"/>
      <c r="C1567" s="247"/>
    </row>
    <row r="1568">
      <c r="A1568" s="247"/>
      <c r="B1568" s="258"/>
      <c r="C1568" s="247"/>
    </row>
    <row r="1569">
      <c r="A1569" s="247"/>
      <c r="B1569" s="258"/>
      <c r="C1569" s="247"/>
    </row>
    <row r="1570">
      <c r="A1570" s="247"/>
      <c r="B1570" s="258"/>
      <c r="C1570" s="247"/>
    </row>
    <row r="1571">
      <c r="A1571" s="247"/>
      <c r="B1571" s="258"/>
      <c r="C1571" s="247"/>
    </row>
    <row r="1572">
      <c r="A1572" s="247"/>
      <c r="B1572" s="258"/>
      <c r="C1572" s="247"/>
    </row>
    <row r="1573">
      <c r="A1573" s="247"/>
      <c r="B1573" s="258"/>
      <c r="C1573" s="247"/>
    </row>
    <row r="1574">
      <c r="A1574" s="247"/>
      <c r="B1574" s="258"/>
      <c r="C1574" s="247"/>
    </row>
    <row r="1575">
      <c r="A1575" s="247"/>
      <c r="B1575" s="258"/>
      <c r="C1575" s="247"/>
    </row>
    <row r="1576">
      <c r="A1576" s="247"/>
      <c r="B1576" s="258"/>
      <c r="C1576" s="247"/>
    </row>
    <row r="1577">
      <c r="A1577" s="247"/>
      <c r="B1577" s="258"/>
      <c r="C1577" s="247"/>
    </row>
    <row r="1578">
      <c r="A1578" s="247"/>
      <c r="B1578" s="258"/>
      <c r="C1578" s="247"/>
    </row>
    <row r="1579">
      <c r="A1579" s="247"/>
      <c r="B1579" s="258"/>
      <c r="C1579" s="247"/>
    </row>
    <row r="1580">
      <c r="A1580" s="247"/>
      <c r="B1580" s="258"/>
      <c r="C1580" s="247"/>
    </row>
    <row r="1581">
      <c r="A1581" s="247"/>
      <c r="B1581" s="258"/>
      <c r="C1581" s="247"/>
    </row>
    <row r="1582">
      <c r="A1582" s="247"/>
      <c r="B1582" s="258"/>
      <c r="C1582" s="247"/>
    </row>
    <row r="1583">
      <c r="A1583" s="247"/>
      <c r="B1583" s="258"/>
      <c r="C1583" s="247"/>
    </row>
    <row r="1584">
      <c r="A1584" s="247"/>
      <c r="B1584" s="258"/>
      <c r="C1584" s="247"/>
    </row>
    <row r="1585">
      <c r="A1585" s="247"/>
      <c r="B1585" s="258"/>
      <c r="C1585" s="247"/>
    </row>
    <row r="1586">
      <c r="A1586" s="247"/>
      <c r="B1586" s="258"/>
      <c r="C1586" s="247"/>
    </row>
    <row r="1587">
      <c r="A1587" s="247"/>
      <c r="B1587" s="258"/>
      <c r="C1587" s="247"/>
    </row>
    <row r="1588">
      <c r="A1588" s="247"/>
      <c r="B1588" s="258"/>
      <c r="C1588" s="247"/>
    </row>
    <row r="1589">
      <c r="A1589" s="247"/>
      <c r="B1589" s="258"/>
      <c r="C1589" s="247"/>
    </row>
    <row r="1590">
      <c r="A1590" s="247"/>
      <c r="B1590" s="258"/>
      <c r="C1590" s="247"/>
    </row>
    <row r="1591">
      <c r="A1591" s="247"/>
      <c r="B1591" s="258"/>
      <c r="C1591" s="247"/>
    </row>
    <row r="1592">
      <c r="A1592" s="247"/>
      <c r="B1592" s="258"/>
      <c r="C1592" s="247"/>
    </row>
    <row r="1593">
      <c r="A1593" s="247"/>
      <c r="B1593" s="258"/>
      <c r="C1593" s="247"/>
    </row>
    <row r="1594">
      <c r="A1594" s="247"/>
      <c r="B1594" s="258"/>
      <c r="C1594" s="247"/>
    </row>
    <row r="1595">
      <c r="A1595" s="247"/>
      <c r="B1595" s="258"/>
      <c r="C1595" s="247"/>
    </row>
    <row r="1596">
      <c r="A1596" s="247"/>
      <c r="B1596" s="258"/>
      <c r="C1596" s="247"/>
    </row>
    <row r="1597">
      <c r="A1597" s="247"/>
      <c r="B1597" s="258"/>
      <c r="C1597" s="247"/>
    </row>
    <row r="1598">
      <c r="A1598" s="247"/>
      <c r="B1598" s="258"/>
      <c r="C1598" s="247"/>
    </row>
    <row r="1599">
      <c r="A1599" s="247"/>
      <c r="B1599" s="258"/>
      <c r="C1599" s="247"/>
    </row>
    <row r="1600">
      <c r="A1600" s="247"/>
      <c r="B1600" s="258"/>
      <c r="C1600" s="247"/>
    </row>
    <row r="1601">
      <c r="A1601" s="247"/>
      <c r="B1601" s="258"/>
      <c r="C1601" s="247"/>
    </row>
    <row r="1602">
      <c r="A1602" s="247"/>
      <c r="B1602" s="258"/>
      <c r="C1602" s="247"/>
    </row>
    <row r="1603">
      <c r="A1603" s="247"/>
      <c r="B1603" s="258"/>
      <c r="C1603" s="247"/>
    </row>
    <row r="1604">
      <c r="A1604" s="247"/>
      <c r="B1604" s="258"/>
      <c r="C1604" s="247"/>
    </row>
    <row r="1605">
      <c r="A1605" s="247"/>
      <c r="B1605" s="258"/>
      <c r="C1605" s="247"/>
    </row>
    <row r="1606">
      <c r="A1606" s="247"/>
      <c r="B1606" s="258"/>
      <c r="C1606" s="247"/>
    </row>
    <row r="1607">
      <c r="A1607" s="247"/>
      <c r="B1607" s="258"/>
      <c r="C1607" s="247"/>
    </row>
    <row r="1608">
      <c r="A1608" s="247"/>
      <c r="B1608" s="258"/>
      <c r="C1608" s="247"/>
    </row>
    <row r="1609">
      <c r="A1609" s="247"/>
      <c r="B1609" s="258"/>
      <c r="C1609" s="247"/>
    </row>
    <row r="1610">
      <c r="A1610" s="247"/>
      <c r="B1610" s="258"/>
      <c r="C1610" s="247"/>
    </row>
    <row r="1611">
      <c r="A1611" s="247"/>
      <c r="B1611" s="258"/>
      <c r="C1611" s="247"/>
    </row>
    <row r="1612">
      <c r="A1612" s="247"/>
      <c r="B1612" s="258"/>
      <c r="C1612" s="247"/>
    </row>
    <row r="1613">
      <c r="A1613" s="247"/>
      <c r="B1613" s="258"/>
      <c r="C1613" s="247"/>
    </row>
    <row r="1614">
      <c r="A1614" s="247"/>
      <c r="B1614" s="258"/>
      <c r="C1614" s="247"/>
    </row>
    <row r="1615">
      <c r="A1615" s="247"/>
      <c r="B1615" s="258"/>
      <c r="C1615" s="247"/>
    </row>
    <row r="1616">
      <c r="A1616" s="247"/>
      <c r="B1616" s="258"/>
      <c r="C1616" s="247"/>
    </row>
    <row r="1617">
      <c r="A1617" s="247"/>
      <c r="B1617" s="258"/>
      <c r="C1617" s="247"/>
    </row>
    <row r="1618">
      <c r="A1618" s="247"/>
      <c r="B1618" s="258"/>
      <c r="C1618" s="247"/>
    </row>
    <row r="1619">
      <c r="A1619" s="247"/>
      <c r="B1619" s="258"/>
      <c r="C1619" s="247"/>
    </row>
    <row r="1620">
      <c r="A1620" s="247"/>
      <c r="B1620" s="258"/>
      <c r="C1620" s="247"/>
    </row>
    <row r="1621">
      <c r="A1621" s="247"/>
      <c r="B1621" s="258"/>
      <c r="C1621" s="247"/>
    </row>
    <row r="1622">
      <c r="A1622" s="247"/>
      <c r="B1622" s="258"/>
      <c r="C1622" s="247"/>
    </row>
    <row r="1623">
      <c r="A1623" s="247"/>
      <c r="B1623" s="258"/>
      <c r="C1623" s="247"/>
    </row>
    <row r="1624">
      <c r="A1624" s="247"/>
      <c r="B1624" s="258"/>
      <c r="C1624" s="247"/>
    </row>
    <row r="1625">
      <c r="A1625" s="247"/>
      <c r="B1625" s="258"/>
      <c r="C1625" s="247"/>
    </row>
    <row r="1626">
      <c r="A1626" s="247"/>
      <c r="B1626" s="258"/>
      <c r="C1626" s="247"/>
    </row>
    <row r="1627">
      <c r="A1627" s="247"/>
      <c r="B1627" s="258"/>
      <c r="C1627" s="247"/>
    </row>
    <row r="1628">
      <c r="A1628" s="247"/>
      <c r="B1628" s="258"/>
      <c r="C1628" s="247"/>
    </row>
    <row r="1629">
      <c r="A1629" s="247"/>
      <c r="B1629" s="258"/>
      <c r="C1629" s="247"/>
    </row>
    <row r="1630">
      <c r="A1630" s="247"/>
      <c r="B1630" s="258"/>
      <c r="C1630" s="247"/>
    </row>
    <row r="1631">
      <c r="A1631" s="247"/>
      <c r="B1631" s="258"/>
      <c r="C1631" s="247"/>
    </row>
    <row r="1632">
      <c r="A1632" s="247"/>
      <c r="B1632" s="258"/>
      <c r="C1632" s="247"/>
    </row>
    <row r="1633">
      <c r="A1633" s="247"/>
      <c r="B1633" s="258"/>
      <c r="C1633" s="247"/>
    </row>
    <row r="1634">
      <c r="A1634" s="247"/>
      <c r="B1634" s="258"/>
      <c r="C1634" s="247"/>
    </row>
    <row r="1635">
      <c r="A1635" s="247"/>
      <c r="B1635" s="258"/>
      <c r="C1635" s="247"/>
    </row>
    <row r="1636">
      <c r="A1636" s="247"/>
      <c r="B1636" s="258"/>
      <c r="C1636" s="247"/>
    </row>
    <row r="1637">
      <c r="A1637" s="247"/>
      <c r="B1637" s="258"/>
      <c r="C1637" s="247"/>
    </row>
    <row r="1638">
      <c r="A1638" s="247"/>
      <c r="B1638" s="258"/>
      <c r="C1638" s="247"/>
    </row>
    <row r="1639">
      <c r="A1639" s="247"/>
      <c r="B1639" s="258"/>
      <c r="C1639" s="247"/>
    </row>
    <row r="1640">
      <c r="A1640" s="247"/>
      <c r="B1640" s="258"/>
      <c r="C1640" s="247"/>
    </row>
    <row r="1641">
      <c r="A1641" s="247"/>
      <c r="B1641" s="258"/>
      <c r="C1641" s="247"/>
    </row>
    <row r="1642">
      <c r="A1642" s="247"/>
      <c r="B1642" s="258"/>
      <c r="C1642" s="247"/>
    </row>
    <row r="1643">
      <c r="A1643" s="247"/>
      <c r="B1643" s="258"/>
      <c r="C1643" s="247"/>
    </row>
    <row r="1644">
      <c r="A1644" s="247"/>
      <c r="B1644" s="258"/>
      <c r="C1644" s="247"/>
    </row>
    <row r="1645">
      <c r="A1645" s="247"/>
      <c r="B1645" s="258"/>
      <c r="C1645" s="247"/>
    </row>
    <row r="1646">
      <c r="A1646" s="247"/>
      <c r="B1646" s="258"/>
      <c r="C1646" s="247"/>
    </row>
    <row r="1647">
      <c r="A1647" s="247"/>
      <c r="B1647" s="258"/>
      <c r="C1647" s="247"/>
    </row>
    <row r="1648">
      <c r="A1648" s="247"/>
      <c r="B1648" s="258"/>
      <c r="C1648" s="247"/>
    </row>
    <row r="1649">
      <c r="A1649" s="247"/>
      <c r="B1649" s="258"/>
      <c r="C1649" s="247"/>
    </row>
    <row r="1650">
      <c r="A1650" s="247"/>
      <c r="B1650" s="258"/>
      <c r="C1650" s="247"/>
    </row>
    <row r="1651">
      <c r="A1651" s="247"/>
      <c r="B1651" s="258"/>
      <c r="C1651" s="247"/>
    </row>
    <row r="1652">
      <c r="A1652" s="247"/>
      <c r="B1652" s="258"/>
      <c r="C1652" s="247"/>
    </row>
    <row r="1653">
      <c r="A1653" s="247"/>
      <c r="B1653" s="258"/>
      <c r="C1653" s="247"/>
    </row>
    <row r="1654">
      <c r="A1654" s="247"/>
      <c r="B1654" s="258"/>
      <c r="C1654" s="247"/>
    </row>
    <row r="1655">
      <c r="A1655" s="247"/>
      <c r="B1655" s="258"/>
      <c r="C1655" s="247"/>
    </row>
    <row r="1656">
      <c r="A1656" s="247"/>
      <c r="B1656" s="258"/>
      <c r="C1656" s="247"/>
    </row>
    <row r="1657">
      <c r="A1657" s="247"/>
      <c r="B1657" s="258"/>
      <c r="C1657" s="247"/>
    </row>
    <row r="1658">
      <c r="A1658" s="247"/>
      <c r="B1658" s="258"/>
      <c r="C1658" s="247"/>
    </row>
    <row r="1659">
      <c r="A1659" s="247"/>
      <c r="B1659" s="258"/>
      <c r="C1659" s="247"/>
    </row>
    <row r="1660">
      <c r="A1660" s="247"/>
      <c r="B1660" s="258"/>
      <c r="C1660" s="247"/>
    </row>
    <row r="1661">
      <c r="A1661" s="247"/>
      <c r="B1661" s="258"/>
      <c r="C1661" s="247"/>
    </row>
    <row r="1662">
      <c r="A1662" s="247"/>
      <c r="B1662" s="258"/>
      <c r="C1662" s="247"/>
    </row>
    <row r="1663">
      <c r="A1663" s="247"/>
      <c r="B1663" s="258"/>
      <c r="C1663" s="247"/>
    </row>
    <row r="1664">
      <c r="A1664" s="247"/>
      <c r="B1664" s="258"/>
      <c r="C1664" s="247"/>
    </row>
    <row r="1665">
      <c r="A1665" s="247"/>
      <c r="B1665" s="258"/>
      <c r="C1665" s="247"/>
    </row>
    <row r="1666">
      <c r="A1666" s="247"/>
      <c r="B1666" s="258"/>
      <c r="C1666" s="247"/>
    </row>
    <row r="1667">
      <c r="A1667" s="247"/>
      <c r="B1667" s="258"/>
      <c r="C1667" s="247"/>
    </row>
    <row r="1668">
      <c r="A1668" s="247"/>
      <c r="B1668" s="258"/>
      <c r="C1668" s="247"/>
    </row>
    <row r="1669">
      <c r="A1669" s="247"/>
      <c r="B1669" s="258"/>
      <c r="C1669" s="247"/>
    </row>
    <row r="1670">
      <c r="A1670" s="247"/>
      <c r="B1670" s="258"/>
      <c r="C1670" s="247"/>
    </row>
    <row r="1671">
      <c r="A1671" s="247"/>
      <c r="B1671" s="258"/>
      <c r="C1671" s="247"/>
    </row>
    <row r="1672">
      <c r="A1672" s="247"/>
      <c r="B1672" s="258"/>
      <c r="C1672" s="247"/>
    </row>
    <row r="1673">
      <c r="A1673" s="247"/>
      <c r="B1673" s="258"/>
      <c r="C1673" s="247"/>
    </row>
    <row r="1674">
      <c r="A1674" s="247"/>
      <c r="B1674" s="258"/>
      <c r="C1674" s="247"/>
    </row>
    <row r="1675">
      <c r="A1675" s="247"/>
      <c r="B1675" s="258"/>
      <c r="C1675" s="247"/>
    </row>
    <row r="1676">
      <c r="A1676" s="247"/>
      <c r="B1676" s="258"/>
      <c r="C1676" s="247"/>
    </row>
    <row r="1677">
      <c r="A1677" s="247"/>
      <c r="B1677" s="258"/>
      <c r="C1677" s="247"/>
    </row>
    <row r="1678">
      <c r="A1678" s="247"/>
      <c r="B1678" s="258"/>
      <c r="C1678" s="247"/>
    </row>
    <row r="1679">
      <c r="A1679" s="247"/>
      <c r="B1679" s="258"/>
      <c r="C1679" s="247"/>
    </row>
    <row r="1680">
      <c r="A1680" s="247"/>
      <c r="B1680" s="258"/>
      <c r="C1680" s="247"/>
    </row>
    <row r="1681">
      <c r="A1681" s="247"/>
      <c r="B1681" s="258"/>
      <c r="C1681" s="247"/>
    </row>
    <row r="1682">
      <c r="A1682" s="247"/>
      <c r="B1682" s="258"/>
      <c r="C1682" s="247"/>
    </row>
    <row r="1683">
      <c r="A1683" s="247"/>
      <c r="B1683" s="258"/>
      <c r="C1683" s="247"/>
    </row>
    <row r="1684">
      <c r="A1684" s="247"/>
      <c r="B1684" s="258"/>
      <c r="C1684" s="247"/>
    </row>
    <row r="1685">
      <c r="A1685" s="247"/>
      <c r="B1685" s="258"/>
      <c r="C1685" s="247"/>
    </row>
    <row r="1686">
      <c r="A1686" s="247"/>
      <c r="B1686" s="258"/>
      <c r="C1686" s="247"/>
    </row>
    <row r="1687">
      <c r="A1687" s="247"/>
      <c r="B1687" s="258"/>
      <c r="C1687" s="247"/>
    </row>
    <row r="1688">
      <c r="A1688" s="247"/>
      <c r="B1688" s="258"/>
      <c r="C1688" s="247"/>
    </row>
    <row r="1689">
      <c r="A1689" s="247"/>
      <c r="B1689" s="258"/>
      <c r="C1689" s="247"/>
    </row>
    <row r="1690">
      <c r="A1690" s="247"/>
      <c r="B1690" s="258"/>
      <c r="C1690" s="247"/>
    </row>
    <row r="1691">
      <c r="A1691" s="247"/>
      <c r="B1691" s="258"/>
      <c r="C1691" s="247"/>
    </row>
    <row r="1692">
      <c r="A1692" s="247"/>
      <c r="B1692" s="258"/>
      <c r="C1692" s="247"/>
    </row>
    <row r="1693">
      <c r="A1693" s="247"/>
      <c r="B1693" s="258"/>
      <c r="C1693" s="247"/>
    </row>
    <row r="1694">
      <c r="A1694" s="247"/>
      <c r="B1694" s="258"/>
      <c r="C1694" s="247"/>
    </row>
    <row r="1695">
      <c r="A1695" s="247"/>
      <c r="B1695" s="258"/>
      <c r="C1695" s="247"/>
    </row>
    <row r="1696">
      <c r="A1696" s="247"/>
      <c r="B1696" s="258"/>
      <c r="C1696" s="247"/>
    </row>
    <row r="1697">
      <c r="A1697" s="247"/>
      <c r="B1697" s="258"/>
      <c r="C1697" s="247"/>
    </row>
    <row r="1698">
      <c r="A1698" s="247"/>
      <c r="B1698" s="258"/>
      <c r="C1698" s="247"/>
    </row>
    <row r="1699">
      <c r="A1699" s="247"/>
      <c r="B1699" s="258"/>
      <c r="C1699" s="247"/>
    </row>
    <row r="1700">
      <c r="A1700" s="247"/>
      <c r="B1700" s="258"/>
      <c r="C1700" s="247"/>
    </row>
    <row r="1701">
      <c r="A1701" s="247"/>
      <c r="B1701" s="258"/>
      <c r="C1701" s="247"/>
    </row>
    <row r="1702">
      <c r="A1702" s="247"/>
      <c r="B1702" s="258"/>
      <c r="C1702" s="247"/>
    </row>
    <row r="1703">
      <c r="A1703" s="247"/>
      <c r="B1703" s="258"/>
      <c r="C1703" s="247"/>
    </row>
    <row r="1704">
      <c r="A1704" s="247"/>
      <c r="B1704" s="258"/>
      <c r="C1704" s="247"/>
    </row>
    <row r="1705">
      <c r="A1705" s="247"/>
      <c r="B1705" s="258"/>
      <c r="C1705" s="247"/>
    </row>
    <row r="1706">
      <c r="A1706" s="247"/>
      <c r="B1706" s="258"/>
      <c r="C1706" s="247"/>
    </row>
    <row r="1707">
      <c r="A1707" s="247"/>
      <c r="B1707" s="258"/>
      <c r="C1707" s="247"/>
    </row>
    <row r="1708">
      <c r="A1708" s="247"/>
      <c r="B1708" s="258"/>
      <c r="C1708" s="247"/>
    </row>
    <row r="1709">
      <c r="A1709" s="247"/>
      <c r="B1709" s="258"/>
      <c r="C1709" s="247"/>
    </row>
    <row r="1710">
      <c r="A1710" s="247"/>
      <c r="B1710" s="258"/>
      <c r="C1710" s="247"/>
    </row>
    <row r="1711">
      <c r="A1711" s="247"/>
      <c r="B1711" s="258"/>
      <c r="C1711" s="247"/>
    </row>
    <row r="1712">
      <c r="A1712" s="247"/>
      <c r="B1712" s="258"/>
      <c r="C1712" s="247"/>
    </row>
    <row r="1713">
      <c r="A1713" s="247"/>
      <c r="B1713" s="258"/>
      <c r="C1713" s="247"/>
    </row>
    <row r="1714">
      <c r="A1714" s="247"/>
      <c r="B1714" s="258"/>
      <c r="C1714" s="247"/>
    </row>
    <row r="1715">
      <c r="A1715" s="247"/>
      <c r="B1715" s="258"/>
      <c r="C1715" s="247"/>
    </row>
    <row r="1716">
      <c r="A1716" s="247"/>
      <c r="B1716" s="258"/>
      <c r="C1716" s="247"/>
    </row>
    <row r="1717">
      <c r="A1717" s="247"/>
      <c r="B1717" s="258"/>
      <c r="C1717" s="247"/>
    </row>
    <row r="1718">
      <c r="A1718" s="247"/>
      <c r="B1718" s="258"/>
      <c r="C1718" s="247"/>
    </row>
    <row r="1719">
      <c r="A1719" s="247"/>
      <c r="B1719" s="258"/>
      <c r="C1719" s="247"/>
    </row>
    <row r="1720">
      <c r="A1720" s="247"/>
      <c r="B1720" s="258"/>
      <c r="C1720" s="247"/>
    </row>
    <row r="1721">
      <c r="A1721" s="247"/>
      <c r="B1721" s="258"/>
      <c r="C1721" s="247"/>
    </row>
    <row r="1722">
      <c r="A1722" s="247"/>
      <c r="B1722" s="258"/>
      <c r="C1722" s="247"/>
    </row>
    <row r="1723">
      <c r="A1723" s="247"/>
      <c r="B1723" s="258"/>
      <c r="C1723" s="247"/>
    </row>
    <row r="1724">
      <c r="A1724" s="247"/>
      <c r="B1724" s="258"/>
      <c r="C1724" s="247"/>
    </row>
    <row r="1725">
      <c r="A1725" s="247"/>
      <c r="B1725" s="258"/>
      <c r="C1725" s="247"/>
    </row>
    <row r="1726">
      <c r="A1726" s="247"/>
      <c r="B1726" s="258"/>
      <c r="C1726" s="247"/>
    </row>
    <row r="1727">
      <c r="A1727" s="247"/>
      <c r="B1727" s="258"/>
      <c r="C1727" s="247"/>
    </row>
    <row r="1728">
      <c r="A1728" s="247"/>
      <c r="B1728" s="258"/>
      <c r="C1728" s="247"/>
    </row>
    <row r="1729">
      <c r="A1729" s="247"/>
      <c r="B1729" s="258"/>
      <c r="C1729" s="247"/>
    </row>
    <row r="1730">
      <c r="A1730" s="247"/>
      <c r="B1730" s="258"/>
      <c r="C1730" s="247"/>
    </row>
    <row r="1731">
      <c r="A1731" s="247"/>
      <c r="B1731" s="258"/>
      <c r="C1731" s="247"/>
    </row>
    <row r="1732">
      <c r="A1732" s="247"/>
      <c r="B1732" s="258"/>
      <c r="C1732" s="247"/>
    </row>
    <row r="1733">
      <c r="A1733" s="247"/>
      <c r="B1733" s="258"/>
      <c r="C1733" s="247"/>
    </row>
    <row r="1734">
      <c r="A1734" s="247"/>
      <c r="B1734" s="258"/>
      <c r="C1734" s="247"/>
    </row>
    <row r="1735">
      <c r="A1735" s="247"/>
      <c r="B1735" s="258"/>
      <c r="C1735" s="247"/>
    </row>
    <row r="1736">
      <c r="A1736" s="247"/>
      <c r="B1736" s="258"/>
      <c r="C1736" s="247"/>
    </row>
    <row r="1737">
      <c r="A1737" s="247"/>
      <c r="B1737" s="258"/>
      <c r="C1737" s="247"/>
    </row>
    <row r="1738">
      <c r="A1738" s="247"/>
      <c r="B1738" s="258"/>
      <c r="C1738" s="247"/>
    </row>
    <row r="1739">
      <c r="A1739" s="247"/>
      <c r="B1739" s="258"/>
      <c r="C1739" s="247"/>
    </row>
    <row r="1740">
      <c r="A1740" s="247"/>
      <c r="B1740" s="258"/>
      <c r="C1740" s="247"/>
    </row>
    <row r="1741">
      <c r="A1741" s="247"/>
      <c r="B1741" s="258"/>
      <c r="C1741" s="247"/>
    </row>
    <row r="1742">
      <c r="A1742" s="247"/>
      <c r="B1742" s="258"/>
      <c r="C1742" s="247"/>
    </row>
    <row r="1743">
      <c r="A1743" s="247"/>
      <c r="B1743" s="258"/>
      <c r="C1743" s="247"/>
    </row>
    <row r="1744">
      <c r="A1744" s="247"/>
      <c r="B1744" s="258"/>
      <c r="C1744" s="247"/>
    </row>
    <row r="1745">
      <c r="A1745" s="247"/>
      <c r="B1745" s="258"/>
      <c r="C1745" s="247"/>
    </row>
    <row r="1746">
      <c r="A1746" s="247"/>
      <c r="B1746" s="258"/>
      <c r="C1746" s="247"/>
    </row>
    <row r="1747">
      <c r="A1747" s="247"/>
      <c r="B1747" s="258"/>
      <c r="C1747" s="247"/>
    </row>
    <row r="1748">
      <c r="A1748" s="247"/>
      <c r="B1748" s="258"/>
      <c r="C1748" s="247"/>
    </row>
    <row r="1749">
      <c r="A1749" s="247"/>
      <c r="B1749" s="258"/>
      <c r="C1749" s="247"/>
    </row>
    <row r="1750">
      <c r="A1750" s="247"/>
      <c r="B1750" s="258"/>
      <c r="C1750" s="247"/>
    </row>
    <row r="1751">
      <c r="A1751" s="247"/>
      <c r="B1751" s="258"/>
      <c r="C1751" s="247"/>
    </row>
    <row r="1752">
      <c r="A1752" s="247"/>
      <c r="B1752" s="258"/>
      <c r="C1752" s="247"/>
    </row>
    <row r="1753">
      <c r="A1753" s="247"/>
      <c r="B1753" s="258"/>
      <c r="C1753" s="247"/>
    </row>
    <row r="1754">
      <c r="A1754" s="247"/>
      <c r="B1754" s="258"/>
      <c r="C1754" s="247"/>
    </row>
    <row r="1755">
      <c r="A1755" s="247"/>
      <c r="B1755" s="258"/>
      <c r="C1755" s="247"/>
    </row>
    <row r="1756">
      <c r="A1756" s="247"/>
      <c r="B1756" s="258"/>
      <c r="C1756" s="247"/>
    </row>
    <row r="1757">
      <c r="A1757" s="247"/>
      <c r="B1757" s="258"/>
      <c r="C1757" s="247"/>
    </row>
    <row r="1758">
      <c r="A1758" s="247"/>
      <c r="B1758" s="258"/>
      <c r="C1758" s="247"/>
    </row>
    <row r="1759">
      <c r="A1759" s="247"/>
      <c r="B1759" s="258"/>
      <c r="C1759" s="247"/>
    </row>
    <row r="1760">
      <c r="A1760" s="247"/>
      <c r="B1760" s="258"/>
      <c r="C1760" s="247"/>
    </row>
    <row r="1761">
      <c r="A1761" s="247"/>
      <c r="B1761" s="258"/>
      <c r="C1761" s="247"/>
    </row>
    <row r="1762">
      <c r="A1762" s="247"/>
      <c r="B1762" s="258"/>
      <c r="C1762" s="247"/>
    </row>
    <row r="1763">
      <c r="A1763" s="247"/>
      <c r="B1763" s="258"/>
      <c r="C1763" s="247"/>
    </row>
    <row r="1764">
      <c r="A1764" s="247"/>
      <c r="B1764" s="258"/>
      <c r="C1764" s="247"/>
    </row>
    <row r="1765">
      <c r="A1765" s="247"/>
      <c r="B1765" s="258"/>
      <c r="C1765" s="247"/>
    </row>
    <row r="1766">
      <c r="A1766" s="247"/>
      <c r="B1766" s="258"/>
      <c r="C1766" s="247"/>
    </row>
    <row r="1767">
      <c r="A1767" s="247"/>
      <c r="B1767" s="258"/>
      <c r="C1767" s="247"/>
    </row>
    <row r="1768">
      <c r="A1768" s="247"/>
      <c r="B1768" s="258"/>
      <c r="C1768" s="247"/>
    </row>
    <row r="1769">
      <c r="A1769" s="247"/>
      <c r="B1769" s="258"/>
      <c r="C1769" s="247"/>
    </row>
    <row r="1770">
      <c r="A1770" s="247"/>
      <c r="B1770" s="258"/>
      <c r="C1770" s="247"/>
    </row>
    <row r="1771">
      <c r="A1771" s="247"/>
      <c r="B1771" s="258"/>
      <c r="C1771" s="247"/>
    </row>
    <row r="1772">
      <c r="A1772" s="247"/>
      <c r="B1772" s="258"/>
      <c r="C1772" s="247"/>
    </row>
    <row r="1773">
      <c r="A1773" s="247"/>
      <c r="B1773" s="258"/>
      <c r="C1773" s="247"/>
    </row>
    <row r="1774">
      <c r="A1774" s="247"/>
      <c r="B1774" s="258"/>
      <c r="C1774" s="247"/>
    </row>
    <row r="1775">
      <c r="A1775" s="247"/>
      <c r="B1775" s="258"/>
      <c r="C1775" s="247"/>
    </row>
    <row r="1776">
      <c r="A1776" s="247"/>
      <c r="B1776" s="258"/>
      <c r="C1776" s="247"/>
    </row>
    <row r="1777">
      <c r="A1777" s="247"/>
      <c r="B1777" s="258"/>
      <c r="C1777" s="247"/>
    </row>
    <row r="1778">
      <c r="A1778" s="247"/>
      <c r="B1778" s="258"/>
      <c r="C1778" s="247"/>
    </row>
    <row r="1779">
      <c r="A1779" s="247"/>
      <c r="B1779" s="258"/>
      <c r="C1779" s="247"/>
    </row>
    <row r="1780">
      <c r="A1780" s="247"/>
      <c r="B1780" s="258"/>
      <c r="C1780" s="247"/>
    </row>
    <row r="1781">
      <c r="A1781" s="247"/>
      <c r="B1781" s="258"/>
      <c r="C1781" s="247"/>
    </row>
    <row r="1782">
      <c r="A1782" s="247"/>
      <c r="B1782" s="258"/>
      <c r="C1782" s="247"/>
    </row>
    <row r="1783">
      <c r="A1783" s="247"/>
      <c r="B1783" s="258"/>
      <c r="C1783" s="247"/>
    </row>
    <row r="1784">
      <c r="A1784" s="247"/>
      <c r="B1784" s="258"/>
      <c r="C1784" s="247"/>
    </row>
    <row r="1785">
      <c r="A1785" s="247"/>
      <c r="B1785" s="258"/>
      <c r="C1785" s="247"/>
    </row>
    <row r="1786">
      <c r="A1786" s="247"/>
      <c r="B1786" s="258"/>
      <c r="C1786" s="247"/>
    </row>
    <row r="1787">
      <c r="A1787" s="247"/>
      <c r="B1787" s="258"/>
      <c r="C1787" s="247"/>
    </row>
    <row r="1788">
      <c r="A1788" s="247"/>
      <c r="B1788" s="258"/>
      <c r="C1788" s="247"/>
    </row>
    <row r="1789">
      <c r="A1789" s="247"/>
      <c r="B1789" s="258"/>
      <c r="C1789" s="247"/>
    </row>
    <row r="1790">
      <c r="A1790" s="247"/>
      <c r="B1790" s="258"/>
      <c r="C1790" s="247"/>
    </row>
    <row r="1791">
      <c r="A1791" s="247"/>
      <c r="B1791" s="258"/>
      <c r="C1791" s="247"/>
    </row>
    <row r="1792">
      <c r="A1792" s="247"/>
      <c r="B1792" s="258"/>
      <c r="C1792" s="247"/>
    </row>
    <row r="1793">
      <c r="A1793" s="247"/>
      <c r="B1793" s="258"/>
      <c r="C1793" s="247"/>
    </row>
    <row r="1794">
      <c r="A1794" s="247"/>
      <c r="B1794" s="258"/>
      <c r="C1794" s="247"/>
    </row>
    <row r="1795">
      <c r="A1795" s="247"/>
      <c r="B1795" s="258"/>
      <c r="C1795" s="247"/>
    </row>
    <row r="1796">
      <c r="A1796" s="247"/>
      <c r="B1796" s="258"/>
      <c r="C1796" s="247"/>
    </row>
    <row r="1797">
      <c r="A1797" s="247"/>
      <c r="B1797" s="258"/>
      <c r="C1797" s="247"/>
    </row>
    <row r="1798">
      <c r="A1798" s="247"/>
      <c r="B1798" s="258"/>
      <c r="C1798" s="247"/>
    </row>
    <row r="1799">
      <c r="A1799" s="247"/>
      <c r="B1799" s="258"/>
      <c r="C1799" s="247"/>
    </row>
    <row r="1800">
      <c r="A1800" s="247"/>
      <c r="B1800" s="258"/>
      <c r="C1800" s="247"/>
    </row>
    <row r="1801">
      <c r="A1801" s="247"/>
      <c r="B1801" s="258"/>
      <c r="C1801" s="247"/>
    </row>
    <row r="1802">
      <c r="A1802" s="247"/>
      <c r="B1802" s="258"/>
      <c r="C1802" s="247"/>
    </row>
    <row r="1803">
      <c r="A1803" s="247"/>
      <c r="B1803" s="258"/>
      <c r="C1803" s="247"/>
    </row>
    <row r="1804">
      <c r="A1804" s="247"/>
      <c r="B1804" s="258"/>
      <c r="C1804" s="247"/>
    </row>
    <row r="1805">
      <c r="A1805" s="247"/>
      <c r="B1805" s="258"/>
      <c r="C1805" s="247"/>
    </row>
    <row r="1806">
      <c r="A1806" s="247"/>
      <c r="B1806" s="258"/>
      <c r="C1806" s="247"/>
    </row>
    <row r="1807">
      <c r="A1807" s="247"/>
      <c r="B1807" s="258"/>
      <c r="C1807" s="247"/>
    </row>
    <row r="1808">
      <c r="A1808" s="247"/>
      <c r="B1808" s="258"/>
      <c r="C1808" s="247"/>
    </row>
    <row r="1809">
      <c r="A1809" s="247"/>
      <c r="B1809" s="258"/>
      <c r="C1809" s="247"/>
    </row>
    <row r="1810">
      <c r="A1810" s="247"/>
      <c r="B1810" s="258"/>
      <c r="C1810" s="247"/>
    </row>
    <row r="1811">
      <c r="A1811" s="247"/>
      <c r="B1811" s="258"/>
      <c r="C1811" s="247"/>
    </row>
    <row r="1812">
      <c r="A1812" s="247"/>
      <c r="B1812" s="258"/>
      <c r="C1812" s="247"/>
    </row>
    <row r="1813">
      <c r="A1813" s="247"/>
      <c r="B1813" s="258"/>
      <c r="C1813" s="247"/>
    </row>
    <row r="1814">
      <c r="A1814" s="247"/>
      <c r="B1814" s="258"/>
      <c r="C1814" s="247"/>
    </row>
    <row r="1815">
      <c r="A1815" s="247"/>
      <c r="B1815" s="258"/>
      <c r="C1815" s="247"/>
    </row>
    <row r="1816">
      <c r="A1816" s="247"/>
      <c r="B1816" s="258"/>
      <c r="C1816" s="247"/>
    </row>
    <row r="1817">
      <c r="A1817" s="247"/>
      <c r="B1817" s="258"/>
      <c r="C1817" s="247"/>
    </row>
    <row r="1818">
      <c r="A1818" s="247"/>
      <c r="B1818" s="258"/>
      <c r="C1818" s="247"/>
    </row>
    <row r="1819">
      <c r="A1819" s="247"/>
      <c r="B1819" s="258"/>
      <c r="C1819" s="247"/>
    </row>
    <row r="1820">
      <c r="A1820" s="247"/>
      <c r="B1820" s="258"/>
      <c r="C1820" s="247"/>
    </row>
    <row r="1821">
      <c r="A1821" s="247"/>
      <c r="B1821" s="258"/>
      <c r="C1821" s="247"/>
    </row>
    <row r="1822">
      <c r="A1822" s="247"/>
      <c r="B1822" s="258"/>
      <c r="C1822" s="247"/>
    </row>
    <row r="1823">
      <c r="A1823" s="247"/>
      <c r="B1823" s="258"/>
      <c r="C1823" s="247"/>
    </row>
    <row r="1824">
      <c r="A1824" s="247"/>
      <c r="B1824" s="258"/>
      <c r="C1824" s="247"/>
    </row>
    <row r="1825">
      <c r="A1825" s="247"/>
      <c r="B1825" s="258"/>
      <c r="C1825" s="247"/>
    </row>
    <row r="1826">
      <c r="A1826" s="247"/>
      <c r="B1826" s="258"/>
      <c r="C1826" s="247"/>
    </row>
    <row r="1827">
      <c r="A1827" s="247"/>
      <c r="B1827" s="258"/>
      <c r="C1827" s="247"/>
    </row>
    <row r="1828">
      <c r="A1828" s="247"/>
      <c r="B1828" s="258"/>
      <c r="C1828" s="247"/>
    </row>
    <row r="1829">
      <c r="A1829" s="247"/>
      <c r="B1829" s="258"/>
      <c r="C1829" s="247"/>
    </row>
    <row r="1830">
      <c r="A1830" s="247"/>
      <c r="B1830" s="258"/>
      <c r="C1830" s="247"/>
    </row>
    <row r="1831">
      <c r="A1831" s="247"/>
      <c r="B1831" s="258"/>
      <c r="C1831" s="247"/>
    </row>
    <row r="1832">
      <c r="A1832" s="247"/>
      <c r="B1832" s="258"/>
      <c r="C1832" s="247"/>
    </row>
    <row r="1833">
      <c r="A1833" s="247"/>
      <c r="B1833" s="258"/>
      <c r="C1833" s="247"/>
    </row>
    <row r="1834">
      <c r="A1834" s="247"/>
      <c r="B1834" s="258"/>
      <c r="C1834" s="247"/>
    </row>
    <row r="1835">
      <c r="A1835" s="247"/>
      <c r="B1835" s="258"/>
      <c r="C1835" s="247"/>
    </row>
    <row r="1836">
      <c r="A1836" s="247"/>
      <c r="B1836" s="258"/>
      <c r="C1836" s="247"/>
    </row>
    <row r="1837">
      <c r="A1837" s="247"/>
      <c r="B1837" s="258"/>
      <c r="C1837" s="247"/>
    </row>
    <row r="1838">
      <c r="A1838" s="247"/>
      <c r="B1838" s="258"/>
      <c r="C1838" s="247"/>
    </row>
    <row r="1839">
      <c r="A1839" s="247"/>
      <c r="B1839" s="258"/>
      <c r="C1839" s="247"/>
    </row>
    <row r="1840">
      <c r="A1840" s="247"/>
      <c r="B1840" s="258"/>
      <c r="C1840" s="247"/>
    </row>
    <row r="1841">
      <c r="A1841" s="247"/>
      <c r="B1841" s="258"/>
      <c r="C1841" s="247"/>
    </row>
    <row r="1842">
      <c r="A1842" s="247"/>
      <c r="B1842" s="258"/>
      <c r="C1842" s="247"/>
    </row>
    <row r="1843">
      <c r="A1843" s="247"/>
      <c r="B1843" s="258"/>
      <c r="C1843" s="247"/>
    </row>
    <row r="1844">
      <c r="A1844" s="247"/>
      <c r="B1844" s="258"/>
      <c r="C1844" s="247"/>
    </row>
    <row r="1845">
      <c r="A1845" s="247"/>
      <c r="B1845" s="258"/>
      <c r="C1845" s="247"/>
    </row>
    <row r="1846">
      <c r="A1846" s="247"/>
      <c r="B1846" s="258"/>
      <c r="C1846" s="247"/>
    </row>
    <row r="1847">
      <c r="A1847" s="247"/>
      <c r="B1847" s="258"/>
      <c r="C1847" s="247"/>
    </row>
    <row r="1848">
      <c r="A1848" s="247"/>
      <c r="B1848" s="258"/>
      <c r="C1848" s="247"/>
    </row>
    <row r="1849">
      <c r="A1849" s="247"/>
      <c r="B1849" s="258"/>
      <c r="C1849" s="247"/>
    </row>
    <row r="1850">
      <c r="A1850" s="247"/>
      <c r="B1850" s="258"/>
      <c r="C1850" s="247"/>
    </row>
    <row r="1851">
      <c r="A1851" s="247"/>
      <c r="B1851" s="258"/>
      <c r="C1851" s="247"/>
    </row>
    <row r="1852">
      <c r="A1852" s="247"/>
      <c r="B1852" s="258"/>
      <c r="C1852" s="247"/>
    </row>
    <row r="1853">
      <c r="A1853" s="247"/>
      <c r="B1853" s="258"/>
      <c r="C1853" s="247"/>
    </row>
    <row r="1854">
      <c r="A1854" s="247"/>
      <c r="B1854" s="258"/>
      <c r="C1854" s="247"/>
    </row>
    <row r="1855">
      <c r="A1855" s="247"/>
      <c r="B1855" s="258"/>
      <c r="C1855" s="247"/>
    </row>
    <row r="1856">
      <c r="A1856" s="247"/>
      <c r="B1856" s="258"/>
      <c r="C1856" s="247"/>
    </row>
    <row r="1857">
      <c r="A1857" s="247"/>
      <c r="B1857" s="258"/>
      <c r="C1857" s="247"/>
    </row>
    <row r="1858">
      <c r="A1858" s="247"/>
      <c r="B1858" s="258"/>
      <c r="C1858" s="247"/>
    </row>
    <row r="1859">
      <c r="A1859" s="247"/>
      <c r="B1859" s="258"/>
      <c r="C1859" s="247"/>
    </row>
    <row r="1860">
      <c r="A1860" s="247"/>
      <c r="B1860" s="258"/>
      <c r="C1860" s="247"/>
    </row>
    <row r="1861">
      <c r="A1861" s="247"/>
      <c r="B1861" s="258"/>
      <c r="C1861" s="247"/>
    </row>
    <row r="1862">
      <c r="A1862" s="247"/>
      <c r="B1862" s="258"/>
      <c r="C1862" s="247"/>
    </row>
    <row r="1863">
      <c r="A1863" s="247"/>
      <c r="B1863" s="258"/>
      <c r="C1863" s="247"/>
    </row>
    <row r="1864">
      <c r="A1864" s="247"/>
      <c r="B1864" s="258"/>
      <c r="C1864" s="247"/>
    </row>
    <row r="1865">
      <c r="A1865" s="247"/>
      <c r="B1865" s="258"/>
      <c r="C1865" s="247"/>
    </row>
    <row r="1866">
      <c r="A1866" s="247"/>
      <c r="B1866" s="258"/>
      <c r="C1866" s="247"/>
    </row>
    <row r="1867">
      <c r="A1867" s="247"/>
      <c r="B1867" s="258"/>
      <c r="C1867" s="247"/>
    </row>
    <row r="1868">
      <c r="A1868" s="247"/>
      <c r="B1868" s="258"/>
      <c r="C1868" s="247"/>
    </row>
    <row r="1869">
      <c r="A1869" s="247"/>
      <c r="B1869" s="258"/>
      <c r="C1869" s="247"/>
    </row>
    <row r="1870">
      <c r="A1870" s="247"/>
      <c r="B1870" s="258"/>
      <c r="C1870" s="247"/>
    </row>
    <row r="1871">
      <c r="A1871" s="247"/>
      <c r="B1871" s="258"/>
      <c r="C1871" s="247"/>
    </row>
    <row r="1872">
      <c r="A1872" s="247"/>
      <c r="B1872" s="258"/>
      <c r="C1872" s="247"/>
    </row>
    <row r="1873">
      <c r="A1873" s="247"/>
      <c r="B1873" s="258"/>
      <c r="C1873" s="247"/>
    </row>
    <row r="1874">
      <c r="A1874" s="247"/>
      <c r="B1874" s="258"/>
      <c r="C1874" s="247"/>
    </row>
    <row r="1875">
      <c r="A1875" s="247"/>
      <c r="B1875" s="258"/>
      <c r="C1875" s="247"/>
    </row>
    <row r="1876">
      <c r="A1876" s="247"/>
      <c r="B1876" s="258"/>
      <c r="C1876" s="247"/>
    </row>
    <row r="1877">
      <c r="A1877" s="247"/>
      <c r="B1877" s="258"/>
      <c r="C1877" s="247"/>
    </row>
    <row r="1878">
      <c r="A1878" s="247"/>
      <c r="B1878" s="258"/>
      <c r="C1878" s="247"/>
    </row>
    <row r="1879">
      <c r="A1879" s="247"/>
      <c r="B1879" s="258"/>
      <c r="C1879" s="247"/>
    </row>
    <row r="1880">
      <c r="A1880" s="247"/>
      <c r="B1880" s="258"/>
      <c r="C1880" s="247"/>
    </row>
    <row r="1881">
      <c r="A1881" s="247"/>
      <c r="B1881" s="258"/>
      <c r="C1881" s="247"/>
    </row>
    <row r="1882">
      <c r="A1882" s="247"/>
      <c r="B1882" s="258"/>
      <c r="C1882" s="247"/>
    </row>
    <row r="1883">
      <c r="A1883" s="247"/>
      <c r="B1883" s="258"/>
      <c r="C1883" s="247"/>
    </row>
    <row r="1884">
      <c r="A1884" s="247"/>
      <c r="B1884" s="258"/>
      <c r="C1884" s="247"/>
    </row>
    <row r="1885">
      <c r="A1885" s="247"/>
      <c r="B1885" s="258"/>
      <c r="C1885" s="247"/>
    </row>
    <row r="1886">
      <c r="A1886" s="247"/>
      <c r="B1886" s="258"/>
      <c r="C1886" s="247"/>
    </row>
    <row r="1887">
      <c r="A1887" s="247"/>
      <c r="B1887" s="258"/>
      <c r="C1887" s="247"/>
    </row>
    <row r="1888">
      <c r="A1888" s="247"/>
      <c r="B1888" s="258"/>
      <c r="C1888" s="247"/>
    </row>
    <row r="1889">
      <c r="A1889" s="247"/>
      <c r="B1889" s="258"/>
      <c r="C1889" s="247"/>
    </row>
    <row r="1890">
      <c r="A1890" s="247"/>
      <c r="B1890" s="258"/>
      <c r="C1890" s="247"/>
    </row>
    <row r="1891">
      <c r="A1891" s="247"/>
      <c r="B1891" s="258"/>
      <c r="C1891" s="247"/>
    </row>
    <row r="1892">
      <c r="A1892" s="247"/>
      <c r="B1892" s="258"/>
      <c r="C1892" s="247"/>
    </row>
    <row r="1893">
      <c r="A1893" s="247"/>
      <c r="B1893" s="258"/>
      <c r="C1893" s="247"/>
    </row>
    <row r="1894">
      <c r="A1894" s="247"/>
      <c r="B1894" s="258"/>
      <c r="C1894" s="247"/>
    </row>
    <row r="1895">
      <c r="A1895" s="247"/>
      <c r="B1895" s="258"/>
      <c r="C1895" s="247"/>
    </row>
    <row r="1896">
      <c r="A1896" s="247"/>
      <c r="B1896" s="258"/>
      <c r="C1896" s="247"/>
    </row>
    <row r="1897">
      <c r="A1897" s="247"/>
      <c r="B1897" s="258"/>
      <c r="C1897" s="247"/>
    </row>
    <row r="1898">
      <c r="A1898" s="247"/>
      <c r="B1898" s="258"/>
      <c r="C1898" s="247"/>
    </row>
    <row r="1899">
      <c r="A1899" s="247"/>
      <c r="B1899" s="258"/>
      <c r="C1899" s="247"/>
    </row>
    <row r="1900">
      <c r="A1900" s="247"/>
      <c r="B1900" s="258"/>
      <c r="C1900" s="247"/>
    </row>
    <row r="1901">
      <c r="A1901" s="247"/>
      <c r="B1901" s="258"/>
      <c r="C1901" s="247"/>
    </row>
    <row r="1902">
      <c r="A1902" s="247"/>
      <c r="B1902" s="258"/>
      <c r="C1902" s="247"/>
    </row>
    <row r="1903">
      <c r="A1903" s="247"/>
      <c r="B1903" s="258"/>
      <c r="C1903" s="247"/>
    </row>
    <row r="1904">
      <c r="A1904" s="247"/>
      <c r="B1904" s="258"/>
      <c r="C1904" s="247"/>
    </row>
    <row r="1905">
      <c r="A1905" s="247"/>
      <c r="B1905" s="258"/>
      <c r="C1905" s="247"/>
    </row>
    <row r="1906">
      <c r="A1906" s="247"/>
      <c r="B1906" s="258"/>
      <c r="C1906" s="247"/>
    </row>
    <row r="1907">
      <c r="A1907" s="247"/>
      <c r="B1907" s="258"/>
      <c r="C1907" s="247"/>
    </row>
    <row r="1908">
      <c r="A1908" s="247"/>
      <c r="B1908" s="258"/>
      <c r="C1908" s="247"/>
    </row>
    <row r="1909">
      <c r="A1909" s="247"/>
      <c r="B1909" s="258"/>
      <c r="C1909" s="247"/>
    </row>
    <row r="1910">
      <c r="A1910" s="247"/>
      <c r="B1910" s="258"/>
      <c r="C1910" s="247"/>
    </row>
    <row r="1911">
      <c r="A1911" s="247"/>
      <c r="B1911" s="258"/>
      <c r="C1911" s="247"/>
    </row>
    <row r="1912">
      <c r="A1912" s="247"/>
      <c r="B1912" s="258"/>
      <c r="C1912" s="247"/>
    </row>
    <row r="1913">
      <c r="A1913" s="247"/>
      <c r="B1913" s="258"/>
      <c r="C1913" s="247"/>
    </row>
    <row r="1914">
      <c r="A1914" s="247"/>
      <c r="B1914" s="258"/>
      <c r="C1914" s="247"/>
    </row>
    <row r="1915">
      <c r="A1915" s="247"/>
      <c r="B1915" s="258"/>
      <c r="C1915" s="247"/>
    </row>
    <row r="1916">
      <c r="A1916" s="247"/>
      <c r="B1916" s="258"/>
      <c r="C1916" s="247"/>
    </row>
    <row r="1917">
      <c r="A1917" s="247"/>
      <c r="B1917" s="258"/>
      <c r="C1917" s="247"/>
    </row>
    <row r="1918">
      <c r="A1918" s="247"/>
      <c r="B1918" s="258"/>
      <c r="C1918" s="247"/>
    </row>
    <row r="1919">
      <c r="A1919" s="247"/>
      <c r="B1919" s="258"/>
      <c r="C1919" s="247"/>
    </row>
    <row r="1920">
      <c r="A1920" s="247"/>
      <c r="B1920" s="258"/>
      <c r="C1920" s="247"/>
    </row>
    <row r="1921">
      <c r="A1921" s="247"/>
      <c r="B1921" s="258"/>
      <c r="C1921" s="247"/>
    </row>
    <row r="1922">
      <c r="A1922" s="247"/>
      <c r="B1922" s="258"/>
      <c r="C1922" s="247"/>
    </row>
    <row r="1923">
      <c r="A1923" s="247"/>
      <c r="B1923" s="258"/>
      <c r="C1923" s="247"/>
    </row>
    <row r="1924">
      <c r="A1924" s="247"/>
      <c r="B1924" s="258"/>
      <c r="C1924" s="247"/>
    </row>
    <row r="1925">
      <c r="A1925" s="247"/>
      <c r="B1925" s="258"/>
      <c r="C1925" s="247"/>
    </row>
    <row r="1926">
      <c r="A1926" s="247"/>
      <c r="B1926" s="258"/>
      <c r="C1926" s="247"/>
    </row>
    <row r="1927">
      <c r="A1927" s="247"/>
      <c r="B1927" s="258"/>
      <c r="C1927" s="247"/>
    </row>
    <row r="1928">
      <c r="A1928" s="247"/>
      <c r="B1928" s="258"/>
      <c r="C1928" s="247"/>
    </row>
    <row r="1929">
      <c r="A1929" s="247"/>
      <c r="B1929" s="258"/>
      <c r="C1929" s="247"/>
    </row>
    <row r="1930">
      <c r="A1930" s="247"/>
      <c r="B1930" s="258"/>
      <c r="C1930" s="247"/>
    </row>
    <row r="1931">
      <c r="A1931" s="247"/>
      <c r="B1931" s="258"/>
      <c r="C1931" s="247"/>
    </row>
    <row r="1932">
      <c r="A1932" s="247"/>
      <c r="B1932" s="258"/>
      <c r="C1932" s="247"/>
    </row>
    <row r="1933">
      <c r="A1933" s="247"/>
      <c r="B1933" s="258"/>
      <c r="C1933" s="247"/>
    </row>
    <row r="1934">
      <c r="A1934" s="247"/>
      <c r="B1934" s="258"/>
      <c r="C1934" s="247"/>
    </row>
    <row r="1935">
      <c r="A1935" s="247"/>
      <c r="B1935" s="258"/>
      <c r="C1935" s="247"/>
    </row>
    <row r="1936">
      <c r="A1936" s="247"/>
      <c r="B1936" s="258"/>
      <c r="C1936" s="247"/>
    </row>
    <row r="1937">
      <c r="A1937" s="247"/>
      <c r="B1937" s="258"/>
      <c r="C1937" s="247"/>
    </row>
    <row r="1938">
      <c r="A1938" s="247"/>
      <c r="B1938" s="258"/>
      <c r="C1938" s="247"/>
    </row>
    <row r="1939">
      <c r="A1939" s="247"/>
      <c r="B1939" s="258"/>
      <c r="C1939" s="247"/>
    </row>
    <row r="1940">
      <c r="A1940" s="247"/>
      <c r="B1940" s="258"/>
      <c r="C1940" s="247"/>
    </row>
    <row r="1941">
      <c r="A1941" s="247"/>
      <c r="B1941" s="258"/>
      <c r="C1941" s="247"/>
    </row>
    <row r="1942">
      <c r="A1942" s="247"/>
      <c r="B1942" s="258"/>
      <c r="C1942" s="247"/>
    </row>
    <row r="1943">
      <c r="A1943" s="247"/>
      <c r="B1943" s="258"/>
      <c r="C1943" s="247"/>
    </row>
    <row r="1944">
      <c r="A1944" s="247"/>
      <c r="B1944" s="258"/>
      <c r="C1944" s="247"/>
    </row>
    <row r="1945">
      <c r="A1945" s="247"/>
      <c r="B1945" s="258"/>
      <c r="C1945" s="247"/>
    </row>
    <row r="1946">
      <c r="A1946" s="247"/>
      <c r="B1946" s="258"/>
      <c r="C1946" s="247"/>
    </row>
    <row r="1947">
      <c r="A1947" s="247"/>
      <c r="B1947" s="258"/>
      <c r="C1947" s="247"/>
    </row>
    <row r="1948">
      <c r="A1948" s="247"/>
      <c r="B1948" s="258"/>
      <c r="C1948" s="247"/>
    </row>
    <row r="1949">
      <c r="A1949" s="247"/>
      <c r="B1949" s="258"/>
      <c r="C1949" s="247"/>
    </row>
    <row r="1950">
      <c r="A1950" s="247"/>
      <c r="B1950" s="258"/>
      <c r="C1950" s="247"/>
    </row>
    <row r="1951">
      <c r="A1951" s="247"/>
      <c r="B1951" s="258"/>
      <c r="C1951" s="247"/>
    </row>
    <row r="1952">
      <c r="A1952" s="247"/>
      <c r="B1952" s="258"/>
      <c r="C1952" s="247"/>
    </row>
    <row r="1953">
      <c r="A1953" s="247"/>
      <c r="B1953" s="258"/>
      <c r="C1953" s="247"/>
    </row>
    <row r="1954">
      <c r="A1954" s="247"/>
      <c r="B1954" s="258"/>
      <c r="C1954" s="247"/>
    </row>
    <row r="1955">
      <c r="A1955" s="247"/>
      <c r="B1955" s="258"/>
      <c r="C1955" s="247"/>
    </row>
    <row r="1956">
      <c r="A1956" s="247"/>
      <c r="B1956" s="258"/>
      <c r="C1956" s="247"/>
    </row>
    <row r="1957">
      <c r="A1957" s="247"/>
      <c r="B1957" s="258"/>
      <c r="C1957" s="247"/>
    </row>
    <row r="1958">
      <c r="A1958" s="247"/>
      <c r="B1958" s="258"/>
      <c r="C1958" s="247"/>
    </row>
    <row r="1959">
      <c r="A1959" s="247"/>
      <c r="B1959" s="258"/>
      <c r="C1959" s="247"/>
    </row>
    <row r="1960">
      <c r="A1960" s="247"/>
      <c r="B1960" s="258"/>
      <c r="C1960" s="247"/>
    </row>
    <row r="1961">
      <c r="A1961" s="247"/>
      <c r="B1961" s="258"/>
      <c r="C1961" s="247"/>
    </row>
    <row r="1962">
      <c r="A1962" s="247"/>
      <c r="B1962" s="258"/>
      <c r="C1962" s="247"/>
    </row>
    <row r="1963">
      <c r="A1963" s="247"/>
      <c r="B1963" s="258"/>
      <c r="C1963" s="247"/>
    </row>
    <row r="1964">
      <c r="A1964" s="247"/>
      <c r="B1964" s="258"/>
      <c r="C1964" s="247"/>
    </row>
    <row r="1965">
      <c r="A1965" s="247"/>
      <c r="B1965" s="258"/>
      <c r="C1965" s="247"/>
    </row>
    <row r="1966">
      <c r="A1966" s="247"/>
      <c r="B1966" s="258"/>
      <c r="C1966" s="247"/>
    </row>
    <row r="1967">
      <c r="A1967" s="247"/>
      <c r="B1967" s="258"/>
      <c r="C1967" s="247"/>
    </row>
    <row r="1968">
      <c r="A1968" s="247"/>
      <c r="B1968" s="258"/>
      <c r="C1968" s="247"/>
    </row>
    <row r="1969">
      <c r="A1969" s="247"/>
      <c r="B1969" s="258"/>
      <c r="C1969" s="247"/>
    </row>
    <row r="1970">
      <c r="A1970" s="247"/>
      <c r="B1970" s="258"/>
      <c r="C1970" s="247"/>
    </row>
    <row r="1971">
      <c r="A1971" s="247"/>
      <c r="B1971" s="258"/>
      <c r="C1971" s="247"/>
    </row>
    <row r="1972">
      <c r="A1972" s="247"/>
      <c r="B1972" s="258"/>
      <c r="C1972" s="247"/>
    </row>
    <row r="1973">
      <c r="A1973" s="247"/>
      <c r="B1973" s="258"/>
      <c r="C1973" s="247"/>
    </row>
    <row r="1974">
      <c r="A1974" s="247"/>
      <c r="B1974" s="258"/>
      <c r="C1974" s="247"/>
    </row>
    <row r="1975">
      <c r="A1975" s="247"/>
      <c r="B1975" s="258"/>
      <c r="C1975" s="247"/>
    </row>
    <row r="1976">
      <c r="A1976" s="247"/>
      <c r="B1976" s="258"/>
      <c r="C1976" s="247"/>
    </row>
    <row r="1977">
      <c r="A1977" s="247"/>
      <c r="B1977" s="258"/>
      <c r="C1977" s="247"/>
    </row>
    <row r="1978">
      <c r="A1978" s="247"/>
      <c r="B1978" s="258"/>
      <c r="C1978" s="247"/>
    </row>
    <row r="1979">
      <c r="A1979" s="247"/>
      <c r="B1979" s="258"/>
      <c r="C1979" s="247"/>
    </row>
    <row r="1980">
      <c r="A1980" s="247"/>
      <c r="B1980" s="258"/>
      <c r="C1980" s="247"/>
    </row>
    <row r="1981">
      <c r="A1981" s="247"/>
      <c r="B1981" s="258"/>
      <c r="C1981" s="247"/>
    </row>
    <row r="1982">
      <c r="A1982" s="247"/>
      <c r="B1982" s="258"/>
      <c r="C1982" s="247"/>
    </row>
    <row r="1983">
      <c r="A1983" s="247"/>
      <c r="B1983" s="258"/>
      <c r="C1983" s="247"/>
    </row>
    <row r="1984">
      <c r="A1984" s="247"/>
      <c r="B1984" s="258"/>
      <c r="C1984" s="247"/>
    </row>
    <row r="1985">
      <c r="A1985" s="247"/>
      <c r="B1985" s="258"/>
      <c r="C1985" s="247"/>
    </row>
    <row r="1986">
      <c r="A1986" s="247"/>
      <c r="B1986" s="258"/>
      <c r="C1986" s="247"/>
    </row>
    <row r="1987">
      <c r="A1987" s="247"/>
      <c r="B1987" s="258"/>
      <c r="C1987" s="247"/>
    </row>
    <row r="1988">
      <c r="A1988" s="247"/>
      <c r="B1988" s="258"/>
      <c r="C1988" s="247"/>
    </row>
    <row r="1989">
      <c r="A1989" s="247"/>
      <c r="B1989" s="258"/>
      <c r="C1989" s="247"/>
    </row>
    <row r="1990">
      <c r="A1990" s="247"/>
      <c r="B1990" s="258"/>
      <c r="C1990" s="247"/>
    </row>
    <row r="1991">
      <c r="A1991" s="247"/>
      <c r="B1991" s="258"/>
      <c r="C1991" s="247"/>
    </row>
    <row r="1992">
      <c r="A1992" s="247"/>
      <c r="B1992" s="258"/>
      <c r="C1992" s="247"/>
    </row>
    <row r="1993">
      <c r="A1993" s="247"/>
      <c r="B1993" s="258"/>
      <c r="C1993" s="247"/>
    </row>
    <row r="1994">
      <c r="A1994" s="247"/>
      <c r="B1994" s="258"/>
      <c r="C1994" s="247"/>
    </row>
    <row r="1995">
      <c r="A1995" s="247"/>
      <c r="B1995" s="258"/>
      <c r="C1995" s="247"/>
    </row>
    <row r="1996">
      <c r="A1996" s="247"/>
      <c r="B1996" s="258"/>
      <c r="C1996" s="247"/>
    </row>
    <row r="1997">
      <c r="A1997" s="247"/>
      <c r="B1997" s="258"/>
      <c r="C1997" s="247"/>
    </row>
    <row r="1998">
      <c r="A1998" s="247"/>
      <c r="B1998" s="258"/>
      <c r="C1998" s="247"/>
    </row>
    <row r="1999">
      <c r="A1999" s="247"/>
      <c r="B1999" s="258"/>
      <c r="C1999" s="247"/>
    </row>
    <row r="2000">
      <c r="A2000" s="247"/>
      <c r="B2000" s="258"/>
      <c r="C2000" s="247"/>
    </row>
    <row r="2001">
      <c r="A2001" s="247"/>
      <c r="B2001" s="258"/>
      <c r="C2001" s="247"/>
    </row>
    <row r="2002">
      <c r="A2002" s="247"/>
      <c r="B2002" s="258"/>
      <c r="C2002" s="247"/>
    </row>
    <row r="2003">
      <c r="A2003" s="247"/>
      <c r="B2003" s="258"/>
      <c r="C2003" s="247"/>
    </row>
    <row r="2004">
      <c r="A2004" s="247"/>
      <c r="B2004" s="258"/>
      <c r="C2004" s="247"/>
    </row>
    <row r="2005">
      <c r="A2005" s="247"/>
      <c r="B2005" s="258"/>
      <c r="C2005" s="247"/>
    </row>
    <row r="2006">
      <c r="A2006" s="247"/>
      <c r="B2006" s="258"/>
      <c r="C2006" s="247"/>
    </row>
    <row r="2007">
      <c r="A2007" s="247"/>
      <c r="B2007" s="258"/>
      <c r="C2007" s="247"/>
    </row>
    <row r="2008">
      <c r="A2008" s="247"/>
      <c r="B2008" s="258"/>
      <c r="C2008" s="247"/>
    </row>
    <row r="2009">
      <c r="A2009" s="247"/>
      <c r="B2009" s="258"/>
      <c r="C2009" s="247"/>
    </row>
    <row r="2010">
      <c r="A2010" s="247"/>
      <c r="B2010" s="258"/>
      <c r="C2010" s="247"/>
    </row>
    <row r="2011">
      <c r="A2011" s="247"/>
      <c r="B2011" s="258"/>
      <c r="C2011" s="247"/>
    </row>
    <row r="2012">
      <c r="A2012" s="247"/>
      <c r="B2012" s="258"/>
      <c r="C2012" s="247"/>
    </row>
    <row r="2013">
      <c r="A2013" s="247"/>
      <c r="B2013" s="258"/>
      <c r="C2013" s="247"/>
    </row>
    <row r="2014">
      <c r="A2014" s="247"/>
      <c r="B2014" s="258"/>
      <c r="C2014" s="247"/>
    </row>
    <row r="2015">
      <c r="A2015" s="247"/>
      <c r="B2015" s="258"/>
      <c r="C2015" s="247"/>
    </row>
    <row r="2016">
      <c r="A2016" s="247"/>
      <c r="B2016" s="258"/>
      <c r="C2016" s="247"/>
    </row>
    <row r="2017">
      <c r="A2017" s="247"/>
      <c r="B2017" s="258"/>
      <c r="C2017" s="247"/>
    </row>
    <row r="2018">
      <c r="A2018" s="247"/>
      <c r="B2018" s="258"/>
      <c r="C2018" s="247"/>
    </row>
    <row r="2019">
      <c r="A2019" s="247"/>
      <c r="B2019" s="258"/>
      <c r="C2019" s="247"/>
    </row>
    <row r="2020">
      <c r="A2020" s="247"/>
      <c r="B2020" s="258"/>
      <c r="C2020" s="247"/>
    </row>
    <row r="2021">
      <c r="A2021" s="247"/>
      <c r="B2021" s="258"/>
      <c r="C2021" s="247"/>
    </row>
    <row r="2022">
      <c r="A2022" s="247"/>
      <c r="B2022" s="258"/>
      <c r="C2022" s="247"/>
    </row>
    <row r="2023">
      <c r="A2023" s="247"/>
      <c r="B2023" s="258"/>
      <c r="C2023" s="247"/>
    </row>
    <row r="2024">
      <c r="A2024" s="247"/>
      <c r="B2024" s="258"/>
      <c r="C2024" s="247"/>
    </row>
    <row r="2025">
      <c r="A2025" s="247"/>
      <c r="B2025" s="258"/>
      <c r="C2025" s="247"/>
    </row>
    <row r="2026">
      <c r="A2026" s="247"/>
      <c r="B2026" s="258"/>
      <c r="C2026" s="247"/>
    </row>
    <row r="2027">
      <c r="A2027" s="247"/>
      <c r="B2027" s="258"/>
      <c r="C2027" s="247"/>
    </row>
    <row r="2028">
      <c r="A2028" s="247"/>
      <c r="B2028" s="258"/>
      <c r="C2028" s="247"/>
    </row>
    <row r="2029">
      <c r="A2029" s="247"/>
      <c r="B2029" s="258"/>
      <c r="C2029" s="247"/>
    </row>
    <row r="2030">
      <c r="A2030" s="247"/>
      <c r="B2030" s="258"/>
      <c r="C2030" s="247"/>
    </row>
    <row r="2031">
      <c r="A2031" s="247"/>
      <c r="B2031" s="258"/>
      <c r="C2031" s="247"/>
    </row>
    <row r="2032">
      <c r="A2032" s="247"/>
      <c r="B2032" s="258"/>
      <c r="C2032" s="247"/>
    </row>
    <row r="2033">
      <c r="A2033" s="247"/>
      <c r="B2033" s="258"/>
      <c r="C2033" s="247"/>
    </row>
    <row r="2034">
      <c r="A2034" s="247"/>
      <c r="B2034" s="258"/>
      <c r="C2034" s="247"/>
    </row>
    <row r="2035">
      <c r="A2035" s="247"/>
      <c r="B2035" s="258"/>
      <c r="C2035" s="247"/>
    </row>
    <row r="2036">
      <c r="A2036" s="247"/>
      <c r="B2036" s="258"/>
      <c r="C2036" s="247"/>
    </row>
    <row r="2037">
      <c r="A2037" s="247"/>
      <c r="B2037" s="258"/>
      <c r="C2037" s="247"/>
    </row>
    <row r="2038">
      <c r="A2038" s="247"/>
      <c r="B2038" s="258"/>
      <c r="C2038" s="247"/>
    </row>
    <row r="2039">
      <c r="A2039" s="247"/>
      <c r="B2039" s="258"/>
      <c r="C2039" s="247"/>
    </row>
    <row r="2040">
      <c r="A2040" s="247"/>
      <c r="B2040" s="258"/>
      <c r="C2040" s="247"/>
    </row>
    <row r="2041">
      <c r="A2041" s="247"/>
      <c r="B2041" s="258"/>
      <c r="C2041" s="247"/>
    </row>
    <row r="2042">
      <c r="A2042" s="247"/>
      <c r="B2042" s="258"/>
      <c r="C2042" s="247"/>
    </row>
    <row r="2043">
      <c r="A2043" s="247"/>
      <c r="B2043" s="258"/>
      <c r="C2043" s="247"/>
    </row>
    <row r="2044">
      <c r="A2044" s="247"/>
      <c r="B2044" s="258"/>
      <c r="C2044" s="247"/>
    </row>
    <row r="2045">
      <c r="A2045" s="247"/>
      <c r="B2045" s="258"/>
      <c r="C2045" s="247"/>
    </row>
    <row r="2046">
      <c r="A2046" s="247"/>
      <c r="B2046" s="258"/>
      <c r="C2046" s="247"/>
    </row>
    <row r="2047">
      <c r="A2047" s="247"/>
      <c r="B2047" s="258"/>
      <c r="C2047" s="247"/>
    </row>
    <row r="2048">
      <c r="A2048" s="247"/>
      <c r="B2048" s="258"/>
      <c r="C2048" s="247"/>
    </row>
    <row r="2049">
      <c r="A2049" s="247"/>
      <c r="B2049" s="258"/>
      <c r="C2049" s="247"/>
    </row>
    <row r="2050">
      <c r="A2050" s="247"/>
      <c r="B2050" s="258"/>
      <c r="C2050" s="247"/>
    </row>
    <row r="2051">
      <c r="A2051" s="247"/>
      <c r="B2051" s="258"/>
      <c r="C2051" s="247"/>
    </row>
    <row r="2052">
      <c r="A2052" s="247"/>
      <c r="B2052" s="258"/>
      <c r="C2052" s="247"/>
    </row>
    <row r="2053">
      <c r="A2053" s="247"/>
      <c r="B2053" s="258"/>
      <c r="C2053" s="247"/>
    </row>
    <row r="2054">
      <c r="A2054" s="247"/>
      <c r="B2054" s="258"/>
      <c r="C2054" s="247"/>
    </row>
    <row r="2055">
      <c r="A2055" s="247"/>
      <c r="B2055" s="258"/>
      <c r="C2055" s="247"/>
    </row>
    <row r="2056">
      <c r="A2056" s="247"/>
      <c r="B2056" s="258"/>
      <c r="C2056" s="247"/>
    </row>
    <row r="2057">
      <c r="A2057" s="247"/>
      <c r="B2057" s="258"/>
      <c r="C2057" s="247"/>
    </row>
    <row r="2058">
      <c r="A2058" s="247"/>
      <c r="B2058" s="258"/>
      <c r="C2058" s="247"/>
    </row>
    <row r="2059">
      <c r="A2059" s="247"/>
      <c r="B2059" s="258"/>
      <c r="C2059" s="247"/>
    </row>
    <row r="2060">
      <c r="A2060" s="247"/>
      <c r="B2060" s="258"/>
      <c r="C2060" s="247"/>
    </row>
    <row r="2061">
      <c r="A2061" s="247"/>
      <c r="B2061" s="258"/>
      <c r="C2061" s="247"/>
    </row>
    <row r="2062">
      <c r="A2062" s="247"/>
      <c r="B2062" s="258"/>
      <c r="C2062" s="247"/>
    </row>
    <row r="2063">
      <c r="A2063" s="247"/>
      <c r="B2063" s="258"/>
      <c r="C2063" s="247"/>
    </row>
    <row r="2064">
      <c r="A2064" s="247"/>
      <c r="B2064" s="258"/>
      <c r="C2064" s="247"/>
    </row>
    <row r="2065">
      <c r="A2065" s="247"/>
      <c r="B2065" s="258"/>
      <c r="C2065" s="247"/>
    </row>
    <row r="2066">
      <c r="A2066" s="247"/>
      <c r="B2066" s="258"/>
      <c r="C2066" s="247"/>
    </row>
    <row r="2067">
      <c r="A2067" s="247"/>
      <c r="B2067" s="258"/>
      <c r="C2067" s="247"/>
    </row>
    <row r="2068">
      <c r="A2068" s="247"/>
      <c r="B2068" s="258"/>
      <c r="C2068" s="247"/>
    </row>
    <row r="2069">
      <c r="A2069" s="247"/>
      <c r="B2069" s="258"/>
      <c r="C2069" s="247"/>
    </row>
    <row r="2070">
      <c r="A2070" s="247"/>
      <c r="B2070" s="258"/>
      <c r="C2070" s="247"/>
    </row>
    <row r="2071">
      <c r="A2071" s="247"/>
      <c r="B2071" s="258"/>
      <c r="C2071" s="247"/>
    </row>
    <row r="2072">
      <c r="A2072" s="247"/>
      <c r="B2072" s="258"/>
      <c r="C2072" s="247"/>
    </row>
    <row r="2073">
      <c r="A2073" s="247"/>
      <c r="B2073" s="258"/>
      <c r="C2073" s="247"/>
    </row>
    <row r="2074">
      <c r="A2074" s="247"/>
      <c r="B2074" s="258"/>
      <c r="C2074" s="247"/>
    </row>
    <row r="2075">
      <c r="A2075" s="247"/>
      <c r="B2075" s="258"/>
      <c r="C2075" s="247"/>
    </row>
    <row r="2076">
      <c r="A2076" s="247"/>
      <c r="B2076" s="258"/>
      <c r="C2076" s="247"/>
    </row>
    <row r="2077">
      <c r="A2077" s="247"/>
      <c r="B2077" s="258"/>
      <c r="C2077" s="247"/>
    </row>
    <row r="2078">
      <c r="A2078" s="247"/>
      <c r="B2078" s="258"/>
      <c r="C2078" s="247"/>
    </row>
    <row r="2079">
      <c r="A2079" s="247"/>
      <c r="B2079" s="258"/>
      <c r="C2079" s="247"/>
    </row>
    <row r="2080">
      <c r="A2080" s="247"/>
      <c r="B2080" s="258"/>
      <c r="C2080" s="247"/>
    </row>
    <row r="2081">
      <c r="A2081" s="247"/>
      <c r="B2081" s="258"/>
      <c r="C2081" s="247"/>
    </row>
    <row r="2082">
      <c r="A2082" s="247"/>
      <c r="B2082" s="258"/>
      <c r="C2082" s="247"/>
    </row>
    <row r="2083">
      <c r="A2083" s="247"/>
      <c r="B2083" s="258"/>
      <c r="C2083" s="247"/>
    </row>
    <row r="2084">
      <c r="A2084" s="247"/>
      <c r="B2084" s="258"/>
      <c r="C2084" s="247"/>
    </row>
    <row r="2085">
      <c r="A2085" s="247"/>
      <c r="B2085" s="258"/>
      <c r="C2085" s="247"/>
    </row>
    <row r="2086">
      <c r="A2086" s="247"/>
      <c r="B2086" s="258"/>
      <c r="C2086" s="247"/>
    </row>
    <row r="2087">
      <c r="A2087" s="247"/>
      <c r="B2087" s="258"/>
      <c r="C2087" s="247"/>
    </row>
    <row r="2088">
      <c r="A2088" s="247"/>
      <c r="B2088" s="258"/>
      <c r="C2088" s="247"/>
    </row>
    <row r="2089">
      <c r="A2089" s="247"/>
      <c r="B2089" s="258"/>
      <c r="C2089" s="247"/>
    </row>
    <row r="2090">
      <c r="A2090" s="247"/>
      <c r="B2090" s="258"/>
      <c r="C2090" s="247"/>
    </row>
    <row r="2091">
      <c r="A2091" s="247"/>
      <c r="B2091" s="258"/>
      <c r="C2091" s="247"/>
    </row>
    <row r="2092">
      <c r="A2092" s="247"/>
      <c r="B2092" s="258"/>
      <c r="C2092" s="247"/>
    </row>
    <row r="2093">
      <c r="A2093" s="247"/>
      <c r="B2093" s="258"/>
      <c r="C2093" s="247"/>
    </row>
    <row r="2094">
      <c r="A2094" s="247"/>
      <c r="B2094" s="258"/>
      <c r="C2094" s="247"/>
    </row>
    <row r="2095">
      <c r="A2095" s="247"/>
      <c r="B2095" s="258"/>
      <c r="C2095" s="247"/>
    </row>
    <row r="2096">
      <c r="A2096" s="247"/>
      <c r="B2096" s="258"/>
      <c r="C2096" s="247"/>
    </row>
    <row r="2097">
      <c r="A2097" s="247"/>
      <c r="B2097" s="258"/>
      <c r="C2097" s="247"/>
    </row>
    <row r="2098">
      <c r="A2098" s="247"/>
      <c r="B2098" s="258"/>
      <c r="C2098" s="247"/>
    </row>
    <row r="2099">
      <c r="A2099" s="247"/>
      <c r="B2099" s="258"/>
      <c r="C2099" s="247"/>
    </row>
    <row r="2100">
      <c r="A2100" s="247"/>
      <c r="B2100" s="258"/>
      <c r="C2100" s="247"/>
    </row>
    <row r="2101">
      <c r="A2101" s="247"/>
      <c r="B2101" s="258"/>
      <c r="C2101" s="247"/>
    </row>
    <row r="2102">
      <c r="A2102" s="247"/>
      <c r="B2102" s="258"/>
      <c r="C2102" s="247"/>
    </row>
    <row r="2103">
      <c r="A2103" s="247"/>
      <c r="B2103" s="258"/>
      <c r="C2103" s="247"/>
    </row>
    <row r="2104">
      <c r="A2104" s="247"/>
      <c r="B2104" s="258"/>
      <c r="C2104" s="247"/>
    </row>
    <row r="2105">
      <c r="A2105" s="247"/>
      <c r="B2105" s="258"/>
      <c r="C2105" s="247"/>
    </row>
    <row r="2106">
      <c r="A2106" s="247"/>
      <c r="B2106" s="258"/>
      <c r="C2106" s="247"/>
    </row>
    <row r="2107">
      <c r="A2107" s="247"/>
      <c r="B2107" s="258"/>
      <c r="C2107" s="247"/>
    </row>
    <row r="2108">
      <c r="A2108" s="247"/>
      <c r="B2108" s="258"/>
      <c r="C2108" s="247"/>
    </row>
    <row r="2109">
      <c r="A2109" s="247"/>
      <c r="B2109" s="258"/>
      <c r="C2109" s="247"/>
    </row>
    <row r="2110">
      <c r="A2110" s="247"/>
      <c r="B2110" s="258"/>
      <c r="C2110" s="247"/>
    </row>
    <row r="2111">
      <c r="A2111" s="247"/>
      <c r="B2111" s="258"/>
      <c r="C2111" s="247"/>
    </row>
    <row r="2112">
      <c r="A2112" s="247"/>
      <c r="B2112" s="258"/>
      <c r="C2112" s="247"/>
    </row>
    <row r="2113">
      <c r="A2113" s="247"/>
      <c r="B2113" s="258"/>
      <c r="C2113" s="247"/>
    </row>
    <row r="2114">
      <c r="A2114" s="247"/>
      <c r="B2114" s="258"/>
      <c r="C2114" s="247"/>
    </row>
    <row r="2115">
      <c r="A2115" s="247"/>
      <c r="B2115" s="258"/>
      <c r="C2115" s="247"/>
    </row>
    <row r="2116">
      <c r="A2116" s="247"/>
      <c r="B2116" s="258"/>
      <c r="C2116" s="247"/>
    </row>
    <row r="2117">
      <c r="A2117" s="247"/>
      <c r="B2117" s="258"/>
      <c r="C2117" s="247"/>
    </row>
    <row r="2118">
      <c r="A2118" s="247"/>
      <c r="B2118" s="258"/>
      <c r="C2118" s="247"/>
    </row>
    <row r="2119">
      <c r="A2119" s="247"/>
      <c r="B2119" s="258"/>
      <c r="C2119" s="247"/>
    </row>
    <row r="2120">
      <c r="A2120" s="247"/>
      <c r="B2120" s="258"/>
      <c r="C2120" s="247"/>
    </row>
    <row r="2121">
      <c r="A2121" s="247"/>
      <c r="B2121" s="258"/>
      <c r="C2121" s="247"/>
    </row>
    <row r="2122">
      <c r="A2122" s="247"/>
      <c r="B2122" s="258"/>
      <c r="C2122" s="247"/>
    </row>
    <row r="2123">
      <c r="A2123" s="247"/>
      <c r="B2123" s="258"/>
      <c r="C2123" s="247"/>
    </row>
    <row r="2124">
      <c r="A2124" s="247"/>
      <c r="B2124" s="258"/>
      <c r="C2124" s="247"/>
    </row>
    <row r="2125">
      <c r="A2125" s="247"/>
      <c r="B2125" s="258"/>
      <c r="C2125" s="247"/>
    </row>
    <row r="2126">
      <c r="A2126" s="247"/>
      <c r="B2126" s="258"/>
      <c r="C2126" s="247"/>
    </row>
    <row r="2127">
      <c r="A2127" s="247"/>
      <c r="B2127" s="258"/>
      <c r="C2127" s="247"/>
    </row>
    <row r="2128">
      <c r="A2128" s="247"/>
      <c r="B2128" s="258"/>
      <c r="C2128" s="247"/>
    </row>
    <row r="2129">
      <c r="A2129" s="247"/>
      <c r="B2129" s="258"/>
      <c r="C2129" s="247"/>
    </row>
    <row r="2130">
      <c r="A2130" s="247"/>
      <c r="B2130" s="258"/>
      <c r="C2130" s="247"/>
    </row>
    <row r="2131">
      <c r="A2131" s="247"/>
      <c r="B2131" s="258"/>
      <c r="C2131" s="247"/>
    </row>
    <row r="2132">
      <c r="A2132" s="247"/>
      <c r="B2132" s="258"/>
      <c r="C2132" s="247"/>
    </row>
    <row r="2133">
      <c r="A2133" s="247"/>
      <c r="B2133" s="258"/>
      <c r="C2133" s="247"/>
    </row>
    <row r="2134">
      <c r="A2134" s="247"/>
      <c r="B2134" s="258"/>
      <c r="C2134" s="247"/>
    </row>
    <row r="2135">
      <c r="A2135" s="247"/>
      <c r="B2135" s="258"/>
      <c r="C2135" s="247"/>
    </row>
    <row r="2136">
      <c r="A2136" s="247"/>
      <c r="B2136" s="258"/>
      <c r="C2136" s="247"/>
    </row>
    <row r="2137">
      <c r="A2137" s="247"/>
      <c r="B2137" s="258"/>
      <c r="C2137" s="247"/>
    </row>
    <row r="2138">
      <c r="A2138" s="247"/>
      <c r="B2138" s="258"/>
      <c r="C2138" s="247"/>
    </row>
    <row r="2139">
      <c r="A2139" s="247"/>
      <c r="B2139" s="258"/>
      <c r="C2139" s="247"/>
    </row>
    <row r="2140">
      <c r="A2140" s="247"/>
      <c r="B2140" s="258"/>
      <c r="C2140" s="247"/>
    </row>
    <row r="2141">
      <c r="A2141" s="247"/>
      <c r="B2141" s="258"/>
      <c r="C2141" s="247"/>
    </row>
    <row r="2142">
      <c r="A2142" s="247"/>
      <c r="B2142" s="258"/>
      <c r="C2142" s="247"/>
    </row>
    <row r="2143">
      <c r="A2143" s="247"/>
      <c r="B2143" s="258"/>
      <c r="C2143" s="247"/>
    </row>
    <row r="2144">
      <c r="A2144" s="247"/>
      <c r="B2144" s="258"/>
      <c r="C2144" s="247"/>
    </row>
    <row r="2145">
      <c r="A2145" s="247"/>
      <c r="B2145" s="258"/>
      <c r="C2145" s="247"/>
    </row>
    <row r="2146">
      <c r="A2146" s="247"/>
      <c r="B2146" s="258"/>
      <c r="C2146" s="247"/>
    </row>
    <row r="2147">
      <c r="A2147" s="247"/>
      <c r="B2147" s="258"/>
      <c r="C2147" s="247"/>
    </row>
    <row r="2148">
      <c r="A2148" s="247"/>
      <c r="B2148" s="258"/>
      <c r="C2148" s="247"/>
    </row>
    <row r="2149">
      <c r="A2149" s="247"/>
      <c r="B2149" s="258"/>
      <c r="C2149" s="247"/>
    </row>
    <row r="2150">
      <c r="A2150" s="247"/>
      <c r="B2150" s="258"/>
      <c r="C2150" s="247"/>
    </row>
    <row r="2151">
      <c r="A2151" s="247"/>
      <c r="B2151" s="258"/>
      <c r="C2151" s="247"/>
    </row>
    <row r="2152">
      <c r="A2152" s="247"/>
      <c r="B2152" s="258"/>
      <c r="C2152" s="247"/>
    </row>
    <row r="2153">
      <c r="A2153" s="247"/>
      <c r="B2153" s="258"/>
      <c r="C2153" s="247"/>
    </row>
    <row r="2154">
      <c r="A2154" s="247"/>
      <c r="B2154" s="258"/>
      <c r="C2154" s="247"/>
    </row>
    <row r="2155">
      <c r="A2155" s="247"/>
      <c r="B2155" s="258"/>
      <c r="C2155" s="247"/>
    </row>
    <row r="2156">
      <c r="A2156" s="247"/>
      <c r="B2156" s="258"/>
      <c r="C2156" s="247"/>
    </row>
    <row r="2157">
      <c r="A2157" s="247"/>
      <c r="B2157" s="258"/>
      <c r="C2157" s="247"/>
    </row>
    <row r="2158">
      <c r="A2158" s="247"/>
      <c r="B2158" s="258"/>
      <c r="C2158" s="247"/>
    </row>
    <row r="2159">
      <c r="A2159" s="247"/>
      <c r="B2159" s="258"/>
      <c r="C2159" s="247"/>
    </row>
    <row r="2160">
      <c r="A2160" s="247"/>
      <c r="B2160" s="258"/>
      <c r="C2160" s="247"/>
    </row>
    <row r="2161">
      <c r="A2161" s="247"/>
      <c r="B2161" s="258"/>
      <c r="C2161" s="247"/>
    </row>
    <row r="2162">
      <c r="A2162" s="247"/>
      <c r="B2162" s="258"/>
      <c r="C2162" s="247"/>
    </row>
    <row r="2163">
      <c r="A2163" s="247"/>
      <c r="B2163" s="258"/>
      <c r="C2163" s="247"/>
    </row>
    <row r="2164">
      <c r="A2164" s="247"/>
      <c r="B2164" s="258"/>
      <c r="C2164" s="247"/>
    </row>
    <row r="2165">
      <c r="A2165" s="247"/>
      <c r="B2165" s="258"/>
      <c r="C2165" s="247"/>
    </row>
    <row r="2166">
      <c r="A2166" s="247"/>
      <c r="B2166" s="258"/>
      <c r="C2166" s="247"/>
    </row>
    <row r="2167">
      <c r="A2167" s="247"/>
      <c r="B2167" s="258"/>
      <c r="C2167" s="247"/>
    </row>
    <row r="2168">
      <c r="A2168" s="247"/>
      <c r="B2168" s="258"/>
      <c r="C2168" s="247"/>
    </row>
    <row r="2169">
      <c r="A2169" s="247"/>
      <c r="B2169" s="258"/>
      <c r="C2169" s="247"/>
    </row>
    <row r="2170">
      <c r="A2170" s="247"/>
      <c r="B2170" s="258"/>
      <c r="C2170" s="247"/>
    </row>
    <row r="2171">
      <c r="A2171" s="247"/>
      <c r="B2171" s="258"/>
      <c r="C2171" s="247"/>
    </row>
    <row r="2172">
      <c r="A2172" s="247"/>
      <c r="B2172" s="258"/>
      <c r="C2172" s="247"/>
    </row>
    <row r="2173">
      <c r="A2173" s="247"/>
      <c r="B2173" s="258"/>
      <c r="C2173" s="247"/>
    </row>
    <row r="2174">
      <c r="A2174" s="247"/>
      <c r="B2174" s="258"/>
      <c r="C2174" s="247"/>
    </row>
    <row r="2175">
      <c r="A2175" s="247"/>
      <c r="B2175" s="258"/>
      <c r="C2175" s="247"/>
    </row>
    <row r="2176">
      <c r="A2176" s="247"/>
      <c r="B2176" s="258"/>
      <c r="C2176" s="247"/>
    </row>
    <row r="2177">
      <c r="A2177" s="247"/>
      <c r="B2177" s="258"/>
      <c r="C2177" s="247"/>
    </row>
    <row r="2178">
      <c r="A2178" s="247"/>
      <c r="B2178" s="258"/>
      <c r="C2178" s="247"/>
    </row>
    <row r="2179">
      <c r="A2179" s="247"/>
      <c r="B2179" s="258"/>
      <c r="C2179" s="247"/>
    </row>
    <row r="2180">
      <c r="A2180" s="247"/>
      <c r="B2180" s="258"/>
      <c r="C2180" s="247"/>
    </row>
    <row r="2181">
      <c r="A2181" s="247"/>
      <c r="B2181" s="258"/>
      <c r="C2181" s="247"/>
    </row>
    <row r="2182">
      <c r="A2182" s="247"/>
      <c r="B2182" s="258"/>
      <c r="C2182" s="247"/>
    </row>
    <row r="2183">
      <c r="A2183" s="247"/>
      <c r="B2183" s="258"/>
      <c r="C2183" s="247"/>
    </row>
    <row r="2184">
      <c r="A2184" s="247"/>
      <c r="B2184" s="258"/>
      <c r="C2184" s="247"/>
    </row>
    <row r="2185">
      <c r="A2185" s="247"/>
      <c r="B2185" s="258"/>
      <c r="C2185" s="247"/>
    </row>
    <row r="2186">
      <c r="A2186" s="247"/>
      <c r="B2186" s="258"/>
      <c r="C2186" s="247"/>
    </row>
    <row r="2187">
      <c r="A2187" s="247"/>
      <c r="B2187" s="258"/>
      <c r="C2187" s="247"/>
    </row>
    <row r="2188">
      <c r="A2188" s="247"/>
      <c r="B2188" s="258"/>
      <c r="C2188" s="247"/>
    </row>
    <row r="2189">
      <c r="A2189" s="247"/>
      <c r="B2189" s="258"/>
      <c r="C2189" s="247"/>
    </row>
    <row r="2190">
      <c r="A2190" s="247"/>
      <c r="B2190" s="258"/>
      <c r="C2190" s="247"/>
    </row>
    <row r="2191">
      <c r="A2191" s="247"/>
      <c r="B2191" s="258"/>
      <c r="C2191" s="247"/>
    </row>
    <row r="2192">
      <c r="A2192" s="247"/>
      <c r="B2192" s="258"/>
      <c r="C2192" s="247"/>
    </row>
    <row r="2193">
      <c r="A2193" s="247"/>
      <c r="B2193" s="258"/>
      <c r="C2193" s="247"/>
    </row>
    <row r="2194">
      <c r="A2194" s="247"/>
      <c r="B2194" s="258"/>
      <c r="C2194" s="247"/>
    </row>
    <row r="2195">
      <c r="A2195" s="247"/>
      <c r="B2195" s="258"/>
      <c r="C2195" s="247"/>
    </row>
    <row r="2196">
      <c r="A2196" s="247"/>
      <c r="B2196" s="258"/>
      <c r="C2196" s="247"/>
    </row>
    <row r="2197">
      <c r="A2197" s="247"/>
      <c r="B2197" s="258"/>
      <c r="C2197" s="247"/>
    </row>
    <row r="2198">
      <c r="A2198" s="247"/>
      <c r="B2198" s="258"/>
      <c r="C2198" s="247"/>
    </row>
    <row r="2199">
      <c r="A2199" s="247"/>
      <c r="B2199" s="258"/>
      <c r="C2199" s="247"/>
    </row>
    <row r="2200">
      <c r="A2200" s="247"/>
      <c r="B2200" s="258"/>
      <c r="C2200" s="247"/>
    </row>
    <row r="2201">
      <c r="A2201" s="247"/>
      <c r="B2201" s="258"/>
      <c r="C2201" s="247"/>
    </row>
    <row r="2202">
      <c r="A2202" s="247"/>
      <c r="B2202" s="258"/>
      <c r="C2202" s="247"/>
    </row>
    <row r="2203">
      <c r="A2203" s="247"/>
      <c r="B2203" s="258"/>
      <c r="C2203" s="247"/>
    </row>
    <row r="2204">
      <c r="A2204" s="247"/>
      <c r="B2204" s="258"/>
      <c r="C2204" s="247"/>
    </row>
    <row r="2205">
      <c r="A2205" s="247"/>
      <c r="B2205" s="258"/>
      <c r="C2205" s="247"/>
    </row>
    <row r="2206">
      <c r="A2206" s="247"/>
      <c r="B2206" s="258"/>
      <c r="C2206" s="247"/>
    </row>
    <row r="2207">
      <c r="A2207" s="247"/>
      <c r="B2207" s="258"/>
      <c r="C2207" s="247"/>
    </row>
    <row r="2208">
      <c r="A2208" s="247"/>
      <c r="B2208" s="258"/>
      <c r="C2208" s="247"/>
    </row>
    <row r="2209">
      <c r="A2209" s="247"/>
      <c r="B2209" s="258"/>
      <c r="C2209" s="247"/>
    </row>
    <row r="2210">
      <c r="A2210" s="247"/>
      <c r="B2210" s="258"/>
      <c r="C2210" s="247"/>
    </row>
    <row r="2211">
      <c r="A2211" s="247"/>
      <c r="B2211" s="258"/>
      <c r="C2211" s="247"/>
    </row>
    <row r="2212">
      <c r="A2212" s="247"/>
      <c r="B2212" s="258"/>
      <c r="C2212" s="247"/>
    </row>
    <row r="2213">
      <c r="A2213" s="247"/>
      <c r="B2213" s="258"/>
      <c r="C2213" s="247"/>
    </row>
    <row r="2214">
      <c r="A2214" s="247"/>
      <c r="B2214" s="258"/>
      <c r="C2214" s="247"/>
    </row>
    <row r="2215">
      <c r="A2215" s="247"/>
      <c r="B2215" s="258"/>
      <c r="C2215" s="247"/>
    </row>
    <row r="2216">
      <c r="A2216" s="247"/>
      <c r="B2216" s="258"/>
      <c r="C2216" s="247"/>
    </row>
    <row r="2217">
      <c r="A2217" s="247"/>
      <c r="B2217" s="258"/>
      <c r="C2217" s="247"/>
    </row>
    <row r="2218">
      <c r="A2218" s="247"/>
      <c r="B2218" s="258"/>
      <c r="C2218" s="247"/>
    </row>
    <row r="2219">
      <c r="A2219" s="247"/>
      <c r="B2219" s="258"/>
      <c r="C2219" s="247"/>
    </row>
    <row r="2220">
      <c r="A2220" s="247"/>
      <c r="B2220" s="258"/>
      <c r="C2220" s="247"/>
    </row>
    <row r="2221">
      <c r="A2221" s="247"/>
      <c r="B2221" s="258"/>
      <c r="C2221" s="247"/>
    </row>
    <row r="2222">
      <c r="A2222" s="247"/>
      <c r="B2222" s="258"/>
      <c r="C2222" s="247"/>
    </row>
    <row r="2223">
      <c r="A2223" s="247"/>
      <c r="B2223" s="258"/>
      <c r="C2223" s="247"/>
    </row>
    <row r="2224">
      <c r="A2224" s="247"/>
      <c r="B2224" s="258"/>
      <c r="C2224" s="247"/>
    </row>
    <row r="2225">
      <c r="A2225" s="247"/>
      <c r="B2225" s="258"/>
      <c r="C2225" s="247"/>
    </row>
    <row r="2226">
      <c r="A2226" s="247"/>
      <c r="B2226" s="258"/>
      <c r="C2226" s="247"/>
    </row>
    <row r="2227">
      <c r="A2227" s="247"/>
      <c r="B2227" s="258"/>
      <c r="C2227" s="247"/>
    </row>
    <row r="2228">
      <c r="A2228" s="247"/>
      <c r="B2228" s="258"/>
      <c r="C2228" s="247"/>
    </row>
    <row r="2229">
      <c r="A2229" s="247"/>
      <c r="B2229" s="258"/>
      <c r="C2229" s="247"/>
    </row>
    <row r="2230">
      <c r="A2230" s="247"/>
      <c r="B2230" s="258"/>
      <c r="C2230" s="247"/>
    </row>
    <row r="2231">
      <c r="A2231" s="247"/>
      <c r="B2231" s="258"/>
      <c r="C2231" s="247"/>
    </row>
    <row r="2232">
      <c r="A2232" s="247"/>
      <c r="B2232" s="258"/>
      <c r="C2232" s="247"/>
    </row>
    <row r="2233">
      <c r="A2233" s="247"/>
      <c r="B2233" s="258"/>
      <c r="C2233" s="247"/>
    </row>
    <row r="2234">
      <c r="A2234" s="247"/>
      <c r="B2234" s="258"/>
      <c r="C2234" s="247"/>
    </row>
    <row r="2235">
      <c r="A2235" s="247"/>
      <c r="B2235" s="258"/>
      <c r="C2235" s="247"/>
    </row>
    <row r="2236">
      <c r="A2236" s="247"/>
      <c r="B2236" s="258"/>
      <c r="C2236" s="247"/>
    </row>
    <row r="2237">
      <c r="A2237" s="247"/>
      <c r="B2237" s="258"/>
      <c r="C2237" s="247"/>
    </row>
    <row r="2238">
      <c r="A2238" s="247"/>
      <c r="B2238" s="258"/>
      <c r="C2238" s="247"/>
    </row>
    <row r="2239">
      <c r="A2239" s="247"/>
      <c r="B2239" s="258"/>
      <c r="C2239" s="247"/>
    </row>
    <row r="2240">
      <c r="A2240" s="247"/>
      <c r="B2240" s="258"/>
      <c r="C2240" s="247"/>
    </row>
    <row r="2241">
      <c r="A2241" s="247"/>
      <c r="B2241" s="258"/>
      <c r="C2241" s="247"/>
    </row>
    <row r="2242">
      <c r="A2242" s="247"/>
      <c r="B2242" s="258"/>
      <c r="C2242" s="247"/>
    </row>
    <row r="2243">
      <c r="A2243" s="247"/>
      <c r="B2243" s="258"/>
      <c r="C2243" s="247"/>
    </row>
    <row r="2244">
      <c r="A2244" s="247"/>
      <c r="B2244" s="258"/>
      <c r="C2244" s="247"/>
    </row>
    <row r="2245">
      <c r="A2245" s="247"/>
      <c r="B2245" s="258"/>
      <c r="C2245" s="247"/>
    </row>
    <row r="2246">
      <c r="A2246" s="247"/>
      <c r="B2246" s="258"/>
      <c r="C2246" s="247"/>
    </row>
    <row r="2247">
      <c r="A2247" s="247"/>
      <c r="B2247" s="258"/>
      <c r="C2247" s="247"/>
    </row>
    <row r="2248">
      <c r="A2248" s="247"/>
      <c r="B2248" s="258"/>
      <c r="C2248" s="247"/>
    </row>
    <row r="2249">
      <c r="A2249" s="247"/>
      <c r="B2249" s="258"/>
      <c r="C2249" s="247"/>
    </row>
    <row r="2250">
      <c r="A2250" s="247"/>
      <c r="B2250" s="258"/>
      <c r="C2250" s="247"/>
    </row>
    <row r="2251">
      <c r="A2251" s="247"/>
      <c r="B2251" s="258"/>
      <c r="C2251" s="247"/>
    </row>
    <row r="2252">
      <c r="A2252" s="247"/>
      <c r="B2252" s="258"/>
      <c r="C2252" s="247"/>
    </row>
    <row r="2253">
      <c r="A2253" s="247"/>
      <c r="B2253" s="258"/>
      <c r="C2253" s="247"/>
    </row>
    <row r="2254">
      <c r="A2254" s="247"/>
      <c r="B2254" s="258"/>
      <c r="C2254" s="247"/>
    </row>
    <row r="2255">
      <c r="A2255" s="247"/>
      <c r="B2255" s="258"/>
      <c r="C2255" s="247"/>
    </row>
    <row r="2256">
      <c r="A2256" s="247"/>
      <c r="B2256" s="258"/>
      <c r="C2256" s="247"/>
    </row>
    <row r="2257">
      <c r="A2257" s="247"/>
      <c r="B2257" s="258"/>
      <c r="C2257" s="247"/>
    </row>
    <row r="2258">
      <c r="A2258" s="247"/>
      <c r="B2258" s="258"/>
      <c r="C2258" s="247"/>
    </row>
    <row r="2259">
      <c r="A2259" s="247"/>
      <c r="B2259" s="258"/>
      <c r="C2259" s="247"/>
    </row>
    <row r="2260">
      <c r="A2260" s="247"/>
      <c r="B2260" s="258"/>
      <c r="C2260" s="247"/>
    </row>
    <row r="2261">
      <c r="A2261" s="247"/>
      <c r="B2261" s="258"/>
      <c r="C2261" s="247"/>
    </row>
    <row r="2262">
      <c r="A2262" s="247"/>
      <c r="B2262" s="258"/>
      <c r="C2262" s="247"/>
    </row>
    <row r="2263">
      <c r="A2263" s="247"/>
      <c r="B2263" s="258"/>
      <c r="C2263" s="247"/>
    </row>
    <row r="2264">
      <c r="A2264" s="247"/>
      <c r="B2264" s="258"/>
      <c r="C2264" s="247"/>
    </row>
    <row r="2265">
      <c r="A2265" s="247"/>
      <c r="B2265" s="258"/>
      <c r="C2265" s="247"/>
    </row>
    <row r="2266">
      <c r="A2266" s="247"/>
      <c r="B2266" s="258"/>
      <c r="C2266" s="247"/>
    </row>
    <row r="2267">
      <c r="A2267" s="247"/>
      <c r="B2267" s="258"/>
      <c r="C2267" s="247"/>
    </row>
    <row r="2268">
      <c r="A2268" s="247"/>
      <c r="B2268" s="258"/>
      <c r="C2268" s="247"/>
    </row>
    <row r="2269">
      <c r="A2269" s="247"/>
      <c r="B2269" s="258"/>
      <c r="C2269" s="247"/>
    </row>
    <row r="2270">
      <c r="A2270" s="247"/>
      <c r="B2270" s="258"/>
      <c r="C2270" s="247"/>
    </row>
    <row r="2271">
      <c r="A2271" s="247"/>
      <c r="B2271" s="258"/>
      <c r="C2271" s="247"/>
    </row>
    <row r="2272">
      <c r="A2272" s="247"/>
      <c r="B2272" s="258"/>
      <c r="C2272" s="247"/>
    </row>
    <row r="2273">
      <c r="A2273" s="247"/>
      <c r="B2273" s="258"/>
      <c r="C2273" s="247"/>
    </row>
    <row r="2274">
      <c r="A2274" s="247"/>
      <c r="B2274" s="258"/>
      <c r="C2274" s="247"/>
    </row>
    <row r="2275">
      <c r="A2275" s="247"/>
      <c r="B2275" s="258"/>
      <c r="C2275" s="247"/>
    </row>
    <row r="2276">
      <c r="A2276" s="247"/>
      <c r="B2276" s="258"/>
      <c r="C2276" s="247"/>
    </row>
    <row r="2277">
      <c r="A2277" s="247"/>
      <c r="B2277" s="258"/>
      <c r="C2277" s="247"/>
    </row>
    <row r="2278">
      <c r="A2278" s="247"/>
      <c r="B2278" s="258"/>
      <c r="C2278" s="247"/>
    </row>
    <row r="2279">
      <c r="A2279" s="247"/>
      <c r="B2279" s="258"/>
      <c r="C2279" s="247"/>
    </row>
    <row r="2280">
      <c r="A2280" s="247"/>
      <c r="B2280" s="258"/>
      <c r="C2280" s="247"/>
    </row>
    <row r="2281">
      <c r="A2281" s="247"/>
      <c r="B2281" s="258"/>
      <c r="C2281" s="247"/>
    </row>
    <row r="2282">
      <c r="A2282" s="247"/>
      <c r="B2282" s="258"/>
      <c r="C2282" s="247"/>
    </row>
    <row r="2283">
      <c r="A2283" s="247"/>
      <c r="B2283" s="258"/>
      <c r="C2283" s="247"/>
    </row>
    <row r="2284">
      <c r="A2284" s="247"/>
      <c r="B2284" s="258"/>
      <c r="C2284" s="247"/>
    </row>
    <row r="2285">
      <c r="A2285" s="247"/>
      <c r="B2285" s="258"/>
      <c r="C2285" s="247"/>
    </row>
    <row r="2286">
      <c r="A2286" s="247"/>
      <c r="B2286" s="258"/>
      <c r="C2286" s="247"/>
    </row>
    <row r="2287">
      <c r="A2287" s="247"/>
      <c r="B2287" s="258"/>
      <c r="C2287" s="247"/>
    </row>
    <row r="2288">
      <c r="A2288" s="247"/>
      <c r="B2288" s="258"/>
      <c r="C2288" s="247"/>
    </row>
    <row r="2289">
      <c r="A2289" s="247"/>
      <c r="B2289" s="258"/>
      <c r="C2289" s="247"/>
    </row>
    <row r="2290">
      <c r="A2290" s="247"/>
      <c r="B2290" s="258"/>
      <c r="C2290" s="247"/>
    </row>
    <row r="2291">
      <c r="A2291" s="247"/>
      <c r="B2291" s="258"/>
      <c r="C2291" s="247"/>
    </row>
    <row r="2292">
      <c r="A2292" s="247"/>
      <c r="B2292" s="258"/>
      <c r="C2292" s="247"/>
    </row>
    <row r="2293">
      <c r="A2293" s="247"/>
      <c r="B2293" s="258"/>
      <c r="C2293" s="247"/>
    </row>
    <row r="2294">
      <c r="A2294" s="247"/>
      <c r="B2294" s="258"/>
      <c r="C2294" s="247"/>
    </row>
    <row r="2295">
      <c r="A2295" s="247"/>
      <c r="B2295" s="258"/>
      <c r="C2295" s="247"/>
    </row>
    <row r="2296">
      <c r="A2296" s="247"/>
      <c r="B2296" s="258"/>
      <c r="C2296" s="247"/>
    </row>
    <row r="2297">
      <c r="A2297" s="247"/>
      <c r="B2297" s="258"/>
      <c r="C2297" s="247"/>
    </row>
    <row r="2298">
      <c r="A2298" s="247"/>
      <c r="B2298" s="258"/>
      <c r="C2298" s="247"/>
    </row>
    <row r="2299">
      <c r="A2299" s="247"/>
      <c r="B2299" s="258"/>
      <c r="C2299" s="247"/>
    </row>
    <row r="2300">
      <c r="A2300" s="247"/>
      <c r="B2300" s="258"/>
      <c r="C2300" s="247"/>
    </row>
    <row r="2301">
      <c r="A2301" s="247"/>
      <c r="B2301" s="258"/>
      <c r="C2301" s="247"/>
    </row>
    <row r="2302">
      <c r="A2302" s="247"/>
      <c r="B2302" s="258"/>
      <c r="C2302" s="247"/>
    </row>
    <row r="2303">
      <c r="A2303" s="247"/>
      <c r="B2303" s="258"/>
      <c r="C2303" s="247"/>
    </row>
    <row r="2304">
      <c r="A2304" s="247"/>
      <c r="B2304" s="258"/>
      <c r="C2304" s="247"/>
    </row>
    <row r="2305">
      <c r="A2305" s="247"/>
      <c r="B2305" s="258"/>
      <c r="C2305" s="247"/>
    </row>
    <row r="2306">
      <c r="A2306" s="247"/>
      <c r="B2306" s="258"/>
      <c r="C2306" s="247"/>
    </row>
    <row r="2307">
      <c r="A2307" s="247"/>
      <c r="B2307" s="258"/>
      <c r="C2307" s="247"/>
    </row>
    <row r="2308">
      <c r="A2308" s="247"/>
      <c r="B2308" s="258"/>
      <c r="C2308" s="247"/>
    </row>
    <row r="2309">
      <c r="A2309" s="247"/>
      <c r="B2309" s="258"/>
      <c r="C2309" s="247"/>
    </row>
    <row r="2310">
      <c r="A2310" s="247"/>
      <c r="B2310" s="258"/>
      <c r="C2310" s="247"/>
    </row>
    <row r="2311">
      <c r="A2311" s="247"/>
      <c r="B2311" s="258"/>
      <c r="C2311" s="247"/>
    </row>
    <row r="2312">
      <c r="A2312" s="247"/>
      <c r="B2312" s="258"/>
      <c r="C2312" s="247"/>
    </row>
    <row r="2313">
      <c r="A2313" s="247"/>
      <c r="B2313" s="258"/>
      <c r="C2313" s="247"/>
    </row>
    <row r="2314">
      <c r="A2314" s="247"/>
      <c r="B2314" s="258"/>
      <c r="C2314" s="247"/>
    </row>
    <row r="2315">
      <c r="A2315" s="247"/>
      <c r="B2315" s="258"/>
      <c r="C2315" s="247"/>
    </row>
    <row r="2316">
      <c r="A2316" s="247"/>
      <c r="B2316" s="258"/>
      <c r="C2316" s="247"/>
    </row>
    <row r="2317">
      <c r="A2317" s="247"/>
      <c r="B2317" s="258"/>
      <c r="C2317" s="247"/>
    </row>
    <row r="2318">
      <c r="A2318" s="247"/>
      <c r="B2318" s="258"/>
      <c r="C2318" s="247"/>
    </row>
    <row r="2319">
      <c r="A2319" s="247"/>
      <c r="B2319" s="258"/>
      <c r="C2319" s="247"/>
    </row>
    <row r="2320">
      <c r="A2320" s="247"/>
      <c r="B2320" s="258"/>
      <c r="C2320" s="247"/>
    </row>
    <row r="2321">
      <c r="A2321" s="247"/>
      <c r="B2321" s="258"/>
      <c r="C2321" s="247"/>
    </row>
    <row r="2322">
      <c r="A2322" s="247"/>
      <c r="B2322" s="258"/>
      <c r="C2322" s="247"/>
    </row>
    <row r="2323">
      <c r="A2323" s="247"/>
      <c r="B2323" s="258"/>
      <c r="C2323" s="247"/>
    </row>
    <row r="2324">
      <c r="A2324" s="247"/>
      <c r="B2324" s="258"/>
      <c r="C2324" s="247"/>
    </row>
    <row r="2325">
      <c r="A2325" s="247"/>
      <c r="B2325" s="258"/>
      <c r="C2325" s="247"/>
    </row>
    <row r="2326">
      <c r="A2326" s="247"/>
      <c r="B2326" s="258"/>
      <c r="C2326" s="247"/>
    </row>
    <row r="2327">
      <c r="A2327" s="247"/>
      <c r="B2327" s="258"/>
      <c r="C2327" s="247"/>
    </row>
    <row r="2328">
      <c r="A2328" s="247"/>
      <c r="B2328" s="258"/>
      <c r="C2328" s="247"/>
    </row>
    <row r="2329">
      <c r="A2329" s="247"/>
      <c r="B2329" s="258"/>
      <c r="C2329" s="247"/>
    </row>
    <row r="2330">
      <c r="A2330" s="247"/>
      <c r="B2330" s="258"/>
      <c r="C2330" s="247"/>
    </row>
    <row r="2331">
      <c r="A2331" s="247"/>
      <c r="B2331" s="258"/>
      <c r="C2331" s="247"/>
    </row>
    <row r="2332">
      <c r="A2332" s="247"/>
      <c r="B2332" s="258"/>
      <c r="C2332" s="247"/>
    </row>
    <row r="2333">
      <c r="A2333" s="247"/>
      <c r="B2333" s="258"/>
      <c r="C2333" s="247"/>
    </row>
    <row r="2334">
      <c r="A2334" s="247"/>
      <c r="B2334" s="258"/>
      <c r="C2334" s="247"/>
    </row>
    <row r="2335">
      <c r="A2335" s="247"/>
      <c r="B2335" s="258"/>
      <c r="C2335" s="247"/>
    </row>
    <row r="2336">
      <c r="A2336" s="247"/>
      <c r="B2336" s="258"/>
      <c r="C2336" s="247"/>
    </row>
    <row r="2337">
      <c r="A2337" s="247"/>
      <c r="B2337" s="258"/>
      <c r="C2337" s="247"/>
    </row>
    <row r="2338">
      <c r="A2338" s="247"/>
      <c r="B2338" s="258"/>
      <c r="C2338" s="247"/>
    </row>
    <row r="2339">
      <c r="A2339" s="247"/>
      <c r="B2339" s="258"/>
      <c r="C2339" s="247"/>
    </row>
    <row r="2340">
      <c r="A2340" s="247"/>
      <c r="B2340" s="258"/>
      <c r="C2340" s="247"/>
    </row>
    <row r="2341">
      <c r="A2341" s="247"/>
      <c r="B2341" s="258"/>
      <c r="C2341" s="247"/>
    </row>
    <row r="2342">
      <c r="A2342" s="247"/>
      <c r="B2342" s="258"/>
      <c r="C2342" s="247"/>
    </row>
    <row r="2343">
      <c r="A2343" s="247"/>
      <c r="B2343" s="258"/>
      <c r="C2343" s="247"/>
    </row>
    <row r="2344">
      <c r="A2344" s="247"/>
      <c r="B2344" s="258"/>
      <c r="C2344" s="247"/>
    </row>
    <row r="2345">
      <c r="A2345" s="247"/>
      <c r="B2345" s="258"/>
      <c r="C2345" s="247"/>
    </row>
    <row r="2346">
      <c r="A2346" s="247"/>
      <c r="B2346" s="258"/>
      <c r="C2346" s="247"/>
    </row>
    <row r="2347">
      <c r="A2347" s="247"/>
      <c r="B2347" s="258"/>
      <c r="C2347" s="247"/>
    </row>
    <row r="2348">
      <c r="A2348" s="247"/>
      <c r="B2348" s="258"/>
      <c r="C2348" s="247"/>
    </row>
    <row r="2349">
      <c r="A2349" s="247"/>
      <c r="B2349" s="258"/>
      <c r="C2349" s="247"/>
    </row>
    <row r="2350">
      <c r="A2350" s="247"/>
      <c r="B2350" s="258"/>
      <c r="C2350" s="247"/>
    </row>
    <row r="2351">
      <c r="A2351" s="247"/>
      <c r="B2351" s="258"/>
      <c r="C2351" s="247"/>
    </row>
    <row r="2352">
      <c r="A2352" s="247"/>
      <c r="B2352" s="258"/>
      <c r="C2352" s="247"/>
    </row>
    <row r="2353">
      <c r="A2353" s="247"/>
      <c r="B2353" s="258"/>
      <c r="C2353" s="247"/>
    </row>
    <row r="2354">
      <c r="A2354" s="247"/>
      <c r="B2354" s="258"/>
      <c r="C2354" s="247"/>
    </row>
    <row r="2355">
      <c r="A2355" s="247"/>
      <c r="B2355" s="258"/>
      <c r="C2355" s="247"/>
    </row>
    <row r="2356">
      <c r="A2356" s="247"/>
      <c r="B2356" s="258"/>
      <c r="C2356" s="247"/>
    </row>
    <row r="2357">
      <c r="A2357" s="247"/>
      <c r="B2357" s="258"/>
      <c r="C2357" s="247"/>
    </row>
    <row r="2358">
      <c r="A2358" s="247"/>
      <c r="B2358" s="258"/>
      <c r="C2358" s="247"/>
    </row>
    <row r="2359">
      <c r="A2359" s="247"/>
      <c r="B2359" s="258"/>
      <c r="C2359" s="247"/>
    </row>
    <row r="2360">
      <c r="A2360" s="247"/>
      <c r="B2360" s="258"/>
      <c r="C2360" s="247"/>
    </row>
    <row r="2361">
      <c r="A2361" s="247"/>
      <c r="B2361" s="258"/>
      <c r="C2361" s="247"/>
    </row>
    <row r="2362">
      <c r="A2362" s="247"/>
      <c r="B2362" s="258"/>
      <c r="C2362" s="247"/>
    </row>
    <row r="2363">
      <c r="A2363" s="247"/>
      <c r="B2363" s="258"/>
      <c r="C2363" s="247"/>
    </row>
    <row r="2364">
      <c r="A2364" s="247"/>
      <c r="B2364" s="258"/>
      <c r="C2364" s="247"/>
    </row>
    <row r="2365">
      <c r="A2365" s="247"/>
      <c r="B2365" s="258"/>
      <c r="C2365" s="247"/>
    </row>
    <row r="2366">
      <c r="A2366" s="247"/>
      <c r="B2366" s="258"/>
      <c r="C2366" s="247"/>
    </row>
    <row r="2367">
      <c r="A2367" s="247"/>
      <c r="B2367" s="258"/>
      <c r="C2367" s="247"/>
    </row>
    <row r="2368">
      <c r="A2368" s="247"/>
      <c r="B2368" s="258"/>
      <c r="C2368" s="247"/>
    </row>
    <row r="2369">
      <c r="A2369" s="247"/>
      <c r="B2369" s="258"/>
      <c r="C2369" s="247"/>
    </row>
    <row r="2370">
      <c r="A2370" s="247"/>
      <c r="B2370" s="258"/>
      <c r="C2370" s="247"/>
    </row>
    <row r="2371">
      <c r="A2371" s="247"/>
      <c r="B2371" s="258"/>
      <c r="C2371" s="247"/>
    </row>
    <row r="2372">
      <c r="A2372" s="247"/>
      <c r="B2372" s="258"/>
      <c r="C2372" s="247"/>
    </row>
    <row r="2373">
      <c r="A2373" s="247"/>
      <c r="B2373" s="258"/>
      <c r="C2373" s="247"/>
    </row>
    <row r="2374">
      <c r="A2374" s="247"/>
      <c r="B2374" s="258"/>
      <c r="C2374" s="247"/>
    </row>
    <row r="2375">
      <c r="A2375" s="247"/>
      <c r="B2375" s="258"/>
      <c r="C2375" s="247"/>
    </row>
    <row r="2376">
      <c r="A2376" s="247"/>
      <c r="B2376" s="258"/>
      <c r="C2376" s="247"/>
    </row>
    <row r="2377">
      <c r="A2377" s="247"/>
      <c r="B2377" s="258"/>
      <c r="C2377" s="247"/>
    </row>
    <row r="2378">
      <c r="A2378" s="247"/>
      <c r="B2378" s="258"/>
      <c r="C2378" s="247"/>
    </row>
    <row r="2379">
      <c r="A2379" s="247"/>
      <c r="B2379" s="258"/>
      <c r="C2379" s="247"/>
    </row>
    <row r="2380">
      <c r="A2380" s="247"/>
      <c r="B2380" s="258"/>
      <c r="C2380" s="247"/>
    </row>
    <row r="2381">
      <c r="A2381" s="247"/>
      <c r="B2381" s="258"/>
      <c r="C2381" s="247"/>
    </row>
    <row r="2382">
      <c r="A2382" s="247"/>
      <c r="B2382" s="258"/>
      <c r="C2382" s="247"/>
    </row>
    <row r="2383">
      <c r="A2383" s="247"/>
      <c r="B2383" s="258"/>
      <c r="C2383" s="247"/>
    </row>
    <row r="2384">
      <c r="A2384" s="247"/>
      <c r="B2384" s="258"/>
      <c r="C2384" s="247"/>
    </row>
    <row r="2385">
      <c r="A2385" s="247"/>
      <c r="B2385" s="258"/>
      <c r="C2385" s="247"/>
    </row>
    <row r="2386">
      <c r="A2386" s="247"/>
      <c r="B2386" s="258"/>
      <c r="C2386" s="247"/>
    </row>
    <row r="2387">
      <c r="A2387" s="247"/>
      <c r="B2387" s="258"/>
      <c r="C2387" s="247"/>
    </row>
    <row r="2388">
      <c r="A2388" s="247"/>
      <c r="B2388" s="258"/>
      <c r="C2388" s="247"/>
    </row>
    <row r="2389">
      <c r="A2389" s="247"/>
      <c r="B2389" s="258"/>
      <c r="C2389" s="247"/>
    </row>
    <row r="2390">
      <c r="A2390" s="247"/>
      <c r="B2390" s="258"/>
      <c r="C2390" s="247"/>
    </row>
    <row r="2391">
      <c r="A2391" s="247"/>
      <c r="B2391" s="258"/>
      <c r="C2391" s="247"/>
    </row>
    <row r="2392">
      <c r="A2392" s="247"/>
      <c r="B2392" s="258"/>
      <c r="C2392" s="247"/>
    </row>
    <row r="2393">
      <c r="A2393" s="247"/>
      <c r="B2393" s="258"/>
      <c r="C2393" s="247"/>
    </row>
    <row r="2394">
      <c r="A2394" s="247"/>
      <c r="B2394" s="258"/>
      <c r="C2394" s="247"/>
    </row>
    <row r="2395">
      <c r="A2395" s="247"/>
      <c r="B2395" s="258"/>
      <c r="C2395" s="247"/>
    </row>
    <row r="2396">
      <c r="A2396" s="247"/>
      <c r="B2396" s="258"/>
      <c r="C2396" s="247"/>
    </row>
    <row r="2397">
      <c r="A2397" s="247"/>
      <c r="B2397" s="258"/>
      <c r="C2397" s="247"/>
    </row>
    <row r="2398">
      <c r="A2398" s="247"/>
      <c r="B2398" s="258"/>
      <c r="C2398" s="247"/>
    </row>
    <row r="2399">
      <c r="A2399" s="247"/>
      <c r="B2399" s="258"/>
      <c r="C2399" s="247"/>
    </row>
    <row r="2400">
      <c r="A2400" s="247"/>
      <c r="B2400" s="258"/>
      <c r="C2400" s="247"/>
    </row>
    <row r="2401">
      <c r="A2401" s="247"/>
      <c r="B2401" s="258"/>
      <c r="C2401" s="247"/>
    </row>
    <row r="2402">
      <c r="A2402" s="247"/>
      <c r="B2402" s="258"/>
      <c r="C2402" s="247"/>
    </row>
    <row r="2403">
      <c r="A2403" s="247"/>
      <c r="B2403" s="258"/>
      <c r="C2403" s="247"/>
    </row>
    <row r="2404">
      <c r="A2404" s="247"/>
      <c r="B2404" s="258"/>
      <c r="C2404" s="247"/>
    </row>
    <row r="2405">
      <c r="A2405" s="247"/>
      <c r="B2405" s="258"/>
      <c r="C2405" s="247"/>
    </row>
    <row r="2406">
      <c r="A2406" s="247"/>
      <c r="B2406" s="258"/>
      <c r="C2406" s="247"/>
    </row>
    <row r="2407">
      <c r="A2407" s="247"/>
      <c r="B2407" s="258"/>
      <c r="C2407" s="247"/>
    </row>
    <row r="2408">
      <c r="A2408" s="247"/>
      <c r="B2408" s="258"/>
      <c r="C2408" s="247"/>
    </row>
    <row r="2409">
      <c r="A2409" s="247"/>
      <c r="B2409" s="258"/>
      <c r="C2409" s="247"/>
    </row>
    <row r="2410">
      <c r="A2410" s="247"/>
      <c r="B2410" s="258"/>
      <c r="C2410" s="247"/>
    </row>
    <row r="2411">
      <c r="A2411" s="247"/>
      <c r="B2411" s="258"/>
      <c r="C2411" s="247"/>
    </row>
    <row r="2412">
      <c r="A2412" s="247"/>
      <c r="B2412" s="258"/>
      <c r="C2412" s="247"/>
    </row>
    <row r="2413">
      <c r="A2413" s="247"/>
      <c r="B2413" s="258"/>
      <c r="C2413" s="247"/>
    </row>
    <row r="2414">
      <c r="A2414" s="247"/>
      <c r="B2414" s="258"/>
      <c r="C2414" s="247"/>
    </row>
    <row r="2415">
      <c r="A2415" s="247"/>
      <c r="B2415" s="258"/>
      <c r="C2415" s="247"/>
    </row>
    <row r="2416">
      <c r="A2416" s="247"/>
      <c r="B2416" s="258"/>
      <c r="C2416" s="247"/>
    </row>
    <row r="2417">
      <c r="A2417" s="247"/>
      <c r="B2417" s="258"/>
      <c r="C2417" s="247"/>
    </row>
    <row r="2418">
      <c r="A2418" s="247"/>
      <c r="B2418" s="258"/>
      <c r="C2418" s="247"/>
    </row>
    <row r="2419">
      <c r="A2419" s="247"/>
      <c r="B2419" s="258"/>
      <c r="C2419" s="247"/>
    </row>
    <row r="2420">
      <c r="A2420" s="247"/>
      <c r="B2420" s="258"/>
      <c r="C2420" s="247"/>
    </row>
    <row r="2421">
      <c r="A2421" s="247"/>
      <c r="B2421" s="258"/>
      <c r="C2421" s="247"/>
    </row>
    <row r="2422">
      <c r="A2422" s="247"/>
      <c r="B2422" s="258"/>
      <c r="C2422" s="247"/>
    </row>
    <row r="2423">
      <c r="A2423" s="247"/>
      <c r="B2423" s="258"/>
      <c r="C2423" s="247"/>
    </row>
    <row r="2424">
      <c r="A2424" s="247"/>
      <c r="B2424" s="258"/>
      <c r="C2424" s="247"/>
    </row>
    <row r="2425">
      <c r="A2425" s="247"/>
      <c r="B2425" s="258"/>
      <c r="C2425" s="247"/>
    </row>
    <row r="2426">
      <c r="A2426" s="247"/>
      <c r="B2426" s="258"/>
      <c r="C2426" s="247"/>
    </row>
    <row r="2427">
      <c r="A2427" s="247"/>
      <c r="B2427" s="258"/>
      <c r="C2427" s="247"/>
    </row>
    <row r="2428">
      <c r="A2428" s="247"/>
      <c r="B2428" s="258"/>
      <c r="C2428" s="247"/>
    </row>
    <row r="2429">
      <c r="A2429" s="247"/>
      <c r="B2429" s="258"/>
      <c r="C2429" s="247"/>
    </row>
    <row r="2430">
      <c r="A2430" s="247"/>
      <c r="B2430" s="258"/>
      <c r="C2430" s="247"/>
    </row>
    <row r="2431">
      <c r="A2431" s="247"/>
      <c r="B2431" s="258"/>
      <c r="C2431" s="247"/>
    </row>
    <row r="2432">
      <c r="A2432" s="247"/>
      <c r="B2432" s="258"/>
      <c r="C2432" s="247"/>
    </row>
    <row r="2433">
      <c r="A2433" s="247"/>
      <c r="B2433" s="258"/>
      <c r="C2433" s="247"/>
    </row>
    <row r="2434">
      <c r="A2434" s="247"/>
      <c r="B2434" s="258"/>
      <c r="C2434" s="247"/>
    </row>
    <row r="2435">
      <c r="A2435" s="247"/>
      <c r="B2435" s="258"/>
      <c r="C2435" s="247"/>
    </row>
    <row r="2436">
      <c r="A2436" s="247"/>
      <c r="B2436" s="258"/>
      <c r="C2436" s="247"/>
    </row>
    <row r="2437">
      <c r="A2437" s="247"/>
      <c r="B2437" s="258"/>
      <c r="C2437" s="247"/>
    </row>
    <row r="2438">
      <c r="A2438" s="247"/>
      <c r="B2438" s="258"/>
      <c r="C2438" s="247"/>
    </row>
    <row r="2439">
      <c r="A2439" s="247"/>
      <c r="B2439" s="258"/>
      <c r="C2439" s="247"/>
    </row>
    <row r="2440">
      <c r="A2440" s="247"/>
      <c r="B2440" s="258"/>
      <c r="C2440" s="247"/>
    </row>
    <row r="2441">
      <c r="A2441" s="247"/>
      <c r="B2441" s="258"/>
      <c r="C2441" s="247"/>
    </row>
    <row r="2442">
      <c r="A2442" s="247"/>
      <c r="B2442" s="258"/>
      <c r="C2442" s="247"/>
    </row>
    <row r="2443">
      <c r="A2443" s="247"/>
      <c r="B2443" s="258"/>
      <c r="C2443" s="247"/>
    </row>
    <row r="2444">
      <c r="A2444" s="247"/>
      <c r="B2444" s="258"/>
      <c r="C2444" s="247"/>
    </row>
    <row r="2445">
      <c r="A2445" s="247"/>
      <c r="B2445" s="258"/>
      <c r="C2445" s="247"/>
    </row>
    <row r="2446">
      <c r="A2446" s="247"/>
      <c r="B2446" s="258"/>
      <c r="C2446" s="247"/>
    </row>
    <row r="2447">
      <c r="A2447" s="247"/>
      <c r="B2447" s="258"/>
      <c r="C2447" s="247"/>
    </row>
    <row r="2448">
      <c r="A2448" s="247"/>
      <c r="B2448" s="258"/>
      <c r="C2448" s="247"/>
    </row>
    <row r="2449">
      <c r="A2449" s="247"/>
      <c r="B2449" s="258"/>
      <c r="C2449" s="247"/>
    </row>
    <row r="2450">
      <c r="A2450" s="247"/>
      <c r="B2450" s="258"/>
      <c r="C2450" s="247"/>
    </row>
    <row r="2451">
      <c r="A2451" s="247"/>
      <c r="B2451" s="258"/>
      <c r="C2451" s="247"/>
    </row>
    <row r="2452">
      <c r="A2452" s="247"/>
      <c r="B2452" s="258"/>
      <c r="C2452" s="247"/>
    </row>
    <row r="2453">
      <c r="A2453" s="247"/>
      <c r="B2453" s="258"/>
      <c r="C2453" s="247"/>
    </row>
    <row r="2454">
      <c r="A2454" s="247"/>
      <c r="B2454" s="258"/>
      <c r="C2454" s="247"/>
    </row>
    <row r="2455">
      <c r="A2455" s="247"/>
      <c r="B2455" s="258"/>
      <c r="C2455" s="247"/>
    </row>
    <row r="2456">
      <c r="A2456" s="247"/>
      <c r="B2456" s="258"/>
      <c r="C2456" s="247"/>
    </row>
    <row r="2457">
      <c r="A2457" s="247"/>
      <c r="B2457" s="258"/>
      <c r="C2457" s="247"/>
    </row>
    <row r="2458">
      <c r="A2458" s="247"/>
      <c r="B2458" s="258"/>
      <c r="C2458" s="247"/>
    </row>
    <row r="2459">
      <c r="A2459" s="247"/>
      <c r="B2459" s="258"/>
      <c r="C2459" s="247"/>
    </row>
    <row r="2460">
      <c r="A2460" s="247"/>
      <c r="B2460" s="258"/>
      <c r="C2460" s="247"/>
    </row>
    <row r="2461">
      <c r="A2461" s="247"/>
      <c r="B2461" s="258"/>
      <c r="C2461" s="247"/>
    </row>
    <row r="2462">
      <c r="A2462" s="247"/>
      <c r="B2462" s="258"/>
      <c r="C2462" s="247"/>
    </row>
    <row r="2463">
      <c r="A2463" s="247"/>
      <c r="B2463" s="258"/>
      <c r="C2463" s="247"/>
    </row>
    <row r="2464">
      <c r="A2464" s="247"/>
      <c r="B2464" s="258"/>
      <c r="C2464" s="247"/>
    </row>
    <row r="2465">
      <c r="A2465" s="247"/>
      <c r="B2465" s="258"/>
      <c r="C2465" s="247"/>
    </row>
    <row r="2466">
      <c r="A2466" s="247"/>
      <c r="B2466" s="258"/>
      <c r="C2466" s="247"/>
    </row>
    <row r="2467">
      <c r="A2467" s="247"/>
      <c r="B2467" s="258"/>
      <c r="C2467" s="247"/>
    </row>
    <row r="2468">
      <c r="A2468" s="247"/>
      <c r="B2468" s="258"/>
      <c r="C2468" s="247"/>
    </row>
    <row r="2469">
      <c r="A2469" s="247"/>
      <c r="B2469" s="258"/>
      <c r="C2469" s="247"/>
    </row>
    <row r="2470">
      <c r="A2470" s="247"/>
      <c r="B2470" s="258"/>
      <c r="C2470" s="247"/>
    </row>
    <row r="2471">
      <c r="A2471" s="247"/>
      <c r="B2471" s="258"/>
      <c r="C2471" s="247"/>
    </row>
    <row r="2472">
      <c r="A2472" s="247"/>
      <c r="B2472" s="258"/>
      <c r="C2472" s="247"/>
    </row>
    <row r="2473">
      <c r="A2473" s="247"/>
      <c r="B2473" s="258"/>
      <c r="C2473" s="247"/>
    </row>
    <row r="2474">
      <c r="A2474" s="247"/>
      <c r="B2474" s="258"/>
      <c r="C2474" s="247"/>
    </row>
    <row r="2475">
      <c r="A2475" s="247"/>
      <c r="B2475" s="258"/>
      <c r="C2475" s="247"/>
    </row>
    <row r="2476">
      <c r="A2476" s="247"/>
      <c r="B2476" s="258"/>
      <c r="C2476" s="247"/>
    </row>
    <row r="2477">
      <c r="A2477" s="247"/>
      <c r="B2477" s="258"/>
      <c r="C2477" s="247"/>
    </row>
    <row r="2478">
      <c r="A2478" s="247"/>
      <c r="B2478" s="258"/>
      <c r="C2478" s="247"/>
    </row>
    <row r="2479">
      <c r="A2479" s="247"/>
      <c r="B2479" s="258"/>
      <c r="C2479" s="247"/>
    </row>
    <row r="2480">
      <c r="A2480" s="247"/>
      <c r="B2480" s="258"/>
      <c r="C2480" s="247"/>
    </row>
    <row r="2481">
      <c r="A2481" s="247"/>
      <c r="B2481" s="258"/>
      <c r="C2481" s="247"/>
    </row>
    <row r="2482">
      <c r="A2482" s="247"/>
      <c r="B2482" s="258"/>
      <c r="C2482" s="247"/>
    </row>
    <row r="2483">
      <c r="A2483" s="247"/>
      <c r="B2483" s="258"/>
      <c r="C2483" s="247"/>
    </row>
    <row r="2484">
      <c r="A2484" s="247"/>
      <c r="B2484" s="258"/>
      <c r="C2484" s="247"/>
    </row>
    <row r="2485">
      <c r="A2485" s="247"/>
      <c r="B2485" s="258"/>
      <c r="C2485" s="247"/>
    </row>
    <row r="2486">
      <c r="A2486" s="247"/>
      <c r="B2486" s="258"/>
      <c r="C2486" s="247"/>
    </row>
    <row r="2487">
      <c r="A2487" s="247"/>
      <c r="B2487" s="258"/>
      <c r="C2487" s="247"/>
    </row>
    <row r="2488">
      <c r="A2488" s="247"/>
      <c r="B2488" s="258"/>
      <c r="C2488" s="247"/>
    </row>
    <row r="2489">
      <c r="A2489" s="247"/>
      <c r="B2489" s="258"/>
      <c r="C2489" s="247"/>
    </row>
    <row r="2490">
      <c r="A2490" s="247"/>
      <c r="B2490" s="258"/>
      <c r="C2490" s="247"/>
    </row>
    <row r="2491">
      <c r="A2491" s="247"/>
      <c r="B2491" s="258"/>
      <c r="C2491" s="247"/>
    </row>
    <row r="2492">
      <c r="A2492" s="247"/>
      <c r="B2492" s="258"/>
      <c r="C2492" s="247"/>
    </row>
    <row r="2493">
      <c r="A2493" s="247"/>
      <c r="B2493" s="258"/>
      <c r="C2493" s="247"/>
    </row>
    <row r="2494">
      <c r="A2494" s="247"/>
      <c r="B2494" s="258"/>
      <c r="C2494" s="247"/>
    </row>
    <row r="2495">
      <c r="A2495" s="247"/>
      <c r="B2495" s="258"/>
      <c r="C2495" s="247"/>
    </row>
    <row r="2496">
      <c r="A2496" s="247"/>
      <c r="B2496" s="258"/>
      <c r="C2496" s="247"/>
    </row>
    <row r="2497">
      <c r="A2497" s="247"/>
      <c r="B2497" s="258"/>
      <c r="C2497" s="247"/>
    </row>
    <row r="2498">
      <c r="A2498" s="247"/>
      <c r="B2498" s="258"/>
      <c r="C2498" s="247"/>
    </row>
    <row r="2499">
      <c r="A2499" s="247"/>
      <c r="B2499" s="258"/>
      <c r="C2499" s="247"/>
    </row>
    <row r="2500">
      <c r="A2500" s="247"/>
      <c r="B2500" s="258"/>
      <c r="C2500" s="247"/>
    </row>
    <row r="2501">
      <c r="A2501" s="247"/>
      <c r="B2501" s="258"/>
      <c r="C2501" s="247"/>
    </row>
    <row r="2502">
      <c r="A2502" s="247"/>
      <c r="B2502" s="258"/>
      <c r="C2502" s="247"/>
    </row>
    <row r="2503">
      <c r="A2503" s="247"/>
      <c r="B2503" s="258"/>
      <c r="C2503" s="247"/>
    </row>
    <row r="2504">
      <c r="A2504" s="247"/>
      <c r="B2504" s="258"/>
      <c r="C2504" s="247"/>
    </row>
    <row r="2505">
      <c r="A2505" s="247"/>
      <c r="B2505" s="258"/>
      <c r="C2505" s="247"/>
    </row>
    <row r="2506">
      <c r="A2506" s="247"/>
      <c r="B2506" s="258"/>
      <c r="C2506" s="247"/>
    </row>
    <row r="2507">
      <c r="A2507" s="247"/>
      <c r="B2507" s="258"/>
      <c r="C2507" s="247"/>
    </row>
    <row r="2508">
      <c r="A2508" s="247"/>
      <c r="B2508" s="258"/>
      <c r="C2508" s="247"/>
    </row>
    <row r="2509">
      <c r="A2509" s="247"/>
      <c r="B2509" s="258"/>
      <c r="C2509" s="247"/>
    </row>
    <row r="2510">
      <c r="A2510" s="247"/>
      <c r="B2510" s="258"/>
      <c r="C2510" s="247"/>
    </row>
    <row r="2511">
      <c r="A2511" s="247"/>
      <c r="B2511" s="258"/>
      <c r="C2511" s="247"/>
    </row>
    <row r="2512">
      <c r="A2512" s="247"/>
      <c r="B2512" s="258"/>
      <c r="C2512" s="247"/>
    </row>
    <row r="2513">
      <c r="A2513" s="247"/>
      <c r="B2513" s="258"/>
      <c r="C2513" s="247"/>
    </row>
    <row r="2514">
      <c r="A2514" s="247"/>
      <c r="B2514" s="258"/>
      <c r="C2514" s="247"/>
    </row>
    <row r="2515">
      <c r="A2515" s="247"/>
      <c r="B2515" s="258"/>
      <c r="C2515" s="247"/>
    </row>
    <row r="2516">
      <c r="A2516" s="247"/>
      <c r="B2516" s="258"/>
      <c r="C2516" s="247"/>
    </row>
    <row r="2517">
      <c r="A2517" s="247"/>
      <c r="B2517" s="258"/>
      <c r="C2517" s="247"/>
    </row>
    <row r="2518">
      <c r="A2518" s="247"/>
      <c r="B2518" s="258"/>
      <c r="C2518" s="247"/>
    </row>
    <row r="2519">
      <c r="A2519" s="247"/>
      <c r="B2519" s="258"/>
      <c r="C2519" s="247"/>
    </row>
    <row r="2520">
      <c r="A2520" s="247"/>
      <c r="B2520" s="258"/>
      <c r="C2520" s="247"/>
    </row>
    <row r="2521">
      <c r="A2521" s="247"/>
      <c r="B2521" s="258"/>
      <c r="C2521" s="247"/>
    </row>
    <row r="2522">
      <c r="A2522" s="247"/>
      <c r="B2522" s="258"/>
      <c r="C2522" s="247"/>
    </row>
    <row r="2523">
      <c r="A2523" s="247"/>
      <c r="B2523" s="258"/>
      <c r="C2523" s="247"/>
    </row>
    <row r="2524">
      <c r="A2524" s="247"/>
      <c r="B2524" s="258"/>
      <c r="C2524" s="247"/>
    </row>
    <row r="2525">
      <c r="A2525" s="247"/>
      <c r="B2525" s="258"/>
      <c r="C2525" s="247"/>
    </row>
    <row r="2526">
      <c r="A2526" s="247"/>
      <c r="B2526" s="258"/>
      <c r="C2526" s="247"/>
    </row>
    <row r="2527">
      <c r="A2527" s="247"/>
      <c r="B2527" s="258"/>
      <c r="C2527" s="247"/>
    </row>
    <row r="2528">
      <c r="A2528" s="247"/>
      <c r="B2528" s="258"/>
      <c r="C2528" s="247"/>
    </row>
    <row r="2529">
      <c r="A2529" s="247"/>
      <c r="B2529" s="258"/>
      <c r="C2529" s="247"/>
    </row>
    <row r="2530">
      <c r="A2530" s="247"/>
      <c r="B2530" s="258"/>
      <c r="C2530" s="247"/>
    </row>
    <row r="2531">
      <c r="A2531" s="247"/>
      <c r="B2531" s="258"/>
      <c r="C2531" s="247"/>
    </row>
    <row r="2532">
      <c r="A2532" s="247"/>
      <c r="B2532" s="258"/>
      <c r="C2532" s="247"/>
    </row>
    <row r="2533">
      <c r="A2533" s="247"/>
      <c r="B2533" s="258"/>
      <c r="C2533" s="247"/>
    </row>
    <row r="2534">
      <c r="A2534" s="247"/>
      <c r="B2534" s="258"/>
      <c r="C2534" s="247"/>
    </row>
    <row r="2535">
      <c r="A2535" s="247"/>
      <c r="B2535" s="258"/>
      <c r="C2535" s="247"/>
    </row>
    <row r="2536">
      <c r="A2536" s="247"/>
      <c r="B2536" s="258"/>
      <c r="C2536" s="247"/>
    </row>
    <row r="2537">
      <c r="A2537" s="247"/>
      <c r="B2537" s="258"/>
      <c r="C2537" s="247"/>
    </row>
    <row r="2538">
      <c r="A2538" s="247"/>
      <c r="B2538" s="258"/>
      <c r="C2538" s="247"/>
    </row>
    <row r="2539">
      <c r="A2539" s="247"/>
      <c r="B2539" s="258"/>
      <c r="C2539" s="247"/>
    </row>
    <row r="2540">
      <c r="A2540" s="247"/>
      <c r="B2540" s="258"/>
      <c r="C2540" s="247"/>
    </row>
    <row r="2541">
      <c r="A2541" s="247"/>
      <c r="B2541" s="258"/>
      <c r="C2541" s="247"/>
    </row>
    <row r="2542">
      <c r="A2542" s="247"/>
      <c r="B2542" s="258"/>
      <c r="C2542" s="247"/>
    </row>
    <row r="2543">
      <c r="A2543" s="247"/>
      <c r="B2543" s="258"/>
      <c r="C2543" s="247"/>
    </row>
    <row r="2544">
      <c r="A2544" s="247"/>
      <c r="B2544" s="258"/>
      <c r="C2544" s="247"/>
    </row>
    <row r="2545">
      <c r="A2545" s="247"/>
      <c r="B2545" s="258"/>
      <c r="C2545" s="247"/>
    </row>
    <row r="2546">
      <c r="A2546" s="247"/>
      <c r="B2546" s="258"/>
      <c r="C2546" s="247"/>
    </row>
    <row r="2547">
      <c r="A2547" s="247"/>
      <c r="B2547" s="258"/>
      <c r="C2547" s="247"/>
    </row>
    <row r="2548">
      <c r="A2548" s="247"/>
      <c r="B2548" s="258"/>
      <c r="C2548" s="247"/>
    </row>
    <row r="2549">
      <c r="A2549" s="247"/>
      <c r="B2549" s="258"/>
      <c r="C2549" s="247"/>
    </row>
    <row r="2550">
      <c r="A2550" s="247"/>
      <c r="B2550" s="258"/>
      <c r="C2550" s="247"/>
    </row>
    <row r="2551">
      <c r="A2551" s="247"/>
      <c r="B2551" s="258"/>
      <c r="C2551" s="247"/>
    </row>
    <row r="2552">
      <c r="A2552" s="247"/>
      <c r="B2552" s="258"/>
      <c r="C2552" s="247"/>
    </row>
    <row r="2553">
      <c r="A2553" s="247"/>
      <c r="B2553" s="258"/>
      <c r="C2553" s="247"/>
    </row>
    <row r="2554">
      <c r="A2554" s="247"/>
      <c r="B2554" s="258"/>
      <c r="C2554" s="247"/>
    </row>
    <row r="2555">
      <c r="A2555" s="247"/>
      <c r="B2555" s="258"/>
      <c r="C2555" s="247"/>
    </row>
    <row r="2556">
      <c r="A2556" s="247"/>
      <c r="B2556" s="258"/>
      <c r="C2556" s="247"/>
    </row>
    <row r="2557">
      <c r="A2557" s="247"/>
      <c r="B2557" s="258"/>
      <c r="C2557" s="247"/>
    </row>
    <row r="2558">
      <c r="A2558" s="247"/>
      <c r="B2558" s="258"/>
      <c r="C2558" s="247"/>
    </row>
    <row r="2559">
      <c r="A2559" s="247"/>
      <c r="B2559" s="258"/>
      <c r="C2559" s="247"/>
    </row>
    <row r="2560">
      <c r="A2560" s="247"/>
      <c r="B2560" s="258"/>
      <c r="C2560" s="247"/>
    </row>
    <row r="2561">
      <c r="A2561" s="247"/>
      <c r="B2561" s="258"/>
      <c r="C2561" s="247"/>
    </row>
    <row r="2562">
      <c r="A2562" s="247"/>
      <c r="B2562" s="258"/>
      <c r="C2562" s="247"/>
    </row>
    <row r="2563">
      <c r="A2563" s="247"/>
      <c r="B2563" s="258"/>
      <c r="C2563" s="247"/>
    </row>
    <row r="2564">
      <c r="A2564" s="247"/>
      <c r="B2564" s="258"/>
      <c r="C2564" s="247"/>
    </row>
    <row r="2565">
      <c r="A2565" s="247"/>
      <c r="B2565" s="258"/>
      <c r="C2565" s="247"/>
    </row>
    <row r="2566">
      <c r="A2566" s="247"/>
      <c r="B2566" s="258"/>
      <c r="C2566" s="247"/>
    </row>
    <row r="2567">
      <c r="A2567" s="247"/>
      <c r="B2567" s="258"/>
      <c r="C2567" s="247"/>
    </row>
    <row r="2568">
      <c r="A2568" s="247"/>
      <c r="B2568" s="258"/>
      <c r="C2568" s="247"/>
    </row>
    <row r="2569">
      <c r="A2569" s="247"/>
      <c r="B2569" s="258"/>
      <c r="C2569" s="247"/>
    </row>
    <row r="2570">
      <c r="A2570" s="247"/>
      <c r="B2570" s="258"/>
      <c r="C2570" s="247"/>
    </row>
    <row r="2571">
      <c r="A2571" s="247"/>
      <c r="B2571" s="258"/>
      <c r="C2571" s="247"/>
    </row>
    <row r="2572">
      <c r="A2572" s="247"/>
      <c r="B2572" s="258"/>
      <c r="C2572" s="247"/>
    </row>
    <row r="2573">
      <c r="A2573" s="247"/>
      <c r="B2573" s="258"/>
      <c r="C2573" s="247"/>
    </row>
    <row r="2574">
      <c r="A2574" s="247"/>
      <c r="B2574" s="258"/>
      <c r="C2574" s="247"/>
    </row>
    <row r="2575">
      <c r="A2575" s="247"/>
      <c r="B2575" s="258"/>
      <c r="C2575" s="247"/>
    </row>
    <row r="2576">
      <c r="A2576" s="247"/>
      <c r="B2576" s="258"/>
      <c r="C2576" s="247"/>
    </row>
    <row r="2577">
      <c r="A2577" s="247"/>
      <c r="B2577" s="258"/>
      <c r="C2577" s="247"/>
    </row>
    <row r="2578">
      <c r="A2578" s="247"/>
      <c r="B2578" s="258"/>
      <c r="C2578" s="247"/>
    </row>
    <row r="2579">
      <c r="A2579" s="247"/>
      <c r="B2579" s="258"/>
      <c r="C2579" s="247"/>
    </row>
    <row r="2580">
      <c r="A2580" s="247"/>
      <c r="B2580" s="258"/>
      <c r="C2580" s="247"/>
    </row>
    <row r="2581">
      <c r="A2581" s="247"/>
      <c r="B2581" s="258"/>
      <c r="C2581" s="247"/>
    </row>
    <row r="2582">
      <c r="A2582" s="247"/>
      <c r="B2582" s="258"/>
      <c r="C2582" s="247"/>
    </row>
    <row r="2583">
      <c r="A2583" s="247"/>
      <c r="B2583" s="258"/>
      <c r="C2583" s="247"/>
    </row>
    <row r="2584">
      <c r="A2584" s="247"/>
      <c r="B2584" s="258"/>
      <c r="C2584" s="247"/>
    </row>
    <row r="2585">
      <c r="A2585" s="247"/>
      <c r="B2585" s="258"/>
      <c r="C2585" s="247"/>
    </row>
    <row r="2586">
      <c r="A2586" s="247"/>
      <c r="B2586" s="258"/>
      <c r="C2586" s="247"/>
    </row>
    <row r="2587">
      <c r="A2587" s="247"/>
      <c r="B2587" s="258"/>
      <c r="C2587" s="247"/>
    </row>
    <row r="2588">
      <c r="A2588" s="247"/>
      <c r="B2588" s="258"/>
      <c r="C2588" s="247"/>
    </row>
    <row r="2589">
      <c r="A2589" s="247"/>
      <c r="B2589" s="258"/>
      <c r="C2589" s="247"/>
    </row>
    <row r="2590">
      <c r="A2590" s="247"/>
      <c r="B2590" s="258"/>
      <c r="C2590" s="247"/>
    </row>
    <row r="2591">
      <c r="A2591" s="247"/>
      <c r="B2591" s="258"/>
      <c r="C2591" s="247"/>
    </row>
    <row r="2592">
      <c r="A2592" s="247"/>
      <c r="B2592" s="258"/>
      <c r="C2592" s="247"/>
    </row>
    <row r="2593">
      <c r="A2593" s="247"/>
      <c r="B2593" s="258"/>
      <c r="C2593" s="247"/>
    </row>
    <row r="2594">
      <c r="A2594" s="247"/>
      <c r="B2594" s="258"/>
      <c r="C2594" s="247"/>
    </row>
    <row r="2595">
      <c r="A2595" s="247"/>
      <c r="B2595" s="258"/>
      <c r="C2595" s="247"/>
    </row>
    <row r="2596">
      <c r="A2596" s="247"/>
      <c r="B2596" s="258"/>
      <c r="C2596" s="247"/>
    </row>
    <row r="2597">
      <c r="A2597" s="247"/>
      <c r="B2597" s="258"/>
      <c r="C2597" s="247"/>
    </row>
    <row r="2598">
      <c r="A2598" s="247"/>
      <c r="B2598" s="258"/>
      <c r="C2598" s="247"/>
    </row>
    <row r="2599">
      <c r="A2599" s="247"/>
      <c r="B2599" s="258"/>
      <c r="C2599" s="247"/>
    </row>
    <row r="2600">
      <c r="A2600" s="247"/>
      <c r="B2600" s="258"/>
      <c r="C2600" s="247"/>
    </row>
    <row r="2601">
      <c r="A2601" s="247"/>
      <c r="B2601" s="258"/>
      <c r="C2601" s="247"/>
    </row>
    <row r="2602">
      <c r="A2602" s="247"/>
      <c r="B2602" s="258"/>
      <c r="C2602" s="247"/>
    </row>
    <row r="2603">
      <c r="A2603" s="247"/>
      <c r="B2603" s="258"/>
      <c r="C2603" s="247"/>
    </row>
    <row r="2604">
      <c r="A2604" s="247"/>
      <c r="B2604" s="258"/>
      <c r="C2604" s="247"/>
    </row>
    <row r="2605">
      <c r="A2605" s="247"/>
      <c r="B2605" s="258"/>
      <c r="C2605" s="247"/>
    </row>
    <row r="2606">
      <c r="A2606" s="247"/>
      <c r="B2606" s="258"/>
      <c r="C2606" s="247"/>
    </row>
    <row r="2607">
      <c r="A2607" s="247"/>
      <c r="B2607" s="258"/>
      <c r="C2607" s="247"/>
    </row>
    <row r="2608">
      <c r="A2608" s="247"/>
      <c r="B2608" s="258"/>
      <c r="C2608" s="247"/>
    </row>
    <row r="2609">
      <c r="A2609" s="247"/>
      <c r="B2609" s="258"/>
      <c r="C2609" s="247"/>
    </row>
    <row r="2610">
      <c r="A2610" s="247"/>
      <c r="B2610" s="258"/>
      <c r="C2610" s="247"/>
    </row>
    <row r="2611">
      <c r="A2611" s="247"/>
      <c r="B2611" s="258"/>
      <c r="C2611" s="247"/>
    </row>
    <row r="2612">
      <c r="A2612" s="247"/>
      <c r="B2612" s="258"/>
      <c r="C2612" s="247"/>
    </row>
    <row r="2613">
      <c r="A2613" s="247"/>
      <c r="B2613" s="258"/>
      <c r="C2613" s="247"/>
    </row>
    <row r="2614">
      <c r="A2614" s="247"/>
      <c r="B2614" s="258"/>
      <c r="C2614" s="247"/>
    </row>
    <row r="2615">
      <c r="A2615" s="247"/>
      <c r="B2615" s="258"/>
      <c r="C2615" s="247"/>
    </row>
    <row r="2616">
      <c r="A2616" s="247"/>
      <c r="B2616" s="258"/>
      <c r="C2616" s="247"/>
    </row>
    <row r="2617">
      <c r="A2617" s="247"/>
      <c r="B2617" s="258"/>
      <c r="C2617" s="247"/>
    </row>
    <row r="2618">
      <c r="A2618" s="247"/>
      <c r="B2618" s="258"/>
      <c r="C2618" s="247"/>
    </row>
    <row r="2619">
      <c r="A2619" s="247"/>
      <c r="B2619" s="258"/>
      <c r="C2619" s="247"/>
    </row>
    <row r="2620">
      <c r="A2620" s="247"/>
      <c r="B2620" s="258"/>
      <c r="C2620" s="247"/>
    </row>
    <row r="2621">
      <c r="A2621" s="247"/>
      <c r="B2621" s="258"/>
      <c r="C2621" s="247"/>
    </row>
    <row r="2622">
      <c r="A2622" s="247"/>
      <c r="B2622" s="258"/>
      <c r="C2622" s="247"/>
    </row>
    <row r="2623">
      <c r="A2623" s="247"/>
      <c r="B2623" s="258"/>
      <c r="C2623" s="247"/>
    </row>
    <row r="2624">
      <c r="A2624" s="247"/>
      <c r="B2624" s="258"/>
      <c r="C2624" s="247"/>
    </row>
    <row r="2625">
      <c r="A2625" s="247"/>
      <c r="B2625" s="258"/>
      <c r="C2625" s="247"/>
    </row>
    <row r="2626">
      <c r="A2626" s="247"/>
      <c r="B2626" s="258"/>
      <c r="C2626" s="247"/>
    </row>
    <row r="2627">
      <c r="A2627" s="247"/>
      <c r="B2627" s="258"/>
      <c r="C2627" s="247"/>
    </row>
    <row r="2628">
      <c r="A2628" s="247"/>
      <c r="B2628" s="258"/>
      <c r="C2628" s="247"/>
    </row>
    <row r="2629">
      <c r="A2629" s="247"/>
      <c r="B2629" s="258"/>
      <c r="C2629" s="247"/>
    </row>
    <row r="2630">
      <c r="A2630" s="247"/>
      <c r="B2630" s="258"/>
      <c r="C2630" s="247"/>
    </row>
    <row r="2631">
      <c r="A2631" s="247"/>
      <c r="B2631" s="258"/>
      <c r="C2631" s="247"/>
    </row>
    <row r="2632">
      <c r="A2632" s="247"/>
      <c r="B2632" s="258"/>
      <c r="C2632" s="247"/>
    </row>
    <row r="2633">
      <c r="A2633" s="247"/>
      <c r="B2633" s="258"/>
      <c r="C2633" s="247"/>
    </row>
    <row r="2634">
      <c r="A2634" s="247"/>
      <c r="B2634" s="258"/>
      <c r="C2634" s="247"/>
    </row>
    <row r="2635">
      <c r="A2635" s="247"/>
      <c r="B2635" s="258"/>
      <c r="C2635" s="247"/>
    </row>
    <row r="2636">
      <c r="A2636" s="247"/>
      <c r="B2636" s="258"/>
      <c r="C2636" s="247"/>
    </row>
    <row r="2637">
      <c r="A2637" s="247"/>
      <c r="B2637" s="258"/>
      <c r="C2637" s="247"/>
    </row>
    <row r="2638">
      <c r="A2638" s="247"/>
      <c r="B2638" s="258"/>
      <c r="C2638" s="247"/>
    </row>
    <row r="2639">
      <c r="A2639" s="247"/>
      <c r="B2639" s="258"/>
      <c r="C2639" s="247"/>
    </row>
    <row r="2640">
      <c r="A2640" s="247"/>
      <c r="B2640" s="258"/>
      <c r="C2640" s="247"/>
    </row>
    <row r="2641">
      <c r="A2641" s="247"/>
      <c r="B2641" s="258"/>
      <c r="C2641" s="247"/>
    </row>
    <row r="2642">
      <c r="A2642" s="247"/>
      <c r="B2642" s="258"/>
      <c r="C2642" s="247"/>
    </row>
    <row r="2643">
      <c r="A2643" s="247"/>
      <c r="B2643" s="258"/>
      <c r="C2643" s="247"/>
    </row>
    <row r="2644">
      <c r="A2644" s="247"/>
      <c r="B2644" s="258"/>
      <c r="C2644" s="247"/>
    </row>
    <row r="2645">
      <c r="A2645" s="247"/>
      <c r="B2645" s="258"/>
      <c r="C2645" s="247"/>
    </row>
    <row r="2646">
      <c r="A2646" s="247"/>
      <c r="B2646" s="258"/>
      <c r="C2646" s="247"/>
    </row>
    <row r="2647">
      <c r="A2647" s="247"/>
      <c r="B2647" s="258"/>
      <c r="C2647" s="247"/>
    </row>
    <row r="2648">
      <c r="A2648" s="247"/>
      <c r="B2648" s="258"/>
      <c r="C2648" s="247"/>
    </row>
    <row r="2649">
      <c r="A2649" s="247"/>
      <c r="B2649" s="258"/>
      <c r="C2649" s="247"/>
    </row>
    <row r="2650">
      <c r="A2650" s="247"/>
      <c r="B2650" s="258"/>
      <c r="C2650" s="247"/>
    </row>
    <row r="2651">
      <c r="A2651" s="247"/>
      <c r="B2651" s="258"/>
      <c r="C2651" s="247"/>
    </row>
    <row r="2652">
      <c r="A2652" s="247"/>
      <c r="B2652" s="258"/>
      <c r="C2652" s="247"/>
    </row>
    <row r="2653">
      <c r="A2653" s="247"/>
      <c r="B2653" s="258"/>
      <c r="C2653" s="247"/>
    </row>
    <row r="2654">
      <c r="A2654" s="247"/>
      <c r="B2654" s="258"/>
      <c r="C2654" s="247"/>
    </row>
    <row r="2655">
      <c r="A2655" s="247"/>
      <c r="B2655" s="258"/>
      <c r="C2655" s="247"/>
    </row>
    <row r="2656">
      <c r="A2656" s="247"/>
      <c r="B2656" s="258"/>
      <c r="C2656" s="247"/>
    </row>
    <row r="2657">
      <c r="A2657" s="247"/>
      <c r="B2657" s="258"/>
      <c r="C2657" s="247"/>
    </row>
    <row r="2658">
      <c r="A2658" s="247"/>
      <c r="B2658" s="258"/>
      <c r="C2658" s="247"/>
    </row>
    <row r="2659">
      <c r="A2659" s="247"/>
      <c r="B2659" s="258"/>
      <c r="C2659" s="247"/>
    </row>
    <row r="2660">
      <c r="A2660" s="247"/>
      <c r="B2660" s="258"/>
      <c r="C2660" s="247"/>
    </row>
    <row r="2661">
      <c r="A2661" s="247"/>
      <c r="B2661" s="258"/>
      <c r="C2661" s="247"/>
    </row>
    <row r="2662">
      <c r="A2662" s="247"/>
      <c r="B2662" s="258"/>
      <c r="C2662" s="247"/>
    </row>
    <row r="2663">
      <c r="A2663" s="247"/>
      <c r="B2663" s="258"/>
      <c r="C2663" s="247"/>
    </row>
    <row r="2664">
      <c r="A2664" s="247"/>
      <c r="B2664" s="258"/>
      <c r="C2664" s="247"/>
    </row>
    <row r="2665">
      <c r="A2665" s="247"/>
      <c r="B2665" s="258"/>
      <c r="C2665" s="247"/>
    </row>
    <row r="2666">
      <c r="A2666" s="247"/>
      <c r="B2666" s="258"/>
      <c r="C2666" s="247"/>
    </row>
    <row r="2667">
      <c r="A2667" s="247"/>
      <c r="B2667" s="258"/>
      <c r="C2667" s="247"/>
    </row>
    <row r="2668">
      <c r="A2668" s="247"/>
      <c r="B2668" s="258"/>
      <c r="C2668" s="247"/>
    </row>
    <row r="2669">
      <c r="A2669" s="247"/>
      <c r="B2669" s="258"/>
      <c r="C2669" s="247"/>
    </row>
    <row r="2670">
      <c r="A2670" s="247"/>
      <c r="B2670" s="258"/>
      <c r="C2670" s="247"/>
    </row>
    <row r="2671">
      <c r="A2671" s="247"/>
      <c r="B2671" s="258"/>
      <c r="C2671" s="247"/>
    </row>
    <row r="2672">
      <c r="A2672" s="247"/>
      <c r="B2672" s="258"/>
      <c r="C2672" s="247"/>
    </row>
    <row r="2673">
      <c r="A2673" s="247"/>
      <c r="B2673" s="258"/>
      <c r="C2673" s="247"/>
    </row>
    <row r="2674">
      <c r="A2674" s="247"/>
      <c r="B2674" s="258"/>
      <c r="C2674" s="247"/>
    </row>
    <row r="2675">
      <c r="A2675" s="247"/>
      <c r="B2675" s="258"/>
      <c r="C2675" s="247"/>
    </row>
    <row r="2676">
      <c r="A2676" s="247"/>
      <c r="B2676" s="258"/>
      <c r="C2676" s="247"/>
    </row>
    <row r="2677">
      <c r="A2677" s="247"/>
      <c r="B2677" s="258"/>
      <c r="C2677" s="247"/>
    </row>
    <row r="2678">
      <c r="A2678" s="247"/>
      <c r="B2678" s="258"/>
      <c r="C2678" s="247"/>
    </row>
    <row r="2679">
      <c r="A2679" s="247"/>
      <c r="B2679" s="258"/>
      <c r="C2679" s="247"/>
    </row>
    <row r="2680">
      <c r="A2680" s="247"/>
      <c r="B2680" s="258"/>
      <c r="C2680" s="247"/>
    </row>
    <row r="2681">
      <c r="A2681" s="247"/>
      <c r="B2681" s="258"/>
      <c r="C2681" s="247"/>
    </row>
    <row r="2682">
      <c r="A2682" s="247"/>
      <c r="B2682" s="258"/>
      <c r="C2682" s="247"/>
    </row>
    <row r="2683">
      <c r="A2683" s="247"/>
      <c r="B2683" s="258"/>
      <c r="C2683" s="247"/>
    </row>
    <row r="2684">
      <c r="A2684" s="247"/>
      <c r="B2684" s="258"/>
      <c r="C2684" s="247"/>
    </row>
    <row r="2685">
      <c r="A2685" s="247"/>
      <c r="B2685" s="258"/>
      <c r="C2685" s="247"/>
    </row>
    <row r="2686">
      <c r="A2686" s="247"/>
      <c r="B2686" s="258"/>
      <c r="C2686" s="247"/>
    </row>
    <row r="2687">
      <c r="A2687" s="247"/>
      <c r="B2687" s="258"/>
      <c r="C2687" s="247"/>
    </row>
    <row r="2688">
      <c r="A2688" s="247"/>
      <c r="B2688" s="258"/>
      <c r="C2688" s="247"/>
    </row>
    <row r="2689">
      <c r="A2689" s="247"/>
      <c r="B2689" s="258"/>
      <c r="C2689" s="247"/>
    </row>
    <row r="2690">
      <c r="A2690" s="247"/>
      <c r="B2690" s="258"/>
      <c r="C2690" s="247"/>
    </row>
    <row r="2691">
      <c r="A2691" s="247"/>
      <c r="B2691" s="258"/>
      <c r="C2691" s="247"/>
    </row>
    <row r="2692">
      <c r="A2692" s="247"/>
      <c r="B2692" s="258"/>
      <c r="C2692" s="247"/>
    </row>
    <row r="2693">
      <c r="A2693" s="247"/>
      <c r="B2693" s="258"/>
      <c r="C2693" s="247"/>
    </row>
    <row r="2694">
      <c r="A2694" s="247"/>
      <c r="B2694" s="258"/>
      <c r="C2694" s="247"/>
    </row>
    <row r="2695">
      <c r="A2695" s="247"/>
      <c r="B2695" s="258"/>
      <c r="C2695" s="247"/>
    </row>
    <row r="2696">
      <c r="A2696" s="247"/>
      <c r="B2696" s="258"/>
      <c r="C2696" s="247"/>
    </row>
    <row r="2697">
      <c r="A2697" s="247"/>
      <c r="B2697" s="258"/>
      <c r="C2697" s="247"/>
    </row>
    <row r="2698">
      <c r="A2698" s="247"/>
      <c r="B2698" s="258"/>
      <c r="C2698" s="247"/>
    </row>
    <row r="2699">
      <c r="A2699" s="247"/>
      <c r="B2699" s="258"/>
      <c r="C2699" s="247"/>
    </row>
    <row r="2700">
      <c r="A2700" s="247"/>
      <c r="B2700" s="258"/>
      <c r="C2700" s="247"/>
    </row>
    <row r="2701">
      <c r="A2701" s="247"/>
      <c r="B2701" s="258"/>
      <c r="C2701" s="247"/>
    </row>
    <row r="2702">
      <c r="A2702" s="247"/>
      <c r="B2702" s="258"/>
      <c r="C2702" s="247"/>
    </row>
    <row r="2703">
      <c r="A2703" s="247"/>
      <c r="B2703" s="258"/>
      <c r="C2703" s="247"/>
    </row>
    <row r="2704">
      <c r="A2704" s="247"/>
      <c r="B2704" s="258"/>
      <c r="C2704" s="247"/>
    </row>
    <row r="2705">
      <c r="A2705" s="247"/>
      <c r="B2705" s="258"/>
      <c r="C2705" s="247"/>
    </row>
    <row r="2706">
      <c r="A2706" s="247"/>
      <c r="B2706" s="258"/>
      <c r="C2706" s="247"/>
    </row>
    <row r="2707">
      <c r="A2707" s="247"/>
      <c r="B2707" s="258"/>
      <c r="C2707" s="247"/>
    </row>
    <row r="2708">
      <c r="A2708" s="247"/>
      <c r="B2708" s="258"/>
      <c r="C2708" s="247"/>
    </row>
    <row r="2709">
      <c r="A2709" s="247"/>
      <c r="B2709" s="258"/>
      <c r="C2709" s="247"/>
    </row>
    <row r="2710">
      <c r="A2710" s="247"/>
      <c r="B2710" s="258"/>
      <c r="C2710" s="247"/>
    </row>
    <row r="2711">
      <c r="A2711" s="247"/>
      <c r="B2711" s="258"/>
      <c r="C2711" s="247"/>
    </row>
    <row r="2712">
      <c r="A2712" s="247"/>
      <c r="B2712" s="258"/>
      <c r="C2712" s="247"/>
    </row>
    <row r="2713">
      <c r="A2713" s="247"/>
      <c r="B2713" s="258"/>
      <c r="C2713" s="247"/>
    </row>
    <row r="2714">
      <c r="A2714" s="247"/>
      <c r="B2714" s="258"/>
      <c r="C2714" s="247"/>
    </row>
    <row r="2715">
      <c r="A2715" s="247"/>
      <c r="B2715" s="258"/>
      <c r="C2715" s="247"/>
    </row>
    <row r="2716">
      <c r="A2716" s="247"/>
      <c r="B2716" s="258"/>
      <c r="C2716" s="247"/>
    </row>
    <row r="2717">
      <c r="A2717" s="247"/>
      <c r="B2717" s="258"/>
      <c r="C2717" s="247"/>
    </row>
    <row r="2718">
      <c r="A2718" s="247"/>
      <c r="B2718" s="258"/>
      <c r="C2718" s="247"/>
    </row>
    <row r="2719">
      <c r="A2719" s="247"/>
      <c r="B2719" s="258"/>
      <c r="C2719" s="247"/>
    </row>
    <row r="2720">
      <c r="A2720" s="247"/>
      <c r="B2720" s="258"/>
      <c r="C2720" s="247"/>
    </row>
    <row r="2721">
      <c r="A2721" s="247"/>
      <c r="B2721" s="258"/>
      <c r="C2721" s="247"/>
    </row>
    <row r="2722">
      <c r="A2722" s="247"/>
      <c r="B2722" s="258"/>
      <c r="C2722" s="247"/>
    </row>
    <row r="2723">
      <c r="A2723" s="247"/>
      <c r="B2723" s="258"/>
      <c r="C2723" s="247"/>
    </row>
    <row r="2724">
      <c r="A2724" s="247"/>
      <c r="B2724" s="258"/>
      <c r="C2724" s="247"/>
    </row>
    <row r="2725">
      <c r="A2725" s="247"/>
      <c r="B2725" s="258"/>
      <c r="C2725" s="247"/>
    </row>
    <row r="2726">
      <c r="A2726" s="247"/>
      <c r="B2726" s="258"/>
      <c r="C2726" s="247"/>
    </row>
    <row r="2727">
      <c r="A2727" s="247"/>
      <c r="B2727" s="258"/>
      <c r="C2727" s="247"/>
    </row>
    <row r="2728">
      <c r="A2728" s="247"/>
      <c r="B2728" s="258"/>
      <c r="C2728" s="247"/>
    </row>
    <row r="2729">
      <c r="A2729" s="247"/>
      <c r="B2729" s="258"/>
      <c r="C2729" s="247"/>
    </row>
    <row r="2730">
      <c r="A2730" s="247"/>
      <c r="B2730" s="258"/>
      <c r="C2730" s="247"/>
    </row>
    <row r="2731">
      <c r="A2731" s="247"/>
      <c r="B2731" s="258"/>
      <c r="C2731" s="247"/>
    </row>
    <row r="2732">
      <c r="A2732" s="247"/>
      <c r="B2732" s="258"/>
      <c r="C2732" s="247"/>
    </row>
    <row r="2733">
      <c r="A2733" s="247"/>
      <c r="B2733" s="258"/>
      <c r="C2733" s="247"/>
    </row>
    <row r="2734">
      <c r="A2734" s="247"/>
      <c r="B2734" s="258"/>
      <c r="C2734" s="247"/>
    </row>
    <row r="2735">
      <c r="A2735" s="247"/>
      <c r="B2735" s="258"/>
      <c r="C2735" s="247"/>
    </row>
    <row r="2736">
      <c r="A2736" s="247"/>
      <c r="B2736" s="258"/>
      <c r="C2736" s="247"/>
    </row>
    <row r="2737">
      <c r="A2737" s="247"/>
      <c r="B2737" s="258"/>
      <c r="C2737" s="247"/>
    </row>
    <row r="2738">
      <c r="A2738" s="247"/>
      <c r="B2738" s="258"/>
      <c r="C2738" s="247"/>
    </row>
    <row r="2739">
      <c r="A2739" s="247"/>
      <c r="B2739" s="258"/>
      <c r="C2739" s="247"/>
    </row>
    <row r="2740">
      <c r="A2740" s="247"/>
      <c r="B2740" s="258"/>
      <c r="C2740" s="247"/>
    </row>
    <row r="2741">
      <c r="A2741" s="247"/>
      <c r="B2741" s="258"/>
      <c r="C2741" s="247"/>
    </row>
    <row r="2742">
      <c r="A2742" s="247"/>
      <c r="B2742" s="258"/>
      <c r="C2742" s="247"/>
    </row>
    <row r="2743">
      <c r="A2743" s="247"/>
      <c r="B2743" s="258"/>
      <c r="C2743" s="247"/>
    </row>
    <row r="2744">
      <c r="A2744" s="247"/>
      <c r="B2744" s="258"/>
      <c r="C2744" s="247"/>
    </row>
    <row r="2745">
      <c r="A2745" s="247"/>
      <c r="B2745" s="258"/>
      <c r="C2745" s="247"/>
    </row>
    <row r="2746">
      <c r="A2746" s="247"/>
      <c r="B2746" s="258"/>
      <c r="C2746" s="247"/>
    </row>
    <row r="2747">
      <c r="A2747" s="247"/>
      <c r="B2747" s="258"/>
      <c r="C2747" s="247"/>
    </row>
    <row r="2748">
      <c r="A2748" s="247"/>
      <c r="B2748" s="258"/>
      <c r="C2748" s="247"/>
    </row>
    <row r="2749">
      <c r="A2749" s="247"/>
      <c r="B2749" s="258"/>
      <c r="C2749" s="247"/>
    </row>
    <row r="2750">
      <c r="A2750" s="247"/>
      <c r="B2750" s="258"/>
      <c r="C2750" s="247"/>
    </row>
    <row r="2751">
      <c r="A2751" s="247"/>
      <c r="B2751" s="258"/>
      <c r="C2751" s="247"/>
    </row>
    <row r="2752">
      <c r="A2752" s="247"/>
      <c r="B2752" s="258"/>
      <c r="C2752" s="247"/>
    </row>
    <row r="2753">
      <c r="A2753" s="247"/>
      <c r="B2753" s="258"/>
      <c r="C2753" s="247"/>
    </row>
    <row r="2754">
      <c r="A2754" s="247"/>
      <c r="B2754" s="258"/>
      <c r="C2754" s="247"/>
    </row>
    <row r="2755">
      <c r="A2755" s="247"/>
      <c r="B2755" s="258"/>
      <c r="C2755" s="247"/>
    </row>
    <row r="2756">
      <c r="A2756" s="247"/>
      <c r="B2756" s="258"/>
      <c r="C2756" s="247"/>
    </row>
    <row r="2757">
      <c r="A2757" s="247"/>
      <c r="B2757" s="258"/>
      <c r="C2757" s="247"/>
    </row>
    <row r="2758">
      <c r="A2758" s="247"/>
      <c r="B2758" s="258"/>
      <c r="C2758" s="247"/>
    </row>
    <row r="2759">
      <c r="A2759" s="247"/>
      <c r="B2759" s="258"/>
      <c r="C2759" s="247"/>
    </row>
    <row r="2760">
      <c r="A2760" s="247"/>
      <c r="B2760" s="258"/>
      <c r="C2760" s="247"/>
    </row>
    <row r="2761">
      <c r="A2761" s="247"/>
      <c r="B2761" s="258"/>
      <c r="C2761" s="247"/>
    </row>
    <row r="2762">
      <c r="A2762" s="247"/>
      <c r="B2762" s="258"/>
      <c r="C2762" s="247"/>
    </row>
    <row r="2763">
      <c r="A2763" s="247"/>
      <c r="B2763" s="258"/>
      <c r="C2763" s="247"/>
    </row>
    <row r="2764">
      <c r="A2764" s="247"/>
      <c r="B2764" s="258"/>
      <c r="C2764" s="247"/>
    </row>
    <row r="2765">
      <c r="A2765" s="247"/>
      <c r="B2765" s="258"/>
      <c r="C2765" s="247"/>
    </row>
    <row r="2766">
      <c r="A2766" s="247"/>
      <c r="B2766" s="258"/>
      <c r="C2766" s="247"/>
    </row>
    <row r="2767">
      <c r="A2767" s="247"/>
      <c r="B2767" s="258"/>
      <c r="C2767" s="247"/>
    </row>
    <row r="2768">
      <c r="A2768" s="247"/>
      <c r="B2768" s="258"/>
      <c r="C2768" s="247"/>
    </row>
    <row r="2769">
      <c r="A2769" s="247"/>
      <c r="B2769" s="258"/>
      <c r="C2769" s="247"/>
    </row>
    <row r="2770">
      <c r="A2770" s="247"/>
      <c r="B2770" s="258"/>
      <c r="C2770" s="247"/>
    </row>
    <row r="2771">
      <c r="A2771" s="247"/>
      <c r="B2771" s="258"/>
      <c r="C2771" s="247"/>
    </row>
    <row r="2772">
      <c r="A2772" s="247"/>
      <c r="B2772" s="258"/>
      <c r="C2772" s="247"/>
    </row>
    <row r="2773">
      <c r="A2773" s="247"/>
      <c r="B2773" s="258"/>
      <c r="C2773" s="247"/>
    </row>
    <row r="2774">
      <c r="A2774" s="247"/>
      <c r="B2774" s="258"/>
      <c r="C2774" s="247"/>
    </row>
    <row r="2775">
      <c r="A2775" s="247"/>
      <c r="B2775" s="258"/>
      <c r="C2775" s="247"/>
    </row>
    <row r="2776">
      <c r="A2776" s="247"/>
      <c r="B2776" s="258"/>
      <c r="C2776" s="247"/>
    </row>
    <row r="2777">
      <c r="A2777" s="247"/>
      <c r="B2777" s="258"/>
      <c r="C2777" s="247"/>
    </row>
    <row r="2778">
      <c r="A2778" s="247"/>
      <c r="B2778" s="258"/>
      <c r="C2778" s="247"/>
    </row>
    <row r="2779">
      <c r="A2779" s="247"/>
      <c r="B2779" s="258"/>
      <c r="C2779" s="247"/>
    </row>
    <row r="2780">
      <c r="A2780" s="247"/>
      <c r="B2780" s="258"/>
      <c r="C2780" s="247"/>
    </row>
    <row r="2781">
      <c r="A2781" s="247"/>
      <c r="B2781" s="258"/>
      <c r="C2781" s="247"/>
    </row>
    <row r="2782">
      <c r="A2782" s="247"/>
      <c r="B2782" s="258"/>
      <c r="C2782" s="247"/>
    </row>
    <row r="2783">
      <c r="A2783" s="247"/>
      <c r="B2783" s="258"/>
      <c r="C2783" s="247"/>
    </row>
    <row r="2784">
      <c r="A2784" s="247"/>
      <c r="B2784" s="258"/>
      <c r="C2784" s="247"/>
    </row>
    <row r="2785">
      <c r="A2785" s="247"/>
      <c r="B2785" s="258"/>
      <c r="C2785" s="247"/>
    </row>
    <row r="2786">
      <c r="A2786" s="247"/>
      <c r="B2786" s="258"/>
      <c r="C2786" s="247"/>
    </row>
    <row r="2787">
      <c r="A2787" s="247"/>
      <c r="B2787" s="258"/>
      <c r="C2787" s="247"/>
    </row>
    <row r="2788">
      <c r="A2788" s="247"/>
      <c r="B2788" s="258"/>
      <c r="C2788" s="247"/>
    </row>
    <row r="2789">
      <c r="A2789" s="247"/>
      <c r="B2789" s="258"/>
      <c r="C2789" s="247"/>
    </row>
    <row r="2790">
      <c r="A2790" s="247"/>
      <c r="B2790" s="258"/>
      <c r="C2790" s="247"/>
    </row>
    <row r="2791">
      <c r="A2791" s="247"/>
      <c r="B2791" s="258"/>
      <c r="C2791" s="247"/>
    </row>
    <row r="2792">
      <c r="A2792" s="247"/>
      <c r="B2792" s="258"/>
      <c r="C2792" s="247"/>
    </row>
    <row r="2793">
      <c r="A2793" s="247"/>
      <c r="B2793" s="258"/>
      <c r="C2793" s="247"/>
    </row>
    <row r="2794">
      <c r="A2794" s="247"/>
      <c r="B2794" s="258"/>
      <c r="C2794" s="247"/>
    </row>
    <row r="2795">
      <c r="A2795" s="247"/>
      <c r="B2795" s="258"/>
      <c r="C2795" s="247"/>
    </row>
    <row r="2796">
      <c r="A2796" s="247"/>
      <c r="B2796" s="258"/>
      <c r="C2796" s="247"/>
    </row>
    <row r="2797">
      <c r="A2797" s="247"/>
      <c r="B2797" s="258"/>
      <c r="C2797" s="247"/>
    </row>
    <row r="2798">
      <c r="A2798" s="247"/>
      <c r="B2798" s="258"/>
      <c r="C2798" s="247"/>
    </row>
    <row r="2799">
      <c r="A2799" s="247"/>
      <c r="B2799" s="258"/>
      <c r="C2799" s="247"/>
    </row>
    <row r="2800">
      <c r="A2800" s="247"/>
      <c r="B2800" s="258"/>
      <c r="C2800" s="247"/>
    </row>
    <row r="2801">
      <c r="A2801" s="247"/>
      <c r="B2801" s="258"/>
      <c r="C2801" s="247"/>
    </row>
    <row r="2802">
      <c r="A2802" s="247"/>
      <c r="B2802" s="258"/>
      <c r="C2802" s="247"/>
    </row>
    <row r="2803">
      <c r="A2803" s="247"/>
      <c r="B2803" s="258"/>
      <c r="C2803" s="247"/>
    </row>
    <row r="2804">
      <c r="A2804" s="247"/>
      <c r="B2804" s="258"/>
      <c r="C2804" s="247"/>
    </row>
    <row r="2805">
      <c r="A2805" s="247"/>
      <c r="B2805" s="258"/>
      <c r="C2805" s="247"/>
    </row>
    <row r="2806">
      <c r="A2806" s="247"/>
      <c r="B2806" s="258"/>
      <c r="C2806" s="247"/>
    </row>
    <row r="2807">
      <c r="A2807" s="247"/>
      <c r="B2807" s="258"/>
      <c r="C2807" s="247"/>
    </row>
    <row r="2808">
      <c r="A2808" s="247"/>
      <c r="B2808" s="258"/>
      <c r="C2808" s="247"/>
    </row>
    <row r="2809">
      <c r="A2809" s="247"/>
      <c r="B2809" s="258"/>
      <c r="C2809" s="247"/>
    </row>
    <row r="2810">
      <c r="A2810" s="247"/>
      <c r="B2810" s="258"/>
      <c r="C2810" s="247"/>
    </row>
    <row r="2811">
      <c r="A2811" s="247"/>
      <c r="B2811" s="258"/>
      <c r="C2811" s="247"/>
    </row>
    <row r="2812">
      <c r="A2812" s="247"/>
      <c r="B2812" s="258"/>
      <c r="C2812" s="247"/>
    </row>
    <row r="2813">
      <c r="A2813" s="247"/>
      <c r="B2813" s="258"/>
      <c r="C2813" s="247"/>
    </row>
    <row r="2814">
      <c r="A2814" s="247"/>
      <c r="B2814" s="258"/>
      <c r="C2814" s="247"/>
    </row>
    <row r="2815">
      <c r="A2815" s="247"/>
      <c r="B2815" s="258"/>
      <c r="C2815" s="247"/>
    </row>
    <row r="2816">
      <c r="A2816" s="247"/>
      <c r="B2816" s="258"/>
      <c r="C2816" s="247"/>
    </row>
    <row r="2817">
      <c r="A2817" s="247"/>
      <c r="B2817" s="258"/>
      <c r="C2817" s="247"/>
    </row>
    <row r="2818">
      <c r="A2818" s="247"/>
      <c r="B2818" s="258"/>
      <c r="C2818" s="247"/>
    </row>
    <row r="2819">
      <c r="A2819" s="247"/>
      <c r="B2819" s="258"/>
      <c r="C2819" s="247"/>
    </row>
    <row r="2820">
      <c r="A2820" s="247"/>
      <c r="B2820" s="258"/>
      <c r="C2820" s="247"/>
    </row>
    <row r="2821">
      <c r="A2821" s="247"/>
      <c r="B2821" s="258"/>
      <c r="C2821" s="247"/>
    </row>
    <row r="2822">
      <c r="A2822" s="247"/>
      <c r="B2822" s="258"/>
      <c r="C2822" s="247"/>
    </row>
    <row r="2823">
      <c r="A2823" s="247"/>
      <c r="B2823" s="258"/>
      <c r="C2823" s="247"/>
    </row>
    <row r="2824">
      <c r="A2824" s="247"/>
      <c r="B2824" s="258"/>
      <c r="C2824" s="247"/>
    </row>
    <row r="2825">
      <c r="A2825" s="247"/>
      <c r="B2825" s="258"/>
      <c r="C2825" s="247"/>
    </row>
    <row r="2826">
      <c r="A2826" s="247"/>
      <c r="B2826" s="258"/>
      <c r="C2826" s="247"/>
    </row>
    <row r="2827">
      <c r="A2827" s="247"/>
      <c r="B2827" s="258"/>
      <c r="C2827" s="247"/>
    </row>
    <row r="2828">
      <c r="A2828" s="247"/>
      <c r="B2828" s="258"/>
      <c r="C2828" s="247"/>
    </row>
    <row r="2829">
      <c r="A2829" s="247"/>
      <c r="B2829" s="258"/>
      <c r="C2829" s="247"/>
    </row>
    <row r="2830">
      <c r="A2830" s="247"/>
      <c r="B2830" s="258"/>
      <c r="C2830" s="247"/>
    </row>
    <row r="2831">
      <c r="A2831" s="247"/>
      <c r="B2831" s="258"/>
      <c r="C2831" s="247"/>
    </row>
    <row r="2832">
      <c r="A2832" s="247"/>
      <c r="B2832" s="258"/>
      <c r="C2832" s="247"/>
    </row>
    <row r="2833">
      <c r="A2833" s="247"/>
      <c r="B2833" s="258"/>
      <c r="C2833" s="247"/>
    </row>
    <row r="2834">
      <c r="A2834" s="247"/>
      <c r="B2834" s="258"/>
      <c r="C2834" s="247"/>
    </row>
    <row r="2835">
      <c r="A2835" s="247"/>
      <c r="B2835" s="258"/>
      <c r="C2835" s="247"/>
    </row>
    <row r="2836">
      <c r="A2836" s="247"/>
      <c r="B2836" s="258"/>
      <c r="C2836" s="247"/>
    </row>
    <row r="2837">
      <c r="A2837" s="247"/>
      <c r="B2837" s="258"/>
      <c r="C2837" s="247"/>
    </row>
    <row r="2838">
      <c r="A2838" s="247"/>
      <c r="B2838" s="258"/>
      <c r="C2838" s="247"/>
    </row>
    <row r="2839">
      <c r="A2839" s="247"/>
      <c r="B2839" s="258"/>
      <c r="C2839" s="247"/>
    </row>
    <row r="2840">
      <c r="A2840" s="247"/>
      <c r="B2840" s="258"/>
      <c r="C2840" s="247"/>
    </row>
    <row r="2841">
      <c r="A2841" s="247"/>
      <c r="B2841" s="258"/>
      <c r="C2841" s="247"/>
    </row>
    <row r="2842">
      <c r="A2842" s="247"/>
      <c r="B2842" s="258"/>
      <c r="C2842" s="247"/>
    </row>
    <row r="2843">
      <c r="A2843" s="247"/>
      <c r="B2843" s="258"/>
      <c r="C2843" s="247"/>
    </row>
    <row r="2844">
      <c r="A2844" s="247"/>
      <c r="B2844" s="258"/>
      <c r="C2844" s="247"/>
    </row>
    <row r="2845">
      <c r="A2845" s="247"/>
      <c r="B2845" s="258"/>
      <c r="C2845" s="247"/>
    </row>
    <row r="2846">
      <c r="A2846" s="247"/>
      <c r="B2846" s="258"/>
      <c r="C2846" s="247"/>
    </row>
    <row r="2847">
      <c r="A2847" s="247"/>
      <c r="B2847" s="258"/>
      <c r="C2847" s="247"/>
    </row>
    <row r="2848">
      <c r="A2848" s="247"/>
      <c r="B2848" s="258"/>
      <c r="C2848" s="247"/>
    </row>
    <row r="2849">
      <c r="A2849" s="247"/>
      <c r="B2849" s="258"/>
      <c r="C2849" s="247"/>
    </row>
    <row r="2850">
      <c r="A2850" s="247"/>
      <c r="B2850" s="258"/>
      <c r="C2850" s="247"/>
    </row>
    <row r="2851">
      <c r="A2851" s="247"/>
      <c r="B2851" s="258"/>
      <c r="C2851" s="247"/>
    </row>
    <row r="2852">
      <c r="A2852" s="247"/>
      <c r="B2852" s="258"/>
      <c r="C2852" s="247"/>
    </row>
    <row r="2853">
      <c r="A2853" s="247"/>
      <c r="B2853" s="258"/>
      <c r="C2853" s="247"/>
    </row>
    <row r="2854">
      <c r="A2854" s="247"/>
      <c r="B2854" s="258"/>
      <c r="C2854" s="247"/>
    </row>
    <row r="2855">
      <c r="A2855" s="247"/>
      <c r="B2855" s="258"/>
      <c r="C2855" s="247"/>
    </row>
    <row r="2856">
      <c r="A2856" s="247"/>
      <c r="B2856" s="258"/>
      <c r="C2856" s="247"/>
    </row>
    <row r="2857">
      <c r="A2857" s="247"/>
      <c r="B2857" s="258"/>
      <c r="C2857" s="247"/>
    </row>
    <row r="2858">
      <c r="A2858" s="247"/>
      <c r="B2858" s="258"/>
      <c r="C2858" s="247"/>
    </row>
    <row r="2859">
      <c r="A2859" s="247"/>
      <c r="B2859" s="258"/>
      <c r="C2859" s="247"/>
    </row>
    <row r="2860">
      <c r="A2860" s="247"/>
      <c r="B2860" s="258"/>
      <c r="C2860" s="247"/>
    </row>
    <row r="2861">
      <c r="A2861" s="247"/>
      <c r="B2861" s="258"/>
      <c r="C2861" s="247"/>
    </row>
    <row r="2862">
      <c r="A2862" s="247"/>
      <c r="B2862" s="258"/>
      <c r="C2862" s="247"/>
    </row>
    <row r="2863">
      <c r="A2863" s="247"/>
      <c r="B2863" s="258"/>
      <c r="C2863" s="247"/>
    </row>
    <row r="2864">
      <c r="A2864" s="247"/>
      <c r="B2864" s="258"/>
      <c r="C2864" s="247"/>
    </row>
    <row r="2865">
      <c r="A2865" s="247"/>
      <c r="B2865" s="258"/>
      <c r="C2865" s="247"/>
    </row>
    <row r="2866">
      <c r="A2866" s="247"/>
      <c r="B2866" s="258"/>
      <c r="C2866" s="247"/>
    </row>
    <row r="2867">
      <c r="A2867" s="247"/>
      <c r="B2867" s="258"/>
      <c r="C2867" s="247"/>
    </row>
    <row r="2868">
      <c r="A2868" s="247"/>
      <c r="B2868" s="258"/>
      <c r="C2868" s="247"/>
    </row>
    <row r="2869">
      <c r="A2869" s="247"/>
      <c r="B2869" s="258"/>
      <c r="C2869" s="247"/>
    </row>
    <row r="2870">
      <c r="A2870" s="247"/>
      <c r="B2870" s="258"/>
      <c r="C2870" s="247"/>
    </row>
    <row r="2871">
      <c r="A2871" s="247"/>
      <c r="B2871" s="258"/>
      <c r="C2871" s="247"/>
    </row>
    <row r="2872">
      <c r="A2872" s="247"/>
      <c r="B2872" s="258"/>
      <c r="C2872" s="247"/>
    </row>
    <row r="2873">
      <c r="A2873" s="247"/>
      <c r="B2873" s="258"/>
      <c r="C2873" s="247"/>
    </row>
    <row r="2874">
      <c r="A2874" s="247"/>
      <c r="B2874" s="258"/>
      <c r="C2874" s="247"/>
    </row>
    <row r="2875">
      <c r="A2875" s="247"/>
      <c r="B2875" s="258"/>
      <c r="C2875" s="247"/>
    </row>
    <row r="2876">
      <c r="A2876" s="247"/>
      <c r="B2876" s="258"/>
      <c r="C2876" s="247"/>
    </row>
    <row r="2877">
      <c r="A2877" s="247"/>
      <c r="B2877" s="258"/>
      <c r="C2877" s="247"/>
    </row>
    <row r="2878">
      <c r="A2878" s="247"/>
      <c r="B2878" s="258"/>
      <c r="C2878" s="247"/>
    </row>
    <row r="2879">
      <c r="A2879" s="247"/>
      <c r="B2879" s="258"/>
      <c r="C2879" s="247"/>
    </row>
    <row r="2880">
      <c r="A2880" s="247"/>
      <c r="B2880" s="258"/>
      <c r="C2880" s="247"/>
    </row>
    <row r="2881">
      <c r="A2881" s="247"/>
      <c r="B2881" s="258"/>
      <c r="C2881" s="247"/>
    </row>
    <row r="2882">
      <c r="A2882" s="247"/>
      <c r="B2882" s="258"/>
      <c r="C2882" s="247"/>
    </row>
    <row r="2883">
      <c r="A2883" s="247"/>
      <c r="B2883" s="258"/>
      <c r="C2883" s="247"/>
    </row>
    <row r="2884">
      <c r="A2884" s="247"/>
      <c r="B2884" s="258"/>
      <c r="C2884" s="247"/>
    </row>
    <row r="2885">
      <c r="A2885" s="247"/>
      <c r="B2885" s="258"/>
      <c r="C2885" s="247"/>
    </row>
    <row r="2886">
      <c r="A2886" s="247"/>
      <c r="B2886" s="258"/>
      <c r="C2886" s="247"/>
    </row>
    <row r="2887">
      <c r="A2887" s="247"/>
      <c r="B2887" s="258"/>
      <c r="C2887" s="247"/>
    </row>
    <row r="2888">
      <c r="A2888" s="247"/>
      <c r="B2888" s="258"/>
      <c r="C2888" s="247"/>
    </row>
    <row r="2889">
      <c r="A2889" s="247"/>
      <c r="B2889" s="258"/>
      <c r="C2889" s="247"/>
    </row>
    <row r="2890">
      <c r="A2890" s="247"/>
      <c r="B2890" s="258"/>
      <c r="C2890" s="247"/>
    </row>
    <row r="2891">
      <c r="A2891" s="247"/>
      <c r="B2891" s="258"/>
      <c r="C2891" s="247"/>
    </row>
    <row r="2892">
      <c r="A2892" s="247"/>
      <c r="B2892" s="258"/>
      <c r="C2892" s="247"/>
    </row>
    <row r="2893">
      <c r="A2893" s="247"/>
      <c r="B2893" s="258"/>
      <c r="C2893" s="247"/>
    </row>
    <row r="2894">
      <c r="A2894" s="247"/>
      <c r="B2894" s="258"/>
      <c r="C2894" s="247"/>
    </row>
    <row r="2895">
      <c r="A2895" s="247"/>
      <c r="B2895" s="258"/>
      <c r="C2895" s="247"/>
    </row>
    <row r="2896">
      <c r="A2896" s="247"/>
      <c r="B2896" s="258"/>
      <c r="C2896" s="247"/>
    </row>
    <row r="2897">
      <c r="A2897" s="247"/>
      <c r="B2897" s="258"/>
      <c r="C2897" s="247"/>
    </row>
    <row r="2898">
      <c r="A2898" s="247"/>
      <c r="B2898" s="258"/>
      <c r="C2898" s="247"/>
    </row>
    <row r="2899">
      <c r="A2899" s="247"/>
      <c r="B2899" s="258"/>
      <c r="C2899" s="247"/>
    </row>
    <row r="2900">
      <c r="A2900" s="247"/>
      <c r="B2900" s="258"/>
      <c r="C2900" s="247"/>
    </row>
    <row r="2901">
      <c r="A2901" s="247"/>
      <c r="B2901" s="258"/>
      <c r="C2901" s="247"/>
    </row>
    <row r="2902">
      <c r="A2902" s="247"/>
      <c r="B2902" s="258"/>
      <c r="C2902" s="247"/>
    </row>
    <row r="2903">
      <c r="A2903" s="247"/>
      <c r="B2903" s="258"/>
      <c r="C2903" s="247"/>
    </row>
    <row r="2904">
      <c r="A2904" s="247"/>
      <c r="B2904" s="258"/>
      <c r="C2904" s="247"/>
    </row>
    <row r="2905">
      <c r="A2905" s="247"/>
      <c r="B2905" s="258"/>
      <c r="C2905" s="247"/>
    </row>
    <row r="2906">
      <c r="A2906" s="247"/>
      <c r="B2906" s="258"/>
      <c r="C2906" s="247"/>
    </row>
    <row r="2907">
      <c r="A2907" s="247"/>
      <c r="B2907" s="258"/>
      <c r="C2907" s="247"/>
    </row>
    <row r="2908">
      <c r="A2908" s="247"/>
      <c r="B2908" s="258"/>
      <c r="C2908" s="247"/>
    </row>
    <row r="2909">
      <c r="A2909" s="247"/>
      <c r="B2909" s="258"/>
      <c r="C2909" s="247"/>
    </row>
    <row r="2910">
      <c r="A2910" s="247"/>
      <c r="B2910" s="258"/>
      <c r="C2910" s="247"/>
    </row>
    <row r="2911">
      <c r="A2911" s="247"/>
      <c r="B2911" s="258"/>
      <c r="C2911" s="247"/>
    </row>
    <row r="2912">
      <c r="A2912" s="247"/>
      <c r="B2912" s="258"/>
      <c r="C2912" s="247"/>
    </row>
    <row r="2913">
      <c r="A2913" s="247"/>
      <c r="B2913" s="258"/>
      <c r="C2913" s="247"/>
    </row>
    <row r="2914">
      <c r="A2914" s="247"/>
      <c r="B2914" s="258"/>
      <c r="C2914" s="247"/>
    </row>
    <row r="2915">
      <c r="A2915" s="247"/>
      <c r="B2915" s="258"/>
      <c r="C2915" s="247"/>
    </row>
    <row r="2916">
      <c r="A2916" s="247"/>
      <c r="B2916" s="258"/>
      <c r="C2916" s="247"/>
    </row>
    <row r="2917">
      <c r="A2917" s="247"/>
      <c r="B2917" s="258"/>
      <c r="C2917" s="247"/>
    </row>
    <row r="2918">
      <c r="A2918" s="247"/>
      <c r="B2918" s="258"/>
      <c r="C2918" s="247"/>
    </row>
    <row r="2919">
      <c r="A2919" s="247"/>
      <c r="B2919" s="258"/>
      <c r="C2919" s="247"/>
    </row>
    <row r="2920">
      <c r="A2920" s="247"/>
      <c r="B2920" s="258"/>
      <c r="C2920" s="247"/>
    </row>
    <row r="2921">
      <c r="A2921" s="247"/>
      <c r="B2921" s="258"/>
      <c r="C2921" s="247"/>
    </row>
    <row r="2922">
      <c r="A2922" s="247"/>
      <c r="B2922" s="258"/>
      <c r="C2922" s="247"/>
    </row>
    <row r="2923">
      <c r="A2923" s="247"/>
      <c r="B2923" s="258"/>
      <c r="C2923" s="247"/>
    </row>
    <row r="2924">
      <c r="A2924" s="247"/>
      <c r="B2924" s="258"/>
      <c r="C2924" s="247"/>
    </row>
    <row r="2925">
      <c r="A2925" s="247"/>
      <c r="B2925" s="258"/>
      <c r="C2925" s="247"/>
    </row>
    <row r="2926">
      <c r="A2926" s="247"/>
      <c r="B2926" s="258"/>
      <c r="C2926" s="247"/>
    </row>
    <row r="2927">
      <c r="A2927" s="247"/>
      <c r="B2927" s="258"/>
      <c r="C2927" s="247"/>
    </row>
    <row r="2928">
      <c r="A2928" s="247"/>
      <c r="B2928" s="258"/>
      <c r="C2928" s="247"/>
    </row>
    <row r="2929">
      <c r="A2929" s="247"/>
      <c r="B2929" s="258"/>
      <c r="C2929" s="247"/>
    </row>
    <row r="2930">
      <c r="A2930" s="247"/>
      <c r="B2930" s="258"/>
      <c r="C2930" s="247"/>
    </row>
    <row r="2931">
      <c r="A2931" s="247"/>
      <c r="B2931" s="258"/>
      <c r="C2931" s="247"/>
    </row>
    <row r="2932">
      <c r="A2932" s="247"/>
      <c r="B2932" s="258"/>
      <c r="C2932" s="247"/>
    </row>
    <row r="2933">
      <c r="A2933" s="247"/>
      <c r="B2933" s="258"/>
      <c r="C2933" s="247"/>
    </row>
    <row r="2934">
      <c r="A2934" s="247"/>
      <c r="B2934" s="258"/>
      <c r="C2934" s="247"/>
    </row>
    <row r="2935">
      <c r="A2935" s="247"/>
      <c r="B2935" s="258"/>
      <c r="C2935" s="247"/>
    </row>
    <row r="2936">
      <c r="A2936" s="247"/>
      <c r="B2936" s="258"/>
      <c r="C2936" s="247"/>
    </row>
    <row r="2937">
      <c r="A2937" s="247"/>
      <c r="B2937" s="258"/>
      <c r="C2937" s="247"/>
    </row>
    <row r="2938">
      <c r="A2938" s="247"/>
      <c r="B2938" s="258"/>
      <c r="C2938" s="247"/>
    </row>
    <row r="2939">
      <c r="A2939" s="247"/>
      <c r="B2939" s="258"/>
      <c r="C2939" s="247"/>
    </row>
    <row r="2940">
      <c r="A2940" s="247"/>
      <c r="B2940" s="258"/>
      <c r="C2940" s="247"/>
    </row>
    <row r="2941">
      <c r="A2941" s="247"/>
      <c r="B2941" s="258"/>
      <c r="C2941" s="247"/>
    </row>
    <row r="2942">
      <c r="A2942" s="247"/>
      <c r="B2942" s="258"/>
      <c r="C2942" s="247"/>
    </row>
    <row r="2943">
      <c r="A2943" s="247"/>
      <c r="B2943" s="258"/>
      <c r="C2943" s="247"/>
    </row>
    <row r="2944">
      <c r="A2944" s="247"/>
      <c r="B2944" s="258"/>
      <c r="C2944" s="247"/>
    </row>
    <row r="2945">
      <c r="A2945" s="247"/>
      <c r="B2945" s="258"/>
      <c r="C2945" s="247"/>
    </row>
    <row r="2946">
      <c r="A2946" s="247"/>
      <c r="B2946" s="258"/>
      <c r="C2946" s="247"/>
    </row>
    <row r="2947">
      <c r="A2947" s="247"/>
      <c r="B2947" s="258"/>
      <c r="C2947" s="247"/>
    </row>
    <row r="2948">
      <c r="A2948" s="247"/>
      <c r="B2948" s="258"/>
      <c r="C2948" s="247"/>
    </row>
    <row r="2949">
      <c r="A2949" s="247"/>
      <c r="B2949" s="258"/>
      <c r="C2949" s="247"/>
    </row>
    <row r="2950">
      <c r="A2950" s="247"/>
      <c r="B2950" s="258"/>
      <c r="C2950" s="247"/>
    </row>
    <row r="2951">
      <c r="A2951" s="247"/>
      <c r="B2951" s="258"/>
      <c r="C2951" s="247"/>
    </row>
    <row r="2952">
      <c r="A2952" s="247"/>
      <c r="B2952" s="258"/>
      <c r="C2952" s="247"/>
    </row>
    <row r="2953">
      <c r="A2953" s="247"/>
      <c r="B2953" s="258"/>
      <c r="C2953" s="247"/>
    </row>
    <row r="2954">
      <c r="A2954" s="247"/>
      <c r="B2954" s="258"/>
      <c r="C2954" s="247"/>
    </row>
    <row r="2955">
      <c r="A2955" s="247"/>
      <c r="B2955" s="258"/>
      <c r="C2955" s="247"/>
    </row>
    <row r="2956">
      <c r="A2956" s="247"/>
      <c r="B2956" s="258"/>
      <c r="C2956" s="247"/>
    </row>
    <row r="2957">
      <c r="A2957" s="247"/>
      <c r="B2957" s="258"/>
      <c r="C2957" s="247"/>
    </row>
    <row r="2958">
      <c r="A2958" s="247"/>
      <c r="B2958" s="258"/>
      <c r="C2958" s="247"/>
    </row>
    <row r="2959">
      <c r="A2959" s="247"/>
      <c r="B2959" s="258"/>
      <c r="C2959" s="247"/>
    </row>
    <row r="2960">
      <c r="A2960" s="247"/>
      <c r="B2960" s="258"/>
      <c r="C2960" s="247"/>
    </row>
    <row r="2961">
      <c r="A2961" s="247"/>
      <c r="B2961" s="258"/>
      <c r="C2961" s="247"/>
    </row>
    <row r="2962">
      <c r="A2962" s="247"/>
      <c r="B2962" s="258"/>
      <c r="C2962" s="247"/>
    </row>
    <row r="2963">
      <c r="A2963" s="247"/>
      <c r="B2963" s="258"/>
      <c r="C2963" s="247"/>
    </row>
    <row r="2964">
      <c r="A2964" s="247"/>
      <c r="B2964" s="258"/>
      <c r="C2964" s="247"/>
    </row>
    <row r="2965">
      <c r="A2965" s="247"/>
      <c r="B2965" s="258"/>
      <c r="C2965" s="247"/>
    </row>
    <row r="2966">
      <c r="A2966" s="247"/>
      <c r="B2966" s="258"/>
      <c r="C2966" s="247"/>
    </row>
    <row r="2967">
      <c r="A2967" s="247"/>
      <c r="B2967" s="258"/>
      <c r="C2967" s="247"/>
    </row>
    <row r="2968">
      <c r="A2968" s="247"/>
      <c r="B2968" s="258"/>
      <c r="C2968" s="247"/>
    </row>
    <row r="2969">
      <c r="A2969" s="247"/>
      <c r="B2969" s="258"/>
      <c r="C2969" s="247"/>
    </row>
    <row r="2970">
      <c r="A2970" s="247"/>
      <c r="B2970" s="258"/>
      <c r="C2970" s="247"/>
    </row>
    <row r="2971">
      <c r="A2971" s="247"/>
      <c r="B2971" s="258"/>
      <c r="C2971" s="247"/>
    </row>
    <row r="2972">
      <c r="A2972" s="247"/>
      <c r="B2972" s="258"/>
      <c r="C2972" s="247"/>
    </row>
    <row r="2973">
      <c r="A2973" s="247"/>
      <c r="B2973" s="258"/>
      <c r="C2973" s="247"/>
    </row>
    <row r="2974">
      <c r="A2974" s="247"/>
      <c r="B2974" s="258"/>
      <c r="C2974" s="247"/>
    </row>
    <row r="2975">
      <c r="A2975" s="247"/>
      <c r="B2975" s="258"/>
      <c r="C2975" s="247"/>
    </row>
    <row r="2976">
      <c r="A2976" s="247"/>
      <c r="B2976" s="258"/>
      <c r="C2976" s="247"/>
    </row>
    <row r="2977">
      <c r="A2977" s="247"/>
      <c r="B2977" s="258"/>
      <c r="C2977" s="247"/>
    </row>
    <row r="2978">
      <c r="A2978" s="247"/>
      <c r="B2978" s="258"/>
      <c r="C2978" s="247"/>
    </row>
    <row r="2979">
      <c r="A2979" s="247"/>
      <c r="B2979" s="258"/>
      <c r="C2979" s="247"/>
    </row>
    <row r="2980">
      <c r="A2980" s="247"/>
      <c r="B2980" s="258"/>
      <c r="C2980" s="247"/>
    </row>
    <row r="2981">
      <c r="A2981" s="247"/>
      <c r="B2981" s="258"/>
      <c r="C2981" s="247"/>
    </row>
    <row r="2982">
      <c r="A2982" s="247"/>
      <c r="B2982" s="258"/>
      <c r="C2982" s="247"/>
    </row>
    <row r="2983">
      <c r="A2983" s="247"/>
      <c r="B2983" s="258"/>
      <c r="C2983" s="247"/>
    </row>
    <row r="2984">
      <c r="A2984" s="247"/>
      <c r="B2984" s="258"/>
      <c r="C2984" s="247"/>
    </row>
    <row r="2985">
      <c r="A2985" s="247"/>
      <c r="B2985" s="258"/>
      <c r="C2985" s="247"/>
    </row>
    <row r="2986">
      <c r="A2986" s="247"/>
      <c r="B2986" s="258"/>
      <c r="C2986" s="247"/>
    </row>
    <row r="2987">
      <c r="A2987" s="247"/>
      <c r="B2987" s="258"/>
      <c r="C2987" s="247"/>
    </row>
    <row r="2988">
      <c r="A2988" s="247"/>
      <c r="B2988" s="258"/>
      <c r="C2988" s="247"/>
    </row>
    <row r="2989">
      <c r="A2989" s="247"/>
      <c r="B2989" s="258"/>
      <c r="C2989" s="247"/>
    </row>
    <row r="2990">
      <c r="A2990" s="247"/>
      <c r="B2990" s="258"/>
      <c r="C2990" s="247"/>
    </row>
    <row r="2991">
      <c r="A2991" s="247"/>
      <c r="B2991" s="258"/>
      <c r="C2991" s="247"/>
    </row>
    <row r="2992">
      <c r="A2992" s="247"/>
      <c r="B2992" s="258"/>
      <c r="C2992" s="247"/>
    </row>
    <row r="2993">
      <c r="A2993" s="247"/>
      <c r="B2993" s="258"/>
      <c r="C2993" s="247"/>
    </row>
    <row r="2994">
      <c r="A2994" s="247"/>
      <c r="B2994" s="258"/>
      <c r="C2994" s="247"/>
    </row>
    <row r="2995">
      <c r="A2995" s="247"/>
      <c r="B2995" s="258"/>
      <c r="C2995" s="247"/>
    </row>
    <row r="2996">
      <c r="A2996" s="247"/>
      <c r="B2996" s="258"/>
      <c r="C2996" s="247"/>
    </row>
    <row r="2997">
      <c r="A2997" s="247"/>
      <c r="B2997" s="258"/>
      <c r="C2997" s="247"/>
    </row>
    <row r="2998">
      <c r="A2998" s="247"/>
      <c r="B2998" s="258"/>
      <c r="C2998" s="247"/>
    </row>
    <row r="2999">
      <c r="A2999" s="247"/>
      <c r="B2999" s="258"/>
      <c r="C2999" s="247"/>
    </row>
    <row r="3000">
      <c r="A3000" s="247"/>
      <c r="B3000" s="258"/>
      <c r="C3000" s="247"/>
    </row>
    <row r="3001">
      <c r="A3001" s="247"/>
      <c r="B3001" s="258"/>
      <c r="C3001" s="247"/>
    </row>
    <row r="3002">
      <c r="A3002" s="247"/>
      <c r="B3002" s="258"/>
      <c r="C3002" s="247"/>
    </row>
    <row r="3003">
      <c r="A3003" s="247"/>
      <c r="B3003" s="258"/>
      <c r="C3003" s="247"/>
    </row>
    <row r="3004">
      <c r="A3004" s="247"/>
      <c r="B3004" s="258"/>
      <c r="C3004" s="247"/>
    </row>
    <row r="3005">
      <c r="A3005" s="247"/>
      <c r="B3005" s="258"/>
      <c r="C3005" s="247"/>
    </row>
    <row r="3006">
      <c r="A3006" s="247"/>
      <c r="B3006" s="258"/>
      <c r="C3006" s="247"/>
    </row>
    <row r="3007">
      <c r="A3007" s="247"/>
      <c r="B3007" s="258"/>
      <c r="C3007" s="247"/>
    </row>
    <row r="3008">
      <c r="A3008" s="247"/>
      <c r="B3008" s="258"/>
      <c r="C3008" s="247"/>
    </row>
    <row r="3009">
      <c r="A3009" s="247"/>
      <c r="B3009" s="258"/>
      <c r="C3009" s="247"/>
    </row>
    <row r="3010">
      <c r="A3010" s="247"/>
      <c r="B3010" s="258"/>
      <c r="C3010" s="247"/>
    </row>
    <row r="3011">
      <c r="A3011" s="247"/>
      <c r="B3011" s="258"/>
      <c r="C3011" s="247"/>
    </row>
    <row r="3012">
      <c r="A3012" s="247"/>
      <c r="B3012" s="258"/>
      <c r="C3012" s="247"/>
    </row>
    <row r="3013">
      <c r="A3013" s="247"/>
      <c r="B3013" s="258"/>
      <c r="C3013" s="247"/>
    </row>
    <row r="3014">
      <c r="A3014" s="247"/>
      <c r="B3014" s="258"/>
      <c r="C3014" s="247"/>
    </row>
    <row r="3015">
      <c r="A3015" s="247"/>
      <c r="B3015" s="258"/>
      <c r="C3015" s="247"/>
    </row>
    <row r="3016">
      <c r="A3016" s="247"/>
      <c r="B3016" s="258"/>
      <c r="C3016" s="247"/>
    </row>
    <row r="3017">
      <c r="A3017" s="247"/>
      <c r="B3017" s="258"/>
      <c r="C3017" s="247"/>
    </row>
    <row r="3018">
      <c r="A3018" s="247"/>
      <c r="B3018" s="258"/>
      <c r="C3018" s="247"/>
    </row>
    <row r="3019">
      <c r="A3019" s="247"/>
      <c r="B3019" s="258"/>
      <c r="C3019" s="247"/>
    </row>
    <row r="3020">
      <c r="A3020" s="247"/>
      <c r="B3020" s="258"/>
      <c r="C3020" s="247"/>
    </row>
    <row r="3021">
      <c r="A3021" s="247"/>
      <c r="B3021" s="258"/>
      <c r="C3021" s="247"/>
    </row>
    <row r="3022">
      <c r="A3022" s="247"/>
      <c r="B3022" s="258"/>
      <c r="C3022" s="247"/>
    </row>
    <row r="3023">
      <c r="A3023" s="247"/>
      <c r="B3023" s="258"/>
      <c r="C3023" s="247"/>
    </row>
    <row r="3024">
      <c r="A3024" s="247"/>
      <c r="B3024" s="258"/>
      <c r="C3024" s="247"/>
    </row>
    <row r="3025">
      <c r="A3025" s="247"/>
      <c r="B3025" s="258"/>
      <c r="C3025" s="247"/>
    </row>
    <row r="3026">
      <c r="A3026" s="247"/>
      <c r="B3026" s="258"/>
      <c r="C3026" s="247"/>
    </row>
    <row r="3027">
      <c r="A3027" s="247"/>
      <c r="B3027" s="258"/>
      <c r="C3027" s="247"/>
    </row>
    <row r="3028">
      <c r="A3028" s="247"/>
      <c r="B3028" s="258"/>
      <c r="C3028" s="247"/>
    </row>
    <row r="3029">
      <c r="A3029" s="247"/>
      <c r="B3029" s="258"/>
      <c r="C3029" s="247"/>
    </row>
    <row r="3030">
      <c r="A3030" s="247"/>
      <c r="B3030" s="258"/>
      <c r="C3030" s="247"/>
    </row>
    <row r="3031">
      <c r="A3031" s="247"/>
      <c r="B3031" s="258"/>
      <c r="C3031" s="247"/>
    </row>
    <row r="3032">
      <c r="A3032" s="247"/>
      <c r="B3032" s="258"/>
      <c r="C3032" s="247"/>
    </row>
    <row r="3033">
      <c r="A3033" s="247"/>
      <c r="B3033" s="258"/>
      <c r="C3033" s="247"/>
    </row>
    <row r="3034">
      <c r="A3034" s="247"/>
      <c r="B3034" s="258"/>
      <c r="C3034" s="247"/>
    </row>
    <row r="3035">
      <c r="A3035" s="247"/>
      <c r="B3035" s="258"/>
      <c r="C3035" s="247"/>
    </row>
    <row r="3036">
      <c r="A3036" s="247"/>
      <c r="B3036" s="258"/>
      <c r="C3036" s="247"/>
    </row>
    <row r="3037">
      <c r="A3037" s="247"/>
      <c r="B3037" s="258"/>
      <c r="C3037" s="247"/>
    </row>
    <row r="3038">
      <c r="A3038" s="247"/>
      <c r="B3038" s="258"/>
      <c r="C3038" s="247"/>
    </row>
    <row r="3039">
      <c r="A3039" s="247"/>
      <c r="B3039" s="258"/>
      <c r="C3039" s="247"/>
    </row>
    <row r="3040">
      <c r="A3040" s="247"/>
      <c r="B3040" s="258"/>
      <c r="C3040" s="247"/>
    </row>
    <row r="3041">
      <c r="A3041" s="247"/>
      <c r="B3041" s="258"/>
      <c r="C3041" s="247"/>
    </row>
    <row r="3042">
      <c r="A3042" s="247"/>
      <c r="B3042" s="258"/>
      <c r="C3042" s="247"/>
    </row>
    <row r="3043">
      <c r="A3043" s="247"/>
      <c r="B3043" s="258"/>
      <c r="C3043" s="247"/>
    </row>
    <row r="3044">
      <c r="A3044" s="247"/>
      <c r="B3044" s="258"/>
      <c r="C3044" s="247"/>
    </row>
    <row r="3045">
      <c r="A3045" s="247"/>
      <c r="B3045" s="258"/>
      <c r="C3045" s="247"/>
    </row>
    <row r="3046">
      <c r="A3046" s="247"/>
      <c r="B3046" s="258"/>
      <c r="C3046" s="247"/>
    </row>
    <row r="3047">
      <c r="A3047" s="247"/>
      <c r="B3047" s="258"/>
      <c r="C3047" s="247"/>
    </row>
    <row r="3048">
      <c r="A3048" s="247"/>
      <c r="B3048" s="258"/>
      <c r="C3048" s="247"/>
    </row>
    <row r="3049">
      <c r="A3049" s="247"/>
      <c r="B3049" s="258"/>
      <c r="C3049" s="247"/>
    </row>
    <row r="3050">
      <c r="A3050" s="247"/>
      <c r="B3050" s="258"/>
      <c r="C3050" s="247"/>
    </row>
    <row r="3051">
      <c r="A3051" s="247"/>
      <c r="B3051" s="258"/>
      <c r="C3051" s="247"/>
    </row>
    <row r="3052">
      <c r="A3052" s="247"/>
      <c r="B3052" s="258"/>
      <c r="C3052" s="247"/>
    </row>
    <row r="3053">
      <c r="A3053" s="247"/>
      <c r="B3053" s="258"/>
      <c r="C3053" s="247"/>
    </row>
    <row r="3054">
      <c r="A3054" s="247"/>
      <c r="B3054" s="258"/>
      <c r="C3054" s="247"/>
    </row>
    <row r="3055">
      <c r="A3055" s="247"/>
      <c r="B3055" s="258"/>
      <c r="C3055" s="247"/>
    </row>
    <row r="3056">
      <c r="A3056" s="247"/>
      <c r="B3056" s="258"/>
      <c r="C3056" s="247"/>
    </row>
    <row r="3057">
      <c r="A3057" s="247"/>
      <c r="B3057" s="258"/>
      <c r="C3057" s="247"/>
    </row>
    <row r="3058">
      <c r="A3058" s="247"/>
      <c r="B3058" s="258"/>
      <c r="C3058" s="247"/>
    </row>
    <row r="3059">
      <c r="A3059" s="247"/>
      <c r="B3059" s="258"/>
      <c r="C3059" s="247"/>
    </row>
    <row r="3060">
      <c r="A3060" s="247"/>
      <c r="B3060" s="258"/>
      <c r="C3060" s="247"/>
    </row>
    <row r="3061">
      <c r="A3061" s="247"/>
      <c r="B3061" s="258"/>
      <c r="C3061" s="247"/>
    </row>
    <row r="3062">
      <c r="A3062" s="247"/>
      <c r="B3062" s="258"/>
      <c r="C3062" s="247"/>
    </row>
    <row r="3063">
      <c r="A3063" s="247"/>
      <c r="B3063" s="258"/>
      <c r="C3063" s="247"/>
    </row>
    <row r="3064">
      <c r="A3064" s="247"/>
      <c r="B3064" s="258"/>
      <c r="C3064" s="247"/>
    </row>
    <row r="3065">
      <c r="A3065" s="247"/>
      <c r="B3065" s="258"/>
      <c r="C3065" s="247"/>
    </row>
    <row r="3066">
      <c r="A3066" s="247"/>
      <c r="B3066" s="258"/>
      <c r="C3066" s="247"/>
    </row>
    <row r="3067">
      <c r="A3067" s="247"/>
      <c r="B3067" s="258"/>
      <c r="C3067" s="247"/>
    </row>
    <row r="3068">
      <c r="A3068" s="247"/>
      <c r="B3068" s="258"/>
      <c r="C3068" s="247"/>
    </row>
    <row r="3069">
      <c r="A3069" s="247"/>
      <c r="B3069" s="258"/>
      <c r="C3069" s="247"/>
    </row>
    <row r="3070">
      <c r="A3070" s="247"/>
      <c r="B3070" s="258"/>
      <c r="C3070" s="247"/>
    </row>
    <row r="3071">
      <c r="A3071" s="247"/>
      <c r="B3071" s="258"/>
      <c r="C3071" s="247"/>
    </row>
    <row r="3072">
      <c r="A3072" s="247"/>
      <c r="B3072" s="258"/>
      <c r="C3072" s="247"/>
    </row>
    <row r="3073">
      <c r="A3073" s="247"/>
      <c r="B3073" s="258"/>
      <c r="C3073" s="247"/>
    </row>
    <row r="3074">
      <c r="A3074" s="247"/>
      <c r="B3074" s="258"/>
      <c r="C3074" s="247"/>
    </row>
    <row r="3075">
      <c r="A3075" s="247"/>
      <c r="B3075" s="258"/>
      <c r="C3075" s="247"/>
    </row>
    <row r="3076">
      <c r="A3076" s="247"/>
      <c r="B3076" s="258"/>
      <c r="C3076" s="247"/>
    </row>
    <row r="3077">
      <c r="A3077" s="247"/>
      <c r="B3077" s="258"/>
      <c r="C3077" s="247"/>
    </row>
    <row r="3078">
      <c r="A3078" s="247"/>
      <c r="B3078" s="258"/>
      <c r="C3078" s="247"/>
    </row>
    <row r="3079">
      <c r="A3079" s="247"/>
      <c r="B3079" s="258"/>
      <c r="C3079" s="247"/>
    </row>
    <row r="3080">
      <c r="A3080" s="247"/>
      <c r="B3080" s="258"/>
      <c r="C3080" s="247"/>
    </row>
    <row r="3081">
      <c r="A3081" s="247"/>
      <c r="B3081" s="258"/>
      <c r="C3081" s="247"/>
    </row>
    <row r="3082">
      <c r="A3082" s="247"/>
      <c r="B3082" s="258"/>
      <c r="C3082" s="247"/>
    </row>
    <row r="3083">
      <c r="A3083" s="247"/>
      <c r="B3083" s="258"/>
      <c r="C3083" s="247"/>
    </row>
    <row r="3084">
      <c r="A3084" s="247"/>
      <c r="B3084" s="258"/>
      <c r="C3084" s="247"/>
    </row>
    <row r="3085">
      <c r="A3085" s="247"/>
      <c r="B3085" s="258"/>
      <c r="C3085" s="247"/>
    </row>
    <row r="3086">
      <c r="A3086" s="247"/>
      <c r="B3086" s="258"/>
      <c r="C3086" s="247"/>
    </row>
    <row r="3087">
      <c r="A3087" s="247"/>
      <c r="B3087" s="258"/>
      <c r="C3087" s="247"/>
    </row>
    <row r="3088">
      <c r="A3088" s="247"/>
      <c r="B3088" s="258"/>
      <c r="C3088" s="247"/>
    </row>
    <row r="3089">
      <c r="A3089" s="247"/>
      <c r="B3089" s="258"/>
      <c r="C3089" s="247"/>
    </row>
    <row r="3090">
      <c r="A3090" s="247"/>
      <c r="B3090" s="258"/>
      <c r="C3090" s="247"/>
    </row>
    <row r="3091">
      <c r="A3091" s="247"/>
      <c r="B3091" s="258"/>
      <c r="C3091" s="247"/>
    </row>
    <row r="3092">
      <c r="A3092" s="247"/>
      <c r="B3092" s="258"/>
      <c r="C3092" s="247"/>
    </row>
    <row r="3093">
      <c r="A3093" s="247"/>
      <c r="B3093" s="258"/>
      <c r="C3093" s="247"/>
    </row>
    <row r="3094">
      <c r="A3094" s="247"/>
      <c r="B3094" s="258"/>
      <c r="C3094" s="247"/>
    </row>
    <row r="3095">
      <c r="A3095" s="247"/>
      <c r="B3095" s="258"/>
      <c r="C3095" s="247"/>
    </row>
    <row r="3096">
      <c r="A3096" s="247"/>
      <c r="B3096" s="258"/>
      <c r="C3096" s="247"/>
    </row>
    <row r="3097">
      <c r="A3097" s="247"/>
      <c r="B3097" s="258"/>
      <c r="C3097" s="247"/>
    </row>
    <row r="3098">
      <c r="A3098" s="247"/>
      <c r="B3098" s="258"/>
      <c r="C3098" s="247"/>
    </row>
    <row r="3099">
      <c r="A3099" s="247"/>
      <c r="B3099" s="258"/>
      <c r="C3099" s="247"/>
    </row>
    <row r="3100">
      <c r="A3100" s="247"/>
      <c r="B3100" s="258"/>
      <c r="C3100" s="247"/>
    </row>
    <row r="3101">
      <c r="A3101" s="247"/>
      <c r="B3101" s="258"/>
      <c r="C3101" s="247"/>
    </row>
    <row r="3102">
      <c r="A3102" s="247"/>
      <c r="B3102" s="258"/>
      <c r="C3102" s="247"/>
    </row>
    <row r="3103">
      <c r="A3103" s="247"/>
      <c r="B3103" s="258"/>
      <c r="C3103" s="247"/>
    </row>
    <row r="3104">
      <c r="A3104" s="247"/>
      <c r="B3104" s="258"/>
      <c r="C3104" s="247"/>
    </row>
    <row r="3105">
      <c r="A3105" s="247"/>
      <c r="B3105" s="258"/>
      <c r="C3105" s="247"/>
    </row>
    <row r="3106">
      <c r="A3106" s="247"/>
      <c r="B3106" s="258"/>
      <c r="C3106" s="247"/>
    </row>
    <row r="3107">
      <c r="A3107" s="247"/>
      <c r="B3107" s="258"/>
      <c r="C3107" s="247"/>
    </row>
    <row r="3108">
      <c r="A3108" s="247"/>
      <c r="B3108" s="258"/>
      <c r="C3108" s="247"/>
    </row>
    <row r="3109">
      <c r="A3109" s="247"/>
      <c r="B3109" s="258"/>
      <c r="C3109" s="247"/>
    </row>
    <row r="3110">
      <c r="A3110" s="247"/>
      <c r="B3110" s="258"/>
      <c r="C3110" s="247"/>
    </row>
    <row r="3111">
      <c r="A3111" s="247"/>
      <c r="B3111" s="258"/>
      <c r="C3111" s="247"/>
    </row>
    <row r="3112">
      <c r="A3112" s="247"/>
      <c r="B3112" s="258"/>
      <c r="C3112" s="247"/>
    </row>
    <row r="3113">
      <c r="A3113" s="247"/>
      <c r="B3113" s="258"/>
      <c r="C3113" s="247"/>
    </row>
    <row r="3114">
      <c r="A3114" s="247"/>
      <c r="B3114" s="258"/>
      <c r="C3114" s="247"/>
    </row>
    <row r="3115">
      <c r="A3115" s="247"/>
      <c r="B3115" s="258"/>
      <c r="C3115" s="247"/>
    </row>
    <row r="3116">
      <c r="A3116" s="247"/>
      <c r="B3116" s="258"/>
      <c r="C3116" s="247"/>
    </row>
    <row r="3117">
      <c r="A3117" s="247"/>
      <c r="B3117" s="258"/>
      <c r="C3117" s="247"/>
    </row>
    <row r="3118">
      <c r="A3118" s="247"/>
      <c r="B3118" s="258"/>
      <c r="C3118" s="247"/>
    </row>
    <row r="3119">
      <c r="A3119" s="247"/>
      <c r="B3119" s="258"/>
      <c r="C3119" s="247"/>
    </row>
    <row r="3120">
      <c r="A3120" s="247"/>
      <c r="B3120" s="258"/>
      <c r="C3120" s="247"/>
    </row>
    <row r="3121">
      <c r="A3121" s="247"/>
      <c r="B3121" s="258"/>
      <c r="C3121" s="247"/>
    </row>
    <row r="3122">
      <c r="A3122" s="247"/>
      <c r="B3122" s="258"/>
      <c r="C3122" s="247"/>
    </row>
    <row r="3123">
      <c r="A3123" s="247"/>
      <c r="B3123" s="258"/>
      <c r="C3123" s="247"/>
    </row>
    <row r="3124">
      <c r="A3124" s="247"/>
      <c r="B3124" s="258"/>
      <c r="C3124" s="247"/>
    </row>
    <row r="3125">
      <c r="A3125" s="247"/>
      <c r="B3125" s="258"/>
      <c r="C3125" s="247"/>
    </row>
    <row r="3126">
      <c r="A3126" s="247"/>
      <c r="B3126" s="258"/>
      <c r="C3126" s="247"/>
    </row>
    <row r="3127">
      <c r="A3127" s="247"/>
      <c r="B3127" s="258"/>
      <c r="C3127" s="247"/>
    </row>
    <row r="3128">
      <c r="A3128" s="247"/>
      <c r="B3128" s="258"/>
      <c r="C3128" s="247"/>
    </row>
    <row r="3129">
      <c r="A3129" s="247"/>
      <c r="B3129" s="258"/>
      <c r="C3129" s="247"/>
    </row>
    <row r="3130">
      <c r="A3130" s="247"/>
      <c r="B3130" s="258"/>
      <c r="C3130" s="247"/>
    </row>
    <row r="3131">
      <c r="A3131" s="247"/>
      <c r="B3131" s="258"/>
      <c r="C3131" s="247"/>
    </row>
    <row r="3132">
      <c r="A3132" s="247"/>
      <c r="B3132" s="258"/>
      <c r="C3132" s="247"/>
    </row>
    <row r="3133">
      <c r="A3133" s="247"/>
      <c r="B3133" s="258"/>
      <c r="C3133" s="247"/>
    </row>
    <row r="3134">
      <c r="A3134" s="247"/>
      <c r="B3134" s="258"/>
      <c r="C3134" s="247"/>
    </row>
    <row r="3135">
      <c r="A3135" s="247"/>
      <c r="B3135" s="258"/>
      <c r="C3135" s="247"/>
    </row>
    <row r="3136">
      <c r="A3136" s="247"/>
      <c r="B3136" s="258"/>
      <c r="C3136" s="247"/>
    </row>
    <row r="3137">
      <c r="A3137" s="247"/>
      <c r="B3137" s="258"/>
      <c r="C3137" s="247"/>
    </row>
    <row r="3138">
      <c r="A3138" s="247"/>
      <c r="B3138" s="258"/>
      <c r="C3138" s="247"/>
    </row>
    <row r="3139">
      <c r="A3139" s="247"/>
      <c r="B3139" s="258"/>
      <c r="C3139" s="247"/>
    </row>
    <row r="3140">
      <c r="A3140" s="247"/>
      <c r="B3140" s="258"/>
      <c r="C3140" s="247"/>
    </row>
    <row r="3141">
      <c r="A3141" s="247"/>
      <c r="B3141" s="258"/>
      <c r="C3141" s="247"/>
    </row>
    <row r="3142">
      <c r="A3142" s="247"/>
      <c r="B3142" s="258"/>
      <c r="C3142" s="247"/>
    </row>
    <row r="3143">
      <c r="A3143" s="247"/>
      <c r="B3143" s="258"/>
      <c r="C3143" s="247"/>
    </row>
    <row r="3144">
      <c r="A3144" s="247"/>
      <c r="B3144" s="258"/>
      <c r="C3144" s="247"/>
    </row>
    <row r="3145">
      <c r="A3145" s="247"/>
      <c r="B3145" s="258"/>
      <c r="C3145" s="247"/>
    </row>
    <row r="3146">
      <c r="A3146" s="247"/>
      <c r="B3146" s="258"/>
      <c r="C3146" s="247"/>
    </row>
    <row r="3147">
      <c r="A3147" s="247"/>
      <c r="B3147" s="258"/>
      <c r="C3147" s="247"/>
    </row>
    <row r="3148">
      <c r="A3148" s="247"/>
      <c r="B3148" s="258"/>
      <c r="C3148" s="247"/>
    </row>
    <row r="3149">
      <c r="A3149" s="247"/>
      <c r="B3149" s="258"/>
      <c r="C3149" s="247"/>
    </row>
    <row r="3150">
      <c r="A3150" s="247"/>
      <c r="B3150" s="258"/>
      <c r="C3150" s="247"/>
    </row>
    <row r="3151">
      <c r="A3151" s="247"/>
      <c r="B3151" s="258"/>
      <c r="C3151" s="247"/>
    </row>
    <row r="3152">
      <c r="A3152" s="247"/>
      <c r="B3152" s="258"/>
      <c r="C3152" s="247"/>
    </row>
    <row r="3153">
      <c r="A3153" s="247"/>
      <c r="B3153" s="258"/>
      <c r="C3153" s="247"/>
    </row>
    <row r="3154">
      <c r="A3154" s="247"/>
      <c r="B3154" s="258"/>
      <c r="C3154" s="247"/>
    </row>
    <row r="3155">
      <c r="A3155" s="247"/>
      <c r="B3155" s="258"/>
      <c r="C3155" s="247"/>
    </row>
    <row r="3156">
      <c r="A3156" s="247"/>
      <c r="B3156" s="258"/>
      <c r="C3156" s="247"/>
    </row>
    <row r="3157">
      <c r="A3157" s="247"/>
      <c r="B3157" s="258"/>
      <c r="C3157" s="247"/>
    </row>
    <row r="3158">
      <c r="A3158" s="247"/>
      <c r="B3158" s="258"/>
      <c r="C3158" s="247"/>
    </row>
    <row r="3159">
      <c r="A3159" s="247"/>
      <c r="B3159" s="258"/>
      <c r="C3159" s="247"/>
    </row>
    <row r="3160">
      <c r="A3160" s="247"/>
      <c r="B3160" s="258"/>
      <c r="C3160" s="247"/>
    </row>
    <row r="3161">
      <c r="A3161" s="247"/>
      <c r="B3161" s="258"/>
      <c r="C3161" s="247"/>
    </row>
    <row r="3162">
      <c r="A3162" s="247"/>
      <c r="B3162" s="258"/>
      <c r="C3162" s="247"/>
    </row>
    <row r="3163">
      <c r="A3163" s="247"/>
      <c r="B3163" s="258"/>
      <c r="C3163" s="247"/>
    </row>
    <row r="3164">
      <c r="A3164" s="247"/>
      <c r="B3164" s="258"/>
      <c r="C3164" s="247"/>
    </row>
    <row r="3165">
      <c r="A3165" s="247"/>
      <c r="B3165" s="258"/>
      <c r="C3165" s="247"/>
    </row>
    <row r="3166">
      <c r="A3166" s="247"/>
      <c r="B3166" s="258"/>
      <c r="C3166" s="247"/>
    </row>
    <row r="3167">
      <c r="A3167" s="247"/>
      <c r="B3167" s="258"/>
      <c r="C3167" s="247"/>
    </row>
    <row r="3168">
      <c r="A3168" s="247"/>
      <c r="B3168" s="258"/>
      <c r="C3168" s="247"/>
    </row>
    <row r="3169">
      <c r="A3169" s="247"/>
      <c r="B3169" s="258"/>
      <c r="C3169" s="247"/>
    </row>
    <row r="3170">
      <c r="A3170" s="247"/>
      <c r="B3170" s="258"/>
      <c r="C3170" s="247"/>
    </row>
    <row r="3171">
      <c r="A3171" s="247"/>
      <c r="B3171" s="258"/>
      <c r="C3171" s="247"/>
    </row>
    <row r="3172">
      <c r="A3172" s="247"/>
      <c r="B3172" s="258"/>
      <c r="C3172" s="247"/>
    </row>
    <row r="3173">
      <c r="A3173" s="247"/>
      <c r="B3173" s="258"/>
      <c r="C3173" s="247"/>
    </row>
    <row r="3174">
      <c r="A3174" s="247"/>
      <c r="B3174" s="258"/>
      <c r="C3174" s="247"/>
    </row>
    <row r="3175">
      <c r="A3175" s="247"/>
      <c r="B3175" s="258"/>
      <c r="C3175" s="247"/>
    </row>
    <row r="3176">
      <c r="A3176" s="247"/>
      <c r="B3176" s="258"/>
      <c r="C3176" s="247"/>
    </row>
    <row r="3177">
      <c r="A3177" s="247"/>
      <c r="B3177" s="258"/>
      <c r="C3177" s="247"/>
    </row>
    <row r="3178">
      <c r="A3178" s="247"/>
      <c r="B3178" s="258"/>
      <c r="C3178" s="247"/>
    </row>
    <row r="3179">
      <c r="A3179" s="247"/>
      <c r="B3179" s="258"/>
      <c r="C3179" s="247"/>
    </row>
    <row r="3180">
      <c r="A3180" s="247"/>
      <c r="B3180" s="258"/>
      <c r="C3180" s="247"/>
    </row>
    <row r="3181">
      <c r="A3181" s="247"/>
      <c r="B3181" s="258"/>
      <c r="C3181" s="247"/>
    </row>
    <row r="3182">
      <c r="A3182" s="247"/>
      <c r="B3182" s="258"/>
      <c r="C3182" s="247"/>
    </row>
    <row r="3183">
      <c r="A3183" s="247"/>
      <c r="B3183" s="258"/>
      <c r="C3183" s="247"/>
    </row>
    <row r="3184">
      <c r="A3184" s="247"/>
      <c r="B3184" s="258"/>
      <c r="C3184" s="247"/>
    </row>
    <row r="3185">
      <c r="A3185" s="247"/>
      <c r="B3185" s="258"/>
      <c r="C3185" s="247"/>
    </row>
    <row r="3186">
      <c r="A3186" s="247"/>
      <c r="B3186" s="258"/>
      <c r="C3186" s="247"/>
    </row>
    <row r="3187">
      <c r="A3187" s="247"/>
      <c r="B3187" s="258"/>
      <c r="C3187" s="247"/>
    </row>
    <row r="3188">
      <c r="A3188" s="247"/>
      <c r="B3188" s="258"/>
      <c r="C3188" s="247"/>
    </row>
    <row r="3189">
      <c r="A3189" s="247"/>
      <c r="B3189" s="258"/>
      <c r="C3189" s="247"/>
    </row>
    <row r="3190">
      <c r="A3190" s="247"/>
      <c r="B3190" s="258"/>
      <c r="C3190" s="247"/>
    </row>
    <row r="3191">
      <c r="A3191" s="247"/>
      <c r="B3191" s="258"/>
      <c r="C3191" s="247"/>
    </row>
    <row r="3192">
      <c r="A3192" s="247"/>
      <c r="B3192" s="258"/>
      <c r="C3192" s="247"/>
    </row>
    <row r="3193">
      <c r="A3193" s="247"/>
      <c r="B3193" s="258"/>
      <c r="C3193" s="247"/>
    </row>
    <row r="3194">
      <c r="A3194" s="247"/>
      <c r="B3194" s="258"/>
      <c r="C3194" s="247"/>
    </row>
    <row r="3195">
      <c r="A3195" s="247"/>
      <c r="B3195" s="258"/>
      <c r="C3195" s="247"/>
    </row>
    <row r="3196">
      <c r="A3196" s="247"/>
      <c r="B3196" s="258"/>
      <c r="C3196" s="247"/>
    </row>
    <row r="3197">
      <c r="A3197" s="247"/>
      <c r="B3197" s="258"/>
      <c r="C3197" s="247"/>
    </row>
    <row r="3198">
      <c r="A3198" s="247"/>
      <c r="B3198" s="258"/>
      <c r="C3198" s="247"/>
    </row>
    <row r="3199">
      <c r="A3199" s="247"/>
      <c r="B3199" s="258"/>
      <c r="C3199" s="247"/>
    </row>
    <row r="3200">
      <c r="A3200" s="247"/>
      <c r="B3200" s="258"/>
      <c r="C3200" s="247"/>
    </row>
    <row r="3201">
      <c r="A3201" s="247"/>
      <c r="B3201" s="258"/>
      <c r="C3201" s="247"/>
    </row>
    <row r="3202">
      <c r="A3202" s="247"/>
      <c r="B3202" s="258"/>
      <c r="C3202" s="247"/>
    </row>
    <row r="3203">
      <c r="A3203" s="247"/>
      <c r="B3203" s="258"/>
      <c r="C3203" s="247"/>
    </row>
    <row r="3204">
      <c r="A3204" s="247"/>
      <c r="B3204" s="258"/>
      <c r="C3204" s="247"/>
    </row>
    <row r="3205">
      <c r="A3205" s="247"/>
      <c r="B3205" s="258"/>
      <c r="C3205" s="247"/>
    </row>
    <row r="3206">
      <c r="A3206" s="247"/>
      <c r="B3206" s="258"/>
      <c r="C3206" s="247"/>
    </row>
    <row r="3207">
      <c r="A3207" s="247"/>
      <c r="B3207" s="258"/>
      <c r="C3207" s="247"/>
    </row>
    <row r="3208">
      <c r="A3208" s="247"/>
      <c r="B3208" s="258"/>
      <c r="C3208" s="247"/>
    </row>
    <row r="3209">
      <c r="A3209" s="247"/>
      <c r="B3209" s="258"/>
      <c r="C3209" s="247"/>
    </row>
    <row r="3210">
      <c r="A3210" s="247"/>
      <c r="B3210" s="258"/>
      <c r="C3210" s="247"/>
    </row>
    <row r="3211">
      <c r="A3211" s="247"/>
      <c r="B3211" s="258"/>
      <c r="C3211" s="247"/>
    </row>
    <row r="3212">
      <c r="A3212" s="247"/>
      <c r="B3212" s="258"/>
      <c r="C3212" s="247"/>
    </row>
    <row r="3213">
      <c r="A3213" s="247"/>
      <c r="B3213" s="258"/>
      <c r="C3213" s="247"/>
    </row>
    <row r="3214">
      <c r="A3214" s="247"/>
      <c r="B3214" s="258"/>
      <c r="C3214" s="247"/>
    </row>
    <row r="3215">
      <c r="A3215" s="247"/>
      <c r="B3215" s="258"/>
      <c r="C3215" s="247"/>
    </row>
    <row r="3216">
      <c r="A3216" s="247"/>
      <c r="B3216" s="258"/>
      <c r="C3216" s="247"/>
    </row>
    <row r="3217">
      <c r="A3217" s="247"/>
      <c r="B3217" s="258"/>
      <c r="C3217" s="247"/>
    </row>
    <row r="3218">
      <c r="A3218" s="247"/>
      <c r="B3218" s="258"/>
      <c r="C3218" s="247"/>
    </row>
    <row r="3219">
      <c r="A3219" s="247"/>
      <c r="B3219" s="258"/>
      <c r="C3219" s="247"/>
    </row>
    <row r="3220">
      <c r="A3220" s="247"/>
      <c r="B3220" s="258"/>
      <c r="C3220" s="247"/>
    </row>
    <row r="3221">
      <c r="A3221" s="247"/>
      <c r="B3221" s="258"/>
      <c r="C3221" s="247"/>
    </row>
    <row r="3222">
      <c r="A3222" s="247"/>
      <c r="B3222" s="258"/>
      <c r="C3222" s="247"/>
    </row>
    <row r="3223">
      <c r="A3223" s="247"/>
      <c r="B3223" s="258"/>
      <c r="C3223" s="247"/>
    </row>
    <row r="3224">
      <c r="A3224" s="247"/>
      <c r="B3224" s="258"/>
      <c r="C3224" s="247"/>
    </row>
    <row r="3225">
      <c r="A3225" s="247"/>
      <c r="B3225" s="258"/>
      <c r="C3225" s="247"/>
    </row>
    <row r="3226">
      <c r="A3226" s="247"/>
      <c r="B3226" s="258"/>
      <c r="C3226" s="247"/>
    </row>
    <row r="3227">
      <c r="A3227" s="247"/>
      <c r="B3227" s="258"/>
      <c r="C3227" s="247"/>
    </row>
    <row r="3228">
      <c r="A3228" s="247"/>
      <c r="B3228" s="258"/>
      <c r="C3228" s="247"/>
    </row>
    <row r="3229">
      <c r="A3229" s="247"/>
      <c r="B3229" s="258"/>
      <c r="C3229" s="247"/>
    </row>
    <row r="3230">
      <c r="A3230" s="247"/>
      <c r="B3230" s="258"/>
      <c r="C3230" s="247"/>
    </row>
    <row r="3231">
      <c r="A3231" s="247"/>
      <c r="B3231" s="258"/>
      <c r="C3231" s="247"/>
    </row>
    <row r="3232">
      <c r="A3232" s="247"/>
      <c r="B3232" s="258"/>
      <c r="C3232" s="247"/>
    </row>
    <row r="3233">
      <c r="A3233" s="247"/>
      <c r="B3233" s="258"/>
      <c r="C3233" s="247"/>
    </row>
    <row r="3234">
      <c r="A3234" s="247"/>
      <c r="B3234" s="258"/>
      <c r="C3234" s="247"/>
    </row>
    <row r="3235">
      <c r="A3235" s="247"/>
      <c r="B3235" s="258"/>
      <c r="C3235" s="247"/>
    </row>
    <row r="3236">
      <c r="A3236" s="247"/>
      <c r="B3236" s="258"/>
      <c r="C3236" s="247"/>
    </row>
    <row r="3237">
      <c r="A3237" s="247"/>
      <c r="B3237" s="258"/>
      <c r="C3237" s="247"/>
    </row>
    <row r="3238">
      <c r="A3238" s="247"/>
      <c r="B3238" s="258"/>
      <c r="C3238" s="247"/>
    </row>
    <row r="3239">
      <c r="A3239" s="247"/>
      <c r="B3239" s="258"/>
      <c r="C3239" s="247"/>
    </row>
    <row r="3240">
      <c r="A3240" s="247"/>
      <c r="B3240" s="258"/>
      <c r="C3240" s="247"/>
    </row>
    <row r="3241">
      <c r="A3241" s="247"/>
      <c r="B3241" s="258"/>
      <c r="C3241" s="247"/>
    </row>
    <row r="3242">
      <c r="A3242" s="247"/>
      <c r="B3242" s="258"/>
      <c r="C3242" s="247"/>
    </row>
    <row r="3243">
      <c r="A3243" s="247"/>
      <c r="B3243" s="258"/>
      <c r="C3243" s="247"/>
    </row>
    <row r="3244">
      <c r="A3244" s="247"/>
      <c r="B3244" s="258"/>
      <c r="C3244" s="247"/>
    </row>
    <row r="3245">
      <c r="A3245" s="247"/>
      <c r="B3245" s="258"/>
      <c r="C3245" s="247"/>
    </row>
    <row r="3246">
      <c r="A3246" s="247"/>
      <c r="B3246" s="258"/>
      <c r="C3246" s="247"/>
    </row>
    <row r="3247">
      <c r="A3247" s="247"/>
      <c r="B3247" s="258"/>
      <c r="C3247" s="247"/>
    </row>
    <row r="3248">
      <c r="A3248" s="247"/>
      <c r="B3248" s="258"/>
      <c r="C3248" s="247"/>
    </row>
    <row r="3249">
      <c r="A3249" s="247"/>
      <c r="B3249" s="258"/>
      <c r="C3249" s="247"/>
    </row>
    <row r="3250">
      <c r="A3250" s="247"/>
      <c r="B3250" s="258"/>
      <c r="C3250" s="247"/>
    </row>
    <row r="3251">
      <c r="A3251" s="247"/>
      <c r="B3251" s="258"/>
      <c r="C3251" s="247"/>
    </row>
    <row r="3252">
      <c r="A3252" s="247"/>
      <c r="B3252" s="258"/>
      <c r="C3252" s="247"/>
    </row>
    <row r="3253">
      <c r="A3253" s="247"/>
      <c r="B3253" s="258"/>
      <c r="C3253" s="247"/>
    </row>
    <row r="3254">
      <c r="A3254" s="247"/>
      <c r="B3254" s="258"/>
      <c r="C3254" s="247"/>
    </row>
    <row r="3255">
      <c r="A3255" s="247"/>
      <c r="B3255" s="258"/>
      <c r="C3255" s="247"/>
    </row>
    <row r="3256">
      <c r="A3256" s="247"/>
      <c r="B3256" s="258"/>
      <c r="C3256" s="247"/>
    </row>
    <row r="3257">
      <c r="A3257" s="247"/>
      <c r="B3257" s="258"/>
      <c r="C3257" s="247"/>
    </row>
    <row r="3258">
      <c r="A3258" s="247"/>
      <c r="B3258" s="258"/>
      <c r="C3258" s="247"/>
    </row>
    <row r="3259">
      <c r="A3259" s="247"/>
      <c r="B3259" s="258"/>
      <c r="C3259" s="247"/>
    </row>
    <row r="3260">
      <c r="A3260" s="247"/>
      <c r="B3260" s="258"/>
      <c r="C3260" s="247"/>
    </row>
    <row r="3261">
      <c r="A3261" s="247"/>
      <c r="B3261" s="258"/>
      <c r="C3261" s="247"/>
    </row>
    <row r="3262">
      <c r="A3262" s="247"/>
      <c r="B3262" s="258"/>
      <c r="C3262" s="247"/>
    </row>
    <row r="3263">
      <c r="A3263" s="247"/>
      <c r="B3263" s="258"/>
      <c r="C3263" s="247"/>
    </row>
    <row r="3264">
      <c r="A3264" s="247"/>
      <c r="B3264" s="258"/>
      <c r="C3264" s="247"/>
    </row>
    <row r="3265">
      <c r="A3265" s="247"/>
      <c r="B3265" s="258"/>
      <c r="C3265" s="247"/>
    </row>
    <row r="3266">
      <c r="A3266" s="247"/>
      <c r="B3266" s="258"/>
      <c r="C3266" s="247"/>
    </row>
    <row r="3267">
      <c r="A3267" s="247"/>
      <c r="B3267" s="258"/>
      <c r="C3267" s="247"/>
    </row>
    <row r="3268">
      <c r="A3268" s="247"/>
      <c r="B3268" s="258"/>
      <c r="C3268" s="247"/>
    </row>
    <row r="3269">
      <c r="A3269" s="247"/>
      <c r="B3269" s="258"/>
      <c r="C3269" s="247"/>
    </row>
    <row r="3270">
      <c r="A3270" s="247"/>
      <c r="B3270" s="258"/>
      <c r="C3270" s="247"/>
    </row>
    <row r="3271">
      <c r="A3271" s="247"/>
      <c r="B3271" s="258"/>
      <c r="C3271" s="247"/>
    </row>
    <row r="3272">
      <c r="A3272" s="247"/>
      <c r="B3272" s="258"/>
      <c r="C3272" s="247"/>
    </row>
    <row r="3273">
      <c r="A3273" s="247"/>
      <c r="B3273" s="258"/>
      <c r="C3273" s="247"/>
    </row>
    <row r="3274">
      <c r="A3274" s="247"/>
      <c r="B3274" s="258"/>
      <c r="C3274" s="247"/>
    </row>
    <row r="3275">
      <c r="A3275" s="247"/>
      <c r="B3275" s="258"/>
      <c r="C3275" s="247"/>
    </row>
    <row r="3276">
      <c r="A3276" s="247"/>
      <c r="B3276" s="258"/>
      <c r="C3276" s="247"/>
    </row>
    <row r="3277">
      <c r="A3277" s="247"/>
      <c r="B3277" s="258"/>
      <c r="C3277" s="247"/>
    </row>
    <row r="3278">
      <c r="A3278" s="247"/>
      <c r="B3278" s="258"/>
      <c r="C3278" s="247"/>
    </row>
    <row r="3279">
      <c r="A3279" s="247"/>
      <c r="B3279" s="258"/>
      <c r="C3279" s="247"/>
    </row>
    <row r="3280">
      <c r="A3280" s="247"/>
      <c r="B3280" s="258"/>
      <c r="C3280" s="247"/>
    </row>
    <row r="3281">
      <c r="A3281" s="247"/>
      <c r="B3281" s="258"/>
      <c r="C3281" s="247"/>
    </row>
    <row r="3282">
      <c r="A3282" s="247"/>
      <c r="B3282" s="258"/>
      <c r="C3282" s="247"/>
    </row>
    <row r="3283">
      <c r="A3283" s="247"/>
      <c r="B3283" s="258"/>
      <c r="C3283" s="247"/>
    </row>
    <row r="3284">
      <c r="A3284" s="247"/>
      <c r="B3284" s="258"/>
      <c r="C3284" s="247"/>
    </row>
    <row r="3285">
      <c r="A3285" s="247"/>
      <c r="B3285" s="258"/>
      <c r="C3285" s="247"/>
    </row>
    <row r="3286">
      <c r="A3286" s="247"/>
      <c r="B3286" s="258"/>
      <c r="C3286" s="247"/>
    </row>
    <row r="3287">
      <c r="A3287" s="247"/>
      <c r="B3287" s="258"/>
      <c r="C3287" s="247"/>
    </row>
    <row r="3288">
      <c r="A3288" s="247"/>
      <c r="B3288" s="258"/>
      <c r="C3288" s="247"/>
    </row>
    <row r="3289">
      <c r="A3289" s="247"/>
      <c r="B3289" s="258"/>
      <c r="C3289" s="247"/>
    </row>
    <row r="3290">
      <c r="A3290" s="247"/>
      <c r="B3290" s="258"/>
      <c r="C3290" s="247"/>
    </row>
    <row r="3291">
      <c r="A3291" s="247"/>
      <c r="B3291" s="258"/>
      <c r="C3291" s="247"/>
    </row>
    <row r="3292">
      <c r="A3292" s="247"/>
      <c r="B3292" s="258"/>
      <c r="C3292" s="247"/>
    </row>
    <row r="3293">
      <c r="A3293" s="247"/>
      <c r="B3293" s="258"/>
      <c r="C3293" s="247"/>
    </row>
    <row r="3294">
      <c r="A3294" s="247"/>
      <c r="B3294" s="258"/>
      <c r="C3294" s="247"/>
    </row>
    <row r="3295">
      <c r="A3295" s="247"/>
      <c r="B3295" s="258"/>
      <c r="C3295" s="247"/>
    </row>
    <row r="3296">
      <c r="A3296" s="247"/>
      <c r="B3296" s="258"/>
      <c r="C3296" s="247"/>
    </row>
    <row r="3297">
      <c r="A3297" s="247"/>
      <c r="B3297" s="258"/>
      <c r="C3297" s="247"/>
    </row>
    <row r="3298">
      <c r="A3298" s="247"/>
      <c r="B3298" s="258"/>
      <c r="C3298" s="247"/>
    </row>
    <row r="3299">
      <c r="A3299" s="247"/>
      <c r="B3299" s="258"/>
      <c r="C3299" s="247"/>
    </row>
    <row r="3300">
      <c r="A3300" s="247"/>
      <c r="B3300" s="258"/>
      <c r="C3300" s="247"/>
    </row>
    <row r="3301">
      <c r="A3301" s="247"/>
      <c r="B3301" s="258"/>
      <c r="C3301" s="247"/>
    </row>
    <row r="3302">
      <c r="A3302" s="247"/>
      <c r="B3302" s="258"/>
      <c r="C3302" s="247"/>
    </row>
    <row r="3303">
      <c r="A3303" s="247"/>
      <c r="B3303" s="258"/>
      <c r="C3303" s="247"/>
    </row>
    <row r="3304">
      <c r="A3304" s="247"/>
      <c r="B3304" s="258"/>
      <c r="C3304" s="247"/>
    </row>
    <row r="3305">
      <c r="A3305" s="247"/>
      <c r="B3305" s="258"/>
      <c r="C3305" s="247"/>
    </row>
    <row r="3306">
      <c r="A3306" s="247"/>
      <c r="B3306" s="258"/>
      <c r="C3306" s="247"/>
    </row>
    <row r="3307">
      <c r="A3307" s="247"/>
      <c r="B3307" s="258"/>
      <c r="C3307" s="247"/>
    </row>
    <row r="3308">
      <c r="A3308" s="247"/>
      <c r="B3308" s="258"/>
      <c r="C3308" s="247"/>
    </row>
    <row r="3309">
      <c r="A3309" s="247"/>
      <c r="B3309" s="258"/>
      <c r="C3309" s="247"/>
    </row>
    <row r="3310">
      <c r="A3310" s="247"/>
      <c r="B3310" s="258"/>
      <c r="C3310" s="247"/>
    </row>
    <row r="3311">
      <c r="A3311" s="247"/>
      <c r="B3311" s="258"/>
      <c r="C3311" s="247"/>
    </row>
    <row r="3312">
      <c r="A3312" s="247"/>
      <c r="B3312" s="258"/>
      <c r="C3312" s="247"/>
    </row>
    <row r="3313">
      <c r="A3313" s="247"/>
      <c r="B3313" s="258"/>
      <c r="C3313" s="247"/>
    </row>
    <row r="3314">
      <c r="A3314" s="247"/>
      <c r="B3314" s="258"/>
      <c r="C3314" s="247"/>
    </row>
    <row r="3315">
      <c r="A3315" s="247"/>
      <c r="B3315" s="258"/>
      <c r="C3315" s="247"/>
    </row>
    <row r="3316">
      <c r="A3316" s="247"/>
      <c r="B3316" s="258"/>
      <c r="C3316" s="247"/>
    </row>
    <row r="3317">
      <c r="A3317" s="247"/>
      <c r="B3317" s="258"/>
      <c r="C3317" s="247"/>
    </row>
    <row r="3318">
      <c r="A3318" s="247"/>
      <c r="B3318" s="258"/>
      <c r="C3318" s="247"/>
    </row>
    <row r="3319">
      <c r="A3319" s="247"/>
      <c r="B3319" s="258"/>
      <c r="C3319" s="247"/>
    </row>
    <row r="3320">
      <c r="A3320" s="247"/>
      <c r="B3320" s="258"/>
      <c r="C3320" s="247"/>
    </row>
    <row r="3321">
      <c r="A3321" s="247"/>
      <c r="B3321" s="258"/>
      <c r="C3321" s="247"/>
    </row>
    <row r="3322">
      <c r="A3322" s="247"/>
      <c r="B3322" s="258"/>
      <c r="C3322" s="247"/>
    </row>
    <row r="3323">
      <c r="A3323" s="247"/>
      <c r="B3323" s="258"/>
      <c r="C3323" s="247"/>
    </row>
    <row r="3324">
      <c r="A3324" s="247"/>
      <c r="B3324" s="258"/>
      <c r="C3324" s="247"/>
    </row>
    <row r="3325">
      <c r="A3325" s="247"/>
      <c r="B3325" s="258"/>
      <c r="C3325" s="247"/>
    </row>
    <row r="3326">
      <c r="A3326" s="247"/>
      <c r="B3326" s="258"/>
      <c r="C3326" s="247"/>
    </row>
    <row r="3327">
      <c r="A3327" s="247"/>
      <c r="B3327" s="258"/>
      <c r="C3327" s="247"/>
    </row>
    <row r="3328">
      <c r="A3328" s="247"/>
      <c r="B3328" s="258"/>
      <c r="C3328" s="247"/>
    </row>
    <row r="3329">
      <c r="A3329" s="247"/>
      <c r="B3329" s="258"/>
      <c r="C3329" s="247"/>
    </row>
    <row r="3330">
      <c r="A3330" s="247"/>
      <c r="B3330" s="258"/>
      <c r="C3330" s="247"/>
    </row>
    <row r="3331">
      <c r="A3331" s="247"/>
      <c r="B3331" s="258"/>
      <c r="C3331" s="247"/>
    </row>
    <row r="3332">
      <c r="A3332" s="247"/>
      <c r="B3332" s="258"/>
      <c r="C3332" s="247"/>
    </row>
    <row r="3333">
      <c r="A3333" s="247"/>
      <c r="B3333" s="258"/>
      <c r="C3333" s="247"/>
    </row>
    <row r="3334">
      <c r="A3334" s="247"/>
      <c r="B3334" s="258"/>
      <c r="C3334" s="247"/>
    </row>
    <row r="3335">
      <c r="A3335" s="247"/>
      <c r="B3335" s="258"/>
      <c r="C3335" s="247"/>
    </row>
    <row r="3336">
      <c r="A3336" s="247"/>
      <c r="B3336" s="258"/>
      <c r="C3336" s="247"/>
    </row>
    <row r="3337">
      <c r="A3337" s="247"/>
      <c r="B3337" s="258"/>
      <c r="C3337" s="247"/>
    </row>
    <row r="3338">
      <c r="A3338" s="247"/>
      <c r="B3338" s="258"/>
      <c r="C3338" s="247"/>
    </row>
    <row r="3339">
      <c r="A3339" s="247"/>
      <c r="B3339" s="258"/>
      <c r="C3339" s="247"/>
    </row>
    <row r="3340">
      <c r="A3340" s="247"/>
      <c r="B3340" s="258"/>
      <c r="C3340" s="247"/>
    </row>
    <row r="3341">
      <c r="A3341" s="247"/>
      <c r="B3341" s="258"/>
      <c r="C3341" s="247"/>
    </row>
    <row r="3342">
      <c r="A3342" s="247"/>
      <c r="B3342" s="258"/>
      <c r="C3342" s="247"/>
    </row>
    <row r="3343">
      <c r="A3343" s="247"/>
      <c r="B3343" s="258"/>
      <c r="C3343" s="247"/>
    </row>
    <row r="3344">
      <c r="A3344" s="247"/>
      <c r="B3344" s="258"/>
      <c r="C3344" s="247"/>
    </row>
    <row r="3345">
      <c r="A3345" s="247"/>
      <c r="B3345" s="258"/>
      <c r="C3345" s="247"/>
    </row>
    <row r="3346">
      <c r="A3346" s="247"/>
      <c r="B3346" s="258"/>
      <c r="C3346" s="247"/>
    </row>
    <row r="3347">
      <c r="A3347" s="247"/>
      <c r="B3347" s="258"/>
      <c r="C3347" s="247"/>
    </row>
    <row r="3348">
      <c r="A3348" s="247"/>
      <c r="B3348" s="258"/>
      <c r="C3348" s="247"/>
    </row>
    <row r="3349">
      <c r="A3349" s="247"/>
      <c r="B3349" s="258"/>
      <c r="C3349" s="247"/>
    </row>
    <row r="3350">
      <c r="A3350" s="247"/>
      <c r="B3350" s="258"/>
      <c r="C3350" s="247"/>
    </row>
    <row r="3351">
      <c r="A3351" s="247"/>
      <c r="B3351" s="258"/>
      <c r="C3351" s="247"/>
    </row>
    <row r="3352">
      <c r="A3352" s="247"/>
      <c r="B3352" s="258"/>
      <c r="C3352" s="247"/>
    </row>
    <row r="3353">
      <c r="A3353" s="247"/>
      <c r="B3353" s="258"/>
      <c r="C3353" s="247"/>
    </row>
    <row r="3354">
      <c r="A3354" s="247"/>
      <c r="B3354" s="258"/>
      <c r="C3354" s="247"/>
    </row>
    <row r="3355">
      <c r="A3355" s="247"/>
      <c r="B3355" s="258"/>
      <c r="C3355" s="247"/>
    </row>
    <row r="3356">
      <c r="A3356" s="247"/>
      <c r="B3356" s="258"/>
      <c r="C3356" s="247"/>
    </row>
    <row r="3357">
      <c r="A3357" s="247"/>
      <c r="B3357" s="258"/>
      <c r="C3357" s="247"/>
    </row>
    <row r="3358">
      <c r="A3358" s="247"/>
      <c r="B3358" s="258"/>
      <c r="C3358" s="247"/>
    </row>
    <row r="3359">
      <c r="A3359" s="247"/>
      <c r="B3359" s="258"/>
      <c r="C3359" s="247"/>
    </row>
    <row r="3360">
      <c r="A3360" s="247"/>
      <c r="B3360" s="258"/>
      <c r="C3360" s="247"/>
    </row>
    <row r="3361">
      <c r="A3361" s="247"/>
      <c r="B3361" s="258"/>
      <c r="C3361" s="247"/>
    </row>
    <row r="3362">
      <c r="A3362" s="247"/>
      <c r="B3362" s="258"/>
      <c r="C3362" s="247"/>
    </row>
    <row r="3363">
      <c r="A3363" s="247"/>
      <c r="B3363" s="258"/>
      <c r="C3363" s="247"/>
    </row>
    <row r="3364">
      <c r="A3364" s="247"/>
      <c r="B3364" s="258"/>
      <c r="C3364" s="247"/>
    </row>
    <row r="3365">
      <c r="A3365" s="247"/>
      <c r="B3365" s="258"/>
      <c r="C3365" s="247"/>
    </row>
    <row r="3366">
      <c r="A3366" s="247"/>
      <c r="B3366" s="258"/>
      <c r="C3366" s="247"/>
    </row>
    <row r="3367">
      <c r="A3367" s="247"/>
      <c r="B3367" s="258"/>
      <c r="C3367" s="247"/>
    </row>
    <row r="3368">
      <c r="A3368" s="247"/>
      <c r="B3368" s="258"/>
      <c r="C3368" s="247"/>
    </row>
    <row r="3369">
      <c r="A3369" s="247"/>
      <c r="B3369" s="258"/>
      <c r="C3369" s="247"/>
    </row>
    <row r="3370">
      <c r="A3370" s="247"/>
      <c r="B3370" s="258"/>
      <c r="C3370" s="247"/>
    </row>
    <row r="3371">
      <c r="A3371" s="247"/>
      <c r="B3371" s="258"/>
      <c r="C3371" s="247"/>
    </row>
    <row r="3372">
      <c r="A3372" s="247"/>
      <c r="B3372" s="258"/>
      <c r="C3372" s="247"/>
    </row>
    <row r="3373">
      <c r="A3373" s="247"/>
      <c r="B3373" s="258"/>
      <c r="C3373" s="247"/>
    </row>
    <row r="3374">
      <c r="A3374" s="247"/>
      <c r="B3374" s="258"/>
      <c r="C3374" s="247"/>
    </row>
    <row r="3375">
      <c r="A3375" s="247"/>
      <c r="B3375" s="258"/>
      <c r="C3375" s="247"/>
    </row>
    <row r="3376">
      <c r="A3376" s="247"/>
      <c r="B3376" s="258"/>
      <c r="C3376" s="247"/>
    </row>
    <row r="3377">
      <c r="A3377" s="247"/>
      <c r="B3377" s="258"/>
      <c r="C3377" s="247"/>
    </row>
    <row r="3378">
      <c r="A3378" s="247"/>
      <c r="B3378" s="258"/>
      <c r="C3378" s="247"/>
    </row>
    <row r="3379">
      <c r="A3379" s="247"/>
      <c r="B3379" s="258"/>
      <c r="C3379" s="247"/>
    </row>
    <row r="3380">
      <c r="A3380" s="247"/>
      <c r="B3380" s="258"/>
      <c r="C3380" s="247"/>
    </row>
    <row r="3381">
      <c r="A3381" s="247"/>
      <c r="B3381" s="258"/>
      <c r="C3381" s="247"/>
    </row>
    <row r="3382">
      <c r="A3382" s="247"/>
      <c r="B3382" s="258"/>
      <c r="C3382" s="247"/>
    </row>
    <row r="3383">
      <c r="A3383" s="247"/>
      <c r="B3383" s="258"/>
      <c r="C3383" s="247"/>
    </row>
    <row r="3384">
      <c r="A3384" s="247"/>
      <c r="B3384" s="258"/>
      <c r="C3384" s="247"/>
    </row>
    <row r="3385">
      <c r="A3385" s="247"/>
      <c r="B3385" s="258"/>
      <c r="C3385" s="247"/>
    </row>
    <row r="3386">
      <c r="A3386" s="247"/>
      <c r="B3386" s="258"/>
      <c r="C3386" s="247"/>
    </row>
    <row r="3387">
      <c r="A3387" s="247"/>
      <c r="B3387" s="258"/>
      <c r="C3387" s="247"/>
    </row>
    <row r="3388">
      <c r="A3388" s="247"/>
      <c r="B3388" s="258"/>
      <c r="C3388" s="247"/>
    </row>
    <row r="3389">
      <c r="A3389" s="247"/>
      <c r="B3389" s="258"/>
      <c r="C3389" s="247"/>
    </row>
    <row r="3390">
      <c r="A3390" s="247"/>
      <c r="B3390" s="258"/>
      <c r="C3390" s="247"/>
    </row>
    <row r="3391">
      <c r="A3391" s="247"/>
      <c r="B3391" s="258"/>
      <c r="C3391" s="247"/>
    </row>
    <row r="3392">
      <c r="A3392" s="247"/>
      <c r="B3392" s="258"/>
      <c r="C3392" s="247"/>
    </row>
    <row r="3393">
      <c r="A3393" s="247"/>
      <c r="B3393" s="258"/>
      <c r="C3393" s="247"/>
    </row>
    <row r="3394">
      <c r="A3394" s="247"/>
      <c r="B3394" s="258"/>
      <c r="C3394" s="247"/>
    </row>
    <row r="3395">
      <c r="A3395" s="247"/>
      <c r="B3395" s="258"/>
      <c r="C3395" s="247"/>
    </row>
    <row r="3396">
      <c r="A3396" s="247"/>
      <c r="B3396" s="258"/>
      <c r="C3396" s="247"/>
    </row>
    <row r="3397">
      <c r="A3397" s="247"/>
      <c r="B3397" s="258"/>
      <c r="C3397" s="247"/>
    </row>
    <row r="3398">
      <c r="A3398" s="247"/>
      <c r="B3398" s="258"/>
      <c r="C3398" s="247"/>
    </row>
    <row r="3399">
      <c r="A3399" s="247"/>
      <c r="B3399" s="258"/>
      <c r="C3399" s="247"/>
    </row>
    <row r="3400">
      <c r="A3400" s="247"/>
      <c r="B3400" s="258"/>
      <c r="C3400" s="247"/>
    </row>
    <row r="3401">
      <c r="A3401" s="247"/>
      <c r="B3401" s="258"/>
      <c r="C3401" s="247"/>
    </row>
    <row r="3402">
      <c r="A3402" s="247"/>
      <c r="B3402" s="258"/>
      <c r="C3402" s="247"/>
    </row>
    <row r="3403">
      <c r="A3403" s="247"/>
      <c r="B3403" s="258"/>
      <c r="C3403" s="247"/>
    </row>
    <row r="3404">
      <c r="A3404" s="247"/>
      <c r="B3404" s="258"/>
      <c r="C3404" s="247"/>
    </row>
    <row r="3405">
      <c r="A3405" s="247"/>
      <c r="B3405" s="258"/>
      <c r="C3405" s="247"/>
    </row>
    <row r="3406">
      <c r="A3406" s="247"/>
      <c r="B3406" s="258"/>
      <c r="C3406" s="247"/>
    </row>
    <row r="3407">
      <c r="A3407" s="247"/>
      <c r="B3407" s="258"/>
      <c r="C3407" s="247"/>
    </row>
    <row r="3408">
      <c r="A3408" s="247"/>
      <c r="B3408" s="258"/>
      <c r="C3408" s="247"/>
    </row>
    <row r="3409">
      <c r="A3409" s="247"/>
      <c r="B3409" s="258"/>
      <c r="C3409" s="247"/>
    </row>
    <row r="3410">
      <c r="A3410" s="247"/>
      <c r="B3410" s="258"/>
      <c r="C3410" s="247"/>
    </row>
    <row r="3411">
      <c r="A3411" s="247"/>
      <c r="B3411" s="258"/>
      <c r="C3411" s="247"/>
    </row>
    <row r="3412">
      <c r="A3412" s="247"/>
      <c r="B3412" s="258"/>
      <c r="C3412" s="247"/>
    </row>
    <row r="3413">
      <c r="A3413" s="247"/>
      <c r="B3413" s="258"/>
      <c r="C3413" s="247"/>
    </row>
    <row r="3414">
      <c r="A3414" s="247"/>
      <c r="B3414" s="258"/>
      <c r="C3414" s="247"/>
    </row>
    <row r="3415">
      <c r="A3415" s="247"/>
      <c r="B3415" s="258"/>
      <c r="C3415" s="247"/>
    </row>
    <row r="3416">
      <c r="A3416" s="247"/>
      <c r="B3416" s="258"/>
      <c r="C3416" s="247"/>
    </row>
    <row r="3417">
      <c r="A3417" s="247"/>
      <c r="B3417" s="258"/>
      <c r="C3417" s="247"/>
    </row>
    <row r="3418">
      <c r="A3418" s="247"/>
      <c r="B3418" s="258"/>
      <c r="C3418" s="247"/>
    </row>
    <row r="3419">
      <c r="A3419" s="247"/>
      <c r="B3419" s="258"/>
      <c r="C3419" s="247"/>
    </row>
    <row r="3420">
      <c r="A3420" s="247"/>
      <c r="B3420" s="258"/>
      <c r="C3420" s="247"/>
    </row>
    <row r="3421">
      <c r="A3421" s="247"/>
      <c r="B3421" s="258"/>
      <c r="C3421" s="247"/>
    </row>
    <row r="3422">
      <c r="A3422" s="247"/>
      <c r="B3422" s="258"/>
      <c r="C3422" s="247"/>
    </row>
    <row r="3423">
      <c r="A3423" s="247"/>
      <c r="B3423" s="258"/>
      <c r="C3423" s="247"/>
    </row>
    <row r="3424">
      <c r="A3424" s="247"/>
      <c r="B3424" s="258"/>
      <c r="C3424" s="247"/>
    </row>
    <row r="3425">
      <c r="A3425" s="247"/>
      <c r="B3425" s="258"/>
      <c r="C3425" s="247"/>
    </row>
    <row r="3426">
      <c r="A3426" s="247"/>
      <c r="B3426" s="258"/>
      <c r="C3426" s="247"/>
    </row>
    <row r="3427">
      <c r="A3427" s="247"/>
      <c r="B3427" s="258"/>
      <c r="C3427" s="247"/>
    </row>
    <row r="3428">
      <c r="A3428" s="247"/>
      <c r="B3428" s="258"/>
      <c r="C3428" s="247"/>
    </row>
    <row r="3429">
      <c r="A3429" s="247"/>
      <c r="B3429" s="258"/>
      <c r="C3429" s="247"/>
    </row>
    <row r="3430">
      <c r="A3430" s="247"/>
      <c r="B3430" s="258"/>
      <c r="C3430" s="247"/>
    </row>
    <row r="3431">
      <c r="A3431" s="247"/>
      <c r="B3431" s="258"/>
      <c r="C3431" s="247"/>
    </row>
    <row r="3432">
      <c r="A3432" s="247"/>
      <c r="B3432" s="258"/>
      <c r="C3432" s="247"/>
    </row>
    <row r="3433">
      <c r="A3433" s="247"/>
      <c r="B3433" s="258"/>
      <c r="C3433" s="247"/>
    </row>
    <row r="3434">
      <c r="A3434" s="247"/>
      <c r="B3434" s="258"/>
      <c r="C3434" s="247"/>
    </row>
    <row r="3435">
      <c r="A3435" s="247"/>
      <c r="B3435" s="258"/>
      <c r="C3435" s="247"/>
    </row>
    <row r="3436">
      <c r="A3436" s="247"/>
      <c r="B3436" s="258"/>
      <c r="C3436" s="247"/>
    </row>
    <row r="3437">
      <c r="A3437" s="247"/>
      <c r="B3437" s="258"/>
      <c r="C3437" s="247"/>
    </row>
    <row r="3438">
      <c r="A3438" s="247"/>
      <c r="B3438" s="258"/>
      <c r="C3438" s="247"/>
    </row>
    <row r="3439">
      <c r="A3439" s="247"/>
      <c r="B3439" s="258"/>
      <c r="C3439" s="247"/>
    </row>
    <row r="3440">
      <c r="A3440" s="247"/>
      <c r="B3440" s="258"/>
      <c r="C3440" s="247"/>
    </row>
    <row r="3441">
      <c r="A3441" s="247"/>
      <c r="B3441" s="258"/>
      <c r="C3441" s="247"/>
    </row>
    <row r="3442">
      <c r="A3442" s="247"/>
      <c r="B3442" s="258"/>
      <c r="C3442" s="247"/>
    </row>
    <row r="3443">
      <c r="A3443" s="247"/>
      <c r="B3443" s="258"/>
      <c r="C3443" s="247"/>
    </row>
    <row r="3444">
      <c r="A3444" s="247"/>
      <c r="B3444" s="258"/>
      <c r="C3444" s="247"/>
    </row>
    <row r="3445">
      <c r="A3445" s="247"/>
      <c r="B3445" s="258"/>
      <c r="C3445" s="247"/>
    </row>
    <row r="3446">
      <c r="A3446" s="247"/>
      <c r="B3446" s="258"/>
      <c r="C3446" s="247"/>
    </row>
    <row r="3447">
      <c r="A3447" s="247"/>
      <c r="B3447" s="258"/>
      <c r="C3447" s="247"/>
    </row>
    <row r="3448">
      <c r="A3448" s="247"/>
      <c r="B3448" s="258"/>
      <c r="C3448" s="247"/>
    </row>
    <row r="3449">
      <c r="A3449" s="247"/>
      <c r="B3449" s="258"/>
      <c r="C3449" s="247"/>
    </row>
    <row r="3450">
      <c r="A3450" s="247"/>
      <c r="B3450" s="258"/>
      <c r="C3450" s="247"/>
    </row>
    <row r="3451">
      <c r="A3451" s="247"/>
      <c r="B3451" s="258"/>
      <c r="C3451" s="247"/>
    </row>
    <row r="3452">
      <c r="A3452" s="247"/>
      <c r="B3452" s="258"/>
      <c r="C3452" s="247"/>
    </row>
    <row r="3453">
      <c r="A3453" s="247"/>
      <c r="B3453" s="258"/>
      <c r="C3453" s="247"/>
    </row>
    <row r="3454">
      <c r="A3454" s="247"/>
      <c r="B3454" s="258"/>
      <c r="C3454" s="247"/>
    </row>
    <row r="3455">
      <c r="A3455" s="247"/>
      <c r="B3455" s="258"/>
      <c r="C3455" s="247"/>
    </row>
    <row r="3456">
      <c r="A3456" s="247"/>
      <c r="B3456" s="258"/>
      <c r="C3456" s="247"/>
    </row>
    <row r="3457">
      <c r="A3457" s="247"/>
      <c r="B3457" s="258"/>
      <c r="C3457" s="247"/>
    </row>
    <row r="3458">
      <c r="A3458" s="247"/>
      <c r="B3458" s="258"/>
      <c r="C3458" s="247"/>
    </row>
    <row r="3459">
      <c r="A3459" s="247"/>
      <c r="B3459" s="258"/>
      <c r="C3459" s="247"/>
    </row>
    <row r="3460">
      <c r="A3460" s="247"/>
      <c r="B3460" s="258"/>
      <c r="C3460" s="247"/>
    </row>
    <row r="3461">
      <c r="A3461" s="247"/>
      <c r="B3461" s="258"/>
      <c r="C3461" s="247"/>
    </row>
    <row r="3462">
      <c r="A3462" s="247"/>
      <c r="B3462" s="258"/>
      <c r="C3462" s="247"/>
    </row>
    <row r="3463">
      <c r="A3463" s="247"/>
      <c r="B3463" s="258"/>
      <c r="C3463" s="247"/>
    </row>
    <row r="3464">
      <c r="A3464" s="247"/>
      <c r="B3464" s="258"/>
      <c r="C3464" s="247"/>
    </row>
    <row r="3465">
      <c r="A3465" s="247"/>
      <c r="B3465" s="258"/>
      <c r="C3465" s="247"/>
    </row>
    <row r="3466">
      <c r="A3466" s="247"/>
      <c r="B3466" s="258"/>
      <c r="C3466" s="247"/>
    </row>
    <row r="3467">
      <c r="A3467" s="247"/>
      <c r="B3467" s="258"/>
      <c r="C3467" s="247"/>
    </row>
    <row r="3468">
      <c r="A3468" s="247"/>
      <c r="B3468" s="258"/>
      <c r="C3468" s="247"/>
    </row>
    <row r="3469">
      <c r="A3469" s="247"/>
      <c r="B3469" s="258"/>
      <c r="C3469" s="247"/>
    </row>
    <row r="3470">
      <c r="A3470" s="247"/>
      <c r="B3470" s="258"/>
      <c r="C3470" s="247"/>
    </row>
    <row r="3471">
      <c r="A3471" s="247"/>
      <c r="B3471" s="258"/>
      <c r="C3471" s="247"/>
    </row>
    <row r="3472">
      <c r="A3472" s="247"/>
      <c r="B3472" s="258"/>
      <c r="C3472" s="247"/>
    </row>
    <row r="3473">
      <c r="A3473" s="247"/>
      <c r="B3473" s="258"/>
      <c r="C3473" s="247"/>
    </row>
    <row r="3474">
      <c r="A3474" s="247"/>
      <c r="B3474" s="258"/>
      <c r="C3474" s="247"/>
    </row>
    <row r="3475">
      <c r="A3475" s="247"/>
      <c r="B3475" s="258"/>
      <c r="C3475" s="247"/>
    </row>
    <row r="3476">
      <c r="A3476" s="247"/>
      <c r="B3476" s="258"/>
      <c r="C3476" s="247"/>
    </row>
    <row r="3477">
      <c r="A3477" s="247"/>
      <c r="B3477" s="258"/>
      <c r="C3477" s="247"/>
    </row>
    <row r="3478">
      <c r="A3478" s="247"/>
      <c r="B3478" s="258"/>
      <c r="C3478" s="247"/>
    </row>
    <row r="3479">
      <c r="A3479" s="247"/>
      <c r="B3479" s="258"/>
      <c r="C3479" s="247"/>
    </row>
    <row r="3480">
      <c r="A3480" s="247"/>
      <c r="B3480" s="258"/>
      <c r="C3480" s="247"/>
    </row>
    <row r="3481">
      <c r="A3481" s="247"/>
      <c r="B3481" s="258"/>
      <c r="C3481" s="247"/>
    </row>
    <row r="3482">
      <c r="A3482" s="247"/>
      <c r="B3482" s="258"/>
      <c r="C3482" s="247"/>
    </row>
    <row r="3483">
      <c r="A3483" s="247"/>
      <c r="B3483" s="258"/>
      <c r="C3483" s="247"/>
    </row>
    <row r="3484">
      <c r="A3484" s="247"/>
      <c r="B3484" s="258"/>
      <c r="C3484" s="247"/>
    </row>
    <row r="3485">
      <c r="A3485" s="247"/>
      <c r="B3485" s="258"/>
      <c r="C3485" s="247"/>
    </row>
    <row r="3486">
      <c r="A3486" s="247"/>
      <c r="B3486" s="258"/>
      <c r="C3486" s="247"/>
    </row>
    <row r="3487">
      <c r="A3487" s="247"/>
      <c r="B3487" s="258"/>
      <c r="C3487" s="247"/>
    </row>
    <row r="3488">
      <c r="A3488" s="247"/>
      <c r="B3488" s="258"/>
      <c r="C3488" s="247"/>
    </row>
    <row r="3489">
      <c r="A3489" s="247"/>
      <c r="B3489" s="258"/>
      <c r="C3489" s="247"/>
    </row>
    <row r="3490">
      <c r="A3490" s="247"/>
      <c r="B3490" s="258"/>
      <c r="C3490" s="247"/>
    </row>
    <row r="3491">
      <c r="A3491" s="247"/>
      <c r="B3491" s="258"/>
      <c r="C3491" s="247"/>
    </row>
    <row r="3492">
      <c r="A3492" s="247"/>
      <c r="B3492" s="258"/>
      <c r="C3492" s="247"/>
    </row>
    <row r="3493">
      <c r="A3493" s="247"/>
      <c r="B3493" s="258"/>
      <c r="C3493" s="247"/>
    </row>
    <row r="3494">
      <c r="A3494" s="247"/>
      <c r="B3494" s="258"/>
      <c r="C3494" s="247"/>
    </row>
    <row r="3495">
      <c r="A3495" s="247"/>
      <c r="B3495" s="258"/>
      <c r="C3495" s="247"/>
    </row>
    <row r="3496">
      <c r="A3496" s="247"/>
      <c r="B3496" s="258"/>
      <c r="C3496" s="247"/>
    </row>
    <row r="3497">
      <c r="A3497" s="247"/>
      <c r="B3497" s="258"/>
      <c r="C3497" s="247"/>
    </row>
    <row r="3498">
      <c r="A3498" s="247"/>
      <c r="B3498" s="258"/>
      <c r="C3498" s="247"/>
    </row>
    <row r="3499">
      <c r="A3499" s="247"/>
      <c r="B3499" s="258"/>
      <c r="C3499" s="247"/>
    </row>
    <row r="3500">
      <c r="A3500" s="247"/>
      <c r="B3500" s="258"/>
      <c r="C3500" s="247"/>
    </row>
    <row r="3501">
      <c r="A3501" s="247"/>
      <c r="B3501" s="258"/>
      <c r="C3501" s="247"/>
    </row>
    <row r="3502">
      <c r="A3502" s="247"/>
      <c r="B3502" s="258"/>
      <c r="C3502" s="247"/>
    </row>
    <row r="3503">
      <c r="A3503" s="247"/>
      <c r="B3503" s="258"/>
      <c r="C3503" s="247"/>
    </row>
    <row r="3504">
      <c r="A3504" s="247"/>
      <c r="B3504" s="258"/>
      <c r="C3504" s="247"/>
    </row>
    <row r="3505">
      <c r="A3505" s="247"/>
      <c r="B3505" s="258"/>
      <c r="C3505" s="247"/>
    </row>
    <row r="3506">
      <c r="A3506" s="247"/>
      <c r="B3506" s="258"/>
      <c r="C3506" s="247"/>
    </row>
    <row r="3507">
      <c r="A3507" s="247"/>
      <c r="B3507" s="258"/>
      <c r="C3507" s="247"/>
    </row>
    <row r="3508">
      <c r="A3508" s="247"/>
      <c r="B3508" s="258"/>
      <c r="C3508" s="247"/>
    </row>
    <row r="3509">
      <c r="A3509" s="247"/>
      <c r="B3509" s="258"/>
      <c r="C3509" s="247"/>
    </row>
    <row r="3510">
      <c r="A3510" s="247"/>
      <c r="B3510" s="258"/>
      <c r="C3510" s="247"/>
    </row>
    <row r="3511">
      <c r="A3511" s="247"/>
      <c r="B3511" s="258"/>
      <c r="C3511" s="247"/>
    </row>
    <row r="3512">
      <c r="A3512" s="247"/>
      <c r="B3512" s="258"/>
      <c r="C3512" s="247"/>
    </row>
    <row r="3513">
      <c r="A3513" s="247"/>
      <c r="B3513" s="258"/>
      <c r="C3513" s="247"/>
    </row>
    <row r="3514">
      <c r="A3514" s="247"/>
      <c r="B3514" s="258"/>
      <c r="C3514" s="247"/>
    </row>
    <row r="3515">
      <c r="A3515" s="247"/>
      <c r="B3515" s="258"/>
      <c r="C3515" s="247"/>
    </row>
    <row r="3516">
      <c r="A3516" s="247"/>
      <c r="B3516" s="258"/>
      <c r="C3516" s="247"/>
    </row>
    <row r="3517">
      <c r="A3517" s="247"/>
      <c r="B3517" s="258"/>
      <c r="C3517" s="247"/>
    </row>
    <row r="3518">
      <c r="A3518" s="247"/>
      <c r="B3518" s="258"/>
      <c r="C3518" s="247"/>
    </row>
    <row r="3519">
      <c r="A3519" s="247"/>
      <c r="B3519" s="258"/>
      <c r="C3519" s="247"/>
    </row>
    <row r="3520">
      <c r="A3520" s="247"/>
      <c r="B3520" s="258"/>
      <c r="C3520" s="247"/>
    </row>
    <row r="3521">
      <c r="A3521" s="247"/>
      <c r="B3521" s="258"/>
      <c r="C3521" s="247"/>
    </row>
    <row r="3522">
      <c r="A3522" s="247"/>
      <c r="B3522" s="258"/>
      <c r="C3522" s="247"/>
    </row>
    <row r="3523">
      <c r="A3523" s="247"/>
      <c r="B3523" s="258"/>
      <c r="C3523" s="247"/>
    </row>
    <row r="3524">
      <c r="A3524" s="247"/>
      <c r="B3524" s="258"/>
      <c r="C3524" s="247"/>
    </row>
    <row r="3525">
      <c r="A3525" s="247"/>
      <c r="B3525" s="258"/>
      <c r="C3525" s="247"/>
    </row>
    <row r="3526">
      <c r="A3526" s="247"/>
      <c r="B3526" s="258"/>
      <c r="C3526" s="247"/>
    </row>
    <row r="3527">
      <c r="A3527" s="247"/>
      <c r="B3527" s="258"/>
      <c r="C3527" s="247"/>
    </row>
    <row r="3528">
      <c r="A3528" s="247"/>
      <c r="B3528" s="258"/>
      <c r="C3528" s="247"/>
    </row>
    <row r="3529">
      <c r="A3529" s="247"/>
      <c r="B3529" s="258"/>
      <c r="C3529" s="247"/>
    </row>
    <row r="3530">
      <c r="A3530" s="247"/>
      <c r="B3530" s="258"/>
      <c r="C3530" s="247"/>
    </row>
    <row r="3531">
      <c r="A3531" s="247"/>
      <c r="B3531" s="258"/>
      <c r="C3531" s="247"/>
    </row>
    <row r="3532">
      <c r="A3532" s="247"/>
      <c r="B3532" s="258"/>
      <c r="C3532" s="247"/>
    </row>
    <row r="3533">
      <c r="A3533" s="247"/>
      <c r="B3533" s="258"/>
      <c r="C3533" s="247"/>
    </row>
    <row r="3534">
      <c r="A3534" s="247"/>
      <c r="B3534" s="258"/>
      <c r="C3534" s="247"/>
    </row>
    <row r="3535">
      <c r="A3535" s="247"/>
      <c r="B3535" s="258"/>
      <c r="C3535" s="247"/>
    </row>
    <row r="3536">
      <c r="A3536" s="247"/>
      <c r="B3536" s="258"/>
      <c r="C3536" s="247"/>
    </row>
    <row r="3537">
      <c r="A3537" s="247"/>
      <c r="B3537" s="258"/>
      <c r="C3537" s="247"/>
    </row>
    <row r="3538">
      <c r="A3538" s="247"/>
      <c r="B3538" s="258"/>
      <c r="C3538" s="247"/>
    </row>
    <row r="3539">
      <c r="A3539" s="247"/>
      <c r="B3539" s="258"/>
      <c r="C3539" s="247"/>
    </row>
    <row r="3540">
      <c r="A3540" s="247"/>
      <c r="B3540" s="258"/>
      <c r="C3540" s="247"/>
    </row>
    <row r="3541">
      <c r="A3541" s="247"/>
      <c r="B3541" s="258"/>
      <c r="C3541" s="247"/>
    </row>
    <row r="3542">
      <c r="A3542" s="247"/>
      <c r="B3542" s="258"/>
      <c r="C3542" s="247"/>
    </row>
    <row r="3543">
      <c r="A3543" s="247"/>
      <c r="B3543" s="258"/>
      <c r="C3543" s="247"/>
    </row>
    <row r="3544">
      <c r="A3544" s="247"/>
      <c r="B3544" s="258"/>
      <c r="C3544" s="247"/>
    </row>
    <row r="3545">
      <c r="A3545" s="247"/>
      <c r="B3545" s="258"/>
      <c r="C3545" s="247"/>
    </row>
    <row r="3546">
      <c r="A3546" s="247"/>
      <c r="B3546" s="258"/>
      <c r="C3546" s="247"/>
    </row>
    <row r="3547">
      <c r="A3547" s="247"/>
      <c r="B3547" s="258"/>
      <c r="C3547" s="247"/>
    </row>
    <row r="3548">
      <c r="A3548" s="247"/>
      <c r="B3548" s="258"/>
      <c r="C3548" s="247"/>
    </row>
    <row r="3549">
      <c r="A3549" s="247"/>
      <c r="B3549" s="258"/>
      <c r="C3549" s="247"/>
    </row>
    <row r="3550">
      <c r="A3550" s="247"/>
      <c r="B3550" s="258"/>
      <c r="C3550" s="247"/>
    </row>
    <row r="3551">
      <c r="A3551" s="247"/>
      <c r="B3551" s="258"/>
      <c r="C3551" s="247"/>
    </row>
    <row r="3552">
      <c r="A3552" s="247"/>
      <c r="B3552" s="258"/>
      <c r="C3552" s="247"/>
    </row>
    <row r="3553">
      <c r="A3553" s="247"/>
      <c r="B3553" s="258"/>
      <c r="C3553" s="247"/>
    </row>
    <row r="3554">
      <c r="A3554" s="247"/>
      <c r="B3554" s="258"/>
      <c r="C3554" s="247"/>
    </row>
    <row r="3555">
      <c r="A3555" s="247"/>
      <c r="B3555" s="258"/>
      <c r="C3555" s="247"/>
    </row>
    <row r="3556">
      <c r="A3556" s="247"/>
      <c r="B3556" s="258"/>
      <c r="C3556" s="247"/>
    </row>
    <row r="3557">
      <c r="A3557" s="247"/>
      <c r="B3557" s="258"/>
      <c r="C3557" s="247"/>
    </row>
    <row r="3558">
      <c r="A3558" s="247"/>
      <c r="B3558" s="258"/>
      <c r="C3558" s="247"/>
    </row>
    <row r="3559">
      <c r="A3559" s="247"/>
      <c r="B3559" s="258"/>
      <c r="C3559" s="247"/>
    </row>
    <row r="3560">
      <c r="A3560" s="247"/>
      <c r="B3560" s="258"/>
      <c r="C3560" s="247"/>
    </row>
    <row r="3561">
      <c r="A3561" s="247"/>
      <c r="B3561" s="258"/>
      <c r="C3561" s="247"/>
    </row>
    <row r="3562">
      <c r="A3562" s="247"/>
      <c r="B3562" s="258"/>
      <c r="C3562" s="247"/>
    </row>
    <row r="3563">
      <c r="A3563" s="247"/>
      <c r="B3563" s="258"/>
      <c r="C3563" s="247"/>
    </row>
    <row r="3564">
      <c r="A3564" s="247"/>
      <c r="B3564" s="258"/>
      <c r="C3564" s="247"/>
    </row>
    <row r="3565">
      <c r="A3565" s="247"/>
      <c r="B3565" s="258"/>
      <c r="C3565" s="247"/>
    </row>
    <row r="3566">
      <c r="A3566" s="247"/>
      <c r="B3566" s="258"/>
      <c r="C3566" s="247"/>
    </row>
    <row r="3567">
      <c r="A3567" s="247"/>
      <c r="B3567" s="258"/>
      <c r="C3567" s="247"/>
    </row>
    <row r="3568">
      <c r="A3568" s="247"/>
      <c r="B3568" s="258"/>
      <c r="C3568" s="247"/>
    </row>
    <row r="3569">
      <c r="A3569" s="247"/>
      <c r="B3569" s="258"/>
      <c r="C3569" s="247"/>
    </row>
    <row r="3570">
      <c r="A3570" s="247"/>
      <c r="B3570" s="258"/>
      <c r="C3570" s="247"/>
    </row>
    <row r="3571">
      <c r="A3571" s="247"/>
      <c r="B3571" s="258"/>
      <c r="C3571" s="247"/>
    </row>
    <row r="3572">
      <c r="A3572" s="247"/>
      <c r="B3572" s="258"/>
      <c r="C3572" s="247"/>
    </row>
    <row r="3573">
      <c r="A3573" s="247"/>
      <c r="B3573" s="258"/>
      <c r="C3573" s="247"/>
    </row>
    <row r="3574">
      <c r="A3574" s="247"/>
      <c r="B3574" s="258"/>
      <c r="C3574" s="247"/>
    </row>
    <row r="3575">
      <c r="A3575" s="247"/>
      <c r="B3575" s="258"/>
      <c r="C3575" s="247"/>
    </row>
    <row r="3576">
      <c r="A3576" s="247"/>
      <c r="B3576" s="258"/>
      <c r="C3576" s="247"/>
    </row>
    <row r="3577">
      <c r="A3577" s="247"/>
      <c r="B3577" s="258"/>
      <c r="C3577" s="247"/>
    </row>
    <row r="3578">
      <c r="A3578" s="247"/>
      <c r="B3578" s="258"/>
      <c r="C3578" s="247"/>
    </row>
    <row r="3579">
      <c r="A3579" s="247"/>
      <c r="B3579" s="258"/>
      <c r="C3579" s="247"/>
    </row>
    <row r="3580">
      <c r="A3580" s="247"/>
      <c r="B3580" s="258"/>
      <c r="C3580" s="247"/>
    </row>
    <row r="3581">
      <c r="A3581" s="247"/>
      <c r="B3581" s="258"/>
      <c r="C3581" s="247"/>
    </row>
    <row r="3582">
      <c r="A3582" s="247"/>
      <c r="B3582" s="258"/>
      <c r="C3582" s="247"/>
    </row>
    <row r="3583">
      <c r="A3583" s="247"/>
      <c r="B3583" s="258"/>
      <c r="C3583" s="247"/>
    </row>
    <row r="3584">
      <c r="A3584" s="247"/>
      <c r="B3584" s="258"/>
      <c r="C3584" s="247"/>
    </row>
    <row r="3585">
      <c r="A3585" s="247"/>
      <c r="B3585" s="258"/>
      <c r="C3585" s="247"/>
    </row>
    <row r="3586">
      <c r="A3586" s="247"/>
      <c r="B3586" s="258"/>
      <c r="C3586" s="247"/>
    </row>
    <row r="3587">
      <c r="A3587" s="247"/>
      <c r="B3587" s="258"/>
      <c r="C3587" s="247"/>
    </row>
    <row r="3588">
      <c r="A3588" s="247"/>
      <c r="B3588" s="258"/>
      <c r="C3588" s="247"/>
    </row>
    <row r="3589">
      <c r="A3589" s="247"/>
      <c r="B3589" s="258"/>
      <c r="C3589" s="247"/>
    </row>
    <row r="3590">
      <c r="A3590" s="247"/>
      <c r="B3590" s="258"/>
      <c r="C3590" s="247"/>
    </row>
    <row r="3591">
      <c r="A3591" s="247"/>
      <c r="B3591" s="258"/>
      <c r="C3591" s="247"/>
    </row>
    <row r="3592">
      <c r="A3592" s="247"/>
      <c r="B3592" s="258"/>
      <c r="C3592" s="247"/>
    </row>
    <row r="3593">
      <c r="A3593" s="247"/>
      <c r="B3593" s="258"/>
      <c r="C3593" s="247"/>
    </row>
    <row r="3594">
      <c r="A3594" s="247"/>
      <c r="B3594" s="258"/>
      <c r="C3594" s="247"/>
    </row>
    <row r="3595">
      <c r="A3595" s="247"/>
      <c r="B3595" s="258"/>
      <c r="C3595" s="247"/>
    </row>
    <row r="3596">
      <c r="A3596" s="247"/>
      <c r="B3596" s="258"/>
      <c r="C3596" s="247"/>
    </row>
    <row r="3597">
      <c r="A3597" s="247"/>
      <c r="B3597" s="258"/>
      <c r="C3597" s="247"/>
    </row>
    <row r="3598">
      <c r="A3598" s="247"/>
      <c r="B3598" s="258"/>
      <c r="C3598" s="247"/>
    </row>
    <row r="3599">
      <c r="A3599" s="247"/>
      <c r="B3599" s="258"/>
      <c r="C3599" s="247"/>
    </row>
    <row r="3600">
      <c r="A3600" s="247"/>
      <c r="B3600" s="258"/>
      <c r="C3600" s="247"/>
    </row>
    <row r="3601">
      <c r="A3601" s="247"/>
      <c r="B3601" s="258"/>
      <c r="C3601" s="247"/>
    </row>
    <row r="3602">
      <c r="A3602" s="247"/>
      <c r="B3602" s="258"/>
      <c r="C3602" s="247"/>
    </row>
    <row r="3603">
      <c r="A3603" s="247"/>
      <c r="B3603" s="258"/>
      <c r="C3603" s="247"/>
    </row>
    <row r="3604">
      <c r="A3604" s="247"/>
      <c r="B3604" s="258"/>
      <c r="C3604" s="247"/>
    </row>
    <row r="3605">
      <c r="A3605" s="247"/>
      <c r="B3605" s="258"/>
      <c r="C3605" s="247"/>
    </row>
    <row r="3606">
      <c r="A3606" s="247"/>
      <c r="B3606" s="258"/>
      <c r="C3606" s="247"/>
    </row>
    <row r="3607">
      <c r="A3607" s="247"/>
      <c r="B3607" s="258"/>
      <c r="C3607" s="247"/>
    </row>
    <row r="3608">
      <c r="A3608" s="247"/>
      <c r="B3608" s="258"/>
      <c r="C3608" s="247"/>
    </row>
    <row r="3609">
      <c r="A3609" s="247"/>
      <c r="B3609" s="258"/>
      <c r="C3609" s="247"/>
    </row>
    <row r="3610">
      <c r="A3610" s="247"/>
      <c r="B3610" s="258"/>
      <c r="C3610" s="247"/>
    </row>
    <row r="3611">
      <c r="A3611" s="247"/>
      <c r="B3611" s="258"/>
      <c r="C3611" s="247"/>
    </row>
    <row r="3612">
      <c r="A3612" s="247"/>
      <c r="B3612" s="258"/>
      <c r="C3612" s="247"/>
    </row>
    <row r="3613">
      <c r="A3613" s="247"/>
      <c r="B3613" s="258"/>
      <c r="C3613" s="247"/>
    </row>
    <row r="3614">
      <c r="A3614" s="247"/>
      <c r="B3614" s="258"/>
      <c r="C3614" s="247"/>
    </row>
    <row r="3615">
      <c r="A3615" s="247"/>
      <c r="B3615" s="258"/>
      <c r="C3615" s="247"/>
    </row>
    <row r="3616">
      <c r="A3616" s="247"/>
      <c r="B3616" s="258"/>
      <c r="C3616" s="247"/>
    </row>
    <row r="3617">
      <c r="A3617" s="247"/>
      <c r="B3617" s="258"/>
      <c r="C3617" s="247"/>
    </row>
    <row r="3618">
      <c r="A3618" s="247"/>
      <c r="B3618" s="258"/>
      <c r="C3618" s="247"/>
    </row>
    <row r="3619">
      <c r="A3619" s="247"/>
      <c r="B3619" s="258"/>
      <c r="C3619" s="247"/>
    </row>
    <row r="3620">
      <c r="A3620" s="247"/>
      <c r="B3620" s="258"/>
      <c r="C3620" s="247"/>
    </row>
    <row r="3621">
      <c r="A3621" s="247"/>
      <c r="B3621" s="258"/>
      <c r="C3621" s="247"/>
    </row>
    <row r="3622">
      <c r="A3622" s="247"/>
      <c r="B3622" s="258"/>
      <c r="C3622" s="247"/>
    </row>
    <row r="3623">
      <c r="A3623" s="247"/>
      <c r="B3623" s="258"/>
      <c r="C3623" s="247"/>
    </row>
    <row r="3624">
      <c r="A3624" s="247"/>
      <c r="B3624" s="258"/>
      <c r="C3624" s="247"/>
    </row>
    <row r="3625">
      <c r="A3625" s="247"/>
      <c r="B3625" s="258"/>
      <c r="C3625" s="247"/>
    </row>
    <row r="3626">
      <c r="A3626" s="247"/>
      <c r="B3626" s="258"/>
      <c r="C3626" s="247"/>
    </row>
    <row r="3627">
      <c r="A3627" s="247"/>
      <c r="B3627" s="258"/>
      <c r="C3627" s="247"/>
    </row>
    <row r="3628">
      <c r="A3628" s="247"/>
      <c r="B3628" s="258"/>
      <c r="C3628" s="247"/>
    </row>
    <row r="3629">
      <c r="A3629" s="247"/>
      <c r="B3629" s="258"/>
      <c r="C3629" s="247"/>
    </row>
    <row r="3630">
      <c r="A3630" s="247"/>
      <c r="B3630" s="258"/>
      <c r="C3630" s="247"/>
    </row>
    <row r="3631">
      <c r="A3631" s="247"/>
      <c r="B3631" s="258"/>
      <c r="C3631" s="247"/>
    </row>
    <row r="3632">
      <c r="A3632" s="247"/>
      <c r="B3632" s="258"/>
      <c r="C3632" s="247"/>
    </row>
    <row r="3633">
      <c r="A3633" s="247"/>
      <c r="B3633" s="258"/>
      <c r="C3633" s="247"/>
    </row>
    <row r="3634">
      <c r="A3634" s="247"/>
      <c r="B3634" s="258"/>
      <c r="C3634" s="247"/>
    </row>
    <row r="3635">
      <c r="A3635" s="247"/>
      <c r="B3635" s="258"/>
      <c r="C3635" s="247"/>
    </row>
    <row r="3636">
      <c r="A3636" s="247"/>
      <c r="B3636" s="258"/>
      <c r="C3636" s="247"/>
    </row>
    <row r="3637">
      <c r="A3637" s="247"/>
      <c r="B3637" s="258"/>
      <c r="C3637" s="247"/>
    </row>
    <row r="3638">
      <c r="A3638" s="247"/>
      <c r="B3638" s="258"/>
      <c r="C3638" s="247"/>
    </row>
    <row r="3639">
      <c r="A3639" s="247"/>
      <c r="B3639" s="258"/>
      <c r="C3639" s="247"/>
    </row>
    <row r="3640">
      <c r="A3640" s="247"/>
      <c r="B3640" s="258"/>
      <c r="C3640" s="247"/>
    </row>
    <row r="3641">
      <c r="A3641" s="247"/>
      <c r="B3641" s="258"/>
      <c r="C3641" s="247"/>
    </row>
    <row r="3642">
      <c r="A3642" s="247"/>
      <c r="B3642" s="258"/>
      <c r="C3642" s="247"/>
    </row>
    <row r="3643">
      <c r="A3643" s="247"/>
      <c r="B3643" s="258"/>
      <c r="C3643" s="247"/>
    </row>
    <row r="3644">
      <c r="A3644" s="247"/>
      <c r="B3644" s="258"/>
      <c r="C3644" s="247"/>
    </row>
    <row r="3645">
      <c r="A3645" s="247"/>
      <c r="B3645" s="258"/>
      <c r="C3645" s="247"/>
    </row>
    <row r="3646">
      <c r="A3646" s="247"/>
      <c r="B3646" s="258"/>
      <c r="C3646" s="247"/>
    </row>
    <row r="3647">
      <c r="A3647" s="247"/>
      <c r="B3647" s="258"/>
      <c r="C3647" s="247"/>
    </row>
    <row r="3648">
      <c r="A3648" s="247"/>
      <c r="B3648" s="258"/>
      <c r="C3648" s="247"/>
    </row>
    <row r="3649">
      <c r="A3649" s="247"/>
      <c r="B3649" s="258"/>
      <c r="C3649" s="247"/>
    </row>
    <row r="3650">
      <c r="A3650" s="247"/>
      <c r="B3650" s="258"/>
      <c r="C3650" s="247"/>
    </row>
    <row r="3651">
      <c r="A3651" s="247"/>
      <c r="B3651" s="258"/>
      <c r="C3651" s="247"/>
    </row>
    <row r="3652">
      <c r="A3652" s="247"/>
      <c r="B3652" s="258"/>
      <c r="C3652" s="247"/>
    </row>
    <row r="3653">
      <c r="A3653" s="247"/>
      <c r="B3653" s="258"/>
      <c r="C3653" s="247"/>
    </row>
    <row r="3654">
      <c r="A3654" s="247"/>
      <c r="B3654" s="258"/>
      <c r="C3654" s="247"/>
    </row>
    <row r="3655">
      <c r="A3655" s="247"/>
      <c r="B3655" s="258"/>
      <c r="C3655" s="247"/>
    </row>
    <row r="3656">
      <c r="A3656" s="247"/>
      <c r="B3656" s="258"/>
      <c r="C3656" s="247"/>
    </row>
    <row r="3657">
      <c r="A3657" s="247"/>
      <c r="B3657" s="258"/>
      <c r="C3657" s="247"/>
    </row>
    <row r="3658">
      <c r="A3658" s="247"/>
      <c r="B3658" s="258"/>
      <c r="C3658" s="247"/>
    </row>
    <row r="3659">
      <c r="A3659" s="247"/>
      <c r="B3659" s="258"/>
      <c r="C3659" s="247"/>
    </row>
    <row r="3660">
      <c r="A3660" s="247"/>
      <c r="B3660" s="258"/>
      <c r="C3660" s="247"/>
    </row>
    <row r="3661">
      <c r="A3661" s="247"/>
      <c r="B3661" s="258"/>
      <c r="C3661" s="247"/>
    </row>
    <row r="3662">
      <c r="A3662" s="247"/>
      <c r="B3662" s="258"/>
      <c r="C3662" s="247"/>
    </row>
    <row r="3663">
      <c r="A3663" s="247"/>
      <c r="B3663" s="258"/>
      <c r="C3663" s="247"/>
    </row>
    <row r="3664">
      <c r="A3664" s="247"/>
      <c r="B3664" s="258"/>
      <c r="C3664" s="247"/>
    </row>
    <row r="3665">
      <c r="A3665" s="247"/>
      <c r="B3665" s="258"/>
      <c r="C3665" s="247"/>
    </row>
    <row r="3666">
      <c r="A3666" s="247"/>
      <c r="B3666" s="258"/>
      <c r="C3666" s="247"/>
    </row>
    <row r="3667">
      <c r="A3667" s="247"/>
      <c r="B3667" s="258"/>
      <c r="C3667" s="247"/>
    </row>
    <row r="3668">
      <c r="A3668" s="247"/>
      <c r="B3668" s="258"/>
      <c r="C3668" s="247"/>
    </row>
    <row r="3669">
      <c r="A3669" s="247"/>
      <c r="B3669" s="258"/>
      <c r="C3669" s="247"/>
    </row>
    <row r="3670">
      <c r="A3670" s="247"/>
      <c r="B3670" s="258"/>
      <c r="C3670" s="247"/>
    </row>
    <row r="3671">
      <c r="A3671" s="247"/>
      <c r="B3671" s="258"/>
      <c r="C3671" s="247"/>
    </row>
    <row r="3672">
      <c r="A3672" s="247"/>
      <c r="B3672" s="258"/>
      <c r="C3672" s="247"/>
    </row>
    <row r="3673">
      <c r="A3673" s="247"/>
      <c r="B3673" s="258"/>
      <c r="C3673" s="247"/>
    </row>
    <row r="3674">
      <c r="A3674" s="247"/>
      <c r="B3674" s="258"/>
      <c r="C3674" s="247"/>
    </row>
    <row r="3675">
      <c r="A3675" s="247"/>
      <c r="B3675" s="258"/>
      <c r="C3675" s="247"/>
    </row>
    <row r="3676">
      <c r="A3676" s="247"/>
      <c r="B3676" s="258"/>
      <c r="C3676" s="247"/>
    </row>
    <row r="3677">
      <c r="A3677" s="247"/>
      <c r="B3677" s="258"/>
      <c r="C3677" s="247"/>
    </row>
    <row r="3678">
      <c r="A3678" s="247"/>
      <c r="B3678" s="258"/>
      <c r="C3678" s="247"/>
    </row>
    <row r="3679">
      <c r="A3679" s="247"/>
      <c r="B3679" s="258"/>
      <c r="C3679" s="247"/>
    </row>
    <row r="3680">
      <c r="A3680" s="247"/>
      <c r="B3680" s="258"/>
      <c r="C3680" s="247"/>
    </row>
    <row r="3681">
      <c r="A3681" s="247"/>
      <c r="B3681" s="258"/>
      <c r="C3681" s="247"/>
    </row>
    <row r="3682">
      <c r="A3682" s="247"/>
      <c r="B3682" s="258"/>
      <c r="C3682" s="247"/>
    </row>
    <row r="3683">
      <c r="A3683" s="247"/>
      <c r="B3683" s="258"/>
      <c r="C3683" s="247"/>
    </row>
    <row r="3684">
      <c r="A3684" s="247"/>
      <c r="B3684" s="258"/>
      <c r="C3684" s="247"/>
    </row>
    <row r="3685">
      <c r="A3685" s="247"/>
      <c r="B3685" s="258"/>
      <c r="C3685" s="247"/>
    </row>
    <row r="3686">
      <c r="A3686" s="247"/>
      <c r="B3686" s="258"/>
      <c r="C3686" s="247"/>
    </row>
    <row r="3687">
      <c r="A3687" s="247"/>
      <c r="B3687" s="258"/>
      <c r="C3687" s="247"/>
    </row>
    <row r="3688">
      <c r="A3688" s="247"/>
      <c r="B3688" s="258"/>
      <c r="C3688" s="247"/>
    </row>
    <row r="3689">
      <c r="A3689" s="247"/>
      <c r="B3689" s="258"/>
      <c r="C3689" s="247"/>
    </row>
    <row r="3690">
      <c r="A3690" s="247"/>
      <c r="B3690" s="258"/>
      <c r="C3690" s="247"/>
    </row>
    <row r="3691">
      <c r="A3691" s="247"/>
      <c r="B3691" s="258"/>
      <c r="C3691" s="247"/>
    </row>
    <row r="3692">
      <c r="A3692" s="247"/>
      <c r="B3692" s="258"/>
      <c r="C3692" s="247"/>
    </row>
    <row r="3693">
      <c r="A3693" s="247"/>
      <c r="B3693" s="258"/>
      <c r="C3693" s="247"/>
    </row>
    <row r="3694">
      <c r="A3694" s="247"/>
      <c r="B3694" s="258"/>
      <c r="C3694" s="247"/>
    </row>
    <row r="3695">
      <c r="A3695" s="247"/>
      <c r="B3695" s="258"/>
      <c r="C3695" s="247"/>
    </row>
    <row r="3696">
      <c r="A3696" s="247"/>
      <c r="B3696" s="258"/>
      <c r="C3696" s="247"/>
    </row>
    <row r="3697">
      <c r="A3697" s="247"/>
      <c r="B3697" s="258"/>
      <c r="C3697" s="247"/>
    </row>
    <row r="3698">
      <c r="A3698" s="247"/>
      <c r="B3698" s="258"/>
      <c r="C3698" s="247"/>
    </row>
    <row r="3699">
      <c r="A3699" s="247"/>
      <c r="B3699" s="258"/>
      <c r="C3699" s="247"/>
    </row>
    <row r="3700">
      <c r="A3700" s="247"/>
      <c r="B3700" s="258"/>
      <c r="C3700" s="247"/>
    </row>
    <row r="3701">
      <c r="A3701" s="247"/>
      <c r="B3701" s="258"/>
      <c r="C3701" s="247"/>
    </row>
    <row r="3702">
      <c r="A3702" s="247"/>
      <c r="B3702" s="258"/>
      <c r="C3702" s="247"/>
    </row>
    <row r="3703">
      <c r="A3703" s="247"/>
      <c r="B3703" s="258"/>
      <c r="C3703" s="247"/>
    </row>
    <row r="3704">
      <c r="A3704" s="247"/>
      <c r="B3704" s="258"/>
      <c r="C3704" s="247"/>
    </row>
    <row r="3705">
      <c r="A3705" s="247"/>
      <c r="B3705" s="258"/>
      <c r="C3705" s="247"/>
    </row>
    <row r="3706">
      <c r="A3706" s="247"/>
      <c r="B3706" s="258"/>
      <c r="C3706" s="247"/>
    </row>
    <row r="3707">
      <c r="A3707" s="247"/>
      <c r="B3707" s="258"/>
      <c r="C3707" s="247"/>
    </row>
    <row r="3708">
      <c r="A3708" s="247"/>
      <c r="B3708" s="258"/>
      <c r="C3708" s="247"/>
    </row>
    <row r="3709">
      <c r="A3709" s="247"/>
      <c r="B3709" s="258"/>
      <c r="C3709" s="247"/>
    </row>
    <row r="3710">
      <c r="A3710" s="247"/>
      <c r="B3710" s="258"/>
      <c r="C3710" s="247"/>
    </row>
    <row r="3711">
      <c r="A3711" s="247"/>
      <c r="B3711" s="258"/>
      <c r="C3711" s="247"/>
    </row>
    <row r="3712">
      <c r="A3712" s="247"/>
      <c r="B3712" s="258"/>
      <c r="C3712" s="247"/>
    </row>
    <row r="3713">
      <c r="A3713" s="247"/>
      <c r="B3713" s="258"/>
      <c r="C3713" s="247"/>
    </row>
    <row r="3714">
      <c r="A3714" s="247"/>
      <c r="B3714" s="258"/>
      <c r="C3714" s="247"/>
    </row>
    <row r="3715">
      <c r="A3715" s="247"/>
      <c r="B3715" s="258"/>
      <c r="C3715" s="247"/>
    </row>
    <row r="3716">
      <c r="A3716" s="247"/>
      <c r="B3716" s="258"/>
      <c r="C3716" s="247"/>
    </row>
    <row r="3717">
      <c r="A3717" s="247"/>
      <c r="B3717" s="258"/>
      <c r="C3717" s="247"/>
    </row>
    <row r="3718">
      <c r="A3718" s="247"/>
      <c r="B3718" s="258"/>
      <c r="C3718" s="247"/>
    </row>
    <row r="3719">
      <c r="A3719" s="247"/>
      <c r="B3719" s="258"/>
      <c r="C3719" s="247"/>
    </row>
    <row r="3720">
      <c r="A3720" s="247"/>
      <c r="B3720" s="258"/>
      <c r="C3720" s="247"/>
    </row>
    <row r="3721">
      <c r="A3721" s="247"/>
      <c r="B3721" s="258"/>
      <c r="C3721" s="247"/>
    </row>
    <row r="3722">
      <c r="A3722" s="247"/>
      <c r="B3722" s="258"/>
      <c r="C3722" s="247"/>
    </row>
    <row r="3723">
      <c r="A3723" s="247"/>
      <c r="B3723" s="258"/>
      <c r="C3723" s="247"/>
    </row>
    <row r="3724">
      <c r="A3724" s="247"/>
      <c r="B3724" s="258"/>
      <c r="C3724" s="247"/>
    </row>
    <row r="3725">
      <c r="A3725" s="247"/>
      <c r="B3725" s="258"/>
      <c r="C3725" s="247"/>
    </row>
    <row r="3726">
      <c r="A3726" s="247"/>
      <c r="B3726" s="258"/>
      <c r="C3726" s="247"/>
    </row>
    <row r="3727">
      <c r="A3727" s="247"/>
      <c r="B3727" s="258"/>
      <c r="C3727" s="247"/>
    </row>
    <row r="3728">
      <c r="A3728" s="247"/>
      <c r="B3728" s="258"/>
      <c r="C3728" s="247"/>
    </row>
    <row r="3729">
      <c r="A3729" s="247"/>
      <c r="B3729" s="258"/>
      <c r="C3729" s="247"/>
    </row>
    <row r="3730">
      <c r="A3730" s="247"/>
      <c r="B3730" s="258"/>
      <c r="C3730" s="247"/>
    </row>
    <row r="3731">
      <c r="A3731" s="247"/>
      <c r="B3731" s="258"/>
      <c r="C3731" s="247"/>
    </row>
    <row r="3732">
      <c r="A3732" s="247"/>
      <c r="B3732" s="258"/>
      <c r="C3732" s="247"/>
    </row>
    <row r="3733">
      <c r="A3733" s="247"/>
      <c r="B3733" s="258"/>
      <c r="C3733" s="247"/>
    </row>
    <row r="3734">
      <c r="A3734" s="247"/>
      <c r="B3734" s="258"/>
      <c r="C3734" s="247"/>
    </row>
    <row r="3735">
      <c r="A3735" s="247"/>
      <c r="B3735" s="258"/>
      <c r="C3735" s="247"/>
    </row>
    <row r="3736">
      <c r="A3736" s="247"/>
      <c r="B3736" s="258"/>
      <c r="C3736" s="247"/>
    </row>
    <row r="3737">
      <c r="A3737" s="247"/>
      <c r="B3737" s="258"/>
      <c r="C3737" s="247"/>
    </row>
    <row r="3738">
      <c r="A3738" s="247"/>
      <c r="B3738" s="258"/>
      <c r="C3738" s="247"/>
    </row>
    <row r="3739">
      <c r="A3739" s="247"/>
      <c r="B3739" s="258"/>
      <c r="C3739" s="247"/>
    </row>
    <row r="3740">
      <c r="A3740" s="247"/>
      <c r="B3740" s="258"/>
      <c r="C3740" s="247"/>
    </row>
    <row r="3741">
      <c r="A3741" s="247"/>
      <c r="B3741" s="258"/>
      <c r="C3741" s="247"/>
    </row>
    <row r="3742">
      <c r="A3742" s="247"/>
      <c r="B3742" s="258"/>
      <c r="C3742" s="247"/>
    </row>
    <row r="3743">
      <c r="A3743" s="247"/>
      <c r="B3743" s="258"/>
      <c r="C3743" s="247"/>
    </row>
    <row r="3744">
      <c r="A3744" s="247"/>
      <c r="B3744" s="258"/>
      <c r="C3744" s="247"/>
    </row>
    <row r="3745">
      <c r="A3745" s="247"/>
      <c r="B3745" s="258"/>
      <c r="C3745" s="247"/>
    </row>
    <row r="3746">
      <c r="A3746" s="247"/>
      <c r="B3746" s="258"/>
      <c r="C3746" s="247"/>
    </row>
    <row r="3747">
      <c r="A3747" s="247"/>
      <c r="B3747" s="258"/>
      <c r="C3747" s="247"/>
    </row>
    <row r="3748">
      <c r="A3748" s="247"/>
      <c r="B3748" s="258"/>
      <c r="C3748" s="247"/>
    </row>
    <row r="3749">
      <c r="A3749" s="247"/>
      <c r="B3749" s="258"/>
      <c r="C3749" s="247"/>
    </row>
    <row r="3750">
      <c r="A3750" s="247"/>
      <c r="B3750" s="258"/>
      <c r="C3750" s="247"/>
    </row>
    <row r="3751">
      <c r="A3751" s="247"/>
      <c r="B3751" s="258"/>
      <c r="C3751" s="247"/>
    </row>
    <row r="3752">
      <c r="A3752" s="247"/>
      <c r="B3752" s="258"/>
      <c r="C3752" s="247"/>
    </row>
    <row r="3753">
      <c r="A3753" s="247"/>
      <c r="B3753" s="258"/>
      <c r="C3753" s="247"/>
    </row>
    <row r="3754">
      <c r="A3754" s="247"/>
      <c r="B3754" s="258"/>
      <c r="C3754" s="247"/>
    </row>
    <row r="3755">
      <c r="A3755" s="247"/>
      <c r="B3755" s="258"/>
      <c r="C3755" s="247"/>
    </row>
    <row r="3756">
      <c r="A3756" s="247"/>
      <c r="B3756" s="258"/>
      <c r="C3756" s="247"/>
    </row>
    <row r="3757">
      <c r="A3757" s="247"/>
      <c r="B3757" s="258"/>
      <c r="C3757" s="247"/>
    </row>
    <row r="3758">
      <c r="A3758" s="247"/>
      <c r="B3758" s="258"/>
      <c r="C3758" s="247"/>
    </row>
    <row r="3759">
      <c r="A3759" s="247"/>
      <c r="B3759" s="258"/>
      <c r="C3759" s="247"/>
    </row>
    <row r="3760">
      <c r="A3760" s="247"/>
      <c r="B3760" s="258"/>
      <c r="C3760" s="247"/>
    </row>
    <row r="3761">
      <c r="A3761" s="247"/>
      <c r="B3761" s="258"/>
      <c r="C3761" s="247"/>
    </row>
    <row r="3762">
      <c r="A3762" s="247"/>
      <c r="B3762" s="258"/>
      <c r="C3762" s="247"/>
    </row>
    <row r="3763">
      <c r="A3763" s="247"/>
      <c r="B3763" s="258"/>
      <c r="C3763" s="247"/>
    </row>
    <row r="3764">
      <c r="A3764" s="247"/>
      <c r="B3764" s="258"/>
      <c r="C3764" s="247"/>
    </row>
    <row r="3765">
      <c r="A3765" s="247"/>
      <c r="B3765" s="258"/>
      <c r="C3765" s="247"/>
    </row>
    <row r="3766">
      <c r="A3766" s="247"/>
      <c r="B3766" s="258"/>
      <c r="C3766" s="247"/>
    </row>
    <row r="3767">
      <c r="A3767" s="247"/>
      <c r="B3767" s="258"/>
      <c r="C3767" s="247"/>
    </row>
    <row r="3768">
      <c r="A3768" s="247"/>
      <c r="B3768" s="258"/>
      <c r="C3768" s="247"/>
    </row>
    <row r="3769">
      <c r="A3769" s="247"/>
      <c r="B3769" s="258"/>
      <c r="C3769" s="247"/>
    </row>
    <row r="3770">
      <c r="A3770" s="247"/>
      <c r="B3770" s="258"/>
      <c r="C3770" s="247"/>
    </row>
    <row r="3771">
      <c r="A3771" s="247"/>
      <c r="B3771" s="258"/>
      <c r="C3771" s="247"/>
    </row>
    <row r="3772">
      <c r="A3772" s="247"/>
      <c r="B3772" s="258"/>
      <c r="C3772" s="247"/>
    </row>
    <row r="3773">
      <c r="A3773" s="247"/>
      <c r="B3773" s="258"/>
      <c r="C3773" s="247"/>
    </row>
    <row r="3774">
      <c r="A3774" s="247"/>
      <c r="B3774" s="258"/>
      <c r="C3774" s="247"/>
    </row>
    <row r="3775">
      <c r="A3775" s="247"/>
      <c r="B3775" s="258"/>
      <c r="C3775" s="247"/>
    </row>
    <row r="3776">
      <c r="A3776" s="247"/>
      <c r="B3776" s="258"/>
      <c r="C3776" s="247"/>
    </row>
    <row r="3777">
      <c r="A3777" s="247"/>
      <c r="B3777" s="258"/>
      <c r="C3777" s="247"/>
    </row>
    <row r="3778">
      <c r="A3778" s="247"/>
      <c r="B3778" s="258"/>
      <c r="C3778" s="247"/>
    </row>
    <row r="3779">
      <c r="A3779" s="247"/>
      <c r="B3779" s="258"/>
      <c r="C3779" s="247"/>
    </row>
    <row r="3780">
      <c r="A3780" s="247"/>
      <c r="B3780" s="258"/>
      <c r="C3780" s="247"/>
    </row>
    <row r="3781">
      <c r="A3781" s="247"/>
      <c r="B3781" s="258"/>
      <c r="C3781" s="247"/>
    </row>
    <row r="3782">
      <c r="A3782" s="247"/>
      <c r="B3782" s="258"/>
      <c r="C3782" s="247"/>
    </row>
    <row r="3783">
      <c r="A3783" s="247"/>
      <c r="B3783" s="258"/>
      <c r="C3783" s="247"/>
    </row>
    <row r="3784">
      <c r="A3784" s="247"/>
      <c r="B3784" s="258"/>
      <c r="C3784" s="247"/>
    </row>
    <row r="3785">
      <c r="A3785" s="247"/>
      <c r="B3785" s="258"/>
      <c r="C3785" s="247"/>
    </row>
    <row r="3786">
      <c r="A3786" s="247"/>
      <c r="B3786" s="258"/>
      <c r="C3786" s="247"/>
    </row>
    <row r="3787">
      <c r="A3787" s="247"/>
      <c r="B3787" s="258"/>
      <c r="C3787" s="247"/>
    </row>
    <row r="3788">
      <c r="A3788" s="247"/>
      <c r="B3788" s="258"/>
      <c r="C3788" s="247"/>
    </row>
    <row r="3789">
      <c r="A3789" s="247"/>
      <c r="B3789" s="258"/>
      <c r="C3789" s="247"/>
    </row>
    <row r="3790">
      <c r="A3790" s="247"/>
      <c r="B3790" s="258"/>
      <c r="C3790" s="247"/>
    </row>
    <row r="3791">
      <c r="A3791" s="247"/>
      <c r="B3791" s="258"/>
      <c r="C3791" s="247"/>
    </row>
    <row r="3792">
      <c r="A3792" s="247"/>
      <c r="B3792" s="258"/>
      <c r="C3792" s="247"/>
    </row>
    <row r="3793">
      <c r="A3793" s="247"/>
      <c r="B3793" s="258"/>
      <c r="C3793" s="247"/>
    </row>
    <row r="3794">
      <c r="A3794" s="247"/>
      <c r="B3794" s="258"/>
      <c r="C3794" s="247"/>
    </row>
    <row r="3795">
      <c r="A3795" s="247"/>
      <c r="B3795" s="258"/>
      <c r="C3795" s="247"/>
    </row>
    <row r="3796">
      <c r="A3796" s="247"/>
      <c r="B3796" s="258"/>
      <c r="C3796" s="247"/>
    </row>
    <row r="3797">
      <c r="A3797" s="247"/>
      <c r="B3797" s="258"/>
      <c r="C3797" s="247"/>
    </row>
    <row r="3798">
      <c r="A3798" s="247"/>
      <c r="B3798" s="258"/>
      <c r="C3798" s="247"/>
    </row>
    <row r="3799">
      <c r="A3799" s="247"/>
      <c r="B3799" s="258"/>
      <c r="C3799" s="247"/>
    </row>
    <row r="3800">
      <c r="A3800" s="247"/>
      <c r="B3800" s="258"/>
      <c r="C3800" s="247"/>
    </row>
    <row r="3801">
      <c r="A3801" s="247"/>
      <c r="B3801" s="258"/>
      <c r="C3801" s="247"/>
    </row>
    <row r="3802">
      <c r="A3802" s="247"/>
      <c r="B3802" s="258"/>
      <c r="C3802" s="247"/>
    </row>
    <row r="3803">
      <c r="A3803" s="247"/>
      <c r="B3803" s="258"/>
      <c r="C3803" s="247"/>
    </row>
    <row r="3804">
      <c r="A3804" s="247"/>
      <c r="B3804" s="258"/>
      <c r="C3804" s="247"/>
    </row>
    <row r="3805">
      <c r="A3805" s="247"/>
      <c r="B3805" s="258"/>
      <c r="C3805" s="247"/>
    </row>
    <row r="3806">
      <c r="A3806" s="247"/>
      <c r="B3806" s="258"/>
      <c r="C3806" s="247"/>
    </row>
    <row r="3807">
      <c r="A3807" s="247"/>
      <c r="B3807" s="258"/>
      <c r="C3807" s="247"/>
    </row>
    <row r="3808">
      <c r="A3808" s="247"/>
      <c r="B3808" s="258"/>
      <c r="C3808" s="247"/>
    </row>
    <row r="3809">
      <c r="A3809" s="247"/>
      <c r="B3809" s="258"/>
      <c r="C3809" s="247"/>
    </row>
    <row r="3810">
      <c r="A3810" s="247"/>
      <c r="B3810" s="258"/>
      <c r="C3810" s="247"/>
    </row>
    <row r="3811">
      <c r="A3811" s="247"/>
      <c r="B3811" s="258"/>
      <c r="C3811" s="247"/>
    </row>
    <row r="3812">
      <c r="A3812" s="247"/>
      <c r="B3812" s="258"/>
      <c r="C3812" s="247"/>
    </row>
    <row r="3813">
      <c r="A3813" s="247"/>
      <c r="B3813" s="258"/>
      <c r="C3813" s="247"/>
    </row>
    <row r="3814">
      <c r="A3814" s="247"/>
      <c r="B3814" s="258"/>
      <c r="C3814" s="247"/>
    </row>
    <row r="3815">
      <c r="A3815" s="247"/>
      <c r="B3815" s="258"/>
      <c r="C3815" s="247"/>
    </row>
    <row r="3816">
      <c r="A3816" s="247"/>
      <c r="B3816" s="258"/>
      <c r="C3816" s="247"/>
    </row>
    <row r="3817">
      <c r="A3817" s="247"/>
      <c r="B3817" s="258"/>
      <c r="C3817" s="247"/>
    </row>
    <row r="3818">
      <c r="A3818" s="247"/>
      <c r="B3818" s="258"/>
      <c r="C3818" s="247"/>
    </row>
    <row r="3819">
      <c r="A3819" s="247"/>
      <c r="B3819" s="258"/>
      <c r="C3819" s="247"/>
    </row>
    <row r="3820">
      <c r="A3820" s="247"/>
      <c r="B3820" s="258"/>
      <c r="C3820" s="247"/>
    </row>
    <row r="3821">
      <c r="A3821" s="247"/>
      <c r="B3821" s="258"/>
      <c r="C3821" s="247"/>
    </row>
    <row r="3822">
      <c r="A3822" s="247"/>
      <c r="B3822" s="258"/>
      <c r="C3822" s="247"/>
    </row>
    <row r="3823">
      <c r="A3823" s="247"/>
      <c r="B3823" s="258"/>
      <c r="C3823" s="247"/>
    </row>
    <row r="3824">
      <c r="A3824" s="247"/>
      <c r="B3824" s="258"/>
      <c r="C3824" s="247"/>
    </row>
    <row r="3825">
      <c r="A3825" s="247"/>
      <c r="B3825" s="258"/>
      <c r="C3825" s="247"/>
    </row>
    <row r="3826">
      <c r="A3826" s="247"/>
      <c r="B3826" s="258"/>
      <c r="C3826" s="247"/>
    </row>
    <row r="3827">
      <c r="A3827" s="247"/>
      <c r="B3827" s="258"/>
      <c r="C3827" s="247"/>
    </row>
    <row r="3828">
      <c r="A3828" s="247"/>
      <c r="B3828" s="258"/>
      <c r="C3828" s="247"/>
    </row>
    <row r="3829">
      <c r="A3829" s="247"/>
      <c r="B3829" s="258"/>
      <c r="C3829" s="247"/>
    </row>
    <row r="3830">
      <c r="A3830" s="247"/>
      <c r="B3830" s="258"/>
      <c r="C3830" s="247"/>
    </row>
    <row r="3831">
      <c r="A3831" s="247"/>
      <c r="B3831" s="258"/>
      <c r="C3831" s="247"/>
    </row>
    <row r="3832">
      <c r="A3832" s="247"/>
      <c r="B3832" s="258"/>
      <c r="C3832" s="247"/>
    </row>
    <row r="3833">
      <c r="A3833" s="247"/>
      <c r="B3833" s="258"/>
      <c r="C3833" s="247"/>
    </row>
    <row r="3834">
      <c r="A3834" s="247"/>
      <c r="B3834" s="258"/>
      <c r="C3834" s="247"/>
    </row>
    <row r="3835">
      <c r="A3835" s="247"/>
      <c r="B3835" s="258"/>
      <c r="C3835" s="247"/>
    </row>
    <row r="3836">
      <c r="A3836" s="247"/>
      <c r="B3836" s="258"/>
      <c r="C3836" s="247"/>
    </row>
    <row r="3837">
      <c r="A3837" s="247"/>
      <c r="B3837" s="258"/>
      <c r="C3837" s="247"/>
    </row>
    <row r="3838">
      <c r="A3838" s="247"/>
      <c r="B3838" s="258"/>
      <c r="C3838" s="247"/>
    </row>
    <row r="3839">
      <c r="A3839" s="247"/>
      <c r="B3839" s="258"/>
      <c r="C3839" s="247"/>
    </row>
    <row r="3840">
      <c r="A3840" s="247"/>
      <c r="B3840" s="258"/>
      <c r="C3840" s="247"/>
    </row>
    <row r="3841">
      <c r="A3841" s="247"/>
      <c r="B3841" s="258"/>
      <c r="C3841" s="247"/>
    </row>
    <row r="3842">
      <c r="A3842" s="247"/>
      <c r="B3842" s="258"/>
      <c r="C3842" s="247"/>
    </row>
    <row r="3843">
      <c r="A3843" s="247"/>
      <c r="B3843" s="258"/>
      <c r="C3843" s="247"/>
    </row>
    <row r="3844">
      <c r="A3844" s="247"/>
      <c r="B3844" s="258"/>
      <c r="C3844" s="247"/>
    </row>
    <row r="3845">
      <c r="A3845" s="247"/>
      <c r="B3845" s="258"/>
      <c r="C3845" s="247"/>
    </row>
    <row r="3846">
      <c r="A3846" s="247"/>
      <c r="B3846" s="258"/>
      <c r="C3846" s="247"/>
    </row>
    <row r="3847">
      <c r="A3847" s="247"/>
      <c r="B3847" s="258"/>
      <c r="C3847" s="247"/>
    </row>
    <row r="3848">
      <c r="A3848" s="247"/>
      <c r="B3848" s="258"/>
      <c r="C3848" s="247"/>
    </row>
    <row r="3849">
      <c r="A3849" s="247"/>
      <c r="B3849" s="258"/>
      <c r="C3849" s="247"/>
    </row>
    <row r="3850">
      <c r="A3850" s="247"/>
      <c r="B3850" s="258"/>
      <c r="C3850" s="247"/>
    </row>
    <row r="3851">
      <c r="A3851" s="247"/>
      <c r="B3851" s="258"/>
      <c r="C3851" s="247"/>
    </row>
    <row r="3852">
      <c r="A3852" s="247"/>
      <c r="B3852" s="258"/>
      <c r="C3852" s="247"/>
    </row>
    <row r="3853">
      <c r="A3853" s="247"/>
      <c r="B3853" s="258"/>
      <c r="C3853" s="247"/>
    </row>
    <row r="3854">
      <c r="A3854" s="247"/>
      <c r="B3854" s="258"/>
      <c r="C3854" s="247"/>
    </row>
    <row r="3855">
      <c r="A3855" s="247"/>
      <c r="B3855" s="258"/>
      <c r="C3855" s="247"/>
    </row>
    <row r="3856">
      <c r="A3856" s="247"/>
      <c r="B3856" s="258"/>
      <c r="C3856" s="247"/>
    </row>
    <row r="3857">
      <c r="A3857" s="247"/>
      <c r="B3857" s="258"/>
      <c r="C3857" s="247"/>
    </row>
    <row r="3858">
      <c r="A3858" s="247"/>
      <c r="B3858" s="258"/>
      <c r="C3858" s="247"/>
    </row>
    <row r="3859">
      <c r="A3859" s="247"/>
      <c r="B3859" s="258"/>
      <c r="C3859" s="247"/>
    </row>
    <row r="3860">
      <c r="A3860" s="247"/>
      <c r="B3860" s="258"/>
      <c r="C3860" s="247"/>
    </row>
    <row r="3861">
      <c r="A3861" s="247"/>
      <c r="B3861" s="258"/>
      <c r="C3861" s="247"/>
    </row>
    <row r="3862">
      <c r="A3862" s="247"/>
      <c r="B3862" s="258"/>
      <c r="C3862" s="247"/>
    </row>
    <row r="3863">
      <c r="A3863" s="247"/>
      <c r="B3863" s="258"/>
      <c r="C3863" s="247"/>
    </row>
    <row r="3864">
      <c r="A3864" s="247"/>
      <c r="B3864" s="258"/>
      <c r="C3864" s="247"/>
    </row>
    <row r="3865">
      <c r="A3865" s="247"/>
      <c r="B3865" s="258"/>
      <c r="C3865" s="247"/>
    </row>
    <row r="3866">
      <c r="A3866" s="247"/>
      <c r="B3866" s="258"/>
      <c r="C3866" s="247"/>
    </row>
    <row r="3867">
      <c r="A3867" s="247"/>
      <c r="B3867" s="258"/>
      <c r="C3867" s="247"/>
    </row>
    <row r="3868">
      <c r="A3868" s="247"/>
      <c r="B3868" s="258"/>
      <c r="C3868" s="247"/>
    </row>
    <row r="3869">
      <c r="A3869" s="247"/>
      <c r="B3869" s="258"/>
      <c r="C3869" s="247"/>
    </row>
    <row r="3870">
      <c r="A3870" s="247"/>
      <c r="B3870" s="258"/>
      <c r="C3870" s="247"/>
    </row>
    <row r="3871">
      <c r="A3871" s="247"/>
      <c r="B3871" s="258"/>
      <c r="C3871" s="247"/>
    </row>
    <row r="3872">
      <c r="A3872" s="247"/>
      <c r="B3872" s="258"/>
      <c r="C3872" s="247"/>
    </row>
    <row r="3873">
      <c r="A3873" s="247"/>
      <c r="B3873" s="258"/>
      <c r="C3873" s="247"/>
    </row>
    <row r="3874">
      <c r="A3874" s="247"/>
      <c r="B3874" s="258"/>
      <c r="C3874" s="247"/>
    </row>
    <row r="3875">
      <c r="A3875" s="247"/>
      <c r="B3875" s="258"/>
      <c r="C3875" s="247"/>
    </row>
    <row r="3876">
      <c r="A3876" s="247"/>
      <c r="B3876" s="258"/>
      <c r="C3876" s="247"/>
    </row>
    <row r="3877">
      <c r="A3877" s="247"/>
      <c r="B3877" s="258"/>
      <c r="C3877" s="247"/>
    </row>
    <row r="3878">
      <c r="A3878" s="247"/>
      <c r="B3878" s="258"/>
      <c r="C3878" s="247"/>
    </row>
    <row r="3879">
      <c r="A3879" s="247"/>
      <c r="B3879" s="258"/>
      <c r="C3879" s="247"/>
    </row>
    <row r="3880">
      <c r="A3880" s="247"/>
      <c r="B3880" s="258"/>
      <c r="C3880" s="247"/>
    </row>
    <row r="3881">
      <c r="A3881" s="247"/>
      <c r="B3881" s="258"/>
      <c r="C3881" s="247"/>
    </row>
    <row r="3882">
      <c r="A3882" s="247"/>
      <c r="B3882" s="258"/>
      <c r="C3882" s="247"/>
    </row>
    <row r="3883">
      <c r="A3883" s="247"/>
      <c r="B3883" s="258"/>
      <c r="C3883" s="247"/>
    </row>
    <row r="3884">
      <c r="A3884" s="247"/>
      <c r="B3884" s="258"/>
      <c r="C3884" s="247"/>
    </row>
    <row r="3885">
      <c r="A3885" s="247"/>
      <c r="B3885" s="258"/>
      <c r="C3885" s="247"/>
    </row>
    <row r="3886">
      <c r="A3886" s="247"/>
      <c r="B3886" s="258"/>
      <c r="C3886" s="247"/>
    </row>
    <row r="3887">
      <c r="A3887" s="247"/>
      <c r="B3887" s="258"/>
      <c r="C3887" s="247"/>
    </row>
    <row r="3888">
      <c r="A3888" s="247"/>
      <c r="B3888" s="258"/>
      <c r="C3888" s="247"/>
    </row>
    <row r="3889">
      <c r="A3889" s="247"/>
      <c r="B3889" s="258"/>
      <c r="C3889" s="247"/>
    </row>
    <row r="3890">
      <c r="A3890" s="247"/>
      <c r="B3890" s="258"/>
      <c r="C3890" s="247"/>
    </row>
    <row r="3891">
      <c r="A3891" s="247"/>
      <c r="B3891" s="258"/>
      <c r="C3891" s="247"/>
    </row>
    <row r="3892">
      <c r="A3892" s="247"/>
      <c r="B3892" s="258"/>
      <c r="C3892" s="247"/>
    </row>
    <row r="3893">
      <c r="A3893" s="247"/>
      <c r="B3893" s="258"/>
      <c r="C3893" s="247"/>
    </row>
    <row r="3894">
      <c r="A3894" s="247"/>
      <c r="B3894" s="258"/>
      <c r="C3894" s="247"/>
    </row>
    <row r="3895">
      <c r="A3895" s="247"/>
      <c r="B3895" s="258"/>
      <c r="C3895" s="247"/>
    </row>
    <row r="3896">
      <c r="A3896" s="247"/>
      <c r="B3896" s="258"/>
      <c r="C3896" s="247"/>
    </row>
    <row r="3897">
      <c r="A3897" s="247"/>
      <c r="B3897" s="258"/>
      <c r="C3897" s="247"/>
    </row>
    <row r="3898">
      <c r="A3898" s="247"/>
      <c r="B3898" s="258"/>
      <c r="C3898" s="247"/>
    </row>
    <row r="3899">
      <c r="A3899" s="247"/>
      <c r="B3899" s="258"/>
      <c r="C3899" s="247"/>
    </row>
    <row r="3900">
      <c r="A3900" s="247"/>
      <c r="B3900" s="258"/>
      <c r="C3900" s="247"/>
    </row>
    <row r="3901">
      <c r="A3901" s="247"/>
      <c r="B3901" s="258"/>
      <c r="C3901" s="247"/>
    </row>
    <row r="3902">
      <c r="A3902" s="247"/>
      <c r="B3902" s="258"/>
      <c r="C3902" s="247"/>
    </row>
    <row r="3903">
      <c r="A3903" s="247"/>
      <c r="B3903" s="258"/>
      <c r="C3903" s="247"/>
    </row>
    <row r="3904">
      <c r="A3904" s="247"/>
      <c r="B3904" s="258"/>
      <c r="C3904" s="247"/>
    </row>
    <row r="3905">
      <c r="A3905" s="247"/>
      <c r="B3905" s="258"/>
      <c r="C3905" s="247"/>
    </row>
    <row r="3906">
      <c r="A3906" s="247"/>
      <c r="B3906" s="258"/>
      <c r="C3906" s="247"/>
    </row>
    <row r="3907">
      <c r="A3907" s="247"/>
      <c r="B3907" s="258"/>
      <c r="C3907" s="247"/>
    </row>
    <row r="3908">
      <c r="A3908" s="247"/>
      <c r="B3908" s="258"/>
      <c r="C3908" s="247"/>
    </row>
    <row r="3909">
      <c r="A3909" s="247"/>
      <c r="B3909" s="258"/>
      <c r="C3909" s="247"/>
    </row>
    <row r="3910">
      <c r="A3910" s="247"/>
      <c r="B3910" s="258"/>
      <c r="C3910" s="247"/>
    </row>
    <row r="3911">
      <c r="A3911" s="247"/>
      <c r="B3911" s="258"/>
      <c r="C3911" s="247"/>
    </row>
    <row r="3912">
      <c r="A3912" s="247"/>
      <c r="B3912" s="258"/>
      <c r="C3912" s="247"/>
    </row>
    <row r="3913">
      <c r="A3913" s="247"/>
      <c r="B3913" s="258"/>
      <c r="C3913" s="247"/>
    </row>
    <row r="3914">
      <c r="A3914" s="247"/>
      <c r="B3914" s="258"/>
      <c r="C3914" s="247"/>
    </row>
    <row r="3915">
      <c r="A3915" s="247"/>
      <c r="B3915" s="258"/>
      <c r="C3915" s="247"/>
    </row>
    <row r="3916">
      <c r="A3916" s="247"/>
      <c r="B3916" s="258"/>
      <c r="C3916" s="247"/>
    </row>
    <row r="3917">
      <c r="A3917" s="247"/>
      <c r="B3917" s="258"/>
      <c r="C3917" s="247"/>
    </row>
    <row r="3918">
      <c r="A3918" s="247"/>
      <c r="B3918" s="258"/>
      <c r="C3918" s="247"/>
    </row>
    <row r="3919">
      <c r="A3919" s="247"/>
      <c r="B3919" s="258"/>
      <c r="C3919" s="247"/>
    </row>
    <row r="3920">
      <c r="A3920" s="247"/>
      <c r="B3920" s="258"/>
      <c r="C3920" s="247"/>
    </row>
    <row r="3921">
      <c r="A3921" s="247"/>
      <c r="B3921" s="258"/>
      <c r="C3921" s="247"/>
    </row>
    <row r="3922">
      <c r="A3922" s="247"/>
      <c r="B3922" s="258"/>
      <c r="C3922" s="247"/>
    </row>
    <row r="3923">
      <c r="A3923" s="247"/>
      <c r="B3923" s="258"/>
      <c r="C3923" s="247"/>
    </row>
    <row r="3924">
      <c r="A3924" s="247"/>
      <c r="B3924" s="258"/>
      <c r="C3924" s="247"/>
    </row>
    <row r="3925">
      <c r="A3925" s="247"/>
      <c r="B3925" s="258"/>
      <c r="C3925" s="247"/>
    </row>
    <row r="3926">
      <c r="A3926" s="247"/>
      <c r="B3926" s="258"/>
      <c r="C3926" s="247"/>
    </row>
    <row r="3927">
      <c r="A3927" s="247"/>
      <c r="B3927" s="258"/>
      <c r="C3927" s="247"/>
    </row>
    <row r="3928">
      <c r="A3928" s="247"/>
      <c r="B3928" s="258"/>
      <c r="C3928" s="247"/>
    </row>
    <row r="3929">
      <c r="A3929" s="247"/>
      <c r="B3929" s="258"/>
      <c r="C3929" s="247"/>
    </row>
    <row r="3930">
      <c r="A3930" s="247"/>
      <c r="B3930" s="258"/>
      <c r="C3930" s="247"/>
    </row>
    <row r="3931">
      <c r="A3931" s="247"/>
      <c r="B3931" s="258"/>
      <c r="C3931" s="247"/>
    </row>
    <row r="3932">
      <c r="A3932" s="247"/>
      <c r="B3932" s="258"/>
      <c r="C3932" s="247"/>
    </row>
    <row r="3933">
      <c r="A3933" s="247"/>
      <c r="B3933" s="258"/>
      <c r="C3933" s="247"/>
    </row>
    <row r="3934">
      <c r="A3934" s="247"/>
      <c r="B3934" s="258"/>
      <c r="C3934" s="247"/>
    </row>
    <row r="3935">
      <c r="A3935" s="247"/>
      <c r="B3935" s="258"/>
      <c r="C3935" s="247"/>
    </row>
    <row r="3936">
      <c r="A3936" s="247"/>
      <c r="B3936" s="258"/>
      <c r="C3936" s="247"/>
    </row>
    <row r="3937">
      <c r="A3937" s="247"/>
      <c r="B3937" s="258"/>
      <c r="C3937" s="247"/>
    </row>
    <row r="3938">
      <c r="A3938" s="247"/>
      <c r="B3938" s="258"/>
      <c r="C3938" s="247"/>
    </row>
    <row r="3939">
      <c r="A3939" s="247"/>
      <c r="B3939" s="258"/>
      <c r="C3939" s="247"/>
    </row>
    <row r="3940">
      <c r="A3940" s="247"/>
      <c r="B3940" s="258"/>
      <c r="C3940" s="247"/>
    </row>
    <row r="3941">
      <c r="A3941" s="247"/>
      <c r="B3941" s="258"/>
      <c r="C3941" s="247"/>
    </row>
    <row r="3942">
      <c r="A3942" s="247"/>
      <c r="B3942" s="258"/>
      <c r="C3942" s="247"/>
    </row>
    <row r="3943">
      <c r="A3943" s="247"/>
      <c r="B3943" s="258"/>
      <c r="C3943" s="247"/>
    </row>
    <row r="3944">
      <c r="A3944" s="247"/>
      <c r="B3944" s="258"/>
      <c r="C3944" s="247"/>
    </row>
    <row r="3945">
      <c r="A3945" s="247"/>
      <c r="B3945" s="258"/>
      <c r="C3945" s="247"/>
    </row>
    <row r="3946">
      <c r="A3946" s="247"/>
      <c r="B3946" s="258"/>
      <c r="C3946" s="247"/>
    </row>
    <row r="3947">
      <c r="A3947" s="247"/>
      <c r="B3947" s="258"/>
      <c r="C3947" s="247"/>
    </row>
    <row r="3948">
      <c r="A3948" s="247"/>
      <c r="B3948" s="258"/>
      <c r="C3948" s="247"/>
    </row>
    <row r="3949">
      <c r="A3949" s="247"/>
      <c r="B3949" s="258"/>
      <c r="C3949" s="247"/>
    </row>
    <row r="3950">
      <c r="A3950" s="247"/>
      <c r="B3950" s="258"/>
      <c r="C3950" s="247"/>
    </row>
    <row r="3951">
      <c r="A3951" s="247"/>
      <c r="B3951" s="258"/>
      <c r="C3951" s="247"/>
    </row>
    <row r="3952">
      <c r="A3952" s="247"/>
      <c r="B3952" s="258"/>
      <c r="C3952" s="247"/>
    </row>
    <row r="3953">
      <c r="A3953" s="247"/>
      <c r="B3953" s="258"/>
      <c r="C3953" s="247"/>
    </row>
    <row r="3954">
      <c r="A3954" s="247"/>
      <c r="B3954" s="258"/>
      <c r="C3954" s="247"/>
    </row>
    <row r="3955">
      <c r="A3955" s="247"/>
      <c r="B3955" s="258"/>
      <c r="C3955" s="247"/>
    </row>
    <row r="3956">
      <c r="A3956" s="247"/>
      <c r="B3956" s="258"/>
      <c r="C3956" s="247"/>
    </row>
    <row r="3957">
      <c r="A3957" s="247"/>
      <c r="B3957" s="258"/>
      <c r="C3957" s="247"/>
    </row>
    <row r="3958">
      <c r="A3958" s="247"/>
      <c r="B3958" s="258"/>
      <c r="C3958" s="247"/>
    </row>
    <row r="3959">
      <c r="A3959" s="247"/>
      <c r="B3959" s="258"/>
      <c r="C3959" s="247"/>
    </row>
    <row r="3960">
      <c r="A3960" s="247"/>
      <c r="B3960" s="258"/>
      <c r="C3960" s="247"/>
    </row>
    <row r="3961">
      <c r="A3961" s="247"/>
      <c r="B3961" s="258"/>
      <c r="C3961" s="247"/>
    </row>
    <row r="3962">
      <c r="A3962" s="247"/>
      <c r="B3962" s="258"/>
      <c r="C3962" s="247"/>
    </row>
    <row r="3963">
      <c r="A3963" s="247"/>
      <c r="B3963" s="258"/>
      <c r="C3963" s="247"/>
    </row>
    <row r="3964">
      <c r="A3964" s="247"/>
      <c r="B3964" s="258"/>
      <c r="C3964" s="247"/>
    </row>
    <row r="3965">
      <c r="A3965" s="247"/>
      <c r="B3965" s="258"/>
      <c r="C3965" s="247"/>
    </row>
    <row r="3966">
      <c r="A3966" s="247"/>
      <c r="B3966" s="258"/>
      <c r="C3966" s="247"/>
    </row>
    <row r="3967">
      <c r="A3967" s="247"/>
      <c r="B3967" s="258"/>
      <c r="C3967" s="247"/>
    </row>
    <row r="3968">
      <c r="A3968" s="247"/>
      <c r="B3968" s="258"/>
      <c r="C3968" s="247"/>
    </row>
    <row r="3969">
      <c r="A3969" s="247"/>
      <c r="B3969" s="258"/>
      <c r="C3969" s="247"/>
    </row>
    <row r="3970">
      <c r="A3970" s="247"/>
      <c r="B3970" s="258"/>
      <c r="C3970" s="247"/>
    </row>
    <row r="3971">
      <c r="A3971" s="247"/>
      <c r="B3971" s="258"/>
      <c r="C3971" s="247"/>
    </row>
    <row r="3972">
      <c r="A3972" s="247"/>
      <c r="B3972" s="258"/>
      <c r="C3972" s="247"/>
    </row>
    <row r="3973">
      <c r="A3973" s="247"/>
      <c r="B3973" s="258"/>
      <c r="C3973" s="247"/>
    </row>
    <row r="3974">
      <c r="A3974" s="247"/>
      <c r="B3974" s="258"/>
      <c r="C3974" s="247"/>
    </row>
    <row r="3975">
      <c r="A3975" s="247"/>
      <c r="B3975" s="258"/>
      <c r="C3975" s="247"/>
    </row>
    <row r="3976">
      <c r="A3976" s="247"/>
      <c r="B3976" s="258"/>
      <c r="C3976" s="247"/>
    </row>
    <row r="3977">
      <c r="A3977" s="247"/>
      <c r="B3977" s="258"/>
      <c r="C3977" s="247"/>
    </row>
    <row r="3978">
      <c r="A3978" s="247"/>
      <c r="B3978" s="258"/>
      <c r="C3978" s="247"/>
    </row>
    <row r="3979">
      <c r="A3979" s="247"/>
      <c r="B3979" s="258"/>
      <c r="C3979" s="247"/>
    </row>
    <row r="3980">
      <c r="A3980" s="247"/>
      <c r="B3980" s="258"/>
      <c r="C3980" s="247"/>
    </row>
    <row r="3981">
      <c r="A3981" s="247"/>
      <c r="B3981" s="258"/>
      <c r="C3981" s="247"/>
    </row>
    <row r="3982">
      <c r="A3982" s="247"/>
      <c r="B3982" s="258"/>
      <c r="C3982" s="247"/>
    </row>
    <row r="3983">
      <c r="A3983" s="247"/>
      <c r="B3983" s="258"/>
      <c r="C3983" s="247"/>
    </row>
    <row r="3984">
      <c r="A3984" s="247"/>
      <c r="B3984" s="258"/>
      <c r="C3984" s="247"/>
    </row>
    <row r="3985">
      <c r="A3985" s="247"/>
      <c r="B3985" s="258"/>
      <c r="C3985" s="247"/>
    </row>
    <row r="3986">
      <c r="A3986" s="247"/>
      <c r="B3986" s="258"/>
      <c r="C3986" s="247"/>
    </row>
    <row r="3987">
      <c r="A3987" s="247"/>
      <c r="B3987" s="258"/>
      <c r="C3987" s="247"/>
    </row>
    <row r="3988">
      <c r="A3988" s="247"/>
      <c r="B3988" s="258"/>
      <c r="C3988" s="247"/>
    </row>
    <row r="3989">
      <c r="A3989" s="247"/>
      <c r="B3989" s="258"/>
      <c r="C3989" s="247"/>
    </row>
    <row r="3990">
      <c r="A3990" s="247"/>
      <c r="B3990" s="258"/>
      <c r="C3990" s="247"/>
    </row>
    <row r="3991">
      <c r="A3991" s="247"/>
      <c r="B3991" s="258"/>
      <c r="C3991" s="247"/>
    </row>
    <row r="3992">
      <c r="A3992" s="247"/>
      <c r="B3992" s="258"/>
      <c r="C3992" s="247"/>
    </row>
    <row r="3993">
      <c r="A3993" s="247"/>
      <c r="B3993" s="258"/>
      <c r="C3993" s="247"/>
    </row>
    <row r="3994">
      <c r="A3994" s="247"/>
      <c r="B3994" s="258"/>
      <c r="C3994" s="247"/>
    </row>
    <row r="3995">
      <c r="A3995" s="247"/>
      <c r="B3995" s="258"/>
      <c r="C3995" s="247"/>
    </row>
    <row r="3996">
      <c r="A3996" s="247"/>
      <c r="B3996" s="258"/>
      <c r="C3996" s="247"/>
    </row>
    <row r="3997">
      <c r="A3997" s="247"/>
      <c r="B3997" s="258"/>
      <c r="C3997" s="247"/>
    </row>
    <row r="3998">
      <c r="A3998" s="247"/>
      <c r="B3998" s="258"/>
      <c r="C3998" s="247"/>
    </row>
    <row r="3999">
      <c r="A3999" s="247"/>
      <c r="B3999" s="258"/>
      <c r="C3999" s="247"/>
    </row>
    <row r="4000">
      <c r="A4000" s="247"/>
      <c r="B4000" s="258"/>
      <c r="C4000" s="247"/>
    </row>
    <row r="4001">
      <c r="A4001" s="247"/>
      <c r="B4001" s="258"/>
      <c r="C4001" s="247"/>
    </row>
    <row r="4002">
      <c r="A4002" s="247"/>
      <c r="B4002" s="258"/>
      <c r="C4002" s="247"/>
    </row>
    <row r="4003">
      <c r="A4003" s="247"/>
      <c r="B4003" s="258"/>
      <c r="C4003" s="247"/>
    </row>
    <row r="4004">
      <c r="A4004" s="247"/>
      <c r="B4004" s="258"/>
      <c r="C4004" s="247"/>
    </row>
    <row r="4005">
      <c r="A4005" s="247"/>
      <c r="B4005" s="258"/>
      <c r="C4005" s="247"/>
    </row>
    <row r="4006">
      <c r="A4006" s="247"/>
      <c r="B4006" s="258"/>
      <c r="C4006" s="247"/>
    </row>
    <row r="4007">
      <c r="A4007" s="247"/>
      <c r="B4007" s="258"/>
      <c r="C4007" s="247"/>
    </row>
    <row r="4008">
      <c r="A4008" s="247"/>
      <c r="B4008" s="258"/>
      <c r="C4008" s="247"/>
    </row>
    <row r="4009">
      <c r="A4009" s="247"/>
      <c r="B4009" s="258"/>
      <c r="C4009" s="247"/>
    </row>
    <row r="4010">
      <c r="A4010" s="247"/>
      <c r="B4010" s="258"/>
      <c r="C4010" s="247"/>
    </row>
    <row r="4011">
      <c r="A4011" s="247"/>
      <c r="B4011" s="258"/>
      <c r="C4011" s="247"/>
    </row>
    <row r="4012">
      <c r="A4012" s="247"/>
      <c r="B4012" s="258"/>
      <c r="C4012" s="247"/>
    </row>
    <row r="4013">
      <c r="A4013" s="247"/>
      <c r="B4013" s="258"/>
      <c r="C4013" s="247"/>
    </row>
    <row r="4014">
      <c r="A4014" s="247"/>
      <c r="B4014" s="258"/>
      <c r="C4014" s="247"/>
    </row>
    <row r="4015">
      <c r="A4015" s="247"/>
      <c r="B4015" s="258"/>
      <c r="C4015" s="247"/>
    </row>
    <row r="4016">
      <c r="A4016" s="247"/>
      <c r="B4016" s="258"/>
      <c r="C4016" s="247"/>
    </row>
    <row r="4017">
      <c r="A4017" s="247"/>
      <c r="B4017" s="258"/>
      <c r="C4017" s="247"/>
    </row>
    <row r="4018">
      <c r="A4018" s="247"/>
      <c r="B4018" s="258"/>
      <c r="C4018" s="247"/>
    </row>
    <row r="4019">
      <c r="A4019" s="247"/>
      <c r="B4019" s="258"/>
      <c r="C4019" s="247"/>
    </row>
    <row r="4020">
      <c r="A4020" s="247"/>
      <c r="B4020" s="258"/>
      <c r="C4020" s="247"/>
    </row>
    <row r="4021">
      <c r="A4021" s="247"/>
      <c r="B4021" s="258"/>
      <c r="C4021" s="247"/>
    </row>
    <row r="4022">
      <c r="A4022" s="247"/>
      <c r="B4022" s="258"/>
      <c r="C4022" s="247"/>
    </row>
    <row r="4023">
      <c r="A4023" s="247"/>
      <c r="B4023" s="258"/>
      <c r="C4023" s="247"/>
    </row>
    <row r="4024">
      <c r="A4024" s="247"/>
      <c r="B4024" s="258"/>
      <c r="C4024" s="247"/>
    </row>
    <row r="4025">
      <c r="A4025" s="247"/>
      <c r="B4025" s="258"/>
      <c r="C4025" s="247"/>
    </row>
    <row r="4026">
      <c r="A4026" s="247"/>
      <c r="B4026" s="258"/>
      <c r="C4026" s="247"/>
    </row>
    <row r="4027">
      <c r="A4027" s="247"/>
      <c r="B4027" s="258"/>
      <c r="C4027" s="247"/>
    </row>
    <row r="4028">
      <c r="A4028" s="247"/>
      <c r="B4028" s="258"/>
      <c r="C4028" s="247"/>
    </row>
    <row r="4029">
      <c r="A4029" s="247"/>
      <c r="B4029" s="258"/>
      <c r="C4029" s="247"/>
    </row>
    <row r="4030">
      <c r="A4030" s="247"/>
      <c r="B4030" s="258"/>
      <c r="C4030" s="247"/>
    </row>
    <row r="4031">
      <c r="A4031" s="247"/>
      <c r="B4031" s="258"/>
      <c r="C4031" s="247"/>
    </row>
    <row r="4032">
      <c r="A4032" s="247"/>
      <c r="B4032" s="258"/>
      <c r="C4032" s="247"/>
    </row>
    <row r="4033">
      <c r="A4033" s="247"/>
      <c r="B4033" s="258"/>
      <c r="C4033" s="247"/>
    </row>
    <row r="4034">
      <c r="A4034" s="247"/>
      <c r="B4034" s="258"/>
      <c r="C4034" s="247"/>
    </row>
    <row r="4035">
      <c r="A4035" s="247"/>
      <c r="B4035" s="258"/>
      <c r="C4035" s="247"/>
    </row>
    <row r="4036">
      <c r="A4036" s="247"/>
      <c r="B4036" s="258"/>
      <c r="C4036" s="247"/>
    </row>
    <row r="4037">
      <c r="A4037" s="247"/>
      <c r="B4037" s="258"/>
      <c r="C4037" s="247"/>
    </row>
    <row r="4038">
      <c r="A4038" s="247"/>
      <c r="B4038" s="258"/>
      <c r="C4038" s="247"/>
    </row>
    <row r="4039">
      <c r="A4039" s="247"/>
      <c r="B4039" s="258"/>
      <c r="C4039" s="247"/>
    </row>
    <row r="4040">
      <c r="A4040" s="247"/>
      <c r="B4040" s="258"/>
      <c r="C4040" s="247"/>
    </row>
    <row r="4041">
      <c r="A4041" s="247"/>
      <c r="B4041" s="258"/>
      <c r="C4041" s="247"/>
    </row>
    <row r="4042">
      <c r="A4042" s="247"/>
      <c r="B4042" s="258"/>
      <c r="C4042" s="247"/>
    </row>
    <row r="4043">
      <c r="A4043" s="247"/>
      <c r="B4043" s="258"/>
      <c r="C4043" s="247"/>
    </row>
    <row r="4044">
      <c r="A4044" s="247"/>
      <c r="B4044" s="258"/>
      <c r="C4044" s="247"/>
    </row>
    <row r="4045">
      <c r="A4045" s="247"/>
      <c r="B4045" s="258"/>
      <c r="C4045" s="247"/>
    </row>
    <row r="4046">
      <c r="A4046" s="247"/>
      <c r="B4046" s="258"/>
      <c r="C4046" s="247"/>
    </row>
    <row r="4047">
      <c r="A4047" s="247"/>
      <c r="B4047" s="258"/>
      <c r="C4047" s="247"/>
    </row>
    <row r="4048">
      <c r="A4048" s="247"/>
      <c r="B4048" s="258"/>
      <c r="C4048" s="247"/>
    </row>
    <row r="4049">
      <c r="A4049" s="247"/>
      <c r="B4049" s="258"/>
      <c r="C4049" s="247"/>
    </row>
    <row r="4050">
      <c r="A4050" s="247"/>
      <c r="B4050" s="258"/>
      <c r="C4050" s="247"/>
    </row>
    <row r="4051">
      <c r="A4051" s="247"/>
      <c r="B4051" s="258"/>
      <c r="C4051" s="247"/>
    </row>
    <row r="4052">
      <c r="A4052" s="247"/>
      <c r="B4052" s="258"/>
      <c r="C4052" s="247"/>
    </row>
    <row r="4053">
      <c r="A4053" s="247"/>
      <c r="B4053" s="258"/>
      <c r="C4053" s="247"/>
    </row>
    <row r="4054">
      <c r="A4054" s="247"/>
      <c r="B4054" s="258"/>
      <c r="C4054" s="247"/>
    </row>
    <row r="4055">
      <c r="A4055" s="247"/>
      <c r="B4055" s="258"/>
      <c r="C4055" s="247"/>
    </row>
    <row r="4056">
      <c r="A4056" s="247"/>
      <c r="B4056" s="258"/>
      <c r="C4056" s="247"/>
    </row>
    <row r="4057">
      <c r="A4057" s="247"/>
      <c r="B4057" s="258"/>
      <c r="C4057" s="247"/>
    </row>
    <row r="4058">
      <c r="A4058" s="247"/>
      <c r="B4058" s="258"/>
      <c r="C4058" s="247"/>
    </row>
    <row r="4059">
      <c r="A4059" s="247"/>
      <c r="B4059" s="258"/>
      <c r="C4059" s="247"/>
    </row>
    <row r="4060">
      <c r="A4060" s="247"/>
      <c r="B4060" s="258"/>
      <c r="C4060" s="247"/>
    </row>
    <row r="4061">
      <c r="A4061" s="247"/>
      <c r="B4061" s="258"/>
      <c r="C4061" s="247"/>
    </row>
    <row r="4062">
      <c r="A4062" s="247"/>
      <c r="B4062" s="258"/>
      <c r="C4062" s="247"/>
    </row>
    <row r="4063">
      <c r="A4063" s="247"/>
      <c r="B4063" s="258"/>
      <c r="C4063" s="247"/>
    </row>
    <row r="4064">
      <c r="A4064" s="247"/>
      <c r="B4064" s="258"/>
      <c r="C4064" s="247"/>
    </row>
    <row r="4065">
      <c r="A4065" s="247"/>
      <c r="B4065" s="258"/>
      <c r="C4065" s="247"/>
    </row>
    <row r="4066">
      <c r="A4066" s="247"/>
      <c r="B4066" s="258"/>
      <c r="C4066" s="247"/>
    </row>
    <row r="4067">
      <c r="A4067" s="247"/>
      <c r="B4067" s="258"/>
      <c r="C4067" s="247"/>
    </row>
    <row r="4068">
      <c r="A4068" s="247"/>
      <c r="B4068" s="258"/>
      <c r="C4068" s="247"/>
    </row>
    <row r="4069">
      <c r="A4069" s="247"/>
      <c r="B4069" s="258"/>
      <c r="C4069" s="247"/>
    </row>
    <row r="4070">
      <c r="A4070" s="247"/>
      <c r="B4070" s="258"/>
      <c r="C4070" s="247"/>
    </row>
    <row r="4071">
      <c r="A4071" s="247"/>
      <c r="B4071" s="258"/>
      <c r="C4071" s="247"/>
    </row>
    <row r="4072">
      <c r="A4072" s="247"/>
      <c r="B4072" s="258"/>
      <c r="C4072" s="247"/>
    </row>
    <row r="4073">
      <c r="A4073" s="247"/>
      <c r="B4073" s="258"/>
      <c r="C4073" s="247"/>
    </row>
    <row r="4074">
      <c r="A4074" s="247"/>
      <c r="B4074" s="258"/>
      <c r="C4074" s="247"/>
    </row>
    <row r="4075">
      <c r="A4075" s="247"/>
      <c r="B4075" s="258"/>
      <c r="C4075" s="247"/>
    </row>
    <row r="4076">
      <c r="A4076" s="247"/>
      <c r="B4076" s="258"/>
      <c r="C4076" s="247"/>
    </row>
    <row r="4077">
      <c r="A4077" s="247"/>
      <c r="B4077" s="258"/>
      <c r="C4077" s="247"/>
    </row>
    <row r="4078">
      <c r="A4078" s="247"/>
      <c r="B4078" s="258"/>
      <c r="C4078" s="247"/>
    </row>
    <row r="4079">
      <c r="A4079" s="247"/>
      <c r="B4079" s="258"/>
      <c r="C4079" s="247"/>
    </row>
    <row r="4080">
      <c r="A4080" s="247"/>
      <c r="B4080" s="258"/>
      <c r="C4080" s="247"/>
    </row>
    <row r="4081">
      <c r="A4081" s="247"/>
      <c r="B4081" s="258"/>
      <c r="C4081" s="247"/>
    </row>
    <row r="4082">
      <c r="A4082" s="247"/>
      <c r="B4082" s="258"/>
      <c r="C4082" s="247"/>
    </row>
    <row r="4083">
      <c r="A4083" s="247"/>
      <c r="B4083" s="258"/>
      <c r="C4083" s="247"/>
    </row>
    <row r="4084">
      <c r="A4084" s="247"/>
      <c r="B4084" s="258"/>
      <c r="C4084" s="247"/>
    </row>
    <row r="4085">
      <c r="A4085" s="247"/>
      <c r="B4085" s="258"/>
      <c r="C4085" s="247"/>
    </row>
    <row r="4086">
      <c r="A4086" s="247"/>
      <c r="B4086" s="258"/>
      <c r="C4086" s="247"/>
    </row>
    <row r="4087">
      <c r="A4087" s="247"/>
      <c r="B4087" s="258"/>
      <c r="C4087" s="247"/>
    </row>
    <row r="4088">
      <c r="A4088" s="247"/>
      <c r="B4088" s="258"/>
      <c r="C4088" s="247"/>
    </row>
    <row r="4089">
      <c r="A4089" s="247"/>
      <c r="B4089" s="258"/>
      <c r="C4089" s="247"/>
    </row>
    <row r="4090">
      <c r="A4090" s="247"/>
      <c r="B4090" s="258"/>
      <c r="C4090" s="247"/>
    </row>
    <row r="4091">
      <c r="A4091" s="247"/>
      <c r="B4091" s="258"/>
      <c r="C4091" s="247"/>
    </row>
    <row r="4092">
      <c r="A4092" s="247"/>
      <c r="B4092" s="258"/>
      <c r="C4092" s="247"/>
    </row>
    <row r="4093">
      <c r="A4093" s="247"/>
      <c r="B4093" s="258"/>
      <c r="C4093" s="247"/>
    </row>
    <row r="4094">
      <c r="A4094" s="247"/>
      <c r="B4094" s="258"/>
      <c r="C4094" s="247"/>
    </row>
    <row r="4095">
      <c r="A4095" s="247"/>
      <c r="B4095" s="258"/>
      <c r="C4095" s="247"/>
    </row>
    <row r="4096">
      <c r="A4096" s="247"/>
      <c r="B4096" s="258"/>
      <c r="C4096" s="247"/>
    </row>
    <row r="4097">
      <c r="A4097" s="247"/>
      <c r="B4097" s="258"/>
      <c r="C4097" s="247"/>
    </row>
    <row r="4098">
      <c r="A4098" s="247"/>
      <c r="B4098" s="258"/>
      <c r="C4098" s="247"/>
    </row>
    <row r="4099">
      <c r="A4099" s="247"/>
      <c r="B4099" s="258"/>
      <c r="C4099" s="247"/>
    </row>
    <row r="4100">
      <c r="A4100" s="247"/>
      <c r="B4100" s="258"/>
      <c r="C4100" s="247"/>
    </row>
    <row r="4101">
      <c r="A4101" s="247"/>
      <c r="B4101" s="258"/>
      <c r="C4101" s="247"/>
    </row>
    <row r="4102">
      <c r="A4102" s="247"/>
      <c r="B4102" s="258"/>
      <c r="C4102" s="247"/>
    </row>
    <row r="4103">
      <c r="A4103" s="247"/>
      <c r="B4103" s="258"/>
      <c r="C4103" s="247"/>
    </row>
    <row r="4104">
      <c r="A4104" s="247"/>
      <c r="B4104" s="258"/>
      <c r="C4104" s="247"/>
    </row>
    <row r="4105">
      <c r="A4105" s="247"/>
      <c r="B4105" s="258"/>
      <c r="C4105" s="247"/>
    </row>
    <row r="4106">
      <c r="A4106" s="247"/>
      <c r="B4106" s="258"/>
      <c r="C4106" s="247"/>
    </row>
    <row r="4107">
      <c r="A4107" s="247"/>
      <c r="B4107" s="258"/>
      <c r="C4107" s="247"/>
    </row>
    <row r="4108">
      <c r="A4108" s="247"/>
      <c r="B4108" s="258"/>
      <c r="C4108" s="247"/>
    </row>
    <row r="4109">
      <c r="A4109" s="247"/>
      <c r="B4109" s="258"/>
      <c r="C4109" s="247"/>
    </row>
    <row r="4110">
      <c r="A4110" s="247"/>
      <c r="B4110" s="258"/>
      <c r="C4110" s="247"/>
    </row>
    <row r="4111">
      <c r="A4111" s="247"/>
      <c r="B4111" s="258"/>
      <c r="C4111" s="247"/>
    </row>
    <row r="4112">
      <c r="A4112" s="247"/>
      <c r="B4112" s="258"/>
      <c r="C4112" s="247"/>
    </row>
    <row r="4113">
      <c r="A4113" s="247"/>
      <c r="B4113" s="258"/>
      <c r="C4113" s="247"/>
    </row>
    <row r="4114">
      <c r="A4114" s="247"/>
      <c r="B4114" s="258"/>
      <c r="C4114" s="247"/>
    </row>
    <row r="4115">
      <c r="A4115" s="247"/>
      <c r="B4115" s="258"/>
      <c r="C4115" s="247"/>
    </row>
    <row r="4116">
      <c r="A4116" s="247"/>
      <c r="B4116" s="258"/>
      <c r="C4116" s="247"/>
    </row>
    <row r="4117">
      <c r="A4117" s="247"/>
      <c r="B4117" s="258"/>
      <c r="C4117" s="247"/>
    </row>
    <row r="4118">
      <c r="A4118" s="247"/>
      <c r="B4118" s="258"/>
      <c r="C4118" s="247"/>
    </row>
    <row r="4119">
      <c r="A4119" s="247"/>
      <c r="B4119" s="258"/>
      <c r="C4119" s="247"/>
    </row>
    <row r="4120">
      <c r="A4120" s="247"/>
      <c r="B4120" s="258"/>
      <c r="C4120" s="247"/>
    </row>
    <row r="4121">
      <c r="A4121" s="247"/>
      <c r="B4121" s="258"/>
      <c r="C4121" s="247"/>
    </row>
    <row r="4122">
      <c r="A4122" s="247"/>
      <c r="B4122" s="258"/>
      <c r="C4122" s="247"/>
    </row>
    <row r="4123">
      <c r="A4123" s="247"/>
      <c r="B4123" s="258"/>
      <c r="C4123" s="247"/>
    </row>
    <row r="4124">
      <c r="A4124" s="247"/>
      <c r="B4124" s="258"/>
      <c r="C4124" s="247"/>
    </row>
    <row r="4125">
      <c r="A4125" s="247"/>
      <c r="B4125" s="258"/>
      <c r="C4125" s="247"/>
    </row>
    <row r="4126">
      <c r="A4126" s="247"/>
      <c r="B4126" s="258"/>
      <c r="C4126" s="247"/>
    </row>
    <row r="4127">
      <c r="A4127" s="247"/>
      <c r="B4127" s="258"/>
      <c r="C4127" s="247"/>
    </row>
    <row r="4128">
      <c r="A4128" s="247"/>
      <c r="B4128" s="258"/>
      <c r="C4128" s="247"/>
    </row>
    <row r="4129">
      <c r="A4129" s="247"/>
      <c r="B4129" s="258"/>
      <c r="C4129" s="247"/>
    </row>
    <row r="4130">
      <c r="A4130" s="247"/>
      <c r="B4130" s="258"/>
      <c r="C4130" s="247"/>
    </row>
    <row r="4131">
      <c r="A4131" s="247"/>
      <c r="B4131" s="258"/>
      <c r="C4131" s="247"/>
    </row>
    <row r="4132">
      <c r="A4132" s="247"/>
      <c r="B4132" s="258"/>
      <c r="C4132" s="247"/>
    </row>
    <row r="4133">
      <c r="A4133" s="247"/>
      <c r="B4133" s="258"/>
      <c r="C4133" s="247"/>
    </row>
    <row r="4134">
      <c r="A4134" s="247"/>
      <c r="B4134" s="258"/>
      <c r="C4134" s="247"/>
    </row>
    <row r="4135">
      <c r="A4135" s="247"/>
      <c r="B4135" s="258"/>
      <c r="C4135" s="247"/>
    </row>
    <row r="4136">
      <c r="A4136" s="247"/>
      <c r="B4136" s="258"/>
      <c r="C4136" s="247"/>
    </row>
    <row r="4137">
      <c r="A4137" s="247"/>
      <c r="B4137" s="258"/>
      <c r="C4137" s="247"/>
    </row>
    <row r="4138">
      <c r="A4138" s="247"/>
      <c r="B4138" s="258"/>
      <c r="C4138" s="247"/>
    </row>
    <row r="4139">
      <c r="A4139" s="247"/>
      <c r="B4139" s="258"/>
      <c r="C4139" s="247"/>
    </row>
    <row r="4140">
      <c r="A4140" s="247"/>
      <c r="B4140" s="258"/>
      <c r="C4140" s="247"/>
    </row>
    <row r="4141">
      <c r="A4141" s="247"/>
      <c r="B4141" s="258"/>
      <c r="C4141" s="247"/>
    </row>
    <row r="4142">
      <c r="A4142" s="247"/>
      <c r="B4142" s="258"/>
      <c r="C4142" s="247"/>
    </row>
    <row r="4143">
      <c r="A4143" s="247"/>
      <c r="B4143" s="258"/>
      <c r="C4143" s="247"/>
    </row>
    <row r="4144">
      <c r="A4144" s="247"/>
      <c r="B4144" s="258"/>
      <c r="C4144" s="247"/>
    </row>
    <row r="4145">
      <c r="A4145" s="247"/>
      <c r="B4145" s="258"/>
      <c r="C4145" s="247"/>
    </row>
    <row r="4146">
      <c r="A4146" s="247"/>
      <c r="B4146" s="258"/>
      <c r="C4146" s="247"/>
    </row>
    <row r="4147">
      <c r="A4147" s="247"/>
      <c r="B4147" s="258"/>
      <c r="C4147" s="247"/>
    </row>
    <row r="4148">
      <c r="A4148" s="247"/>
      <c r="B4148" s="258"/>
      <c r="C4148" s="247"/>
    </row>
    <row r="4149">
      <c r="A4149" s="247"/>
      <c r="B4149" s="258"/>
      <c r="C4149" s="247"/>
    </row>
    <row r="4150">
      <c r="A4150" s="247"/>
      <c r="B4150" s="258"/>
      <c r="C4150" s="247"/>
    </row>
    <row r="4151">
      <c r="A4151" s="247"/>
      <c r="B4151" s="258"/>
      <c r="C4151" s="247"/>
    </row>
    <row r="4152">
      <c r="A4152" s="247"/>
      <c r="B4152" s="258"/>
      <c r="C4152" s="247"/>
    </row>
    <row r="4153">
      <c r="A4153" s="247"/>
      <c r="B4153" s="258"/>
      <c r="C4153" s="247"/>
    </row>
    <row r="4154">
      <c r="A4154" s="247"/>
      <c r="B4154" s="258"/>
      <c r="C4154" s="247"/>
    </row>
    <row r="4155">
      <c r="A4155" s="247"/>
      <c r="B4155" s="258"/>
      <c r="C4155" s="247"/>
    </row>
    <row r="4156">
      <c r="A4156" s="247"/>
      <c r="B4156" s="258"/>
      <c r="C4156" s="247"/>
    </row>
    <row r="4157">
      <c r="A4157" s="247"/>
      <c r="B4157" s="258"/>
      <c r="C4157" s="247"/>
    </row>
    <row r="4158">
      <c r="A4158" s="247"/>
      <c r="B4158" s="258"/>
      <c r="C4158" s="247"/>
    </row>
    <row r="4159">
      <c r="A4159" s="247"/>
      <c r="B4159" s="258"/>
      <c r="C4159" s="247"/>
    </row>
    <row r="4160">
      <c r="A4160" s="247"/>
      <c r="B4160" s="258"/>
      <c r="C4160" s="247"/>
    </row>
    <row r="4161">
      <c r="A4161" s="247"/>
      <c r="B4161" s="258"/>
      <c r="C4161" s="247"/>
    </row>
    <row r="4162">
      <c r="A4162" s="247"/>
      <c r="B4162" s="258"/>
      <c r="C4162" s="247"/>
    </row>
    <row r="4163">
      <c r="A4163" s="247"/>
      <c r="B4163" s="258"/>
      <c r="C4163" s="247"/>
    </row>
    <row r="4164">
      <c r="A4164" s="247"/>
      <c r="B4164" s="258"/>
      <c r="C4164" s="247"/>
    </row>
    <row r="4165">
      <c r="A4165" s="247"/>
      <c r="B4165" s="258"/>
      <c r="C4165" s="247"/>
    </row>
    <row r="4166">
      <c r="A4166" s="247"/>
      <c r="B4166" s="258"/>
      <c r="C4166" s="247"/>
    </row>
    <row r="4167">
      <c r="A4167" s="247"/>
      <c r="B4167" s="258"/>
      <c r="C4167" s="247"/>
    </row>
    <row r="4168">
      <c r="A4168" s="247"/>
      <c r="B4168" s="258"/>
      <c r="C4168" s="247"/>
    </row>
    <row r="4169">
      <c r="A4169" s="247"/>
      <c r="B4169" s="258"/>
      <c r="C4169" s="247"/>
    </row>
    <row r="4170">
      <c r="A4170" s="247"/>
      <c r="B4170" s="258"/>
      <c r="C4170" s="247"/>
    </row>
    <row r="4171">
      <c r="A4171" s="247"/>
      <c r="B4171" s="258"/>
      <c r="C4171" s="247"/>
    </row>
    <row r="4172">
      <c r="A4172" s="247"/>
      <c r="B4172" s="258"/>
      <c r="C4172" s="247"/>
    </row>
    <row r="4173">
      <c r="A4173" s="247"/>
      <c r="B4173" s="258"/>
      <c r="C4173" s="247"/>
    </row>
    <row r="4174">
      <c r="A4174" s="247"/>
      <c r="B4174" s="258"/>
      <c r="C4174" s="247"/>
    </row>
    <row r="4175">
      <c r="A4175" s="247"/>
      <c r="B4175" s="258"/>
      <c r="C4175" s="247"/>
    </row>
    <row r="4176">
      <c r="A4176" s="247"/>
      <c r="B4176" s="258"/>
      <c r="C4176" s="247"/>
    </row>
    <row r="4177">
      <c r="A4177" s="247"/>
      <c r="B4177" s="258"/>
      <c r="C4177" s="247"/>
    </row>
    <row r="4178">
      <c r="A4178" s="247"/>
      <c r="B4178" s="258"/>
      <c r="C4178" s="247"/>
    </row>
    <row r="4179">
      <c r="A4179" s="247"/>
      <c r="B4179" s="258"/>
      <c r="C4179" s="247"/>
    </row>
    <row r="4180">
      <c r="A4180" s="247"/>
      <c r="B4180" s="258"/>
      <c r="C4180" s="247"/>
    </row>
    <row r="4181">
      <c r="A4181" s="247"/>
      <c r="B4181" s="258"/>
      <c r="C4181" s="247"/>
    </row>
    <row r="4182">
      <c r="A4182" s="247"/>
      <c r="B4182" s="258"/>
      <c r="C4182" s="247"/>
    </row>
    <row r="4183">
      <c r="A4183" s="247"/>
      <c r="B4183" s="258"/>
      <c r="C4183" s="247"/>
    </row>
    <row r="4184">
      <c r="A4184" s="247"/>
      <c r="B4184" s="258"/>
      <c r="C4184" s="247"/>
    </row>
    <row r="4185">
      <c r="A4185" s="247"/>
      <c r="B4185" s="258"/>
      <c r="C4185" s="247"/>
    </row>
    <row r="4186">
      <c r="A4186" s="247"/>
      <c r="B4186" s="258"/>
      <c r="C4186" s="247"/>
    </row>
    <row r="4187">
      <c r="A4187" s="247"/>
      <c r="B4187" s="258"/>
      <c r="C4187" s="247"/>
    </row>
    <row r="4188">
      <c r="A4188" s="247"/>
      <c r="B4188" s="258"/>
      <c r="C4188" s="247"/>
    </row>
    <row r="4189">
      <c r="A4189" s="247"/>
      <c r="B4189" s="258"/>
      <c r="C4189" s="247"/>
    </row>
    <row r="4190">
      <c r="A4190" s="247"/>
      <c r="B4190" s="258"/>
      <c r="C4190" s="247"/>
    </row>
    <row r="4191">
      <c r="A4191" s="247"/>
      <c r="B4191" s="258"/>
      <c r="C4191" s="247"/>
    </row>
    <row r="4192">
      <c r="A4192" s="247"/>
      <c r="B4192" s="258"/>
      <c r="C4192" s="247"/>
    </row>
    <row r="4193">
      <c r="A4193" s="247"/>
      <c r="B4193" s="258"/>
      <c r="C4193" s="247"/>
    </row>
    <row r="4194">
      <c r="A4194" s="247"/>
      <c r="B4194" s="258"/>
      <c r="C4194" s="247"/>
    </row>
    <row r="4195">
      <c r="A4195" s="247"/>
      <c r="B4195" s="258"/>
      <c r="C4195" s="247"/>
    </row>
    <row r="4196">
      <c r="A4196" s="247"/>
      <c r="B4196" s="258"/>
      <c r="C4196" s="247"/>
    </row>
    <row r="4197">
      <c r="A4197" s="247"/>
      <c r="B4197" s="258"/>
      <c r="C4197" s="247"/>
    </row>
    <row r="4198">
      <c r="A4198" s="247"/>
      <c r="B4198" s="258"/>
      <c r="C4198" s="247"/>
    </row>
    <row r="4199">
      <c r="A4199" s="247"/>
      <c r="B4199" s="258"/>
      <c r="C4199" s="247"/>
    </row>
    <row r="4200">
      <c r="A4200" s="247"/>
      <c r="B4200" s="258"/>
      <c r="C4200" s="247"/>
    </row>
    <row r="4201">
      <c r="A4201" s="247"/>
      <c r="B4201" s="258"/>
      <c r="C4201" s="247"/>
    </row>
    <row r="4202">
      <c r="A4202" s="247"/>
      <c r="B4202" s="258"/>
      <c r="C4202" s="247"/>
    </row>
    <row r="4203">
      <c r="A4203" s="247"/>
      <c r="B4203" s="258"/>
      <c r="C4203" s="247"/>
    </row>
    <row r="4204">
      <c r="A4204" s="247"/>
      <c r="B4204" s="258"/>
      <c r="C4204" s="247"/>
    </row>
    <row r="4205">
      <c r="A4205" s="247"/>
      <c r="B4205" s="258"/>
      <c r="C4205" s="247"/>
    </row>
    <row r="4206">
      <c r="A4206" s="247"/>
      <c r="B4206" s="258"/>
      <c r="C4206" s="247"/>
    </row>
    <row r="4207">
      <c r="A4207" s="247"/>
      <c r="B4207" s="258"/>
      <c r="C4207" s="247"/>
    </row>
    <row r="4208">
      <c r="A4208" s="247"/>
      <c r="B4208" s="258"/>
      <c r="C4208" s="247"/>
    </row>
    <row r="4209">
      <c r="A4209" s="247"/>
      <c r="B4209" s="258"/>
      <c r="C4209" s="247"/>
    </row>
    <row r="4210">
      <c r="A4210" s="247"/>
      <c r="B4210" s="258"/>
      <c r="C4210" s="247"/>
    </row>
    <row r="4211">
      <c r="A4211" s="247"/>
      <c r="B4211" s="258"/>
      <c r="C4211" s="247"/>
    </row>
    <row r="4212">
      <c r="A4212" s="247"/>
      <c r="B4212" s="258"/>
      <c r="C4212" s="247"/>
    </row>
    <row r="4213">
      <c r="A4213" s="247"/>
      <c r="B4213" s="258"/>
      <c r="C4213" s="247"/>
    </row>
    <row r="4214">
      <c r="A4214" s="247"/>
      <c r="B4214" s="258"/>
      <c r="C4214" s="247"/>
    </row>
    <row r="4215">
      <c r="A4215" s="247"/>
      <c r="B4215" s="258"/>
      <c r="C4215" s="247"/>
    </row>
    <row r="4216">
      <c r="A4216" s="247"/>
      <c r="B4216" s="258"/>
      <c r="C4216" s="247"/>
    </row>
    <row r="4217">
      <c r="A4217" s="247"/>
      <c r="B4217" s="258"/>
      <c r="C4217" s="247"/>
    </row>
    <row r="4218">
      <c r="A4218" s="247"/>
      <c r="B4218" s="258"/>
      <c r="C4218" s="247"/>
    </row>
    <row r="4219">
      <c r="A4219" s="247"/>
      <c r="B4219" s="258"/>
      <c r="C4219" s="247"/>
    </row>
    <row r="4220">
      <c r="A4220" s="247"/>
      <c r="B4220" s="258"/>
      <c r="C4220" s="247"/>
    </row>
    <row r="4221">
      <c r="A4221" s="247"/>
      <c r="B4221" s="258"/>
      <c r="C4221" s="247"/>
    </row>
    <row r="4222">
      <c r="A4222" s="247"/>
      <c r="B4222" s="258"/>
      <c r="C4222" s="247"/>
    </row>
    <row r="4223">
      <c r="A4223" s="247"/>
      <c r="B4223" s="258"/>
      <c r="C4223" s="247"/>
    </row>
    <row r="4224">
      <c r="A4224" s="247"/>
      <c r="B4224" s="258"/>
      <c r="C4224" s="247"/>
    </row>
    <row r="4225">
      <c r="A4225" s="247"/>
      <c r="B4225" s="258"/>
      <c r="C4225" s="247"/>
    </row>
    <row r="4226">
      <c r="A4226" s="247"/>
      <c r="B4226" s="258"/>
      <c r="C4226" s="247"/>
    </row>
    <row r="4227">
      <c r="A4227" s="247"/>
      <c r="B4227" s="258"/>
      <c r="C4227" s="247"/>
    </row>
    <row r="4228">
      <c r="A4228" s="247"/>
      <c r="B4228" s="258"/>
      <c r="C4228" s="247"/>
    </row>
    <row r="4229">
      <c r="A4229" s="247"/>
      <c r="B4229" s="258"/>
      <c r="C4229" s="247"/>
    </row>
    <row r="4230">
      <c r="A4230" s="247"/>
      <c r="B4230" s="258"/>
      <c r="C4230" s="247"/>
    </row>
    <row r="4231">
      <c r="A4231" s="247"/>
      <c r="B4231" s="258"/>
      <c r="C4231" s="247"/>
    </row>
    <row r="4232">
      <c r="A4232" s="247"/>
      <c r="B4232" s="258"/>
      <c r="C4232" s="247"/>
    </row>
    <row r="4233">
      <c r="A4233" s="247"/>
      <c r="B4233" s="258"/>
      <c r="C4233" s="247"/>
    </row>
    <row r="4234">
      <c r="A4234" s="247"/>
      <c r="B4234" s="258"/>
      <c r="C4234" s="247"/>
    </row>
    <row r="4235">
      <c r="A4235" s="247"/>
      <c r="B4235" s="258"/>
      <c r="C4235" s="247"/>
    </row>
    <row r="4236">
      <c r="A4236" s="247"/>
      <c r="B4236" s="258"/>
      <c r="C4236" s="247"/>
    </row>
    <row r="4237">
      <c r="A4237" s="247"/>
      <c r="B4237" s="258"/>
      <c r="C4237" s="247"/>
    </row>
    <row r="4238">
      <c r="A4238" s="247"/>
      <c r="B4238" s="258"/>
      <c r="C4238" s="247"/>
    </row>
    <row r="4239">
      <c r="A4239" s="247"/>
      <c r="B4239" s="258"/>
      <c r="C4239" s="247"/>
    </row>
    <row r="4240">
      <c r="A4240" s="247"/>
      <c r="B4240" s="258"/>
      <c r="C4240" s="247"/>
    </row>
    <row r="4241">
      <c r="A4241" s="247"/>
      <c r="B4241" s="258"/>
      <c r="C4241" s="247"/>
    </row>
    <row r="4242">
      <c r="A4242" s="247"/>
      <c r="B4242" s="258"/>
      <c r="C4242" s="247"/>
    </row>
    <row r="4243">
      <c r="A4243" s="247"/>
      <c r="B4243" s="258"/>
      <c r="C4243" s="247"/>
    </row>
    <row r="4244">
      <c r="A4244" s="247"/>
      <c r="B4244" s="258"/>
      <c r="C4244" s="247"/>
    </row>
    <row r="4245">
      <c r="A4245" s="247"/>
      <c r="B4245" s="258"/>
      <c r="C4245" s="247"/>
    </row>
    <row r="4246">
      <c r="A4246" s="247"/>
      <c r="B4246" s="258"/>
      <c r="C4246" s="247"/>
    </row>
    <row r="4247">
      <c r="A4247" s="247"/>
      <c r="B4247" s="258"/>
      <c r="C4247" s="247"/>
    </row>
    <row r="4248">
      <c r="A4248" s="247"/>
      <c r="B4248" s="258"/>
      <c r="C4248" s="247"/>
    </row>
    <row r="4249">
      <c r="A4249" s="247"/>
      <c r="B4249" s="258"/>
      <c r="C4249" s="247"/>
    </row>
    <row r="4250">
      <c r="A4250" s="247"/>
      <c r="B4250" s="258"/>
      <c r="C4250" s="247"/>
    </row>
    <row r="4251">
      <c r="A4251" s="247"/>
      <c r="B4251" s="258"/>
      <c r="C4251" s="247"/>
    </row>
    <row r="4252">
      <c r="A4252" s="247"/>
      <c r="B4252" s="258"/>
      <c r="C4252" s="247"/>
    </row>
    <row r="4253">
      <c r="A4253" s="247"/>
      <c r="B4253" s="258"/>
      <c r="C4253" s="247"/>
    </row>
    <row r="4254">
      <c r="A4254" s="247"/>
      <c r="B4254" s="258"/>
      <c r="C4254" s="247"/>
    </row>
    <row r="4255">
      <c r="A4255" s="247"/>
      <c r="B4255" s="258"/>
      <c r="C4255" s="247"/>
    </row>
    <row r="4256">
      <c r="A4256" s="247"/>
      <c r="B4256" s="258"/>
      <c r="C4256" s="247"/>
    </row>
    <row r="4257">
      <c r="A4257" s="247"/>
      <c r="B4257" s="258"/>
      <c r="C4257" s="247"/>
    </row>
    <row r="4258">
      <c r="A4258" s="247"/>
      <c r="B4258" s="258"/>
      <c r="C4258" s="247"/>
    </row>
    <row r="4259">
      <c r="A4259" s="247"/>
      <c r="B4259" s="258"/>
      <c r="C4259" s="247"/>
    </row>
    <row r="4260">
      <c r="A4260" s="247"/>
      <c r="B4260" s="258"/>
      <c r="C4260" s="247"/>
    </row>
    <row r="4261">
      <c r="A4261" s="247"/>
      <c r="B4261" s="258"/>
      <c r="C4261" s="247"/>
    </row>
    <row r="4262">
      <c r="A4262" s="247"/>
      <c r="B4262" s="258"/>
      <c r="C4262" s="247"/>
    </row>
    <row r="4263">
      <c r="A4263" s="247"/>
      <c r="B4263" s="258"/>
      <c r="C4263" s="247"/>
    </row>
    <row r="4264">
      <c r="A4264" s="247"/>
      <c r="B4264" s="258"/>
      <c r="C4264" s="247"/>
    </row>
    <row r="4265">
      <c r="A4265" s="247"/>
      <c r="B4265" s="258"/>
      <c r="C4265" s="247"/>
    </row>
    <row r="4266">
      <c r="A4266" s="247"/>
      <c r="B4266" s="258"/>
      <c r="C4266" s="247"/>
    </row>
    <row r="4267">
      <c r="A4267" s="247"/>
      <c r="B4267" s="258"/>
      <c r="C4267" s="247"/>
    </row>
    <row r="4268">
      <c r="A4268" s="247"/>
      <c r="B4268" s="258"/>
      <c r="C4268" s="247"/>
    </row>
    <row r="4269">
      <c r="A4269" s="247"/>
      <c r="B4269" s="258"/>
      <c r="C4269" s="247"/>
    </row>
    <row r="4270">
      <c r="A4270" s="247"/>
      <c r="B4270" s="258"/>
      <c r="C4270" s="247"/>
    </row>
    <row r="4271">
      <c r="A4271" s="247"/>
      <c r="B4271" s="258"/>
      <c r="C4271" s="247"/>
    </row>
    <row r="4272">
      <c r="A4272" s="247"/>
      <c r="B4272" s="258"/>
      <c r="C4272" s="247"/>
    </row>
    <row r="4273">
      <c r="A4273" s="247"/>
      <c r="B4273" s="258"/>
      <c r="C4273" s="247"/>
    </row>
    <row r="4274">
      <c r="A4274" s="247"/>
      <c r="B4274" s="258"/>
      <c r="C4274" s="247"/>
    </row>
    <row r="4275">
      <c r="A4275" s="247"/>
      <c r="B4275" s="258"/>
      <c r="C4275" s="247"/>
    </row>
    <row r="4276">
      <c r="A4276" s="247"/>
      <c r="B4276" s="258"/>
      <c r="C4276" s="247"/>
    </row>
    <row r="4277">
      <c r="A4277" s="247"/>
      <c r="B4277" s="258"/>
      <c r="C4277" s="247"/>
    </row>
    <row r="4278">
      <c r="A4278" s="247"/>
      <c r="B4278" s="258"/>
      <c r="C4278" s="247"/>
    </row>
    <row r="4279">
      <c r="A4279" s="247"/>
      <c r="B4279" s="258"/>
      <c r="C4279" s="247"/>
    </row>
    <row r="4280">
      <c r="A4280" s="247"/>
      <c r="B4280" s="258"/>
      <c r="C4280" s="247"/>
    </row>
    <row r="4281">
      <c r="A4281" s="247"/>
      <c r="B4281" s="258"/>
      <c r="C4281" s="247"/>
    </row>
    <row r="4282">
      <c r="A4282" s="247"/>
      <c r="B4282" s="258"/>
      <c r="C4282" s="247"/>
    </row>
    <row r="4283">
      <c r="A4283" s="247"/>
      <c r="B4283" s="258"/>
      <c r="C4283" s="247"/>
    </row>
    <row r="4284">
      <c r="A4284" s="247"/>
      <c r="B4284" s="258"/>
      <c r="C4284" s="247"/>
    </row>
    <row r="4285">
      <c r="A4285" s="247"/>
      <c r="B4285" s="258"/>
      <c r="C4285" s="247"/>
    </row>
    <row r="4286">
      <c r="A4286" s="247"/>
      <c r="B4286" s="258"/>
      <c r="C4286" s="247"/>
    </row>
    <row r="4287">
      <c r="A4287" s="247"/>
      <c r="B4287" s="258"/>
      <c r="C4287" s="247"/>
    </row>
    <row r="4288">
      <c r="A4288" s="247"/>
      <c r="B4288" s="258"/>
      <c r="C4288" s="247"/>
    </row>
    <row r="4289">
      <c r="A4289" s="247"/>
      <c r="B4289" s="258"/>
      <c r="C4289" s="247"/>
    </row>
    <row r="4290">
      <c r="A4290" s="247"/>
      <c r="B4290" s="258"/>
      <c r="C4290" s="247"/>
    </row>
    <row r="4291">
      <c r="A4291" s="247"/>
      <c r="B4291" s="258"/>
      <c r="C4291" s="247"/>
    </row>
    <row r="4292">
      <c r="A4292" s="247"/>
      <c r="B4292" s="258"/>
      <c r="C4292" s="247"/>
    </row>
    <row r="4293">
      <c r="A4293" s="247"/>
      <c r="B4293" s="258"/>
      <c r="C4293" s="247"/>
    </row>
    <row r="4294">
      <c r="A4294" s="247"/>
      <c r="B4294" s="258"/>
      <c r="C4294" s="247"/>
    </row>
    <row r="4295">
      <c r="A4295" s="247"/>
      <c r="B4295" s="258"/>
      <c r="C4295" s="247"/>
    </row>
    <row r="4296">
      <c r="A4296" s="247"/>
      <c r="B4296" s="258"/>
      <c r="C4296" s="247"/>
    </row>
    <row r="4297">
      <c r="A4297" s="247"/>
      <c r="B4297" s="258"/>
      <c r="C4297" s="247"/>
    </row>
    <row r="4298">
      <c r="A4298" s="247"/>
      <c r="B4298" s="258"/>
      <c r="C4298" s="247"/>
    </row>
    <row r="4299">
      <c r="A4299" s="247"/>
      <c r="B4299" s="258"/>
      <c r="C4299" s="247"/>
    </row>
    <row r="4300">
      <c r="A4300" s="247"/>
      <c r="B4300" s="258"/>
      <c r="C4300" s="247"/>
    </row>
    <row r="4301">
      <c r="A4301" s="247"/>
      <c r="B4301" s="258"/>
      <c r="C4301" s="247"/>
    </row>
    <row r="4302">
      <c r="A4302" s="247"/>
      <c r="B4302" s="258"/>
      <c r="C4302" s="247"/>
    </row>
    <row r="4303">
      <c r="A4303" s="247"/>
      <c r="B4303" s="258"/>
      <c r="C4303" s="247"/>
    </row>
    <row r="4304">
      <c r="A4304" s="247"/>
      <c r="B4304" s="258"/>
      <c r="C4304" s="247"/>
    </row>
    <row r="4305">
      <c r="A4305" s="247"/>
      <c r="B4305" s="258"/>
      <c r="C4305" s="247"/>
    </row>
    <row r="4306">
      <c r="A4306" s="247"/>
      <c r="B4306" s="258"/>
      <c r="C4306" s="247"/>
    </row>
    <row r="4307">
      <c r="A4307" s="247"/>
      <c r="B4307" s="258"/>
      <c r="C4307" s="247"/>
    </row>
    <row r="4308">
      <c r="A4308" s="247"/>
      <c r="B4308" s="258"/>
      <c r="C4308" s="247"/>
    </row>
    <row r="4309">
      <c r="A4309" s="247"/>
      <c r="B4309" s="258"/>
      <c r="C4309" s="247"/>
    </row>
    <row r="4310">
      <c r="A4310" s="247"/>
      <c r="B4310" s="258"/>
      <c r="C4310" s="247"/>
    </row>
    <row r="4311">
      <c r="A4311" s="247"/>
      <c r="B4311" s="258"/>
      <c r="C4311" s="247"/>
    </row>
    <row r="4312">
      <c r="A4312" s="247"/>
      <c r="B4312" s="258"/>
      <c r="C4312" s="247"/>
    </row>
    <row r="4313">
      <c r="A4313" s="247"/>
      <c r="B4313" s="258"/>
      <c r="C4313" s="247"/>
    </row>
    <row r="4314">
      <c r="A4314" s="247"/>
      <c r="B4314" s="258"/>
      <c r="C4314" s="247"/>
    </row>
    <row r="4315">
      <c r="A4315" s="247"/>
      <c r="B4315" s="258"/>
      <c r="C4315" s="247"/>
    </row>
    <row r="4316">
      <c r="A4316" s="247"/>
      <c r="B4316" s="258"/>
      <c r="C4316" s="247"/>
    </row>
    <row r="4317">
      <c r="A4317" s="247"/>
      <c r="B4317" s="258"/>
      <c r="C4317" s="247"/>
    </row>
    <row r="4318">
      <c r="A4318" s="247"/>
      <c r="B4318" s="258"/>
      <c r="C4318" s="247"/>
    </row>
    <row r="4319">
      <c r="A4319" s="247"/>
      <c r="B4319" s="258"/>
      <c r="C4319" s="247"/>
    </row>
    <row r="4320">
      <c r="A4320" s="247"/>
      <c r="B4320" s="258"/>
      <c r="C4320" s="247"/>
    </row>
    <row r="4321">
      <c r="A4321" s="247"/>
      <c r="B4321" s="258"/>
      <c r="C4321" s="247"/>
    </row>
    <row r="4322">
      <c r="A4322" s="247"/>
      <c r="B4322" s="258"/>
      <c r="C4322" s="247"/>
    </row>
    <row r="4323">
      <c r="A4323" s="247"/>
      <c r="B4323" s="258"/>
      <c r="C4323" s="247"/>
    </row>
    <row r="4324">
      <c r="A4324" s="247"/>
      <c r="B4324" s="258"/>
      <c r="C4324" s="247"/>
    </row>
    <row r="4325">
      <c r="A4325" s="247"/>
      <c r="B4325" s="258"/>
      <c r="C4325" s="247"/>
    </row>
    <row r="4326">
      <c r="A4326" s="247"/>
      <c r="B4326" s="258"/>
      <c r="C4326" s="247"/>
    </row>
    <row r="4327">
      <c r="A4327" s="247"/>
      <c r="B4327" s="258"/>
      <c r="C4327" s="247"/>
    </row>
    <row r="4328">
      <c r="A4328" s="247"/>
      <c r="B4328" s="258"/>
      <c r="C4328" s="247"/>
    </row>
    <row r="4329">
      <c r="A4329" s="247"/>
      <c r="B4329" s="258"/>
      <c r="C4329" s="247"/>
    </row>
    <row r="4330">
      <c r="A4330" s="247"/>
      <c r="B4330" s="258"/>
      <c r="C4330" s="247"/>
    </row>
    <row r="4331">
      <c r="A4331" s="247"/>
      <c r="B4331" s="258"/>
      <c r="C4331" s="247"/>
    </row>
    <row r="4332">
      <c r="A4332" s="247"/>
      <c r="B4332" s="258"/>
      <c r="C4332" s="247"/>
    </row>
    <row r="4333">
      <c r="A4333" s="247"/>
      <c r="B4333" s="258"/>
      <c r="C4333" s="247"/>
    </row>
    <row r="4334">
      <c r="A4334" s="247"/>
      <c r="B4334" s="258"/>
      <c r="C4334" s="247"/>
    </row>
    <row r="4335">
      <c r="A4335" s="247"/>
      <c r="B4335" s="258"/>
      <c r="C4335" s="247"/>
    </row>
    <row r="4336">
      <c r="A4336" s="247"/>
      <c r="B4336" s="258"/>
      <c r="C4336" s="247"/>
    </row>
    <row r="4337">
      <c r="A4337" s="247"/>
      <c r="B4337" s="258"/>
      <c r="C4337" s="247"/>
    </row>
    <row r="4338">
      <c r="A4338" s="247"/>
      <c r="B4338" s="258"/>
      <c r="C4338" s="247"/>
    </row>
    <row r="4339">
      <c r="A4339" s="247"/>
      <c r="B4339" s="258"/>
      <c r="C4339" s="247"/>
    </row>
    <row r="4340">
      <c r="A4340" s="247"/>
      <c r="B4340" s="258"/>
      <c r="C4340" s="247"/>
    </row>
    <row r="4341">
      <c r="A4341" s="247"/>
      <c r="B4341" s="258"/>
      <c r="C4341" s="247"/>
    </row>
    <row r="4342">
      <c r="A4342" s="247"/>
      <c r="B4342" s="258"/>
      <c r="C4342" s="247"/>
    </row>
    <row r="4343">
      <c r="A4343" s="247"/>
      <c r="B4343" s="258"/>
      <c r="C4343" s="247"/>
    </row>
    <row r="4344">
      <c r="A4344" s="247"/>
      <c r="B4344" s="258"/>
      <c r="C4344" s="247"/>
    </row>
    <row r="4345">
      <c r="A4345" s="247"/>
      <c r="B4345" s="258"/>
      <c r="C4345" s="247"/>
    </row>
    <row r="4346">
      <c r="A4346" s="247"/>
      <c r="B4346" s="258"/>
      <c r="C4346" s="247"/>
    </row>
    <row r="4347">
      <c r="A4347" s="247"/>
      <c r="B4347" s="258"/>
      <c r="C4347" s="247"/>
    </row>
    <row r="4348">
      <c r="A4348" s="247"/>
      <c r="B4348" s="258"/>
      <c r="C4348" s="247"/>
    </row>
    <row r="4349">
      <c r="A4349" s="247"/>
      <c r="B4349" s="258"/>
      <c r="C4349" s="247"/>
    </row>
    <row r="4350">
      <c r="A4350" s="247"/>
      <c r="B4350" s="258"/>
      <c r="C4350" s="247"/>
    </row>
    <row r="4351">
      <c r="A4351" s="247"/>
      <c r="B4351" s="258"/>
      <c r="C4351" s="247"/>
    </row>
    <row r="4352">
      <c r="A4352" s="247"/>
      <c r="B4352" s="258"/>
      <c r="C4352" s="247"/>
    </row>
    <row r="4353">
      <c r="A4353" s="247"/>
      <c r="B4353" s="258"/>
      <c r="C4353" s="247"/>
    </row>
    <row r="4354">
      <c r="A4354" s="247"/>
      <c r="B4354" s="258"/>
      <c r="C4354" s="247"/>
    </row>
    <row r="4355">
      <c r="A4355" s="247"/>
      <c r="B4355" s="258"/>
      <c r="C4355" s="247"/>
    </row>
    <row r="4356">
      <c r="A4356" s="247"/>
      <c r="B4356" s="258"/>
      <c r="C4356" s="247"/>
    </row>
    <row r="4357">
      <c r="A4357" s="247"/>
      <c r="B4357" s="258"/>
      <c r="C4357" s="247"/>
    </row>
    <row r="4358">
      <c r="A4358" s="247"/>
      <c r="B4358" s="258"/>
      <c r="C4358" s="247"/>
    </row>
    <row r="4359">
      <c r="A4359" s="247"/>
      <c r="B4359" s="258"/>
      <c r="C4359" s="247"/>
    </row>
    <row r="4360">
      <c r="A4360" s="247"/>
      <c r="B4360" s="258"/>
      <c r="C4360" s="247"/>
    </row>
    <row r="4361">
      <c r="A4361" s="247"/>
      <c r="B4361" s="258"/>
      <c r="C4361" s="247"/>
    </row>
    <row r="4362">
      <c r="A4362" s="247"/>
      <c r="B4362" s="258"/>
      <c r="C4362" s="247"/>
    </row>
    <row r="4363">
      <c r="A4363" s="247"/>
      <c r="B4363" s="258"/>
      <c r="C4363" s="247"/>
    </row>
    <row r="4364">
      <c r="A4364" s="247"/>
      <c r="B4364" s="258"/>
      <c r="C4364" s="247"/>
    </row>
    <row r="4365">
      <c r="A4365" s="247"/>
      <c r="B4365" s="258"/>
      <c r="C4365" s="247"/>
    </row>
    <row r="4366">
      <c r="A4366" s="247"/>
      <c r="B4366" s="258"/>
      <c r="C4366" s="247"/>
    </row>
    <row r="4367">
      <c r="A4367" s="247"/>
      <c r="B4367" s="258"/>
      <c r="C4367" s="247"/>
    </row>
    <row r="4368">
      <c r="A4368" s="247"/>
      <c r="B4368" s="258"/>
      <c r="C4368" s="247"/>
    </row>
    <row r="4369">
      <c r="A4369" s="247"/>
      <c r="B4369" s="258"/>
      <c r="C4369" s="247"/>
    </row>
    <row r="4370">
      <c r="A4370" s="247"/>
      <c r="B4370" s="258"/>
      <c r="C4370" s="247"/>
    </row>
    <row r="4371">
      <c r="A4371" s="247"/>
      <c r="B4371" s="258"/>
      <c r="C4371" s="247"/>
    </row>
    <row r="4372">
      <c r="A4372" s="247"/>
      <c r="B4372" s="258"/>
      <c r="C4372" s="247"/>
    </row>
    <row r="4373">
      <c r="A4373" s="247"/>
      <c r="B4373" s="258"/>
      <c r="C4373" s="247"/>
    </row>
    <row r="4374">
      <c r="A4374" s="247"/>
      <c r="B4374" s="258"/>
      <c r="C4374" s="247"/>
    </row>
    <row r="4375">
      <c r="A4375" s="247"/>
      <c r="B4375" s="258"/>
      <c r="C4375" s="247"/>
    </row>
    <row r="4376">
      <c r="A4376" s="247"/>
      <c r="B4376" s="258"/>
      <c r="C4376" s="247"/>
    </row>
    <row r="4377">
      <c r="A4377" s="247"/>
      <c r="B4377" s="258"/>
      <c r="C4377" s="247"/>
    </row>
    <row r="4378">
      <c r="A4378" s="247"/>
      <c r="B4378" s="258"/>
      <c r="C4378" s="247"/>
    </row>
    <row r="4379">
      <c r="A4379" s="247"/>
      <c r="B4379" s="258"/>
      <c r="C4379" s="247"/>
    </row>
    <row r="4380">
      <c r="A4380" s="247"/>
      <c r="B4380" s="258"/>
      <c r="C4380" s="247"/>
    </row>
    <row r="4381">
      <c r="A4381" s="247"/>
      <c r="B4381" s="258"/>
      <c r="C4381" s="247"/>
    </row>
    <row r="4382">
      <c r="A4382" s="247"/>
      <c r="B4382" s="258"/>
      <c r="C4382" s="247"/>
    </row>
    <row r="4383">
      <c r="A4383" s="247"/>
      <c r="B4383" s="258"/>
      <c r="C4383" s="247"/>
    </row>
    <row r="4384">
      <c r="A4384" s="247"/>
      <c r="B4384" s="258"/>
      <c r="C4384" s="247"/>
    </row>
    <row r="4385">
      <c r="A4385" s="247"/>
      <c r="B4385" s="258"/>
      <c r="C4385" s="247"/>
    </row>
    <row r="4386">
      <c r="A4386" s="247"/>
      <c r="B4386" s="258"/>
      <c r="C4386" s="247"/>
    </row>
    <row r="4387">
      <c r="A4387" s="247"/>
      <c r="B4387" s="258"/>
      <c r="C4387" s="247"/>
    </row>
    <row r="4388">
      <c r="A4388" s="247"/>
      <c r="B4388" s="258"/>
      <c r="C4388" s="247"/>
    </row>
    <row r="4389">
      <c r="A4389" s="247"/>
      <c r="B4389" s="258"/>
      <c r="C4389" s="247"/>
    </row>
    <row r="4390">
      <c r="A4390" s="247"/>
      <c r="B4390" s="258"/>
      <c r="C4390" s="247"/>
    </row>
    <row r="4391">
      <c r="A4391" s="247"/>
      <c r="B4391" s="258"/>
      <c r="C4391" s="247"/>
    </row>
    <row r="4392">
      <c r="A4392" s="247"/>
      <c r="B4392" s="258"/>
      <c r="C4392" s="247"/>
    </row>
    <row r="4393">
      <c r="A4393" s="247"/>
      <c r="B4393" s="258"/>
      <c r="C4393" s="247"/>
    </row>
    <row r="4394">
      <c r="A4394" s="247"/>
      <c r="B4394" s="258"/>
      <c r="C4394" s="247"/>
    </row>
    <row r="4395">
      <c r="A4395" s="247"/>
      <c r="B4395" s="258"/>
      <c r="C4395" s="247"/>
    </row>
    <row r="4396">
      <c r="A4396" s="247"/>
      <c r="B4396" s="258"/>
      <c r="C4396" s="247"/>
    </row>
    <row r="4397">
      <c r="A4397" s="247"/>
      <c r="B4397" s="258"/>
      <c r="C4397" s="247"/>
    </row>
    <row r="4398">
      <c r="A4398" s="247"/>
      <c r="B4398" s="258"/>
      <c r="C4398" s="247"/>
    </row>
    <row r="4399">
      <c r="A4399" s="247"/>
      <c r="B4399" s="258"/>
      <c r="C4399" s="247"/>
    </row>
    <row r="4400">
      <c r="A4400" s="247"/>
      <c r="B4400" s="258"/>
      <c r="C4400" s="247"/>
    </row>
    <row r="4401">
      <c r="A4401" s="247"/>
      <c r="B4401" s="258"/>
      <c r="C4401" s="247"/>
    </row>
    <row r="4402">
      <c r="A4402" s="247"/>
      <c r="B4402" s="258"/>
      <c r="C4402" s="247"/>
    </row>
    <row r="4403">
      <c r="A4403" s="247"/>
      <c r="B4403" s="258"/>
      <c r="C4403" s="247"/>
    </row>
    <row r="4404">
      <c r="A4404" s="247"/>
      <c r="B4404" s="258"/>
      <c r="C4404" s="247"/>
    </row>
    <row r="4405">
      <c r="A4405" s="247"/>
      <c r="B4405" s="258"/>
      <c r="C4405" s="247"/>
    </row>
    <row r="4406">
      <c r="A4406" s="247"/>
      <c r="B4406" s="258"/>
      <c r="C4406" s="247"/>
    </row>
    <row r="4407">
      <c r="A4407" s="247"/>
      <c r="B4407" s="258"/>
      <c r="C4407" s="247"/>
    </row>
    <row r="4408">
      <c r="A4408" s="247"/>
      <c r="B4408" s="258"/>
      <c r="C4408" s="247"/>
    </row>
    <row r="4409">
      <c r="A4409" s="247"/>
      <c r="B4409" s="258"/>
      <c r="C4409" s="247"/>
    </row>
    <row r="4410">
      <c r="A4410" s="247"/>
      <c r="B4410" s="258"/>
      <c r="C4410" s="247"/>
    </row>
    <row r="4411">
      <c r="A4411" s="247"/>
      <c r="B4411" s="258"/>
      <c r="C4411" s="247"/>
    </row>
    <row r="4412">
      <c r="A4412" s="247"/>
      <c r="B4412" s="258"/>
      <c r="C4412" s="247"/>
    </row>
    <row r="4413">
      <c r="A4413" s="247"/>
      <c r="B4413" s="258"/>
      <c r="C4413" s="247"/>
    </row>
    <row r="4414">
      <c r="A4414" s="247"/>
      <c r="B4414" s="258"/>
      <c r="C4414" s="247"/>
    </row>
    <row r="4415">
      <c r="A4415" s="247"/>
      <c r="B4415" s="258"/>
      <c r="C4415" s="247"/>
    </row>
    <row r="4416">
      <c r="A4416" s="247"/>
      <c r="B4416" s="258"/>
      <c r="C4416" s="247"/>
    </row>
    <row r="4417">
      <c r="A4417" s="247"/>
      <c r="B4417" s="258"/>
      <c r="C4417" s="247"/>
    </row>
    <row r="4418">
      <c r="A4418" s="247"/>
      <c r="B4418" s="258"/>
      <c r="C4418" s="247"/>
    </row>
    <row r="4419">
      <c r="A4419" s="247"/>
      <c r="B4419" s="258"/>
      <c r="C4419" s="247"/>
    </row>
    <row r="4420">
      <c r="A4420" s="247"/>
      <c r="B4420" s="258"/>
      <c r="C4420" s="247"/>
    </row>
    <row r="4421">
      <c r="A4421" s="247"/>
      <c r="B4421" s="258"/>
      <c r="C4421" s="247"/>
    </row>
    <row r="4422">
      <c r="A4422" s="247"/>
      <c r="B4422" s="258"/>
      <c r="C4422" s="247"/>
    </row>
    <row r="4423">
      <c r="A4423" s="247"/>
      <c r="B4423" s="258"/>
      <c r="C4423" s="247"/>
    </row>
    <row r="4424">
      <c r="A4424" s="247"/>
      <c r="B4424" s="258"/>
      <c r="C4424" s="247"/>
    </row>
    <row r="4425">
      <c r="A4425" s="247"/>
      <c r="B4425" s="258"/>
      <c r="C4425" s="247"/>
    </row>
    <row r="4426">
      <c r="A4426" s="247"/>
      <c r="B4426" s="258"/>
      <c r="C4426" s="247"/>
    </row>
    <row r="4427">
      <c r="A4427" s="247"/>
      <c r="B4427" s="258"/>
      <c r="C4427" s="247"/>
    </row>
    <row r="4428">
      <c r="A4428" s="247"/>
      <c r="B4428" s="258"/>
      <c r="C4428" s="247"/>
    </row>
    <row r="4429">
      <c r="A4429" s="247"/>
      <c r="B4429" s="258"/>
      <c r="C4429" s="247"/>
    </row>
    <row r="4430">
      <c r="A4430" s="247"/>
      <c r="B4430" s="258"/>
      <c r="C4430" s="247"/>
    </row>
    <row r="4431">
      <c r="A4431" s="247"/>
      <c r="B4431" s="258"/>
      <c r="C4431" s="247"/>
    </row>
    <row r="4432">
      <c r="A4432" s="247"/>
      <c r="B4432" s="258"/>
      <c r="C4432" s="247"/>
    </row>
    <row r="4433">
      <c r="A4433" s="247"/>
      <c r="B4433" s="258"/>
      <c r="C4433" s="247"/>
    </row>
    <row r="4434">
      <c r="A4434" s="247"/>
      <c r="B4434" s="258"/>
      <c r="C4434" s="247"/>
    </row>
    <row r="4435">
      <c r="A4435" s="247"/>
      <c r="B4435" s="258"/>
      <c r="C4435" s="247"/>
    </row>
    <row r="4436">
      <c r="A4436" s="247"/>
      <c r="B4436" s="258"/>
      <c r="C4436" s="247"/>
    </row>
    <row r="4437">
      <c r="A4437" s="247"/>
      <c r="B4437" s="258"/>
      <c r="C4437" s="247"/>
    </row>
    <row r="4438">
      <c r="A4438" s="247"/>
      <c r="B4438" s="258"/>
      <c r="C4438" s="247"/>
    </row>
    <row r="4439">
      <c r="A4439" s="247"/>
      <c r="B4439" s="258"/>
      <c r="C4439" s="247"/>
    </row>
    <row r="4440">
      <c r="A4440" s="247"/>
      <c r="B4440" s="258"/>
      <c r="C4440" s="247"/>
    </row>
    <row r="4441">
      <c r="A4441" s="247"/>
      <c r="B4441" s="258"/>
      <c r="C4441" s="247"/>
    </row>
    <row r="4442">
      <c r="A4442" s="247"/>
      <c r="B4442" s="258"/>
      <c r="C4442" s="247"/>
    </row>
    <row r="4443">
      <c r="A4443" s="247"/>
      <c r="B4443" s="258"/>
      <c r="C4443" s="247"/>
    </row>
    <row r="4444">
      <c r="A4444" s="247"/>
      <c r="B4444" s="258"/>
      <c r="C4444" s="247"/>
    </row>
    <row r="4445">
      <c r="A4445" s="247"/>
      <c r="B4445" s="258"/>
      <c r="C4445" s="247"/>
    </row>
    <row r="4446">
      <c r="A4446" s="247"/>
      <c r="B4446" s="258"/>
      <c r="C4446" s="247"/>
    </row>
    <row r="4447">
      <c r="A4447" s="247"/>
      <c r="B4447" s="258"/>
      <c r="C4447" s="247"/>
    </row>
    <row r="4448">
      <c r="A4448" s="247"/>
      <c r="B4448" s="258"/>
      <c r="C4448" s="247"/>
    </row>
    <row r="4449">
      <c r="A4449" s="247"/>
      <c r="B4449" s="258"/>
      <c r="C4449" s="247"/>
    </row>
    <row r="4450">
      <c r="A4450" s="247"/>
      <c r="B4450" s="258"/>
      <c r="C4450" s="247"/>
    </row>
    <row r="4451">
      <c r="A4451" s="247"/>
      <c r="B4451" s="258"/>
      <c r="C4451" s="247"/>
    </row>
    <row r="4452">
      <c r="A4452" s="247"/>
      <c r="B4452" s="258"/>
      <c r="C4452" s="247"/>
    </row>
    <row r="4453">
      <c r="A4453" s="247"/>
      <c r="B4453" s="258"/>
      <c r="C4453" s="247"/>
    </row>
    <row r="4454">
      <c r="A4454" s="247"/>
      <c r="B4454" s="258"/>
      <c r="C4454" s="247"/>
    </row>
    <row r="4455">
      <c r="A4455" s="247"/>
      <c r="B4455" s="258"/>
      <c r="C4455" s="247"/>
    </row>
    <row r="4456">
      <c r="A4456" s="247"/>
      <c r="B4456" s="258"/>
      <c r="C4456" s="247"/>
    </row>
    <row r="4457">
      <c r="A4457" s="247"/>
      <c r="B4457" s="258"/>
      <c r="C4457" s="247"/>
    </row>
    <row r="4458">
      <c r="A4458" s="247"/>
      <c r="B4458" s="258"/>
      <c r="C4458" s="247"/>
    </row>
    <row r="4459">
      <c r="A4459" s="247"/>
      <c r="B4459" s="258"/>
      <c r="C4459" s="247"/>
    </row>
    <row r="4460">
      <c r="A4460" s="247"/>
      <c r="B4460" s="258"/>
      <c r="C4460" s="247"/>
    </row>
    <row r="4461">
      <c r="A4461" s="247"/>
      <c r="B4461" s="258"/>
      <c r="C4461" s="247"/>
    </row>
    <row r="4462">
      <c r="A4462" s="247"/>
      <c r="B4462" s="258"/>
      <c r="C4462" s="247"/>
    </row>
    <row r="4463">
      <c r="A4463" s="247"/>
      <c r="B4463" s="258"/>
      <c r="C4463" s="247"/>
    </row>
    <row r="4464">
      <c r="A4464" s="247"/>
      <c r="B4464" s="258"/>
      <c r="C4464" s="247"/>
    </row>
    <row r="4465">
      <c r="A4465" s="247"/>
      <c r="B4465" s="258"/>
      <c r="C4465" s="247"/>
    </row>
    <row r="4466">
      <c r="A4466" s="247"/>
      <c r="B4466" s="258"/>
      <c r="C4466" s="247"/>
    </row>
    <row r="4467">
      <c r="A4467" s="247"/>
      <c r="B4467" s="258"/>
      <c r="C4467" s="247"/>
    </row>
    <row r="4468">
      <c r="A4468" s="247"/>
      <c r="B4468" s="258"/>
      <c r="C4468" s="247"/>
    </row>
    <row r="4469">
      <c r="A4469" s="247"/>
      <c r="B4469" s="258"/>
      <c r="C4469" s="247"/>
    </row>
    <row r="4470">
      <c r="A4470" s="247"/>
      <c r="B4470" s="258"/>
      <c r="C4470" s="247"/>
    </row>
    <row r="4471">
      <c r="A4471" s="247"/>
      <c r="B4471" s="258"/>
      <c r="C4471" s="247"/>
    </row>
    <row r="4472">
      <c r="A4472" s="247"/>
      <c r="B4472" s="258"/>
      <c r="C4472" s="247"/>
    </row>
    <row r="4473">
      <c r="A4473" s="247"/>
      <c r="B4473" s="258"/>
      <c r="C4473" s="247"/>
    </row>
    <row r="4474">
      <c r="A4474" s="247"/>
      <c r="B4474" s="258"/>
      <c r="C4474" s="247"/>
    </row>
    <row r="4475">
      <c r="A4475" s="247"/>
      <c r="B4475" s="258"/>
      <c r="C4475" s="247"/>
    </row>
    <row r="4476">
      <c r="A4476" s="247"/>
      <c r="B4476" s="258"/>
      <c r="C4476" s="247"/>
    </row>
    <row r="4477">
      <c r="A4477" s="247"/>
      <c r="B4477" s="258"/>
      <c r="C4477" s="247"/>
    </row>
    <row r="4478">
      <c r="A4478" s="247"/>
      <c r="B4478" s="258"/>
      <c r="C4478" s="247"/>
    </row>
    <row r="4479">
      <c r="A4479" s="247"/>
      <c r="B4479" s="258"/>
      <c r="C4479" s="247"/>
    </row>
    <row r="4480">
      <c r="A4480" s="247"/>
      <c r="B4480" s="258"/>
      <c r="C4480" s="247"/>
    </row>
    <row r="4481">
      <c r="A4481" s="247"/>
      <c r="B4481" s="258"/>
      <c r="C4481" s="247"/>
    </row>
    <row r="4482">
      <c r="A4482" s="247"/>
      <c r="B4482" s="258"/>
      <c r="C4482" s="247"/>
    </row>
    <row r="4483">
      <c r="A4483" s="247"/>
      <c r="B4483" s="258"/>
      <c r="C4483" s="247"/>
    </row>
    <row r="4484">
      <c r="A4484" s="247"/>
      <c r="B4484" s="258"/>
      <c r="C4484" s="247"/>
    </row>
    <row r="4485">
      <c r="A4485" s="247"/>
      <c r="B4485" s="258"/>
      <c r="C4485" s="247"/>
    </row>
    <row r="4486">
      <c r="A4486" s="247"/>
      <c r="B4486" s="258"/>
      <c r="C4486" s="247"/>
    </row>
    <row r="4487">
      <c r="A4487" s="247"/>
      <c r="B4487" s="258"/>
      <c r="C4487" s="247"/>
    </row>
    <row r="4488">
      <c r="A4488" s="247"/>
      <c r="B4488" s="258"/>
      <c r="C4488" s="247"/>
    </row>
    <row r="4489">
      <c r="A4489" s="247"/>
      <c r="B4489" s="258"/>
      <c r="C4489" s="247"/>
    </row>
    <row r="4490">
      <c r="A4490" s="247"/>
      <c r="B4490" s="258"/>
      <c r="C4490" s="247"/>
    </row>
    <row r="4491">
      <c r="A4491" s="247"/>
      <c r="B4491" s="258"/>
      <c r="C4491" s="247"/>
    </row>
    <row r="4492">
      <c r="A4492" s="247"/>
      <c r="B4492" s="258"/>
      <c r="C4492" s="247"/>
    </row>
    <row r="4493">
      <c r="A4493" s="247"/>
      <c r="B4493" s="258"/>
      <c r="C4493" s="247"/>
    </row>
    <row r="4494">
      <c r="A4494" s="247"/>
      <c r="B4494" s="258"/>
      <c r="C4494" s="247"/>
    </row>
    <row r="4495">
      <c r="A4495" s="247"/>
      <c r="B4495" s="258"/>
      <c r="C4495" s="247"/>
    </row>
    <row r="4496">
      <c r="A4496" s="247"/>
      <c r="B4496" s="258"/>
      <c r="C4496" s="247"/>
    </row>
    <row r="4497">
      <c r="A4497" s="247"/>
      <c r="B4497" s="258"/>
      <c r="C4497" s="247"/>
    </row>
    <row r="4498">
      <c r="A4498" s="247"/>
      <c r="B4498" s="258"/>
      <c r="C4498" s="247"/>
    </row>
    <row r="4499">
      <c r="A4499" s="247"/>
      <c r="B4499" s="258"/>
      <c r="C4499" s="247"/>
    </row>
    <row r="4500">
      <c r="A4500" s="247"/>
      <c r="B4500" s="258"/>
      <c r="C4500" s="247"/>
    </row>
    <row r="4501">
      <c r="A4501" s="247"/>
      <c r="B4501" s="258"/>
      <c r="C4501" s="247"/>
    </row>
    <row r="4502">
      <c r="A4502" s="247"/>
      <c r="B4502" s="258"/>
      <c r="C4502" s="247"/>
    </row>
    <row r="4503">
      <c r="A4503" s="247"/>
      <c r="B4503" s="258"/>
      <c r="C4503" s="247"/>
    </row>
    <row r="4504">
      <c r="A4504" s="247"/>
      <c r="B4504" s="258"/>
      <c r="C4504" s="247"/>
    </row>
    <row r="4505">
      <c r="A4505" s="247"/>
      <c r="B4505" s="258"/>
      <c r="C4505" s="247"/>
    </row>
    <row r="4506">
      <c r="A4506" s="247"/>
      <c r="B4506" s="258"/>
      <c r="C4506" s="247"/>
    </row>
    <row r="4507">
      <c r="A4507" s="247"/>
      <c r="B4507" s="258"/>
      <c r="C4507" s="247"/>
    </row>
    <row r="4508">
      <c r="A4508" s="247"/>
      <c r="B4508" s="258"/>
      <c r="C4508" s="247"/>
    </row>
    <row r="4509">
      <c r="A4509" s="247"/>
      <c r="B4509" s="258"/>
      <c r="C4509" s="247"/>
    </row>
    <row r="4510">
      <c r="A4510" s="247"/>
      <c r="B4510" s="258"/>
      <c r="C4510" s="247"/>
    </row>
    <row r="4511">
      <c r="A4511" s="247"/>
      <c r="B4511" s="258"/>
      <c r="C4511" s="247"/>
    </row>
    <row r="4512">
      <c r="A4512" s="247"/>
      <c r="B4512" s="258"/>
      <c r="C4512" s="247"/>
    </row>
    <row r="4513">
      <c r="A4513" s="247"/>
      <c r="B4513" s="258"/>
      <c r="C4513" s="247"/>
    </row>
    <row r="4514">
      <c r="A4514" s="247"/>
      <c r="B4514" s="258"/>
      <c r="C4514" s="247"/>
    </row>
    <row r="4515">
      <c r="A4515" s="247"/>
      <c r="B4515" s="258"/>
      <c r="C4515" s="247"/>
    </row>
    <row r="4516">
      <c r="A4516" s="247"/>
      <c r="B4516" s="258"/>
      <c r="C4516" s="247"/>
    </row>
    <row r="4517">
      <c r="A4517" s="247"/>
      <c r="B4517" s="258"/>
      <c r="C4517" s="247"/>
    </row>
    <row r="4518">
      <c r="A4518" s="247"/>
      <c r="B4518" s="258"/>
      <c r="C4518" s="247"/>
    </row>
    <row r="4519">
      <c r="A4519" s="247"/>
      <c r="B4519" s="258"/>
      <c r="C4519" s="247"/>
    </row>
    <row r="4520">
      <c r="A4520" s="247"/>
      <c r="B4520" s="258"/>
      <c r="C4520" s="247"/>
    </row>
    <row r="4521">
      <c r="A4521" s="247"/>
      <c r="B4521" s="258"/>
      <c r="C4521" s="247"/>
    </row>
    <row r="4522">
      <c r="A4522" s="247"/>
      <c r="B4522" s="258"/>
      <c r="C4522" s="247"/>
    </row>
    <row r="4523">
      <c r="A4523" s="247"/>
      <c r="B4523" s="258"/>
      <c r="C4523" s="247"/>
    </row>
    <row r="4524">
      <c r="A4524" s="247"/>
      <c r="B4524" s="258"/>
      <c r="C4524" s="247"/>
    </row>
    <row r="4525">
      <c r="A4525" s="247"/>
      <c r="B4525" s="258"/>
      <c r="C4525" s="247"/>
    </row>
    <row r="4526">
      <c r="A4526" s="247"/>
      <c r="B4526" s="258"/>
      <c r="C4526" s="247"/>
    </row>
    <row r="4527">
      <c r="A4527" s="247"/>
      <c r="B4527" s="258"/>
      <c r="C4527" s="247"/>
    </row>
    <row r="4528">
      <c r="A4528" s="247"/>
      <c r="B4528" s="258"/>
      <c r="C4528" s="247"/>
    </row>
    <row r="4529">
      <c r="A4529" s="247"/>
      <c r="B4529" s="258"/>
      <c r="C4529" s="247"/>
    </row>
    <row r="4530">
      <c r="A4530" s="247"/>
      <c r="B4530" s="258"/>
      <c r="C4530" s="247"/>
    </row>
    <row r="4531">
      <c r="A4531" s="247"/>
      <c r="B4531" s="258"/>
      <c r="C4531" s="247"/>
    </row>
    <row r="4532">
      <c r="A4532" s="247"/>
      <c r="B4532" s="258"/>
      <c r="C4532" s="247"/>
    </row>
    <row r="4533">
      <c r="A4533" s="247"/>
      <c r="B4533" s="258"/>
      <c r="C4533" s="247"/>
    </row>
    <row r="4534">
      <c r="A4534" s="247"/>
      <c r="B4534" s="258"/>
      <c r="C4534" s="247"/>
    </row>
    <row r="4535">
      <c r="A4535" s="247"/>
      <c r="B4535" s="258"/>
      <c r="C4535" s="247"/>
    </row>
    <row r="4536">
      <c r="A4536" s="247"/>
      <c r="B4536" s="258"/>
      <c r="C4536" s="247"/>
    </row>
    <row r="4537">
      <c r="A4537" s="247"/>
      <c r="B4537" s="258"/>
      <c r="C4537" s="247"/>
    </row>
    <row r="4538">
      <c r="A4538" s="247"/>
      <c r="B4538" s="258"/>
      <c r="C4538" s="247"/>
    </row>
    <row r="4539">
      <c r="A4539" s="247"/>
      <c r="B4539" s="258"/>
      <c r="C4539" s="247"/>
    </row>
    <row r="4540">
      <c r="A4540" s="247"/>
      <c r="B4540" s="258"/>
      <c r="C4540" s="247"/>
    </row>
    <row r="4541">
      <c r="A4541" s="247"/>
      <c r="B4541" s="258"/>
      <c r="C4541" s="247"/>
    </row>
    <row r="4542">
      <c r="A4542" s="247"/>
      <c r="B4542" s="258"/>
      <c r="C4542" s="247"/>
    </row>
    <row r="4543">
      <c r="A4543" s="247"/>
      <c r="B4543" s="258"/>
      <c r="C4543" s="247"/>
    </row>
    <row r="4544">
      <c r="A4544" s="247"/>
      <c r="B4544" s="258"/>
      <c r="C4544" s="247"/>
    </row>
    <row r="4545">
      <c r="A4545" s="247"/>
      <c r="B4545" s="258"/>
      <c r="C4545" s="247"/>
    </row>
    <row r="4546">
      <c r="A4546" s="247"/>
      <c r="B4546" s="258"/>
      <c r="C4546" s="247"/>
    </row>
    <row r="4547">
      <c r="A4547" s="247"/>
      <c r="B4547" s="258"/>
      <c r="C4547" s="247"/>
    </row>
    <row r="4548">
      <c r="A4548" s="247"/>
      <c r="B4548" s="258"/>
      <c r="C4548" s="247"/>
    </row>
    <row r="4549">
      <c r="A4549" s="247"/>
      <c r="B4549" s="258"/>
      <c r="C4549" s="247"/>
    </row>
    <row r="4550">
      <c r="A4550" s="247"/>
      <c r="B4550" s="258"/>
      <c r="C4550" s="247"/>
    </row>
    <row r="4551">
      <c r="A4551" s="247"/>
      <c r="B4551" s="258"/>
      <c r="C4551" s="247"/>
    </row>
    <row r="4552">
      <c r="A4552" s="247"/>
      <c r="B4552" s="258"/>
      <c r="C4552" s="247"/>
    </row>
    <row r="4553">
      <c r="A4553" s="247"/>
      <c r="B4553" s="258"/>
      <c r="C4553" s="247"/>
    </row>
    <row r="4554">
      <c r="A4554" s="247"/>
      <c r="B4554" s="258"/>
      <c r="C4554" s="247"/>
    </row>
    <row r="4555">
      <c r="A4555" s="247"/>
      <c r="B4555" s="258"/>
      <c r="C4555" s="247"/>
    </row>
    <row r="4556">
      <c r="A4556" s="247"/>
      <c r="B4556" s="258"/>
      <c r="C4556" s="247"/>
    </row>
    <row r="4557">
      <c r="A4557" s="247"/>
      <c r="B4557" s="258"/>
      <c r="C4557" s="247"/>
    </row>
    <row r="4558">
      <c r="A4558" s="247"/>
      <c r="B4558" s="258"/>
      <c r="C4558" s="247"/>
    </row>
    <row r="4559">
      <c r="A4559" s="247"/>
      <c r="B4559" s="258"/>
      <c r="C4559" s="247"/>
    </row>
    <row r="4560">
      <c r="A4560" s="247"/>
      <c r="B4560" s="258"/>
      <c r="C4560" s="247"/>
    </row>
    <row r="4561">
      <c r="A4561" s="247"/>
      <c r="B4561" s="258"/>
      <c r="C4561" s="247"/>
    </row>
    <row r="4562">
      <c r="A4562" s="247"/>
      <c r="B4562" s="258"/>
      <c r="C4562" s="247"/>
    </row>
    <row r="4563">
      <c r="A4563" s="247"/>
      <c r="B4563" s="258"/>
      <c r="C4563" s="247"/>
    </row>
    <row r="4564">
      <c r="A4564" s="247"/>
      <c r="B4564" s="258"/>
      <c r="C4564" s="247"/>
    </row>
    <row r="4565">
      <c r="A4565" s="247"/>
      <c r="B4565" s="258"/>
      <c r="C4565" s="247"/>
    </row>
    <row r="4566">
      <c r="A4566" s="247"/>
      <c r="B4566" s="258"/>
      <c r="C4566" s="247"/>
    </row>
    <row r="4567">
      <c r="A4567" s="247"/>
      <c r="B4567" s="258"/>
      <c r="C4567" s="247"/>
    </row>
    <row r="4568">
      <c r="A4568" s="247"/>
      <c r="B4568" s="258"/>
      <c r="C4568" s="247"/>
    </row>
    <row r="4569">
      <c r="A4569" s="247"/>
      <c r="B4569" s="258"/>
      <c r="C4569" s="247"/>
    </row>
    <row r="4570">
      <c r="A4570" s="247"/>
      <c r="B4570" s="258"/>
      <c r="C4570" s="247"/>
    </row>
    <row r="4571">
      <c r="A4571" s="247"/>
      <c r="B4571" s="258"/>
      <c r="C4571" s="247"/>
    </row>
    <row r="4572">
      <c r="A4572" s="247"/>
      <c r="B4572" s="258"/>
      <c r="C4572" s="247"/>
    </row>
    <row r="4573">
      <c r="A4573" s="247"/>
      <c r="B4573" s="258"/>
      <c r="C4573" s="247"/>
    </row>
    <row r="4574">
      <c r="A4574" s="247"/>
      <c r="B4574" s="258"/>
      <c r="C4574" s="247"/>
    </row>
    <row r="4575">
      <c r="A4575" s="247"/>
      <c r="B4575" s="258"/>
      <c r="C4575" s="247"/>
    </row>
    <row r="4576">
      <c r="A4576" s="247"/>
      <c r="B4576" s="258"/>
      <c r="C4576" s="247"/>
    </row>
    <row r="4577">
      <c r="A4577" s="247"/>
      <c r="B4577" s="258"/>
      <c r="C4577" s="247"/>
    </row>
    <row r="4578">
      <c r="A4578" s="247"/>
      <c r="B4578" s="258"/>
      <c r="C4578" s="247"/>
    </row>
    <row r="4579">
      <c r="A4579" s="247"/>
      <c r="B4579" s="258"/>
      <c r="C4579" s="247"/>
    </row>
    <row r="4580">
      <c r="A4580" s="247"/>
      <c r="B4580" s="258"/>
      <c r="C4580" s="247"/>
    </row>
    <row r="4581">
      <c r="A4581" s="247"/>
      <c r="B4581" s="258"/>
      <c r="C4581" s="247"/>
    </row>
    <row r="4582">
      <c r="A4582" s="247"/>
      <c r="B4582" s="258"/>
      <c r="C4582" s="247"/>
    </row>
    <row r="4583">
      <c r="A4583" s="247"/>
      <c r="B4583" s="258"/>
      <c r="C4583" s="247"/>
    </row>
    <row r="4584">
      <c r="A4584" s="247"/>
      <c r="B4584" s="258"/>
      <c r="C4584" s="247"/>
    </row>
    <row r="4585">
      <c r="A4585" s="247"/>
      <c r="B4585" s="258"/>
      <c r="C4585" s="247"/>
    </row>
    <row r="4586">
      <c r="A4586" s="247"/>
      <c r="B4586" s="258"/>
      <c r="C4586" s="247"/>
    </row>
    <row r="4587">
      <c r="A4587" s="247"/>
      <c r="B4587" s="258"/>
      <c r="C4587" s="247"/>
    </row>
    <row r="4588">
      <c r="A4588" s="247"/>
      <c r="B4588" s="258"/>
      <c r="C4588" s="247"/>
    </row>
    <row r="4589">
      <c r="A4589" s="247"/>
      <c r="B4589" s="258"/>
      <c r="C4589" s="247"/>
    </row>
    <row r="4590">
      <c r="A4590" s="247"/>
      <c r="B4590" s="258"/>
      <c r="C4590" s="247"/>
    </row>
    <row r="4591">
      <c r="A4591" s="247"/>
      <c r="B4591" s="258"/>
      <c r="C4591" s="247"/>
    </row>
    <row r="4592">
      <c r="A4592" s="247"/>
      <c r="B4592" s="258"/>
      <c r="C4592" s="247"/>
    </row>
    <row r="4593">
      <c r="A4593" s="247"/>
      <c r="B4593" s="258"/>
      <c r="C4593" s="247"/>
    </row>
    <row r="4594">
      <c r="A4594" s="247"/>
      <c r="B4594" s="258"/>
      <c r="C4594" s="247"/>
    </row>
    <row r="4595">
      <c r="A4595" s="247"/>
      <c r="B4595" s="258"/>
      <c r="C4595" s="247"/>
    </row>
    <row r="4596">
      <c r="A4596" s="247"/>
      <c r="B4596" s="258"/>
      <c r="C4596" s="247"/>
    </row>
    <row r="4597">
      <c r="A4597" s="247"/>
      <c r="B4597" s="258"/>
      <c r="C4597" s="247"/>
    </row>
    <row r="4598">
      <c r="A4598" s="247"/>
      <c r="B4598" s="258"/>
      <c r="C4598" s="247"/>
    </row>
    <row r="4599">
      <c r="A4599" s="247"/>
      <c r="B4599" s="258"/>
      <c r="C4599" s="247"/>
    </row>
    <row r="4600">
      <c r="A4600" s="247"/>
      <c r="B4600" s="258"/>
      <c r="C4600" s="247"/>
    </row>
    <row r="4601">
      <c r="A4601" s="247"/>
      <c r="B4601" s="258"/>
      <c r="C4601" s="247"/>
    </row>
    <row r="4602">
      <c r="A4602" s="247"/>
      <c r="B4602" s="258"/>
      <c r="C4602" s="247"/>
    </row>
    <row r="4603">
      <c r="A4603" s="247"/>
      <c r="B4603" s="258"/>
      <c r="C4603" s="247"/>
    </row>
    <row r="4604">
      <c r="A4604" s="247"/>
      <c r="B4604" s="258"/>
      <c r="C4604" s="247"/>
    </row>
    <row r="4605">
      <c r="A4605" s="247"/>
      <c r="B4605" s="258"/>
      <c r="C4605" s="247"/>
    </row>
    <row r="4606">
      <c r="A4606" s="247"/>
      <c r="B4606" s="258"/>
      <c r="C4606" s="247"/>
    </row>
    <row r="4607">
      <c r="A4607" s="247"/>
      <c r="B4607" s="258"/>
      <c r="C4607" s="247"/>
    </row>
    <row r="4608">
      <c r="A4608" s="247"/>
      <c r="B4608" s="258"/>
      <c r="C4608" s="247"/>
    </row>
    <row r="4609">
      <c r="A4609" s="247"/>
      <c r="B4609" s="258"/>
      <c r="C4609" s="247"/>
    </row>
    <row r="4610">
      <c r="A4610" s="247"/>
      <c r="B4610" s="258"/>
      <c r="C4610" s="247"/>
    </row>
    <row r="4611">
      <c r="A4611" s="247"/>
      <c r="B4611" s="258"/>
      <c r="C4611" s="247"/>
    </row>
    <row r="4612">
      <c r="A4612" s="247"/>
      <c r="B4612" s="258"/>
      <c r="C4612" s="247"/>
    </row>
    <row r="4613">
      <c r="A4613" s="247"/>
      <c r="B4613" s="258"/>
      <c r="C4613" s="247"/>
    </row>
    <row r="4614">
      <c r="A4614" s="247"/>
      <c r="B4614" s="258"/>
      <c r="C4614" s="247"/>
    </row>
    <row r="4615">
      <c r="A4615" s="247"/>
      <c r="B4615" s="258"/>
      <c r="C4615" s="247"/>
    </row>
    <row r="4616">
      <c r="A4616" s="247"/>
      <c r="B4616" s="258"/>
      <c r="C4616" s="247"/>
    </row>
    <row r="4617">
      <c r="A4617" s="247"/>
      <c r="B4617" s="258"/>
      <c r="C4617" s="247"/>
    </row>
    <row r="4618">
      <c r="A4618" s="247"/>
      <c r="B4618" s="258"/>
      <c r="C4618" s="247"/>
    </row>
    <row r="4619">
      <c r="A4619" s="247"/>
      <c r="B4619" s="258"/>
      <c r="C4619" s="247"/>
    </row>
    <row r="4620">
      <c r="A4620" s="247"/>
      <c r="B4620" s="258"/>
      <c r="C4620" s="247"/>
    </row>
    <row r="4621">
      <c r="A4621" s="247"/>
      <c r="B4621" s="258"/>
      <c r="C4621" s="247"/>
    </row>
    <row r="4622">
      <c r="A4622" s="247"/>
      <c r="B4622" s="258"/>
      <c r="C4622" s="247"/>
    </row>
    <row r="4623">
      <c r="A4623" s="247"/>
      <c r="B4623" s="258"/>
      <c r="C4623" s="247"/>
    </row>
    <row r="4624">
      <c r="A4624" s="247"/>
      <c r="B4624" s="258"/>
      <c r="C4624" s="247"/>
    </row>
    <row r="4625">
      <c r="A4625" s="247"/>
      <c r="B4625" s="258"/>
      <c r="C4625" s="247"/>
    </row>
    <row r="4626">
      <c r="A4626" s="247"/>
      <c r="B4626" s="258"/>
      <c r="C4626" s="247"/>
    </row>
    <row r="4627">
      <c r="A4627" s="247"/>
      <c r="B4627" s="258"/>
      <c r="C4627" s="247"/>
    </row>
    <row r="4628">
      <c r="A4628" s="247"/>
      <c r="B4628" s="258"/>
      <c r="C4628" s="247"/>
    </row>
    <row r="4629">
      <c r="A4629" s="247"/>
      <c r="B4629" s="258"/>
      <c r="C4629" s="247"/>
    </row>
    <row r="4630">
      <c r="A4630" s="247"/>
      <c r="B4630" s="258"/>
      <c r="C4630" s="247"/>
    </row>
    <row r="4631">
      <c r="A4631" s="247"/>
      <c r="B4631" s="258"/>
      <c r="C4631" s="247"/>
    </row>
    <row r="4632">
      <c r="A4632" s="247"/>
      <c r="B4632" s="258"/>
      <c r="C4632" s="247"/>
    </row>
    <row r="4633">
      <c r="A4633" s="247"/>
      <c r="B4633" s="258"/>
      <c r="C4633" s="247"/>
    </row>
    <row r="4634">
      <c r="A4634" s="247"/>
      <c r="B4634" s="258"/>
      <c r="C4634" s="247"/>
    </row>
    <row r="4635">
      <c r="A4635" s="247"/>
      <c r="B4635" s="258"/>
      <c r="C4635" s="247"/>
    </row>
    <row r="4636">
      <c r="A4636" s="247"/>
      <c r="B4636" s="258"/>
      <c r="C4636" s="247"/>
    </row>
    <row r="4637">
      <c r="A4637" s="247"/>
      <c r="B4637" s="258"/>
      <c r="C4637" s="247"/>
    </row>
    <row r="4638">
      <c r="A4638" s="247"/>
      <c r="B4638" s="258"/>
      <c r="C4638" s="247"/>
    </row>
    <row r="4639">
      <c r="A4639" s="247"/>
      <c r="B4639" s="258"/>
      <c r="C4639" s="247"/>
    </row>
    <row r="4640">
      <c r="A4640" s="247"/>
      <c r="B4640" s="258"/>
      <c r="C4640" s="247"/>
    </row>
    <row r="4641">
      <c r="A4641" s="247"/>
      <c r="B4641" s="258"/>
      <c r="C4641" s="247"/>
    </row>
    <row r="4642">
      <c r="A4642" s="247"/>
      <c r="B4642" s="258"/>
      <c r="C4642" s="247"/>
    </row>
    <row r="4643">
      <c r="A4643" s="247"/>
      <c r="B4643" s="258"/>
      <c r="C4643" s="247"/>
    </row>
    <row r="4644">
      <c r="A4644" s="247"/>
      <c r="B4644" s="258"/>
      <c r="C4644" s="247"/>
    </row>
    <row r="4645">
      <c r="A4645" s="247"/>
      <c r="B4645" s="258"/>
      <c r="C4645" s="247"/>
    </row>
    <row r="4646">
      <c r="A4646" s="247"/>
      <c r="B4646" s="258"/>
      <c r="C4646" s="247"/>
    </row>
    <row r="4647">
      <c r="A4647" s="247"/>
      <c r="B4647" s="258"/>
      <c r="C4647" s="247"/>
    </row>
    <row r="4648">
      <c r="A4648" s="247"/>
      <c r="B4648" s="258"/>
      <c r="C4648" s="247"/>
    </row>
    <row r="4649">
      <c r="A4649" s="247"/>
      <c r="B4649" s="258"/>
      <c r="C4649" s="247"/>
    </row>
    <row r="4650">
      <c r="A4650" s="247"/>
      <c r="B4650" s="258"/>
      <c r="C4650" s="247"/>
    </row>
    <row r="4651">
      <c r="A4651" s="247"/>
      <c r="B4651" s="258"/>
      <c r="C4651" s="247"/>
    </row>
    <row r="4652">
      <c r="A4652" s="247"/>
      <c r="B4652" s="258"/>
      <c r="C4652" s="247"/>
    </row>
    <row r="4653">
      <c r="A4653" s="247"/>
      <c r="B4653" s="258"/>
      <c r="C4653" s="247"/>
    </row>
    <row r="4654">
      <c r="A4654" s="247"/>
      <c r="B4654" s="258"/>
      <c r="C4654" s="247"/>
    </row>
    <row r="4655">
      <c r="A4655" s="247"/>
      <c r="B4655" s="258"/>
      <c r="C4655" s="247"/>
    </row>
    <row r="4656">
      <c r="A4656" s="247"/>
      <c r="B4656" s="258"/>
      <c r="C4656" s="247"/>
    </row>
    <row r="4657">
      <c r="A4657" s="247"/>
      <c r="B4657" s="258"/>
      <c r="C4657" s="247"/>
    </row>
    <row r="4658">
      <c r="A4658" s="247"/>
      <c r="B4658" s="258"/>
      <c r="C4658" s="247"/>
    </row>
    <row r="4659">
      <c r="A4659" s="247"/>
      <c r="B4659" s="258"/>
      <c r="C4659" s="247"/>
    </row>
    <row r="4660">
      <c r="A4660" s="247"/>
      <c r="B4660" s="258"/>
      <c r="C4660" s="247"/>
    </row>
    <row r="4661">
      <c r="A4661" s="247"/>
      <c r="B4661" s="258"/>
      <c r="C4661" s="247"/>
    </row>
    <row r="4662">
      <c r="A4662" s="247"/>
      <c r="B4662" s="258"/>
      <c r="C4662" s="247"/>
    </row>
    <row r="4663">
      <c r="A4663" s="247"/>
      <c r="B4663" s="258"/>
      <c r="C4663" s="247"/>
    </row>
    <row r="4664">
      <c r="A4664" s="247"/>
      <c r="B4664" s="258"/>
      <c r="C4664" s="247"/>
    </row>
    <row r="4665">
      <c r="A4665" s="247"/>
      <c r="B4665" s="258"/>
      <c r="C4665" s="247"/>
    </row>
    <row r="4666">
      <c r="A4666" s="247"/>
      <c r="B4666" s="258"/>
      <c r="C4666" s="247"/>
    </row>
    <row r="4667">
      <c r="A4667" s="247"/>
      <c r="B4667" s="258"/>
      <c r="C4667" s="247"/>
    </row>
    <row r="4668">
      <c r="A4668" s="247"/>
      <c r="B4668" s="258"/>
      <c r="C4668" s="247"/>
    </row>
    <row r="4669">
      <c r="A4669" s="247"/>
      <c r="B4669" s="258"/>
      <c r="C4669" s="247"/>
    </row>
    <row r="4670">
      <c r="A4670" s="247"/>
      <c r="B4670" s="258"/>
      <c r="C4670" s="247"/>
    </row>
    <row r="4671">
      <c r="A4671" s="247"/>
      <c r="B4671" s="258"/>
      <c r="C4671" s="247"/>
    </row>
    <row r="4672">
      <c r="A4672" s="247"/>
      <c r="B4672" s="258"/>
      <c r="C4672" s="247"/>
    </row>
    <row r="4673">
      <c r="A4673" s="247"/>
      <c r="B4673" s="258"/>
      <c r="C4673" s="247"/>
    </row>
    <row r="4674">
      <c r="A4674" s="247"/>
      <c r="B4674" s="258"/>
      <c r="C4674" s="247"/>
    </row>
    <row r="4675">
      <c r="A4675" s="247"/>
      <c r="B4675" s="258"/>
      <c r="C4675" s="247"/>
    </row>
    <row r="4676">
      <c r="A4676" s="247"/>
      <c r="B4676" s="258"/>
      <c r="C4676" s="247"/>
    </row>
    <row r="4677">
      <c r="A4677" s="247"/>
      <c r="B4677" s="258"/>
      <c r="C4677" s="247"/>
    </row>
    <row r="4678">
      <c r="A4678" s="247"/>
      <c r="B4678" s="258"/>
      <c r="C4678" s="247"/>
    </row>
    <row r="4679">
      <c r="A4679" s="247"/>
      <c r="B4679" s="258"/>
      <c r="C4679" s="247"/>
    </row>
    <row r="4680">
      <c r="A4680" s="247"/>
      <c r="B4680" s="258"/>
      <c r="C4680" s="247"/>
    </row>
    <row r="4681">
      <c r="A4681" s="247"/>
      <c r="B4681" s="258"/>
      <c r="C4681" s="247"/>
    </row>
    <row r="4682">
      <c r="A4682" s="247"/>
      <c r="B4682" s="258"/>
      <c r="C4682" s="247"/>
    </row>
    <row r="4683">
      <c r="A4683" s="247"/>
      <c r="B4683" s="258"/>
      <c r="C4683" s="247"/>
    </row>
    <row r="4684">
      <c r="A4684" s="247"/>
      <c r="B4684" s="258"/>
      <c r="C4684" s="247"/>
    </row>
    <row r="4685">
      <c r="A4685" s="247"/>
      <c r="B4685" s="258"/>
      <c r="C4685" s="247"/>
    </row>
    <row r="4686">
      <c r="A4686" s="247"/>
      <c r="B4686" s="258"/>
      <c r="C4686" s="247"/>
    </row>
    <row r="4687">
      <c r="A4687" s="247"/>
      <c r="B4687" s="258"/>
      <c r="C4687" s="247"/>
    </row>
    <row r="4688">
      <c r="A4688" s="247"/>
      <c r="B4688" s="258"/>
      <c r="C4688" s="247"/>
    </row>
    <row r="4689">
      <c r="A4689" s="247"/>
      <c r="B4689" s="258"/>
      <c r="C4689" s="247"/>
    </row>
    <row r="4690">
      <c r="A4690" s="247"/>
      <c r="B4690" s="258"/>
      <c r="C4690" s="247"/>
    </row>
    <row r="4691">
      <c r="A4691" s="247"/>
      <c r="B4691" s="258"/>
      <c r="C4691" s="247"/>
    </row>
    <row r="4692">
      <c r="A4692" s="247"/>
      <c r="B4692" s="258"/>
      <c r="C4692" s="247"/>
    </row>
    <row r="4693">
      <c r="A4693" s="247"/>
      <c r="B4693" s="258"/>
      <c r="C4693" s="247"/>
    </row>
    <row r="4694">
      <c r="A4694" s="247"/>
      <c r="B4694" s="258"/>
      <c r="C4694" s="247"/>
    </row>
    <row r="4695">
      <c r="A4695" s="247"/>
      <c r="B4695" s="258"/>
      <c r="C4695" s="247"/>
    </row>
    <row r="4696">
      <c r="A4696" s="247"/>
      <c r="B4696" s="258"/>
      <c r="C4696" s="247"/>
    </row>
    <row r="4697">
      <c r="A4697" s="247"/>
      <c r="B4697" s="258"/>
      <c r="C4697" s="247"/>
    </row>
    <row r="4698">
      <c r="A4698" s="247"/>
      <c r="B4698" s="258"/>
      <c r="C4698" s="247"/>
    </row>
    <row r="4699">
      <c r="A4699" s="247"/>
      <c r="B4699" s="258"/>
      <c r="C4699" s="247"/>
    </row>
    <row r="4700">
      <c r="A4700" s="247"/>
      <c r="B4700" s="258"/>
      <c r="C4700" s="247"/>
    </row>
    <row r="4701">
      <c r="A4701" s="247"/>
      <c r="B4701" s="258"/>
      <c r="C4701" s="247"/>
    </row>
    <row r="4702">
      <c r="A4702" s="247"/>
      <c r="B4702" s="258"/>
      <c r="C4702" s="247"/>
    </row>
    <row r="4703">
      <c r="A4703" s="247"/>
      <c r="B4703" s="258"/>
      <c r="C4703" s="247"/>
    </row>
    <row r="4704">
      <c r="A4704" s="247"/>
      <c r="B4704" s="258"/>
      <c r="C4704" s="247"/>
    </row>
    <row r="4705">
      <c r="A4705" s="247"/>
      <c r="B4705" s="258"/>
      <c r="C4705" s="247"/>
    </row>
    <row r="4706">
      <c r="A4706" s="247"/>
      <c r="B4706" s="258"/>
      <c r="C4706" s="247"/>
    </row>
    <row r="4707">
      <c r="A4707" s="247"/>
      <c r="B4707" s="258"/>
      <c r="C4707" s="247"/>
    </row>
    <row r="4708">
      <c r="A4708" s="247"/>
      <c r="B4708" s="258"/>
      <c r="C4708" s="247"/>
    </row>
    <row r="4709">
      <c r="A4709" s="247"/>
      <c r="B4709" s="258"/>
      <c r="C4709" s="247"/>
    </row>
    <row r="4710">
      <c r="A4710" s="247"/>
      <c r="B4710" s="258"/>
      <c r="C4710" s="247"/>
    </row>
    <row r="4711">
      <c r="A4711" s="247"/>
      <c r="B4711" s="258"/>
      <c r="C4711" s="247"/>
    </row>
    <row r="4712">
      <c r="A4712" s="247"/>
      <c r="B4712" s="258"/>
      <c r="C4712" s="247"/>
    </row>
    <row r="4713">
      <c r="A4713" s="247"/>
      <c r="B4713" s="258"/>
      <c r="C4713" s="247"/>
    </row>
    <row r="4714">
      <c r="A4714" s="247"/>
      <c r="B4714" s="258"/>
      <c r="C4714" s="247"/>
    </row>
    <row r="4715">
      <c r="A4715" s="247"/>
      <c r="B4715" s="258"/>
      <c r="C4715" s="247"/>
    </row>
    <row r="4716">
      <c r="A4716" s="247"/>
      <c r="B4716" s="258"/>
      <c r="C4716" s="247"/>
    </row>
    <row r="4717">
      <c r="A4717" s="247"/>
      <c r="B4717" s="258"/>
      <c r="C4717" s="247"/>
    </row>
    <row r="4718">
      <c r="A4718" s="247"/>
      <c r="B4718" s="258"/>
      <c r="C4718" s="247"/>
    </row>
    <row r="4719">
      <c r="A4719" s="247"/>
      <c r="B4719" s="258"/>
      <c r="C4719" s="247"/>
    </row>
    <row r="4720">
      <c r="A4720" s="247"/>
      <c r="B4720" s="258"/>
      <c r="C4720" s="247"/>
    </row>
    <row r="4721">
      <c r="A4721" s="247"/>
      <c r="B4721" s="258"/>
      <c r="C4721" s="247"/>
    </row>
    <row r="4722">
      <c r="A4722" s="247"/>
      <c r="B4722" s="258"/>
      <c r="C4722" s="247"/>
    </row>
    <row r="4723">
      <c r="A4723" s="247"/>
      <c r="B4723" s="258"/>
      <c r="C4723" s="247"/>
    </row>
    <row r="4724">
      <c r="A4724" s="247"/>
      <c r="B4724" s="258"/>
      <c r="C4724" s="247"/>
    </row>
    <row r="4725">
      <c r="A4725" s="247"/>
      <c r="B4725" s="258"/>
      <c r="C4725" s="247"/>
    </row>
    <row r="4726">
      <c r="A4726" s="247"/>
      <c r="B4726" s="258"/>
      <c r="C4726" s="247"/>
    </row>
    <row r="4727">
      <c r="A4727" s="247"/>
      <c r="B4727" s="258"/>
      <c r="C4727" s="247"/>
    </row>
    <row r="4728">
      <c r="A4728" s="247"/>
      <c r="B4728" s="258"/>
      <c r="C4728" s="247"/>
    </row>
    <row r="4729">
      <c r="A4729" s="247"/>
      <c r="B4729" s="258"/>
      <c r="C4729" s="247"/>
    </row>
    <row r="4730">
      <c r="A4730" s="247"/>
      <c r="B4730" s="258"/>
      <c r="C4730" s="247"/>
    </row>
    <row r="4731">
      <c r="A4731" s="247"/>
      <c r="B4731" s="258"/>
      <c r="C4731" s="247"/>
    </row>
    <row r="4732">
      <c r="A4732" s="247"/>
      <c r="B4732" s="258"/>
      <c r="C4732" s="247"/>
    </row>
    <row r="4733">
      <c r="A4733" s="247"/>
      <c r="B4733" s="258"/>
      <c r="C4733" s="247"/>
    </row>
    <row r="4734">
      <c r="A4734" s="247"/>
      <c r="B4734" s="258"/>
      <c r="C4734" s="247"/>
    </row>
    <row r="4735">
      <c r="A4735" s="247"/>
      <c r="B4735" s="258"/>
      <c r="C4735" s="247"/>
    </row>
    <row r="4736">
      <c r="A4736" s="247"/>
      <c r="B4736" s="258"/>
      <c r="C4736" s="247"/>
    </row>
    <row r="4737">
      <c r="A4737" s="247"/>
      <c r="B4737" s="258"/>
      <c r="C4737" s="247"/>
    </row>
    <row r="4738">
      <c r="A4738" s="247"/>
      <c r="B4738" s="258"/>
      <c r="C4738" s="247"/>
    </row>
    <row r="4739">
      <c r="A4739" s="247"/>
      <c r="B4739" s="258"/>
      <c r="C4739" s="247"/>
    </row>
    <row r="4740">
      <c r="A4740" s="247"/>
      <c r="B4740" s="258"/>
      <c r="C4740" s="247"/>
    </row>
    <row r="4741">
      <c r="A4741" s="247"/>
      <c r="B4741" s="258"/>
      <c r="C4741" s="247"/>
    </row>
    <row r="4742">
      <c r="A4742" s="247"/>
      <c r="B4742" s="258"/>
      <c r="C4742" s="247"/>
    </row>
    <row r="4743">
      <c r="A4743" s="247"/>
      <c r="B4743" s="258"/>
      <c r="C4743" s="247"/>
    </row>
    <row r="4744">
      <c r="A4744" s="247"/>
      <c r="B4744" s="258"/>
      <c r="C4744" s="247"/>
    </row>
    <row r="4745">
      <c r="A4745" s="247"/>
      <c r="B4745" s="258"/>
      <c r="C4745" s="247"/>
    </row>
    <row r="4746">
      <c r="A4746" s="247"/>
      <c r="B4746" s="258"/>
      <c r="C4746" s="247"/>
    </row>
    <row r="4747">
      <c r="A4747" s="247"/>
      <c r="B4747" s="258"/>
      <c r="C4747" s="247"/>
    </row>
    <row r="4748">
      <c r="A4748" s="247"/>
      <c r="B4748" s="258"/>
      <c r="C4748" s="247"/>
    </row>
    <row r="4749">
      <c r="A4749" s="247"/>
      <c r="B4749" s="258"/>
      <c r="C4749" s="247"/>
    </row>
    <row r="4750">
      <c r="A4750" s="247"/>
      <c r="B4750" s="258"/>
      <c r="C4750" s="247"/>
    </row>
    <row r="4751">
      <c r="A4751" s="247"/>
      <c r="B4751" s="258"/>
      <c r="C4751" s="247"/>
    </row>
    <row r="4752">
      <c r="A4752" s="247"/>
      <c r="B4752" s="258"/>
      <c r="C4752" s="247"/>
    </row>
    <row r="4753">
      <c r="A4753" s="247"/>
      <c r="B4753" s="258"/>
      <c r="C4753" s="247"/>
    </row>
    <row r="4754">
      <c r="A4754" s="247"/>
      <c r="B4754" s="258"/>
      <c r="C4754" s="247"/>
    </row>
    <row r="4755">
      <c r="A4755" s="247"/>
      <c r="B4755" s="258"/>
      <c r="C4755" s="247"/>
    </row>
    <row r="4756">
      <c r="A4756" s="247"/>
      <c r="B4756" s="258"/>
      <c r="C4756" s="247"/>
    </row>
    <row r="4757">
      <c r="A4757" s="247"/>
      <c r="B4757" s="258"/>
      <c r="C4757" s="247"/>
    </row>
    <row r="4758">
      <c r="A4758" s="247"/>
      <c r="B4758" s="258"/>
      <c r="C4758" s="247"/>
    </row>
    <row r="4759">
      <c r="A4759" s="247"/>
      <c r="B4759" s="258"/>
      <c r="C4759" s="247"/>
    </row>
    <row r="4760">
      <c r="A4760" s="247"/>
      <c r="B4760" s="258"/>
      <c r="C4760" s="247"/>
    </row>
    <row r="4761">
      <c r="A4761" s="247"/>
      <c r="B4761" s="258"/>
      <c r="C4761" s="247"/>
    </row>
    <row r="4762">
      <c r="A4762" s="247"/>
      <c r="B4762" s="258"/>
      <c r="C4762" s="247"/>
    </row>
    <row r="4763">
      <c r="A4763" s="247"/>
      <c r="B4763" s="258"/>
      <c r="C4763" s="247"/>
    </row>
    <row r="4764">
      <c r="A4764" s="247"/>
      <c r="B4764" s="258"/>
      <c r="C4764" s="247"/>
    </row>
    <row r="4765">
      <c r="A4765" s="247"/>
      <c r="B4765" s="258"/>
      <c r="C4765" s="247"/>
    </row>
    <row r="4766">
      <c r="A4766" s="247"/>
      <c r="B4766" s="258"/>
      <c r="C4766" s="247"/>
    </row>
    <row r="4767">
      <c r="A4767" s="247"/>
      <c r="B4767" s="258"/>
      <c r="C4767" s="247"/>
    </row>
    <row r="4768">
      <c r="A4768" s="247"/>
      <c r="B4768" s="258"/>
      <c r="C4768" s="247"/>
    </row>
    <row r="4769">
      <c r="A4769" s="247"/>
      <c r="B4769" s="258"/>
      <c r="C4769" s="247"/>
    </row>
    <row r="4770">
      <c r="A4770" s="247"/>
      <c r="B4770" s="258"/>
      <c r="C4770" s="247"/>
    </row>
    <row r="4771">
      <c r="A4771" s="247"/>
      <c r="B4771" s="258"/>
      <c r="C4771" s="247"/>
    </row>
    <row r="4772">
      <c r="A4772" s="247"/>
      <c r="B4772" s="258"/>
      <c r="C4772" s="247"/>
    </row>
    <row r="4773">
      <c r="A4773" s="247"/>
      <c r="B4773" s="258"/>
      <c r="C4773" s="247"/>
    </row>
    <row r="4774">
      <c r="A4774" s="247"/>
      <c r="B4774" s="258"/>
      <c r="C4774" s="247"/>
    </row>
    <row r="4775">
      <c r="A4775" s="247"/>
      <c r="B4775" s="258"/>
      <c r="C4775" s="247"/>
    </row>
    <row r="4776">
      <c r="A4776" s="247"/>
      <c r="B4776" s="258"/>
      <c r="C4776" s="247"/>
    </row>
    <row r="4777">
      <c r="A4777" s="247"/>
      <c r="B4777" s="258"/>
      <c r="C4777" s="247"/>
    </row>
    <row r="4778">
      <c r="A4778" s="247"/>
      <c r="B4778" s="258"/>
      <c r="C4778" s="247"/>
    </row>
    <row r="4779">
      <c r="A4779" s="247"/>
      <c r="B4779" s="258"/>
      <c r="C4779" s="247"/>
    </row>
    <row r="4780">
      <c r="A4780" s="247"/>
      <c r="B4780" s="258"/>
      <c r="C4780" s="247"/>
    </row>
    <row r="4781">
      <c r="A4781" s="247"/>
      <c r="B4781" s="258"/>
      <c r="C4781" s="247"/>
    </row>
    <row r="4782">
      <c r="A4782" s="247"/>
      <c r="B4782" s="258"/>
      <c r="C4782" s="247"/>
    </row>
    <row r="4783">
      <c r="A4783" s="247"/>
      <c r="B4783" s="258"/>
      <c r="C4783" s="247"/>
    </row>
    <row r="4784">
      <c r="A4784" s="247"/>
      <c r="B4784" s="258"/>
      <c r="C4784" s="247"/>
    </row>
    <row r="4785">
      <c r="A4785" s="247"/>
      <c r="B4785" s="258"/>
      <c r="C4785" s="247"/>
    </row>
    <row r="4786">
      <c r="A4786" s="247"/>
      <c r="B4786" s="258"/>
      <c r="C4786" s="247"/>
    </row>
    <row r="4787">
      <c r="A4787" s="247"/>
      <c r="B4787" s="258"/>
      <c r="C4787" s="247"/>
    </row>
    <row r="4788">
      <c r="A4788" s="247"/>
      <c r="B4788" s="258"/>
      <c r="C4788" s="247"/>
    </row>
    <row r="4789">
      <c r="A4789" s="247"/>
      <c r="B4789" s="258"/>
      <c r="C4789" s="247"/>
    </row>
    <row r="4790">
      <c r="A4790" s="247"/>
      <c r="B4790" s="258"/>
      <c r="C4790" s="247"/>
    </row>
    <row r="4791">
      <c r="A4791" s="247"/>
      <c r="B4791" s="258"/>
      <c r="C4791" s="247"/>
    </row>
    <row r="4792">
      <c r="A4792" s="247"/>
      <c r="B4792" s="258"/>
      <c r="C4792" s="247"/>
    </row>
    <row r="4793">
      <c r="A4793" s="247"/>
      <c r="B4793" s="258"/>
      <c r="C4793" s="247"/>
    </row>
    <row r="4794">
      <c r="A4794" s="247"/>
      <c r="B4794" s="258"/>
      <c r="C4794" s="247"/>
    </row>
    <row r="4795">
      <c r="A4795" s="247"/>
      <c r="B4795" s="258"/>
      <c r="C4795" s="247"/>
    </row>
    <row r="4796">
      <c r="A4796" s="247"/>
      <c r="B4796" s="258"/>
      <c r="C4796" s="247"/>
    </row>
    <row r="4797">
      <c r="A4797" s="247"/>
      <c r="B4797" s="258"/>
      <c r="C4797" s="247"/>
    </row>
    <row r="4798">
      <c r="A4798" s="247"/>
      <c r="B4798" s="258"/>
      <c r="C4798" s="247"/>
    </row>
    <row r="4799">
      <c r="A4799" s="247"/>
      <c r="B4799" s="258"/>
      <c r="C4799" s="247"/>
    </row>
    <row r="4800">
      <c r="A4800" s="247"/>
      <c r="B4800" s="258"/>
      <c r="C4800" s="247"/>
    </row>
    <row r="4801">
      <c r="A4801" s="247"/>
      <c r="B4801" s="258"/>
      <c r="C4801" s="247"/>
    </row>
    <row r="4802">
      <c r="A4802" s="247"/>
      <c r="B4802" s="258"/>
      <c r="C4802" s="247"/>
    </row>
    <row r="4803">
      <c r="A4803" s="247"/>
      <c r="B4803" s="258"/>
      <c r="C4803" s="247"/>
    </row>
    <row r="4804">
      <c r="A4804" s="247"/>
      <c r="B4804" s="258"/>
      <c r="C4804" s="247"/>
    </row>
    <row r="4805">
      <c r="A4805" s="247"/>
      <c r="B4805" s="258"/>
      <c r="C4805" s="247"/>
    </row>
    <row r="4806">
      <c r="A4806" s="247"/>
      <c r="B4806" s="258"/>
      <c r="C4806" s="247"/>
    </row>
    <row r="4807">
      <c r="A4807" s="247"/>
      <c r="B4807" s="258"/>
      <c r="C4807" s="247"/>
    </row>
    <row r="4808">
      <c r="A4808" s="247"/>
      <c r="B4808" s="258"/>
      <c r="C4808" s="247"/>
    </row>
    <row r="4809">
      <c r="A4809" s="247"/>
      <c r="B4809" s="258"/>
      <c r="C4809" s="247"/>
    </row>
    <row r="4810">
      <c r="A4810" s="247"/>
      <c r="B4810" s="258"/>
      <c r="C4810" s="247"/>
    </row>
    <row r="4811">
      <c r="A4811" s="247"/>
      <c r="B4811" s="258"/>
      <c r="C4811" s="247"/>
    </row>
    <row r="4812">
      <c r="A4812" s="247"/>
      <c r="B4812" s="258"/>
      <c r="C4812" s="247"/>
    </row>
    <row r="4813">
      <c r="A4813" s="247"/>
      <c r="B4813" s="258"/>
      <c r="C4813" s="247"/>
    </row>
    <row r="4814">
      <c r="A4814" s="247"/>
      <c r="B4814" s="258"/>
      <c r="C4814" s="247"/>
    </row>
    <row r="4815">
      <c r="A4815" s="247"/>
      <c r="B4815" s="258"/>
      <c r="C4815" s="247"/>
    </row>
    <row r="4816">
      <c r="A4816" s="247"/>
      <c r="B4816" s="258"/>
      <c r="C4816" s="247"/>
    </row>
    <row r="4817">
      <c r="A4817" s="247"/>
      <c r="B4817" s="258"/>
      <c r="C4817" s="247"/>
    </row>
    <row r="4818">
      <c r="A4818" s="247"/>
      <c r="B4818" s="258"/>
      <c r="C4818" s="247"/>
    </row>
    <row r="4819">
      <c r="A4819" s="247"/>
      <c r="B4819" s="258"/>
      <c r="C4819" s="247"/>
    </row>
    <row r="4820">
      <c r="A4820" s="247"/>
      <c r="B4820" s="258"/>
      <c r="C4820" s="247"/>
    </row>
    <row r="4821">
      <c r="A4821" s="247"/>
      <c r="B4821" s="258"/>
      <c r="C4821" s="247"/>
    </row>
    <row r="4822">
      <c r="A4822" s="247"/>
      <c r="B4822" s="258"/>
      <c r="C4822" s="247"/>
    </row>
    <row r="4823">
      <c r="A4823" s="247"/>
      <c r="B4823" s="258"/>
      <c r="C4823" s="247"/>
    </row>
    <row r="4824">
      <c r="A4824" s="247"/>
      <c r="B4824" s="258"/>
      <c r="C4824" s="247"/>
    </row>
    <row r="4825">
      <c r="A4825" s="247"/>
      <c r="B4825" s="258"/>
      <c r="C4825" s="247"/>
    </row>
    <row r="4826">
      <c r="A4826" s="247"/>
      <c r="B4826" s="258"/>
      <c r="C4826" s="247"/>
    </row>
    <row r="4827">
      <c r="A4827" s="247"/>
      <c r="B4827" s="258"/>
      <c r="C4827" s="247"/>
    </row>
    <row r="4828">
      <c r="A4828" s="247"/>
      <c r="B4828" s="258"/>
      <c r="C4828" s="247"/>
    </row>
    <row r="4829">
      <c r="A4829" s="247"/>
      <c r="B4829" s="258"/>
      <c r="C4829" s="247"/>
    </row>
    <row r="4830">
      <c r="A4830" s="247"/>
      <c r="B4830" s="258"/>
      <c r="C4830" s="247"/>
    </row>
    <row r="4831">
      <c r="A4831" s="247"/>
      <c r="B4831" s="258"/>
      <c r="C4831" s="247"/>
    </row>
    <row r="4832">
      <c r="A4832" s="247"/>
      <c r="B4832" s="258"/>
      <c r="C4832" s="247"/>
    </row>
    <row r="4833">
      <c r="A4833" s="247"/>
      <c r="B4833" s="258"/>
      <c r="C4833" s="247"/>
    </row>
    <row r="4834">
      <c r="A4834" s="247"/>
      <c r="B4834" s="258"/>
      <c r="C4834" s="247"/>
    </row>
    <row r="4835">
      <c r="A4835" s="247"/>
      <c r="B4835" s="258"/>
      <c r="C4835" s="247"/>
    </row>
    <row r="4836">
      <c r="A4836" s="247"/>
      <c r="B4836" s="258"/>
      <c r="C4836" s="247"/>
    </row>
    <row r="4837">
      <c r="A4837" s="247"/>
      <c r="B4837" s="258"/>
      <c r="C4837" s="247"/>
    </row>
    <row r="4838">
      <c r="A4838" s="247"/>
      <c r="B4838" s="258"/>
      <c r="C4838" s="247"/>
    </row>
    <row r="4839">
      <c r="A4839" s="247"/>
      <c r="B4839" s="258"/>
      <c r="C4839" s="247"/>
    </row>
    <row r="4840">
      <c r="A4840" s="247"/>
      <c r="B4840" s="258"/>
      <c r="C4840" s="247"/>
    </row>
    <row r="4841">
      <c r="A4841" s="247"/>
      <c r="B4841" s="258"/>
      <c r="C4841" s="247"/>
    </row>
    <row r="4842">
      <c r="A4842" s="247"/>
      <c r="B4842" s="258"/>
      <c r="C4842" s="247"/>
    </row>
    <row r="4843">
      <c r="A4843" s="247"/>
      <c r="B4843" s="258"/>
      <c r="C4843" s="247"/>
    </row>
    <row r="4844">
      <c r="A4844" s="247"/>
      <c r="B4844" s="258"/>
      <c r="C4844" s="247"/>
    </row>
    <row r="4845">
      <c r="A4845" s="247"/>
      <c r="B4845" s="258"/>
      <c r="C4845" s="247"/>
    </row>
    <row r="4846">
      <c r="A4846" s="247"/>
      <c r="B4846" s="258"/>
      <c r="C4846" s="247"/>
    </row>
    <row r="4847">
      <c r="A4847" s="247"/>
      <c r="B4847" s="258"/>
      <c r="C4847" s="247"/>
    </row>
    <row r="4848">
      <c r="A4848" s="247"/>
      <c r="B4848" s="258"/>
      <c r="C4848" s="247"/>
    </row>
    <row r="4849">
      <c r="A4849" s="247"/>
      <c r="B4849" s="258"/>
      <c r="C4849" s="247"/>
    </row>
    <row r="4850">
      <c r="A4850" s="247"/>
      <c r="B4850" s="258"/>
      <c r="C4850" s="247"/>
    </row>
    <row r="4851">
      <c r="A4851" s="247"/>
      <c r="B4851" s="258"/>
      <c r="C4851" s="247"/>
    </row>
    <row r="4852">
      <c r="A4852" s="247"/>
      <c r="B4852" s="258"/>
      <c r="C4852" s="247"/>
    </row>
    <row r="4853">
      <c r="A4853" s="247"/>
      <c r="B4853" s="258"/>
      <c r="C4853" s="247"/>
    </row>
    <row r="4854">
      <c r="A4854" s="247"/>
      <c r="B4854" s="258"/>
      <c r="C4854" s="247"/>
    </row>
    <row r="4855">
      <c r="A4855" s="247"/>
      <c r="B4855" s="258"/>
      <c r="C4855" s="247"/>
    </row>
    <row r="4856">
      <c r="A4856" s="247"/>
      <c r="B4856" s="258"/>
      <c r="C4856" s="247"/>
    </row>
    <row r="4857">
      <c r="A4857" s="247"/>
      <c r="B4857" s="258"/>
      <c r="C4857" s="247"/>
    </row>
    <row r="4858">
      <c r="A4858" s="247"/>
      <c r="B4858" s="258"/>
      <c r="C4858" s="247"/>
    </row>
    <row r="4859">
      <c r="A4859" s="247"/>
      <c r="B4859" s="258"/>
      <c r="C4859" s="247"/>
    </row>
    <row r="4860">
      <c r="A4860" s="247"/>
      <c r="B4860" s="258"/>
      <c r="C4860" s="247"/>
    </row>
    <row r="4861">
      <c r="A4861" s="247"/>
      <c r="B4861" s="258"/>
      <c r="C4861" s="247"/>
    </row>
    <row r="4862">
      <c r="A4862" s="247"/>
      <c r="B4862" s="258"/>
      <c r="C4862" s="247"/>
    </row>
    <row r="4863">
      <c r="A4863" s="247"/>
      <c r="B4863" s="258"/>
      <c r="C4863" s="247"/>
    </row>
    <row r="4864">
      <c r="A4864" s="247"/>
      <c r="B4864" s="258"/>
      <c r="C4864" s="247"/>
    </row>
    <row r="4865">
      <c r="A4865" s="247"/>
      <c r="B4865" s="258"/>
      <c r="C4865" s="247"/>
    </row>
    <row r="4866">
      <c r="A4866" s="247"/>
      <c r="B4866" s="258"/>
      <c r="C4866" s="247"/>
    </row>
    <row r="4867">
      <c r="A4867" s="247"/>
      <c r="B4867" s="258"/>
      <c r="C4867" s="247"/>
    </row>
    <row r="4868">
      <c r="A4868" s="247"/>
      <c r="B4868" s="258"/>
      <c r="C4868" s="247"/>
    </row>
    <row r="4869">
      <c r="A4869" s="247"/>
      <c r="B4869" s="258"/>
      <c r="C4869" s="247"/>
    </row>
    <row r="4870">
      <c r="A4870" s="247"/>
      <c r="B4870" s="258"/>
      <c r="C4870" s="247"/>
    </row>
    <row r="4871">
      <c r="A4871" s="247"/>
      <c r="B4871" s="258"/>
      <c r="C4871" s="247"/>
    </row>
    <row r="4872">
      <c r="A4872" s="247"/>
      <c r="B4872" s="258"/>
      <c r="C4872" s="247"/>
    </row>
    <row r="4873">
      <c r="A4873" s="247"/>
      <c r="B4873" s="258"/>
      <c r="C4873" s="247"/>
    </row>
    <row r="4874">
      <c r="A4874" s="247"/>
      <c r="B4874" s="258"/>
      <c r="C4874" s="247"/>
    </row>
    <row r="4875">
      <c r="A4875" s="247"/>
      <c r="B4875" s="258"/>
      <c r="C4875" s="247"/>
    </row>
    <row r="4876">
      <c r="A4876" s="247"/>
      <c r="B4876" s="258"/>
      <c r="C4876" s="247"/>
    </row>
    <row r="4877">
      <c r="A4877" s="247"/>
      <c r="B4877" s="258"/>
      <c r="C4877" s="247"/>
    </row>
    <row r="4878">
      <c r="A4878" s="247"/>
      <c r="B4878" s="258"/>
      <c r="C4878" s="247"/>
    </row>
    <row r="4879">
      <c r="A4879" s="247"/>
      <c r="B4879" s="258"/>
      <c r="C4879" s="247"/>
    </row>
    <row r="4880">
      <c r="A4880" s="247"/>
      <c r="B4880" s="258"/>
      <c r="C4880" s="247"/>
    </row>
    <row r="4881">
      <c r="A4881" s="247"/>
      <c r="B4881" s="258"/>
      <c r="C4881" s="247"/>
    </row>
    <row r="4882">
      <c r="A4882" s="247"/>
      <c r="B4882" s="258"/>
      <c r="C4882" s="247"/>
    </row>
    <row r="4883">
      <c r="A4883" s="247"/>
      <c r="B4883" s="258"/>
      <c r="C4883" s="247"/>
    </row>
    <row r="4884">
      <c r="A4884" s="247"/>
      <c r="B4884" s="258"/>
      <c r="C4884" s="247"/>
    </row>
    <row r="4885">
      <c r="A4885" s="247"/>
      <c r="B4885" s="258"/>
      <c r="C4885" s="247"/>
    </row>
    <row r="4886">
      <c r="A4886" s="247"/>
      <c r="B4886" s="258"/>
      <c r="C4886" s="247"/>
    </row>
    <row r="4887">
      <c r="A4887" s="247"/>
      <c r="B4887" s="258"/>
      <c r="C4887" s="247"/>
    </row>
    <row r="4888">
      <c r="A4888" s="247"/>
      <c r="B4888" s="258"/>
      <c r="C4888" s="247"/>
    </row>
    <row r="4889">
      <c r="A4889" s="247"/>
      <c r="B4889" s="258"/>
      <c r="C4889" s="247"/>
    </row>
    <row r="4890">
      <c r="A4890" s="247"/>
      <c r="B4890" s="258"/>
      <c r="C4890" s="247"/>
    </row>
    <row r="4891">
      <c r="A4891" s="247"/>
      <c r="B4891" s="258"/>
      <c r="C4891" s="247"/>
    </row>
    <row r="4892">
      <c r="A4892" s="247"/>
      <c r="B4892" s="258"/>
      <c r="C4892" s="247"/>
    </row>
    <row r="4893">
      <c r="A4893" s="247"/>
      <c r="B4893" s="258"/>
      <c r="C4893" s="247"/>
    </row>
    <row r="4894">
      <c r="A4894" s="247"/>
      <c r="B4894" s="258"/>
      <c r="C4894" s="247"/>
    </row>
    <row r="4895">
      <c r="A4895" s="247"/>
      <c r="B4895" s="258"/>
      <c r="C4895" s="247"/>
    </row>
    <row r="4896">
      <c r="A4896" s="247"/>
      <c r="B4896" s="258"/>
      <c r="C4896" s="247"/>
    </row>
    <row r="4897">
      <c r="A4897" s="247"/>
      <c r="B4897" s="258"/>
      <c r="C4897" s="247"/>
    </row>
    <row r="4898">
      <c r="A4898" s="247"/>
      <c r="B4898" s="258"/>
      <c r="C4898" s="247"/>
    </row>
    <row r="4899">
      <c r="A4899" s="247"/>
      <c r="B4899" s="258"/>
      <c r="C4899" s="247"/>
    </row>
    <row r="4900">
      <c r="A4900" s="247"/>
      <c r="B4900" s="258"/>
      <c r="C4900" s="247"/>
    </row>
    <row r="4901">
      <c r="A4901" s="247"/>
      <c r="B4901" s="258"/>
      <c r="C4901" s="247"/>
    </row>
    <row r="4902">
      <c r="A4902" s="247"/>
      <c r="B4902" s="258"/>
      <c r="C4902" s="247"/>
    </row>
    <row r="4903">
      <c r="A4903" s="247"/>
      <c r="B4903" s="258"/>
      <c r="C4903" s="247"/>
    </row>
    <row r="4904">
      <c r="A4904" s="247"/>
      <c r="B4904" s="258"/>
      <c r="C4904" s="247"/>
    </row>
    <row r="4905">
      <c r="A4905" s="247"/>
      <c r="B4905" s="258"/>
      <c r="C4905" s="247"/>
    </row>
    <row r="4906">
      <c r="A4906" s="247"/>
      <c r="B4906" s="258"/>
      <c r="C4906" s="247"/>
    </row>
    <row r="4907">
      <c r="A4907" s="247"/>
      <c r="B4907" s="258"/>
      <c r="C4907" s="247"/>
    </row>
    <row r="4908">
      <c r="A4908" s="247"/>
      <c r="B4908" s="258"/>
      <c r="C4908" s="247"/>
    </row>
    <row r="4909">
      <c r="A4909" s="247"/>
      <c r="B4909" s="258"/>
      <c r="C4909" s="247"/>
    </row>
    <row r="4910">
      <c r="A4910" s="247"/>
      <c r="B4910" s="258"/>
      <c r="C4910" s="247"/>
    </row>
    <row r="4911">
      <c r="A4911" s="247"/>
      <c r="B4911" s="258"/>
      <c r="C4911" s="247"/>
    </row>
    <row r="4912">
      <c r="A4912" s="247"/>
      <c r="B4912" s="258"/>
      <c r="C4912" s="247"/>
    </row>
    <row r="4913">
      <c r="A4913" s="247"/>
      <c r="B4913" s="258"/>
      <c r="C4913" s="247"/>
    </row>
    <row r="4914">
      <c r="A4914" s="247"/>
      <c r="B4914" s="258"/>
      <c r="C4914" s="247"/>
    </row>
    <row r="4915">
      <c r="A4915" s="247"/>
      <c r="B4915" s="258"/>
      <c r="C4915" s="247"/>
    </row>
    <row r="4916">
      <c r="A4916" s="247"/>
      <c r="B4916" s="258"/>
      <c r="C4916" s="247"/>
    </row>
    <row r="4917">
      <c r="A4917" s="247"/>
      <c r="B4917" s="258"/>
      <c r="C4917" s="247"/>
    </row>
    <row r="4918">
      <c r="A4918" s="247"/>
      <c r="B4918" s="258"/>
      <c r="C4918" s="247"/>
    </row>
    <row r="4919">
      <c r="A4919" s="247"/>
      <c r="B4919" s="258"/>
      <c r="C4919" s="247"/>
    </row>
    <row r="4920">
      <c r="A4920" s="247"/>
      <c r="B4920" s="258"/>
      <c r="C4920" s="247"/>
    </row>
    <row r="4921">
      <c r="A4921" s="247"/>
      <c r="B4921" s="258"/>
      <c r="C4921" s="247"/>
    </row>
    <row r="4922">
      <c r="A4922" s="247"/>
      <c r="B4922" s="258"/>
      <c r="C4922" s="247"/>
    </row>
    <row r="4923">
      <c r="A4923" s="247"/>
      <c r="B4923" s="258"/>
      <c r="C4923" s="247"/>
    </row>
    <row r="4924">
      <c r="A4924" s="247"/>
      <c r="B4924" s="258"/>
      <c r="C4924" s="247"/>
    </row>
    <row r="4925">
      <c r="A4925" s="247"/>
      <c r="B4925" s="258"/>
      <c r="C4925" s="247"/>
    </row>
    <row r="4926">
      <c r="A4926" s="247"/>
      <c r="B4926" s="258"/>
      <c r="C4926" s="247"/>
    </row>
    <row r="4927">
      <c r="A4927" s="247"/>
      <c r="B4927" s="258"/>
      <c r="C4927" s="247"/>
    </row>
    <row r="4928">
      <c r="A4928" s="247"/>
      <c r="B4928" s="258"/>
      <c r="C4928" s="247"/>
    </row>
    <row r="4929">
      <c r="A4929" s="247"/>
      <c r="B4929" s="258"/>
      <c r="C4929" s="247"/>
    </row>
    <row r="4930">
      <c r="A4930" s="247"/>
      <c r="B4930" s="258"/>
      <c r="C4930" s="247"/>
    </row>
    <row r="4931">
      <c r="A4931" s="247"/>
      <c r="B4931" s="258"/>
      <c r="C4931" s="247"/>
    </row>
    <row r="4932">
      <c r="A4932" s="247"/>
      <c r="B4932" s="258"/>
      <c r="C4932" s="247"/>
    </row>
    <row r="4933">
      <c r="A4933" s="247"/>
      <c r="B4933" s="258"/>
      <c r="C4933" s="247"/>
    </row>
    <row r="4934">
      <c r="A4934" s="247"/>
      <c r="B4934" s="258"/>
      <c r="C4934" s="247"/>
    </row>
    <row r="4935">
      <c r="A4935" s="247"/>
      <c r="B4935" s="258"/>
      <c r="C4935" s="247"/>
    </row>
    <row r="4936">
      <c r="A4936" s="247"/>
      <c r="B4936" s="258"/>
      <c r="C4936" s="247"/>
    </row>
    <row r="4937">
      <c r="A4937" s="247"/>
      <c r="B4937" s="258"/>
      <c r="C4937" s="247"/>
    </row>
    <row r="4938">
      <c r="A4938" s="247"/>
      <c r="B4938" s="258"/>
      <c r="C4938" s="247"/>
    </row>
    <row r="4939">
      <c r="A4939" s="247"/>
      <c r="B4939" s="258"/>
      <c r="C4939" s="247"/>
    </row>
    <row r="4940">
      <c r="A4940" s="247"/>
      <c r="B4940" s="258"/>
      <c r="C4940" s="247"/>
    </row>
    <row r="4941">
      <c r="A4941" s="247"/>
      <c r="B4941" s="258"/>
      <c r="C4941" s="247"/>
    </row>
    <row r="4942">
      <c r="A4942" s="247"/>
      <c r="B4942" s="258"/>
      <c r="C4942" s="247"/>
    </row>
    <row r="4943">
      <c r="A4943" s="247"/>
      <c r="B4943" s="258"/>
      <c r="C4943" s="247"/>
    </row>
    <row r="4944">
      <c r="A4944" s="247"/>
      <c r="B4944" s="258"/>
      <c r="C4944" s="247"/>
    </row>
    <row r="4945">
      <c r="A4945" s="247"/>
      <c r="B4945" s="258"/>
      <c r="C4945" s="247"/>
    </row>
    <row r="4946">
      <c r="A4946" s="247"/>
      <c r="B4946" s="258"/>
      <c r="C4946" s="247"/>
    </row>
    <row r="4947">
      <c r="A4947" s="247"/>
      <c r="B4947" s="258"/>
      <c r="C4947" s="247"/>
    </row>
    <row r="4948">
      <c r="A4948" s="247"/>
      <c r="B4948" s="258"/>
      <c r="C4948" s="247"/>
    </row>
    <row r="4949">
      <c r="A4949" s="247"/>
      <c r="B4949" s="258"/>
      <c r="C4949" s="247"/>
    </row>
    <row r="4950">
      <c r="A4950" s="247"/>
      <c r="B4950" s="258"/>
      <c r="C4950" s="247"/>
    </row>
    <row r="4951">
      <c r="A4951" s="247"/>
      <c r="B4951" s="258"/>
      <c r="C4951" s="247"/>
    </row>
    <row r="4952">
      <c r="A4952" s="247"/>
      <c r="B4952" s="258"/>
      <c r="C4952" s="247"/>
    </row>
    <row r="4953">
      <c r="A4953" s="247"/>
      <c r="B4953" s="258"/>
      <c r="C4953" s="247"/>
    </row>
    <row r="4954">
      <c r="A4954" s="247"/>
      <c r="B4954" s="258"/>
      <c r="C4954" s="247"/>
    </row>
    <row r="4955">
      <c r="A4955" s="247"/>
      <c r="B4955" s="258"/>
      <c r="C4955" s="247"/>
    </row>
    <row r="4956">
      <c r="A4956" s="247"/>
      <c r="B4956" s="258"/>
      <c r="C4956" s="247"/>
    </row>
    <row r="4957">
      <c r="A4957" s="247"/>
      <c r="B4957" s="258"/>
      <c r="C4957" s="247"/>
    </row>
    <row r="4958">
      <c r="A4958" s="247"/>
      <c r="B4958" s="258"/>
      <c r="C4958" s="247"/>
    </row>
    <row r="4959">
      <c r="A4959" s="247"/>
      <c r="B4959" s="258"/>
      <c r="C4959" s="247"/>
    </row>
    <row r="4960">
      <c r="A4960" s="247"/>
      <c r="B4960" s="258"/>
      <c r="C4960" s="247"/>
    </row>
    <row r="4961">
      <c r="A4961" s="247"/>
      <c r="B4961" s="258"/>
      <c r="C4961" s="247"/>
    </row>
    <row r="4962">
      <c r="A4962" s="247"/>
      <c r="B4962" s="258"/>
      <c r="C4962" s="247"/>
    </row>
    <row r="4963">
      <c r="A4963" s="247"/>
      <c r="B4963" s="258"/>
      <c r="C4963" s="247"/>
    </row>
    <row r="4964">
      <c r="A4964" s="247"/>
      <c r="B4964" s="258"/>
      <c r="C4964" s="247"/>
    </row>
    <row r="4965">
      <c r="A4965" s="247"/>
      <c r="B4965" s="258"/>
      <c r="C4965" s="247"/>
    </row>
    <row r="4966">
      <c r="A4966" s="247"/>
      <c r="B4966" s="258"/>
      <c r="C4966" s="247"/>
    </row>
    <row r="4967">
      <c r="A4967" s="247"/>
      <c r="B4967" s="258"/>
      <c r="C4967" s="247"/>
    </row>
    <row r="4968">
      <c r="A4968" s="247"/>
      <c r="B4968" s="258"/>
      <c r="C4968" s="247"/>
    </row>
    <row r="4969">
      <c r="A4969" s="247"/>
      <c r="B4969" s="258"/>
      <c r="C4969" s="247"/>
    </row>
    <row r="4970">
      <c r="A4970" s="247"/>
      <c r="B4970" s="258"/>
      <c r="C4970" s="247"/>
    </row>
    <row r="4971">
      <c r="A4971" s="247"/>
      <c r="B4971" s="258"/>
      <c r="C4971" s="247"/>
    </row>
    <row r="4972">
      <c r="A4972" s="247"/>
      <c r="B4972" s="258"/>
      <c r="C4972" s="247"/>
    </row>
    <row r="4973">
      <c r="A4973" s="247"/>
      <c r="B4973" s="258"/>
      <c r="C4973" s="247"/>
    </row>
    <row r="4974">
      <c r="A4974" s="247"/>
      <c r="B4974" s="258"/>
      <c r="C4974" s="247"/>
    </row>
    <row r="4975">
      <c r="A4975" s="247"/>
      <c r="B4975" s="258"/>
      <c r="C4975" s="247"/>
    </row>
    <row r="4976">
      <c r="A4976" s="247"/>
      <c r="B4976" s="258"/>
      <c r="C4976" s="247"/>
    </row>
    <row r="4977">
      <c r="A4977" s="247"/>
      <c r="B4977" s="258"/>
      <c r="C4977" s="247"/>
    </row>
    <row r="4978">
      <c r="A4978" s="247"/>
      <c r="B4978" s="258"/>
      <c r="C4978" s="247"/>
    </row>
    <row r="4979">
      <c r="A4979" s="247"/>
      <c r="B4979" s="258"/>
      <c r="C4979" s="247"/>
    </row>
    <row r="4980">
      <c r="A4980" s="247"/>
      <c r="B4980" s="258"/>
      <c r="C4980" s="247"/>
    </row>
    <row r="4981">
      <c r="A4981" s="247"/>
      <c r="B4981" s="258"/>
      <c r="C4981" s="247"/>
    </row>
    <row r="4982">
      <c r="A4982" s="247"/>
      <c r="B4982" s="258"/>
      <c r="C4982" s="247"/>
    </row>
    <row r="4983">
      <c r="A4983" s="247"/>
      <c r="B4983" s="258"/>
      <c r="C4983" s="247"/>
    </row>
    <row r="4984">
      <c r="A4984" s="247"/>
      <c r="B4984" s="258"/>
      <c r="C4984" s="247"/>
    </row>
    <row r="4985">
      <c r="A4985" s="247"/>
      <c r="B4985" s="258"/>
      <c r="C4985" s="247"/>
    </row>
    <row r="4986">
      <c r="A4986" s="247"/>
      <c r="B4986" s="258"/>
      <c r="C4986" s="247"/>
    </row>
    <row r="4987">
      <c r="A4987" s="247"/>
      <c r="B4987" s="258"/>
      <c r="C4987" s="247"/>
    </row>
    <row r="4988">
      <c r="A4988" s="247"/>
      <c r="B4988" s="258"/>
      <c r="C4988" s="247"/>
    </row>
    <row r="4989">
      <c r="A4989" s="247"/>
      <c r="B4989" s="258"/>
      <c r="C4989" s="247"/>
    </row>
    <row r="4990">
      <c r="A4990" s="247"/>
      <c r="B4990" s="258"/>
      <c r="C4990" s="247"/>
    </row>
    <row r="4991">
      <c r="A4991" s="247"/>
      <c r="B4991" s="258"/>
      <c r="C4991" s="247"/>
    </row>
    <row r="4992">
      <c r="A4992" s="247"/>
      <c r="B4992" s="258"/>
      <c r="C4992" s="247"/>
    </row>
    <row r="4993">
      <c r="A4993" s="247"/>
      <c r="B4993" s="258"/>
      <c r="C4993" s="247"/>
    </row>
    <row r="4994">
      <c r="A4994" s="247"/>
      <c r="B4994" s="258"/>
      <c r="C4994" s="247"/>
    </row>
    <row r="4995">
      <c r="A4995" s="247"/>
      <c r="B4995" s="258"/>
      <c r="C4995" s="247"/>
    </row>
    <row r="4996">
      <c r="A4996" s="247"/>
      <c r="B4996" s="258"/>
      <c r="C4996" s="247"/>
    </row>
    <row r="4997">
      <c r="A4997" s="247"/>
      <c r="B4997" s="258"/>
      <c r="C4997" s="247"/>
    </row>
    <row r="4998">
      <c r="A4998" s="247"/>
      <c r="B4998" s="258"/>
      <c r="C4998" s="247"/>
    </row>
    <row r="4999">
      <c r="A4999" s="247"/>
      <c r="B4999" s="258"/>
      <c r="C4999" s="247"/>
    </row>
    <row r="5000">
      <c r="A5000" s="247"/>
      <c r="B5000" s="258"/>
      <c r="C5000" s="247"/>
    </row>
    <row r="5001">
      <c r="A5001" s="247"/>
      <c r="B5001" s="258"/>
      <c r="C5001" s="247"/>
    </row>
    <row r="5002">
      <c r="A5002" s="247"/>
      <c r="B5002" s="258"/>
      <c r="C5002" s="247"/>
    </row>
    <row r="5003">
      <c r="A5003" s="247"/>
      <c r="B5003" s="258"/>
      <c r="C5003" s="247"/>
    </row>
    <row r="5004">
      <c r="A5004" s="247"/>
      <c r="B5004" s="258"/>
      <c r="C5004" s="247"/>
    </row>
    <row r="5005">
      <c r="A5005" s="247"/>
      <c r="B5005" s="258"/>
      <c r="C5005" s="247"/>
    </row>
    <row r="5006">
      <c r="A5006" s="247"/>
      <c r="B5006" s="258"/>
      <c r="C5006" s="247"/>
    </row>
    <row r="5007">
      <c r="A5007" s="247"/>
      <c r="B5007" s="258"/>
      <c r="C5007" s="247"/>
    </row>
    <row r="5008">
      <c r="A5008" s="247"/>
      <c r="B5008" s="258"/>
      <c r="C5008" s="247"/>
    </row>
    <row r="5009">
      <c r="A5009" s="247"/>
      <c r="B5009" s="258"/>
      <c r="C5009" s="247"/>
    </row>
    <row r="5010">
      <c r="A5010" s="247"/>
      <c r="B5010" s="258"/>
      <c r="C5010" s="247"/>
    </row>
    <row r="5011">
      <c r="A5011" s="247"/>
      <c r="B5011" s="258"/>
      <c r="C5011" s="247"/>
    </row>
    <row r="5012">
      <c r="A5012" s="247"/>
      <c r="B5012" s="258"/>
      <c r="C5012" s="247"/>
    </row>
    <row r="5013">
      <c r="A5013" s="247"/>
      <c r="B5013" s="258"/>
      <c r="C5013" s="247"/>
    </row>
    <row r="5014">
      <c r="A5014" s="247"/>
      <c r="B5014" s="258"/>
      <c r="C5014" s="247"/>
    </row>
    <row r="5015">
      <c r="A5015" s="247"/>
      <c r="B5015" s="258"/>
      <c r="C5015" s="247"/>
    </row>
    <row r="5016">
      <c r="A5016" s="247"/>
      <c r="B5016" s="258"/>
      <c r="C5016" s="247"/>
    </row>
    <row r="5017">
      <c r="A5017" s="247"/>
      <c r="B5017" s="258"/>
      <c r="C5017" s="247"/>
    </row>
    <row r="5018">
      <c r="A5018" s="247"/>
      <c r="B5018" s="258"/>
      <c r="C5018" s="247"/>
    </row>
    <row r="5019">
      <c r="A5019" s="247"/>
      <c r="B5019" s="258"/>
      <c r="C5019" s="247"/>
    </row>
    <row r="5020">
      <c r="A5020" s="247"/>
      <c r="B5020" s="258"/>
      <c r="C5020" s="247"/>
    </row>
    <row r="5021">
      <c r="A5021" s="247"/>
      <c r="B5021" s="258"/>
      <c r="C5021" s="247"/>
    </row>
    <row r="5022">
      <c r="A5022" s="247"/>
      <c r="B5022" s="258"/>
      <c r="C5022" s="247"/>
    </row>
    <row r="5023">
      <c r="A5023" s="247"/>
      <c r="B5023" s="258"/>
      <c r="C5023" s="247"/>
    </row>
    <row r="5024">
      <c r="A5024" s="247"/>
      <c r="B5024" s="258"/>
      <c r="C5024" s="247"/>
    </row>
    <row r="5025">
      <c r="A5025" s="247"/>
      <c r="B5025" s="258"/>
      <c r="C5025" s="247"/>
    </row>
    <row r="5026">
      <c r="A5026" s="247"/>
      <c r="B5026" s="258"/>
      <c r="C5026" s="247"/>
    </row>
    <row r="5027">
      <c r="A5027" s="247"/>
      <c r="B5027" s="258"/>
      <c r="C5027" s="247"/>
    </row>
    <row r="5028">
      <c r="A5028" s="247"/>
      <c r="B5028" s="258"/>
      <c r="C5028" s="247"/>
    </row>
    <row r="5029">
      <c r="A5029" s="247"/>
      <c r="B5029" s="258"/>
      <c r="C5029" s="247"/>
    </row>
    <row r="5030">
      <c r="A5030" s="247"/>
      <c r="B5030" s="258"/>
      <c r="C5030" s="247"/>
    </row>
    <row r="5031">
      <c r="A5031" s="247"/>
      <c r="B5031" s="258"/>
      <c r="C5031" s="247"/>
    </row>
    <row r="5032">
      <c r="A5032" s="247"/>
      <c r="B5032" s="258"/>
      <c r="C5032" s="247"/>
    </row>
    <row r="5033">
      <c r="A5033" s="247"/>
      <c r="B5033" s="258"/>
      <c r="C5033" s="247"/>
    </row>
    <row r="5034">
      <c r="A5034" s="247"/>
      <c r="B5034" s="258"/>
      <c r="C5034" s="247"/>
    </row>
    <row r="5035">
      <c r="A5035" s="247"/>
      <c r="B5035" s="258"/>
      <c r="C5035" s="247"/>
    </row>
    <row r="5036">
      <c r="A5036" s="247"/>
      <c r="B5036" s="258"/>
      <c r="C5036" s="247"/>
    </row>
    <row r="5037">
      <c r="A5037" s="247"/>
      <c r="B5037" s="258"/>
      <c r="C5037" s="247"/>
    </row>
    <row r="5038">
      <c r="A5038" s="247"/>
      <c r="B5038" s="258"/>
      <c r="C5038" s="247"/>
    </row>
    <row r="5039">
      <c r="A5039" s="247"/>
      <c r="B5039" s="258"/>
      <c r="C5039" s="247"/>
    </row>
    <row r="5040">
      <c r="A5040" s="247"/>
      <c r="B5040" s="258"/>
      <c r="C5040" s="247"/>
    </row>
    <row r="5041">
      <c r="A5041" s="247"/>
      <c r="B5041" s="258"/>
      <c r="C5041" s="247"/>
    </row>
    <row r="5042">
      <c r="A5042" s="247"/>
      <c r="B5042" s="258"/>
      <c r="C5042" s="247"/>
    </row>
    <row r="5043">
      <c r="A5043" s="247"/>
      <c r="B5043" s="258"/>
      <c r="C5043" s="247"/>
    </row>
    <row r="5044">
      <c r="A5044" s="247"/>
      <c r="B5044" s="258"/>
      <c r="C5044" s="247"/>
    </row>
    <row r="5045">
      <c r="A5045" s="247"/>
      <c r="B5045" s="258"/>
      <c r="C5045" s="247"/>
    </row>
    <row r="5046">
      <c r="A5046" s="247"/>
      <c r="B5046" s="258"/>
      <c r="C5046" s="247"/>
    </row>
    <row r="5047">
      <c r="A5047" s="247"/>
      <c r="B5047" s="258"/>
      <c r="C5047" s="247"/>
    </row>
    <row r="5048">
      <c r="A5048" s="247"/>
      <c r="B5048" s="258"/>
      <c r="C5048" s="247"/>
    </row>
    <row r="5049">
      <c r="A5049" s="247"/>
      <c r="B5049" s="258"/>
      <c r="C5049" s="247"/>
    </row>
    <row r="5050">
      <c r="A5050" s="247"/>
      <c r="B5050" s="258"/>
      <c r="C5050" s="247"/>
    </row>
    <row r="5051">
      <c r="A5051" s="247"/>
      <c r="B5051" s="258"/>
      <c r="C5051" s="247"/>
    </row>
    <row r="5052">
      <c r="A5052" s="247"/>
      <c r="B5052" s="258"/>
      <c r="C5052" s="247"/>
    </row>
    <row r="5053">
      <c r="A5053" s="247"/>
      <c r="B5053" s="258"/>
      <c r="C5053" s="247"/>
    </row>
    <row r="5054">
      <c r="A5054" s="247"/>
      <c r="B5054" s="258"/>
      <c r="C5054" s="247"/>
    </row>
    <row r="5055">
      <c r="A5055" s="247"/>
      <c r="B5055" s="258"/>
      <c r="C5055" s="247"/>
    </row>
    <row r="5056">
      <c r="A5056" s="247"/>
      <c r="B5056" s="258"/>
      <c r="C5056" s="247"/>
    </row>
    <row r="5057">
      <c r="A5057" s="247"/>
      <c r="B5057" s="258"/>
      <c r="C5057" s="247"/>
    </row>
    <row r="5058">
      <c r="A5058" s="247"/>
      <c r="B5058" s="258"/>
      <c r="C5058" s="247"/>
    </row>
    <row r="5059">
      <c r="A5059" s="247"/>
      <c r="B5059" s="258"/>
      <c r="C5059" s="247"/>
    </row>
    <row r="5060">
      <c r="A5060" s="247"/>
      <c r="B5060" s="258"/>
      <c r="C5060" s="247"/>
    </row>
    <row r="5061">
      <c r="A5061" s="247"/>
      <c r="B5061" s="258"/>
      <c r="C5061" s="247"/>
    </row>
    <row r="5062">
      <c r="A5062" s="247"/>
      <c r="B5062" s="258"/>
      <c r="C5062" s="247"/>
    </row>
    <row r="5063">
      <c r="A5063" s="247"/>
      <c r="B5063" s="258"/>
      <c r="C5063" s="247"/>
    </row>
    <row r="5064">
      <c r="A5064" s="247"/>
      <c r="B5064" s="258"/>
      <c r="C5064" s="247"/>
    </row>
    <row r="5065">
      <c r="A5065" s="247"/>
      <c r="B5065" s="258"/>
      <c r="C5065" s="247"/>
    </row>
    <row r="5066">
      <c r="A5066" s="247"/>
      <c r="B5066" s="258"/>
      <c r="C5066" s="247"/>
    </row>
    <row r="5067">
      <c r="A5067" s="247"/>
      <c r="B5067" s="258"/>
      <c r="C5067" s="247"/>
    </row>
    <row r="5068">
      <c r="A5068" s="247"/>
      <c r="B5068" s="258"/>
      <c r="C5068" s="247"/>
    </row>
    <row r="5069">
      <c r="A5069" s="247"/>
      <c r="B5069" s="258"/>
      <c r="C5069" s="247"/>
    </row>
    <row r="5070">
      <c r="A5070" s="247"/>
      <c r="B5070" s="258"/>
      <c r="C5070" s="247"/>
    </row>
    <row r="5071">
      <c r="A5071" s="247"/>
      <c r="B5071" s="258"/>
      <c r="C5071" s="247"/>
    </row>
    <row r="5072">
      <c r="A5072" s="247"/>
      <c r="B5072" s="258"/>
      <c r="C5072" s="247"/>
    </row>
    <row r="5073">
      <c r="A5073" s="247"/>
      <c r="B5073" s="258"/>
      <c r="C5073" s="247"/>
    </row>
    <row r="5074">
      <c r="A5074" s="247"/>
      <c r="B5074" s="258"/>
      <c r="C5074" s="247"/>
    </row>
    <row r="5075">
      <c r="A5075" s="247"/>
      <c r="B5075" s="258"/>
      <c r="C5075" s="247"/>
    </row>
    <row r="5076">
      <c r="A5076" s="247"/>
      <c r="B5076" s="258"/>
      <c r="C5076" s="247"/>
    </row>
    <row r="5077">
      <c r="A5077" s="247"/>
      <c r="B5077" s="258"/>
      <c r="C5077" s="247"/>
    </row>
    <row r="5078">
      <c r="A5078" s="247"/>
      <c r="B5078" s="258"/>
      <c r="C5078" s="247"/>
    </row>
    <row r="5079">
      <c r="A5079" s="247"/>
      <c r="B5079" s="258"/>
      <c r="C5079" s="247"/>
    </row>
    <row r="5080">
      <c r="A5080" s="247"/>
      <c r="B5080" s="258"/>
      <c r="C5080" s="247"/>
    </row>
    <row r="5081">
      <c r="A5081" s="247"/>
      <c r="B5081" s="258"/>
      <c r="C5081" s="247"/>
    </row>
    <row r="5082">
      <c r="A5082" s="247"/>
      <c r="B5082" s="258"/>
      <c r="C5082" s="247"/>
    </row>
    <row r="5083">
      <c r="A5083" s="247"/>
      <c r="B5083" s="258"/>
      <c r="C5083" s="247"/>
    </row>
    <row r="5084">
      <c r="A5084" s="247"/>
      <c r="B5084" s="258"/>
      <c r="C5084" s="247"/>
    </row>
    <row r="5085">
      <c r="A5085" s="247"/>
      <c r="B5085" s="258"/>
      <c r="C5085" s="247"/>
    </row>
    <row r="5086">
      <c r="A5086" s="247"/>
      <c r="B5086" s="258"/>
      <c r="C5086" s="247"/>
    </row>
    <row r="5087">
      <c r="A5087" s="247"/>
      <c r="B5087" s="258"/>
      <c r="C5087" s="247"/>
    </row>
    <row r="5088">
      <c r="A5088" s="247"/>
      <c r="B5088" s="258"/>
      <c r="C5088" s="247"/>
    </row>
    <row r="5089">
      <c r="A5089" s="247"/>
      <c r="B5089" s="258"/>
      <c r="C5089" s="247"/>
    </row>
    <row r="5090">
      <c r="A5090" s="247"/>
      <c r="B5090" s="258"/>
      <c r="C5090" s="247"/>
    </row>
    <row r="5091">
      <c r="A5091" s="247"/>
      <c r="B5091" s="258"/>
      <c r="C5091" s="247"/>
    </row>
    <row r="5092">
      <c r="A5092" s="247"/>
      <c r="B5092" s="258"/>
      <c r="C5092" s="247"/>
    </row>
    <row r="5093">
      <c r="A5093" s="247"/>
      <c r="B5093" s="258"/>
      <c r="C5093" s="247"/>
    </row>
    <row r="5094">
      <c r="A5094" s="247"/>
      <c r="B5094" s="258"/>
      <c r="C5094" s="247"/>
    </row>
    <row r="5095">
      <c r="A5095" s="247"/>
      <c r="B5095" s="258"/>
      <c r="C5095" s="247"/>
    </row>
    <row r="5096">
      <c r="A5096" s="247"/>
      <c r="B5096" s="258"/>
      <c r="C5096" s="247"/>
    </row>
    <row r="5097">
      <c r="A5097" s="247"/>
      <c r="B5097" s="258"/>
      <c r="C5097" s="247"/>
    </row>
    <row r="5098">
      <c r="A5098" s="247"/>
      <c r="B5098" s="258"/>
      <c r="C5098" s="247"/>
    </row>
    <row r="5099">
      <c r="A5099" s="247"/>
      <c r="B5099" s="258"/>
      <c r="C5099" s="247"/>
    </row>
    <row r="5100">
      <c r="A5100" s="247"/>
      <c r="B5100" s="258"/>
      <c r="C5100" s="247"/>
    </row>
    <row r="5101">
      <c r="A5101" s="247"/>
      <c r="B5101" s="258"/>
      <c r="C5101" s="247"/>
    </row>
    <row r="5102">
      <c r="A5102" s="247"/>
      <c r="B5102" s="258"/>
      <c r="C5102" s="247"/>
    </row>
    <row r="5103">
      <c r="A5103" s="247"/>
      <c r="B5103" s="258"/>
      <c r="C5103" s="247"/>
    </row>
    <row r="5104">
      <c r="A5104" s="247"/>
      <c r="B5104" s="258"/>
      <c r="C5104" s="247"/>
    </row>
    <row r="5105">
      <c r="A5105" s="247"/>
      <c r="B5105" s="258"/>
      <c r="C5105" s="247"/>
    </row>
    <row r="5106">
      <c r="A5106" s="247"/>
      <c r="B5106" s="258"/>
      <c r="C5106" s="247"/>
    </row>
    <row r="5107">
      <c r="A5107" s="247"/>
      <c r="B5107" s="258"/>
      <c r="C5107" s="247"/>
    </row>
    <row r="5108">
      <c r="A5108" s="247"/>
      <c r="B5108" s="258"/>
      <c r="C5108" s="247"/>
    </row>
    <row r="5109">
      <c r="A5109" s="247"/>
      <c r="B5109" s="258"/>
      <c r="C5109" s="247"/>
    </row>
    <row r="5110">
      <c r="A5110" s="247"/>
      <c r="B5110" s="258"/>
      <c r="C5110" s="247"/>
    </row>
    <row r="5111">
      <c r="A5111" s="247"/>
      <c r="B5111" s="258"/>
      <c r="C5111" s="247"/>
    </row>
    <row r="5112">
      <c r="A5112" s="247"/>
      <c r="B5112" s="258"/>
      <c r="C5112" s="247"/>
    </row>
    <row r="5113">
      <c r="A5113" s="247"/>
      <c r="B5113" s="258"/>
      <c r="C5113" s="247"/>
    </row>
    <row r="5114">
      <c r="A5114" s="247"/>
      <c r="B5114" s="258"/>
      <c r="C5114" s="247"/>
    </row>
    <row r="5115">
      <c r="A5115" s="247"/>
      <c r="B5115" s="258"/>
      <c r="C5115" s="247"/>
    </row>
    <row r="5116">
      <c r="A5116" s="247"/>
      <c r="B5116" s="258"/>
      <c r="C5116" s="247"/>
    </row>
    <row r="5117">
      <c r="A5117" s="247"/>
      <c r="B5117" s="258"/>
      <c r="C5117" s="247"/>
    </row>
    <row r="5118">
      <c r="A5118" s="247"/>
      <c r="B5118" s="258"/>
      <c r="C5118" s="247"/>
    </row>
    <row r="5119">
      <c r="A5119" s="247"/>
      <c r="B5119" s="258"/>
      <c r="C5119" s="247"/>
    </row>
    <row r="5120">
      <c r="A5120" s="247"/>
      <c r="B5120" s="258"/>
      <c r="C5120" s="247"/>
    </row>
    <row r="5121">
      <c r="A5121" s="247"/>
      <c r="B5121" s="258"/>
      <c r="C5121" s="247"/>
    </row>
    <row r="5122">
      <c r="A5122" s="247"/>
      <c r="B5122" s="258"/>
      <c r="C5122" s="247"/>
    </row>
    <row r="5123">
      <c r="A5123" s="247"/>
      <c r="B5123" s="258"/>
      <c r="C5123" s="247"/>
    </row>
    <row r="5124">
      <c r="A5124" s="247"/>
      <c r="B5124" s="258"/>
      <c r="C5124" s="247"/>
    </row>
    <row r="5125">
      <c r="A5125" s="247"/>
      <c r="B5125" s="258"/>
      <c r="C5125" s="247"/>
    </row>
    <row r="5126">
      <c r="A5126" s="247"/>
      <c r="B5126" s="258"/>
      <c r="C5126" s="247"/>
    </row>
    <row r="5127">
      <c r="A5127" s="247"/>
      <c r="B5127" s="258"/>
      <c r="C5127" s="247"/>
    </row>
    <row r="5128">
      <c r="A5128" s="247"/>
      <c r="B5128" s="258"/>
      <c r="C5128" s="247"/>
    </row>
    <row r="5129">
      <c r="A5129" s="247"/>
      <c r="B5129" s="258"/>
      <c r="C5129" s="247"/>
    </row>
    <row r="5130">
      <c r="A5130" s="247"/>
      <c r="B5130" s="258"/>
      <c r="C5130" s="247"/>
    </row>
    <row r="5131">
      <c r="A5131" s="247"/>
      <c r="B5131" s="258"/>
      <c r="C5131" s="247"/>
    </row>
    <row r="5132">
      <c r="A5132" s="247"/>
      <c r="B5132" s="258"/>
      <c r="C5132" s="247"/>
    </row>
    <row r="5133">
      <c r="A5133" s="247"/>
      <c r="B5133" s="258"/>
      <c r="C5133" s="247"/>
    </row>
    <row r="5134">
      <c r="A5134" s="247"/>
      <c r="B5134" s="258"/>
      <c r="C5134" s="247"/>
    </row>
    <row r="5135">
      <c r="A5135" s="247"/>
      <c r="B5135" s="258"/>
      <c r="C5135" s="247"/>
    </row>
    <row r="5136">
      <c r="A5136" s="247"/>
      <c r="B5136" s="258"/>
      <c r="C5136" s="247"/>
    </row>
    <row r="5137">
      <c r="A5137" s="247"/>
      <c r="B5137" s="258"/>
      <c r="C5137" s="247"/>
    </row>
    <row r="5138">
      <c r="A5138" s="247"/>
      <c r="B5138" s="258"/>
      <c r="C5138" s="247"/>
    </row>
    <row r="5139">
      <c r="A5139" s="247"/>
      <c r="B5139" s="258"/>
      <c r="C5139" s="247"/>
    </row>
    <row r="5140">
      <c r="A5140" s="247"/>
      <c r="B5140" s="258"/>
      <c r="C5140" s="247"/>
    </row>
    <row r="5141">
      <c r="A5141" s="247"/>
      <c r="B5141" s="258"/>
      <c r="C5141" s="247"/>
    </row>
    <row r="5142">
      <c r="A5142" s="247"/>
      <c r="B5142" s="258"/>
      <c r="C5142" s="247"/>
    </row>
    <row r="5143">
      <c r="A5143" s="247"/>
      <c r="B5143" s="258"/>
      <c r="C5143" s="247"/>
    </row>
    <row r="5144">
      <c r="A5144" s="247"/>
      <c r="B5144" s="258"/>
      <c r="C5144" s="247"/>
    </row>
    <row r="5145">
      <c r="A5145" s="247"/>
      <c r="B5145" s="258"/>
      <c r="C5145" s="247"/>
    </row>
    <row r="5146">
      <c r="A5146" s="247"/>
      <c r="B5146" s="258"/>
      <c r="C5146" s="247"/>
    </row>
    <row r="5147">
      <c r="A5147" s="247"/>
      <c r="B5147" s="258"/>
      <c r="C5147" s="247"/>
    </row>
    <row r="5148">
      <c r="A5148" s="247"/>
      <c r="B5148" s="258"/>
      <c r="C5148" s="247"/>
    </row>
    <row r="5149">
      <c r="A5149" s="247"/>
      <c r="B5149" s="258"/>
      <c r="C5149" s="247"/>
    </row>
    <row r="5150">
      <c r="A5150" s="247"/>
      <c r="B5150" s="258"/>
      <c r="C5150" s="247"/>
    </row>
    <row r="5151">
      <c r="A5151" s="247"/>
      <c r="B5151" s="258"/>
      <c r="C5151" s="247"/>
    </row>
    <row r="5152">
      <c r="A5152" s="247"/>
      <c r="B5152" s="258"/>
      <c r="C5152" s="247"/>
    </row>
    <row r="5153">
      <c r="A5153" s="247"/>
      <c r="B5153" s="258"/>
      <c r="C5153" s="247"/>
    </row>
    <row r="5154">
      <c r="A5154" s="247"/>
      <c r="B5154" s="258"/>
      <c r="C5154" s="247"/>
    </row>
    <row r="5155">
      <c r="A5155" s="247"/>
      <c r="B5155" s="258"/>
      <c r="C5155" s="247"/>
    </row>
    <row r="5156">
      <c r="A5156" s="247"/>
      <c r="B5156" s="258"/>
      <c r="C5156" s="247"/>
    </row>
    <row r="5157">
      <c r="A5157" s="247"/>
      <c r="B5157" s="258"/>
      <c r="C5157" s="247"/>
    </row>
    <row r="5158">
      <c r="A5158" s="247"/>
      <c r="B5158" s="258"/>
      <c r="C5158" s="247"/>
    </row>
    <row r="5159">
      <c r="A5159" s="247"/>
      <c r="B5159" s="258"/>
      <c r="C5159" s="247"/>
    </row>
    <row r="5160">
      <c r="A5160" s="247"/>
      <c r="B5160" s="258"/>
      <c r="C5160" s="247"/>
    </row>
    <row r="5161">
      <c r="A5161" s="247"/>
      <c r="B5161" s="258"/>
      <c r="C5161" s="247"/>
    </row>
    <row r="5162">
      <c r="A5162" s="247"/>
      <c r="B5162" s="258"/>
      <c r="C5162" s="247"/>
    </row>
    <row r="5163">
      <c r="A5163" s="247"/>
      <c r="B5163" s="258"/>
      <c r="C5163" s="247"/>
    </row>
    <row r="5164">
      <c r="A5164" s="247"/>
      <c r="B5164" s="258"/>
      <c r="C5164" s="247"/>
    </row>
    <row r="5165">
      <c r="A5165" s="247"/>
      <c r="B5165" s="258"/>
      <c r="C5165" s="247"/>
    </row>
    <row r="5166">
      <c r="A5166" s="247"/>
      <c r="B5166" s="258"/>
      <c r="C5166" s="247"/>
    </row>
    <row r="5167">
      <c r="A5167" s="247"/>
      <c r="B5167" s="258"/>
      <c r="C5167" s="247"/>
    </row>
    <row r="5168">
      <c r="A5168" s="247"/>
      <c r="B5168" s="258"/>
      <c r="C5168" s="247"/>
    </row>
    <row r="5169">
      <c r="A5169" s="247"/>
      <c r="B5169" s="258"/>
      <c r="C5169" s="247"/>
    </row>
    <row r="5170">
      <c r="A5170" s="247"/>
      <c r="B5170" s="258"/>
      <c r="C5170" s="247"/>
    </row>
    <row r="5171">
      <c r="A5171" s="247"/>
      <c r="B5171" s="258"/>
      <c r="C5171" s="247"/>
    </row>
    <row r="5172">
      <c r="A5172" s="247"/>
      <c r="B5172" s="258"/>
      <c r="C5172" s="247"/>
    </row>
    <row r="5173">
      <c r="A5173" s="247"/>
      <c r="B5173" s="258"/>
      <c r="C5173" s="247"/>
    </row>
    <row r="5174">
      <c r="A5174" s="247"/>
      <c r="B5174" s="258"/>
      <c r="C5174" s="247"/>
    </row>
    <row r="5175">
      <c r="A5175" s="247"/>
      <c r="B5175" s="258"/>
      <c r="C5175" s="247"/>
    </row>
    <row r="5176">
      <c r="A5176" s="247"/>
      <c r="B5176" s="258"/>
      <c r="C5176" s="247"/>
    </row>
    <row r="5177">
      <c r="A5177" s="247"/>
      <c r="B5177" s="258"/>
      <c r="C5177" s="247"/>
    </row>
    <row r="5178">
      <c r="A5178" s="247"/>
      <c r="B5178" s="258"/>
      <c r="C5178" s="247"/>
    </row>
    <row r="5179">
      <c r="A5179" s="247"/>
      <c r="B5179" s="258"/>
      <c r="C5179" s="247"/>
    </row>
    <row r="5180">
      <c r="A5180" s="247"/>
      <c r="B5180" s="258"/>
      <c r="C5180" s="247"/>
    </row>
    <row r="5181">
      <c r="A5181" s="247"/>
      <c r="B5181" s="258"/>
      <c r="C5181" s="247"/>
    </row>
    <row r="5182">
      <c r="A5182" s="247"/>
      <c r="B5182" s="258"/>
      <c r="C5182" s="247"/>
    </row>
    <row r="5183">
      <c r="A5183" s="247"/>
      <c r="B5183" s="258"/>
      <c r="C5183" s="247"/>
    </row>
    <row r="5184">
      <c r="A5184" s="247"/>
      <c r="B5184" s="258"/>
      <c r="C5184" s="247"/>
    </row>
    <row r="5185">
      <c r="A5185" s="247"/>
      <c r="B5185" s="258"/>
      <c r="C5185" s="247"/>
    </row>
    <row r="5186">
      <c r="A5186" s="247"/>
      <c r="B5186" s="258"/>
      <c r="C5186" s="247"/>
    </row>
    <row r="5187">
      <c r="A5187" s="247"/>
      <c r="B5187" s="258"/>
      <c r="C5187" s="247"/>
    </row>
    <row r="5188">
      <c r="A5188" s="247"/>
      <c r="B5188" s="258"/>
      <c r="C5188" s="247"/>
    </row>
    <row r="5189">
      <c r="A5189" s="247"/>
      <c r="B5189" s="258"/>
      <c r="C5189" s="247"/>
    </row>
    <row r="5190">
      <c r="A5190" s="247"/>
      <c r="B5190" s="258"/>
      <c r="C5190" s="247"/>
    </row>
    <row r="5191">
      <c r="A5191" s="247"/>
      <c r="B5191" s="258"/>
      <c r="C5191" s="247"/>
    </row>
    <row r="5192">
      <c r="A5192" s="247"/>
      <c r="B5192" s="258"/>
      <c r="C5192" s="247"/>
    </row>
    <row r="5193">
      <c r="A5193" s="247"/>
      <c r="B5193" s="258"/>
      <c r="C5193" s="247"/>
    </row>
    <row r="5194">
      <c r="A5194" s="247"/>
      <c r="B5194" s="258"/>
      <c r="C5194" s="247"/>
    </row>
    <row r="5195">
      <c r="A5195" s="247"/>
      <c r="B5195" s="258"/>
      <c r="C5195" s="247"/>
    </row>
    <row r="5196">
      <c r="A5196" s="247"/>
      <c r="B5196" s="258"/>
      <c r="C5196" s="247"/>
    </row>
    <row r="5197">
      <c r="A5197" s="247"/>
      <c r="B5197" s="258"/>
      <c r="C5197" s="247"/>
    </row>
    <row r="5198">
      <c r="A5198" s="247"/>
      <c r="B5198" s="258"/>
      <c r="C5198" s="247"/>
    </row>
    <row r="5199">
      <c r="A5199" s="247"/>
      <c r="B5199" s="258"/>
      <c r="C5199" s="247"/>
    </row>
    <row r="5200">
      <c r="A5200" s="247"/>
      <c r="B5200" s="258"/>
      <c r="C5200" s="247"/>
    </row>
    <row r="5201">
      <c r="A5201" s="247"/>
      <c r="B5201" s="258"/>
      <c r="C5201" s="247"/>
    </row>
    <row r="5202">
      <c r="A5202" s="247"/>
      <c r="B5202" s="258"/>
      <c r="C5202" s="247"/>
    </row>
    <row r="5203">
      <c r="A5203" s="247"/>
      <c r="B5203" s="258"/>
      <c r="C5203" s="247"/>
    </row>
    <row r="5204">
      <c r="A5204" s="247"/>
      <c r="B5204" s="258"/>
      <c r="C5204" s="247"/>
    </row>
    <row r="5205">
      <c r="A5205" s="247"/>
      <c r="B5205" s="258"/>
      <c r="C5205" s="247"/>
    </row>
    <row r="5206">
      <c r="A5206" s="247"/>
      <c r="B5206" s="258"/>
      <c r="C5206" s="247"/>
    </row>
    <row r="5207">
      <c r="A5207" s="247"/>
      <c r="B5207" s="258"/>
      <c r="C5207" s="247"/>
    </row>
    <row r="5208">
      <c r="A5208" s="247"/>
      <c r="B5208" s="258"/>
      <c r="C5208" s="247"/>
    </row>
    <row r="5209">
      <c r="A5209" s="247"/>
      <c r="B5209" s="258"/>
      <c r="C5209" s="247"/>
    </row>
    <row r="5210">
      <c r="A5210" s="247"/>
      <c r="B5210" s="258"/>
      <c r="C5210" s="247"/>
    </row>
    <row r="5211">
      <c r="A5211" s="247"/>
      <c r="B5211" s="258"/>
      <c r="C5211" s="247"/>
    </row>
    <row r="5212">
      <c r="A5212" s="247"/>
      <c r="B5212" s="258"/>
      <c r="C5212" s="247"/>
    </row>
    <row r="5213">
      <c r="A5213" s="247"/>
      <c r="B5213" s="258"/>
      <c r="C5213" s="247"/>
    </row>
    <row r="5214">
      <c r="A5214" s="247"/>
      <c r="B5214" s="258"/>
      <c r="C5214" s="247"/>
    </row>
    <row r="5215">
      <c r="A5215" s="247"/>
      <c r="B5215" s="258"/>
      <c r="C5215" s="247"/>
    </row>
    <row r="5216">
      <c r="A5216" s="247"/>
      <c r="B5216" s="258"/>
      <c r="C5216" s="247"/>
    </row>
    <row r="5217">
      <c r="A5217" s="247"/>
      <c r="B5217" s="258"/>
      <c r="C5217" s="247"/>
    </row>
    <row r="5218">
      <c r="A5218" s="247"/>
      <c r="B5218" s="258"/>
      <c r="C5218" s="247"/>
    </row>
    <row r="5219">
      <c r="A5219" s="247"/>
      <c r="B5219" s="258"/>
      <c r="C5219" s="247"/>
    </row>
    <row r="5220">
      <c r="A5220" s="247"/>
      <c r="B5220" s="258"/>
      <c r="C5220" s="247"/>
    </row>
    <row r="5221">
      <c r="A5221" s="247"/>
      <c r="B5221" s="258"/>
      <c r="C5221" s="247"/>
    </row>
    <row r="5222">
      <c r="A5222" s="247"/>
      <c r="B5222" s="258"/>
      <c r="C5222" s="247"/>
    </row>
    <row r="5223">
      <c r="A5223" s="247"/>
      <c r="B5223" s="258"/>
      <c r="C5223" s="247"/>
    </row>
    <row r="5224">
      <c r="A5224" s="247"/>
      <c r="B5224" s="258"/>
      <c r="C5224" s="247"/>
    </row>
    <row r="5225">
      <c r="A5225" s="247"/>
      <c r="B5225" s="258"/>
      <c r="C5225" s="247"/>
    </row>
    <row r="5226">
      <c r="A5226" s="247"/>
      <c r="B5226" s="258"/>
      <c r="C5226" s="247"/>
    </row>
    <row r="5227">
      <c r="A5227" s="247"/>
      <c r="B5227" s="258"/>
      <c r="C5227" s="247"/>
    </row>
    <row r="5228">
      <c r="A5228" s="247"/>
      <c r="B5228" s="258"/>
      <c r="C5228" s="247"/>
    </row>
    <row r="5229">
      <c r="A5229" s="247"/>
      <c r="B5229" s="258"/>
      <c r="C5229" s="247"/>
    </row>
    <row r="5230">
      <c r="A5230" s="247"/>
      <c r="B5230" s="258"/>
      <c r="C5230" s="247"/>
    </row>
    <row r="5231">
      <c r="A5231" s="247"/>
      <c r="B5231" s="258"/>
      <c r="C5231" s="247"/>
    </row>
    <row r="5232">
      <c r="A5232" s="247"/>
      <c r="B5232" s="258"/>
      <c r="C5232" s="247"/>
    </row>
    <row r="5233">
      <c r="A5233" s="247"/>
      <c r="B5233" s="258"/>
      <c r="C5233" s="247"/>
    </row>
    <row r="5234">
      <c r="A5234" s="247"/>
      <c r="B5234" s="258"/>
      <c r="C5234" s="247"/>
    </row>
    <row r="5235">
      <c r="A5235" s="247"/>
      <c r="B5235" s="258"/>
      <c r="C5235" s="247"/>
    </row>
    <row r="5236">
      <c r="A5236" s="247"/>
      <c r="B5236" s="258"/>
      <c r="C5236" s="247"/>
    </row>
    <row r="5237">
      <c r="A5237" s="247"/>
      <c r="B5237" s="258"/>
      <c r="C5237" s="247"/>
    </row>
    <row r="5238">
      <c r="A5238" s="247"/>
      <c r="B5238" s="258"/>
      <c r="C5238" s="247"/>
    </row>
    <row r="5239">
      <c r="A5239" s="247"/>
      <c r="B5239" s="258"/>
      <c r="C5239" s="247"/>
    </row>
    <row r="5240">
      <c r="A5240" s="247"/>
      <c r="B5240" s="258"/>
      <c r="C5240" s="247"/>
    </row>
    <row r="5241">
      <c r="A5241" s="247"/>
      <c r="B5241" s="258"/>
      <c r="C5241" s="247"/>
    </row>
    <row r="5242">
      <c r="A5242" s="247"/>
      <c r="B5242" s="258"/>
      <c r="C5242" s="247"/>
    </row>
    <row r="5243">
      <c r="A5243" s="247"/>
      <c r="B5243" s="258"/>
      <c r="C5243" s="247"/>
    </row>
    <row r="5244">
      <c r="A5244" s="247"/>
      <c r="B5244" s="258"/>
      <c r="C5244" s="247"/>
    </row>
    <row r="5245">
      <c r="A5245" s="247"/>
      <c r="B5245" s="258"/>
      <c r="C5245" s="247"/>
    </row>
    <row r="5246">
      <c r="A5246" s="247"/>
      <c r="B5246" s="258"/>
      <c r="C5246" s="247"/>
    </row>
    <row r="5247">
      <c r="A5247" s="247"/>
      <c r="B5247" s="258"/>
      <c r="C5247" s="247"/>
    </row>
    <row r="5248">
      <c r="A5248" s="247"/>
      <c r="B5248" s="258"/>
      <c r="C5248" s="247"/>
    </row>
    <row r="5249">
      <c r="A5249" s="247"/>
      <c r="B5249" s="258"/>
      <c r="C5249" s="247"/>
    </row>
    <row r="5250">
      <c r="A5250" s="247"/>
      <c r="B5250" s="258"/>
      <c r="C5250" s="247"/>
    </row>
    <row r="5251">
      <c r="A5251" s="247"/>
      <c r="B5251" s="258"/>
      <c r="C5251" s="247"/>
    </row>
    <row r="5252">
      <c r="A5252" s="247"/>
      <c r="B5252" s="258"/>
      <c r="C5252" s="247"/>
    </row>
    <row r="5253">
      <c r="A5253" s="247"/>
      <c r="B5253" s="258"/>
      <c r="C5253" s="247"/>
    </row>
    <row r="5254">
      <c r="A5254" s="247"/>
      <c r="B5254" s="258"/>
      <c r="C5254" s="247"/>
    </row>
    <row r="5255">
      <c r="A5255" s="247"/>
      <c r="B5255" s="258"/>
      <c r="C5255" s="247"/>
    </row>
    <row r="5256">
      <c r="A5256" s="247"/>
      <c r="B5256" s="258"/>
      <c r="C5256" s="247"/>
    </row>
    <row r="5257">
      <c r="A5257" s="247"/>
      <c r="B5257" s="258"/>
      <c r="C5257" s="247"/>
    </row>
    <row r="5258">
      <c r="A5258" s="247"/>
      <c r="B5258" s="258"/>
      <c r="C5258" s="247"/>
    </row>
    <row r="5259">
      <c r="A5259" s="247"/>
      <c r="B5259" s="258"/>
      <c r="C5259" s="247"/>
    </row>
    <row r="5260">
      <c r="A5260" s="247"/>
      <c r="B5260" s="258"/>
      <c r="C5260" s="247"/>
    </row>
    <row r="5261">
      <c r="A5261" s="247"/>
      <c r="B5261" s="258"/>
      <c r="C5261" s="247"/>
    </row>
    <row r="5262">
      <c r="A5262" s="247"/>
      <c r="B5262" s="258"/>
      <c r="C5262" s="247"/>
    </row>
    <row r="5263">
      <c r="A5263" s="247"/>
      <c r="B5263" s="258"/>
      <c r="C5263" s="247"/>
    </row>
    <row r="5264">
      <c r="A5264" s="247"/>
      <c r="B5264" s="258"/>
      <c r="C5264" s="247"/>
    </row>
    <row r="5265">
      <c r="A5265" s="247"/>
      <c r="B5265" s="258"/>
      <c r="C5265" s="247"/>
    </row>
    <row r="5266">
      <c r="A5266" s="247"/>
      <c r="B5266" s="258"/>
      <c r="C5266" s="247"/>
    </row>
    <row r="5267">
      <c r="A5267" s="247"/>
      <c r="B5267" s="258"/>
      <c r="C5267" s="247"/>
    </row>
    <row r="5268">
      <c r="A5268" s="247"/>
      <c r="B5268" s="258"/>
      <c r="C5268" s="247"/>
    </row>
    <row r="5269">
      <c r="A5269" s="247"/>
      <c r="B5269" s="258"/>
      <c r="C5269" s="247"/>
    </row>
    <row r="5270">
      <c r="A5270" s="247"/>
      <c r="B5270" s="258"/>
      <c r="C5270" s="247"/>
    </row>
    <row r="5271">
      <c r="A5271" s="247"/>
      <c r="B5271" s="258"/>
      <c r="C5271" s="247"/>
    </row>
    <row r="5272">
      <c r="A5272" s="247"/>
      <c r="B5272" s="258"/>
      <c r="C5272" s="247"/>
    </row>
    <row r="5273">
      <c r="A5273" s="247"/>
      <c r="B5273" s="258"/>
      <c r="C5273" s="247"/>
    </row>
    <row r="5274">
      <c r="A5274" s="247"/>
      <c r="B5274" s="258"/>
      <c r="C5274" s="247"/>
    </row>
    <row r="5275">
      <c r="A5275" s="247"/>
      <c r="B5275" s="258"/>
      <c r="C5275" s="247"/>
    </row>
    <row r="5276">
      <c r="A5276" s="247"/>
      <c r="B5276" s="258"/>
      <c r="C5276" s="247"/>
    </row>
    <row r="5277">
      <c r="A5277" s="247"/>
      <c r="B5277" s="258"/>
      <c r="C5277" s="247"/>
    </row>
    <row r="5278">
      <c r="A5278" s="247"/>
      <c r="B5278" s="258"/>
      <c r="C5278" s="247"/>
    </row>
    <row r="5279">
      <c r="A5279" s="247"/>
      <c r="B5279" s="258"/>
      <c r="C5279" s="247"/>
    </row>
    <row r="5280">
      <c r="A5280" s="247"/>
      <c r="B5280" s="258"/>
      <c r="C5280" s="247"/>
    </row>
    <row r="5281">
      <c r="A5281" s="247"/>
      <c r="B5281" s="258"/>
      <c r="C5281" s="247"/>
    </row>
    <row r="5282">
      <c r="A5282" s="247"/>
      <c r="B5282" s="258"/>
      <c r="C5282" s="247"/>
    </row>
    <row r="5283">
      <c r="A5283" s="247"/>
      <c r="B5283" s="258"/>
      <c r="C5283" s="247"/>
    </row>
    <row r="5284">
      <c r="A5284" s="247"/>
      <c r="B5284" s="258"/>
      <c r="C5284" s="247"/>
    </row>
    <row r="5285">
      <c r="A5285" s="247"/>
      <c r="B5285" s="258"/>
      <c r="C5285" s="247"/>
    </row>
    <row r="5286">
      <c r="A5286" s="247"/>
      <c r="B5286" s="258"/>
      <c r="C5286" s="247"/>
    </row>
    <row r="5287">
      <c r="A5287" s="247"/>
      <c r="B5287" s="258"/>
      <c r="C5287" s="247"/>
    </row>
    <row r="5288">
      <c r="A5288" s="247"/>
      <c r="B5288" s="258"/>
      <c r="C5288" s="247"/>
    </row>
    <row r="5289">
      <c r="A5289" s="247"/>
      <c r="B5289" s="258"/>
      <c r="C5289" s="247"/>
    </row>
    <row r="5290">
      <c r="A5290" s="247"/>
      <c r="B5290" s="258"/>
      <c r="C5290" s="247"/>
    </row>
    <row r="5291">
      <c r="A5291" s="247"/>
      <c r="B5291" s="258"/>
      <c r="C5291" s="247"/>
    </row>
    <row r="5292">
      <c r="A5292" s="247"/>
      <c r="B5292" s="258"/>
      <c r="C5292" s="247"/>
    </row>
    <row r="5293">
      <c r="A5293" s="247"/>
      <c r="B5293" s="258"/>
      <c r="C5293" s="247"/>
    </row>
    <row r="5294">
      <c r="A5294" s="247"/>
      <c r="B5294" s="258"/>
      <c r="C5294" s="247"/>
    </row>
    <row r="5295">
      <c r="A5295" s="247"/>
      <c r="B5295" s="258"/>
      <c r="C5295" s="247"/>
    </row>
    <row r="5296">
      <c r="A5296" s="247"/>
      <c r="B5296" s="258"/>
      <c r="C5296" s="247"/>
    </row>
    <row r="5297">
      <c r="A5297" s="247"/>
      <c r="B5297" s="258"/>
      <c r="C5297" s="247"/>
    </row>
    <row r="5298">
      <c r="A5298" s="247"/>
      <c r="B5298" s="258"/>
      <c r="C5298" s="247"/>
    </row>
    <row r="5299">
      <c r="A5299" s="247"/>
      <c r="B5299" s="258"/>
      <c r="C5299" s="247"/>
    </row>
    <row r="5300">
      <c r="A5300" s="247"/>
      <c r="B5300" s="258"/>
      <c r="C5300" s="247"/>
    </row>
    <row r="5301">
      <c r="A5301" s="247"/>
      <c r="B5301" s="258"/>
      <c r="C5301" s="247"/>
    </row>
    <row r="5302">
      <c r="A5302" s="247"/>
      <c r="B5302" s="258"/>
      <c r="C5302" s="247"/>
    </row>
    <row r="5303">
      <c r="A5303" s="247"/>
      <c r="B5303" s="258"/>
      <c r="C5303" s="247"/>
    </row>
    <row r="5304">
      <c r="A5304" s="247"/>
      <c r="B5304" s="258"/>
      <c r="C5304" s="247"/>
    </row>
    <row r="5305">
      <c r="A5305" s="247"/>
      <c r="B5305" s="258"/>
      <c r="C5305" s="247"/>
    </row>
    <row r="5306">
      <c r="A5306" s="247"/>
      <c r="B5306" s="258"/>
      <c r="C5306" s="247"/>
    </row>
    <row r="5307">
      <c r="A5307" s="247"/>
      <c r="B5307" s="258"/>
      <c r="C5307" s="247"/>
    </row>
    <row r="5308">
      <c r="A5308" s="247"/>
      <c r="B5308" s="258"/>
      <c r="C5308" s="247"/>
    </row>
    <row r="5309">
      <c r="A5309" s="247"/>
      <c r="B5309" s="258"/>
      <c r="C5309" s="247"/>
    </row>
    <row r="5310">
      <c r="A5310" s="247"/>
      <c r="B5310" s="258"/>
      <c r="C5310" s="247"/>
    </row>
    <row r="5311">
      <c r="A5311" s="247"/>
      <c r="B5311" s="258"/>
      <c r="C5311" s="247"/>
    </row>
    <row r="5312">
      <c r="A5312" s="247"/>
      <c r="B5312" s="258"/>
      <c r="C5312" s="247"/>
    </row>
    <row r="5313">
      <c r="A5313" s="247"/>
      <c r="B5313" s="258"/>
      <c r="C5313" s="247"/>
    </row>
    <row r="5314">
      <c r="A5314" s="247"/>
      <c r="B5314" s="258"/>
      <c r="C5314" s="247"/>
    </row>
    <row r="5315">
      <c r="A5315" s="247"/>
      <c r="B5315" s="258"/>
      <c r="C5315" s="247"/>
    </row>
    <row r="5316">
      <c r="A5316" s="247"/>
      <c r="B5316" s="258"/>
      <c r="C5316" s="247"/>
    </row>
    <row r="5317">
      <c r="A5317" s="247"/>
      <c r="B5317" s="258"/>
      <c r="C5317" s="247"/>
    </row>
    <row r="5318">
      <c r="A5318" s="247"/>
      <c r="B5318" s="258"/>
      <c r="C5318" s="247"/>
    </row>
    <row r="5319">
      <c r="A5319" s="247"/>
      <c r="B5319" s="258"/>
      <c r="C5319" s="247"/>
    </row>
    <row r="5320">
      <c r="A5320" s="247"/>
      <c r="B5320" s="258"/>
      <c r="C5320" s="247"/>
    </row>
    <row r="5321">
      <c r="A5321" s="247"/>
      <c r="B5321" s="258"/>
      <c r="C5321" s="247"/>
    </row>
    <row r="5322">
      <c r="A5322" s="247"/>
      <c r="B5322" s="258"/>
      <c r="C5322" s="247"/>
    </row>
    <row r="5323">
      <c r="A5323" s="247"/>
      <c r="B5323" s="258"/>
      <c r="C5323" s="247"/>
    </row>
    <row r="5324">
      <c r="A5324" s="247"/>
      <c r="B5324" s="258"/>
      <c r="C5324" s="247"/>
    </row>
    <row r="5325">
      <c r="A5325" s="247"/>
      <c r="B5325" s="258"/>
      <c r="C5325" s="247"/>
    </row>
    <row r="5326">
      <c r="A5326" s="247"/>
      <c r="B5326" s="258"/>
      <c r="C5326" s="247"/>
    </row>
    <row r="5327">
      <c r="A5327" s="247"/>
      <c r="B5327" s="258"/>
      <c r="C5327" s="247"/>
    </row>
    <row r="5328">
      <c r="A5328" s="247"/>
      <c r="B5328" s="258"/>
      <c r="C5328" s="247"/>
    </row>
    <row r="5329">
      <c r="A5329" s="247"/>
      <c r="B5329" s="258"/>
      <c r="C5329" s="247"/>
    </row>
    <row r="5330">
      <c r="A5330" s="247"/>
      <c r="B5330" s="258"/>
      <c r="C5330" s="247"/>
    </row>
    <row r="5331">
      <c r="A5331" s="247"/>
      <c r="B5331" s="258"/>
      <c r="C5331" s="247"/>
    </row>
    <row r="5332">
      <c r="A5332" s="247"/>
      <c r="B5332" s="258"/>
      <c r="C5332" s="247"/>
    </row>
    <row r="5333">
      <c r="A5333" s="247"/>
      <c r="B5333" s="258"/>
      <c r="C5333" s="247"/>
    </row>
    <row r="5334">
      <c r="A5334" s="247"/>
      <c r="B5334" s="258"/>
      <c r="C5334" s="247"/>
    </row>
    <row r="5335">
      <c r="A5335" s="247"/>
      <c r="B5335" s="258"/>
      <c r="C5335" s="247"/>
    </row>
    <row r="5336">
      <c r="A5336" s="247"/>
      <c r="B5336" s="258"/>
      <c r="C5336" s="247"/>
    </row>
    <row r="5337">
      <c r="A5337" s="247"/>
      <c r="B5337" s="258"/>
      <c r="C5337" s="247"/>
    </row>
    <row r="5338">
      <c r="A5338" s="247"/>
      <c r="B5338" s="258"/>
      <c r="C5338" s="247"/>
    </row>
    <row r="5339">
      <c r="A5339" s="247"/>
      <c r="B5339" s="258"/>
      <c r="C5339" s="247"/>
    </row>
    <row r="5340">
      <c r="A5340" s="247"/>
      <c r="B5340" s="258"/>
      <c r="C5340" s="247"/>
    </row>
    <row r="5341">
      <c r="A5341" s="247"/>
      <c r="B5341" s="258"/>
      <c r="C5341" s="247"/>
    </row>
    <row r="5342">
      <c r="A5342" s="247"/>
      <c r="B5342" s="258"/>
      <c r="C5342" s="247"/>
    </row>
    <row r="5343">
      <c r="A5343" s="247"/>
      <c r="B5343" s="258"/>
      <c r="C5343" s="247"/>
    </row>
    <row r="5344">
      <c r="A5344" s="247"/>
      <c r="B5344" s="258"/>
      <c r="C5344" s="247"/>
    </row>
    <row r="5345">
      <c r="A5345" s="247"/>
      <c r="B5345" s="258"/>
      <c r="C5345" s="247"/>
    </row>
    <row r="5346">
      <c r="A5346" s="247"/>
      <c r="B5346" s="258"/>
      <c r="C5346" s="247"/>
    </row>
    <row r="5347">
      <c r="A5347" s="247"/>
      <c r="B5347" s="258"/>
      <c r="C5347" s="247"/>
    </row>
    <row r="5348">
      <c r="A5348" s="247"/>
      <c r="B5348" s="258"/>
      <c r="C5348" s="247"/>
    </row>
    <row r="5349">
      <c r="A5349" s="247"/>
      <c r="B5349" s="258"/>
      <c r="C5349" s="247"/>
    </row>
    <row r="5350">
      <c r="A5350" s="247"/>
      <c r="B5350" s="258"/>
      <c r="C5350" s="247"/>
    </row>
    <row r="5351">
      <c r="A5351" s="247"/>
      <c r="B5351" s="258"/>
      <c r="C5351" s="247"/>
    </row>
    <row r="5352">
      <c r="A5352" s="247"/>
      <c r="B5352" s="258"/>
      <c r="C5352" s="247"/>
    </row>
    <row r="5353">
      <c r="A5353" s="247"/>
      <c r="B5353" s="258"/>
      <c r="C5353" s="247"/>
    </row>
    <row r="5354">
      <c r="A5354" s="247"/>
      <c r="B5354" s="258"/>
      <c r="C5354" s="247"/>
    </row>
    <row r="5355">
      <c r="A5355" s="247"/>
      <c r="B5355" s="258"/>
      <c r="C5355" s="247"/>
    </row>
    <row r="5356">
      <c r="A5356" s="247"/>
      <c r="B5356" s="258"/>
      <c r="C5356" s="247"/>
    </row>
    <row r="5357">
      <c r="A5357" s="247"/>
      <c r="B5357" s="258"/>
      <c r="C5357" s="247"/>
    </row>
    <row r="5358">
      <c r="A5358" s="247"/>
      <c r="B5358" s="258"/>
      <c r="C5358" s="247"/>
    </row>
    <row r="5359">
      <c r="A5359" s="247"/>
      <c r="B5359" s="258"/>
      <c r="C5359" s="247"/>
    </row>
    <row r="5360">
      <c r="A5360" s="247"/>
      <c r="B5360" s="258"/>
      <c r="C5360" s="247"/>
    </row>
    <row r="5361">
      <c r="A5361" s="247"/>
      <c r="B5361" s="258"/>
      <c r="C5361" s="247"/>
    </row>
    <row r="5362">
      <c r="A5362" s="247"/>
      <c r="B5362" s="258"/>
      <c r="C5362" s="247"/>
    </row>
    <row r="5363">
      <c r="A5363" s="247"/>
      <c r="B5363" s="258"/>
      <c r="C5363" s="247"/>
    </row>
    <row r="5364">
      <c r="A5364" s="247"/>
      <c r="B5364" s="258"/>
      <c r="C5364" s="247"/>
    </row>
    <row r="5365">
      <c r="A5365" s="247"/>
      <c r="B5365" s="258"/>
      <c r="C5365" s="247"/>
    </row>
    <row r="5366">
      <c r="A5366" s="247"/>
      <c r="B5366" s="258"/>
      <c r="C5366" s="247"/>
    </row>
    <row r="5367">
      <c r="A5367" s="247"/>
      <c r="B5367" s="258"/>
      <c r="C5367" s="247"/>
    </row>
    <row r="5368">
      <c r="A5368" s="247"/>
      <c r="B5368" s="258"/>
      <c r="C5368" s="247"/>
    </row>
    <row r="5369">
      <c r="A5369" s="247"/>
      <c r="B5369" s="258"/>
      <c r="C5369" s="247"/>
    </row>
    <row r="5370">
      <c r="A5370" s="247"/>
      <c r="B5370" s="258"/>
      <c r="C5370" s="247"/>
    </row>
    <row r="5371">
      <c r="A5371" s="247"/>
      <c r="B5371" s="258"/>
      <c r="C5371" s="247"/>
    </row>
    <row r="5372">
      <c r="A5372" s="247"/>
      <c r="B5372" s="258"/>
      <c r="C5372" s="247"/>
    </row>
    <row r="5373">
      <c r="A5373" s="247"/>
      <c r="B5373" s="258"/>
      <c r="C5373" s="247"/>
    </row>
    <row r="5374">
      <c r="A5374" s="247"/>
      <c r="B5374" s="258"/>
      <c r="C5374" s="247"/>
    </row>
    <row r="5375">
      <c r="A5375" s="247"/>
      <c r="B5375" s="258"/>
      <c r="C5375" s="247"/>
    </row>
    <row r="5376">
      <c r="A5376" s="247"/>
      <c r="B5376" s="258"/>
      <c r="C5376" s="247"/>
    </row>
    <row r="5377">
      <c r="A5377" s="247"/>
      <c r="B5377" s="258"/>
      <c r="C5377" s="247"/>
    </row>
    <row r="5378">
      <c r="A5378" s="247"/>
      <c r="B5378" s="258"/>
      <c r="C5378" s="247"/>
    </row>
    <row r="5379">
      <c r="A5379" s="247"/>
      <c r="B5379" s="258"/>
      <c r="C5379" s="247"/>
    </row>
    <row r="5380">
      <c r="A5380" s="247"/>
      <c r="B5380" s="258"/>
      <c r="C5380" s="247"/>
    </row>
    <row r="5381">
      <c r="A5381" s="247"/>
      <c r="B5381" s="258"/>
      <c r="C5381" s="247"/>
    </row>
    <row r="5382">
      <c r="A5382" s="247"/>
      <c r="B5382" s="258"/>
      <c r="C5382" s="247"/>
    </row>
    <row r="5383">
      <c r="A5383" s="247"/>
      <c r="B5383" s="258"/>
      <c r="C5383" s="247"/>
    </row>
    <row r="5384">
      <c r="A5384" s="247"/>
      <c r="B5384" s="258"/>
      <c r="C5384" s="247"/>
    </row>
    <row r="5385">
      <c r="A5385" s="247"/>
      <c r="B5385" s="258"/>
      <c r="C5385" s="247"/>
    </row>
    <row r="5386">
      <c r="A5386" s="247"/>
      <c r="B5386" s="258"/>
      <c r="C5386" s="247"/>
    </row>
    <row r="5387">
      <c r="A5387" s="247"/>
      <c r="B5387" s="258"/>
      <c r="C5387" s="247"/>
    </row>
    <row r="5388">
      <c r="A5388" s="247"/>
      <c r="B5388" s="258"/>
      <c r="C5388" s="247"/>
    </row>
    <row r="5389">
      <c r="A5389" s="247"/>
      <c r="B5389" s="258"/>
      <c r="C5389" s="247"/>
    </row>
    <row r="5390">
      <c r="A5390" s="247"/>
      <c r="B5390" s="258"/>
      <c r="C5390" s="247"/>
    </row>
    <row r="5391">
      <c r="A5391" s="247"/>
      <c r="B5391" s="258"/>
      <c r="C5391" s="247"/>
    </row>
    <row r="5392">
      <c r="A5392" s="247"/>
      <c r="B5392" s="258"/>
      <c r="C5392" s="247"/>
    </row>
    <row r="5393">
      <c r="A5393" s="247"/>
      <c r="B5393" s="258"/>
      <c r="C5393" s="247"/>
    </row>
    <row r="5394">
      <c r="A5394" s="247"/>
      <c r="B5394" s="258"/>
      <c r="C5394" s="247"/>
    </row>
    <row r="5395">
      <c r="A5395" s="247"/>
      <c r="B5395" s="258"/>
      <c r="C5395" s="247"/>
    </row>
    <row r="5396">
      <c r="A5396" s="247"/>
      <c r="B5396" s="258"/>
      <c r="C5396" s="247"/>
    </row>
    <row r="5397">
      <c r="A5397" s="247"/>
      <c r="B5397" s="258"/>
      <c r="C5397" s="247"/>
    </row>
    <row r="5398">
      <c r="A5398" s="247"/>
      <c r="B5398" s="258"/>
      <c r="C5398" s="247"/>
    </row>
    <row r="5399">
      <c r="A5399" s="247"/>
      <c r="B5399" s="258"/>
      <c r="C5399" s="247"/>
    </row>
    <row r="5400">
      <c r="A5400" s="247"/>
      <c r="B5400" s="258"/>
      <c r="C5400" s="247"/>
    </row>
    <row r="5401">
      <c r="A5401" s="247"/>
      <c r="B5401" s="258"/>
      <c r="C5401" s="247"/>
    </row>
    <row r="5402">
      <c r="A5402" s="247"/>
      <c r="B5402" s="258"/>
      <c r="C5402" s="247"/>
    </row>
    <row r="5403">
      <c r="A5403" s="247"/>
      <c r="B5403" s="258"/>
      <c r="C5403" s="247"/>
    </row>
    <row r="5404">
      <c r="A5404" s="247"/>
      <c r="B5404" s="258"/>
      <c r="C5404" s="247"/>
    </row>
    <row r="5405">
      <c r="A5405" s="247"/>
      <c r="B5405" s="258"/>
      <c r="C5405" s="247"/>
    </row>
    <row r="5406">
      <c r="A5406" s="247"/>
      <c r="B5406" s="258"/>
      <c r="C5406" s="247"/>
    </row>
    <row r="5407">
      <c r="A5407" s="247"/>
      <c r="B5407" s="258"/>
      <c r="C5407" s="247"/>
    </row>
    <row r="5408">
      <c r="A5408" s="247"/>
      <c r="B5408" s="258"/>
      <c r="C5408" s="247"/>
    </row>
    <row r="5409">
      <c r="A5409" s="247"/>
      <c r="B5409" s="258"/>
      <c r="C5409" s="247"/>
    </row>
    <row r="5410">
      <c r="A5410" s="247"/>
      <c r="B5410" s="258"/>
      <c r="C5410" s="247"/>
    </row>
    <row r="5411">
      <c r="A5411" s="247"/>
      <c r="B5411" s="258"/>
      <c r="C5411" s="247"/>
    </row>
    <row r="5412">
      <c r="A5412" s="247"/>
      <c r="B5412" s="258"/>
      <c r="C5412" s="247"/>
    </row>
    <row r="5413">
      <c r="A5413" s="247"/>
      <c r="B5413" s="258"/>
      <c r="C5413" s="247"/>
    </row>
    <row r="5414">
      <c r="A5414" s="247"/>
      <c r="B5414" s="258"/>
      <c r="C5414" s="247"/>
    </row>
    <row r="5415">
      <c r="A5415" s="247"/>
      <c r="B5415" s="258"/>
      <c r="C5415" s="247"/>
    </row>
    <row r="5416">
      <c r="A5416" s="247"/>
      <c r="B5416" s="258"/>
      <c r="C5416" s="247"/>
    </row>
    <row r="5417">
      <c r="A5417" s="247"/>
      <c r="B5417" s="258"/>
      <c r="C5417" s="247"/>
    </row>
    <row r="5418">
      <c r="A5418" s="247"/>
      <c r="B5418" s="258"/>
      <c r="C5418" s="247"/>
    </row>
    <row r="5419">
      <c r="A5419" s="247"/>
      <c r="B5419" s="258"/>
      <c r="C5419" s="247"/>
    </row>
    <row r="5420">
      <c r="A5420" s="247"/>
      <c r="B5420" s="258"/>
      <c r="C5420" s="247"/>
    </row>
    <row r="5421">
      <c r="A5421" s="247"/>
      <c r="B5421" s="258"/>
      <c r="C5421" s="247"/>
    </row>
    <row r="5422">
      <c r="A5422" s="247"/>
      <c r="B5422" s="258"/>
      <c r="C5422" s="247"/>
    </row>
    <row r="5423">
      <c r="A5423" s="247"/>
      <c r="B5423" s="258"/>
      <c r="C5423" s="247"/>
    </row>
    <row r="5424">
      <c r="A5424" s="247"/>
      <c r="B5424" s="258"/>
      <c r="C5424" s="247"/>
    </row>
    <row r="5425">
      <c r="A5425" s="247"/>
      <c r="B5425" s="258"/>
      <c r="C5425" s="247"/>
    </row>
    <row r="5426">
      <c r="A5426" s="247"/>
      <c r="B5426" s="258"/>
      <c r="C5426" s="247"/>
    </row>
    <row r="5427">
      <c r="A5427" s="247"/>
      <c r="B5427" s="258"/>
      <c r="C5427" s="247"/>
    </row>
    <row r="5428">
      <c r="A5428" s="247"/>
      <c r="B5428" s="258"/>
      <c r="C5428" s="247"/>
    </row>
    <row r="5429">
      <c r="A5429" s="247"/>
      <c r="B5429" s="258"/>
      <c r="C5429" s="247"/>
    </row>
    <row r="5430">
      <c r="A5430" s="247"/>
      <c r="B5430" s="258"/>
      <c r="C5430" s="247"/>
    </row>
    <row r="5431">
      <c r="A5431" s="247"/>
      <c r="B5431" s="258"/>
      <c r="C5431" s="247"/>
    </row>
    <row r="5432">
      <c r="A5432" s="247"/>
      <c r="B5432" s="258"/>
      <c r="C5432" s="247"/>
    </row>
    <row r="5433">
      <c r="A5433" s="247"/>
      <c r="B5433" s="258"/>
      <c r="C5433" s="247"/>
    </row>
    <row r="5434">
      <c r="A5434" s="247"/>
      <c r="B5434" s="258"/>
      <c r="C5434" s="247"/>
    </row>
    <row r="5435">
      <c r="A5435" s="247"/>
      <c r="B5435" s="258"/>
      <c r="C5435" s="247"/>
    </row>
    <row r="5436">
      <c r="A5436" s="247"/>
      <c r="B5436" s="258"/>
      <c r="C5436" s="247"/>
    </row>
    <row r="5437">
      <c r="A5437" s="247"/>
      <c r="B5437" s="258"/>
      <c r="C5437" s="247"/>
    </row>
    <row r="5438">
      <c r="A5438" s="247"/>
      <c r="B5438" s="258"/>
      <c r="C5438" s="247"/>
    </row>
    <row r="5439">
      <c r="A5439" s="247"/>
      <c r="B5439" s="258"/>
      <c r="C5439" s="247"/>
    </row>
    <row r="5440">
      <c r="A5440" s="247"/>
      <c r="B5440" s="258"/>
      <c r="C5440" s="247"/>
    </row>
    <row r="5441">
      <c r="A5441" s="247"/>
      <c r="B5441" s="258"/>
      <c r="C5441" s="247"/>
    </row>
    <row r="5442">
      <c r="A5442" s="247"/>
      <c r="B5442" s="258"/>
      <c r="C5442" s="247"/>
    </row>
    <row r="5443">
      <c r="A5443" s="247"/>
      <c r="B5443" s="258"/>
      <c r="C5443" s="247"/>
    </row>
    <row r="5444">
      <c r="A5444" s="247"/>
      <c r="B5444" s="258"/>
      <c r="C5444" s="247"/>
    </row>
    <row r="5445">
      <c r="A5445" s="247"/>
      <c r="B5445" s="258"/>
      <c r="C5445" s="247"/>
    </row>
    <row r="5446">
      <c r="A5446" s="247"/>
      <c r="B5446" s="258"/>
      <c r="C5446" s="247"/>
    </row>
    <row r="5447">
      <c r="A5447" s="247"/>
      <c r="B5447" s="258"/>
      <c r="C5447" s="247"/>
    </row>
    <row r="5448">
      <c r="A5448" s="247"/>
      <c r="B5448" s="258"/>
      <c r="C5448" s="247"/>
    </row>
    <row r="5449">
      <c r="A5449" s="247"/>
      <c r="B5449" s="258"/>
      <c r="C5449" s="247"/>
    </row>
    <row r="5450">
      <c r="A5450" s="247"/>
      <c r="B5450" s="258"/>
      <c r="C5450" s="247"/>
    </row>
    <row r="5451">
      <c r="A5451" s="247"/>
      <c r="B5451" s="258"/>
      <c r="C5451" s="247"/>
    </row>
    <row r="5452">
      <c r="A5452" s="247"/>
      <c r="B5452" s="258"/>
      <c r="C5452" s="247"/>
    </row>
    <row r="5453">
      <c r="A5453" s="247"/>
      <c r="B5453" s="258"/>
      <c r="C5453" s="247"/>
    </row>
    <row r="5454">
      <c r="A5454" s="247"/>
      <c r="B5454" s="258"/>
      <c r="C5454" s="247"/>
    </row>
    <row r="5455">
      <c r="A5455" s="247"/>
      <c r="B5455" s="258"/>
      <c r="C5455" s="247"/>
    </row>
    <row r="5456">
      <c r="A5456" s="247"/>
      <c r="B5456" s="258"/>
      <c r="C5456" s="247"/>
    </row>
    <row r="5457">
      <c r="A5457" s="247"/>
      <c r="B5457" s="258"/>
      <c r="C5457" s="247"/>
    </row>
    <row r="5458">
      <c r="A5458" s="247"/>
      <c r="B5458" s="258"/>
      <c r="C5458" s="247"/>
    </row>
    <row r="5459">
      <c r="A5459" s="247"/>
      <c r="B5459" s="258"/>
      <c r="C5459" s="247"/>
    </row>
    <row r="5460">
      <c r="A5460" s="247"/>
      <c r="B5460" s="258"/>
      <c r="C5460" s="247"/>
    </row>
    <row r="5461">
      <c r="A5461" s="247"/>
      <c r="B5461" s="258"/>
      <c r="C5461" s="247"/>
    </row>
    <row r="5462">
      <c r="A5462" s="247"/>
      <c r="B5462" s="258"/>
      <c r="C5462" s="247"/>
    </row>
    <row r="5463">
      <c r="A5463" s="247"/>
      <c r="B5463" s="258"/>
      <c r="C5463" s="247"/>
    </row>
    <row r="5464">
      <c r="A5464" s="247"/>
      <c r="B5464" s="258"/>
      <c r="C5464" s="247"/>
    </row>
    <row r="5465">
      <c r="A5465" s="247"/>
      <c r="B5465" s="258"/>
      <c r="C5465" s="247"/>
    </row>
    <row r="5466">
      <c r="A5466" s="247"/>
      <c r="B5466" s="258"/>
      <c r="C5466" s="247"/>
    </row>
    <row r="5467">
      <c r="A5467" s="247"/>
      <c r="B5467" s="258"/>
      <c r="C5467" s="247"/>
    </row>
    <row r="5468">
      <c r="A5468" s="247"/>
      <c r="B5468" s="258"/>
      <c r="C5468" s="247"/>
    </row>
    <row r="5469">
      <c r="A5469" s="247"/>
      <c r="B5469" s="258"/>
      <c r="C5469" s="247"/>
    </row>
    <row r="5470">
      <c r="A5470" s="247"/>
      <c r="B5470" s="258"/>
      <c r="C5470" s="247"/>
    </row>
    <row r="5471">
      <c r="A5471" s="247"/>
      <c r="B5471" s="258"/>
      <c r="C5471" s="247"/>
    </row>
    <row r="5472">
      <c r="A5472" s="247"/>
      <c r="B5472" s="258"/>
      <c r="C5472" s="247"/>
    </row>
    <row r="5473">
      <c r="A5473" s="247"/>
      <c r="B5473" s="258"/>
      <c r="C5473" s="247"/>
    </row>
    <row r="5474">
      <c r="A5474" s="247"/>
      <c r="B5474" s="258"/>
      <c r="C5474" s="247"/>
    </row>
    <row r="5475">
      <c r="A5475" s="247"/>
      <c r="B5475" s="258"/>
      <c r="C5475" s="247"/>
    </row>
    <row r="5476">
      <c r="A5476" s="247"/>
      <c r="B5476" s="258"/>
      <c r="C5476" s="247"/>
    </row>
    <row r="5477">
      <c r="A5477" s="247"/>
      <c r="B5477" s="258"/>
      <c r="C5477" s="247"/>
    </row>
    <row r="5478">
      <c r="A5478" s="247"/>
      <c r="B5478" s="258"/>
      <c r="C5478" s="247"/>
    </row>
    <row r="5479">
      <c r="A5479" s="247"/>
      <c r="B5479" s="258"/>
      <c r="C5479" s="247"/>
    </row>
    <row r="5480">
      <c r="A5480" s="247"/>
      <c r="B5480" s="258"/>
      <c r="C5480" s="247"/>
    </row>
    <row r="5481">
      <c r="A5481" s="247"/>
      <c r="B5481" s="258"/>
      <c r="C5481" s="247"/>
    </row>
    <row r="5482">
      <c r="A5482" s="247"/>
      <c r="B5482" s="258"/>
      <c r="C5482" s="247"/>
    </row>
    <row r="5483">
      <c r="A5483" s="247"/>
      <c r="B5483" s="258"/>
      <c r="C5483" s="247"/>
    </row>
    <row r="5484">
      <c r="A5484" s="247"/>
      <c r="B5484" s="258"/>
      <c r="C5484" s="247"/>
    </row>
    <row r="5485">
      <c r="A5485" s="247"/>
      <c r="B5485" s="258"/>
      <c r="C5485" s="247"/>
    </row>
    <row r="5486">
      <c r="A5486" s="247"/>
      <c r="B5486" s="258"/>
      <c r="C5486" s="247"/>
    </row>
    <row r="5487">
      <c r="A5487" s="247"/>
      <c r="B5487" s="258"/>
      <c r="C5487" s="247"/>
    </row>
    <row r="5488">
      <c r="A5488" s="247"/>
      <c r="B5488" s="258"/>
      <c r="C5488" s="247"/>
    </row>
    <row r="5489">
      <c r="A5489" s="247"/>
      <c r="B5489" s="258"/>
      <c r="C5489" s="247"/>
    </row>
    <row r="5490">
      <c r="A5490" s="247"/>
      <c r="B5490" s="258"/>
      <c r="C5490" s="247"/>
    </row>
    <row r="5491">
      <c r="A5491" s="247"/>
      <c r="B5491" s="258"/>
      <c r="C5491" s="247"/>
    </row>
    <row r="5492">
      <c r="A5492" s="247"/>
      <c r="B5492" s="258"/>
      <c r="C5492" s="247"/>
    </row>
    <row r="5493">
      <c r="A5493" s="247"/>
      <c r="B5493" s="258"/>
      <c r="C5493" s="247"/>
    </row>
    <row r="5494">
      <c r="A5494" s="247"/>
      <c r="B5494" s="258"/>
      <c r="C5494" s="247"/>
    </row>
    <row r="5495">
      <c r="A5495" s="247"/>
      <c r="B5495" s="258"/>
      <c r="C5495" s="247"/>
    </row>
    <row r="5496">
      <c r="A5496" s="247"/>
      <c r="B5496" s="258"/>
      <c r="C5496" s="247"/>
    </row>
    <row r="5497">
      <c r="A5497" s="247"/>
      <c r="B5497" s="258"/>
      <c r="C5497" s="247"/>
    </row>
    <row r="5498">
      <c r="A5498" s="247"/>
      <c r="B5498" s="258"/>
      <c r="C5498" s="247"/>
    </row>
    <row r="5499">
      <c r="A5499" s="247"/>
      <c r="B5499" s="258"/>
      <c r="C5499" s="247"/>
    </row>
    <row r="5500">
      <c r="A5500" s="247"/>
      <c r="B5500" s="258"/>
      <c r="C5500" s="247"/>
    </row>
    <row r="5501">
      <c r="A5501" s="247"/>
      <c r="B5501" s="258"/>
      <c r="C5501" s="247"/>
    </row>
    <row r="5502">
      <c r="A5502" s="247"/>
      <c r="B5502" s="258"/>
      <c r="C5502" s="247"/>
    </row>
    <row r="5503">
      <c r="A5503" s="247"/>
      <c r="B5503" s="258"/>
      <c r="C5503" s="247"/>
    </row>
    <row r="5504">
      <c r="A5504" s="247"/>
      <c r="B5504" s="258"/>
      <c r="C5504" s="247"/>
    </row>
    <row r="5505">
      <c r="A5505" s="247"/>
      <c r="B5505" s="258"/>
      <c r="C5505" s="247"/>
    </row>
    <row r="5506">
      <c r="A5506" s="247"/>
      <c r="B5506" s="258"/>
      <c r="C5506" s="247"/>
    </row>
    <row r="5507">
      <c r="A5507" s="247"/>
      <c r="B5507" s="258"/>
      <c r="C5507" s="247"/>
    </row>
    <row r="5508">
      <c r="A5508" s="247"/>
      <c r="B5508" s="258"/>
      <c r="C5508" s="247"/>
    </row>
    <row r="5509">
      <c r="A5509" s="247"/>
      <c r="B5509" s="258"/>
      <c r="C5509" s="247"/>
    </row>
    <row r="5510">
      <c r="A5510" s="247"/>
      <c r="B5510" s="258"/>
      <c r="C5510" s="247"/>
    </row>
    <row r="5511">
      <c r="A5511" s="247"/>
      <c r="B5511" s="258"/>
      <c r="C5511" s="247"/>
    </row>
    <row r="5512">
      <c r="A5512" s="247"/>
      <c r="B5512" s="258"/>
      <c r="C5512" s="247"/>
    </row>
    <row r="5513">
      <c r="A5513" s="247"/>
      <c r="B5513" s="258"/>
      <c r="C5513" s="247"/>
    </row>
    <row r="5514">
      <c r="A5514" s="247"/>
      <c r="B5514" s="258"/>
      <c r="C5514" s="247"/>
    </row>
    <row r="5515">
      <c r="A5515" s="247"/>
      <c r="B5515" s="258"/>
      <c r="C5515" s="247"/>
    </row>
    <row r="5516">
      <c r="A5516" s="247"/>
      <c r="B5516" s="258"/>
      <c r="C5516" s="247"/>
    </row>
    <row r="5517">
      <c r="A5517" s="247"/>
      <c r="B5517" s="258"/>
      <c r="C5517" s="247"/>
    </row>
    <row r="5518">
      <c r="A5518" s="247"/>
      <c r="B5518" s="258"/>
      <c r="C5518" s="247"/>
    </row>
    <row r="5519">
      <c r="A5519" s="247"/>
      <c r="B5519" s="258"/>
      <c r="C5519" s="247"/>
    </row>
    <row r="5520">
      <c r="A5520" s="247"/>
      <c r="B5520" s="258"/>
      <c r="C5520" s="247"/>
    </row>
    <row r="5521">
      <c r="A5521" s="247"/>
      <c r="B5521" s="258"/>
      <c r="C5521" s="247"/>
    </row>
    <row r="5522">
      <c r="A5522" s="247"/>
      <c r="B5522" s="258"/>
      <c r="C5522" s="247"/>
    </row>
    <row r="5523">
      <c r="A5523" s="247"/>
      <c r="B5523" s="258"/>
      <c r="C5523" s="247"/>
    </row>
    <row r="5524">
      <c r="A5524" s="247"/>
      <c r="B5524" s="258"/>
      <c r="C5524" s="247"/>
    </row>
    <row r="5525">
      <c r="A5525" s="247"/>
      <c r="B5525" s="258"/>
      <c r="C5525" s="247"/>
    </row>
    <row r="5526">
      <c r="A5526" s="247"/>
      <c r="B5526" s="258"/>
      <c r="C5526" s="247"/>
    </row>
    <row r="5527">
      <c r="A5527" s="247"/>
      <c r="B5527" s="258"/>
      <c r="C5527" s="247"/>
    </row>
    <row r="5528">
      <c r="A5528" s="247"/>
      <c r="B5528" s="258"/>
      <c r="C5528" s="247"/>
    </row>
    <row r="5529">
      <c r="A5529" s="247"/>
      <c r="B5529" s="258"/>
      <c r="C5529" s="247"/>
    </row>
    <row r="5530">
      <c r="A5530" s="247"/>
      <c r="B5530" s="258"/>
      <c r="C5530" s="247"/>
    </row>
    <row r="5531">
      <c r="A5531" s="247"/>
      <c r="B5531" s="258"/>
      <c r="C5531" s="247"/>
    </row>
    <row r="5532">
      <c r="A5532" s="247"/>
      <c r="B5532" s="258"/>
      <c r="C5532" s="247"/>
    </row>
    <row r="5533">
      <c r="A5533" s="247"/>
      <c r="B5533" s="258"/>
      <c r="C5533" s="247"/>
    </row>
    <row r="5534">
      <c r="A5534" s="247"/>
      <c r="B5534" s="258"/>
      <c r="C5534" s="247"/>
    </row>
    <row r="5535">
      <c r="A5535" s="247"/>
      <c r="B5535" s="258"/>
      <c r="C5535" s="247"/>
    </row>
    <row r="5536">
      <c r="A5536" s="247"/>
      <c r="B5536" s="258"/>
      <c r="C5536" s="247"/>
    </row>
    <row r="5537">
      <c r="A5537" s="247"/>
      <c r="B5537" s="258"/>
      <c r="C5537" s="247"/>
    </row>
    <row r="5538">
      <c r="A5538" s="247"/>
      <c r="B5538" s="258"/>
      <c r="C5538" s="247"/>
    </row>
    <row r="5539">
      <c r="A5539" s="247"/>
      <c r="B5539" s="258"/>
      <c r="C5539" s="247"/>
    </row>
    <row r="5540">
      <c r="A5540" s="247"/>
      <c r="B5540" s="258"/>
      <c r="C5540" s="247"/>
    </row>
    <row r="5541">
      <c r="A5541" s="247"/>
      <c r="B5541" s="258"/>
      <c r="C5541" s="247"/>
    </row>
    <row r="5542">
      <c r="A5542" s="247"/>
      <c r="B5542" s="258"/>
      <c r="C5542" s="247"/>
    </row>
    <row r="5543">
      <c r="A5543" s="247"/>
      <c r="B5543" s="258"/>
      <c r="C5543" s="247"/>
    </row>
    <row r="5544">
      <c r="A5544" s="247"/>
      <c r="B5544" s="258"/>
      <c r="C5544" s="247"/>
    </row>
    <row r="5545">
      <c r="A5545" s="247"/>
      <c r="B5545" s="258"/>
      <c r="C5545" s="247"/>
    </row>
    <row r="5546">
      <c r="A5546" s="247"/>
      <c r="B5546" s="258"/>
      <c r="C5546" s="247"/>
    </row>
    <row r="5547">
      <c r="A5547" s="247"/>
      <c r="B5547" s="258"/>
      <c r="C5547" s="247"/>
    </row>
    <row r="5548">
      <c r="A5548" s="247"/>
      <c r="B5548" s="258"/>
      <c r="C5548" s="247"/>
    </row>
    <row r="5549">
      <c r="A5549" s="247"/>
      <c r="B5549" s="258"/>
      <c r="C5549" s="247"/>
    </row>
    <row r="5550">
      <c r="A5550" s="247"/>
      <c r="B5550" s="258"/>
      <c r="C5550" s="247"/>
    </row>
    <row r="5551">
      <c r="A5551" s="247"/>
      <c r="B5551" s="258"/>
      <c r="C5551" s="247"/>
    </row>
    <row r="5552">
      <c r="A5552" s="247"/>
      <c r="B5552" s="258"/>
      <c r="C5552" s="247"/>
    </row>
    <row r="5553">
      <c r="A5553" s="247"/>
      <c r="B5553" s="258"/>
      <c r="C5553" s="247"/>
    </row>
    <row r="5554">
      <c r="A5554" s="247"/>
      <c r="B5554" s="258"/>
      <c r="C5554" s="247"/>
    </row>
    <row r="5555">
      <c r="A5555" s="247"/>
      <c r="B5555" s="258"/>
      <c r="C5555" s="247"/>
    </row>
    <row r="5556">
      <c r="A5556" s="247"/>
      <c r="B5556" s="258"/>
      <c r="C5556" s="247"/>
    </row>
    <row r="5557">
      <c r="A5557" s="247"/>
      <c r="B5557" s="258"/>
      <c r="C5557" s="247"/>
    </row>
    <row r="5558">
      <c r="A5558" s="247"/>
      <c r="B5558" s="258"/>
      <c r="C5558" s="247"/>
    </row>
    <row r="5559">
      <c r="A5559" s="247"/>
      <c r="B5559" s="258"/>
      <c r="C5559" s="247"/>
    </row>
    <row r="5560">
      <c r="A5560" s="247"/>
      <c r="B5560" s="258"/>
      <c r="C5560" s="247"/>
    </row>
    <row r="5561">
      <c r="A5561" s="247"/>
      <c r="B5561" s="258"/>
      <c r="C5561" s="247"/>
    </row>
    <row r="5562">
      <c r="A5562" s="247"/>
      <c r="B5562" s="258"/>
      <c r="C5562" s="247"/>
    </row>
    <row r="5563">
      <c r="A5563" s="247"/>
      <c r="B5563" s="258"/>
      <c r="C5563" s="247"/>
    </row>
    <row r="5564">
      <c r="A5564" s="247"/>
      <c r="B5564" s="258"/>
      <c r="C5564" s="247"/>
    </row>
    <row r="5565">
      <c r="A5565" s="247"/>
      <c r="B5565" s="258"/>
      <c r="C5565" s="247"/>
    </row>
    <row r="5566">
      <c r="A5566" s="247"/>
      <c r="B5566" s="258"/>
      <c r="C5566" s="247"/>
    </row>
    <row r="5567">
      <c r="A5567" s="247"/>
      <c r="B5567" s="258"/>
      <c r="C5567" s="247"/>
    </row>
    <row r="5568">
      <c r="A5568" s="247"/>
      <c r="B5568" s="258"/>
      <c r="C5568" s="247"/>
    </row>
    <row r="5569">
      <c r="A5569" s="247"/>
      <c r="B5569" s="258"/>
      <c r="C5569" s="247"/>
    </row>
    <row r="5570">
      <c r="A5570" s="247"/>
      <c r="B5570" s="258"/>
      <c r="C5570" s="247"/>
    </row>
    <row r="5571">
      <c r="A5571" s="247"/>
      <c r="B5571" s="258"/>
      <c r="C5571" s="247"/>
    </row>
    <row r="5572">
      <c r="A5572" s="247"/>
      <c r="B5572" s="258"/>
      <c r="C5572" s="247"/>
    </row>
    <row r="5573">
      <c r="A5573" s="247"/>
      <c r="B5573" s="258"/>
      <c r="C5573" s="247"/>
    </row>
    <row r="5574">
      <c r="A5574" s="247"/>
      <c r="B5574" s="258"/>
      <c r="C5574" s="247"/>
    </row>
    <row r="5575">
      <c r="A5575" s="247"/>
      <c r="B5575" s="258"/>
      <c r="C5575" s="247"/>
    </row>
    <row r="5576">
      <c r="A5576" s="247"/>
      <c r="B5576" s="258"/>
      <c r="C5576" s="247"/>
    </row>
    <row r="5577">
      <c r="A5577" s="247"/>
      <c r="B5577" s="258"/>
      <c r="C5577" s="247"/>
    </row>
    <row r="5578">
      <c r="A5578" s="247"/>
      <c r="B5578" s="258"/>
      <c r="C5578" s="247"/>
    </row>
    <row r="5579">
      <c r="A5579" s="247"/>
      <c r="B5579" s="258"/>
      <c r="C5579" s="247"/>
    </row>
    <row r="5580">
      <c r="A5580" s="247"/>
      <c r="B5580" s="258"/>
      <c r="C5580" s="247"/>
    </row>
    <row r="5581">
      <c r="A5581" s="247"/>
      <c r="B5581" s="258"/>
      <c r="C5581" s="247"/>
    </row>
    <row r="5582">
      <c r="A5582" s="247"/>
      <c r="B5582" s="258"/>
      <c r="C5582" s="247"/>
    </row>
    <row r="5583">
      <c r="A5583" s="247"/>
      <c r="B5583" s="258"/>
      <c r="C5583" s="247"/>
    </row>
    <row r="5584">
      <c r="A5584" s="247"/>
      <c r="B5584" s="258"/>
      <c r="C5584" s="247"/>
    </row>
    <row r="5585">
      <c r="A5585" s="247"/>
      <c r="B5585" s="258"/>
      <c r="C5585" s="247"/>
    </row>
    <row r="5586">
      <c r="A5586" s="247"/>
      <c r="B5586" s="258"/>
      <c r="C5586" s="247"/>
    </row>
    <row r="5587">
      <c r="A5587" s="247"/>
      <c r="B5587" s="258"/>
      <c r="C5587" s="247"/>
    </row>
    <row r="5588">
      <c r="A5588" s="247"/>
      <c r="B5588" s="258"/>
      <c r="C5588" s="247"/>
    </row>
    <row r="5589">
      <c r="A5589" s="247"/>
      <c r="B5589" s="258"/>
      <c r="C5589" s="247"/>
    </row>
    <row r="5590">
      <c r="A5590" s="247"/>
      <c r="B5590" s="258"/>
      <c r="C5590" s="247"/>
    </row>
    <row r="5591">
      <c r="A5591" s="247"/>
      <c r="B5591" s="258"/>
      <c r="C5591" s="247"/>
    </row>
    <row r="5592">
      <c r="A5592" s="247"/>
      <c r="B5592" s="258"/>
      <c r="C5592" s="247"/>
    </row>
    <row r="5593">
      <c r="A5593" s="247"/>
      <c r="B5593" s="258"/>
      <c r="C5593" s="247"/>
    </row>
    <row r="5594">
      <c r="A5594" s="247"/>
      <c r="B5594" s="258"/>
      <c r="C5594" s="247"/>
    </row>
    <row r="5595">
      <c r="A5595" s="247"/>
      <c r="B5595" s="258"/>
      <c r="C5595" s="247"/>
    </row>
    <row r="5596">
      <c r="A5596" s="247"/>
      <c r="B5596" s="258"/>
      <c r="C5596" s="247"/>
    </row>
    <row r="5597">
      <c r="A5597" s="247"/>
      <c r="B5597" s="258"/>
      <c r="C5597" s="247"/>
    </row>
    <row r="5598">
      <c r="A5598" s="247"/>
      <c r="B5598" s="258"/>
      <c r="C5598" s="247"/>
    </row>
    <row r="5599">
      <c r="A5599" s="247"/>
      <c r="B5599" s="258"/>
      <c r="C5599" s="247"/>
    </row>
    <row r="5600">
      <c r="A5600" s="247"/>
      <c r="B5600" s="258"/>
      <c r="C5600" s="247"/>
    </row>
    <row r="5601">
      <c r="A5601" s="247"/>
      <c r="B5601" s="258"/>
      <c r="C5601" s="247"/>
    </row>
    <row r="5602">
      <c r="A5602" s="247"/>
      <c r="B5602" s="258"/>
      <c r="C5602" s="247"/>
    </row>
    <row r="5603">
      <c r="A5603" s="247"/>
      <c r="B5603" s="258"/>
      <c r="C5603" s="247"/>
    </row>
    <row r="5604">
      <c r="A5604" s="247"/>
      <c r="B5604" s="258"/>
      <c r="C5604" s="247"/>
    </row>
    <row r="5605">
      <c r="A5605" s="247"/>
      <c r="B5605" s="258"/>
      <c r="C5605" s="247"/>
    </row>
    <row r="5606">
      <c r="A5606" s="247"/>
      <c r="B5606" s="258"/>
      <c r="C5606" s="247"/>
    </row>
    <row r="5607">
      <c r="A5607" s="247"/>
      <c r="B5607" s="258"/>
      <c r="C5607" s="247"/>
    </row>
    <row r="5608">
      <c r="A5608" s="247"/>
      <c r="B5608" s="258"/>
      <c r="C5608" s="247"/>
    </row>
    <row r="5609">
      <c r="A5609" s="247"/>
      <c r="B5609" s="258"/>
      <c r="C5609" s="247"/>
    </row>
    <row r="5610">
      <c r="A5610" s="247"/>
      <c r="B5610" s="258"/>
      <c r="C5610" s="247"/>
    </row>
    <row r="5611">
      <c r="A5611" s="247"/>
      <c r="B5611" s="258"/>
      <c r="C5611" s="247"/>
    </row>
    <row r="5612">
      <c r="A5612" s="247"/>
      <c r="B5612" s="258"/>
      <c r="C5612" s="247"/>
    </row>
    <row r="5613">
      <c r="A5613" s="247"/>
      <c r="B5613" s="258"/>
      <c r="C5613" s="247"/>
    </row>
    <row r="5614">
      <c r="A5614" s="247"/>
      <c r="B5614" s="258"/>
      <c r="C5614" s="247"/>
    </row>
    <row r="5615">
      <c r="A5615" s="247"/>
      <c r="B5615" s="258"/>
      <c r="C5615" s="247"/>
    </row>
    <row r="5616">
      <c r="A5616" s="247"/>
      <c r="B5616" s="258"/>
      <c r="C5616" s="247"/>
    </row>
    <row r="5617">
      <c r="A5617" s="247"/>
      <c r="B5617" s="258"/>
      <c r="C5617" s="247"/>
    </row>
    <row r="5618">
      <c r="A5618" s="247"/>
      <c r="B5618" s="258"/>
      <c r="C5618" s="247"/>
    </row>
    <row r="5619">
      <c r="A5619" s="247"/>
      <c r="B5619" s="258"/>
      <c r="C5619" s="247"/>
    </row>
    <row r="5620">
      <c r="A5620" s="247"/>
      <c r="B5620" s="258"/>
      <c r="C5620" s="247"/>
    </row>
    <row r="5621">
      <c r="A5621" s="247"/>
      <c r="B5621" s="258"/>
      <c r="C5621" s="247"/>
    </row>
    <row r="5622">
      <c r="A5622" s="247"/>
      <c r="B5622" s="258"/>
      <c r="C5622" s="247"/>
    </row>
    <row r="5623">
      <c r="A5623" s="247"/>
      <c r="B5623" s="258"/>
      <c r="C5623" s="247"/>
    </row>
    <row r="5624">
      <c r="A5624" s="247"/>
      <c r="B5624" s="258"/>
      <c r="C5624" s="247"/>
    </row>
    <row r="5625">
      <c r="A5625" s="247"/>
      <c r="B5625" s="258"/>
      <c r="C5625" s="247"/>
    </row>
    <row r="5626">
      <c r="A5626" s="247"/>
      <c r="B5626" s="258"/>
      <c r="C5626" s="247"/>
    </row>
    <row r="5627">
      <c r="A5627" s="247"/>
      <c r="B5627" s="258"/>
      <c r="C5627" s="247"/>
    </row>
    <row r="5628">
      <c r="A5628" s="247"/>
      <c r="B5628" s="258"/>
      <c r="C5628" s="247"/>
    </row>
    <row r="5629">
      <c r="A5629" s="247"/>
      <c r="B5629" s="258"/>
      <c r="C5629" s="247"/>
    </row>
    <row r="5630">
      <c r="A5630" s="247"/>
      <c r="B5630" s="258"/>
      <c r="C5630" s="247"/>
    </row>
    <row r="5631">
      <c r="A5631" s="247"/>
      <c r="B5631" s="258"/>
      <c r="C5631" s="247"/>
    </row>
    <row r="5632">
      <c r="A5632" s="247"/>
      <c r="B5632" s="258"/>
      <c r="C5632" s="247"/>
    </row>
    <row r="5633">
      <c r="A5633" s="247"/>
      <c r="B5633" s="258"/>
      <c r="C5633" s="247"/>
    </row>
    <row r="5634">
      <c r="A5634" s="247"/>
      <c r="B5634" s="258"/>
      <c r="C5634" s="247"/>
    </row>
    <row r="5635">
      <c r="A5635" s="247"/>
      <c r="B5635" s="258"/>
      <c r="C5635" s="247"/>
    </row>
    <row r="5636">
      <c r="A5636" s="247"/>
      <c r="B5636" s="258"/>
      <c r="C5636" s="247"/>
    </row>
    <row r="5637">
      <c r="A5637" s="247"/>
      <c r="B5637" s="258"/>
      <c r="C5637" s="247"/>
    </row>
    <row r="5638">
      <c r="A5638" s="247"/>
      <c r="B5638" s="258"/>
      <c r="C5638" s="247"/>
    </row>
    <row r="5639">
      <c r="A5639" s="247"/>
      <c r="B5639" s="258"/>
      <c r="C5639" s="247"/>
    </row>
    <row r="5640">
      <c r="A5640" s="247"/>
      <c r="B5640" s="258"/>
      <c r="C5640" s="247"/>
    </row>
    <row r="5641">
      <c r="A5641" s="247"/>
      <c r="B5641" s="258"/>
      <c r="C5641" s="247"/>
    </row>
    <row r="5642">
      <c r="A5642" s="247"/>
      <c r="B5642" s="258"/>
      <c r="C5642" s="247"/>
    </row>
    <row r="5643">
      <c r="A5643" s="247"/>
      <c r="B5643" s="258"/>
      <c r="C5643" s="247"/>
    </row>
    <row r="5644">
      <c r="A5644" s="247"/>
      <c r="B5644" s="258"/>
      <c r="C5644" s="247"/>
    </row>
    <row r="5645">
      <c r="A5645" s="247"/>
      <c r="B5645" s="258"/>
      <c r="C5645" s="247"/>
    </row>
    <row r="5646">
      <c r="A5646" s="247"/>
      <c r="B5646" s="258"/>
      <c r="C5646" s="247"/>
    </row>
    <row r="5647">
      <c r="A5647" s="247"/>
      <c r="B5647" s="258"/>
      <c r="C5647" s="247"/>
    </row>
    <row r="5648">
      <c r="A5648" s="247"/>
      <c r="B5648" s="258"/>
      <c r="C5648" s="247"/>
    </row>
    <row r="5649">
      <c r="A5649" s="247"/>
      <c r="B5649" s="258"/>
      <c r="C5649" s="247"/>
    </row>
    <row r="5650">
      <c r="A5650" s="247"/>
      <c r="B5650" s="258"/>
      <c r="C5650" s="247"/>
    </row>
    <row r="5651">
      <c r="A5651" s="247"/>
      <c r="B5651" s="258"/>
      <c r="C5651" s="247"/>
    </row>
    <row r="5652">
      <c r="A5652" s="247"/>
      <c r="B5652" s="258"/>
      <c r="C5652" s="247"/>
    </row>
    <row r="5653">
      <c r="A5653" s="247"/>
      <c r="B5653" s="258"/>
      <c r="C5653" s="247"/>
    </row>
    <row r="5654">
      <c r="A5654" s="247"/>
      <c r="B5654" s="258"/>
      <c r="C5654" s="247"/>
    </row>
    <row r="5655">
      <c r="A5655" s="247"/>
      <c r="B5655" s="258"/>
      <c r="C5655" s="247"/>
    </row>
    <row r="5656">
      <c r="A5656" s="247"/>
      <c r="B5656" s="258"/>
      <c r="C5656" s="247"/>
    </row>
    <row r="5657">
      <c r="A5657" s="247"/>
      <c r="B5657" s="258"/>
      <c r="C5657" s="247"/>
    </row>
    <row r="5658">
      <c r="A5658" s="247"/>
      <c r="B5658" s="258"/>
      <c r="C5658" s="247"/>
    </row>
    <row r="5659">
      <c r="A5659" s="247"/>
      <c r="B5659" s="258"/>
      <c r="C5659" s="247"/>
    </row>
    <row r="5660">
      <c r="A5660" s="247"/>
      <c r="B5660" s="258"/>
      <c r="C5660" s="247"/>
    </row>
    <row r="5661">
      <c r="A5661" s="247"/>
      <c r="B5661" s="258"/>
      <c r="C5661" s="247"/>
    </row>
    <row r="5662">
      <c r="A5662" s="247"/>
      <c r="B5662" s="258"/>
      <c r="C5662" s="247"/>
    </row>
    <row r="5663">
      <c r="A5663" s="247"/>
      <c r="B5663" s="258"/>
      <c r="C5663" s="247"/>
    </row>
    <row r="5664">
      <c r="A5664" s="247"/>
      <c r="B5664" s="258"/>
      <c r="C5664" s="247"/>
    </row>
    <row r="5665">
      <c r="A5665" s="247"/>
      <c r="B5665" s="258"/>
      <c r="C5665" s="247"/>
    </row>
    <row r="5666">
      <c r="A5666" s="247"/>
      <c r="B5666" s="258"/>
      <c r="C5666" s="247"/>
    </row>
    <row r="5667">
      <c r="A5667" s="247"/>
      <c r="B5667" s="258"/>
      <c r="C5667" s="247"/>
    </row>
    <row r="5668">
      <c r="A5668" s="247"/>
      <c r="B5668" s="258"/>
      <c r="C5668" s="247"/>
    </row>
    <row r="5669">
      <c r="A5669" s="247"/>
      <c r="B5669" s="258"/>
      <c r="C5669" s="247"/>
    </row>
    <row r="5670">
      <c r="A5670" s="247"/>
      <c r="B5670" s="258"/>
      <c r="C5670" s="247"/>
    </row>
    <row r="5671">
      <c r="A5671" s="247"/>
      <c r="B5671" s="258"/>
      <c r="C5671" s="247"/>
    </row>
    <row r="5672">
      <c r="A5672" s="247"/>
      <c r="B5672" s="258"/>
      <c r="C5672" s="247"/>
    </row>
    <row r="5673">
      <c r="A5673" s="247"/>
      <c r="B5673" s="258"/>
      <c r="C5673" s="247"/>
    </row>
    <row r="5674">
      <c r="A5674" s="247"/>
      <c r="B5674" s="258"/>
      <c r="C5674" s="247"/>
    </row>
    <row r="5675">
      <c r="A5675" s="247"/>
      <c r="B5675" s="258"/>
      <c r="C5675" s="247"/>
    </row>
    <row r="5676">
      <c r="A5676" s="247"/>
      <c r="B5676" s="258"/>
      <c r="C5676" s="247"/>
    </row>
    <row r="5677">
      <c r="A5677" s="247"/>
      <c r="B5677" s="258"/>
      <c r="C5677" s="247"/>
    </row>
    <row r="5678">
      <c r="A5678" s="247"/>
      <c r="B5678" s="258"/>
      <c r="C5678" s="247"/>
    </row>
    <row r="5679">
      <c r="A5679" s="247"/>
      <c r="B5679" s="258"/>
      <c r="C5679" s="247"/>
    </row>
    <row r="5680">
      <c r="A5680" s="247"/>
      <c r="B5680" s="258"/>
      <c r="C5680" s="247"/>
    </row>
    <row r="5681">
      <c r="A5681" s="247"/>
      <c r="B5681" s="258"/>
      <c r="C5681" s="247"/>
    </row>
    <row r="5682">
      <c r="A5682" s="247"/>
      <c r="B5682" s="258"/>
      <c r="C5682" s="247"/>
    </row>
    <row r="5683">
      <c r="A5683" s="247"/>
      <c r="B5683" s="258"/>
      <c r="C5683" s="247"/>
    </row>
    <row r="5684">
      <c r="A5684" s="247"/>
      <c r="B5684" s="258"/>
      <c r="C5684" s="247"/>
    </row>
    <row r="5685">
      <c r="A5685" s="247"/>
      <c r="B5685" s="258"/>
      <c r="C5685" s="247"/>
    </row>
    <row r="5686">
      <c r="A5686" s="247"/>
      <c r="B5686" s="258"/>
      <c r="C5686" s="247"/>
    </row>
    <row r="5687">
      <c r="A5687" s="247"/>
      <c r="B5687" s="258"/>
      <c r="C5687" s="247"/>
    </row>
    <row r="5688">
      <c r="A5688" s="247"/>
      <c r="B5688" s="258"/>
      <c r="C5688" s="247"/>
    </row>
    <row r="5689">
      <c r="A5689" s="247"/>
      <c r="B5689" s="258"/>
      <c r="C5689" s="247"/>
    </row>
    <row r="5690">
      <c r="A5690" s="247"/>
      <c r="B5690" s="258"/>
      <c r="C5690" s="247"/>
    </row>
    <row r="5691">
      <c r="A5691" s="247"/>
      <c r="B5691" s="258"/>
      <c r="C5691" s="247"/>
    </row>
    <row r="5692">
      <c r="A5692" s="247"/>
      <c r="B5692" s="258"/>
      <c r="C5692" s="247"/>
    </row>
    <row r="5693">
      <c r="A5693" s="247"/>
      <c r="B5693" s="258"/>
      <c r="C5693" s="247"/>
    </row>
    <row r="5694">
      <c r="A5694" s="247"/>
      <c r="B5694" s="258"/>
      <c r="C5694" s="247"/>
    </row>
    <row r="5695">
      <c r="A5695" s="247"/>
      <c r="B5695" s="258"/>
      <c r="C5695" s="247"/>
    </row>
    <row r="5696">
      <c r="A5696" s="247"/>
      <c r="B5696" s="258"/>
      <c r="C5696" s="247"/>
    </row>
    <row r="5697">
      <c r="A5697" s="247"/>
      <c r="B5697" s="258"/>
      <c r="C5697" s="247"/>
    </row>
    <row r="5698">
      <c r="A5698" s="247"/>
      <c r="B5698" s="258"/>
      <c r="C5698" s="247"/>
    </row>
    <row r="5699">
      <c r="A5699" s="247"/>
      <c r="B5699" s="258"/>
      <c r="C5699" s="247"/>
    </row>
    <row r="5700">
      <c r="A5700" s="247"/>
      <c r="B5700" s="258"/>
      <c r="C5700" s="247"/>
    </row>
    <row r="5701">
      <c r="A5701" s="247"/>
      <c r="B5701" s="258"/>
      <c r="C5701" s="247"/>
    </row>
    <row r="5702">
      <c r="A5702" s="247"/>
      <c r="B5702" s="258"/>
      <c r="C5702" s="247"/>
    </row>
    <row r="5703">
      <c r="A5703" s="247"/>
      <c r="B5703" s="258"/>
      <c r="C5703" s="247"/>
    </row>
    <row r="5704">
      <c r="A5704" s="247"/>
      <c r="B5704" s="258"/>
      <c r="C5704" s="247"/>
    </row>
    <row r="5705">
      <c r="A5705" s="247"/>
      <c r="B5705" s="258"/>
      <c r="C5705" s="247"/>
    </row>
    <row r="5706">
      <c r="A5706" s="247"/>
      <c r="B5706" s="258"/>
      <c r="C5706" s="247"/>
    </row>
    <row r="5707">
      <c r="A5707" s="247"/>
      <c r="B5707" s="258"/>
      <c r="C5707" s="247"/>
    </row>
    <row r="5708">
      <c r="A5708" s="247"/>
      <c r="B5708" s="258"/>
      <c r="C5708" s="247"/>
    </row>
    <row r="5709">
      <c r="A5709" s="247"/>
      <c r="B5709" s="258"/>
      <c r="C5709" s="247"/>
    </row>
    <row r="5710">
      <c r="A5710" s="247"/>
      <c r="B5710" s="258"/>
      <c r="C5710" s="247"/>
    </row>
    <row r="5711">
      <c r="A5711" s="247"/>
      <c r="B5711" s="258"/>
      <c r="C5711" s="247"/>
    </row>
    <row r="5712">
      <c r="A5712" s="247"/>
      <c r="B5712" s="258"/>
      <c r="C5712" s="247"/>
    </row>
    <row r="5713">
      <c r="A5713" s="247"/>
      <c r="B5713" s="258"/>
      <c r="C5713" s="247"/>
    </row>
    <row r="5714">
      <c r="A5714" s="247"/>
      <c r="B5714" s="258"/>
      <c r="C5714" s="247"/>
    </row>
    <row r="5715">
      <c r="A5715" s="247"/>
      <c r="B5715" s="258"/>
      <c r="C5715" s="247"/>
    </row>
    <row r="5716">
      <c r="A5716" s="247"/>
      <c r="B5716" s="258"/>
      <c r="C5716" s="247"/>
    </row>
    <row r="5717">
      <c r="A5717" s="247"/>
      <c r="B5717" s="258"/>
      <c r="C5717" s="247"/>
    </row>
    <row r="5718">
      <c r="A5718" s="247"/>
      <c r="B5718" s="258"/>
      <c r="C5718" s="247"/>
    </row>
    <row r="5719">
      <c r="A5719" s="247"/>
      <c r="B5719" s="258"/>
      <c r="C5719" s="247"/>
    </row>
    <row r="5720">
      <c r="A5720" s="247"/>
      <c r="B5720" s="258"/>
      <c r="C5720" s="247"/>
    </row>
    <row r="5721">
      <c r="A5721" s="247"/>
      <c r="B5721" s="258"/>
      <c r="C5721" s="247"/>
    </row>
    <row r="5722">
      <c r="A5722" s="247"/>
      <c r="B5722" s="258"/>
      <c r="C5722" s="247"/>
    </row>
    <row r="5723">
      <c r="A5723" s="247"/>
      <c r="B5723" s="258"/>
      <c r="C5723" s="247"/>
    </row>
    <row r="5724">
      <c r="A5724" s="247"/>
      <c r="B5724" s="258"/>
      <c r="C5724" s="247"/>
    </row>
    <row r="5725">
      <c r="A5725" s="247"/>
      <c r="B5725" s="258"/>
      <c r="C5725" s="247"/>
    </row>
    <row r="5726">
      <c r="A5726" s="247"/>
      <c r="B5726" s="258"/>
      <c r="C5726" s="247"/>
    </row>
    <row r="5727">
      <c r="A5727" s="247"/>
      <c r="B5727" s="258"/>
      <c r="C5727" s="247"/>
    </row>
    <row r="5728">
      <c r="A5728" s="247"/>
      <c r="B5728" s="258"/>
      <c r="C5728" s="247"/>
    </row>
    <row r="5729">
      <c r="A5729" s="247"/>
      <c r="B5729" s="258"/>
      <c r="C5729" s="247"/>
    </row>
    <row r="5730">
      <c r="A5730" s="247"/>
      <c r="B5730" s="258"/>
      <c r="C5730" s="247"/>
    </row>
    <row r="5731">
      <c r="A5731" s="247"/>
      <c r="B5731" s="258"/>
      <c r="C5731" s="247"/>
    </row>
    <row r="5732">
      <c r="A5732" s="247"/>
      <c r="B5732" s="258"/>
      <c r="C5732" s="247"/>
    </row>
    <row r="5733">
      <c r="A5733" s="247"/>
      <c r="B5733" s="258"/>
      <c r="C5733" s="247"/>
    </row>
    <row r="5734">
      <c r="A5734" s="247"/>
      <c r="B5734" s="258"/>
      <c r="C5734" s="247"/>
    </row>
    <row r="5735">
      <c r="A5735" s="247"/>
      <c r="B5735" s="258"/>
      <c r="C5735" s="247"/>
    </row>
    <row r="5736">
      <c r="A5736" s="247"/>
      <c r="B5736" s="258"/>
      <c r="C5736" s="247"/>
    </row>
    <row r="5737">
      <c r="A5737" s="247"/>
      <c r="B5737" s="258"/>
      <c r="C5737" s="247"/>
    </row>
    <row r="5738">
      <c r="A5738" s="247"/>
      <c r="B5738" s="258"/>
      <c r="C5738" s="247"/>
    </row>
    <row r="5739">
      <c r="A5739" s="247"/>
      <c r="B5739" s="258"/>
      <c r="C5739" s="247"/>
    </row>
    <row r="5740">
      <c r="A5740" s="247"/>
      <c r="B5740" s="258"/>
      <c r="C5740" s="247"/>
    </row>
    <row r="5741">
      <c r="A5741" s="247"/>
      <c r="B5741" s="258"/>
      <c r="C5741" s="247"/>
    </row>
    <row r="5742">
      <c r="A5742" s="247"/>
      <c r="B5742" s="258"/>
      <c r="C5742" s="247"/>
    </row>
    <row r="5743">
      <c r="A5743" s="247"/>
      <c r="B5743" s="258"/>
      <c r="C5743" s="247"/>
    </row>
    <row r="5744">
      <c r="A5744" s="247"/>
      <c r="B5744" s="258"/>
      <c r="C5744" s="247"/>
    </row>
    <row r="5745">
      <c r="A5745" s="247"/>
      <c r="B5745" s="258"/>
      <c r="C5745" s="247"/>
    </row>
    <row r="5746">
      <c r="A5746" s="247"/>
      <c r="B5746" s="258"/>
      <c r="C5746" s="247"/>
    </row>
    <row r="5747">
      <c r="A5747" s="247"/>
      <c r="B5747" s="258"/>
      <c r="C5747" s="247"/>
    </row>
    <row r="5748">
      <c r="A5748" s="247"/>
      <c r="B5748" s="258"/>
      <c r="C5748" s="247"/>
    </row>
    <row r="5749">
      <c r="A5749" s="247"/>
      <c r="B5749" s="258"/>
      <c r="C5749" s="247"/>
    </row>
    <row r="5750">
      <c r="A5750" s="247"/>
      <c r="B5750" s="258"/>
      <c r="C5750" s="247"/>
    </row>
    <row r="5751">
      <c r="A5751" s="247"/>
      <c r="B5751" s="258"/>
      <c r="C5751" s="247"/>
    </row>
    <row r="5752">
      <c r="A5752" s="247"/>
      <c r="B5752" s="258"/>
      <c r="C5752" s="247"/>
    </row>
    <row r="5753">
      <c r="A5753" s="247"/>
      <c r="B5753" s="258"/>
      <c r="C5753" s="247"/>
    </row>
    <row r="5754">
      <c r="A5754" s="247"/>
      <c r="B5754" s="258"/>
      <c r="C5754" s="247"/>
    </row>
    <row r="5755">
      <c r="A5755" s="247"/>
      <c r="B5755" s="258"/>
      <c r="C5755" s="247"/>
    </row>
    <row r="5756">
      <c r="A5756" s="247"/>
      <c r="B5756" s="258"/>
      <c r="C5756" s="247"/>
    </row>
    <row r="5757">
      <c r="A5757" s="247"/>
      <c r="B5757" s="258"/>
      <c r="C5757" s="247"/>
    </row>
    <row r="5758">
      <c r="A5758" s="247"/>
      <c r="B5758" s="258"/>
      <c r="C5758" s="247"/>
    </row>
    <row r="5759">
      <c r="A5759" s="247"/>
      <c r="B5759" s="258"/>
      <c r="C5759" s="247"/>
    </row>
    <row r="5760">
      <c r="A5760" s="247"/>
      <c r="B5760" s="258"/>
      <c r="C5760" s="247"/>
    </row>
    <row r="5761">
      <c r="A5761" s="247"/>
      <c r="B5761" s="258"/>
      <c r="C5761" s="247"/>
    </row>
    <row r="5762">
      <c r="A5762" s="247"/>
      <c r="B5762" s="258"/>
      <c r="C5762" s="247"/>
    </row>
    <row r="5763">
      <c r="A5763" s="247"/>
      <c r="B5763" s="258"/>
      <c r="C5763" s="247"/>
    </row>
    <row r="5764">
      <c r="A5764" s="247"/>
      <c r="B5764" s="258"/>
      <c r="C5764" s="247"/>
    </row>
    <row r="5765">
      <c r="A5765" s="247"/>
      <c r="B5765" s="258"/>
      <c r="C5765" s="247"/>
    </row>
    <row r="5766">
      <c r="A5766" s="247"/>
      <c r="B5766" s="258"/>
      <c r="C5766" s="247"/>
    </row>
    <row r="5767">
      <c r="A5767" s="247"/>
      <c r="B5767" s="258"/>
      <c r="C5767" s="247"/>
    </row>
    <row r="5768">
      <c r="A5768" s="247"/>
      <c r="B5768" s="258"/>
      <c r="C5768" s="247"/>
    </row>
    <row r="5769">
      <c r="A5769" s="247"/>
      <c r="B5769" s="258"/>
      <c r="C5769" s="247"/>
    </row>
    <row r="5770">
      <c r="A5770" s="247"/>
      <c r="B5770" s="258"/>
      <c r="C5770" s="247"/>
    </row>
    <row r="5771">
      <c r="A5771" s="247"/>
      <c r="B5771" s="258"/>
      <c r="C5771" s="247"/>
    </row>
    <row r="5772">
      <c r="A5772" s="247"/>
      <c r="B5772" s="258"/>
      <c r="C5772" s="247"/>
    </row>
    <row r="5773">
      <c r="A5773" s="247"/>
      <c r="B5773" s="258"/>
      <c r="C5773" s="247"/>
    </row>
    <row r="5774">
      <c r="A5774" s="247"/>
      <c r="B5774" s="258"/>
      <c r="C5774" s="247"/>
    </row>
    <row r="5775">
      <c r="A5775" s="247"/>
      <c r="B5775" s="258"/>
      <c r="C5775" s="247"/>
    </row>
    <row r="5776">
      <c r="A5776" s="247"/>
      <c r="B5776" s="258"/>
      <c r="C5776" s="247"/>
    </row>
    <row r="5777">
      <c r="A5777" s="247"/>
      <c r="B5777" s="258"/>
      <c r="C5777" s="247"/>
    </row>
    <row r="5778">
      <c r="A5778" s="247"/>
      <c r="B5778" s="258"/>
      <c r="C5778" s="247"/>
    </row>
    <row r="5779">
      <c r="A5779" s="247"/>
      <c r="B5779" s="258"/>
      <c r="C5779" s="247"/>
    </row>
    <row r="5780">
      <c r="A5780" s="247"/>
      <c r="B5780" s="258"/>
      <c r="C5780" s="247"/>
    </row>
    <row r="5781">
      <c r="A5781" s="247"/>
      <c r="B5781" s="258"/>
      <c r="C5781" s="247"/>
    </row>
    <row r="5782">
      <c r="A5782" s="247"/>
      <c r="B5782" s="258"/>
      <c r="C5782" s="247"/>
    </row>
    <row r="5783">
      <c r="A5783" s="247"/>
      <c r="B5783" s="258"/>
      <c r="C5783" s="247"/>
    </row>
    <row r="5784">
      <c r="A5784" s="247"/>
      <c r="B5784" s="258"/>
      <c r="C5784" s="247"/>
    </row>
    <row r="5785">
      <c r="A5785" s="247"/>
      <c r="B5785" s="258"/>
      <c r="C5785" s="247"/>
    </row>
    <row r="5786">
      <c r="A5786" s="247"/>
      <c r="B5786" s="258"/>
      <c r="C5786" s="247"/>
    </row>
    <row r="5787">
      <c r="A5787" s="247"/>
      <c r="B5787" s="258"/>
      <c r="C5787" s="247"/>
    </row>
    <row r="5788">
      <c r="A5788" s="247"/>
      <c r="B5788" s="258"/>
      <c r="C5788" s="247"/>
    </row>
    <row r="5789">
      <c r="A5789" s="247"/>
      <c r="B5789" s="258"/>
      <c r="C5789" s="247"/>
    </row>
    <row r="5790">
      <c r="A5790" s="247"/>
      <c r="B5790" s="258"/>
      <c r="C5790" s="247"/>
    </row>
    <row r="5791">
      <c r="A5791" s="247"/>
      <c r="B5791" s="258"/>
      <c r="C5791" s="247"/>
    </row>
    <row r="5792">
      <c r="A5792" s="247"/>
      <c r="B5792" s="258"/>
      <c r="C5792" s="247"/>
    </row>
    <row r="5793">
      <c r="A5793" s="247"/>
      <c r="B5793" s="258"/>
      <c r="C5793" s="247"/>
    </row>
    <row r="5794">
      <c r="A5794" s="247"/>
      <c r="B5794" s="258"/>
      <c r="C5794" s="247"/>
    </row>
    <row r="5795">
      <c r="A5795" s="247"/>
      <c r="B5795" s="258"/>
      <c r="C5795" s="247"/>
    </row>
    <row r="5796">
      <c r="A5796" s="247"/>
      <c r="B5796" s="258"/>
      <c r="C5796" s="247"/>
    </row>
    <row r="5797">
      <c r="A5797" s="247"/>
      <c r="B5797" s="258"/>
      <c r="C5797" s="247"/>
    </row>
    <row r="5798">
      <c r="A5798" s="247"/>
      <c r="B5798" s="258"/>
      <c r="C5798" s="247"/>
    </row>
    <row r="5799">
      <c r="A5799" s="247"/>
      <c r="B5799" s="258"/>
      <c r="C5799" s="247"/>
    </row>
    <row r="5800">
      <c r="A5800" s="247"/>
      <c r="B5800" s="258"/>
      <c r="C5800" s="247"/>
    </row>
    <row r="5801">
      <c r="A5801" s="247"/>
      <c r="B5801" s="258"/>
      <c r="C5801" s="247"/>
    </row>
    <row r="5802">
      <c r="A5802" s="247"/>
      <c r="B5802" s="258"/>
      <c r="C5802" s="247"/>
    </row>
    <row r="5803">
      <c r="A5803" s="247"/>
      <c r="B5803" s="258"/>
      <c r="C5803" s="247"/>
    </row>
    <row r="5804">
      <c r="A5804" s="247"/>
      <c r="B5804" s="258"/>
      <c r="C5804" s="247"/>
    </row>
    <row r="5805">
      <c r="A5805" s="247"/>
      <c r="B5805" s="258"/>
      <c r="C5805" s="247"/>
    </row>
    <row r="5806">
      <c r="A5806" s="247"/>
      <c r="B5806" s="258"/>
      <c r="C5806" s="247"/>
    </row>
    <row r="5807">
      <c r="A5807" s="247"/>
      <c r="B5807" s="258"/>
      <c r="C5807" s="247"/>
    </row>
    <row r="5808">
      <c r="A5808" s="247"/>
      <c r="B5808" s="258"/>
      <c r="C5808" s="247"/>
    </row>
    <row r="5809">
      <c r="A5809" s="247"/>
      <c r="B5809" s="258"/>
      <c r="C5809" s="247"/>
    </row>
    <row r="5810">
      <c r="A5810" s="247"/>
      <c r="B5810" s="258"/>
      <c r="C5810" s="247"/>
    </row>
    <row r="5811">
      <c r="A5811" s="247"/>
      <c r="B5811" s="258"/>
      <c r="C5811" s="247"/>
    </row>
    <row r="5812">
      <c r="A5812" s="247"/>
      <c r="B5812" s="258"/>
      <c r="C5812" s="247"/>
    </row>
    <row r="5813">
      <c r="A5813" s="247"/>
      <c r="B5813" s="258"/>
      <c r="C5813" s="247"/>
    </row>
    <row r="5814">
      <c r="A5814" s="247"/>
      <c r="B5814" s="258"/>
      <c r="C5814" s="247"/>
    </row>
    <row r="5815">
      <c r="A5815" s="247"/>
      <c r="B5815" s="258"/>
      <c r="C5815" s="247"/>
    </row>
    <row r="5816">
      <c r="A5816" s="247"/>
      <c r="B5816" s="258"/>
      <c r="C5816" s="247"/>
    </row>
    <row r="5817">
      <c r="A5817" s="247"/>
      <c r="B5817" s="258"/>
      <c r="C5817" s="247"/>
    </row>
    <row r="5818">
      <c r="A5818" s="247"/>
      <c r="B5818" s="258"/>
      <c r="C5818" s="247"/>
    </row>
    <row r="5819">
      <c r="A5819" s="247"/>
      <c r="B5819" s="258"/>
      <c r="C5819" s="247"/>
    </row>
    <row r="5820">
      <c r="A5820" s="247"/>
      <c r="B5820" s="258"/>
      <c r="C5820" s="247"/>
    </row>
    <row r="5821">
      <c r="A5821" s="247"/>
      <c r="B5821" s="258"/>
      <c r="C5821" s="247"/>
    </row>
    <row r="5822">
      <c r="A5822" s="247"/>
      <c r="B5822" s="258"/>
      <c r="C5822" s="247"/>
    </row>
    <row r="5823">
      <c r="A5823" s="247"/>
      <c r="B5823" s="258"/>
      <c r="C5823" s="247"/>
    </row>
    <row r="5824">
      <c r="A5824" s="247"/>
      <c r="B5824" s="258"/>
      <c r="C5824" s="247"/>
    </row>
    <row r="5825">
      <c r="A5825" s="247"/>
      <c r="B5825" s="258"/>
      <c r="C5825" s="247"/>
    </row>
    <row r="5826">
      <c r="A5826" s="247"/>
      <c r="B5826" s="258"/>
      <c r="C5826" s="247"/>
    </row>
    <row r="5827">
      <c r="A5827" s="247"/>
      <c r="B5827" s="258"/>
      <c r="C5827" s="247"/>
    </row>
    <row r="5828">
      <c r="A5828" s="247"/>
      <c r="B5828" s="258"/>
      <c r="C5828" s="247"/>
    </row>
    <row r="5829">
      <c r="A5829" s="247"/>
      <c r="B5829" s="258"/>
      <c r="C5829" s="247"/>
    </row>
    <row r="5830">
      <c r="A5830" s="247"/>
      <c r="B5830" s="258"/>
      <c r="C5830" s="247"/>
    </row>
    <row r="5831">
      <c r="A5831" s="247"/>
      <c r="B5831" s="258"/>
      <c r="C5831" s="247"/>
    </row>
    <row r="5832">
      <c r="A5832" s="247"/>
      <c r="B5832" s="258"/>
      <c r="C5832" s="247"/>
    </row>
    <row r="5833">
      <c r="A5833" s="247"/>
      <c r="B5833" s="258"/>
      <c r="C5833" s="247"/>
    </row>
    <row r="5834">
      <c r="A5834" s="247"/>
      <c r="B5834" s="258"/>
      <c r="C5834" s="247"/>
    </row>
    <row r="5835">
      <c r="A5835" s="247"/>
      <c r="B5835" s="258"/>
      <c r="C5835" s="247"/>
    </row>
    <row r="5836">
      <c r="A5836" s="247"/>
      <c r="B5836" s="258"/>
      <c r="C5836" s="247"/>
    </row>
    <row r="5837">
      <c r="A5837" s="247"/>
      <c r="B5837" s="258"/>
      <c r="C5837" s="247"/>
    </row>
    <row r="5838">
      <c r="A5838" s="247"/>
      <c r="B5838" s="258"/>
      <c r="C5838" s="247"/>
    </row>
    <row r="5839">
      <c r="A5839" s="247"/>
      <c r="B5839" s="258"/>
      <c r="C5839" s="247"/>
    </row>
    <row r="5840">
      <c r="A5840" s="247"/>
      <c r="B5840" s="258"/>
      <c r="C5840" s="247"/>
    </row>
    <row r="5841">
      <c r="A5841" s="247"/>
      <c r="B5841" s="258"/>
      <c r="C5841" s="247"/>
    </row>
    <row r="5842">
      <c r="A5842" s="247"/>
      <c r="B5842" s="258"/>
      <c r="C5842" s="247"/>
    </row>
    <row r="5843">
      <c r="A5843" s="247"/>
      <c r="B5843" s="258"/>
      <c r="C5843" s="247"/>
    </row>
    <row r="5844">
      <c r="A5844" s="247"/>
      <c r="B5844" s="258"/>
      <c r="C5844" s="247"/>
    </row>
    <row r="5845">
      <c r="A5845" s="247"/>
      <c r="B5845" s="258"/>
      <c r="C5845" s="247"/>
    </row>
    <row r="5846">
      <c r="A5846" s="247"/>
      <c r="B5846" s="258"/>
      <c r="C5846" s="247"/>
    </row>
    <row r="5847">
      <c r="A5847" s="247"/>
      <c r="B5847" s="258"/>
      <c r="C5847" s="247"/>
    </row>
    <row r="5848">
      <c r="A5848" s="247"/>
      <c r="B5848" s="258"/>
      <c r="C5848" s="247"/>
    </row>
    <row r="5849">
      <c r="A5849" s="247"/>
      <c r="B5849" s="258"/>
      <c r="C5849" s="247"/>
    </row>
    <row r="5850">
      <c r="A5850" s="247"/>
      <c r="B5850" s="258"/>
      <c r="C5850" s="247"/>
    </row>
    <row r="5851">
      <c r="A5851" s="247"/>
      <c r="B5851" s="258"/>
      <c r="C5851" s="247"/>
    </row>
    <row r="5852">
      <c r="A5852" s="247"/>
      <c r="B5852" s="258"/>
      <c r="C5852" s="247"/>
    </row>
    <row r="5853">
      <c r="A5853" s="247"/>
      <c r="B5853" s="258"/>
      <c r="C5853" s="247"/>
    </row>
    <row r="5854">
      <c r="A5854" s="247"/>
      <c r="B5854" s="258"/>
      <c r="C5854" s="247"/>
    </row>
    <row r="5855">
      <c r="A5855" s="247"/>
      <c r="B5855" s="258"/>
      <c r="C5855" s="247"/>
    </row>
    <row r="5856">
      <c r="A5856" s="247"/>
      <c r="B5856" s="258"/>
      <c r="C5856" s="247"/>
    </row>
    <row r="5857">
      <c r="A5857" s="247"/>
      <c r="B5857" s="258"/>
      <c r="C5857" s="247"/>
    </row>
    <row r="5858">
      <c r="A5858" s="247"/>
      <c r="B5858" s="258"/>
      <c r="C5858" s="247"/>
    </row>
    <row r="5859">
      <c r="A5859" s="247"/>
      <c r="B5859" s="258"/>
      <c r="C5859" s="247"/>
    </row>
    <row r="5860">
      <c r="A5860" s="247"/>
      <c r="B5860" s="258"/>
      <c r="C5860" s="247"/>
    </row>
    <row r="5861">
      <c r="A5861" s="247"/>
      <c r="B5861" s="258"/>
      <c r="C5861" s="247"/>
    </row>
    <row r="5862">
      <c r="A5862" s="247"/>
      <c r="B5862" s="258"/>
      <c r="C5862" s="247"/>
    </row>
    <row r="5863">
      <c r="A5863" s="247"/>
      <c r="B5863" s="258"/>
      <c r="C5863" s="247"/>
    </row>
    <row r="5864">
      <c r="A5864" s="247"/>
      <c r="B5864" s="258"/>
      <c r="C5864" s="247"/>
    </row>
    <row r="5865">
      <c r="A5865" s="247"/>
      <c r="B5865" s="258"/>
      <c r="C5865" s="247"/>
    </row>
    <row r="5866">
      <c r="A5866" s="247"/>
      <c r="B5866" s="258"/>
      <c r="C5866" s="247"/>
    </row>
    <row r="5867">
      <c r="A5867" s="247"/>
      <c r="B5867" s="258"/>
      <c r="C5867" s="247"/>
    </row>
    <row r="5868">
      <c r="A5868" s="247"/>
      <c r="B5868" s="258"/>
      <c r="C5868" s="247"/>
    </row>
    <row r="5869">
      <c r="A5869" s="247"/>
      <c r="B5869" s="258"/>
      <c r="C5869" s="247"/>
    </row>
    <row r="5870">
      <c r="A5870" s="247"/>
      <c r="B5870" s="258"/>
      <c r="C5870" s="247"/>
    </row>
    <row r="5871">
      <c r="A5871" s="247"/>
      <c r="B5871" s="258"/>
      <c r="C5871" s="247"/>
    </row>
    <row r="5872">
      <c r="A5872" s="247"/>
      <c r="B5872" s="258"/>
      <c r="C5872" s="247"/>
    </row>
    <row r="5873">
      <c r="A5873" s="247"/>
      <c r="B5873" s="258"/>
      <c r="C5873" s="247"/>
    </row>
    <row r="5874">
      <c r="A5874" s="247"/>
      <c r="B5874" s="258"/>
      <c r="C5874" s="247"/>
    </row>
    <row r="5875">
      <c r="A5875" s="247"/>
      <c r="B5875" s="258"/>
      <c r="C5875" s="247"/>
    </row>
    <row r="5876">
      <c r="A5876" s="247"/>
      <c r="B5876" s="258"/>
      <c r="C5876" s="247"/>
    </row>
    <row r="5877">
      <c r="A5877" s="247"/>
      <c r="B5877" s="258"/>
      <c r="C5877" s="247"/>
    </row>
    <row r="5878">
      <c r="A5878" s="247"/>
      <c r="B5878" s="258"/>
      <c r="C5878" s="247"/>
    </row>
    <row r="5879">
      <c r="A5879" s="247"/>
      <c r="B5879" s="258"/>
      <c r="C5879" s="247"/>
    </row>
    <row r="5880">
      <c r="A5880" s="247"/>
      <c r="B5880" s="258"/>
      <c r="C5880" s="247"/>
    </row>
    <row r="5881">
      <c r="A5881" s="247"/>
      <c r="B5881" s="258"/>
      <c r="C5881" s="247"/>
    </row>
    <row r="5882">
      <c r="A5882" s="247"/>
      <c r="B5882" s="258"/>
      <c r="C5882" s="247"/>
    </row>
    <row r="5883">
      <c r="A5883" s="247"/>
      <c r="B5883" s="258"/>
      <c r="C5883" s="247"/>
    </row>
    <row r="5884">
      <c r="A5884" s="247"/>
      <c r="B5884" s="258"/>
      <c r="C5884" s="247"/>
    </row>
    <row r="5885">
      <c r="A5885" s="247"/>
      <c r="B5885" s="258"/>
      <c r="C5885" s="247"/>
    </row>
    <row r="5886">
      <c r="A5886" s="247"/>
      <c r="B5886" s="258"/>
      <c r="C5886" s="247"/>
    </row>
    <row r="5887">
      <c r="A5887" s="247"/>
      <c r="B5887" s="258"/>
      <c r="C5887" s="247"/>
    </row>
    <row r="5888">
      <c r="A5888" s="247"/>
      <c r="B5888" s="258"/>
      <c r="C5888" s="247"/>
    </row>
    <row r="5889">
      <c r="A5889" s="247"/>
      <c r="B5889" s="258"/>
      <c r="C5889" s="247"/>
    </row>
    <row r="5890">
      <c r="A5890" s="247"/>
      <c r="B5890" s="258"/>
      <c r="C5890" s="247"/>
    </row>
    <row r="5891">
      <c r="A5891" s="247"/>
      <c r="B5891" s="258"/>
      <c r="C5891" s="247"/>
    </row>
    <row r="5892">
      <c r="A5892" s="247"/>
      <c r="B5892" s="258"/>
      <c r="C5892" s="247"/>
    </row>
    <row r="5893">
      <c r="A5893" s="247"/>
      <c r="B5893" s="258"/>
      <c r="C5893" s="247"/>
    </row>
    <row r="5894">
      <c r="A5894" s="247"/>
      <c r="B5894" s="258"/>
      <c r="C5894" s="247"/>
    </row>
    <row r="5895">
      <c r="A5895" s="247"/>
      <c r="B5895" s="258"/>
      <c r="C5895" s="247"/>
    </row>
    <row r="5896">
      <c r="A5896" s="247"/>
      <c r="B5896" s="258"/>
      <c r="C5896" s="247"/>
    </row>
    <row r="5897">
      <c r="A5897" s="247"/>
      <c r="B5897" s="258"/>
      <c r="C5897" s="247"/>
    </row>
    <row r="5898">
      <c r="A5898" s="247"/>
      <c r="B5898" s="258"/>
      <c r="C5898" s="247"/>
    </row>
    <row r="5899">
      <c r="A5899" s="247"/>
      <c r="B5899" s="258"/>
      <c r="C5899" s="247"/>
    </row>
    <row r="5900">
      <c r="A5900" s="247"/>
      <c r="B5900" s="258"/>
      <c r="C5900" s="247"/>
    </row>
    <row r="5901">
      <c r="A5901" s="247"/>
      <c r="B5901" s="258"/>
      <c r="C5901" s="247"/>
    </row>
    <row r="5902">
      <c r="A5902" s="247"/>
      <c r="B5902" s="258"/>
      <c r="C5902" s="247"/>
    </row>
    <row r="5903">
      <c r="A5903" s="247"/>
      <c r="B5903" s="258"/>
      <c r="C5903" s="247"/>
    </row>
    <row r="5904">
      <c r="A5904" s="247"/>
      <c r="B5904" s="258"/>
      <c r="C5904" s="247"/>
    </row>
    <row r="5905">
      <c r="A5905" s="247"/>
      <c r="B5905" s="258"/>
      <c r="C5905" s="247"/>
    </row>
    <row r="5906">
      <c r="A5906" s="247"/>
      <c r="B5906" s="258"/>
      <c r="C5906" s="247"/>
    </row>
    <row r="5907">
      <c r="A5907" s="247"/>
      <c r="B5907" s="258"/>
      <c r="C5907" s="247"/>
    </row>
    <row r="5908">
      <c r="A5908" s="247"/>
      <c r="B5908" s="258"/>
      <c r="C5908" s="247"/>
    </row>
    <row r="5909">
      <c r="A5909" s="247"/>
      <c r="B5909" s="258"/>
      <c r="C5909" s="247"/>
    </row>
    <row r="5910">
      <c r="A5910" s="247"/>
      <c r="B5910" s="258"/>
      <c r="C5910" s="247"/>
    </row>
    <row r="5911">
      <c r="A5911" s="247"/>
      <c r="B5911" s="258"/>
      <c r="C5911" s="247"/>
    </row>
    <row r="5912">
      <c r="A5912" s="247"/>
      <c r="B5912" s="258"/>
      <c r="C5912" s="247"/>
    </row>
    <row r="5913">
      <c r="A5913" s="247"/>
      <c r="B5913" s="258"/>
      <c r="C5913" s="247"/>
    </row>
    <row r="5914">
      <c r="A5914" s="247"/>
      <c r="B5914" s="258"/>
      <c r="C5914" s="247"/>
    </row>
    <row r="5915">
      <c r="A5915" s="247"/>
      <c r="B5915" s="258"/>
      <c r="C5915" s="247"/>
    </row>
    <row r="5916">
      <c r="A5916" s="247"/>
      <c r="B5916" s="258"/>
      <c r="C5916" s="247"/>
    </row>
    <row r="5917">
      <c r="A5917" s="247"/>
      <c r="B5917" s="258"/>
      <c r="C5917" s="247"/>
    </row>
    <row r="5918">
      <c r="A5918" s="247"/>
      <c r="B5918" s="258"/>
      <c r="C5918" s="247"/>
    </row>
    <row r="5919">
      <c r="A5919" s="247"/>
      <c r="B5919" s="258"/>
      <c r="C5919" s="247"/>
    </row>
    <row r="5920">
      <c r="A5920" s="247"/>
      <c r="B5920" s="258"/>
      <c r="C5920" s="247"/>
    </row>
    <row r="5921">
      <c r="A5921" s="247"/>
      <c r="B5921" s="258"/>
      <c r="C5921" s="247"/>
    </row>
    <row r="5922">
      <c r="A5922" s="247"/>
      <c r="B5922" s="258"/>
      <c r="C5922" s="247"/>
    </row>
    <row r="5923">
      <c r="A5923" s="247"/>
      <c r="B5923" s="258"/>
      <c r="C5923" s="247"/>
    </row>
    <row r="5924">
      <c r="A5924" s="247"/>
      <c r="B5924" s="258"/>
      <c r="C5924" s="247"/>
    </row>
    <row r="5925">
      <c r="A5925" s="247"/>
      <c r="B5925" s="258"/>
      <c r="C5925" s="247"/>
    </row>
    <row r="5926">
      <c r="A5926" s="247"/>
      <c r="B5926" s="258"/>
      <c r="C5926" s="247"/>
    </row>
    <row r="5927">
      <c r="A5927" s="247"/>
      <c r="B5927" s="258"/>
      <c r="C5927" s="247"/>
    </row>
    <row r="5928">
      <c r="A5928" s="247"/>
      <c r="B5928" s="258"/>
      <c r="C5928" s="247"/>
    </row>
    <row r="5929">
      <c r="A5929" s="247"/>
      <c r="B5929" s="258"/>
      <c r="C5929" s="247"/>
    </row>
    <row r="5930">
      <c r="A5930" s="247"/>
      <c r="B5930" s="258"/>
      <c r="C5930" s="247"/>
    </row>
    <row r="5931">
      <c r="A5931" s="247"/>
      <c r="B5931" s="258"/>
      <c r="C5931" s="247"/>
    </row>
    <row r="5932">
      <c r="A5932" s="247"/>
      <c r="B5932" s="258"/>
      <c r="C5932" s="247"/>
    </row>
    <row r="5933">
      <c r="A5933" s="247"/>
      <c r="B5933" s="258"/>
      <c r="C5933" s="247"/>
    </row>
    <row r="5934">
      <c r="A5934" s="247"/>
      <c r="B5934" s="258"/>
      <c r="C5934" s="247"/>
    </row>
    <row r="5935">
      <c r="A5935" s="247"/>
      <c r="B5935" s="258"/>
      <c r="C5935" s="247"/>
    </row>
    <row r="5936">
      <c r="A5936" s="247"/>
      <c r="B5936" s="258"/>
      <c r="C5936" s="247"/>
    </row>
    <row r="5937">
      <c r="A5937" s="247"/>
      <c r="B5937" s="258"/>
      <c r="C5937" s="247"/>
    </row>
    <row r="5938">
      <c r="A5938" s="247"/>
      <c r="B5938" s="258"/>
      <c r="C5938" s="247"/>
    </row>
    <row r="5939">
      <c r="A5939" s="247"/>
      <c r="B5939" s="258"/>
      <c r="C5939" s="247"/>
    </row>
    <row r="5940">
      <c r="A5940" s="247"/>
      <c r="B5940" s="258"/>
      <c r="C5940" s="247"/>
    </row>
    <row r="5941">
      <c r="A5941" s="247"/>
      <c r="B5941" s="258"/>
      <c r="C5941" s="247"/>
    </row>
    <row r="5942">
      <c r="A5942" s="247"/>
      <c r="B5942" s="258"/>
      <c r="C5942" s="247"/>
    </row>
    <row r="5943">
      <c r="A5943" s="247"/>
      <c r="B5943" s="258"/>
      <c r="C5943" s="247"/>
    </row>
    <row r="5944">
      <c r="A5944" s="247"/>
      <c r="B5944" s="258"/>
      <c r="C5944" s="247"/>
    </row>
    <row r="5945">
      <c r="A5945" s="247"/>
      <c r="B5945" s="258"/>
      <c r="C5945" s="247"/>
    </row>
    <row r="5946">
      <c r="A5946" s="247"/>
      <c r="B5946" s="258"/>
      <c r="C5946" s="247"/>
    </row>
    <row r="5947">
      <c r="A5947" s="247"/>
      <c r="B5947" s="258"/>
      <c r="C5947" s="247"/>
    </row>
    <row r="5948">
      <c r="A5948" s="247"/>
      <c r="B5948" s="258"/>
      <c r="C5948" s="247"/>
    </row>
    <row r="5949">
      <c r="A5949" s="247"/>
      <c r="B5949" s="258"/>
      <c r="C5949" s="247"/>
    </row>
    <row r="5950">
      <c r="A5950" s="247"/>
      <c r="B5950" s="258"/>
      <c r="C5950" s="247"/>
    </row>
    <row r="5951">
      <c r="A5951" s="247"/>
      <c r="B5951" s="258"/>
      <c r="C5951" s="247"/>
    </row>
    <row r="5952">
      <c r="A5952" s="247"/>
      <c r="B5952" s="258"/>
      <c r="C5952" s="247"/>
    </row>
    <row r="5953">
      <c r="A5953" s="247"/>
      <c r="B5953" s="258"/>
      <c r="C5953" s="247"/>
    </row>
    <row r="5954">
      <c r="A5954" s="247"/>
      <c r="B5954" s="258"/>
      <c r="C5954" s="247"/>
    </row>
    <row r="5955">
      <c r="A5955" s="247"/>
      <c r="B5955" s="258"/>
      <c r="C5955" s="247"/>
    </row>
    <row r="5956">
      <c r="A5956" s="247"/>
      <c r="B5956" s="258"/>
      <c r="C5956" s="247"/>
    </row>
    <row r="5957">
      <c r="A5957" s="247"/>
      <c r="B5957" s="258"/>
      <c r="C5957" s="247"/>
    </row>
    <row r="5958">
      <c r="A5958" s="247"/>
      <c r="B5958" s="258"/>
      <c r="C5958" s="247"/>
    </row>
    <row r="5959">
      <c r="A5959" s="247"/>
      <c r="B5959" s="258"/>
      <c r="C5959" s="247"/>
    </row>
    <row r="5960">
      <c r="A5960" s="247"/>
      <c r="B5960" s="258"/>
      <c r="C5960" s="247"/>
    </row>
    <row r="5961">
      <c r="A5961" s="247"/>
      <c r="B5961" s="258"/>
      <c r="C5961" s="247"/>
    </row>
    <row r="5962">
      <c r="A5962" s="247"/>
      <c r="B5962" s="258"/>
      <c r="C5962" s="247"/>
    </row>
    <row r="5963">
      <c r="A5963" s="247"/>
      <c r="B5963" s="258"/>
      <c r="C5963" s="247"/>
    </row>
    <row r="5964">
      <c r="A5964" s="247"/>
      <c r="B5964" s="258"/>
      <c r="C5964" s="247"/>
    </row>
    <row r="5965">
      <c r="A5965" s="247"/>
      <c r="B5965" s="258"/>
      <c r="C5965" s="247"/>
    </row>
    <row r="5966">
      <c r="A5966" s="247"/>
      <c r="B5966" s="258"/>
      <c r="C5966" s="247"/>
    </row>
    <row r="5967">
      <c r="A5967" s="247"/>
      <c r="B5967" s="258"/>
      <c r="C5967" s="247"/>
    </row>
    <row r="5968">
      <c r="A5968" s="247"/>
      <c r="B5968" s="258"/>
      <c r="C5968" s="247"/>
    </row>
    <row r="5969">
      <c r="A5969" s="247"/>
      <c r="B5969" s="258"/>
      <c r="C5969" s="247"/>
    </row>
    <row r="5970">
      <c r="A5970" s="247"/>
      <c r="B5970" s="258"/>
      <c r="C5970" s="247"/>
    </row>
    <row r="5971">
      <c r="A5971" s="247"/>
      <c r="B5971" s="258"/>
      <c r="C5971" s="247"/>
    </row>
    <row r="5972">
      <c r="A5972" s="247"/>
      <c r="B5972" s="258"/>
      <c r="C5972" s="247"/>
    </row>
    <row r="5973">
      <c r="A5973" s="247"/>
      <c r="B5973" s="258"/>
      <c r="C5973" s="247"/>
    </row>
    <row r="5974">
      <c r="A5974" s="247"/>
      <c r="B5974" s="258"/>
      <c r="C5974" s="247"/>
    </row>
    <row r="5975">
      <c r="A5975" s="247"/>
      <c r="B5975" s="258"/>
      <c r="C5975" s="247"/>
    </row>
    <row r="5976">
      <c r="A5976" s="247"/>
      <c r="B5976" s="258"/>
      <c r="C5976" s="247"/>
    </row>
    <row r="5977">
      <c r="A5977" s="247"/>
      <c r="B5977" s="258"/>
      <c r="C5977" s="247"/>
    </row>
    <row r="5978">
      <c r="A5978" s="247"/>
      <c r="B5978" s="258"/>
      <c r="C5978" s="247"/>
    </row>
    <row r="5979">
      <c r="A5979" s="247"/>
      <c r="B5979" s="258"/>
      <c r="C5979" s="247"/>
    </row>
    <row r="5980">
      <c r="A5980" s="247"/>
      <c r="B5980" s="258"/>
      <c r="C5980" s="247"/>
    </row>
    <row r="5981">
      <c r="A5981" s="247"/>
      <c r="B5981" s="258"/>
      <c r="C5981" s="247"/>
    </row>
    <row r="5982">
      <c r="A5982" s="247"/>
      <c r="B5982" s="258"/>
      <c r="C5982" s="247"/>
    </row>
    <row r="5983">
      <c r="A5983" s="247"/>
      <c r="B5983" s="258"/>
      <c r="C5983" s="247"/>
    </row>
    <row r="5984">
      <c r="A5984" s="247"/>
      <c r="B5984" s="258"/>
      <c r="C5984" s="247"/>
    </row>
    <row r="5985">
      <c r="A5985" s="247"/>
      <c r="B5985" s="258"/>
      <c r="C5985" s="247"/>
    </row>
    <row r="5986">
      <c r="A5986" s="247"/>
      <c r="B5986" s="258"/>
      <c r="C5986" s="247"/>
    </row>
    <row r="5987">
      <c r="A5987" s="247"/>
      <c r="B5987" s="258"/>
      <c r="C5987" s="247"/>
    </row>
    <row r="5988">
      <c r="A5988" s="247"/>
      <c r="B5988" s="258"/>
      <c r="C5988" s="247"/>
    </row>
    <row r="5989">
      <c r="A5989" s="247"/>
      <c r="B5989" s="258"/>
      <c r="C5989" s="247"/>
    </row>
    <row r="5990">
      <c r="A5990" s="247"/>
      <c r="B5990" s="258"/>
      <c r="C5990" s="247"/>
    </row>
    <row r="5991">
      <c r="A5991" s="247"/>
      <c r="B5991" s="258"/>
      <c r="C5991" s="247"/>
    </row>
    <row r="5992">
      <c r="A5992" s="247"/>
      <c r="B5992" s="258"/>
      <c r="C5992" s="247"/>
    </row>
    <row r="5993">
      <c r="A5993" s="247"/>
      <c r="B5993" s="258"/>
      <c r="C5993" s="247"/>
    </row>
    <row r="5994">
      <c r="A5994" s="247"/>
      <c r="B5994" s="258"/>
      <c r="C5994" s="247"/>
    </row>
    <row r="5995">
      <c r="A5995" s="247"/>
      <c r="B5995" s="258"/>
      <c r="C5995" s="247"/>
    </row>
    <row r="5996">
      <c r="A5996" s="247"/>
      <c r="B5996" s="258"/>
      <c r="C5996" s="247"/>
    </row>
    <row r="5997">
      <c r="A5997" s="247"/>
      <c r="B5997" s="258"/>
      <c r="C5997" s="247"/>
    </row>
    <row r="5998">
      <c r="A5998" s="247"/>
      <c r="B5998" s="258"/>
      <c r="C5998" s="247"/>
    </row>
    <row r="5999">
      <c r="A5999" s="247"/>
      <c r="B5999" s="258"/>
      <c r="C5999" s="247"/>
    </row>
    <row r="6000">
      <c r="A6000" s="247"/>
      <c r="B6000" s="258"/>
      <c r="C6000" s="247"/>
    </row>
    <row r="6001">
      <c r="A6001" s="247"/>
      <c r="B6001" s="258"/>
      <c r="C6001" s="247"/>
    </row>
    <row r="6002">
      <c r="A6002" s="247"/>
      <c r="B6002" s="258"/>
      <c r="C6002" s="247"/>
    </row>
    <row r="6003">
      <c r="A6003" s="247"/>
      <c r="B6003" s="258"/>
      <c r="C6003" s="247"/>
    </row>
    <row r="6004">
      <c r="A6004" s="247"/>
      <c r="B6004" s="258"/>
      <c r="C6004" s="247"/>
    </row>
    <row r="6005">
      <c r="A6005" s="247"/>
      <c r="B6005" s="258"/>
      <c r="C6005" s="247"/>
    </row>
    <row r="6006">
      <c r="A6006" s="247"/>
      <c r="B6006" s="258"/>
      <c r="C6006" s="247"/>
    </row>
    <row r="6007">
      <c r="A6007" s="247"/>
      <c r="B6007" s="258"/>
      <c r="C6007" s="247"/>
    </row>
    <row r="6008">
      <c r="A6008" s="247"/>
      <c r="B6008" s="258"/>
      <c r="C6008" s="247"/>
    </row>
    <row r="6009">
      <c r="A6009" s="247"/>
      <c r="B6009" s="258"/>
      <c r="C6009" s="247"/>
    </row>
    <row r="6010">
      <c r="A6010" s="247"/>
      <c r="B6010" s="258"/>
      <c r="C6010" s="247"/>
    </row>
    <row r="6011">
      <c r="A6011" s="247"/>
      <c r="B6011" s="258"/>
      <c r="C6011" s="247"/>
    </row>
    <row r="6012">
      <c r="A6012" s="247"/>
      <c r="B6012" s="258"/>
      <c r="C6012" s="247"/>
    </row>
    <row r="6013">
      <c r="A6013" s="247"/>
      <c r="B6013" s="258"/>
      <c r="C6013" s="247"/>
    </row>
    <row r="6014">
      <c r="A6014" s="247"/>
      <c r="B6014" s="258"/>
      <c r="C6014" s="247"/>
    </row>
    <row r="6015">
      <c r="A6015" s="247"/>
      <c r="B6015" s="258"/>
      <c r="C6015" s="247"/>
    </row>
    <row r="6016">
      <c r="A6016" s="247"/>
      <c r="B6016" s="258"/>
      <c r="C6016" s="247"/>
    </row>
    <row r="6017">
      <c r="A6017" s="247"/>
      <c r="B6017" s="258"/>
      <c r="C6017" s="247"/>
    </row>
    <row r="6018">
      <c r="A6018" s="247"/>
      <c r="B6018" s="258"/>
      <c r="C6018" s="247"/>
    </row>
    <row r="6019">
      <c r="A6019" s="247"/>
      <c r="B6019" s="258"/>
      <c r="C6019" s="247"/>
    </row>
    <row r="6020">
      <c r="A6020" s="247"/>
      <c r="B6020" s="258"/>
      <c r="C6020" s="247"/>
    </row>
    <row r="6021">
      <c r="A6021" s="247"/>
      <c r="B6021" s="258"/>
      <c r="C6021" s="247"/>
    </row>
    <row r="6022">
      <c r="A6022" s="247"/>
      <c r="B6022" s="258"/>
      <c r="C6022" s="247"/>
    </row>
    <row r="6023">
      <c r="A6023" s="247"/>
      <c r="B6023" s="258"/>
      <c r="C6023" s="247"/>
    </row>
    <row r="6024">
      <c r="A6024" s="247"/>
      <c r="B6024" s="258"/>
      <c r="C6024" s="247"/>
    </row>
    <row r="6025">
      <c r="A6025" s="247"/>
      <c r="B6025" s="258"/>
      <c r="C6025" s="247"/>
    </row>
    <row r="6026">
      <c r="A6026" s="247"/>
      <c r="B6026" s="258"/>
      <c r="C6026" s="247"/>
    </row>
    <row r="6027">
      <c r="A6027" s="247"/>
      <c r="B6027" s="258"/>
      <c r="C6027" s="247"/>
    </row>
    <row r="6028">
      <c r="A6028" s="247"/>
      <c r="B6028" s="258"/>
      <c r="C6028" s="247"/>
    </row>
    <row r="6029">
      <c r="A6029" s="247"/>
      <c r="B6029" s="258"/>
      <c r="C6029" s="247"/>
    </row>
    <row r="6030">
      <c r="A6030" s="247"/>
      <c r="B6030" s="258"/>
      <c r="C6030" s="247"/>
    </row>
    <row r="6031">
      <c r="A6031" s="247"/>
      <c r="B6031" s="258"/>
      <c r="C6031" s="247"/>
    </row>
    <row r="6032">
      <c r="A6032" s="247"/>
      <c r="B6032" s="258"/>
      <c r="C6032" s="247"/>
    </row>
    <row r="6033">
      <c r="A6033" s="247"/>
      <c r="B6033" s="258"/>
      <c r="C6033" s="247"/>
    </row>
    <row r="6034">
      <c r="A6034" s="247"/>
      <c r="B6034" s="258"/>
      <c r="C6034" s="247"/>
    </row>
    <row r="6035">
      <c r="A6035" s="247"/>
      <c r="B6035" s="258"/>
      <c r="C6035" s="247"/>
    </row>
    <row r="6036">
      <c r="A6036" s="247"/>
      <c r="B6036" s="258"/>
      <c r="C6036" s="247"/>
    </row>
    <row r="6037">
      <c r="A6037" s="247"/>
      <c r="B6037" s="258"/>
      <c r="C6037" s="247"/>
    </row>
    <row r="6038">
      <c r="A6038" s="247"/>
      <c r="B6038" s="258"/>
      <c r="C6038" s="247"/>
    </row>
    <row r="6039">
      <c r="A6039" s="247"/>
      <c r="B6039" s="258"/>
      <c r="C6039" s="247"/>
    </row>
    <row r="6040">
      <c r="A6040" s="247"/>
      <c r="B6040" s="258"/>
      <c r="C6040" s="247"/>
    </row>
    <row r="6041">
      <c r="A6041" s="247"/>
      <c r="B6041" s="258"/>
      <c r="C6041" s="247"/>
    </row>
    <row r="6042">
      <c r="A6042" s="247"/>
      <c r="B6042" s="258"/>
      <c r="C6042" s="247"/>
    </row>
    <row r="6043">
      <c r="A6043" s="247"/>
      <c r="B6043" s="258"/>
      <c r="C6043" s="247"/>
    </row>
    <row r="6044">
      <c r="A6044" s="247"/>
      <c r="B6044" s="258"/>
      <c r="C6044" s="247"/>
    </row>
    <row r="6045">
      <c r="A6045" s="247"/>
      <c r="B6045" s="258"/>
      <c r="C6045" s="247"/>
    </row>
    <row r="6046">
      <c r="A6046" s="247"/>
      <c r="B6046" s="258"/>
      <c r="C6046" s="247"/>
    </row>
    <row r="6047">
      <c r="A6047" s="247"/>
      <c r="B6047" s="258"/>
      <c r="C6047" s="247"/>
    </row>
    <row r="6048">
      <c r="A6048" s="247"/>
      <c r="B6048" s="258"/>
      <c r="C6048" s="247"/>
    </row>
    <row r="6049">
      <c r="A6049" s="247"/>
      <c r="B6049" s="258"/>
      <c r="C6049" s="247"/>
    </row>
    <row r="6050">
      <c r="A6050" s="247"/>
      <c r="B6050" s="258"/>
      <c r="C6050" s="247"/>
    </row>
    <row r="6051">
      <c r="A6051" s="247"/>
      <c r="B6051" s="258"/>
      <c r="C6051" s="247"/>
    </row>
    <row r="6052">
      <c r="A6052" s="247"/>
      <c r="B6052" s="258"/>
      <c r="C6052" s="247"/>
    </row>
    <row r="6053">
      <c r="A6053" s="247"/>
      <c r="B6053" s="258"/>
      <c r="C6053" s="247"/>
    </row>
    <row r="6054">
      <c r="A6054" s="247"/>
      <c r="B6054" s="258"/>
      <c r="C6054" s="247"/>
    </row>
    <row r="6055">
      <c r="A6055" s="247"/>
      <c r="B6055" s="258"/>
      <c r="C6055" s="247"/>
    </row>
    <row r="6056">
      <c r="A6056" s="247"/>
      <c r="B6056" s="258"/>
      <c r="C6056" s="247"/>
    </row>
    <row r="6057">
      <c r="A6057" s="247"/>
      <c r="B6057" s="258"/>
      <c r="C6057" s="247"/>
    </row>
    <row r="6058">
      <c r="A6058" s="247"/>
      <c r="B6058" s="258"/>
      <c r="C6058" s="247"/>
    </row>
    <row r="6059">
      <c r="A6059" s="247"/>
      <c r="B6059" s="258"/>
      <c r="C6059" s="247"/>
    </row>
    <row r="6060">
      <c r="A6060" s="247"/>
      <c r="B6060" s="258"/>
      <c r="C6060" s="247"/>
    </row>
    <row r="6061">
      <c r="A6061" s="247"/>
      <c r="B6061" s="258"/>
      <c r="C6061" s="247"/>
    </row>
    <row r="6062">
      <c r="A6062" s="247"/>
      <c r="B6062" s="258"/>
      <c r="C6062" s="247"/>
    </row>
    <row r="6063">
      <c r="A6063" s="247"/>
      <c r="B6063" s="258"/>
      <c r="C6063" s="247"/>
    </row>
    <row r="6064">
      <c r="A6064" s="247"/>
      <c r="B6064" s="258"/>
      <c r="C6064" s="247"/>
    </row>
    <row r="6065">
      <c r="A6065" s="247"/>
      <c r="B6065" s="258"/>
      <c r="C6065" s="247"/>
    </row>
    <row r="6066">
      <c r="A6066" s="247"/>
      <c r="B6066" s="258"/>
      <c r="C6066" s="247"/>
    </row>
    <row r="6067">
      <c r="A6067" s="247"/>
      <c r="B6067" s="258"/>
      <c r="C6067" s="247"/>
    </row>
    <row r="6068">
      <c r="A6068" s="247"/>
      <c r="B6068" s="258"/>
      <c r="C6068" s="247"/>
    </row>
    <row r="6069">
      <c r="A6069" s="247"/>
      <c r="B6069" s="258"/>
      <c r="C6069" s="247"/>
    </row>
    <row r="6070">
      <c r="A6070" s="247"/>
      <c r="B6070" s="258"/>
      <c r="C6070" s="247"/>
    </row>
    <row r="6071">
      <c r="A6071" s="247"/>
      <c r="B6071" s="258"/>
      <c r="C6071" s="247"/>
    </row>
    <row r="6072">
      <c r="A6072" s="247"/>
      <c r="B6072" s="258"/>
      <c r="C6072" s="247"/>
    </row>
    <row r="6073">
      <c r="A6073" s="247"/>
      <c r="B6073" s="258"/>
      <c r="C6073" s="247"/>
    </row>
    <row r="6074">
      <c r="A6074" s="247"/>
      <c r="B6074" s="258"/>
      <c r="C6074" s="247"/>
    </row>
    <row r="6075">
      <c r="A6075" s="247"/>
      <c r="B6075" s="258"/>
      <c r="C6075" s="247"/>
    </row>
    <row r="6076">
      <c r="A6076" s="247"/>
      <c r="B6076" s="258"/>
      <c r="C6076" s="247"/>
    </row>
    <row r="6077">
      <c r="A6077" s="247"/>
      <c r="B6077" s="258"/>
      <c r="C6077" s="247"/>
    </row>
    <row r="6078">
      <c r="A6078" s="247"/>
      <c r="B6078" s="258"/>
      <c r="C6078" s="247"/>
    </row>
    <row r="6079">
      <c r="A6079" s="247"/>
      <c r="B6079" s="258"/>
      <c r="C6079" s="247"/>
    </row>
    <row r="6080">
      <c r="A6080" s="247"/>
      <c r="B6080" s="258"/>
      <c r="C6080" s="247"/>
    </row>
    <row r="6081">
      <c r="A6081" s="247"/>
      <c r="B6081" s="258"/>
      <c r="C6081" s="247"/>
    </row>
    <row r="6082">
      <c r="A6082" s="247"/>
      <c r="B6082" s="258"/>
      <c r="C6082" s="247"/>
    </row>
    <row r="6083">
      <c r="A6083" s="247"/>
      <c r="B6083" s="258"/>
      <c r="C6083" s="247"/>
    </row>
    <row r="6084">
      <c r="A6084" s="247"/>
      <c r="B6084" s="258"/>
      <c r="C6084" s="247"/>
    </row>
    <row r="6085">
      <c r="A6085" s="247"/>
      <c r="B6085" s="258"/>
      <c r="C6085" s="247"/>
    </row>
    <row r="6086">
      <c r="A6086" s="247"/>
      <c r="B6086" s="258"/>
      <c r="C6086" s="247"/>
    </row>
    <row r="6087">
      <c r="A6087" s="247"/>
      <c r="B6087" s="258"/>
      <c r="C6087" s="247"/>
    </row>
    <row r="6088">
      <c r="A6088" s="247"/>
      <c r="B6088" s="258"/>
      <c r="C6088" s="247"/>
    </row>
    <row r="6089">
      <c r="A6089" s="247"/>
      <c r="B6089" s="258"/>
      <c r="C6089" s="247"/>
    </row>
    <row r="6090">
      <c r="A6090" s="247"/>
      <c r="B6090" s="258"/>
      <c r="C6090" s="247"/>
    </row>
    <row r="6091">
      <c r="A6091" s="247"/>
      <c r="B6091" s="258"/>
      <c r="C6091" s="247"/>
    </row>
    <row r="6092">
      <c r="A6092" s="247"/>
      <c r="B6092" s="258"/>
      <c r="C6092" s="247"/>
    </row>
    <row r="6093">
      <c r="A6093" s="247"/>
      <c r="B6093" s="258"/>
      <c r="C6093" s="247"/>
    </row>
    <row r="6094">
      <c r="A6094" s="247"/>
      <c r="B6094" s="258"/>
      <c r="C6094" s="247"/>
    </row>
    <row r="6095">
      <c r="A6095" s="247"/>
      <c r="B6095" s="258"/>
      <c r="C6095" s="247"/>
    </row>
    <row r="6096">
      <c r="A6096" s="247"/>
      <c r="B6096" s="258"/>
      <c r="C6096" s="247"/>
    </row>
    <row r="6097">
      <c r="A6097" s="247"/>
      <c r="B6097" s="258"/>
      <c r="C6097" s="247"/>
    </row>
    <row r="6098">
      <c r="A6098" s="247"/>
      <c r="B6098" s="258"/>
      <c r="C6098" s="247"/>
    </row>
    <row r="6099">
      <c r="A6099" s="247"/>
      <c r="B6099" s="258"/>
      <c r="C6099" s="247"/>
    </row>
    <row r="6100">
      <c r="A6100" s="247"/>
      <c r="B6100" s="258"/>
      <c r="C6100" s="247"/>
    </row>
    <row r="6101">
      <c r="A6101" s="247"/>
      <c r="B6101" s="258"/>
      <c r="C6101" s="247"/>
    </row>
    <row r="6102">
      <c r="A6102" s="247"/>
      <c r="B6102" s="258"/>
      <c r="C6102" s="247"/>
    </row>
    <row r="6103">
      <c r="A6103" s="247"/>
      <c r="B6103" s="258"/>
      <c r="C6103" s="247"/>
    </row>
    <row r="6104">
      <c r="A6104" s="247"/>
      <c r="B6104" s="258"/>
      <c r="C6104" s="247"/>
    </row>
    <row r="6105">
      <c r="A6105" s="247"/>
      <c r="B6105" s="258"/>
      <c r="C6105" s="247"/>
    </row>
    <row r="6106">
      <c r="A6106" s="247"/>
      <c r="B6106" s="258"/>
      <c r="C6106" s="247"/>
    </row>
    <row r="6107">
      <c r="A6107" s="247"/>
      <c r="B6107" s="258"/>
      <c r="C6107" s="247"/>
    </row>
    <row r="6108">
      <c r="A6108" s="247"/>
      <c r="B6108" s="258"/>
      <c r="C6108" s="247"/>
    </row>
    <row r="6109">
      <c r="A6109" s="247"/>
      <c r="B6109" s="258"/>
      <c r="C6109" s="247"/>
    </row>
    <row r="6110">
      <c r="A6110" s="247"/>
      <c r="B6110" s="258"/>
      <c r="C6110" s="247"/>
    </row>
    <row r="6111">
      <c r="A6111" s="247"/>
      <c r="B6111" s="258"/>
      <c r="C6111" s="247"/>
    </row>
    <row r="6112">
      <c r="A6112" s="247"/>
      <c r="B6112" s="258"/>
      <c r="C6112" s="247"/>
    </row>
    <row r="6113">
      <c r="A6113" s="247"/>
      <c r="B6113" s="258"/>
      <c r="C6113" s="247"/>
    </row>
    <row r="6114">
      <c r="A6114" s="247"/>
      <c r="B6114" s="258"/>
      <c r="C6114" s="247"/>
    </row>
    <row r="6115">
      <c r="A6115" s="247"/>
      <c r="B6115" s="258"/>
      <c r="C6115" s="247"/>
    </row>
    <row r="6116">
      <c r="A6116" s="247"/>
      <c r="B6116" s="258"/>
      <c r="C6116" s="247"/>
    </row>
    <row r="6117">
      <c r="A6117" s="247"/>
      <c r="B6117" s="258"/>
      <c r="C6117" s="247"/>
    </row>
    <row r="6118">
      <c r="A6118" s="247"/>
      <c r="B6118" s="258"/>
      <c r="C6118" s="247"/>
    </row>
    <row r="6119">
      <c r="A6119" s="247"/>
      <c r="B6119" s="258"/>
      <c r="C6119" s="247"/>
    </row>
    <row r="6120">
      <c r="A6120" s="247"/>
      <c r="B6120" s="258"/>
      <c r="C6120" s="247"/>
    </row>
    <row r="6121">
      <c r="A6121" s="247"/>
      <c r="B6121" s="258"/>
      <c r="C6121" s="247"/>
    </row>
    <row r="6122">
      <c r="A6122" s="247"/>
      <c r="B6122" s="258"/>
      <c r="C6122" s="247"/>
    </row>
    <row r="6123">
      <c r="A6123" s="247"/>
      <c r="B6123" s="258"/>
      <c r="C6123" s="247"/>
    </row>
    <row r="6124">
      <c r="A6124" s="247"/>
      <c r="B6124" s="258"/>
      <c r="C6124" s="247"/>
    </row>
    <row r="6125">
      <c r="A6125" s="247"/>
      <c r="B6125" s="258"/>
      <c r="C6125" s="247"/>
    </row>
    <row r="6126">
      <c r="A6126" s="247"/>
      <c r="B6126" s="258"/>
      <c r="C6126" s="247"/>
    </row>
    <row r="6127">
      <c r="A6127" s="247"/>
      <c r="B6127" s="258"/>
      <c r="C6127" s="247"/>
    </row>
    <row r="6128">
      <c r="A6128" s="247"/>
      <c r="B6128" s="258"/>
      <c r="C6128" s="247"/>
    </row>
    <row r="6129">
      <c r="A6129" s="247"/>
      <c r="B6129" s="258"/>
      <c r="C6129" s="247"/>
    </row>
    <row r="6130">
      <c r="A6130" s="247"/>
      <c r="B6130" s="258"/>
      <c r="C6130" s="247"/>
    </row>
    <row r="6131">
      <c r="A6131" s="247"/>
      <c r="B6131" s="258"/>
      <c r="C6131" s="247"/>
    </row>
    <row r="6132">
      <c r="A6132" s="247"/>
      <c r="B6132" s="258"/>
      <c r="C6132" s="247"/>
    </row>
    <row r="6133">
      <c r="A6133" s="247"/>
      <c r="B6133" s="258"/>
      <c r="C6133" s="247"/>
    </row>
    <row r="6134">
      <c r="A6134" s="247"/>
      <c r="B6134" s="258"/>
      <c r="C6134" s="247"/>
    </row>
    <row r="6135">
      <c r="A6135" s="247"/>
      <c r="B6135" s="258"/>
      <c r="C6135" s="247"/>
    </row>
    <row r="6136">
      <c r="A6136" s="247"/>
      <c r="B6136" s="258"/>
      <c r="C6136" s="247"/>
    </row>
    <row r="6137">
      <c r="A6137" s="247"/>
      <c r="B6137" s="258"/>
      <c r="C6137" s="247"/>
    </row>
    <row r="6138">
      <c r="A6138" s="247"/>
      <c r="B6138" s="258"/>
      <c r="C6138" s="247"/>
    </row>
    <row r="6139">
      <c r="A6139" s="247"/>
      <c r="B6139" s="258"/>
      <c r="C6139" s="247"/>
    </row>
    <row r="6140">
      <c r="A6140" s="247"/>
      <c r="B6140" s="258"/>
      <c r="C6140" s="247"/>
    </row>
    <row r="6141">
      <c r="A6141" s="247"/>
      <c r="B6141" s="258"/>
      <c r="C6141" s="247"/>
    </row>
    <row r="6142">
      <c r="A6142" s="247"/>
      <c r="B6142" s="258"/>
      <c r="C6142" s="247"/>
    </row>
    <row r="6143">
      <c r="A6143" s="247"/>
      <c r="B6143" s="258"/>
      <c r="C6143" s="247"/>
    </row>
    <row r="6144">
      <c r="A6144" s="247"/>
      <c r="B6144" s="258"/>
      <c r="C6144" s="247"/>
    </row>
    <row r="6145">
      <c r="A6145" s="247"/>
      <c r="B6145" s="258"/>
      <c r="C6145" s="247"/>
    </row>
    <row r="6146">
      <c r="A6146" s="247"/>
      <c r="B6146" s="258"/>
      <c r="C6146" s="247"/>
    </row>
    <row r="6147">
      <c r="A6147" s="247"/>
      <c r="B6147" s="258"/>
      <c r="C6147" s="247"/>
    </row>
    <row r="6148">
      <c r="A6148" s="247"/>
      <c r="B6148" s="258"/>
      <c r="C6148" s="247"/>
    </row>
    <row r="6149">
      <c r="A6149" s="247"/>
      <c r="B6149" s="258"/>
      <c r="C6149" s="247"/>
    </row>
    <row r="6150">
      <c r="A6150" s="247"/>
      <c r="B6150" s="258"/>
      <c r="C6150" s="247"/>
    </row>
    <row r="6151">
      <c r="A6151" s="247"/>
      <c r="B6151" s="258"/>
      <c r="C6151" s="247"/>
    </row>
    <row r="6152">
      <c r="A6152" s="247"/>
      <c r="B6152" s="258"/>
      <c r="C6152" s="247"/>
    </row>
    <row r="6153">
      <c r="A6153" s="247"/>
      <c r="B6153" s="258"/>
      <c r="C6153" s="247"/>
    </row>
    <row r="6154">
      <c r="A6154" s="247"/>
      <c r="B6154" s="258"/>
      <c r="C6154" s="247"/>
    </row>
    <row r="6155">
      <c r="A6155" s="247"/>
      <c r="B6155" s="258"/>
      <c r="C6155" s="247"/>
    </row>
    <row r="6156">
      <c r="A6156" s="247"/>
      <c r="B6156" s="258"/>
      <c r="C6156" s="247"/>
    </row>
    <row r="6157">
      <c r="A6157" s="247"/>
      <c r="B6157" s="258"/>
      <c r="C6157" s="247"/>
    </row>
    <row r="6158">
      <c r="A6158" s="247"/>
      <c r="B6158" s="258"/>
      <c r="C6158" s="247"/>
    </row>
    <row r="6159">
      <c r="A6159" s="247"/>
      <c r="B6159" s="258"/>
      <c r="C6159" s="247"/>
    </row>
    <row r="6160">
      <c r="A6160" s="247"/>
      <c r="B6160" s="258"/>
      <c r="C6160" s="247"/>
    </row>
    <row r="6161">
      <c r="A6161" s="247"/>
      <c r="B6161" s="258"/>
      <c r="C6161" s="247"/>
    </row>
    <row r="6162">
      <c r="A6162" s="247"/>
      <c r="B6162" s="258"/>
      <c r="C6162" s="247"/>
    </row>
    <row r="6163">
      <c r="A6163" s="247"/>
      <c r="B6163" s="258"/>
      <c r="C6163" s="247"/>
    </row>
    <row r="6164">
      <c r="A6164" s="247"/>
      <c r="B6164" s="258"/>
      <c r="C6164" s="247"/>
    </row>
    <row r="6165">
      <c r="A6165" s="247"/>
      <c r="B6165" s="258"/>
      <c r="C6165" s="247"/>
    </row>
    <row r="6166">
      <c r="A6166" s="247"/>
      <c r="B6166" s="258"/>
      <c r="C6166" s="247"/>
    </row>
    <row r="6167">
      <c r="A6167" s="247"/>
      <c r="B6167" s="258"/>
      <c r="C6167" s="247"/>
    </row>
    <row r="6168">
      <c r="A6168" s="247"/>
      <c r="B6168" s="258"/>
      <c r="C6168" s="247"/>
    </row>
    <row r="6169">
      <c r="A6169" s="247"/>
      <c r="B6169" s="258"/>
      <c r="C6169" s="247"/>
    </row>
    <row r="6170">
      <c r="A6170" s="247"/>
      <c r="B6170" s="258"/>
      <c r="C6170" s="247"/>
    </row>
    <row r="6171">
      <c r="A6171" s="247"/>
      <c r="B6171" s="258"/>
      <c r="C6171" s="247"/>
    </row>
    <row r="6172">
      <c r="A6172" s="247"/>
      <c r="B6172" s="258"/>
      <c r="C6172" s="247"/>
    </row>
    <row r="6173">
      <c r="A6173" s="247"/>
      <c r="B6173" s="258"/>
      <c r="C6173" s="247"/>
    </row>
    <row r="6174">
      <c r="A6174" s="247"/>
      <c r="B6174" s="258"/>
      <c r="C6174" s="247"/>
    </row>
    <row r="6175">
      <c r="A6175" s="247"/>
      <c r="B6175" s="258"/>
      <c r="C6175" s="247"/>
    </row>
    <row r="6176">
      <c r="A6176" s="247"/>
      <c r="B6176" s="258"/>
      <c r="C6176" s="247"/>
    </row>
    <row r="6177">
      <c r="A6177" s="247"/>
      <c r="B6177" s="258"/>
      <c r="C6177" s="247"/>
    </row>
    <row r="6178">
      <c r="A6178" s="247"/>
      <c r="B6178" s="258"/>
      <c r="C6178" s="247"/>
    </row>
    <row r="6179">
      <c r="A6179" s="247"/>
      <c r="B6179" s="258"/>
      <c r="C6179" s="247"/>
    </row>
    <row r="6180">
      <c r="A6180" s="247"/>
      <c r="B6180" s="258"/>
      <c r="C6180" s="247"/>
    </row>
    <row r="6181">
      <c r="A6181" s="247"/>
      <c r="B6181" s="258"/>
      <c r="C6181" s="247"/>
    </row>
    <row r="6182">
      <c r="A6182" s="247"/>
      <c r="B6182" s="258"/>
      <c r="C6182" s="247"/>
    </row>
    <row r="6183">
      <c r="A6183" s="247"/>
      <c r="B6183" s="258"/>
      <c r="C6183" s="247"/>
    </row>
    <row r="6184">
      <c r="A6184" s="247"/>
      <c r="B6184" s="258"/>
      <c r="C6184" s="247"/>
    </row>
    <row r="6185">
      <c r="A6185" s="247"/>
      <c r="B6185" s="258"/>
      <c r="C6185" s="247"/>
    </row>
    <row r="6186">
      <c r="A6186" s="247"/>
      <c r="B6186" s="258"/>
      <c r="C6186" s="247"/>
    </row>
    <row r="6187">
      <c r="A6187" s="247"/>
      <c r="B6187" s="258"/>
      <c r="C6187" s="247"/>
    </row>
    <row r="6188">
      <c r="A6188" s="247"/>
      <c r="B6188" s="258"/>
      <c r="C6188" s="247"/>
    </row>
    <row r="6189">
      <c r="A6189" s="247"/>
      <c r="B6189" s="258"/>
      <c r="C6189" s="247"/>
    </row>
    <row r="6190">
      <c r="A6190" s="247"/>
      <c r="B6190" s="258"/>
      <c r="C6190" s="247"/>
    </row>
    <row r="6191">
      <c r="A6191" s="247"/>
      <c r="B6191" s="258"/>
      <c r="C6191" s="247"/>
    </row>
    <row r="6192">
      <c r="A6192" s="247"/>
      <c r="B6192" s="258"/>
      <c r="C6192" s="247"/>
    </row>
    <row r="6193">
      <c r="A6193" s="247"/>
      <c r="B6193" s="258"/>
      <c r="C6193" s="247"/>
    </row>
    <row r="6194">
      <c r="A6194" s="247"/>
      <c r="B6194" s="258"/>
      <c r="C6194" s="247"/>
    </row>
    <row r="6195">
      <c r="A6195" s="247"/>
      <c r="B6195" s="258"/>
      <c r="C6195" s="247"/>
    </row>
    <row r="6196">
      <c r="A6196" s="247"/>
      <c r="B6196" s="258"/>
      <c r="C6196" s="247"/>
    </row>
    <row r="6197">
      <c r="A6197" s="247"/>
      <c r="B6197" s="258"/>
      <c r="C6197" s="247"/>
    </row>
    <row r="6198">
      <c r="A6198" s="247"/>
      <c r="B6198" s="258"/>
      <c r="C6198" s="247"/>
    </row>
    <row r="6199">
      <c r="A6199" s="247"/>
      <c r="B6199" s="258"/>
      <c r="C6199" s="247"/>
    </row>
    <row r="6200">
      <c r="A6200" s="247"/>
      <c r="B6200" s="258"/>
      <c r="C6200" s="247"/>
    </row>
    <row r="6201">
      <c r="A6201" s="247"/>
      <c r="B6201" s="258"/>
      <c r="C6201" s="247"/>
    </row>
    <row r="6202">
      <c r="A6202" s="247"/>
      <c r="B6202" s="258"/>
      <c r="C6202" s="247"/>
    </row>
    <row r="6203">
      <c r="A6203" s="247"/>
      <c r="B6203" s="258"/>
      <c r="C6203" s="247"/>
    </row>
    <row r="6204">
      <c r="A6204" s="247"/>
      <c r="B6204" s="258"/>
      <c r="C6204" s="247"/>
    </row>
    <row r="6205">
      <c r="A6205" s="247"/>
      <c r="B6205" s="258"/>
      <c r="C6205" s="247"/>
    </row>
    <row r="6206">
      <c r="A6206" s="247"/>
      <c r="B6206" s="258"/>
      <c r="C6206" s="247"/>
    </row>
    <row r="6207">
      <c r="A6207" s="247"/>
      <c r="B6207" s="258"/>
      <c r="C6207" s="247"/>
    </row>
    <row r="6208">
      <c r="A6208" s="247"/>
      <c r="B6208" s="258"/>
      <c r="C6208" s="247"/>
    </row>
    <row r="6209">
      <c r="A6209" s="247"/>
      <c r="B6209" s="258"/>
      <c r="C6209" s="247"/>
    </row>
    <row r="6210">
      <c r="A6210" s="247"/>
      <c r="B6210" s="258"/>
      <c r="C6210" s="247"/>
    </row>
    <row r="6211">
      <c r="A6211" s="247"/>
      <c r="B6211" s="258"/>
      <c r="C6211" s="247"/>
    </row>
    <row r="6212">
      <c r="A6212" s="247"/>
      <c r="B6212" s="258"/>
      <c r="C6212" s="247"/>
    </row>
    <row r="6213">
      <c r="A6213" s="247"/>
      <c r="B6213" s="258"/>
      <c r="C6213" s="247"/>
    </row>
    <row r="6214">
      <c r="A6214" s="247"/>
      <c r="B6214" s="258"/>
      <c r="C6214" s="247"/>
    </row>
    <row r="6215">
      <c r="A6215" s="247"/>
      <c r="B6215" s="258"/>
      <c r="C6215" s="247"/>
    </row>
    <row r="6216">
      <c r="A6216" s="247"/>
      <c r="B6216" s="258"/>
      <c r="C6216" s="247"/>
    </row>
    <row r="6217">
      <c r="A6217" s="247"/>
      <c r="B6217" s="258"/>
      <c r="C6217" s="247"/>
    </row>
    <row r="6218">
      <c r="A6218" s="247"/>
      <c r="B6218" s="258"/>
      <c r="C6218" s="247"/>
    </row>
    <row r="6219">
      <c r="A6219" s="247"/>
      <c r="B6219" s="258"/>
      <c r="C6219" s="247"/>
    </row>
    <row r="6220">
      <c r="A6220" s="247"/>
      <c r="B6220" s="258"/>
      <c r="C6220" s="247"/>
    </row>
    <row r="6221">
      <c r="A6221" s="247"/>
      <c r="B6221" s="258"/>
      <c r="C6221" s="247"/>
    </row>
    <row r="6222">
      <c r="A6222" s="247"/>
      <c r="B6222" s="258"/>
      <c r="C6222" s="247"/>
    </row>
    <row r="6223">
      <c r="A6223" s="247"/>
      <c r="B6223" s="258"/>
      <c r="C6223" s="247"/>
    </row>
    <row r="6224">
      <c r="A6224" s="247"/>
      <c r="B6224" s="258"/>
      <c r="C6224" s="247"/>
    </row>
    <row r="6225">
      <c r="A6225" s="247"/>
      <c r="B6225" s="258"/>
      <c r="C6225" s="247"/>
    </row>
    <row r="6226">
      <c r="A6226" s="247"/>
      <c r="B6226" s="258"/>
      <c r="C6226" s="247"/>
    </row>
    <row r="6227">
      <c r="A6227" s="247"/>
      <c r="B6227" s="258"/>
      <c r="C6227" s="247"/>
    </row>
    <row r="6228">
      <c r="A6228" s="247"/>
      <c r="B6228" s="258"/>
      <c r="C6228" s="247"/>
    </row>
    <row r="6229">
      <c r="A6229" s="247"/>
      <c r="B6229" s="258"/>
      <c r="C6229" s="247"/>
    </row>
    <row r="6230">
      <c r="A6230" s="247"/>
      <c r="B6230" s="258"/>
      <c r="C6230" s="247"/>
    </row>
    <row r="6231">
      <c r="A6231" s="247"/>
      <c r="B6231" s="258"/>
      <c r="C6231" s="247"/>
    </row>
    <row r="6232">
      <c r="A6232" s="247"/>
      <c r="B6232" s="258"/>
      <c r="C6232" s="247"/>
    </row>
    <row r="6233">
      <c r="A6233" s="247"/>
      <c r="B6233" s="258"/>
      <c r="C6233" s="247"/>
    </row>
    <row r="6234">
      <c r="A6234" s="247"/>
      <c r="B6234" s="258"/>
      <c r="C6234" s="247"/>
    </row>
    <row r="6235">
      <c r="A6235" s="247"/>
      <c r="B6235" s="258"/>
      <c r="C6235" s="247"/>
    </row>
    <row r="6236">
      <c r="A6236" s="247"/>
      <c r="B6236" s="258"/>
      <c r="C6236" s="247"/>
    </row>
    <row r="6237">
      <c r="A6237" s="247"/>
      <c r="B6237" s="258"/>
      <c r="C6237" s="247"/>
    </row>
    <row r="6238">
      <c r="A6238" s="247"/>
      <c r="B6238" s="258"/>
      <c r="C6238" s="247"/>
    </row>
    <row r="6239">
      <c r="A6239" s="247"/>
      <c r="B6239" s="258"/>
      <c r="C6239" s="247"/>
    </row>
    <row r="6240">
      <c r="A6240" s="247"/>
      <c r="B6240" s="258"/>
      <c r="C6240" s="247"/>
    </row>
    <row r="6241">
      <c r="A6241" s="247"/>
      <c r="B6241" s="258"/>
      <c r="C6241" s="247"/>
    </row>
    <row r="6242">
      <c r="A6242" s="247"/>
      <c r="B6242" s="258"/>
      <c r="C6242" s="247"/>
    </row>
    <row r="6243">
      <c r="A6243" s="247"/>
      <c r="B6243" s="258"/>
      <c r="C6243" s="247"/>
    </row>
    <row r="6244">
      <c r="A6244" s="247"/>
      <c r="B6244" s="258"/>
      <c r="C6244" s="247"/>
    </row>
    <row r="6245">
      <c r="A6245" s="247"/>
      <c r="B6245" s="258"/>
      <c r="C6245" s="247"/>
    </row>
    <row r="6246">
      <c r="A6246" s="247"/>
      <c r="B6246" s="258"/>
      <c r="C6246" s="247"/>
    </row>
    <row r="6247">
      <c r="A6247" s="247"/>
      <c r="B6247" s="258"/>
      <c r="C6247" s="247"/>
    </row>
    <row r="6248">
      <c r="A6248" s="247"/>
      <c r="B6248" s="258"/>
      <c r="C6248" s="247"/>
    </row>
    <row r="6249">
      <c r="A6249" s="247"/>
      <c r="B6249" s="258"/>
      <c r="C6249" s="247"/>
    </row>
    <row r="6250">
      <c r="A6250" s="247"/>
      <c r="B6250" s="258"/>
      <c r="C6250" s="247"/>
    </row>
    <row r="6251">
      <c r="A6251" s="247"/>
      <c r="B6251" s="258"/>
      <c r="C6251" s="247"/>
    </row>
    <row r="6252">
      <c r="A6252" s="247"/>
      <c r="B6252" s="258"/>
      <c r="C6252" s="247"/>
    </row>
    <row r="6253">
      <c r="A6253" s="247"/>
      <c r="B6253" s="258"/>
      <c r="C6253" s="247"/>
    </row>
    <row r="6254">
      <c r="A6254" s="247"/>
      <c r="B6254" s="258"/>
      <c r="C6254" s="247"/>
    </row>
    <row r="6255">
      <c r="A6255" s="247"/>
      <c r="B6255" s="258"/>
      <c r="C6255" s="247"/>
    </row>
    <row r="6256">
      <c r="A6256" s="247"/>
      <c r="B6256" s="258"/>
      <c r="C6256" s="247"/>
    </row>
    <row r="6257">
      <c r="A6257" s="247"/>
      <c r="B6257" s="258"/>
      <c r="C6257" s="247"/>
    </row>
    <row r="6258">
      <c r="A6258" s="247"/>
      <c r="B6258" s="258"/>
      <c r="C6258" s="247"/>
    </row>
    <row r="6259">
      <c r="A6259" s="247"/>
      <c r="B6259" s="258"/>
      <c r="C6259" s="247"/>
    </row>
    <row r="6260">
      <c r="A6260" s="247"/>
      <c r="B6260" s="258"/>
      <c r="C6260" s="247"/>
    </row>
    <row r="6261">
      <c r="A6261" s="247"/>
      <c r="B6261" s="258"/>
      <c r="C6261" s="247"/>
    </row>
    <row r="6262">
      <c r="A6262" s="247"/>
      <c r="B6262" s="258"/>
      <c r="C6262" s="247"/>
    </row>
    <row r="6263">
      <c r="A6263" s="247"/>
      <c r="B6263" s="258"/>
      <c r="C6263" s="247"/>
    </row>
    <row r="6264">
      <c r="A6264" s="247"/>
      <c r="B6264" s="258"/>
      <c r="C6264" s="247"/>
    </row>
    <row r="6265">
      <c r="A6265" s="247"/>
      <c r="B6265" s="258"/>
      <c r="C6265" s="247"/>
    </row>
    <row r="6266">
      <c r="A6266" s="247"/>
      <c r="B6266" s="258"/>
      <c r="C6266" s="247"/>
    </row>
    <row r="6267">
      <c r="A6267" s="247"/>
      <c r="B6267" s="258"/>
      <c r="C6267" s="247"/>
    </row>
    <row r="6268">
      <c r="A6268" s="247"/>
      <c r="B6268" s="258"/>
      <c r="C6268" s="247"/>
    </row>
    <row r="6269">
      <c r="A6269" s="247"/>
      <c r="B6269" s="258"/>
      <c r="C6269" s="247"/>
    </row>
    <row r="6270">
      <c r="A6270" s="247"/>
      <c r="B6270" s="258"/>
      <c r="C6270" s="247"/>
    </row>
    <row r="6271">
      <c r="A6271" s="247"/>
      <c r="B6271" s="258"/>
      <c r="C6271" s="247"/>
    </row>
    <row r="6272">
      <c r="A6272" s="247"/>
      <c r="B6272" s="258"/>
      <c r="C6272" s="247"/>
    </row>
    <row r="6273">
      <c r="A6273" s="247"/>
      <c r="B6273" s="258"/>
      <c r="C6273" s="247"/>
    </row>
    <row r="6274">
      <c r="A6274" s="247"/>
      <c r="B6274" s="258"/>
      <c r="C6274" s="247"/>
    </row>
    <row r="6275">
      <c r="A6275" s="247"/>
      <c r="B6275" s="258"/>
      <c r="C6275" s="247"/>
    </row>
    <row r="6276">
      <c r="A6276" s="247"/>
      <c r="B6276" s="258"/>
      <c r="C6276" s="247"/>
    </row>
    <row r="6277">
      <c r="A6277" s="247"/>
      <c r="B6277" s="258"/>
      <c r="C6277" s="247"/>
    </row>
    <row r="6278">
      <c r="A6278" s="247"/>
      <c r="B6278" s="258"/>
      <c r="C6278" s="247"/>
    </row>
    <row r="6279">
      <c r="A6279" s="247"/>
      <c r="B6279" s="258"/>
      <c r="C6279" s="247"/>
    </row>
    <row r="6280">
      <c r="A6280" s="247"/>
      <c r="B6280" s="258"/>
      <c r="C6280" s="247"/>
    </row>
    <row r="6281">
      <c r="A6281" s="247"/>
      <c r="B6281" s="258"/>
      <c r="C6281" s="247"/>
    </row>
    <row r="6282">
      <c r="A6282" s="247"/>
      <c r="B6282" s="258"/>
      <c r="C6282" s="247"/>
    </row>
    <row r="6283">
      <c r="A6283" s="247"/>
      <c r="B6283" s="258"/>
      <c r="C6283" s="247"/>
    </row>
    <row r="6284">
      <c r="A6284" s="247"/>
      <c r="B6284" s="258"/>
      <c r="C6284" s="247"/>
    </row>
    <row r="6285">
      <c r="A6285" s="247"/>
      <c r="B6285" s="258"/>
      <c r="C6285" s="247"/>
    </row>
    <row r="6286">
      <c r="A6286" s="247"/>
      <c r="B6286" s="258"/>
      <c r="C6286" s="247"/>
    </row>
    <row r="6287">
      <c r="A6287" s="247"/>
      <c r="B6287" s="258"/>
      <c r="C6287" s="247"/>
    </row>
    <row r="6288">
      <c r="A6288" s="247"/>
      <c r="B6288" s="258"/>
      <c r="C6288" s="247"/>
    </row>
    <row r="6289">
      <c r="A6289" s="247"/>
      <c r="B6289" s="258"/>
      <c r="C6289" s="247"/>
    </row>
    <row r="6290">
      <c r="A6290" s="247"/>
      <c r="B6290" s="258"/>
      <c r="C6290" s="247"/>
    </row>
    <row r="6291">
      <c r="A6291" s="247"/>
      <c r="B6291" s="258"/>
      <c r="C6291" s="247"/>
    </row>
    <row r="6292">
      <c r="A6292" s="247"/>
      <c r="B6292" s="258"/>
      <c r="C6292" s="247"/>
    </row>
    <row r="6293">
      <c r="A6293" s="247"/>
      <c r="B6293" s="258"/>
      <c r="C6293" s="247"/>
    </row>
    <row r="6294">
      <c r="A6294" s="247"/>
      <c r="B6294" s="258"/>
      <c r="C6294" s="247"/>
    </row>
    <row r="6295">
      <c r="A6295" s="247"/>
      <c r="B6295" s="258"/>
      <c r="C6295" s="247"/>
    </row>
    <row r="6296">
      <c r="A6296" s="247"/>
      <c r="B6296" s="258"/>
      <c r="C6296" s="247"/>
    </row>
    <row r="6297">
      <c r="A6297" s="247"/>
      <c r="B6297" s="258"/>
      <c r="C6297" s="247"/>
    </row>
    <row r="6298">
      <c r="A6298" s="247"/>
      <c r="B6298" s="258"/>
      <c r="C6298" s="247"/>
    </row>
    <row r="6299">
      <c r="A6299" s="247"/>
      <c r="B6299" s="258"/>
      <c r="C6299" s="247"/>
    </row>
    <row r="6300">
      <c r="A6300" s="247"/>
      <c r="B6300" s="258"/>
      <c r="C6300" s="247"/>
    </row>
    <row r="6301">
      <c r="A6301" s="247"/>
      <c r="B6301" s="258"/>
      <c r="C6301" s="247"/>
    </row>
    <row r="6302">
      <c r="A6302" s="247"/>
      <c r="B6302" s="258"/>
      <c r="C6302" s="247"/>
    </row>
    <row r="6303">
      <c r="A6303" s="247"/>
      <c r="B6303" s="258"/>
      <c r="C6303" s="247"/>
    </row>
    <row r="6304">
      <c r="A6304" s="247"/>
      <c r="B6304" s="258"/>
      <c r="C6304" s="247"/>
    </row>
    <row r="6305">
      <c r="A6305" s="247"/>
      <c r="B6305" s="258"/>
      <c r="C6305" s="247"/>
    </row>
    <row r="6306">
      <c r="A6306" s="247"/>
      <c r="B6306" s="258"/>
      <c r="C6306" s="247"/>
    </row>
    <row r="6307">
      <c r="A6307" s="247"/>
      <c r="B6307" s="258"/>
      <c r="C6307" s="247"/>
    </row>
    <row r="6308">
      <c r="A6308" s="247"/>
      <c r="B6308" s="258"/>
      <c r="C6308" s="247"/>
    </row>
    <row r="6309">
      <c r="A6309" s="247"/>
      <c r="B6309" s="258"/>
      <c r="C6309" s="247"/>
    </row>
    <row r="6310">
      <c r="A6310" s="247"/>
      <c r="B6310" s="258"/>
      <c r="C6310" s="247"/>
    </row>
    <row r="6311">
      <c r="A6311" s="247"/>
      <c r="B6311" s="258"/>
      <c r="C6311" s="247"/>
    </row>
    <row r="6312">
      <c r="A6312" s="247"/>
      <c r="B6312" s="258"/>
      <c r="C6312" s="247"/>
    </row>
    <row r="6313">
      <c r="A6313" s="247"/>
      <c r="B6313" s="258"/>
      <c r="C6313" s="247"/>
    </row>
    <row r="6314">
      <c r="A6314" s="247"/>
      <c r="B6314" s="258"/>
      <c r="C6314" s="247"/>
    </row>
    <row r="6315">
      <c r="A6315" s="247"/>
      <c r="B6315" s="258"/>
      <c r="C6315" s="247"/>
    </row>
    <row r="6316">
      <c r="A6316" s="247"/>
      <c r="B6316" s="258"/>
      <c r="C6316" s="247"/>
    </row>
    <row r="6317">
      <c r="A6317" s="247"/>
      <c r="B6317" s="258"/>
      <c r="C6317" s="247"/>
    </row>
    <row r="6318">
      <c r="A6318" s="247"/>
      <c r="B6318" s="258"/>
      <c r="C6318" s="247"/>
    </row>
    <row r="6319">
      <c r="A6319" s="247"/>
      <c r="B6319" s="258"/>
      <c r="C6319" s="247"/>
    </row>
    <row r="6320">
      <c r="A6320" s="247"/>
      <c r="B6320" s="258"/>
      <c r="C6320" s="247"/>
    </row>
    <row r="6321">
      <c r="A6321" s="247"/>
      <c r="B6321" s="258"/>
      <c r="C6321" s="247"/>
    </row>
    <row r="6322">
      <c r="A6322" s="247"/>
      <c r="B6322" s="258"/>
      <c r="C6322" s="247"/>
    </row>
    <row r="6323">
      <c r="A6323" s="247"/>
      <c r="B6323" s="258"/>
      <c r="C6323" s="247"/>
    </row>
    <row r="6324">
      <c r="A6324" s="247"/>
      <c r="B6324" s="258"/>
      <c r="C6324" s="247"/>
    </row>
    <row r="6325">
      <c r="A6325" s="247"/>
      <c r="B6325" s="258"/>
      <c r="C6325" s="247"/>
    </row>
    <row r="6326">
      <c r="A6326" s="247"/>
      <c r="B6326" s="258"/>
      <c r="C6326" s="247"/>
    </row>
    <row r="6327">
      <c r="A6327" s="247"/>
      <c r="B6327" s="258"/>
      <c r="C6327" s="247"/>
    </row>
    <row r="6328">
      <c r="A6328" s="247"/>
      <c r="B6328" s="258"/>
      <c r="C6328" s="247"/>
    </row>
    <row r="6329">
      <c r="A6329" s="247"/>
      <c r="B6329" s="258"/>
      <c r="C6329" s="247"/>
    </row>
    <row r="6330">
      <c r="A6330" s="247"/>
      <c r="B6330" s="258"/>
      <c r="C6330" s="247"/>
    </row>
    <row r="6331">
      <c r="A6331" s="247"/>
      <c r="B6331" s="258"/>
      <c r="C6331" s="247"/>
    </row>
    <row r="6332">
      <c r="A6332" s="247"/>
      <c r="B6332" s="258"/>
      <c r="C6332" s="247"/>
    </row>
    <row r="6333">
      <c r="A6333" s="247"/>
      <c r="B6333" s="258"/>
      <c r="C6333" s="247"/>
    </row>
    <row r="6334">
      <c r="A6334" s="247"/>
      <c r="B6334" s="258"/>
      <c r="C6334" s="247"/>
    </row>
    <row r="6335">
      <c r="A6335" s="247"/>
      <c r="B6335" s="258"/>
      <c r="C6335" s="247"/>
    </row>
    <row r="6336">
      <c r="A6336" s="247"/>
      <c r="B6336" s="258"/>
      <c r="C6336" s="247"/>
    </row>
    <row r="6337">
      <c r="A6337" s="247"/>
      <c r="B6337" s="258"/>
      <c r="C6337" s="247"/>
    </row>
    <row r="6338">
      <c r="A6338" s="247"/>
      <c r="B6338" s="258"/>
      <c r="C6338" s="247"/>
    </row>
    <row r="6339">
      <c r="A6339" s="247"/>
      <c r="B6339" s="258"/>
      <c r="C6339" s="247"/>
    </row>
    <row r="6340">
      <c r="A6340" s="247"/>
      <c r="B6340" s="258"/>
      <c r="C6340" s="247"/>
    </row>
    <row r="6341">
      <c r="A6341" s="247"/>
      <c r="B6341" s="258"/>
      <c r="C6341" s="247"/>
    </row>
    <row r="6342">
      <c r="A6342" s="247"/>
      <c r="B6342" s="258"/>
      <c r="C6342" s="247"/>
    </row>
    <row r="6343">
      <c r="A6343" s="247"/>
      <c r="B6343" s="258"/>
      <c r="C6343" s="247"/>
    </row>
    <row r="6344">
      <c r="A6344" s="247"/>
      <c r="B6344" s="258"/>
      <c r="C6344" s="247"/>
    </row>
    <row r="6345">
      <c r="A6345" s="247"/>
      <c r="B6345" s="258"/>
      <c r="C6345" s="247"/>
    </row>
    <row r="6346">
      <c r="A6346" s="247"/>
      <c r="B6346" s="258"/>
      <c r="C6346" s="247"/>
    </row>
    <row r="6347">
      <c r="A6347" s="247"/>
      <c r="B6347" s="258"/>
      <c r="C6347" s="247"/>
    </row>
    <row r="6348">
      <c r="A6348" s="247"/>
      <c r="B6348" s="258"/>
      <c r="C6348" s="247"/>
    </row>
    <row r="6349">
      <c r="A6349" s="247"/>
      <c r="B6349" s="258"/>
      <c r="C6349" s="247"/>
    </row>
    <row r="6350">
      <c r="A6350" s="247"/>
      <c r="B6350" s="258"/>
      <c r="C6350" s="247"/>
    </row>
    <row r="6351">
      <c r="A6351" s="247"/>
      <c r="B6351" s="258"/>
      <c r="C6351" s="247"/>
    </row>
    <row r="6352">
      <c r="A6352" s="247"/>
      <c r="B6352" s="258"/>
      <c r="C6352" s="247"/>
    </row>
    <row r="6353">
      <c r="A6353" s="247"/>
      <c r="B6353" s="258"/>
      <c r="C6353" s="247"/>
    </row>
    <row r="6354">
      <c r="A6354" s="247"/>
      <c r="B6354" s="258"/>
      <c r="C6354" s="247"/>
    </row>
    <row r="6355">
      <c r="A6355" s="247"/>
      <c r="B6355" s="258"/>
      <c r="C6355" s="247"/>
    </row>
    <row r="6356">
      <c r="A6356" s="247"/>
      <c r="B6356" s="258"/>
      <c r="C6356" s="247"/>
    </row>
    <row r="6357">
      <c r="A6357" s="247"/>
      <c r="B6357" s="258"/>
      <c r="C6357" s="247"/>
    </row>
    <row r="6358">
      <c r="A6358" s="247"/>
      <c r="B6358" s="258"/>
      <c r="C6358" s="247"/>
    </row>
    <row r="6359">
      <c r="A6359" s="247"/>
      <c r="B6359" s="258"/>
      <c r="C6359" s="247"/>
    </row>
    <row r="6360">
      <c r="A6360" s="247"/>
      <c r="B6360" s="258"/>
      <c r="C6360" s="247"/>
    </row>
    <row r="6361">
      <c r="A6361" s="247"/>
      <c r="B6361" s="258"/>
      <c r="C6361" s="247"/>
    </row>
    <row r="6362">
      <c r="A6362" s="247"/>
      <c r="B6362" s="258"/>
      <c r="C6362" s="247"/>
    </row>
    <row r="6363">
      <c r="A6363" s="247"/>
      <c r="B6363" s="258"/>
      <c r="C6363" s="247"/>
    </row>
    <row r="6364">
      <c r="A6364" s="247"/>
      <c r="B6364" s="258"/>
      <c r="C6364" s="247"/>
    </row>
    <row r="6365">
      <c r="A6365" s="247"/>
      <c r="B6365" s="258"/>
      <c r="C6365" s="247"/>
    </row>
    <row r="6366">
      <c r="A6366" s="247"/>
      <c r="B6366" s="258"/>
      <c r="C6366" s="247"/>
    </row>
    <row r="6367">
      <c r="A6367" s="247"/>
      <c r="B6367" s="258"/>
      <c r="C6367" s="247"/>
    </row>
    <row r="6368">
      <c r="A6368" s="247"/>
      <c r="B6368" s="258"/>
      <c r="C6368" s="247"/>
    </row>
    <row r="6369">
      <c r="A6369" s="247"/>
      <c r="B6369" s="258"/>
      <c r="C6369" s="247"/>
    </row>
    <row r="6370">
      <c r="A6370" s="247"/>
      <c r="B6370" s="258"/>
      <c r="C6370" s="247"/>
    </row>
    <row r="6371">
      <c r="A6371" s="247"/>
      <c r="B6371" s="258"/>
      <c r="C6371" s="247"/>
    </row>
    <row r="6372">
      <c r="A6372" s="247"/>
      <c r="B6372" s="258"/>
      <c r="C6372" s="247"/>
    </row>
    <row r="6373">
      <c r="A6373" s="247"/>
      <c r="B6373" s="258"/>
      <c r="C6373" s="247"/>
    </row>
    <row r="6374">
      <c r="A6374" s="247"/>
      <c r="B6374" s="258"/>
      <c r="C6374" s="247"/>
    </row>
    <row r="6375">
      <c r="A6375" s="247"/>
      <c r="B6375" s="258"/>
      <c r="C6375" s="247"/>
    </row>
    <row r="6376">
      <c r="A6376" s="247"/>
      <c r="B6376" s="258"/>
      <c r="C6376" s="247"/>
    </row>
    <row r="6377">
      <c r="A6377" s="247"/>
      <c r="B6377" s="258"/>
      <c r="C6377" s="247"/>
    </row>
    <row r="6378">
      <c r="A6378" s="247"/>
      <c r="B6378" s="258"/>
      <c r="C6378" s="247"/>
    </row>
    <row r="6379">
      <c r="A6379" s="247"/>
      <c r="B6379" s="258"/>
      <c r="C6379" s="247"/>
    </row>
    <row r="6380">
      <c r="A6380" s="247"/>
      <c r="B6380" s="258"/>
      <c r="C6380" s="247"/>
    </row>
    <row r="6381">
      <c r="A6381" s="247"/>
      <c r="B6381" s="258"/>
      <c r="C6381" s="247"/>
    </row>
    <row r="6382">
      <c r="A6382" s="247"/>
      <c r="B6382" s="258"/>
      <c r="C6382" s="247"/>
    </row>
    <row r="6383">
      <c r="A6383" s="247"/>
      <c r="B6383" s="258"/>
      <c r="C6383" s="247"/>
    </row>
    <row r="6384">
      <c r="A6384" s="247"/>
      <c r="B6384" s="258"/>
      <c r="C6384" s="247"/>
    </row>
    <row r="6385">
      <c r="A6385" s="247"/>
      <c r="B6385" s="258"/>
      <c r="C6385" s="247"/>
    </row>
    <row r="6386">
      <c r="A6386" s="247"/>
      <c r="B6386" s="258"/>
      <c r="C6386" s="247"/>
    </row>
    <row r="6387">
      <c r="A6387" s="247"/>
      <c r="B6387" s="258"/>
      <c r="C6387" s="247"/>
    </row>
    <row r="6388">
      <c r="A6388" s="247"/>
      <c r="B6388" s="258"/>
      <c r="C6388" s="247"/>
    </row>
    <row r="6389">
      <c r="A6389" s="247"/>
      <c r="B6389" s="258"/>
      <c r="C6389" s="247"/>
    </row>
    <row r="6390">
      <c r="A6390" s="247"/>
      <c r="B6390" s="258"/>
      <c r="C6390" s="247"/>
    </row>
    <row r="6391">
      <c r="A6391" s="247"/>
      <c r="B6391" s="258"/>
      <c r="C6391" s="247"/>
    </row>
    <row r="6392">
      <c r="A6392" s="247"/>
      <c r="B6392" s="258"/>
      <c r="C6392" s="247"/>
    </row>
    <row r="6393">
      <c r="A6393" s="247"/>
      <c r="B6393" s="258"/>
      <c r="C6393" s="247"/>
    </row>
    <row r="6394">
      <c r="A6394" s="247"/>
      <c r="B6394" s="258"/>
      <c r="C6394" s="247"/>
    </row>
    <row r="6395">
      <c r="A6395" s="247"/>
      <c r="B6395" s="258"/>
      <c r="C6395" s="247"/>
    </row>
    <row r="6396">
      <c r="A6396" s="247"/>
      <c r="B6396" s="258"/>
      <c r="C6396" s="247"/>
    </row>
    <row r="6397">
      <c r="A6397" s="247"/>
      <c r="B6397" s="258"/>
      <c r="C6397" s="247"/>
    </row>
    <row r="6398">
      <c r="A6398" s="247"/>
      <c r="B6398" s="258"/>
      <c r="C6398" s="247"/>
    </row>
    <row r="6399">
      <c r="A6399" s="247"/>
      <c r="B6399" s="258"/>
      <c r="C6399" s="247"/>
    </row>
    <row r="6400">
      <c r="A6400" s="247"/>
      <c r="B6400" s="258"/>
      <c r="C6400" s="247"/>
    </row>
    <row r="6401">
      <c r="A6401" s="247"/>
      <c r="B6401" s="258"/>
      <c r="C6401" s="247"/>
    </row>
    <row r="6402">
      <c r="A6402" s="247"/>
      <c r="B6402" s="258"/>
      <c r="C6402" s="247"/>
    </row>
    <row r="6403">
      <c r="A6403" s="247"/>
      <c r="B6403" s="258"/>
      <c r="C6403" s="247"/>
    </row>
    <row r="6404">
      <c r="A6404" s="247"/>
      <c r="B6404" s="258"/>
      <c r="C6404" s="247"/>
    </row>
    <row r="6405">
      <c r="A6405" s="247"/>
      <c r="B6405" s="258"/>
      <c r="C6405" s="247"/>
    </row>
    <row r="6406">
      <c r="A6406" s="247"/>
      <c r="B6406" s="258"/>
      <c r="C6406" s="247"/>
    </row>
    <row r="6407">
      <c r="A6407" s="247"/>
      <c r="B6407" s="258"/>
      <c r="C6407" s="247"/>
    </row>
    <row r="6408">
      <c r="A6408" s="247"/>
      <c r="B6408" s="258"/>
      <c r="C6408" s="247"/>
    </row>
    <row r="6409">
      <c r="A6409" s="247"/>
      <c r="B6409" s="258"/>
      <c r="C6409" s="247"/>
    </row>
    <row r="6410">
      <c r="A6410" s="247"/>
      <c r="B6410" s="258"/>
      <c r="C6410" s="247"/>
    </row>
    <row r="6411">
      <c r="A6411" s="247"/>
      <c r="B6411" s="258"/>
      <c r="C6411" s="247"/>
    </row>
    <row r="6412">
      <c r="A6412" s="247"/>
      <c r="B6412" s="258"/>
      <c r="C6412" s="247"/>
    </row>
    <row r="6413">
      <c r="A6413" s="247"/>
      <c r="B6413" s="258"/>
      <c r="C6413" s="247"/>
    </row>
    <row r="6414">
      <c r="A6414" s="247"/>
      <c r="B6414" s="258"/>
      <c r="C6414" s="247"/>
    </row>
    <row r="6415">
      <c r="A6415" s="247"/>
      <c r="B6415" s="258"/>
      <c r="C6415" s="247"/>
    </row>
    <row r="6416">
      <c r="A6416" s="247"/>
      <c r="B6416" s="258"/>
      <c r="C6416" s="247"/>
    </row>
    <row r="6417">
      <c r="A6417" s="247"/>
      <c r="B6417" s="258"/>
      <c r="C6417" s="247"/>
    </row>
    <row r="6418">
      <c r="A6418" s="247"/>
      <c r="B6418" s="258"/>
      <c r="C6418" s="247"/>
    </row>
    <row r="6419">
      <c r="A6419" s="247"/>
      <c r="B6419" s="258"/>
      <c r="C6419" s="247"/>
    </row>
    <row r="6420">
      <c r="A6420" s="247"/>
      <c r="B6420" s="258"/>
      <c r="C6420" s="247"/>
    </row>
    <row r="6421">
      <c r="A6421" s="247"/>
      <c r="B6421" s="258"/>
      <c r="C6421" s="247"/>
    </row>
    <row r="6422">
      <c r="A6422" s="247"/>
      <c r="B6422" s="258"/>
      <c r="C6422" s="247"/>
    </row>
    <row r="6423">
      <c r="A6423" s="247"/>
      <c r="B6423" s="258"/>
      <c r="C6423" s="247"/>
    </row>
    <row r="6424">
      <c r="A6424" s="247"/>
      <c r="B6424" s="258"/>
      <c r="C6424" s="247"/>
    </row>
    <row r="6425">
      <c r="A6425" s="247"/>
      <c r="B6425" s="258"/>
      <c r="C6425" s="247"/>
    </row>
    <row r="6426">
      <c r="A6426" s="247"/>
      <c r="B6426" s="258"/>
      <c r="C6426" s="247"/>
    </row>
    <row r="6427">
      <c r="A6427" s="247"/>
      <c r="B6427" s="258"/>
      <c r="C6427" s="247"/>
    </row>
    <row r="6428">
      <c r="A6428" s="247"/>
      <c r="B6428" s="258"/>
      <c r="C6428" s="247"/>
    </row>
    <row r="6429">
      <c r="A6429" s="247"/>
      <c r="B6429" s="258"/>
      <c r="C6429" s="247"/>
    </row>
    <row r="6430">
      <c r="A6430" s="247"/>
      <c r="B6430" s="258"/>
      <c r="C6430" s="247"/>
    </row>
    <row r="6431">
      <c r="A6431" s="247"/>
      <c r="B6431" s="258"/>
      <c r="C6431" s="247"/>
    </row>
    <row r="6432">
      <c r="A6432" s="247"/>
      <c r="B6432" s="258"/>
      <c r="C6432" s="247"/>
    </row>
    <row r="6433">
      <c r="A6433" s="247"/>
      <c r="B6433" s="258"/>
      <c r="C6433" s="247"/>
    </row>
    <row r="6434">
      <c r="A6434" s="247"/>
      <c r="B6434" s="258"/>
      <c r="C6434" s="247"/>
    </row>
    <row r="6435">
      <c r="A6435" s="247"/>
      <c r="B6435" s="258"/>
      <c r="C6435" s="247"/>
    </row>
    <row r="6436">
      <c r="A6436" s="247"/>
      <c r="B6436" s="258"/>
      <c r="C6436" s="247"/>
    </row>
    <row r="6437">
      <c r="A6437" s="247"/>
      <c r="B6437" s="258"/>
      <c r="C6437" s="247"/>
    </row>
    <row r="6438">
      <c r="A6438" s="247"/>
      <c r="B6438" s="258"/>
      <c r="C6438" s="247"/>
    </row>
    <row r="6439">
      <c r="A6439" s="247"/>
      <c r="B6439" s="258"/>
      <c r="C6439" s="247"/>
    </row>
    <row r="6440">
      <c r="A6440" s="247"/>
      <c r="B6440" s="258"/>
      <c r="C6440" s="247"/>
    </row>
    <row r="6441">
      <c r="A6441" s="247"/>
      <c r="B6441" s="258"/>
      <c r="C6441" s="247"/>
    </row>
    <row r="6442">
      <c r="A6442" s="247"/>
      <c r="B6442" s="258"/>
      <c r="C6442" s="247"/>
    </row>
    <row r="6443">
      <c r="A6443" s="247"/>
      <c r="B6443" s="258"/>
      <c r="C6443" s="247"/>
    </row>
    <row r="6444">
      <c r="A6444" s="247"/>
      <c r="B6444" s="258"/>
      <c r="C6444" s="247"/>
    </row>
    <row r="6445">
      <c r="A6445" s="247"/>
      <c r="B6445" s="258"/>
      <c r="C6445" s="247"/>
    </row>
    <row r="6446">
      <c r="A6446" s="247"/>
      <c r="B6446" s="258"/>
      <c r="C6446" s="247"/>
    </row>
    <row r="6447">
      <c r="A6447" s="247"/>
      <c r="B6447" s="258"/>
      <c r="C6447" s="247"/>
    </row>
    <row r="6448">
      <c r="A6448" s="247"/>
      <c r="B6448" s="258"/>
      <c r="C6448" s="247"/>
    </row>
    <row r="6449">
      <c r="A6449" s="247"/>
      <c r="B6449" s="258"/>
      <c r="C6449" s="247"/>
    </row>
    <row r="6450">
      <c r="A6450" s="247"/>
      <c r="B6450" s="258"/>
      <c r="C6450" s="247"/>
    </row>
    <row r="6451">
      <c r="A6451" s="247"/>
      <c r="B6451" s="258"/>
      <c r="C6451" s="247"/>
    </row>
    <row r="6452">
      <c r="A6452" s="247"/>
      <c r="B6452" s="258"/>
      <c r="C6452" s="247"/>
    </row>
    <row r="6453">
      <c r="A6453" s="247"/>
      <c r="B6453" s="258"/>
      <c r="C6453" s="247"/>
    </row>
    <row r="6454">
      <c r="A6454" s="247"/>
      <c r="B6454" s="258"/>
      <c r="C6454" s="247"/>
    </row>
    <row r="6455">
      <c r="A6455" s="247"/>
      <c r="B6455" s="258"/>
      <c r="C6455" s="247"/>
    </row>
    <row r="6456">
      <c r="A6456" s="247"/>
      <c r="B6456" s="258"/>
      <c r="C6456" s="247"/>
    </row>
    <row r="6457">
      <c r="A6457" s="247"/>
      <c r="B6457" s="258"/>
      <c r="C6457" s="247"/>
    </row>
    <row r="6458">
      <c r="A6458" s="247"/>
      <c r="B6458" s="258"/>
      <c r="C6458" s="247"/>
    </row>
    <row r="6459">
      <c r="A6459" s="247"/>
      <c r="B6459" s="258"/>
      <c r="C6459" s="247"/>
    </row>
    <row r="6460">
      <c r="A6460" s="247"/>
      <c r="B6460" s="258"/>
      <c r="C6460" s="247"/>
    </row>
    <row r="6461">
      <c r="A6461" s="247"/>
      <c r="B6461" s="258"/>
      <c r="C6461" s="247"/>
    </row>
    <row r="6462">
      <c r="A6462" s="247"/>
      <c r="B6462" s="258"/>
      <c r="C6462" s="247"/>
    </row>
    <row r="6463">
      <c r="A6463" s="247"/>
      <c r="B6463" s="258"/>
      <c r="C6463" s="247"/>
    </row>
    <row r="6464">
      <c r="A6464" s="247"/>
      <c r="B6464" s="258"/>
      <c r="C6464" s="247"/>
    </row>
    <row r="6465">
      <c r="A6465" s="247"/>
      <c r="B6465" s="258"/>
      <c r="C6465" s="247"/>
    </row>
    <row r="6466">
      <c r="A6466" s="247"/>
      <c r="B6466" s="258"/>
      <c r="C6466" s="247"/>
    </row>
    <row r="6467">
      <c r="A6467" s="247"/>
      <c r="B6467" s="258"/>
      <c r="C6467" s="247"/>
    </row>
    <row r="6468">
      <c r="A6468" s="247"/>
      <c r="B6468" s="258"/>
      <c r="C6468" s="247"/>
    </row>
    <row r="6469">
      <c r="A6469" s="247"/>
      <c r="B6469" s="258"/>
      <c r="C6469" s="247"/>
    </row>
    <row r="6470">
      <c r="A6470" s="247"/>
      <c r="B6470" s="258"/>
      <c r="C6470" s="247"/>
    </row>
    <row r="6471">
      <c r="A6471" s="247"/>
      <c r="B6471" s="258"/>
      <c r="C6471" s="247"/>
    </row>
    <row r="6472">
      <c r="A6472" s="247"/>
      <c r="B6472" s="258"/>
      <c r="C6472" s="247"/>
    </row>
    <row r="6473">
      <c r="A6473" s="247"/>
      <c r="B6473" s="258"/>
      <c r="C6473" s="247"/>
    </row>
    <row r="6474">
      <c r="A6474" s="247"/>
      <c r="B6474" s="258"/>
      <c r="C6474" s="247"/>
    </row>
    <row r="6475">
      <c r="A6475" s="247"/>
      <c r="B6475" s="258"/>
      <c r="C6475" s="247"/>
    </row>
    <row r="6476">
      <c r="A6476" s="247"/>
      <c r="B6476" s="258"/>
      <c r="C6476" s="247"/>
    </row>
    <row r="6477">
      <c r="A6477" s="247"/>
      <c r="B6477" s="258"/>
      <c r="C6477" s="247"/>
    </row>
    <row r="6478">
      <c r="A6478" s="247"/>
      <c r="B6478" s="258"/>
      <c r="C6478" s="247"/>
    </row>
    <row r="6479">
      <c r="A6479" s="247"/>
      <c r="B6479" s="258"/>
      <c r="C6479" s="247"/>
    </row>
    <row r="6480">
      <c r="A6480" s="247"/>
      <c r="B6480" s="258"/>
      <c r="C6480" s="247"/>
    </row>
    <row r="6481">
      <c r="A6481" s="247"/>
      <c r="B6481" s="258"/>
      <c r="C6481" s="247"/>
    </row>
    <row r="6482">
      <c r="A6482" s="247"/>
      <c r="B6482" s="258"/>
      <c r="C6482" s="247"/>
    </row>
    <row r="6483">
      <c r="A6483" s="247"/>
      <c r="B6483" s="258"/>
      <c r="C6483" s="247"/>
    </row>
    <row r="6484">
      <c r="A6484" s="247"/>
      <c r="B6484" s="258"/>
      <c r="C6484" s="247"/>
    </row>
    <row r="6485">
      <c r="A6485" s="247"/>
      <c r="B6485" s="258"/>
      <c r="C6485" s="247"/>
    </row>
    <row r="6486">
      <c r="A6486" s="247"/>
      <c r="B6486" s="258"/>
      <c r="C6486" s="247"/>
    </row>
    <row r="6487">
      <c r="A6487" s="247"/>
      <c r="B6487" s="258"/>
      <c r="C6487" s="247"/>
    </row>
    <row r="6488">
      <c r="A6488" s="247"/>
      <c r="B6488" s="258"/>
      <c r="C6488" s="247"/>
    </row>
    <row r="6489">
      <c r="A6489" s="247"/>
      <c r="B6489" s="258"/>
      <c r="C6489" s="247"/>
    </row>
    <row r="6490">
      <c r="A6490" s="247"/>
      <c r="B6490" s="258"/>
      <c r="C6490" s="247"/>
    </row>
    <row r="6491">
      <c r="A6491" s="247"/>
      <c r="B6491" s="258"/>
      <c r="C6491" s="247"/>
    </row>
    <row r="6492">
      <c r="A6492" s="247"/>
      <c r="B6492" s="258"/>
      <c r="C6492" s="247"/>
    </row>
    <row r="6493">
      <c r="A6493" s="247"/>
      <c r="B6493" s="258"/>
      <c r="C6493" s="247"/>
    </row>
    <row r="6494">
      <c r="A6494" s="247"/>
      <c r="B6494" s="258"/>
      <c r="C6494" s="247"/>
    </row>
    <row r="6495">
      <c r="A6495" s="247"/>
      <c r="B6495" s="258"/>
      <c r="C6495" s="247"/>
    </row>
    <row r="6496">
      <c r="A6496" s="247"/>
      <c r="B6496" s="258"/>
      <c r="C6496" s="247"/>
    </row>
    <row r="6497">
      <c r="A6497" s="247"/>
      <c r="B6497" s="258"/>
      <c r="C6497" s="247"/>
    </row>
    <row r="6498">
      <c r="A6498" s="247"/>
      <c r="B6498" s="258"/>
      <c r="C6498" s="247"/>
    </row>
    <row r="6499">
      <c r="A6499" s="247"/>
      <c r="B6499" s="258"/>
      <c r="C6499" s="247"/>
    </row>
    <row r="6500">
      <c r="A6500" s="247"/>
      <c r="B6500" s="258"/>
      <c r="C6500" s="247"/>
    </row>
    <row r="6501">
      <c r="A6501" s="247"/>
      <c r="B6501" s="258"/>
      <c r="C6501" s="247"/>
    </row>
    <row r="6502">
      <c r="A6502" s="247"/>
      <c r="B6502" s="258"/>
      <c r="C6502" s="247"/>
    </row>
    <row r="6503">
      <c r="A6503" s="247"/>
      <c r="B6503" s="258"/>
      <c r="C6503" s="247"/>
    </row>
    <row r="6504">
      <c r="A6504" s="247"/>
      <c r="B6504" s="258"/>
      <c r="C6504" s="247"/>
    </row>
    <row r="6505">
      <c r="A6505" s="247"/>
      <c r="B6505" s="258"/>
      <c r="C6505" s="247"/>
    </row>
    <row r="6506">
      <c r="A6506" s="247"/>
      <c r="B6506" s="258"/>
      <c r="C6506" s="247"/>
    </row>
    <row r="6507">
      <c r="A6507" s="247"/>
      <c r="B6507" s="258"/>
      <c r="C6507" s="247"/>
    </row>
    <row r="6508">
      <c r="A6508" s="247"/>
      <c r="B6508" s="258"/>
      <c r="C6508" s="247"/>
    </row>
    <row r="6509">
      <c r="A6509" s="247"/>
      <c r="B6509" s="258"/>
      <c r="C6509" s="247"/>
    </row>
    <row r="6510">
      <c r="A6510" s="247"/>
      <c r="B6510" s="258"/>
      <c r="C6510" s="247"/>
    </row>
    <row r="6511">
      <c r="A6511" s="247"/>
      <c r="B6511" s="258"/>
      <c r="C6511" s="247"/>
    </row>
    <row r="6512">
      <c r="A6512" s="247"/>
      <c r="B6512" s="258"/>
      <c r="C6512" s="247"/>
    </row>
    <row r="6513">
      <c r="A6513" s="247"/>
      <c r="B6513" s="258"/>
      <c r="C6513" s="247"/>
    </row>
    <row r="6514">
      <c r="A6514" s="247"/>
      <c r="B6514" s="258"/>
      <c r="C6514" s="247"/>
    </row>
    <row r="6515">
      <c r="A6515" s="247"/>
      <c r="B6515" s="258"/>
      <c r="C6515" s="247"/>
    </row>
    <row r="6516">
      <c r="A6516" s="247"/>
      <c r="B6516" s="258"/>
      <c r="C6516" s="247"/>
    </row>
    <row r="6517">
      <c r="A6517" s="247"/>
      <c r="B6517" s="258"/>
      <c r="C6517" s="247"/>
    </row>
    <row r="6518">
      <c r="A6518" s="247"/>
      <c r="B6518" s="258"/>
      <c r="C6518" s="247"/>
    </row>
    <row r="6519">
      <c r="A6519" s="247"/>
      <c r="B6519" s="258"/>
      <c r="C6519" s="247"/>
    </row>
    <row r="6520">
      <c r="A6520" s="247"/>
      <c r="B6520" s="258"/>
      <c r="C6520" s="247"/>
    </row>
    <row r="6521">
      <c r="A6521" s="247"/>
      <c r="B6521" s="258"/>
      <c r="C6521" s="247"/>
    </row>
    <row r="6522">
      <c r="A6522" s="247"/>
      <c r="B6522" s="258"/>
      <c r="C6522" s="247"/>
    </row>
    <row r="6523">
      <c r="A6523" s="247"/>
      <c r="B6523" s="258"/>
      <c r="C6523" s="247"/>
    </row>
    <row r="6524">
      <c r="A6524" s="247"/>
      <c r="B6524" s="258"/>
      <c r="C6524" s="247"/>
    </row>
    <row r="6525">
      <c r="A6525" s="247"/>
      <c r="B6525" s="258"/>
      <c r="C6525" s="247"/>
    </row>
    <row r="6526">
      <c r="A6526" s="247"/>
      <c r="B6526" s="258"/>
      <c r="C6526" s="247"/>
    </row>
    <row r="6527">
      <c r="A6527" s="247"/>
      <c r="B6527" s="258"/>
      <c r="C6527" s="247"/>
    </row>
    <row r="6528">
      <c r="A6528" s="247"/>
      <c r="B6528" s="258"/>
      <c r="C6528" s="247"/>
    </row>
    <row r="6529">
      <c r="A6529" s="247"/>
      <c r="B6529" s="258"/>
      <c r="C6529" s="247"/>
    </row>
    <row r="6530">
      <c r="A6530" s="247"/>
      <c r="B6530" s="258"/>
      <c r="C6530" s="247"/>
    </row>
    <row r="6531">
      <c r="A6531" s="247"/>
      <c r="B6531" s="258"/>
      <c r="C6531" s="247"/>
    </row>
    <row r="6532">
      <c r="A6532" s="247"/>
      <c r="B6532" s="258"/>
      <c r="C6532" s="247"/>
    </row>
    <row r="6533">
      <c r="A6533" s="247"/>
      <c r="B6533" s="258"/>
      <c r="C6533" s="247"/>
    </row>
    <row r="6534">
      <c r="A6534" s="247"/>
      <c r="B6534" s="258"/>
      <c r="C6534" s="247"/>
    </row>
    <row r="6535">
      <c r="A6535" s="247"/>
      <c r="B6535" s="258"/>
      <c r="C6535" s="247"/>
    </row>
    <row r="6536">
      <c r="A6536" s="247"/>
      <c r="B6536" s="258"/>
      <c r="C6536" s="247"/>
    </row>
    <row r="6537">
      <c r="A6537" s="247"/>
      <c r="B6537" s="258"/>
      <c r="C6537" s="247"/>
    </row>
    <row r="6538">
      <c r="A6538" s="247"/>
      <c r="B6538" s="258"/>
      <c r="C6538" s="247"/>
    </row>
    <row r="6539">
      <c r="A6539" s="247"/>
      <c r="B6539" s="258"/>
      <c r="C6539" s="247"/>
    </row>
    <row r="6540">
      <c r="A6540" s="247"/>
      <c r="B6540" s="258"/>
      <c r="C6540" s="247"/>
    </row>
    <row r="6541">
      <c r="A6541" s="247"/>
      <c r="B6541" s="258"/>
      <c r="C6541" s="247"/>
    </row>
    <row r="6542">
      <c r="A6542" s="247"/>
      <c r="B6542" s="258"/>
      <c r="C6542" s="247"/>
    </row>
    <row r="6543">
      <c r="A6543" s="247"/>
      <c r="B6543" s="258"/>
      <c r="C6543" s="247"/>
    </row>
    <row r="6544">
      <c r="A6544" s="247"/>
      <c r="B6544" s="258"/>
      <c r="C6544" s="247"/>
    </row>
    <row r="6545">
      <c r="A6545" s="247"/>
      <c r="B6545" s="258"/>
      <c r="C6545" s="247"/>
    </row>
    <row r="6546">
      <c r="A6546" s="247"/>
      <c r="B6546" s="258"/>
      <c r="C6546" s="247"/>
    </row>
    <row r="6547">
      <c r="A6547" s="247"/>
      <c r="B6547" s="258"/>
      <c r="C6547" s="247"/>
    </row>
    <row r="6548">
      <c r="A6548" s="247"/>
      <c r="B6548" s="258"/>
      <c r="C6548" s="247"/>
    </row>
    <row r="6549">
      <c r="A6549" s="247"/>
      <c r="B6549" s="258"/>
      <c r="C6549" s="247"/>
    </row>
    <row r="6550">
      <c r="A6550" s="247"/>
      <c r="B6550" s="258"/>
      <c r="C6550" s="247"/>
    </row>
    <row r="6551">
      <c r="A6551" s="247"/>
      <c r="B6551" s="258"/>
      <c r="C6551" s="247"/>
    </row>
    <row r="6552">
      <c r="A6552" s="247"/>
      <c r="B6552" s="258"/>
      <c r="C6552" s="247"/>
    </row>
    <row r="6553">
      <c r="A6553" s="247"/>
      <c r="B6553" s="258"/>
      <c r="C6553" s="247"/>
    </row>
    <row r="6554">
      <c r="A6554" s="247"/>
      <c r="B6554" s="258"/>
      <c r="C6554" s="247"/>
    </row>
    <row r="6555">
      <c r="A6555" s="247"/>
      <c r="B6555" s="258"/>
      <c r="C6555" s="247"/>
    </row>
    <row r="6556">
      <c r="A6556" s="247"/>
      <c r="B6556" s="258"/>
      <c r="C6556" s="247"/>
    </row>
    <row r="6557">
      <c r="A6557" s="247"/>
      <c r="B6557" s="258"/>
      <c r="C6557" s="247"/>
    </row>
    <row r="6558">
      <c r="A6558" s="247"/>
      <c r="B6558" s="258"/>
      <c r="C6558" s="247"/>
    </row>
    <row r="6559">
      <c r="A6559" s="247"/>
      <c r="B6559" s="258"/>
      <c r="C6559" s="247"/>
    </row>
    <row r="6560">
      <c r="A6560" s="247"/>
      <c r="B6560" s="258"/>
      <c r="C6560" s="247"/>
    </row>
    <row r="6561">
      <c r="A6561" s="247"/>
      <c r="B6561" s="258"/>
      <c r="C6561" s="247"/>
    </row>
    <row r="6562">
      <c r="A6562" s="247"/>
      <c r="B6562" s="258"/>
      <c r="C6562" s="247"/>
    </row>
    <row r="6563">
      <c r="A6563" s="247"/>
      <c r="B6563" s="258"/>
      <c r="C6563" s="247"/>
    </row>
    <row r="6564">
      <c r="A6564" s="247"/>
      <c r="B6564" s="258"/>
      <c r="C6564" s="247"/>
    </row>
    <row r="6565">
      <c r="A6565" s="247"/>
      <c r="B6565" s="258"/>
      <c r="C6565" s="247"/>
    </row>
    <row r="6566">
      <c r="A6566" s="247"/>
      <c r="B6566" s="258"/>
      <c r="C6566" s="247"/>
    </row>
    <row r="6567">
      <c r="A6567" s="247"/>
      <c r="B6567" s="258"/>
      <c r="C6567" s="247"/>
    </row>
    <row r="6568">
      <c r="A6568" s="247"/>
      <c r="B6568" s="258"/>
      <c r="C6568" s="247"/>
    </row>
    <row r="6569">
      <c r="A6569" s="247"/>
      <c r="B6569" s="258"/>
      <c r="C6569" s="247"/>
    </row>
    <row r="6570">
      <c r="A6570" s="247"/>
      <c r="B6570" s="258"/>
      <c r="C6570" s="247"/>
    </row>
    <row r="6571">
      <c r="A6571" s="247"/>
      <c r="B6571" s="258"/>
      <c r="C6571" s="247"/>
    </row>
    <row r="6572">
      <c r="A6572" s="247"/>
      <c r="B6572" s="258"/>
      <c r="C6572" s="247"/>
    </row>
    <row r="6573">
      <c r="A6573" s="247"/>
      <c r="B6573" s="258"/>
      <c r="C6573" s="247"/>
    </row>
    <row r="6574">
      <c r="A6574" s="247"/>
      <c r="B6574" s="258"/>
      <c r="C6574" s="247"/>
    </row>
    <row r="6575">
      <c r="A6575" s="247"/>
      <c r="B6575" s="258"/>
      <c r="C6575" s="247"/>
    </row>
    <row r="6576">
      <c r="A6576" s="247"/>
      <c r="B6576" s="258"/>
      <c r="C6576" s="247"/>
    </row>
    <row r="6577">
      <c r="A6577" s="247"/>
      <c r="B6577" s="258"/>
      <c r="C6577" s="247"/>
    </row>
    <row r="6578">
      <c r="A6578" s="247"/>
      <c r="B6578" s="258"/>
      <c r="C6578" s="247"/>
    </row>
    <row r="6579">
      <c r="A6579" s="247"/>
      <c r="B6579" s="258"/>
      <c r="C6579" s="247"/>
    </row>
    <row r="6580">
      <c r="A6580" s="247"/>
      <c r="B6580" s="258"/>
      <c r="C6580" s="247"/>
    </row>
    <row r="6581">
      <c r="A6581" s="247"/>
      <c r="B6581" s="258"/>
      <c r="C6581" s="247"/>
    </row>
    <row r="6582">
      <c r="A6582" s="247"/>
      <c r="B6582" s="258"/>
      <c r="C6582" s="247"/>
    </row>
    <row r="6583">
      <c r="A6583" s="247"/>
      <c r="B6583" s="258"/>
      <c r="C6583" s="247"/>
    </row>
    <row r="6584">
      <c r="A6584" s="247"/>
      <c r="B6584" s="258"/>
      <c r="C6584" s="247"/>
    </row>
    <row r="6585">
      <c r="A6585" s="247"/>
      <c r="B6585" s="258"/>
      <c r="C6585" s="247"/>
    </row>
    <row r="6586">
      <c r="A6586" s="247"/>
      <c r="B6586" s="258"/>
      <c r="C6586" s="247"/>
    </row>
    <row r="6587">
      <c r="A6587" s="247"/>
      <c r="B6587" s="258"/>
      <c r="C6587" s="247"/>
    </row>
    <row r="6588">
      <c r="A6588" s="247"/>
      <c r="B6588" s="258"/>
      <c r="C6588" s="247"/>
    </row>
    <row r="6589">
      <c r="A6589" s="247"/>
      <c r="B6589" s="258"/>
      <c r="C6589" s="247"/>
    </row>
    <row r="6590">
      <c r="A6590" s="247"/>
      <c r="B6590" s="258"/>
      <c r="C6590" s="247"/>
    </row>
    <row r="6591">
      <c r="A6591" s="247"/>
      <c r="B6591" s="258"/>
      <c r="C6591" s="247"/>
    </row>
    <row r="6592">
      <c r="A6592" s="247"/>
      <c r="B6592" s="258"/>
      <c r="C6592" s="247"/>
    </row>
    <row r="6593">
      <c r="A6593" s="247"/>
      <c r="B6593" s="258"/>
      <c r="C6593" s="247"/>
    </row>
    <row r="6594">
      <c r="A6594" s="247"/>
      <c r="B6594" s="258"/>
      <c r="C6594" s="247"/>
    </row>
    <row r="6595">
      <c r="A6595" s="247"/>
      <c r="B6595" s="258"/>
      <c r="C6595" s="247"/>
    </row>
    <row r="6596">
      <c r="A6596" s="247"/>
      <c r="B6596" s="258"/>
      <c r="C6596" s="247"/>
    </row>
    <row r="6597">
      <c r="A6597" s="247"/>
      <c r="B6597" s="258"/>
      <c r="C6597" s="247"/>
    </row>
    <row r="6598">
      <c r="A6598" s="247"/>
      <c r="B6598" s="258"/>
      <c r="C6598" s="247"/>
    </row>
    <row r="6599">
      <c r="A6599" s="247"/>
      <c r="B6599" s="258"/>
      <c r="C6599" s="247"/>
    </row>
    <row r="6600">
      <c r="A6600" s="247"/>
      <c r="B6600" s="258"/>
      <c r="C6600" s="247"/>
    </row>
    <row r="6601">
      <c r="A6601" s="247"/>
      <c r="B6601" s="258"/>
      <c r="C6601" s="247"/>
    </row>
    <row r="6602">
      <c r="A6602" s="247"/>
      <c r="B6602" s="258"/>
      <c r="C6602" s="247"/>
    </row>
    <row r="6603">
      <c r="A6603" s="247"/>
      <c r="B6603" s="258"/>
      <c r="C6603" s="247"/>
    </row>
    <row r="6604">
      <c r="A6604" s="247"/>
      <c r="B6604" s="258"/>
      <c r="C6604" s="247"/>
    </row>
    <row r="6605">
      <c r="A6605" s="247"/>
      <c r="B6605" s="258"/>
      <c r="C6605" s="247"/>
    </row>
    <row r="6606">
      <c r="A6606" s="247"/>
      <c r="B6606" s="258"/>
      <c r="C6606" s="247"/>
    </row>
    <row r="6607">
      <c r="A6607" s="247"/>
      <c r="B6607" s="258"/>
      <c r="C6607" s="247"/>
    </row>
    <row r="6608">
      <c r="A6608" s="247"/>
      <c r="B6608" s="258"/>
      <c r="C6608" s="247"/>
    </row>
    <row r="6609">
      <c r="A6609" s="247"/>
      <c r="B6609" s="258"/>
      <c r="C6609" s="247"/>
    </row>
    <row r="6610">
      <c r="A6610" s="247"/>
      <c r="B6610" s="258"/>
      <c r="C6610" s="247"/>
    </row>
    <row r="6611">
      <c r="A6611" s="247"/>
      <c r="B6611" s="258"/>
      <c r="C6611" s="247"/>
    </row>
    <row r="6612">
      <c r="A6612" s="247"/>
      <c r="B6612" s="258"/>
      <c r="C6612" s="247"/>
    </row>
    <row r="6613">
      <c r="A6613" s="247"/>
      <c r="B6613" s="258"/>
      <c r="C6613" s="247"/>
    </row>
    <row r="6614">
      <c r="A6614" s="247"/>
      <c r="B6614" s="258"/>
      <c r="C6614" s="247"/>
    </row>
    <row r="6615">
      <c r="A6615" s="247"/>
      <c r="B6615" s="258"/>
      <c r="C6615" s="247"/>
    </row>
    <row r="6616">
      <c r="A6616" s="247"/>
      <c r="B6616" s="258"/>
      <c r="C6616" s="247"/>
    </row>
    <row r="6617">
      <c r="A6617" s="247"/>
      <c r="B6617" s="258"/>
      <c r="C6617" s="247"/>
    </row>
    <row r="6618">
      <c r="A6618" s="247"/>
      <c r="B6618" s="258"/>
      <c r="C6618" s="247"/>
    </row>
    <row r="6619">
      <c r="A6619" s="247"/>
      <c r="B6619" s="258"/>
      <c r="C6619" s="247"/>
    </row>
    <row r="6620">
      <c r="A6620" s="247"/>
      <c r="B6620" s="258"/>
      <c r="C6620" s="247"/>
    </row>
    <row r="6621">
      <c r="A6621" s="247"/>
      <c r="B6621" s="258"/>
      <c r="C6621" s="247"/>
    </row>
    <row r="6622">
      <c r="A6622" s="247"/>
      <c r="B6622" s="258"/>
      <c r="C6622" s="247"/>
    </row>
    <row r="6623">
      <c r="A6623" s="247"/>
      <c r="B6623" s="258"/>
      <c r="C6623" s="247"/>
    </row>
    <row r="6624">
      <c r="A6624" s="247"/>
      <c r="B6624" s="258"/>
      <c r="C6624" s="247"/>
    </row>
    <row r="6625">
      <c r="A6625" s="247"/>
      <c r="B6625" s="258"/>
      <c r="C6625" s="247"/>
    </row>
    <row r="6626">
      <c r="A6626" s="247"/>
      <c r="B6626" s="258"/>
      <c r="C6626" s="247"/>
    </row>
    <row r="6627">
      <c r="A6627" s="247"/>
      <c r="B6627" s="258"/>
      <c r="C6627" s="247"/>
    </row>
    <row r="6628">
      <c r="A6628" s="247"/>
      <c r="B6628" s="258"/>
      <c r="C6628" s="247"/>
    </row>
    <row r="6629">
      <c r="A6629" s="247"/>
      <c r="B6629" s="258"/>
      <c r="C6629" s="247"/>
    </row>
    <row r="6630">
      <c r="A6630" s="247"/>
      <c r="B6630" s="258"/>
      <c r="C6630" s="247"/>
    </row>
    <row r="6631">
      <c r="A6631" s="247"/>
      <c r="B6631" s="258"/>
      <c r="C6631" s="247"/>
    </row>
    <row r="6632">
      <c r="A6632" s="247"/>
      <c r="B6632" s="258"/>
      <c r="C6632" s="247"/>
    </row>
    <row r="6633">
      <c r="A6633" s="247"/>
      <c r="B6633" s="258"/>
      <c r="C6633" s="247"/>
    </row>
    <row r="6634">
      <c r="A6634" s="247"/>
      <c r="B6634" s="258"/>
      <c r="C6634" s="247"/>
    </row>
    <row r="6635">
      <c r="A6635" s="247"/>
      <c r="B6635" s="258"/>
      <c r="C6635" s="247"/>
    </row>
    <row r="6636">
      <c r="A6636" s="247"/>
      <c r="B6636" s="258"/>
      <c r="C6636" s="247"/>
    </row>
    <row r="6637">
      <c r="A6637" s="247"/>
      <c r="B6637" s="258"/>
      <c r="C6637" s="247"/>
    </row>
    <row r="6638">
      <c r="A6638" s="247"/>
      <c r="B6638" s="258"/>
      <c r="C6638" s="247"/>
    </row>
    <row r="6639">
      <c r="A6639" s="247"/>
      <c r="B6639" s="258"/>
      <c r="C6639" s="247"/>
    </row>
    <row r="6640">
      <c r="A6640" s="247"/>
      <c r="B6640" s="258"/>
      <c r="C6640" s="247"/>
    </row>
    <row r="6641">
      <c r="A6641" s="247"/>
      <c r="B6641" s="258"/>
      <c r="C6641" s="247"/>
    </row>
    <row r="6642">
      <c r="A6642" s="247"/>
      <c r="B6642" s="258"/>
      <c r="C6642" s="247"/>
    </row>
    <row r="6643">
      <c r="A6643" s="247"/>
      <c r="B6643" s="258"/>
      <c r="C6643" s="247"/>
    </row>
    <row r="6644">
      <c r="A6644" s="247"/>
      <c r="B6644" s="258"/>
      <c r="C6644" s="247"/>
    </row>
    <row r="6645">
      <c r="A6645" s="247"/>
      <c r="B6645" s="258"/>
      <c r="C6645" s="247"/>
    </row>
    <row r="6646">
      <c r="A6646" s="247"/>
      <c r="B6646" s="258"/>
      <c r="C6646" s="247"/>
    </row>
    <row r="6647">
      <c r="A6647" s="247"/>
      <c r="B6647" s="258"/>
      <c r="C6647" s="247"/>
    </row>
    <row r="6648">
      <c r="A6648" s="247"/>
      <c r="B6648" s="258"/>
      <c r="C6648" s="247"/>
    </row>
    <row r="6649">
      <c r="A6649" s="247"/>
      <c r="B6649" s="258"/>
      <c r="C6649" s="247"/>
    </row>
    <row r="6650">
      <c r="A6650" s="247"/>
      <c r="B6650" s="258"/>
      <c r="C6650" s="247"/>
    </row>
    <row r="6651">
      <c r="A6651" s="247"/>
      <c r="B6651" s="258"/>
      <c r="C6651" s="247"/>
    </row>
    <row r="6652">
      <c r="A6652" s="247"/>
      <c r="B6652" s="258"/>
      <c r="C6652" s="247"/>
    </row>
    <row r="6653">
      <c r="A6653" s="247"/>
      <c r="B6653" s="258"/>
      <c r="C6653" s="247"/>
    </row>
    <row r="6654">
      <c r="A6654" s="247"/>
      <c r="B6654" s="258"/>
      <c r="C6654" s="247"/>
    </row>
    <row r="6655">
      <c r="A6655" s="247"/>
      <c r="B6655" s="258"/>
      <c r="C6655" s="247"/>
    </row>
    <row r="6656">
      <c r="A6656" s="247"/>
      <c r="B6656" s="258"/>
      <c r="C6656" s="247"/>
    </row>
    <row r="6657">
      <c r="A6657" s="247"/>
      <c r="B6657" s="258"/>
      <c r="C6657" s="247"/>
    </row>
    <row r="6658">
      <c r="A6658" s="247"/>
      <c r="B6658" s="258"/>
      <c r="C6658" s="247"/>
    </row>
    <row r="6659">
      <c r="A6659" s="247"/>
      <c r="B6659" s="258"/>
      <c r="C6659" s="247"/>
    </row>
    <row r="6660">
      <c r="A6660" s="247"/>
      <c r="B6660" s="258"/>
      <c r="C6660" s="247"/>
    </row>
    <row r="6661">
      <c r="A6661" s="247"/>
      <c r="B6661" s="258"/>
      <c r="C6661" s="247"/>
    </row>
    <row r="6662">
      <c r="A6662" s="247"/>
      <c r="B6662" s="258"/>
      <c r="C6662" s="247"/>
    </row>
    <row r="6663">
      <c r="A6663" s="247"/>
      <c r="B6663" s="258"/>
      <c r="C6663" s="247"/>
    </row>
    <row r="6664">
      <c r="A6664" s="247"/>
      <c r="B6664" s="258"/>
      <c r="C6664" s="247"/>
    </row>
    <row r="6665">
      <c r="A6665" s="247"/>
      <c r="B6665" s="258"/>
      <c r="C6665" s="247"/>
    </row>
    <row r="6666">
      <c r="A6666" s="247"/>
      <c r="B6666" s="258"/>
      <c r="C6666" s="247"/>
    </row>
    <row r="6667">
      <c r="A6667" s="247"/>
      <c r="B6667" s="258"/>
      <c r="C6667" s="247"/>
    </row>
    <row r="6668">
      <c r="A6668" s="247"/>
      <c r="B6668" s="258"/>
      <c r="C6668" s="247"/>
    </row>
    <row r="6669">
      <c r="A6669" s="247"/>
      <c r="B6669" s="258"/>
      <c r="C6669" s="247"/>
    </row>
    <row r="6670">
      <c r="A6670" s="247"/>
      <c r="B6670" s="258"/>
      <c r="C6670" s="247"/>
    </row>
    <row r="6671">
      <c r="A6671" s="247"/>
      <c r="B6671" s="258"/>
      <c r="C6671" s="247"/>
    </row>
    <row r="6672">
      <c r="A6672" s="247"/>
      <c r="B6672" s="258"/>
      <c r="C6672" s="247"/>
    </row>
    <row r="6673">
      <c r="A6673" s="247"/>
      <c r="B6673" s="258"/>
      <c r="C6673" s="247"/>
    </row>
    <row r="6674">
      <c r="A6674" s="247"/>
      <c r="B6674" s="258"/>
      <c r="C6674" s="247"/>
    </row>
    <row r="6675">
      <c r="A6675" s="247"/>
      <c r="B6675" s="258"/>
      <c r="C6675" s="247"/>
    </row>
    <row r="6676">
      <c r="A6676" s="247"/>
      <c r="B6676" s="258"/>
      <c r="C6676" s="247"/>
    </row>
    <row r="6677">
      <c r="A6677" s="247"/>
      <c r="B6677" s="258"/>
      <c r="C6677" s="247"/>
    </row>
    <row r="6678">
      <c r="A6678" s="247"/>
      <c r="B6678" s="258"/>
      <c r="C6678" s="247"/>
    </row>
    <row r="6679">
      <c r="A6679" s="247"/>
      <c r="B6679" s="258"/>
      <c r="C6679" s="247"/>
    </row>
    <row r="6680">
      <c r="A6680" s="247"/>
      <c r="B6680" s="258"/>
      <c r="C6680" s="247"/>
    </row>
    <row r="6681">
      <c r="A6681" s="247"/>
      <c r="B6681" s="258"/>
      <c r="C6681" s="247"/>
    </row>
    <row r="6682">
      <c r="A6682" s="247"/>
      <c r="B6682" s="258"/>
      <c r="C6682" s="247"/>
    </row>
    <row r="6683">
      <c r="A6683" s="247"/>
      <c r="B6683" s="258"/>
      <c r="C6683" s="247"/>
    </row>
    <row r="6684">
      <c r="A6684" s="247"/>
      <c r="B6684" s="258"/>
      <c r="C6684" s="247"/>
    </row>
    <row r="6685">
      <c r="A6685" s="247"/>
      <c r="B6685" s="258"/>
      <c r="C6685" s="247"/>
    </row>
    <row r="6686">
      <c r="A6686" s="247"/>
      <c r="B6686" s="258"/>
      <c r="C6686" s="247"/>
    </row>
    <row r="6687">
      <c r="A6687" s="247"/>
      <c r="B6687" s="258"/>
      <c r="C6687" s="247"/>
    </row>
    <row r="6688">
      <c r="A6688" s="247"/>
      <c r="B6688" s="258"/>
      <c r="C6688" s="247"/>
    </row>
    <row r="6689">
      <c r="A6689" s="247"/>
      <c r="B6689" s="258"/>
      <c r="C6689" s="247"/>
    </row>
    <row r="6690">
      <c r="A6690" s="247"/>
      <c r="B6690" s="258"/>
      <c r="C6690" s="247"/>
    </row>
    <row r="6691">
      <c r="A6691" s="247"/>
      <c r="B6691" s="258"/>
      <c r="C6691" s="247"/>
    </row>
    <row r="6692">
      <c r="A6692" s="247"/>
      <c r="B6692" s="258"/>
      <c r="C6692" s="247"/>
    </row>
    <row r="6693">
      <c r="A6693" s="247"/>
      <c r="B6693" s="258"/>
      <c r="C6693" s="247"/>
    </row>
    <row r="6694">
      <c r="A6694" s="247"/>
      <c r="B6694" s="258"/>
      <c r="C6694" s="247"/>
    </row>
    <row r="6695">
      <c r="A6695" s="247"/>
      <c r="B6695" s="258"/>
      <c r="C6695" s="247"/>
    </row>
    <row r="6696">
      <c r="A6696" s="247"/>
      <c r="B6696" s="258"/>
      <c r="C6696" s="247"/>
    </row>
    <row r="6697">
      <c r="A6697" s="247"/>
      <c r="B6697" s="258"/>
      <c r="C6697" s="247"/>
    </row>
    <row r="6698">
      <c r="A6698" s="247"/>
      <c r="B6698" s="258"/>
      <c r="C6698" s="247"/>
    </row>
    <row r="6699">
      <c r="A6699" s="247"/>
      <c r="B6699" s="258"/>
      <c r="C6699" s="247"/>
    </row>
    <row r="6700">
      <c r="A6700" s="247"/>
      <c r="B6700" s="258"/>
      <c r="C6700" s="247"/>
    </row>
    <row r="6701">
      <c r="A6701" s="247"/>
      <c r="B6701" s="258"/>
      <c r="C6701" s="247"/>
    </row>
    <row r="6702">
      <c r="A6702" s="247"/>
      <c r="B6702" s="258"/>
      <c r="C6702" s="247"/>
    </row>
    <row r="6703">
      <c r="A6703" s="247"/>
      <c r="B6703" s="258"/>
      <c r="C6703" s="247"/>
    </row>
    <row r="6704">
      <c r="A6704" s="247"/>
      <c r="B6704" s="258"/>
      <c r="C6704" s="247"/>
    </row>
    <row r="6705">
      <c r="A6705" s="247"/>
      <c r="B6705" s="258"/>
      <c r="C6705" s="247"/>
    </row>
    <row r="6706">
      <c r="A6706" s="247"/>
      <c r="B6706" s="258"/>
      <c r="C6706" s="247"/>
    </row>
    <row r="6707">
      <c r="A6707" s="247"/>
      <c r="B6707" s="258"/>
      <c r="C6707" s="247"/>
    </row>
    <row r="6708">
      <c r="A6708" s="247"/>
      <c r="B6708" s="258"/>
      <c r="C6708" s="247"/>
    </row>
    <row r="6709">
      <c r="A6709" s="247"/>
      <c r="B6709" s="258"/>
      <c r="C6709" s="247"/>
    </row>
    <row r="6710">
      <c r="A6710" s="247"/>
      <c r="B6710" s="258"/>
      <c r="C6710" s="247"/>
    </row>
    <row r="6711">
      <c r="A6711" s="247"/>
      <c r="B6711" s="258"/>
      <c r="C6711" s="247"/>
    </row>
    <row r="6712">
      <c r="A6712" s="247"/>
      <c r="B6712" s="258"/>
      <c r="C6712" s="247"/>
    </row>
    <row r="6713">
      <c r="A6713" s="247"/>
      <c r="B6713" s="258"/>
      <c r="C6713" s="247"/>
    </row>
    <row r="6714">
      <c r="A6714" s="247"/>
      <c r="B6714" s="258"/>
      <c r="C6714" s="247"/>
    </row>
    <row r="6715">
      <c r="A6715" s="247"/>
      <c r="B6715" s="258"/>
      <c r="C6715" s="247"/>
    </row>
    <row r="6716">
      <c r="A6716" s="247"/>
      <c r="B6716" s="258"/>
      <c r="C6716" s="247"/>
    </row>
    <row r="6717">
      <c r="A6717" s="247"/>
      <c r="B6717" s="258"/>
      <c r="C6717" s="247"/>
    </row>
    <row r="6718">
      <c r="A6718" s="247"/>
      <c r="B6718" s="258"/>
      <c r="C6718" s="247"/>
    </row>
    <row r="6719">
      <c r="A6719" s="247"/>
      <c r="B6719" s="258"/>
      <c r="C6719" s="247"/>
    </row>
    <row r="6720">
      <c r="A6720" s="247"/>
      <c r="B6720" s="258"/>
      <c r="C6720" s="247"/>
    </row>
    <row r="6721">
      <c r="A6721" s="247"/>
      <c r="B6721" s="258"/>
      <c r="C6721" s="247"/>
    </row>
    <row r="6722">
      <c r="A6722" s="247"/>
      <c r="B6722" s="258"/>
      <c r="C6722" s="247"/>
    </row>
    <row r="6723">
      <c r="A6723" s="247"/>
      <c r="B6723" s="258"/>
      <c r="C6723" s="247"/>
    </row>
    <row r="6724">
      <c r="A6724" s="247"/>
      <c r="B6724" s="258"/>
      <c r="C6724" s="247"/>
    </row>
    <row r="6725">
      <c r="A6725" s="247"/>
      <c r="B6725" s="258"/>
      <c r="C6725" s="247"/>
    </row>
    <row r="6726">
      <c r="A6726" s="247"/>
      <c r="B6726" s="258"/>
      <c r="C6726" s="247"/>
    </row>
    <row r="6727">
      <c r="A6727" s="247"/>
      <c r="B6727" s="258"/>
      <c r="C6727" s="247"/>
    </row>
    <row r="6728">
      <c r="A6728" s="247"/>
      <c r="B6728" s="258"/>
      <c r="C6728" s="247"/>
    </row>
    <row r="6729">
      <c r="A6729" s="247"/>
      <c r="B6729" s="258"/>
      <c r="C6729" s="247"/>
    </row>
    <row r="6730">
      <c r="A6730" s="247"/>
      <c r="B6730" s="258"/>
      <c r="C6730" s="247"/>
    </row>
    <row r="6731">
      <c r="A6731" s="247"/>
      <c r="B6731" s="258"/>
      <c r="C6731" s="247"/>
    </row>
    <row r="6732">
      <c r="A6732" s="247"/>
      <c r="B6732" s="258"/>
      <c r="C6732" s="247"/>
    </row>
    <row r="6733">
      <c r="A6733" s="247"/>
      <c r="B6733" s="258"/>
      <c r="C6733" s="247"/>
    </row>
    <row r="6734">
      <c r="A6734" s="247"/>
      <c r="B6734" s="258"/>
      <c r="C6734" s="247"/>
    </row>
    <row r="6735">
      <c r="A6735" s="247"/>
      <c r="B6735" s="258"/>
      <c r="C6735" s="247"/>
    </row>
    <row r="6736">
      <c r="A6736" s="247"/>
      <c r="B6736" s="258"/>
      <c r="C6736" s="247"/>
    </row>
    <row r="6737">
      <c r="A6737" s="247"/>
      <c r="B6737" s="258"/>
      <c r="C6737" s="247"/>
    </row>
    <row r="6738">
      <c r="A6738" s="247"/>
      <c r="B6738" s="258"/>
      <c r="C6738" s="247"/>
    </row>
    <row r="6739">
      <c r="A6739" s="247"/>
      <c r="B6739" s="258"/>
      <c r="C6739" s="247"/>
    </row>
    <row r="6740">
      <c r="A6740" s="247"/>
      <c r="B6740" s="258"/>
      <c r="C6740" s="247"/>
    </row>
    <row r="6741">
      <c r="A6741" s="247"/>
      <c r="B6741" s="258"/>
      <c r="C6741" s="247"/>
    </row>
    <row r="6742">
      <c r="A6742" s="247"/>
      <c r="B6742" s="258"/>
      <c r="C6742" s="247"/>
    </row>
    <row r="6743">
      <c r="A6743" s="247"/>
      <c r="B6743" s="258"/>
      <c r="C6743" s="247"/>
    </row>
    <row r="6744">
      <c r="A6744" s="247"/>
      <c r="B6744" s="258"/>
      <c r="C6744" s="247"/>
    </row>
    <row r="6745">
      <c r="A6745" s="247"/>
      <c r="B6745" s="258"/>
      <c r="C6745" s="247"/>
    </row>
    <row r="6746">
      <c r="A6746" s="247"/>
      <c r="B6746" s="258"/>
      <c r="C6746" s="247"/>
    </row>
    <row r="6747">
      <c r="A6747" s="247"/>
      <c r="B6747" s="258"/>
      <c r="C6747" s="247"/>
    </row>
    <row r="6748">
      <c r="A6748" s="247"/>
      <c r="B6748" s="258"/>
      <c r="C6748" s="247"/>
    </row>
    <row r="6749">
      <c r="A6749" s="247"/>
      <c r="B6749" s="258"/>
      <c r="C6749" s="247"/>
    </row>
    <row r="6750">
      <c r="A6750" s="247"/>
      <c r="B6750" s="258"/>
      <c r="C6750" s="247"/>
    </row>
    <row r="6751">
      <c r="A6751" s="247"/>
      <c r="B6751" s="258"/>
      <c r="C6751" s="247"/>
    </row>
    <row r="6752">
      <c r="A6752" s="247"/>
      <c r="B6752" s="258"/>
      <c r="C6752" s="247"/>
    </row>
    <row r="6753">
      <c r="A6753" s="247"/>
      <c r="B6753" s="258"/>
      <c r="C6753" s="247"/>
    </row>
    <row r="6754">
      <c r="A6754" s="247"/>
      <c r="B6754" s="258"/>
      <c r="C6754" s="247"/>
    </row>
    <row r="6755">
      <c r="A6755" s="247"/>
      <c r="B6755" s="258"/>
      <c r="C6755" s="247"/>
    </row>
    <row r="6756">
      <c r="A6756" s="247"/>
      <c r="B6756" s="258"/>
      <c r="C6756" s="247"/>
    </row>
    <row r="6757">
      <c r="A6757" s="247"/>
      <c r="B6757" s="258"/>
      <c r="C6757" s="247"/>
    </row>
    <row r="6758">
      <c r="A6758" s="247"/>
      <c r="B6758" s="258"/>
      <c r="C6758" s="247"/>
    </row>
    <row r="6759">
      <c r="A6759" s="247"/>
      <c r="B6759" s="258"/>
      <c r="C6759" s="247"/>
    </row>
    <row r="6760">
      <c r="A6760" s="247"/>
      <c r="B6760" s="258"/>
      <c r="C6760" s="247"/>
    </row>
    <row r="6761">
      <c r="A6761" s="247"/>
      <c r="B6761" s="258"/>
      <c r="C6761" s="247"/>
    </row>
    <row r="6762">
      <c r="A6762" s="247"/>
      <c r="B6762" s="258"/>
      <c r="C6762" s="247"/>
    </row>
    <row r="6763">
      <c r="A6763" s="247"/>
      <c r="B6763" s="258"/>
      <c r="C6763" s="247"/>
    </row>
    <row r="6764">
      <c r="A6764" s="247"/>
      <c r="B6764" s="258"/>
      <c r="C6764" s="247"/>
    </row>
    <row r="6765">
      <c r="A6765" s="247"/>
      <c r="B6765" s="258"/>
      <c r="C6765" s="247"/>
    </row>
    <row r="6766">
      <c r="A6766" s="247"/>
      <c r="B6766" s="258"/>
      <c r="C6766" s="247"/>
    </row>
    <row r="6767">
      <c r="A6767" s="247"/>
      <c r="B6767" s="258"/>
      <c r="C6767" s="247"/>
    </row>
    <row r="6768">
      <c r="A6768" s="247"/>
      <c r="B6768" s="258"/>
      <c r="C6768" s="247"/>
    </row>
    <row r="6769">
      <c r="A6769" s="247"/>
      <c r="B6769" s="258"/>
      <c r="C6769" s="247"/>
    </row>
    <row r="6770">
      <c r="A6770" s="247"/>
      <c r="B6770" s="258"/>
      <c r="C6770" s="247"/>
    </row>
    <row r="6771">
      <c r="A6771" s="247"/>
      <c r="B6771" s="258"/>
      <c r="C6771" s="247"/>
    </row>
    <row r="6772">
      <c r="A6772" s="247"/>
      <c r="B6772" s="258"/>
      <c r="C6772" s="247"/>
    </row>
    <row r="6773">
      <c r="A6773" s="247"/>
      <c r="B6773" s="258"/>
      <c r="C6773" s="247"/>
    </row>
    <row r="6774">
      <c r="A6774" s="247"/>
      <c r="B6774" s="258"/>
      <c r="C6774" s="247"/>
    </row>
    <row r="6775">
      <c r="A6775" s="247"/>
      <c r="B6775" s="258"/>
      <c r="C6775" s="247"/>
    </row>
    <row r="6776">
      <c r="A6776" s="247"/>
      <c r="B6776" s="258"/>
      <c r="C6776" s="247"/>
    </row>
    <row r="6777">
      <c r="A6777" s="247"/>
      <c r="B6777" s="258"/>
      <c r="C6777" s="247"/>
    </row>
    <row r="6778">
      <c r="A6778" s="247"/>
      <c r="B6778" s="258"/>
      <c r="C6778" s="247"/>
    </row>
    <row r="6779">
      <c r="A6779" s="247"/>
      <c r="B6779" s="258"/>
      <c r="C6779" s="247"/>
    </row>
    <row r="6780">
      <c r="A6780" s="247"/>
      <c r="B6780" s="258"/>
      <c r="C6780" s="247"/>
    </row>
    <row r="6781">
      <c r="A6781" s="247"/>
      <c r="B6781" s="258"/>
      <c r="C6781" s="247"/>
    </row>
    <row r="6782">
      <c r="A6782" s="247"/>
      <c r="B6782" s="258"/>
      <c r="C6782" s="247"/>
    </row>
    <row r="6783">
      <c r="A6783" s="247"/>
      <c r="B6783" s="258"/>
      <c r="C6783" s="247"/>
    </row>
    <row r="6784">
      <c r="A6784" s="247"/>
      <c r="B6784" s="258"/>
      <c r="C6784" s="247"/>
    </row>
    <row r="6785">
      <c r="A6785" s="247"/>
      <c r="B6785" s="258"/>
      <c r="C6785" s="247"/>
    </row>
    <row r="6786">
      <c r="A6786" s="247"/>
      <c r="B6786" s="258"/>
      <c r="C6786" s="247"/>
    </row>
    <row r="6787">
      <c r="A6787" s="247"/>
      <c r="B6787" s="258"/>
      <c r="C6787" s="247"/>
    </row>
    <row r="6788">
      <c r="A6788" s="247"/>
      <c r="B6788" s="258"/>
      <c r="C6788" s="247"/>
    </row>
    <row r="6789">
      <c r="A6789" s="247"/>
      <c r="B6789" s="258"/>
      <c r="C6789" s="247"/>
    </row>
    <row r="6790">
      <c r="A6790" s="247"/>
      <c r="B6790" s="258"/>
      <c r="C6790" s="247"/>
    </row>
    <row r="6791">
      <c r="A6791" s="247"/>
      <c r="B6791" s="258"/>
      <c r="C6791" s="247"/>
    </row>
    <row r="6792">
      <c r="A6792" s="247"/>
      <c r="B6792" s="258"/>
      <c r="C6792" s="247"/>
    </row>
    <row r="6793">
      <c r="A6793" s="247"/>
      <c r="B6793" s="258"/>
      <c r="C6793" s="247"/>
    </row>
    <row r="6794">
      <c r="A6794" s="247"/>
      <c r="B6794" s="258"/>
      <c r="C6794" s="247"/>
    </row>
    <row r="6795">
      <c r="A6795" s="247"/>
      <c r="B6795" s="258"/>
      <c r="C6795" s="247"/>
    </row>
    <row r="6796">
      <c r="A6796" s="247"/>
      <c r="B6796" s="258"/>
      <c r="C6796" s="247"/>
    </row>
    <row r="6797">
      <c r="A6797" s="247"/>
      <c r="B6797" s="258"/>
      <c r="C6797" s="247"/>
    </row>
    <row r="6798">
      <c r="A6798" s="247"/>
      <c r="B6798" s="258"/>
      <c r="C6798" s="247"/>
    </row>
    <row r="6799">
      <c r="A6799" s="247"/>
      <c r="B6799" s="258"/>
      <c r="C6799" s="247"/>
    </row>
    <row r="6800">
      <c r="A6800" s="247"/>
      <c r="B6800" s="258"/>
      <c r="C6800" s="247"/>
    </row>
    <row r="6801">
      <c r="A6801" s="247"/>
      <c r="B6801" s="258"/>
      <c r="C6801" s="247"/>
    </row>
    <row r="6802">
      <c r="A6802" s="247"/>
      <c r="B6802" s="258"/>
      <c r="C6802" s="247"/>
    </row>
    <row r="6803">
      <c r="A6803" s="247"/>
      <c r="B6803" s="258"/>
      <c r="C6803" s="247"/>
    </row>
    <row r="6804">
      <c r="A6804" s="247"/>
      <c r="B6804" s="258"/>
      <c r="C6804" s="247"/>
    </row>
    <row r="6805">
      <c r="A6805" s="247"/>
      <c r="B6805" s="258"/>
      <c r="C6805" s="247"/>
    </row>
    <row r="6806">
      <c r="A6806" s="247"/>
      <c r="B6806" s="258"/>
      <c r="C6806" s="247"/>
    </row>
    <row r="6807">
      <c r="A6807" s="247"/>
      <c r="B6807" s="258"/>
      <c r="C6807" s="247"/>
    </row>
    <row r="6808">
      <c r="A6808" s="247"/>
      <c r="B6808" s="258"/>
      <c r="C6808" s="247"/>
    </row>
    <row r="6809">
      <c r="A6809" s="247"/>
      <c r="B6809" s="258"/>
      <c r="C6809" s="247"/>
    </row>
    <row r="6810">
      <c r="A6810" s="247"/>
      <c r="B6810" s="258"/>
      <c r="C6810" s="247"/>
    </row>
    <row r="6811">
      <c r="A6811" s="247"/>
      <c r="B6811" s="258"/>
      <c r="C6811" s="247"/>
    </row>
    <row r="6812">
      <c r="A6812" s="247"/>
      <c r="B6812" s="258"/>
      <c r="C6812" s="247"/>
    </row>
    <row r="6813">
      <c r="A6813" s="247"/>
      <c r="B6813" s="258"/>
      <c r="C6813" s="247"/>
    </row>
    <row r="6814">
      <c r="A6814" s="247"/>
      <c r="B6814" s="258"/>
      <c r="C6814" s="247"/>
    </row>
    <row r="6815">
      <c r="A6815" s="247"/>
      <c r="B6815" s="258"/>
      <c r="C6815" s="247"/>
    </row>
    <row r="6816">
      <c r="A6816" s="247"/>
      <c r="B6816" s="258"/>
      <c r="C6816" s="247"/>
    </row>
    <row r="6817">
      <c r="A6817" s="247"/>
      <c r="B6817" s="258"/>
      <c r="C6817" s="247"/>
    </row>
    <row r="6818">
      <c r="A6818" s="247"/>
      <c r="B6818" s="258"/>
      <c r="C6818" s="247"/>
    </row>
    <row r="6819">
      <c r="A6819" s="247"/>
      <c r="B6819" s="258"/>
      <c r="C6819" s="247"/>
    </row>
    <row r="6820">
      <c r="A6820" s="247"/>
      <c r="B6820" s="258"/>
      <c r="C6820" s="247"/>
    </row>
    <row r="6821">
      <c r="A6821" s="247"/>
      <c r="B6821" s="258"/>
      <c r="C6821" s="247"/>
    </row>
    <row r="6822">
      <c r="A6822" s="247"/>
      <c r="B6822" s="258"/>
      <c r="C6822" s="247"/>
    </row>
    <row r="6823">
      <c r="A6823" s="247"/>
      <c r="B6823" s="258"/>
      <c r="C6823" s="247"/>
    </row>
    <row r="6824">
      <c r="A6824" s="247"/>
      <c r="B6824" s="258"/>
      <c r="C6824" s="247"/>
    </row>
    <row r="6825">
      <c r="A6825" s="247"/>
      <c r="B6825" s="258"/>
      <c r="C6825" s="247"/>
    </row>
    <row r="6826">
      <c r="A6826" s="247"/>
      <c r="B6826" s="258"/>
      <c r="C6826" s="247"/>
    </row>
    <row r="6827">
      <c r="A6827" s="247"/>
      <c r="B6827" s="258"/>
      <c r="C6827" s="247"/>
    </row>
    <row r="6828">
      <c r="A6828" s="247"/>
      <c r="B6828" s="258"/>
      <c r="C6828" s="247"/>
    </row>
    <row r="6829">
      <c r="A6829" s="247"/>
      <c r="B6829" s="258"/>
      <c r="C6829" s="247"/>
    </row>
    <row r="6830">
      <c r="A6830" s="247"/>
      <c r="B6830" s="258"/>
      <c r="C6830" s="247"/>
    </row>
    <row r="6831">
      <c r="A6831" s="247"/>
      <c r="B6831" s="258"/>
      <c r="C6831" s="247"/>
    </row>
    <row r="6832">
      <c r="A6832" s="247"/>
      <c r="B6832" s="258"/>
      <c r="C6832" s="247"/>
    </row>
    <row r="6833">
      <c r="A6833" s="247"/>
      <c r="B6833" s="258"/>
      <c r="C6833" s="247"/>
    </row>
    <row r="6834">
      <c r="A6834" s="247"/>
      <c r="B6834" s="258"/>
      <c r="C6834" s="247"/>
    </row>
    <row r="6835">
      <c r="A6835" s="247"/>
      <c r="B6835" s="258"/>
      <c r="C6835" s="247"/>
    </row>
    <row r="6836">
      <c r="A6836" s="247"/>
      <c r="B6836" s="258"/>
      <c r="C6836" s="247"/>
    </row>
    <row r="6837">
      <c r="A6837" s="247"/>
      <c r="B6837" s="258"/>
      <c r="C6837" s="247"/>
    </row>
    <row r="6838">
      <c r="A6838" s="247"/>
      <c r="B6838" s="258"/>
      <c r="C6838" s="247"/>
    </row>
    <row r="6839">
      <c r="A6839" s="247"/>
      <c r="B6839" s="258"/>
      <c r="C6839" s="247"/>
    </row>
    <row r="6840">
      <c r="A6840" s="247"/>
      <c r="B6840" s="258"/>
      <c r="C6840" s="247"/>
    </row>
    <row r="6841">
      <c r="A6841" s="247"/>
      <c r="B6841" s="258"/>
      <c r="C6841" s="247"/>
    </row>
    <row r="6842">
      <c r="A6842" s="247"/>
      <c r="B6842" s="258"/>
      <c r="C6842" s="247"/>
    </row>
    <row r="6843">
      <c r="A6843" s="247"/>
      <c r="B6843" s="258"/>
      <c r="C6843" s="247"/>
    </row>
    <row r="6844">
      <c r="A6844" s="247"/>
      <c r="B6844" s="258"/>
      <c r="C6844" s="247"/>
    </row>
    <row r="6845">
      <c r="A6845" s="247"/>
      <c r="B6845" s="258"/>
      <c r="C6845" s="247"/>
    </row>
    <row r="6846">
      <c r="A6846" s="247"/>
      <c r="B6846" s="258"/>
      <c r="C6846" s="247"/>
    </row>
    <row r="6847">
      <c r="A6847" s="247"/>
      <c r="B6847" s="258"/>
      <c r="C6847" s="247"/>
    </row>
    <row r="6848">
      <c r="A6848" s="247"/>
      <c r="B6848" s="258"/>
      <c r="C6848" s="247"/>
    </row>
    <row r="6849">
      <c r="A6849" s="247"/>
      <c r="B6849" s="258"/>
      <c r="C6849" s="247"/>
    </row>
    <row r="6850">
      <c r="A6850" s="247"/>
      <c r="B6850" s="258"/>
      <c r="C6850" s="247"/>
    </row>
    <row r="6851">
      <c r="A6851" s="247"/>
      <c r="B6851" s="258"/>
      <c r="C6851" s="247"/>
    </row>
    <row r="6852">
      <c r="A6852" s="247"/>
      <c r="B6852" s="258"/>
      <c r="C6852" s="247"/>
    </row>
    <row r="6853">
      <c r="A6853" s="247"/>
      <c r="B6853" s="258"/>
      <c r="C6853" s="247"/>
    </row>
    <row r="6854">
      <c r="A6854" s="247"/>
      <c r="B6854" s="258"/>
      <c r="C6854" s="247"/>
    </row>
    <row r="6855">
      <c r="A6855" s="247"/>
      <c r="B6855" s="258"/>
      <c r="C6855" s="247"/>
    </row>
    <row r="6856">
      <c r="A6856" s="247"/>
      <c r="B6856" s="258"/>
      <c r="C6856" s="247"/>
    </row>
    <row r="6857">
      <c r="A6857" s="247"/>
      <c r="B6857" s="258"/>
      <c r="C6857" s="247"/>
    </row>
    <row r="6858">
      <c r="A6858" s="247"/>
      <c r="B6858" s="258"/>
      <c r="C6858" s="247"/>
    </row>
    <row r="6859">
      <c r="A6859" s="247"/>
      <c r="B6859" s="258"/>
      <c r="C6859" s="247"/>
    </row>
    <row r="6860">
      <c r="A6860" s="247"/>
      <c r="B6860" s="258"/>
      <c r="C6860" s="247"/>
    </row>
    <row r="6861">
      <c r="A6861" s="247"/>
      <c r="B6861" s="258"/>
      <c r="C6861" s="247"/>
    </row>
    <row r="6862">
      <c r="A6862" s="247"/>
      <c r="B6862" s="258"/>
      <c r="C6862" s="247"/>
    </row>
    <row r="6863">
      <c r="A6863" s="247"/>
      <c r="B6863" s="258"/>
      <c r="C6863" s="247"/>
    </row>
    <row r="6864">
      <c r="A6864" s="247"/>
      <c r="B6864" s="258"/>
      <c r="C6864" s="247"/>
    </row>
    <row r="6865">
      <c r="A6865" s="247"/>
      <c r="B6865" s="258"/>
      <c r="C6865" s="247"/>
    </row>
    <row r="6866">
      <c r="A6866" s="247"/>
      <c r="B6866" s="258"/>
      <c r="C6866" s="247"/>
    </row>
    <row r="6867">
      <c r="A6867" s="247"/>
      <c r="B6867" s="258"/>
      <c r="C6867" s="247"/>
    </row>
    <row r="6868">
      <c r="A6868" s="247"/>
      <c r="B6868" s="258"/>
      <c r="C6868" s="247"/>
    </row>
    <row r="6869">
      <c r="A6869" s="247"/>
      <c r="B6869" s="258"/>
      <c r="C6869" s="247"/>
    </row>
    <row r="6870">
      <c r="A6870" s="247"/>
      <c r="B6870" s="258"/>
      <c r="C6870" s="247"/>
    </row>
    <row r="6871">
      <c r="A6871" s="247"/>
      <c r="B6871" s="258"/>
      <c r="C6871" s="247"/>
    </row>
    <row r="6872">
      <c r="A6872" s="247"/>
      <c r="B6872" s="258"/>
      <c r="C6872" s="247"/>
    </row>
    <row r="6873">
      <c r="A6873" s="247"/>
      <c r="B6873" s="258"/>
      <c r="C6873" s="247"/>
    </row>
    <row r="6874">
      <c r="A6874" s="247"/>
      <c r="B6874" s="258"/>
      <c r="C6874" s="247"/>
    </row>
    <row r="6875">
      <c r="A6875" s="247"/>
      <c r="B6875" s="258"/>
      <c r="C6875" s="247"/>
    </row>
    <row r="6876">
      <c r="A6876" s="247"/>
      <c r="B6876" s="258"/>
      <c r="C6876" s="247"/>
    </row>
    <row r="6877">
      <c r="A6877" s="247"/>
      <c r="B6877" s="258"/>
      <c r="C6877" s="247"/>
    </row>
    <row r="6878">
      <c r="A6878" s="247"/>
      <c r="B6878" s="258"/>
      <c r="C6878" s="247"/>
    </row>
    <row r="6879">
      <c r="A6879" s="247"/>
      <c r="B6879" s="258"/>
      <c r="C6879" s="247"/>
    </row>
    <row r="6880">
      <c r="A6880" s="247"/>
      <c r="B6880" s="258"/>
      <c r="C6880" s="247"/>
    </row>
    <row r="6881">
      <c r="A6881" s="247"/>
      <c r="B6881" s="258"/>
      <c r="C6881" s="247"/>
    </row>
    <row r="6882">
      <c r="A6882" s="247"/>
      <c r="B6882" s="258"/>
      <c r="C6882" s="247"/>
    </row>
    <row r="6883">
      <c r="A6883" s="247"/>
      <c r="B6883" s="258"/>
      <c r="C6883" s="247"/>
    </row>
    <row r="6884">
      <c r="A6884" s="247"/>
      <c r="B6884" s="258"/>
      <c r="C6884" s="247"/>
    </row>
    <row r="6885">
      <c r="A6885" s="247"/>
      <c r="B6885" s="258"/>
      <c r="C6885" s="247"/>
    </row>
    <row r="6886">
      <c r="A6886" s="247"/>
      <c r="B6886" s="258"/>
      <c r="C6886" s="247"/>
    </row>
    <row r="6887">
      <c r="A6887" s="247"/>
      <c r="B6887" s="258"/>
      <c r="C6887" s="247"/>
    </row>
    <row r="6888">
      <c r="A6888" s="247"/>
      <c r="B6888" s="258"/>
      <c r="C6888" s="247"/>
    </row>
    <row r="6889">
      <c r="A6889" s="247"/>
      <c r="B6889" s="258"/>
      <c r="C6889" s="247"/>
    </row>
    <row r="6890">
      <c r="A6890" s="247"/>
      <c r="B6890" s="258"/>
      <c r="C6890" s="247"/>
    </row>
    <row r="6891">
      <c r="A6891" s="247"/>
      <c r="B6891" s="258"/>
      <c r="C6891" s="247"/>
    </row>
    <row r="6892">
      <c r="A6892" s="247"/>
      <c r="B6892" s="258"/>
      <c r="C6892" s="247"/>
    </row>
    <row r="6893">
      <c r="A6893" s="247"/>
      <c r="B6893" s="258"/>
      <c r="C6893" s="247"/>
    </row>
    <row r="6894">
      <c r="A6894" s="247"/>
      <c r="B6894" s="258"/>
      <c r="C6894" s="247"/>
    </row>
    <row r="6895">
      <c r="A6895" s="247"/>
      <c r="B6895" s="258"/>
      <c r="C6895" s="247"/>
    </row>
    <row r="6896">
      <c r="A6896" s="247"/>
      <c r="B6896" s="258"/>
      <c r="C6896" s="247"/>
    </row>
    <row r="6897">
      <c r="A6897" s="247"/>
      <c r="B6897" s="258"/>
      <c r="C6897" s="247"/>
    </row>
    <row r="6898">
      <c r="A6898" s="247"/>
      <c r="B6898" s="258"/>
      <c r="C6898" s="247"/>
    </row>
    <row r="6899">
      <c r="A6899" s="247"/>
      <c r="B6899" s="258"/>
      <c r="C6899" s="247"/>
    </row>
    <row r="6900">
      <c r="A6900" s="247"/>
      <c r="B6900" s="258"/>
      <c r="C6900" s="247"/>
    </row>
    <row r="6901">
      <c r="A6901" s="247"/>
      <c r="B6901" s="258"/>
      <c r="C6901" s="247"/>
    </row>
    <row r="6902">
      <c r="A6902" s="247"/>
      <c r="B6902" s="258"/>
      <c r="C6902" s="247"/>
    </row>
    <row r="6903">
      <c r="A6903" s="247"/>
      <c r="B6903" s="258"/>
      <c r="C6903" s="247"/>
    </row>
    <row r="6904">
      <c r="A6904" s="247"/>
      <c r="B6904" s="258"/>
      <c r="C6904" s="247"/>
    </row>
    <row r="6905">
      <c r="A6905" s="247"/>
      <c r="B6905" s="258"/>
      <c r="C6905" s="247"/>
    </row>
    <row r="6906">
      <c r="A6906" s="247"/>
      <c r="B6906" s="258"/>
      <c r="C6906" s="247"/>
    </row>
    <row r="6907">
      <c r="A6907" s="247"/>
      <c r="B6907" s="258"/>
      <c r="C6907" s="247"/>
    </row>
    <row r="6908">
      <c r="A6908" s="247"/>
      <c r="B6908" s="258"/>
      <c r="C6908" s="247"/>
    </row>
    <row r="6909">
      <c r="A6909" s="247"/>
      <c r="B6909" s="258"/>
      <c r="C6909" s="247"/>
    </row>
    <row r="6910">
      <c r="A6910" s="247"/>
      <c r="B6910" s="258"/>
      <c r="C6910" s="247"/>
    </row>
    <row r="6911">
      <c r="A6911" s="247"/>
      <c r="B6911" s="258"/>
      <c r="C6911" s="247"/>
    </row>
    <row r="6912">
      <c r="A6912" s="247"/>
      <c r="B6912" s="258"/>
      <c r="C6912" s="247"/>
    </row>
    <row r="6913">
      <c r="A6913" s="247"/>
      <c r="B6913" s="258"/>
      <c r="C6913" s="247"/>
    </row>
    <row r="6914">
      <c r="A6914" s="247"/>
      <c r="B6914" s="258"/>
      <c r="C6914" s="247"/>
    </row>
    <row r="6915">
      <c r="A6915" s="247"/>
      <c r="B6915" s="258"/>
      <c r="C6915" s="247"/>
    </row>
    <row r="6916">
      <c r="A6916" s="247"/>
      <c r="B6916" s="258"/>
      <c r="C6916" s="247"/>
    </row>
    <row r="6917">
      <c r="A6917" s="247"/>
      <c r="B6917" s="258"/>
      <c r="C6917" s="247"/>
    </row>
    <row r="6918">
      <c r="A6918" s="247"/>
      <c r="B6918" s="258"/>
      <c r="C6918" s="247"/>
    </row>
    <row r="6919">
      <c r="A6919" s="247"/>
      <c r="B6919" s="258"/>
      <c r="C6919" s="247"/>
    </row>
    <row r="6920">
      <c r="A6920" s="247"/>
      <c r="B6920" s="258"/>
      <c r="C6920" s="247"/>
    </row>
    <row r="6921">
      <c r="A6921" s="247"/>
      <c r="B6921" s="258"/>
      <c r="C6921" s="247"/>
    </row>
    <row r="6922">
      <c r="A6922" s="247"/>
      <c r="B6922" s="258"/>
      <c r="C6922" s="247"/>
    </row>
    <row r="6923">
      <c r="A6923" s="247"/>
      <c r="B6923" s="258"/>
      <c r="C6923" s="247"/>
    </row>
    <row r="6924">
      <c r="A6924" s="247"/>
      <c r="B6924" s="258"/>
      <c r="C6924" s="247"/>
    </row>
    <row r="6925">
      <c r="A6925" s="247"/>
      <c r="B6925" s="258"/>
      <c r="C6925" s="247"/>
    </row>
    <row r="6926">
      <c r="A6926" s="247"/>
      <c r="B6926" s="258"/>
      <c r="C6926" s="247"/>
    </row>
    <row r="6927">
      <c r="A6927" s="247"/>
      <c r="B6927" s="258"/>
      <c r="C6927" s="247"/>
    </row>
    <row r="6928">
      <c r="A6928" s="247"/>
      <c r="B6928" s="258"/>
      <c r="C6928" s="247"/>
    </row>
    <row r="6929">
      <c r="A6929" s="247"/>
      <c r="B6929" s="258"/>
      <c r="C6929" s="247"/>
    </row>
    <row r="6930">
      <c r="A6930" s="247"/>
      <c r="B6930" s="258"/>
      <c r="C6930" s="247"/>
    </row>
    <row r="6931">
      <c r="A6931" s="247"/>
      <c r="B6931" s="258"/>
      <c r="C6931" s="247"/>
    </row>
    <row r="6932">
      <c r="A6932" s="247"/>
      <c r="B6932" s="258"/>
      <c r="C6932" s="247"/>
    </row>
    <row r="6933">
      <c r="A6933" s="247"/>
      <c r="B6933" s="258"/>
      <c r="C6933" s="247"/>
    </row>
    <row r="6934">
      <c r="A6934" s="247"/>
      <c r="B6934" s="258"/>
      <c r="C6934" s="247"/>
    </row>
    <row r="6935">
      <c r="A6935" s="247"/>
      <c r="B6935" s="258"/>
      <c r="C6935" s="247"/>
    </row>
    <row r="6936">
      <c r="A6936" s="247"/>
      <c r="B6936" s="258"/>
      <c r="C6936" s="247"/>
    </row>
    <row r="6937">
      <c r="A6937" s="247"/>
      <c r="B6937" s="258"/>
      <c r="C6937" s="247"/>
    </row>
    <row r="6938">
      <c r="A6938" s="247"/>
      <c r="B6938" s="258"/>
      <c r="C6938" s="247"/>
    </row>
    <row r="6939">
      <c r="A6939" s="247"/>
      <c r="B6939" s="258"/>
      <c r="C6939" s="247"/>
    </row>
    <row r="6940">
      <c r="A6940" s="247"/>
      <c r="B6940" s="258"/>
      <c r="C6940" s="247"/>
    </row>
    <row r="6941">
      <c r="A6941" s="247"/>
      <c r="B6941" s="258"/>
      <c r="C6941" s="247"/>
    </row>
    <row r="6942">
      <c r="A6942" s="247"/>
      <c r="B6942" s="258"/>
      <c r="C6942" s="247"/>
    </row>
    <row r="6943">
      <c r="A6943" s="247"/>
      <c r="B6943" s="258"/>
      <c r="C6943" s="247"/>
    </row>
    <row r="6944">
      <c r="A6944" s="247"/>
      <c r="B6944" s="258"/>
      <c r="C6944" s="247"/>
    </row>
    <row r="6945">
      <c r="A6945" s="247"/>
      <c r="B6945" s="258"/>
      <c r="C6945" s="247"/>
    </row>
    <row r="6946">
      <c r="A6946" s="247"/>
      <c r="B6946" s="258"/>
      <c r="C6946" s="247"/>
    </row>
    <row r="6947">
      <c r="A6947" s="247"/>
      <c r="B6947" s="258"/>
      <c r="C6947" s="247"/>
    </row>
    <row r="6948">
      <c r="A6948" s="247"/>
      <c r="B6948" s="258"/>
      <c r="C6948" s="247"/>
    </row>
    <row r="6949">
      <c r="A6949" s="247"/>
      <c r="B6949" s="258"/>
      <c r="C6949" s="247"/>
    </row>
    <row r="6950">
      <c r="A6950" s="247"/>
      <c r="B6950" s="258"/>
      <c r="C6950" s="247"/>
    </row>
    <row r="6951">
      <c r="A6951" s="247"/>
      <c r="B6951" s="258"/>
      <c r="C6951" s="247"/>
    </row>
    <row r="6952">
      <c r="A6952" s="247"/>
      <c r="B6952" s="258"/>
      <c r="C6952" s="247"/>
    </row>
    <row r="6953">
      <c r="A6953" s="247"/>
      <c r="B6953" s="258"/>
      <c r="C6953" s="247"/>
    </row>
    <row r="6954">
      <c r="A6954" s="247"/>
      <c r="B6954" s="258"/>
      <c r="C6954" s="247"/>
    </row>
    <row r="6955">
      <c r="A6955" s="247"/>
      <c r="B6955" s="258"/>
      <c r="C6955" s="247"/>
    </row>
    <row r="6956">
      <c r="A6956" s="247"/>
      <c r="B6956" s="258"/>
      <c r="C6956" s="247"/>
    </row>
    <row r="6957">
      <c r="A6957" s="247"/>
      <c r="B6957" s="258"/>
      <c r="C6957" s="247"/>
    </row>
    <row r="6958">
      <c r="A6958" s="247"/>
      <c r="B6958" s="258"/>
      <c r="C6958" s="247"/>
    </row>
    <row r="6959">
      <c r="A6959" s="247"/>
      <c r="B6959" s="258"/>
      <c r="C6959" s="247"/>
    </row>
    <row r="6960">
      <c r="A6960" s="247"/>
      <c r="B6960" s="258"/>
      <c r="C6960" s="247"/>
    </row>
    <row r="6961">
      <c r="A6961" s="247"/>
      <c r="B6961" s="258"/>
      <c r="C6961" s="247"/>
    </row>
    <row r="6962">
      <c r="A6962" s="247"/>
      <c r="B6962" s="258"/>
      <c r="C6962" s="247"/>
    </row>
    <row r="6963">
      <c r="A6963" s="247"/>
      <c r="B6963" s="258"/>
      <c r="C6963" s="247"/>
    </row>
    <row r="6964">
      <c r="A6964" s="247"/>
      <c r="B6964" s="258"/>
      <c r="C6964" s="247"/>
    </row>
    <row r="6965">
      <c r="A6965" s="247"/>
      <c r="B6965" s="258"/>
      <c r="C6965" s="247"/>
    </row>
    <row r="6966">
      <c r="A6966" s="247"/>
      <c r="B6966" s="258"/>
      <c r="C6966" s="247"/>
    </row>
    <row r="6967">
      <c r="A6967" s="247"/>
      <c r="B6967" s="258"/>
      <c r="C6967" s="247"/>
    </row>
    <row r="6968">
      <c r="A6968" s="247"/>
      <c r="B6968" s="258"/>
      <c r="C6968" s="247"/>
    </row>
    <row r="6969">
      <c r="A6969" s="247"/>
      <c r="B6969" s="258"/>
      <c r="C6969" s="247"/>
    </row>
    <row r="6970">
      <c r="A6970" s="247"/>
      <c r="B6970" s="258"/>
      <c r="C6970" s="247"/>
    </row>
    <row r="6971">
      <c r="A6971" s="247"/>
      <c r="B6971" s="258"/>
      <c r="C6971" s="247"/>
    </row>
    <row r="6972">
      <c r="A6972" s="247"/>
      <c r="B6972" s="258"/>
      <c r="C6972" s="247"/>
    </row>
    <row r="6973">
      <c r="A6973" s="247"/>
      <c r="B6973" s="258"/>
      <c r="C6973" s="247"/>
    </row>
    <row r="6974">
      <c r="A6974" s="247"/>
      <c r="B6974" s="258"/>
      <c r="C6974" s="247"/>
    </row>
    <row r="6975">
      <c r="A6975" s="247"/>
      <c r="B6975" s="258"/>
      <c r="C6975" s="247"/>
    </row>
    <row r="6976">
      <c r="A6976" s="247"/>
      <c r="B6976" s="258"/>
      <c r="C6976" s="247"/>
    </row>
    <row r="6977">
      <c r="A6977" s="247"/>
      <c r="B6977" s="258"/>
      <c r="C6977" s="247"/>
    </row>
    <row r="6978">
      <c r="A6978" s="247"/>
      <c r="B6978" s="258"/>
      <c r="C6978" s="247"/>
    </row>
    <row r="6979">
      <c r="A6979" s="247"/>
      <c r="B6979" s="258"/>
      <c r="C6979" s="247"/>
    </row>
    <row r="6980">
      <c r="A6980" s="247"/>
      <c r="B6980" s="258"/>
      <c r="C6980" s="247"/>
    </row>
    <row r="6981">
      <c r="A6981" s="247"/>
      <c r="B6981" s="258"/>
      <c r="C6981" s="247"/>
    </row>
    <row r="6982">
      <c r="A6982" s="247"/>
      <c r="B6982" s="258"/>
      <c r="C6982" s="247"/>
    </row>
    <row r="6983">
      <c r="A6983" s="247"/>
      <c r="B6983" s="258"/>
      <c r="C6983" s="247"/>
    </row>
    <row r="6984">
      <c r="A6984" s="247"/>
      <c r="B6984" s="258"/>
      <c r="C6984" s="247"/>
    </row>
    <row r="6985">
      <c r="A6985" s="247"/>
      <c r="B6985" s="258"/>
      <c r="C6985" s="247"/>
    </row>
    <row r="6986">
      <c r="A6986" s="247"/>
      <c r="B6986" s="258"/>
      <c r="C6986" s="247"/>
    </row>
    <row r="6987">
      <c r="A6987" s="247"/>
      <c r="B6987" s="258"/>
      <c r="C6987" s="247"/>
    </row>
    <row r="6988">
      <c r="A6988" s="247"/>
      <c r="B6988" s="258"/>
      <c r="C6988" s="247"/>
    </row>
    <row r="6989">
      <c r="A6989" s="247"/>
      <c r="B6989" s="258"/>
      <c r="C6989" s="247"/>
    </row>
    <row r="6990">
      <c r="A6990" s="247"/>
      <c r="B6990" s="258"/>
      <c r="C6990" s="247"/>
    </row>
    <row r="6991">
      <c r="A6991" s="247"/>
      <c r="B6991" s="258"/>
      <c r="C6991" s="247"/>
    </row>
    <row r="6992">
      <c r="A6992" s="247"/>
      <c r="B6992" s="258"/>
      <c r="C6992" s="247"/>
    </row>
    <row r="6993">
      <c r="A6993" s="247"/>
      <c r="B6993" s="258"/>
      <c r="C6993" s="247"/>
    </row>
    <row r="6994">
      <c r="A6994" s="247"/>
      <c r="B6994" s="258"/>
      <c r="C6994" s="247"/>
    </row>
    <row r="6995">
      <c r="A6995" s="247"/>
      <c r="B6995" s="258"/>
      <c r="C6995" s="247"/>
    </row>
    <row r="6996">
      <c r="A6996" s="247"/>
      <c r="B6996" s="258"/>
      <c r="C6996" s="247"/>
    </row>
    <row r="6997">
      <c r="A6997" s="247"/>
      <c r="B6997" s="258"/>
      <c r="C6997" s="247"/>
    </row>
    <row r="6998">
      <c r="A6998" s="247"/>
      <c r="B6998" s="258"/>
      <c r="C6998" s="247"/>
    </row>
    <row r="6999">
      <c r="A6999" s="247"/>
      <c r="B6999" s="258"/>
      <c r="C6999" s="247"/>
    </row>
    <row r="7000">
      <c r="A7000" s="247"/>
      <c r="B7000" s="258"/>
      <c r="C7000" s="247"/>
    </row>
    <row r="7001">
      <c r="A7001" s="247"/>
      <c r="B7001" s="258"/>
      <c r="C7001" s="247"/>
    </row>
    <row r="7002">
      <c r="A7002" s="247"/>
      <c r="B7002" s="258"/>
      <c r="C7002" s="247"/>
    </row>
    <row r="7003">
      <c r="A7003" s="247"/>
      <c r="B7003" s="258"/>
      <c r="C7003" s="247"/>
    </row>
    <row r="7004">
      <c r="A7004" s="247"/>
      <c r="B7004" s="258"/>
      <c r="C7004" s="247"/>
    </row>
    <row r="7005">
      <c r="A7005" s="247"/>
      <c r="B7005" s="258"/>
      <c r="C7005" s="247"/>
    </row>
    <row r="7006">
      <c r="A7006" s="247"/>
      <c r="B7006" s="258"/>
      <c r="C7006" s="247"/>
    </row>
    <row r="7007">
      <c r="A7007" s="247"/>
      <c r="B7007" s="258"/>
      <c r="C7007" s="247"/>
    </row>
    <row r="7008">
      <c r="A7008" s="247"/>
      <c r="B7008" s="258"/>
      <c r="C7008" s="247"/>
    </row>
    <row r="7009">
      <c r="A7009" s="247"/>
      <c r="B7009" s="258"/>
      <c r="C7009" s="247"/>
    </row>
    <row r="7010">
      <c r="A7010" s="247"/>
      <c r="B7010" s="258"/>
      <c r="C7010" s="247"/>
    </row>
    <row r="7011">
      <c r="A7011" s="247"/>
      <c r="B7011" s="258"/>
      <c r="C7011" s="247"/>
    </row>
    <row r="7012">
      <c r="A7012" s="247"/>
      <c r="B7012" s="258"/>
      <c r="C7012" s="247"/>
    </row>
    <row r="7013">
      <c r="A7013" s="247"/>
      <c r="B7013" s="258"/>
      <c r="C7013" s="247"/>
    </row>
    <row r="7014">
      <c r="A7014" s="247"/>
      <c r="B7014" s="258"/>
      <c r="C7014" s="247"/>
    </row>
    <row r="7015">
      <c r="A7015" s="247"/>
      <c r="B7015" s="258"/>
      <c r="C7015" s="247"/>
    </row>
    <row r="7016">
      <c r="A7016" s="247"/>
      <c r="B7016" s="258"/>
      <c r="C7016" s="247"/>
    </row>
    <row r="7017">
      <c r="A7017" s="247"/>
      <c r="B7017" s="258"/>
      <c r="C7017" s="247"/>
    </row>
    <row r="7018">
      <c r="A7018" s="247"/>
      <c r="B7018" s="258"/>
      <c r="C7018" s="247"/>
    </row>
    <row r="7019">
      <c r="A7019" s="247"/>
      <c r="B7019" s="258"/>
      <c r="C7019" s="247"/>
    </row>
    <row r="7020">
      <c r="A7020" s="247"/>
      <c r="B7020" s="258"/>
      <c r="C7020" s="247"/>
    </row>
    <row r="7021">
      <c r="A7021" s="247"/>
      <c r="B7021" s="258"/>
      <c r="C7021" s="247"/>
    </row>
    <row r="7022">
      <c r="A7022" s="247"/>
      <c r="B7022" s="258"/>
      <c r="C7022" s="247"/>
    </row>
    <row r="7023">
      <c r="A7023" s="247"/>
      <c r="B7023" s="258"/>
      <c r="C7023" s="247"/>
    </row>
    <row r="7024">
      <c r="A7024" s="247"/>
      <c r="B7024" s="258"/>
      <c r="C7024" s="247"/>
    </row>
    <row r="7025">
      <c r="A7025" s="247"/>
      <c r="B7025" s="258"/>
      <c r="C7025" s="247"/>
    </row>
    <row r="7026">
      <c r="A7026" s="247"/>
      <c r="B7026" s="258"/>
      <c r="C7026" s="247"/>
    </row>
    <row r="7027">
      <c r="A7027" s="247"/>
      <c r="B7027" s="258"/>
      <c r="C7027" s="247"/>
    </row>
    <row r="7028">
      <c r="A7028" s="247"/>
      <c r="B7028" s="258"/>
      <c r="C7028" s="247"/>
    </row>
    <row r="7029">
      <c r="A7029" s="247"/>
      <c r="B7029" s="258"/>
      <c r="C7029" s="247"/>
    </row>
    <row r="7030">
      <c r="A7030" s="247"/>
      <c r="B7030" s="258"/>
      <c r="C7030" s="247"/>
    </row>
    <row r="7031">
      <c r="A7031" s="247"/>
      <c r="B7031" s="258"/>
      <c r="C7031" s="247"/>
    </row>
    <row r="7032">
      <c r="A7032" s="247"/>
      <c r="B7032" s="258"/>
      <c r="C7032" s="247"/>
    </row>
    <row r="7033">
      <c r="A7033" s="247"/>
      <c r="B7033" s="258"/>
      <c r="C7033" s="247"/>
    </row>
    <row r="7034">
      <c r="A7034" s="247"/>
      <c r="B7034" s="258"/>
      <c r="C7034" s="247"/>
    </row>
    <row r="7035">
      <c r="A7035" s="247"/>
      <c r="B7035" s="258"/>
      <c r="C7035" s="247"/>
    </row>
    <row r="7036">
      <c r="A7036" s="247"/>
      <c r="B7036" s="258"/>
      <c r="C7036" s="247"/>
    </row>
    <row r="7037">
      <c r="A7037" s="247"/>
      <c r="B7037" s="258"/>
      <c r="C7037" s="247"/>
    </row>
    <row r="7038">
      <c r="A7038" s="247"/>
      <c r="B7038" s="258"/>
      <c r="C7038" s="247"/>
    </row>
    <row r="7039">
      <c r="A7039" s="247"/>
      <c r="B7039" s="258"/>
      <c r="C7039" s="247"/>
    </row>
    <row r="7040">
      <c r="A7040" s="247"/>
      <c r="B7040" s="258"/>
      <c r="C7040" s="247"/>
    </row>
    <row r="7041">
      <c r="A7041" s="247"/>
      <c r="B7041" s="258"/>
      <c r="C7041" s="247"/>
    </row>
    <row r="7042">
      <c r="A7042" s="247"/>
      <c r="B7042" s="258"/>
      <c r="C7042" s="247"/>
    </row>
    <row r="7043">
      <c r="A7043" s="247"/>
      <c r="B7043" s="258"/>
      <c r="C7043" s="247"/>
    </row>
    <row r="7044">
      <c r="A7044" s="247"/>
      <c r="B7044" s="258"/>
      <c r="C7044" s="247"/>
    </row>
    <row r="7045">
      <c r="A7045" s="247"/>
      <c r="B7045" s="258"/>
      <c r="C7045" s="247"/>
    </row>
    <row r="7046">
      <c r="A7046" s="247"/>
      <c r="B7046" s="258"/>
      <c r="C7046" s="247"/>
    </row>
    <row r="7047">
      <c r="A7047" s="247"/>
      <c r="B7047" s="258"/>
      <c r="C7047" s="247"/>
    </row>
    <row r="7048">
      <c r="A7048" s="247"/>
      <c r="B7048" s="258"/>
      <c r="C7048" s="247"/>
    </row>
    <row r="7049">
      <c r="A7049" s="247"/>
      <c r="B7049" s="258"/>
      <c r="C7049" s="247"/>
    </row>
    <row r="7050">
      <c r="A7050" s="247"/>
      <c r="B7050" s="258"/>
      <c r="C7050" s="247"/>
    </row>
    <row r="7051">
      <c r="A7051" s="247"/>
      <c r="B7051" s="258"/>
      <c r="C7051" s="247"/>
    </row>
    <row r="7052">
      <c r="A7052" s="247"/>
      <c r="B7052" s="258"/>
      <c r="C7052" s="247"/>
    </row>
    <row r="7053">
      <c r="A7053" s="247"/>
      <c r="B7053" s="258"/>
      <c r="C7053" s="247"/>
    </row>
    <row r="7054">
      <c r="A7054" s="247"/>
      <c r="B7054" s="258"/>
      <c r="C7054" s="247"/>
    </row>
    <row r="7055">
      <c r="A7055" s="247"/>
      <c r="B7055" s="258"/>
      <c r="C7055" s="247"/>
    </row>
    <row r="7056">
      <c r="A7056" s="247"/>
      <c r="B7056" s="258"/>
      <c r="C7056" s="247"/>
    </row>
    <row r="7057">
      <c r="A7057" s="247"/>
      <c r="B7057" s="258"/>
      <c r="C7057" s="247"/>
    </row>
    <row r="7058">
      <c r="A7058" s="247"/>
      <c r="B7058" s="258"/>
      <c r="C7058" s="247"/>
    </row>
    <row r="7059">
      <c r="A7059" s="247"/>
      <c r="B7059" s="258"/>
      <c r="C7059" s="247"/>
    </row>
    <row r="7060">
      <c r="A7060" s="247"/>
      <c r="B7060" s="258"/>
      <c r="C7060" s="247"/>
    </row>
    <row r="7061">
      <c r="A7061" s="247"/>
      <c r="B7061" s="258"/>
      <c r="C7061" s="247"/>
    </row>
    <row r="7062">
      <c r="A7062" s="247"/>
      <c r="B7062" s="258"/>
      <c r="C7062" s="247"/>
    </row>
    <row r="7063">
      <c r="A7063" s="247"/>
      <c r="B7063" s="258"/>
      <c r="C7063" s="247"/>
    </row>
    <row r="7064">
      <c r="A7064" s="247"/>
      <c r="B7064" s="258"/>
      <c r="C7064" s="247"/>
    </row>
    <row r="7065">
      <c r="A7065" s="247"/>
      <c r="B7065" s="258"/>
      <c r="C7065" s="247"/>
    </row>
    <row r="7066">
      <c r="A7066" s="247"/>
      <c r="B7066" s="258"/>
      <c r="C7066" s="247"/>
    </row>
    <row r="7067">
      <c r="A7067" s="247"/>
      <c r="B7067" s="258"/>
      <c r="C7067" s="247"/>
    </row>
    <row r="7068">
      <c r="A7068" s="247"/>
      <c r="B7068" s="258"/>
      <c r="C7068" s="247"/>
    </row>
    <row r="7069">
      <c r="A7069" s="247"/>
      <c r="B7069" s="258"/>
      <c r="C7069" s="247"/>
    </row>
    <row r="7070">
      <c r="A7070" s="247"/>
      <c r="B7070" s="258"/>
      <c r="C7070" s="247"/>
    </row>
    <row r="7071">
      <c r="A7071" s="247"/>
      <c r="B7071" s="258"/>
      <c r="C7071" s="247"/>
    </row>
    <row r="7072">
      <c r="A7072" s="247"/>
      <c r="B7072" s="258"/>
      <c r="C7072" s="247"/>
    </row>
    <row r="7073">
      <c r="A7073" s="247"/>
      <c r="B7073" s="258"/>
      <c r="C7073" s="247"/>
    </row>
    <row r="7074">
      <c r="A7074" s="247"/>
      <c r="B7074" s="258"/>
      <c r="C7074" s="247"/>
    </row>
    <row r="7075">
      <c r="A7075" s="247"/>
      <c r="B7075" s="258"/>
      <c r="C7075" s="247"/>
    </row>
    <row r="7076">
      <c r="A7076" s="247"/>
      <c r="B7076" s="258"/>
      <c r="C7076" s="247"/>
    </row>
    <row r="7077">
      <c r="A7077" s="247"/>
      <c r="B7077" s="258"/>
      <c r="C7077" s="247"/>
    </row>
    <row r="7078">
      <c r="A7078" s="247"/>
      <c r="B7078" s="258"/>
      <c r="C7078" s="247"/>
    </row>
    <row r="7079">
      <c r="A7079" s="247"/>
      <c r="B7079" s="258"/>
      <c r="C7079" s="247"/>
    </row>
    <row r="7080">
      <c r="A7080" s="247"/>
      <c r="B7080" s="258"/>
      <c r="C7080" s="247"/>
    </row>
    <row r="7081">
      <c r="A7081" s="247"/>
      <c r="B7081" s="258"/>
      <c r="C7081" s="247"/>
    </row>
    <row r="7082">
      <c r="A7082" s="247"/>
      <c r="B7082" s="258"/>
      <c r="C7082" s="247"/>
    </row>
    <row r="7083">
      <c r="A7083" s="247"/>
      <c r="B7083" s="258"/>
      <c r="C7083" s="247"/>
    </row>
    <row r="7084">
      <c r="A7084" s="247"/>
      <c r="B7084" s="258"/>
      <c r="C7084" s="247"/>
    </row>
    <row r="7085">
      <c r="A7085" s="247"/>
      <c r="B7085" s="258"/>
      <c r="C7085" s="247"/>
    </row>
    <row r="7086">
      <c r="A7086" s="247"/>
      <c r="B7086" s="258"/>
      <c r="C7086" s="247"/>
    </row>
    <row r="7087">
      <c r="A7087" s="247"/>
      <c r="B7087" s="258"/>
      <c r="C7087" s="247"/>
    </row>
    <row r="7088">
      <c r="A7088" s="247"/>
      <c r="B7088" s="258"/>
      <c r="C7088" s="247"/>
    </row>
    <row r="7089">
      <c r="A7089" s="247"/>
      <c r="B7089" s="258"/>
      <c r="C7089" s="247"/>
    </row>
    <row r="7090">
      <c r="A7090" s="247"/>
      <c r="B7090" s="258"/>
      <c r="C7090" s="247"/>
    </row>
    <row r="7091">
      <c r="A7091" s="247"/>
      <c r="B7091" s="258"/>
      <c r="C7091" s="247"/>
    </row>
    <row r="7092">
      <c r="A7092" s="247"/>
      <c r="B7092" s="258"/>
      <c r="C7092" s="247"/>
    </row>
    <row r="7093">
      <c r="A7093" s="247"/>
      <c r="B7093" s="258"/>
      <c r="C7093" s="247"/>
    </row>
    <row r="7094">
      <c r="A7094" s="247"/>
      <c r="B7094" s="258"/>
      <c r="C7094" s="247"/>
    </row>
    <row r="7095">
      <c r="A7095" s="247"/>
      <c r="B7095" s="258"/>
      <c r="C7095" s="247"/>
    </row>
    <row r="7096">
      <c r="A7096" s="247"/>
      <c r="B7096" s="258"/>
      <c r="C7096" s="247"/>
    </row>
    <row r="7097">
      <c r="A7097" s="247"/>
      <c r="B7097" s="258"/>
      <c r="C7097" s="247"/>
    </row>
    <row r="7098">
      <c r="A7098" s="247"/>
      <c r="B7098" s="258"/>
      <c r="C7098" s="247"/>
    </row>
    <row r="7099">
      <c r="A7099" s="247"/>
      <c r="B7099" s="258"/>
      <c r="C7099" s="247"/>
    </row>
    <row r="7100">
      <c r="A7100" s="247"/>
      <c r="B7100" s="258"/>
      <c r="C7100" s="247"/>
    </row>
    <row r="7101">
      <c r="A7101" s="247"/>
      <c r="B7101" s="258"/>
      <c r="C7101" s="247"/>
    </row>
    <row r="7102">
      <c r="A7102" s="247"/>
      <c r="B7102" s="258"/>
      <c r="C7102" s="247"/>
    </row>
    <row r="7103">
      <c r="A7103" s="247"/>
      <c r="B7103" s="258"/>
      <c r="C7103" s="247"/>
    </row>
    <row r="7104">
      <c r="A7104" s="247"/>
      <c r="B7104" s="258"/>
      <c r="C7104" s="247"/>
    </row>
    <row r="7105">
      <c r="A7105" s="247"/>
      <c r="B7105" s="258"/>
      <c r="C7105" s="247"/>
    </row>
    <row r="7106">
      <c r="A7106" s="247"/>
      <c r="B7106" s="258"/>
      <c r="C7106" s="247"/>
    </row>
    <row r="7107">
      <c r="A7107" s="247"/>
      <c r="B7107" s="258"/>
      <c r="C7107" s="247"/>
    </row>
    <row r="7108">
      <c r="A7108" s="247"/>
      <c r="B7108" s="258"/>
      <c r="C7108" s="247"/>
    </row>
    <row r="7109">
      <c r="A7109" s="247"/>
      <c r="B7109" s="258"/>
      <c r="C7109" s="247"/>
    </row>
    <row r="7110">
      <c r="A7110" s="247"/>
      <c r="B7110" s="258"/>
      <c r="C7110" s="247"/>
    </row>
    <row r="7111">
      <c r="A7111" s="247"/>
      <c r="B7111" s="258"/>
      <c r="C7111" s="247"/>
    </row>
    <row r="7112">
      <c r="A7112" s="247"/>
      <c r="B7112" s="258"/>
      <c r="C7112" s="247"/>
    </row>
    <row r="7113">
      <c r="A7113" s="247"/>
      <c r="B7113" s="258"/>
      <c r="C7113" s="247"/>
    </row>
    <row r="7114">
      <c r="A7114" s="247"/>
      <c r="B7114" s="258"/>
      <c r="C7114" s="247"/>
    </row>
    <row r="7115">
      <c r="A7115" s="247"/>
      <c r="B7115" s="258"/>
      <c r="C7115" s="247"/>
    </row>
    <row r="7116">
      <c r="A7116" s="247"/>
      <c r="B7116" s="258"/>
      <c r="C7116" s="247"/>
    </row>
    <row r="7117">
      <c r="A7117" s="247"/>
      <c r="B7117" s="258"/>
      <c r="C7117" s="247"/>
    </row>
    <row r="7118">
      <c r="A7118" s="247"/>
      <c r="B7118" s="258"/>
      <c r="C7118" s="247"/>
    </row>
    <row r="7119">
      <c r="A7119" s="247"/>
      <c r="B7119" s="258"/>
      <c r="C7119" s="247"/>
    </row>
    <row r="7120">
      <c r="A7120" s="247"/>
      <c r="B7120" s="258"/>
      <c r="C7120" s="247"/>
    </row>
    <row r="7121">
      <c r="A7121" s="247"/>
      <c r="B7121" s="258"/>
      <c r="C7121" s="247"/>
    </row>
    <row r="7122">
      <c r="A7122" s="247"/>
      <c r="B7122" s="258"/>
      <c r="C7122" s="247"/>
    </row>
    <row r="7123">
      <c r="A7123" s="247"/>
      <c r="B7123" s="258"/>
      <c r="C7123" s="247"/>
    </row>
    <row r="7124">
      <c r="A7124" s="247"/>
      <c r="B7124" s="258"/>
      <c r="C7124" s="247"/>
    </row>
    <row r="7125">
      <c r="A7125" s="247"/>
      <c r="B7125" s="258"/>
      <c r="C7125" s="247"/>
    </row>
    <row r="7126">
      <c r="A7126" s="247"/>
      <c r="B7126" s="258"/>
      <c r="C7126" s="247"/>
    </row>
    <row r="7127">
      <c r="A7127" s="247"/>
      <c r="B7127" s="258"/>
      <c r="C7127" s="247"/>
    </row>
    <row r="7128">
      <c r="A7128" s="247"/>
      <c r="B7128" s="258"/>
      <c r="C7128" s="247"/>
    </row>
    <row r="7129">
      <c r="A7129" s="247"/>
      <c r="B7129" s="258"/>
      <c r="C7129" s="247"/>
    </row>
    <row r="7130">
      <c r="A7130" s="247"/>
      <c r="B7130" s="258"/>
      <c r="C7130" s="247"/>
    </row>
    <row r="7131">
      <c r="A7131" s="247"/>
      <c r="B7131" s="258"/>
      <c r="C7131" s="247"/>
    </row>
    <row r="7132">
      <c r="A7132" s="247"/>
      <c r="B7132" s="258"/>
      <c r="C7132" s="247"/>
    </row>
    <row r="7133">
      <c r="A7133" s="247"/>
      <c r="B7133" s="258"/>
      <c r="C7133" s="247"/>
    </row>
    <row r="7134">
      <c r="A7134" s="247"/>
      <c r="B7134" s="258"/>
      <c r="C7134" s="247"/>
    </row>
    <row r="7135">
      <c r="A7135" s="247"/>
      <c r="B7135" s="258"/>
      <c r="C7135" s="247"/>
    </row>
    <row r="7136">
      <c r="A7136" s="247"/>
      <c r="B7136" s="258"/>
      <c r="C7136" s="247"/>
    </row>
    <row r="7137">
      <c r="A7137" s="247"/>
      <c r="B7137" s="258"/>
      <c r="C7137" s="247"/>
    </row>
    <row r="7138">
      <c r="A7138" s="247"/>
      <c r="B7138" s="258"/>
      <c r="C7138" s="247"/>
    </row>
    <row r="7139">
      <c r="A7139" s="247"/>
      <c r="B7139" s="258"/>
      <c r="C7139" s="247"/>
    </row>
    <row r="7140">
      <c r="A7140" s="247"/>
      <c r="B7140" s="258"/>
      <c r="C7140" s="247"/>
    </row>
    <row r="7141">
      <c r="A7141" s="247"/>
      <c r="B7141" s="258"/>
      <c r="C7141" s="247"/>
    </row>
    <row r="7142">
      <c r="A7142" s="247"/>
      <c r="B7142" s="258"/>
      <c r="C7142" s="247"/>
    </row>
    <row r="7143">
      <c r="A7143" s="247"/>
      <c r="B7143" s="258"/>
      <c r="C7143" s="247"/>
    </row>
    <row r="7144">
      <c r="A7144" s="247"/>
      <c r="B7144" s="258"/>
      <c r="C7144" s="247"/>
    </row>
    <row r="7145">
      <c r="A7145" s="247"/>
      <c r="B7145" s="258"/>
      <c r="C7145" s="247"/>
    </row>
    <row r="7146">
      <c r="A7146" s="247"/>
      <c r="B7146" s="258"/>
      <c r="C7146" s="247"/>
    </row>
    <row r="7147">
      <c r="A7147" s="247"/>
      <c r="B7147" s="258"/>
      <c r="C7147" s="247"/>
    </row>
    <row r="7148">
      <c r="A7148" s="247"/>
      <c r="B7148" s="258"/>
      <c r="C7148" s="247"/>
    </row>
    <row r="7149">
      <c r="A7149" s="247"/>
      <c r="B7149" s="258"/>
      <c r="C7149" s="247"/>
    </row>
    <row r="7150">
      <c r="A7150" s="247"/>
      <c r="B7150" s="258"/>
      <c r="C7150" s="247"/>
    </row>
    <row r="7151">
      <c r="A7151" s="247"/>
      <c r="B7151" s="258"/>
      <c r="C7151" s="247"/>
    </row>
    <row r="7152">
      <c r="A7152" s="247"/>
      <c r="B7152" s="258"/>
      <c r="C7152" s="247"/>
    </row>
    <row r="7153">
      <c r="A7153" s="247"/>
      <c r="B7153" s="258"/>
      <c r="C7153" s="247"/>
    </row>
    <row r="7154">
      <c r="A7154" s="247"/>
      <c r="B7154" s="258"/>
      <c r="C7154" s="247"/>
    </row>
    <row r="7155">
      <c r="A7155" s="247"/>
      <c r="B7155" s="258"/>
      <c r="C7155" s="247"/>
    </row>
    <row r="7156">
      <c r="A7156" s="247"/>
      <c r="B7156" s="258"/>
      <c r="C7156" s="247"/>
    </row>
    <row r="7157">
      <c r="A7157" s="247"/>
      <c r="B7157" s="258"/>
      <c r="C7157" s="247"/>
    </row>
    <row r="7158">
      <c r="A7158" s="247"/>
      <c r="B7158" s="258"/>
      <c r="C7158" s="247"/>
    </row>
    <row r="7159">
      <c r="A7159" s="247"/>
      <c r="B7159" s="258"/>
      <c r="C7159" s="247"/>
    </row>
    <row r="7160">
      <c r="A7160" s="247"/>
      <c r="B7160" s="258"/>
      <c r="C7160" s="247"/>
    </row>
    <row r="7161">
      <c r="A7161" s="247"/>
      <c r="B7161" s="258"/>
      <c r="C7161" s="247"/>
    </row>
    <row r="7162">
      <c r="A7162" s="247"/>
      <c r="B7162" s="258"/>
      <c r="C7162" s="247"/>
    </row>
    <row r="7163">
      <c r="A7163" s="247"/>
      <c r="B7163" s="258"/>
      <c r="C7163" s="247"/>
    </row>
    <row r="7164">
      <c r="A7164" s="247"/>
      <c r="B7164" s="258"/>
      <c r="C7164" s="247"/>
    </row>
    <row r="7165">
      <c r="A7165" s="247"/>
      <c r="B7165" s="258"/>
      <c r="C7165" s="247"/>
    </row>
    <row r="7166">
      <c r="A7166" s="247"/>
      <c r="B7166" s="258"/>
      <c r="C7166" s="247"/>
    </row>
    <row r="7167">
      <c r="A7167" s="247"/>
      <c r="B7167" s="258"/>
      <c r="C7167" s="247"/>
    </row>
    <row r="7168">
      <c r="A7168" s="247"/>
      <c r="B7168" s="258"/>
      <c r="C7168" s="247"/>
    </row>
    <row r="7169">
      <c r="A7169" s="247"/>
      <c r="B7169" s="258"/>
      <c r="C7169" s="247"/>
    </row>
    <row r="7170">
      <c r="A7170" s="247"/>
      <c r="B7170" s="258"/>
      <c r="C7170" s="247"/>
    </row>
    <row r="7171">
      <c r="A7171" s="247"/>
      <c r="B7171" s="258"/>
      <c r="C7171" s="247"/>
    </row>
    <row r="7172">
      <c r="A7172" s="247"/>
      <c r="B7172" s="258"/>
      <c r="C7172" s="247"/>
    </row>
    <row r="7173">
      <c r="A7173" s="247"/>
      <c r="B7173" s="258"/>
      <c r="C7173" s="247"/>
    </row>
    <row r="7174">
      <c r="A7174" s="247"/>
      <c r="B7174" s="258"/>
      <c r="C7174" s="247"/>
    </row>
    <row r="7175">
      <c r="A7175" s="247"/>
      <c r="B7175" s="258"/>
      <c r="C7175" s="247"/>
    </row>
    <row r="7176">
      <c r="A7176" s="247"/>
      <c r="B7176" s="258"/>
      <c r="C7176" s="247"/>
    </row>
    <row r="7177">
      <c r="A7177" s="247"/>
      <c r="B7177" s="258"/>
      <c r="C7177" s="247"/>
    </row>
    <row r="7178">
      <c r="A7178" s="247"/>
      <c r="B7178" s="258"/>
      <c r="C7178" s="247"/>
    </row>
    <row r="7179">
      <c r="A7179" s="247"/>
      <c r="B7179" s="258"/>
      <c r="C7179" s="247"/>
    </row>
    <row r="7180">
      <c r="A7180" s="247"/>
      <c r="B7180" s="258"/>
      <c r="C7180" s="247"/>
    </row>
    <row r="7181">
      <c r="A7181" s="247"/>
      <c r="B7181" s="258"/>
      <c r="C7181" s="247"/>
    </row>
    <row r="7182">
      <c r="A7182" s="247"/>
      <c r="B7182" s="258"/>
      <c r="C7182" s="247"/>
    </row>
    <row r="7183">
      <c r="A7183" s="247"/>
      <c r="B7183" s="258"/>
      <c r="C7183" s="247"/>
    </row>
    <row r="7184">
      <c r="A7184" s="247"/>
      <c r="B7184" s="258"/>
      <c r="C7184" s="247"/>
    </row>
    <row r="7185">
      <c r="A7185" s="247"/>
      <c r="B7185" s="258"/>
      <c r="C7185" s="247"/>
    </row>
    <row r="7186">
      <c r="A7186" s="247"/>
      <c r="B7186" s="258"/>
      <c r="C7186" s="247"/>
    </row>
    <row r="7187">
      <c r="A7187" s="247"/>
      <c r="B7187" s="258"/>
      <c r="C7187" s="247"/>
    </row>
    <row r="7188">
      <c r="A7188" s="247"/>
      <c r="B7188" s="258"/>
      <c r="C7188" s="247"/>
    </row>
    <row r="7189">
      <c r="A7189" s="247"/>
      <c r="B7189" s="258"/>
      <c r="C7189" s="247"/>
    </row>
    <row r="7190">
      <c r="A7190" s="247"/>
      <c r="B7190" s="258"/>
      <c r="C7190" s="247"/>
    </row>
    <row r="7191">
      <c r="A7191" s="247"/>
      <c r="B7191" s="258"/>
      <c r="C7191" s="247"/>
    </row>
    <row r="7192">
      <c r="A7192" s="247"/>
      <c r="B7192" s="258"/>
      <c r="C7192" s="247"/>
    </row>
    <row r="7193">
      <c r="A7193" s="247"/>
      <c r="B7193" s="258"/>
      <c r="C7193" s="247"/>
    </row>
    <row r="7194">
      <c r="A7194" s="247"/>
      <c r="B7194" s="258"/>
      <c r="C7194" s="247"/>
    </row>
    <row r="7195">
      <c r="A7195" s="247"/>
      <c r="B7195" s="258"/>
      <c r="C7195" s="247"/>
    </row>
    <row r="7196">
      <c r="A7196" s="247"/>
      <c r="B7196" s="258"/>
      <c r="C7196" s="247"/>
    </row>
    <row r="7197">
      <c r="A7197" s="247"/>
      <c r="B7197" s="258"/>
      <c r="C7197" s="247"/>
    </row>
    <row r="7198">
      <c r="A7198" s="247"/>
      <c r="B7198" s="258"/>
      <c r="C7198" s="247"/>
    </row>
    <row r="7199">
      <c r="A7199" s="247"/>
      <c r="B7199" s="258"/>
      <c r="C7199" s="247"/>
    </row>
    <row r="7200">
      <c r="A7200" s="247"/>
      <c r="B7200" s="258"/>
      <c r="C7200" s="247"/>
    </row>
    <row r="7201">
      <c r="A7201" s="247"/>
      <c r="B7201" s="258"/>
      <c r="C7201" s="247"/>
    </row>
    <row r="7202">
      <c r="A7202" s="247"/>
      <c r="B7202" s="258"/>
      <c r="C7202" s="247"/>
    </row>
    <row r="7203">
      <c r="A7203" s="247"/>
      <c r="B7203" s="258"/>
      <c r="C7203" s="247"/>
    </row>
    <row r="7204">
      <c r="A7204" s="247"/>
      <c r="B7204" s="258"/>
      <c r="C7204" s="247"/>
    </row>
    <row r="7205">
      <c r="A7205" s="247"/>
      <c r="B7205" s="258"/>
      <c r="C7205" s="247"/>
    </row>
    <row r="7206">
      <c r="A7206" s="247"/>
      <c r="B7206" s="258"/>
      <c r="C7206" s="247"/>
    </row>
    <row r="7207">
      <c r="A7207" s="247"/>
      <c r="B7207" s="258"/>
      <c r="C7207" s="247"/>
    </row>
    <row r="7208">
      <c r="A7208" s="247"/>
      <c r="B7208" s="258"/>
      <c r="C7208" s="247"/>
    </row>
    <row r="7209">
      <c r="A7209" s="247"/>
      <c r="B7209" s="258"/>
      <c r="C7209" s="247"/>
    </row>
    <row r="7210">
      <c r="A7210" s="247"/>
      <c r="B7210" s="258"/>
      <c r="C7210" s="247"/>
    </row>
    <row r="7211">
      <c r="A7211" s="247"/>
      <c r="B7211" s="258"/>
      <c r="C7211" s="247"/>
    </row>
    <row r="7212">
      <c r="A7212" s="247"/>
      <c r="B7212" s="258"/>
      <c r="C7212" s="247"/>
    </row>
    <row r="7213">
      <c r="A7213" s="247"/>
      <c r="B7213" s="258"/>
      <c r="C7213" s="247"/>
    </row>
    <row r="7214">
      <c r="A7214" s="247"/>
      <c r="B7214" s="258"/>
      <c r="C7214" s="247"/>
    </row>
    <row r="7215">
      <c r="A7215" s="247"/>
      <c r="B7215" s="258"/>
      <c r="C7215" s="247"/>
    </row>
    <row r="7216">
      <c r="A7216" s="247"/>
      <c r="B7216" s="258"/>
      <c r="C7216" s="247"/>
    </row>
    <row r="7217">
      <c r="A7217" s="247"/>
      <c r="B7217" s="258"/>
      <c r="C7217" s="247"/>
    </row>
    <row r="7218">
      <c r="A7218" s="247"/>
      <c r="B7218" s="258"/>
      <c r="C7218" s="247"/>
    </row>
    <row r="7219">
      <c r="A7219" s="247"/>
      <c r="B7219" s="258"/>
      <c r="C7219" s="247"/>
    </row>
    <row r="7220">
      <c r="A7220" s="247"/>
      <c r="B7220" s="258"/>
      <c r="C7220" s="247"/>
    </row>
    <row r="7221">
      <c r="A7221" s="247"/>
      <c r="B7221" s="258"/>
      <c r="C7221" s="247"/>
    </row>
    <row r="7222">
      <c r="A7222" s="247"/>
      <c r="B7222" s="258"/>
      <c r="C7222" s="247"/>
    </row>
    <row r="7223">
      <c r="A7223" s="247"/>
      <c r="B7223" s="258"/>
      <c r="C7223" s="247"/>
    </row>
    <row r="7224">
      <c r="A7224" s="247"/>
      <c r="B7224" s="258"/>
      <c r="C7224" s="247"/>
    </row>
    <row r="7225">
      <c r="A7225" s="247"/>
      <c r="B7225" s="258"/>
      <c r="C7225" s="247"/>
    </row>
    <row r="7226">
      <c r="A7226" s="247"/>
      <c r="B7226" s="258"/>
      <c r="C7226" s="247"/>
    </row>
    <row r="7227">
      <c r="A7227" s="247"/>
      <c r="B7227" s="258"/>
      <c r="C7227" s="247"/>
    </row>
    <row r="7228">
      <c r="A7228" s="247"/>
      <c r="B7228" s="258"/>
      <c r="C7228" s="247"/>
    </row>
    <row r="7229">
      <c r="A7229" s="247"/>
      <c r="B7229" s="258"/>
      <c r="C7229" s="247"/>
    </row>
    <row r="7230">
      <c r="A7230" s="247"/>
      <c r="B7230" s="258"/>
      <c r="C7230" s="247"/>
    </row>
    <row r="7231">
      <c r="A7231" s="247"/>
      <c r="B7231" s="258"/>
      <c r="C7231" s="247"/>
    </row>
    <row r="7232">
      <c r="A7232" s="247"/>
      <c r="B7232" s="258"/>
      <c r="C7232" s="247"/>
    </row>
    <row r="7233">
      <c r="A7233" s="247"/>
      <c r="B7233" s="258"/>
      <c r="C7233" s="247"/>
    </row>
    <row r="7234">
      <c r="A7234" s="247"/>
      <c r="B7234" s="258"/>
      <c r="C7234" s="247"/>
    </row>
    <row r="7235">
      <c r="A7235" s="247"/>
      <c r="B7235" s="258"/>
      <c r="C7235" s="247"/>
    </row>
    <row r="7236">
      <c r="A7236" s="247"/>
      <c r="B7236" s="258"/>
      <c r="C7236" s="247"/>
    </row>
    <row r="7237">
      <c r="A7237" s="247"/>
      <c r="B7237" s="258"/>
      <c r="C7237" s="247"/>
    </row>
    <row r="7238">
      <c r="A7238" s="247"/>
      <c r="B7238" s="258"/>
      <c r="C7238" s="247"/>
    </row>
    <row r="7239">
      <c r="A7239" s="247"/>
      <c r="B7239" s="258"/>
      <c r="C7239" s="247"/>
    </row>
    <row r="7240">
      <c r="A7240" s="247"/>
      <c r="B7240" s="258"/>
      <c r="C7240" s="247"/>
    </row>
    <row r="7241">
      <c r="A7241" s="247"/>
      <c r="B7241" s="258"/>
      <c r="C7241" s="247"/>
    </row>
    <row r="7242">
      <c r="A7242" s="247"/>
      <c r="B7242" s="258"/>
      <c r="C7242" s="247"/>
    </row>
    <row r="7243">
      <c r="A7243" s="247"/>
      <c r="B7243" s="258"/>
      <c r="C7243" s="247"/>
    </row>
    <row r="7244">
      <c r="A7244" s="247"/>
      <c r="B7244" s="258"/>
      <c r="C7244" s="247"/>
    </row>
    <row r="7245">
      <c r="A7245" s="247"/>
      <c r="B7245" s="258"/>
      <c r="C7245" s="247"/>
    </row>
    <row r="7246">
      <c r="A7246" s="247"/>
      <c r="B7246" s="258"/>
      <c r="C7246" s="247"/>
    </row>
    <row r="7247">
      <c r="A7247" s="247"/>
      <c r="B7247" s="258"/>
      <c r="C7247" s="247"/>
    </row>
    <row r="7248">
      <c r="A7248" s="247"/>
      <c r="B7248" s="258"/>
      <c r="C7248" s="247"/>
    </row>
    <row r="7249">
      <c r="A7249" s="247"/>
      <c r="B7249" s="258"/>
      <c r="C7249" s="247"/>
    </row>
    <row r="7250">
      <c r="A7250" s="247"/>
      <c r="B7250" s="258"/>
      <c r="C7250" s="247"/>
    </row>
    <row r="7251">
      <c r="A7251" s="247"/>
      <c r="B7251" s="258"/>
      <c r="C7251" s="247"/>
    </row>
    <row r="7252">
      <c r="A7252" s="247"/>
      <c r="B7252" s="258"/>
      <c r="C7252" s="247"/>
    </row>
    <row r="7253">
      <c r="A7253" s="247"/>
      <c r="B7253" s="258"/>
      <c r="C7253" s="247"/>
    </row>
    <row r="7254">
      <c r="A7254" s="247"/>
      <c r="B7254" s="258"/>
      <c r="C7254" s="247"/>
    </row>
    <row r="7255">
      <c r="A7255" s="247"/>
      <c r="B7255" s="258"/>
      <c r="C7255" s="247"/>
    </row>
    <row r="7256">
      <c r="A7256" s="247"/>
      <c r="B7256" s="258"/>
      <c r="C7256" s="247"/>
    </row>
    <row r="7257">
      <c r="A7257" s="247"/>
      <c r="B7257" s="258"/>
      <c r="C7257" s="247"/>
    </row>
    <row r="7258">
      <c r="A7258" s="247"/>
      <c r="B7258" s="258"/>
      <c r="C7258" s="247"/>
    </row>
    <row r="7259">
      <c r="A7259" s="247"/>
      <c r="B7259" s="258"/>
      <c r="C7259" s="247"/>
    </row>
    <row r="7260">
      <c r="A7260" s="247"/>
      <c r="B7260" s="258"/>
      <c r="C7260" s="247"/>
    </row>
    <row r="7261">
      <c r="A7261" s="247"/>
      <c r="B7261" s="258"/>
      <c r="C7261" s="247"/>
    </row>
    <row r="7262">
      <c r="A7262" s="247"/>
      <c r="B7262" s="258"/>
      <c r="C7262" s="247"/>
    </row>
    <row r="7263">
      <c r="A7263" s="247"/>
      <c r="B7263" s="258"/>
      <c r="C7263" s="247"/>
    </row>
    <row r="7264">
      <c r="A7264" s="247"/>
      <c r="B7264" s="258"/>
      <c r="C7264" s="247"/>
    </row>
    <row r="7265">
      <c r="A7265" s="247"/>
      <c r="B7265" s="258"/>
      <c r="C7265" s="247"/>
    </row>
    <row r="7266">
      <c r="A7266" s="247"/>
      <c r="B7266" s="258"/>
      <c r="C7266" s="247"/>
    </row>
    <row r="7267">
      <c r="A7267" s="247"/>
      <c r="B7267" s="258"/>
      <c r="C7267" s="247"/>
    </row>
    <row r="7268">
      <c r="A7268" s="247"/>
      <c r="B7268" s="258"/>
      <c r="C7268" s="247"/>
    </row>
    <row r="7269">
      <c r="A7269" s="247"/>
      <c r="B7269" s="258"/>
      <c r="C7269" s="247"/>
    </row>
    <row r="7270">
      <c r="A7270" s="247"/>
      <c r="B7270" s="258"/>
      <c r="C7270" s="247"/>
    </row>
    <row r="7271">
      <c r="A7271" s="247"/>
      <c r="B7271" s="258"/>
      <c r="C7271" s="247"/>
    </row>
    <row r="7272">
      <c r="A7272" s="247"/>
      <c r="B7272" s="258"/>
      <c r="C7272" s="247"/>
    </row>
    <row r="7273">
      <c r="A7273" s="247"/>
      <c r="B7273" s="258"/>
      <c r="C7273" s="247"/>
    </row>
    <row r="7274">
      <c r="A7274" s="247"/>
      <c r="B7274" s="258"/>
      <c r="C7274" s="247"/>
    </row>
    <row r="7275">
      <c r="A7275" s="247"/>
      <c r="B7275" s="258"/>
      <c r="C7275" s="247"/>
    </row>
    <row r="7276">
      <c r="A7276" s="247"/>
      <c r="B7276" s="258"/>
      <c r="C7276" s="247"/>
    </row>
    <row r="7277">
      <c r="A7277" s="247"/>
      <c r="B7277" s="258"/>
      <c r="C7277" s="247"/>
    </row>
    <row r="7278">
      <c r="A7278" s="247"/>
      <c r="B7278" s="258"/>
      <c r="C7278" s="247"/>
    </row>
    <row r="7279">
      <c r="A7279" s="247"/>
      <c r="B7279" s="258"/>
      <c r="C7279" s="247"/>
    </row>
    <row r="7280">
      <c r="A7280" s="247"/>
      <c r="B7280" s="258"/>
      <c r="C7280" s="247"/>
    </row>
    <row r="7281">
      <c r="A7281" s="247"/>
      <c r="B7281" s="258"/>
      <c r="C7281" s="247"/>
    </row>
    <row r="7282">
      <c r="A7282" s="247"/>
      <c r="B7282" s="258"/>
      <c r="C7282" s="247"/>
    </row>
    <row r="7283">
      <c r="A7283" s="247"/>
      <c r="B7283" s="258"/>
      <c r="C7283" s="247"/>
    </row>
    <row r="7284">
      <c r="A7284" s="247"/>
      <c r="B7284" s="258"/>
      <c r="C7284" s="247"/>
    </row>
    <row r="7285">
      <c r="A7285" s="247"/>
      <c r="B7285" s="258"/>
      <c r="C7285" s="247"/>
    </row>
    <row r="7286">
      <c r="A7286" s="247"/>
      <c r="B7286" s="258"/>
      <c r="C7286" s="247"/>
    </row>
    <row r="7287">
      <c r="A7287" s="247"/>
      <c r="B7287" s="258"/>
      <c r="C7287" s="247"/>
    </row>
    <row r="7288">
      <c r="A7288" s="247"/>
      <c r="B7288" s="258"/>
      <c r="C7288" s="247"/>
    </row>
    <row r="7289">
      <c r="A7289" s="247"/>
      <c r="B7289" s="258"/>
      <c r="C7289" s="247"/>
    </row>
    <row r="7290">
      <c r="A7290" s="247"/>
      <c r="B7290" s="258"/>
      <c r="C7290" s="247"/>
    </row>
    <row r="7291">
      <c r="A7291" s="247"/>
      <c r="B7291" s="258"/>
      <c r="C7291" s="247"/>
    </row>
    <row r="7292">
      <c r="A7292" s="247"/>
      <c r="B7292" s="258"/>
      <c r="C7292" s="247"/>
    </row>
    <row r="7293">
      <c r="A7293" s="247"/>
      <c r="B7293" s="258"/>
      <c r="C7293" s="247"/>
    </row>
    <row r="7294">
      <c r="A7294" s="247"/>
      <c r="B7294" s="258"/>
      <c r="C7294" s="247"/>
    </row>
    <row r="7295">
      <c r="A7295" s="247"/>
      <c r="B7295" s="258"/>
      <c r="C7295" s="247"/>
    </row>
    <row r="7296">
      <c r="A7296" s="247"/>
      <c r="B7296" s="258"/>
      <c r="C7296" s="247"/>
    </row>
    <row r="7297">
      <c r="A7297" s="247"/>
      <c r="B7297" s="258"/>
      <c r="C7297" s="247"/>
    </row>
    <row r="7298">
      <c r="A7298" s="247"/>
      <c r="B7298" s="258"/>
      <c r="C7298" s="247"/>
    </row>
    <row r="7299">
      <c r="A7299" s="247"/>
      <c r="B7299" s="258"/>
      <c r="C7299" s="247"/>
    </row>
    <row r="7300">
      <c r="A7300" s="247"/>
      <c r="B7300" s="258"/>
      <c r="C7300" s="247"/>
    </row>
    <row r="7301">
      <c r="A7301" s="247"/>
      <c r="B7301" s="258"/>
      <c r="C7301" s="247"/>
    </row>
    <row r="7302">
      <c r="A7302" s="247"/>
      <c r="B7302" s="258"/>
      <c r="C7302" s="247"/>
    </row>
    <row r="7303">
      <c r="A7303" s="247"/>
      <c r="B7303" s="258"/>
      <c r="C7303" s="247"/>
    </row>
    <row r="7304">
      <c r="A7304" s="247"/>
      <c r="B7304" s="258"/>
      <c r="C7304" s="247"/>
    </row>
    <row r="7305">
      <c r="A7305" s="247"/>
      <c r="B7305" s="258"/>
      <c r="C7305" s="247"/>
    </row>
    <row r="7306">
      <c r="A7306" s="247"/>
      <c r="B7306" s="258"/>
      <c r="C7306" s="247"/>
    </row>
    <row r="7307">
      <c r="A7307" s="247"/>
      <c r="B7307" s="258"/>
      <c r="C7307" s="247"/>
    </row>
    <row r="7308">
      <c r="A7308" s="247"/>
      <c r="B7308" s="258"/>
      <c r="C7308" s="247"/>
    </row>
    <row r="7309">
      <c r="A7309" s="247"/>
      <c r="B7309" s="258"/>
      <c r="C7309" s="247"/>
    </row>
    <row r="7310">
      <c r="A7310" s="247"/>
      <c r="B7310" s="258"/>
      <c r="C7310" s="247"/>
    </row>
    <row r="7311">
      <c r="A7311" s="247"/>
      <c r="B7311" s="258"/>
      <c r="C7311" s="247"/>
    </row>
    <row r="7312">
      <c r="A7312" s="247"/>
      <c r="B7312" s="258"/>
      <c r="C7312" s="247"/>
    </row>
    <row r="7313">
      <c r="A7313" s="247"/>
      <c r="B7313" s="258"/>
      <c r="C7313" s="247"/>
    </row>
    <row r="7314">
      <c r="A7314" s="247"/>
      <c r="B7314" s="258"/>
      <c r="C7314" s="247"/>
    </row>
    <row r="7315">
      <c r="A7315" s="247"/>
      <c r="B7315" s="258"/>
      <c r="C7315" s="247"/>
    </row>
    <row r="7316">
      <c r="A7316" s="247"/>
      <c r="B7316" s="258"/>
      <c r="C7316" s="247"/>
    </row>
    <row r="7317">
      <c r="A7317" s="247"/>
      <c r="B7317" s="258"/>
      <c r="C7317" s="247"/>
    </row>
    <row r="7318">
      <c r="A7318" s="247"/>
      <c r="B7318" s="258"/>
      <c r="C7318" s="247"/>
    </row>
    <row r="7319">
      <c r="A7319" s="247"/>
      <c r="B7319" s="258"/>
      <c r="C7319" s="247"/>
    </row>
    <row r="7320">
      <c r="A7320" s="247"/>
      <c r="B7320" s="258"/>
      <c r="C7320" s="247"/>
    </row>
    <row r="7321">
      <c r="A7321" s="247"/>
      <c r="B7321" s="258"/>
      <c r="C7321" s="247"/>
    </row>
    <row r="7322">
      <c r="A7322" s="247"/>
      <c r="B7322" s="258"/>
      <c r="C7322" s="247"/>
    </row>
    <row r="7323">
      <c r="A7323" s="247"/>
      <c r="B7323" s="258"/>
      <c r="C7323" s="247"/>
    </row>
    <row r="7324">
      <c r="A7324" s="247"/>
      <c r="B7324" s="258"/>
      <c r="C7324" s="247"/>
    </row>
    <row r="7325">
      <c r="A7325" s="247"/>
      <c r="B7325" s="258"/>
      <c r="C7325" s="247"/>
    </row>
    <row r="7326">
      <c r="A7326" s="247"/>
      <c r="B7326" s="258"/>
      <c r="C7326" s="247"/>
    </row>
    <row r="7327">
      <c r="A7327" s="247"/>
      <c r="B7327" s="258"/>
      <c r="C7327" s="247"/>
    </row>
    <row r="7328">
      <c r="A7328" s="247"/>
      <c r="B7328" s="258"/>
      <c r="C7328" s="247"/>
    </row>
    <row r="7329">
      <c r="A7329" s="247"/>
      <c r="B7329" s="258"/>
      <c r="C7329" s="247"/>
    </row>
    <row r="7330">
      <c r="A7330" s="247"/>
      <c r="B7330" s="258"/>
      <c r="C7330" s="247"/>
    </row>
    <row r="7331">
      <c r="A7331" s="247"/>
      <c r="B7331" s="258"/>
      <c r="C7331" s="247"/>
    </row>
    <row r="7332">
      <c r="A7332" s="247"/>
      <c r="B7332" s="258"/>
      <c r="C7332" s="247"/>
    </row>
    <row r="7333">
      <c r="A7333" s="247"/>
      <c r="B7333" s="258"/>
      <c r="C7333" s="247"/>
    </row>
    <row r="7334">
      <c r="A7334" s="247"/>
      <c r="B7334" s="258"/>
      <c r="C7334" s="247"/>
    </row>
    <row r="7335">
      <c r="A7335" s="247"/>
      <c r="B7335" s="258"/>
      <c r="C7335" s="247"/>
    </row>
    <row r="7336">
      <c r="A7336" s="247"/>
      <c r="B7336" s="258"/>
      <c r="C7336" s="247"/>
    </row>
    <row r="7337">
      <c r="A7337" s="247"/>
      <c r="B7337" s="258"/>
      <c r="C7337" s="247"/>
    </row>
    <row r="7338">
      <c r="A7338" s="247"/>
      <c r="B7338" s="258"/>
      <c r="C7338" s="247"/>
    </row>
    <row r="7339">
      <c r="A7339" s="247"/>
      <c r="B7339" s="258"/>
      <c r="C7339" s="247"/>
    </row>
    <row r="7340">
      <c r="A7340" s="247"/>
      <c r="B7340" s="258"/>
      <c r="C7340" s="247"/>
    </row>
    <row r="7341">
      <c r="A7341" s="247"/>
      <c r="B7341" s="258"/>
      <c r="C7341" s="247"/>
    </row>
    <row r="7342">
      <c r="A7342" s="247"/>
      <c r="B7342" s="258"/>
      <c r="C7342" s="247"/>
    </row>
    <row r="7343">
      <c r="A7343" s="247"/>
      <c r="B7343" s="258"/>
      <c r="C7343" s="247"/>
    </row>
    <row r="7344">
      <c r="A7344" s="247"/>
      <c r="B7344" s="258"/>
      <c r="C7344" s="247"/>
    </row>
    <row r="7345">
      <c r="A7345" s="247"/>
      <c r="B7345" s="258"/>
      <c r="C7345" s="247"/>
    </row>
    <row r="7346">
      <c r="A7346" s="247"/>
      <c r="B7346" s="258"/>
      <c r="C7346" s="247"/>
    </row>
    <row r="7347">
      <c r="A7347" s="247"/>
      <c r="B7347" s="258"/>
      <c r="C7347" s="247"/>
    </row>
    <row r="7348">
      <c r="A7348" s="247"/>
      <c r="B7348" s="258"/>
      <c r="C7348" s="247"/>
    </row>
    <row r="7349">
      <c r="A7349" s="247"/>
      <c r="B7349" s="258"/>
      <c r="C7349" s="247"/>
    </row>
    <row r="7350">
      <c r="A7350" s="247"/>
      <c r="B7350" s="258"/>
      <c r="C7350" s="247"/>
    </row>
    <row r="7351">
      <c r="A7351" s="247"/>
      <c r="B7351" s="258"/>
      <c r="C7351" s="247"/>
    </row>
    <row r="7352">
      <c r="A7352" s="247"/>
      <c r="B7352" s="258"/>
      <c r="C7352" s="247"/>
    </row>
    <row r="7353">
      <c r="A7353" s="247"/>
      <c r="B7353" s="258"/>
      <c r="C7353" s="247"/>
    </row>
    <row r="7354">
      <c r="A7354" s="247"/>
      <c r="B7354" s="258"/>
      <c r="C7354" s="247"/>
    </row>
    <row r="7355">
      <c r="A7355" s="247"/>
      <c r="B7355" s="258"/>
      <c r="C7355" s="247"/>
    </row>
    <row r="7356">
      <c r="A7356" s="247"/>
      <c r="B7356" s="258"/>
      <c r="C7356" s="247"/>
    </row>
    <row r="7357">
      <c r="A7357" s="247"/>
      <c r="B7357" s="258"/>
      <c r="C7357" s="247"/>
    </row>
    <row r="7358">
      <c r="A7358" s="247"/>
      <c r="B7358" s="258"/>
      <c r="C7358" s="247"/>
    </row>
    <row r="7359">
      <c r="A7359" s="247"/>
      <c r="B7359" s="258"/>
      <c r="C7359" s="247"/>
    </row>
    <row r="7360">
      <c r="A7360" s="247"/>
      <c r="B7360" s="258"/>
      <c r="C7360" s="247"/>
    </row>
    <row r="7361">
      <c r="A7361" s="247"/>
      <c r="B7361" s="258"/>
      <c r="C7361" s="247"/>
    </row>
    <row r="7362">
      <c r="A7362" s="247"/>
      <c r="B7362" s="258"/>
      <c r="C7362" s="247"/>
    </row>
    <row r="7363">
      <c r="A7363" s="247"/>
      <c r="B7363" s="258"/>
      <c r="C7363" s="247"/>
    </row>
    <row r="7364">
      <c r="A7364" s="247"/>
      <c r="B7364" s="258"/>
      <c r="C7364" s="247"/>
    </row>
    <row r="7365">
      <c r="A7365" s="247"/>
      <c r="B7365" s="258"/>
      <c r="C7365" s="247"/>
    </row>
    <row r="7366">
      <c r="A7366" s="247"/>
      <c r="B7366" s="258"/>
      <c r="C7366" s="247"/>
    </row>
    <row r="7367">
      <c r="A7367" s="247"/>
      <c r="B7367" s="258"/>
      <c r="C7367" s="247"/>
    </row>
    <row r="7368">
      <c r="A7368" s="247"/>
      <c r="B7368" s="258"/>
      <c r="C7368" s="247"/>
    </row>
    <row r="7369">
      <c r="A7369" s="247"/>
      <c r="B7369" s="258"/>
      <c r="C7369" s="247"/>
    </row>
    <row r="7370">
      <c r="A7370" s="247"/>
      <c r="B7370" s="258"/>
      <c r="C7370" s="247"/>
    </row>
    <row r="7371">
      <c r="A7371" s="247"/>
      <c r="B7371" s="258"/>
      <c r="C7371" s="247"/>
    </row>
    <row r="7372">
      <c r="A7372" s="247"/>
      <c r="B7372" s="258"/>
      <c r="C7372" s="247"/>
    </row>
    <row r="7373">
      <c r="A7373" s="247"/>
      <c r="B7373" s="258"/>
      <c r="C7373" s="247"/>
    </row>
    <row r="7374">
      <c r="A7374" s="247"/>
      <c r="B7374" s="258"/>
      <c r="C7374" s="247"/>
    </row>
    <row r="7375">
      <c r="A7375" s="247"/>
      <c r="B7375" s="258"/>
      <c r="C7375" s="247"/>
    </row>
    <row r="7376">
      <c r="A7376" s="247"/>
      <c r="B7376" s="258"/>
      <c r="C7376" s="247"/>
    </row>
    <row r="7377">
      <c r="A7377" s="247"/>
      <c r="B7377" s="258"/>
      <c r="C7377" s="247"/>
    </row>
    <row r="7378">
      <c r="A7378" s="247"/>
      <c r="B7378" s="258"/>
      <c r="C7378" s="247"/>
    </row>
    <row r="7379">
      <c r="A7379" s="247"/>
      <c r="B7379" s="258"/>
      <c r="C7379" s="247"/>
    </row>
    <row r="7380">
      <c r="A7380" s="247"/>
      <c r="B7380" s="258"/>
      <c r="C7380" s="247"/>
    </row>
    <row r="7381">
      <c r="A7381" s="247"/>
      <c r="B7381" s="258"/>
      <c r="C7381" s="247"/>
    </row>
    <row r="7382">
      <c r="A7382" s="247"/>
      <c r="B7382" s="258"/>
      <c r="C7382" s="247"/>
    </row>
    <row r="7383">
      <c r="A7383" s="247"/>
      <c r="B7383" s="258"/>
      <c r="C7383" s="247"/>
    </row>
    <row r="7384">
      <c r="A7384" s="247"/>
      <c r="B7384" s="258"/>
      <c r="C7384" s="247"/>
    </row>
    <row r="7385">
      <c r="A7385" s="247"/>
      <c r="B7385" s="258"/>
      <c r="C7385" s="247"/>
    </row>
    <row r="7386">
      <c r="A7386" s="247"/>
      <c r="B7386" s="258"/>
      <c r="C7386" s="247"/>
    </row>
    <row r="7387">
      <c r="A7387" s="247"/>
      <c r="B7387" s="258"/>
      <c r="C7387" s="247"/>
    </row>
    <row r="7388">
      <c r="A7388" s="247"/>
      <c r="B7388" s="258"/>
      <c r="C7388" s="247"/>
    </row>
    <row r="7389">
      <c r="A7389" s="247"/>
      <c r="B7389" s="258"/>
      <c r="C7389" s="247"/>
    </row>
    <row r="7390">
      <c r="A7390" s="247"/>
      <c r="B7390" s="258"/>
      <c r="C7390" s="247"/>
    </row>
    <row r="7391">
      <c r="A7391" s="247"/>
      <c r="B7391" s="258"/>
      <c r="C7391" s="247"/>
    </row>
    <row r="7392">
      <c r="A7392" s="247"/>
      <c r="B7392" s="258"/>
      <c r="C7392" s="247"/>
    </row>
    <row r="7393">
      <c r="A7393" s="247"/>
      <c r="B7393" s="258"/>
      <c r="C7393" s="247"/>
    </row>
    <row r="7394">
      <c r="A7394" s="247"/>
      <c r="B7394" s="258"/>
      <c r="C7394" s="247"/>
    </row>
    <row r="7395">
      <c r="A7395" s="247"/>
      <c r="B7395" s="258"/>
      <c r="C7395" s="247"/>
    </row>
    <row r="7396">
      <c r="A7396" s="247"/>
      <c r="B7396" s="258"/>
      <c r="C7396" s="247"/>
    </row>
    <row r="7397">
      <c r="A7397" s="247"/>
      <c r="B7397" s="258"/>
      <c r="C7397" s="247"/>
    </row>
    <row r="7398">
      <c r="A7398" s="247"/>
      <c r="B7398" s="258"/>
      <c r="C7398" s="247"/>
    </row>
    <row r="7399">
      <c r="A7399" s="247"/>
      <c r="B7399" s="258"/>
      <c r="C7399" s="247"/>
    </row>
    <row r="7400">
      <c r="A7400" s="247"/>
      <c r="B7400" s="258"/>
      <c r="C7400" s="247"/>
    </row>
    <row r="7401">
      <c r="A7401" s="247"/>
      <c r="B7401" s="258"/>
      <c r="C7401" s="247"/>
    </row>
    <row r="7402">
      <c r="A7402" s="247"/>
      <c r="B7402" s="258"/>
      <c r="C7402" s="247"/>
    </row>
    <row r="7403">
      <c r="A7403" s="247"/>
      <c r="B7403" s="258"/>
      <c r="C7403" s="247"/>
    </row>
    <row r="7404">
      <c r="A7404" s="247"/>
      <c r="B7404" s="258"/>
      <c r="C7404" s="247"/>
    </row>
    <row r="7405">
      <c r="A7405" s="247"/>
      <c r="B7405" s="258"/>
      <c r="C7405" s="247"/>
    </row>
    <row r="7406">
      <c r="A7406" s="247"/>
      <c r="B7406" s="258"/>
      <c r="C7406" s="247"/>
    </row>
    <row r="7407">
      <c r="A7407" s="247"/>
      <c r="B7407" s="258"/>
      <c r="C7407" s="247"/>
    </row>
    <row r="7408">
      <c r="A7408" s="247"/>
      <c r="B7408" s="258"/>
      <c r="C7408" s="247"/>
    </row>
    <row r="7409">
      <c r="A7409" s="247"/>
      <c r="B7409" s="258"/>
      <c r="C7409" s="247"/>
    </row>
    <row r="7410">
      <c r="A7410" s="247"/>
      <c r="B7410" s="258"/>
      <c r="C7410" s="247"/>
    </row>
    <row r="7411">
      <c r="A7411" s="247"/>
      <c r="B7411" s="258"/>
      <c r="C7411" s="247"/>
    </row>
    <row r="7412">
      <c r="A7412" s="247"/>
      <c r="B7412" s="258"/>
      <c r="C7412" s="247"/>
    </row>
    <row r="7413">
      <c r="A7413" s="247"/>
      <c r="B7413" s="258"/>
      <c r="C7413" s="247"/>
    </row>
    <row r="7414">
      <c r="A7414" s="247"/>
      <c r="B7414" s="258"/>
      <c r="C7414" s="247"/>
    </row>
    <row r="7415">
      <c r="A7415" s="247"/>
      <c r="B7415" s="258"/>
      <c r="C7415" s="247"/>
    </row>
    <row r="7416">
      <c r="A7416" s="247"/>
      <c r="B7416" s="258"/>
      <c r="C7416" s="247"/>
    </row>
    <row r="7417">
      <c r="A7417" s="247"/>
      <c r="B7417" s="258"/>
      <c r="C7417" s="247"/>
    </row>
    <row r="7418">
      <c r="A7418" s="247"/>
      <c r="B7418" s="258"/>
      <c r="C7418" s="247"/>
    </row>
    <row r="7419">
      <c r="A7419" s="247"/>
      <c r="B7419" s="258"/>
      <c r="C7419" s="247"/>
    </row>
    <row r="7420">
      <c r="A7420" s="247"/>
      <c r="B7420" s="258"/>
      <c r="C7420" s="247"/>
    </row>
    <row r="7421">
      <c r="A7421" s="247"/>
      <c r="B7421" s="258"/>
      <c r="C7421" s="247"/>
    </row>
    <row r="7422">
      <c r="A7422" s="247"/>
      <c r="B7422" s="258"/>
      <c r="C7422" s="247"/>
    </row>
    <row r="7423">
      <c r="A7423" s="247"/>
      <c r="B7423" s="258"/>
      <c r="C7423" s="247"/>
    </row>
    <row r="7424">
      <c r="A7424" s="247"/>
      <c r="B7424" s="258"/>
      <c r="C7424" s="247"/>
    </row>
    <row r="7425">
      <c r="A7425" s="247"/>
      <c r="B7425" s="258"/>
      <c r="C7425" s="247"/>
    </row>
    <row r="7426">
      <c r="A7426" s="247"/>
      <c r="B7426" s="258"/>
      <c r="C7426" s="247"/>
    </row>
    <row r="7427">
      <c r="A7427" s="247"/>
      <c r="B7427" s="258"/>
      <c r="C7427" s="247"/>
    </row>
    <row r="7428">
      <c r="A7428" s="247"/>
      <c r="B7428" s="258"/>
      <c r="C7428" s="247"/>
    </row>
    <row r="7429">
      <c r="A7429" s="247"/>
      <c r="B7429" s="258"/>
      <c r="C7429" s="247"/>
    </row>
    <row r="7430">
      <c r="A7430" s="247"/>
      <c r="B7430" s="258"/>
      <c r="C7430" s="247"/>
    </row>
    <row r="7431">
      <c r="A7431" s="247"/>
      <c r="B7431" s="258"/>
      <c r="C7431" s="247"/>
    </row>
    <row r="7432">
      <c r="A7432" s="247"/>
      <c r="B7432" s="258"/>
      <c r="C7432" s="247"/>
    </row>
    <row r="7433">
      <c r="A7433" s="247"/>
      <c r="B7433" s="258"/>
      <c r="C7433" s="247"/>
    </row>
    <row r="7434">
      <c r="A7434" s="247"/>
      <c r="B7434" s="258"/>
      <c r="C7434" s="247"/>
    </row>
    <row r="7435">
      <c r="A7435" s="247"/>
      <c r="B7435" s="258"/>
      <c r="C7435" s="247"/>
    </row>
    <row r="7436">
      <c r="A7436" s="247"/>
      <c r="B7436" s="258"/>
      <c r="C7436" s="247"/>
    </row>
    <row r="7437">
      <c r="A7437" s="247"/>
      <c r="B7437" s="258"/>
      <c r="C7437" s="247"/>
    </row>
    <row r="7438">
      <c r="A7438" s="247"/>
      <c r="B7438" s="258"/>
      <c r="C7438" s="247"/>
    </row>
    <row r="7439">
      <c r="A7439" s="247"/>
      <c r="B7439" s="258"/>
      <c r="C7439" s="247"/>
    </row>
    <row r="7440">
      <c r="A7440" s="247"/>
      <c r="B7440" s="258"/>
      <c r="C7440" s="247"/>
    </row>
    <row r="7441">
      <c r="A7441" s="247"/>
      <c r="B7441" s="258"/>
      <c r="C7441" s="247"/>
    </row>
    <row r="7442">
      <c r="A7442" s="247"/>
      <c r="B7442" s="258"/>
      <c r="C7442" s="247"/>
    </row>
    <row r="7443">
      <c r="A7443" s="247"/>
      <c r="B7443" s="258"/>
      <c r="C7443" s="247"/>
    </row>
    <row r="7444">
      <c r="A7444" s="247"/>
      <c r="B7444" s="258"/>
      <c r="C7444" s="247"/>
    </row>
    <row r="7445">
      <c r="A7445" s="247"/>
      <c r="B7445" s="258"/>
      <c r="C7445" s="247"/>
    </row>
    <row r="7446">
      <c r="A7446" s="247"/>
      <c r="B7446" s="258"/>
      <c r="C7446" s="247"/>
    </row>
    <row r="7447">
      <c r="A7447" s="247"/>
      <c r="B7447" s="258"/>
      <c r="C7447" s="247"/>
    </row>
    <row r="7448">
      <c r="A7448" s="247"/>
      <c r="B7448" s="258"/>
      <c r="C7448" s="247"/>
    </row>
    <row r="7449">
      <c r="A7449" s="247"/>
      <c r="B7449" s="258"/>
      <c r="C7449" s="247"/>
    </row>
    <row r="7450">
      <c r="A7450" s="247"/>
      <c r="B7450" s="258"/>
      <c r="C7450" s="247"/>
    </row>
    <row r="7451">
      <c r="A7451" s="247"/>
      <c r="B7451" s="258"/>
      <c r="C7451" s="247"/>
    </row>
    <row r="7452">
      <c r="A7452" s="247"/>
      <c r="B7452" s="258"/>
      <c r="C7452" s="247"/>
    </row>
    <row r="7453">
      <c r="A7453" s="247"/>
      <c r="B7453" s="258"/>
      <c r="C7453" s="247"/>
    </row>
    <row r="7454">
      <c r="A7454" s="247"/>
      <c r="B7454" s="258"/>
      <c r="C7454" s="247"/>
    </row>
    <row r="7455">
      <c r="A7455" s="247"/>
      <c r="B7455" s="258"/>
      <c r="C7455" s="247"/>
    </row>
    <row r="7456">
      <c r="A7456" s="247"/>
      <c r="B7456" s="258"/>
      <c r="C7456" s="247"/>
    </row>
    <row r="7457">
      <c r="A7457" s="247"/>
      <c r="B7457" s="258"/>
      <c r="C7457" s="247"/>
    </row>
    <row r="7458">
      <c r="A7458" s="247"/>
      <c r="B7458" s="258"/>
      <c r="C7458" s="247"/>
    </row>
    <row r="7459">
      <c r="A7459" s="247"/>
      <c r="B7459" s="258"/>
      <c r="C7459" s="247"/>
    </row>
    <row r="7460">
      <c r="A7460" s="247"/>
      <c r="B7460" s="258"/>
      <c r="C7460" s="247"/>
    </row>
    <row r="7461">
      <c r="A7461" s="247"/>
      <c r="B7461" s="258"/>
      <c r="C7461" s="247"/>
    </row>
    <row r="7462">
      <c r="A7462" s="247"/>
      <c r="B7462" s="258"/>
      <c r="C7462" s="247"/>
    </row>
    <row r="7463">
      <c r="A7463" s="247"/>
      <c r="B7463" s="258"/>
      <c r="C7463" s="247"/>
    </row>
    <row r="7464">
      <c r="A7464" s="247"/>
      <c r="B7464" s="258"/>
      <c r="C7464" s="247"/>
    </row>
    <row r="7465">
      <c r="A7465" s="247"/>
      <c r="B7465" s="258"/>
      <c r="C7465" s="247"/>
    </row>
    <row r="7466">
      <c r="A7466" s="247"/>
      <c r="B7466" s="258"/>
      <c r="C7466" s="247"/>
    </row>
    <row r="7467">
      <c r="A7467" s="247"/>
      <c r="B7467" s="258"/>
      <c r="C7467" s="247"/>
    </row>
    <row r="7468">
      <c r="A7468" s="247"/>
      <c r="B7468" s="258"/>
      <c r="C7468" s="247"/>
    </row>
    <row r="7469">
      <c r="A7469" s="247"/>
      <c r="B7469" s="258"/>
      <c r="C7469" s="247"/>
    </row>
    <row r="7470">
      <c r="A7470" s="247"/>
      <c r="B7470" s="258"/>
      <c r="C7470" s="247"/>
    </row>
    <row r="7471">
      <c r="A7471" s="247"/>
      <c r="B7471" s="258"/>
      <c r="C7471" s="247"/>
    </row>
    <row r="7472">
      <c r="A7472" s="247"/>
      <c r="B7472" s="258"/>
      <c r="C7472" s="247"/>
    </row>
    <row r="7473">
      <c r="A7473" s="247"/>
      <c r="B7473" s="258"/>
      <c r="C7473" s="247"/>
    </row>
    <row r="7474">
      <c r="A7474" s="247"/>
      <c r="B7474" s="258"/>
      <c r="C7474" s="247"/>
    </row>
    <row r="7475">
      <c r="A7475" s="247"/>
      <c r="B7475" s="258"/>
      <c r="C7475" s="247"/>
    </row>
    <row r="7476">
      <c r="A7476" s="247"/>
      <c r="B7476" s="258"/>
      <c r="C7476" s="247"/>
    </row>
    <row r="7477">
      <c r="A7477" s="247"/>
      <c r="B7477" s="258"/>
      <c r="C7477" s="247"/>
    </row>
    <row r="7478">
      <c r="A7478" s="247"/>
      <c r="B7478" s="258"/>
      <c r="C7478" s="247"/>
    </row>
    <row r="7479">
      <c r="A7479" s="247"/>
      <c r="B7479" s="258"/>
      <c r="C7479" s="247"/>
    </row>
    <row r="7480">
      <c r="A7480" s="247"/>
      <c r="B7480" s="258"/>
      <c r="C7480" s="247"/>
    </row>
    <row r="7481">
      <c r="A7481" s="247"/>
      <c r="B7481" s="258"/>
      <c r="C7481" s="247"/>
    </row>
    <row r="7482">
      <c r="A7482" s="247"/>
      <c r="B7482" s="258"/>
      <c r="C7482" s="247"/>
    </row>
    <row r="7483">
      <c r="A7483" s="247"/>
      <c r="B7483" s="258"/>
      <c r="C7483" s="247"/>
    </row>
    <row r="7484">
      <c r="A7484" s="247"/>
      <c r="B7484" s="258"/>
      <c r="C7484" s="247"/>
    </row>
    <row r="7485">
      <c r="A7485" s="247"/>
      <c r="B7485" s="258"/>
      <c r="C7485" s="247"/>
    </row>
    <row r="7486">
      <c r="A7486" s="247"/>
      <c r="B7486" s="258"/>
      <c r="C7486" s="247"/>
    </row>
    <row r="7487">
      <c r="A7487" s="247"/>
      <c r="B7487" s="258"/>
      <c r="C7487" s="247"/>
    </row>
    <row r="7488">
      <c r="A7488" s="247"/>
      <c r="B7488" s="258"/>
      <c r="C7488" s="247"/>
    </row>
    <row r="7489">
      <c r="A7489" s="247"/>
      <c r="B7489" s="258"/>
      <c r="C7489" s="247"/>
    </row>
    <row r="7490">
      <c r="A7490" s="247"/>
      <c r="B7490" s="258"/>
      <c r="C7490" s="247"/>
    </row>
    <row r="7491">
      <c r="A7491" s="247"/>
      <c r="B7491" s="258"/>
      <c r="C7491" s="247"/>
    </row>
    <row r="7492">
      <c r="A7492" s="247"/>
      <c r="B7492" s="258"/>
      <c r="C7492" s="247"/>
    </row>
    <row r="7493">
      <c r="A7493" s="247"/>
      <c r="B7493" s="258"/>
      <c r="C7493" s="247"/>
    </row>
    <row r="7494">
      <c r="A7494" s="247"/>
      <c r="B7494" s="258"/>
      <c r="C7494" s="247"/>
    </row>
    <row r="7495">
      <c r="A7495" s="247"/>
      <c r="B7495" s="258"/>
      <c r="C7495" s="247"/>
    </row>
    <row r="7496">
      <c r="A7496" s="247"/>
      <c r="B7496" s="258"/>
      <c r="C7496" s="247"/>
    </row>
    <row r="7497">
      <c r="A7497" s="247"/>
      <c r="B7497" s="258"/>
      <c r="C7497" s="247"/>
    </row>
    <row r="7498">
      <c r="A7498" s="247"/>
      <c r="B7498" s="258"/>
      <c r="C7498" s="247"/>
    </row>
    <row r="7499">
      <c r="A7499" s="247"/>
      <c r="B7499" s="258"/>
      <c r="C7499" s="247"/>
    </row>
    <row r="7500">
      <c r="A7500" s="247"/>
      <c r="B7500" s="258"/>
      <c r="C7500" s="247"/>
    </row>
    <row r="7501">
      <c r="A7501" s="247"/>
      <c r="B7501" s="258"/>
      <c r="C7501" s="247"/>
    </row>
    <row r="7502">
      <c r="A7502" s="247"/>
      <c r="B7502" s="258"/>
      <c r="C7502" s="247"/>
    </row>
    <row r="7503">
      <c r="A7503" s="247"/>
      <c r="B7503" s="258"/>
      <c r="C7503" s="247"/>
    </row>
    <row r="7504">
      <c r="A7504" s="247"/>
      <c r="B7504" s="258"/>
      <c r="C7504" s="247"/>
    </row>
    <row r="7505">
      <c r="A7505" s="247"/>
      <c r="B7505" s="258"/>
      <c r="C7505" s="247"/>
    </row>
    <row r="7506">
      <c r="A7506" s="247"/>
      <c r="B7506" s="258"/>
      <c r="C7506" s="247"/>
    </row>
    <row r="7507">
      <c r="A7507" s="247"/>
      <c r="B7507" s="258"/>
      <c r="C7507" s="247"/>
    </row>
    <row r="7508">
      <c r="A7508" s="247"/>
      <c r="B7508" s="258"/>
      <c r="C7508" s="247"/>
    </row>
    <row r="7509">
      <c r="A7509" s="247"/>
      <c r="B7509" s="258"/>
      <c r="C7509" s="247"/>
    </row>
    <row r="7510">
      <c r="A7510" s="247"/>
      <c r="B7510" s="258"/>
      <c r="C7510" s="247"/>
    </row>
    <row r="7511">
      <c r="A7511" s="247"/>
      <c r="B7511" s="258"/>
      <c r="C7511" s="247"/>
    </row>
    <row r="7512">
      <c r="A7512" s="247"/>
      <c r="B7512" s="258"/>
      <c r="C7512" s="247"/>
    </row>
    <row r="7513">
      <c r="A7513" s="247"/>
      <c r="B7513" s="258"/>
      <c r="C7513" s="247"/>
    </row>
    <row r="7514">
      <c r="A7514" s="247"/>
      <c r="B7514" s="258"/>
      <c r="C7514" s="247"/>
    </row>
    <row r="7515">
      <c r="A7515" s="247"/>
      <c r="B7515" s="258"/>
      <c r="C7515" s="247"/>
    </row>
    <row r="7516">
      <c r="A7516" s="247"/>
      <c r="B7516" s="258"/>
      <c r="C7516" s="247"/>
    </row>
    <row r="7517">
      <c r="A7517" s="247"/>
      <c r="B7517" s="258"/>
      <c r="C7517" s="247"/>
    </row>
    <row r="7518">
      <c r="A7518" s="247"/>
      <c r="B7518" s="258"/>
      <c r="C7518" s="247"/>
    </row>
    <row r="7519">
      <c r="A7519" s="247"/>
      <c r="B7519" s="258"/>
      <c r="C7519" s="247"/>
    </row>
    <row r="7520">
      <c r="A7520" s="247"/>
      <c r="B7520" s="258"/>
      <c r="C7520" s="247"/>
    </row>
    <row r="7521">
      <c r="A7521" s="247"/>
      <c r="B7521" s="258"/>
      <c r="C7521" s="247"/>
    </row>
    <row r="7522">
      <c r="A7522" s="247"/>
      <c r="B7522" s="258"/>
      <c r="C7522" s="247"/>
    </row>
    <row r="7523">
      <c r="A7523" s="247"/>
      <c r="B7523" s="258"/>
      <c r="C7523" s="247"/>
    </row>
    <row r="7524">
      <c r="A7524" s="247"/>
      <c r="B7524" s="258"/>
      <c r="C7524" s="247"/>
    </row>
    <row r="7525">
      <c r="A7525" s="247"/>
      <c r="B7525" s="258"/>
      <c r="C7525" s="247"/>
    </row>
    <row r="7526">
      <c r="A7526" s="247"/>
      <c r="B7526" s="258"/>
      <c r="C7526" s="247"/>
    </row>
    <row r="7527">
      <c r="A7527" s="247"/>
      <c r="B7527" s="258"/>
      <c r="C7527" s="247"/>
    </row>
    <row r="7528">
      <c r="A7528" s="247"/>
      <c r="B7528" s="258"/>
      <c r="C7528" s="247"/>
    </row>
    <row r="7529">
      <c r="A7529" s="247"/>
      <c r="B7529" s="258"/>
      <c r="C7529" s="247"/>
    </row>
    <row r="7530">
      <c r="A7530" s="247"/>
      <c r="B7530" s="258"/>
      <c r="C7530" s="247"/>
    </row>
    <row r="7531">
      <c r="A7531" s="247"/>
      <c r="B7531" s="258"/>
      <c r="C7531" s="247"/>
    </row>
    <row r="7532">
      <c r="A7532" s="247"/>
      <c r="B7532" s="258"/>
      <c r="C7532" s="247"/>
    </row>
    <row r="7533">
      <c r="A7533" s="247"/>
      <c r="B7533" s="258"/>
      <c r="C7533" s="247"/>
    </row>
    <row r="7534">
      <c r="A7534" s="247"/>
      <c r="B7534" s="258"/>
      <c r="C7534" s="247"/>
    </row>
    <row r="7535">
      <c r="A7535" s="247"/>
      <c r="B7535" s="258"/>
      <c r="C7535" s="247"/>
    </row>
    <row r="7536">
      <c r="A7536" s="247"/>
      <c r="B7536" s="258"/>
      <c r="C7536" s="247"/>
    </row>
    <row r="7537">
      <c r="A7537" s="247"/>
      <c r="B7537" s="258"/>
      <c r="C7537" s="247"/>
    </row>
    <row r="7538">
      <c r="A7538" s="247"/>
      <c r="B7538" s="258"/>
      <c r="C7538" s="247"/>
    </row>
    <row r="7539">
      <c r="A7539" s="247"/>
      <c r="B7539" s="258"/>
      <c r="C7539" s="247"/>
    </row>
    <row r="7540">
      <c r="A7540" s="247"/>
      <c r="B7540" s="258"/>
      <c r="C7540" s="247"/>
    </row>
    <row r="7541">
      <c r="A7541" s="247"/>
      <c r="B7541" s="258"/>
      <c r="C7541" s="247"/>
    </row>
    <row r="7542">
      <c r="A7542" s="247"/>
      <c r="B7542" s="258"/>
      <c r="C7542" s="247"/>
    </row>
    <row r="7543">
      <c r="A7543" s="247"/>
      <c r="B7543" s="258"/>
      <c r="C7543" s="247"/>
    </row>
    <row r="7544">
      <c r="A7544" s="247"/>
      <c r="B7544" s="258"/>
      <c r="C7544" s="247"/>
    </row>
    <row r="7545">
      <c r="A7545" s="247"/>
      <c r="B7545" s="258"/>
      <c r="C7545" s="247"/>
    </row>
    <row r="7546">
      <c r="A7546" s="247"/>
      <c r="B7546" s="258"/>
      <c r="C7546" s="247"/>
    </row>
    <row r="7547">
      <c r="A7547" s="247"/>
      <c r="B7547" s="258"/>
      <c r="C7547" s="247"/>
    </row>
    <row r="7548">
      <c r="A7548" s="247"/>
      <c r="B7548" s="258"/>
      <c r="C7548" s="247"/>
    </row>
    <row r="7549">
      <c r="A7549" s="247"/>
      <c r="B7549" s="258"/>
      <c r="C7549" s="247"/>
    </row>
    <row r="7550">
      <c r="A7550" s="247"/>
      <c r="B7550" s="258"/>
      <c r="C7550" s="247"/>
    </row>
    <row r="7551">
      <c r="A7551" s="247"/>
      <c r="B7551" s="258"/>
      <c r="C7551" s="247"/>
    </row>
    <row r="7552">
      <c r="A7552" s="247"/>
      <c r="B7552" s="258"/>
      <c r="C7552" s="247"/>
    </row>
    <row r="7553">
      <c r="A7553" s="247"/>
      <c r="B7553" s="258"/>
      <c r="C7553" s="247"/>
    </row>
    <row r="7554">
      <c r="A7554" s="247"/>
      <c r="B7554" s="258"/>
      <c r="C7554" s="247"/>
    </row>
    <row r="7555">
      <c r="A7555" s="247"/>
      <c r="B7555" s="258"/>
      <c r="C7555" s="247"/>
    </row>
    <row r="7556">
      <c r="A7556" s="247"/>
      <c r="B7556" s="258"/>
      <c r="C7556" s="247"/>
    </row>
    <row r="7557">
      <c r="A7557" s="247"/>
      <c r="B7557" s="258"/>
      <c r="C7557" s="247"/>
    </row>
    <row r="7558">
      <c r="A7558" s="247"/>
      <c r="B7558" s="258"/>
      <c r="C7558" s="247"/>
    </row>
    <row r="7559">
      <c r="A7559" s="247"/>
      <c r="B7559" s="258"/>
      <c r="C7559" s="247"/>
    </row>
    <row r="7560">
      <c r="A7560" s="247"/>
      <c r="B7560" s="258"/>
      <c r="C7560" s="247"/>
    </row>
    <row r="7561">
      <c r="A7561" s="247"/>
      <c r="B7561" s="258"/>
      <c r="C7561" s="247"/>
    </row>
    <row r="7562">
      <c r="A7562" s="247"/>
      <c r="B7562" s="258"/>
      <c r="C7562" s="247"/>
    </row>
    <row r="7563">
      <c r="A7563" s="247"/>
      <c r="B7563" s="258"/>
      <c r="C7563" s="247"/>
    </row>
    <row r="7564">
      <c r="A7564" s="247"/>
      <c r="B7564" s="258"/>
      <c r="C7564" s="247"/>
    </row>
    <row r="7565">
      <c r="A7565" s="247"/>
      <c r="B7565" s="258"/>
      <c r="C7565" s="247"/>
    </row>
    <row r="7566">
      <c r="A7566" s="247"/>
      <c r="B7566" s="258"/>
      <c r="C7566" s="247"/>
    </row>
    <row r="7567">
      <c r="A7567" s="247"/>
      <c r="B7567" s="258"/>
      <c r="C7567" s="247"/>
    </row>
    <row r="7568">
      <c r="A7568" s="247"/>
      <c r="B7568" s="258"/>
      <c r="C7568" s="247"/>
    </row>
    <row r="7569">
      <c r="A7569" s="247"/>
      <c r="B7569" s="258"/>
      <c r="C7569" s="247"/>
    </row>
    <row r="7570">
      <c r="A7570" s="247"/>
      <c r="B7570" s="258"/>
      <c r="C7570" s="247"/>
    </row>
    <row r="7571">
      <c r="A7571" s="247"/>
      <c r="B7571" s="258"/>
      <c r="C7571" s="247"/>
    </row>
    <row r="7572">
      <c r="A7572" s="247"/>
      <c r="B7572" s="258"/>
      <c r="C7572" s="247"/>
    </row>
    <row r="7573">
      <c r="A7573" s="247"/>
      <c r="B7573" s="258"/>
      <c r="C7573" s="247"/>
    </row>
    <row r="7574">
      <c r="A7574" s="247"/>
      <c r="B7574" s="258"/>
      <c r="C7574" s="247"/>
    </row>
    <row r="7575">
      <c r="A7575" s="247"/>
      <c r="B7575" s="258"/>
      <c r="C7575" s="247"/>
    </row>
    <row r="7576">
      <c r="A7576" s="247"/>
      <c r="B7576" s="258"/>
      <c r="C7576" s="247"/>
    </row>
    <row r="7577">
      <c r="A7577" s="247"/>
      <c r="B7577" s="258"/>
      <c r="C7577" s="247"/>
    </row>
    <row r="7578">
      <c r="A7578" s="247"/>
      <c r="B7578" s="258"/>
      <c r="C7578" s="247"/>
    </row>
    <row r="7579">
      <c r="A7579" s="247"/>
      <c r="B7579" s="258"/>
      <c r="C7579" s="247"/>
    </row>
    <row r="7580">
      <c r="A7580" s="247"/>
      <c r="B7580" s="258"/>
      <c r="C7580" s="247"/>
    </row>
    <row r="7581">
      <c r="A7581" s="247"/>
      <c r="B7581" s="258"/>
      <c r="C7581" s="247"/>
    </row>
    <row r="7582">
      <c r="A7582" s="247"/>
      <c r="B7582" s="258"/>
      <c r="C7582" s="247"/>
    </row>
    <row r="7583">
      <c r="A7583" s="247"/>
      <c r="B7583" s="258"/>
      <c r="C7583" s="247"/>
    </row>
    <row r="7584">
      <c r="A7584" s="247"/>
      <c r="B7584" s="258"/>
      <c r="C7584" s="247"/>
    </row>
    <row r="7585">
      <c r="A7585" s="247"/>
      <c r="B7585" s="258"/>
      <c r="C7585" s="247"/>
    </row>
    <row r="7586">
      <c r="A7586" s="247"/>
      <c r="B7586" s="258"/>
      <c r="C7586" s="247"/>
    </row>
    <row r="7587">
      <c r="A7587" s="247"/>
      <c r="B7587" s="258"/>
      <c r="C7587" s="247"/>
    </row>
    <row r="7588">
      <c r="A7588" s="247"/>
      <c r="B7588" s="258"/>
      <c r="C7588" s="247"/>
    </row>
    <row r="7589">
      <c r="A7589" s="247"/>
      <c r="B7589" s="258"/>
      <c r="C7589" s="247"/>
    </row>
    <row r="7590">
      <c r="A7590" s="247"/>
      <c r="B7590" s="258"/>
      <c r="C7590" s="247"/>
    </row>
    <row r="7591">
      <c r="A7591" s="247"/>
      <c r="B7591" s="258"/>
      <c r="C7591" s="247"/>
    </row>
    <row r="7592">
      <c r="A7592" s="247"/>
      <c r="B7592" s="258"/>
      <c r="C7592" s="247"/>
    </row>
    <row r="7593">
      <c r="A7593" s="247"/>
      <c r="B7593" s="258"/>
      <c r="C7593" s="247"/>
    </row>
    <row r="7594">
      <c r="A7594" s="247"/>
      <c r="B7594" s="258"/>
      <c r="C7594" s="247"/>
    </row>
    <row r="7595">
      <c r="A7595" s="247"/>
      <c r="B7595" s="258"/>
      <c r="C7595" s="247"/>
    </row>
    <row r="7596">
      <c r="A7596" s="247"/>
      <c r="B7596" s="258"/>
      <c r="C7596" s="247"/>
    </row>
    <row r="7597">
      <c r="A7597" s="247"/>
      <c r="B7597" s="258"/>
      <c r="C7597" s="247"/>
    </row>
    <row r="7598">
      <c r="A7598" s="247"/>
      <c r="B7598" s="258"/>
      <c r="C7598" s="247"/>
    </row>
    <row r="7599">
      <c r="A7599" s="247"/>
      <c r="B7599" s="258"/>
      <c r="C7599" s="247"/>
    </row>
    <row r="7600">
      <c r="A7600" s="247"/>
      <c r="B7600" s="258"/>
      <c r="C7600" s="247"/>
    </row>
    <row r="7601">
      <c r="A7601" s="247"/>
      <c r="B7601" s="258"/>
      <c r="C7601" s="247"/>
    </row>
    <row r="7602">
      <c r="A7602" s="247"/>
      <c r="B7602" s="258"/>
      <c r="C7602" s="247"/>
    </row>
    <row r="7603">
      <c r="A7603" s="247"/>
      <c r="B7603" s="258"/>
      <c r="C7603" s="247"/>
    </row>
    <row r="7604">
      <c r="A7604" s="247"/>
      <c r="B7604" s="258"/>
      <c r="C7604" s="247"/>
    </row>
    <row r="7605">
      <c r="A7605" s="247"/>
      <c r="B7605" s="258"/>
      <c r="C7605" s="247"/>
    </row>
    <row r="7606">
      <c r="A7606" s="247"/>
      <c r="B7606" s="258"/>
      <c r="C7606" s="247"/>
    </row>
    <row r="7607">
      <c r="A7607" s="247"/>
      <c r="B7607" s="258"/>
      <c r="C7607" s="247"/>
    </row>
    <row r="7608">
      <c r="A7608" s="247"/>
      <c r="B7608" s="258"/>
      <c r="C7608" s="247"/>
    </row>
    <row r="7609">
      <c r="A7609" s="247"/>
      <c r="B7609" s="258"/>
      <c r="C7609" s="247"/>
    </row>
    <row r="7610">
      <c r="A7610" s="247"/>
      <c r="B7610" s="258"/>
      <c r="C7610" s="247"/>
    </row>
    <row r="7611">
      <c r="A7611" s="247"/>
      <c r="B7611" s="258"/>
      <c r="C7611" s="247"/>
    </row>
    <row r="7612">
      <c r="A7612" s="247"/>
      <c r="B7612" s="258"/>
      <c r="C7612" s="247"/>
    </row>
    <row r="7613">
      <c r="A7613" s="247"/>
      <c r="B7613" s="258"/>
      <c r="C7613" s="247"/>
    </row>
    <row r="7614">
      <c r="A7614" s="247"/>
      <c r="B7614" s="258"/>
      <c r="C7614" s="247"/>
    </row>
    <row r="7615">
      <c r="A7615" s="247"/>
      <c r="B7615" s="258"/>
      <c r="C7615" s="247"/>
    </row>
    <row r="7616">
      <c r="A7616" s="247"/>
      <c r="B7616" s="258"/>
      <c r="C7616" s="247"/>
    </row>
    <row r="7617">
      <c r="A7617" s="247"/>
      <c r="B7617" s="258"/>
      <c r="C7617" s="247"/>
    </row>
    <row r="7618">
      <c r="A7618" s="247"/>
      <c r="B7618" s="258"/>
      <c r="C7618" s="247"/>
    </row>
    <row r="7619">
      <c r="A7619" s="247"/>
      <c r="B7619" s="258"/>
      <c r="C7619" s="247"/>
    </row>
    <row r="7620">
      <c r="A7620" s="247"/>
      <c r="B7620" s="258"/>
      <c r="C7620" s="247"/>
    </row>
    <row r="7621">
      <c r="A7621" s="247"/>
      <c r="B7621" s="258"/>
      <c r="C7621" s="247"/>
    </row>
    <row r="7622">
      <c r="A7622" s="247"/>
      <c r="B7622" s="258"/>
      <c r="C7622" s="247"/>
    </row>
    <row r="7623">
      <c r="A7623" s="247"/>
      <c r="B7623" s="258"/>
      <c r="C7623" s="247"/>
    </row>
    <row r="7624">
      <c r="A7624" s="247"/>
      <c r="B7624" s="258"/>
      <c r="C7624" s="247"/>
    </row>
    <row r="7625">
      <c r="A7625" s="247"/>
      <c r="B7625" s="258"/>
      <c r="C7625" s="247"/>
    </row>
    <row r="7626">
      <c r="A7626" s="247"/>
      <c r="B7626" s="258"/>
      <c r="C7626" s="247"/>
    </row>
    <row r="7627">
      <c r="A7627" s="247"/>
      <c r="B7627" s="258"/>
      <c r="C7627" s="247"/>
    </row>
    <row r="7628">
      <c r="A7628" s="247"/>
      <c r="B7628" s="258"/>
      <c r="C7628" s="247"/>
    </row>
    <row r="7629">
      <c r="A7629" s="247"/>
      <c r="B7629" s="258"/>
      <c r="C7629" s="247"/>
    </row>
    <row r="7630">
      <c r="A7630" s="247"/>
      <c r="B7630" s="258"/>
      <c r="C7630" s="247"/>
    </row>
    <row r="7631">
      <c r="A7631" s="247"/>
      <c r="B7631" s="258"/>
      <c r="C7631" s="247"/>
    </row>
    <row r="7632">
      <c r="A7632" s="247"/>
      <c r="B7632" s="258"/>
      <c r="C7632" s="247"/>
    </row>
    <row r="7633">
      <c r="A7633" s="247"/>
      <c r="B7633" s="258"/>
      <c r="C7633" s="247"/>
    </row>
    <row r="7634">
      <c r="A7634" s="247"/>
      <c r="B7634" s="258"/>
      <c r="C7634" s="247"/>
    </row>
    <row r="7635">
      <c r="A7635" s="247"/>
      <c r="B7635" s="258"/>
      <c r="C7635" s="247"/>
    </row>
    <row r="7636">
      <c r="A7636" s="247"/>
      <c r="B7636" s="258"/>
      <c r="C7636" s="247"/>
    </row>
    <row r="7637">
      <c r="A7637" s="247"/>
      <c r="B7637" s="258"/>
      <c r="C7637" s="247"/>
    </row>
    <row r="7638">
      <c r="A7638" s="247"/>
      <c r="B7638" s="258"/>
      <c r="C7638" s="247"/>
    </row>
    <row r="7639">
      <c r="A7639" s="247"/>
      <c r="B7639" s="258"/>
      <c r="C7639" s="247"/>
    </row>
    <row r="7640">
      <c r="A7640" s="247"/>
      <c r="B7640" s="258"/>
      <c r="C7640" s="247"/>
    </row>
    <row r="7641">
      <c r="A7641" s="247"/>
      <c r="B7641" s="258"/>
      <c r="C7641" s="247"/>
    </row>
    <row r="7642">
      <c r="A7642" s="247"/>
      <c r="B7642" s="258"/>
      <c r="C7642" s="247"/>
    </row>
    <row r="7643">
      <c r="A7643" s="247"/>
      <c r="B7643" s="258"/>
      <c r="C7643" s="247"/>
    </row>
    <row r="7644">
      <c r="A7644" s="247"/>
      <c r="B7644" s="258"/>
      <c r="C7644" s="247"/>
    </row>
    <row r="7645">
      <c r="A7645" s="247"/>
      <c r="B7645" s="258"/>
      <c r="C7645" s="247"/>
    </row>
    <row r="7646">
      <c r="A7646" s="247"/>
      <c r="B7646" s="258"/>
      <c r="C7646" s="247"/>
    </row>
    <row r="7647">
      <c r="A7647" s="247"/>
      <c r="B7647" s="258"/>
      <c r="C7647" s="247"/>
    </row>
    <row r="7648">
      <c r="A7648" s="247"/>
      <c r="B7648" s="258"/>
      <c r="C7648" s="247"/>
    </row>
    <row r="7649">
      <c r="A7649" s="247"/>
      <c r="B7649" s="258"/>
      <c r="C7649" s="247"/>
    </row>
    <row r="7650">
      <c r="A7650" s="247"/>
      <c r="B7650" s="258"/>
      <c r="C7650" s="247"/>
    </row>
    <row r="7651">
      <c r="A7651" s="247"/>
      <c r="B7651" s="258"/>
      <c r="C7651" s="247"/>
    </row>
    <row r="7652">
      <c r="A7652" s="247"/>
      <c r="B7652" s="258"/>
      <c r="C7652" s="247"/>
    </row>
    <row r="7653">
      <c r="A7653" s="247"/>
      <c r="B7653" s="258"/>
      <c r="C7653" s="247"/>
    </row>
    <row r="7654">
      <c r="A7654" s="247"/>
      <c r="B7654" s="258"/>
      <c r="C7654" s="247"/>
    </row>
    <row r="7655">
      <c r="A7655" s="247"/>
      <c r="B7655" s="258"/>
      <c r="C7655" s="247"/>
    </row>
    <row r="7656">
      <c r="A7656" s="247"/>
      <c r="B7656" s="258"/>
      <c r="C7656" s="247"/>
    </row>
    <row r="7657">
      <c r="A7657" s="247"/>
      <c r="B7657" s="258"/>
      <c r="C7657" s="247"/>
    </row>
    <row r="7658">
      <c r="A7658" s="247"/>
      <c r="B7658" s="258"/>
      <c r="C7658" s="247"/>
    </row>
    <row r="7659">
      <c r="A7659" s="247"/>
      <c r="B7659" s="258"/>
      <c r="C7659" s="247"/>
    </row>
    <row r="7660">
      <c r="A7660" s="247"/>
      <c r="B7660" s="258"/>
      <c r="C7660" s="247"/>
    </row>
    <row r="7661">
      <c r="A7661" s="247"/>
      <c r="B7661" s="258"/>
      <c r="C7661" s="247"/>
    </row>
    <row r="7662">
      <c r="A7662" s="247"/>
      <c r="B7662" s="258"/>
      <c r="C7662" s="247"/>
    </row>
    <row r="7663">
      <c r="A7663" s="247"/>
      <c r="B7663" s="258"/>
      <c r="C7663" s="247"/>
    </row>
    <row r="7664">
      <c r="A7664" s="247"/>
      <c r="B7664" s="258"/>
      <c r="C7664" s="247"/>
    </row>
    <row r="7665">
      <c r="A7665" s="247"/>
      <c r="B7665" s="258"/>
      <c r="C7665" s="247"/>
    </row>
    <row r="7666">
      <c r="A7666" s="247"/>
      <c r="B7666" s="258"/>
      <c r="C7666" s="247"/>
    </row>
    <row r="7667">
      <c r="A7667" s="247"/>
      <c r="B7667" s="258"/>
      <c r="C7667" s="247"/>
    </row>
    <row r="7668">
      <c r="A7668" s="247"/>
      <c r="B7668" s="258"/>
      <c r="C7668" s="247"/>
    </row>
    <row r="7669">
      <c r="A7669" s="247"/>
      <c r="B7669" s="258"/>
      <c r="C7669" s="247"/>
    </row>
    <row r="7670">
      <c r="A7670" s="247"/>
      <c r="B7670" s="258"/>
      <c r="C7670" s="247"/>
    </row>
    <row r="7671">
      <c r="A7671" s="247"/>
      <c r="B7671" s="258"/>
      <c r="C7671" s="247"/>
    </row>
    <row r="7672">
      <c r="A7672" s="247"/>
      <c r="B7672" s="258"/>
      <c r="C7672" s="247"/>
    </row>
    <row r="7673">
      <c r="A7673" s="247"/>
      <c r="B7673" s="258"/>
      <c r="C7673" s="247"/>
    </row>
    <row r="7674">
      <c r="A7674" s="247"/>
      <c r="B7674" s="258"/>
      <c r="C7674" s="247"/>
    </row>
    <row r="7675">
      <c r="A7675" s="247"/>
      <c r="B7675" s="258"/>
      <c r="C7675" s="247"/>
    </row>
    <row r="7676">
      <c r="A7676" s="247"/>
      <c r="B7676" s="258"/>
      <c r="C7676" s="247"/>
    </row>
    <row r="7677">
      <c r="A7677" s="247"/>
      <c r="B7677" s="258"/>
      <c r="C7677" s="247"/>
    </row>
    <row r="7678">
      <c r="A7678" s="247"/>
      <c r="B7678" s="258"/>
      <c r="C7678" s="247"/>
    </row>
    <row r="7679">
      <c r="A7679" s="247"/>
      <c r="B7679" s="258"/>
      <c r="C7679" s="247"/>
    </row>
    <row r="7680">
      <c r="A7680" s="247"/>
      <c r="B7680" s="258"/>
      <c r="C7680" s="247"/>
    </row>
    <row r="7681">
      <c r="A7681" s="247"/>
      <c r="B7681" s="258"/>
      <c r="C7681" s="247"/>
    </row>
    <row r="7682">
      <c r="A7682" s="247"/>
      <c r="B7682" s="258"/>
      <c r="C7682" s="247"/>
    </row>
    <row r="7683">
      <c r="A7683" s="247"/>
      <c r="B7683" s="258"/>
      <c r="C7683" s="247"/>
    </row>
    <row r="7684">
      <c r="A7684" s="247"/>
      <c r="B7684" s="258"/>
      <c r="C7684" s="247"/>
    </row>
    <row r="7685">
      <c r="A7685" s="247"/>
      <c r="B7685" s="258"/>
      <c r="C7685" s="247"/>
    </row>
    <row r="7686">
      <c r="A7686" s="247"/>
      <c r="B7686" s="258"/>
      <c r="C7686" s="247"/>
    </row>
    <row r="7687">
      <c r="A7687" s="247"/>
      <c r="B7687" s="258"/>
      <c r="C7687" s="247"/>
    </row>
    <row r="7688">
      <c r="A7688" s="247"/>
      <c r="B7688" s="258"/>
      <c r="C7688" s="247"/>
    </row>
    <row r="7689">
      <c r="A7689" s="247"/>
      <c r="B7689" s="258"/>
      <c r="C7689" s="247"/>
    </row>
    <row r="7690">
      <c r="A7690" s="247"/>
      <c r="B7690" s="258"/>
      <c r="C7690" s="247"/>
    </row>
    <row r="7691">
      <c r="A7691" s="247"/>
      <c r="B7691" s="258"/>
      <c r="C7691" s="247"/>
    </row>
    <row r="7692">
      <c r="A7692" s="247"/>
      <c r="B7692" s="258"/>
      <c r="C7692" s="247"/>
    </row>
    <row r="7693">
      <c r="A7693" s="247"/>
      <c r="B7693" s="258"/>
      <c r="C7693" s="247"/>
    </row>
    <row r="7694">
      <c r="A7694" s="247"/>
      <c r="B7694" s="258"/>
      <c r="C7694" s="247"/>
    </row>
    <row r="7695">
      <c r="A7695" s="247"/>
      <c r="B7695" s="258"/>
      <c r="C7695" s="247"/>
    </row>
    <row r="7696">
      <c r="A7696" s="247"/>
      <c r="B7696" s="258"/>
      <c r="C7696" s="247"/>
    </row>
    <row r="7697">
      <c r="A7697" s="247"/>
      <c r="B7697" s="258"/>
      <c r="C7697" s="247"/>
    </row>
    <row r="7698">
      <c r="A7698" s="247"/>
      <c r="B7698" s="258"/>
      <c r="C7698" s="247"/>
    </row>
    <row r="7699">
      <c r="A7699" s="247"/>
      <c r="B7699" s="258"/>
      <c r="C7699" s="247"/>
    </row>
    <row r="7700">
      <c r="A7700" s="247"/>
      <c r="B7700" s="258"/>
      <c r="C7700" s="247"/>
    </row>
    <row r="7701">
      <c r="A7701" s="247"/>
      <c r="B7701" s="258"/>
      <c r="C7701" s="247"/>
    </row>
    <row r="7702">
      <c r="A7702" s="247"/>
      <c r="B7702" s="258"/>
      <c r="C7702" s="247"/>
    </row>
    <row r="7703">
      <c r="A7703" s="247"/>
      <c r="B7703" s="258"/>
      <c r="C7703" s="247"/>
    </row>
    <row r="7704">
      <c r="A7704" s="247"/>
      <c r="B7704" s="258"/>
      <c r="C7704" s="247"/>
    </row>
    <row r="7705">
      <c r="A7705" s="247"/>
      <c r="B7705" s="258"/>
      <c r="C7705" s="247"/>
    </row>
    <row r="7706">
      <c r="A7706" s="247"/>
      <c r="B7706" s="258"/>
      <c r="C7706" s="247"/>
    </row>
    <row r="7707">
      <c r="A7707" s="247"/>
      <c r="B7707" s="258"/>
      <c r="C7707" s="247"/>
    </row>
    <row r="7708">
      <c r="A7708" s="247"/>
      <c r="B7708" s="258"/>
      <c r="C7708" s="247"/>
    </row>
    <row r="7709">
      <c r="A7709" s="247"/>
      <c r="B7709" s="258"/>
      <c r="C7709" s="247"/>
    </row>
    <row r="7710">
      <c r="A7710" s="247"/>
      <c r="B7710" s="258"/>
      <c r="C7710" s="247"/>
    </row>
    <row r="7711">
      <c r="A7711" s="247"/>
      <c r="B7711" s="258"/>
      <c r="C7711" s="247"/>
    </row>
    <row r="7712">
      <c r="A7712" s="247"/>
      <c r="B7712" s="258"/>
      <c r="C7712" s="247"/>
    </row>
    <row r="7713">
      <c r="A7713" s="247"/>
      <c r="B7713" s="258"/>
      <c r="C7713" s="247"/>
    </row>
    <row r="7714">
      <c r="A7714" s="247"/>
      <c r="B7714" s="258"/>
      <c r="C7714" s="247"/>
    </row>
    <row r="7715">
      <c r="A7715" s="247"/>
      <c r="B7715" s="258"/>
      <c r="C7715" s="247"/>
    </row>
    <row r="7716">
      <c r="A7716" s="247"/>
      <c r="B7716" s="258"/>
      <c r="C7716" s="247"/>
    </row>
    <row r="7717">
      <c r="A7717" s="247"/>
      <c r="B7717" s="258"/>
      <c r="C7717" s="247"/>
    </row>
    <row r="7718">
      <c r="A7718" s="247"/>
      <c r="B7718" s="258"/>
      <c r="C7718" s="247"/>
    </row>
    <row r="7719">
      <c r="A7719" s="247"/>
      <c r="B7719" s="258"/>
      <c r="C7719" s="247"/>
    </row>
    <row r="7720">
      <c r="A7720" s="247"/>
      <c r="B7720" s="258"/>
      <c r="C7720" s="247"/>
    </row>
    <row r="7721">
      <c r="A7721" s="247"/>
      <c r="B7721" s="258"/>
      <c r="C7721" s="247"/>
    </row>
    <row r="7722">
      <c r="A7722" s="247"/>
      <c r="B7722" s="258"/>
      <c r="C7722" s="247"/>
    </row>
    <row r="7723">
      <c r="A7723" s="247"/>
      <c r="B7723" s="258"/>
      <c r="C7723" s="247"/>
    </row>
    <row r="7724">
      <c r="A7724" s="247"/>
      <c r="B7724" s="258"/>
      <c r="C7724" s="247"/>
    </row>
    <row r="7725">
      <c r="A7725" s="247"/>
      <c r="B7725" s="258"/>
      <c r="C7725" s="247"/>
    </row>
    <row r="7726">
      <c r="A7726" s="247"/>
      <c r="B7726" s="258"/>
      <c r="C7726" s="247"/>
    </row>
    <row r="7727">
      <c r="A7727" s="247"/>
      <c r="B7727" s="258"/>
      <c r="C7727" s="247"/>
    </row>
    <row r="7728">
      <c r="A7728" s="247"/>
      <c r="B7728" s="258"/>
      <c r="C7728" s="247"/>
    </row>
    <row r="7729">
      <c r="A7729" s="247"/>
      <c r="B7729" s="258"/>
      <c r="C7729" s="247"/>
    </row>
    <row r="7730">
      <c r="A7730" s="247"/>
      <c r="B7730" s="258"/>
      <c r="C7730" s="247"/>
    </row>
    <row r="7731">
      <c r="A7731" s="247"/>
      <c r="B7731" s="258"/>
      <c r="C7731" s="247"/>
    </row>
    <row r="7732">
      <c r="A7732" s="247"/>
      <c r="B7732" s="258"/>
      <c r="C7732" s="247"/>
    </row>
    <row r="7733">
      <c r="A7733" s="247"/>
      <c r="B7733" s="258"/>
      <c r="C7733" s="247"/>
    </row>
    <row r="7734">
      <c r="A7734" s="247"/>
      <c r="B7734" s="258"/>
      <c r="C7734" s="247"/>
    </row>
    <row r="7735">
      <c r="A7735" s="247"/>
      <c r="B7735" s="258"/>
      <c r="C7735" s="247"/>
    </row>
    <row r="7736">
      <c r="A7736" s="247"/>
      <c r="B7736" s="258"/>
      <c r="C7736" s="247"/>
    </row>
    <row r="7737">
      <c r="A7737" s="247"/>
      <c r="B7737" s="258"/>
      <c r="C7737" s="247"/>
    </row>
    <row r="7738">
      <c r="A7738" s="247"/>
      <c r="B7738" s="258"/>
      <c r="C7738" s="247"/>
    </row>
    <row r="7739">
      <c r="A7739" s="247"/>
      <c r="B7739" s="258"/>
      <c r="C7739" s="247"/>
    </row>
    <row r="7740">
      <c r="A7740" s="247"/>
      <c r="B7740" s="258"/>
      <c r="C7740" s="247"/>
    </row>
    <row r="7741">
      <c r="A7741" s="247"/>
      <c r="B7741" s="258"/>
      <c r="C7741" s="247"/>
    </row>
    <row r="7742">
      <c r="A7742" s="247"/>
      <c r="B7742" s="258"/>
      <c r="C7742" s="247"/>
    </row>
    <row r="7743">
      <c r="A7743" s="247"/>
      <c r="B7743" s="258"/>
      <c r="C7743" s="247"/>
    </row>
    <row r="7744">
      <c r="A7744" s="247"/>
      <c r="B7744" s="258"/>
      <c r="C7744" s="247"/>
    </row>
    <row r="7745">
      <c r="A7745" s="247"/>
      <c r="B7745" s="258"/>
      <c r="C7745" s="247"/>
    </row>
    <row r="7746">
      <c r="A7746" s="247"/>
      <c r="B7746" s="258"/>
      <c r="C7746" s="247"/>
    </row>
    <row r="7747">
      <c r="A7747" s="247"/>
      <c r="B7747" s="258"/>
      <c r="C7747" s="247"/>
    </row>
    <row r="7748">
      <c r="A7748" s="247"/>
      <c r="B7748" s="258"/>
      <c r="C7748" s="247"/>
    </row>
    <row r="7749">
      <c r="A7749" s="247"/>
      <c r="B7749" s="258"/>
      <c r="C7749" s="247"/>
    </row>
    <row r="7750">
      <c r="A7750" s="247"/>
      <c r="B7750" s="258"/>
      <c r="C7750" s="247"/>
    </row>
    <row r="7751">
      <c r="A7751" s="247"/>
      <c r="B7751" s="258"/>
      <c r="C7751" s="247"/>
    </row>
    <row r="7752">
      <c r="A7752" s="247"/>
      <c r="B7752" s="258"/>
      <c r="C7752" s="247"/>
    </row>
    <row r="7753">
      <c r="A7753" s="247"/>
      <c r="B7753" s="258"/>
      <c r="C7753" s="247"/>
    </row>
    <row r="7754">
      <c r="A7754" s="247"/>
      <c r="B7754" s="258"/>
      <c r="C7754" s="247"/>
    </row>
    <row r="7755">
      <c r="A7755" s="247"/>
      <c r="B7755" s="258"/>
      <c r="C7755" s="247"/>
    </row>
    <row r="7756">
      <c r="A7756" s="247"/>
      <c r="B7756" s="258"/>
      <c r="C7756" s="247"/>
    </row>
    <row r="7757">
      <c r="A7757" s="247"/>
      <c r="B7757" s="258"/>
      <c r="C7757" s="247"/>
    </row>
    <row r="7758">
      <c r="A7758" s="247"/>
      <c r="B7758" s="258"/>
      <c r="C7758" s="247"/>
    </row>
    <row r="7759">
      <c r="A7759" s="247"/>
      <c r="B7759" s="258"/>
      <c r="C7759" s="247"/>
    </row>
    <row r="7760">
      <c r="A7760" s="247"/>
      <c r="B7760" s="258"/>
      <c r="C7760" s="247"/>
    </row>
    <row r="7761">
      <c r="A7761" s="247"/>
      <c r="B7761" s="258"/>
      <c r="C7761" s="247"/>
    </row>
    <row r="7762">
      <c r="A7762" s="247"/>
      <c r="B7762" s="258"/>
      <c r="C7762" s="247"/>
    </row>
    <row r="7763">
      <c r="A7763" s="247"/>
      <c r="B7763" s="258"/>
      <c r="C7763" s="247"/>
    </row>
    <row r="7764">
      <c r="A7764" s="247"/>
      <c r="B7764" s="258"/>
      <c r="C7764" s="247"/>
    </row>
    <row r="7765">
      <c r="A7765" s="247"/>
      <c r="B7765" s="258"/>
      <c r="C7765" s="247"/>
    </row>
    <row r="7766">
      <c r="A7766" s="247"/>
      <c r="B7766" s="258"/>
      <c r="C7766" s="247"/>
    </row>
    <row r="7767">
      <c r="A7767" s="247"/>
      <c r="B7767" s="258"/>
      <c r="C7767" s="247"/>
    </row>
    <row r="7768">
      <c r="A7768" s="247"/>
      <c r="B7768" s="258"/>
      <c r="C7768" s="247"/>
    </row>
    <row r="7769">
      <c r="A7769" s="247"/>
      <c r="B7769" s="258"/>
      <c r="C7769" s="247"/>
    </row>
    <row r="7770">
      <c r="A7770" s="247"/>
      <c r="B7770" s="258"/>
      <c r="C7770" s="247"/>
    </row>
    <row r="7771">
      <c r="A7771" s="247"/>
      <c r="B7771" s="258"/>
      <c r="C7771" s="247"/>
    </row>
    <row r="7772">
      <c r="A7772" s="247"/>
      <c r="B7772" s="258"/>
      <c r="C7772" s="247"/>
    </row>
    <row r="7773">
      <c r="A7773" s="247"/>
      <c r="B7773" s="258"/>
      <c r="C7773" s="247"/>
    </row>
    <row r="7774">
      <c r="A7774" s="247"/>
      <c r="B7774" s="258"/>
      <c r="C7774" s="247"/>
    </row>
    <row r="7775">
      <c r="A7775" s="247"/>
      <c r="B7775" s="258"/>
      <c r="C7775" s="247"/>
    </row>
    <row r="7776">
      <c r="A7776" s="247"/>
      <c r="B7776" s="258"/>
      <c r="C7776" s="247"/>
    </row>
    <row r="7777">
      <c r="A7777" s="247"/>
      <c r="B7777" s="258"/>
      <c r="C7777" s="247"/>
    </row>
    <row r="7778">
      <c r="A7778" s="247"/>
      <c r="B7778" s="258"/>
      <c r="C7778" s="247"/>
    </row>
    <row r="7779">
      <c r="A7779" s="247"/>
      <c r="B7779" s="258"/>
      <c r="C7779" s="247"/>
    </row>
    <row r="7780">
      <c r="A7780" s="247"/>
      <c r="B7780" s="258"/>
      <c r="C7780" s="247"/>
    </row>
    <row r="7781">
      <c r="A7781" s="247"/>
      <c r="B7781" s="258"/>
      <c r="C7781" s="247"/>
    </row>
    <row r="7782">
      <c r="A7782" s="247"/>
      <c r="B7782" s="258"/>
      <c r="C7782" s="247"/>
    </row>
    <row r="7783">
      <c r="A7783" s="247"/>
      <c r="B7783" s="258"/>
      <c r="C7783" s="247"/>
    </row>
    <row r="7784">
      <c r="A7784" s="247"/>
      <c r="B7784" s="258"/>
      <c r="C7784" s="247"/>
    </row>
    <row r="7785">
      <c r="A7785" s="247"/>
      <c r="B7785" s="258"/>
      <c r="C7785" s="247"/>
    </row>
    <row r="7786">
      <c r="A7786" s="247"/>
      <c r="B7786" s="258"/>
      <c r="C7786" s="247"/>
    </row>
    <row r="7787">
      <c r="A7787" s="247"/>
      <c r="B7787" s="258"/>
      <c r="C7787" s="247"/>
    </row>
    <row r="7788">
      <c r="A7788" s="247"/>
      <c r="B7788" s="258"/>
      <c r="C7788" s="247"/>
    </row>
    <row r="7789">
      <c r="A7789" s="247"/>
      <c r="B7789" s="258"/>
      <c r="C7789" s="247"/>
    </row>
    <row r="7790">
      <c r="A7790" s="247"/>
      <c r="B7790" s="258"/>
      <c r="C7790" s="247"/>
    </row>
    <row r="7791">
      <c r="A7791" s="247"/>
      <c r="B7791" s="258"/>
      <c r="C7791" s="247"/>
    </row>
    <row r="7792">
      <c r="A7792" s="247"/>
      <c r="B7792" s="258"/>
      <c r="C7792" s="247"/>
    </row>
    <row r="7793">
      <c r="A7793" s="247"/>
      <c r="B7793" s="258"/>
      <c r="C7793" s="247"/>
    </row>
    <row r="7794">
      <c r="A7794" s="247"/>
      <c r="B7794" s="258"/>
      <c r="C7794" s="247"/>
    </row>
    <row r="7795">
      <c r="A7795" s="247"/>
      <c r="B7795" s="258"/>
      <c r="C7795" s="247"/>
    </row>
    <row r="7796">
      <c r="A7796" s="247"/>
      <c r="B7796" s="258"/>
      <c r="C7796" s="247"/>
    </row>
    <row r="7797">
      <c r="A7797" s="247"/>
      <c r="B7797" s="258"/>
      <c r="C7797" s="247"/>
    </row>
    <row r="7798">
      <c r="A7798" s="247"/>
      <c r="B7798" s="258"/>
      <c r="C7798" s="247"/>
    </row>
    <row r="7799">
      <c r="A7799" s="247"/>
      <c r="B7799" s="258"/>
      <c r="C7799" s="247"/>
    </row>
    <row r="7800">
      <c r="A7800" s="247"/>
      <c r="B7800" s="258"/>
      <c r="C7800" s="247"/>
    </row>
    <row r="7801">
      <c r="A7801" s="247"/>
      <c r="B7801" s="258"/>
      <c r="C7801" s="247"/>
    </row>
    <row r="7802">
      <c r="A7802" s="247"/>
      <c r="B7802" s="258"/>
      <c r="C7802" s="247"/>
    </row>
    <row r="7803">
      <c r="A7803" s="247"/>
      <c r="B7803" s="258"/>
      <c r="C7803" s="247"/>
    </row>
    <row r="7804">
      <c r="A7804" s="247"/>
      <c r="B7804" s="258"/>
      <c r="C7804" s="247"/>
    </row>
    <row r="7805">
      <c r="A7805" s="247"/>
      <c r="B7805" s="258"/>
      <c r="C7805" s="247"/>
    </row>
    <row r="7806">
      <c r="A7806" s="247"/>
      <c r="B7806" s="258"/>
      <c r="C7806" s="247"/>
    </row>
    <row r="7807">
      <c r="A7807" s="247"/>
      <c r="B7807" s="258"/>
      <c r="C7807" s="247"/>
    </row>
    <row r="7808">
      <c r="A7808" s="247"/>
      <c r="B7808" s="258"/>
      <c r="C7808" s="247"/>
    </row>
    <row r="7809">
      <c r="A7809" s="247"/>
      <c r="B7809" s="258"/>
      <c r="C7809" s="247"/>
    </row>
    <row r="7810">
      <c r="A7810" s="247"/>
      <c r="B7810" s="258"/>
      <c r="C7810" s="247"/>
    </row>
    <row r="7811">
      <c r="A7811" s="247"/>
      <c r="B7811" s="258"/>
      <c r="C7811" s="247"/>
    </row>
    <row r="7812">
      <c r="A7812" s="247"/>
      <c r="B7812" s="258"/>
      <c r="C7812" s="247"/>
    </row>
    <row r="7813">
      <c r="A7813" s="247"/>
      <c r="B7813" s="258"/>
      <c r="C7813" s="247"/>
    </row>
    <row r="7814">
      <c r="A7814" s="247"/>
      <c r="B7814" s="258"/>
      <c r="C7814" s="247"/>
    </row>
    <row r="7815">
      <c r="A7815" s="247"/>
      <c r="B7815" s="258"/>
      <c r="C7815" s="247"/>
    </row>
    <row r="7816">
      <c r="A7816" s="247"/>
      <c r="B7816" s="258"/>
      <c r="C7816" s="247"/>
    </row>
    <row r="7817">
      <c r="A7817" s="247"/>
      <c r="B7817" s="258"/>
      <c r="C7817" s="247"/>
    </row>
    <row r="7818">
      <c r="A7818" s="247"/>
      <c r="B7818" s="258"/>
      <c r="C7818" s="247"/>
    </row>
    <row r="7819">
      <c r="A7819" s="247"/>
      <c r="B7819" s="258"/>
      <c r="C7819" s="247"/>
    </row>
    <row r="7820">
      <c r="A7820" s="247"/>
      <c r="B7820" s="258"/>
      <c r="C7820" s="247"/>
    </row>
    <row r="7821">
      <c r="A7821" s="247"/>
      <c r="B7821" s="258"/>
      <c r="C7821" s="247"/>
    </row>
    <row r="7822">
      <c r="A7822" s="247"/>
      <c r="B7822" s="258"/>
      <c r="C7822" s="247"/>
    </row>
    <row r="7823">
      <c r="A7823" s="247"/>
      <c r="B7823" s="258"/>
      <c r="C7823" s="247"/>
    </row>
    <row r="7824">
      <c r="A7824" s="247"/>
      <c r="B7824" s="258"/>
      <c r="C7824" s="247"/>
    </row>
    <row r="7825">
      <c r="A7825" s="247"/>
      <c r="B7825" s="258"/>
      <c r="C7825" s="247"/>
    </row>
    <row r="7826">
      <c r="A7826" s="247"/>
      <c r="B7826" s="258"/>
      <c r="C7826" s="247"/>
    </row>
    <row r="7827">
      <c r="A7827" s="247"/>
      <c r="B7827" s="258"/>
      <c r="C7827" s="247"/>
    </row>
    <row r="7828">
      <c r="A7828" s="247"/>
      <c r="B7828" s="258"/>
      <c r="C7828" s="247"/>
    </row>
    <row r="7829">
      <c r="A7829" s="247"/>
      <c r="B7829" s="258"/>
      <c r="C7829" s="247"/>
    </row>
    <row r="7830">
      <c r="A7830" s="247"/>
      <c r="B7830" s="258"/>
      <c r="C7830" s="247"/>
    </row>
    <row r="7831">
      <c r="A7831" s="247"/>
      <c r="B7831" s="258"/>
      <c r="C7831" s="247"/>
    </row>
    <row r="7832">
      <c r="A7832" s="247"/>
      <c r="B7832" s="258"/>
      <c r="C7832" s="247"/>
    </row>
    <row r="7833">
      <c r="A7833" s="247"/>
      <c r="B7833" s="258"/>
      <c r="C7833" s="247"/>
    </row>
    <row r="7834">
      <c r="A7834" s="247"/>
      <c r="B7834" s="258"/>
      <c r="C7834" s="247"/>
    </row>
    <row r="7835">
      <c r="A7835" s="247"/>
      <c r="B7835" s="258"/>
      <c r="C7835" s="247"/>
    </row>
    <row r="7836">
      <c r="A7836" s="247"/>
      <c r="B7836" s="258"/>
      <c r="C7836" s="247"/>
    </row>
    <row r="7837">
      <c r="A7837" s="247"/>
      <c r="B7837" s="258"/>
      <c r="C7837" s="247"/>
    </row>
    <row r="7838">
      <c r="A7838" s="247"/>
      <c r="B7838" s="258"/>
      <c r="C7838" s="247"/>
    </row>
    <row r="7839">
      <c r="A7839" s="247"/>
      <c r="B7839" s="258"/>
      <c r="C7839" s="247"/>
    </row>
    <row r="7840">
      <c r="A7840" s="247"/>
      <c r="B7840" s="258"/>
      <c r="C7840" s="247"/>
    </row>
    <row r="7841">
      <c r="A7841" s="247"/>
      <c r="B7841" s="258"/>
      <c r="C7841" s="247"/>
    </row>
    <row r="7842">
      <c r="A7842" s="247"/>
      <c r="B7842" s="258"/>
      <c r="C7842" s="247"/>
    </row>
    <row r="7843">
      <c r="A7843" s="247"/>
      <c r="B7843" s="258"/>
      <c r="C7843" s="247"/>
    </row>
    <row r="7844">
      <c r="A7844" s="247"/>
      <c r="B7844" s="258"/>
      <c r="C7844" s="247"/>
    </row>
    <row r="7845">
      <c r="A7845" s="247"/>
      <c r="B7845" s="258"/>
      <c r="C7845" s="247"/>
    </row>
    <row r="7846">
      <c r="A7846" s="247"/>
      <c r="B7846" s="258"/>
      <c r="C7846" s="247"/>
    </row>
    <row r="7847">
      <c r="A7847" s="247"/>
      <c r="B7847" s="258"/>
      <c r="C7847" s="247"/>
    </row>
    <row r="7848">
      <c r="A7848" s="247"/>
      <c r="B7848" s="258"/>
      <c r="C7848" s="247"/>
    </row>
    <row r="7849">
      <c r="A7849" s="247"/>
      <c r="B7849" s="258"/>
      <c r="C7849" s="247"/>
    </row>
    <row r="7850">
      <c r="A7850" s="247"/>
      <c r="B7850" s="258"/>
      <c r="C7850" s="247"/>
    </row>
    <row r="7851">
      <c r="A7851" s="247"/>
      <c r="B7851" s="258"/>
      <c r="C7851" s="247"/>
    </row>
    <row r="7852">
      <c r="A7852" s="247"/>
      <c r="B7852" s="258"/>
      <c r="C7852" s="247"/>
    </row>
    <row r="7853">
      <c r="A7853" s="247"/>
      <c r="B7853" s="258"/>
      <c r="C7853" s="247"/>
    </row>
    <row r="7854">
      <c r="A7854" s="247"/>
      <c r="B7854" s="258"/>
      <c r="C7854" s="247"/>
    </row>
    <row r="7855">
      <c r="A7855" s="247"/>
      <c r="B7855" s="258"/>
      <c r="C7855" s="247"/>
    </row>
    <row r="7856">
      <c r="A7856" s="247"/>
      <c r="B7856" s="258"/>
      <c r="C7856" s="247"/>
    </row>
    <row r="7857">
      <c r="A7857" s="247"/>
      <c r="B7857" s="258"/>
      <c r="C7857" s="247"/>
    </row>
    <row r="7858">
      <c r="A7858" s="247"/>
      <c r="B7858" s="258"/>
      <c r="C7858" s="247"/>
    </row>
    <row r="7859">
      <c r="A7859" s="247"/>
      <c r="B7859" s="258"/>
      <c r="C7859" s="247"/>
    </row>
    <row r="7860">
      <c r="A7860" s="247"/>
      <c r="B7860" s="258"/>
      <c r="C7860" s="247"/>
    </row>
    <row r="7861">
      <c r="A7861" s="247"/>
      <c r="B7861" s="258"/>
      <c r="C7861" s="247"/>
    </row>
    <row r="7862">
      <c r="A7862" s="247"/>
      <c r="B7862" s="258"/>
      <c r="C7862" s="247"/>
    </row>
    <row r="7863">
      <c r="A7863" s="247"/>
      <c r="B7863" s="258"/>
      <c r="C7863" s="247"/>
    </row>
    <row r="7864">
      <c r="A7864" s="247"/>
      <c r="B7864" s="258"/>
      <c r="C7864" s="247"/>
    </row>
    <row r="7865">
      <c r="A7865" s="247"/>
      <c r="B7865" s="258"/>
      <c r="C7865" s="247"/>
    </row>
    <row r="7866">
      <c r="A7866" s="247"/>
      <c r="B7866" s="258"/>
      <c r="C7866" s="247"/>
    </row>
    <row r="7867">
      <c r="A7867" s="247"/>
      <c r="B7867" s="258"/>
      <c r="C7867" s="247"/>
    </row>
    <row r="7868">
      <c r="A7868" s="247"/>
      <c r="B7868" s="258"/>
      <c r="C7868" s="247"/>
    </row>
    <row r="7869">
      <c r="A7869" s="247"/>
      <c r="B7869" s="258"/>
      <c r="C7869" s="247"/>
    </row>
    <row r="7870">
      <c r="A7870" s="247"/>
      <c r="B7870" s="258"/>
      <c r="C7870" s="247"/>
    </row>
    <row r="7871">
      <c r="A7871" s="247"/>
      <c r="B7871" s="258"/>
      <c r="C7871" s="247"/>
    </row>
    <row r="7872">
      <c r="A7872" s="247"/>
      <c r="B7872" s="258"/>
      <c r="C7872" s="247"/>
    </row>
    <row r="7873">
      <c r="A7873" s="247"/>
      <c r="B7873" s="258"/>
      <c r="C7873" s="247"/>
    </row>
    <row r="7874">
      <c r="A7874" s="247"/>
      <c r="B7874" s="258"/>
      <c r="C7874" s="247"/>
    </row>
    <row r="7875">
      <c r="A7875" s="247"/>
      <c r="B7875" s="258"/>
      <c r="C7875" s="247"/>
    </row>
    <row r="7876">
      <c r="A7876" s="247"/>
      <c r="B7876" s="258"/>
      <c r="C7876" s="247"/>
    </row>
    <row r="7877">
      <c r="A7877" s="247"/>
      <c r="B7877" s="258"/>
      <c r="C7877" s="247"/>
    </row>
    <row r="7878">
      <c r="A7878" s="247"/>
      <c r="B7878" s="258"/>
      <c r="C7878" s="247"/>
    </row>
    <row r="7879">
      <c r="A7879" s="247"/>
      <c r="B7879" s="258"/>
      <c r="C7879" s="247"/>
    </row>
    <row r="7880">
      <c r="A7880" s="247"/>
      <c r="B7880" s="258"/>
      <c r="C7880" s="247"/>
    </row>
    <row r="7881">
      <c r="A7881" s="247"/>
      <c r="B7881" s="258"/>
      <c r="C7881" s="247"/>
    </row>
    <row r="7882">
      <c r="A7882" s="247"/>
      <c r="B7882" s="258"/>
      <c r="C7882" s="247"/>
    </row>
    <row r="7883">
      <c r="A7883" s="247"/>
      <c r="B7883" s="258"/>
      <c r="C7883" s="247"/>
    </row>
    <row r="7884">
      <c r="A7884" s="247"/>
      <c r="B7884" s="258"/>
      <c r="C7884" s="247"/>
    </row>
    <row r="7885">
      <c r="A7885" s="247"/>
      <c r="B7885" s="258"/>
      <c r="C7885" s="247"/>
    </row>
    <row r="7886">
      <c r="A7886" s="247"/>
      <c r="B7886" s="258"/>
      <c r="C7886" s="247"/>
    </row>
    <row r="7887">
      <c r="A7887" s="247"/>
      <c r="B7887" s="258"/>
      <c r="C7887" s="247"/>
    </row>
    <row r="7888">
      <c r="A7888" s="247"/>
      <c r="B7888" s="258"/>
      <c r="C7888" s="247"/>
    </row>
    <row r="7889">
      <c r="A7889" s="247"/>
      <c r="B7889" s="258"/>
      <c r="C7889" s="247"/>
    </row>
    <row r="7890">
      <c r="A7890" s="247"/>
      <c r="B7890" s="258"/>
      <c r="C7890" s="247"/>
    </row>
    <row r="7891">
      <c r="A7891" s="247"/>
      <c r="B7891" s="258"/>
      <c r="C7891" s="247"/>
    </row>
    <row r="7892">
      <c r="A7892" s="247"/>
      <c r="B7892" s="258"/>
      <c r="C7892" s="247"/>
    </row>
    <row r="7893">
      <c r="A7893" s="247"/>
      <c r="B7893" s="258"/>
      <c r="C7893" s="247"/>
    </row>
    <row r="7894">
      <c r="A7894" s="247"/>
      <c r="B7894" s="258"/>
      <c r="C7894" s="247"/>
    </row>
    <row r="7895">
      <c r="A7895" s="247"/>
      <c r="B7895" s="258"/>
      <c r="C7895" s="247"/>
    </row>
    <row r="7896">
      <c r="A7896" s="247"/>
      <c r="B7896" s="258"/>
      <c r="C7896" s="247"/>
    </row>
    <row r="7897">
      <c r="A7897" s="247"/>
      <c r="B7897" s="258"/>
      <c r="C7897" s="247"/>
    </row>
    <row r="7898">
      <c r="A7898" s="247"/>
      <c r="B7898" s="258"/>
      <c r="C7898" s="247"/>
    </row>
    <row r="7899">
      <c r="A7899" s="247"/>
      <c r="B7899" s="258"/>
      <c r="C7899" s="247"/>
    </row>
    <row r="7900">
      <c r="A7900" s="247"/>
      <c r="B7900" s="258"/>
      <c r="C7900" s="247"/>
    </row>
    <row r="7901">
      <c r="A7901" s="247"/>
      <c r="B7901" s="258"/>
      <c r="C7901" s="247"/>
    </row>
    <row r="7902">
      <c r="A7902" s="247"/>
      <c r="B7902" s="258"/>
      <c r="C7902" s="247"/>
    </row>
    <row r="7903">
      <c r="A7903" s="247"/>
      <c r="B7903" s="258"/>
      <c r="C7903" s="247"/>
    </row>
    <row r="7904">
      <c r="A7904" s="247"/>
      <c r="B7904" s="258"/>
      <c r="C7904" s="247"/>
    </row>
    <row r="7905">
      <c r="A7905" s="247"/>
      <c r="B7905" s="258"/>
      <c r="C7905" s="247"/>
    </row>
    <row r="7906">
      <c r="A7906" s="247"/>
      <c r="B7906" s="258"/>
      <c r="C7906" s="247"/>
    </row>
    <row r="7907">
      <c r="A7907" s="247"/>
      <c r="B7907" s="258"/>
      <c r="C7907" s="247"/>
    </row>
    <row r="7908">
      <c r="A7908" s="247"/>
      <c r="B7908" s="258"/>
      <c r="C7908" s="247"/>
    </row>
    <row r="7909">
      <c r="A7909" s="247"/>
      <c r="B7909" s="258"/>
      <c r="C7909" s="247"/>
    </row>
    <row r="7910">
      <c r="A7910" s="247"/>
      <c r="B7910" s="258"/>
      <c r="C7910" s="247"/>
    </row>
    <row r="7911">
      <c r="A7911" s="247"/>
      <c r="B7911" s="258"/>
      <c r="C7911" s="247"/>
    </row>
    <row r="7912">
      <c r="A7912" s="247"/>
      <c r="B7912" s="258"/>
      <c r="C7912" s="247"/>
    </row>
    <row r="7913">
      <c r="A7913" s="247"/>
      <c r="B7913" s="258"/>
      <c r="C7913" s="247"/>
    </row>
    <row r="7914">
      <c r="A7914" s="247"/>
      <c r="B7914" s="258"/>
      <c r="C7914" s="247"/>
    </row>
    <row r="7915">
      <c r="A7915" s="247"/>
      <c r="B7915" s="258"/>
      <c r="C7915" s="247"/>
    </row>
    <row r="7916">
      <c r="A7916" s="247"/>
      <c r="B7916" s="258"/>
      <c r="C7916" s="247"/>
    </row>
    <row r="7917">
      <c r="A7917" s="247"/>
      <c r="B7917" s="258"/>
      <c r="C7917" s="247"/>
    </row>
    <row r="7918">
      <c r="A7918" s="247"/>
      <c r="B7918" s="258"/>
      <c r="C7918" s="247"/>
    </row>
    <row r="7919">
      <c r="A7919" s="247"/>
      <c r="B7919" s="258"/>
      <c r="C7919" s="247"/>
    </row>
    <row r="7920">
      <c r="A7920" s="247"/>
      <c r="B7920" s="258"/>
      <c r="C7920" s="247"/>
    </row>
    <row r="7921">
      <c r="A7921" s="247"/>
      <c r="B7921" s="258"/>
      <c r="C7921" s="247"/>
    </row>
    <row r="7922">
      <c r="A7922" s="247"/>
      <c r="B7922" s="258"/>
      <c r="C7922" s="247"/>
    </row>
    <row r="7923">
      <c r="A7923" s="247"/>
      <c r="B7923" s="258"/>
      <c r="C7923" s="247"/>
    </row>
    <row r="7924">
      <c r="A7924" s="247"/>
      <c r="B7924" s="258"/>
      <c r="C7924" s="247"/>
    </row>
    <row r="7925">
      <c r="A7925" s="247"/>
      <c r="B7925" s="258"/>
      <c r="C7925" s="247"/>
    </row>
    <row r="7926">
      <c r="A7926" s="247"/>
      <c r="B7926" s="258"/>
      <c r="C7926" s="247"/>
    </row>
    <row r="7927">
      <c r="A7927" s="247"/>
      <c r="B7927" s="258"/>
      <c r="C7927" s="247"/>
    </row>
    <row r="7928">
      <c r="A7928" s="247"/>
      <c r="B7928" s="258"/>
      <c r="C7928" s="247"/>
    </row>
    <row r="7929">
      <c r="A7929" s="247"/>
      <c r="B7929" s="258"/>
      <c r="C7929" s="247"/>
    </row>
    <row r="7930">
      <c r="A7930" s="247"/>
      <c r="B7930" s="258"/>
      <c r="C7930" s="247"/>
    </row>
    <row r="7931">
      <c r="A7931" s="247"/>
      <c r="B7931" s="258"/>
      <c r="C7931" s="247"/>
    </row>
    <row r="7932">
      <c r="A7932" s="247"/>
      <c r="B7932" s="258"/>
      <c r="C7932" s="247"/>
    </row>
    <row r="7933">
      <c r="A7933" s="247"/>
      <c r="B7933" s="258"/>
      <c r="C7933" s="247"/>
    </row>
    <row r="7934">
      <c r="A7934" s="247"/>
      <c r="B7934" s="258"/>
      <c r="C7934" s="247"/>
    </row>
    <row r="7935">
      <c r="A7935" s="247"/>
      <c r="B7935" s="258"/>
      <c r="C7935" s="247"/>
    </row>
    <row r="7936">
      <c r="A7936" s="247"/>
      <c r="B7936" s="258"/>
      <c r="C7936" s="247"/>
    </row>
    <row r="7937">
      <c r="A7937" s="247"/>
      <c r="B7937" s="258"/>
      <c r="C7937" s="247"/>
    </row>
    <row r="7938">
      <c r="A7938" s="247"/>
      <c r="B7938" s="258"/>
      <c r="C7938" s="247"/>
    </row>
    <row r="7939">
      <c r="A7939" s="247"/>
      <c r="B7939" s="258"/>
      <c r="C7939" s="247"/>
    </row>
    <row r="7940">
      <c r="A7940" s="247"/>
      <c r="B7940" s="258"/>
      <c r="C7940" s="247"/>
    </row>
    <row r="7941">
      <c r="A7941" s="247"/>
      <c r="B7941" s="258"/>
      <c r="C7941" s="247"/>
    </row>
    <row r="7942">
      <c r="A7942" s="247"/>
      <c r="B7942" s="258"/>
      <c r="C7942" s="247"/>
    </row>
    <row r="7943">
      <c r="A7943" s="247"/>
      <c r="B7943" s="258"/>
      <c r="C7943" s="247"/>
    </row>
    <row r="7944">
      <c r="A7944" s="247"/>
      <c r="B7944" s="258"/>
      <c r="C7944" s="247"/>
    </row>
    <row r="7945">
      <c r="A7945" s="247"/>
      <c r="B7945" s="258"/>
      <c r="C7945" s="247"/>
    </row>
    <row r="7946">
      <c r="A7946" s="247"/>
      <c r="B7946" s="258"/>
      <c r="C7946" s="247"/>
    </row>
    <row r="7947">
      <c r="A7947" s="247"/>
      <c r="B7947" s="258"/>
      <c r="C7947" s="247"/>
    </row>
    <row r="7948">
      <c r="A7948" s="247"/>
      <c r="B7948" s="258"/>
      <c r="C7948" s="247"/>
    </row>
    <row r="7949">
      <c r="A7949" s="247"/>
      <c r="B7949" s="258"/>
      <c r="C7949" s="247"/>
    </row>
    <row r="7950">
      <c r="A7950" s="247"/>
      <c r="B7950" s="258"/>
      <c r="C7950" s="247"/>
    </row>
    <row r="7951">
      <c r="A7951" s="247"/>
      <c r="B7951" s="258"/>
      <c r="C7951" s="247"/>
    </row>
    <row r="7952">
      <c r="A7952" s="247"/>
      <c r="B7952" s="258"/>
      <c r="C7952" s="247"/>
    </row>
    <row r="7953">
      <c r="A7953" s="247"/>
      <c r="B7953" s="258"/>
      <c r="C7953" s="247"/>
    </row>
    <row r="7954">
      <c r="A7954" s="247"/>
      <c r="B7954" s="258"/>
      <c r="C7954" s="247"/>
    </row>
    <row r="7955">
      <c r="A7955" s="247"/>
      <c r="B7955" s="258"/>
      <c r="C7955" s="247"/>
    </row>
    <row r="7956">
      <c r="A7956" s="247"/>
      <c r="B7956" s="258"/>
      <c r="C7956" s="247"/>
    </row>
    <row r="7957">
      <c r="A7957" s="247"/>
      <c r="B7957" s="258"/>
      <c r="C7957" s="247"/>
    </row>
    <row r="7958">
      <c r="A7958" s="247"/>
      <c r="B7958" s="258"/>
      <c r="C7958" s="247"/>
    </row>
    <row r="7959">
      <c r="A7959" s="247"/>
      <c r="B7959" s="258"/>
      <c r="C7959" s="247"/>
    </row>
    <row r="7960">
      <c r="A7960" s="247"/>
      <c r="B7960" s="258"/>
      <c r="C7960" s="247"/>
    </row>
    <row r="7961">
      <c r="A7961" s="247"/>
      <c r="B7961" s="258"/>
      <c r="C7961" s="247"/>
    </row>
    <row r="7962">
      <c r="A7962" s="247"/>
      <c r="B7962" s="258"/>
      <c r="C7962" s="247"/>
    </row>
    <row r="7963">
      <c r="A7963" s="247"/>
      <c r="B7963" s="258"/>
      <c r="C7963" s="247"/>
    </row>
    <row r="7964">
      <c r="A7964" s="247"/>
      <c r="B7964" s="258"/>
      <c r="C7964" s="247"/>
    </row>
    <row r="7965">
      <c r="A7965" s="247"/>
      <c r="B7965" s="258"/>
      <c r="C7965" s="247"/>
    </row>
    <row r="7966">
      <c r="A7966" s="247"/>
      <c r="B7966" s="258"/>
      <c r="C7966" s="247"/>
    </row>
    <row r="7967">
      <c r="A7967" s="247"/>
      <c r="B7967" s="258"/>
      <c r="C7967" s="247"/>
    </row>
    <row r="7968">
      <c r="A7968" s="247"/>
      <c r="B7968" s="258"/>
      <c r="C7968" s="247"/>
    </row>
    <row r="7969">
      <c r="A7969" s="247"/>
      <c r="B7969" s="258"/>
      <c r="C7969" s="247"/>
    </row>
    <row r="7970">
      <c r="A7970" s="247"/>
      <c r="B7970" s="258"/>
      <c r="C7970" s="247"/>
    </row>
    <row r="7971">
      <c r="A7971" s="247"/>
      <c r="B7971" s="258"/>
      <c r="C7971" s="247"/>
    </row>
    <row r="7972">
      <c r="A7972" s="247"/>
      <c r="B7972" s="258"/>
      <c r="C7972" s="247"/>
    </row>
    <row r="7973">
      <c r="A7973" s="247"/>
      <c r="B7973" s="258"/>
      <c r="C7973" s="247"/>
    </row>
    <row r="7974">
      <c r="A7974" s="247"/>
      <c r="B7974" s="258"/>
      <c r="C7974" s="247"/>
    </row>
    <row r="7975">
      <c r="A7975" s="247"/>
      <c r="B7975" s="258"/>
      <c r="C7975" s="247"/>
    </row>
    <row r="7976">
      <c r="A7976" s="247"/>
      <c r="B7976" s="258"/>
      <c r="C7976" s="247"/>
    </row>
    <row r="7977">
      <c r="A7977" s="247"/>
      <c r="B7977" s="258"/>
      <c r="C7977" s="247"/>
    </row>
    <row r="7978">
      <c r="A7978" s="247"/>
      <c r="B7978" s="258"/>
      <c r="C7978" s="247"/>
    </row>
    <row r="7979">
      <c r="A7979" s="247"/>
      <c r="B7979" s="258"/>
      <c r="C7979" s="247"/>
    </row>
    <row r="7980">
      <c r="A7980" s="247"/>
      <c r="B7980" s="258"/>
      <c r="C7980" s="247"/>
    </row>
    <row r="7981">
      <c r="A7981" s="247"/>
      <c r="B7981" s="258"/>
      <c r="C7981" s="247"/>
    </row>
    <row r="7982">
      <c r="A7982" s="247"/>
      <c r="B7982" s="258"/>
      <c r="C7982" s="247"/>
    </row>
    <row r="7983">
      <c r="A7983" s="247"/>
      <c r="B7983" s="258"/>
      <c r="C7983" s="247"/>
    </row>
    <row r="7984">
      <c r="A7984" s="247"/>
      <c r="B7984" s="258"/>
      <c r="C7984" s="247"/>
    </row>
    <row r="7985">
      <c r="A7985" s="247"/>
      <c r="B7985" s="258"/>
      <c r="C7985" s="247"/>
    </row>
    <row r="7986">
      <c r="A7986" s="247"/>
      <c r="B7986" s="258"/>
      <c r="C7986" s="247"/>
    </row>
    <row r="7987">
      <c r="A7987" s="247"/>
      <c r="B7987" s="258"/>
      <c r="C7987" s="247"/>
    </row>
    <row r="7988">
      <c r="A7988" s="247"/>
      <c r="B7988" s="258"/>
      <c r="C7988" s="247"/>
    </row>
    <row r="7989">
      <c r="A7989" s="247"/>
      <c r="B7989" s="258"/>
      <c r="C7989" s="247"/>
    </row>
    <row r="7990">
      <c r="A7990" s="247"/>
      <c r="B7990" s="258"/>
      <c r="C7990" s="247"/>
    </row>
    <row r="7991">
      <c r="A7991" s="247"/>
      <c r="B7991" s="258"/>
      <c r="C7991" s="247"/>
    </row>
    <row r="7992">
      <c r="A7992" s="247"/>
      <c r="B7992" s="258"/>
      <c r="C7992" s="247"/>
    </row>
    <row r="7993">
      <c r="A7993" s="247"/>
      <c r="B7993" s="258"/>
      <c r="C7993" s="247"/>
    </row>
    <row r="7994">
      <c r="A7994" s="247"/>
      <c r="B7994" s="258"/>
      <c r="C7994" s="247"/>
    </row>
    <row r="7995">
      <c r="A7995" s="247"/>
      <c r="B7995" s="258"/>
      <c r="C7995" s="247"/>
    </row>
    <row r="7996">
      <c r="A7996" s="247"/>
      <c r="B7996" s="258"/>
      <c r="C7996" s="247"/>
    </row>
    <row r="7997">
      <c r="A7997" s="247"/>
      <c r="B7997" s="258"/>
      <c r="C7997" s="247"/>
    </row>
    <row r="7998">
      <c r="A7998" s="247"/>
      <c r="B7998" s="258"/>
      <c r="C7998" s="247"/>
    </row>
    <row r="7999">
      <c r="A7999" s="247"/>
      <c r="B7999" s="258"/>
      <c r="C7999" s="247"/>
    </row>
    <row r="8000">
      <c r="A8000" s="247"/>
      <c r="B8000" s="258"/>
      <c r="C8000" s="247"/>
    </row>
    <row r="8001">
      <c r="A8001" s="247"/>
      <c r="B8001" s="258"/>
      <c r="C8001" s="247"/>
    </row>
    <row r="8002">
      <c r="A8002" s="247"/>
      <c r="B8002" s="258"/>
      <c r="C8002" s="247"/>
    </row>
    <row r="8003">
      <c r="A8003" s="247"/>
      <c r="B8003" s="258"/>
      <c r="C8003" s="247"/>
    </row>
    <row r="8004">
      <c r="A8004" s="247"/>
      <c r="B8004" s="258"/>
      <c r="C8004" s="247"/>
    </row>
    <row r="8005">
      <c r="A8005" s="247"/>
      <c r="B8005" s="258"/>
      <c r="C8005" s="247"/>
    </row>
    <row r="8006">
      <c r="A8006" s="247"/>
      <c r="B8006" s="258"/>
      <c r="C8006" s="247"/>
    </row>
    <row r="8007">
      <c r="A8007" s="247"/>
      <c r="B8007" s="258"/>
      <c r="C8007" s="247"/>
    </row>
    <row r="8008">
      <c r="A8008" s="247"/>
      <c r="B8008" s="258"/>
      <c r="C8008" s="247"/>
    </row>
    <row r="8009">
      <c r="A8009" s="247"/>
      <c r="B8009" s="258"/>
      <c r="C8009" s="247"/>
    </row>
    <row r="8010">
      <c r="A8010" s="247"/>
      <c r="B8010" s="258"/>
      <c r="C8010" s="247"/>
    </row>
    <row r="8011">
      <c r="A8011" s="247"/>
      <c r="B8011" s="258"/>
      <c r="C8011" s="247"/>
    </row>
    <row r="8012">
      <c r="A8012" s="247"/>
      <c r="B8012" s="258"/>
      <c r="C8012" s="247"/>
    </row>
    <row r="8013">
      <c r="A8013" s="247"/>
      <c r="B8013" s="258"/>
      <c r="C8013" s="247"/>
    </row>
    <row r="8014">
      <c r="A8014" s="247"/>
      <c r="B8014" s="258"/>
      <c r="C8014" s="247"/>
    </row>
    <row r="8015">
      <c r="A8015" s="247"/>
      <c r="B8015" s="258"/>
      <c r="C8015" s="247"/>
    </row>
    <row r="8016">
      <c r="A8016" s="247"/>
      <c r="B8016" s="258"/>
      <c r="C8016" s="247"/>
    </row>
    <row r="8017">
      <c r="A8017" s="247"/>
      <c r="B8017" s="258"/>
      <c r="C8017" s="247"/>
    </row>
    <row r="8018">
      <c r="A8018" s="247"/>
      <c r="B8018" s="258"/>
      <c r="C8018" s="247"/>
    </row>
    <row r="8019">
      <c r="A8019" s="247"/>
      <c r="B8019" s="258"/>
      <c r="C8019" s="247"/>
    </row>
    <row r="8020">
      <c r="A8020" s="247"/>
      <c r="B8020" s="258"/>
      <c r="C8020" s="247"/>
    </row>
    <row r="8021">
      <c r="A8021" s="247"/>
      <c r="B8021" s="258"/>
      <c r="C8021" s="247"/>
    </row>
    <row r="8022">
      <c r="A8022" s="247"/>
      <c r="B8022" s="258"/>
      <c r="C8022" s="247"/>
    </row>
    <row r="8023">
      <c r="A8023" s="247"/>
      <c r="B8023" s="258"/>
      <c r="C8023" s="247"/>
    </row>
    <row r="8024">
      <c r="A8024" s="247"/>
      <c r="B8024" s="258"/>
      <c r="C8024" s="247"/>
    </row>
    <row r="8025">
      <c r="A8025" s="247"/>
      <c r="B8025" s="258"/>
      <c r="C8025" s="247"/>
    </row>
    <row r="8026">
      <c r="A8026" s="247"/>
      <c r="B8026" s="258"/>
      <c r="C8026" s="247"/>
    </row>
    <row r="8027">
      <c r="A8027" s="247"/>
      <c r="B8027" s="258"/>
      <c r="C8027" s="247"/>
    </row>
    <row r="8028">
      <c r="A8028" s="247"/>
      <c r="B8028" s="258"/>
      <c r="C8028" s="247"/>
    </row>
    <row r="8029">
      <c r="A8029" s="247"/>
      <c r="B8029" s="258"/>
      <c r="C8029" s="247"/>
    </row>
    <row r="8030">
      <c r="A8030" s="247"/>
      <c r="B8030" s="258"/>
      <c r="C8030" s="247"/>
    </row>
    <row r="8031">
      <c r="A8031" s="247"/>
      <c r="B8031" s="258"/>
      <c r="C8031" s="247"/>
    </row>
    <row r="8032">
      <c r="A8032" s="247"/>
      <c r="B8032" s="258"/>
      <c r="C8032" s="247"/>
    </row>
    <row r="8033">
      <c r="A8033" s="247"/>
      <c r="B8033" s="258"/>
      <c r="C8033" s="247"/>
    </row>
    <row r="8034">
      <c r="A8034" s="247"/>
      <c r="B8034" s="258"/>
      <c r="C8034" s="247"/>
    </row>
    <row r="8035">
      <c r="A8035" s="247"/>
      <c r="B8035" s="258"/>
      <c r="C8035" s="247"/>
    </row>
    <row r="8036">
      <c r="A8036" s="247"/>
      <c r="B8036" s="258"/>
      <c r="C8036" s="247"/>
    </row>
    <row r="8037">
      <c r="A8037" s="247"/>
      <c r="B8037" s="258"/>
      <c r="C8037" s="247"/>
    </row>
    <row r="8038">
      <c r="A8038" s="247"/>
      <c r="B8038" s="258"/>
      <c r="C8038" s="247"/>
    </row>
    <row r="8039">
      <c r="A8039" s="247"/>
      <c r="B8039" s="258"/>
      <c r="C8039" s="247"/>
    </row>
    <row r="8040">
      <c r="A8040" s="247"/>
      <c r="B8040" s="258"/>
      <c r="C8040" s="247"/>
    </row>
    <row r="8041">
      <c r="A8041" s="247"/>
      <c r="B8041" s="258"/>
      <c r="C8041" s="247"/>
    </row>
    <row r="8042">
      <c r="A8042" s="247"/>
      <c r="B8042" s="258"/>
      <c r="C8042" s="247"/>
    </row>
    <row r="8043">
      <c r="A8043" s="247"/>
      <c r="B8043" s="258"/>
      <c r="C8043" s="247"/>
    </row>
    <row r="8044">
      <c r="A8044" s="247"/>
      <c r="B8044" s="258"/>
      <c r="C8044" s="247"/>
    </row>
    <row r="8045">
      <c r="A8045" s="247"/>
      <c r="B8045" s="258"/>
      <c r="C8045" s="247"/>
    </row>
    <row r="8046">
      <c r="A8046" s="247"/>
      <c r="B8046" s="258"/>
      <c r="C8046" s="247"/>
    </row>
    <row r="8047">
      <c r="A8047" s="247"/>
      <c r="B8047" s="258"/>
      <c r="C8047" s="247"/>
    </row>
    <row r="8048">
      <c r="A8048" s="247"/>
      <c r="B8048" s="258"/>
      <c r="C8048" s="247"/>
    </row>
    <row r="8049">
      <c r="A8049" s="247"/>
      <c r="B8049" s="258"/>
      <c r="C8049" s="247"/>
    </row>
    <row r="8050">
      <c r="A8050" s="247"/>
      <c r="B8050" s="258"/>
      <c r="C8050" s="247"/>
    </row>
    <row r="8051">
      <c r="A8051" s="247"/>
      <c r="B8051" s="258"/>
      <c r="C8051" s="247"/>
    </row>
    <row r="8052">
      <c r="A8052" s="247"/>
      <c r="B8052" s="258"/>
      <c r="C8052" s="247"/>
    </row>
    <row r="8053">
      <c r="A8053" s="247"/>
      <c r="B8053" s="258"/>
      <c r="C8053" s="247"/>
    </row>
    <row r="8054">
      <c r="A8054" s="247"/>
      <c r="B8054" s="258"/>
      <c r="C8054" s="247"/>
    </row>
    <row r="8055">
      <c r="A8055" s="247"/>
      <c r="B8055" s="258"/>
      <c r="C8055" s="247"/>
    </row>
    <row r="8056">
      <c r="A8056" s="247"/>
      <c r="B8056" s="258"/>
      <c r="C8056" s="247"/>
    </row>
    <row r="8057">
      <c r="A8057" s="247"/>
      <c r="B8057" s="258"/>
      <c r="C8057" s="247"/>
    </row>
    <row r="8058">
      <c r="A8058" s="247"/>
      <c r="B8058" s="258"/>
      <c r="C8058" s="247"/>
    </row>
    <row r="8059">
      <c r="A8059" s="247"/>
      <c r="B8059" s="258"/>
      <c r="C8059" s="247"/>
    </row>
    <row r="8060">
      <c r="A8060" s="247"/>
      <c r="B8060" s="258"/>
      <c r="C8060" s="247"/>
    </row>
    <row r="8061">
      <c r="A8061" s="247"/>
      <c r="B8061" s="258"/>
      <c r="C8061" s="247"/>
    </row>
    <row r="8062">
      <c r="A8062" s="247"/>
      <c r="B8062" s="258"/>
      <c r="C8062" s="247"/>
    </row>
    <row r="8063">
      <c r="A8063" s="247"/>
      <c r="B8063" s="258"/>
      <c r="C8063" s="247"/>
    </row>
    <row r="8064">
      <c r="A8064" s="247"/>
      <c r="B8064" s="258"/>
      <c r="C8064" s="247"/>
    </row>
    <row r="8065">
      <c r="A8065" s="247"/>
      <c r="B8065" s="258"/>
      <c r="C8065" s="247"/>
    </row>
    <row r="8066">
      <c r="A8066" s="247"/>
      <c r="B8066" s="258"/>
      <c r="C8066" s="247"/>
    </row>
    <row r="8067">
      <c r="A8067" s="247"/>
      <c r="B8067" s="258"/>
      <c r="C8067" s="247"/>
    </row>
    <row r="8068">
      <c r="A8068" s="247"/>
      <c r="B8068" s="258"/>
      <c r="C8068" s="247"/>
    </row>
    <row r="8069">
      <c r="A8069" s="247"/>
      <c r="B8069" s="258"/>
      <c r="C8069" s="247"/>
    </row>
    <row r="8070">
      <c r="A8070" s="247"/>
      <c r="B8070" s="258"/>
      <c r="C8070" s="247"/>
    </row>
    <row r="8071">
      <c r="A8071" s="247"/>
      <c r="B8071" s="258"/>
      <c r="C8071" s="247"/>
    </row>
    <row r="8072">
      <c r="A8072" s="247"/>
      <c r="B8072" s="258"/>
      <c r="C8072" s="247"/>
    </row>
    <row r="8073">
      <c r="A8073" s="247"/>
      <c r="B8073" s="258"/>
      <c r="C8073" s="247"/>
    </row>
    <row r="8074">
      <c r="A8074" s="247"/>
      <c r="B8074" s="258"/>
      <c r="C8074" s="247"/>
    </row>
    <row r="8075">
      <c r="A8075" s="247"/>
      <c r="B8075" s="258"/>
      <c r="C8075" s="247"/>
    </row>
    <row r="8076">
      <c r="A8076" s="247"/>
      <c r="B8076" s="258"/>
      <c r="C8076" s="247"/>
    </row>
    <row r="8077">
      <c r="A8077" s="247"/>
      <c r="B8077" s="258"/>
      <c r="C8077" s="247"/>
    </row>
    <row r="8078">
      <c r="A8078" s="247"/>
      <c r="B8078" s="258"/>
      <c r="C8078" s="247"/>
    </row>
    <row r="8079">
      <c r="A8079" s="247"/>
      <c r="B8079" s="258"/>
      <c r="C8079" s="247"/>
    </row>
    <row r="8080">
      <c r="A8080" s="247"/>
      <c r="B8080" s="258"/>
      <c r="C8080" s="247"/>
    </row>
    <row r="8081">
      <c r="A8081" s="247"/>
      <c r="B8081" s="258"/>
      <c r="C8081" s="247"/>
    </row>
    <row r="8082">
      <c r="A8082" s="247"/>
      <c r="B8082" s="258"/>
      <c r="C8082" s="247"/>
    </row>
    <row r="8083">
      <c r="A8083" s="247"/>
      <c r="B8083" s="258"/>
      <c r="C8083" s="247"/>
    </row>
    <row r="8084">
      <c r="A8084" s="247"/>
      <c r="B8084" s="258"/>
      <c r="C8084" s="247"/>
    </row>
    <row r="8085">
      <c r="A8085" s="247"/>
      <c r="B8085" s="258"/>
      <c r="C8085" s="247"/>
    </row>
    <row r="8086">
      <c r="A8086" s="247"/>
      <c r="B8086" s="258"/>
      <c r="C8086" s="247"/>
    </row>
    <row r="8087">
      <c r="A8087" s="247"/>
      <c r="B8087" s="258"/>
      <c r="C8087" s="247"/>
    </row>
    <row r="8088">
      <c r="A8088" s="247"/>
      <c r="B8088" s="258"/>
      <c r="C8088" s="247"/>
    </row>
    <row r="8089">
      <c r="A8089" s="247"/>
      <c r="B8089" s="258"/>
      <c r="C8089" s="247"/>
    </row>
    <row r="8090">
      <c r="A8090" s="247"/>
      <c r="B8090" s="258"/>
      <c r="C8090" s="247"/>
    </row>
    <row r="8091">
      <c r="A8091" s="247"/>
      <c r="B8091" s="258"/>
      <c r="C8091" s="247"/>
    </row>
    <row r="8092">
      <c r="A8092" s="247"/>
      <c r="B8092" s="258"/>
      <c r="C8092" s="247"/>
    </row>
    <row r="8093">
      <c r="A8093" s="247"/>
      <c r="B8093" s="258"/>
      <c r="C8093" s="247"/>
    </row>
    <row r="8094">
      <c r="A8094" s="247"/>
      <c r="B8094" s="258"/>
      <c r="C8094" s="247"/>
    </row>
    <row r="8095">
      <c r="A8095" s="247"/>
      <c r="B8095" s="258"/>
      <c r="C8095" s="247"/>
    </row>
    <row r="8096">
      <c r="A8096" s="247"/>
      <c r="B8096" s="258"/>
      <c r="C8096" s="247"/>
    </row>
    <row r="8097">
      <c r="A8097" s="247"/>
      <c r="B8097" s="258"/>
      <c r="C8097" s="247"/>
    </row>
    <row r="8098">
      <c r="A8098" s="247"/>
      <c r="B8098" s="258"/>
      <c r="C8098" s="247"/>
    </row>
    <row r="8099">
      <c r="A8099" s="247"/>
      <c r="B8099" s="258"/>
      <c r="C8099" s="247"/>
    </row>
    <row r="8100">
      <c r="A8100" s="247"/>
      <c r="B8100" s="258"/>
      <c r="C8100" s="247"/>
    </row>
    <row r="8101">
      <c r="A8101" s="247"/>
      <c r="B8101" s="258"/>
      <c r="C8101" s="247"/>
    </row>
    <row r="8102">
      <c r="A8102" s="247"/>
      <c r="B8102" s="258"/>
      <c r="C8102" s="247"/>
    </row>
    <row r="8103">
      <c r="A8103" s="247"/>
      <c r="B8103" s="258"/>
      <c r="C8103" s="247"/>
    </row>
    <row r="8104">
      <c r="A8104" s="247"/>
      <c r="B8104" s="258"/>
      <c r="C8104" s="247"/>
    </row>
    <row r="8105">
      <c r="A8105" s="247"/>
      <c r="B8105" s="258"/>
      <c r="C8105" s="247"/>
    </row>
    <row r="8106">
      <c r="A8106" s="247"/>
      <c r="B8106" s="258"/>
      <c r="C8106" s="247"/>
    </row>
    <row r="8107">
      <c r="A8107" s="247"/>
      <c r="B8107" s="258"/>
      <c r="C8107" s="247"/>
    </row>
    <row r="8108">
      <c r="A8108" s="247"/>
      <c r="B8108" s="258"/>
      <c r="C8108" s="247"/>
    </row>
    <row r="8109">
      <c r="A8109" s="247"/>
      <c r="B8109" s="258"/>
      <c r="C8109" s="247"/>
    </row>
    <row r="8110">
      <c r="A8110" s="247"/>
      <c r="B8110" s="258"/>
      <c r="C8110" s="247"/>
    </row>
    <row r="8111">
      <c r="A8111" s="247"/>
      <c r="B8111" s="258"/>
      <c r="C8111" s="247"/>
    </row>
    <row r="8112">
      <c r="A8112" s="247"/>
      <c r="B8112" s="258"/>
      <c r="C8112" s="247"/>
    </row>
    <row r="8113">
      <c r="A8113" s="247"/>
      <c r="B8113" s="258"/>
      <c r="C8113" s="247"/>
    </row>
    <row r="8114">
      <c r="A8114" s="247"/>
      <c r="B8114" s="258"/>
      <c r="C8114" s="247"/>
    </row>
    <row r="8115">
      <c r="A8115" s="247"/>
      <c r="B8115" s="258"/>
      <c r="C8115" s="247"/>
    </row>
    <row r="8116">
      <c r="A8116" s="247"/>
      <c r="B8116" s="258"/>
      <c r="C8116" s="247"/>
    </row>
    <row r="8117">
      <c r="A8117" s="247"/>
      <c r="B8117" s="258"/>
      <c r="C8117" s="247"/>
    </row>
    <row r="8118">
      <c r="A8118" s="247"/>
      <c r="B8118" s="258"/>
      <c r="C8118" s="247"/>
    </row>
    <row r="8119">
      <c r="A8119" s="247"/>
      <c r="B8119" s="258"/>
      <c r="C8119" s="247"/>
    </row>
    <row r="8120">
      <c r="A8120" s="247"/>
      <c r="B8120" s="258"/>
      <c r="C8120" s="247"/>
    </row>
    <row r="8121">
      <c r="A8121" s="247"/>
      <c r="B8121" s="258"/>
      <c r="C8121" s="247"/>
    </row>
    <row r="8122">
      <c r="A8122" s="247"/>
      <c r="B8122" s="258"/>
      <c r="C8122" s="247"/>
    </row>
    <row r="8123">
      <c r="A8123" s="247"/>
      <c r="B8123" s="258"/>
      <c r="C8123" s="247"/>
    </row>
    <row r="8124">
      <c r="A8124" s="247"/>
      <c r="B8124" s="258"/>
      <c r="C8124" s="247"/>
    </row>
    <row r="8125">
      <c r="A8125" s="247"/>
      <c r="B8125" s="258"/>
      <c r="C8125" s="247"/>
    </row>
    <row r="8126">
      <c r="A8126" s="247"/>
      <c r="B8126" s="258"/>
      <c r="C8126" s="247"/>
    </row>
    <row r="8127">
      <c r="A8127" s="247"/>
      <c r="B8127" s="258"/>
      <c r="C8127" s="247"/>
    </row>
    <row r="8128">
      <c r="A8128" s="247"/>
      <c r="B8128" s="258"/>
      <c r="C8128" s="247"/>
    </row>
    <row r="8129">
      <c r="A8129" s="247"/>
      <c r="B8129" s="258"/>
      <c r="C8129" s="247"/>
    </row>
    <row r="8130">
      <c r="A8130" s="247"/>
      <c r="B8130" s="258"/>
      <c r="C8130" s="247"/>
    </row>
    <row r="8131">
      <c r="A8131" s="247"/>
      <c r="B8131" s="258"/>
      <c r="C8131" s="247"/>
    </row>
    <row r="8132">
      <c r="A8132" s="247"/>
      <c r="B8132" s="258"/>
      <c r="C8132" s="247"/>
    </row>
    <row r="8133">
      <c r="A8133" s="247"/>
      <c r="B8133" s="258"/>
      <c r="C8133" s="247"/>
    </row>
    <row r="8134">
      <c r="A8134" s="247"/>
      <c r="B8134" s="258"/>
      <c r="C8134" s="247"/>
    </row>
    <row r="8135">
      <c r="A8135" s="247"/>
      <c r="B8135" s="258"/>
      <c r="C8135" s="247"/>
    </row>
    <row r="8136">
      <c r="A8136" s="247"/>
      <c r="B8136" s="258"/>
      <c r="C8136" s="247"/>
    </row>
    <row r="8137">
      <c r="A8137" s="247"/>
      <c r="B8137" s="258"/>
      <c r="C8137" s="247"/>
    </row>
    <row r="8138">
      <c r="A8138" s="247"/>
      <c r="B8138" s="258"/>
      <c r="C8138" s="247"/>
    </row>
    <row r="8139">
      <c r="A8139" s="247"/>
      <c r="B8139" s="258"/>
      <c r="C8139" s="247"/>
    </row>
    <row r="8140">
      <c r="A8140" s="247"/>
      <c r="B8140" s="258"/>
      <c r="C8140" s="247"/>
    </row>
    <row r="8141">
      <c r="A8141" s="247"/>
      <c r="B8141" s="258"/>
      <c r="C8141" s="247"/>
    </row>
    <row r="8142">
      <c r="A8142" s="247"/>
      <c r="B8142" s="258"/>
      <c r="C8142" s="247"/>
    </row>
    <row r="8143">
      <c r="A8143" s="247"/>
      <c r="B8143" s="258"/>
      <c r="C8143" s="247"/>
    </row>
    <row r="8144">
      <c r="A8144" s="247"/>
      <c r="B8144" s="258"/>
      <c r="C8144" s="247"/>
    </row>
    <row r="8145">
      <c r="A8145" s="247"/>
      <c r="B8145" s="258"/>
      <c r="C8145" s="247"/>
    </row>
    <row r="8146">
      <c r="A8146" s="247"/>
      <c r="B8146" s="258"/>
      <c r="C8146" s="247"/>
    </row>
    <row r="8147">
      <c r="A8147" s="247"/>
      <c r="B8147" s="258"/>
      <c r="C8147" s="247"/>
    </row>
    <row r="8148">
      <c r="A8148" s="247"/>
      <c r="B8148" s="258"/>
      <c r="C8148" s="247"/>
    </row>
    <row r="8149">
      <c r="A8149" s="247"/>
      <c r="B8149" s="258"/>
      <c r="C8149" s="247"/>
    </row>
    <row r="8150">
      <c r="A8150" s="247"/>
      <c r="B8150" s="258"/>
      <c r="C8150" s="247"/>
    </row>
    <row r="8151">
      <c r="A8151" s="247"/>
      <c r="B8151" s="258"/>
      <c r="C8151" s="247"/>
    </row>
    <row r="8152">
      <c r="A8152" s="247"/>
      <c r="B8152" s="258"/>
      <c r="C8152" s="247"/>
    </row>
    <row r="8153">
      <c r="A8153" s="247"/>
      <c r="B8153" s="258"/>
      <c r="C8153" s="247"/>
    </row>
    <row r="8154">
      <c r="A8154" s="247"/>
      <c r="B8154" s="258"/>
      <c r="C8154" s="247"/>
    </row>
    <row r="8155">
      <c r="A8155" s="247"/>
      <c r="B8155" s="258"/>
      <c r="C8155" s="247"/>
    </row>
    <row r="8156">
      <c r="A8156" s="247"/>
      <c r="B8156" s="258"/>
      <c r="C8156" s="247"/>
    </row>
    <row r="8157">
      <c r="A8157" s="247"/>
      <c r="B8157" s="258"/>
      <c r="C8157" s="247"/>
    </row>
    <row r="8158">
      <c r="A8158" s="247"/>
      <c r="B8158" s="258"/>
      <c r="C8158" s="247"/>
    </row>
    <row r="8159">
      <c r="A8159" s="247"/>
      <c r="B8159" s="258"/>
      <c r="C8159" s="247"/>
    </row>
    <row r="8160">
      <c r="A8160" s="247"/>
      <c r="B8160" s="258"/>
      <c r="C8160" s="247"/>
    </row>
    <row r="8161">
      <c r="A8161" s="247"/>
      <c r="B8161" s="258"/>
      <c r="C8161" s="247"/>
    </row>
    <row r="8162">
      <c r="A8162" s="247"/>
      <c r="B8162" s="258"/>
      <c r="C8162" s="247"/>
    </row>
    <row r="8163">
      <c r="A8163" s="247"/>
      <c r="B8163" s="258"/>
      <c r="C8163" s="247"/>
    </row>
    <row r="8164">
      <c r="A8164" s="247"/>
      <c r="B8164" s="258"/>
      <c r="C8164" s="247"/>
    </row>
    <row r="8165">
      <c r="A8165" s="247"/>
      <c r="B8165" s="258"/>
      <c r="C8165" s="247"/>
    </row>
    <row r="8166">
      <c r="A8166" s="247"/>
      <c r="B8166" s="258"/>
      <c r="C8166" s="247"/>
    </row>
    <row r="8167">
      <c r="A8167" s="247"/>
      <c r="B8167" s="258"/>
      <c r="C8167" s="247"/>
    </row>
    <row r="8168">
      <c r="A8168" s="247"/>
      <c r="B8168" s="258"/>
      <c r="C8168" s="247"/>
    </row>
    <row r="8169">
      <c r="A8169" s="247"/>
      <c r="B8169" s="258"/>
      <c r="C8169" s="247"/>
    </row>
    <row r="8170">
      <c r="A8170" s="247"/>
      <c r="B8170" s="258"/>
      <c r="C8170" s="247"/>
    </row>
    <row r="8171">
      <c r="A8171" s="247"/>
      <c r="B8171" s="258"/>
      <c r="C8171" s="247"/>
    </row>
    <row r="8172">
      <c r="A8172" s="247"/>
      <c r="B8172" s="258"/>
      <c r="C8172" s="247"/>
    </row>
    <row r="8173">
      <c r="A8173" s="247"/>
      <c r="B8173" s="258"/>
      <c r="C8173" s="247"/>
    </row>
    <row r="8174">
      <c r="A8174" s="247"/>
      <c r="B8174" s="258"/>
      <c r="C8174" s="247"/>
    </row>
    <row r="8175">
      <c r="A8175" s="247"/>
      <c r="B8175" s="258"/>
      <c r="C8175" s="247"/>
    </row>
    <row r="8176">
      <c r="A8176" s="247"/>
      <c r="B8176" s="258"/>
      <c r="C8176" s="247"/>
    </row>
    <row r="8177">
      <c r="A8177" s="247"/>
      <c r="B8177" s="258"/>
      <c r="C8177" s="247"/>
    </row>
    <row r="8178">
      <c r="A8178" s="247"/>
      <c r="B8178" s="258"/>
      <c r="C8178" s="247"/>
    </row>
    <row r="8179">
      <c r="A8179" s="247"/>
      <c r="B8179" s="258"/>
      <c r="C8179" s="247"/>
    </row>
    <row r="8180">
      <c r="A8180" s="247"/>
      <c r="B8180" s="258"/>
      <c r="C8180" s="247"/>
    </row>
    <row r="8181">
      <c r="A8181" s="247"/>
      <c r="B8181" s="258"/>
      <c r="C8181" s="247"/>
    </row>
    <row r="8182">
      <c r="A8182" s="247"/>
      <c r="B8182" s="258"/>
      <c r="C8182" s="247"/>
    </row>
    <row r="8183">
      <c r="A8183" s="247"/>
      <c r="B8183" s="258"/>
      <c r="C8183" s="247"/>
    </row>
    <row r="8184">
      <c r="A8184" s="247"/>
      <c r="B8184" s="258"/>
      <c r="C8184" s="247"/>
    </row>
    <row r="8185">
      <c r="A8185" s="247"/>
      <c r="B8185" s="258"/>
      <c r="C8185" s="247"/>
    </row>
    <row r="8186">
      <c r="A8186" s="247"/>
      <c r="B8186" s="258"/>
      <c r="C8186" s="247"/>
    </row>
    <row r="8187">
      <c r="A8187" s="247"/>
      <c r="B8187" s="258"/>
      <c r="C8187" s="247"/>
    </row>
    <row r="8188">
      <c r="A8188" s="247"/>
      <c r="B8188" s="258"/>
      <c r="C8188" s="247"/>
    </row>
    <row r="8189">
      <c r="A8189" s="247"/>
      <c r="B8189" s="258"/>
      <c r="C8189" s="247"/>
    </row>
    <row r="8190">
      <c r="A8190" s="247"/>
      <c r="B8190" s="258"/>
      <c r="C8190" s="247"/>
    </row>
    <row r="8191">
      <c r="A8191" s="247"/>
      <c r="B8191" s="258"/>
      <c r="C8191" s="247"/>
    </row>
    <row r="8192">
      <c r="A8192" s="247"/>
      <c r="B8192" s="258"/>
      <c r="C8192" s="247"/>
    </row>
    <row r="8193">
      <c r="A8193" s="247"/>
      <c r="B8193" s="258"/>
      <c r="C8193" s="247"/>
    </row>
    <row r="8194">
      <c r="A8194" s="247"/>
      <c r="B8194" s="258"/>
      <c r="C8194" s="247"/>
    </row>
    <row r="8195">
      <c r="A8195" s="247"/>
      <c r="B8195" s="258"/>
      <c r="C8195" s="247"/>
    </row>
    <row r="8196">
      <c r="A8196" s="247"/>
      <c r="B8196" s="258"/>
      <c r="C8196" s="247"/>
    </row>
    <row r="8197">
      <c r="A8197" s="247"/>
      <c r="B8197" s="258"/>
      <c r="C8197" s="247"/>
    </row>
    <row r="8198">
      <c r="A8198" s="247"/>
      <c r="B8198" s="258"/>
      <c r="C8198" s="247"/>
    </row>
    <row r="8199">
      <c r="A8199" s="247"/>
      <c r="B8199" s="258"/>
      <c r="C8199" s="247"/>
    </row>
    <row r="8200">
      <c r="A8200" s="247"/>
      <c r="B8200" s="258"/>
      <c r="C8200" s="247"/>
    </row>
    <row r="8201">
      <c r="A8201" s="247"/>
      <c r="B8201" s="258"/>
      <c r="C8201" s="247"/>
    </row>
    <row r="8202">
      <c r="A8202" s="247"/>
      <c r="B8202" s="258"/>
      <c r="C8202" s="247"/>
    </row>
    <row r="8203">
      <c r="A8203" s="247"/>
      <c r="B8203" s="258"/>
      <c r="C8203" s="247"/>
    </row>
    <row r="8204">
      <c r="A8204" s="247"/>
      <c r="B8204" s="258"/>
      <c r="C8204" s="247"/>
    </row>
    <row r="8205">
      <c r="A8205" s="247"/>
      <c r="B8205" s="258"/>
      <c r="C8205" s="247"/>
    </row>
    <row r="8206">
      <c r="A8206" s="247"/>
      <c r="B8206" s="258"/>
      <c r="C8206" s="247"/>
    </row>
    <row r="8207">
      <c r="A8207" s="247"/>
      <c r="B8207" s="258"/>
      <c r="C8207" s="247"/>
    </row>
    <row r="8208">
      <c r="A8208" s="247"/>
      <c r="B8208" s="258"/>
      <c r="C8208" s="247"/>
    </row>
    <row r="8209">
      <c r="A8209" s="247"/>
      <c r="B8209" s="258"/>
      <c r="C8209" s="247"/>
    </row>
    <row r="8210">
      <c r="A8210" s="247"/>
      <c r="B8210" s="258"/>
      <c r="C8210" s="247"/>
    </row>
    <row r="8211">
      <c r="A8211" s="247"/>
      <c r="B8211" s="258"/>
      <c r="C8211" s="247"/>
    </row>
    <row r="8212">
      <c r="A8212" s="247"/>
      <c r="B8212" s="258"/>
      <c r="C8212" s="247"/>
    </row>
    <row r="8213">
      <c r="A8213" s="247"/>
      <c r="B8213" s="258"/>
      <c r="C8213" s="247"/>
    </row>
    <row r="8214">
      <c r="A8214" s="247"/>
      <c r="B8214" s="258"/>
      <c r="C8214" s="247"/>
    </row>
    <row r="8215">
      <c r="A8215" s="247"/>
      <c r="B8215" s="258"/>
      <c r="C8215" s="247"/>
    </row>
    <row r="8216">
      <c r="A8216" s="247"/>
      <c r="B8216" s="258"/>
      <c r="C8216" s="247"/>
    </row>
    <row r="8217">
      <c r="A8217" s="247"/>
      <c r="B8217" s="258"/>
      <c r="C8217" s="247"/>
    </row>
    <row r="8218">
      <c r="A8218" s="247"/>
      <c r="B8218" s="258"/>
      <c r="C8218" s="247"/>
    </row>
    <row r="8219">
      <c r="A8219" s="247"/>
      <c r="B8219" s="258"/>
      <c r="C8219" s="247"/>
    </row>
    <row r="8220">
      <c r="A8220" s="247"/>
      <c r="B8220" s="258"/>
      <c r="C8220" s="247"/>
    </row>
    <row r="8221">
      <c r="A8221" s="247"/>
      <c r="B8221" s="258"/>
      <c r="C8221" s="247"/>
    </row>
    <row r="8222">
      <c r="A8222" s="247"/>
      <c r="B8222" s="258"/>
      <c r="C8222" s="247"/>
    </row>
    <row r="8223">
      <c r="A8223" s="247"/>
      <c r="B8223" s="258"/>
      <c r="C8223" s="247"/>
    </row>
    <row r="8224">
      <c r="A8224" s="247"/>
      <c r="B8224" s="258"/>
      <c r="C8224" s="247"/>
    </row>
    <row r="8225">
      <c r="A8225" s="247"/>
      <c r="B8225" s="258"/>
      <c r="C8225" s="247"/>
    </row>
    <row r="8226">
      <c r="A8226" s="247"/>
      <c r="B8226" s="258"/>
      <c r="C8226" s="247"/>
    </row>
    <row r="8227">
      <c r="A8227" s="247"/>
      <c r="B8227" s="258"/>
      <c r="C8227" s="247"/>
    </row>
    <row r="8228">
      <c r="A8228" s="247"/>
      <c r="B8228" s="258"/>
      <c r="C8228" s="247"/>
    </row>
    <row r="8229">
      <c r="A8229" s="247"/>
      <c r="B8229" s="258"/>
      <c r="C8229" s="247"/>
    </row>
    <row r="8230">
      <c r="A8230" s="247"/>
      <c r="B8230" s="258"/>
      <c r="C8230" s="247"/>
    </row>
    <row r="8231">
      <c r="A8231" s="247"/>
      <c r="B8231" s="258"/>
      <c r="C8231" s="247"/>
    </row>
    <row r="8232">
      <c r="A8232" s="247"/>
      <c r="B8232" s="258"/>
      <c r="C8232" s="247"/>
    </row>
    <row r="8233">
      <c r="A8233" s="247"/>
      <c r="B8233" s="258"/>
      <c r="C8233" s="247"/>
    </row>
    <row r="8234">
      <c r="A8234" s="247"/>
      <c r="B8234" s="258"/>
      <c r="C8234" s="247"/>
    </row>
    <row r="8235">
      <c r="A8235" s="247"/>
      <c r="B8235" s="258"/>
      <c r="C8235" s="247"/>
    </row>
    <row r="8236">
      <c r="A8236" s="247"/>
      <c r="B8236" s="258"/>
      <c r="C8236" s="247"/>
    </row>
    <row r="8237">
      <c r="A8237" s="247"/>
      <c r="B8237" s="258"/>
      <c r="C8237" s="247"/>
    </row>
    <row r="8238">
      <c r="A8238" s="247"/>
      <c r="B8238" s="258"/>
      <c r="C8238" s="247"/>
    </row>
    <row r="8239">
      <c r="A8239" s="247"/>
      <c r="B8239" s="258"/>
      <c r="C8239" s="247"/>
    </row>
    <row r="8240">
      <c r="A8240" s="247"/>
      <c r="B8240" s="258"/>
      <c r="C8240" s="247"/>
    </row>
    <row r="8241">
      <c r="A8241" s="247"/>
      <c r="B8241" s="258"/>
      <c r="C8241" s="247"/>
    </row>
    <row r="8242">
      <c r="A8242" s="247"/>
      <c r="B8242" s="258"/>
      <c r="C8242" s="247"/>
    </row>
    <row r="8243">
      <c r="A8243" s="247"/>
      <c r="B8243" s="258"/>
      <c r="C8243" s="247"/>
    </row>
    <row r="8244">
      <c r="A8244" s="247"/>
      <c r="B8244" s="258"/>
      <c r="C8244" s="247"/>
    </row>
    <row r="8245">
      <c r="A8245" s="247"/>
      <c r="B8245" s="258"/>
      <c r="C8245" s="247"/>
    </row>
    <row r="8246">
      <c r="A8246" s="247"/>
      <c r="B8246" s="258"/>
      <c r="C8246" s="247"/>
    </row>
    <row r="8247">
      <c r="A8247" s="247"/>
      <c r="B8247" s="258"/>
      <c r="C8247" s="247"/>
    </row>
    <row r="8248">
      <c r="A8248" s="247"/>
      <c r="B8248" s="258"/>
      <c r="C8248" s="247"/>
    </row>
    <row r="8249">
      <c r="A8249" s="247"/>
      <c r="B8249" s="258"/>
      <c r="C8249" s="247"/>
    </row>
    <row r="8250">
      <c r="A8250" s="247"/>
      <c r="B8250" s="258"/>
      <c r="C8250" s="247"/>
    </row>
    <row r="8251">
      <c r="A8251" s="247"/>
      <c r="B8251" s="258"/>
      <c r="C8251" s="247"/>
    </row>
    <row r="8252">
      <c r="A8252" s="247"/>
      <c r="B8252" s="258"/>
      <c r="C8252" s="247"/>
    </row>
    <row r="8253">
      <c r="A8253" s="247"/>
      <c r="B8253" s="258"/>
      <c r="C8253" s="247"/>
    </row>
    <row r="8254">
      <c r="A8254" s="247"/>
      <c r="B8254" s="258"/>
      <c r="C8254" s="247"/>
    </row>
    <row r="8255">
      <c r="A8255" s="247"/>
      <c r="B8255" s="258"/>
      <c r="C8255" s="247"/>
    </row>
    <row r="8256">
      <c r="A8256" s="247"/>
      <c r="B8256" s="258"/>
      <c r="C8256" s="247"/>
    </row>
    <row r="8257">
      <c r="A8257" s="247"/>
      <c r="B8257" s="258"/>
      <c r="C8257" s="247"/>
    </row>
    <row r="8258">
      <c r="A8258" s="247"/>
      <c r="B8258" s="258"/>
      <c r="C8258" s="247"/>
    </row>
    <row r="8259">
      <c r="A8259" s="247"/>
      <c r="B8259" s="258"/>
      <c r="C8259" s="247"/>
    </row>
    <row r="8260">
      <c r="A8260" s="247"/>
      <c r="B8260" s="258"/>
      <c r="C8260" s="247"/>
    </row>
    <row r="8261">
      <c r="A8261" s="247"/>
      <c r="B8261" s="258"/>
      <c r="C8261" s="247"/>
    </row>
    <row r="8262">
      <c r="A8262" s="247"/>
      <c r="B8262" s="258"/>
      <c r="C8262" s="247"/>
    </row>
    <row r="8263">
      <c r="A8263" s="247"/>
      <c r="B8263" s="258"/>
      <c r="C8263" s="247"/>
    </row>
    <row r="8264">
      <c r="A8264" s="247"/>
      <c r="B8264" s="258"/>
      <c r="C8264" s="247"/>
    </row>
    <row r="8265">
      <c r="A8265" s="247"/>
      <c r="B8265" s="258"/>
      <c r="C8265" s="247"/>
    </row>
    <row r="8266">
      <c r="A8266" s="247"/>
      <c r="B8266" s="258"/>
      <c r="C8266" s="247"/>
    </row>
    <row r="8267">
      <c r="A8267" s="247"/>
      <c r="B8267" s="258"/>
      <c r="C8267" s="247"/>
    </row>
    <row r="8268">
      <c r="A8268" s="247"/>
      <c r="B8268" s="258"/>
      <c r="C8268" s="247"/>
    </row>
    <row r="8269">
      <c r="A8269" s="247"/>
      <c r="B8269" s="258"/>
      <c r="C8269" s="247"/>
    </row>
    <row r="8270">
      <c r="A8270" s="247"/>
      <c r="B8270" s="258"/>
      <c r="C8270" s="247"/>
    </row>
    <row r="8271">
      <c r="A8271" s="247"/>
      <c r="B8271" s="258"/>
      <c r="C8271" s="247"/>
    </row>
    <row r="8272">
      <c r="A8272" s="247"/>
      <c r="B8272" s="258"/>
      <c r="C8272" s="247"/>
    </row>
    <row r="8273">
      <c r="A8273" s="247"/>
      <c r="B8273" s="258"/>
      <c r="C8273" s="247"/>
    </row>
    <row r="8274">
      <c r="A8274" s="247"/>
      <c r="B8274" s="258"/>
      <c r="C8274" s="247"/>
    </row>
    <row r="8275">
      <c r="A8275" s="247"/>
      <c r="B8275" s="258"/>
      <c r="C8275" s="247"/>
    </row>
    <row r="8276">
      <c r="A8276" s="247"/>
      <c r="B8276" s="258"/>
      <c r="C8276" s="247"/>
    </row>
    <row r="8277">
      <c r="A8277" s="247"/>
      <c r="B8277" s="258"/>
      <c r="C8277" s="247"/>
    </row>
    <row r="8278">
      <c r="A8278" s="247"/>
      <c r="B8278" s="258"/>
      <c r="C8278" s="247"/>
    </row>
    <row r="8279">
      <c r="A8279" s="247"/>
      <c r="B8279" s="258"/>
      <c r="C8279" s="247"/>
    </row>
    <row r="8280">
      <c r="A8280" s="247"/>
      <c r="B8280" s="258"/>
      <c r="C8280" s="247"/>
    </row>
    <row r="8281">
      <c r="A8281" s="247"/>
      <c r="B8281" s="258"/>
      <c r="C8281" s="247"/>
    </row>
    <row r="8282">
      <c r="A8282" s="247"/>
      <c r="B8282" s="258"/>
      <c r="C8282" s="247"/>
    </row>
    <row r="8283">
      <c r="A8283" s="247"/>
      <c r="B8283" s="258"/>
      <c r="C8283" s="247"/>
    </row>
    <row r="8284">
      <c r="A8284" s="247"/>
      <c r="B8284" s="258"/>
      <c r="C8284" s="247"/>
    </row>
    <row r="8285">
      <c r="A8285" s="247"/>
      <c r="B8285" s="258"/>
      <c r="C8285" s="247"/>
    </row>
    <row r="8286">
      <c r="A8286" s="247"/>
      <c r="B8286" s="258"/>
      <c r="C8286" s="247"/>
    </row>
    <row r="8287">
      <c r="A8287" s="247"/>
      <c r="B8287" s="258"/>
      <c r="C8287" s="247"/>
    </row>
    <row r="8288">
      <c r="A8288" s="247"/>
      <c r="B8288" s="258"/>
      <c r="C8288" s="247"/>
    </row>
    <row r="8289">
      <c r="A8289" s="247"/>
      <c r="B8289" s="258"/>
      <c r="C8289" s="247"/>
    </row>
    <row r="8290">
      <c r="A8290" s="247"/>
      <c r="B8290" s="258"/>
      <c r="C8290" s="247"/>
    </row>
    <row r="8291">
      <c r="A8291" s="247"/>
      <c r="B8291" s="258"/>
      <c r="C8291" s="247"/>
    </row>
    <row r="8292">
      <c r="A8292" s="247"/>
      <c r="B8292" s="258"/>
      <c r="C8292" s="247"/>
    </row>
    <row r="8293">
      <c r="A8293" s="247"/>
      <c r="B8293" s="258"/>
      <c r="C8293" s="247"/>
    </row>
    <row r="8294">
      <c r="A8294" s="247"/>
      <c r="B8294" s="258"/>
      <c r="C8294" s="247"/>
    </row>
    <row r="8295">
      <c r="A8295" s="247"/>
      <c r="B8295" s="258"/>
      <c r="C8295" s="247"/>
    </row>
    <row r="8296">
      <c r="A8296" s="247"/>
      <c r="B8296" s="258"/>
      <c r="C8296" s="247"/>
    </row>
    <row r="8297">
      <c r="A8297" s="247"/>
      <c r="B8297" s="258"/>
      <c r="C8297" s="247"/>
    </row>
    <row r="8298">
      <c r="A8298" s="247"/>
      <c r="B8298" s="258"/>
      <c r="C8298" s="247"/>
    </row>
    <row r="8299">
      <c r="A8299" s="247"/>
      <c r="B8299" s="258"/>
      <c r="C8299" s="247"/>
    </row>
    <row r="8300">
      <c r="A8300" s="247"/>
      <c r="B8300" s="258"/>
      <c r="C8300" s="247"/>
    </row>
    <row r="8301">
      <c r="A8301" s="247"/>
      <c r="B8301" s="258"/>
      <c r="C8301" s="247"/>
    </row>
    <row r="8302">
      <c r="A8302" s="247"/>
      <c r="B8302" s="258"/>
      <c r="C8302" s="247"/>
    </row>
    <row r="8303">
      <c r="A8303" s="247"/>
      <c r="B8303" s="258"/>
      <c r="C8303" s="247"/>
    </row>
    <row r="8304">
      <c r="A8304" s="247"/>
      <c r="B8304" s="258"/>
      <c r="C8304" s="247"/>
    </row>
    <row r="8305">
      <c r="A8305" s="247"/>
      <c r="B8305" s="258"/>
      <c r="C8305" s="247"/>
    </row>
    <row r="8306">
      <c r="A8306" s="247"/>
      <c r="B8306" s="258"/>
      <c r="C8306" s="247"/>
    </row>
    <row r="8307">
      <c r="A8307" s="247"/>
      <c r="B8307" s="258"/>
      <c r="C8307" s="247"/>
    </row>
    <row r="8308">
      <c r="A8308" s="247"/>
      <c r="B8308" s="258"/>
      <c r="C8308" s="247"/>
    </row>
    <row r="8309">
      <c r="A8309" s="247"/>
      <c r="B8309" s="258"/>
      <c r="C8309" s="247"/>
    </row>
    <row r="8310">
      <c r="A8310" s="247"/>
      <c r="B8310" s="258"/>
      <c r="C8310" s="247"/>
    </row>
    <row r="8311">
      <c r="A8311" s="247"/>
      <c r="B8311" s="258"/>
      <c r="C8311" s="247"/>
    </row>
    <row r="8312">
      <c r="A8312" s="247"/>
      <c r="B8312" s="258"/>
      <c r="C8312" s="247"/>
    </row>
    <row r="8313">
      <c r="A8313" s="247"/>
      <c r="B8313" s="258"/>
      <c r="C8313" s="247"/>
    </row>
    <row r="8314">
      <c r="A8314" s="247"/>
      <c r="B8314" s="258"/>
      <c r="C8314" s="247"/>
    </row>
    <row r="8315">
      <c r="A8315" s="247"/>
      <c r="B8315" s="258"/>
      <c r="C8315" s="247"/>
    </row>
    <row r="8316">
      <c r="A8316" s="247"/>
      <c r="B8316" s="258"/>
      <c r="C8316" s="247"/>
    </row>
    <row r="8317">
      <c r="A8317" s="247"/>
      <c r="B8317" s="258"/>
      <c r="C8317" s="247"/>
    </row>
    <row r="8318">
      <c r="A8318" s="247"/>
      <c r="B8318" s="258"/>
      <c r="C8318" s="247"/>
    </row>
    <row r="8319">
      <c r="A8319" s="247"/>
      <c r="B8319" s="258"/>
      <c r="C8319" s="247"/>
    </row>
    <row r="8320">
      <c r="A8320" s="247"/>
      <c r="B8320" s="258"/>
      <c r="C8320" s="247"/>
    </row>
    <row r="8321">
      <c r="A8321" s="247"/>
      <c r="B8321" s="258"/>
      <c r="C8321" s="247"/>
    </row>
    <row r="8322">
      <c r="A8322" s="247"/>
      <c r="B8322" s="258"/>
      <c r="C8322" s="247"/>
    </row>
    <row r="8323">
      <c r="A8323" s="247"/>
      <c r="B8323" s="258"/>
      <c r="C8323" s="247"/>
    </row>
    <row r="8324">
      <c r="A8324" s="247"/>
      <c r="B8324" s="258"/>
      <c r="C8324" s="247"/>
    </row>
    <row r="8325">
      <c r="A8325" s="247"/>
      <c r="B8325" s="258"/>
      <c r="C8325" s="247"/>
    </row>
    <row r="8326">
      <c r="A8326" s="247"/>
      <c r="B8326" s="258"/>
      <c r="C8326" s="247"/>
    </row>
    <row r="8327">
      <c r="A8327" s="247"/>
      <c r="B8327" s="258"/>
      <c r="C8327" s="247"/>
    </row>
    <row r="8328">
      <c r="A8328" s="247"/>
      <c r="B8328" s="258"/>
      <c r="C8328" s="247"/>
    </row>
    <row r="8329">
      <c r="A8329" s="247"/>
      <c r="B8329" s="258"/>
      <c r="C8329" s="247"/>
    </row>
    <row r="8330">
      <c r="A8330" s="247"/>
      <c r="B8330" s="258"/>
      <c r="C8330" s="247"/>
    </row>
    <row r="8331">
      <c r="A8331" s="247"/>
      <c r="B8331" s="258"/>
      <c r="C8331" s="247"/>
    </row>
    <row r="8332">
      <c r="A8332" s="247"/>
      <c r="B8332" s="258"/>
      <c r="C8332" s="247"/>
    </row>
    <row r="8333">
      <c r="A8333" s="247"/>
      <c r="B8333" s="258"/>
      <c r="C8333" s="247"/>
    </row>
    <row r="8334">
      <c r="A8334" s="247"/>
      <c r="B8334" s="258"/>
      <c r="C8334" s="247"/>
    </row>
    <row r="8335">
      <c r="A8335" s="247"/>
      <c r="B8335" s="258"/>
      <c r="C8335" s="247"/>
    </row>
    <row r="8336">
      <c r="A8336" s="247"/>
      <c r="B8336" s="258"/>
      <c r="C8336" s="247"/>
    </row>
    <row r="8337">
      <c r="A8337" s="247"/>
      <c r="B8337" s="258"/>
      <c r="C8337" s="247"/>
    </row>
    <row r="8338">
      <c r="A8338" s="247"/>
      <c r="B8338" s="258"/>
      <c r="C8338" s="247"/>
    </row>
    <row r="8339">
      <c r="A8339" s="247"/>
      <c r="B8339" s="258"/>
      <c r="C8339" s="247"/>
    </row>
    <row r="8340">
      <c r="A8340" s="247"/>
      <c r="B8340" s="258"/>
      <c r="C8340" s="247"/>
    </row>
    <row r="8341">
      <c r="A8341" s="247"/>
      <c r="B8341" s="258"/>
      <c r="C8341" s="247"/>
    </row>
    <row r="8342">
      <c r="A8342" s="247"/>
      <c r="B8342" s="258"/>
      <c r="C8342" s="247"/>
    </row>
    <row r="8343">
      <c r="A8343" s="247"/>
      <c r="B8343" s="258"/>
      <c r="C8343" s="247"/>
    </row>
    <row r="8344">
      <c r="A8344" s="247"/>
      <c r="B8344" s="258"/>
      <c r="C8344" s="247"/>
    </row>
    <row r="8345">
      <c r="A8345" s="247"/>
      <c r="B8345" s="258"/>
      <c r="C8345" s="247"/>
    </row>
    <row r="8346">
      <c r="A8346" s="247"/>
      <c r="B8346" s="258"/>
      <c r="C8346" s="247"/>
    </row>
    <row r="8347">
      <c r="A8347" s="247"/>
      <c r="B8347" s="258"/>
      <c r="C8347" s="247"/>
    </row>
    <row r="8348">
      <c r="A8348" s="247"/>
      <c r="B8348" s="258"/>
      <c r="C8348" s="247"/>
    </row>
    <row r="8349">
      <c r="A8349" s="247"/>
      <c r="B8349" s="258"/>
      <c r="C8349" s="247"/>
    </row>
    <row r="8350">
      <c r="A8350" s="247"/>
      <c r="B8350" s="258"/>
      <c r="C8350" s="247"/>
    </row>
    <row r="8351">
      <c r="A8351" s="247"/>
      <c r="B8351" s="258"/>
      <c r="C8351" s="247"/>
    </row>
    <row r="8352">
      <c r="A8352" s="247"/>
      <c r="B8352" s="258"/>
      <c r="C8352" s="247"/>
    </row>
    <row r="8353">
      <c r="A8353" s="247"/>
      <c r="B8353" s="258"/>
      <c r="C8353" s="247"/>
    </row>
    <row r="8354">
      <c r="A8354" s="247"/>
      <c r="B8354" s="258"/>
      <c r="C8354" s="247"/>
    </row>
    <row r="8355">
      <c r="A8355" s="247"/>
      <c r="B8355" s="258"/>
      <c r="C8355" s="247"/>
    </row>
    <row r="8356">
      <c r="A8356" s="247"/>
      <c r="B8356" s="258"/>
      <c r="C8356" s="247"/>
    </row>
    <row r="8357">
      <c r="A8357" s="247"/>
      <c r="B8357" s="258"/>
      <c r="C8357" s="247"/>
    </row>
    <row r="8358">
      <c r="A8358" s="247"/>
      <c r="B8358" s="258"/>
      <c r="C8358" s="247"/>
    </row>
    <row r="8359">
      <c r="A8359" s="247"/>
      <c r="B8359" s="258"/>
      <c r="C8359" s="247"/>
    </row>
    <row r="8360">
      <c r="A8360" s="247"/>
      <c r="B8360" s="258"/>
      <c r="C8360" s="247"/>
    </row>
    <row r="8361">
      <c r="A8361" s="247"/>
      <c r="B8361" s="258"/>
      <c r="C8361" s="247"/>
    </row>
    <row r="8362">
      <c r="A8362" s="247"/>
      <c r="B8362" s="258"/>
      <c r="C8362" s="247"/>
    </row>
    <row r="8363">
      <c r="A8363" s="247"/>
      <c r="B8363" s="258"/>
      <c r="C8363" s="247"/>
    </row>
    <row r="8364">
      <c r="A8364" s="247"/>
      <c r="B8364" s="258"/>
      <c r="C8364" s="247"/>
    </row>
    <row r="8365">
      <c r="A8365" s="247"/>
      <c r="B8365" s="258"/>
      <c r="C8365" s="247"/>
    </row>
    <row r="8366">
      <c r="A8366" s="247"/>
      <c r="B8366" s="258"/>
      <c r="C8366" s="247"/>
    </row>
    <row r="8367">
      <c r="A8367" s="247"/>
      <c r="B8367" s="258"/>
      <c r="C8367" s="247"/>
    </row>
    <row r="8368">
      <c r="A8368" s="247"/>
      <c r="B8368" s="258"/>
      <c r="C8368" s="247"/>
    </row>
    <row r="8369">
      <c r="A8369" s="247"/>
      <c r="B8369" s="258"/>
      <c r="C8369" s="247"/>
    </row>
    <row r="8370">
      <c r="A8370" s="247"/>
      <c r="B8370" s="258"/>
      <c r="C8370" s="247"/>
    </row>
    <row r="8371">
      <c r="A8371" s="247"/>
      <c r="B8371" s="258"/>
      <c r="C8371" s="247"/>
    </row>
    <row r="8372">
      <c r="A8372" s="247"/>
      <c r="B8372" s="258"/>
      <c r="C8372" s="247"/>
    </row>
    <row r="8373">
      <c r="A8373" s="247"/>
      <c r="B8373" s="258"/>
      <c r="C8373" s="247"/>
    </row>
    <row r="8374">
      <c r="A8374" s="247"/>
      <c r="B8374" s="258"/>
      <c r="C8374" s="247"/>
    </row>
    <row r="8375">
      <c r="A8375" s="247"/>
      <c r="B8375" s="258"/>
      <c r="C8375" s="247"/>
    </row>
    <row r="8376">
      <c r="A8376" s="247"/>
      <c r="B8376" s="258"/>
      <c r="C8376" s="247"/>
    </row>
    <row r="8377">
      <c r="A8377" s="247"/>
      <c r="B8377" s="258"/>
      <c r="C8377" s="247"/>
    </row>
    <row r="8378">
      <c r="A8378" s="247"/>
      <c r="B8378" s="258"/>
      <c r="C8378" s="247"/>
    </row>
    <row r="8379">
      <c r="A8379" s="247"/>
      <c r="B8379" s="258"/>
      <c r="C8379" s="247"/>
    </row>
    <row r="8380">
      <c r="A8380" s="247"/>
      <c r="B8380" s="258"/>
      <c r="C8380" s="247"/>
    </row>
    <row r="8381">
      <c r="A8381" s="247"/>
      <c r="B8381" s="258"/>
      <c r="C8381" s="247"/>
    </row>
    <row r="8382">
      <c r="A8382" s="247"/>
      <c r="B8382" s="258"/>
      <c r="C8382" s="247"/>
    </row>
    <row r="8383">
      <c r="A8383" s="247"/>
      <c r="B8383" s="258"/>
      <c r="C8383" s="247"/>
    </row>
    <row r="8384">
      <c r="A8384" s="247"/>
      <c r="B8384" s="258"/>
      <c r="C8384" s="247"/>
    </row>
    <row r="8385">
      <c r="A8385" s="247"/>
      <c r="B8385" s="258"/>
      <c r="C8385" s="247"/>
    </row>
    <row r="8386">
      <c r="A8386" s="247"/>
      <c r="B8386" s="258"/>
      <c r="C8386" s="247"/>
    </row>
    <row r="8387">
      <c r="A8387" s="247"/>
      <c r="B8387" s="258"/>
      <c r="C8387" s="247"/>
    </row>
    <row r="8388">
      <c r="A8388" s="247"/>
      <c r="B8388" s="258"/>
      <c r="C8388" s="247"/>
    </row>
    <row r="8389">
      <c r="A8389" s="247"/>
      <c r="B8389" s="258"/>
      <c r="C8389" s="247"/>
    </row>
    <row r="8390">
      <c r="A8390" s="247"/>
      <c r="B8390" s="258"/>
      <c r="C8390" s="247"/>
    </row>
    <row r="8391">
      <c r="A8391" s="247"/>
      <c r="B8391" s="258"/>
      <c r="C8391" s="247"/>
    </row>
    <row r="8392">
      <c r="A8392" s="247"/>
      <c r="B8392" s="258"/>
      <c r="C8392" s="247"/>
    </row>
    <row r="8393">
      <c r="A8393" s="247"/>
      <c r="B8393" s="258"/>
      <c r="C8393" s="247"/>
    </row>
    <row r="8394">
      <c r="A8394" s="247"/>
      <c r="B8394" s="258"/>
      <c r="C8394" s="247"/>
    </row>
    <row r="8395">
      <c r="A8395" s="247"/>
      <c r="B8395" s="258"/>
      <c r="C8395" s="247"/>
    </row>
    <row r="8396">
      <c r="A8396" s="247"/>
      <c r="B8396" s="258"/>
      <c r="C8396" s="247"/>
    </row>
    <row r="8397">
      <c r="A8397" s="247"/>
      <c r="B8397" s="258"/>
      <c r="C8397" s="247"/>
    </row>
    <row r="8398">
      <c r="A8398" s="247"/>
      <c r="B8398" s="258"/>
      <c r="C8398" s="247"/>
    </row>
    <row r="8399">
      <c r="A8399" s="247"/>
      <c r="B8399" s="258"/>
      <c r="C8399" s="247"/>
    </row>
    <row r="8400">
      <c r="A8400" s="247"/>
      <c r="B8400" s="258"/>
      <c r="C8400" s="247"/>
    </row>
    <row r="8401">
      <c r="A8401" s="247"/>
      <c r="B8401" s="258"/>
      <c r="C8401" s="247"/>
    </row>
    <row r="8402">
      <c r="A8402" s="247"/>
      <c r="B8402" s="258"/>
      <c r="C8402" s="247"/>
    </row>
    <row r="8403">
      <c r="A8403" s="247"/>
      <c r="B8403" s="258"/>
      <c r="C8403" s="247"/>
    </row>
    <row r="8404">
      <c r="A8404" s="247"/>
      <c r="B8404" s="258"/>
      <c r="C8404" s="247"/>
    </row>
    <row r="8405">
      <c r="A8405" s="247"/>
      <c r="B8405" s="258"/>
      <c r="C8405" s="247"/>
    </row>
    <row r="8406">
      <c r="A8406" s="247"/>
      <c r="B8406" s="258"/>
      <c r="C8406" s="247"/>
    </row>
    <row r="8407">
      <c r="A8407" s="247"/>
      <c r="B8407" s="258"/>
      <c r="C8407" s="247"/>
    </row>
    <row r="8408">
      <c r="A8408" s="247"/>
      <c r="B8408" s="258"/>
      <c r="C8408" s="247"/>
    </row>
    <row r="8409">
      <c r="A8409" s="247"/>
      <c r="B8409" s="258"/>
      <c r="C8409" s="247"/>
    </row>
    <row r="8410">
      <c r="A8410" s="247"/>
      <c r="B8410" s="258"/>
      <c r="C8410" s="247"/>
    </row>
    <row r="8411">
      <c r="A8411" s="247"/>
      <c r="B8411" s="258"/>
      <c r="C8411" s="247"/>
    </row>
    <row r="8412">
      <c r="A8412" s="247"/>
      <c r="B8412" s="258"/>
      <c r="C8412" s="247"/>
    </row>
    <row r="8413">
      <c r="A8413" s="247"/>
      <c r="B8413" s="258"/>
      <c r="C8413" s="247"/>
    </row>
    <row r="8414">
      <c r="A8414" s="247"/>
      <c r="B8414" s="258"/>
      <c r="C8414" s="247"/>
    </row>
    <row r="8415">
      <c r="A8415" s="247"/>
      <c r="B8415" s="258"/>
      <c r="C8415" s="247"/>
    </row>
    <row r="8416">
      <c r="A8416" s="247"/>
      <c r="B8416" s="258"/>
      <c r="C8416" s="247"/>
    </row>
    <row r="8417">
      <c r="A8417" s="247"/>
      <c r="B8417" s="258"/>
      <c r="C8417" s="247"/>
    </row>
    <row r="8418">
      <c r="A8418" s="247"/>
      <c r="B8418" s="258"/>
      <c r="C8418" s="247"/>
    </row>
    <row r="8419">
      <c r="A8419" s="247"/>
      <c r="B8419" s="258"/>
      <c r="C8419" s="247"/>
    </row>
    <row r="8420">
      <c r="A8420" s="247"/>
      <c r="B8420" s="258"/>
      <c r="C8420" s="247"/>
    </row>
    <row r="8421">
      <c r="A8421" s="247"/>
      <c r="B8421" s="258"/>
      <c r="C8421" s="247"/>
    </row>
    <row r="8422">
      <c r="A8422" s="247"/>
      <c r="B8422" s="258"/>
      <c r="C8422" s="247"/>
    </row>
    <row r="8423">
      <c r="A8423" s="247"/>
      <c r="B8423" s="258"/>
      <c r="C8423" s="247"/>
    </row>
    <row r="8424">
      <c r="A8424" s="247"/>
      <c r="B8424" s="258"/>
      <c r="C8424" s="247"/>
    </row>
    <row r="8425">
      <c r="A8425" s="247"/>
      <c r="B8425" s="258"/>
      <c r="C8425" s="247"/>
    </row>
    <row r="8426">
      <c r="A8426" s="247"/>
      <c r="B8426" s="258"/>
      <c r="C8426" s="247"/>
    </row>
    <row r="8427">
      <c r="A8427" s="247"/>
      <c r="B8427" s="258"/>
      <c r="C8427" s="247"/>
    </row>
    <row r="8428">
      <c r="A8428" s="247"/>
      <c r="B8428" s="258"/>
      <c r="C8428" s="247"/>
    </row>
    <row r="8429">
      <c r="A8429" s="247"/>
      <c r="B8429" s="258"/>
      <c r="C8429" s="247"/>
    </row>
    <row r="8430">
      <c r="A8430" s="247"/>
      <c r="B8430" s="258"/>
      <c r="C8430" s="247"/>
    </row>
    <row r="8431">
      <c r="A8431" s="247"/>
      <c r="B8431" s="258"/>
      <c r="C8431" s="247"/>
    </row>
    <row r="8432">
      <c r="A8432" s="247"/>
      <c r="B8432" s="258"/>
      <c r="C8432" s="247"/>
    </row>
    <row r="8433">
      <c r="A8433" s="247"/>
      <c r="B8433" s="258"/>
      <c r="C8433" s="247"/>
    </row>
    <row r="8434">
      <c r="A8434" s="247"/>
      <c r="B8434" s="258"/>
      <c r="C8434" s="247"/>
    </row>
    <row r="8435">
      <c r="A8435" s="247"/>
      <c r="B8435" s="258"/>
      <c r="C8435" s="247"/>
    </row>
    <row r="8436">
      <c r="A8436" s="247"/>
      <c r="B8436" s="258"/>
      <c r="C8436" s="247"/>
    </row>
    <row r="8437">
      <c r="A8437" s="247"/>
      <c r="B8437" s="258"/>
      <c r="C8437" s="247"/>
    </row>
    <row r="8438">
      <c r="A8438" s="247"/>
      <c r="B8438" s="258"/>
      <c r="C8438" s="247"/>
    </row>
    <row r="8439">
      <c r="A8439" s="247"/>
      <c r="B8439" s="258"/>
      <c r="C8439" s="247"/>
    </row>
    <row r="8440">
      <c r="A8440" s="247"/>
      <c r="B8440" s="258"/>
      <c r="C8440" s="247"/>
    </row>
    <row r="8441">
      <c r="A8441" s="247"/>
      <c r="B8441" s="258"/>
      <c r="C8441" s="247"/>
    </row>
    <row r="8442">
      <c r="A8442" s="247"/>
      <c r="B8442" s="258"/>
      <c r="C8442" s="247"/>
    </row>
    <row r="8443">
      <c r="A8443" s="247"/>
      <c r="B8443" s="258"/>
      <c r="C8443" s="247"/>
    </row>
    <row r="8444">
      <c r="A8444" s="247"/>
      <c r="B8444" s="258"/>
      <c r="C8444" s="247"/>
    </row>
    <row r="8445">
      <c r="A8445" s="247"/>
      <c r="B8445" s="258"/>
      <c r="C8445" s="247"/>
    </row>
    <row r="8446">
      <c r="A8446" s="247"/>
      <c r="B8446" s="258"/>
      <c r="C8446" s="247"/>
    </row>
    <row r="8447">
      <c r="A8447" s="247"/>
      <c r="B8447" s="258"/>
      <c r="C8447" s="247"/>
    </row>
    <row r="8448">
      <c r="A8448" s="247"/>
      <c r="B8448" s="258"/>
      <c r="C8448" s="247"/>
    </row>
    <row r="8449">
      <c r="A8449" s="247"/>
      <c r="B8449" s="258"/>
      <c r="C8449" s="247"/>
    </row>
    <row r="8450">
      <c r="A8450" s="247"/>
      <c r="B8450" s="258"/>
      <c r="C8450" s="247"/>
    </row>
    <row r="8451">
      <c r="A8451" s="247"/>
      <c r="B8451" s="258"/>
      <c r="C8451" s="247"/>
    </row>
    <row r="8452">
      <c r="A8452" s="247"/>
      <c r="B8452" s="258"/>
      <c r="C8452" s="247"/>
    </row>
    <row r="8453">
      <c r="A8453" s="247"/>
      <c r="B8453" s="258"/>
      <c r="C8453" s="247"/>
    </row>
    <row r="8454">
      <c r="A8454" s="247"/>
      <c r="B8454" s="258"/>
      <c r="C8454" s="247"/>
    </row>
    <row r="8455">
      <c r="A8455" s="247"/>
      <c r="B8455" s="258"/>
      <c r="C8455" s="247"/>
    </row>
    <row r="8456">
      <c r="A8456" s="247"/>
      <c r="B8456" s="258"/>
      <c r="C8456" s="247"/>
    </row>
    <row r="8457">
      <c r="A8457" s="247"/>
      <c r="B8457" s="258"/>
      <c r="C8457" s="247"/>
    </row>
    <row r="8458">
      <c r="A8458" s="247"/>
      <c r="B8458" s="258"/>
      <c r="C8458" s="247"/>
    </row>
    <row r="8459">
      <c r="A8459" s="247"/>
      <c r="B8459" s="258"/>
      <c r="C8459" s="247"/>
    </row>
    <row r="8460">
      <c r="A8460" s="247"/>
      <c r="B8460" s="258"/>
      <c r="C8460" s="247"/>
    </row>
    <row r="8461">
      <c r="A8461" s="247"/>
      <c r="B8461" s="258"/>
      <c r="C8461" s="247"/>
    </row>
    <row r="8462">
      <c r="A8462" s="247"/>
      <c r="B8462" s="258"/>
      <c r="C8462" s="247"/>
    </row>
    <row r="8463">
      <c r="A8463" s="247"/>
      <c r="B8463" s="258"/>
      <c r="C8463" s="247"/>
    </row>
    <row r="8464">
      <c r="A8464" s="247"/>
      <c r="B8464" s="258"/>
      <c r="C8464" s="247"/>
    </row>
    <row r="8465">
      <c r="A8465" s="247"/>
      <c r="B8465" s="258"/>
      <c r="C8465" s="247"/>
    </row>
    <row r="8466">
      <c r="A8466" s="247"/>
      <c r="B8466" s="258"/>
      <c r="C8466" s="247"/>
    </row>
    <row r="8467">
      <c r="A8467" s="247"/>
      <c r="B8467" s="258"/>
      <c r="C8467" s="247"/>
    </row>
    <row r="8468">
      <c r="A8468" s="247"/>
      <c r="B8468" s="258"/>
      <c r="C8468" s="247"/>
    </row>
    <row r="8469">
      <c r="A8469" s="247"/>
      <c r="B8469" s="258"/>
      <c r="C8469" s="247"/>
    </row>
    <row r="8470">
      <c r="A8470" s="247"/>
      <c r="B8470" s="258"/>
      <c r="C8470" s="247"/>
    </row>
    <row r="8471">
      <c r="A8471" s="247"/>
      <c r="B8471" s="258"/>
      <c r="C8471" s="247"/>
    </row>
    <row r="8472">
      <c r="A8472" s="247"/>
      <c r="B8472" s="258"/>
      <c r="C8472" s="247"/>
    </row>
    <row r="8473">
      <c r="A8473" s="247"/>
      <c r="B8473" s="258"/>
      <c r="C8473" s="247"/>
    </row>
    <row r="8474">
      <c r="A8474" s="247"/>
      <c r="B8474" s="258"/>
      <c r="C8474" s="247"/>
    </row>
    <row r="8475">
      <c r="A8475" s="247"/>
      <c r="B8475" s="258"/>
      <c r="C8475" s="247"/>
    </row>
    <row r="8476">
      <c r="A8476" s="247"/>
      <c r="B8476" s="258"/>
      <c r="C8476" s="247"/>
    </row>
    <row r="8477">
      <c r="A8477" s="247"/>
      <c r="B8477" s="258"/>
      <c r="C8477" s="247"/>
    </row>
    <row r="8478">
      <c r="A8478" s="247"/>
      <c r="B8478" s="258"/>
      <c r="C8478" s="247"/>
    </row>
    <row r="8479">
      <c r="A8479" s="247"/>
      <c r="B8479" s="258"/>
      <c r="C8479" s="247"/>
    </row>
    <row r="8480">
      <c r="A8480" s="247"/>
      <c r="B8480" s="258"/>
      <c r="C8480" s="247"/>
    </row>
    <row r="8481">
      <c r="A8481" s="247"/>
      <c r="B8481" s="258"/>
      <c r="C8481" s="247"/>
    </row>
    <row r="8482">
      <c r="A8482" s="247"/>
      <c r="B8482" s="258"/>
      <c r="C8482" s="247"/>
    </row>
    <row r="8483">
      <c r="A8483" s="247"/>
      <c r="B8483" s="258"/>
      <c r="C8483" s="247"/>
    </row>
    <row r="8484">
      <c r="A8484" s="247"/>
      <c r="B8484" s="258"/>
      <c r="C8484" s="247"/>
    </row>
    <row r="8485">
      <c r="A8485" s="247"/>
      <c r="B8485" s="258"/>
      <c r="C8485" s="247"/>
    </row>
    <row r="8486">
      <c r="A8486" s="247"/>
      <c r="B8486" s="258"/>
      <c r="C8486" s="247"/>
    </row>
    <row r="8487">
      <c r="A8487" s="247"/>
      <c r="B8487" s="258"/>
      <c r="C8487" s="247"/>
    </row>
    <row r="8488">
      <c r="A8488" s="247"/>
      <c r="B8488" s="258"/>
      <c r="C8488" s="247"/>
    </row>
    <row r="8489">
      <c r="A8489" s="247"/>
      <c r="B8489" s="258"/>
      <c r="C8489" s="247"/>
    </row>
    <row r="8490">
      <c r="A8490" s="247"/>
      <c r="B8490" s="258"/>
      <c r="C8490" s="247"/>
    </row>
    <row r="8491">
      <c r="A8491" s="247"/>
      <c r="B8491" s="258"/>
      <c r="C8491" s="247"/>
    </row>
    <row r="8492">
      <c r="A8492" s="247"/>
      <c r="B8492" s="258"/>
      <c r="C8492" s="247"/>
    </row>
    <row r="8493">
      <c r="A8493" s="247"/>
      <c r="B8493" s="258"/>
      <c r="C8493" s="247"/>
    </row>
    <row r="8494">
      <c r="A8494" s="247"/>
      <c r="B8494" s="258"/>
      <c r="C8494" s="247"/>
    </row>
    <row r="8495">
      <c r="A8495" s="247"/>
      <c r="B8495" s="258"/>
      <c r="C8495" s="247"/>
    </row>
    <row r="8496">
      <c r="A8496" s="247"/>
      <c r="B8496" s="258"/>
      <c r="C8496" s="247"/>
    </row>
    <row r="8497">
      <c r="A8497" s="247"/>
      <c r="B8497" s="258"/>
      <c r="C8497" s="247"/>
    </row>
    <row r="8498">
      <c r="A8498" s="247"/>
      <c r="B8498" s="258"/>
      <c r="C8498" s="247"/>
    </row>
    <row r="8499">
      <c r="A8499" s="247"/>
      <c r="B8499" s="258"/>
      <c r="C8499" s="247"/>
    </row>
    <row r="8500">
      <c r="A8500" s="247"/>
      <c r="B8500" s="258"/>
      <c r="C8500" s="247"/>
    </row>
    <row r="8501">
      <c r="A8501" s="247"/>
      <c r="B8501" s="258"/>
      <c r="C8501" s="247"/>
    </row>
    <row r="8502">
      <c r="A8502" s="247"/>
      <c r="B8502" s="258"/>
      <c r="C8502" s="247"/>
    </row>
    <row r="8503">
      <c r="A8503" s="247"/>
      <c r="B8503" s="258"/>
      <c r="C8503" s="247"/>
    </row>
    <row r="8504">
      <c r="A8504" s="247"/>
      <c r="B8504" s="258"/>
      <c r="C8504" s="247"/>
    </row>
    <row r="8505">
      <c r="A8505" s="247"/>
      <c r="B8505" s="258"/>
      <c r="C8505" s="247"/>
    </row>
    <row r="8506">
      <c r="A8506" s="247"/>
      <c r="B8506" s="258"/>
      <c r="C8506" s="247"/>
    </row>
    <row r="8507">
      <c r="A8507" s="247"/>
      <c r="B8507" s="258"/>
      <c r="C8507" s="247"/>
    </row>
    <row r="8508">
      <c r="A8508" s="247"/>
      <c r="B8508" s="258"/>
      <c r="C8508" s="247"/>
    </row>
    <row r="8509">
      <c r="A8509" s="247"/>
      <c r="B8509" s="258"/>
      <c r="C8509" s="247"/>
    </row>
    <row r="8510">
      <c r="A8510" s="247"/>
      <c r="B8510" s="258"/>
      <c r="C8510" s="247"/>
    </row>
    <row r="8511">
      <c r="A8511" s="247"/>
      <c r="B8511" s="258"/>
      <c r="C8511" s="247"/>
    </row>
    <row r="8512">
      <c r="A8512" s="247"/>
      <c r="B8512" s="258"/>
      <c r="C8512" s="247"/>
    </row>
    <row r="8513">
      <c r="A8513" s="247"/>
      <c r="B8513" s="258"/>
      <c r="C8513" s="247"/>
    </row>
    <row r="8514">
      <c r="A8514" s="247"/>
      <c r="B8514" s="258"/>
      <c r="C8514" s="247"/>
    </row>
    <row r="8515">
      <c r="A8515" s="247"/>
      <c r="B8515" s="258"/>
      <c r="C8515" s="247"/>
    </row>
    <row r="8516">
      <c r="A8516" s="247"/>
      <c r="B8516" s="258"/>
      <c r="C8516" s="247"/>
    </row>
    <row r="8517">
      <c r="A8517" s="247"/>
      <c r="B8517" s="258"/>
      <c r="C8517" s="247"/>
    </row>
    <row r="8518">
      <c r="A8518" s="247"/>
      <c r="B8518" s="258"/>
      <c r="C8518" s="247"/>
    </row>
    <row r="8519">
      <c r="A8519" s="247"/>
      <c r="B8519" s="258"/>
      <c r="C8519" s="247"/>
    </row>
    <row r="8520">
      <c r="A8520" s="247"/>
      <c r="B8520" s="258"/>
      <c r="C8520" s="247"/>
    </row>
    <row r="8521">
      <c r="A8521" s="247"/>
      <c r="B8521" s="258"/>
      <c r="C8521" s="247"/>
    </row>
    <row r="8522">
      <c r="A8522" s="247"/>
      <c r="B8522" s="258"/>
      <c r="C8522" s="247"/>
    </row>
    <row r="8523">
      <c r="A8523" s="247"/>
      <c r="B8523" s="258"/>
      <c r="C8523" s="247"/>
    </row>
    <row r="8524">
      <c r="A8524" s="247"/>
      <c r="B8524" s="258"/>
      <c r="C8524" s="247"/>
    </row>
    <row r="8525">
      <c r="A8525" s="247"/>
      <c r="B8525" s="258"/>
      <c r="C8525" s="247"/>
    </row>
    <row r="8526">
      <c r="A8526" s="247"/>
      <c r="B8526" s="258"/>
      <c r="C8526" s="247"/>
    </row>
    <row r="8527">
      <c r="A8527" s="247"/>
      <c r="B8527" s="258"/>
      <c r="C8527" s="247"/>
    </row>
    <row r="8528">
      <c r="A8528" s="247"/>
      <c r="B8528" s="258"/>
      <c r="C8528" s="247"/>
    </row>
    <row r="8529">
      <c r="A8529" s="247"/>
      <c r="B8529" s="258"/>
      <c r="C8529" s="247"/>
    </row>
    <row r="8530">
      <c r="A8530" s="247"/>
      <c r="B8530" s="258"/>
      <c r="C8530" s="247"/>
    </row>
    <row r="8531">
      <c r="A8531" s="247"/>
      <c r="B8531" s="258"/>
      <c r="C8531" s="247"/>
    </row>
    <row r="8532">
      <c r="A8532" s="247"/>
      <c r="B8532" s="258"/>
      <c r="C8532" s="247"/>
    </row>
    <row r="8533">
      <c r="A8533" s="247"/>
      <c r="B8533" s="258"/>
      <c r="C8533" s="247"/>
    </row>
    <row r="8534">
      <c r="A8534" s="247"/>
      <c r="B8534" s="258"/>
      <c r="C8534" s="247"/>
    </row>
    <row r="8535">
      <c r="A8535" s="247"/>
      <c r="B8535" s="258"/>
      <c r="C8535" s="247"/>
    </row>
    <row r="8536">
      <c r="A8536" s="247"/>
      <c r="B8536" s="258"/>
      <c r="C8536" s="247"/>
    </row>
    <row r="8537">
      <c r="A8537" s="247"/>
      <c r="B8537" s="258"/>
      <c r="C8537" s="247"/>
    </row>
    <row r="8538">
      <c r="A8538" s="247"/>
      <c r="B8538" s="258"/>
      <c r="C8538" s="247"/>
    </row>
    <row r="8539">
      <c r="A8539" s="247"/>
      <c r="B8539" s="258"/>
      <c r="C8539" s="247"/>
    </row>
    <row r="8540">
      <c r="A8540" s="247"/>
      <c r="B8540" s="258"/>
      <c r="C8540" s="247"/>
    </row>
    <row r="8541">
      <c r="A8541" s="247"/>
      <c r="B8541" s="258"/>
      <c r="C8541" s="247"/>
    </row>
    <row r="8542">
      <c r="A8542" s="247"/>
      <c r="B8542" s="258"/>
      <c r="C8542" s="247"/>
    </row>
    <row r="8543">
      <c r="A8543" s="247"/>
      <c r="B8543" s="258"/>
      <c r="C8543" s="247"/>
    </row>
    <row r="8544">
      <c r="A8544" s="247"/>
      <c r="B8544" s="258"/>
      <c r="C8544" s="247"/>
    </row>
    <row r="8545">
      <c r="A8545" s="247"/>
      <c r="B8545" s="258"/>
      <c r="C8545" s="247"/>
    </row>
    <row r="8546">
      <c r="A8546" s="247"/>
      <c r="B8546" s="258"/>
      <c r="C8546" s="247"/>
    </row>
    <row r="8547">
      <c r="A8547" s="247"/>
      <c r="B8547" s="258"/>
      <c r="C8547" s="247"/>
    </row>
    <row r="8548">
      <c r="A8548" s="247"/>
      <c r="B8548" s="258"/>
      <c r="C8548" s="247"/>
    </row>
    <row r="8549">
      <c r="A8549" s="247"/>
      <c r="B8549" s="258"/>
      <c r="C8549" s="247"/>
    </row>
    <row r="8550">
      <c r="A8550" s="247"/>
      <c r="B8550" s="258"/>
      <c r="C8550" s="247"/>
    </row>
    <row r="8551">
      <c r="A8551" s="247"/>
      <c r="B8551" s="258"/>
      <c r="C8551" s="247"/>
    </row>
    <row r="8552">
      <c r="A8552" s="247"/>
      <c r="B8552" s="258"/>
      <c r="C8552" s="247"/>
    </row>
    <row r="8553">
      <c r="A8553" s="247"/>
      <c r="B8553" s="258"/>
      <c r="C8553" s="247"/>
    </row>
    <row r="8554">
      <c r="A8554" s="247"/>
      <c r="B8554" s="258"/>
      <c r="C8554" s="247"/>
    </row>
    <row r="8555">
      <c r="A8555" s="247"/>
      <c r="B8555" s="258"/>
      <c r="C8555" s="247"/>
    </row>
    <row r="8556">
      <c r="A8556" s="247"/>
      <c r="B8556" s="258"/>
      <c r="C8556" s="247"/>
    </row>
    <row r="8557">
      <c r="A8557" s="247"/>
      <c r="B8557" s="258"/>
      <c r="C8557" s="247"/>
    </row>
    <row r="8558">
      <c r="A8558" s="247"/>
      <c r="B8558" s="258"/>
      <c r="C8558" s="247"/>
    </row>
    <row r="8559">
      <c r="A8559" s="247"/>
      <c r="B8559" s="258"/>
      <c r="C8559" s="247"/>
    </row>
    <row r="8560">
      <c r="A8560" s="247"/>
      <c r="B8560" s="258"/>
      <c r="C8560" s="247"/>
    </row>
    <row r="8561">
      <c r="A8561" s="247"/>
      <c r="B8561" s="258"/>
      <c r="C8561" s="247"/>
    </row>
    <row r="8562">
      <c r="A8562" s="247"/>
      <c r="B8562" s="258"/>
      <c r="C8562" s="247"/>
    </row>
    <row r="8563">
      <c r="A8563" s="247"/>
      <c r="B8563" s="258"/>
      <c r="C8563" s="247"/>
    </row>
    <row r="8564">
      <c r="A8564" s="247"/>
      <c r="B8564" s="258"/>
      <c r="C8564" s="247"/>
    </row>
    <row r="8565">
      <c r="A8565" s="247"/>
      <c r="B8565" s="258"/>
      <c r="C8565" s="247"/>
    </row>
    <row r="8566">
      <c r="A8566" s="247"/>
      <c r="B8566" s="258"/>
      <c r="C8566" s="247"/>
    </row>
    <row r="8567">
      <c r="A8567" s="247"/>
      <c r="B8567" s="258"/>
      <c r="C8567" s="247"/>
    </row>
    <row r="8568">
      <c r="A8568" s="247"/>
      <c r="B8568" s="258"/>
      <c r="C8568" s="247"/>
    </row>
    <row r="8569">
      <c r="A8569" s="247"/>
      <c r="B8569" s="258"/>
      <c r="C8569" s="247"/>
    </row>
    <row r="8570">
      <c r="A8570" s="247"/>
      <c r="B8570" s="258"/>
      <c r="C8570" s="247"/>
    </row>
    <row r="8571">
      <c r="A8571" s="247"/>
      <c r="B8571" s="258"/>
      <c r="C8571" s="247"/>
    </row>
    <row r="8572">
      <c r="A8572" s="247"/>
      <c r="B8572" s="258"/>
      <c r="C8572" s="247"/>
    </row>
    <row r="8573">
      <c r="A8573" s="247"/>
      <c r="B8573" s="258"/>
      <c r="C8573" s="247"/>
    </row>
    <row r="8574">
      <c r="A8574" s="247"/>
      <c r="B8574" s="258"/>
      <c r="C8574" s="247"/>
    </row>
    <row r="8575">
      <c r="A8575" s="247"/>
      <c r="B8575" s="258"/>
      <c r="C8575" s="247"/>
    </row>
    <row r="8576">
      <c r="A8576" s="247"/>
      <c r="B8576" s="258"/>
      <c r="C8576" s="247"/>
    </row>
    <row r="8577">
      <c r="A8577" s="247"/>
      <c r="B8577" s="258"/>
      <c r="C8577" s="247"/>
    </row>
    <row r="8578">
      <c r="A8578" s="247"/>
      <c r="B8578" s="258"/>
      <c r="C8578" s="247"/>
    </row>
    <row r="8579">
      <c r="A8579" s="247"/>
      <c r="B8579" s="258"/>
      <c r="C8579" s="247"/>
    </row>
    <row r="8580">
      <c r="A8580" s="247"/>
      <c r="B8580" s="258"/>
      <c r="C8580" s="247"/>
    </row>
    <row r="8581">
      <c r="A8581" s="247"/>
      <c r="B8581" s="258"/>
      <c r="C8581" s="247"/>
    </row>
    <row r="8582">
      <c r="A8582" s="247"/>
      <c r="B8582" s="258"/>
      <c r="C8582" s="247"/>
    </row>
    <row r="8583">
      <c r="A8583" s="247"/>
      <c r="B8583" s="258"/>
      <c r="C8583" s="247"/>
    </row>
    <row r="8584">
      <c r="A8584" s="247"/>
      <c r="B8584" s="258"/>
      <c r="C8584" s="247"/>
    </row>
    <row r="8585">
      <c r="A8585" s="247"/>
      <c r="B8585" s="258"/>
      <c r="C8585" s="247"/>
    </row>
    <row r="8586">
      <c r="A8586" s="247"/>
      <c r="B8586" s="258"/>
      <c r="C8586" s="247"/>
    </row>
    <row r="8587">
      <c r="A8587" s="247"/>
      <c r="B8587" s="258"/>
      <c r="C8587" s="247"/>
    </row>
    <row r="8588">
      <c r="A8588" s="247"/>
      <c r="B8588" s="258"/>
      <c r="C8588" s="247"/>
    </row>
    <row r="8589">
      <c r="A8589" s="247"/>
      <c r="B8589" s="258"/>
      <c r="C8589" s="247"/>
    </row>
    <row r="8590">
      <c r="A8590" s="247"/>
      <c r="B8590" s="258"/>
      <c r="C8590" s="247"/>
    </row>
    <row r="8591">
      <c r="A8591" s="247"/>
      <c r="B8591" s="258"/>
      <c r="C8591" s="247"/>
    </row>
    <row r="8592">
      <c r="A8592" s="247"/>
      <c r="B8592" s="258"/>
      <c r="C8592" s="247"/>
    </row>
    <row r="8593">
      <c r="A8593" s="247"/>
      <c r="B8593" s="258"/>
      <c r="C8593" s="247"/>
    </row>
    <row r="8594">
      <c r="A8594" s="247"/>
      <c r="B8594" s="258"/>
      <c r="C8594" s="247"/>
    </row>
    <row r="8595">
      <c r="A8595" s="247"/>
      <c r="B8595" s="258"/>
      <c r="C8595" s="247"/>
    </row>
    <row r="8596">
      <c r="A8596" s="247"/>
      <c r="B8596" s="258"/>
      <c r="C8596" s="247"/>
    </row>
    <row r="8597">
      <c r="A8597" s="247"/>
      <c r="B8597" s="258"/>
      <c r="C8597" s="247"/>
    </row>
    <row r="8598">
      <c r="A8598" s="247"/>
      <c r="B8598" s="258"/>
      <c r="C8598" s="247"/>
    </row>
    <row r="8599">
      <c r="A8599" s="247"/>
      <c r="B8599" s="258"/>
      <c r="C8599" s="247"/>
    </row>
    <row r="8600">
      <c r="A8600" s="247"/>
      <c r="B8600" s="258"/>
      <c r="C8600" s="247"/>
    </row>
    <row r="8601">
      <c r="A8601" s="247"/>
      <c r="B8601" s="258"/>
      <c r="C8601" s="247"/>
    </row>
    <row r="8602">
      <c r="A8602" s="247"/>
      <c r="B8602" s="258"/>
      <c r="C8602" s="247"/>
    </row>
    <row r="8603">
      <c r="A8603" s="247"/>
      <c r="B8603" s="258"/>
      <c r="C8603" s="247"/>
    </row>
    <row r="8604">
      <c r="A8604" s="247"/>
      <c r="B8604" s="258"/>
      <c r="C8604" s="247"/>
    </row>
    <row r="8605">
      <c r="A8605" s="247"/>
      <c r="B8605" s="258"/>
      <c r="C8605" s="247"/>
    </row>
    <row r="8606">
      <c r="A8606" s="247"/>
      <c r="B8606" s="258"/>
      <c r="C8606" s="247"/>
    </row>
    <row r="8607">
      <c r="A8607" s="247"/>
      <c r="B8607" s="258"/>
      <c r="C8607" s="247"/>
    </row>
    <row r="8608">
      <c r="A8608" s="247"/>
      <c r="B8608" s="258"/>
      <c r="C8608" s="247"/>
    </row>
    <row r="8609">
      <c r="A8609" s="247"/>
      <c r="B8609" s="258"/>
      <c r="C8609" s="247"/>
    </row>
    <row r="8610">
      <c r="A8610" s="247"/>
      <c r="B8610" s="258"/>
      <c r="C8610" s="247"/>
    </row>
    <row r="8611">
      <c r="A8611" s="247"/>
      <c r="B8611" s="258"/>
      <c r="C8611" s="247"/>
    </row>
    <row r="8612">
      <c r="A8612" s="247"/>
      <c r="B8612" s="258"/>
      <c r="C8612" s="247"/>
    </row>
    <row r="8613">
      <c r="A8613" s="247"/>
      <c r="B8613" s="258"/>
      <c r="C8613" s="247"/>
    </row>
    <row r="8614">
      <c r="A8614" s="247"/>
      <c r="B8614" s="258"/>
      <c r="C8614" s="247"/>
    </row>
    <row r="8615">
      <c r="A8615" s="247"/>
      <c r="B8615" s="258"/>
      <c r="C8615" s="247"/>
    </row>
    <row r="8616">
      <c r="A8616" s="247"/>
      <c r="B8616" s="258"/>
      <c r="C8616" s="247"/>
    </row>
    <row r="8617">
      <c r="A8617" s="247"/>
      <c r="B8617" s="258"/>
      <c r="C8617" s="247"/>
    </row>
    <row r="8618">
      <c r="A8618" s="247"/>
      <c r="B8618" s="258"/>
      <c r="C8618" s="247"/>
    </row>
    <row r="8619">
      <c r="A8619" s="247"/>
      <c r="B8619" s="258"/>
      <c r="C8619" s="247"/>
    </row>
    <row r="8620">
      <c r="A8620" s="247"/>
      <c r="B8620" s="258"/>
      <c r="C8620" s="247"/>
    </row>
    <row r="8621">
      <c r="A8621" s="247"/>
      <c r="B8621" s="258"/>
      <c r="C8621" s="247"/>
    </row>
    <row r="8622">
      <c r="A8622" s="247"/>
      <c r="B8622" s="258"/>
      <c r="C8622" s="247"/>
    </row>
    <row r="8623">
      <c r="A8623" s="247"/>
      <c r="B8623" s="258"/>
      <c r="C8623" s="247"/>
    </row>
    <row r="8624">
      <c r="A8624" s="247"/>
      <c r="B8624" s="258"/>
      <c r="C8624" s="247"/>
    </row>
    <row r="8625">
      <c r="A8625" s="247"/>
      <c r="B8625" s="258"/>
      <c r="C8625" s="247"/>
    </row>
    <row r="8626">
      <c r="A8626" s="247"/>
      <c r="B8626" s="258"/>
      <c r="C8626" s="247"/>
    </row>
    <row r="8627">
      <c r="A8627" s="247"/>
      <c r="B8627" s="258"/>
      <c r="C8627" s="247"/>
    </row>
    <row r="8628">
      <c r="A8628" s="247"/>
      <c r="B8628" s="258"/>
      <c r="C8628" s="247"/>
    </row>
    <row r="8629">
      <c r="A8629" s="247"/>
      <c r="B8629" s="258"/>
      <c r="C8629" s="247"/>
    </row>
    <row r="8630">
      <c r="A8630" s="247"/>
      <c r="B8630" s="258"/>
      <c r="C8630" s="247"/>
    </row>
    <row r="8631">
      <c r="A8631" s="247"/>
      <c r="B8631" s="258"/>
      <c r="C8631" s="247"/>
    </row>
    <row r="8632">
      <c r="A8632" s="247"/>
      <c r="B8632" s="258"/>
      <c r="C8632" s="247"/>
    </row>
    <row r="8633">
      <c r="A8633" s="247"/>
      <c r="B8633" s="258"/>
      <c r="C8633" s="247"/>
    </row>
    <row r="8634">
      <c r="A8634" s="247"/>
      <c r="B8634" s="258"/>
      <c r="C8634" s="247"/>
    </row>
    <row r="8635">
      <c r="A8635" s="247"/>
      <c r="B8635" s="258"/>
      <c r="C8635" s="247"/>
    </row>
    <row r="8636">
      <c r="A8636" s="247"/>
      <c r="B8636" s="258"/>
      <c r="C8636" s="247"/>
    </row>
    <row r="8637">
      <c r="A8637" s="247"/>
      <c r="B8637" s="258"/>
      <c r="C8637" s="247"/>
    </row>
    <row r="8638">
      <c r="A8638" s="247"/>
      <c r="B8638" s="258"/>
      <c r="C8638" s="247"/>
    </row>
    <row r="8639">
      <c r="A8639" s="247"/>
      <c r="B8639" s="258"/>
      <c r="C8639" s="247"/>
    </row>
    <row r="8640">
      <c r="A8640" s="247"/>
      <c r="B8640" s="258"/>
      <c r="C8640" s="247"/>
    </row>
    <row r="8641">
      <c r="A8641" s="247"/>
      <c r="B8641" s="258"/>
      <c r="C8641" s="247"/>
    </row>
    <row r="8642">
      <c r="A8642" s="247"/>
      <c r="B8642" s="258"/>
      <c r="C8642" s="247"/>
    </row>
    <row r="8643">
      <c r="A8643" s="247"/>
      <c r="B8643" s="258"/>
      <c r="C8643" s="247"/>
    </row>
    <row r="8644">
      <c r="A8644" s="247"/>
      <c r="B8644" s="258"/>
      <c r="C8644" s="247"/>
    </row>
    <row r="8645">
      <c r="A8645" s="247"/>
      <c r="B8645" s="258"/>
      <c r="C8645" s="247"/>
    </row>
    <row r="8646">
      <c r="A8646" s="247"/>
      <c r="B8646" s="258"/>
      <c r="C8646" s="247"/>
    </row>
    <row r="8647">
      <c r="A8647" s="247"/>
      <c r="B8647" s="258"/>
      <c r="C8647" s="247"/>
    </row>
    <row r="8648">
      <c r="A8648" s="247"/>
      <c r="B8648" s="258"/>
      <c r="C8648" s="247"/>
    </row>
    <row r="8649">
      <c r="A8649" s="247"/>
      <c r="B8649" s="258"/>
      <c r="C8649" s="247"/>
    </row>
    <row r="8650">
      <c r="A8650" s="247"/>
      <c r="B8650" s="258"/>
      <c r="C8650" s="247"/>
    </row>
    <row r="8651">
      <c r="A8651" s="247"/>
      <c r="B8651" s="258"/>
      <c r="C8651" s="247"/>
    </row>
    <row r="8652">
      <c r="A8652" s="247"/>
      <c r="B8652" s="258"/>
      <c r="C8652" s="247"/>
    </row>
    <row r="8653">
      <c r="A8653" s="247"/>
      <c r="B8653" s="258"/>
      <c r="C8653" s="247"/>
    </row>
    <row r="8654">
      <c r="A8654" s="247"/>
      <c r="B8654" s="258"/>
      <c r="C8654" s="247"/>
    </row>
    <row r="8655">
      <c r="A8655" s="247"/>
      <c r="B8655" s="258"/>
      <c r="C8655" s="247"/>
    </row>
    <row r="8656">
      <c r="A8656" s="247"/>
      <c r="B8656" s="258"/>
      <c r="C8656" s="247"/>
    </row>
    <row r="8657">
      <c r="A8657" s="247"/>
      <c r="B8657" s="258"/>
      <c r="C8657" s="247"/>
    </row>
    <row r="8658">
      <c r="A8658" s="247"/>
      <c r="B8658" s="258"/>
      <c r="C8658" s="247"/>
    </row>
    <row r="8659">
      <c r="A8659" s="247"/>
      <c r="B8659" s="258"/>
      <c r="C8659" s="247"/>
    </row>
    <row r="8660">
      <c r="A8660" s="247"/>
      <c r="B8660" s="258"/>
      <c r="C8660" s="247"/>
    </row>
    <row r="8661">
      <c r="A8661" s="247"/>
      <c r="B8661" s="258"/>
      <c r="C8661" s="247"/>
    </row>
    <row r="8662">
      <c r="A8662" s="247"/>
      <c r="B8662" s="258"/>
      <c r="C8662" s="247"/>
    </row>
    <row r="8663">
      <c r="A8663" s="247"/>
      <c r="B8663" s="258"/>
      <c r="C8663" s="247"/>
    </row>
    <row r="8664">
      <c r="A8664" s="247"/>
      <c r="B8664" s="258"/>
      <c r="C8664" s="247"/>
    </row>
    <row r="8665">
      <c r="A8665" s="247"/>
      <c r="B8665" s="258"/>
      <c r="C8665" s="247"/>
    </row>
    <row r="8666">
      <c r="A8666" s="247"/>
      <c r="B8666" s="258"/>
      <c r="C8666" s="247"/>
    </row>
    <row r="8667">
      <c r="A8667" s="247"/>
      <c r="B8667" s="258"/>
      <c r="C8667" s="247"/>
    </row>
    <row r="8668">
      <c r="A8668" s="247"/>
      <c r="B8668" s="258"/>
      <c r="C8668" s="247"/>
    </row>
    <row r="8669">
      <c r="A8669" s="247"/>
      <c r="B8669" s="258"/>
      <c r="C8669" s="247"/>
    </row>
    <row r="8670">
      <c r="A8670" s="247"/>
      <c r="B8670" s="258"/>
      <c r="C8670" s="247"/>
    </row>
    <row r="8671">
      <c r="A8671" s="247"/>
      <c r="B8671" s="258"/>
      <c r="C8671" s="247"/>
    </row>
    <row r="8672">
      <c r="A8672" s="247"/>
      <c r="B8672" s="258"/>
      <c r="C8672" s="247"/>
    </row>
    <row r="8673">
      <c r="A8673" s="247"/>
      <c r="B8673" s="258"/>
      <c r="C8673" s="247"/>
    </row>
    <row r="8674">
      <c r="A8674" s="247"/>
      <c r="B8674" s="258"/>
      <c r="C8674" s="247"/>
    </row>
    <row r="8675">
      <c r="A8675" s="247"/>
      <c r="B8675" s="258"/>
      <c r="C8675" s="247"/>
    </row>
    <row r="8676">
      <c r="A8676" s="247"/>
      <c r="B8676" s="258"/>
      <c r="C8676" s="247"/>
    </row>
    <row r="8677">
      <c r="A8677" s="247"/>
      <c r="B8677" s="258"/>
      <c r="C8677" s="247"/>
    </row>
    <row r="8678">
      <c r="A8678" s="247"/>
      <c r="B8678" s="258"/>
      <c r="C8678" s="247"/>
    </row>
    <row r="8679">
      <c r="A8679" s="247"/>
      <c r="B8679" s="258"/>
      <c r="C8679" s="247"/>
    </row>
    <row r="8680">
      <c r="A8680" s="247"/>
      <c r="B8680" s="258"/>
      <c r="C8680" s="247"/>
    </row>
    <row r="8681">
      <c r="A8681" s="247"/>
      <c r="B8681" s="258"/>
      <c r="C8681" s="247"/>
    </row>
    <row r="8682">
      <c r="A8682" s="247"/>
      <c r="B8682" s="258"/>
      <c r="C8682" s="247"/>
    </row>
    <row r="8683">
      <c r="A8683" s="247"/>
      <c r="B8683" s="258"/>
      <c r="C8683" s="247"/>
    </row>
    <row r="8684">
      <c r="A8684" s="247"/>
      <c r="B8684" s="258"/>
      <c r="C8684" s="247"/>
    </row>
    <row r="8685">
      <c r="A8685" s="247"/>
      <c r="B8685" s="258"/>
      <c r="C8685" s="247"/>
    </row>
    <row r="8686">
      <c r="A8686" s="247"/>
      <c r="B8686" s="258"/>
      <c r="C8686" s="247"/>
    </row>
    <row r="8687">
      <c r="A8687" s="247"/>
      <c r="B8687" s="258"/>
      <c r="C8687" s="247"/>
    </row>
    <row r="8688">
      <c r="A8688" s="247"/>
      <c r="B8688" s="258"/>
      <c r="C8688" s="247"/>
    </row>
    <row r="8689">
      <c r="A8689" s="247"/>
      <c r="B8689" s="258"/>
      <c r="C8689" s="247"/>
    </row>
    <row r="8690">
      <c r="A8690" s="247"/>
      <c r="B8690" s="258"/>
      <c r="C8690" s="247"/>
    </row>
    <row r="8691">
      <c r="A8691" s="247"/>
      <c r="B8691" s="258"/>
      <c r="C8691" s="247"/>
    </row>
    <row r="8692">
      <c r="A8692" s="247"/>
      <c r="B8692" s="258"/>
      <c r="C8692" s="247"/>
    </row>
    <row r="8693">
      <c r="A8693" s="247"/>
      <c r="B8693" s="258"/>
      <c r="C8693" s="247"/>
    </row>
    <row r="8694">
      <c r="A8694" s="247"/>
      <c r="B8694" s="258"/>
      <c r="C8694" s="247"/>
    </row>
    <row r="8695">
      <c r="A8695" s="247"/>
      <c r="B8695" s="258"/>
      <c r="C8695" s="247"/>
    </row>
    <row r="8696">
      <c r="A8696" s="247"/>
      <c r="B8696" s="258"/>
      <c r="C8696" s="247"/>
    </row>
    <row r="8697">
      <c r="A8697" s="247"/>
      <c r="B8697" s="258"/>
      <c r="C8697" s="247"/>
    </row>
    <row r="8698">
      <c r="A8698" s="247"/>
      <c r="B8698" s="258"/>
      <c r="C8698" s="247"/>
    </row>
    <row r="8699">
      <c r="A8699" s="247"/>
      <c r="B8699" s="258"/>
      <c r="C8699" s="247"/>
    </row>
    <row r="8700">
      <c r="A8700" s="247"/>
      <c r="B8700" s="258"/>
      <c r="C8700" s="247"/>
    </row>
    <row r="8701">
      <c r="A8701" s="247"/>
      <c r="B8701" s="258"/>
      <c r="C8701" s="247"/>
    </row>
    <row r="8702">
      <c r="A8702" s="247"/>
      <c r="B8702" s="258"/>
      <c r="C8702" s="247"/>
    </row>
    <row r="8703">
      <c r="A8703" s="247"/>
      <c r="B8703" s="258"/>
      <c r="C8703" s="247"/>
    </row>
    <row r="8704">
      <c r="A8704" s="247"/>
      <c r="B8704" s="258"/>
      <c r="C8704" s="247"/>
    </row>
    <row r="8705">
      <c r="A8705" s="247"/>
      <c r="B8705" s="258"/>
      <c r="C8705" s="247"/>
    </row>
    <row r="8706">
      <c r="A8706" s="247"/>
      <c r="B8706" s="258"/>
      <c r="C8706" s="247"/>
    </row>
    <row r="8707">
      <c r="A8707" s="247"/>
      <c r="B8707" s="258"/>
      <c r="C8707" s="247"/>
    </row>
    <row r="8708">
      <c r="A8708" s="247"/>
      <c r="B8708" s="258"/>
      <c r="C8708" s="247"/>
    </row>
    <row r="8709">
      <c r="A8709" s="247"/>
      <c r="B8709" s="258"/>
      <c r="C8709" s="247"/>
    </row>
    <row r="8710">
      <c r="A8710" s="247"/>
      <c r="B8710" s="258"/>
      <c r="C8710" s="247"/>
    </row>
    <row r="8711">
      <c r="A8711" s="247"/>
      <c r="B8711" s="258"/>
      <c r="C8711" s="247"/>
    </row>
    <row r="8712">
      <c r="A8712" s="247"/>
      <c r="B8712" s="258"/>
      <c r="C8712" s="247"/>
    </row>
    <row r="8713">
      <c r="A8713" s="247"/>
      <c r="B8713" s="258"/>
      <c r="C8713" s="247"/>
    </row>
    <row r="8714">
      <c r="A8714" s="247"/>
      <c r="B8714" s="258"/>
      <c r="C8714" s="247"/>
    </row>
    <row r="8715">
      <c r="A8715" s="247"/>
      <c r="B8715" s="258"/>
      <c r="C8715" s="247"/>
    </row>
    <row r="8716">
      <c r="A8716" s="247"/>
      <c r="B8716" s="258"/>
      <c r="C8716" s="247"/>
    </row>
    <row r="8717">
      <c r="A8717" s="247"/>
      <c r="B8717" s="258"/>
      <c r="C8717" s="247"/>
    </row>
    <row r="8718">
      <c r="A8718" s="247"/>
      <c r="B8718" s="258"/>
      <c r="C8718" s="247"/>
    </row>
    <row r="8719">
      <c r="A8719" s="247"/>
      <c r="B8719" s="258"/>
      <c r="C8719" s="247"/>
    </row>
    <row r="8720">
      <c r="A8720" s="247"/>
      <c r="B8720" s="258"/>
      <c r="C8720" s="247"/>
    </row>
    <row r="8721">
      <c r="A8721" s="247"/>
      <c r="B8721" s="258"/>
      <c r="C8721" s="247"/>
    </row>
    <row r="8722">
      <c r="A8722" s="247"/>
      <c r="B8722" s="258"/>
      <c r="C8722" s="247"/>
    </row>
    <row r="8723">
      <c r="A8723" s="247"/>
      <c r="B8723" s="258"/>
      <c r="C8723" s="247"/>
    </row>
    <row r="8724">
      <c r="A8724" s="247"/>
      <c r="B8724" s="258"/>
      <c r="C8724" s="247"/>
    </row>
    <row r="8725">
      <c r="A8725" s="247"/>
      <c r="B8725" s="258"/>
      <c r="C8725" s="247"/>
    </row>
    <row r="8726">
      <c r="A8726" s="247"/>
      <c r="B8726" s="258"/>
      <c r="C8726" s="247"/>
    </row>
    <row r="8727">
      <c r="A8727" s="247"/>
      <c r="B8727" s="258"/>
      <c r="C8727" s="247"/>
    </row>
    <row r="8728">
      <c r="A8728" s="247"/>
      <c r="B8728" s="258"/>
      <c r="C8728" s="247"/>
    </row>
    <row r="8729">
      <c r="A8729" s="247"/>
      <c r="B8729" s="258"/>
      <c r="C8729" s="247"/>
    </row>
    <row r="8730">
      <c r="A8730" s="247"/>
      <c r="B8730" s="258"/>
      <c r="C8730" s="247"/>
    </row>
    <row r="8731">
      <c r="A8731" s="247"/>
      <c r="B8731" s="258"/>
      <c r="C8731" s="247"/>
    </row>
    <row r="8732">
      <c r="A8732" s="247"/>
      <c r="B8732" s="258"/>
      <c r="C8732" s="247"/>
    </row>
    <row r="8733">
      <c r="A8733" s="247"/>
      <c r="B8733" s="258"/>
      <c r="C8733" s="247"/>
    </row>
    <row r="8734">
      <c r="A8734" s="247"/>
      <c r="B8734" s="258"/>
      <c r="C8734" s="247"/>
    </row>
    <row r="8735">
      <c r="A8735" s="247"/>
      <c r="B8735" s="258"/>
      <c r="C8735" s="247"/>
    </row>
    <row r="8736">
      <c r="A8736" s="247"/>
      <c r="B8736" s="258"/>
      <c r="C8736" s="247"/>
    </row>
    <row r="8737">
      <c r="A8737" s="247"/>
      <c r="B8737" s="258"/>
      <c r="C8737" s="247"/>
    </row>
    <row r="8738">
      <c r="A8738" s="247"/>
      <c r="B8738" s="258"/>
      <c r="C8738" s="247"/>
    </row>
    <row r="8739">
      <c r="A8739" s="247"/>
      <c r="B8739" s="258"/>
      <c r="C8739" s="247"/>
    </row>
    <row r="8740">
      <c r="A8740" s="247"/>
      <c r="B8740" s="258"/>
      <c r="C8740" s="247"/>
    </row>
    <row r="8741">
      <c r="A8741" s="247"/>
      <c r="B8741" s="258"/>
      <c r="C8741" s="247"/>
    </row>
    <row r="8742">
      <c r="A8742" s="247"/>
      <c r="B8742" s="258"/>
      <c r="C8742" s="247"/>
    </row>
    <row r="8743">
      <c r="A8743" s="247"/>
      <c r="B8743" s="258"/>
      <c r="C8743" s="247"/>
    </row>
    <row r="8744">
      <c r="A8744" s="247"/>
      <c r="B8744" s="258"/>
      <c r="C8744" s="247"/>
    </row>
    <row r="8745">
      <c r="A8745" s="247"/>
      <c r="B8745" s="258"/>
      <c r="C8745" s="247"/>
    </row>
    <row r="8746">
      <c r="A8746" s="247"/>
      <c r="B8746" s="258"/>
      <c r="C8746" s="247"/>
    </row>
    <row r="8747">
      <c r="A8747" s="247"/>
      <c r="B8747" s="258"/>
      <c r="C8747" s="247"/>
    </row>
    <row r="8748">
      <c r="A8748" s="247"/>
      <c r="B8748" s="258"/>
      <c r="C8748" s="247"/>
    </row>
    <row r="8749">
      <c r="A8749" s="247"/>
      <c r="B8749" s="258"/>
      <c r="C8749" s="247"/>
    </row>
    <row r="8750">
      <c r="A8750" s="247"/>
      <c r="B8750" s="258"/>
      <c r="C8750" s="247"/>
    </row>
    <row r="8751">
      <c r="A8751" s="247"/>
      <c r="B8751" s="258"/>
      <c r="C8751" s="247"/>
    </row>
    <row r="8752">
      <c r="A8752" s="247"/>
      <c r="B8752" s="258"/>
      <c r="C8752" s="247"/>
    </row>
    <row r="8753">
      <c r="A8753" s="247"/>
      <c r="B8753" s="258"/>
      <c r="C8753" s="247"/>
    </row>
    <row r="8754">
      <c r="A8754" s="247"/>
      <c r="B8754" s="258"/>
      <c r="C8754" s="247"/>
    </row>
    <row r="8755">
      <c r="A8755" s="247"/>
      <c r="B8755" s="258"/>
      <c r="C8755" s="247"/>
    </row>
    <row r="8756">
      <c r="A8756" s="247"/>
      <c r="B8756" s="258"/>
      <c r="C8756" s="247"/>
    </row>
    <row r="8757">
      <c r="A8757" s="247"/>
      <c r="B8757" s="258"/>
      <c r="C8757" s="247"/>
    </row>
    <row r="8758">
      <c r="A8758" s="247"/>
      <c r="B8758" s="258"/>
      <c r="C8758" s="247"/>
    </row>
    <row r="8759">
      <c r="A8759" s="247"/>
      <c r="B8759" s="258"/>
      <c r="C8759" s="247"/>
    </row>
    <row r="8760">
      <c r="A8760" s="247"/>
      <c r="B8760" s="258"/>
      <c r="C8760" s="247"/>
    </row>
    <row r="8761">
      <c r="A8761" s="247"/>
      <c r="B8761" s="258"/>
      <c r="C8761" s="247"/>
    </row>
    <row r="8762">
      <c r="A8762" s="247"/>
      <c r="B8762" s="258"/>
      <c r="C8762" s="247"/>
    </row>
    <row r="8763">
      <c r="A8763" s="247"/>
      <c r="B8763" s="258"/>
      <c r="C8763" s="247"/>
    </row>
    <row r="8764">
      <c r="A8764" s="247"/>
      <c r="B8764" s="258"/>
      <c r="C8764" s="247"/>
    </row>
    <row r="8765">
      <c r="A8765" s="247"/>
      <c r="B8765" s="258"/>
      <c r="C8765" s="247"/>
    </row>
    <row r="8766">
      <c r="A8766" s="247"/>
      <c r="B8766" s="258"/>
      <c r="C8766" s="247"/>
    </row>
    <row r="8767">
      <c r="A8767" s="247"/>
      <c r="B8767" s="258"/>
      <c r="C8767" s="247"/>
    </row>
    <row r="8768">
      <c r="A8768" s="247"/>
      <c r="B8768" s="258"/>
      <c r="C8768" s="247"/>
    </row>
    <row r="8769">
      <c r="A8769" s="247"/>
      <c r="B8769" s="258"/>
      <c r="C8769" s="247"/>
    </row>
    <row r="8770">
      <c r="A8770" s="247"/>
      <c r="B8770" s="258"/>
      <c r="C8770" s="247"/>
    </row>
    <row r="8771">
      <c r="A8771" s="247"/>
      <c r="B8771" s="258"/>
      <c r="C8771" s="247"/>
    </row>
    <row r="8772">
      <c r="A8772" s="247"/>
      <c r="B8772" s="258"/>
      <c r="C8772" s="247"/>
    </row>
    <row r="8773">
      <c r="A8773" s="247"/>
      <c r="B8773" s="258"/>
      <c r="C8773" s="247"/>
    </row>
    <row r="8774">
      <c r="A8774" s="247"/>
      <c r="B8774" s="258"/>
      <c r="C8774" s="247"/>
    </row>
    <row r="8775">
      <c r="A8775" s="247"/>
      <c r="B8775" s="258"/>
      <c r="C8775" s="247"/>
    </row>
    <row r="8776">
      <c r="A8776" s="247"/>
      <c r="B8776" s="258"/>
      <c r="C8776" s="247"/>
    </row>
    <row r="8777">
      <c r="A8777" s="247"/>
      <c r="B8777" s="258"/>
      <c r="C8777" s="247"/>
    </row>
    <row r="8778">
      <c r="A8778" s="247"/>
      <c r="B8778" s="258"/>
      <c r="C8778" s="247"/>
    </row>
    <row r="8779">
      <c r="A8779" s="247"/>
      <c r="B8779" s="258"/>
      <c r="C8779" s="247"/>
    </row>
    <row r="8780">
      <c r="A8780" s="247"/>
      <c r="B8780" s="258"/>
      <c r="C8780" s="247"/>
    </row>
    <row r="8781">
      <c r="A8781" s="247"/>
      <c r="B8781" s="258"/>
      <c r="C8781" s="247"/>
    </row>
    <row r="8782">
      <c r="A8782" s="247"/>
      <c r="B8782" s="258"/>
      <c r="C8782" s="247"/>
    </row>
    <row r="8783">
      <c r="A8783" s="247"/>
      <c r="B8783" s="258"/>
      <c r="C8783" s="247"/>
    </row>
    <row r="8784">
      <c r="A8784" s="247"/>
      <c r="B8784" s="258"/>
      <c r="C8784" s="247"/>
    </row>
    <row r="8785">
      <c r="A8785" s="247"/>
      <c r="B8785" s="258"/>
      <c r="C8785" s="247"/>
    </row>
    <row r="8786">
      <c r="A8786" s="247"/>
      <c r="B8786" s="258"/>
      <c r="C8786" s="247"/>
    </row>
    <row r="8787">
      <c r="A8787" s="247"/>
      <c r="B8787" s="258"/>
      <c r="C8787" s="247"/>
    </row>
    <row r="8788">
      <c r="A8788" s="247"/>
      <c r="B8788" s="258"/>
      <c r="C8788" s="247"/>
    </row>
    <row r="8789">
      <c r="A8789" s="247"/>
      <c r="B8789" s="258"/>
      <c r="C8789" s="247"/>
    </row>
    <row r="8790">
      <c r="A8790" s="247"/>
      <c r="B8790" s="258"/>
      <c r="C8790" s="247"/>
    </row>
    <row r="8791">
      <c r="A8791" s="247"/>
      <c r="B8791" s="258"/>
      <c r="C8791" s="247"/>
    </row>
    <row r="8792">
      <c r="A8792" s="247"/>
      <c r="B8792" s="258"/>
      <c r="C8792" s="247"/>
    </row>
    <row r="8793">
      <c r="A8793" s="247"/>
      <c r="B8793" s="258"/>
      <c r="C8793" s="247"/>
    </row>
    <row r="8794">
      <c r="A8794" s="247"/>
      <c r="B8794" s="258"/>
      <c r="C8794" s="247"/>
    </row>
    <row r="8795">
      <c r="A8795" s="247"/>
      <c r="B8795" s="258"/>
      <c r="C8795" s="247"/>
    </row>
    <row r="8796">
      <c r="A8796" s="247"/>
      <c r="B8796" s="258"/>
      <c r="C8796" s="247"/>
    </row>
    <row r="8797">
      <c r="A8797" s="247"/>
      <c r="B8797" s="258"/>
      <c r="C8797" s="247"/>
    </row>
    <row r="8798">
      <c r="A8798" s="247"/>
      <c r="B8798" s="258"/>
      <c r="C8798" s="247"/>
    </row>
    <row r="8799">
      <c r="A8799" s="247"/>
      <c r="B8799" s="258"/>
      <c r="C8799" s="247"/>
    </row>
    <row r="8800">
      <c r="A8800" s="247"/>
      <c r="B8800" s="258"/>
      <c r="C8800" s="247"/>
    </row>
    <row r="8801">
      <c r="A8801" s="247"/>
      <c r="B8801" s="258"/>
      <c r="C8801" s="247"/>
    </row>
    <row r="8802">
      <c r="A8802" s="247"/>
      <c r="B8802" s="258"/>
      <c r="C8802" s="247"/>
    </row>
    <row r="8803">
      <c r="A8803" s="247"/>
      <c r="B8803" s="258"/>
      <c r="C8803" s="247"/>
    </row>
    <row r="8804">
      <c r="A8804" s="247"/>
      <c r="B8804" s="258"/>
      <c r="C8804" s="247"/>
    </row>
    <row r="8805">
      <c r="A8805" s="247"/>
      <c r="B8805" s="258"/>
      <c r="C8805" s="247"/>
    </row>
    <row r="8806">
      <c r="A8806" s="247"/>
      <c r="B8806" s="258"/>
      <c r="C8806" s="247"/>
    </row>
    <row r="8807">
      <c r="A8807" s="247"/>
      <c r="B8807" s="258"/>
      <c r="C8807" s="247"/>
    </row>
    <row r="8808">
      <c r="A8808" s="247"/>
      <c r="B8808" s="258"/>
      <c r="C8808" s="247"/>
    </row>
    <row r="8809">
      <c r="A8809" s="247"/>
      <c r="B8809" s="258"/>
      <c r="C8809" s="247"/>
    </row>
    <row r="8810">
      <c r="A8810" s="247"/>
      <c r="B8810" s="258"/>
      <c r="C8810" s="247"/>
    </row>
    <row r="8811">
      <c r="A8811" s="247"/>
      <c r="B8811" s="258"/>
      <c r="C8811" s="247"/>
    </row>
    <row r="8812">
      <c r="A8812" s="247"/>
      <c r="B8812" s="258"/>
      <c r="C8812" s="247"/>
    </row>
    <row r="8813">
      <c r="A8813" s="247"/>
      <c r="B8813" s="258"/>
      <c r="C8813" s="247"/>
    </row>
    <row r="8814">
      <c r="A8814" s="247"/>
      <c r="B8814" s="258"/>
      <c r="C8814" s="247"/>
    </row>
    <row r="8815">
      <c r="A8815" s="247"/>
      <c r="B8815" s="258"/>
      <c r="C8815" s="247"/>
    </row>
    <row r="8816">
      <c r="A8816" s="247"/>
      <c r="B8816" s="258"/>
      <c r="C8816" s="247"/>
    </row>
    <row r="8817">
      <c r="A8817" s="247"/>
      <c r="B8817" s="258"/>
      <c r="C8817" s="247"/>
    </row>
    <row r="8818">
      <c r="A8818" s="247"/>
      <c r="B8818" s="258"/>
      <c r="C8818" s="247"/>
    </row>
    <row r="8819">
      <c r="A8819" s="247"/>
      <c r="B8819" s="258"/>
      <c r="C8819" s="247"/>
    </row>
    <row r="8820">
      <c r="A8820" s="247"/>
      <c r="B8820" s="258"/>
      <c r="C8820" s="247"/>
    </row>
    <row r="8821">
      <c r="A8821" s="247"/>
      <c r="B8821" s="258"/>
      <c r="C8821" s="247"/>
    </row>
    <row r="8822">
      <c r="A8822" s="247"/>
      <c r="B8822" s="258"/>
      <c r="C8822" s="247"/>
    </row>
    <row r="8823">
      <c r="A8823" s="247"/>
      <c r="B8823" s="258"/>
      <c r="C8823" s="247"/>
    </row>
    <row r="8824">
      <c r="A8824" s="247"/>
      <c r="B8824" s="258"/>
      <c r="C8824" s="247"/>
    </row>
    <row r="8825">
      <c r="A8825" s="247"/>
      <c r="B8825" s="258"/>
      <c r="C8825" s="247"/>
    </row>
    <row r="8826">
      <c r="A8826" s="247"/>
      <c r="B8826" s="258"/>
      <c r="C8826" s="247"/>
    </row>
    <row r="8827">
      <c r="A8827" s="247"/>
      <c r="B8827" s="258"/>
      <c r="C8827" s="247"/>
    </row>
    <row r="8828">
      <c r="A8828" s="247"/>
      <c r="B8828" s="258"/>
      <c r="C8828" s="247"/>
    </row>
    <row r="8829">
      <c r="A8829" s="247"/>
      <c r="B8829" s="258"/>
      <c r="C8829" s="247"/>
    </row>
    <row r="8830">
      <c r="A8830" s="247"/>
      <c r="B8830" s="258"/>
      <c r="C8830" s="247"/>
    </row>
    <row r="8831">
      <c r="A8831" s="247"/>
      <c r="B8831" s="258"/>
      <c r="C8831" s="247"/>
    </row>
    <row r="8832">
      <c r="A8832" s="247"/>
      <c r="B8832" s="258"/>
      <c r="C8832" s="247"/>
    </row>
    <row r="8833">
      <c r="A8833" s="247"/>
      <c r="B8833" s="258"/>
      <c r="C8833" s="247"/>
    </row>
    <row r="8834">
      <c r="A8834" s="247"/>
      <c r="B8834" s="258"/>
      <c r="C8834" s="247"/>
    </row>
    <row r="8835">
      <c r="A8835" s="247"/>
      <c r="B8835" s="258"/>
      <c r="C8835" s="247"/>
    </row>
    <row r="8836">
      <c r="A8836" s="247"/>
      <c r="B8836" s="258"/>
      <c r="C8836" s="247"/>
    </row>
    <row r="8837">
      <c r="A8837" s="247"/>
      <c r="B8837" s="258"/>
      <c r="C8837" s="247"/>
    </row>
    <row r="8838">
      <c r="A8838" s="247"/>
      <c r="B8838" s="258"/>
      <c r="C8838" s="247"/>
    </row>
    <row r="8839">
      <c r="A8839" s="247"/>
      <c r="B8839" s="258"/>
      <c r="C8839" s="247"/>
    </row>
    <row r="8840">
      <c r="A8840" s="247"/>
      <c r="B8840" s="258"/>
      <c r="C8840" s="247"/>
    </row>
    <row r="8841">
      <c r="A8841" s="247"/>
      <c r="B8841" s="258"/>
      <c r="C8841" s="247"/>
    </row>
    <row r="8842">
      <c r="A8842" s="247"/>
      <c r="B8842" s="258"/>
      <c r="C8842" s="247"/>
    </row>
    <row r="8843">
      <c r="A8843" s="247"/>
      <c r="B8843" s="258"/>
      <c r="C8843" s="247"/>
    </row>
    <row r="8844">
      <c r="A8844" s="247"/>
      <c r="B8844" s="258"/>
      <c r="C8844" s="247"/>
    </row>
    <row r="8845">
      <c r="A8845" s="247"/>
      <c r="B8845" s="258"/>
      <c r="C8845" s="247"/>
    </row>
    <row r="8846">
      <c r="A8846" s="247"/>
      <c r="B8846" s="258"/>
      <c r="C8846" s="247"/>
    </row>
    <row r="8847">
      <c r="A8847" s="247"/>
      <c r="B8847" s="258"/>
      <c r="C8847" s="247"/>
    </row>
    <row r="8848">
      <c r="A8848" s="247"/>
      <c r="B8848" s="258"/>
      <c r="C8848" s="247"/>
    </row>
    <row r="8849">
      <c r="A8849" s="247"/>
      <c r="B8849" s="258"/>
      <c r="C8849" s="247"/>
    </row>
    <row r="8850">
      <c r="A8850" s="247"/>
      <c r="B8850" s="258"/>
      <c r="C8850" s="247"/>
    </row>
    <row r="8851">
      <c r="A8851" s="247"/>
      <c r="B8851" s="258"/>
      <c r="C8851" s="247"/>
    </row>
    <row r="8852">
      <c r="A8852" s="247"/>
      <c r="B8852" s="258"/>
      <c r="C8852" s="247"/>
    </row>
    <row r="8853">
      <c r="A8853" s="247"/>
      <c r="B8853" s="258"/>
      <c r="C8853" s="247"/>
    </row>
    <row r="8854">
      <c r="A8854" s="247"/>
      <c r="B8854" s="258"/>
      <c r="C8854" s="247"/>
    </row>
    <row r="8855">
      <c r="A8855" s="247"/>
      <c r="B8855" s="258"/>
      <c r="C8855" s="247"/>
    </row>
    <row r="8856">
      <c r="A8856" s="247"/>
      <c r="B8856" s="258"/>
      <c r="C8856" s="247"/>
    </row>
    <row r="8857">
      <c r="A8857" s="247"/>
      <c r="B8857" s="258"/>
      <c r="C8857" s="247"/>
    </row>
    <row r="8858">
      <c r="A8858" s="247"/>
      <c r="B8858" s="258"/>
      <c r="C8858" s="247"/>
    </row>
    <row r="8859">
      <c r="A8859" s="247"/>
      <c r="B8859" s="258"/>
      <c r="C8859" s="247"/>
    </row>
    <row r="8860">
      <c r="A8860" s="247"/>
      <c r="B8860" s="258"/>
      <c r="C8860" s="247"/>
    </row>
    <row r="8861">
      <c r="A8861" s="247"/>
      <c r="B8861" s="258"/>
      <c r="C8861" s="247"/>
    </row>
    <row r="8862">
      <c r="A8862" s="247"/>
      <c r="B8862" s="258"/>
      <c r="C8862" s="247"/>
    </row>
    <row r="8863">
      <c r="A8863" s="247"/>
      <c r="B8863" s="258"/>
      <c r="C8863" s="247"/>
    </row>
    <row r="8864">
      <c r="A8864" s="247"/>
      <c r="B8864" s="258"/>
      <c r="C8864" s="247"/>
    </row>
    <row r="8865">
      <c r="A8865" s="247"/>
      <c r="B8865" s="258"/>
      <c r="C8865" s="247"/>
    </row>
    <row r="8866">
      <c r="A8866" s="247"/>
      <c r="B8866" s="258"/>
      <c r="C8866" s="247"/>
    </row>
    <row r="8867">
      <c r="A8867" s="247"/>
      <c r="B8867" s="258"/>
      <c r="C8867" s="247"/>
    </row>
    <row r="8868">
      <c r="A8868" s="247"/>
      <c r="B8868" s="258"/>
      <c r="C8868" s="247"/>
    </row>
    <row r="8869">
      <c r="A8869" s="247"/>
      <c r="B8869" s="258"/>
      <c r="C8869" s="247"/>
    </row>
    <row r="8870">
      <c r="A8870" s="247"/>
      <c r="B8870" s="258"/>
      <c r="C8870" s="247"/>
    </row>
    <row r="8871">
      <c r="A8871" s="247"/>
      <c r="B8871" s="258"/>
      <c r="C8871" s="247"/>
    </row>
    <row r="8872">
      <c r="A8872" s="247"/>
      <c r="B8872" s="258"/>
      <c r="C8872" s="247"/>
    </row>
    <row r="8873">
      <c r="A8873" s="247"/>
      <c r="B8873" s="258"/>
      <c r="C8873" s="247"/>
    </row>
    <row r="8874">
      <c r="A8874" s="247"/>
      <c r="B8874" s="258"/>
      <c r="C8874" s="247"/>
    </row>
    <row r="8875">
      <c r="A8875" s="247"/>
      <c r="B8875" s="258"/>
      <c r="C8875" s="247"/>
    </row>
    <row r="8876">
      <c r="A8876" s="247"/>
      <c r="B8876" s="258"/>
      <c r="C8876" s="247"/>
    </row>
    <row r="8877">
      <c r="A8877" s="247"/>
      <c r="B8877" s="258"/>
      <c r="C8877" s="247"/>
    </row>
    <row r="8878">
      <c r="A8878" s="247"/>
      <c r="B8878" s="258"/>
      <c r="C8878" s="247"/>
    </row>
    <row r="8879">
      <c r="A8879" s="247"/>
      <c r="B8879" s="258"/>
      <c r="C8879" s="247"/>
    </row>
    <row r="8880">
      <c r="A8880" s="247"/>
      <c r="B8880" s="258"/>
      <c r="C8880" s="247"/>
    </row>
    <row r="8881">
      <c r="A8881" s="247"/>
      <c r="B8881" s="258"/>
      <c r="C8881" s="247"/>
    </row>
    <row r="8882">
      <c r="A8882" s="247"/>
      <c r="B8882" s="258"/>
      <c r="C8882" s="247"/>
    </row>
    <row r="8883">
      <c r="A8883" s="247"/>
      <c r="B8883" s="258"/>
      <c r="C8883" s="247"/>
    </row>
    <row r="8884">
      <c r="A8884" s="247"/>
      <c r="B8884" s="258"/>
      <c r="C8884" s="247"/>
    </row>
    <row r="8885">
      <c r="A8885" s="247"/>
      <c r="B8885" s="258"/>
      <c r="C8885" s="247"/>
    </row>
    <row r="8886">
      <c r="A8886" s="247"/>
      <c r="B8886" s="258"/>
      <c r="C8886" s="247"/>
    </row>
    <row r="8887">
      <c r="A8887" s="247"/>
      <c r="B8887" s="258"/>
      <c r="C8887" s="247"/>
    </row>
    <row r="8888">
      <c r="A8888" s="247"/>
      <c r="B8888" s="258"/>
      <c r="C8888" s="247"/>
    </row>
    <row r="8889">
      <c r="A8889" s="247"/>
      <c r="B8889" s="258"/>
      <c r="C8889" s="247"/>
    </row>
    <row r="8890">
      <c r="A8890" s="247"/>
      <c r="B8890" s="258"/>
      <c r="C8890" s="247"/>
    </row>
    <row r="8891">
      <c r="A8891" s="247"/>
      <c r="B8891" s="258"/>
      <c r="C8891" s="247"/>
    </row>
    <row r="8892">
      <c r="A8892" s="247"/>
      <c r="B8892" s="258"/>
      <c r="C8892" s="247"/>
    </row>
    <row r="8893">
      <c r="A8893" s="247"/>
      <c r="B8893" s="258"/>
      <c r="C8893" s="247"/>
    </row>
    <row r="8894">
      <c r="A8894" s="247"/>
      <c r="B8894" s="258"/>
      <c r="C8894" s="247"/>
    </row>
    <row r="8895">
      <c r="A8895" s="247"/>
      <c r="B8895" s="258"/>
      <c r="C8895" s="247"/>
    </row>
    <row r="8896">
      <c r="A8896" s="247"/>
      <c r="B8896" s="258"/>
      <c r="C8896" s="247"/>
    </row>
    <row r="8897">
      <c r="A8897" s="247"/>
      <c r="B8897" s="258"/>
      <c r="C8897" s="247"/>
    </row>
    <row r="8898">
      <c r="A8898" s="247"/>
      <c r="B8898" s="258"/>
      <c r="C8898" s="247"/>
    </row>
    <row r="8899">
      <c r="A8899" s="247"/>
      <c r="B8899" s="258"/>
      <c r="C8899" s="247"/>
    </row>
    <row r="8900">
      <c r="A8900" s="247"/>
      <c r="B8900" s="258"/>
      <c r="C8900" s="247"/>
    </row>
    <row r="8901">
      <c r="A8901" s="247"/>
      <c r="B8901" s="258"/>
      <c r="C8901" s="247"/>
    </row>
    <row r="8902">
      <c r="A8902" s="247"/>
      <c r="B8902" s="258"/>
      <c r="C8902" s="247"/>
    </row>
    <row r="8903">
      <c r="A8903" s="247"/>
      <c r="B8903" s="258"/>
      <c r="C8903" s="247"/>
    </row>
    <row r="8904">
      <c r="A8904" s="247"/>
      <c r="B8904" s="258"/>
      <c r="C8904" s="247"/>
    </row>
    <row r="8905">
      <c r="A8905" s="247"/>
      <c r="B8905" s="258"/>
      <c r="C8905" s="247"/>
    </row>
    <row r="8906">
      <c r="A8906" s="247"/>
      <c r="B8906" s="258"/>
      <c r="C8906" s="247"/>
    </row>
    <row r="8907">
      <c r="A8907" s="247"/>
      <c r="B8907" s="258"/>
      <c r="C8907" s="247"/>
    </row>
    <row r="8908">
      <c r="A8908" s="247"/>
      <c r="B8908" s="258"/>
      <c r="C8908" s="247"/>
    </row>
    <row r="8909">
      <c r="A8909" s="247"/>
      <c r="B8909" s="258"/>
      <c r="C8909" s="247"/>
    </row>
    <row r="8910">
      <c r="A8910" s="247"/>
      <c r="B8910" s="258"/>
      <c r="C8910" s="247"/>
    </row>
    <row r="8911">
      <c r="A8911" s="247"/>
      <c r="B8911" s="258"/>
      <c r="C8911" s="247"/>
    </row>
    <row r="8912">
      <c r="A8912" s="247"/>
      <c r="B8912" s="258"/>
      <c r="C8912" s="247"/>
    </row>
    <row r="8913">
      <c r="A8913" s="247"/>
      <c r="B8913" s="258"/>
      <c r="C8913" s="247"/>
    </row>
    <row r="8914">
      <c r="A8914" s="247"/>
      <c r="B8914" s="258"/>
      <c r="C8914" s="247"/>
    </row>
    <row r="8915">
      <c r="A8915" s="247"/>
      <c r="B8915" s="258"/>
      <c r="C8915" s="247"/>
    </row>
    <row r="8916">
      <c r="A8916" s="247"/>
      <c r="B8916" s="258"/>
      <c r="C8916" s="247"/>
    </row>
    <row r="8917">
      <c r="A8917" s="247"/>
      <c r="B8917" s="258"/>
      <c r="C8917" s="247"/>
    </row>
    <row r="8918">
      <c r="A8918" s="247"/>
      <c r="B8918" s="258"/>
      <c r="C8918" s="247"/>
    </row>
    <row r="8919">
      <c r="A8919" s="247"/>
      <c r="B8919" s="258"/>
      <c r="C8919" s="247"/>
    </row>
    <row r="8920">
      <c r="A8920" s="247"/>
      <c r="B8920" s="258"/>
      <c r="C8920" s="247"/>
    </row>
    <row r="8921">
      <c r="A8921" s="247"/>
      <c r="B8921" s="258"/>
      <c r="C8921" s="247"/>
    </row>
    <row r="8922">
      <c r="A8922" s="247"/>
      <c r="B8922" s="258"/>
      <c r="C8922" s="247"/>
    </row>
    <row r="8923">
      <c r="A8923" s="247"/>
      <c r="B8923" s="258"/>
      <c r="C8923" s="247"/>
    </row>
    <row r="8924">
      <c r="A8924" s="247"/>
      <c r="B8924" s="258"/>
      <c r="C8924" s="247"/>
    </row>
    <row r="8925">
      <c r="A8925" s="247"/>
      <c r="B8925" s="258"/>
      <c r="C8925" s="247"/>
    </row>
    <row r="8926">
      <c r="A8926" s="247"/>
      <c r="B8926" s="258"/>
      <c r="C8926" s="247"/>
    </row>
    <row r="8927">
      <c r="A8927" s="247"/>
      <c r="B8927" s="258"/>
      <c r="C8927" s="247"/>
    </row>
    <row r="8928">
      <c r="A8928" s="247"/>
      <c r="B8928" s="258"/>
      <c r="C8928" s="247"/>
    </row>
    <row r="8929">
      <c r="A8929" s="247"/>
      <c r="B8929" s="258"/>
      <c r="C8929" s="247"/>
    </row>
    <row r="8930">
      <c r="A8930" s="247"/>
      <c r="B8930" s="258"/>
      <c r="C8930" s="247"/>
    </row>
    <row r="8931">
      <c r="A8931" s="247"/>
      <c r="B8931" s="258"/>
      <c r="C8931" s="247"/>
    </row>
    <row r="8932">
      <c r="A8932" s="247"/>
      <c r="B8932" s="258"/>
      <c r="C8932" s="247"/>
    </row>
    <row r="8933">
      <c r="A8933" s="247"/>
      <c r="B8933" s="258"/>
      <c r="C8933" s="247"/>
    </row>
    <row r="8934">
      <c r="A8934" s="247"/>
      <c r="B8934" s="258"/>
      <c r="C8934" s="247"/>
    </row>
    <row r="8935">
      <c r="A8935" s="247"/>
      <c r="B8935" s="258"/>
      <c r="C8935" s="247"/>
    </row>
    <row r="8936">
      <c r="A8936" s="247"/>
      <c r="B8936" s="258"/>
      <c r="C8936" s="247"/>
    </row>
    <row r="8937">
      <c r="A8937" s="247"/>
      <c r="B8937" s="258"/>
      <c r="C8937" s="247"/>
    </row>
    <row r="8938">
      <c r="A8938" s="247"/>
      <c r="B8938" s="258"/>
      <c r="C8938" s="247"/>
    </row>
    <row r="8939">
      <c r="A8939" s="247"/>
      <c r="B8939" s="258"/>
      <c r="C8939" s="247"/>
    </row>
    <row r="8940">
      <c r="A8940" s="247"/>
      <c r="B8940" s="258"/>
      <c r="C8940" s="247"/>
    </row>
    <row r="8941">
      <c r="A8941" s="247"/>
      <c r="B8941" s="258"/>
      <c r="C8941" s="247"/>
    </row>
    <row r="8942">
      <c r="A8942" s="247"/>
      <c r="B8942" s="258"/>
      <c r="C8942" s="247"/>
    </row>
    <row r="8943">
      <c r="A8943" s="247"/>
      <c r="B8943" s="258"/>
      <c r="C8943" s="247"/>
    </row>
    <row r="8944">
      <c r="A8944" s="247"/>
      <c r="B8944" s="258"/>
      <c r="C8944" s="247"/>
    </row>
    <row r="8945">
      <c r="A8945" s="247"/>
      <c r="B8945" s="258"/>
      <c r="C8945" s="247"/>
    </row>
    <row r="8946">
      <c r="A8946" s="247"/>
      <c r="B8946" s="258"/>
      <c r="C8946" s="247"/>
    </row>
    <row r="8947">
      <c r="A8947" s="247"/>
      <c r="B8947" s="258"/>
      <c r="C8947" s="247"/>
    </row>
    <row r="8948">
      <c r="A8948" s="247"/>
      <c r="B8948" s="258"/>
      <c r="C8948" s="247"/>
    </row>
    <row r="8949">
      <c r="A8949" s="247"/>
      <c r="B8949" s="258"/>
      <c r="C8949" s="247"/>
    </row>
    <row r="8950">
      <c r="A8950" s="247"/>
      <c r="B8950" s="258"/>
      <c r="C8950" s="247"/>
    </row>
    <row r="8951">
      <c r="A8951" s="247"/>
      <c r="B8951" s="258"/>
      <c r="C8951" s="247"/>
    </row>
    <row r="8952">
      <c r="A8952" s="247"/>
      <c r="B8952" s="258"/>
      <c r="C8952" s="247"/>
    </row>
    <row r="8953">
      <c r="A8953" s="247"/>
      <c r="B8953" s="258"/>
      <c r="C8953" s="247"/>
    </row>
    <row r="8954">
      <c r="A8954" s="247"/>
      <c r="B8954" s="258"/>
      <c r="C8954" s="247"/>
    </row>
    <row r="8955">
      <c r="A8955" s="247"/>
      <c r="B8955" s="258"/>
      <c r="C8955" s="247"/>
    </row>
    <row r="8956">
      <c r="A8956" s="247"/>
      <c r="B8956" s="258"/>
      <c r="C8956" s="247"/>
    </row>
    <row r="8957">
      <c r="A8957" s="247"/>
      <c r="B8957" s="258"/>
      <c r="C8957" s="247"/>
    </row>
    <row r="8958">
      <c r="A8958" s="247"/>
      <c r="B8958" s="258"/>
      <c r="C8958" s="247"/>
    </row>
    <row r="8959">
      <c r="A8959" s="247"/>
      <c r="B8959" s="258"/>
      <c r="C8959" s="247"/>
    </row>
    <row r="8960">
      <c r="A8960" s="247"/>
      <c r="B8960" s="258"/>
      <c r="C8960" s="247"/>
    </row>
    <row r="8961">
      <c r="A8961" s="247"/>
      <c r="B8961" s="258"/>
      <c r="C8961" s="247"/>
    </row>
    <row r="8962">
      <c r="A8962" s="247"/>
      <c r="B8962" s="258"/>
      <c r="C8962" s="247"/>
    </row>
    <row r="8963">
      <c r="A8963" s="247"/>
      <c r="B8963" s="258"/>
      <c r="C8963" s="247"/>
    </row>
    <row r="8964">
      <c r="A8964" s="247"/>
      <c r="B8964" s="258"/>
      <c r="C8964" s="247"/>
    </row>
    <row r="8965">
      <c r="A8965" s="247"/>
      <c r="B8965" s="258"/>
      <c r="C8965" s="247"/>
    </row>
    <row r="8966">
      <c r="A8966" s="247"/>
      <c r="B8966" s="258"/>
      <c r="C8966" s="247"/>
    </row>
    <row r="8967">
      <c r="A8967" s="247"/>
      <c r="B8967" s="258"/>
      <c r="C8967" s="247"/>
    </row>
    <row r="8968">
      <c r="A8968" s="247"/>
      <c r="B8968" s="258"/>
      <c r="C8968" s="247"/>
    </row>
    <row r="8969">
      <c r="A8969" s="247"/>
      <c r="B8969" s="258"/>
      <c r="C8969" s="247"/>
    </row>
    <row r="8970">
      <c r="A8970" s="247"/>
      <c r="B8970" s="258"/>
      <c r="C8970" s="247"/>
    </row>
    <row r="8971">
      <c r="A8971" s="247"/>
      <c r="B8971" s="258"/>
      <c r="C8971" s="247"/>
    </row>
    <row r="8972">
      <c r="A8972" s="247"/>
      <c r="B8972" s="258"/>
      <c r="C8972" s="247"/>
    </row>
    <row r="8973">
      <c r="A8973" s="247"/>
      <c r="B8973" s="258"/>
      <c r="C8973" s="247"/>
    </row>
    <row r="8974">
      <c r="A8974" s="247"/>
      <c r="B8974" s="258"/>
      <c r="C8974" s="247"/>
    </row>
    <row r="8975">
      <c r="A8975" s="247"/>
      <c r="B8975" s="258"/>
      <c r="C8975" s="247"/>
    </row>
    <row r="8976">
      <c r="A8976" s="247"/>
      <c r="B8976" s="258"/>
      <c r="C8976" s="247"/>
    </row>
    <row r="8977">
      <c r="A8977" s="247"/>
      <c r="B8977" s="258"/>
      <c r="C8977" s="247"/>
    </row>
    <row r="8978">
      <c r="A8978" s="247"/>
      <c r="B8978" s="258"/>
      <c r="C8978" s="247"/>
    </row>
    <row r="8979">
      <c r="A8979" s="247"/>
      <c r="B8979" s="258"/>
      <c r="C8979" s="247"/>
    </row>
    <row r="8980">
      <c r="A8980" s="247"/>
      <c r="B8980" s="258"/>
      <c r="C8980" s="247"/>
    </row>
    <row r="8981">
      <c r="A8981" s="247"/>
      <c r="B8981" s="258"/>
      <c r="C8981" s="247"/>
    </row>
    <row r="8982">
      <c r="A8982" s="247"/>
      <c r="B8982" s="258"/>
      <c r="C8982" s="247"/>
    </row>
    <row r="8983">
      <c r="A8983" s="247"/>
      <c r="B8983" s="258"/>
      <c r="C8983" s="247"/>
    </row>
    <row r="8984">
      <c r="A8984" s="247"/>
      <c r="B8984" s="258"/>
      <c r="C8984" s="247"/>
    </row>
    <row r="8985">
      <c r="A8985" s="247"/>
      <c r="B8985" s="258"/>
      <c r="C8985" s="247"/>
    </row>
    <row r="8986">
      <c r="A8986" s="247"/>
      <c r="B8986" s="258"/>
      <c r="C8986" s="247"/>
    </row>
    <row r="8987">
      <c r="A8987" s="247"/>
      <c r="B8987" s="258"/>
      <c r="C8987" s="247"/>
    </row>
    <row r="8988">
      <c r="A8988" s="247"/>
      <c r="B8988" s="258"/>
      <c r="C8988" s="247"/>
    </row>
    <row r="8989">
      <c r="A8989" s="247"/>
      <c r="B8989" s="258"/>
      <c r="C8989" s="247"/>
    </row>
    <row r="8990">
      <c r="A8990" s="247"/>
      <c r="B8990" s="258"/>
      <c r="C8990" s="247"/>
    </row>
    <row r="8991">
      <c r="A8991" s="247"/>
      <c r="B8991" s="258"/>
      <c r="C8991" s="247"/>
    </row>
    <row r="8992">
      <c r="A8992" s="247"/>
      <c r="B8992" s="258"/>
      <c r="C8992" s="247"/>
    </row>
    <row r="8993">
      <c r="A8993" s="247"/>
      <c r="B8993" s="258"/>
      <c r="C8993" s="247"/>
    </row>
    <row r="8994">
      <c r="A8994" s="247"/>
      <c r="B8994" s="258"/>
      <c r="C8994" s="247"/>
    </row>
    <row r="8995">
      <c r="A8995" s="247"/>
      <c r="B8995" s="258"/>
      <c r="C8995" s="247"/>
    </row>
    <row r="8996">
      <c r="A8996" s="247"/>
      <c r="B8996" s="258"/>
      <c r="C8996" s="247"/>
    </row>
    <row r="8997">
      <c r="A8997" s="247"/>
      <c r="B8997" s="258"/>
      <c r="C8997" s="247"/>
    </row>
    <row r="8998">
      <c r="A8998" s="247"/>
      <c r="B8998" s="258"/>
      <c r="C8998" s="247"/>
    </row>
    <row r="8999">
      <c r="A8999" s="247"/>
      <c r="B8999" s="258"/>
      <c r="C8999" s="247"/>
    </row>
    <row r="9000">
      <c r="A9000" s="247"/>
      <c r="B9000" s="258"/>
      <c r="C9000" s="247"/>
    </row>
    <row r="9001">
      <c r="A9001" s="247"/>
      <c r="B9001" s="258"/>
      <c r="C9001" s="247"/>
    </row>
    <row r="9002">
      <c r="A9002" s="247"/>
      <c r="B9002" s="258"/>
      <c r="C9002" s="247"/>
    </row>
    <row r="9003">
      <c r="A9003" s="247"/>
      <c r="B9003" s="258"/>
      <c r="C9003" s="247"/>
    </row>
    <row r="9004">
      <c r="A9004" s="247"/>
      <c r="B9004" s="258"/>
      <c r="C9004" s="247"/>
    </row>
    <row r="9005">
      <c r="A9005" s="247"/>
      <c r="B9005" s="258"/>
      <c r="C9005" s="247"/>
    </row>
    <row r="9006">
      <c r="A9006" s="247"/>
      <c r="B9006" s="258"/>
      <c r="C9006" s="247"/>
    </row>
    <row r="9007">
      <c r="A9007" s="247"/>
      <c r="B9007" s="258"/>
      <c r="C9007" s="247"/>
    </row>
    <row r="9008">
      <c r="A9008" s="247"/>
      <c r="B9008" s="258"/>
      <c r="C9008" s="247"/>
    </row>
    <row r="9009">
      <c r="A9009" s="247"/>
      <c r="B9009" s="258"/>
      <c r="C9009" s="247"/>
    </row>
    <row r="9010">
      <c r="A9010" s="247"/>
      <c r="B9010" s="258"/>
      <c r="C9010" s="247"/>
    </row>
    <row r="9011">
      <c r="A9011" s="247"/>
      <c r="B9011" s="258"/>
      <c r="C9011" s="247"/>
    </row>
    <row r="9012">
      <c r="A9012" s="247"/>
      <c r="B9012" s="258"/>
      <c r="C9012" s="247"/>
    </row>
    <row r="9013">
      <c r="A9013" s="247"/>
      <c r="B9013" s="258"/>
      <c r="C9013" s="247"/>
    </row>
    <row r="9014">
      <c r="A9014" s="247"/>
      <c r="B9014" s="258"/>
      <c r="C9014" s="247"/>
    </row>
    <row r="9015">
      <c r="A9015" s="247"/>
      <c r="B9015" s="258"/>
      <c r="C9015" s="247"/>
    </row>
    <row r="9016">
      <c r="A9016" s="247"/>
      <c r="B9016" s="258"/>
      <c r="C9016" s="247"/>
    </row>
    <row r="9017">
      <c r="A9017" s="247"/>
      <c r="B9017" s="258"/>
      <c r="C9017" s="247"/>
    </row>
    <row r="9018">
      <c r="A9018" s="247"/>
      <c r="B9018" s="258"/>
      <c r="C9018" s="247"/>
    </row>
    <row r="9019">
      <c r="A9019" s="247"/>
      <c r="B9019" s="258"/>
      <c r="C9019" s="247"/>
    </row>
    <row r="9020">
      <c r="A9020" s="247"/>
      <c r="B9020" s="258"/>
      <c r="C9020" s="247"/>
    </row>
    <row r="9021">
      <c r="A9021" s="247"/>
      <c r="B9021" s="258"/>
      <c r="C9021" s="247"/>
    </row>
    <row r="9022">
      <c r="A9022" s="247"/>
      <c r="B9022" s="258"/>
      <c r="C9022" s="247"/>
    </row>
    <row r="9023">
      <c r="A9023" s="247"/>
      <c r="B9023" s="258"/>
      <c r="C9023" s="247"/>
    </row>
    <row r="9024">
      <c r="A9024" s="247"/>
      <c r="B9024" s="258"/>
      <c r="C9024" s="247"/>
    </row>
    <row r="9025">
      <c r="A9025" s="247"/>
      <c r="B9025" s="258"/>
      <c r="C9025" s="247"/>
    </row>
    <row r="9026">
      <c r="A9026" s="247"/>
      <c r="B9026" s="258"/>
      <c r="C9026" s="247"/>
    </row>
    <row r="9027">
      <c r="A9027" s="247"/>
      <c r="B9027" s="258"/>
      <c r="C9027" s="247"/>
    </row>
    <row r="9028">
      <c r="A9028" s="247"/>
      <c r="B9028" s="258"/>
      <c r="C9028" s="247"/>
    </row>
    <row r="9029">
      <c r="A9029" s="247"/>
      <c r="B9029" s="258"/>
      <c r="C9029" s="247"/>
    </row>
    <row r="9030">
      <c r="A9030" s="247"/>
      <c r="B9030" s="258"/>
      <c r="C9030" s="247"/>
    </row>
    <row r="9031">
      <c r="A9031" s="247"/>
      <c r="B9031" s="258"/>
      <c r="C9031" s="247"/>
    </row>
    <row r="9032">
      <c r="A9032" s="247"/>
      <c r="B9032" s="258"/>
      <c r="C9032" s="247"/>
    </row>
    <row r="9033">
      <c r="A9033" s="247"/>
      <c r="B9033" s="258"/>
      <c r="C9033" s="247"/>
    </row>
    <row r="9034">
      <c r="A9034" s="247"/>
      <c r="B9034" s="258"/>
      <c r="C9034" s="247"/>
    </row>
    <row r="9035">
      <c r="A9035" s="247"/>
      <c r="B9035" s="258"/>
      <c r="C9035" s="247"/>
    </row>
    <row r="9036">
      <c r="A9036" s="247"/>
      <c r="B9036" s="258"/>
      <c r="C9036" s="247"/>
    </row>
    <row r="9037">
      <c r="A9037" s="247"/>
      <c r="B9037" s="258"/>
      <c r="C9037" s="247"/>
    </row>
    <row r="9038">
      <c r="A9038" s="247"/>
      <c r="B9038" s="258"/>
      <c r="C9038" s="247"/>
    </row>
    <row r="9039">
      <c r="A9039" s="247"/>
      <c r="B9039" s="258"/>
      <c r="C9039" s="247"/>
    </row>
    <row r="9040">
      <c r="A9040" s="247"/>
      <c r="B9040" s="258"/>
      <c r="C9040" s="247"/>
    </row>
    <row r="9041">
      <c r="A9041" s="247"/>
      <c r="B9041" s="258"/>
      <c r="C9041" s="247"/>
    </row>
    <row r="9042">
      <c r="A9042" s="247"/>
      <c r="B9042" s="258"/>
      <c r="C9042" s="247"/>
    </row>
    <row r="9043">
      <c r="A9043" s="247"/>
      <c r="B9043" s="258"/>
      <c r="C9043" s="247"/>
    </row>
    <row r="9044">
      <c r="A9044" s="247"/>
      <c r="B9044" s="258"/>
      <c r="C9044" s="247"/>
    </row>
    <row r="9045">
      <c r="A9045" s="247"/>
      <c r="B9045" s="258"/>
      <c r="C9045" s="247"/>
    </row>
    <row r="9046">
      <c r="A9046" s="247"/>
      <c r="B9046" s="258"/>
      <c r="C9046" s="247"/>
    </row>
    <row r="9047">
      <c r="A9047" s="247"/>
      <c r="B9047" s="258"/>
      <c r="C9047" s="247"/>
    </row>
    <row r="9048">
      <c r="A9048" s="247"/>
      <c r="B9048" s="258"/>
      <c r="C9048" s="247"/>
    </row>
    <row r="9049">
      <c r="A9049" s="247"/>
      <c r="B9049" s="258"/>
      <c r="C9049" s="247"/>
    </row>
    <row r="9050">
      <c r="A9050" s="247"/>
      <c r="B9050" s="258"/>
      <c r="C9050" s="247"/>
    </row>
    <row r="9051">
      <c r="A9051" s="247"/>
      <c r="B9051" s="258"/>
      <c r="C9051" s="247"/>
    </row>
    <row r="9052">
      <c r="A9052" s="247"/>
      <c r="B9052" s="258"/>
      <c r="C9052" s="247"/>
    </row>
    <row r="9053">
      <c r="A9053" s="247"/>
      <c r="B9053" s="258"/>
      <c r="C9053" s="247"/>
    </row>
    <row r="9054">
      <c r="A9054" s="247"/>
      <c r="B9054" s="258"/>
      <c r="C9054" s="247"/>
    </row>
    <row r="9055">
      <c r="A9055" s="247"/>
      <c r="B9055" s="258"/>
      <c r="C9055" s="247"/>
    </row>
    <row r="9056">
      <c r="A9056" s="247"/>
      <c r="B9056" s="258"/>
      <c r="C9056" s="247"/>
    </row>
    <row r="9057">
      <c r="A9057" s="247"/>
      <c r="B9057" s="258"/>
      <c r="C9057" s="247"/>
    </row>
    <row r="9058">
      <c r="A9058" s="247"/>
      <c r="B9058" s="258"/>
      <c r="C9058" s="247"/>
    </row>
    <row r="9059">
      <c r="A9059" s="247"/>
      <c r="B9059" s="258"/>
      <c r="C9059" s="247"/>
    </row>
    <row r="9060">
      <c r="A9060" s="247"/>
      <c r="B9060" s="258"/>
      <c r="C9060" s="247"/>
    </row>
    <row r="9061">
      <c r="A9061" s="247"/>
      <c r="B9061" s="258"/>
      <c r="C9061" s="247"/>
    </row>
    <row r="9062">
      <c r="A9062" s="247"/>
      <c r="B9062" s="258"/>
      <c r="C9062" s="247"/>
    </row>
    <row r="9063">
      <c r="A9063" s="247"/>
      <c r="B9063" s="258"/>
      <c r="C9063" s="247"/>
    </row>
    <row r="9064">
      <c r="A9064" s="247"/>
      <c r="B9064" s="258"/>
      <c r="C9064" s="247"/>
    </row>
    <row r="9065">
      <c r="A9065" s="247"/>
      <c r="B9065" s="258"/>
      <c r="C9065" s="247"/>
    </row>
    <row r="9066">
      <c r="A9066" s="247"/>
      <c r="B9066" s="258"/>
      <c r="C9066" s="247"/>
    </row>
    <row r="9067">
      <c r="A9067" s="247"/>
      <c r="B9067" s="258"/>
      <c r="C9067" s="247"/>
    </row>
    <row r="9068">
      <c r="A9068" s="247"/>
      <c r="B9068" s="258"/>
      <c r="C9068" s="247"/>
    </row>
    <row r="9069">
      <c r="A9069" s="247"/>
      <c r="B9069" s="258"/>
      <c r="C9069" s="247"/>
    </row>
    <row r="9070">
      <c r="A9070" s="247"/>
      <c r="B9070" s="258"/>
      <c r="C9070" s="247"/>
    </row>
    <row r="9071">
      <c r="A9071" s="247"/>
      <c r="B9071" s="258"/>
      <c r="C9071" s="247"/>
    </row>
    <row r="9072">
      <c r="A9072" s="247"/>
      <c r="B9072" s="258"/>
      <c r="C9072" s="247"/>
    </row>
    <row r="9073">
      <c r="A9073" s="247"/>
      <c r="B9073" s="258"/>
      <c r="C9073" s="247"/>
    </row>
    <row r="9074">
      <c r="A9074" s="247"/>
      <c r="B9074" s="258"/>
      <c r="C9074" s="247"/>
    </row>
    <row r="9075">
      <c r="A9075" s="247"/>
      <c r="B9075" s="258"/>
      <c r="C9075" s="247"/>
    </row>
    <row r="9076">
      <c r="A9076" s="247"/>
      <c r="B9076" s="258"/>
      <c r="C9076" s="247"/>
    </row>
    <row r="9077">
      <c r="A9077" s="247"/>
      <c r="B9077" s="258"/>
      <c r="C9077" s="247"/>
    </row>
    <row r="9078">
      <c r="A9078" s="247"/>
      <c r="B9078" s="258"/>
      <c r="C9078" s="247"/>
    </row>
    <row r="9079">
      <c r="A9079" s="247"/>
      <c r="B9079" s="258"/>
      <c r="C9079" s="247"/>
    </row>
    <row r="9080">
      <c r="A9080" s="247"/>
      <c r="B9080" s="258"/>
      <c r="C9080" s="247"/>
    </row>
    <row r="9081">
      <c r="A9081" s="247"/>
      <c r="B9081" s="258"/>
      <c r="C9081" s="247"/>
    </row>
    <row r="9082">
      <c r="A9082" s="247"/>
      <c r="B9082" s="258"/>
      <c r="C9082" s="247"/>
    </row>
    <row r="9083">
      <c r="A9083" s="247"/>
      <c r="B9083" s="258"/>
      <c r="C9083" s="247"/>
    </row>
    <row r="9084">
      <c r="A9084" s="247"/>
      <c r="B9084" s="258"/>
      <c r="C9084" s="247"/>
    </row>
    <row r="9085">
      <c r="A9085" s="247"/>
      <c r="B9085" s="258"/>
      <c r="C9085" s="247"/>
    </row>
    <row r="9086">
      <c r="A9086" s="247"/>
      <c r="B9086" s="258"/>
      <c r="C9086" s="247"/>
    </row>
    <row r="9087">
      <c r="A9087" s="247"/>
      <c r="B9087" s="258"/>
      <c r="C9087" s="247"/>
    </row>
    <row r="9088">
      <c r="A9088" s="247"/>
      <c r="B9088" s="258"/>
      <c r="C9088" s="247"/>
    </row>
    <row r="9089">
      <c r="A9089" s="247"/>
      <c r="B9089" s="258"/>
      <c r="C9089" s="247"/>
    </row>
    <row r="9090">
      <c r="A9090" s="247"/>
      <c r="B9090" s="258"/>
      <c r="C9090" s="247"/>
    </row>
    <row r="9091">
      <c r="A9091" s="247"/>
      <c r="B9091" s="258"/>
      <c r="C9091" s="247"/>
    </row>
    <row r="9092">
      <c r="A9092" s="247"/>
      <c r="B9092" s="258"/>
      <c r="C9092" s="247"/>
    </row>
    <row r="9093">
      <c r="A9093" s="247"/>
      <c r="B9093" s="258"/>
      <c r="C9093" s="247"/>
    </row>
    <row r="9094">
      <c r="A9094" s="247"/>
      <c r="B9094" s="258"/>
      <c r="C9094" s="247"/>
    </row>
    <row r="9095">
      <c r="A9095" s="247"/>
      <c r="B9095" s="258"/>
      <c r="C9095" s="247"/>
    </row>
    <row r="9096">
      <c r="A9096" s="247"/>
      <c r="B9096" s="258"/>
      <c r="C9096" s="247"/>
    </row>
    <row r="9097">
      <c r="A9097" s="247"/>
      <c r="B9097" s="258"/>
      <c r="C9097" s="247"/>
    </row>
    <row r="9098">
      <c r="A9098" s="247"/>
      <c r="B9098" s="258"/>
      <c r="C9098" s="247"/>
    </row>
    <row r="9099">
      <c r="A9099" s="247"/>
      <c r="B9099" s="258"/>
      <c r="C9099" s="247"/>
    </row>
    <row r="9100">
      <c r="A9100" s="247"/>
      <c r="B9100" s="258"/>
      <c r="C9100" s="247"/>
    </row>
    <row r="9101">
      <c r="A9101" s="247"/>
      <c r="B9101" s="258"/>
      <c r="C9101" s="247"/>
    </row>
    <row r="9102">
      <c r="A9102" s="247"/>
      <c r="B9102" s="258"/>
      <c r="C9102" s="247"/>
    </row>
    <row r="9103">
      <c r="A9103" s="247"/>
      <c r="B9103" s="258"/>
      <c r="C9103" s="247"/>
    </row>
    <row r="9104">
      <c r="A9104" s="247"/>
      <c r="B9104" s="258"/>
      <c r="C9104" s="247"/>
    </row>
    <row r="9105">
      <c r="A9105" s="247"/>
      <c r="B9105" s="258"/>
      <c r="C9105" s="247"/>
    </row>
    <row r="9106">
      <c r="A9106" s="247"/>
      <c r="B9106" s="258"/>
      <c r="C9106" s="247"/>
    </row>
    <row r="9107">
      <c r="A9107" s="247"/>
      <c r="B9107" s="258"/>
      <c r="C9107" s="247"/>
    </row>
    <row r="9108">
      <c r="A9108" s="247"/>
      <c r="B9108" s="258"/>
      <c r="C9108" s="247"/>
    </row>
    <row r="9109">
      <c r="A9109" s="247"/>
      <c r="B9109" s="258"/>
      <c r="C9109" s="247"/>
    </row>
    <row r="9110">
      <c r="A9110" s="247"/>
      <c r="B9110" s="258"/>
      <c r="C9110" s="247"/>
    </row>
    <row r="9111">
      <c r="A9111" s="247"/>
      <c r="B9111" s="258"/>
      <c r="C9111" s="247"/>
    </row>
    <row r="9112">
      <c r="A9112" s="247"/>
      <c r="B9112" s="258"/>
      <c r="C9112" s="247"/>
    </row>
    <row r="9113">
      <c r="A9113" s="247"/>
      <c r="B9113" s="258"/>
      <c r="C9113" s="247"/>
    </row>
    <row r="9114">
      <c r="A9114" s="247"/>
      <c r="B9114" s="258"/>
      <c r="C9114" s="247"/>
    </row>
    <row r="9115">
      <c r="A9115" s="247"/>
      <c r="B9115" s="258"/>
      <c r="C9115" s="247"/>
    </row>
    <row r="9116">
      <c r="A9116" s="247"/>
      <c r="B9116" s="258"/>
      <c r="C9116" s="247"/>
    </row>
    <row r="9117">
      <c r="A9117" s="247"/>
      <c r="B9117" s="258"/>
      <c r="C9117" s="247"/>
    </row>
    <row r="9118">
      <c r="A9118" s="247"/>
      <c r="B9118" s="258"/>
      <c r="C9118" s="247"/>
    </row>
    <row r="9119">
      <c r="A9119" s="247"/>
      <c r="B9119" s="258"/>
      <c r="C9119" s="247"/>
    </row>
    <row r="9120">
      <c r="A9120" s="247"/>
      <c r="B9120" s="258"/>
      <c r="C9120" s="247"/>
    </row>
    <row r="9121">
      <c r="A9121" s="247"/>
      <c r="B9121" s="258"/>
      <c r="C9121" s="247"/>
    </row>
    <row r="9122">
      <c r="A9122" s="247"/>
      <c r="B9122" s="258"/>
      <c r="C9122" s="247"/>
    </row>
    <row r="9123">
      <c r="A9123" s="247"/>
      <c r="B9123" s="258"/>
      <c r="C9123" s="247"/>
    </row>
    <row r="9124">
      <c r="A9124" s="247"/>
      <c r="B9124" s="258"/>
      <c r="C9124" s="247"/>
    </row>
    <row r="9125">
      <c r="A9125" s="247"/>
      <c r="B9125" s="258"/>
      <c r="C9125" s="247"/>
    </row>
    <row r="9126">
      <c r="A9126" s="247"/>
      <c r="B9126" s="258"/>
      <c r="C9126" s="247"/>
    </row>
    <row r="9127">
      <c r="A9127" s="247"/>
      <c r="B9127" s="258"/>
      <c r="C9127" s="247"/>
    </row>
    <row r="9128">
      <c r="A9128" s="247"/>
      <c r="B9128" s="258"/>
      <c r="C9128" s="247"/>
    </row>
    <row r="9129">
      <c r="A9129" s="247"/>
      <c r="B9129" s="258"/>
      <c r="C9129" s="247"/>
    </row>
    <row r="9130">
      <c r="A9130" s="247"/>
      <c r="B9130" s="258"/>
      <c r="C9130" s="247"/>
    </row>
    <row r="9131">
      <c r="A9131" s="247"/>
      <c r="B9131" s="258"/>
      <c r="C9131" s="247"/>
    </row>
    <row r="9132">
      <c r="A9132" s="247"/>
      <c r="B9132" s="258"/>
      <c r="C9132" s="247"/>
    </row>
    <row r="9133">
      <c r="A9133" s="247"/>
      <c r="B9133" s="258"/>
      <c r="C9133" s="247"/>
    </row>
    <row r="9134">
      <c r="A9134" s="247"/>
      <c r="B9134" s="258"/>
      <c r="C9134" s="247"/>
    </row>
    <row r="9135">
      <c r="A9135" s="247"/>
      <c r="B9135" s="258"/>
      <c r="C9135" s="247"/>
    </row>
    <row r="9136">
      <c r="A9136" s="247"/>
      <c r="B9136" s="258"/>
      <c r="C9136" s="247"/>
    </row>
    <row r="9137">
      <c r="A9137" s="247"/>
      <c r="B9137" s="258"/>
      <c r="C9137" s="247"/>
    </row>
    <row r="9138">
      <c r="A9138" s="247"/>
      <c r="B9138" s="258"/>
      <c r="C9138" s="247"/>
    </row>
    <row r="9139">
      <c r="A9139" s="247"/>
      <c r="B9139" s="258"/>
      <c r="C9139" s="247"/>
    </row>
    <row r="9140">
      <c r="A9140" s="247"/>
      <c r="B9140" s="258"/>
      <c r="C9140" s="247"/>
    </row>
    <row r="9141">
      <c r="A9141" s="247"/>
      <c r="B9141" s="258"/>
      <c r="C9141" s="247"/>
    </row>
    <row r="9142">
      <c r="A9142" s="247"/>
      <c r="B9142" s="258"/>
      <c r="C9142" s="247"/>
    </row>
    <row r="9143">
      <c r="A9143" s="247"/>
      <c r="B9143" s="258"/>
      <c r="C9143" s="247"/>
    </row>
    <row r="9144">
      <c r="A9144" s="247"/>
      <c r="B9144" s="258"/>
      <c r="C9144" s="247"/>
    </row>
    <row r="9145">
      <c r="A9145" s="247"/>
      <c r="B9145" s="258"/>
      <c r="C9145" s="247"/>
    </row>
    <row r="9146">
      <c r="A9146" s="247"/>
      <c r="B9146" s="258"/>
      <c r="C9146" s="247"/>
    </row>
    <row r="9147">
      <c r="A9147" s="247"/>
      <c r="B9147" s="258"/>
      <c r="C9147" s="247"/>
    </row>
    <row r="9148">
      <c r="A9148" s="247"/>
      <c r="B9148" s="258"/>
      <c r="C9148" s="247"/>
    </row>
    <row r="9149">
      <c r="A9149" s="247"/>
      <c r="B9149" s="258"/>
      <c r="C9149" s="247"/>
    </row>
    <row r="9150">
      <c r="A9150" s="247"/>
      <c r="B9150" s="258"/>
      <c r="C9150" s="247"/>
    </row>
    <row r="9151">
      <c r="A9151" s="247"/>
      <c r="B9151" s="258"/>
      <c r="C9151" s="247"/>
    </row>
    <row r="9152">
      <c r="A9152" s="247"/>
      <c r="B9152" s="258"/>
      <c r="C9152" s="247"/>
    </row>
    <row r="9153">
      <c r="A9153" s="247"/>
      <c r="B9153" s="258"/>
      <c r="C9153" s="247"/>
    </row>
    <row r="9154">
      <c r="A9154" s="247"/>
      <c r="B9154" s="258"/>
      <c r="C9154" s="247"/>
    </row>
    <row r="9155">
      <c r="A9155" s="247"/>
      <c r="B9155" s="258"/>
      <c r="C9155" s="247"/>
    </row>
    <row r="9156">
      <c r="A9156" s="247"/>
      <c r="B9156" s="258"/>
      <c r="C9156" s="247"/>
    </row>
    <row r="9157">
      <c r="A9157" s="247"/>
      <c r="B9157" s="258"/>
      <c r="C9157" s="247"/>
    </row>
    <row r="9158">
      <c r="A9158" s="247"/>
      <c r="B9158" s="258"/>
      <c r="C9158" s="247"/>
    </row>
    <row r="9159">
      <c r="A9159" s="247"/>
      <c r="B9159" s="258"/>
      <c r="C9159" s="247"/>
    </row>
    <row r="9160">
      <c r="A9160" s="247"/>
      <c r="B9160" s="258"/>
      <c r="C9160" s="247"/>
    </row>
    <row r="9161">
      <c r="A9161" s="247"/>
      <c r="B9161" s="258"/>
      <c r="C9161" s="247"/>
    </row>
    <row r="9162">
      <c r="A9162" s="247"/>
      <c r="B9162" s="258"/>
      <c r="C9162" s="247"/>
    </row>
    <row r="9163">
      <c r="A9163" s="247"/>
      <c r="B9163" s="258"/>
      <c r="C9163" s="247"/>
    </row>
    <row r="9164">
      <c r="A9164" s="247"/>
      <c r="B9164" s="258"/>
      <c r="C9164" s="247"/>
    </row>
    <row r="9165">
      <c r="A9165" s="247"/>
      <c r="B9165" s="258"/>
      <c r="C9165" s="247"/>
    </row>
    <row r="9166">
      <c r="A9166" s="247"/>
      <c r="B9166" s="258"/>
      <c r="C9166" s="247"/>
    </row>
    <row r="9167">
      <c r="A9167" s="247"/>
      <c r="B9167" s="258"/>
      <c r="C9167" s="247"/>
    </row>
    <row r="9168">
      <c r="A9168" s="247"/>
      <c r="B9168" s="258"/>
      <c r="C9168" s="247"/>
    </row>
    <row r="9169">
      <c r="A9169" s="247"/>
      <c r="B9169" s="258"/>
      <c r="C9169" s="247"/>
    </row>
    <row r="9170">
      <c r="A9170" s="247"/>
      <c r="B9170" s="258"/>
      <c r="C9170" s="247"/>
    </row>
    <row r="9171">
      <c r="A9171" s="247"/>
      <c r="B9171" s="258"/>
      <c r="C9171" s="247"/>
    </row>
    <row r="9172">
      <c r="A9172" s="247"/>
      <c r="B9172" s="258"/>
      <c r="C9172" s="247"/>
    </row>
    <row r="9173">
      <c r="A9173" s="247"/>
      <c r="B9173" s="258"/>
      <c r="C9173" s="247"/>
    </row>
    <row r="9174">
      <c r="A9174" s="247"/>
      <c r="B9174" s="258"/>
      <c r="C9174" s="247"/>
    </row>
    <row r="9175">
      <c r="A9175" s="247"/>
      <c r="B9175" s="258"/>
      <c r="C9175" s="247"/>
    </row>
    <row r="9176">
      <c r="A9176" s="247"/>
      <c r="B9176" s="258"/>
      <c r="C9176" s="247"/>
    </row>
    <row r="9177">
      <c r="A9177" s="247"/>
      <c r="B9177" s="258"/>
      <c r="C9177" s="247"/>
    </row>
    <row r="9178">
      <c r="A9178" s="247"/>
      <c r="B9178" s="258"/>
      <c r="C9178" s="247"/>
    </row>
    <row r="9179">
      <c r="A9179" s="247"/>
      <c r="B9179" s="258"/>
      <c r="C9179" s="247"/>
    </row>
    <row r="9180">
      <c r="A9180" s="247"/>
      <c r="B9180" s="258"/>
      <c r="C9180" s="247"/>
    </row>
    <row r="9181">
      <c r="A9181" s="247"/>
      <c r="B9181" s="258"/>
      <c r="C9181" s="247"/>
    </row>
    <row r="9182">
      <c r="A9182" s="247"/>
      <c r="B9182" s="258"/>
      <c r="C9182" s="247"/>
    </row>
    <row r="9183">
      <c r="A9183" s="247"/>
      <c r="B9183" s="258"/>
      <c r="C9183" s="247"/>
    </row>
    <row r="9184">
      <c r="A9184" s="247"/>
      <c r="B9184" s="258"/>
      <c r="C9184" s="247"/>
    </row>
    <row r="9185">
      <c r="A9185" s="247"/>
      <c r="B9185" s="258"/>
      <c r="C9185" s="247"/>
    </row>
    <row r="9186">
      <c r="A9186" s="247"/>
      <c r="B9186" s="258"/>
      <c r="C9186" s="247"/>
    </row>
    <row r="9187">
      <c r="A9187" s="247"/>
      <c r="B9187" s="258"/>
      <c r="C9187" s="247"/>
    </row>
    <row r="9188">
      <c r="A9188" s="247"/>
      <c r="B9188" s="258"/>
      <c r="C9188" s="247"/>
    </row>
    <row r="9189">
      <c r="A9189" s="247"/>
      <c r="B9189" s="258"/>
      <c r="C9189" s="247"/>
    </row>
    <row r="9190">
      <c r="A9190" s="247"/>
      <c r="B9190" s="258"/>
      <c r="C9190" s="247"/>
    </row>
    <row r="9191">
      <c r="A9191" s="247"/>
      <c r="B9191" s="258"/>
      <c r="C9191" s="247"/>
    </row>
    <row r="9192">
      <c r="A9192" s="247"/>
      <c r="B9192" s="258"/>
      <c r="C9192" s="247"/>
    </row>
    <row r="9193">
      <c r="A9193" s="247"/>
      <c r="B9193" s="258"/>
      <c r="C9193" s="247"/>
    </row>
    <row r="9194">
      <c r="A9194" s="247"/>
      <c r="B9194" s="258"/>
      <c r="C9194" s="247"/>
    </row>
    <row r="9195">
      <c r="A9195" s="247"/>
      <c r="B9195" s="258"/>
      <c r="C9195" s="247"/>
    </row>
    <row r="9196">
      <c r="A9196" s="247"/>
      <c r="B9196" s="258"/>
      <c r="C9196" s="247"/>
    </row>
    <row r="9197">
      <c r="A9197" s="247"/>
      <c r="B9197" s="258"/>
      <c r="C9197" s="247"/>
    </row>
    <row r="9198">
      <c r="A9198" s="247"/>
      <c r="B9198" s="258"/>
      <c r="C9198" s="247"/>
    </row>
    <row r="9199">
      <c r="A9199" s="247"/>
      <c r="B9199" s="258"/>
      <c r="C9199" s="247"/>
    </row>
    <row r="9200">
      <c r="A9200" s="247"/>
      <c r="B9200" s="258"/>
      <c r="C9200" s="247"/>
    </row>
    <row r="9201">
      <c r="A9201" s="247"/>
      <c r="B9201" s="258"/>
      <c r="C9201" s="247"/>
    </row>
    <row r="9202">
      <c r="A9202" s="247"/>
      <c r="B9202" s="258"/>
      <c r="C9202" s="247"/>
    </row>
    <row r="9203">
      <c r="A9203" s="247"/>
      <c r="B9203" s="258"/>
      <c r="C9203" s="247"/>
    </row>
    <row r="9204">
      <c r="A9204" s="247"/>
      <c r="B9204" s="258"/>
      <c r="C9204" s="247"/>
    </row>
    <row r="9205">
      <c r="A9205" s="247"/>
      <c r="B9205" s="258"/>
      <c r="C9205" s="247"/>
    </row>
    <row r="9206">
      <c r="A9206" s="247"/>
      <c r="B9206" s="258"/>
      <c r="C9206" s="247"/>
    </row>
    <row r="9207">
      <c r="A9207" s="247"/>
      <c r="B9207" s="258"/>
      <c r="C9207" s="247"/>
    </row>
    <row r="9208">
      <c r="A9208" s="247"/>
      <c r="B9208" s="258"/>
      <c r="C9208" s="247"/>
    </row>
    <row r="9209">
      <c r="A9209" s="247"/>
      <c r="B9209" s="258"/>
      <c r="C9209" s="247"/>
    </row>
    <row r="9210">
      <c r="A9210" s="247"/>
      <c r="B9210" s="258"/>
      <c r="C9210" s="247"/>
    </row>
    <row r="9211">
      <c r="A9211" s="247"/>
      <c r="B9211" s="258"/>
      <c r="C9211" s="247"/>
    </row>
    <row r="9212">
      <c r="A9212" s="247"/>
      <c r="B9212" s="258"/>
      <c r="C9212" s="247"/>
    </row>
    <row r="9213">
      <c r="A9213" s="247"/>
      <c r="B9213" s="258"/>
      <c r="C9213" s="247"/>
    </row>
    <row r="9214">
      <c r="A9214" s="247"/>
      <c r="B9214" s="258"/>
      <c r="C9214" s="247"/>
    </row>
    <row r="9215">
      <c r="A9215" s="247"/>
      <c r="B9215" s="258"/>
      <c r="C9215" s="247"/>
    </row>
    <row r="9216">
      <c r="A9216" s="247"/>
      <c r="B9216" s="258"/>
      <c r="C9216" s="247"/>
    </row>
    <row r="9217">
      <c r="A9217" s="247"/>
      <c r="B9217" s="258"/>
      <c r="C9217" s="247"/>
    </row>
    <row r="9218">
      <c r="A9218" s="247"/>
      <c r="B9218" s="258"/>
      <c r="C9218" s="247"/>
    </row>
    <row r="9219">
      <c r="A9219" s="247"/>
      <c r="B9219" s="258"/>
      <c r="C9219" s="247"/>
    </row>
    <row r="9220">
      <c r="A9220" s="247"/>
      <c r="B9220" s="258"/>
      <c r="C9220" s="247"/>
    </row>
    <row r="9221">
      <c r="A9221" s="247"/>
      <c r="B9221" s="258"/>
      <c r="C9221" s="247"/>
    </row>
    <row r="9222">
      <c r="A9222" s="247"/>
      <c r="B9222" s="258"/>
      <c r="C9222" s="247"/>
    </row>
    <row r="9223">
      <c r="A9223" s="247"/>
      <c r="B9223" s="258"/>
      <c r="C9223" s="247"/>
    </row>
    <row r="9224">
      <c r="A9224" s="247"/>
      <c r="B9224" s="258"/>
      <c r="C9224" s="247"/>
    </row>
    <row r="9225">
      <c r="A9225" s="247"/>
      <c r="B9225" s="258"/>
      <c r="C9225" s="247"/>
    </row>
    <row r="9226">
      <c r="A9226" s="247"/>
      <c r="B9226" s="258"/>
      <c r="C9226" s="247"/>
    </row>
    <row r="9227">
      <c r="A9227" s="247"/>
      <c r="B9227" s="258"/>
      <c r="C9227" s="247"/>
    </row>
    <row r="9228">
      <c r="A9228" s="247"/>
      <c r="B9228" s="258"/>
      <c r="C9228" s="247"/>
    </row>
    <row r="9229">
      <c r="A9229" s="247"/>
      <c r="B9229" s="258"/>
      <c r="C9229" s="247"/>
    </row>
    <row r="9230">
      <c r="A9230" s="247"/>
      <c r="B9230" s="258"/>
      <c r="C9230" s="247"/>
    </row>
    <row r="9231">
      <c r="A9231" s="247"/>
      <c r="B9231" s="258"/>
      <c r="C9231" s="247"/>
    </row>
    <row r="9232">
      <c r="A9232" s="247"/>
      <c r="B9232" s="258"/>
      <c r="C9232" s="247"/>
    </row>
    <row r="9233">
      <c r="A9233" s="247"/>
      <c r="B9233" s="258"/>
      <c r="C9233" s="247"/>
    </row>
    <row r="9234">
      <c r="A9234" s="247"/>
      <c r="B9234" s="258"/>
      <c r="C9234" s="247"/>
    </row>
    <row r="9235">
      <c r="A9235" s="247"/>
      <c r="B9235" s="258"/>
      <c r="C9235" s="247"/>
    </row>
    <row r="9236">
      <c r="A9236" s="247"/>
      <c r="B9236" s="258"/>
      <c r="C9236" s="247"/>
    </row>
    <row r="9237">
      <c r="A9237" s="247"/>
      <c r="B9237" s="258"/>
      <c r="C9237" s="247"/>
    </row>
    <row r="9238">
      <c r="A9238" s="247"/>
      <c r="B9238" s="258"/>
      <c r="C9238" s="247"/>
    </row>
    <row r="9239">
      <c r="A9239" s="247"/>
      <c r="B9239" s="258"/>
      <c r="C9239" s="247"/>
    </row>
    <row r="9240">
      <c r="A9240" s="247"/>
      <c r="B9240" s="258"/>
      <c r="C9240" s="247"/>
    </row>
    <row r="9241">
      <c r="A9241" s="247"/>
      <c r="B9241" s="258"/>
      <c r="C9241" s="247"/>
    </row>
    <row r="9242">
      <c r="A9242" s="247"/>
      <c r="B9242" s="258"/>
      <c r="C9242" s="247"/>
    </row>
    <row r="9243">
      <c r="A9243" s="247"/>
      <c r="B9243" s="258"/>
      <c r="C9243" s="247"/>
    </row>
    <row r="9244">
      <c r="A9244" s="247"/>
      <c r="B9244" s="258"/>
      <c r="C9244" s="247"/>
    </row>
    <row r="9245">
      <c r="A9245" s="247"/>
      <c r="B9245" s="258"/>
      <c r="C9245" s="247"/>
    </row>
    <row r="9246">
      <c r="A9246" s="247"/>
      <c r="B9246" s="258"/>
      <c r="C9246" s="247"/>
    </row>
    <row r="9247">
      <c r="A9247" s="247"/>
      <c r="B9247" s="258"/>
      <c r="C9247" s="247"/>
    </row>
    <row r="9248">
      <c r="A9248" s="247"/>
      <c r="B9248" s="258"/>
      <c r="C9248" s="247"/>
    </row>
    <row r="9249">
      <c r="A9249" s="247"/>
      <c r="B9249" s="258"/>
      <c r="C9249" s="247"/>
    </row>
    <row r="9250">
      <c r="A9250" s="247"/>
      <c r="B9250" s="258"/>
      <c r="C9250" s="247"/>
    </row>
    <row r="9251">
      <c r="A9251" s="247"/>
      <c r="B9251" s="258"/>
      <c r="C9251" s="247"/>
    </row>
    <row r="9252">
      <c r="A9252" s="247"/>
      <c r="B9252" s="258"/>
      <c r="C9252" s="247"/>
    </row>
    <row r="9253">
      <c r="A9253" s="247"/>
      <c r="B9253" s="258"/>
      <c r="C9253" s="247"/>
    </row>
    <row r="9254">
      <c r="A9254" s="247"/>
      <c r="B9254" s="258"/>
      <c r="C9254" s="247"/>
    </row>
    <row r="9255">
      <c r="A9255" s="247"/>
      <c r="B9255" s="258"/>
      <c r="C9255" s="247"/>
    </row>
    <row r="9256">
      <c r="A9256" s="247"/>
      <c r="B9256" s="258"/>
      <c r="C9256" s="247"/>
    </row>
    <row r="9257">
      <c r="A9257" s="247"/>
      <c r="B9257" s="258"/>
      <c r="C9257" s="247"/>
    </row>
    <row r="9258">
      <c r="A9258" s="247"/>
      <c r="B9258" s="258"/>
      <c r="C9258" s="247"/>
    </row>
    <row r="9259">
      <c r="A9259" s="247"/>
      <c r="B9259" s="258"/>
      <c r="C9259" s="247"/>
    </row>
    <row r="9260">
      <c r="A9260" s="247"/>
      <c r="B9260" s="258"/>
      <c r="C9260" s="247"/>
    </row>
    <row r="9261">
      <c r="A9261" s="247"/>
      <c r="B9261" s="258"/>
      <c r="C9261" s="247"/>
    </row>
    <row r="9262">
      <c r="A9262" s="247"/>
      <c r="B9262" s="258"/>
      <c r="C9262" s="247"/>
    </row>
    <row r="9263">
      <c r="A9263" s="247"/>
      <c r="B9263" s="258"/>
      <c r="C9263" s="247"/>
    </row>
    <row r="9264">
      <c r="A9264" s="247"/>
      <c r="B9264" s="258"/>
      <c r="C9264" s="247"/>
    </row>
    <row r="9265">
      <c r="A9265" s="247"/>
      <c r="B9265" s="258"/>
      <c r="C9265" s="247"/>
    </row>
    <row r="9266">
      <c r="A9266" s="247"/>
      <c r="B9266" s="258"/>
      <c r="C9266" s="247"/>
    </row>
    <row r="9267">
      <c r="A9267" s="247"/>
      <c r="B9267" s="258"/>
      <c r="C9267" s="247"/>
    </row>
    <row r="9268">
      <c r="A9268" s="247"/>
      <c r="B9268" s="258"/>
      <c r="C9268" s="247"/>
    </row>
    <row r="9269">
      <c r="A9269" s="247"/>
      <c r="B9269" s="258"/>
      <c r="C9269" s="247"/>
    </row>
    <row r="9270">
      <c r="A9270" s="247"/>
      <c r="B9270" s="258"/>
      <c r="C9270" s="247"/>
    </row>
    <row r="9271">
      <c r="A9271" s="247"/>
      <c r="B9271" s="258"/>
      <c r="C9271" s="247"/>
    </row>
    <row r="9272">
      <c r="A9272" s="247"/>
      <c r="B9272" s="258"/>
      <c r="C9272" s="247"/>
    </row>
    <row r="9273">
      <c r="A9273" s="247"/>
      <c r="B9273" s="258"/>
      <c r="C9273" s="247"/>
    </row>
    <row r="9274">
      <c r="A9274" s="247"/>
      <c r="B9274" s="258"/>
      <c r="C9274" s="247"/>
    </row>
    <row r="9275">
      <c r="A9275" s="247"/>
      <c r="B9275" s="258"/>
      <c r="C9275" s="247"/>
    </row>
    <row r="9276">
      <c r="A9276" s="247"/>
      <c r="B9276" s="258"/>
      <c r="C9276" s="247"/>
    </row>
    <row r="9277">
      <c r="A9277" s="247"/>
      <c r="B9277" s="258"/>
      <c r="C9277" s="247"/>
    </row>
    <row r="9278">
      <c r="A9278" s="247"/>
      <c r="B9278" s="258"/>
      <c r="C9278" s="247"/>
    </row>
    <row r="9279">
      <c r="A9279" s="247"/>
      <c r="B9279" s="258"/>
      <c r="C9279" s="247"/>
    </row>
    <row r="9280">
      <c r="A9280" s="247"/>
      <c r="B9280" s="258"/>
      <c r="C9280" s="247"/>
    </row>
    <row r="9281">
      <c r="A9281" s="247"/>
      <c r="B9281" s="258"/>
      <c r="C9281" s="247"/>
    </row>
    <row r="9282">
      <c r="A9282" s="247"/>
      <c r="B9282" s="258"/>
      <c r="C9282" s="247"/>
    </row>
    <row r="9283">
      <c r="A9283" s="247"/>
      <c r="B9283" s="258"/>
      <c r="C9283" s="247"/>
    </row>
    <row r="9284">
      <c r="A9284" s="247"/>
      <c r="B9284" s="258"/>
      <c r="C9284" s="247"/>
    </row>
    <row r="9285">
      <c r="A9285" s="247"/>
      <c r="B9285" s="258"/>
      <c r="C9285" s="247"/>
    </row>
    <row r="9286">
      <c r="A9286" s="247"/>
      <c r="B9286" s="258"/>
      <c r="C9286" s="247"/>
    </row>
    <row r="9287">
      <c r="A9287" s="247"/>
      <c r="B9287" s="258"/>
      <c r="C9287" s="247"/>
    </row>
    <row r="9288">
      <c r="A9288" s="247"/>
      <c r="B9288" s="258"/>
      <c r="C9288" s="247"/>
    </row>
    <row r="9289">
      <c r="A9289" s="247"/>
      <c r="B9289" s="258"/>
      <c r="C9289" s="247"/>
    </row>
    <row r="9290">
      <c r="A9290" s="247"/>
      <c r="B9290" s="258"/>
      <c r="C9290" s="247"/>
    </row>
    <row r="9291">
      <c r="A9291" s="247"/>
      <c r="B9291" s="258"/>
      <c r="C9291" s="247"/>
    </row>
    <row r="9292">
      <c r="A9292" s="247"/>
      <c r="B9292" s="258"/>
      <c r="C9292" s="247"/>
    </row>
    <row r="9293">
      <c r="A9293" s="247"/>
      <c r="B9293" s="258"/>
      <c r="C9293" s="247"/>
    </row>
    <row r="9294">
      <c r="A9294" s="247"/>
      <c r="B9294" s="258"/>
      <c r="C9294" s="247"/>
    </row>
    <row r="9295">
      <c r="A9295" s="247"/>
      <c r="B9295" s="258"/>
      <c r="C9295" s="247"/>
    </row>
    <row r="9296">
      <c r="A9296" s="247"/>
      <c r="B9296" s="258"/>
      <c r="C9296" s="247"/>
    </row>
    <row r="9297">
      <c r="A9297" s="247"/>
      <c r="B9297" s="258"/>
      <c r="C9297" s="247"/>
    </row>
    <row r="9298">
      <c r="A9298" s="247"/>
      <c r="B9298" s="258"/>
      <c r="C9298" s="247"/>
    </row>
    <row r="9299">
      <c r="A9299" s="247"/>
      <c r="B9299" s="258"/>
      <c r="C9299" s="247"/>
    </row>
    <row r="9300">
      <c r="A9300" s="247"/>
      <c r="B9300" s="258"/>
      <c r="C9300" s="247"/>
    </row>
    <row r="9301">
      <c r="A9301" s="247"/>
      <c r="B9301" s="258"/>
      <c r="C9301" s="247"/>
    </row>
    <row r="9302">
      <c r="A9302" s="247"/>
      <c r="B9302" s="258"/>
      <c r="C9302" s="247"/>
    </row>
    <row r="9303">
      <c r="A9303" s="247"/>
      <c r="B9303" s="258"/>
      <c r="C9303" s="247"/>
    </row>
    <row r="9304">
      <c r="A9304" s="247"/>
      <c r="B9304" s="258"/>
      <c r="C9304" s="247"/>
    </row>
    <row r="9305">
      <c r="A9305" s="247"/>
      <c r="B9305" s="258"/>
      <c r="C9305" s="247"/>
    </row>
    <row r="9306">
      <c r="A9306" s="247"/>
      <c r="B9306" s="258"/>
      <c r="C9306" s="247"/>
    </row>
    <row r="9307">
      <c r="A9307" s="247"/>
      <c r="B9307" s="258"/>
      <c r="C9307" s="247"/>
    </row>
    <row r="9308">
      <c r="A9308" s="247"/>
      <c r="B9308" s="258"/>
      <c r="C9308" s="247"/>
    </row>
    <row r="9309">
      <c r="A9309" s="247"/>
      <c r="B9309" s="258"/>
      <c r="C9309" s="247"/>
    </row>
    <row r="9310">
      <c r="A9310" s="247"/>
      <c r="B9310" s="258"/>
      <c r="C9310" s="247"/>
    </row>
    <row r="9311">
      <c r="A9311" s="247"/>
      <c r="B9311" s="258"/>
      <c r="C9311" s="247"/>
    </row>
    <row r="9312">
      <c r="A9312" s="247"/>
      <c r="B9312" s="258"/>
      <c r="C9312" s="247"/>
    </row>
    <row r="9313">
      <c r="A9313" s="247"/>
      <c r="B9313" s="258"/>
      <c r="C9313" s="247"/>
    </row>
    <row r="9314">
      <c r="A9314" s="247"/>
      <c r="B9314" s="258"/>
      <c r="C9314" s="247"/>
    </row>
    <row r="9315">
      <c r="A9315" s="247"/>
      <c r="B9315" s="258"/>
      <c r="C9315" s="247"/>
    </row>
    <row r="9316">
      <c r="A9316" s="247"/>
      <c r="B9316" s="258"/>
      <c r="C9316" s="247"/>
    </row>
    <row r="9317">
      <c r="A9317" s="247"/>
      <c r="B9317" s="258"/>
      <c r="C9317" s="247"/>
    </row>
    <row r="9318">
      <c r="A9318" s="247"/>
      <c r="B9318" s="258"/>
      <c r="C9318" s="247"/>
    </row>
    <row r="9319">
      <c r="A9319" s="247"/>
      <c r="B9319" s="258"/>
      <c r="C9319" s="247"/>
    </row>
    <row r="9320">
      <c r="A9320" s="247"/>
      <c r="B9320" s="258"/>
      <c r="C9320" s="247"/>
    </row>
    <row r="9321">
      <c r="A9321" s="247"/>
      <c r="B9321" s="258"/>
      <c r="C9321" s="247"/>
    </row>
    <row r="9322">
      <c r="A9322" s="247"/>
      <c r="B9322" s="258"/>
      <c r="C9322" s="247"/>
    </row>
    <row r="9323">
      <c r="A9323" s="247"/>
      <c r="B9323" s="258"/>
      <c r="C9323" s="247"/>
    </row>
    <row r="9324">
      <c r="A9324" s="247"/>
      <c r="B9324" s="258"/>
      <c r="C9324" s="247"/>
    </row>
    <row r="9325">
      <c r="A9325" s="247"/>
      <c r="B9325" s="258"/>
      <c r="C9325" s="247"/>
    </row>
    <row r="9326">
      <c r="A9326" s="247"/>
      <c r="B9326" s="258"/>
      <c r="C9326" s="247"/>
    </row>
    <row r="9327">
      <c r="A9327" s="247"/>
      <c r="B9327" s="258"/>
      <c r="C9327" s="247"/>
    </row>
    <row r="9328">
      <c r="A9328" s="247"/>
      <c r="B9328" s="258"/>
      <c r="C9328" s="247"/>
    </row>
    <row r="9329">
      <c r="A9329" s="247"/>
      <c r="B9329" s="258"/>
      <c r="C9329" s="247"/>
    </row>
    <row r="9330">
      <c r="A9330" s="247"/>
      <c r="B9330" s="258"/>
      <c r="C9330" s="247"/>
    </row>
    <row r="9331">
      <c r="A9331" s="247"/>
      <c r="B9331" s="258"/>
      <c r="C9331" s="247"/>
    </row>
    <row r="9332">
      <c r="A9332" s="247"/>
      <c r="B9332" s="258"/>
      <c r="C9332" s="247"/>
    </row>
    <row r="9333">
      <c r="A9333" s="247"/>
      <c r="B9333" s="258"/>
      <c r="C9333" s="247"/>
    </row>
    <row r="9334">
      <c r="A9334" s="247"/>
      <c r="B9334" s="258"/>
      <c r="C9334" s="247"/>
    </row>
    <row r="9335">
      <c r="A9335" s="247"/>
      <c r="B9335" s="258"/>
      <c r="C9335" s="247"/>
    </row>
    <row r="9336">
      <c r="A9336" s="247"/>
      <c r="B9336" s="258"/>
      <c r="C9336" s="247"/>
    </row>
    <row r="9337">
      <c r="A9337" s="247"/>
      <c r="B9337" s="258"/>
      <c r="C9337" s="247"/>
    </row>
    <row r="9338">
      <c r="A9338" s="247"/>
      <c r="B9338" s="258"/>
      <c r="C9338" s="247"/>
    </row>
    <row r="9339">
      <c r="A9339" s="247"/>
      <c r="B9339" s="258"/>
      <c r="C9339" s="247"/>
    </row>
    <row r="9340">
      <c r="A9340" s="247"/>
      <c r="B9340" s="258"/>
      <c r="C9340" s="247"/>
    </row>
    <row r="9341">
      <c r="A9341" s="247"/>
      <c r="B9341" s="258"/>
      <c r="C9341" s="247"/>
    </row>
    <row r="9342">
      <c r="A9342" s="247"/>
      <c r="B9342" s="258"/>
      <c r="C9342" s="247"/>
    </row>
    <row r="9343">
      <c r="A9343" s="247"/>
      <c r="B9343" s="258"/>
      <c r="C9343" s="247"/>
    </row>
    <row r="9344">
      <c r="A9344" s="247"/>
      <c r="B9344" s="258"/>
      <c r="C9344" s="247"/>
    </row>
    <row r="9345">
      <c r="A9345" s="247"/>
      <c r="B9345" s="258"/>
      <c r="C9345" s="247"/>
    </row>
    <row r="9346">
      <c r="A9346" s="247"/>
      <c r="B9346" s="258"/>
      <c r="C9346" s="247"/>
    </row>
    <row r="9347">
      <c r="A9347" s="247"/>
      <c r="B9347" s="258"/>
      <c r="C9347" s="247"/>
    </row>
    <row r="9348">
      <c r="A9348" s="247"/>
      <c r="B9348" s="258"/>
      <c r="C9348" s="247"/>
    </row>
    <row r="9349">
      <c r="A9349" s="247"/>
      <c r="B9349" s="258"/>
      <c r="C9349" s="247"/>
    </row>
    <row r="9350">
      <c r="A9350" s="247"/>
      <c r="B9350" s="258"/>
      <c r="C9350" s="247"/>
    </row>
    <row r="9351">
      <c r="A9351" s="247"/>
      <c r="B9351" s="258"/>
      <c r="C9351" s="247"/>
    </row>
    <row r="9352">
      <c r="A9352" s="247"/>
      <c r="B9352" s="258"/>
      <c r="C9352" s="247"/>
    </row>
    <row r="9353">
      <c r="A9353" s="247"/>
      <c r="B9353" s="258"/>
      <c r="C9353" s="247"/>
    </row>
    <row r="9354">
      <c r="A9354" s="247"/>
      <c r="B9354" s="258"/>
      <c r="C9354" s="247"/>
    </row>
    <row r="9355">
      <c r="A9355" s="247"/>
      <c r="B9355" s="258"/>
      <c r="C9355" s="247"/>
    </row>
    <row r="9356">
      <c r="A9356" s="247"/>
      <c r="B9356" s="258"/>
      <c r="C9356" s="247"/>
    </row>
    <row r="9357">
      <c r="A9357" s="247"/>
      <c r="B9357" s="258"/>
      <c r="C9357" s="247"/>
    </row>
    <row r="9358">
      <c r="A9358" s="247"/>
      <c r="B9358" s="258"/>
      <c r="C9358" s="247"/>
    </row>
    <row r="9359">
      <c r="A9359" s="247"/>
      <c r="B9359" s="258"/>
      <c r="C9359" s="247"/>
    </row>
    <row r="9360">
      <c r="A9360" s="247"/>
      <c r="B9360" s="258"/>
      <c r="C9360" s="247"/>
    </row>
    <row r="9361">
      <c r="A9361" s="247"/>
      <c r="B9361" s="258"/>
      <c r="C9361" s="247"/>
    </row>
    <row r="9362">
      <c r="A9362" s="247"/>
      <c r="B9362" s="258"/>
      <c r="C9362" s="247"/>
    </row>
    <row r="9363">
      <c r="A9363" s="247"/>
      <c r="B9363" s="258"/>
      <c r="C9363" s="247"/>
    </row>
    <row r="9364">
      <c r="A9364" s="247"/>
      <c r="B9364" s="258"/>
      <c r="C9364" s="247"/>
    </row>
    <row r="9365">
      <c r="A9365" s="247"/>
      <c r="B9365" s="258"/>
      <c r="C9365" s="247"/>
    </row>
    <row r="9366">
      <c r="A9366" s="247"/>
      <c r="B9366" s="258"/>
      <c r="C9366" s="247"/>
    </row>
    <row r="9367">
      <c r="A9367" s="247"/>
      <c r="B9367" s="258"/>
      <c r="C9367" s="247"/>
    </row>
    <row r="9368">
      <c r="A9368" s="247"/>
      <c r="B9368" s="258"/>
      <c r="C9368" s="247"/>
    </row>
    <row r="9369">
      <c r="A9369" s="247"/>
      <c r="B9369" s="258"/>
      <c r="C9369" s="247"/>
    </row>
    <row r="9370">
      <c r="A9370" s="247"/>
      <c r="B9370" s="258"/>
      <c r="C9370" s="247"/>
    </row>
    <row r="9371">
      <c r="A9371" s="247"/>
      <c r="B9371" s="258"/>
      <c r="C9371" s="247"/>
    </row>
    <row r="9372">
      <c r="A9372" s="247"/>
      <c r="B9372" s="258"/>
      <c r="C9372" s="247"/>
    </row>
    <row r="9373">
      <c r="A9373" s="247"/>
      <c r="B9373" s="258"/>
      <c r="C9373" s="247"/>
    </row>
    <row r="9374">
      <c r="A9374" s="247"/>
      <c r="B9374" s="258"/>
      <c r="C9374" s="247"/>
    </row>
    <row r="9375">
      <c r="A9375" s="247"/>
      <c r="B9375" s="258"/>
      <c r="C9375" s="247"/>
    </row>
    <row r="9376">
      <c r="A9376" s="247"/>
      <c r="B9376" s="258"/>
      <c r="C9376" s="247"/>
    </row>
    <row r="9377">
      <c r="A9377" s="247"/>
      <c r="B9377" s="258"/>
      <c r="C9377" s="247"/>
    </row>
    <row r="9378">
      <c r="A9378" s="247"/>
      <c r="B9378" s="258"/>
      <c r="C9378" s="247"/>
    </row>
    <row r="9379">
      <c r="A9379" s="247"/>
      <c r="B9379" s="258"/>
      <c r="C9379" s="247"/>
    </row>
    <row r="9380">
      <c r="A9380" s="247"/>
      <c r="B9380" s="258"/>
      <c r="C9380" s="247"/>
    </row>
    <row r="9381">
      <c r="A9381" s="247"/>
      <c r="B9381" s="258"/>
      <c r="C9381" s="247"/>
    </row>
    <row r="9382">
      <c r="A9382" s="247"/>
      <c r="B9382" s="258"/>
      <c r="C9382" s="247"/>
    </row>
    <row r="9383">
      <c r="A9383" s="247"/>
      <c r="B9383" s="258"/>
      <c r="C9383" s="247"/>
    </row>
    <row r="9384">
      <c r="A9384" s="247"/>
      <c r="B9384" s="258"/>
      <c r="C9384" s="247"/>
    </row>
    <row r="9385">
      <c r="A9385" s="247"/>
      <c r="B9385" s="258"/>
      <c r="C9385" s="247"/>
    </row>
    <row r="9386">
      <c r="A9386" s="247"/>
      <c r="B9386" s="258"/>
      <c r="C9386" s="247"/>
    </row>
    <row r="9387">
      <c r="A9387" s="247"/>
      <c r="B9387" s="258"/>
      <c r="C9387" s="247"/>
    </row>
    <row r="9388">
      <c r="A9388" s="247"/>
      <c r="B9388" s="258"/>
      <c r="C9388" s="247"/>
    </row>
    <row r="9389">
      <c r="A9389" s="247"/>
      <c r="B9389" s="258"/>
      <c r="C9389" s="247"/>
    </row>
    <row r="9390">
      <c r="A9390" s="247"/>
      <c r="B9390" s="258"/>
      <c r="C9390" s="247"/>
    </row>
    <row r="9391">
      <c r="A9391" s="247"/>
      <c r="B9391" s="258"/>
      <c r="C9391" s="247"/>
    </row>
    <row r="9392">
      <c r="A9392" s="247"/>
      <c r="B9392" s="258"/>
      <c r="C9392" s="247"/>
    </row>
    <row r="9393">
      <c r="A9393" s="247"/>
      <c r="B9393" s="258"/>
      <c r="C9393" s="247"/>
    </row>
    <row r="9394">
      <c r="A9394" s="247"/>
      <c r="B9394" s="258"/>
      <c r="C9394" s="247"/>
    </row>
    <row r="9395">
      <c r="A9395" s="247"/>
      <c r="B9395" s="258"/>
      <c r="C9395" s="247"/>
    </row>
    <row r="9396">
      <c r="A9396" s="247"/>
      <c r="B9396" s="258"/>
      <c r="C9396" s="247"/>
    </row>
    <row r="9397">
      <c r="A9397" s="247"/>
      <c r="B9397" s="258"/>
      <c r="C9397" s="247"/>
    </row>
    <row r="9398">
      <c r="A9398" s="247"/>
      <c r="B9398" s="258"/>
      <c r="C9398" s="247"/>
    </row>
    <row r="9399">
      <c r="A9399" s="247"/>
      <c r="B9399" s="258"/>
      <c r="C9399" s="247"/>
    </row>
    <row r="9400">
      <c r="A9400" s="247"/>
      <c r="B9400" s="258"/>
      <c r="C9400" s="247"/>
    </row>
    <row r="9401">
      <c r="A9401" s="247"/>
      <c r="B9401" s="258"/>
      <c r="C9401" s="247"/>
    </row>
    <row r="9402">
      <c r="A9402" s="247"/>
      <c r="B9402" s="258"/>
      <c r="C9402" s="247"/>
    </row>
    <row r="9403">
      <c r="A9403" s="247"/>
      <c r="B9403" s="258"/>
      <c r="C9403" s="247"/>
    </row>
    <row r="9404">
      <c r="A9404" s="247"/>
      <c r="B9404" s="258"/>
      <c r="C9404" s="247"/>
    </row>
    <row r="9405">
      <c r="A9405" s="247"/>
      <c r="B9405" s="258"/>
      <c r="C9405" s="247"/>
    </row>
    <row r="9406">
      <c r="A9406" s="247"/>
      <c r="B9406" s="258"/>
      <c r="C9406" s="247"/>
    </row>
    <row r="9407">
      <c r="A9407" s="247"/>
      <c r="B9407" s="258"/>
      <c r="C9407" s="247"/>
    </row>
    <row r="9408">
      <c r="A9408" s="247"/>
      <c r="B9408" s="258"/>
      <c r="C9408" s="247"/>
    </row>
    <row r="9409">
      <c r="A9409" s="247"/>
      <c r="B9409" s="258"/>
      <c r="C9409" s="247"/>
    </row>
    <row r="9410">
      <c r="A9410" s="247"/>
      <c r="B9410" s="258"/>
      <c r="C9410" s="247"/>
    </row>
    <row r="9411">
      <c r="A9411" s="247"/>
      <c r="B9411" s="258"/>
      <c r="C9411" s="247"/>
    </row>
    <row r="9412">
      <c r="A9412" s="247"/>
      <c r="B9412" s="258"/>
      <c r="C9412" s="247"/>
    </row>
    <row r="9413">
      <c r="A9413" s="247"/>
      <c r="B9413" s="258"/>
      <c r="C9413" s="247"/>
    </row>
    <row r="9414">
      <c r="A9414" s="247"/>
      <c r="B9414" s="258"/>
      <c r="C9414" s="247"/>
    </row>
    <row r="9415">
      <c r="A9415" s="247"/>
      <c r="B9415" s="258"/>
      <c r="C9415" s="247"/>
    </row>
    <row r="9416">
      <c r="A9416" s="247"/>
      <c r="B9416" s="258"/>
      <c r="C9416" s="247"/>
    </row>
    <row r="9417">
      <c r="A9417" s="247"/>
      <c r="B9417" s="258"/>
      <c r="C9417" s="247"/>
    </row>
    <row r="9418">
      <c r="A9418" s="247"/>
      <c r="B9418" s="258"/>
      <c r="C9418" s="247"/>
    </row>
    <row r="9419">
      <c r="A9419" s="247"/>
      <c r="B9419" s="258"/>
      <c r="C9419" s="247"/>
    </row>
    <row r="9420">
      <c r="A9420" s="247"/>
      <c r="B9420" s="258"/>
      <c r="C9420" s="247"/>
    </row>
    <row r="9421">
      <c r="A9421" s="247"/>
      <c r="B9421" s="258"/>
      <c r="C9421" s="247"/>
    </row>
    <row r="9422">
      <c r="A9422" s="247"/>
      <c r="B9422" s="258"/>
      <c r="C9422" s="247"/>
    </row>
    <row r="9423">
      <c r="A9423" s="247"/>
      <c r="B9423" s="258"/>
      <c r="C9423" s="247"/>
    </row>
    <row r="9424">
      <c r="A9424" s="247"/>
      <c r="B9424" s="258"/>
      <c r="C9424" s="247"/>
    </row>
    <row r="9425">
      <c r="A9425" s="247"/>
      <c r="B9425" s="258"/>
      <c r="C9425" s="247"/>
    </row>
    <row r="9426">
      <c r="A9426" s="247"/>
      <c r="B9426" s="258"/>
      <c r="C9426" s="247"/>
    </row>
    <row r="9427">
      <c r="A9427" s="247"/>
      <c r="B9427" s="258"/>
      <c r="C9427" s="247"/>
    </row>
    <row r="9428">
      <c r="A9428" s="247"/>
      <c r="B9428" s="258"/>
      <c r="C9428" s="247"/>
    </row>
    <row r="9429">
      <c r="A9429" s="247"/>
      <c r="B9429" s="258"/>
      <c r="C9429" s="247"/>
    </row>
    <row r="9430">
      <c r="A9430" s="247"/>
      <c r="B9430" s="258"/>
      <c r="C9430" s="247"/>
    </row>
    <row r="9431">
      <c r="A9431" s="247"/>
      <c r="B9431" s="258"/>
      <c r="C9431" s="247"/>
    </row>
    <row r="9432">
      <c r="A9432" s="247"/>
      <c r="B9432" s="258"/>
      <c r="C9432" s="247"/>
    </row>
    <row r="9433">
      <c r="A9433" s="247"/>
      <c r="B9433" s="258"/>
      <c r="C9433" s="247"/>
    </row>
    <row r="9434">
      <c r="A9434" s="247"/>
      <c r="B9434" s="258"/>
      <c r="C9434" s="247"/>
    </row>
    <row r="9435">
      <c r="A9435" s="247"/>
      <c r="B9435" s="258"/>
      <c r="C9435" s="247"/>
    </row>
    <row r="9436">
      <c r="A9436" s="247"/>
      <c r="B9436" s="258"/>
      <c r="C9436" s="247"/>
    </row>
    <row r="9437">
      <c r="A9437" s="247"/>
      <c r="B9437" s="258"/>
      <c r="C9437" s="247"/>
    </row>
    <row r="9438">
      <c r="A9438" s="247"/>
      <c r="B9438" s="258"/>
      <c r="C9438" s="247"/>
    </row>
    <row r="9439">
      <c r="A9439" s="247"/>
      <c r="B9439" s="258"/>
      <c r="C9439" s="247"/>
    </row>
    <row r="9440">
      <c r="A9440" s="247"/>
      <c r="B9440" s="258"/>
      <c r="C9440" s="247"/>
    </row>
    <row r="9441">
      <c r="A9441" s="247"/>
      <c r="B9441" s="258"/>
      <c r="C9441" s="247"/>
    </row>
    <row r="9442">
      <c r="A9442" s="247"/>
      <c r="B9442" s="258"/>
      <c r="C9442" s="247"/>
    </row>
    <row r="9443">
      <c r="A9443" s="247"/>
      <c r="B9443" s="258"/>
      <c r="C9443" s="247"/>
    </row>
    <row r="9444">
      <c r="A9444" s="247"/>
      <c r="B9444" s="258"/>
      <c r="C9444" s="247"/>
    </row>
    <row r="9445">
      <c r="A9445" s="247"/>
      <c r="B9445" s="258"/>
      <c r="C9445" s="247"/>
    </row>
    <row r="9446">
      <c r="A9446" s="247"/>
      <c r="B9446" s="258"/>
      <c r="C9446" s="247"/>
    </row>
    <row r="9447">
      <c r="A9447" s="247"/>
      <c r="B9447" s="258"/>
      <c r="C9447" s="247"/>
    </row>
    <row r="9448">
      <c r="A9448" s="247"/>
      <c r="B9448" s="258"/>
      <c r="C9448" s="247"/>
    </row>
    <row r="9449">
      <c r="A9449" s="247"/>
      <c r="B9449" s="258"/>
      <c r="C9449" s="247"/>
    </row>
    <row r="9450">
      <c r="A9450" s="247"/>
      <c r="B9450" s="258"/>
      <c r="C9450" s="247"/>
    </row>
    <row r="9451">
      <c r="A9451" s="247"/>
      <c r="B9451" s="258"/>
      <c r="C9451" s="247"/>
    </row>
    <row r="9452">
      <c r="A9452" s="247"/>
      <c r="B9452" s="258"/>
      <c r="C9452" s="247"/>
    </row>
    <row r="9453">
      <c r="A9453" s="247"/>
      <c r="B9453" s="258"/>
      <c r="C9453" s="247"/>
    </row>
    <row r="9454">
      <c r="A9454" s="247"/>
      <c r="B9454" s="258"/>
      <c r="C9454" s="247"/>
    </row>
    <row r="9455">
      <c r="A9455" s="247"/>
      <c r="B9455" s="258"/>
      <c r="C9455" s="247"/>
    </row>
    <row r="9456">
      <c r="A9456" s="247"/>
      <c r="B9456" s="258"/>
      <c r="C9456" s="247"/>
    </row>
    <row r="9457">
      <c r="A9457" s="247"/>
      <c r="B9457" s="258"/>
      <c r="C9457" s="247"/>
    </row>
    <row r="9458">
      <c r="A9458" s="247"/>
      <c r="B9458" s="258"/>
      <c r="C9458" s="247"/>
    </row>
    <row r="9459">
      <c r="A9459" s="247"/>
      <c r="B9459" s="258"/>
      <c r="C9459" s="247"/>
    </row>
    <row r="9460">
      <c r="A9460" s="247"/>
      <c r="B9460" s="258"/>
      <c r="C9460" s="247"/>
    </row>
    <row r="9461">
      <c r="A9461" s="247"/>
      <c r="B9461" s="258"/>
      <c r="C9461" s="247"/>
    </row>
    <row r="9462">
      <c r="A9462" s="247"/>
      <c r="B9462" s="258"/>
      <c r="C9462" s="247"/>
    </row>
    <row r="9463">
      <c r="A9463" s="247"/>
      <c r="B9463" s="258"/>
      <c r="C9463" s="247"/>
    </row>
    <row r="9464">
      <c r="A9464" s="247"/>
      <c r="B9464" s="258"/>
      <c r="C9464" s="247"/>
    </row>
    <row r="9465">
      <c r="A9465" s="247"/>
      <c r="B9465" s="258"/>
      <c r="C9465" s="247"/>
    </row>
    <row r="9466">
      <c r="A9466" s="247"/>
      <c r="B9466" s="258"/>
      <c r="C9466" s="247"/>
    </row>
    <row r="9467">
      <c r="A9467" s="247"/>
      <c r="B9467" s="258"/>
      <c r="C9467" s="247"/>
    </row>
    <row r="9468">
      <c r="A9468" s="247"/>
      <c r="B9468" s="258"/>
      <c r="C9468" s="247"/>
    </row>
    <row r="9469">
      <c r="A9469" s="247"/>
      <c r="B9469" s="258"/>
      <c r="C9469" s="247"/>
    </row>
    <row r="9470">
      <c r="A9470" s="247"/>
      <c r="B9470" s="258"/>
      <c r="C9470" s="247"/>
    </row>
    <row r="9471">
      <c r="A9471" s="247"/>
      <c r="B9471" s="258"/>
      <c r="C9471" s="247"/>
    </row>
    <row r="9472">
      <c r="A9472" s="247"/>
      <c r="B9472" s="258"/>
      <c r="C9472" s="247"/>
    </row>
    <row r="9473">
      <c r="A9473" s="247"/>
      <c r="B9473" s="258"/>
      <c r="C9473" s="247"/>
    </row>
    <row r="9474">
      <c r="A9474" s="247"/>
      <c r="B9474" s="258"/>
      <c r="C9474" s="247"/>
    </row>
    <row r="9475">
      <c r="A9475" s="247"/>
      <c r="B9475" s="258"/>
      <c r="C9475" s="247"/>
    </row>
    <row r="9476">
      <c r="A9476" s="247"/>
      <c r="B9476" s="258"/>
      <c r="C9476" s="247"/>
    </row>
    <row r="9477">
      <c r="A9477" s="247"/>
      <c r="B9477" s="258"/>
      <c r="C9477" s="247"/>
    </row>
    <row r="9478">
      <c r="A9478" s="247"/>
      <c r="B9478" s="258"/>
      <c r="C9478" s="247"/>
    </row>
    <row r="9479">
      <c r="A9479" s="247"/>
      <c r="B9479" s="258"/>
      <c r="C9479" s="247"/>
    </row>
    <row r="9480">
      <c r="A9480" s="247"/>
      <c r="B9480" s="258"/>
      <c r="C9480" s="247"/>
    </row>
    <row r="9481">
      <c r="A9481" s="247"/>
      <c r="B9481" s="258"/>
      <c r="C9481" s="247"/>
    </row>
    <row r="9482">
      <c r="A9482" s="247"/>
      <c r="B9482" s="258"/>
      <c r="C9482" s="247"/>
    </row>
    <row r="9483">
      <c r="A9483" s="247"/>
      <c r="B9483" s="258"/>
      <c r="C9483" s="247"/>
    </row>
    <row r="9484">
      <c r="A9484" s="247"/>
      <c r="B9484" s="258"/>
      <c r="C9484" s="247"/>
    </row>
    <row r="9485">
      <c r="A9485" s="247"/>
      <c r="B9485" s="258"/>
      <c r="C9485" s="247"/>
    </row>
    <row r="9486">
      <c r="A9486" s="247"/>
      <c r="B9486" s="258"/>
      <c r="C9486" s="247"/>
    </row>
    <row r="9487">
      <c r="A9487" s="247"/>
      <c r="B9487" s="258"/>
      <c r="C9487" s="247"/>
    </row>
    <row r="9488">
      <c r="A9488" s="247"/>
      <c r="B9488" s="258"/>
      <c r="C9488" s="247"/>
    </row>
    <row r="9489">
      <c r="A9489" s="247"/>
      <c r="B9489" s="258"/>
      <c r="C9489" s="247"/>
    </row>
    <row r="9490">
      <c r="A9490" s="247"/>
      <c r="B9490" s="258"/>
      <c r="C9490" s="247"/>
    </row>
    <row r="9491">
      <c r="A9491" s="247"/>
      <c r="B9491" s="258"/>
      <c r="C9491" s="247"/>
    </row>
    <row r="9492">
      <c r="A9492" s="247"/>
      <c r="B9492" s="258"/>
      <c r="C9492" s="247"/>
    </row>
    <row r="9493">
      <c r="A9493" s="247"/>
      <c r="B9493" s="258"/>
      <c r="C9493" s="247"/>
    </row>
    <row r="9494">
      <c r="A9494" s="247"/>
      <c r="B9494" s="258"/>
      <c r="C9494" s="247"/>
    </row>
    <row r="9495">
      <c r="A9495" s="247"/>
      <c r="B9495" s="258"/>
      <c r="C9495" s="247"/>
    </row>
    <row r="9496">
      <c r="A9496" s="247"/>
      <c r="B9496" s="258"/>
      <c r="C9496" s="247"/>
    </row>
    <row r="9497">
      <c r="A9497" s="247"/>
      <c r="B9497" s="258"/>
      <c r="C9497" s="247"/>
    </row>
    <row r="9498">
      <c r="A9498" s="247"/>
      <c r="B9498" s="258"/>
      <c r="C9498" s="247"/>
    </row>
    <row r="9499">
      <c r="A9499" s="247"/>
      <c r="B9499" s="258"/>
      <c r="C9499" s="247"/>
    </row>
    <row r="9500">
      <c r="A9500" s="247"/>
      <c r="B9500" s="258"/>
      <c r="C9500" s="247"/>
    </row>
    <row r="9501">
      <c r="A9501" s="247"/>
      <c r="B9501" s="258"/>
      <c r="C9501" s="247"/>
    </row>
    <row r="9502">
      <c r="A9502" s="247"/>
      <c r="B9502" s="258"/>
      <c r="C9502" s="247"/>
    </row>
    <row r="9503">
      <c r="A9503" s="247"/>
      <c r="B9503" s="258"/>
      <c r="C9503" s="247"/>
    </row>
    <row r="9504">
      <c r="A9504" s="247"/>
      <c r="B9504" s="258"/>
      <c r="C9504" s="247"/>
    </row>
    <row r="9505">
      <c r="A9505" s="247"/>
      <c r="B9505" s="258"/>
      <c r="C9505" s="247"/>
    </row>
    <row r="9506">
      <c r="A9506" s="247"/>
      <c r="B9506" s="258"/>
      <c r="C9506" s="247"/>
    </row>
    <row r="9507">
      <c r="A9507" s="247"/>
      <c r="B9507" s="258"/>
      <c r="C9507" s="247"/>
    </row>
    <row r="9508">
      <c r="A9508" s="247"/>
      <c r="B9508" s="258"/>
      <c r="C9508" s="247"/>
    </row>
    <row r="9509">
      <c r="A9509" s="247"/>
      <c r="B9509" s="258"/>
      <c r="C9509" s="247"/>
    </row>
    <row r="9510">
      <c r="A9510" s="247"/>
      <c r="B9510" s="258"/>
      <c r="C9510" s="247"/>
    </row>
    <row r="9511">
      <c r="A9511" s="247"/>
      <c r="B9511" s="258"/>
      <c r="C9511" s="247"/>
    </row>
    <row r="9512">
      <c r="A9512" s="247"/>
      <c r="B9512" s="258"/>
      <c r="C9512" s="247"/>
    </row>
    <row r="9513">
      <c r="A9513" s="247"/>
      <c r="B9513" s="258"/>
      <c r="C9513" s="247"/>
    </row>
    <row r="9514">
      <c r="A9514" s="247"/>
      <c r="B9514" s="258"/>
      <c r="C9514" s="247"/>
    </row>
    <row r="9515">
      <c r="A9515" s="247"/>
      <c r="B9515" s="258"/>
      <c r="C9515" s="247"/>
    </row>
    <row r="9516">
      <c r="A9516" s="247"/>
      <c r="B9516" s="258"/>
      <c r="C9516" s="247"/>
    </row>
    <row r="9517">
      <c r="A9517" s="247"/>
      <c r="B9517" s="258"/>
      <c r="C9517" s="247"/>
    </row>
    <row r="9518">
      <c r="A9518" s="247"/>
      <c r="B9518" s="258"/>
      <c r="C9518" s="247"/>
    </row>
    <row r="9519">
      <c r="A9519" s="247"/>
      <c r="B9519" s="258"/>
      <c r="C9519" s="247"/>
    </row>
    <row r="9520">
      <c r="A9520" s="247"/>
      <c r="B9520" s="258"/>
      <c r="C9520" s="247"/>
    </row>
    <row r="9521">
      <c r="A9521" s="247"/>
      <c r="B9521" s="258"/>
      <c r="C9521" s="247"/>
    </row>
    <row r="9522">
      <c r="A9522" s="247"/>
      <c r="B9522" s="258"/>
      <c r="C9522" s="247"/>
    </row>
    <row r="9523">
      <c r="A9523" s="247"/>
      <c r="B9523" s="258"/>
      <c r="C9523" s="247"/>
    </row>
    <row r="9524">
      <c r="A9524" s="247"/>
      <c r="B9524" s="258"/>
      <c r="C9524" s="247"/>
    </row>
    <row r="9525">
      <c r="A9525" s="247"/>
      <c r="B9525" s="258"/>
      <c r="C9525" s="247"/>
    </row>
    <row r="9526">
      <c r="A9526" s="247"/>
      <c r="B9526" s="258"/>
      <c r="C9526" s="247"/>
    </row>
    <row r="9527">
      <c r="A9527" s="247"/>
      <c r="B9527" s="258"/>
      <c r="C9527" s="247"/>
    </row>
    <row r="9528">
      <c r="A9528" s="247"/>
      <c r="B9528" s="258"/>
      <c r="C9528" s="247"/>
    </row>
    <row r="9529">
      <c r="A9529" s="247"/>
      <c r="B9529" s="258"/>
      <c r="C9529" s="247"/>
    </row>
    <row r="9530">
      <c r="A9530" s="247"/>
      <c r="B9530" s="258"/>
      <c r="C9530" s="247"/>
    </row>
    <row r="9531">
      <c r="A9531" s="247"/>
      <c r="B9531" s="258"/>
      <c r="C9531" s="247"/>
    </row>
    <row r="9532">
      <c r="A9532" s="247"/>
      <c r="B9532" s="258"/>
      <c r="C9532" s="247"/>
    </row>
    <row r="9533">
      <c r="A9533" s="247"/>
      <c r="B9533" s="258"/>
      <c r="C9533" s="247"/>
    </row>
    <row r="9534">
      <c r="A9534" s="247"/>
      <c r="B9534" s="258"/>
      <c r="C9534" s="247"/>
    </row>
    <row r="9535">
      <c r="A9535" s="247"/>
      <c r="B9535" s="258"/>
      <c r="C9535" s="247"/>
    </row>
    <row r="9536">
      <c r="A9536" s="247"/>
      <c r="B9536" s="258"/>
      <c r="C9536" s="247"/>
    </row>
    <row r="9537">
      <c r="A9537" s="247"/>
      <c r="B9537" s="258"/>
      <c r="C9537" s="247"/>
    </row>
    <row r="9538">
      <c r="A9538" s="247"/>
      <c r="B9538" s="258"/>
      <c r="C9538" s="247"/>
    </row>
    <row r="9539">
      <c r="A9539" s="247"/>
      <c r="B9539" s="258"/>
      <c r="C9539" s="247"/>
    </row>
    <row r="9540">
      <c r="A9540" s="247"/>
      <c r="B9540" s="258"/>
      <c r="C9540" s="247"/>
    </row>
    <row r="9541">
      <c r="A9541" s="247"/>
      <c r="B9541" s="258"/>
      <c r="C9541" s="247"/>
    </row>
    <row r="9542">
      <c r="A9542" s="247"/>
      <c r="B9542" s="258"/>
      <c r="C9542" s="247"/>
    </row>
    <row r="9543">
      <c r="A9543" s="247"/>
      <c r="B9543" s="258"/>
      <c r="C9543" s="247"/>
    </row>
    <row r="9544">
      <c r="A9544" s="247"/>
      <c r="B9544" s="258"/>
      <c r="C9544" s="247"/>
    </row>
    <row r="9545">
      <c r="A9545" s="247"/>
      <c r="B9545" s="258"/>
      <c r="C9545" s="247"/>
    </row>
    <row r="9546">
      <c r="A9546" s="247"/>
      <c r="B9546" s="258"/>
      <c r="C9546" s="247"/>
    </row>
    <row r="9547">
      <c r="A9547" s="247"/>
      <c r="B9547" s="258"/>
      <c r="C9547" s="247"/>
    </row>
    <row r="9548">
      <c r="A9548" s="247"/>
      <c r="B9548" s="258"/>
      <c r="C9548" s="247"/>
    </row>
    <row r="9549">
      <c r="A9549" s="247"/>
      <c r="B9549" s="258"/>
      <c r="C9549" s="247"/>
    </row>
    <row r="9550">
      <c r="A9550" s="247"/>
      <c r="B9550" s="258"/>
      <c r="C9550" s="247"/>
    </row>
    <row r="9551">
      <c r="A9551" s="247"/>
      <c r="B9551" s="258"/>
      <c r="C9551" s="247"/>
    </row>
    <row r="9552">
      <c r="A9552" s="247"/>
      <c r="B9552" s="258"/>
      <c r="C9552" s="247"/>
    </row>
    <row r="9553">
      <c r="A9553" s="247"/>
      <c r="B9553" s="258"/>
      <c r="C9553" s="247"/>
    </row>
    <row r="9554">
      <c r="A9554" s="247"/>
      <c r="B9554" s="258"/>
      <c r="C9554" s="247"/>
    </row>
    <row r="9555">
      <c r="A9555" s="247"/>
      <c r="B9555" s="258"/>
      <c r="C9555" s="247"/>
    </row>
    <row r="9556">
      <c r="A9556" s="247"/>
      <c r="B9556" s="258"/>
      <c r="C9556" s="247"/>
    </row>
    <row r="9557">
      <c r="A9557" s="247"/>
      <c r="B9557" s="258"/>
      <c r="C9557" s="247"/>
    </row>
    <row r="9558">
      <c r="A9558" s="247"/>
      <c r="B9558" s="258"/>
      <c r="C9558" s="247"/>
    </row>
    <row r="9559">
      <c r="A9559" s="247"/>
      <c r="B9559" s="258"/>
      <c r="C9559" s="247"/>
    </row>
    <row r="9560">
      <c r="A9560" s="247"/>
      <c r="B9560" s="258"/>
      <c r="C9560" s="247"/>
    </row>
    <row r="9561">
      <c r="A9561" s="247"/>
      <c r="B9561" s="258"/>
      <c r="C9561" s="247"/>
    </row>
    <row r="9562">
      <c r="A9562" s="247"/>
      <c r="B9562" s="258"/>
      <c r="C9562" s="247"/>
    </row>
    <row r="9563">
      <c r="A9563" s="247"/>
      <c r="B9563" s="258"/>
      <c r="C9563" s="247"/>
    </row>
    <row r="9564">
      <c r="A9564" s="247"/>
      <c r="B9564" s="258"/>
      <c r="C9564" s="247"/>
    </row>
    <row r="9565">
      <c r="A9565" s="247"/>
      <c r="B9565" s="258"/>
      <c r="C9565" s="247"/>
    </row>
    <row r="9566">
      <c r="A9566" s="247"/>
      <c r="B9566" s="258"/>
      <c r="C9566" s="247"/>
    </row>
    <row r="9567">
      <c r="A9567" s="247"/>
      <c r="B9567" s="258"/>
      <c r="C9567" s="247"/>
    </row>
    <row r="9568">
      <c r="A9568" s="247"/>
      <c r="B9568" s="258"/>
      <c r="C9568" s="247"/>
    </row>
    <row r="9569">
      <c r="A9569" s="247"/>
      <c r="B9569" s="258"/>
      <c r="C9569" s="247"/>
    </row>
    <row r="9570">
      <c r="A9570" s="247"/>
      <c r="B9570" s="258"/>
      <c r="C9570" s="247"/>
    </row>
    <row r="9571">
      <c r="A9571" s="247"/>
      <c r="B9571" s="258"/>
      <c r="C9571" s="247"/>
    </row>
    <row r="9572">
      <c r="A9572" s="247"/>
      <c r="B9572" s="258"/>
      <c r="C9572" s="247"/>
    </row>
    <row r="9573">
      <c r="A9573" s="247"/>
      <c r="B9573" s="258"/>
      <c r="C9573" s="247"/>
    </row>
    <row r="9574">
      <c r="A9574" s="247"/>
      <c r="B9574" s="258"/>
      <c r="C9574" s="247"/>
    </row>
    <row r="9575">
      <c r="A9575" s="247"/>
      <c r="B9575" s="258"/>
      <c r="C9575" s="247"/>
    </row>
    <row r="9576">
      <c r="A9576" s="247"/>
      <c r="B9576" s="258"/>
      <c r="C9576" s="247"/>
    </row>
    <row r="9577">
      <c r="A9577" s="247"/>
      <c r="B9577" s="258"/>
      <c r="C9577" s="247"/>
    </row>
    <row r="9578">
      <c r="A9578" s="247"/>
      <c r="B9578" s="258"/>
      <c r="C9578" s="247"/>
    </row>
    <row r="9579">
      <c r="A9579" s="247"/>
      <c r="B9579" s="258"/>
      <c r="C9579" s="247"/>
    </row>
    <row r="9580">
      <c r="A9580" s="247"/>
      <c r="B9580" s="258"/>
      <c r="C9580" s="247"/>
    </row>
    <row r="9581">
      <c r="A9581" s="247"/>
      <c r="B9581" s="258"/>
      <c r="C9581" s="247"/>
    </row>
    <row r="9582">
      <c r="A9582" s="247"/>
      <c r="B9582" s="258"/>
      <c r="C9582" s="247"/>
    </row>
    <row r="9583">
      <c r="A9583" s="247"/>
      <c r="B9583" s="258"/>
      <c r="C9583" s="247"/>
    </row>
    <row r="9584">
      <c r="A9584" s="247"/>
      <c r="B9584" s="258"/>
      <c r="C9584" s="247"/>
    </row>
    <row r="9585">
      <c r="A9585" s="247"/>
      <c r="B9585" s="258"/>
      <c r="C9585" s="247"/>
    </row>
    <row r="9586">
      <c r="A9586" s="247"/>
      <c r="B9586" s="258"/>
      <c r="C9586" s="247"/>
    </row>
    <row r="9587">
      <c r="A9587" s="247"/>
      <c r="B9587" s="258"/>
      <c r="C9587" s="247"/>
    </row>
    <row r="9588">
      <c r="A9588" s="247"/>
      <c r="B9588" s="258"/>
      <c r="C9588" s="247"/>
    </row>
    <row r="9589">
      <c r="A9589" s="247"/>
      <c r="B9589" s="258"/>
      <c r="C9589" s="247"/>
    </row>
    <row r="9590">
      <c r="A9590" s="247"/>
      <c r="B9590" s="258"/>
      <c r="C9590" s="247"/>
    </row>
    <row r="9591">
      <c r="A9591" s="247"/>
      <c r="B9591" s="258"/>
      <c r="C9591" s="247"/>
    </row>
    <row r="9592">
      <c r="A9592" s="247"/>
      <c r="B9592" s="258"/>
      <c r="C9592" s="247"/>
    </row>
    <row r="9593">
      <c r="A9593" s="247"/>
      <c r="B9593" s="258"/>
      <c r="C9593" s="247"/>
    </row>
    <row r="9594">
      <c r="A9594" s="247"/>
      <c r="B9594" s="258"/>
      <c r="C9594" s="247"/>
    </row>
    <row r="9595">
      <c r="A9595" s="247"/>
      <c r="B9595" s="258"/>
      <c r="C9595" s="247"/>
    </row>
    <row r="9596">
      <c r="A9596" s="247"/>
      <c r="B9596" s="258"/>
      <c r="C9596" s="247"/>
    </row>
    <row r="9597">
      <c r="A9597" s="247"/>
      <c r="B9597" s="258"/>
      <c r="C9597" s="247"/>
    </row>
    <row r="9598">
      <c r="A9598" s="247"/>
      <c r="B9598" s="258"/>
      <c r="C9598" s="247"/>
    </row>
    <row r="9599">
      <c r="A9599" s="247"/>
      <c r="B9599" s="258"/>
      <c r="C9599" s="247"/>
    </row>
    <row r="9600">
      <c r="A9600" s="247"/>
      <c r="B9600" s="258"/>
      <c r="C9600" s="247"/>
    </row>
    <row r="9601">
      <c r="A9601" s="247"/>
      <c r="B9601" s="258"/>
      <c r="C9601" s="247"/>
    </row>
    <row r="9602">
      <c r="A9602" s="247"/>
      <c r="B9602" s="258"/>
      <c r="C9602" s="247"/>
    </row>
    <row r="9603">
      <c r="A9603" s="247"/>
      <c r="B9603" s="258"/>
      <c r="C9603" s="247"/>
    </row>
    <row r="9604">
      <c r="A9604" s="247"/>
      <c r="B9604" s="258"/>
      <c r="C9604" s="247"/>
    </row>
    <row r="9605">
      <c r="A9605" s="247"/>
      <c r="B9605" s="258"/>
      <c r="C9605" s="247"/>
    </row>
    <row r="9606">
      <c r="A9606" s="247"/>
      <c r="B9606" s="258"/>
      <c r="C9606" s="247"/>
    </row>
    <row r="9607">
      <c r="A9607" s="247"/>
      <c r="B9607" s="258"/>
      <c r="C9607" s="247"/>
    </row>
    <row r="9608">
      <c r="A9608" s="247"/>
      <c r="B9608" s="258"/>
      <c r="C9608" s="247"/>
    </row>
    <row r="9609">
      <c r="A9609" s="247"/>
      <c r="B9609" s="258"/>
      <c r="C9609" s="247"/>
    </row>
    <row r="9610">
      <c r="A9610" s="247"/>
      <c r="B9610" s="258"/>
      <c r="C9610" s="247"/>
    </row>
    <row r="9611">
      <c r="A9611" s="247"/>
      <c r="B9611" s="258"/>
      <c r="C9611" s="247"/>
    </row>
    <row r="9612">
      <c r="A9612" s="247"/>
      <c r="B9612" s="258"/>
      <c r="C9612" s="247"/>
    </row>
    <row r="9613">
      <c r="A9613" s="247"/>
      <c r="B9613" s="258"/>
      <c r="C9613" s="247"/>
    </row>
    <row r="9614">
      <c r="A9614" s="247"/>
      <c r="B9614" s="258"/>
      <c r="C9614" s="247"/>
    </row>
    <row r="9615">
      <c r="A9615" s="247"/>
      <c r="B9615" s="258"/>
      <c r="C9615" s="247"/>
    </row>
    <row r="9616">
      <c r="A9616" s="247"/>
      <c r="B9616" s="258"/>
      <c r="C9616" s="247"/>
    </row>
    <row r="9617">
      <c r="A9617" s="247"/>
      <c r="B9617" s="258"/>
      <c r="C9617" s="247"/>
    </row>
    <row r="9618">
      <c r="A9618" s="247"/>
      <c r="B9618" s="258"/>
      <c r="C9618" s="247"/>
    </row>
    <row r="9619">
      <c r="A9619" s="247"/>
      <c r="B9619" s="258"/>
      <c r="C9619" s="247"/>
    </row>
    <row r="9620">
      <c r="A9620" s="247"/>
      <c r="B9620" s="258"/>
      <c r="C9620" s="247"/>
    </row>
    <row r="9621">
      <c r="A9621" s="247"/>
      <c r="B9621" s="258"/>
      <c r="C9621" s="247"/>
    </row>
    <row r="9622">
      <c r="A9622" s="247"/>
      <c r="B9622" s="258"/>
      <c r="C9622" s="247"/>
    </row>
    <row r="9623">
      <c r="A9623" s="247"/>
      <c r="B9623" s="258"/>
      <c r="C9623" s="247"/>
    </row>
    <row r="9624">
      <c r="A9624" s="247"/>
      <c r="B9624" s="258"/>
      <c r="C9624" s="247"/>
    </row>
    <row r="9625">
      <c r="A9625" s="247"/>
      <c r="B9625" s="258"/>
      <c r="C9625" s="247"/>
    </row>
    <row r="9626">
      <c r="A9626" s="247"/>
      <c r="B9626" s="258"/>
      <c r="C9626" s="247"/>
    </row>
    <row r="9627">
      <c r="A9627" s="247"/>
      <c r="B9627" s="258"/>
      <c r="C9627" s="247"/>
    </row>
    <row r="9628">
      <c r="A9628" s="247"/>
      <c r="B9628" s="258"/>
      <c r="C9628" s="247"/>
    </row>
    <row r="9629">
      <c r="A9629" s="247"/>
      <c r="B9629" s="258"/>
      <c r="C9629" s="247"/>
    </row>
    <row r="9630">
      <c r="A9630" s="247"/>
      <c r="B9630" s="258"/>
      <c r="C9630" s="247"/>
    </row>
    <row r="9631">
      <c r="A9631" s="247"/>
      <c r="B9631" s="258"/>
      <c r="C9631" s="247"/>
    </row>
    <row r="9632">
      <c r="A9632" s="247"/>
      <c r="B9632" s="258"/>
      <c r="C9632" s="247"/>
    </row>
    <row r="9633">
      <c r="A9633" s="247"/>
      <c r="B9633" s="258"/>
      <c r="C9633" s="247"/>
    </row>
    <row r="9634">
      <c r="A9634" s="247"/>
      <c r="B9634" s="258"/>
      <c r="C9634" s="247"/>
    </row>
    <row r="9635">
      <c r="A9635" s="247"/>
      <c r="B9635" s="258"/>
      <c r="C9635" s="247"/>
    </row>
    <row r="9636">
      <c r="A9636" s="247"/>
      <c r="B9636" s="258"/>
      <c r="C9636" s="247"/>
    </row>
    <row r="9637">
      <c r="A9637" s="247"/>
      <c r="B9637" s="258"/>
      <c r="C9637" s="247"/>
    </row>
    <row r="9638">
      <c r="A9638" s="247"/>
      <c r="B9638" s="258"/>
      <c r="C9638" s="247"/>
    </row>
    <row r="9639">
      <c r="A9639" s="247"/>
      <c r="B9639" s="258"/>
      <c r="C9639" s="247"/>
    </row>
    <row r="9640">
      <c r="A9640" s="247"/>
      <c r="B9640" s="258"/>
      <c r="C9640" s="247"/>
    </row>
    <row r="9641">
      <c r="A9641" s="247"/>
      <c r="B9641" s="258"/>
      <c r="C9641" s="247"/>
    </row>
    <row r="9642">
      <c r="A9642" s="247"/>
      <c r="B9642" s="258"/>
      <c r="C9642" s="247"/>
    </row>
    <row r="9643">
      <c r="A9643" s="247"/>
      <c r="B9643" s="258"/>
      <c r="C9643" s="247"/>
    </row>
    <row r="9644">
      <c r="A9644" s="247"/>
      <c r="B9644" s="258"/>
      <c r="C9644" s="247"/>
    </row>
    <row r="9645">
      <c r="A9645" s="247"/>
      <c r="B9645" s="258"/>
      <c r="C9645" s="247"/>
    </row>
    <row r="9646">
      <c r="A9646" s="247"/>
      <c r="B9646" s="258"/>
      <c r="C9646" s="247"/>
    </row>
    <row r="9647">
      <c r="A9647" s="247"/>
      <c r="B9647" s="258"/>
      <c r="C9647" s="247"/>
    </row>
    <row r="9648">
      <c r="A9648" s="247"/>
      <c r="B9648" s="258"/>
      <c r="C9648" s="247"/>
    </row>
    <row r="9649">
      <c r="A9649" s="247"/>
      <c r="B9649" s="258"/>
      <c r="C9649" s="247"/>
    </row>
    <row r="9650">
      <c r="A9650" s="247"/>
      <c r="B9650" s="258"/>
      <c r="C9650" s="247"/>
    </row>
    <row r="9651">
      <c r="A9651" s="247"/>
      <c r="B9651" s="258"/>
      <c r="C9651" s="247"/>
    </row>
    <row r="9652">
      <c r="A9652" s="247"/>
      <c r="B9652" s="258"/>
      <c r="C9652" s="247"/>
    </row>
    <row r="9653">
      <c r="A9653" s="247"/>
      <c r="B9653" s="258"/>
      <c r="C9653" s="247"/>
    </row>
    <row r="9654">
      <c r="A9654" s="247"/>
      <c r="B9654" s="258"/>
      <c r="C9654" s="247"/>
    </row>
    <row r="9655">
      <c r="A9655" s="247"/>
      <c r="B9655" s="258"/>
      <c r="C9655" s="247"/>
    </row>
    <row r="9656">
      <c r="A9656" s="247"/>
      <c r="B9656" s="258"/>
      <c r="C9656" s="247"/>
    </row>
    <row r="9657">
      <c r="A9657" s="247"/>
      <c r="B9657" s="258"/>
      <c r="C9657" s="247"/>
    </row>
    <row r="9658">
      <c r="A9658" s="247"/>
      <c r="B9658" s="258"/>
      <c r="C9658" s="247"/>
    </row>
    <row r="9659">
      <c r="A9659" s="247"/>
      <c r="B9659" s="258"/>
      <c r="C9659" s="247"/>
    </row>
    <row r="9660">
      <c r="A9660" s="247"/>
      <c r="B9660" s="258"/>
      <c r="C9660" s="247"/>
    </row>
    <row r="9661">
      <c r="A9661" s="247"/>
      <c r="B9661" s="258"/>
      <c r="C9661" s="247"/>
    </row>
    <row r="9662">
      <c r="A9662" s="247"/>
      <c r="B9662" s="258"/>
      <c r="C9662" s="247"/>
    </row>
    <row r="9663">
      <c r="A9663" s="247"/>
      <c r="B9663" s="258"/>
      <c r="C9663" s="247"/>
    </row>
    <row r="9664">
      <c r="A9664" s="247"/>
      <c r="B9664" s="258"/>
      <c r="C9664" s="247"/>
    </row>
    <row r="9665">
      <c r="A9665" s="247"/>
      <c r="B9665" s="258"/>
      <c r="C9665" s="247"/>
    </row>
    <row r="9666">
      <c r="A9666" s="247"/>
      <c r="B9666" s="258"/>
      <c r="C9666" s="247"/>
    </row>
    <row r="9667">
      <c r="A9667" s="247"/>
      <c r="B9667" s="258"/>
      <c r="C9667" s="247"/>
    </row>
    <row r="9668">
      <c r="A9668" s="247"/>
      <c r="B9668" s="258"/>
      <c r="C9668" s="247"/>
    </row>
    <row r="9669">
      <c r="A9669" s="247"/>
      <c r="B9669" s="258"/>
      <c r="C9669" s="247"/>
    </row>
    <row r="9670">
      <c r="A9670" s="247"/>
      <c r="B9670" s="258"/>
      <c r="C9670" s="247"/>
    </row>
    <row r="9671">
      <c r="A9671" s="247"/>
      <c r="B9671" s="258"/>
      <c r="C9671" s="247"/>
    </row>
    <row r="9672">
      <c r="A9672" s="247"/>
      <c r="B9672" s="258"/>
      <c r="C9672" s="247"/>
    </row>
    <row r="9673">
      <c r="A9673" s="247"/>
      <c r="B9673" s="258"/>
      <c r="C9673" s="247"/>
    </row>
    <row r="9674">
      <c r="A9674" s="247"/>
      <c r="B9674" s="258"/>
      <c r="C9674" s="247"/>
    </row>
    <row r="9675">
      <c r="A9675" s="247"/>
      <c r="B9675" s="258"/>
      <c r="C9675" s="247"/>
    </row>
    <row r="9676">
      <c r="A9676" s="247"/>
      <c r="B9676" s="258"/>
      <c r="C9676" s="247"/>
    </row>
    <row r="9677">
      <c r="A9677" s="247"/>
      <c r="B9677" s="258"/>
      <c r="C9677" s="247"/>
    </row>
    <row r="9678">
      <c r="A9678" s="247"/>
      <c r="B9678" s="258"/>
      <c r="C9678" s="247"/>
    </row>
    <row r="9679">
      <c r="A9679" s="247"/>
      <c r="B9679" s="258"/>
      <c r="C9679" s="247"/>
    </row>
    <row r="9680">
      <c r="A9680" s="247"/>
      <c r="B9680" s="258"/>
      <c r="C9680" s="247"/>
    </row>
    <row r="9681">
      <c r="A9681" s="247"/>
      <c r="B9681" s="258"/>
      <c r="C9681" s="247"/>
    </row>
    <row r="9682">
      <c r="A9682" s="247"/>
      <c r="B9682" s="258"/>
      <c r="C9682" s="247"/>
    </row>
    <row r="9683">
      <c r="A9683" s="247"/>
      <c r="B9683" s="258"/>
      <c r="C9683" s="247"/>
    </row>
    <row r="9684">
      <c r="A9684" s="247"/>
      <c r="B9684" s="258"/>
      <c r="C9684" s="247"/>
    </row>
    <row r="9685">
      <c r="A9685" s="247"/>
      <c r="B9685" s="258"/>
      <c r="C9685" s="247"/>
    </row>
    <row r="9686">
      <c r="A9686" s="247"/>
      <c r="B9686" s="258"/>
      <c r="C9686" s="247"/>
    </row>
    <row r="9687">
      <c r="A9687" s="247"/>
      <c r="B9687" s="258"/>
      <c r="C9687" s="247"/>
    </row>
    <row r="9688">
      <c r="A9688" s="247"/>
      <c r="B9688" s="258"/>
      <c r="C9688" s="247"/>
    </row>
    <row r="9689">
      <c r="A9689" s="247"/>
      <c r="B9689" s="258"/>
      <c r="C9689" s="247"/>
    </row>
    <row r="9690">
      <c r="A9690" s="247"/>
      <c r="B9690" s="258"/>
      <c r="C9690" s="247"/>
    </row>
    <row r="9691">
      <c r="A9691" s="247"/>
      <c r="B9691" s="258"/>
      <c r="C9691" s="247"/>
    </row>
    <row r="9692">
      <c r="A9692" s="247"/>
      <c r="B9692" s="258"/>
      <c r="C9692" s="247"/>
    </row>
    <row r="9693">
      <c r="A9693" s="247"/>
      <c r="B9693" s="258"/>
      <c r="C9693" s="247"/>
    </row>
    <row r="9694">
      <c r="A9694" s="247"/>
      <c r="B9694" s="258"/>
      <c r="C9694" s="247"/>
    </row>
    <row r="9695">
      <c r="A9695" s="247"/>
      <c r="B9695" s="258"/>
      <c r="C9695" s="247"/>
    </row>
    <row r="9696">
      <c r="A9696" s="247"/>
      <c r="B9696" s="258"/>
      <c r="C9696" s="247"/>
    </row>
    <row r="9697">
      <c r="A9697" s="247"/>
      <c r="B9697" s="258"/>
      <c r="C9697" s="247"/>
    </row>
    <row r="9698">
      <c r="A9698" s="247"/>
      <c r="B9698" s="258"/>
      <c r="C9698" s="247"/>
    </row>
    <row r="9699">
      <c r="A9699" s="247"/>
      <c r="B9699" s="258"/>
      <c r="C9699" s="247"/>
    </row>
    <row r="9700">
      <c r="A9700" s="247"/>
      <c r="B9700" s="258"/>
      <c r="C9700" s="247"/>
    </row>
    <row r="9701">
      <c r="A9701" s="247"/>
      <c r="B9701" s="258"/>
      <c r="C9701" s="247"/>
    </row>
    <row r="9702">
      <c r="A9702" s="247"/>
      <c r="B9702" s="258"/>
      <c r="C9702" s="247"/>
    </row>
    <row r="9703">
      <c r="A9703" s="247"/>
      <c r="B9703" s="258"/>
      <c r="C9703" s="247"/>
    </row>
    <row r="9704">
      <c r="A9704" s="247"/>
      <c r="B9704" s="258"/>
      <c r="C9704" s="247"/>
    </row>
    <row r="9705">
      <c r="A9705" s="247"/>
      <c r="B9705" s="258"/>
      <c r="C9705" s="247"/>
    </row>
    <row r="9706">
      <c r="A9706" s="247"/>
      <c r="B9706" s="258"/>
      <c r="C9706" s="247"/>
    </row>
    <row r="9707">
      <c r="A9707" s="247"/>
      <c r="B9707" s="258"/>
      <c r="C9707" s="247"/>
    </row>
    <row r="9708">
      <c r="A9708" s="247"/>
      <c r="B9708" s="258"/>
      <c r="C9708" s="247"/>
    </row>
    <row r="9709">
      <c r="A9709" s="247"/>
      <c r="B9709" s="258"/>
      <c r="C9709" s="247"/>
    </row>
    <row r="9710">
      <c r="A9710" s="247"/>
      <c r="B9710" s="258"/>
      <c r="C9710" s="247"/>
    </row>
    <row r="9711">
      <c r="A9711" s="247"/>
      <c r="B9711" s="258"/>
      <c r="C9711" s="247"/>
    </row>
    <row r="9712">
      <c r="A9712" s="247"/>
      <c r="B9712" s="258"/>
      <c r="C9712" s="247"/>
    </row>
    <row r="9713">
      <c r="A9713" s="247"/>
      <c r="B9713" s="258"/>
      <c r="C9713" s="247"/>
    </row>
    <row r="9714">
      <c r="A9714" s="247"/>
      <c r="B9714" s="258"/>
      <c r="C9714" s="247"/>
    </row>
    <row r="9715">
      <c r="A9715" s="247"/>
      <c r="B9715" s="258"/>
      <c r="C9715" s="247"/>
    </row>
    <row r="9716">
      <c r="A9716" s="247"/>
      <c r="B9716" s="258"/>
      <c r="C9716" s="247"/>
    </row>
    <row r="9717">
      <c r="A9717" s="247"/>
      <c r="B9717" s="258"/>
      <c r="C9717" s="247"/>
    </row>
    <row r="9718">
      <c r="A9718" s="247"/>
      <c r="B9718" s="258"/>
      <c r="C9718" s="247"/>
    </row>
    <row r="9719">
      <c r="A9719" s="247"/>
      <c r="B9719" s="258"/>
      <c r="C9719" s="247"/>
    </row>
    <row r="9720">
      <c r="A9720" s="247"/>
      <c r="B9720" s="258"/>
      <c r="C9720" s="247"/>
    </row>
    <row r="9721">
      <c r="A9721" s="247"/>
      <c r="B9721" s="258"/>
      <c r="C9721" s="247"/>
    </row>
    <row r="9722">
      <c r="A9722" s="247"/>
      <c r="B9722" s="258"/>
      <c r="C9722" s="247"/>
    </row>
    <row r="9723">
      <c r="A9723" s="247"/>
      <c r="B9723" s="258"/>
      <c r="C9723" s="247"/>
    </row>
    <row r="9724">
      <c r="A9724" s="247"/>
      <c r="B9724" s="258"/>
      <c r="C9724" s="247"/>
    </row>
    <row r="9725">
      <c r="A9725" s="247"/>
      <c r="B9725" s="258"/>
      <c r="C9725" s="247"/>
    </row>
    <row r="9726">
      <c r="A9726" s="247"/>
      <c r="B9726" s="258"/>
      <c r="C9726" s="247"/>
    </row>
    <row r="9727">
      <c r="A9727" s="247"/>
      <c r="B9727" s="258"/>
      <c r="C9727" s="247"/>
    </row>
    <row r="9728">
      <c r="A9728" s="247"/>
      <c r="B9728" s="258"/>
      <c r="C9728" s="247"/>
    </row>
    <row r="9729">
      <c r="A9729" s="247"/>
      <c r="B9729" s="258"/>
      <c r="C9729" s="247"/>
    </row>
    <row r="9730">
      <c r="A9730" s="247"/>
      <c r="B9730" s="258"/>
      <c r="C9730" s="247"/>
    </row>
    <row r="9731">
      <c r="A9731" s="247"/>
      <c r="B9731" s="258"/>
      <c r="C9731" s="247"/>
    </row>
    <row r="9732">
      <c r="A9732" s="247"/>
      <c r="B9732" s="258"/>
      <c r="C9732" s="247"/>
    </row>
    <row r="9733">
      <c r="A9733" s="247"/>
      <c r="B9733" s="258"/>
      <c r="C9733" s="247"/>
    </row>
    <row r="9734">
      <c r="A9734" s="247"/>
      <c r="B9734" s="258"/>
      <c r="C9734" s="247"/>
    </row>
    <row r="9735">
      <c r="A9735" s="247"/>
      <c r="B9735" s="258"/>
      <c r="C9735" s="247"/>
    </row>
    <row r="9736">
      <c r="A9736" s="247"/>
      <c r="B9736" s="258"/>
      <c r="C9736" s="247"/>
    </row>
    <row r="9737">
      <c r="A9737" s="247"/>
      <c r="B9737" s="258"/>
      <c r="C9737" s="247"/>
    </row>
    <row r="9738">
      <c r="A9738" s="247"/>
      <c r="B9738" s="258"/>
      <c r="C9738" s="247"/>
    </row>
    <row r="9739">
      <c r="A9739" s="247"/>
      <c r="B9739" s="258"/>
      <c r="C9739" s="247"/>
    </row>
    <row r="9740">
      <c r="A9740" s="247"/>
      <c r="B9740" s="258"/>
      <c r="C9740" s="247"/>
    </row>
    <row r="9741">
      <c r="A9741" s="247"/>
      <c r="B9741" s="258"/>
      <c r="C9741" s="247"/>
    </row>
    <row r="9742">
      <c r="A9742" s="247"/>
      <c r="B9742" s="258"/>
      <c r="C9742" s="247"/>
    </row>
    <row r="9743">
      <c r="A9743" s="247"/>
      <c r="B9743" s="258"/>
      <c r="C9743" s="247"/>
    </row>
    <row r="9744">
      <c r="A9744" s="247"/>
      <c r="B9744" s="258"/>
      <c r="C9744" s="247"/>
    </row>
    <row r="9745">
      <c r="A9745" s="247"/>
      <c r="B9745" s="258"/>
      <c r="C9745" s="247"/>
    </row>
    <row r="9746">
      <c r="A9746" s="247"/>
      <c r="B9746" s="258"/>
      <c r="C9746" s="247"/>
    </row>
    <row r="9747">
      <c r="A9747" s="247"/>
      <c r="B9747" s="258"/>
      <c r="C9747" s="247"/>
    </row>
    <row r="9748">
      <c r="A9748" s="247"/>
      <c r="B9748" s="258"/>
      <c r="C9748" s="247"/>
    </row>
    <row r="9749">
      <c r="A9749" s="247"/>
      <c r="B9749" s="258"/>
      <c r="C9749" s="247"/>
    </row>
    <row r="9750">
      <c r="A9750" s="247"/>
      <c r="B9750" s="258"/>
      <c r="C9750" s="247"/>
    </row>
    <row r="9751">
      <c r="A9751" s="247"/>
      <c r="B9751" s="258"/>
      <c r="C9751" s="247"/>
    </row>
    <row r="9752">
      <c r="A9752" s="247"/>
      <c r="B9752" s="258"/>
      <c r="C9752" s="247"/>
    </row>
    <row r="9753">
      <c r="A9753" s="247"/>
      <c r="B9753" s="258"/>
      <c r="C9753" s="247"/>
    </row>
    <row r="9754">
      <c r="A9754" s="247"/>
      <c r="B9754" s="258"/>
      <c r="C9754" s="247"/>
    </row>
    <row r="9755">
      <c r="A9755" s="247"/>
      <c r="B9755" s="258"/>
      <c r="C9755" s="247"/>
    </row>
    <row r="9756">
      <c r="A9756" s="247"/>
      <c r="B9756" s="258"/>
      <c r="C9756" s="247"/>
    </row>
    <row r="9757">
      <c r="A9757" s="247"/>
      <c r="B9757" s="258"/>
      <c r="C9757" s="247"/>
    </row>
    <row r="9758">
      <c r="A9758" s="247"/>
      <c r="B9758" s="258"/>
      <c r="C9758" s="247"/>
    </row>
    <row r="9759">
      <c r="A9759" s="247"/>
      <c r="B9759" s="258"/>
      <c r="C9759" s="247"/>
    </row>
    <row r="9760">
      <c r="A9760" s="247"/>
      <c r="B9760" s="258"/>
      <c r="C9760" s="247"/>
    </row>
    <row r="9761">
      <c r="A9761" s="247"/>
      <c r="B9761" s="258"/>
      <c r="C9761" s="247"/>
    </row>
    <row r="9762">
      <c r="A9762" s="247"/>
      <c r="B9762" s="258"/>
      <c r="C9762" s="247"/>
    </row>
    <row r="9763">
      <c r="A9763" s="247"/>
      <c r="B9763" s="258"/>
      <c r="C9763" s="247"/>
    </row>
    <row r="9764">
      <c r="A9764" s="247"/>
      <c r="B9764" s="258"/>
      <c r="C9764" s="247"/>
    </row>
    <row r="9765">
      <c r="A9765" s="247"/>
      <c r="B9765" s="258"/>
      <c r="C9765" s="247"/>
    </row>
    <row r="9766">
      <c r="A9766" s="247"/>
      <c r="B9766" s="258"/>
      <c r="C9766" s="247"/>
    </row>
    <row r="9767">
      <c r="A9767" s="247"/>
      <c r="B9767" s="258"/>
      <c r="C9767" s="247"/>
    </row>
    <row r="9768">
      <c r="A9768" s="247"/>
      <c r="B9768" s="258"/>
      <c r="C9768" s="247"/>
    </row>
    <row r="9769">
      <c r="A9769" s="247"/>
      <c r="B9769" s="258"/>
      <c r="C9769" s="247"/>
    </row>
    <row r="9770">
      <c r="A9770" s="247"/>
      <c r="B9770" s="258"/>
      <c r="C9770" s="247"/>
    </row>
    <row r="9771">
      <c r="A9771" s="247"/>
      <c r="B9771" s="258"/>
      <c r="C9771" s="247"/>
    </row>
    <row r="9772">
      <c r="A9772" s="247"/>
      <c r="B9772" s="258"/>
      <c r="C9772" s="247"/>
    </row>
    <row r="9773">
      <c r="A9773" s="247"/>
      <c r="B9773" s="258"/>
      <c r="C9773" s="247"/>
    </row>
    <row r="9774">
      <c r="A9774" s="247"/>
      <c r="B9774" s="258"/>
      <c r="C9774" s="247"/>
    </row>
    <row r="9775">
      <c r="A9775" s="247"/>
      <c r="B9775" s="258"/>
      <c r="C9775" s="247"/>
    </row>
    <row r="9776">
      <c r="A9776" s="247"/>
      <c r="B9776" s="258"/>
      <c r="C9776" s="247"/>
    </row>
    <row r="9777">
      <c r="A9777" s="247"/>
      <c r="B9777" s="258"/>
      <c r="C9777" s="247"/>
    </row>
    <row r="9778">
      <c r="A9778" s="247"/>
      <c r="B9778" s="258"/>
      <c r="C9778" s="247"/>
    </row>
    <row r="9779">
      <c r="A9779" s="247"/>
      <c r="B9779" s="258"/>
      <c r="C9779" s="247"/>
    </row>
    <row r="9780">
      <c r="A9780" s="247"/>
      <c r="B9780" s="258"/>
      <c r="C9780" s="247"/>
    </row>
    <row r="9781">
      <c r="A9781" s="247"/>
      <c r="B9781" s="258"/>
      <c r="C9781" s="247"/>
    </row>
    <row r="9782">
      <c r="A9782" s="247"/>
      <c r="B9782" s="258"/>
      <c r="C9782" s="247"/>
    </row>
    <row r="9783">
      <c r="A9783" s="247"/>
      <c r="B9783" s="258"/>
      <c r="C9783" s="247"/>
    </row>
    <row r="9784">
      <c r="A9784" s="247"/>
      <c r="B9784" s="258"/>
      <c r="C9784" s="247"/>
    </row>
    <row r="9785">
      <c r="A9785" s="247"/>
      <c r="B9785" s="258"/>
      <c r="C9785" s="247"/>
    </row>
    <row r="9786">
      <c r="A9786" s="247"/>
      <c r="B9786" s="258"/>
      <c r="C9786" s="247"/>
    </row>
    <row r="9787">
      <c r="A9787" s="247"/>
      <c r="B9787" s="258"/>
      <c r="C9787" s="247"/>
    </row>
    <row r="9788">
      <c r="A9788" s="247"/>
      <c r="B9788" s="258"/>
      <c r="C9788" s="247"/>
    </row>
    <row r="9789">
      <c r="A9789" s="247"/>
      <c r="B9789" s="258"/>
      <c r="C9789" s="247"/>
    </row>
    <row r="9790">
      <c r="A9790" s="247"/>
      <c r="B9790" s="258"/>
      <c r="C9790" s="247"/>
    </row>
    <row r="9791">
      <c r="A9791" s="247"/>
      <c r="B9791" s="258"/>
      <c r="C9791" s="247"/>
    </row>
    <row r="9792">
      <c r="A9792" s="247"/>
      <c r="B9792" s="258"/>
      <c r="C9792" s="247"/>
    </row>
    <row r="9793">
      <c r="A9793" s="247"/>
      <c r="B9793" s="258"/>
      <c r="C9793" s="247"/>
    </row>
    <row r="9794">
      <c r="A9794" s="247"/>
      <c r="B9794" s="258"/>
      <c r="C9794" s="247"/>
    </row>
    <row r="9795">
      <c r="A9795" s="247"/>
      <c r="B9795" s="258"/>
      <c r="C9795" s="247"/>
    </row>
    <row r="9796">
      <c r="A9796" s="247"/>
      <c r="B9796" s="258"/>
      <c r="C9796" s="247"/>
    </row>
    <row r="9797">
      <c r="A9797" s="247"/>
      <c r="B9797" s="258"/>
      <c r="C9797" s="247"/>
    </row>
    <row r="9798">
      <c r="A9798" s="247"/>
      <c r="B9798" s="258"/>
      <c r="C9798" s="247"/>
    </row>
    <row r="9799">
      <c r="A9799" s="247"/>
      <c r="B9799" s="258"/>
      <c r="C9799" s="247"/>
    </row>
    <row r="9800">
      <c r="A9800" s="247"/>
      <c r="B9800" s="258"/>
      <c r="C9800" s="247"/>
    </row>
    <row r="9801">
      <c r="A9801" s="247"/>
      <c r="B9801" s="258"/>
      <c r="C9801" s="247"/>
    </row>
    <row r="9802">
      <c r="A9802" s="247"/>
      <c r="B9802" s="258"/>
      <c r="C9802" s="247"/>
    </row>
    <row r="9803">
      <c r="A9803" s="247"/>
      <c r="B9803" s="258"/>
      <c r="C9803" s="247"/>
    </row>
    <row r="9804">
      <c r="A9804" s="247"/>
      <c r="B9804" s="258"/>
      <c r="C9804" s="247"/>
    </row>
    <row r="9805">
      <c r="A9805" s="247"/>
      <c r="B9805" s="258"/>
      <c r="C9805" s="247"/>
    </row>
    <row r="9806">
      <c r="A9806" s="247"/>
      <c r="B9806" s="258"/>
      <c r="C9806" s="247"/>
    </row>
    <row r="9807">
      <c r="A9807" s="247"/>
      <c r="B9807" s="258"/>
      <c r="C9807" s="247"/>
    </row>
    <row r="9808">
      <c r="A9808" s="247"/>
      <c r="B9808" s="258"/>
      <c r="C9808" s="247"/>
    </row>
    <row r="9809">
      <c r="A9809" s="247"/>
      <c r="B9809" s="258"/>
      <c r="C9809" s="247"/>
    </row>
    <row r="9810">
      <c r="A9810" s="247"/>
      <c r="B9810" s="258"/>
      <c r="C9810" s="247"/>
    </row>
    <row r="9811">
      <c r="A9811" s="247"/>
      <c r="B9811" s="258"/>
      <c r="C9811" s="247"/>
    </row>
    <row r="9812">
      <c r="A9812" s="247"/>
      <c r="B9812" s="258"/>
      <c r="C9812" s="247"/>
    </row>
    <row r="9813">
      <c r="A9813" s="247"/>
      <c r="B9813" s="258"/>
      <c r="C9813" s="247"/>
    </row>
    <row r="9814">
      <c r="A9814" s="247"/>
      <c r="B9814" s="258"/>
      <c r="C9814" s="247"/>
    </row>
    <row r="9815">
      <c r="A9815" s="247"/>
      <c r="B9815" s="258"/>
      <c r="C9815" s="247"/>
    </row>
    <row r="9816">
      <c r="A9816" s="247"/>
      <c r="B9816" s="258"/>
      <c r="C9816" s="247"/>
    </row>
    <row r="9817">
      <c r="A9817" s="247"/>
      <c r="B9817" s="258"/>
      <c r="C9817" s="247"/>
    </row>
    <row r="9818">
      <c r="A9818" s="247"/>
      <c r="B9818" s="258"/>
      <c r="C9818" s="247"/>
    </row>
    <row r="9819">
      <c r="A9819" s="247"/>
      <c r="B9819" s="258"/>
      <c r="C9819" s="247"/>
    </row>
    <row r="9820">
      <c r="A9820" s="247"/>
      <c r="B9820" s="258"/>
      <c r="C9820" s="247"/>
    </row>
    <row r="9821">
      <c r="A9821" s="247"/>
      <c r="B9821" s="258"/>
      <c r="C9821" s="247"/>
    </row>
    <row r="9822">
      <c r="A9822" s="247"/>
      <c r="B9822" s="258"/>
      <c r="C9822" s="247"/>
    </row>
    <row r="9823">
      <c r="A9823" s="247"/>
      <c r="B9823" s="258"/>
      <c r="C9823" s="247"/>
    </row>
    <row r="9824">
      <c r="A9824" s="247"/>
      <c r="B9824" s="258"/>
      <c r="C9824" s="247"/>
    </row>
    <row r="9825">
      <c r="A9825" s="247"/>
      <c r="B9825" s="258"/>
      <c r="C9825" s="247"/>
    </row>
    <row r="9826">
      <c r="A9826" s="247"/>
      <c r="B9826" s="258"/>
      <c r="C9826" s="247"/>
    </row>
    <row r="9827">
      <c r="A9827" s="247"/>
      <c r="B9827" s="258"/>
      <c r="C9827" s="247"/>
    </row>
    <row r="9828">
      <c r="A9828" s="247"/>
      <c r="B9828" s="258"/>
      <c r="C9828" s="247"/>
    </row>
    <row r="9829">
      <c r="A9829" s="247"/>
      <c r="B9829" s="258"/>
      <c r="C9829" s="247"/>
    </row>
    <row r="9830">
      <c r="A9830" s="247"/>
      <c r="B9830" s="258"/>
      <c r="C9830" s="247"/>
    </row>
    <row r="9831">
      <c r="A9831" s="247"/>
      <c r="B9831" s="258"/>
      <c r="C9831" s="247"/>
    </row>
    <row r="9832">
      <c r="A9832" s="247"/>
      <c r="B9832" s="258"/>
      <c r="C9832" s="247"/>
    </row>
    <row r="9833">
      <c r="A9833" s="247"/>
      <c r="B9833" s="258"/>
      <c r="C9833" s="247"/>
    </row>
    <row r="9834">
      <c r="A9834" s="247"/>
      <c r="B9834" s="258"/>
      <c r="C9834" s="247"/>
    </row>
    <row r="9835">
      <c r="A9835" s="247"/>
      <c r="B9835" s="258"/>
      <c r="C9835" s="247"/>
    </row>
    <row r="9836">
      <c r="A9836" s="247"/>
      <c r="B9836" s="258"/>
      <c r="C9836" s="247"/>
    </row>
    <row r="9837">
      <c r="A9837" s="247"/>
      <c r="B9837" s="258"/>
      <c r="C9837" s="247"/>
    </row>
    <row r="9838">
      <c r="A9838" s="247"/>
      <c r="B9838" s="258"/>
      <c r="C9838" s="247"/>
    </row>
    <row r="9839">
      <c r="A9839" s="247"/>
      <c r="B9839" s="258"/>
      <c r="C9839" s="247"/>
    </row>
    <row r="9840">
      <c r="A9840" s="247"/>
      <c r="B9840" s="258"/>
      <c r="C9840" s="247"/>
    </row>
    <row r="9841">
      <c r="A9841" s="247"/>
      <c r="B9841" s="258"/>
      <c r="C9841" s="247"/>
    </row>
    <row r="9842">
      <c r="A9842" s="247"/>
      <c r="B9842" s="258"/>
      <c r="C9842" s="247"/>
    </row>
    <row r="9843">
      <c r="A9843" s="247"/>
      <c r="B9843" s="258"/>
      <c r="C9843" s="247"/>
    </row>
    <row r="9844">
      <c r="A9844" s="247"/>
      <c r="B9844" s="258"/>
      <c r="C9844" s="247"/>
    </row>
    <row r="9845">
      <c r="A9845" s="247"/>
      <c r="B9845" s="258"/>
      <c r="C9845" s="247"/>
    </row>
    <row r="9846">
      <c r="A9846" s="247"/>
      <c r="B9846" s="258"/>
      <c r="C9846" s="247"/>
    </row>
    <row r="9847">
      <c r="A9847" s="247"/>
      <c r="B9847" s="258"/>
      <c r="C9847" s="247"/>
    </row>
    <row r="9848">
      <c r="A9848" s="247"/>
      <c r="B9848" s="258"/>
      <c r="C9848" s="247"/>
    </row>
    <row r="9849">
      <c r="A9849" s="247"/>
      <c r="B9849" s="258"/>
      <c r="C9849" s="247"/>
    </row>
    <row r="9850">
      <c r="A9850" s="247"/>
      <c r="B9850" s="258"/>
      <c r="C9850" s="247"/>
    </row>
    <row r="9851">
      <c r="A9851" s="247"/>
      <c r="B9851" s="258"/>
      <c r="C9851" s="247"/>
    </row>
    <row r="9852">
      <c r="A9852" s="247"/>
      <c r="B9852" s="258"/>
      <c r="C9852" s="247"/>
    </row>
    <row r="9853">
      <c r="A9853" s="247"/>
      <c r="B9853" s="258"/>
      <c r="C9853" s="247"/>
    </row>
    <row r="9854">
      <c r="A9854" s="247"/>
      <c r="B9854" s="258"/>
      <c r="C9854" s="247"/>
    </row>
    <row r="9855">
      <c r="A9855" s="247"/>
      <c r="B9855" s="258"/>
      <c r="C9855" s="247"/>
    </row>
    <row r="9856">
      <c r="A9856" s="247"/>
      <c r="B9856" s="258"/>
      <c r="C9856" s="247"/>
    </row>
    <row r="9857">
      <c r="A9857" s="247"/>
      <c r="B9857" s="258"/>
      <c r="C9857" s="247"/>
    </row>
    <row r="9858">
      <c r="A9858" s="247"/>
      <c r="B9858" s="258"/>
      <c r="C9858" s="247"/>
    </row>
    <row r="9859">
      <c r="A9859" s="247"/>
      <c r="B9859" s="258"/>
      <c r="C9859" s="247"/>
    </row>
    <row r="9860">
      <c r="A9860" s="247"/>
      <c r="B9860" s="258"/>
      <c r="C9860" s="247"/>
    </row>
    <row r="9861">
      <c r="A9861" s="247"/>
      <c r="B9861" s="258"/>
      <c r="C9861" s="247"/>
    </row>
    <row r="9862">
      <c r="A9862" s="247"/>
      <c r="B9862" s="258"/>
      <c r="C9862" s="247"/>
    </row>
    <row r="9863">
      <c r="A9863" s="247"/>
      <c r="B9863" s="258"/>
      <c r="C9863" s="247"/>
    </row>
    <row r="9864">
      <c r="A9864" s="247"/>
      <c r="B9864" s="258"/>
      <c r="C9864" s="247"/>
    </row>
    <row r="9865">
      <c r="A9865" s="247"/>
      <c r="B9865" s="258"/>
      <c r="C9865" s="247"/>
    </row>
    <row r="9866">
      <c r="A9866" s="247"/>
      <c r="B9866" s="258"/>
      <c r="C9866" s="247"/>
    </row>
    <row r="9867">
      <c r="A9867" s="247"/>
      <c r="B9867" s="258"/>
      <c r="C9867" s="247"/>
    </row>
    <row r="9868">
      <c r="A9868" s="247"/>
      <c r="B9868" s="258"/>
      <c r="C9868" s="247"/>
    </row>
    <row r="9869">
      <c r="A9869" s="247"/>
      <c r="B9869" s="258"/>
      <c r="C9869" s="247"/>
    </row>
    <row r="9870">
      <c r="A9870" s="247"/>
      <c r="B9870" s="258"/>
      <c r="C9870" s="247"/>
    </row>
    <row r="9871">
      <c r="A9871" s="247"/>
      <c r="B9871" s="258"/>
      <c r="C9871" s="247"/>
    </row>
    <row r="9872">
      <c r="A9872" s="247"/>
      <c r="B9872" s="258"/>
      <c r="C9872" s="247"/>
    </row>
    <row r="9873">
      <c r="A9873" s="247"/>
      <c r="B9873" s="258"/>
      <c r="C9873" s="247"/>
    </row>
    <row r="9874">
      <c r="A9874" s="247"/>
      <c r="B9874" s="258"/>
      <c r="C9874" s="247"/>
    </row>
    <row r="9875">
      <c r="A9875" s="247"/>
      <c r="B9875" s="258"/>
      <c r="C9875" s="247"/>
    </row>
    <row r="9876">
      <c r="A9876" s="247"/>
      <c r="B9876" s="258"/>
      <c r="C9876" s="247"/>
    </row>
    <row r="9877">
      <c r="A9877" s="247"/>
      <c r="B9877" s="258"/>
      <c r="C9877" s="247"/>
    </row>
    <row r="9878">
      <c r="A9878" s="247"/>
      <c r="B9878" s="258"/>
      <c r="C9878" s="247"/>
    </row>
    <row r="9879">
      <c r="A9879" s="247"/>
      <c r="B9879" s="258"/>
      <c r="C9879" s="247"/>
    </row>
    <row r="9880">
      <c r="A9880" s="247"/>
      <c r="B9880" s="258"/>
      <c r="C9880" s="247"/>
    </row>
    <row r="9881">
      <c r="A9881" s="247"/>
      <c r="B9881" s="258"/>
      <c r="C9881" s="247"/>
    </row>
    <row r="9882">
      <c r="A9882" s="247"/>
      <c r="B9882" s="258"/>
      <c r="C9882" s="247"/>
    </row>
    <row r="9883">
      <c r="A9883" s="247"/>
      <c r="B9883" s="258"/>
      <c r="C9883" s="247"/>
    </row>
    <row r="9884">
      <c r="A9884" s="247"/>
      <c r="B9884" s="258"/>
      <c r="C9884" s="247"/>
    </row>
    <row r="9885">
      <c r="A9885" s="247"/>
      <c r="B9885" s="258"/>
      <c r="C9885" s="247"/>
    </row>
    <row r="9886">
      <c r="A9886" s="247"/>
      <c r="B9886" s="258"/>
      <c r="C9886" s="247"/>
    </row>
    <row r="9887">
      <c r="A9887" s="247"/>
      <c r="B9887" s="258"/>
      <c r="C9887" s="247"/>
    </row>
    <row r="9888">
      <c r="A9888" s="247"/>
      <c r="B9888" s="258"/>
      <c r="C9888" s="247"/>
    </row>
    <row r="9889">
      <c r="A9889" s="247"/>
      <c r="B9889" s="258"/>
      <c r="C9889" s="247"/>
    </row>
    <row r="9890">
      <c r="A9890" s="247"/>
      <c r="B9890" s="258"/>
      <c r="C9890" s="247"/>
    </row>
    <row r="9891">
      <c r="A9891" s="247"/>
      <c r="B9891" s="258"/>
      <c r="C9891" s="247"/>
    </row>
    <row r="9892">
      <c r="A9892" s="247"/>
      <c r="B9892" s="258"/>
      <c r="C9892" s="247"/>
    </row>
    <row r="9893">
      <c r="A9893" s="247"/>
      <c r="B9893" s="258"/>
      <c r="C9893" s="247"/>
    </row>
    <row r="9894">
      <c r="A9894" s="247"/>
      <c r="B9894" s="258"/>
      <c r="C9894" s="247"/>
    </row>
    <row r="9895">
      <c r="A9895" s="247"/>
      <c r="B9895" s="258"/>
      <c r="C9895" s="247"/>
    </row>
    <row r="9896">
      <c r="A9896" s="247"/>
      <c r="B9896" s="258"/>
      <c r="C9896" s="247"/>
    </row>
    <row r="9897">
      <c r="A9897" s="247"/>
      <c r="B9897" s="258"/>
      <c r="C9897" s="247"/>
    </row>
    <row r="9898">
      <c r="A9898" s="247"/>
      <c r="B9898" s="258"/>
      <c r="C9898" s="247"/>
    </row>
    <row r="9899">
      <c r="A9899" s="247"/>
      <c r="B9899" s="258"/>
      <c r="C9899" s="247"/>
    </row>
    <row r="9900">
      <c r="A9900" s="247"/>
      <c r="B9900" s="258"/>
      <c r="C9900" s="247"/>
    </row>
    <row r="9901">
      <c r="A9901" s="247"/>
      <c r="B9901" s="258"/>
      <c r="C9901" s="247"/>
    </row>
    <row r="9902">
      <c r="A9902" s="247"/>
      <c r="B9902" s="258"/>
      <c r="C9902" s="247"/>
    </row>
    <row r="9903">
      <c r="A9903" s="247"/>
      <c r="B9903" s="258"/>
      <c r="C9903" s="247"/>
    </row>
    <row r="9904">
      <c r="A9904" s="247"/>
      <c r="B9904" s="258"/>
      <c r="C9904" s="247"/>
    </row>
    <row r="9905">
      <c r="A9905" s="247"/>
      <c r="B9905" s="258"/>
      <c r="C9905" s="247"/>
    </row>
    <row r="9906">
      <c r="A9906" s="247"/>
      <c r="B9906" s="258"/>
      <c r="C9906" s="247"/>
    </row>
    <row r="9907">
      <c r="A9907" s="247"/>
      <c r="B9907" s="258"/>
      <c r="C9907" s="247"/>
    </row>
    <row r="9908">
      <c r="A9908" s="247"/>
      <c r="B9908" s="258"/>
      <c r="C9908" s="247"/>
    </row>
    <row r="9909">
      <c r="A9909" s="247"/>
      <c r="B9909" s="258"/>
      <c r="C9909" s="247"/>
    </row>
    <row r="9910">
      <c r="A9910" s="247"/>
      <c r="B9910" s="258"/>
      <c r="C9910" s="247"/>
    </row>
    <row r="9911">
      <c r="A9911" s="247"/>
      <c r="B9911" s="258"/>
      <c r="C9911" s="247"/>
    </row>
    <row r="9912">
      <c r="A9912" s="247"/>
      <c r="B9912" s="258"/>
      <c r="C9912" s="247"/>
    </row>
    <row r="9913">
      <c r="A9913" s="247"/>
      <c r="B9913" s="258"/>
      <c r="C9913" s="247"/>
    </row>
    <row r="9914">
      <c r="A9914" s="247"/>
      <c r="B9914" s="258"/>
      <c r="C9914" s="247"/>
    </row>
    <row r="9915">
      <c r="A9915" s="247"/>
      <c r="B9915" s="258"/>
      <c r="C9915" s="247"/>
    </row>
    <row r="9916">
      <c r="A9916" s="247"/>
      <c r="B9916" s="258"/>
      <c r="C9916" s="247"/>
    </row>
    <row r="9917">
      <c r="A9917" s="247"/>
      <c r="B9917" s="258"/>
      <c r="C9917" s="247"/>
    </row>
    <row r="9918">
      <c r="A9918" s="247"/>
      <c r="B9918" s="258"/>
      <c r="C9918" s="247"/>
    </row>
    <row r="9919">
      <c r="A9919" s="247"/>
      <c r="B9919" s="258"/>
      <c r="C9919" s="247"/>
    </row>
    <row r="9920">
      <c r="A9920" s="247"/>
      <c r="B9920" s="258"/>
      <c r="C9920" s="247"/>
    </row>
    <row r="9921">
      <c r="A9921" s="247"/>
      <c r="B9921" s="258"/>
      <c r="C9921" s="247"/>
    </row>
    <row r="9922">
      <c r="A9922" s="247"/>
      <c r="B9922" s="258"/>
      <c r="C9922" s="247"/>
    </row>
    <row r="9923">
      <c r="A9923" s="247"/>
      <c r="B9923" s="258"/>
      <c r="C9923" s="247"/>
    </row>
    <row r="9924">
      <c r="A9924" s="247"/>
      <c r="B9924" s="258"/>
      <c r="C9924" s="247"/>
    </row>
    <row r="9925">
      <c r="A9925" s="247"/>
      <c r="B9925" s="258"/>
      <c r="C9925" s="247"/>
    </row>
    <row r="9926">
      <c r="A9926" s="247"/>
      <c r="B9926" s="258"/>
      <c r="C9926" s="247"/>
    </row>
    <row r="9927">
      <c r="A9927" s="247"/>
      <c r="B9927" s="258"/>
      <c r="C9927" s="247"/>
    </row>
    <row r="9928">
      <c r="A9928" s="247"/>
      <c r="B9928" s="258"/>
      <c r="C9928" s="247"/>
    </row>
    <row r="9929">
      <c r="A9929" s="247"/>
      <c r="B9929" s="258"/>
      <c r="C9929" s="247"/>
    </row>
    <row r="9930">
      <c r="A9930" s="247"/>
      <c r="B9930" s="258"/>
      <c r="C9930" s="247"/>
    </row>
    <row r="9931">
      <c r="A9931" s="247"/>
      <c r="B9931" s="258"/>
      <c r="C9931" s="247"/>
    </row>
    <row r="9932">
      <c r="A9932" s="247"/>
      <c r="B9932" s="258"/>
      <c r="C9932" s="247"/>
    </row>
    <row r="9933">
      <c r="A9933" s="247"/>
      <c r="B9933" s="258"/>
      <c r="C9933" s="247"/>
    </row>
    <row r="9934">
      <c r="A9934" s="247"/>
      <c r="B9934" s="258"/>
      <c r="C9934" s="247"/>
    </row>
    <row r="9935">
      <c r="A9935" s="247"/>
      <c r="B9935" s="258"/>
      <c r="C9935" s="247"/>
    </row>
    <row r="9936">
      <c r="A9936" s="247"/>
      <c r="B9936" s="258"/>
      <c r="C9936" s="247"/>
    </row>
    <row r="9937">
      <c r="A9937" s="247"/>
      <c r="B9937" s="258"/>
      <c r="C9937" s="247"/>
    </row>
    <row r="9938">
      <c r="A9938" s="247"/>
      <c r="B9938" s="258"/>
      <c r="C9938" s="247"/>
    </row>
    <row r="9939">
      <c r="A9939" s="247"/>
      <c r="B9939" s="258"/>
      <c r="C9939" s="247"/>
    </row>
    <row r="9940">
      <c r="A9940" s="247"/>
      <c r="B9940" s="258"/>
      <c r="C9940" s="247"/>
    </row>
    <row r="9941">
      <c r="A9941" s="247"/>
      <c r="B9941" s="258"/>
      <c r="C9941" s="247"/>
    </row>
    <row r="9942">
      <c r="A9942" s="247"/>
      <c r="B9942" s="258"/>
      <c r="C9942" s="247"/>
    </row>
    <row r="9943">
      <c r="A9943" s="247"/>
      <c r="B9943" s="258"/>
      <c r="C9943" s="247"/>
    </row>
    <row r="9944">
      <c r="A9944" s="247"/>
      <c r="B9944" s="258"/>
      <c r="C9944" s="247"/>
    </row>
    <row r="9945">
      <c r="A9945" s="247"/>
      <c r="B9945" s="258"/>
      <c r="C9945" s="247"/>
    </row>
    <row r="9946">
      <c r="A9946" s="247"/>
      <c r="B9946" s="258"/>
      <c r="C9946" s="247"/>
    </row>
    <row r="9947">
      <c r="A9947" s="247"/>
      <c r="B9947" s="258"/>
      <c r="C9947" s="247"/>
    </row>
    <row r="9948">
      <c r="A9948" s="247"/>
      <c r="B9948" s="258"/>
      <c r="C9948" s="247"/>
    </row>
    <row r="9949">
      <c r="A9949" s="247"/>
      <c r="B9949" s="258"/>
      <c r="C9949" s="247"/>
    </row>
    <row r="9950">
      <c r="A9950" s="247"/>
      <c r="B9950" s="258"/>
      <c r="C9950" s="247"/>
    </row>
    <row r="9951">
      <c r="A9951" s="247"/>
      <c r="B9951" s="258"/>
      <c r="C9951" s="247"/>
    </row>
    <row r="9952">
      <c r="A9952" s="247"/>
      <c r="B9952" s="258"/>
      <c r="C9952" s="247"/>
    </row>
    <row r="9953">
      <c r="A9953" s="247"/>
      <c r="B9953" s="258"/>
      <c r="C9953" s="247"/>
    </row>
    <row r="9954">
      <c r="A9954" s="247"/>
      <c r="B9954" s="258"/>
      <c r="C9954" s="247"/>
    </row>
    <row r="9955">
      <c r="A9955" s="247"/>
      <c r="B9955" s="258"/>
      <c r="C9955" s="247"/>
    </row>
    <row r="9956">
      <c r="A9956" s="247"/>
      <c r="B9956" s="258"/>
      <c r="C9956" s="247"/>
    </row>
    <row r="9957">
      <c r="A9957" s="247"/>
      <c r="B9957" s="258"/>
      <c r="C9957" s="247"/>
    </row>
    <row r="9958">
      <c r="A9958" s="247"/>
      <c r="B9958" s="258"/>
      <c r="C9958" s="247"/>
    </row>
    <row r="9959">
      <c r="A9959" s="247"/>
      <c r="B9959" s="258"/>
      <c r="C9959" s="247"/>
    </row>
    <row r="9960">
      <c r="A9960" s="247"/>
      <c r="B9960" s="258"/>
      <c r="C9960" s="247"/>
    </row>
    <row r="9961">
      <c r="A9961" s="247"/>
      <c r="B9961" s="258"/>
      <c r="C9961" s="247"/>
    </row>
    <row r="9962">
      <c r="A9962" s="247"/>
      <c r="B9962" s="258"/>
      <c r="C9962" s="247"/>
    </row>
    <row r="9963">
      <c r="A9963" s="247"/>
      <c r="B9963" s="258"/>
      <c r="C9963" s="247"/>
    </row>
    <row r="9964">
      <c r="A9964" s="247"/>
      <c r="B9964" s="258"/>
      <c r="C9964" s="247"/>
    </row>
    <row r="9965">
      <c r="A9965" s="247"/>
      <c r="B9965" s="258"/>
      <c r="C9965" s="247"/>
    </row>
    <row r="9966">
      <c r="A9966" s="247"/>
      <c r="B9966" s="258"/>
      <c r="C9966" s="247"/>
    </row>
    <row r="9967">
      <c r="A9967" s="247"/>
      <c r="B9967" s="258"/>
      <c r="C9967" s="247"/>
    </row>
    <row r="9968">
      <c r="A9968" s="247"/>
      <c r="B9968" s="258"/>
      <c r="C9968" s="247"/>
    </row>
    <row r="9969">
      <c r="A9969" s="247"/>
      <c r="B9969" s="258"/>
      <c r="C9969" s="247"/>
    </row>
    <row r="9970">
      <c r="A9970" s="247"/>
      <c r="B9970" s="258"/>
      <c r="C9970" s="247"/>
    </row>
    <row r="9971">
      <c r="A9971" s="247"/>
      <c r="B9971" s="258"/>
      <c r="C9971" s="247"/>
    </row>
    <row r="9972">
      <c r="A9972" s="247"/>
      <c r="B9972" s="258"/>
      <c r="C9972" s="247"/>
    </row>
    <row r="9973">
      <c r="A9973" s="247"/>
      <c r="B9973" s="258"/>
      <c r="C9973" s="247"/>
    </row>
    <row r="9974">
      <c r="A9974" s="247"/>
      <c r="B9974" s="258"/>
      <c r="C9974" s="247"/>
    </row>
    <row r="9975">
      <c r="A9975" s="247"/>
      <c r="B9975" s="258"/>
      <c r="C9975" s="247"/>
    </row>
    <row r="9976">
      <c r="A9976" s="247"/>
      <c r="B9976" s="258"/>
      <c r="C9976" s="247"/>
    </row>
    <row r="9977">
      <c r="A9977" s="247"/>
      <c r="B9977" s="258"/>
      <c r="C9977" s="247"/>
    </row>
    <row r="9978">
      <c r="A9978" s="247"/>
      <c r="B9978" s="258"/>
      <c r="C9978" s="247"/>
    </row>
    <row r="9979">
      <c r="A9979" s="247"/>
      <c r="B9979" s="258"/>
      <c r="C9979" s="247"/>
    </row>
    <row r="9980">
      <c r="A9980" s="247"/>
      <c r="B9980" s="258"/>
      <c r="C9980" s="247"/>
    </row>
    <row r="9981">
      <c r="A9981" s="247"/>
      <c r="B9981" s="258"/>
      <c r="C9981" s="247"/>
    </row>
    <row r="9982">
      <c r="A9982" s="247"/>
      <c r="B9982" s="258"/>
      <c r="C9982" s="247"/>
    </row>
    <row r="9983">
      <c r="A9983" s="247"/>
      <c r="B9983" s="258"/>
      <c r="C9983" s="247"/>
    </row>
    <row r="9984">
      <c r="A9984" s="247"/>
      <c r="B9984" s="258"/>
      <c r="C9984" s="247"/>
    </row>
    <row r="9985">
      <c r="A9985" s="247"/>
      <c r="B9985" s="258"/>
      <c r="C9985" s="247"/>
    </row>
    <row r="9986">
      <c r="A9986" s="247"/>
      <c r="B9986" s="258"/>
      <c r="C9986" s="247"/>
    </row>
    <row r="9987">
      <c r="A9987" s="247"/>
      <c r="B9987" s="258"/>
      <c r="C9987" s="247"/>
    </row>
    <row r="9988">
      <c r="A9988" s="247"/>
      <c r="B9988" s="258"/>
      <c r="C9988" s="247"/>
    </row>
    <row r="9989">
      <c r="A9989" s="247"/>
      <c r="B9989" s="258"/>
      <c r="C9989" s="247"/>
    </row>
    <row r="9990">
      <c r="A9990" s="247"/>
      <c r="B9990" s="258"/>
      <c r="C9990" s="247"/>
    </row>
    <row r="9991">
      <c r="A9991" s="247"/>
      <c r="B9991" s="258"/>
      <c r="C9991" s="247"/>
    </row>
    <row r="9992">
      <c r="A9992" s="247"/>
      <c r="B9992" s="258"/>
      <c r="C9992" s="247"/>
    </row>
    <row r="9993">
      <c r="A9993" s="247"/>
      <c r="B9993" s="258"/>
      <c r="C9993" s="247"/>
    </row>
    <row r="9994">
      <c r="A9994" s="247"/>
      <c r="B9994" s="258"/>
      <c r="C9994" s="247"/>
    </row>
    <row r="9995">
      <c r="A9995" s="247"/>
      <c r="B9995" s="258"/>
      <c r="C9995" s="247"/>
    </row>
    <row r="9996">
      <c r="A9996" s="247"/>
      <c r="B9996" s="258"/>
      <c r="C9996" s="247"/>
    </row>
    <row r="9997">
      <c r="A9997" s="247"/>
      <c r="B9997" s="258"/>
      <c r="C9997" s="247"/>
    </row>
    <row r="9998">
      <c r="A9998" s="247"/>
      <c r="B9998" s="258"/>
      <c r="C9998" s="247"/>
    </row>
    <row r="9999">
      <c r="A9999" s="247"/>
      <c r="B9999" s="258"/>
      <c r="C9999" s="247"/>
    </row>
    <row r="10000">
      <c r="A10000" s="247"/>
      <c r="B10000" s="258"/>
      <c r="C10000" s="247"/>
    </row>
    <row r="10001">
      <c r="A10001" s="247"/>
      <c r="B10001" s="258"/>
      <c r="C10001" s="247"/>
    </row>
    <row r="10002">
      <c r="A10002" s="247"/>
      <c r="B10002" s="258"/>
      <c r="C10002" s="247"/>
    </row>
    <row r="10003">
      <c r="A10003" s="247"/>
      <c r="B10003" s="258"/>
      <c r="C10003" s="247"/>
    </row>
    <row r="10004">
      <c r="A10004" s="247"/>
      <c r="B10004" s="258"/>
      <c r="C10004" s="247"/>
    </row>
    <row r="10005">
      <c r="A10005" s="247"/>
      <c r="B10005" s="258"/>
      <c r="C10005" s="247"/>
    </row>
    <row r="10006">
      <c r="A10006" s="247"/>
      <c r="B10006" s="258"/>
      <c r="C10006" s="247"/>
    </row>
    <row r="10007">
      <c r="A10007" s="247"/>
      <c r="B10007" s="258"/>
      <c r="C10007" s="247"/>
    </row>
    <row r="10008">
      <c r="A10008" s="247"/>
      <c r="B10008" s="258"/>
      <c r="C10008" s="247"/>
    </row>
    <row r="10009">
      <c r="A10009" s="247"/>
      <c r="B10009" s="258"/>
      <c r="C10009" s="247"/>
    </row>
    <row r="10010">
      <c r="A10010" s="247"/>
      <c r="B10010" s="258"/>
      <c r="C10010" s="247"/>
    </row>
    <row r="10011">
      <c r="A10011" s="247"/>
      <c r="B10011" s="258"/>
      <c r="C10011" s="247"/>
    </row>
    <row r="10012">
      <c r="A10012" s="247"/>
      <c r="B10012" s="258"/>
      <c r="C10012" s="247"/>
    </row>
    <row r="10013">
      <c r="A10013" s="247"/>
      <c r="B10013" s="258"/>
      <c r="C10013" s="247"/>
    </row>
    <row r="10014">
      <c r="A10014" s="247"/>
      <c r="B10014" s="258"/>
      <c r="C10014" s="247"/>
    </row>
    <row r="10015">
      <c r="A10015" s="247"/>
      <c r="B10015" s="258"/>
      <c r="C10015" s="247"/>
    </row>
    <row r="10016">
      <c r="A10016" s="247"/>
      <c r="B10016" s="258"/>
      <c r="C10016" s="247"/>
    </row>
    <row r="10017">
      <c r="A10017" s="247"/>
      <c r="B10017" s="258"/>
      <c r="C10017" s="247"/>
    </row>
    <row r="10018">
      <c r="A10018" s="247"/>
      <c r="B10018" s="258"/>
      <c r="C10018" s="247"/>
    </row>
    <row r="10019">
      <c r="A10019" s="247"/>
      <c r="B10019" s="258"/>
      <c r="C10019" s="247"/>
    </row>
    <row r="10020">
      <c r="A10020" s="247"/>
      <c r="B10020" s="258"/>
      <c r="C10020" s="247"/>
    </row>
    <row r="10021">
      <c r="A10021" s="247"/>
      <c r="B10021" s="258"/>
      <c r="C10021" s="247"/>
    </row>
    <row r="10022">
      <c r="A10022" s="247"/>
      <c r="B10022" s="258"/>
      <c r="C10022" s="247"/>
    </row>
    <row r="10023">
      <c r="A10023" s="247"/>
      <c r="B10023" s="258"/>
      <c r="C10023" s="247"/>
    </row>
    <row r="10024">
      <c r="A10024" s="247"/>
      <c r="B10024" s="258"/>
      <c r="C10024" s="247"/>
    </row>
    <row r="10025">
      <c r="A10025" s="247"/>
      <c r="B10025" s="258"/>
      <c r="C10025" s="247"/>
    </row>
    <row r="10026">
      <c r="A10026" s="247"/>
      <c r="B10026" s="258"/>
      <c r="C10026" s="247"/>
    </row>
    <row r="10027">
      <c r="A10027" s="247"/>
      <c r="B10027" s="258"/>
      <c r="C10027" s="247"/>
    </row>
    <row r="10028">
      <c r="A10028" s="247"/>
      <c r="B10028" s="258"/>
      <c r="C10028" s="247"/>
    </row>
    <row r="10029">
      <c r="A10029" s="247"/>
      <c r="B10029" s="258"/>
      <c r="C10029" s="247"/>
    </row>
    <row r="10030">
      <c r="A10030" s="247"/>
      <c r="B10030" s="258"/>
      <c r="C10030" s="247"/>
    </row>
    <row r="10031">
      <c r="A10031" s="247"/>
      <c r="B10031" s="258"/>
      <c r="C10031" s="247"/>
    </row>
    <row r="10032">
      <c r="A10032" s="247"/>
      <c r="B10032" s="258"/>
      <c r="C10032" s="247"/>
    </row>
    <row r="10033">
      <c r="A10033" s="247"/>
      <c r="B10033" s="258"/>
      <c r="C10033" s="247"/>
    </row>
    <row r="10034">
      <c r="A10034" s="247"/>
      <c r="B10034" s="258"/>
      <c r="C10034" s="247"/>
    </row>
    <row r="10035">
      <c r="A10035" s="247"/>
      <c r="B10035" s="258"/>
      <c r="C10035" s="247"/>
    </row>
    <row r="10036">
      <c r="A10036" s="247"/>
      <c r="B10036" s="258"/>
      <c r="C10036" s="247"/>
    </row>
    <row r="10037">
      <c r="A10037" s="247"/>
      <c r="B10037" s="258"/>
      <c r="C10037" s="247"/>
    </row>
    <row r="10038">
      <c r="A10038" s="247"/>
      <c r="B10038" s="258"/>
      <c r="C10038" s="247"/>
    </row>
    <row r="10039">
      <c r="A10039" s="247"/>
      <c r="B10039" s="258"/>
      <c r="C10039" s="247"/>
    </row>
    <row r="10040">
      <c r="A10040" s="247"/>
      <c r="B10040" s="258"/>
      <c r="C10040" s="247"/>
    </row>
    <row r="10041">
      <c r="A10041" s="247"/>
      <c r="B10041" s="258"/>
      <c r="C10041" s="247"/>
    </row>
    <row r="10042">
      <c r="A10042" s="247"/>
      <c r="B10042" s="258"/>
      <c r="C10042" s="247"/>
    </row>
    <row r="10043">
      <c r="A10043" s="247"/>
      <c r="B10043" s="258"/>
      <c r="C10043" s="247"/>
    </row>
    <row r="10044">
      <c r="A10044" s="247"/>
      <c r="B10044" s="258"/>
      <c r="C10044" s="247"/>
    </row>
    <row r="10045">
      <c r="A10045" s="247"/>
      <c r="B10045" s="258"/>
      <c r="C10045" s="247"/>
    </row>
    <row r="10046">
      <c r="A10046" s="247"/>
      <c r="B10046" s="258"/>
      <c r="C10046" s="247"/>
    </row>
    <row r="10047">
      <c r="A10047" s="247"/>
      <c r="B10047" s="258"/>
      <c r="C10047" s="247"/>
    </row>
    <row r="10048">
      <c r="A10048" s="247"/>
      <c r="B10048" s="258"/>
      <c r="C10048" s="247"/>
    </row>
    <row r="10049">
      <c r="A10049" s="247"/>
      <c r="B10049" s="258"/>
      <c r="C10049" s="247"/>
    </row>
    <row r="10050">
      <c r="A10050" s="247"/>
      <c r="B10050" s="258"/>
      <c r="C10050" s="247"/>
    </row>
    <row r="10051">
      <c r="A10051" s="247"/>
      <c r="B10051" s="258"/>
      <c r="C10051" s="247"/>
    </row>
    <row r="10052">
      <c r="A10052" s="247"/>
      <c r="B10052" s="258"/>
      <c r="C10052" s="247"/>
    </row>
    <row r="10053">
      <c r="A10053" s="247"/>
      <c r="B10053" s="258"/>
      <c r="C10053" s="247"/>
    </row>
    <row r="10054">
      <c r="A10054" s="247"/>
      <c r="B10054" s="258"/>
      <c r="C10054" s="247"/>
    </row>
    <row r="10055">
      <c r="A10055" s="247"/>
      <c r="B10055" s="258"/>
      <c r="C10055" s="247"/>
    </row>
    <row r="10056">
      <c r="A10056" s="247"/>
      <c r="B10056" s="258"/>
      <c r="C10056" s="247"/>
    </row>
    <row r="10057">
      <c r="A10057" s="247"/>
      <c r="B10057" s="258"/>
      <c r="C10057" s="247"/>
    </row>
    <row r="10058">
      <c r="A10058" s="247"/>
      <c r="B10058" s="258"/>
      <c r="C10058" s="247"/>
    </row>
    <row r="10059">
      <c r="A10059" s="247"/>
      <c r="B10059" s="258"/>
      <c r="C10059" s="247"/>
    </row>
    <row r="10060">
      <c r="A10060" s="247"/>
      <c r="B10060" s="258"/>
      <c r="C10060" s="247"/>
    </row>
    <row r="10061">
      <c r="A10061" s="247"/>
      <c r="B10061" s="258"/>
      <c r="C10061" s="247"/>
    </row>
    <row r="10062">
      <c r="A10062" s="247"/>
      <c r="B10062" s="258"/>
      <c r="C10062" s="247"/>
    </row>
    <row r="10063">
      <c r="A10063" s="247"/>
      <c r="B10063" s="258"/>
      <c r="C10063" s="247"/>
    </row>
    <row r="10064">
      <c r="A10064" s="247"/>
      <c r="B10064" s="258"/>
      <c r="C10064" s="247"/>
    </row>
    <row r="10065">
      <c r="A10065" s="247"/>
      <c r="B10065" s="258"/>
      <c r="C10065" s="247"/>
    </row>
    <row r="10066">
      <c r="A10066" s="247"/>
      <c r="B10066" s="258"/>
      <c r="C10066" s="247"/>
    </row>
    <row r="10067">
      <c r="A10067" s="247"/>
      <c r="B10067" s="258"/>
      <c r="C10067" s="247"/>
    </row>
    <row r="10068">
      <c r="A10068" s="247"/>
      <c r="B10068" s="258"/>
      <c r="C10068" s="247"/>
    </row>
    <row r="10069">
      <c r="A10069" s="247"/>
      <c r="B10069" s="258"/>
      <c r="C10069" s="247"/>
    </row>
    <row r="10070">
      <c r="A10070" s="247"/>
      <c r="B10070" s="258"/>
      <c r="C10070" s="247"/>
    </row>
    <row r="10071">
      <c r="A10071" s="247"/>
      <c r="B10071" s="258"/>
      <c r="C10071" s="247"/>
    </row>
    <row r="10072">
      <c r="A10072" s="247"/>
      <c r="B10072" s="258"/>
      <c r="C10072" s="247"/>
    </row>
    <row r="10073">
      <c r="A10073" s="247"/>
      <c r="B10073" s="258"/>
      <c r="C10073" s="247"/>
    </row>
    <row r="10074">
      <c r="A10074" s="247"/>
      <c r="B10074" s="258"/>
      <c r="C10074" s="247"/>
    </row>
    <row r="10075">
      <c r="A10075" s="247"/>
      <c r="B10075" s="258"/>
      <c r="C10075" s="247"/>
    </row>
    <row r="10076">
      <c r="A10076" s="247"/>
      <c r="B10076" s="258"/>
      <c r="C10076" s="247"/>
    </row>
    <row r="10077">
      <c r="A10077" s="247"/>
      <c r="B10077" s="258"/>
      <c r="C10077" s="247"/>
    </row>
    <row r="10078">
      <c r="A10078" s="247"/>
      <c r="B10078" s="258"/>
      <c r="C10078" s="247"/>
    </row>
    <row r="10079">
      <c r="A10079" s="247"/>
      <c r="B10079" s="258"/>
      <c r="C10079" s="247"/>
    </row>
    <row r="10080">
      <c r="A10080" s="247"/>
      <c r="B10080" s="258"/>
      <c r="C10080" s="247"/>
    </row>
    <row r="10081">
      <c r="A10081" s="247"/>
      <c r="B10081" s="258"/>
      <c r="C10081" s="247"/>
    </row>
    <row r="10082">
      <c r="A10082" s="247"/>
      <c r="B10082" s="258"/>
      <c r="C10082" s="247"/>
    </row>
    <row r="10083">
      <c r="A10083" s="247"/>
      <c r="B10083" s="258"/>
      <c r="C10083" s="247"/>
    </row>
    <row r="10084">
      <c r="A10084" s="247"/>
      <c r="B10084" s="258"/>
      <c r="C10084" s="247"/>
    </row>
    <row r="10085">
      <c r="A10085" s="247"/>
      <c r="B10085" s="258"/>
      <c r="C10085" s="247"/>
    </row>
    <row r="10086">
      <c r="A10086" s="247"/>
      <c r="B10086" s="258"/>
      <c r="C10086" s="247"/>
    </row>
    <row r="10087">
      <c r="A10087" s="247"/>
      <c r="B10087" s="258"/>
      <c r="C10087" s="247"/>
    </row>
    <row r="10088">
      <c r="A10088" s="247"/>
      <c r="B10088" s="258"/>
      <c r="C10088" s="247"/>
    </row>
    <row r="10089">
      <c r="A10089" s="247"/>
      <c r="B10089" s="258"/>
      <c r="C10089" s="247"/>
    </row>
    <row r="10090">
      <c r="A10090" s="247"/>
      <c r="B10090" s="258"/>
      <c r="C10090" s="247"/>
    </row>
    <row r="10091">
      <c r="A10091" s="247"/>
      <c r="B10091" s="258"/>
      <c r="C10091" s="247"/>
    </row>
    <row r="10092">
      <c r="A10092" s="247"/>
      <c r="B10092" s="258"/>
      <c r="C10092" s="247"/>
    </row>
    <row r="10093">
      <c r="A10093" s="247"/>
      <c r="B10093" s="258"/>
      <c r="C10093" s="247"/>
    </row>
    <row r="10094">
      <c r="A10094" s="247"/>
      <c r="B10094" s="258"/>
      <c r="C10094" s="247"/>
    </row>
    <row r="10095">
      <c r="A10095" s="247"/>
      <c r="B10095" s="258"/>
      <c r="C10095" s="247"/>
    </row>
    <row r="10096">
      <c r="A10096" s="247"/>
      <c r="B10096" s="258"/>
      <c r="C10096" s="247"/>
    </row>
    <row r="10097">
      <c r="A10097" s="247"/>
      <c r="B10097" s="258"/>
      <c r="C10097" s="247"/>
    </row>
    <row r="10098">
      <c r="A10098" s="247"/>
      <c r="B10098" s="258"/>
      <c r="C10098" s="247"/>
    </row>
    <row r="10099">
      <c r="A10099" s="247"/>
      <c r="B10099" s="258"/>
      <c r="C10099" s="247"/>
    </row>
    <row r="10100">
      <c r="A10100" s="247"/>
      <c r="B10100" s="258"/>
      <c r="C10100" s="247"/>
    </row>
    <row r="10101">
      <c r="A10101" s="247"/>
      <c r="B10101" s="258"/>
      <c r="C10101" s="247"/>
    </row>
    <row r="10102">
      <c r="A10102" s="247"/>
      <c r="B10102" s="258"/>
      <c r="C10102" s="247"/>
    </row>
    <row r="10103">
      <c r="A10103" s="247"/>
      <c r="B10103" s="258"/>
      <c r="C10103" s="247"/>
    </row>
    <row r="10104">
      <c r="A10104" s="247"/>
      <c r="B10104" s="258"/>
      <c r="C10104" s="247"/>
    </row>
    <row r="10105">
      <c r="A10105" s="247"/>
      <c r="B10105" s="258"/>
      <c r="C10105" s="247"/>
    </row>
    <row r="10106">
      <c r="A10106" s="247"/>
      <c r="B10106" s="258"/>
      <c r="C10106" s="247"/>
    </row>
  </sheetData>
  <autoFilter ref="$A$1:$B$8226"/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43"/>
    <col customWidth="1" min="2" max="2" width="112.14"/>
    <col customWidth="1" min="3" max="3" width="18.14"/>
    <col customWidth="1" min="4" max="4" width="11.86"/>
    <col customWidth="1" min="5" max="5" width="13.43"/>
    <col customWidth="1" min="6" max="6" width="24.14"/>
    <col customWidth="1" min="7" max="7" width="80.43"/>
    <col customWidth="1" min="8" max="8" width="93.0"/>
    <col customWidth="1" min="9" max="9" width="7.57"/>
    <col customWidth="1" min="10" max="10" width="20.0"/>
    <col customWidth="1" min="11" max="11" width="21.29"/>
    <col customWidth="1" min="12" max="12" width="143.14"/>
    <col customWidth="1" min="13" max="13" width="5.0"/>
    <col customWidth="1" min="14" max="14" width="6.0"/>
    <col customWidth="1" min="15" max="15" width="7.0"/>
    <col customWidth="1" min="16" max="16" width="11.0"/>
    <col customWidth="1" min="17" max="17" width="12.29"/>
    <col customWidth="1" min="18" max="18" width="10.57"/>
    <col customWidth="1" min="19" max="19" width="19.0"/>
    <col customWidth="1" min="20" max="20" width="6.0"/>
    <col customWidth="1" min="21" max="21" width="14.0"/>
    <col customWidth="1" min="22" max="22" width="11.0"/>
    <col customWidth="1" min="23" max="23" width="46.0"/>
    <col customWidth="1" min="24" max="24" width="33.0"/>
    <col customWidth="1" min="25" max="25" width="13.0"/>
    <col customWidth="1" min="26" max="26" width="43.0"/>
    <col customWidth="1" min="27" max="27" width="12.0"/>
  </cols>
  <sheetData>
    <row r="1" ht="15.75" customHeight="1">
      <c r="A1" s="259"/>
      <c r="B1" s="260" t="s">
        <v>1508</v>
      </c>
      <c r="C1" s="261"/>
      <c r="D1" s="262"/>
      <c r="E1" s="261"/>
      <c r="F1" s="263"/>
      <c r="G1" s="264" t="s">
        <v>1509</v>
      </c>
      <c r="H1" s="67" t="s">
        <v>1509</v>
      </c>
      <c r="I1" s="261"/>
      <c r="J1" s="265" t="s">
        <v>1509</v>
      </c>
      <c r="K1" s="263"/>
      <c r="L1" s="266" t="s">
        <v>1509</v>
      </c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</row>
    <row r="2">
      <c r="A2" s="267" t="s">
        <v>1510</v>
      </c>
      <c r="B2" s="268" t="s">
        <v>2</v>
      </c>
      <c r="C2" s="269" t="s">
        <v>1511</v>
      </c>
      <c r="D2" s="269" t="s">
        <v>1512</v>
      </c>
      <c r="E2" s="269" t="s">
        <v>1513</v>
      </c>
      <c r="F2" s="270" t="s">
        <v>1510</v>
      </c>
      <c r="G2" s="271"/>
      <c r="H2" s="272" t="s">
        <v>1514</v>
      </c>
      <c r="I2" s="273" t="s">
        <v>1515</v>
      </c>
      <c r="J2" s="274"/>
      <c r="K2" s="270" t="s">
        <v>1510</v>
      </c>
      <c r="L2" s="273" t="s">
        <v>1514</v>
      </c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5"/>
      <c r="Z2" s="275"/>
      <c r="AA2" s="275"/>
    </row>
    <row r="3">
      <c r="A3" s="276"/>
      <c r="B3" s="277" t="s">
        <v>1516</v>
      </c>
      <c r="C3" s="278">
        <v>1163.74</v>
      </c>
      <c r="D3" s="279">
        <v>229.82</v>
      </c>
      <c r="E3" s="280">
        <v>267451.65</v>
      </c>
      <c r="F3" s="281" t="s">
        <v>50</v>
      </c>
      <c r="G3" s="282" t="str">
        <f>IFERROR(__xludf.DUMMYFUNCTION("FLATTEN(ARRAYFORMULA({""PISO""; ""FORRO CONVENCIONAL""; ""PAINEL CARVALHO""; ""FORRO FINCAPINO""; ""FORRO AUTOBROCANTE""; ""FORRO INOX""; ""DECK 10""; ""DECK 05""; ""RODAPÉ""} &amp; "" "" &amp; TRANSPOSE(B3:B158)))"),"PISO CARVALHO EUROPEU MARRONE CHEVRON 15/3 X 1900X 740MM")</f>
        <v>PISO CARVALHO EUROPEU MARRONE CHEVRON 15/3 X 1900X 740MM</v>
      </c>
      <c r="H3" s="283" t="s">
        <v>51</v>
      </c>
      <c r="I3" s="271">
        <f t="shared" ref="I3:I42" si="1">IFERROR(INDEX($D$3:$D$2001,MATCH(TRUE,ISNUMBER(FIND($B$3:$B$2001,G3)),0)),"")</f>
        <v>229.82</v>
      </c>
      <c r="J3" s="284"/>
      <c r="K3" s="281" t="s">
        <v>50</v>
      </c>
      <c r="L3" s="285" t="s">
        <v>51</v>
      </c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6"/>
      <c r="Z3" s="286"/>
      <c r="AA3" s="286"/>
    </row>
    <row r="4">
      <c r="A4" s="276"/>
      <c r="B4" s="277" t="s">
        <v>1517</v>
      </c>
      <c r="C4" s="279">
        <v>0.0</v>
      </c>
      <c r="D4" s="279">
        <v>194.56</v>
      </c>
      <c r="E4" s="279">
        <v>0.0</v>
      </c>
      <c r="F4" s="281" t="s">
        <v>52</v>
      </c>
      <c r="G4" s="287" t="str">
        <f>IFERROR(__xludf.DUMMYFUNCTION("""COMPUTED_VALUE"""),"PISO CARVALHO EUROPEU MARRONE 15/3 X 125 X 1200MM")</f>
        <v>PISO CARVALHO EUROPEU MARRONE 15/3 X 125 X 1200MM</v>
      </c>
      <c r="H4" s="283" t="s">
        <v>53</v>
      </c>
      <c r="I4" s="271">
        <f t="shared" si="1"/>
        <v>194.56</v>
      </c>
      <c r="J4" s="288"/>
      <c r="K4" s="281" t="s">
        <v>52</v>
      </c>
      <c r="L4" s="285" t="s">
        <v>53</v>
      </c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5"/>
      <c r="Z4" s="275"/>
      <c r="AA4" s="275"/>
    </row>
    <row r="5">
      <c r="A5" s="276"/>
      <c r="B5" s="277" t="s">
        <v>1518</v>
      </c>
      <c r="C5" s="289"/>
      <c r="D5" s="279">
        <v>229.82</v>
      </c>
      <c r="E5" s="279">
        <v>0.0</v>
      </c>
      <c r="F5" s="281" t="s">
        <v>54</v>
      </c>
      <c r="G5" s="287" t="str">
        <f>IFERROR(__xludf.DUMMYFUNCTION("""COMPUTED_VALUE"""),"PISO CARVALHO EUROPEU MARRONE 15/3 X 190 X 1900MM")</f>
        <v>PISO CARVALHO EUROPEU MARRONE 15/3 X 190 X 1900MM</v>
      </c>
      <c r="H5" s="283" t="s">
        <v>55</v>
      </c>
      <c r="I5" s="271">
        <f t="shared" si="1"/>
        <v>229.82</v>
      </c>
      <c r="J5" s="288"/>
      <c r="K5" s="281" t="s">
        <v>54</v>
      </c>
      <c r="L5" s="285" t="s">
        <v>55</v>
      </c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5"/>
      <c r="Z5" s="275"/>
      <c r="AA5" s="275"/>
    </row>
    <row r="6">
      <c r="A6" s="276"/>
      <c r="B6" s="277" t="s">
        <v>1519</v>
      </c>
      <c r="C6" s="289"/>
      <c r="D6" s="279">
        <v>270.56</v>
      </c>
      <c r="E6" s="279">
        <v>0.0</v>
      </c>
      <c r="F6" s="281" t="s">
        <v>56</v>
      </c>
      <c r="G6" s="287" t="str">
        <f>IFERROR(__xludf.DUMMYFUNCTION("""COMPUTED_VALUE"""),"PISO CARVALHO EUROPEU MARRONE 20/6 X 300 X 4000MM")</f>
        <v>PISO CARVALHO EUROPEU MARRONE 20/6 X 300 X 4000MM</v>
      </c>
      <c r="H6" s="283" t="s">
        <v>57</v>
      </c>
      <c r="I6" s="271">
        <f t="shared" si="1"/>
        <v>270.56</v>
      </c>
      <c r="J6" s="288"/>
      <c r="K6" s="281" t="s">
        <v>56</v>
      </c>
      <c r="L6" s="285" t="s">
        <v>57</v>
      </c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5"/>
      <c r="Z6" s="275"/>
      <c r="AA6" s="275"/>
    </row>
    <row r="7">
      <c r="A7" s="276"/>
      <c r="B7" s="277" t="s">
        <v>1520</v>
      </c>
      <c r="C7" s="289"/>
      <c r="D7" s="279">
        <v>304.0</v>
      </c>
      <c r="E7" s="279">
        <v>0.0</v>
      </c>
      <c r="F7" s="281" t="s">
        <v>58</v>
      </c>
      <c r="G7" s="287" t="str">
        <f>IFERROR(__xludf.DUMMYFUNCTION("""COMPUTED_VALUE"""),"PISO CARVALHO EUROPEU MARRONE 20/6 X 400 X 5000MM")</f>
        <v>PISO CARVALHO EUROPEU MARRONE 20/6 X 400 X 5000MM</v>
      </c>
      <c r="H7" s="283" t="s">
        <v>59</v>
      </c>
      <c r="I7" s="271">
        <f t="shared" si="1"/>
        <v>304</v>
      </c>
      <c r="J7" s="288"/>
      <c r="K7" s="281" t="s">
        <v>58</v>
      </c>
      <c r="L7" s="285" t="s">
        <v>59</v>
      </c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5"/>
      <c r="Z7" s="275"/>
      <c r="AA7" s="275"/>
    </row>
    <row r="8">
      <c r="A8" s="276"/>
      <c r="B8" s="277" t="s">
        <v>1521</v>
      </c>
      <c r="C8" s="290">
        <v>700.0</v>
      </c>
      <c r="D8" s="279">
        <v>229.82</v>
      </c>
      <c r="E8" s="280">
        <v>160874.0</v>
      </c>
      <c r="F8" s="291" t="s">
        <v>60</v>
      </c>
      <c r="G8" s="287" t="str">
        <f>IFERROR(__xludf.DUMMYFUNCTION("""COMPUTED_VALUE"""),"PISO CARVALHO EUROPEU MONT BLANC CHEVRON 15/3 X 1900X 740MM")</f>
        <v>PISO CARVALHO EUROPEU MONT BLANC CHEVRON 15/3 X 1900X 740MM</v>
      </c>
      <c r="H8" s="283" t="s">
        <v>61</v>
      </c>
      <c r="I8" s="271">
        <f t="shared" si="1"/>
        <v>229.82</v>
      </c>
      <c r="J8" s="288"/>
      <c r="K8" s="291" t="s">
        <v>60</v>
      </c>
      <c r="L8" s="285" t="s">
        <v>61</v>
      </c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5"/>
      <c r="Z8" s="275"/>
      <c r="AA8" s="275"/>
    </row>
    <row r="9">
      <c r="A9" s="276"/>
      <c r="B9" s="277" t="s">
        <v>1522</v>
      </c>
      <c r="C9" s="290">
        <v>706.5</v>
      </c>
      <c r="D9" s="279">
        <v>194.56</v>
      </c>
      <c r="E9" s="280">
        <v>137456.64</v>
      </c>
      <c r="F9" s="281" t="s">
        <v>62</v>
      </c>
      <c r="G9" s="287" t="str">
        <f>IFERROR(__xludf.DUMMYFUNCTION("""COMPUTED_VALUE"""),"PISO CARVALHO EUROPEU MONT BLANC ESPINHA DE PEIXE TG 15/3 X 125X900MM")</f>
        <v>PISO CARVALHO EUROPEU MONT BLANC ESPINHA DE PEIXE TG 15/3 X 125X900MM</v>
      </c>
      <c r="H9" s="283" t="s">
        <v>63</v>
      </c>
      <c r="I9" s="271">
        <f t="shared" si="1"/>
        <v>194.56</v>
      </c>
      <c r="J9" s="288"/>
      <c r="K9" s="281" t="s">
        <v>62</v>
      </c>
      <c r="L9" s="285" t="s">
        <v>63</v>
      </c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5"/>
      <c r="Z9" s="275"/>
      <c r="AA9" s="275"/>
    </row>
    <row r="10">
      <c r="A10" s="276"/>
      <c r="B10" s="277" t="s">
        <v>1523</v>
      </c>
      <c r="C10" s="290">
        <v>504.0</v>
      </c>
      <c r="D10" s="279">
        <v>194.56</v>
      </c>
      <c r="E10" s="280">
        <v>98058.24</v>
      </c>
      <c r="F10" s="281" t="s">
        <v>64</v>
      </c>
      <c r="G10" s="287" t="str">
        <f>IFERROR(__xludf.DUMMYFUNCTION("""COMPUTED_VALUE"""),"PISO CARVALHO EUROPEU MONT BLANC 15/3 X 125 X 1200MM")</f>
        <v>PISO CARVALHO EUROPEU MONT BLANC 15/3 X 125 X 1200MM</v>
      </c>
      <c r="H10" s="283" t="s">
        <v>65</v>
      </c>
      <c r="I10" s="271">
        <f t="shared" si="1"/>
        <v>194.56</v>
      </c>
      <c r="J10" s="288"/>
      <c r="K10" s="281" t="s">
        <v>64</v>
      </c>
      <c r="L10" s="285" t="s">
        <v>65</v>
      </c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5"/>
      <c r="Z10" s="275"/>
      <c r="AA10" s="275"/>
    </row>
    <row r="11">
      <c r="A11" s="276"/>
      <c r="B11" s="277" t="s">
        <v>1524</v>
      </c>
      <c r="C11" s="278">
        <v>2350.55</v>
      </c>
      <c r="D11" s="279">
        <v>229.82</v>
      </c>
      <c r="E11" s="280">
        <v>540203.4</v>
      </c>
      <c r="F11" s="281" t="s">
        <v>66</v>
      </c>
      <c r="G11" s="287" t="str">
        <f>IFERROR(__xludf.DUMMYFUNCTION("""COMPUTED_VALUE"""),"PISO CARVALHO EUROPEU MONT BLANC 15/3 X 190 X 1900MM")</f>
        <v>PISO CARVALHO EUROPEU MONT BLANC 15/3 X 190 X 1900MM</v>
      </c>
      <c r="H11" s="283" t="s">
        <v>67</v>
      </c>
      <c r="I11" s="271">
        <f t="shared" si="1"/>
        <v>229.82</v>
      </c>
      <c r="J11" s="288"/>
      <c r="K11" s="281" t="s">
        <v>66</v>
      </c>
      <c r="L11" s="285" t="s">
        <v>67</v>
      </c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5"/>
      <c r="Z11" s="275"/>
      <c r="AA11" s="275"/>
    </row>
    <row r="12">
      <c r="A12" s="276"/>
      <c r="B12" s="277" t="s">
        <v>1525</v>
      </c>
      <c r="C12" s="278">
        <v>2005.2</v>
      </c>
      <c r="D12" s="279">
        <v>270.56</v>
      </c>
      <c r="E12" s="280">
        <v>542526.91</v>
      </c>
      <c r="F12" s="281" t="s">
        <v>68</v>
      </c>
      <c r="G12" s="287" t="str">
        <f>IFERROR(__xludf.DUMMYFUNCTION("""COMPUTED_VALUE"""),"PISO CARVALHO EUROPEU MONT BLANC 20/6 X 300 X 4000MM")</f>
        <v>PISO CARVALHO EUROPEU MONT BLANC 20/6 X 300 X 4000MM</v>
      </c>
      <c r="H12" s="283" t="s">
        <v>69</v>
      </c>
      <c r="I12" s="271">
        <f t="shared" si="1"/>
        <v>270.56</v>
      </c>
      <c r="J12" s="288"/>
      <c r="K12" s="281" t="s">
        <v>68</v>
      </c>
      <c r="L12" s="285" t="s">
        <v>69</v>
      </c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5"/>
      <c r="Z12" s="275"/>
      <c r="AA12" s="275"/>
    </row>
    <row r="13">
      <c r="A13" s="276"/>
      <c r="B13" s="277" t="s">
        <v>1526</v>
      </c>
      <c r="C13" s="290">
        <v>515.0</v>
      </c>
      <c r="D13" s="279">
        <v>304.0</v>
      </c>
      <c r="E13" s="280">
        <v>156560.0</v>
      </c>
      <c r="F13" s="292" t="s">
        <v>1527</v>
      </c>
      <c r="G13" s="285" t="str">
        <f>IFERROR(__xludf.DUMMYFUNCTION("""COMPUTED_VALUE"""),"PISO CARVALHO EUROPEU MONT BLANC 20/6 X 400 X 5000MM")</f>
        <v>PISO CARVALHO EUROPEU MONT BLANC 20/6 X 400 X 5000MM</v>
      </c>
      <c r="H13" s="283" t="s">
        <v>121</v>
      </c>
      <c r="I13" s="271">
        <f t="shared" si="1"/>
        <v>304</v>
      </c>
      <c r="J13" s="284"/>
      <c r="K13" s="292" t="s">
        <v>1527</v>
      </c>
      <c r="L13" s="285" t="s">
        <v>121</v>
      </c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6"/>
      <c r="Z13" s="286"/>
      <c r="AA13" s="286"/>
    </row>
    <row r="14">
      <c r="A14" s="276"/>
      <c r="B14" s="277" t="s">
        <v>1528</v>
      </c>
      <c r="C14" s="278">
        <v>1535.03</v>
      </c>
      <c r="D14" s="279">
        <v>194.56</v>
      </c>
      <c r="E14" s="280">
        <v>298655.44</v>
      </c>
      <c r="F14" s="292" t="s">
        <v>1529</v>
      </c>
      <c r="G14" s="271" t="str">
        <f>IFERROR(__xludf.DUMMYFUNCTION("""COMPUTED_VALUE"""),"PISO CARVALHO EUROPEU NATURAL CHEVRON TG 15/3 X 125 X 775MM")</f>
        <v>PISO CARVALHO EUROPEU NATURAL CHEVRON TG 15/3 X 125 X 775MM</v>
      </c>
      <c r="H14" s="283" t="s">
        <v>122</v>
      </c>
      <c r="I14" s="271">
        <f t="shared" si="1"/>
        <v>194.56</v>
      </c>
      <c r="J14" s="288"/>
      <c r="K14" s="292" t="s">
        <v>1529</v>
      </c>
      <c r="L14" s="285" t="s">
        <v>122</v>
      </c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5"/>
      <c r="Z14" s="275"/>
      <c r="AA14" s="275"/>
    </row>
    <row r="15">
      <c r="A15" s="276"/>
      <c r="B15" s="277" t="s">
        <v>1530</v>
      </c>
      <c r="C15" s="290">
        <v>797.49</v>
      </c>
      <c r="D15" s="279">
        <v>229.82</v>
      </c>
      <c r="E15" s="280">
        <v>183278.0</v>
      </c>
      <c r="F15" s="292" t="s">
        <v>1531</v>
      </c>
      <c r="G15" s="271" t="str">
        <f>IFERROR(__xludf.DUMMYFUNCTION("""COMPUTED_VALUE"""),"PISO CARVALHO EUROPEU NATURALLE CHEVRON 15/3 X 1900X 740MM")</f>
        <v>PISO CARVALHO EUROPEU NATURALLE CHEVRON 15/3 X 1900X 740MM</v>
      </c>
      <c r="H15" s="283" t="s">
        <v>123</v>
      </c>
      <c r="I15" s="271">
        <f t="shared" si="1"/>
        <v>229.82</v>
      </c>
      <c r="J15" s="288"/>
      <c r="K15" s="292" t="s">
        <v>1531</v>
      </c>
      <c r="L15" s="285" t="s">
        <v>123</v>
      </c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5"/>
      <c r="Z15" s="275"/>
      <c r="AA15" s="275"/>
    </row>
    <row r="16">
      <c r="A16" s="276"/>
      <c r="B16" s="277" t="s">
        <v>1532</v>
      </c>
      <c r="C16" s="278">
        <v>1002.0</v>
      </c>
      <c r="D16" s="279">
        <v>229.82</v>
      </c>
      <c r="E16" s="280">
        <v>230279.64</v>
      </c>
      <c r="F16" s="292" t="s">
        <v>1533</v>
      </c>
      <c r="G16" s="271" t="str">
        <f>IFERROR(__xludf.DUMMYFUNCTION("""COMPUTED_VALUE"""),"PISO CARVALHO EUROPEU NATURALLE CHEVRON 60º 15/3 X 1900X 910MM")</f>
        <v>PISO CARVALHO EUROPEU NATURALLE CHEVRON 60º 15/3 X 1900X 910MM</v>
      </c>
      <c r="H16" s="283" t="s">
        <v>124</v>
      </c>
      <c r="I16" s="271">
        <f t="shared" si="1"/>
        <v>229.82</v>
      </c>
      <c r="J16" s="288"/>
      <c r="K16" s="292" t="s">
        <v>1533</v>
      </c>
      <c r="L16" s="285" t="s">
        <v>124</v>
      </c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5"/>
      <c r="Z16" s="275"/>
      <c r="AA16" s="275"/>
    </row>
    <row r="17">
      <c r="A17" s="276"/>
      <c r="B17" s="277" t="s">
        <v>1534</v>
      </c>
      <c r="C17" s="290">
        <v>148.0</v>
      </c>
      <c r="D17" s="279">
        <v>124.64</v>
      </c>
      <c r="E17" s="280">
        <v>18446.72</v>
      </c>
      <c r="F17" s="292" t="s">
        <v>1535</v>
      </c>
      <c r="G17" s="271" t="str">
        <f>IFERROR(__xludf.DUMMYFUNCTION("""COMPUTED_VALUE"""),"PISO CARVALHO EUROPEU NATURALLE FINE 10/06 X 1900 X 1900MM")</f>
        <v>PISO CARVALHO EUROPEU NATURALLE FINE 10/06 X 1900 X 1900MM</v>
      </c>
      <c r="H17" s="283" t="s">
        <v>125</v>
      </c>
      <c r="I17" s="271">
        <f t="shared" si="1"/>
        <v>124.64</v>
      </c>
      <c r="J17" s="288"/>
      <c r="K17" s="292" t="s">
        <v>1535</v>
      </c>
      <c r="L17" s="285" t="s">
        <v>125</v>
      </c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5"/>
      <c r="Z17" s="275"/>
      <c r="AA17" s="275"/>
    </row>
    <row r="18">
      <c r="A18" s="276"/>
      <c r="B18" s="277" t="s">
        <v>1536</v>
      </c>
      <c r="C18" s="278">
        <v>1162.86</v>
      </c>
      <c r="D18" s="279">
        <v>194.56</v>
      </c>
      <c r="E18" s="280">
        <v>226246.04</v>
      </c>
      <c r="F18" s="292" t="s">
        <v>1537</v>
      </c>
      <c r="G18" s="271" t="str">
        <f>IFERROR(__xludf.DUMMYFUNCTION("""COMPUTED_VALUE"""),"PISO CARVALHO EUROPEU NATURALLE 15/3 X 125 X 1200MM")</f>
        <v>PISO CARVALHO EUROPEU NATURALLE 15/3 X 125 X 1200MM</v>
      </c>
      <c r="H18" s="283" t="s">
        <v>126</v>
      </c>
      <c r="I18" s="271">
        <f t="shared" si="1"/>
        <v>194.56</v>
      </c>
      <c r="J18" s="288"/>
      <c r="K18" s="292" t="s">
        <v>1537</v>
      </c>
      <c r="L18" s="285" t="s">
        <v>126</v>
      </c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5"/>
      <c r="Z18" s="275"/>
      <c r="AA18" s="275"/>
    </row>
    <row r="19">
      <c r="A19" s="276"/>
      <c r="B19" s="277" t="s">
        <v>1538</v>
      </c>
      <c r="C19" s="278">
        <v>5911.06</v>
      </c>
      <c r="D19" s="279">
        <v>229.82</v>
      </c>
      <c r="E19" s="280">
        <v>1358480.73</v>
      </c>
      <c r="F19" s="292" t="s">
        <v>1539</v>
      </c>
      <c r="G19" s="271" t="str">
        <f>IFERROR(__xludf.DUMMYFUNCTION("""COMPUTED_VALUE"""),"PISO CARVALHO EUROPEU NATURALLE 15/3 X 190 X 1900MM")</f>
        <v>PISO CARVALHO EUROPEU NATURALLE 15/3 X 190 X 1900MM</v>
      </c>
      <c r="H19" s="283" t="s">
        <v>127</v>
      </c>
      <c r="I19" s="271">
        <f t="shared" si="1"/>
        <v>229.82</v>
      </c>
      <c r="J19" s="288"/>
      <c r="K19" s="292" t="s">
        <v>1539</v>
      </c>
      <c r="L19" s="285" t="s">
        <v>127</v>
      </c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5"/>
      <c r="Z19" s="275"/>
      <c r="AA19" s="275"/>
    </row>
    <row r="20">
      <c r="A20" s="276"/>
      <c r="B20" s="277" t="s">
        <v>1540</v>
      </c>
      <c r="C20" s="290">
        <v>5.0</v>
      </c>
      <c r="D20" s="279">
        <v>270.56</v>
      </c>
      <c r="E20" s="280">
        <v>1352.8</v>
      </c>
      <c r="F20" s="292" t="s">
        <v>1541</v>
      </c>
      <c r="G20" s="271" t="str">
        <f>IFERROR(__xludf.DUMMYFUNCTION("""COMPUTED_VALUE"""),"PISO CARVALHO EUROPEU NATURALLE 20/6 X 300 X 4000MM")</f>
        <v>PISO CARVALHO EUROPEU NATURALLE 20/6 X 300 X 4000MM</v>
      </c>
      <c r="H20" s="283" t="s">
        <v>128</v>
      </c>
      <c r="I20" s="271">
        <f t="shared" si="1"/>
        <v>270.56</v>
      </c>
      <c r="J20" s="288"/>
      <c r="K20" s="292" t="s">
        <v>1541</v>
      </c>
      <c r="L20" s="285" t="s">
        <v>128</v>
      </c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5"/>
      <c r="Z20" s="275"/>
      <c r="AA20" s="275"/>
    </row>
    <row r="21">
      <c r="A21" s="276"/>
      <c r="B21" s="277" t="s">
        <v>1542</v>
      </c>
      <c r="C21" s="289"/>
      <c r="D21" s="279">
        <v>304.0</v>
      </c>
      <c r="E21" s="279">
        <v>0.0</v>
      </c>
      <c r="F21" s="292" t="s">
        <v>1543</v>
      </c>
      <c r="G21" s="271" t="str">
        <f>IFERROR(__xludf.DUMMYFUNCTION("""COMPUTED_VALUE"""),"PISO CARVALHO EUROPEU NATURALLE 20/6 X 400 X 5000MM")</f>
        <v>PISO CARVALHO EUROPEU NATURALLE 20/6 X 400 X 5000MM</v>
      </c>
      <c r="H21" s="283" t="s">
        <v>129</v>
      </c>
      <c r="I21" s="271">
        <f t="shared" si="1"/>
        <v>304</v>
      </c>
      <c r="J21" s="288"/>
      <c r="K21" s="292" t="s">
        <v>1543</v>
      </c>
      <c r="L21" s="285" t="s">
        <v>129</v>
      </c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5"/>
      <c r="Z21" s="275"/>
      <c r="AA21" s="275"/>
    </row>
    <row r="22">
      <c r="A22" s="276"/>
      <c r="B22" s="277" t="s">
        <v>1544</v>
      </c>
      <c r="C22" s="289"/>
      <c r="D22" s="279">
        <v>229.82</v>
      </c>
      <c r="E22" s="279">
        <v>0.0</v>
      </c>
      <c r="F22" s="292" t="s">
        <v>1545</v>
      </c>
      <c r="G22" s="271" t="str">
        <f>IFERROR(__xludf.DUMMYFUNCTION("""COMPUTED_VALUE"""),"PISO CARVALHO EUROPEU CAPUCCINO CHEVRON 15/3 X 1900X 740MM")</f>
        <v>PISO CARVALHO EUROPEU CAPUCCINO CHEVRON 15/3 X 1900X 740MM</v>
      </c>
      <c r="H22" s="283" t="s">
        <v>130</v>
      </c>
      <c r="I22" s="271">
        <f t="shared" si="1"/>
        <v>229.82</v>
      </c>
      <c r="J22" s="288"/>
      <c r="K22" s="292" t="s">
        <v>1545</v>
      </c>
      <c r="L22" s="285" t="s">
        <v>130</v>
      </c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5"/>
      <c r="Z22" s="275"/>
      <c r="AA22" s="275"/>
    </row>
    <row r="23">
      <c r="A23" s="276"/>
      <c r="B23" s="277" t="s">
        <v>1546</v>
      </c>
      <c r="C23" s="279">
        <v>705.6</v>
      </c>
      <c r="D23" s="279">
        <v>194.56</v>
      </c>
      <c r="E23" s="280">
        <v>137281.54</v>
      </c>
      <c r="F23" s="292" t="s">
        <v>1547</v>
      </c>
      <c r="G23" s="271" t="str">
        <f>IFERROR(__xludf.DUMMYFUNCTION("""COMPUTED_VALUE"""),"PISO CARVALHO EUROPEU CAPUCCINO 15/3 X 125 X 1200MM")</f>
        <v>PISO CARVALHO EUROPEU CAPUCCINO 15/3 X 125 X 1200MM</v>
      </c>
      <c r="H23" s="283" t="s">
        <v>131</v>
      </c>
      <c r="I23" s="271">
        <f t="shared" si="1"/>
        <v>194.56</v>
      </c>
      <c r="J23" s="288"/>
      <c r="K23" s="292" t="s">
        <v>1547</v>
      </c>
      <c r="L23" s="285" t="s">
        <v>131</v>
      </c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5"/>
      <c r="Z23" s="275"/>
      <c r="AA23" s="275"/>
    </row>
    <row r="24">
      <c r="A24" s="276"/>
      <c r="B24" s="277" t="s">
        <v>1548</v>
      </c>
      <c r="C24" s="290">
        <v>282.4</v>
      </c>
      <c r="D24" s="279">
        <v>194.56</v>
      </c>
      <c r="E24" s="280">
        <v>54943.74</v>
      </c>
      <c r="F24" s="292" t="s">
        <v>1549</v>
      </c>
      <c r="G24" s="285" t="str">
        <f>IFERROR(__xludf.DUMMYFUNCTION("""COMPUTED_VALUE"""),"PISO CARVALHO EUROPEU CAPPUCCINO ESPINHA DE PEIXE TG 15/3 X 125X900MM")</f>
        <v>PISO CARVALHO EUROPEU CAPPUCCINO ESPINHA DE PEIXE TG 15/3 X 125X900MM</v>
      </c>
      <c r="H24" s="283" t="s">
        <v>132</v>
      </c>
      <c r="I24" s="271">
        <f t="shared" si="1"/>
        <v>194.56</v>
      </c>
      <c r="J24" s="284"/>
      <c r="K24" s="292" t="s">
        <v>1549</v>
      </c>
      <c r="L24" s="285" t="s">
        <v>132</v>
      </c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6"/>
      <c r="Z24" s="286"/>
      <c r="AA24" s="286"/>
    </row>
    <row r="25">
      <c r="A25" s="276"/>
      <c r="B25" s="277" t="s">
        <v>1550</v>
      </c>
      <c r="C25" s="278">
        <v>1344.19</v>
      </c>
      <c r="D25" s="279">
        <v>229.82</v>
      </c>
      <c r="E25" s="280">
        <v>308921.75</v>
      </c>
      <c r="F25" s="292" t="s">
        <v>1551</v>
      </c>
      <c r="G25" s="271" t="str">
        <f>IFERROR(__xludf.DUMMYFUNCTION("""COMPUTED_VALUE"""),"PISO CARVALHO EUROPEU CAPUCCINO 15/3 X 190 X 1900MM")</f>
        <v>PISO CARVALHO EUROPEU CAPUCCINO 15/3 X 190 X 1900MM</v>
      </c>
      <c r="H25" s="283" t="s">
        <v>133</v>
      </c>
      <c r="I25" s="271">
        <f t="shared" si="1"/>
        <v>229.82</v>
      </c>
      <c r="J25" s="288"/>
      <c r="K25" s="292" t="s">
        <v>1551</v>
      </c>
      <c r="L25" s="285" t="s">
        <v>133</v>
      </c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5"/>
      <c r="Z25" s="275"/>
      <c r="AA25" s="275"/>
    </row>
    <row r="26">
      <c r="A26" s="276"/>
      <c r="B26" s="277" t="s">
        <v>1552</v>
      </c>
      <c r="C26" s="289"/>
      <c r="D26" s="279">
        <v>270.56</v>
      </c>
      <c r="E26" s="279">
        <v>0.0</v>
      </c>
      <c r="F26" s="292" t="s">
        <v>1553</v>
      </c>
      <c r="G26" s="271" t="str">
        <f>IFERROR(__xludf.DUMMYFUNCTION("""COMPUTED_VALUE"""),"PISO CARVALHO EUROPEU CAPUCCINO 20/6 X 300 X 4000MM")</f>
        <v>PISO CARVALHO EUROPEU CAPUCCINO 20/6 X 300 X 4000MM</v>
      </c>
      <c r="H26" s="283" t="s">
        <v>134</v>
      </c>
      <c r="I26" s="271">
        <f t="shared" si="1"/>
        <v>270.56</v>
      </c>
      <c r="J26" s="288"/>
      <c r="K26" s="292" t="s">
        <v>1553</v>
      </c>
      <c r="L26" s="285" t="s">
        <v>134</v>
      </c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5"/>
      <c r="Z26" s="275"/>
      <c r="AA26" s="275"/>
    </row>
    <row r="27">
      <c r="A27" s="276"/>
      <c r="B27" s="277" t="s">
        <v>1554</v>
      </c>
      <c r="C27" s="289"/>
      <c r="D27" s="279">
        <v>304.0</v>
      </c>
      <c r="E27" s="279">
        <v>0.0</v>
      </c>
      <c r="F27" s="292" t="s">
        <v>1555</v>
      </c>
      <c r="G27" s="271" t="str">
        <f>IFERROR(__xludf.DUMMYFUNCTION("""COMPUTED_VALUE"""),"PISO CARVALHO EUROPEU CAPUCCINO 20/6 X 400 X 5000MM")</f>
        <v>PISO CARVALHO EUROPEU CAPUCCINO 20/6 X 400 X 5000MM</v>
      </c>
      <c r="H27" s="283" t="s">
        <v>135</v>
      </c>
      <c r="I27" s="271">
        <f t="shared" si="1"/>
        <v>304</v>
      </c>
      <c r="J27" s="288"/>
      <c r="K27" s="292" t="s">
        <v>1555</v>
      </c>
      <c r="L27" s="285" t="s">
        <v>135</v>
      </c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5"/>
      <c r="Z27" s="275"/>
      <c r="AA27" s="275"/>
    </row>
    <row r="28">
      <c r="A28" s="276"/>
      <c r="B28" s="277" t="s">
        <v>1556</v>
      </c>
      <c r="C28" s="290">
        <v>188.68</v>
      </c>
      <c r="D28" s="279">
        <v>229.82</v>
      </c>
      <c r="E28" s="280">
        <v>43361.98</v>
      </c>
      <c r="F28" s="292" t="s">
        <v>1557</v>
      </c>
      <c r="G28" s="271" t="str">
        <f>IFERROR(__xludf.DUMMYFUNCTION("""COMPUTED_VALUE"""),"PISO CARVALHO EUROPEU BABY GREY CHEVRON 15/3 X 1900X 740MM")</f>
        <v>PISO CARVALHO EUROPEU BABY GREY CHEVRON 15/3 X 1900X 740MM</v>
      </c>
      <c r="H28" s="283" t="s">
        <v>136</v>
      </c>
      <c r="I28" s="271">
        <f t="shared" si="1"/>
        <v>229.82</v>
      </c>
      <c r="J28" s="288"/>
      <c r="K28" s="292" t="s">
        <v>1557</v>
      </c>
      <c r="L28" s="285" t="s">
        <v>136</v>
      </c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5"/>
      <c r="Z28" s="275"/>
      <c r="AA28" s="275"/>
    </row>
    <row r="29">
      <c r="A29" s="276"/>
      <c r="B29" s="277" t="s">
        <v>1558</v>
      </c>
      <c r="C29" s="289"/>
      <c r="D29" s="279">
        <v>194.56</v>
      </c>
      <c r="E29" s="279">
        <v>0.0</v>
      </c>
      <c r="F29" s="292" t="s">
        <v>1559</v>
      </c>
      <c r="G29" s="271" t="str">
        <f>IFERROR(__xludf.DUMMYFUNCTION("""COMPUTED_VALUE"""),"PISO CARVALHO EUROPEU BABY GREY 15/3 X 125 X 1200MM")</f>
        <v>PISO CARVALHO EUROPEU BABY GREY 15/3 X 125 X 1200MM</v>
      </c>
      <c r="H29" s="283" t="s">
        <v>137</v>
      </c>
      <c r="I29" s="271">
        <f t="shared" si="1"/>
        <v>194.56</v>
      </c>
      <c r="J29" s="288"/>
      <c r="K29" s="292" t="s">
        <v>1559</v>
      </c>
      <c r="L29" s="285" t="s">
        <v>137</v>
      </c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5"/>
      <c r="Z29" s="275"/>
      <c r="AA29" s="275"/>
    </row>
    <row r="30">
      <c r="A30" s="276"/>
      <c r="B30" s="277" t="s">
        <v>1560</v>
      </c>
      <c r="C30" s="290">
        <v>348.79</v>
      </c>
      <c r="D30" s="279">
        <v>229.82</v>
      </c>
      <c r="E30" s="280">
        <v>80158.23</v>
      </c>
      <c r="F30" s="292" t="s">
        <v>1561</v>
      </c>
      <c r="G30" s="271" t="str">
        <f>IFERROR(__xludf.DUMMYFUNCTION("""COMPUTED_VALUE"""),"PISO CARVALHO EUROPEU BABY GREY 15/3 X 190 X 1900MM")</f>
        <v>PISO CARVALHO EUROPEU BABY GREY 15/3 X 190 X 1900MM</v>
      </c>
      <c r="H30" s="283" t="s">
        <v>138</v>
      </c>
      <c r="I30" s="271">
        <f t="shared" si="1"/>
        <v>229.82</v>
      </c>
      <c r="J30" s="288"/>
      <c r="K30" s="292" t="s">
        <v>1561</v>
      </c>
      <c r="L30" s="285" t="s">
        <v>138</v>
      </c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5"/>
      <c r="Z30" s="275"/>
      <c r="AA30" s="275"/>
    </row>
    <row r="31">
      <c r="A31" s="276"/>
      <c r="B31" s="277" t="s">
        <v>1562</v>
      </c>
      <c r="C31" s="289"/>
      <c r="D31" s="279">
        <v>270.56</v>
      </c>
      <c r="E31" s="279">
        <v>0.0</v>
      </c>
      <c r="F31" s="292" t="s">
        <v>1563</v>
      </c>
      <c r="G31" s="271" t="str">
        <f>IFERROR(__xludf.DUMMYFUNCTION("""COMPUTED_VALUE"""),"PISO CARVALHO EUROPEU BABY GREY 20/6 X 300 X 4000MM")</f>
        <v>PISO CARVALHO EUROPEU BABY GREY 20/6 X 300 X 4000MM</v>
      </c>
      <c r="H31" s="283" t="s">
        <v>139</v>
      </c>
      <c r="I31" s="271">
        <f t="shared" si="1"/>
        <v>270.56</v>
      </c>
      <c r="J31" s="288"/>
      <c r="K31" s="292" t="s">
        <v>1563</v>
      </c>
      <c r="L31" s="285" t="s">
        <v>139</v>
      </c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5"/>
      <c r="Z31" s="275"/>
      <c r="AA31" s="275"/>
    </row>
    <row r="32">
      <c r="A32" s="276"/>
      <c r="B32" s="277" t="s">
        <v>1564</v>
      </c>
      <c r="C32" s="290">
        <v>240.0</v>
      </c>
      <c r="D32" s="279">
        <v>304.0</v>
      </c>
      <c r="E32" s="280">
        <v>72960.0</v>
      </c>
      <c r="F32" s="292" t="s">
        <v>1565</v>
      </c>
      <c r="G32" s="271" t="str">
        <f>IFERROR(__xludf.DUMMYFUNCTION("""COMPUTED_VALUE"""),"PISO CARVALHO EUROPEU BABY GREY 20/6 X 400 X 5000MM")</f>
        <v>PISO CARVALHO EUROPEU BABY GREY 20/6 X 400 X 5000MM</v>
      </c>
      <c r="H32" s="283" t="s">
        <v>140</v>
      </c>
      <c r="I32" s="271">
        <f t="shared" si="1"/>
        <v>304</v>
      </c>
      <c r="J32" s="288"/>
      <c r="K32" s="292" t="s">
        <v>1565</v>
      </c>
      <c r="L32" s="285" t="s">
        <v>140</v>
      </c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5"/>
      <c r="Z32" s="275"/>
      <c r="AA32" s="275"/>
    </row>
    <row r="33">
      <c r="A33" s="276"/>
      <c r="B33" s="277" t="s">
        <v>1566</v>
      </c>
      <c r="C33" s="289"/>
      <c r="D33" s="279">
        <v>229.82</v>
      </c>
      <c r="E33" s="279">
        <v>0.0</v>
      </c>
      <c r="F33" s="292" t="s">
        <v>1567</v>
      </c>
      <c r="G33" s="271" t="str">
        <f>IFERROR(__xludf.DUMMYFUNCTION("""COMPUTED_VALUE"""),"PISO CARVALHO EUROPEU GRIGIO NERO CHEVRON 15/3 X 1900X 740MM")</f>
        <v>PISO CARVALHO EUROPEU GRIGIO NERO CHEVRON 15/3 X 1900X 740MM</v>
      </c>
      <c r="H33" s="283" t="s">
        <v>1568</v>
      </c>
      <c r="I33" s="271">
        <f t="shared" si="1"/>
        <v>229.82</v>
      </c>
      <c r="J33" s="288"/>
      <c r="K33" s="292" t="s">
        <v>1567</v>
      </c>
      <c r="L33" s="285" t="s">
        <v>1568</v>
      </c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5"/>
      <c r="Z33" s="275"/>
      <c r="AA33" s="275"/>
    </row>
    <row r="34">
      <c r="A34" s="276"/>
      <c r="B34" s="277" t="s">
        <v>1569</v>
      </c>
      <c r="C34" s="289"/>
      <c r="D34" s="279">
        <v>194.56</v>
      </c>
      <c r="E34" s="279">
        <v>0.0</v>
      </c>
      <c r="F34" s="292" t="s">
        <v>1570</v>
      </c>
      <c r="G34" s="271" t="str">
        <f>IFERROR(__xludf.DUMMYFUNCTION("""COMPUTED_VALUE"""),"PISO CARVALHO EUROPEU GRIGIO NERO 15/3 X 125 X 1200MM")</f>
        <v>PISO CARVALHO EUROPEU GRIGIO NERO 15/3 X 125 X 1200MM</v>
      </c>
      <c r="H34" s="283" t="s">
        <v>141</v>
      </c>
      <c r="I34" s="271">
        <f t="shared" si="1"/>
        <v>194.56</v>
      </c>
      <c r="J34" s="288"/>
      <c r="K34" s="292" t="s">
        <v>1570</v>
      </c>
      <c r="L34" s="285" t="s">
        <v>141</v>
      </c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5"/>
      <c r="Z34" s="275"/>
      <c r="AA34" s="275"/>
    </row>
    <row r="35">
      <c r="A35" s="276"/>
      <c r="B35" s="277" t="s">
        <v>1571</v>
      </c>
      <c r="C35" s="278">
        <v>1010.48</v>
      </c>
      <c r="D35" s="279">
        <v>229.82</v>
      </c>
      <c r="E35" s="280">
        <v>232228.51</v>
      </c>
      <c r="F35" s="292" t="s">
        <v>1572</v>
      </c>
      <c r="G35" s="271" t="str">
        <f>IFERROR(__xludf.DUMMYFUNCTION("""COMPUTED_VALUE"""),"PISO CARVALHO EUROPEU GRIGIO NERO 15/3 X 190 X 1900MM")</f>
        <v>PISO CARVALHO EUROPEU GRIGIO NERO 15/3 X 190 X 1900MM</v>
      </c>
      <c r="H35" s="283" t="s">
        <v>142</v>
      </c>
      <c r="I35" s="271">
        <f t="shared" si="1"/>
        <v>229.82</v>
      </c>
      <c r="J35" s="288"/>
      <c r="K35" s="292" t="s">
        <v>1572</v>
      </c>
      <c r="L35" s="285" t="s">
        <v>142</v>
      </c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5"/>
      <c r="Z35" s="275"/>
      <c r="AA35" s="275"/>
    </row>
    <row r="36">
      <c r="A36" s="276"/>
      <c r="B36" s="277" t="s">
        <v>1573</v>
      </c>
      <c r="C36" s="289"/>
      <c r="D36" s="279">
        <v>270.56</v>
      </c>
      <c r="E36" s="279">
        <v>0.0</v>
      </c>
      <c r="F36" s="292" t="s">
        <v>1574</v>
      </c>
      <c r="G36" s="271" t="str">
        <f>IFERROR(__xludf.DUMMYFUNCTION("""COMPUTED_VALUE"""),"PISO CARVALHO EUROPEU GRIGIO NERO 20/6 X 300 X 4000MM")</f>
        <v>PISO CARVALHO EUROPEU GRIGIO NERO 20/6 X 300 X 4000MM</v>
      </c>
      <c r="H36" s="283" t="s">
        <v>143</v>
      </c>
      <c r="I36" s="271">
        <f t="shared" si="1"/>
        <v>270.56</v>
      </c>
      <c r="J36" s="288"/>
      <c r="K36" s="292" t="s">
        <v>1574</v>
      </c>
      <c r="L36" s="285" t="s">
        <v>143</v>
      </c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5"/>
      <c r="Z36" s="275"/>
      <c r="AA36" s="275"/>
    </row>
    <row r="37">
      <c r="A37" s="276"/>
      <c r="B37" s="277" t="s">
        <v>1575</v>
      </c>
      <c r="C37" s="289"/>
      <c r="D37" s="279">
        <v>304.0</v>
      </c>
      <c r="E37" s="279">
        <v>0.0</v>
      </c>
      <c r="F37" s="292" t="s">
        <v>1576</v>
      </c>
      <c r="G37" s="271" t="str">
        <f>IFERROR(__xludf.DUMMYFUNCTION("""COMPUTED_VALUE"""),"PISO CARVALHO EUROPEU GRIGIO NERO 20/6 X 400 X 5000MM")</f>
        <v>PISO CARVALHO EUROPEU GRIGIO NERO 20/6 X 400 X 5000MM</v>
      </c>
      <c r="H37" s="283" t="s">
        <v>144</v>
      </c>
      <c r="I37" s="271">
        <f t="shared" si="1"/>
        <v>304</v>
      </c>
      <c r="J37" s="288"/>
      <c r="K37" s="292" t="s">
        <v>1576</v>
      </c>
      <c r="L37" s="285" t="s">
        <v>144</v>
      </c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5"/>
      <c r="Z37" s="275"/>
      <c r="AA37" s="275"/>
    </row>
    <row r="38">
      <c r="A38" s="276"/>
      <c r="B38" s="277" t="s">
        <v>1577</v>
      </c>
      <c r="C38" s="290">
        <v>476.0</v>
      </c>
      <c r="D38" s="279">
        <v>229.82</v>
      </c>
      <c r="E38" s="280">
        <v>109394.32</v>
      </c>
      <c r="F38" s="292" t="s">
        <v>1578</v>
      </c>
      <c r="G38" s="271" t="str">
        <f>IFERROR(__xludf.DUMMYFUNCTION("""COMPUTED_VALUE"""),"PISO CARVALHO EUROPEU LIGHT BROWN CHEVRON 15/3 X 1900X 740MM")</f>
        <v>PISO CARVALHO EUROPEU LIGHT BROWN CHEVRON 15/3 X 1900X 740MM</v>
      </c>
      <c r="H38" s="283" t="s">
        <v>145</v>
      </c>
      <c r="I38" s="271">
        <f t="shared" si="1"/>
        <v>229.82</v>
      </c>
      <c r="J38" s="288"/>
      <c r="K38" s="292" t="s">
        <v>1578</v>
      </c>
      <c r="L38" s="285" t="s">
        <v>145</v>
      </c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5"/>
      <c r="Z38" s="275"/>
      <c r="AA38" s="275"/>
    </row>
    <row r="39">
      <c r="A39" s="276"/>
      <c r="B39" s="277" t="s">
        <v>1579</v>
      </c>
      <c r="C39" s="290">
        <v>583.62</v>
      </c>
      <c r="D39" s="279">
        <v>194.56</v>
      </c>
      <c r="E39" s="280">
        <v>113549.11</v>
      </c>
      <c r="F39" s="292" t="s">
        <v>1580</v>
      </c>
      <c r="G39" s="285" t="str">
        <f>IFERROR(__xludf.DUMMYFUNCTION("""COMPUTED_VALUE"""),"PISO CARVALHO EUROPEU LIGHT BROWN 15/3 X 125 X 1200MM")</f>
        <v>PISO CARVALHO EUROPEU LIGHT BROWN 15/3 X 125 X 1200MM</v>
      </c>
      <c r="H39" s="283" t="s">
        <v>146</v>
      </c>
      <c r="I39" s="271">
        <f t="shared" si="1"/>
        <v>194.56</v>
      </c>
      <c r="J39" s="284"/>
      <c r="K39" s="292" t="s">
        <v>1580</v>
      </c>
      <c r="L39" s="285" t="s">
        <v>146</v>
      </c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286"/>
      <c r="AA39" s="286"/>
    </row>
    <row r="40">
      <c r="A40" s="276"/>
      <c r="B40" s="277" t="s">
        <v>1581</v>
      </c>
      <c r="C40" s="290">
        <v>375.8</v>
      </c>
      <c r="D40" s="279">
        <v>229.82</v>
      </c>
      <c r="E40" s="280">
        <v>86365.44</v>
      </c>
      <c r="F40" s="292" t="s">
        <v>1582</v>
      </c>
      <c r="G40" s="285" t="str">
        <f>IFERROR(__xludf.DUMMYFUNCTION("""COMPUTED_VALUE"""),"PISO CARVALHO EUROPEU LIGHT BROWN 15/3 X 190 X 1900MM")</f>
        <v>PISO CARVALHO EUROPEU LIGHT BROWN 15/3 X 190 X 1900MM</v>
      </c>
      <c r="H40" s="283" t="s">
        <v>147</v>
      </c>
      <c r="I40" s="271">
        <f t="shared" si="1"/>
        <v>229.82</v>
      </c>
      <c r="J40" s="284"/>
      <c r="K40" s="292" t="s">
        <v>1582</v>
      </c>
      <c r="L40" s="285" t="s">
        <v>147</v>
      </c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6"/>
      <c r="Z40" s="286"/>
      <c r="AA40" s="286"/>
    </row>
    <row r="41">
      <c r="A41" s="276"/>
      <c r="B41" s="277" t="s">
        <v>1583</v>
      </c>
      <c r="C41" s="278">
        <v>1450.0</v>
      </c>
      <c r="D41" s="279">
        <v>270.56</v>
      </c>
      <c r="E41" s="280">
        <v>392312.0</v>
      </c>
      <c r="F41" s="292" t="s">
        <v>1584</v>
      </c>
      <c r="G41" s="285" t="str">
        <f>IFERROR(__xludf.DUMMYFUNCTION("""COMPUTED_VALUE"""),"PISO CARVALHO EUROPEU LIGHT BROWN 20/6 X 300 X 4000MM")</f>
        <v>PISO CARVALHO EUROPEU LIGHT BROWN 20/6 X 300 X 4000MM</v>
      </c>
      <c r="H41" s="283" t="s">
        <v>148</v>
      </c>
      <c r="I41" s="271">
        <f t="shared" si="1"/>
        <v>270.56</v>
      </c>
      <c r="J41" s="284"/>
      <c r="K41" s="292" t="s">
        <v>1584</v>
      </c>
      <c r="L41" s="285" t="s">
        <v>148</v>
      </c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6"/>
      <c r="Z41" s="286"/>
      <c r="AA41" s="286"/>
    </row>
    <row r="42">
      <c r="A42" s="276"/>
      <c r="B42" s="277" t="s">
        <v>1585</v>
      </c>
      <c r="C42" s="290">
        <v>183.25</v>
      </c>
      <c r="D42" s="293">
        <v>1095.0</v>
      </c>
      <c r="E42" s="293">
        <v>200663.68</v>
      </c>
      <c r="F42" s="292" t="s">
        <v>108</v>
      </c>
      <c r="G42" s="294" t="str">
        <f>IFERROR(__xludf.DUMMYFUNCTION("""COMPUTED_VALUE"""),"PISO CARVALHO EUROPEU - LISTONE GIORDANO (HERITAGE 140 FILIGRANA - SIENNA 1179) TG 1,25 X 14,0 X 83,50CM --")</f>
        <v>PISO CARVALHO EUROPEU - LISTONE GIORDANO (HERITAGE 140 FILIGRANA - SIENNA 1179) TG 1,25 X 14,0 X 83,50CM --</v>
      </c>
      <c r="H42" s="295" t="s">
        <v>150</v>
      </c>
      <c r="I42" s="296">
        <f t="shared" si="1"/>
        <v>1095</v>
      </c>
      <c r="J42" s="297"/>
      <c r="K42" s="292" t="s">
        <v>108</v>
      </c>
      <c r="L42" s="294" t="s">
        <v>150</v>
      </c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86"/>
      <c r="Z42" s="286"/>
      <c r="AA42" s="286"/>
    </row>
    <row r="43">
      <c r="F43" s="298"/>
      <c r="G43" s="283" t="str">
        <f>IFERROR(__xludf.DUMMYFUNCTION("""COMPUTED_VALUE"""),"PISO ")</f>
        <v>PISO </v>
      </c>
      <c r="K43" s="292" t="s">
        <v>1586</v>
      </c>
      <c r="L43" s="285" t="s">
        <v>151</v>
      </c>
    </row>
    <row r="44">
      <c r="A44" s="276"/>
      <c r="B44" s="277" t="s">
        <v>1587</v>
      </c>
      <c r="C44" s="289"/>
      <c r="D44" s="279">
        <v>229.82</v>
      </c>
      <c r="E44" s="279">
        <v>0.0</v>
      </c>
      <c r="F44" s="292" t="s">
        <v>1586</v>
      </c>
      <c r="G44" s="285" t="str">
        <f>IFERROR(__xludf.DUMMYFUNCTION("""COMPUTED_VALUE"""),"PISO CARVALHO EUROPEU MILANO CHEVRON 15/3 X 1900X 740MM")</f>
        <v>PISO CARVALHO EUROPEU MILANO CHEVRON 15/3 X 1900X 740MM</v>
      </c>
      <c r="H44" s="283" t="s">
        <v>151</v>
      </c>
      <c r="I44" s="271" t="str">
        <f t="shared" ref="I44:I195" si="2">IFERROR(INDEX($D$3:$D$2001,MATCH(TRUE,ISNUMBER(FIND($B$3:$B$2001,G44)),0)),"")</f>
        <v/>
      </c>
      <c r="J44" s="284"/>
      <c r="K44" s="292" t="s">
        <v>1588</v>
      </c>
      <c r="L44" s="285" t="s">
        <v>152</v>
      </c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6"/>
      <c r="Z44" s="286"/>
      <c r="AA44" s="286"/>
    </row>
    <row r="45">
      <c r="A45" s="276"/>
      <c r="B45" s="277" t="s">
        <v>1589</v>
      </c>
      <c r="C45" s="289"/>
      <c r="D45" s="279">
        <v>194.56</v>
      </c>
      <c r="E45" s="279">
        <v>0.0</v>
      </c>
      <c r="F45" s="292" t="s">
        <v>1588</v>
      </c>
      <c r="G45" s="285" t="str">
        <f>IFERROR(__xludf.DUMMYFUNCTION("""COMPUTED_VALUE"""),"PISO CARVALHO EUROPEU MILANO 15/3 X 125 X 1200MM")</f>
        <v>PISO CARVALHO EUROPEU MILANO 15/3 X 125 X 1200MM</v>
      </c>
      <c r="H45" s="283" t="s">
        <v>152</v>
      </c>
      <c r="I45" s="271" t="str">
        <f t="shared" si="2"/>
        <v/>
      </c>
      <c r="J45" s="284"/>
      <c r="K45" s="292" t="s">
        <v>1590</v>
      </c>
      <c r="L45" s="285" t="s">
        <v>153</v>
      </c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6"/>
      <c r="Z45" s="286"/>
      <c r="AA45" s="286"/>
    </row>
    <row r="46">
      <c r="A46" s="276"/>
      <c r="B46" s="277" t="s">
        <v>1591</v>
      </c>
      <c r="C46" s="289"/>
      <c r="D46" s="279">
        <v>229.82</v>
      </c>
      <c r="E46" s="279">
        <v>0.0</v>
      </c>
      <c r="F46" s="292" t="s">
        <v>1590</v>
      </c>
      <c r="G46" s="285" t="str">
        <f>IFERROR(__xludf.DUMMYFUNCTION("""COMPUTED_VALUE"""),"PISO CARVALHO EUROPEU MILANO 15/3 X 190 X 1900MM")</f>
        <v>PISO CARVALHO EUROPEU MILANO 15/3 X 190 X 1900MM</v>
      </c>
      <c r="H46" s="283" t="s">
        <v>153</v>
      </c>
      <c r="I46" s="271" t="str">
        <f t="shared" si="2"/>
        <v/>
      </c>
      <c r="J46" s="284"/>
      <c r="K46" s="292" t="s">
        <v>1592</v>
      </c>
      <c r="L46" s="285" t="s">
        <v>154</v>
      </c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6"/>
      <c r="Z46" s="286"/>
      <c r="AA46" s="286"/>
    </row>
    <row r="47">
      <c r="A47" s="276"/>
      <c r="B47" s="277" t="s">
        <v>1593</v>
      </c>
      <c r="C47" s="290">
        <v>331.0</v>
      </c>
      <c r="D47" s="279">
        <v>270.56</v>
      </c>
      <c r="E47" s="280">
        <v>89555.36</v>
      </c>
      <c r="F47" s="292" t="s">
        <v>1592</v>
      </c>
      <c r="G47" s="271" t="str">
        <f>IFERROR(__xludf.DUMMYFUNCTION("""COMPUTED_VALUE"""),"PISO CARVALHO EUROPEU MILANO 20/6 X 300 X 4000MM")</f>
        <v>PISO CARVALHO EUROPEU MILANO 20/6 X 300 X 4000MM</v>
      </c>
      <c r="H47" s="283" t="s">
        <v>154</v>
      </c>
      <c r="I47" s="271" t="str">
        <f t="shared" si="2"/>
        <v/>
      </c>
      <c r="J47" s="288"/>
      <c r="K47" s="292" t="s">
        <v>1594</v>
      </c>
      <c r="L47" s="285" t="s">
        <v>155</v>
      </c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5"/>
      <c r="Z47" s="275"/>
      <c r="AA47" s="275"/>
    </row>
    <row r="48">
      <c r="A48" s="276"/>
      <c r="B48" s="277" t="s">
        <v>1595</v>
      </c>
      <c r="C48" s="289"/>
      <c r="D48" s="279">
        <v>304.0</v>
      </c>
      <c r="E48" s="279">
        <v>0.0</v>
      </c>
      <c r="F48" s="292" t="s">
        <v>1594</v>
      </c>
      <c r="G48" s="271" t="str">
        <f>IFERROR(__xludf.DUMMYFUNCTION("""COMPUTED_VALUE"""),"PISO CARVALHO EUROPEU MILANO 20/6 X 400 X 5000MM")</f>
        <v>PISO CARVALHO EUROPEU MILANO 20/6 X 400 X 5000MM</v>
      </c>
      <c r="H48" s="283" t="s">
        <v>155</v>
      </c>
      <c r="I48" s="271" t="str">
        <f t="shared" si="2"/>
        <v/>
      </c>
      <c r="J48" s="288"/>
      <c r="K48" s="292" t="s">
        <v>1596</v>
      </c>
      <c r="L48" s="285" t="s">
        <v>156</v>
      </c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5"/>
      <c r="Z48" s="275"/>
      <c r="AA48" s="275"/>
    </row>
    <row r="49">
      <c r="A49" s="276"/>
      <c r="B49" s="277" t="s">
        <v>1597</v>
      </c>
      <c r="C49" s="289"/>
      <c r="D49" s="279">
        <v>229.82</v>
      </c>
      <c r="E49" s="279">
        <v>0.0</v>
      </c>
      <c r="F49" s="292" t="s">
        <v>1596</v>
      </c>
      <c r="G49" s="271" t="str">
        <f>IFERROR(__xludf.DUMMYFUNCTION("""COMPUTED_VALUE"""),"PISO CARVALHO EUROPEU SMOKED CHEVRON 15/3 X 1900X 740MM")</f>
        <v>PISO CARVALHO EUROPEU SMOKED CHEVRON 15/3 X 1900X 740MM</v>
      </c>
      <c r="H49" s="283" t="s">
        <v>156</v>
      </c>
      <c r="I49" s="271" t="str">
        <f t="shared" si="2"/>
        <v/>
      </c>
      <c r="J49" s="288"/>
      <c r="K49" s="292" t="s">
        <v>1598</v>
      </c>
      <c r="L49" s="285" t="s">
        <v>157</v>
      </c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5"/>
      <c r="Z49" s="275"/>
      <c r="AA49" s="275"/>
    </row>
    <row r="50">
      <c r="A50" s="276"/>
      <c r="B50" s="277" t="s">
        <v>1599</v>
      </c>
      <c r="C50" s="289"/>
      <c r="D50" s="279">
        <v>194.56</v>
      </c>
      <c r="E50" s="279">
        <v>0.0</v>
      </c>
      <c r="F50" s="292" t="s">
        <v>1598</v>
      </c>
      <c r="G50" s="271" t="str">
        <f>IFERROR(__xludf.DUMMYFUNCTION("""COMPUTED_VALUE"""),"PISO CARVALHO EUROPEU SMOKED 15/3 X 125 X 1200MM")</f>
        <v>PISO CARVALHO EUROPEU SMOKED 15/3 X 125 X 1200MM</v>
      </c>
      <c r="H50" s="283" t="s">
        <v>157</v>
      </c>
      <c r="I50" s="271" t="str">
        <f t="shared" si="2"/>
        <v/>
      </c>
      <c r="J50" s="284"/>
      <c r="K50" s="292" t="s">
        <v>1600</v>
      </c>
      <c r="L50" s="285" t="s">
        <v>158</v>
      </c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6"/>
      <c r="Z50" s="286"/>
      <c r="AA50" s="286"/>
    </row>
    <row r="51">
      <c r="A51" s="276"/>
      <c r="B51" s="277" t="s">
        <v>1601</v>
      </c>
      <c r="C51" s="290">
        <v>775.58</v>
      </c>
      <c r="D51" s="279">
        <v>229.82</v>
      </c>
      <c r="E51" s="280">
        <v>178242.88</v>
      </c>
      <c r="F51" s="292" t="s">
        <v>1600</v>
      </c>
      <c r="G51" s="271" t="str">
        <f>IFERROR(__xludf.DUMMYFUNCTION("""COMPUTED_VALUE"""),"PISO CARVALHO EUROPEU SMOKED 15/3 X 190 X 1900MM")</f>
        <v>PISO CARVALHO EUROPEU SMOKED 15/3 X 190 X 1900MM</v>
      </c>
      <c r="H51" s="283" t="s">
        <v>158</v>
      </c>
      <c r="I51" s="271" t="str">
        <f t="shared" si="2"/>
        <v/>
      </c>
      <c r="J51" s="288"/>
      <c r="K51" s="292" t="s">
        <v>1602</v>
      </c>
      <c r="L51" s="285" t="s">
        <v>159</v>
      </c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5"/>
      <c r="Z51" s="275"/>
      <c r="AA51" s="275"/>
    </row>
    <row r="52">
      <c r="A52" s="276"/>
      <c r="B52" s="277" t="s">
        <v>1603</v>
      </c>
      <c r="C52" s="289"/>
      <c r="D52" s="279">
        <v>270.56</v>
      </c>
      <c r="E52" s="279">
        <v>0.0</v>
      </c>
      <c r="F52" s="292" t="s">
        <v>1602</v>
      </c>
      <c r="G52" s="271" t="str">
        <f>IFERROR(__xludf.DUMMYFUNCTION("""COMPUTED_VALUE"""),"PISO CARVALHO EUROPEU SMOKED 20/6 X 300 X 4000MM")</f>
        <v>PISO CARVALHO EUROPEU SMOKED 20/6 X 300 X 4000MM</v>
      </c>
      <c r="H52" s="283" t="s">
        <v>159</v>
      </c>
      <c r="I52" s="271" t="str">
        <f t="shared" si="2"/>
        <v/>
      </c>
      <c r="J52" s="288"/>
      <c r="K52" s="292" t="s">
        <v>1604</v>
      </c>
      <c r="L52" s="285" t="s">
        <v>160</v>
      </c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5"/>
      <c r="Z52" s="275"/>
      <c r="AA52" s="275"/>
    </row>
    <row r="53">
      <c r="A53" s="276"/>
      <c r="B53" s="277" t="s">
        <v>1605</v>
      </c>
      <c r="C53" s="289"/>
      <c r="D53" s="279">
        <v>304.0</v>
      </c>
      <c r="E53" s="279">
        <v>0.0</v>
      </c>
      <c r="F53" s="292" t="s">
        <v>1604</v>
      </c>
      <c r="G53" s="271" t="str">
        <f>IFERROR(__xludf.DUMMYFUNCTION("""COMPUTED_VALUE"""),"PISO CARVALHO EUROPEU SMOKED 20/6 X 400 X 5000MM")</f>
        <v>PISO CARVALHO EUROPEU SMOKED 20/6 X 400 X 5000MM</v>
      </c>
      <c r="H53" s="283" t="s">
        <v>160</v>
      </c>
      <c r="I53" s="271" t="str">
        <f t="shared" si="2"/>
        <v/>
      </c>
      <c r="J53" s="288"/>
      <c r="K53" s="292" t="s">
        <v>1606</v>
      </c>
      <c r="L53" s="285" t="s">
        <v>161</v>
      </c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5"/>
      <c r="Z53" s="275"/>
      <c r="AA53" s="275"/>
    </row>
    <row r="54">
      <c r="A54" s="276"/>
      <c r="B54" s="277" t="s">
        <v>1607</v>
      </c>
      <c r="C54" s="289"/>
      <c r="D54" s="279">
        <v>194.56</v>
      </c>
      <c r="E54" s="279">
        <v>0.0</v>
      </c>
      <c r="F54" s="292" t="s">
        <v>1606</v>
      </c>
      <c r="G54" s="271" t="str">
        <f>IFERROR(__xludf.DUMMYFUNCTION("""COMPUTED_VALUE"""),"PISO CARVALHO EUROPEU GIZ CHEVRON 15/3 X 1900X 740MM")</f>
        <v>PISO CARVALHO EUROPEU GIZ CHEVRON 15/3 X 1900X 740MM</v>
      </c>
      <c r="H54" s="283" t="s">
        <v>161</v>
      </c>
      <c r="I54" s="271" t="str">
        <f t="shared" si="2"/>
        <v/>
      </c>
      <c r="J54" s="288"/>
      <c r="K54" s="292" t="s">
        <v>1608</v>
      </c>
      <c r="L54" s="285" t="s">
        <v>162</v>
      </c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5"/>
      <c r="Z54" s="275"/>
      <c r="AA54" s="275"/>
    </row>
    <row r="55">
      <c r="A55" s="276"/>
      <c r="B55" s="277" t="s">
        <v>1609</v>
      </c>
      <c r="C55" s="289"/>
      <c r="D55" s="279">
        <v>229.82</v>
      </c>
      <c r="E55" s="279">
        <v>0.0</v>
      </c>
      <c r="F55" s="292" t="s">
        <v>1608</v>
      </c>
      <c r="G55" s="271" t="str">
        <f>IFERROR(__xludf.DUMMYFUNCTION("""COMPUTED_VALUE"""),"PISO CARVALHO EUROPEU GIZ 15/3 X 125 X 1200MM")</f>
        <v>PISO CARVALHO EUROPEU GIZ 15/3 X 125 X 1200MM</v>
      </c>
      <c r="H55" s="283" t="s">
        <v>162</v>
      </c>
      <c r="I55" s="271" t="str">
        <f t="shared" si="2"/>
        <v/>
      </c>
      <c r="J55" s="288"/>
      <c r="K55" s="292" t="s">
        <v>1610</v>
      </c>
      <c r="L55" s="285" t="s">
        <v>163</v>
      </c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5"/>
      <c r="Z55" s="275"/>
      <c r="AA55" s="275"/>
    </row>
    <row r="56">
      <c r="A56" s="276"/>
      <c r="B56" s="277" t="s">
        <v>1611</v>
      </c>
      <c r="C56" s="290">
        <v>502.51</v>
      </c>
      <c r="D56" s="279">
        <v>229.82</v>
      </c>
      <c r="E56" s="280">
        <v>115486.85</v>
      </c>
      <c r="F56" s="292" t="s">
        <v>1610</v>
      </c>
      <c r="G56" s="271" t="str">
        <f>IFERROR(__xludf.DUMMYFUNCTION("""COMPUTED_VALUE"""),"PISO CARVALHO EUROPEU GIZ 15/3 X 190 X 1900MM")</f>
        <v>PISO CARVALHO EUROPEU GIZ 15/3 X 190 X 1900MM</v>
      </c>
      <c r="H56" s="283" t="s">
        <v>163</v>
      </c>
      <c r="I56" s="271" t="str">
        <f t="shared" si="2"/>
        <v/>
      </c>
      <c r="J56" s="288"/>
      <c r="K56" s="292" t="s">
        <v>1612</v>
      </c>
      <c r="L56" s="285" t="s">
        <v>164</v>
      </c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5"/>
      <c r="Z56" s="275"/>
      <c r="AA56" s="275"/>
    </row>
    <row r="57">
      <c r="A57" s="276"/>
      <c r="B57" s="277" t="s">
        <v>1613</v>
      </c>
      <c r="C57" s="289"/>
      <c r="D57" s="279">
        <v>270.56</v>
      </c>
      <c r="E57" s="279">
        <v>0.0</v>
      </c>
      <c r="F57" s="292" t="s">
        <v>1612</v>
      </c>
      <c r="G57" s="271" t="str">
        <f>IFERROR(__xludf.DUMMYFUNCTION("""COMPUTED_VALUE"""),"PISO CARVALHO EUROPEU GIZ 20/6 X 300 X 4000MM")</f>
        <v>PISO CARVALHO EUROPEU GIZ 20/6 X 300 X 4000MM</v>
      </c>
      <c r="H57" s="283" t="s">
        <v>164</v>
      </c>
      <c r="I57" s="271" t="str">
        <f t="shared" si="2"/>
        <v/>
      </c>
      <c r="J57" s="288"/>
      <c r="K57" s="292" t="s">
        <v>1614</v>
      </c>
      <c r="L57" s="285" t="s">
        <v>165</v>
      </c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5"/>
      <c r="Z57" s="275"/>
      <c r="AA57" s="275"/>
    </row>
    <row r="58">
      <c r="A58" s="276"/>
      <c r="B58" s="277" t="s">
        <v>1615</v>
      </c>
      <c r="C58" s="289"/>
      <c r="D58" s="279">
        <v>304.0</v>
      </c>
      <c r="E58" s="279">
        <v>0.0</v>
      </c>
      <c r="F58" s="292" t="s">
        <v>1614</v>
      </c>
      <c r="G58" s="271" t="str">
        <f>IFERROR(__xludf.DUMMYFUNCTION("""COMPUTED_VALUE"""),"PISO CARVALHO EUROPEU GIZ 20/6 X 400 X 5000MM")</f>
        <v>PISO CARVALHO EUROPEU GIZ 20/6 X 400 X 5000MM</v>
      </c>
      <c r="H58" s="283" t="s">
        <v>165</v>
      </c>
      <c r="I58" s="271" t="str">
        <f t="shared" si="2"/>
        <v/>
      </c>
      <c r="J58" s="288"/>
      <c r="K58" s="292" t="s">
        <v>1616</v>
      </c>
      <c r="L58" s="285" t="s">
        <v>166</v>
      </c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5"/>
      <c r="Z58" s="275"/>
      <c r="AA58" s="275"/>
    </row>
    <row r="59">
      <c r="A59" s="276"/>
      <c r="B59" s="277" t="s">
        <v>1617</v>
      </c>
      <c r="C59" s="289"/>
      <c r="D59" s="279">
        <v>229.82</v>
      </c>
      <c r="E59" s="279">
        <v>0.0</v>
      </c>
      <c r="F59" s="292" t="s">
        <v>1616</v>
      </c>
      <c r="G59" s="271" t="str">
        <f>IFERROR(__xludf.DUMMYFUNCTION("""COMPUTED_VALUE"""),"PISO CARVALHO EUROPEU SNOW CHEVRON 15/3 X 1900X 740MM")</f>
        <v>PISO CARVALHO EUROPEU SNOW CHEVRON 15/3 X 1900X 740MM</v>
      </c>
      <c r="H59" s="283" t="s">
        <v>166</v>
      </c>
      <c r="I59" s="271" t="str">
        <f t="shared" si="2"/>
        <v/>
      </c>
      <c r="J59" s="288"/>
      <c r="K59" s="292" t="s">
        <v>1618</v>
      </c>
      <c r="L59" s="285" t="s">
        <v>167</v>
      </c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5"/>
      <c r="Z59" s="275"/>
      <c r="AA59" s="275"/>
    </row>
    <row r="60">
      <c r="A60" s="276"/>
      <c r="B60" s="277" t="s">
        <v>1619</v>
      </c>
      <c r="C60" s="289"/>
      <c r="D60" s="279">
        <v>194.56</v>
      </c>
      <c r="E60" s="279">
        <v>0.0</v>
      </c>
      <c r="F60" s="292" t="s">
        <v>1618</v>
      </c>
      <c r="G60" s="271" t="str">
        <f>IFERROR(__xludf.DUMMYFUNCTION("""COMPUTED_VALUE"""),"PISO CARVALHO EUROPEU SNOW 15/3 X 125 X 1200MM")</f>
        <v>PISO CARVALHO EUROPEU SNOW 15/3 X 125 X 1200MM</v>
      </c>
      <c r="H60" s="283" t="s">
        <v>167</v>
      </c>
      <c r="I60" s="271" t="str">
        <f t="shared" si="2"/>
        <v/>
      </c>
      <c r="J60" s="288"/>
      <c r="K60" s="292" t="s">
        <v>1620</v>
      </c>
      <c r="L60" s="285" t="s">
        <v>168</v>
      </c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5"/>
      <c r="Z60" s="275"/>
      <c r="AA60" s="275"/>
    </row>
    <row r="61">
      <c r="A61" s="276"/>
      <c r="B61" s="277" t="s">
        <v>1621</v>
      </c>
      <c r="C61" s="289"/>
      <c r="D61" s="279">
        <v>229.82</v>
      </c>
      <c r="E61" s="279">
        <v>0.0</v>
      </c>
      <c r="F61" s="292" t="s">
        <v>1620</v>
      </c>
      <c r="G61" s="271" t="str">
        <f>IFERROR(__xludf.DUMMYFUNCTION("""COMPUTED_VALUE"""),"PISO CARVALHO EUROPEU SNOW 15/3 X 190 X 1900MM")</f>
        <v>PISO CARVALHO EUROPEU SNOW 15/3 X 190 X 1900MM</v>
      </c>
      <c r="H61" s="283" t="s">
        <v>168</v>
      </c>
      <c r="I61" s="271" t="str">
        <f t="shared" si="2"/>
        <v/>
      </c>
      <c r="J61" s="284"/>
      <c r="K61" s="292" t="s">
        <v>1622</v>
      </c>
      <c r="L61" s="285" t="s">
        <v>169</v>
      </c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6"/>
      <c r="Z61" s="286"/>
      <c r="AA61" s="286"/>
    </row>
    <row r="62">
      <c r="A62" s="276"/>
      <c r="B62" s="277" t="s">
        <v>1623</v>
      </c>
      <c r="C62" s="289"/>
      <c r="D62" s="279">
        <v>270.56</v>
      </c>
      <c r="E62" s="279">
        <v>0.0</v>
      </c>
      <c r="F62" s="292" t="s">
        <v>1622</v>
      </c>
      <c r="G62" s="271" t="str">
        <f>IFERROR(__xludf.DUMMYFUNCTION("""COMPUTED_VALUE"""),"PISO CARVALHO EUROPEU SNOW 20/6 X 300 X 4000MM")</f>
        <v>PISO CARVALHO EUROPEU SNOW 20/6 X 300 X 4000MM</v>
      </c>
      <c r="H62" s="283" t="s">
        <v>169</v>
      </c>
      <c r="I62" s="271" t="str">
        <f t="shared" si="2"/>
        <v/>
      </c>
      <c r="J62" s="288"/>
      <c r="K62" s="292" t="s">
        <v>1624</v>
      </c>
      <c r="L62" s="285" t="s">
        <v>170</v>
      </c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5"/>
      <c r="Z62" s="275"/>
      <c r="AA62" s="275"/>
    </row>
    <row r="63">
      <c r="A63" s="276"/>
      <c r="B63" s="277" t="s">
        <v>1625</v>
      </c>
      <c r="C63" s="289"/>
      <c r="D63" s="279">
        <v>304.0</v>
      </c>
      <c r="E63" s="279">
        <v>0.0</v>
      </c>
      <c r="F63" s="292" t="s">
        <v>1624</v>
      </c>
      <c r="G63" s="271" t="str">
        <f>IFERROR(__xludf.DUMMYFUNCTION("""COMPUTED_VALUE"""),"PISO CARVALHO EUROPEU SNOW 20/6 X 400 X 5000MM")</f>
        <v>PISO CARVALHO EUROPEU SNOW 20/6 X 400 X 5000MM</v>
      </c>
      <c r="H63" s="283" t="s">
        <v>170</v>
      </c>
      <c r="I63" s="271" t="str">
        <f t="shared" si="2"/>
        <v/>
      </c>
      <c r="J63" s="288"/>
      <c r="K63" s="292" t="s">
        <v>1626</v>
      </c>
      <c r="L63" s="285" t="s">
        <v>171</v>
      </c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5"/>
      <c r="Z63" s="275"/>
      <c r="AA63" s="275"/>
    </row>
    <row r="64">
      <c r="A64" s="276"/>
      <c r="B64" s="277" t="s">
        <v>1627</v>
      </c>
      <c r="C64" s="289"/>
      <c r="D64" s="279">
        <v>229.82</v>
      </c>
      <c r="E64" s="279">
        <v>0.0</v>
      </c>
      <c r="F64" s="292" t="s">
        <v>1626</v>
      </c>
      <c r="G64" s="271" t="str">
        <f>IFERROR(__xludf.DUMMYFUNCTION("""COMPUTED_VALUE"""),"PISO CARVALHO EUROPEU WILD CHEVRON 15/3 X 1900X 740MM")</f>
        <v>PISO CARVALHO EUROPEU WILD CHEVRON 15/3 X 1900X 740MM</v>
      </c>
      <c r="H64" s="283" t="s">
        <v>171</v>
      </c>
      <c r="I64" s="271" t="str">
        <f t="shared" si="2"/>
        <v/>
      </c>
      <c r="J64" s="288"/>
      <c r="K64" s="292" t="s">
        <v>1628</v>
      </c>
      <c r="L64" s="285" t="s">
        <v>172</v>
      </c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5"/>
      <c r="Z64" s="275"/>
      <c r="AA64" s="275"/>
    </row>
    <row r="65">
      <c r="A65" s="276"/>
      <c r="B65" s="277" t="s">
        <v>1629</v>
      </c>
      <c r="C65" s="289"/>
      <c r="D65" s="279">
        <v>194.56</v>
      </c>
      <c r="E65" s="279">
        <v>0.0</v>
      </c>
      <c r="F65" s="292" t="s">
        <v>1628</v>
      </c>
      <c r="G65" s="271" t="str">
        <f>IFERROR(__xludf.DUMMYFUNCTION("""COMPUTED_VALUE"""),"PISO CARVALHO EUROPEU WILD 15/3 X 125 X 1200MM")</f>
        <v>PISO CARVALHO EUROPEU WILD 15/3 X 125 X 1200MM</v>
      </c>
      <c r="H65" s="283" t="s">
        <v>172</v>
      </c>
      <c r="I65" s="271" t="str">
        <f t="shared" si="2"/>
        <v/>
      </c>
      <c r="J65" s="288"/>
      <c r="K65" s="292" t="s">
        <v>1630</v>
      </c>
      <c r="L65" s="285" t="s">
        <v>173</v>
      </c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5"/>
      <c r="Z65" s="275"/>
      <c r="AA65" s="275"/>
    </row>
    <row r="66">
      <c r="A66" s="276"/>
      <c r="B66" s="277" t="s">
        <v>1631</v>
      </c>
      <c r="C66" s="290">
        <v>969.54</v>
      </c>
      <c r="D66" s="279">
        <v>229.82</v>
      </c>
      <c r="E66" s="280">
        <v>222819.68</v>
      </c>
      <c r="F66" s="292" t="s">
        <v>1630</v>
      </c>
      <c r="G66" s="271" t="str">
        <f>IFERROR(__xludf.DUMMYFUNCTION("""COMPUTED_VALUE"""),"PISO CARVALHO EUROPEU WILD 15/3 X 190 X 1900MM")</f>
        <v>PISO CARVALHO EUROPEU WILD 15/3 X 190 X 1900MM</v>
      </c>
      <c r="H66" s="283" t="s">
        <v>173</v>
      </c>
      <c r="I66" s="271" t="str">
        <f t="shared" si="2"/>
        <v/>
      </c>
      <c r="J66" s="288"/>
      <c r="K66" s="292" t="s">
        <v>1632</v>
      </c>
      <c r="L66" s="285" t="s">
        <v>174</v>
      </c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5"/>
      <c r="Z66" s="275"/>
      <c r="AA66" s="275"/>
    </row>
    <row r="67">
      <c r="A67" s="276"/>
      <c r="B67" s="277" t="s">
        <v>1633</v>
      </c>
      <c r="C67" s="289"/>
      <c r="D67" s="279">
        <v>270.56</v>
      </c>
      <c r="E67" s="279">
        <v>0.0</v>
      </c>
      <c r="F67" s="292" t="s">
        <v>1632</v>
      </c>
      <c r="G67" s="271" t="str">
        <f>IFERROR(__xludf.DUMMYFUNCTION("""COMPUTED_VALUE"""),"PISO CARVALHO EUROPEU WILD 20/6 X 300 X 4000MM")</f>
        <v>PISO CARVALHO EUROPEU WILD 20/6 X 300 X 4000MM</v>
      </c>
      <c r="H67" s="283" t="s">
        <v>174</v>
      </c>
      <c r="I67" s="271" t="str">
        <f t="shared" si="2"/>
        <v/>
      </c>
      <c r="J67" s="288"/>
      <c r="K67" s="292" t="s">
        <v>1634</v>
      </c>
      <c r="L67" s="285" t="s">
        <v>175</v>
      </c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5"/>
      <c r="Z67" s="275"/>
      <c r="AA67" s="275"/>
    </row>
    <row r="68">
      <c r="A68" s="276"/>
      <c r="B68" s="277" t="s">
        <v>1635</v>
      </c>
      <c r="C68" s="289"/>
      <c r="D68" s="279">
        <v>304.0</v>
      </c>
      <c r="E68" s="279">
        <v>0.0</v>
      </c>
      <c r="F68" s="292" t="s">
        <v>1634</v>
      </c>
      <c r="G68" s="271" t="str">
        <f>IFERROR(__xludf.DUMMYFUNCTION("""COMPUTED_VALUE"""),"PISO CARVALHO EUROPEU WILD 20/6 X 400 X 5000MM")</f>
        <v>PISO CARVALHO EUROPEU WILD 20/6 X 400 X 5000MM</v>
      </c>
      <c r="H68" s="283" t="s">
        <v>175</v>
      </c>
      <c r="I68" s="271" t="str">
        <f t="shared" si="2"/>
        <v/>
      </c>
      <c r="J68" s="288"/>
      <c r="K68" s="292" t="s">
        <v>1636</v>
      </c>
      <c r="L68" s="285" t="s">
        <v>176</v>
      </c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5"/>
      <c r="Z68" s="275"/>
      <c r="AA68" s="275"/>
    </row>
    <row r="69">
      <c r="A69" s="276"/>
      <c r="B69" s="277" t="s">
        <v>1637</v>
      </c>
      <c r="C69" s="289"/>
      <c r="D69" s="279">
        <v>229.82</v>
      </c>
      <c r="E69" s="279">
        <v>0.0</v>
      </c>
      <c r="F69" s="292" t="s">
        <v>1636</v>
      </c>
      <c r="G69" s="271" t="str">
        <f>IFERROR(__xludf.DUMMYFUNCTION("""COMPUTED_VALUE"""),"PISO CARVALHO EUROPEU NEVADO CHEVRON 15/3 X 1900X 740MM")</f>
        <v>PISO CARVALHO EUROPEU NEVADO CHEVRON 15/3 X 1900X 740MM</v>
      </c>
      <c r="H69" s="283" t="s">
        <v>176</v>
      </c>
      <c r="I69" s="271" t="str">
        <f t="shared" si="2"/>
        <v/>
      </c>
      <c r="J69" s="288"/>
      <c r="K69" s="292" t="s">
        <v>1638</v>
      </c>
      <c r="L69" s="285" t="s">
        <v>177</v>
      </c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5"/>
      <c r="Z69" s="275"/>
      <c r="AA69" s="275"/>
    </row>
    <row r="70">
      <c r="A70" s="276"/>
      <c r="B70" s="277" t="s">
        <v>1639</v>
      </c>
      <c r="C70" s="289"/>
      <c r="D70" s="279">
        <v>194.56</v>
      </c>
      <c r="E70" s="279">
        <v>0.0</v>
      </c>
      <c r="F70" s="292" t="s">
        <v>1638</v>
      </c>
      <c r="G70" s="271" t="str">
        <f>IFERROR(__xludf.DUMMYFUNCTION("""COMPUTED_VALUE"""),"PISO CARVALHO EUROPEU NEVADO 15/3 X 125 X 1200MM")</f>
        <v>PISO CARVALHO EUROPEU NEVADO 15/3 X 125 X 1200MM</v>
      </c>
      <c r="H70" s="283" t="s">
        <v>177</v>
      </c>
      <c r="I70" s="271" t="str">
        <f t="shared" si="2"/>
        <v/>
      </c>
      <c r="J70" s="288"/>
      <c r="K70" s="292" t="s">
        <v>1640</v>
      </c>
      <c r="L70" s="285" t="s">
        <v>178</v>
      </c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5"/>
      <c r="Z70" s="275"/>
      <c r="AA70" s="275"/>
    </row>
    <row r="71">
      <c r="A71" s="276"/>
      <c r="B71" s="277" t="s">
        <v>1641</v>
      </c>
      <c r="C71" s="278">
        <v>1206.93</v>
      </c>
      <c r="D71" s="279">
        <v>229.82</v>
      </c>
      <c r="E71" s="280">
        <v>277376.65</v>
      </c>
      <c r="F71" s="292" t="s">
        <v>1640</v>
      </c>
      <c r="G71" s="271" t="str">
        <f>IFERROR(__xludf.DUMMYFUNCTION("""COMPUTED_VALUE"""),"PISO CARVALHO EUROPEU NEVADO 15/3 X 190 X 1900MM")</f>
        <v>PISO CARVALHO EUROPEU NEVADO 15/3 X 190 X 1900MM</v>
      </c>
      <c r="H71" s="283" t="s">
        <v>178</v>
      </c>
      <c r="I71" s="271" t="str">
        <f t="shared" si="2"/>
        <v/>
      </c>
      <c r="J71" s="288"/>
      <c r="K71" s="292" t="s">
        <v>1642</v>
      </c>
      <c r="L71" s="285" t="s">
        <v>179</v>
      </c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5"/>
      <c r="Z71" s="275"/>
      <c r="AA71" s="275"/>
    </row>
    <row r="72">
      <c r="A72" s="276"/>
      <c r="B72" s="277" t="s">
        <v>1643</v>
      </c>
      <c r="C72" s="289"/>
      <c r="D72" s="279">
        <v>270.56</v>
      </c>
      <c r="E72" s="279">
        <v>0.0</v>
      </c>
      <c r="F72" s="292" t="s">
        <v>1642</v>
      </c>
      <c r="G72" s="271" t="str">
        <f>IFERROR(__xludf.DUMMYFUNCTION("""COMPUTED_VALUE"""),"PISO CARVALHO EUROPEU NEVADO 20/6 X 300 X 4000MM")</f>
        <v>PISO CARVALHO EUROPEU NEVADO 20/6 X 300 X 4000MM</v>
      </c>
      <c r="H72" s="283" t="s">
        <v>179</v>
      </c>
      <c r="I72" s="271" t="str">
        <f t="shared" si="2"/>
        <v/>
      </c>
      <c r="J72" s="284"/>
      <c r="K72" s="292" t="s">
        <v>1644</v>
      </c>
      <c r="L72" s="285" t="s">
        <v>180</v>
      </c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6"/>
      <c r="Z72" s="286"/>
      <c r="AA72" s="286"/>
    </row>
    <row r="73">
      <c r="A73" s="276"/>
      <c r="B73" s="277" t="s">
        <v>1645</v>
      </c>
      <c r="C73" s="289"/>
      <c r="D73" s="279">
        <v>304.0</v>
      </c>
      <c r="E73" s="279">
        <v>0.0</v>
      </c>
      <c r="F73" s="292" t="s">
        <v>1644</v>
      </c>
      <c r="G73" s="271" t="str">
        <f>IFERROR(__xludf.DUMMYFUNCTION("""COMPUTED_VALUE"""),"PISO CARVALHO EUROPEU NEVADO 20/6 X 400 X 5000MM")</f>
        <v>PISO CARVALHO EUROPEU NEVADO 20/6 X 400 X 5000MM</v>
      </c>
      <c r="H73" s="283" t="s">
        <v>180</v>
      </c>
      <c r="I73" s="271" t="str">
        <f t="shared" si="2"/>
        <v/>
      </c>
      <c r="J73" s="288"/>
      <c r="K73" s="292" t="s">
        <v>1646</v>
      </c>
      <c r="L73" s="285" t="s">
        <v>181</v>
      </c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5"/>
      <c r="Z73" s="275"/>
      <c r="AA73" s="275"/>
    </row>
    <row r="74">
      <c r="A74" s="276"/>
      <c r="B74" s="277" t="s">
        <v>1647</v>
      </c>
      <c r="C74" s="289"/>
      <c r="D74" s="279">
        <v>229.82</v>
      </c>
      <c r="E74" s="279">
        <v>0.0</v>
      </c>
      <c r="F74" s="292" t="s">
        <v>1646</v>
      </c>
      <c r="G74" s="271" t="str">
        <f>IFERROR(__xludf.DUMMYFUNCTION("""COMPUTED_VALUE"""),"PISO CARVALHO EUROPEU CONCRETE GREY CHEVRON 15/3 X 1900X 740MM")</f>
        <v>PISO CARVALHO EUROPEU CONCRETE GREY CHEVRON 15/3 X 1900X 740MM</v>
      </c>
      <c r="H74" s="283" t="s">
        <v>181</v>
      </c>
      <c r="I74" s="271" t="str">
        <f t="shared" si="2"/>
        <v/>
      </c>
      <c r="J74" s="288"/>
      <c r="K74" s="292" t="s">
        <v>1648</v>
      </c>
      <c r="L74" s="285" t="s">
        <v>182</v>
      </c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5"/>
      <c r="Z74" s="275"/>
      <c r="AA74" s="275"/>
    </row>
    <row r="75">
      <c r="A75" s="276"/>
      <c r="B75" s="277" t="s">
        <v>1649</v>
      </c>
      <c r="C75" s="290">
        <v>532.8</v>
      </c>
      <c r="D75" s="279">
        <v>194.56</v>
      </c>
      <c r="E75" s="280">
        <v>103661.57</v>
      </c>
      <c r="F75" s="292" t="s">
        <v>1648</v>
      </c>
      <c r="G75" s="271" t="str">
        <f>IFERROR(__xludf.DUMMYFUNCTION("""COMPUTED_VALUE"""),"PISO CARVALHO EUROPEU CONCRETE GREY 15/3 X 125 X 1200MM")</f>
        <v>PISO CARVALHO EUROPEU CONCRETE GREY 15/3 X 125 X 1200MM</v>
      </c>
      <c r="H75" s="283" t="s">
        <v>182</v>
      </c>
      <c r="I75" s="271" t="str">
        <f t="shared" si="2"/>
        <v/>
      </c>
      <c r="J75" s="288"/>
      <c r="K75" s="292" t="s">
        <v>1650</v>
      </c>
      <c r="L75" s="285" t="s">
        <v>183</v>
      </c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5"/>
      <c r="Z75" s="275"/>
      <c r="AA75" s="275"/>
    </row>
    <row r="76">
      <c r="A76" s="276"/>
      <c r="B76" s="277" t="s">
        <v>1651</v>
      </c>
      <c r="C76" s="289"/>
      <c r="D76" s="279">
        <v>229.82</v>
      </c>
      <c r="E76" s="279">
        <v>0.0</v>
      </c>
      <c r="F76" s="292" t="s">
        <v>1650</v>
      </c>
      <c r="G76" s="271" t="str">
        <f>IFERROR(__xludf.DUMMYFUNCTION("""COMPUTED_VALUE"""),"PISO CARVALHO EUROPEU CONCRETE GREY 15/3 X 190 X 1900MM")</f>
        <v>PISO CARVALHO EUROPEU CONCRETE GREY 15/3 X 190 X 1900MM</v>
      </c>
      <c r="H76" s="283" t="s">
        <v>183</v>
      </c>
      <c r="I76" s="271" t="str">
        <f t="shared" si="2"/>
        <v/>
      </c>
      <c r="J76" s="288"/>
      <c r="K76" s="292" t="s">
        <v>1652</v>
      </c>
      <c r="L76" s="285" t="s">
        <v>184</v>
      </c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5"/>
      <c r="Z76" s="275"/>
      <c r="AA76" s="275"/>
    </row>
    <row r="77">
      <c r="A77" s="276"/>
      <c r="B77" s="277" t="s">
        <v>1653</v>
      </c>
      <c r="C77" s="290">
        <v>81.6</v>
      </c>
      <c r="D77" s="279">
        <v>270.56</v>
      </c>
      <c r="E77" s="280">
        <v>22077.7</v>
      </c>
      <c r="F77" s="292" t="s">
        <v>1652</v>
      </c>
      <c r="G77" s="271" t="str">
        <f>IFERROR(__xludf.DUMMYFUNCTION("""COMPUTED_VALUE"""),"PISO CARVALHO EUROPEU CONCRETE GREY 20/6 X 300 X 4000MM")</f>
        <v>PISO CARVALHO EUROPEU CONCRETE GREY 20/6 X 300 X 4000MM</v>
      </c>
      <c r="H77" s="283" t="s">
        <v>184</v>
      </c>
      <c r="I77" s="271" t="str">
        <f t="shared" si="2"/>
        <v/>
      </c>
      <c r="J77" s="288"/>
      <c r="K77" s="292" t="s">
        <v>1654</v>
      </c>
      <c r="L77" s="285" t="s">
        <v>185</v>
      </c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5"/>
      <c r="Z77" s="275"/>
      <c r="AA77" s="275"/>
    </row>
    <row r="78">
      <c r="A78" s="276"/>
      <c r="B78" s="277" t="s">
        <v>1655</v>
      </c>
      <c r="C78" s="289"/>
      <c r="D78" s="279">
        <v>304.0</v>
      </c>
      <c r="E78" s="279">
        <v>0.0</v>
      </c>
      <c r="F78" s="292" t="s">
        <v>1654</v>
      </c>
      <c r="G78" s="271" t="str">
        <f>IFERROR(__xludf.DUMMYFUNCTION("""COMPUTED_VALUE"""),"PISO CARVALHO EUROPEU CONCRETE GREY 20/6 X 400 X 5000MM")</f>
        <v>PISO CARVALHO EUROPEU CONCRETE GREY 20/6 X 400 X 5000MM</v>
      </c>
      <c r="H78" s="283" t="s">
        <v>185</v>
      </c>
      <c r="I78" s="271" t="str">
        <f t="shared" si="2"/>
        <v/>
      </c>
      <c r="J78" s="288"/>
      <c r="K78" s="292" t="s">
        <v>1656</v>
      </c>
      <c r="L78" s="285" t="s">
        <v>186</v>
      </c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5"/>
      <c r="Z78" s="275"/>
      <c r="AA78" s="275"/>
    </row>
    <row r="79">
      <c r="A79" s="276"/>
      <c r="B79" s="277" t="s">
        <v>1657</v>
      </c>
      <c r="C79" s="289"/>
      <c r="D79" s="279">
        <v>229.82</v>
      </c>
      <c r="E79" s="279">
        <v>0.0</v>
      </c>
      <c r="F79" s="292" t="s">
        <v>1656</v>
      </c>
      <c r="G79" s="271" t="str">
        <f>IFERROR(__xludf.DUMMYFUNCTION("""COMPUTED_VALUE"""),"PISO CARVALHO EUROPEU ITALY BROWN CHEVRON 15/3 X 1900X 740MM")</f>
        <v>PISO CARVALHO EUROPEU ITALY BROWN CHEVRON 15/3 X 1900X 740MM</v>
      </c>
      <c r="H79" s="283" t="s">
        <v>186</v>
      </c>
      <c r="I79" s="271" t="str">
        <f t="shared" si="2"/>
        <v/>
      </c>
      <c r="J79" s="288"/>
      <c r="K79" s="292" t="s">
        <v>1658</v>
      </c>
      <c r="L79" s="285" t="s">
        <v>187</v>
      </c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5"/>
      <c r="Z79" s="275"/>
      <c r="AA79" s="275"/>
    </row>
    <row r="80">
      <c r="A80" s="276"/>
      <c r="B80" s="277" t="s">
        <v>1659</v>
      </c>
      <c r="C80" s="289"/>
      <c r="D80" s="279">
        <v>194.56</v>
      </c>
      <c r="E80" s="279">
        <v>0.0</v>
      </c>
      <c r="F80" s="292" t="s">
        <v>1658</v>
      </c>
      <c r="G80" s="271" t="str">
        <f>IFERROR(__xludf.DUMMYFUNCTION("""COMPUTED_VALUE"""),"PISO CARVALHO EUROPEU ITALY BROWN 15/3 X 125 X 1200MM")</f>
        <v>PISO CARVALHO EUROPEU ITALY BROWN 15/3 X 125 X 1200MM</v>
      </c>
      <c r="H80" s="283" t="s">
        <v>187</v>
      </c>
      <c r="I80" s="271" t="str">
        <f t="shared" si="2"/>
        <v/>
      </c>
      <c r="J80" s="288"/>
      <c r="K80" s="292" t="s">
        <v>1660</v>
      </c>
      <c r="L80" s="285" t="s">
        <v>188</v>
      </c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5"/>
      <c r="Z80" s="275"/>
      <c r="AA80" s="275"/>
    </row>
    <row r="81">
      <c r="A81" s="276"/>
      <c r="B81" s="277" t="s">
        <v>1661</v>
      </c>
      <c r="C81" s="289"/>
      <c r="D81" s="279">
        <v>229.82</v>
      </c>
      <c r="E81" s="279">
        <v>0.0</v>
      </c>
      <c r="F81" s="292" t="s">
        <v>1660</v>
      </c>
      <c r="G81" s="271" t="str">
        <f>IFERROR(__xludf.DUMMYFUNCTION("""COMPUTED_VALUE"""),"PISO CARVALHO EUROPEU ITALY BROWN 15/3 X 190 X 1900MM")</f>
        <v>PISO CARVALHO EUROPEU ITALY BROWN 15/3 X 190 X 1900MM</v>
      </c>
      <c r="H81" s="283" t="s">
        <v>188</v>
      </c>
      <c r="I81" s="271" t="str">
        <f t="shared" si="2"/>
        <v/>
      </c>
      <c r="J81" s="288"/>
      <c r="K81" s="292" t="s">
        <v>1662</v>
      </c>
      <c r="L81" s="285" t="s">
        <v>189</v>
      </c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5"/>
      <c r="Z81" s="275"/>
      <c r="AA81" s="275"/>
    </row>
    <row r="82">
      <c r="A82" s="276"/>
      <c r="B82" s="277" t="s">
        <v>1663</v>
      </c>
      <c r="C82" s="290">
        <v>206.6</v>
      </c>
      <c r="D82" s="279">
        <v>270.56</v>
      </c>
      <c r="E82" s="280">
        <v>55897.7</v>
      </c>
      <c r="F82" s="292" t="s">
        <v>1662</v>
      </c>
      <c r="G82" s="271" t="str">
        <f>IFERROR(__xludf.DUMMYFUNCTION("""COMPUTED_VALUE"""),"PISO CARVALHO EUROPEU ITALY BROWN 20/6 X 300 X 4000MM")</f>
        <v>PISO CARVALHO EUROPEU ITALY BROWN 20/6 X 300 X 4000MM</v>
      </c>
      <c r="H82" s="283" t="s">
        <v>189</v>
      </c>
      <c r="I82" s="271" t="str">
        <f t="shared" si="2"/>
        <v/>
      </c>
      <c r="J82" s="288"/>
      <c r="K82" s="292" t="s">
        <v>1664</v>
      </c>
      <c r="L82" s="285" t="s">
        <v>190</v>
      </c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5"/>
      <c r="Z82" s="275"/>
      <c r="AA82" s="275"/>
    </row>
    <row r="83">
      <c r="A83" s="276"/>
      <c r="B83" s="277" t="s">
        <v>1665</v>
      </c>
      <c r="C83" s="299"/>
      <c r="D83" s="279">
        <v>304.0</v>
      </c>
      <c r="E83" s="279">
        <v>0.0</v>
      </c>
      <c r="F83" s="292" t="s">
        <v>1664</v>
      </c>
      <c r="G83" s="271" t="str">
        <f>IFERROR(__xludf.DUMMYFUNCTION("""COMPUTED_VALUE"""),"PISO CARVALHO EUROPEU ITALY BROWN 20/6 X 400 X 5000MM")</f>
        <v>PISO CARVALHO EUROPEU ITALY BROWN 20/6 X 400 X 5000MM</v>
      </c>
      <c r="H83" s="283" t="s">
        <v>190</v>
      </c>
      <c r="I83" s="271" t="str">
        <f t="shared" si="2"/>
        <v/>
      </c>
      <c r="J83" s="284"/>
      <c r="K83" s="292" t="s">
        <v>1666</v>
      </c>
      <c r="L83" s="285" t="s">
        <v>191</v>
      </c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6"/>
      <c r="Z83" s="286"/>
      <c r="AA83" s="286"/>
    </row>
    <row r="84">
      <c r="A84" s="276"/>
      <c r="B84" s="277" t="s">
        <v>1667</v>
      </c>
      <c r="C84" s="299"/>
      <c r="D84" s="279">
        <v>229.82</v>
      </c>
      <c r="E84" s="279">
        <v>0.0</v>
      </c>
      <c r="F84" s="292" t="s">
        <v>1666</v>
      </c>
      <c r="G84" s="271" t="str">
        <f>IFERROR(__xludf.DUMMYFUNCTION("""COMPUTED_VALUE"""),"PISO CARVALHO EUROPEU ALL BLACK CHEVRON 15/3 X 1900X 740MM")</f>
        <v>PISO CARVALHO EUROPEU ALL BLACK CHEVRON 15/3 X 1900X 740MM</v>
      </c>
      <c r="H84" s="283" t="s">
        <v>191</v>
      </c>
      <c r="I84" s="271" t="str">
        <f t="shared" si="2"/>
        <v/>
      </c>
      <c r="J84" s="284"/>
      <c r="K84" s="292" t="s">
        <v>1668</v>
      </c>
      <c r="L84" s="285" t="s">
        <v>192</v>
      </c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6"/>
      <c r="Z84" s="286"/>
      <c r="AA84" s="286"/>
    </row>
    <row r="85">
      <c r="A85" s="276"/>
      <c r="B85" s="277" t="s">
        <v>1669</v>
      </c>
      <c r="C85" s="299"/>
      <c r="D85" s="279">
        <v>194.56</v>
      </c>
      <c r="E85" s="279">
        <v>0.0</v>
      </c>
      <c r="F85" s="292" t="s">
        <v>1668</v>
      </c>
      <c r="G85" s="271" t="str">
        <f>IFERROR(__xludf.DUMMYFUNCTION("""COMPUTED_VALUE"""),"PISO CARVALHO EUROPEU ALL BLACK 15/3 X 125 X 1200MM")</f>
        <v>PISO CARVALHO EUROPEU ALL BLACK 15/3 X 125 X 1200MM</v>
      </c>
      <c r="H85" s="283" t="s">
        <v>192</v>
      </c>
      <c r="I85" s="271" t="str">
        <f t="shared" si="2"/>
        <v/>
      </c>
      <c r="J85" s="284"/>
      <c r="K85" s="292" t="s">
        <v>1670</v>
      </c>
      <c r="L85" s="285" t="s">
        <v>193</v>
      </c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6"/>
      <c r="Z85" s="286"/>
      <c r="AA85" s="286"/>
    </row>
    <row r="86">
      <c r="A86" s="276"/>
      <c r="B86" s="277" t="s">
        <v>1671</v>
      </c>
      <c r="C86" s="290">
        <v>297.6</v>
      </c>
      <c r="D86" s="279">
        <v>194.56</v>
      </c>
      <c r="E86" s="280">
        <v>57901.06</v>
      </c>
      <c r="F86" s="292" t="s">
        <v>1670</v>
      </c>
      <c r="G86" s="271" t="str">
        <f>IFERROR(__xludf.DUMMYFUNCTION("""COMPUTED_VALUE"""),"PISO CARVALHO EUROPEU BLACK CHEVRON TG 15/3 X 125 X 775CM")</f>
        <v>PISO CARVALHO EUROPEU BLACK CHEVRON TG 15/3 X 125 X 775CM</v>
      </c>
      <c r="H86" s="283" t="s">
        <v>193</v>
      </c>
      <c r="I86" s="271" t="str">
        <f t="shared" si="2"/>
        <v/>
      </c>
      <c r="J86" s="284"/>
      <c r="K86" s="292" t="s">
        <v>1672</v>
      </c>
      <c r="L86" s="285" t="s">
        <v>194</v>
      </c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6"/>
      <c r="Z86" s="286"/>
      <c r="AA86" s="286"/>
    </row>
    <row r="87">
      <c r="A87" s="276"/>
      <c r="B87" s="277" t="s">
        <v>1673</v>
      </c>
      <c r="C87" s="290">
        <v>326.26</v>
      </c>
      <c r="D87" s="279">
        <v>229.82</v>
      </c>
      <c r="E87" s="280">
        <v>74980.15</v>
      </c>
      <c r="F87" s="292" t="s">
        <v>1672</v>
      </c>
      <c r="G87" s="271" t="str">
        <f>IFERROR(__xludf.DUMMYFUNCTION("""COMPUTED_VALUE"""),"PISO CARVALHO EUROPEU ALL BLACK 15/3 X 190 X 1900MM")</f>
        <v>PISO CARVALHO EUROPEU ALL BLACK 15/3 X 190 X 1900MM</v>
      </c>
      <c r="H87" s="283" t="s">
        <v>194</v>
      </c>
      <c r="I87" s="271" t="str">
        <f t="shared" si="2"/>
        <v/>
      </c>
      <c r="J87" s="284"/>
      <c r="K87" s="292" t="s">
        <v>1674</v>
      </c>
      <c r="L87" s="285" t="s">
        <v>195</v>
      </c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6"/>
      <c r="Z87" s="286"/>
      <c r="AA87" s="286"/>
    </row>
    <row r="88">
      <c r="A88" s="276"/>
      <c r="B88" s="277" t="s">
        <v>1675</v>
      </c>
      <c r="C88" s="290">
        <v>187.0</v>
      </c>
      <c r="D88" s="279">
        <v>270.56</v>
      </c>
      <c r="E88" s="280">
        <v>50594.72</v>
      </c>
      <c r="F88" s="292" t="s">
        <v>1674</v>
      </c>
      <c r="G88" s="271" t="str">
        <f>IFERROR(__xludf.DUMMYFUNCTION("""COMPUTED_VALUE"""),"PISO CARVALHO EUROPEU ALL BLACK 20/6 X 300 X 4000MM")</f>
        <v>PISO CARVALHO EUROPEU ALL BLACK 20/6 X 300 X 4000MM</v>
      </c>
      <c r="H88" s="283" t="s">
        <v>195</v>
      </c>
      <c r="I88" s="271" t="str">
        <f t="shared" si="2"/>
        <v/>
      </c>
      <c r="J88" s="284"/>
      <c r="K88" s="292" t="s">
        <v>1676</v>
      </c>
      <c r="L88" s="285" t="s">
        <v>196</v>
      </c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6"/>
      <c r="Z88" s="286"/>
      <c r="AA88" s="286"/>
    </row>
    <row r="89">
      <c r="A89" s="276"/>
      <c r="B89" s="277" t="s">
        <v>1677</v>
      </c>
      <c r="C89" s="299"/>
      <c r="D89" s="279">
        <v>304.0</v>
      </c>
      <c r="E89" s="279">
        <v>0.0</v>
      </c>
      <c r="F89" s="292" t="s">
        <v>1676</v>
      </c>
      <c r="G89" s="271" t="str">
        <f>IFERROR(__xludf.DUMMYFUNCTION("""COMPUTED_VALUE"""),"PISO CARVALHO EUROPEU ALL BLACK 20/6 X 400 X 5000MM")</f>
        <v>PISO CARVALHO EUROPEU ALL BLACK 20/6 X 400 X 5000MM</v>
      </c>
      <c r="H89" s="283" t="s">
        <v>196</v>
      </c>
      <c r="I89" s="271" t="str">
        <f t="shared" si="2"/>
        <v/>
      </c>
      <c r="J89" s="284"/>
      <c r="K89" s="292" t="s">
        <v>1678</v>
      </c>
      <c r="L89" s="285" t="s">
        <v>197</v>
      </c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6"/>
      <c r="Z89" s="286"/>
      <c r="AA89" s="286"/>
    </row>
    <row r="90">
      <c r="A90" s="276"/>
      <c r="B90" s="277" t="s">
        <v>1679</v>
      </c>
      <c r="C90" s="299"/>
      <c r="D90" s="279">
        <v>229.82</v>
      </c>
      <c r="E90" s="279">
        <v>0.0</v>
      </c>
      <c r="F90" s="292" t="s">
        <v>1678</v>
      </c>
      <c r="G90" s="271" t="str">
        <f>IFERROR(__xludf.DUMMYFUNCTION("""COMPUTED_VALUE"""),"PISO CARVALHO EUROPEU URBAN GREY CHEVRON 15/3 X 1900X 740MM")</f>
        <v>PISO CARVALHO EUROPEU URBAN GREY CHEVRON 15/3 X 1900X 740MM</v>
      </c>
      <c r="H90" s="283" t="s">
        <v>197</v>
      </c>
      <c r="I90" s="271" t="str">
        <f t="shared" si="2"/>
        <v/>
      </c>
      <c r="J90" s="284"/>
      <c r="K90" s="292" t="s">
        <v>1680</v>
      </c>
      <c r="L90" s="294" t="s">
        <v>198</v>
      </c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6"/>
      <c r="Z90" s="286"/>
      <c r="AA90" s="286"/>
    </row>
    <row r="91">
      <c r="A91" s="276"/>
      <c r="B91" s="277" t="s">
        <v>1681</v>
      </c>
      <c r="C91" s="300"/>
      <c r="D91" s="301">
        <v>194.56</v>
      </c>
      <c r="E91" s="301">
        <v>0.0</v>
      </c>
      <c r="F91" s="292" t="s">
        <v>1680</v>
      </c>
      <c r="G91" s="296" t="str">
        <f>IFERROR(__xludf.DUMMYFUNCTION("""COMPUTED_VALUE"""),"PISO CARVALHO EUROPEU URBAN GREY 15/3 X 125 X 1200MM")</f>
        <v>PISO CARVALHO EUROPEU URBAN GREY 15/3 X 125 X 1200MM</v>
      </c>
      <c r="H91" s="295" t="s">
        <v>198</v>
      </c>
      <c r="I91" s="296" t="str">
        <f t="shared" si="2"/>
        <v/>
      </c>
      <c r="J91" s="302"/>
      <c r="K91" s="292" t="s">
        <v>1682</v>
      </c>
      <c r="L91" s="285" t="s">
        <v>199</v>
      </c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75"/>
      <c r="Z91" s="275"/>
      <c r="AA91" s="275"/>
    </row>
    <row r="92">
      <c r="A92" s="276"/>
      <c r="B92" s="277" t="s">
        <v>1683</v>
      </c>
      <c r="C92" s="289"/>
      <c r="D92" s="279">
        <v>229.82</v>
      </c>
      <c r="E92" s="279">
        <v>0.0</v>
      </c>
      <c r="F92" s="292" t="s">
        <v>1682</v>
      </c>
      <c r="G92" s="271" t="str">
        <f>IFERROR(__xludf.DUMMYFUNCTION("""COMPUTED_VALUE"""),"PISO CARVALHO EUROPEU URBAN GREY 15/3 X 190 X 1900MM")</f>
        <v>PISO CARVALHO EUROPEU URBAN GREY 15/3 X 190 X 1900MM</v>
      </c>
      <c r="H92" s="283" t="s">
        <v>199</v>
      </c>
      <c r="I92" s="271" t="str">
        <f t="shared" si="2"/>
        <v/>
      </c>
      <c r="J92" s="288"/>
      <c r="K92" s="292" t="s">
        <v>1684</v>
      </c>
      <c r="L92" s="285" t="s">
        <v>200</v>
      </c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5"/>
      <c r="Z92" s="275"/>
      <c r="AA92" s="275"/>
    </row>
    <row r="93">
      <c r="A93" s="276"/>
      <c r="B93" s="277" t="s">
        <v>1685</v>
      </c>
      <c r="C93" s="289"/>
      <c r="D93" s="279">
        <v>270.56</v>
      </c>
      <c r="E93" s="279">
        <v>0.0</v>
      </c>
      <c r="F93" s="292" t="s">
        <v>1684</v>
      </c>
      <c r="G93" s="271" t="str">
        <f>IFERROR(__xludf.DUMMYFUNCTION("""COMPUTED_VALUE"""),"PISO CARVALHO EUROPEU URBAN GREY 20/6 X 300 X 4000MM")</f>
        <v>PISO CARVALHO EUROPEU URBAN GREY 20/6 X 300 X 4000MM</v>
      </c>
      <c r="H93" s="283" t="s">
        <v>200</v>
      </c>
      <c r="I93" s="271" t="str">
        <f t="shared" si="2"/>
        <v/>
      </c>
      <c r="J93" s="288"/>
      <c r="K93" s="292" t="s">
        <v>1686</v>
      </c>
      <c r="L93" s="285" t="s">
        <v>201</v>
      </c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5"/>
      <c r="Z93" s="275"/>
      <c r="AA93" s="275"/>
    </row>
    <row r="94">
      <c r="A94" s="276"/>
      <c r="B94" s="277" t="s">
        <v>1687</v>
      </c>
      <c r="C94" s="289"/>
      <c r="D94" s="279">
        <v>304.0</v>
      </c>
      <c r="E94" s="279">
        <v>0.0</v>
      </c>
      <c r="F94" s="292" t="s">
        <v>1686</v>
      </c>
      <c r="G94" s="271" t="str">
        <f>IFERROR(__xludf.DUMMYFUNCTION("""COMPUTED_VALUE"""),"PISO CARVALHO EUROPEU URBAN GREY 20/6 X 400 X 5000MM")</f>
        <v>PISO CARVALHO EUROPEU URBAN GREY 20/6 X 400 X 5000MM</v>
      </c>
      <c r="H94" s="283" t="s">
        <v>201</v>
      </c>
      <c r="I94" s="271" t="str">
        <f t="shared" si="2"/>
        <v/>
      </c>
      <c r="J94" s="288"/>
      <c r="K94" s="292" t="s">
        <v>1688</v>
      </c>
      <c r="L94" s="285" t="s">
        <v>202</v>
      </c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5"/>
      <c r="Z94" s="275"/>
      <c r="AA94" s="275"/>
    </row>
    <row r="95">
      <c r="A95" s="276"/>
      <c r="B95" s="277" t="s">
        <v>1689</v>
      </c>
      <c r="C95" s="289"/>
      <c r="D95" s="279">
        <v>229.82</v>
      </c>
      <c r="E95" s="279">
        <v>0.0</v>
      </c>
      <c r="F95" s="292" t="s">
        <v>1688</v>
      </c>
      <c r="G95" s="271" t="str">
        <f>IFERROR(__xludf.DUMMYFUNCTION("""COMPUTED_VALUE"""),"PISO CARVALHO EUROPEU CARAMEL CHEVRON 15/3 X 1900X 740MM")</f>
        <v>PISO CARVALHO EUROPEU CARAMEL CHEVRON 15/3 X 1900X 740MM</v>
      </c>
      <c r="H95" s="283" t="s">
        <v>202</v>
      </c>
      <c r="I95" s="271" t="str">
        <f t="shared" si="2"/>
        <v/>
      </c>
      <c r="J95" s="288"/>
      <c r="K95" s="292" t="s">
        <v>1690</v>
      </c>
      <c r="L95" s="285" t="s">
        <v>203</v>
      </c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5"/>
      <c r="Z95" s="275"/>
      <c r="AA95" s="275"/>
    </row>
    <row r="96">
      <c r="A96" s="276"/>
      <c r="B96" s="277" t="s">
        <v>1691</v>
      </c>
      <c r="C96" s="289"/>
      <c r="D96" s="279">
        <v>194.56</v>
      </c>
      <c r="E96" s="279">
        <v>0.0</v>
      </c>
      <c r="F96" s="292" t="s">
        <v>1690</v>
      </c>
      <c r="G96" s="271" t="str">
        <f>IFERROR(__xludf.DUMMYFUNCTION("""COMPUTED_VALUE"""),"PISO CARVALHO EUROPEU CARAMEL 15/3 X 125 X 1200MM")</f>
        <v>PISO CARVALHO EUROPEU CARAMEL 15/3 X 125 X 1200MM</v>
      </c>
      <c r="H96" s="283" t="s">
        <v>203</v>
      </c>
      <c r="I96" s="271" t="str">
        <f t="shared" si="2"/>
        <v/>
      </c>
      <c r="J96" s="288"/>
      <c r="K96" s="292" t="s">
        <v>1692</v>
      </c>
      <c r="L96" s="285" t="s">
        <v>204</v>
      </c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5"/>
      <c r="Z96" s="275"/>
      <c r="AA96" s="275"/>
    </row>
    <row r="97">
      <c r="A97" s="276"/>
      <c r="B97" s="277" t="s">
        <v>1693</v>
      </c>
      <c r="C97" s="290">
        <v>11.71</v>
      </c>
      <c r="D97" s="279">
        <v>229.82</v>
      </c>
      <c r="E97" s="280">
        <v>2691.65</v>
      </c>
      <c r="F97" s="292" t="s">
        <v>1692</v>
      </c>
      <c r="G97" s="271" t="str">
        <f>IFERROR(__xludf.DUMMYFUNCTION("""COMPUTED_VALUE"""),"PISO CARVALHO EUROPEU CARAMEL 15/3 X 190 X 1900MM")</f>
        <v>PISO CARVALHO EUROPEU CARAMEL 15/3 X 190 X 1900MM</v>
      </c>
      <c r="H97" s="283" t="s">
        <v>204</v>
      </c>
      <c r="I97" s="271" t="str">
        <f t="shared" si="2"/>
        <v/>
      </c>
      <c r="J97" s="288"/>
      <c r="K97" s="292" t="s">
        <v>1694</v>
      </c>
      <c r="L97" s="285" t="s">
        <v>205</v>
      </c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5"/>
      <c r="Z97" s="275"/>
      <c r="AA97" s="275"/>
    </row>
    <row r="98">
      <c r="A98" s="276"/>
      <c r="B98" s="277" t="s">
        <v>1695</v>
      </c>
      <c r="C98" s="289"/>
      <c r="D98" s="279">
        <v>270.56</v>
      </c>
      <c r="E98" s="279">
        <v>0.0</v>
      </c>
      <c r="F98" s="292" t="s">
        <v>1694</v>
      </c>
      <c r="G98" s="271" t="str">
        <f>IFERROR(__xludf.DUMMYFUNCTION("""COMPUTED_VALUE"""),"PISO CARVALHO EUROPEU CARAMEL 20/6 X 300 X 4000MM")</f>
        <v>PISO CARVALHO EUROPEU CARAMEL 20/6 X 300 X 4000MM</v>
      </c>
      <c r="H98" s="283" t="s">
        <v>205</v>
      </c>
      <c r="I98" s="271" t="str">
        <f t="shared" si="2"/>
        <v/>
      </c>
      <c r="J98" s="288"/>
      <c r="K98" s="292" t="s">
        <v>1696</v>
      </c>
      <c r="L98" s="285" t="s">
        <v>206</v>
      </c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5"/>
      <c r="Z98" s="275"/>
      <c r="AA98" s="275"/>
    </row>
    <row r="99">
      <c r="A99" s="276"/>
      <c r="B99" s="277" t="s">
        <v>1697</v>
      </c>
      <c r="C99" s="289"/>
      <c r="D99" s="279">
        <v>304.0</v>
      </c>
      <c r="E99" s="279">
        <v>0.0</v>
      </c>
      <c r="F99" s="292" t="s">
        <v>1696</v>
      </c>
      <c r="G99" s="271" t="str">
        <f>IFERROR(__xludf.DUMMYFUNCTION("""COMPUTED_VALUE"""),"PISO CARVALHO EUROPEU CARAMEL 20/6 X 400 X 5000MM")</f>
        <v>PISO CARVALHO EUROPEU CARAMEL 20/6 X 400 X 5000MM</v>
      </c>
      <c r="H99" s="283" t="s">
        <v>206</v>
      </c>
      <c r="I99" s="271" t="str">
        <f t="shared" si="2"/>
        <v/>
      </c>
      <c r="J99" s="288"/>
      <c r="K99" s="292" t="s">
        <v>1698</v>
      </c>
      <c r="L99" s="285" t="s">
        <v>207</v>
      </c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5"/>
      <c r="Z99" s="275"/>
      <c r="AA99" s="275"/>
    </row>
    <row r="100">
      <c r="A100" s="276"/>
      <c r="B100" s="277" t="s">
        <v>1699</v>
      </c>
      <c r="C100" s="290">
        <v>661.26</v>
      </c>
      <c r="D100" s="279">
        <v>229.82</v>
      </c>
      <c r="E100" s="280">
        <v>151969.85</v>
      </c>
      <c r="F100" s="292" t="s">
        <v>1698</v>
      </c>
      <c r="G100" s="271" t="str">
        <f>IFERROR(__xludf.DUMMYFUNCTION("""COMPUTED_VALUE"""),"PISO CARVALHO EUROPEU CHEMICAL CHEVRON TG 15/3*190*740MM")</f>
        <v>PISO CARVALHO EUROPEU CHEMICAL CHEVRON TG 15/3*190*740MM</v>
      </c>
      <c r="H100" s="283" t="s">
        <v>207</v>
      </c>
      <c r="I100" s="271" t="str">
        <f t="shared" si="2"/>
        <v/>
      </c>
      <c r="J100" s="288"/>
      <c r="K100" s="292" t="s">
        <v>1700</v>
      </c>
      <c r="L100" s="285" t="s">
        <v>208</v>
      </c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5"/>
      <c r="Z100" s="275"/>
      <c r="AA100" s="275"/>
    </row>
    <row r="101">
      <c r="A101" s="276"/>
      <c r="B101" s="277" t="s">
        <v>1701</v>
      </c>
      <c r="C101" s="290">
        <v>220.0</v>
      </c>
      <c r="D101" s="279">
        <v>229.82</v>
      </c>
      <c r="E101" s="280">
        <v>50560.4</v>
      </c>
      <c r="F101" s="292" t="s">
        <v>1700</v>
      </c>
      <c r="G101" s="271" t="str">
        <f>IFERROR(__xludf.DUMMYFUNCTION("""COMPUTED_VALUE"""),"PISO CARVALHO EUROPEU WHITE RUSTIC 15/4*189*1860MM")</f>
        <v>PISO CARVALHO EUROPEU WHITE RUSTIC 15/4*189*1860MM</v>
      </c>
      <c r="H101" s="283" t="s">
        <v>208</v>
      </c>
      <c r="I101" s="271" t="str">
        <f t="shared" si="2"/>
        <v/>
      </c>
      <c r="J101" s="284"/>
      <c r="K101" s="292" t="s">
        <v>1702</v>
      </c>
      <c r="L101" s="285" t="s">
        <v>209</v>
      </c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6"/>
      <c r="Z101" s="286"/>
      <c r="AA101" s="286"/>
    </row>
    <row r="102">
      <c r="A102" s="276"/>
      <c r="B102" s="277" t="s">
        <v>1703</v>
      </c>
      <c r="C102" s="290">
        <v>251.37</v>
      </c>
      <c r="D102" s="279">
        <v>194.56</v>
      </c>
      <c r="E102" s="280">
        <v>48906.55</v>
      </c>
      <c r="F102" s="292" t="s">
        <v>1702</v>
      </c>
      <c r="G102" s="271" t="str">
        <f>IFERROR(__xludf.DUMMYFUNCTION("""COMPUTED_VALUE"""),"PISO CARVALHO EUROPEU CUSTOMIZADO 14/3 X 12,7 X 186CM")</f>
        <v>PISO CARVALHO EUROPEU CUSTOMIZADO 14/3 X 12,7 X 186CM</v>
      </c>
      <c r="H102" s="283" t="s">
        <v>209</v>
      </c>
      <c r="I102" s="271" t="str">
        <f t="shared" si="2"/>
        <v/>
      </c>
      <c r="J102" s="288"/>
      <c r="K102" s="292" t="s">
        <v>1704</v>
      </c>
      <c r="L102" s="285" t="s">
        <v>210</v>
      </c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5"/>
      <c r="Z102" s="275"/>
      <c r="AA102" s="275"/>
    </row>
    <row r="103">
      <c r="A103" s="276"/>
      <c r="B103" s="277" t="s">
        <v>1705</v>
      </c>
      <c r="C103" s="290">
        <v>259.92</v>
      </c>
      <c r="D103" s="279">
        <v>229.82</v>
      </c>
      <c r="E103" s="280">
        <v>59734.81</v>
      </c>
      <c r="F103" s="292" t="s">
        <v>1704</v>
      </c>
      <c r="G103" s="271" t="str">
        <f>IFERROR(__xludf.DUMMYFUNCTION("""COMPUTED_VALUE"""),"PISO CARVALHO EUROPEU CUSTOMIZADO 2.0 X 19 X 190CM (C2)")</f>
        <v>PISO CARVALHO EUROPEU CUSTOMIZADO 2.0 X 19 X 190CM (C2)</v>
      </c>
      <c r="H103" s="283" t="s">
        <v>210</v>
      </c>
      <c r="I103" s="271" t="str">
        <f t="shared" si="2"/>
        <v/>
      </c>
      <c r="J103" s="288"/>
      <c r="K103" s="292" t="s">
        <v>1706</v>
      </c>
      <c r="L103" s="285" t="s">
        <v>211</v>
      </c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5"/>
      <c r="Z103" s="275"/>
      <c r="AA103" s="275"/>
    </row>
    <row r="104">
      <c r="A104" s="276"/>
      <c r="B104" s="277" t="s">
        <v>1707</v>
      </c>
      <c r="C104" s="290">
        <v>41.91</v>
      </c>
      <c r="D104" s="279">
        <v>150.75</v>
      </c>
      <c r="E104" s="280">
        <v>6318.6</v>
      </c>
      <c r="F104" s="292" t="s">
        <v>1706</v>
      </c>
      <c r="G104" s="271" t="str">
        <f>IFERROR(__xludf.DUMMYFUNCTION("""COMPUTED_VALUE"""),"PISO CARVALHO EUROPEU NATURAL CHEVRON TG 1.5/3 X 9X 51CM")</f>
        <v>PISO CARVALHO EUROPEU NATURAL CHEVRON TG 1.5/3 X 9X 51CM</v>
      </c>
      <c r="H104" s="283" t="s">
        <v>211</v>
      </c>
      <c r="I104" s="271" t="str">
        <f t="shared" si="2"/>
        <v/>
      </c>
      <c r="J104" s="288"/>
      <c r="K104" s="292" t="s">
        <v>1708</v>
      </c>
      <c r="L104" s="285" t="s">
        <v>211</v>
      </c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5"/>
      <c r="Z104" s="275"/>
      <c r="AA104" s="275"/>
    </row>
    <row r="105">
      <c r="A105" s="276"/>
      <c r="B105" s="277" t="s">
        <v>1707</v>
      </c>
      <c r="C105" s="290">
        <v>47.01</v>
      </c>
      <c r="D105" s="279">
        <v>194.56</v>
      </c>
      <c r="E105" s="280">
        <v>9145.88</v>
      </c>
      <c r="F105" s="292" t="s">
        <v>1708</v>
      </c>
      <c r="G105" s="271" t="str">
        <f>IFERROR(__xludf.DUMMYFUNCTION("""COMPUTED_VALUE"""),"PISO CARVALHO EUROPEU NATURAL CHEVRON TG 1.5/3 X 9X 51CM")</f>
        <v>PISO CARVALHO EUROPEU NATURAL CHEVRON TG 1.5/3 X 9X 51CM</v>
      </c>
      <c r="H105" s="283" t="s">
        <v>211</v>
      </c>
      <c r="I105" s="271" t="str">
        <f t="shared" si="2"/>
        <v/>
      </c>
      <c r="J105" s="284"/>
      <c r="K105" s="292" t="s">
        <v>1709</v>
      </c>
      <c r="L105" s="285" t="s">
        <v>213</v>
      </c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6"/>
      <c r="Z105" s="286"/>
      <c r="AA105" s="286"/>
    </row>
    <row r="106">
      <c r="A106" s="276"/>
      <c r="B106" s="277" t="s">
        <v>1710</v>
      </c>
      <c r="C106" s="290">
        <v>196.2</v>
      </c>
      <c r="D106" s="279">
        <v>229.82</v>
      </c>
      <c r="E106" s="280">
        <v>45090.68</v>
      </c>
      <c r="F106" s="292" t="s">
        <v>1709</v>
      </c>
      <c r="G106" s="271" t="str">
        <f>IFERROR(__xludf.DUMMYFUNCTION("""COMPUTED_VALUE"""),"PISO CARVALHO EUROPEU NUDE CHEVRON 60.. TG 15/3 X 190 X 90CM")</f>
        <v>PISO CARVALHO EUROPEU NUDE CHEVRON 60.. TG 15/3 X 190 X 90CM</v>
      </c>
      <c r="H106" s="283" t="s">
        <v>213</v>
      </c>
      <c r="I106" s="271" t="str">
        <f t="shared" si="2"/>
        <v/>
      </c>
      <c r="J106" s="288"/>
      <c r="K106" s="292" t="s">
        <v>1711</v>
      </c>
      <c r="L106" s="285" t="s">
        <v>214</v>
      </c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5"/>
      <c r="Z106" s="275"/>
      <c r="AA106" s="275"/>
    </row>
    <row r="107">
      <c r="A107" s="276"/>
      <c r="B107" s="277" t="s">
        <v>1712</v>
      </c>
      <c r="C107" s="290">
        <v>473.42</v>
      </c>
      <c r="D107" s="279">
        <v>194.56</v>
      </c>
      <c r="E107" s="280">
        <v>92108.6</v>
      </c>
      <c r="F107" s="292" t="s">
        <v>1711</v>
      </c>
      <c r="G107" s="271" t="str">
        <f>IFERROR(__xludf.DUMMYFUNCTION("""COMPUTED_VALUE"""),"PISO CARVALHO EUROPEU NUDE CHEVRON TG 1.5/3X 12.5X 63CM")</f>
        <v>PISO CARVALHO EUROPEU NUDE CHEVRON TG 1.5/3X 12.5X 63CM</v>
      </c>
      <c r="H107" s="283" t="s">
        <v>214</v>
      </c>
      <c r="I107" s="271" t="str">
        <f t="shared" si="2"/>
        <v/>
      </c>
      <c r="J107" s="288"/>
      <c r="K107" s="292" t="s">
        <v>1713</v>
      </c>
      <c r="L107" s="285" t="s">
        <v>215</v>
      </c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5"/>
      <c r="Z107" s="275"/>
      <c r="AA107" s="275"/>
    </row>
    <row r="108">
      <c r="A108" s="276"/>
      <c r="B108" s="277" t="s">
        <v>1714</v>
      </c>
      <c r="C108" s="290">
        <v>523.64</v>
      </c>
      <c r="D108" s="279">
        <v>255.36</v>
      </c>
      <c r="E108" s="280">
        <v>133715.43</v>
      </c>
      <c r="F108" s="292" t="s">
        <v>1713</v>
      </c>
      <c r="G108" s="271" t="str">
        <f>IFERROR(__xludf.DUMMYFUNCTION("""COMPUTED_VALUE"""),"PISO WALNUT 15/3 X 125 X 910MM")</f>
        <v>PISO WALNUT 15/3 X 125 X 910MM</v>
      </c>
      <c r="H108" s="283" t="s">
        <v>215</v>
      </c>
      <c r="I108" s="271" t="str">
        <f t="shared" si="2"/>
        <v/>
      </c>
      <c r="J108" s="288"/>
      <c r="K108" s="292" t="s">
        <v>1715</v>
      </c>
      <c r="L108" s="285" t="s">
        <v>216</v>
      </c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5"/>
      <c r="Z108" s="275"/>
      <c r="AA108" s="275"/>
    </row>
    <row r="109">
      <c r="A109" s="276"/>
      <c r="B109" s="277" t="s">
        <v>1716</v>
      </c>
      <c r="C109" s="278">
        <v>1694.53</v>
      </c>
      <c r="D109" s="279">
        <v>255.36</v>
      </c>
      <c r="E109" s="280">
        <v>432714.16</v>
      </c>
      <c r="F109" s="292" t="s">
        <v>1715</v>
      </c>
      <c r="G109" s="271" t="str">
        <f>IFERROR(__xludf.DUMMYFUNCTION("""COMPUTED_VALUE"""),"PISO WALNUT 15/3 X 190 X 1900MM")</f>
        <v>PISO WALNUT 15/3 X 190 X 1900MM</v>
      </c>
      <c r="H109" s="283" t="s">
        <v>216</v>
      </c>
      <c r="I109" s="271" t="str">
        <f t="shared" si="2"/>
        <v/>
      </c>
      <c r="J109" s="288"/>
      <c r="K109" s="292" t="s">
        <v>1717</v>
      </c>
      <c r="L109" s="285" t="s">
        <v>217</v>
      </c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5"/>
      <c r="Z109" s="275"/>
      <c r="AA109" s="275"/>
    </row>
    <row r="110">
      <c r="A110" s="276"/>
      <c r="B110" s="277" t="s">
        <v>1718</v>
      </c>
      <c r="C110" s="290">
        <v>137.8</v>
      </c>
      <c r="D110" s="279">
        <v>304.0</v>
      </c>
      <c r="E110" s="280">
        <v>41891.2</v>
      </c>
      <c r="F110" s="292" t="s">
        <v>1717</v>
      </c>
      <c r="G110" s="271" t="str">
        <f>IFERROR(__xludf.DUMMYFUNCTION("""COMPUTED_VALUE"""),"PISO WALNUT 20/2 X 300 X 4000MM")</f>
        <v>PISO WALNUT 20/2 X 300 X 4000MM</v>
      </c>
      <c r="H110" s="283" t="s">
        <v>217</v>
      </c>
      <c r="I110" s="271" t="str">
        <f t="shared" si="2"/>
        <v/>
      </c>
      <c r="J110" s="288"/>
      <c r="K110" s="292" t="s">
        <v>1719</v>
      </c>
      <c r="L110" s="285" t="s">
        <v>218</v>
      </c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5"/>
      <c r="Z110" s="275"/>
      <c r="AA110" s="275"/>
    </row>
    <row r="111">
      <c r="A111" s="276"/>
      <c r="B111" s="303" t="s">
        <v>1720</v>
      </c>
      <c r="C111" s="304">
        <v>956.0</v>
      </c>
      <c r="D111" s="279">
        <v>139.84</v>
      </c>
      <c r="E111" s="280">
        <v>133687.04</v>
      </c>
      <c r="F111" s="292" t="s">
        <v>1719</v>
      </c>
      <c r="G111" s="271" t="str">
        <f>IFERROR(__xludf.DUMMYFUNCTION("""COMPUTED_VALUE"""),"PISO BAMBU ALTA DENS. CUST PREMIUM TG 1.5/4 X19X185CM")</f>
        <v>PISO BAMBU ALTA DENS. CUST PREMIUM TG 1.5/4 X19X185CM</v>
      </c>
      <c r="H111" s="283" t="s">
        <v>218</v>
      </c>
      <c r="I111" s="271" t="str">
        <f t="shared" si="2"/>
        <v/>
      </c>
      <c r="J111" s="288"/>
      <c r="K111" s="292" t="s">
        <v>1721</v>
      </c>
      <c r="L111" s="285" t="s">
        <v>219</v>
      </c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5"/>
      <c r="Z111" s="275"/>
      <c r="AA111" s="275"/>
    </row>
    <row r="112">
      <c r="A112" s="276"/>
      <c r="B112" s="303" t="s">
        <v>1722</v>
      </c>
      <c r="C112" s="304">
        <v>310.19</v>
      </c>
      <c r="D112" s="279">
        <v>139.84</v>
      </c>
      <c r="E112" s="280">
        <v>43376.97</v>
      </c>
      <c r="F112" s="292" t="s">
        <v>1721</v>
      </c>
      <c r="G112" s="271" t="str">
        <f>IFERROR(__xludf.DUMMYFUNCTION("""COMPUTED_VALUE"""),"PISO BAMBU CARAMEL ALTA DENSIDADE TG 1.5/4 X19X186CM")</f>
        <v>PISO BAMBU CARAMEL ALTA DENSIDADE TG 1.5/4 X19X186CM</v>
      </c>
      <c r="H112" s="283" t="s">
        <v>219</v>
      </c>
      <c r="I112" s="271" t="str">
        <f t="shared" si="2"/>
        <v/>
      </c>
      <c r="J112" s="288"/>
      <c r="K112" s="292" t="s">
        <v>1723</v>
      </c>
      <c r="L112" s="285" t="s">
        <v>220</v>
      </c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5"/>
      <c r="Z112" s="275"/>
      <c r="AA112" s="275"/>
    </row>
    <row r="113">
      <c r="A113" s="276"/>
      <c r="B113" s="277" t="s">
        <v>1724</v>
      </c>
      <c r="C113" s="289"/>
      <c r="D113" s="279">
        <v>284.0</v>
      </c>
      <c r="E113" s="279">
        <v>0.0</v>
      </c>
      <c r="F113" s="292" t="s">
        <v>1723</v>
      </c>
      <c r="G113" s="271" t="str">
        <f>IFERROR(__xludf.DUMMYFUNCTION("""COMPUTED_VALUE"""),"PISO RIPADO CUMARU PREMIUM TG 1,8 X 3,5+0,5CM PROF. BIT 0")</f>
        <v>PISO RIPADO CUMARU PREMIUM TG 1,8 X 3,5+0,5CM PROF. BIT 0</v>
      </c>
      <c r="H113" s="283" t="s">
        <v>220</v>
      </c>
      <c r="I113" s="271" t="str">
        <f t="shared" si="2"/>
        <v/>
      </c>
      <c r="J113" s="288"/>
      <c r="K113" s="305" t="s">
        <v>1725</v>
      </c>
      <c r="L113" s="285" t="s">
        <v>221</v>
      </c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5"/>
      <c r="Z113" s="275"/>
      <c r="AA113" s="275"/>
    </row>
    <row r="114">
      <c r="A114" s="273"/>
      <c r="B114" s="306" t="s">
        <v>1726</v>
      </c>
      <c r="C114" s="289"/>
      <c r="D114" s="279">
        <v>242.0</v>
      </c>
      <c r="E114" s="279">
        <v>0.0</v>
      </c>
      <c r="F114" s="305" t="s">
        <v>1725</v>
      </c>
      <c r="G114" s="271" t="str">
        <f>IFERROR(__xludf.DUMMYFUNCTION("""COMPUTED_VALUE"""),"PISO RIPADO CATUABA PREMIUM TG 1,8 X 3,5+0,5CM PROF. BIT 0")</f>
        <v>PISO RIPADO CATUABA PREMIUM TG 1,8 X 3,5+0,5CM PROF. BIT 0</v>
      </c>
      <c r="H114" s="283" t="s">
        <v>221</v>
      </c>
      <c r="I114" s="271" t="str">
        <f t="shared" si="2"/>
        <v/>
      </c>
      <c r="J114" s="288"/>
      <c r="K114" s="305" t="s">
        <v>1727</v>
      </c>
      <c r="L114" s="285" t="s">
        <v>222</v>
      </c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5"/>
      <c r="Z114" s="275"/>
      <c r="AA114" s="275"/>
    </row>
    <row r="115">
      <c r="A115" s="273"/>
      <c r="B115" s="306" t="s">
        <v>1728</v>
      </c>
      <c r="C115" s="289"/>
      <c r="D115" s="279">
        <v>242.0</v>
      </c>
      <c r="E115" s="279">
        <v>0.0</v>
      </c>
      <c r="F115" s="305" t="s">
        <v>1727</v>
      </c>
      <c r="G115" s="271" t="str">
        <f>IFERROR(__xludf.DUMMYFUNCTION("""COMPUTED_VALUE"""),"PISO RIPADO CABREUVA BRANCA PREMIUM TG 1,8 X 3,5+0,5CM PROF. BIT 0")</f>
        <v>PISO RIPADO CABREUVA BRANCA PREMIUM TG 1,8 X 3,5+0,5CM PROF. BIT 0</v>
      </c>
      <c r="H115" s="283" t="s">
        <v>222</v>
      </c>
      <c r="I115" s="271" t="str">
        <f t="shared" si="2"/>
        <v/>
      </c>
      <c r="J115" s="288"/>
      <c r="K115" s="305" t="s">
        <v>1729</v>
      </c>
      <c r="L115" s="285" t="s">
        <v>223</v>
      </c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5"/>
      <c r="Z115" s="275"/>
      <c r="AA115" s="275"/>
    </row>
    <row r="116">
      <c r="A116" s="273"/>
      <c r="B116" s="306" t="s">
        <v>1730</v>
      </c>
      <c r="C116" s="299"/>
      <c r="D116" s="279">
        <v>242.0</v>
      </c>
      <c r="E116" s="279">
        <v>0.0</v>
      </c>
      <c r="F116" s="305" t="s">
        <v>1729</v>
      </c>
      <c r="G116" s="271" t="str">
        <f>IFERROR(__xludf.DUMMYFUNCTION("""COMPUTED_VALUE"""),"PISO RIPADO CABREUVA DOURADA PREMIUM TG 1,8 X 3,5+0,5CM PROF. BIT 0")</f>
        <v>PISO RIPADO CABREUVA DOURADA PREMIUM TG 1,8 X 3,5+0,5CM PROF. BIT 0</v>
      </c>
      <c r="H116" s="283" t="s">
        <v>223</v>
      </c>
      <c r="I116" s="271" t="str">
        <f t="shared" si="2"/>
        <v/>
      </c>
      <c r="J116" s="284"/>
      <c r="K116" s="305" t="s">
        <v>1731</v>
      </c>
      <c r="L116" s="285" t="s">
        <v>224</v>
      </c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6"/>
      <c r="Z116" s="286"/>
      <c r="AA116" s="286"/>
    </row>
    <row r="117" ht="18.0" customHeight="1">
      <c r="A117" s="273"/>
      <c r="B117" s="306" t="s">
        <v>1732</v>
      </c>
      <c r="C117" s="289"/>
      <c r="D117" s="279">
        <v>242.0</v>
      </c>
      <c r="E117" s="279">
        <v>0.0</v>
      </c>
      <c r="F117" s="305" t="s">
        <v>1731</v>
      </c>
      <c r="G117" s="271" t="str">
        <f>IFERROR(__xludf.DUMMYFUNCTION("""COMPUTED_VALUE"""),"PISO RIPADO TAUARI PREMIUM TG 1,8 X 3,5+0,5CM PROF. BIT 0")</f>
        <v>PISO RIPADO TAUARI PREMIUM TG 1,8 X 3,5+0,5CM PROF. BIT 0</v>
      </c>
      <c r="H117" s="283" t="s">
        <v>224</v>
      </c>
      <c r="I117" s="271" t="str">
        <f t="shared" si="2"/>
        <v/>
      </c>
      <c r="J117" s="288"/>
      <c r="K117" s="305" t="s">
        <v>1733</v>
      </c>
      <c r="L117" s="285" t="s">
        <v>225</v>
      </c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5"/>
      <c r="Z117" s="275"/>
      <c r="AA117" s="275"/>
    </row>
    <row r="118" ht="18.0" customHeight="1">
      <c r="A118" s="273"/>
      <c r="B118" s="306" t="s">
        <v>1734</v>
      </c>
      <c r="C118" s="289"/>
      <c r="D118" s="279">
        <v>284.0</v>
      </c>
      <c r="E118" s="279">
        <v>0.0</v>
      </c>
      <c r="F118" s="305" t="s">
        <v>1733</v>
      </c>
      <c r="G118" s="271" t="str">
        <f>IFERROR(__xludf.DUMMYFUNCTION("""COMPUTED_VALUE"""),"PISO RIPADO PEROBA PREMIUM TG 1,8 X 3,5+0,5CM PROF. BIT 0")</f>
        <v>PISO RIPADO PEROBA PREMIUM TG 1,8 X 3,5+0,5CM PROF. BIT 0</v>
      </c>
      <c r="H118" s="283" t="s">
        <v>225</v>
      </c>
      <c r="I118" s="271" t="str">
        <f t="shared" si="2"/>
        <v/>
      </c>
      <c r="J118" s="288"/>
      <c r="K118" s="305" t="s">
        <v>1735</v>
      </c>
      <c r="L118" s="285" t="s">
        <v>226</v>
      </c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5"/>
      <c r="Z118" s="275"/>
      <c r="AA118" s="275"/>
    </row>
    <row r="119" ht="18.0" customHeight="1">
      <c r="A119" s="273"/>
      <c r="B119" s="306" t="s">
        <v>1736</v>
      </c>
      <c r="C119" s="289"/>
      <c r="D119" s="279">
        <v>242.0</v>
      </c>
      <c r="E119" s="279">
        <v>0.0</v>
      </c>
      <c r="F119" s="305" t="s">
        <v>1735</v>
      </c>
      <c r="G119" s="271" t="str">
        <f>IFERROR(__xludf.DUMMYFUNCTION("""COMPUTED_VALUE"""),"PISO RIPADO LORO PARDO PREMIUM TG 1,8 X 3,5+0,5CM PROF. BIT 0")</f>
        <v>PISO RIPADO LORO PARDO PREMIUM TG 1,8 X 3,5+0,5CM PROF. BIT 0</v>
      </c>
      <c r="H119" s="283" t="s">
        <v>226</v>
      </c>
      <c r="I119" s="271" t="str">
        <f t="shared" si="2"/>
        <v/>
      </c>
      <c r="J119" s="288"/>
      <c r="K119" s="305" t="s">
        <v>1737</v>
      </c>
      <c r="L119" s="285" t="s">
        <v>227</v>
      </c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5"/>
      <c r="Z119" s="275"/>
      <c r="AA119" s="275"/>
    </row>
    <row r="120" ht="18.0" customHeight="1">
      <c r="A120" s="273"/>
      <c r="B120" s="306" t="s">
        <v>1738</v>
      </c>
      <c r="C120" s="290">
        <v>38.0</v>
      </c>
      <c r="D120" s="279">
        <v>199.0</v>
      </c>
      <c r="E120" s="280">
        <v>7562.0</v>
      </c>
      <c r="F120" s="305" t="s">
        <v>1737</v>
      </c>
      <c r="G120" s="271" t="str">
        <f>IFERROR(__xludf.DUMMYFUNCTION("""COMPUTED_VALUE"""),"PISO CUMARU MULTI PREMIUM 19 X 190 X 600 A 2200MM")</f>
        <v>PISO CUMARU MULTI PREMIUM 19 X 190 X 600 A 2200MM</v>
      </c>
      <c r="H120" s="283" t="s">
        <v>227</v>
      </c>
      <c r="I120" s="271" t="str">
        <f t="shared" si="2"/>
        <v/>
      </c>
      <c r="J120" s="288"/>
      <c r="K120" s="305" t="s">
        <v>1739</v>
      </c>
      <c r="L120" s="285" t="s">
        <v>228</v>
      </c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5"/>
      <c r="Z120" s="275"/>
      <c r="AA120" s="275"/>
    </row>
    <row r="121" ht="18.0" customHeight="1">
      <c r="A121" s="273"/>
      <c r="B121" s="306" t="s">
        <v>1740</v>
      </c>
      <c r="C121" s="289"/>
      <c r="D121" s="279">
        <v>195.0</v>
      </c>
      <c r="E121" s="279">
        <v>0.0</v>
      </c>
      <c r="F121" s="305" t="s">
        <v>1739</v>
      </c>
      <c r="G121" s="271" t="str">
        <f>IFERROR(__xludf.DUMMYFUNCTION("""COMPUTED_VALUE"""),"PISO CATUABA MULTI PREMIUM 19 X 190 X 600 A 2200MM")</f>
        <v>PISO CATUABA MULTI PREMIUM 19 X 190 X 600 A 2200MM</v>
      </c>
      <c r="H121" s="283" t="s">
        <v>228</v>
      </c>
      <c r="I121" s="271" t="str">
        <f t="shared" si="2"/>
        <v/>
      </c>
      <c r="J121" s="288"/>
      <c r="K121" s="305" t="s">
        <v>1741</v>
      </c>
      <c r="L121" s="285" t="s">
        <v>229</v>
      </c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5"/>
      <c r="Z121" s="275"/>
      <c r="AA121" s="275"/>
    </row>
    <row r="122" ht="18.0" customHeight="1">
      <c r="A122" s="273"/>
      <c r="B122" s="306" t="s">
        <v>1742</v>
      </c>
      <c r="C122" s="289"/>
      <c r="D122" s="279">
        <v>195.0</v>
      </c>
      <c r="E122" s="279">
        <v>0.0</v>
      </c>
      <c r="F122" s="305" t="s">
        <v>1741</v>
      </c>
      <c r="G122" s="271" t="str">
        <f>IFERROR(__xludf.DUMMYFUNCTION("""COMPUTED_VALUE"""),"PISO CABREUVA BRACA MULTI PREMIUM 19 X 190 X 600 A 2200MM")</f>
        <v>PISO CABREUVA BRACA MULTI PREMIUM 19 X 190 X 600 A 2200MM</v>
      </c>
      <c r="H122" s="283" t="s">
        <v>229</v>
      </c>
      <c r="I122" s="271" t="str">
        <f t="shared" si="2"/>
        <v/>
      </c>
      <c r="J122" s="288"/>
      <c r="K122" s="305" t="s">
        <v>1743</v>
      </c>
      <c r="L122" s="285" t="s">
        <v>230</v>
      </c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5"/>
      <c r="Z122" s="275"/>
      <c r="AA122" s="275"/>
    </row>
    <row r="123" ht="18.0" customHeight="1">
      <c r="A123" s="273"/>
      <c r="B123" s="306" t="s">
        <v>1744</v>
      </c>
      <c r="C123" s="289"/>
      <c r="D123" s="279">
        <v>195.0</v>
      </c>
      <c r="E123" s="279">
        <v>0.0</v>
      </c>
      <c r="F123" s="305" t="s">
        <v>1743</v>
      </c>
      <c r="G123" s="271" t="str">
        <f>IFERROR(__xludf.DUMMYFUNCTION("""COMPUTED_VALUE"""),"PISO CABREUVA DOURADA MULTI PREMIUM 19 X 190 X 600 A 2200MM")</f>
        <v>PISO CABREUVA DOURADA MULTI PREMIUM 19 X 190 X 600 A 2200MM</v>
      </c>
      <c r="H123" s="283" t="s">
        <v>230</v>
      </c>
      <c r="I123" s="271" t="str">
        <f t="shared" si="2"/>
        <v/>
      </c>
      <c r="J123" s="288"/>
      <c r="K123" s="305" t="s">
        <v>1745</v>
      </c>
      <c r="L123" s="285" t="s">
        <v>231</v>
      </c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5"/>
      <c r="Z123" s="275"/>
      <c r="AA123" s="275"/>
    </row>
    <row r="124" ht="18.0" customHeight="1">
      <c r="A124" s="273"/>
      <c r="B124" s="306" t="s">
        <v>1746</v>
      </c>
      <c r="C124" s="279">
        <v>512.5</v>
      </c>
      <c r="D124" s="279">
        <v>190.0</v>
      </c>
      <c r="E124" s="280">
        <v>97375.0</v>
      </c>
      <c r="F124" s="305" t="s">
        <v>1745</v>
      </c>
      <c r="G124" s="271" t="str">
        <f>IFERROR(__xludf.DUMMYFUNCTION("""COMPUTED_VALUE"""),"PISO TAUARI MULTI PREMIUM 19 X 190 X 600 A 2200MM")</f>
        <v>PISO TAUARI MULTI PREMIUM 19 X 190 X 600 A 2200MM</v>
      </c>
      <c r="H124" s="283" t="s">
        <v>231</v>
      </c>
      <c r="I124" s="271" t="str">
        <f t="shared" si="2"/>
        <v/>
      </c>
      <c r="J124" s="288"/>
      <c r="K124" s="305" t="s">
        <v>1747</v>
      </c>
      <c r="L124" s="285" t="s">
        <v>232</v>
      </c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5"/>
      <c r="Z124" s="275"/>
      <c r="AA124" s="275"/>
    </row>
    <row r="125">
      <c r="A125" s="273"/>
      <c r="B125" s="306" t="s">
        <v>1748</v>
      </c>
      <c r="C125" s="279">
        <v>373.0</v>
      </c>
      <c r="D125" s="279">
        <v>195.0</v>
      </c>
      <c r="E125" s="280">
        <v>72735.0</v>
      </c>
      <c r="F125" s="305" t="s">
        <v>1747</v>
      </c>
      <c r="G125" s="271" t="str">
        <f>IFERROR(__xludf.DUMMYFUNCTION("""COMPUTED_VALUE"""),"PISO PEROBA MULTI PREMIUM 19 X 190 X 600 A 2200MM")</f>
        <v>PISO PEROBA MULTI PREMIUM 19 X 190 X 600 A 2200MM</v>
      </c>
      <c r="H125" s="283" t="s">
        <v>232</v>
      </c>
      <c r="I125" s="271" t="str">
        <f t="shared" si="2"/>
        <v/>
      </c>
      <c r="J125" s="288"/>
      <c r="K125" s="305" t="s">
        <v>1749</v>
      </c>
      <c r="L125" s="285" t="s">
        <v>233</v>
      </c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5"/>
      <c r="Z125" s="275"/>
      <c r="AA125" s="275"/>
    </row>
    <row r="126">
      <c r="A126" s="273"/>
      <c r="B126" s="306" t="s">
        <v>1750</v>
      </c>
      <c r="C126" s="279">
        <v>120.0</v>
      </c>
      <c r="D126" s="279">
        <v>195.0</v>
      </c>
      <c r="E126" s="280">
        <v>23400.0</v>
      </c>
      <c r="F126" s="305" t="s">
        <v>1749</v>
      </c>
      <c r="G126" s="271" t="str">
        <f>IFERROR(__xludf.DUMMYFUNCTION("""COMPUTED_VALUE"""),"PISO LORO PARDO MULTI PREMIUM 19 X 190 X 600 A 2200MM")</f>
        <v>PISO LORO PARDO MULTI PREMIUM 19 X 190 X 600 A 2200MM</v>
      </c>
      <c r="H126" s="283" t="s">
        <v>233</v>
      </c>
      <c r="I126" s="271" t="str">
        <f t="shared" si="2"/>
        <v/>
      </c>
      <c r="J126" s="288"/>
      <c r="K126" s="307" t="s">
        <v>1751</v>
      </c>
      <c r="L126" s="273" t="s">
        <v>1752</v>
      </c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5"/>
      <c r="Z126" s="275"/>
      <c r="AA126" s="275"/>
    </row>
    <row r="127" ht="18.0" customHeight="1">
      <c r="A127" s="273"/>
      <c r="B127" s="306" t="s">
        <v>1753</v>
      </c>
      <c r="C127" s="289"/>
      <c r="D127" s="279">
        <v>270.0</v>
      </c>
      <c r="E127" s="279">
        <v>0.0</v>
      </c>
      <c r="F127" s="305" t="s">
        <v>1751</v>
      </c>
      <c r="G127" s="271" t="str">
        <f>IFERROR(__xludf.DUMMYFUNCTION("""COMPUTED_VALUE"""),"PISO MUXARABI CUMARU PREMIUM")</f>
        <v>PISO MUXARABI CUMARU PREMIUM</v>
      </c>
      <c r="I127" s="271" t="str">
        <f t="shared" si="2"/>
        <v/>
      </c>
      <c r="J127" s="288"/>
      <c r="K127" s="307" t="s">
        <v>1754</v>
      </c>
      <c r="L127" s="273" t="s">
        <v>1752</v>
      </c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5"/>
      <c r="Z127" s="275"/>
      <c r="AA127" s="275"/>
    </row>
    <row r="128" ht="18.0" customHeight="1">
      <c r="A128" s="273"/>
      <c r="B128" s="306" t="s">
        <v>1755</v>
      </c>
      <c r="C128" s="289"/>
      <c r="D128" s="279">
        <v>250.0</v>
      </c>
      <c r="E128" s="279">
        <v>0.0</v>
      </c>
      <c r="F128" s="307" t="s">
        <v>1754</v>
      </c>
      <c r="G128" s="308" t="str">
        <f>IFERROR(__xludf.DUMMYFUNCTION("""COMPUTED_VALUE"""),"PISO MUXARABI CATUABA PREMIUM")</f>
        <v>PISO MUXARABI CATUABA PREMIUM</v>
      </c>
      <c r="I128" s="271" t="str">
        <f t="shared" si="2"/>
        <v/>
      </c>
      <c r="J128" s="288"/>
      <c r="K128" s="307" t="s">
        <v>1756</v>
      </c>
      <c r="L128" s="273" t="s">
        <v>1752</v>
      </c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5"/>
      <c r="Z128" s="275"/>
      <c r="AA128" s="275"/>
    </row>
    <row r="129" ht="18.0" customHeight="1">
      <c r="A129" s="273"/>
      <c r="B129" s="306" t="s">
        <v>1757</v>
      </c>
      <c r="C129" s="289"/>
      <c r="D129" s="279">
        <v>250.0</v>
      </c>
      <c r="E129" s="279">
        <v>0.0</v>
      </c>
      <c r="F129" s="307" t="s">
        <v>1756</v>
      </c>
      <c r="G129" s="308" t="str">
        <f>IFERROR(__xludf.DUMMYFUNCTION("""COMPUTED_VALUE"""),"PISO MUXARABI CABREUVA BRANCA PREMIUM")</f>
        <v>PISO MUXARABI CABREUVA BRANCA PREMIUM</v>
      </c>
      <c r="I129" s="271" t="str">
        <f t="shared" si="2"/>
        <v/>
      </c>
      <c r="J129" s="288"/>
      <c r="K129" s="307" t="s">
        <v>1758</v>
      </c>
      <c r="L129" s="273" t="s">
        <v>1752</v>
      </c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5"/>
      <c r="Z129" s="275"/>
      <c r="AA129" s="275"/>
    </row>
    <row r="130" ht="18.0" customHeight="1">
      <c r="A130" s="273"/>
      <c r="B130" s="306" t="s">
        <v>1759</v>
      </c>
      <c r="C130" s="289"/>
      <c r="D130" s="279">
        <v>250.0</v>
      </c>
      <c r="E130" s="279">
        <v>0.0</v>
      </c>
      <c r="F130" s="307" t="s">
        <v>1758</v>
      </c>
      <c r="G130" s="308" t="str">
        <f>IFERROR(__xludf.DUMMYFUNCTION("""COMPUTED_VALUE"""),"PISO MUXARABI CABREUVA DOURADA PREMIUM")</f>
        <v>PISO MUXARABI CABREUVA DOURADA PREMIUM</v>
      </c>
      <c r="I130" s="271" t="str">
        <f t="shared" si="2"/>
        <v/>
      </c>
      <c r="J130" s="288"/>
      <c r="K130" s="307" t="s">
        <v>1760</v>
      </c>
      <c r="L130" s="273" t="s">
        <v>1752</v>
      </c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5"/>
      <c r="Z130" s="275"/>
      <c r="AA130" s="275"/>
    </row>
    <row r="131" ht="18.0" customHeight="1">
      <c r="A131" s="273"/>
      <c r="B131" s="306" t="s">
        <v>1761</v>
      </c>
      <c r="C131" s="279">
        <v>25.0</v>
      </c>
      <c r="D131" s="279">
        <v>250.0</v>
      </c>
      <c r="E131" s="280">
        <v>6250.0</v>
      </c>
      <c r="F131" s="307" t="s">
        <v>1760</v>
      </c>
      <c r="G131" s="308" t="str">
        <f>IFERROR(__xludf.DUMMYFUNCTION("""COMPUTED_VALUE"""),"PISO MUXARABI TAUARI PREMIUM")</f>
        <v>PISO MUXARABI TAUARI PREMIUM</v>
      </c>
      <c r="I131" s="271" t="str">
        <f t="shared" si="2"/>
        <v/>
      </c>
      <c r="J131" s="288"/>
      <c r="K131" s="307" t="s">
        <v>1762</v>
      </c>
      <c r="L131" s="273" t="s">
        <v>1752</v>
      </c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5"/>
      <c r="Z131" s="275"/>
      <c r="AA131" s="275"/>
    </row>
    <row r="132" ht="18.0" customHeight="1">
      <c r="A132" s="273"/>
      <c r="B132" s="306" t="s">
        <v>1763</v>
      </c>
      <c r="C132" s="289"/>
      <c r="D132" s="279">
        <v>270.0</v>
      </c>
      <c r="E132" s="279">
        <v>0.0</v>
      </c>
      <c r="F132" s="307" t="s">
        <v>1762</v>
      </c>
      <c r="G132" s="308" t="str">
        <f>IFERROR(__xludf.DUMMYFUNCTION("""COMPUTED_VALUE"""),"PISO MUXARABI PEROBA PREMIUM")</f>
        <v>PISO MUXARABI PEROBA PREMIUM</v>
      </c>
      <c r="I132" s="271" t="str">
        <f t="shared" si="2"/>
        <v/>
      </c>
      <c r="J132" s="288"/>
      <c r="K132" s="307" t="s">
        <v>1764</v>
      </c>
      <c r="L132" s="273" t="s">
        <v>1752</v>
      </c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5"/>
      <c r="Z132" s="275"/>
      <c r="AA132" s="275"/>
    </row>
    <row r="133" ht="18.0" customHeight="1">
      <c r="A133" s="273"/>
      <c r="B133" s="306" t="s">
        <v>1765</v>
      </c>
      <c r="C133" s="289"/>
      <c r="D133" s="279">
        <v>250.0</v>
      </c>
      <c r="E133" s="279">
        <v>0.0</v>
      </c>
      <c r="F133" s="307" t="s">
        <v>1764</v>
      </c>
      <c r="G133" s="308" t="str">
        <f>IFERROR(__xludf.DUMMYFUNCTION("""COMPUTED_VALUE"""),"PISO MUXARABI LORO PARDO PREMIUM")</f>
        <v>PISO MUXARABI LORO PARDO PREMIUM</v>
      </c>
      <c r="I133" s="271" t="str">
        <f t="shared" si="2"/>
        <v/>
      </c>
      <c r="J133" s="288"/>
      <c r="K133" s="307" t="s">
        <v>1766</v>
      </c>
      <c r="L133" s="273" t="s">
        <v>1752</v>
      </c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5"/>
      <c r="Z133" s="275"/>
      <c r="AA133" s="275"/>
    </row>
    <row r="134" ht="18.0" customHeight="1">
      <c r="A134" s="273"/>
      <c r="B134" s="306" t="s">
        <v>1767</v>
      </c>
      <c r="C134" s="289"/>
      <c r="D134" s="279">
        <v>242.0</v>
      </c>
      <c r="E134" s="279">
        <v>0.0</v>
      </c>
      <c r="F134" s="307" t="s">
        <v>1766</v>
      </c>
      <c r="G134" s="308" t="str">
        <f>IFERROR(__xludf.DUMMYFUNCTION("""COMPUTED_VALUE"""),"PISO TOBLERONE CUMARU PREMIUM 3 X 3 COMPR. VARIAVEIS")</f>
        <v>PISO TOBLERONE CUMARU PREMIUM 3 X 3 COMPR. VARIAVEIS</v>
      </c>
      <c r="I134" s="271" t="str">
        <f t="shared" si="2"/>
        <v/>
      </c>
      <c r="J134" s="288"/>
      <c r="K134" s="307" t="s">
        <v>1768</v>
      </c>
      <c r="L134" s="273" t="s">
        <v>1752</v>
      </c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5"/>
      <c r="Z134" s="275"/>
      <c r="AA134" s="275"/>
    </row>
    <row r="135" ht="18.0" customHeight="1">
      <c r="A135" s="273"/>
      <c r="B135" s="306" t="s">
        <v>1769</v>
      </c>
      <c r="C135" s="289"/>
      <c r="D135" s="279">
        <v>242.0</v>
      </c>
      <c r="E135" s="279">
        <v>0.0</v>
      </c>
      <c r="F135" s="307" t="s">
        <v>1768</v>
      </c>
      <c r="G135" s="308" t="str">
        <f>IFERROR(__xludf.DUMMYFUNCTION("""COMPUTED_VALUE"""),"PISO TOBLERONE CATUABA PREMIUM 3 X 3 COMPR. VARIAVEIS")</f>
        <v>PISO TOBLERONE CATUABA PREMIUM 3 X 3 COMPR. VARIAVEIS</v>
      </c>
      <c r="I135" s="271" t="str">
        <f t="shared" si="2"/>
        <v/>
      </c>
      <c r="J135" s="288"/>
      <c r="K135" s="307" t="s">
        <v>1770</v>
      </c>
      <c r="L135" s="273" t="s">
        <v>1752</v>
      </c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5"/>
      <c r="Z135" s="275"/>
      <c r="AA135" s="275"/>
    </row>
    <row r="136">
      <c r="A136" s="273"/>
      <c r="B136" s="306" t="s">
        <v>1771</v>
      </c>
      <c r="C136" s="289"/>
      <c r="D136" s="279">
        <v>242.0</v>
      </c>
      <c r="E136" s="279">
        <v>0.0</v>
      </c>
      <c r="F136" s="307" t="s">
        <v>1770</v>
      </c>
      <c r="G136" s="308" t="str">
        <f>IFERROR(__xludf.DUMMYFUNCTION("""COMPUTED_VALUE"""),"PISO TOBLERONE CABREUVA BRANCA PREMIUM 3 X 3 COMPR. VARIAVEIS")</f>
        <v>PISO TOBLERONE CABREUVA BRANCA PREMIUM 3 X 3 COMPR. VARIAVEIS</v>
      </c>
      <c r="I136" s="271" t="str">
        <f t="shared" si="2"/>
        <v/>
      </c>
      <c r="J136" s="288"/>
      <c r="K136" s="307" t="s">
        <v>1772</v>
      </c>
      <c r="L136" s="273" t="s">
        <v>1752</v>
      </c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5"/>
      <c r="Z136" s="275"/>
      <c r="AA136" s="275"/>
    </row>
    <row r="137">
      <c r="A137" s="273"/>
      <c r="B137" s="306" t="s">
        <v>1773</v>
      </c>
      <c r="C137" s="279">
        <v>196.0</v>
      </c>
      <c r="D137" s="279">
        <v>242.0</v>
      </c>
      <c r="E137" s="280">
        <v>47432.0</v>
      </c>
      <c r="F137" s="307" t="s">
        <v>1772</v>
      </c>
      <c r="G137" s="308" t="str">
        <f>IFERROR(__xludf.DUMMYFUNCTION("""COMPUTED_VALUE"""),"PISO TOBLERONE CABREUVA DOURADA PREMIUM 3 X 3 COMPR. VARIAVEIS")</f>
        <v>PISO TOBLERONE CABREUVA DOURADA PREMIUM 3 X 3 COMPR. VARIAVEIS</v>
      </c>
      <c r="I137" s="271" t="str">
        <f t="shared" si="2"/>
        <v/>
      </c>
      <c r="J137" s="288"/>
      <c r="K137" s="307" t="s">
        <v>1774</v>
      </c>
      <c r="L137" s="273" t="s">
        <v>1752</v>
      </c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5"/>
      <c r="Z137" s="275"/>
      <c r="AA137" s="275"/>
    </row>
    <row r="138">
      <c r="A138" s="273"/>
      <c r="B138" s="306" t="s">
        <v>1775</v>
      </c>
      <c r="C138" s="299"/>
      <c r="D138" s="279">
        <v>242.0</v>
      </c>
      <c r="E138" s="279">
        <v>0.0</v>
      </c>
      <c r="F138" s="307" t="s">
        <v>1774</v>
      </c>
      <c r="G138" s="308" t="str">
        <f>IFERROR(__xludf.DUMMYFUNCTION("""COMPUTED_VALUE"""),"PISO TOBLERONE TAUARI PREMIUM 3 X 3 COMPR. VARIAVEIS")</f>
        <v>PISO TOBLERONE TAUARI PREMIUM 3 X 3 COMPR. VARIAVEIS</v>
      </c>
      <c r="I138" s="271" t="str">
        <f t="shared" si="2"/>
        <v/>
      </c>
      <c r="J138" s="284"/>
      <c r="K138" s="307" t="s">
        <v>1776</v>
      </c>
      <c r="L138" s="273" t="s">
        <v>1752</v>
      </c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6"/>
      <c r="Z138" s="286"/>
      <c r="AA138" s="286"/>
    </row>
    <row r="139">
      <c r="A139" s="273"/>
      <c r="B139" s="306" t="s">
        <v>1777</v>
      </c>
      <c r="C139" s="299"/>
      <c r="D139" s="279">
        <v>242.0</v>
      </c>
      <c r="E139" s="279">
        <v>0.0</v>
      </c>
      <c r="F139" s="307" t="s">
        <v>1776</v>
      </c>
      <c r="G139" s="308" t="str">
        <f>IFERROR(__xludf.DUMMYFUNCTION("""COMPUTED_VALUE"""),"PISO TOBLERONE PEROBA PREMIUM 3 X 3 COMPR. VARIAVEIS")</f>
        <v>PISO TOBLERONE PEROBA PREMIUM 3 X 3 COMPR. VARIAVEIS</v>
      </c>
      <c r="I139" s="271" t="str">
        <f t="shared" si="2"/>
        <v/>
      </c>
      <c r="J139" s="284"/>
      <c r="K139" s="307" t="s">
        <v>1778</v>
      </c>
      <c r="L139" s="273" t="s">
        <v>1752</v>
      </c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6"/>
      <c r="Z139" s="286"/>
      <c r="AA139" s="286"/>
    </row>
    <row r="140">
      <c r="A140" s="273"/>
      <c r="B140" s="306" t="s">
        <v>1779</v>
      </c>
      <c r="C140" s="299"/>
      <c r="D140" s="279">
        <v>242.0</v>
      </c>
      <c r="E140" s="279">
        <v>0.0</v>
      </c>
      <c r="F140" s="307" t="s">
        <v>1778</v>
      </c>
      <c r="G140" s="308" t="str">
        <f>IFERROR(__xludf.DUMMYFUNCTION("""COMPUTED_VALUE"""),"PISO TOBLERONE LORO PARDO PREMIUM 3 X 3 COMPR. VARIAVEIS")</f>
        <v>PISO TOBLERONE LORO PARDO PREMIUM 3 X 3 COMPR. VARIAVEIS</v>
      </c>
      <c r="I140" s="271" t="str">
        <f t="shared" si="2"/>
        <v/>
      </c>
      <c r="J140" s="284"/>
      <c r="K140" s="309" t="s">
        <v>38</v>
      </c>
      <c r="L140" s="273" t="s">
        <v>1780</v>
      </c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6"/>
      <c r="Z140" s="286"/>
      <c r="AA140" s="286"/>
    </row>
    <row r="141">
      <c r="A141" s="273"/>
      <c r="B141" s="306" t="s">
        <v>39</v>
      </c>
      <c r="C141" s="299"/>
      <c r="D141" s="279">
        <v>210.0</v>
      </c>
      <c r="E141" s="279">
        <v>0.0</v>
      </c>
      <c r="F141" s="309" t="s">
        <v>38</v>
      </c>
      <c r="G141" s="310" t="str">
        <f>IFERROR(__xludf.DUMMYFUNCTION("""COMPUTED_VALUE"""),"PISO DECK CUMARU PREMIUM TG 2,5 X 5 X COMPR. VARIAVEIS")</f>
        <v>PISO DECK CUMARU PREMIUM TG 2,5 X 5 X COMPR. VARIAVEIS</v>
      </c>
      <c r="H141" s="311" t="s">
        <v>1780</v>
      </c>
      <c r="I141" s="271" t="str">
        <f t="shared" si="2"/>
        <v/>
      </c>
      <c r="J141" s="312"/>
      <c r="K141" s="305" t="s">
        <v>1781</v>
      </c>
      <c r="L141" s="273" t="s">
        <v>1782</v>
      </c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6"/>
      <c r="Z141" s="286"/>
      <c r="AA141" s="286"/>
    </row>
    <row r="142">
      <c r="A142" s="273"/>
      <c r="B142" s="306" t="s">
        <v>1783</v>
      </c>
      <c r="C142" s="299"/>
      <c r="D142" s="279">
        <v>210.0</v>
      </c>
      <c r="E142" s="279">
        <v>0.0</v>
      </c>
      <c r="F142" s="305" t="s">
        <v>1781</v>
      </c>
      <c r="G142" s="271" t="str">
        <f>IFERROR(__xludf.DUMMYFUNCTION("""COMPUTED_VALUE"""),"PISO DECK CUMARU PREMIUM TG 2,5 X 10 X COMPR. VARIAVEIS")</f>
        <v>PISO DECK CUMARU PREMIUM TG 2,5 X 10 X COMPR. VARIAVEIS</v>
      </c>
      <c r="H142" s="313" t="s">
        <v>1782</v>
      </c>
      <c r="I142" s="271" t="str">
        <f t="shared" si="2"/>
        <v/>
      </c>
      <c r="J142" s="284"/>
      <c r="K142" s="305" t="s">
        <v>1784</v>
      </c>
      <c r="L142" s="273" t="s">
        <v>1785</v>
      </c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6"/>
      <c r="Z142" s="286"/>
      <c r="AA142" s="286"/>
    </row>
    <row r="143">
      <c r="A143" s="273"/>
      <c r="B143" s="306" t="s">
        <v>1786</v>
      </c>
      <c r="C143" s="299"/>
      <c r="D143" s="279">
        <v>190.0</v>
      </c>
      <c r="E143" s="279">
        <v>0.0</v>
      </c>
      <c r="F143" s="305" t="s">
        <v>1784</v>
      </c>
      <c r="G143" s="271" t="str">
        <f>IFERROR(__xludf.DUMMYFUNCTION("""COMPUTED_VALUE"""),"PISO DECK CATUABA PREMIUM TG 2,5 X 5 X COMPR. VARIAVEIS")</f>
        <v>PISO DECK CATUABA PREMIUM TG 2,5 X 5 X COMPR. VARIAVEIS</v>
      </c>
      <c r="H143" s="313" t="s">
        <v>1785</v>
      </c>
      <c r="I143" s="271" t="str">
        <f t="shared" si="2"/>
        <v/>
      </c>
      <c r="J143" s="284"/>
      <c r="K143" s="305" t="s">
        <v>1787</v>
      </c>
      <c r="L143" s="273" t="s">
        <v>1788</v>
      </c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6"/>
      <c r="Z143" s="286"/>
      <c r="AA143" s="286"/>
    </row>
    <row r="144">
      <c r="A144" s="273"/>
      <c r="B144" s="306" t="s">
        <v>1789</v>
      </c>
      <c r="C144" s="299"/>
      <c r="D144" s="279">
        <v>190.0</v>
      </c>
      <c r="E144" s="279">
        <v>0.0</v>
      </c>
      <c r="F144" s="305" t="s">
        <v>1787</v>
      </c>
      <c r="G144" s="271" t="str">
        <f>IFERROR(__xludf.DUMMYFUNCTION("""COMPUTED_VALUE"""),"PISO DECK CATUABA PREMIUM TG 2,5 X 10 X COMPR. VARIAVEIS")</f>
        <v>PISO DECK CATUABA PREMIUM TG 2,5 X 10 X COMPR. VARIAVEIS</v>
      </c>
      <c r="H144" s="313" t="s">
        <v>1788</v>
      </c>
      <c r="I144" s="271" t="str">
        <f t="shared" si="2"/>
        <v/>
      </c>
      <c r="J144" s="284"/>
      <c r="K144" s="305" t="s">
        <v>1790</v>
      </c>
      <c r="L144" s="273" t="s">
        <v>1791</v>
      </c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6"/>
      <c r="Z144" s="286"/>
      <c r="AA144" s="286"/>
    </row>
    <row r="145">
      <c r="A145" s="273"/>
      <c r="B145" s="306" t="s">
        <v>1792</v>
      </c>
      <c r="C145" s="289"/>
      <c r="D145" s="279">
        <v>190.0</v>
      </c>
      <c r="E145" s="279">
        <v>0.0</v>
      </c>
      <c r="F145" s="305" t="s">
        <v>1790</v>
      </c>
      <c r="G145" s="271" t="str">
        <f>IFERROR(__xludf.DUMMYFUNCTION("""COMPUTED_VALUE"""),"PISO DECK CABREUVA BRANCA PREMIUM TG 2,5 X 5 X COMPR. VARIAVEIS")</f>
        <v>PISO DECK CABREUVA BRANCA PREMIUM TG 2,5 X 5 X COMPR. VARIAVEIS</v>
      </c>
      <c r="H145" s="313" t="s">
        <v>1791</v>
      </c>
      <c r="I145" s="271" t="str">
        <f t="shared" si="2"/>
        <v/>
      </c>
      <c r="J145" s="288"/>
      <c r="K145" s="305" t="s">
        <v>1793</v>
      </c>
      <c r="L145" s="273" t="s">
        <v>1794</v>
      </c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5"/>
      <c r="Z145" s="275"/>
      <c r="AA145" s="275"/>
    </row>
    <row r="146">
      <c r="A146" s="273"/>
      <c r="B146" s="306" t="s">
        <v>1795</v>
      </c>
      <c r="C146" s="289"/>
      <c r="D146" s="279">
        <v>190.0</v>
      </c>
      <c r="E146" s="279">
        <v>0.0</v>
      </c>
      <c r="F146" s="305" t="s">
        <v>1793</v>
      </c>
      <c r="G146" s="271" t="str">
        <f>IFERROR(__xludf.DUMMYFUNCTION("""COMPUTED_VALUE"""),"PISO DECK CABREUVA BRANCA PREMIUM TG 2,5 X 10 X COMPR. VARIAVEIS")</f>
        <v>PISO DECK CABREUVA BRANCA PREMIUM TG 2,5 X 10 X COMPR. VARIAVEIS</v>
      </c>
      <c r="H146" s="313" t="s">
        <v>1794</v>
      </c>
      <c r="I146" s="271" t="str">
        <f t="shared" si="2"/>
        <v/>
      </c>
      <c r="J146" s="288"/>
      <c r="K146" s="305" t="s">
        <v>1796</v>
      </c>
      <c r="L146" s="273" t="s">
        <v>1797</v>
      </c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5"/>
      <c r="Z146" s="275"/>
      <c r="AA146" s="275"/>
    </row>
    <row r="147">
      <c r="A147" s="273"/>
      <c r="B147" s="306" t="s">
        <v>1798</v>
      </c>
      <c r="C147" s="289"/>
      <c r="D147" s="279">
        <v>190.0</v>
      </c>
      <c r="E147" s="279">
        <v>0.0</v>
      </c>
      <c r="F147" s="305" t="s">
        <v>1796</v>
      </c>
      <c r="G147" s="271" t="str">
        <f>IFERROR(__xludf.DUMMYFUNCTION("""COMPUTED_VALUE"""),"PISO DECK CABREUVA DOURADA PREMIUM TG 2,5 X 5 X COMPR. VARIAVEIS")</f>
        <v>PISO DECK CABREUVA DOURADA PREMIUM TG 2,5 X 5 X COMPR. VARIAVEIS</v>
      </c>
      <c r="H147" s="314" t="s">
        <v>1797</v>
      </c>
      <c r="I147" s="271" t="str">
        <f t="shared" si="2"/>
        <v/>
      </c>
      <c r="J147" s="288"/>
      <c r="K147" s="305" t="s">
        <v>1799</v>
      </c>
      <c r="L147" s="273" t="s">
        <v>1800</v>
      </c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5"/>
      <c r="Z147" s="275"/>
      <c r="AA147" s="275"/>
    </row>
    <row r="148">
      <c r="A148" s="273"/>
      <c r="B148" s="306" t="s">
        <v>1801</v>
      </c>
      <c r="C148" s="299"/>
      <c r="D148" s="279">
        <v>190.0</v>
      </c>
      <c r="E148" s="279">
        <v>0.0</v>
      </c>
      <c r="F148" s="305" t="s">
        <v>1799</v>
      </c>
      <c r="G148" s="271" t="str">
        <f>IFERROR(__xludf.DUMMYFUNCTION("""COMPUTED_VALUE"""),"PISO DECK CABREUVA DOURADA PREMIUM TG 2,5 X 10 X COMPR. VARIAVEIS")</f>
        <v>PISO DECK CABREUVA DOURADA PREMIUM TG 2,5 X 10 X COMPR. VARIAVEIS</v>
      </c>
      <c r="H148" s="313" t="s">
        <v>1800</v>
      </c>
      <c r="I148" s="271" t="str">
        <f t="shared" si="2"/>
        <v/>
      </c>
      <c r="J148" s="284"/>
      <c r="K148" s="305" t="s">
        <v>1802</v>
      </c>
      <c r="L148" s="273" t="s">
        <v>1803</v>
      </c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6"/>
      <c r="Z148" s="286"/>
      <c r="AA148" s="286"/>
    </row>
    <row r="149">
      <c r="A149" s="273"/>
      <c r="B149" s="306" t="s">
        <v>1804</v>
      </c>
      <c r="C149" s="299"/>
      <c r="D149" s="279">
        <v>190.0</v>
      </c>
      <c r="E149" s="279">
        <v>0.0</v>
      </c>
      <c r="F149" s="305" t="s">
        <v>1802</v>
      </c>
      <c r="G149" s="271" t="str">
        <f>IFERROR(__xludf.DUMMYFUNCTION("""COMPUTED_VALUE"""),"PISO DECK TAUARI PREMIUM TG 2,5 X 5 X COMPR. VARIAVEIS")</f>
        <v>PISO DECK TAUARI PREMIUM TG 2,5 X 5 X COMPR. VARIAVEIS</v>
      </c>
      <c r="H149" s="313" t="s">
        <v>1803</v>
      </c>
      <c r="I149" s="271" t="str">
        <f t="shared" si="2"/>
        <v/>
      </c>
      <c r="J149" s="284"/>
      <c r="K149" s="305" t="s">
        <v>1805</v>
      </c>
      <c r="L149" s="273" t="s">
        <v>1806</v>
      </c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6"/>
      <c r="Z149" s="286"/>
      <c r="AA149" s="286"/>
    </row>
    <row r="150">
      <c r="A150" s="273"/>
      <c r="B150" s="306" t="s">
        <v>1807</v>
      </c>
      <c r="C150" s="299"/>
      <c r="D150" s="279">
        <v>190.0</v>
      </c>
      <c r="E150" s="279">
        <v>0.0</v>
      </c>
      <c r="F150" s="305" t="s">
        <v>1805</v>
      </c>
      <c r="G150" s="271" t="str">
        <f>IFERROR(__xludf.DUMMYFUNCTION("""COMPUTED_VALUE"""),"PISO DECK TAUARI PREMIUM TG 2,5 X 10 X COMPR. VARIAVEIS")</f>
        <v>PISO DECK TAUARI PREMIUM TG 2,5 X 10 X COMPR. VARIAVEIS</v>
      </c>
      <c r="H150" s="313" t="s">
        <v>1806</v>
      </c>
      <c r="I150" s="271" t="str">
        <f t="shared" si="2"/>
        <v/>
      </c>
      <c r="J150" s="284"/>
      <c r="K150" s="305" t="s">
        <v>1808</v>
      </c>
      <c r="L150" s="273" t="s">
        <v>1809</v>
      </c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6"/>
      <c r="Z150" s="286"/>
      <c r="AA150" s="286"/>
    </row>
    <row r="151">
      <c r="A151" s="273"/>
      <c r="B151" s="306" t="s">
        <v>1810</v>
      </c>
      <c r="C151" s="299"/>
      <c r="D151" s="279">
        <v>210.0</v>
      </c>
      <c r="E151" s="279">
        <v>0.0</v>
      </c>
      <c r="F151" s="305" t="s">
        <v>1808</v>
      </c>
      <c r="G151" s="271" t="str">
        <f>IFERROR(__xludf.DUMMYFUNCTION("""COMPUTED_VALUE"""),"PISO DECK PEROBA PREMIUM TG 2,5 X 5 X COMPR. VARIAVEIS")</f>
        <v>PISO DECK PEROBA PREMIUM TG 2,5 X 5 X COMPR. VARIAVEIS</v>
      </c>
      <c r="H151" s="313" t="s">
        <v>1809</v>
      </c>
      <c r="I151" s="271" t="str">
        <f t="shared" si="2"/>
        <v/>
      </c>
      <c r="J151" s="284"/>
      <c r="K151" s="305" t="s">
        <v>1811</v>
      </c>
      <c r="L151" s="273" t="s">
        <v>1812</v>
      </c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6"/>
      <c r="Z151" s="286"/>
      <c r="AA151" s="286"/>
    </row>
    <row r="152">
      <c r="A152" s="273"/>
      <c r="B152" s="306" t="s">
        <v>1813</v>
      </c>
      <c r="C152" s="299"/>
      <c r="D152" s="279">
        <v>210.0</v>
      </c>
      <c r="E152" s="279">
        <v>0.0</v>
      </c>
      <c r="F152" s="305" t="s">
        <v>1811</v>
      </c>
      <c r="G152" s="271" t="str">
        <f>IFERROR(__xludf.DUMMYFUNCTION("""COMPUTED_VALUE"""),"PISO DECK PEROBA PREMIUM TG 2,5 X 10 X COMPR. VARIAVEIS")</f>
        <v>PISO DECK PEROBA PREMIUM TG 2,5 X 10 X COMPR. VARIAVEIS</v>
      </c>
      <c r="H152" s="313" t="s">
        <v>1812</v>
      </c>
      <c r="I152" s="271" t="str">
        <f t="shared" si="2"/>
        <v/>
      </c>
      <c r="J152" s="284"/>
      <c r="K152" s="292" t="s">
        <v>1814</v>
      </c>
      <c r="L152" s="273" t="s">
        <v>1815</v>
      </c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6"/>
      <c r="Z152" s="286"/>
      <c r="AA152" s="286"/>
    </row>
    <row r="153">
      <c r="A153" s="276"/>
      <c r="B153" s="277" t="s">
        <v>1816</v>
      </c>
      <c r="C153" s="290">
        <v>169.8</v>
      </c>
      <c r="D153" s="279">
        <v>190.95</v>
      </c>
      <c r="E153" s="280">
        <v>32423.31</v>
      </c>
      <c r="F153" s="292" t="s">
        <v>1814</v>
      </c>
      <c r="G153" s="271" t="str">
        <f>IFERROR(__xludf.DUMMYFUNCTION("""COMPUTED_VALUE"""),"PISO DECK BAMBU CARAMEL ALTA DENSIDADE")</f>
        <v>PISO DECK BAMBU CARAMEL ALTA DENSIDADE</v>
      </c>
      <c r="H153" s="313" t="s">
        <v>1815</v>
      </c>
      <c r="I153" s="271" t="str">
        <f t="shared" si="2"/>
        <v/>
      </c>
      <c r="J153" s="284"/>
      <c r="K153" s="292" t="s">
        <v>1817</v>
      </c>
      <c r="L153" s="273" t="s">
        <v>1818</v>
      </c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6"/>
      <c r="Z153" s="286"/>
      <c r="AA153" s="286"/>
    </row>
    <row r="154" ht="15.75" customHeight="1">
      <c r="A154" s="276"/>
      <c r="B154" s="277" t="s">
        <v>1819</v>
      </c>
      <c r="C154" s="290">
        <v>13.97</v>
      </c>
      <c r="D154" s="279">
        <v>152.29</v>
      </c>
      <c r="E154" s="280">
        <v>2127.49</v>
      </c>
      <c r="F154" s="292" t="s">
        <v>1817</v>
      </c>
      <c r="G154" s="271" t="str">
        <f>IFERROR(__xludf.DUMMYFUNCTION("""COMPUTED_VALUE"""),"PISO DECK BPC CINZA ESCURO 2 X15X 290CM PÇ/0.435M2")</f>
        <v>PISO DECK BPC CINZA ESCURO 2 X15X 290CM PÇ/0.435M2</v>
      </c>
      <c r="H154" s="313" t="s">
        <v>1818</v>
      </c>
      <c r="I154" s="271" t="str">
        <f t="shared" si="2"/>
        <v/>
      </c>
      <c r="J154" s="284"/>
      <c r="K154" s="292" t="s">
        <v>1820</v>
      </c>
      <c r="L154" s="273" t="s">
        <v>1821</v>
      </c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6"/>
      <c r="Z154" s="286"/>
      <c r="AA154" s="286"/>
    </row>
    <row r="155">
      <c r="A155" s="276"/>
      <c r="B155" s="277" t="s">
        <v>1822</v>
      </c>
      <c r="C155" s="290">
        <v>22.7</v>
      </c>
      <c r="D155" s="279">
        <v>152.29</v>
      </c>
      <c r="E155" s="280">
        <v>3456.98</v>
      </c>
      <c r="F155" s="292" t="s">
        <v>1820</v>
      </c>
      <c r="G155" s="271" t="str">
        <f>IFERROR(__xludf.DUMMYFUNCTION("""COMPUTED_VALUE"""),"PISO DECK BPC MORROM 2X15X220CM")</f>
        <v>PISO DECK BPC MORROM 2X15X220CM</v>
      </c>
      <c r="H155" s="313" t="s">
        <v>1821</v>
      </c>
      <c r="I155" s="271" t="str">
        <f t="shared" si="2"/>
        <v/>
      </c>
      <c r="J155" s="288"/>
      <c r="K155" s="292" t="s">
        <v>1823</v>
      </c>
      <c r="L155" s="273" t="s">
        <v>1824</v>
      </c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5"/>
      <c r="Z155" s="275"/>
      <c r="AA155" s="275"/>
    </row>
    <row r="156">
      <c r="A156" s="276"/>
      <c r="B156" s="277" t="s">
        <v>1824</v>
      </c>
      <c r="C156" s="290">
        <v>300.0</v>
      </c>
      <c r="D156" s="279">
        <v>190.95</v>
      </c>
      <c r="E156" s="280">
        <v>57285.0</v>
      </c>
      <c r="F156" s="292" t="s">
        <v>1823</v>
      </c>
      <c r="G156" s="271" t="str">
        <f>IFERROR(__xludf.DUMMYFUNCTION("""COMPUTED_VALUE"""),"PISO DECK WPC CINZA 2,2*14,6*220CM")</f>
        <v>PISO DECK WPC CINZA 2,2*14,6*220CM</v>
      </c>
      <c r="H156" s="313" t="s">
        <v>1824</v>
      </c>
      <c r="I156" s="271" t="str">
        <f t="shared" si="2"/>
        <v/>
      </c>
      <c r="J156" s="288"/>
      <c r="K156" s="292" t="s">
        <v>1825</v>
      </c>
      <c r="L156" s="285" t="s">
        <v>264</v>
      </c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5"/>
      <c r="Z156" s="275"/>
      <c r="AA156" s="275"/>
    </row>
    <row r="157">
      <c r="A157" s="276"/>
      <c r="B157" s="277" t="s">
        <v>1826</v>
      </c>
      <c r="C157" s="290">
        <v>504.98</v>
      </c>
      <c r="D157" s="279">
        <v>150.0</v>
      </c>
      <c r="E157" s="280">
        <v>75747.6</v>
      </c>
      <c r="F157" s="292" t="s">
        <v>1825</v>
      </c>
      <c r="G157" s="271" t="str">
        <f>IFERROR(__xludf.DUMMYFUNCTION("""COMPUTED_VALUE"""),"PISO PEROBA RUSTICA DE DEMOLIÇÃO")</f>
        <v>PISO PEROBA RUSTICA DE DEMOLIÇÃO</v>
      </c>
      <c r="H157" s="283" t="s">
        <v>264</v>
      </c>
      <c r="I157" s="271" t="str">
        <f t="shared" si="2"/>
        <v/>
      </c>
      <c r="J157" s="288"/>
      <c r="K157" s="305" t="s">
        <v>1827</v>
      </c>
      <c r="L157" s="285" t="s">
        <v>265</v>
      </c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5"/>
      <c r="Z157" s="275"/>
      <c r="AA157" s="275"/>
    </row>
    <row r="158">
      <c r="A158" s="273"/>
      <c r="B158" s="315" t="s">
        <v>1828</v>
      </c>
      <c r="C158" s="316">
        <v>730.79</v>
      </c>
      <c r="D158" s="317">
        <v>150.0</v>
      </c>
      <c r="E158" s="318">
        <v>109618.5</v>
      </c>
      <c r="F158" s="305" t="s">
        <v>1827</v>
      </c>
      <c r="G158" s="271" t="str">
        <f>IFERROR(__xludf.DUMMYFUNCTION("""COMPUTED_VALUE"""),"PISO CANELA RUSTICA DE DEMOLIÇÃO")</f>
        <v>PISO CANELA RUSTICA DE DEMOLIÇÃO</v>
      </c>
      <c r="H158" s="283" t="s">
        <v>265</v>
      </c>
      <c r="I158" s="271" t="str">
        <f t="shared" si="2"/>
        <v/>
      </c>
      <c r="J158" s="284"/>
      <c r="K158" s="305" t="s">
        <v>1829</v>
      </c>
      <c r="L158" s="285" t="s">
        <v>266</v>
      </c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6"/>
      <c r="Z158" s="286"/>
      <c r="AA158" s="286"/>
    </row>
    <row r="159">
      <c r="A159" s="271"/>
      <c r="B159" s="306" t="s">
        <v>1830</v>
      </c>
      <c r="C159" s="289"/>
      <c r="D159" s="319"/>
      <c r="E159" s="319"/>
      <c r="F159" s="305" t="s">
        <v>1829</v>
      </c>
      <c r="G159" s="271" t="str">
        <f>IFERROR(__xludf.DUMMYFUNCTION("""COMPUTED_VALUE"""),"FORRO CONVENCIONAL CARVALHO EUROPEU MARRONE CHEVRON 15/3 X 1900X 740MM")</f>
        <v>FORRO CONVENCIONAL CARVALHO EUROPEU MARRONE CHEVRON 15/3 X 1900X 740MM</v>
      </c>
      <c r="H159" s="283" t="s">
        <v>266</v>
      </c>
      <c r="I159" s="271">
        <f t="shared" si="2"/>
        <v>229.82</v>
      </c>
      <c r="J159" s="288"/>
      <c r="K159" s="305" t="s">
        <v>1831</v>
      </c>
      <c r="L159" s="285" t="s">
        <v>267</v>
      </c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5"/>
      <c r="Z159" s="275"/>
      <c r="AA159" s="275"/>
    </row>
    <row r="160">
      <c r="A160" s="271"/>
      <c r="B160" s="271"/>
      <c r="C160" s="271"/>
      <c r="D160" s="271"/>
      <c r="E160" s="271"/>
      <c r="F160" s="305" t="s">
        <v>1831</v>
      </c>
      <c r="G160" s="271" t="str">
        <f>IFERROR(__xludf.DUMMYFUNCTION("""COMPUTED_VALUE"""),"FORRO CONVENCIONAL CARVALHO EUROPEU MARRONE 15/3 X 125 X 1200MM")</f>
        <v>FORRO CONVENCIONAL CARVALHO EUROPEU MARRONE 15/3 X 125 X 1200MM</v>
      </c>
      <c r="H160" s="283" t="s">
        <v>267</v>
      </c>
      <c r="I160" s="271">
        <f t="shared" si="2"/>
        <v>194.56</v>
      </c>
      <c r="J160" s="288"/>
      <c r="K160" s="305" t="s">
        <v>1832</v>
      </c>
      <c r="L160" s="285" t="s">
        <v>268</v>
      </c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5"/>
      <c r="Z160" s="275"/>
      <c r="AA160" s="275"/>
    </row>
    <row r="161">
      <c r="A161" s="271"/>
      <c r="B161" s="271"/>
      <c r="C161" s="271"/>
      <c r="D161" s="320"/>
      <c r="E161" s="320"/>
      <c r="F161" s="305" t="s">
        <v>1832</v>
      </c>
      <c r="G161" s="271" t="str">
        <f>IFERROR(__xludf.DUMMYFUNCTION("""COMPUTED_VALUE"""),"FORRO CONVENCIONAL CARVALHO EUROPEU MARRONE 15/3 X 190 X 1900MM")</f>
        <v>FORRO CONVENCIONAL CARVALHO EUROPEU MARRONE 15/3 X 190 X 1900MM</v>
      </c>
      <c r="H161" s="283" t="s">
        <v>268</v>
      </c>
      <c r="I161" s="271">
        <f t="shared" si="2"/>
        <v>229.82</v>
      </c>
      <c r="J161" s="288"/>
      <c r="K161" s="305" t="s">
        <v>1833</v>
      </c>
      <c r="L161" s="285" t="s">
        <v>269</v>
      </c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5"/>
      <c r="Z161" s="275"/>
      <c r="AA161" s="275"/>
    </row>
    <row r="162">
      <c r="A162" s="271"/>
      <c r="B162" s="271"/>
      <c r="C162" s="271"/>
      <c r="D162" s="320"/>
      <c r="E162" s="320"/>
      <c r="F162" s="305" t="s">
        <v>1833</v>
      </c>
      <c r="G162" s="271" t="str">
        <f>IFERROR(__xludf.DUMMYFUNCTION("""COMPUTED_VALUE"""),"FORRO CONVENCIONAL CARVALHO EUROPEU MARRONE 20/6 X 300 X 4000MM")</f>
        <v>FORRO CONVENCIONAL CARVALHO EUROPEU MARRONE 20/6 X 300 X 4000MM</v>
      </c>
      <c r="H162" s="283" t="s">
        <v>269</v>
      </c>
      <c r="I162" s="271">
        <f t="shared" si="2"/>
        <v>270.56</v>
      </c>
      <c r="J162" s="288"/>
      <c r="K162" s="305" t="s">
        <v>1834</v>
      </c>
      <c r="L162" s="285" t="s">
        <v>270</v>
      </c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5"/>
      <c r="Z162" s="275"/>
      <c r="AA162" s="275"/>
    </row>
    <row r="163">
      <c r="A163" s="271"/>
      <c r="B163" s="271"/>
      <c r="C163" s="271"/>
      <c r="D163" s="320"/>
      <c r="E163" s="320"/>
      <c r="F163" s="305" t="s">
        <v>1834</v>
      </c>
      <c r="G163" s="271" t="str">
        <f>IFERROR(__xludf.DUMMYFUNCTION("""COMPUTED_VALUE"""),"FORRO CONVENCIONAL CARVALHO EUROPEU MARRONE 20/6 X 400 X 5000MM")</f>
        <v>FORRO CONVENCIONAL CARVALHO EUROPEU MARRONE 20/6 X 400 X 5000MM</v>
      </c>
      <c r="H163" s="283" t="s">
        <v>270</v>
      </c>
      <c r="I163" s="271">
        <f t="shared" si="2"/>
        <v>304</v>
      </c>
      <c r="J163" s="288"/>
      <c r="K163" s="305" t="s">
        <v>1835</v>
      </c>
      <c r="L163" s="285" t="s">
        <v>271</v>
      </c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5"/>
      <c r="Z163" s="275"/>
      <c r="AA163" s="275"/>
    </row>
    <row r="164">
      <c r="A164" s="271"/>
      <c r="B164" s="271"/>
      <c r="C164" s="271"/>
      <c r="D164" s="271"/>
      <c r="E164" s="271"/>
      <c r="F164" s="305" t="s">
        <v>1835</v>
      </c>
      <c r="G164" s="271" t="str">
        <f>IFERROR(__xludf.DUMMYFUNCTION("""COMPUTED_VALUE"""),"FORRO CONVENCIONAL CARVALHO EUROPEU MONT BLANC CHEVRON 15/3 X 1900X 740MM")</f>
        <v>FORRO CONVENCIONAL CARVALHO EUROPEU MONT BLANC CHEVRON 15/3 X 1900X 740MM</v>
      </c>
      <c r="H164" s="283" t="s">
        <v>271</v>
      </c>
      <c r="I164" s="271">
        <f t="shared" si="2"/>
        <v>229.82</v>
      </c>
      <c r="J164" s="288"/>
      <c r="K164" s="305" t="s">
        <v>1836</v>
      </c>
      <c r="L164" s="285" t="s">
        <v>272</v>
      </c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5"/>
      <c r="Z164" s="275"/>
      <c r="AA164" s="275"/>
    </row>
    <row r="165">
      <c r="A165" s="271"/>
      <c r="B165" s="271"/>
      <c r="C165" s="271"/>
      <c r="D165" s="271"/>
      <c r="E165" s="271"/>
      <c r="F165" s="305" t="s">
        <v>1836</v>
      </c>
      <c r="G165" s="271" t="str">
        <f>IFERROR(__xludf.DUMMYFUNCTION("""COMPUTED_VALUE"""),"FORRO CONVENCIONAL CARVALHO EUROPEU MONT BLANC ESPINHA DE PEIXE TG 15/3 X 125X900MM")</f>
        <v>FORRO CONVENCIONAL CARVALHO EUROPEU MONT BLANC ESPINHA DE PEIXE TG 15/3 X 125X900MM</v>
      </c>
      <c r="H165" s="283" t="s">
        <v>272</v>
      </c>
      <c r="I165" s="271">
        <f t="shared" si="2"/>
        <v>194.56</v>
      </c>
      <c r="J165" s="288"/>
      <c r="K165" s="305" t="s">
        <v>1837</v>
      </c>
      <c r="L165" s="285" t="s">
        <v>273</v>
      </c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5"/>
      <c r="Z165" s="275"/>
      <c r="AA165" s="275"/>
    </row>
    <row r="166">
      <c r="A166" s="271"/>
      <c r="B166" s="271"/>
      <c r="C166" s="271"/>
      <c r="D166" s="320"/>
      <c r="E166" s="320"/>
      <c r="F166" s="305" t="s">
        <v>1837</v>
      </c>
      <c r="G166" s="271" t="str">
        <f>IFERROR(__xludf.DUMMYFUNCTION("""COMPUTED_VALUE"""),"FORRO CONVENCIONAL CARVALHO EUROPEU MONT BLANC 15/3 X 125 X 1200MM")</f>
        <v>FORRO CONVENCIONAL CARVALHO EUROPEU MONT BLANC 15/3 X 125 X 1200MM</v>
      </c>
      <c r="H166" s="283" t="s">
        <v>273</v>
      </c>
      <c r="I166" s="271">
        <f t="shared" si="2"/>
        <v>194.56</v>
      </c>
      <c r="J166" s="288"/>
      <c r="K166" s="305" t="s">
        <v>1838</v>
      </c>
      <c r="L166" s="285" t="s">
        <v>274</v>
      </c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5"/>
      <c r="Z166" s="275"/>
      <c r="AA166" s="275"/>
    </row>
    <row r="167">
      <c r="A167" s="271"/>
      <c r="B167" s="271"/>
      <c r="C167" s="271"/>
      <c r="D167" s="320"/>
      <c r="E167" s="320"/>
      <c r="F167" s="305" t="s">
        <v>1838</v>
      </c>
      <c r="G167" s="271" t="str">
        <f>IFERROR(__xludf.DUMMYFUNCTION("""COMPUTED_VALUE"""),"FORRO CONVENCIONAL CARVALHO EUROPEU MONT BLANC 15/3 X 190 X 1900MM")</f>
        <v>FORRO CONVENCIONAL CARVALHO EUROPEU MONT BLANC 15/3 X 190 X 1900MM</v>
      </c>
      <c r="H167" s="283" t="s">
        <v>274</v>
      </c>
      <c r="I167" s="271">
        <f t="shared" si="2"/>
        <v>229.82</v>
      </c>
      <c r="J167" s="288"/>
      <c r="K167" s="305" t="s">
        <v>1839</v>
      </c>
      <c r="L167" s="285" t="s">
        <v>275</v>
      </c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5"/>
      <c r="Z167" s="275"/>
      <c r="AA167" s="275"/>
    </row>
    <row r="168">
      <c r="A168" s="271"/>
      <c r="B168" s="271"/>
      <c r="C168" s="285"/>
      <c r="D168" s="320"/>
      <c r="E168" s="320"/>
      <c r="F168" s="305" t="s">
        <v>1839</v>
      </c>
      <c r="G168" s="271" t="str">
        <f>IFERROR(__xludf.DUMMYFUNCTION("""COMPUTED_VALUE"""),"FORRO CONVENCIONAL CARVALHO EUROPEU MONT BLANC 20/6 X 300 X 4000MM")</f>
        <v>FORRO CONVENCIONAL CARVALHO EUROPEU MONT BLANC 20/6 X 300 X 4000MM</v>
      </c>
      <c r="H168" s="283" t="s">
        <v>275</v>
      </c>
      <c r="I168" s="271">
        <f t="shared" si="2"/>
        <v>270.56</v>
      </c>
      <c r="J168" s="284"/>
      <c r="K168" s="305" t="s">
        <v>1840</v>
      </c>
      <c r="L168" s="285" t="s">
        <v>276</v>
      </c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6"/>
      <c r="Z168" s="286"/>
      <c r="AA168" s="286"/>
    </row>
    <row r="169">
      <c r="A169" s="271"/>
      <c r="B169" s="271"/>
      <c r="C169" s="271"/>
      <c r="D169" s="320"/>
      <c r="E169" s="320"/>
      <c r="F169" s="305" t="s">
        <v>1840</v>
      </c>
      <c r="G169" s="271" t="str">
        <f>IFERROR(__xludf.DUMMYFUNCTION("""COMPUTED_VALUE"""),"FORRO CONVENCIONAL CARVALHO EUROPEU MONT BLANC 20/6 X 400 X 5000MM")</f>
        <v>FORRO CONVENCIONAL CARVALHO EUROPEU MONT BLANC 20/6 X 400 X 5000MM</v>
      </c>
      <c r="H169" s="283" t="s">
        <v>276</v>
      </c>
      <c r="I169" s="271">
        <f t="shared" si="2"/>
        <v>304</v>
      </c>
      <c r="J169" s="288"/>
      <c r="K169" s="305" t="s">
        <v>1841</v>
      </c>
      <c r="L169" s="285" t="s">
        <v>277</v>
      </c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5"/>
      <c r="Z169" s="275"/>
      <c r="AA169" s="275"/>
    </row>
    <row r="170">
      <c r="A170" s="271"/>
      <c r="B170" s="271"/>
      <c r="C170" s="271"/>
      <c r="D170" s="320"/>
      <c r="E170" s="320"/>
      <c r="F170" s="305" t="s">
        <v>1841</v>
      </c>
      <c r="G170" s="271" t="str">
        <f>IFERROR(__xludf.DUMMYFUNCTION("""COMPUTED_VALUE"""),"FORRO CONVENCIONAL CARVALHO EUROPEU NATURAL CHEVRON TG 15/3 X 125 X 775MM")</f>
        <v>FORRO CONVENCIONAL CARVALHO EUROPEU NATURAL CHEVRON TG 15/3 X 125 X 775MM</v>
      </c>
      <c r="H170" s="283" t="s">
        <v>277</v>
      </c>
      <c r="I170" s="271">
        <f t="shared" si="2"/>
        <v>194.56</v>
      </c>
      <c r="J170" s="288"/>
      <c r="K170" s="305" t="s">
        <v>1842</v>
      </c>
      <c r="L170" s="285" t="s">
        <v>278</v>
      </c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5"/>
      <c r="Z170" s="275"/>
      <c r="AA170" s="275"/>
    </row>
    <row r="171">
      <c r="A171" s="271"/>
      <c r="B171" s="271"/>
      <c r="C171" s="271"/>
      <c r="D171" s="320"/>
      <c r="E171" s="320"/>
      <c r="F171" s="305" t="s">
        <v>1842</v>
      </c>
      <c r="G171" s="271" t="str">
        <f>IFERROR(__xludf.DUMMYFUNCTION("""COMPUTED_VALUE"""),"FORRO CONVENCIONAL CARVALHO EUROPEU NATURALLE CHEVRON 15/3 X 1900X 740MM")</f>
        <v>FORRO CONVENCIONAL CARVALHO EUROPEU NATURALLE CHEVRON 15/3 X 1900X 740MM</v>
      </c>
      <c r="H171" s="283" t="s">
        <v>278</v>
      </c>
      <c r="I171" s="271">
        <f t="shared" si="2"/>
        <v>229.82</v>
      </c>
      <c r="J171" s="288"/>
      <c r="K171" s="305" t="s">
        <v>1843</v>
      </c>
      <c r="L171" s="285" t="s">
        <v>279</v>
      </c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5"/>
      <c r="Z171" s="275"/>
      <c r="AA171" s="275"/>
    </row>
    <row r="172">
      <c r="A172" s="271"/>
      <c r="B172" s="271"/>
      <c r="C172" s="271"/>
      <c r="D172" s="320"/>
      <c r="E172" s="320"/>
      <c r="F172" s="305" t="s">
        <v>1843</v>
      </c>
      <c r="G172" s="271" t="str">
        <f>IFERROR(__xludf.DUMMYFUNCTION("""COMPUTED_VALUE"""),"FORRO CONVENCIONAL CARVALHO EUROPEU NATURALLE CHEVRON 60º 15/3 X 1900X 910MM")</f>
        <v>FORRO CONVENCIONAL CARVALHO EUROPEU NATURALLE CHEVRON 60º 15/3 X 1900X 910MM</v>
      </c>
      <c r="H172" s="283" t="s">
        <v>279</v>
      </c>
      <c r="I172" s="271">
        <f t="shared" si="2"/>
        <v>229.82</v>
      </c>
      <c r="J172" s="288"/>
      <c r="K172" s="305" t="s">
        <v>1844</v>
      </c>
      <c r="L172" s="285" t="s">
        <v>280</v>
      </c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5"/>
      <c r="Z172" s="275"/>
      <c r="AA172" s="275"/>
    </row>
    <row r="173">
      <c r="A173" s="271"/>
      <c r="B173" s="271"/>
      <c r="C173" s="271"/>
      <c r="D173" s="320"/>
      <c r="E173" s="320"/>
      <c r="F173" s="305" t="s">
        <v>1844</v>
      </c>
      <c r="G173" s="271" t="str">
        <f>IFERROR(__xludf.DUMMYFUNCTION("""COMPUTED_VALUE"""),"FORRO CONVENCIONAL CARVALHO EUROPEU NATURALLE FINE 10/06 X 1900 X 1900MM")</f>
        <v>FORRO CONVENCIONAL CARVALHO EUROPEU NATURALLE FINE 10/06 X 1900 X 1900MM</v>
      </c>
      <c r="H173" s="283" t="s">
        <v>280</v>
      </c>
      <c r="I173" s="271">
        <f t="shared" si="2"/>
        <v>124.64</v>
      </c>
      <c r="J173" s="288"/>
      <c r="K173" s="305" t="s">
        <v>1845</v>
      </c>
      <c r="L173" s="285" t="s">
        <v>281</v>
      </c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5"/>
      <c r="Z173" s="275"/>
      <c r="AA173" s="275"/>
    </row>
    <row r="174">
      <c r="A174" s="271"/>
      <c r="B174" s="271"/>
      <c r="C174" s="271"/>
      <c r="D174" s="271"/>
      <c r="E174" s="271"/>
      <c r="F174" s="305" t="s">
        <v>1845</v>
      </c>
      <c r="G174" s="271" t="str">
        <f>IFERROR(__xludf.DUMMYFUNCTION("""COMPUTED_VALUE"""),"FORRO CONVENCIONAL CARVALHO EUROPEU NATURALLE 15/3 X 125 X 1200MM")</f>
        <v>FORRO CONVENCIONAL CARVALHO EUROPEU NATURALLE 15/3 X 125 X 1200MM</v>
      </c>
      <c r="H174" s="283" t="s">
        <v>281</v>
      </c>
      <c r="I174" s="271">
        <f t="shared" si="2"/>
        <v>194.56</v>
      </c>
      <c r="J174" s="288"/>
      <c r="K174" s="305" t="s">
        <v>1846</v>
      </c>
      <c r="L174" s="285" t="s">
        <v>282</v>
      </c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5"/>
      <c r="Z174" s="275"/>
      <c r="AA174" s="275"/>
    </row>
    <row r="175">
      <c r="A175" s="271"/>
      <c r="B175" s="271"/>
      <c r="C175" s="271"/>
      <c r="D175" s="271"/>
      <c r="E175" s="271"/>
      <c r="F175" s="305" t="s">
        <v>1846</v>
      </c>
      <c r="G175" s="271" t="str">
        <f>IFERROR(__xludf.DUMMYFUNCTION("""COMPUTED_VALUE"""),"FORRO CONVENCIONAL CARVALHO EUROPEU NATURALLE 15/3 X 190 X 1900MM")</f>
        <v>FORRO CONVENCIONAL CARVALHO EUROPEU NATURALLE 15/3 X 190 X 1900MM</v>
      </c>
      <c r="H175" s="283" t="s">
        <v>282</v>
      </c>
      <c r="I175" s="271">
        <f t="shared" si="2"/>
        <v>229.82</v>
      </c>
      <c r="J175" s="288"/>
      <c r="K175" s="305" t="s">
        <v>1847</v>
      </c>
      <c r="L175" s="285" t="s">
        <v>283</v>
      </c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5"/>
      <c r="Z175" s="275"/>
      <c r="AA175" s="275"/>
    </row>
    <row r="176">
      <c r="A176" s="271"/>
      <c r="B176" s="271"/>
      <c r="C176" s="271"/>
      <c r="D176" s="271"/>
      <c r="E176" s="271"/>
      <c r="F176" s="305" t="s">
        <v>1847</v>
      </c>
      <c r="G176" s="271" t="str">
        <f>IFERROR(__xludf.DUMMYFUNCTION("""COMPUTED_VALUE"""),"FORRO CONVENCIONAL CARVALHO EUROPEU NATURALLE 20/6 X 300 X 4000MM")</f>
        <v>FORRO CONVENCIONAL CARVALHO EUROPEU NATURALLE 20/6 X 300 X 4000MM</v>
      </c>
      <c r="H176" s="283" t="s">
        <v>283</v>
      </c>
      <c r="I176" s="271">
        <f t="shared" si="2"/>
        <v>270.56</v>
      </c>
      <c r="J176" s="288"/>
      <c r="K176" s="305" t="s">
        <v>1848</v>
      </c>
      <c r="L176" s="285" t="s">
        <v>284</v>
      </c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5"/>
      <c r="Z176" s="275"/>
      <c r="AA176" s="275"/>
    </row>
    <row r="177">
      <c r="A177" s="271"/>
      <c r="B177" s="271"/>
      <c r="C177" s="271"/>
      <c r="D177" s="271"/>
      <c r="E177" s="271"/>
      <c r="F177" s="305" t="s">
        <v>1848</v>
      </c>
      <c r="G177" s="271" t="str">
        <f>IFERROR(__xludf.DUMMYFUNCTION("""COMPUTED_VALUE"""),"FORRO CONVENCIONAL CARVALHO EUROPEU NATURALLE 20/6 X 400 X 5000MM")</f>
        <v>FORRO CONVENCIONAL CARVALHO EUROPEU NATURALLE 20/6 X 400 X 5000MM</v>
      </c>
      <c r="H177" s="283" t="s">
        <v>284</v>
      </c>
      <c r="I177" s="271">
        <f t="shared" si="2"/>
        <v>304</v>
      </c>
      <c r="J177" s="288"/>
      <c r="K177" s="305" t="s">
        <v>1849</v>
      </c>
      <c r="L177" s="285" t="s">
        <v>285</v>
      </c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5"/>
      <c r="Z177" s="275"/>
      <c r="AA177" s="275"/>
    </row>
    <row r="178">
      <c r="A178" s="271"/>
      <c r="B178" s="271"/>
      <c r="C178" s="285"/>
      <c r="D178" s="285"/>
      <c r="E178" s="285"/>
      <c r="F178" s="305" t="s">
        <v>1849</v>
      </c>
      <c r="G178" s="271" t="str">
        <f>IFERROR(__xludf.DUMMYFUNCTION("""COMPUTED_VALUE"""),"FORRO CONVENCIONAL CARVALHO EUROPEU CAPUCCINO CHEVRON 15/3 X 1900X 740MM")</f>
        <v>FORRO CONVENCIONAL CARVALHO EUROPEU CAPUCCINO CHEVRON 15/3 X 1900X 740MM</v>
      </c>
      <c r="H178" s="283" t="s">
        <v>285</v>
      </c>
      <c r="I178" s="271">
        <f t="shared" si="2"/>
        <v>229.82</v>
      </c>
      <c r="J178" s="284"/>
      <c r="K178" s="305" t="s">
        <v>1850</v>
      </c>
      <c r="L178" s="285" t="s">
        <v>286</v>
      </c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6"/>
      <c r="Z178" s="286"/>
      <c r="AA178" s="286"/>
    </row>
    <row r="179">
      <c r="A179" s="271"/>
      <c r="B179" s="271"/>
      <c r="C179" s="271"/>
      <c r="D179" s="271"/>
      <c r="E179" s="271"/>
      <c r="F179" s="305" t="s">
        <v>1850</v>
      </c>
      <c r="G179" s="271" t="str">
        <f>IFERROR(__xludf.DUMMYFUNCTION("""COMPUTED_VALUE"""),"FORRO CONVENCIONAL CARVALHO EUROPEU CAPUCCINO 15/3 X 125 X 1200MM")</f>
        <v>FORRO CONVENCIONAL CARVALHO EUROPEU CAPUCCINO 15/3 X 125 X 1200MM</v>
      </c>
      <c r="H179" s="283" t="s">
        <v>286</v>
      </c>
      <c r="I179" s="271">
        <f t="shared" si="2"/>
        <v>194.56</v>
      </c>
      <c r="J179" s="288"/>
      <c r="K179" s="305" t="s">
        <v>1851</v>
      </c>
      <c r="L179" s="285" t="s">
        <v>287</v>
      </c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5"/>
      <c r="Z179" s="275"/>
      <c r="AA179" s="275"/>
    </row>
    <row r="180">
      <c r="A180" s="271"/>
      <c r="B180" s="271"/>
      <c r="C180" s="271"/>
      <c r="D180" s="271"/>
      <c r="E180" s="271"/>
      <c r="F180" s="305" t="s">
        <v>1851</v>
      </c>
      <c r="G180" s="271" t="str">
        <f>IFERROR(__xludf.DUMMYFUNCTION("""COMPUTED_VALUE"""),"FORRO CONVENCIONAL CARVALHO EUROPEU CAPPUCCINO ESPINHA DE PEIXE TG 15/3 X 125X900MM")</f>
        <v>FORRO CONVENCIONAL CARVALHO EUROPEU CAPPUCCINO ESPINHA DE PEIXE TG 15/3 X 125X900MM</v>
      </c>
      <c r="H180" s="283" t="s">
        <v>287</v>
      </c>
      <c r="I180" s="271">
        <f t="shared" si="2"/>
        <v>194.56</v>
      </c>
      <c r="J180" s="288"/>
      <c r="K180" s="305" t="s">
        <v>1852</v>
      </c>
      <c r="L180" s="285" t="s">
        <v>288</v>
      </c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5"/>
      <c r="Z180" s="275"/>
      <c r="AA180" s="275"/>
    </row>
    <row r="181">
      <c r="A181" s="271"/>
      <c r="B181" s="271"/>
      <c r="C181" s="271"/>
      <c r="D181" s="271"/>
      <c r="E181" s="271"/>
      <c r="F181" s="305" t="s">
        <v>1852</v>
      </c>
      <c r="G181" s="271" t="str">
        <f>IFERROR(__xludf.DUMMYFUNCTION("""COMPUTED_VALUE"""),"FORRO CONVENCIONAL CARVALHO EUROPEU CAPUCCINO 15/3 X 190 X 1900MM")</f>
        <v>FORRO CONVENCIONAL CARVALHO EUROPEU CAPUCCINO 15/3 X 190 X 1900MM</v>
      </c>
      <c r="H181" s="283" t="s">
        <v>288</v>
      </c>
      <c r="I181" s="271">
        <f t="shared" si="2"/>
        <v>229.82</v>
      </c>
      <c r="J181" s="288"/>
      <c r="K181" s="305" t="s">
        <v>1853</v>
      </c>
      <c r="L181" s="285" t="s">
        <v>289</v>
      </c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5"/>
      <c r="Z181" s="275"/>
      <c r="AA181" s="275"/>
    </row>
    <row r="182">
      <c r="A182" s="271"/>
      <c r="B182" s="271"/>
      <c r="C182" s="285"/>
      <c r="D182" s="271"/>
      <c r="E182" s="285"/>
      <c r="F182" s="305" t="s">
        <v>1853</v>
      </c>
      <c r="G182" s="271" t="str">
        <f>IFERROR(__xludf.DUMMYFUNCTION("""COMPUTED_VALUE"""),"FORRO CONVENCIONAL CARVALHO EUROPEU CAPUCCINO 20/6 X 300 X 4000MM")</f>
        <v>FORRO CONVENCIONAL CARVALHO EUROPEU CAPUCCINO 20/6 X 300 X 4000MM</v>
      </c>
      <c r="H182" s="283" t="s">
        <v>289</v>
      </c>
      <c r="I182" s="271">
        <f t="shared" si="2"/>
        <v>270.56</v>
      </c>
      <c r="J182" s="284"/>
      <c r="K182" s="305" t="s">
        <v>1854</v>
      </c>
      <c r="L182" s="285" t="s">
        <v>290</v>
      </c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6"/>
      <c r="Z182" s="286"/>
      <c r="AA182" s="286"/>
    </row>
    <row r="183">
      <c r="A183" s="271"/>
      <c r="B183" s="271"/>
      <c r="C183" s="271"/>
      <c r="D183" s="320"/>
      <c r="E183" s="320"/>
      <c r="F183" s="305" t="s">
        <v>1854</v>
      </c>
      <c r="G183" s="271" t="str">
        <f>IFERROR(__xludf.DUMMYFUNCTION("""COMPUTED_VALUE"""),"FORRO CONVENCIONAL CARVALHO EUROPEU CAPUCCINO 20/6 X 400 X 5000MM")</f>
        <v>FORRO CONVENCIONAL CARVALHO EUROPEU CAPUCCINO 20/6 X 400 X 5000MM</v>
      </c>
      <c r="H183" s="283" t="s">
        <v>290</v>
      </c>
      <c r="I183" s="271">
        <f t="shared" si="2"/>
        <v>304</v>
      </c>
      <c r="J183" s="288"/>
      <c r="K183" s="305" t="s">
        <v>1855</v>
      </c>
      <c r="L183" s="285" t="s">
        <v>291</v>
      </c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5"/>
      <c r="Z183" s="275"/>
      <c r="AA183" s="275"/>
    </row>
    <row r="184">
      <c r="A184" s="271"/>
      <c r="B184" s="271"/>
      <c r="C184" s="271"/>
      <c r="D184" s="271"/>
      <c r="E184" s="271"/>
      <c r="F184" s="305" t="s">
        <v>1855</v>
      </c>
      <c r="G184" s="271" t="str">
        <f>IFERROR(__xludf.DUMMYFUNCTION("""COMPUTED_VALUE"""),"FORRO CONVENCIONAL CARVALHO EUROPEU BABY GREY CHEVRON 15/3 X 1900X 740MM")</f>
        <v>FORRO CONVENCIONAL CARVALHO EUROPEU BABY GREY CHEVRON 15/3 X 1900X 740MM</v>
      </c>
      <c r="H184" s="283" t="s">
        <v>291</v>
      </c>
      <c r="I184" s="271">
        <f t="shared" si="2"/>
        <v>229.82</v>
      </c>
      <c r="J184" s="288"/>
      <c r="K184" s="305" t="s">
        <v>1856</v>
      </c>
      <c r="L184" s="285" t="s">
        <v>292</v>
      </c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5"/>
      <c r="Z184" s="275"/>
      <c r="AA184" s="275"/>
    </row>
    <row r="185">
      <c r="A185" s="271"/>
      <c r="B185" s="271"/>
      <c r="C185" s="271"/>
      <c r="D185" s="271"/>
      <c r="E185" s="271"/>
      <c r="F185" s="305" t="s">
        <v>1856</v>
      </c>
      <c r="G185" s="271" t="str">
        <f>IFERROR(__xludf.DUMMYFUNCTION("""COMPUTED_VALUE"""),"FORRO CONVENCIONAL CARVALHO EUROPEU BABY GREY 15/3 X 125 X 1200MM")</f>
        <v>FORRO CONVENCIONAL CARVALHO EUROPEU BABY GREY 15/3 X 125 X 1200MM</v>
      </c>
      <c r="H185" s="283" t="s">
        <v>292</v>
      </c>
      <c r="I185" s="271">
        <f t="shared" si="2"/>
        <v>194.56</v>
      </c>
      <c r="J185" s="288"/>
      <c r="K185" s="305" t="s">
        <v>1857</v>
      </c>
      <c r="L185" s="285" t="s">
        <v>293</v>
      </c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5"/>
      <c r="Z185" s="275"/>
      <c r="AA185" s="275"/>
    </row>
    <row r="186">
      <c r="A186" s="271"/>
      <c r="B186" s="271"/>
      <c r="C186" s="285"/>
      <c r="D186" s="285"/>
      <c r="E186" s="285"/>
      <c r="F186" s="305" t="s">
        <v>1857</v>
      </c>
      <c r="G186" s="271" t="str">
        <f>IFERROR(__xludf.DUMMYFUNCTION("""COMPUTED_VALUE"""),"FORRO CONVENCIONAL CARVALHO EUROPEU BABY GREY 15/3 X 190 X 1900MM")</f>
        <v>FORRO CONVENCIONAL CARVALHO EUROPEU BABY GREY 15/3 X 190 X 1900MM</v>
      </c>
      <c r="H186" s="283" t="s">
        <v>293</v>
      </c>
      <c r="I186" s="271">
        <f t="shared" si="2"/>
        <v>229.82</v>
      </c>
      <c r="J186" s="284"/>
      <c r="K186" s="305" t="s">
        <v>1858</v>
      </c>
      <c r="L186" s="285" t="s">
        <v>294</v>
      </c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6"/>
      <c r="Z186" s="286"/>
      <c r="AA186" s="286"/>
    </row>
    <row r="187">
      <c r="A187" s="271"/>
      <c r="B187" s="271"/>
      <c r="C187" s="271"/>
      <c r="D187" s="271"/>
      <c r="E187" s="271"/>
      <c r="F187" s="305" t="s">
        <v>1858</v>
      </c>
      <c r="G187" s="271" t="str">
        <f>IFERROR(__xludf.DUMMYFUNCTION("""COMPUTED_VALUE"""),"FORRO CONVENCIONAL CARVALHO EUROPEU BABY GREY 20/6 X 300 X 4000MM")</f>
        <v>FORRO CONVENCIONAL CARVALHO EUROPEU BABY GREY 20/6 X 300 X 4000MM</v>
      </c>
      <c r="H187" s="283" t="s">
        <v>294</v>
      </c>
      <c r="I187" s="271">
        <f t="shared" si="2"/>
        <v>270.56</v>
      </c>
      <c r="J187" s="288"/>
      <c r="K187" s="305" t="s">
        <v>1859</v>
      </c>
      <c r="L187" s="285" t="s">
        <v>295</v>
      </c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5"/>
      <c r="Z187" s="275"/>
      <c r="AA187" s="275"/>
    </row>
    <row r="188">
      <c r="A188" s="271"/>
      <c r="B188" s="271"/>
      <c r="C188" s="271"/>
      <c r="D188" s="271"/>
      <c r="E188" s="271"/>
      <c r="F188" s="305" t="s">
        <v>1859</v>
      </c>
      <c r="G188" s="271" t="str">
        <f>IFERROR(__xludf.DUMMYFUNCTION("""COMPUTED_VALUE"""),"FORRO CONVENCIONAL CARVALHO EUROPEU BABY GREY 20/6 X 400 X 5000MM")</f>
        <v>FORRO CONVENCIONAL CARVALHO EUROPEU BABY GREY 20/6 X 400 X 5000MM</v>
      </c>
      <c r="H188" s="283" t="s">
        <v>295</v>
      </c>
      <c r="I188" s="271">
        <f t="shared" si="2"/>
        <v>304</v>
      </c>
      <c r="J188" s="288"/>
      <c r="K188" s="305" t="s">
        <v>1860</v>
      </c>
      <c r="L188" s="285" t="s">
        <v>296</v>
      </c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5"/>
      <c r="Z188" s="275"/>
      <c r="AA188" s="275"/>
    </row>
    <row r="189">
      <c r="A189" s="271"/>
      <c r="B189" s="271"/>
      <c r="C189" s="271"/>
      <c r="D189" s="271"/>
      <c r="E189" s="271"/>
      <c r="F189" s="305" t="s">
        <v>1860</v>
      </c>
      <c r="G189" s="271" t="str">
        <f>IFERROR(__xludf.DUMMYFUNCTION("""COMPUTED_VALUE"""),"FORRO CONVENCIONAL CARVALHO EUROPEU GRIGIO NERO CHEVRON 15/3 X 1900X 740MM")</f>
        <v>FORRO CONVENCIONAL CARVALHO EUROPEU GRIGIO NERO CHEVRON 15/3 X 1900X 740MM</v>
      </c>
      <c r="H189" s="283" t="s">
        <v>296</v>
      </c>
      <c r="I189" s="271">
        <f t="shared" si="2"/>
        <v>229.82</v>
      </c>
      <c r="J189" s="288"/>
      <c r="K189" s="305" t="s">
        <v>1861</v>
      </c>
      <c r="L189" s="285" t="s">
        <v>297</v>
      </c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5"/>
      <c r="Z189" s="275"/>
      <c r="AA189" s="275"/>
    </row>
    <row r="190">
      <c r="A190" s="271"/>
      <c r="B190" s="271"/>
      <c r="C190" s="285"/>
      <c r="D190" s="285"/>
      <c r="E190" s="285"/>
      <c r="F190" s="305" t="s">
        <v>1861</v>
      </c>
      <c r="G190" s="271" t="str">
        <f>IFERROR(__xludf.DUMMYFUNCTION("""COMPUTED_VALUE"""),"FORRO CONVENCIONAL CARVALHO EUROPEU GRIGIO NERO 15/3 X 125 X 1200MM")</f>
        <v>FORRO CONVENCIONAL CARVALHO EUROPEU GRIGIO NERO 15/3 X 125 X 1200MM</v>
      </c>
      <c r="H190" s="283" t="s">
        <v>297</v>
      </c>
      <c r="I190" s="271">
        <f t="shared" si="2"/>
        <v>194.56</v>
      </c>
      <c r="J190" s="284"/>
      <c r="K190" s="305" t="s">
        <v>1862</v>
      </c>
      <c r="L190" s="285" t="s">
        <v>298</v>
      </c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6"/>
      <c r="Z190" s="286"/>
      <c r="AA190" s="286"/>
    </row>
    <row r="191">
      <c r="A191" s="271"/>
      <c r="B191" s="271"/>
      <c r="C191" s="271"/>
      <c r="D191" s="271"/>
      <c r="E191" s="271"/>
      <c r="F191" s="305" t="s">
        <v>1862</v>
      </c>
      <c r="G191" s="271" t="str">
        <f>IFERROR(__xludf.DUMMYFUNCTION("""COMPUTED_VALUE"""),"FORRO CONVENCIONAL CARVALHO EUROPEU GRIGIO NERO 15/3 X 190 X 1900MM")</f>
        <v>FORRO CONVENCIONAL CARVALHO EUROPEU GRIGIO NERO 15/3 X 190 X 1900MM</v>
      </c>
      <c r="H191" s="283" t="s">
        <v>298</v>
      </c>
      <c r="I191" s="271">
        <f t="shared" si="2"/>
        <v>229.82</v>
      </c>
      <c r="J191" s="288"/>
      <c r="K191" s="305" t="s">
        <v>1863</v>
      </c>
      <c r="L191" s="285" t="s">
        <v>299</v>
      </c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5"/>
      <c r="Z191" s="275"/>
      <c r="AA191" s="275"/>
    </row>
    <row r="192">
      <c r="A192" s="271"/>
      <c r="B192" s="271"/>
      <c r="C192" s="271"/>
      <c r="D192" s="271"/>
      <c r="E192" s="271"/>
      <c r="F192" s="305" t="s">
        <v>1863</v>
      </c>
      <c r="G192" s="271" t="str">
        <f>IFERROR(__xludf.DUMMYFUNCTION("""COMPUTED_VALUE"""),"FORRO CONVENCIONAL CARVALHO EUROPEU GRIGIO NERO 20/6 X 300 X 4000MM")</f>
        <v>FORRO CONVENCIONAL CARVALHO EUROPEU GRIGIO NERO 20/6 X 300 X 4000MM</v>
      </c>
      <c r="H192" s="283" t="s">
        <v>299</v>
      </c>
      <c r="I192" s="271">
        <f t="shared" si="2"/>
        <v>270.56</v>
      </c>
      <c r="J192" s="288"/>
      <c r="K192" s="305" t="s">
        <v>1864</v>
      </c>
      <c r="L192" s="285" t="s">
        <v>300</v>
      </c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5"/>
      <c r="Z192" s="275"/>
      <c r="AA192" s="275"/>
    </row>
    <row r="193">
      <c r="A193" s="271"/>
      <c r="B193" s="271"/>
      <c r="C193" s="271"/>
      <c r="D193" s="271"/>
      <c r="E193" s="271"/>
      <c r="F193" s="305" t="s">
        <v>1864</v>
      </c>
      <c r="G193" s="271" t="str">
        <f>IFERROR(__xludf.DUMMYFUNCTION("""COMPUTED_VALUE"""),"FORRO CONVENCIONAL CARVALHO EUROPEU GRIGIO NERO 20/6 X 400 X 5000MM")</f>
        <v>FORRO CONVENCIONAL CARVALHO EUROPEU GRIGIO NERO 20/6 X 400 X 5000MM</v>
      </c>
      <c r="H193" s="283" t="s">
        <v>300</v>
      </c>
      <c r="I193" s="271">
        <f t="shared" si="2"/>
        <v>304</v>
      </c>
      <c r="J193" s="288"/>
      <c r="K193" s="305" t="s">
        <v>1865</v>
      </c>
      <c r="L193" s="285" t="s">
        <v>301</v>
      </c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5"/>
      <c r="Z193" s="275"/>
      <c r="AA193" s="275"/>
    </row>
    <row r="194">
      <c r="A194" s="271"/>
      <c r="B194" s="271"/>
      <c r="C194" s="285"/>
      <c r="D194" s="285"/>
      <c r="E194" s="285"/>
      <c r="F194" s="305" t="s">
        <v>1865</v>
      </c>
      <c r="G194" s="271" t="str">
        <f>IFERROR(__xludf.DUMMYFUNCTION("""COMPUTED_VALUE"""),"FORRO CONVENCIONAL CARVALHO EUROPEU LIGHT BROWN CHEVRON 15/3 X 1900X 740MM")</f>
        <v>FORRO CONVENCIONAL CARVALHO EUROPEU LIGHT BROWN CHEVRON 15/3 X 1900X 740MM</v>
      </c>
      <c r="H194" s="283" t="s">
        <v>301</v>
      </c>
      <c r="I194" s="271">
        <f t="shared" si="2"/>
        <v>229.82</v>
      </c>
      <c r="J194" s="284"/>
      <c r="K194" s="305" t="s">
        <v>1866</v>
      </c>
      <c r="L194" s="285" t="s">
        <v>302</v>
      </c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6"/>
      <c r="Z194" s="286"/>
      <c r="AA194" s="286"/>
    </row>
    <row r="195">
      <c r="A195" s="271"/>
      <c r="B195" s="271"/>
      <c r="C195" s="271"/>
      <c r="D195" s="271"/>
      <c r="E195" s="271"/>
      <c r="F195" s="305" t="s">
        <v>1866</v>
      </c>
      <c r="G195" s="271" t="str">
        <f>IFERROR(__xludf.DUMMYFUNCTION("""COMPUTED_VALUE"""),"FORRO CONVENCIONAL CARVALHO EUROPEU LIGHT BROWN 15/3 X 125 X 1200MM")</f>
        <v>FORRO CONVENCIONAL CARVALHO EUROPEU LIGHT BROWN 15/3 X 125 X 1200MM</v>
      </c>
      <c r="H195" s="283" t="s">
        <v>302</v>
      </c>
      <c r="I195" s="271">
        <f t="shared" si="2"/>
        <v>194.56</v>
      </c>
      <c r="J195" s="288"/>
      <c r="K195" s="305" t="s">
        <v>1867</v>
      </c>
      <c r="L195" s="285" t="s">
        <v>105</v>
      </c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5"/>
      <c r="Z195" s="275"/>
      <c r="AA195" s="275"/>
    </row>
    <row r="196">
      <c r="A196" s="271"/>
      <c r="B196" s="271"/>
      <c r="C196" s="271"/>
      <c r="D196" s="271"/>
      <c r="E196" s="271"/>
      <c r="F196" s="305" t="s">
        <v>1867</v>
      </c>
      <c r="G196" s="271" t="str">
        <f>IFERROR(__xludf.DUMMYFUNCTION("""COMPUTED_VALUE"""),"FORRO CONVENCIONAL CARVALHO EUROPEU LIGHT BROWN 15/3 X 190 X 1900MM")</f>
        <v>FORRO CONVENCIONAL CARVALHO EUROPEU LIGHT BROWN 15/3 X 190 X 1900MM</v>
      </c>
      <c r="H196" s="283" t="s">
        <v>105</v>
      </c>
      <c r="I196" s="271" t="str">
        <f t="array" ref="I196">IFERROR(INDEX($D$3:$D$2001,MATCH(TRUE,ISNUMBER(FIND($B$3:$B$2001,#REF!)),0)),"")</f>
        <v/>
      </c>
      <c r="J196" s="288"/>
      <c r="K196" s="305" t="s">
        <v>106</v>
      </c>
      <c r="L196" s="285" t="s">
        <v>107</v>
      </c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5"/>
      <c r="Z196" s="275"/>
      <c r="AA196" s="275"/>
    </row>
    <row r="197">
      <c r="A197" s="271"/>
      <c r="B197" s="271"/>
      <c r="C197" s="271"/>
      <c r="D197" s="271"/>
      <c r="E197" s="271"/>
      <c r="F197" s="305" t="s">
        <v>106</v>
      </c>
      <c r="G197" s="321" t="str">
        <f>IFERROR(__xludf.DUMMYFUNCTION("""COMPUTED_VALUE"""),"FORRO CONVENCIONAL CARVALHO EUROPEU LIGHT BROWN 20/6 X 300 X 4000MM")</f>
        <v>FORRO CONVENCIONAL CARVALHO EUROPEU LIGHT BROWN 20/6 X 300 X 4000MM</v>
      </c>
      <c r="H197" s="283" t="s">
        <v>107</v>
      </c>
      <c r="I197" s="271">
        <f t="array" ref="I197">IFERROR(INDEX($D$3:$D$2001,MATCH(TRUE,ISNUMBER(FIND($B$3:$B$2001,G196)),0)),"")</f>
        <v>229.82</v>
      </c>
      <c r="J197" s="288"/>
      <c r="K197" s="305" t="s">
        <v>106</v>
      </c>
      <c r="L197" s="285" t="s">
        <v>303</v>
      </c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5"/>
      <c r="Z197" s="275"/>
      <c r="AA197" s="275"/>
    </row>
    <row r="198">
      <c r="A198" s="271"/>
      <c r="B198" s="271"/>
      <c r="C198" s="285"/>
      <c r="D198" s="285"/>
      <c r="E198" s="285"/>
      <c r="F198" s="322"/>
      <c r="G198" s="271" t="str">
        <f>IFERROR(__xludf.DUMMYFUNCTION("""COMPUTED_VALUE"""),"FORRO CONVENCIONAL CARVALHO EUROPEU - LISTONE GIORDANO (HERITAGE 140 FILIGRANA - SIENNA 1179) TG 1,25 X 14,0 X 83,50CM --")</f>
        <v>FORRO CONVENCIONAL CARVALHO EUROPEU - LISTONE GIORDANO (HERITAGE 140 FILIGRANA - SIENNA 1179) TG 1,25 X 14,0 X 83,50CM --</v>
      </c>
      <c r="H198" s="283" t="s">
        <v>303</v>
      </c>
      <c r="I198" s="271">
        <f t="shared" ref="I198:I470" si="3">IFERROR(INDEX($D$3:$D$2001,MATCH(TRUE,ISNUMBER(FIND($B$3:$B$2001,G198)),0)),"")</f>
        <v>1095</v>
      </c>
      <c r="J198" s="284"/>
      <c r="K198" s="305" t="s">
        <v>108</v>
      </c>
      <c r="L198" s="285" t="s">
        <v>304</v>
      </c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6"/>
      <c r="Z198" s="286"/>
      <c r="AA198" s="286"/>
    </row>
    <row r="199">
      <c r="A199" s="271"/>
      <c r="B199" s="271"/>
      <c r="C199" s="271"/>
      <c r="D199" s="271"/>
      <c r="E199" s="271"/>
      <c r="F199" s="322"/>
      <c r="G199" s="271" t="str">
        <f>IFERROR(__xludf.DUMMYFUNCTION("""COMPUTED_VALUE"""),"FORRO CONVENCIONAL ")</f>
        <v>FORRO CONVENCIONAL </v>
      </c>
      <c r="H199" s="283" t="s">
        <v>304</v>
      </c>
      <c r="I199" s="271" t="str">
        <f t="shared" si="3"/>
        <v/>
      </c>
      <c r="J199" s="288"/>
      <c r="K199" s="305" t="s">
        <v>1868</v>
      </c>
      <c r="L199" s="285" t="s">
        <v>305</v>
      </c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5"/>
      <c r="Z199" s="275"/>
      <c r="AA199" s="275"/>
    </row>
    <row r="200">
      <c r="A200" s="271"/>
      <c r="B200" s="271"/>
      <c r="C200" s="271"/>
      <c r="D200" s="271"/>
      <c r="E200" s="271"/>
      <c r="F200" s="305" t="s">
        <v>1868</v>
      </c>
      <c r="G200" s="271" t="str">
        <f>IFERROR(__xludf.DUMMYFUNCTION("""COMPUTED_VALUE"""),"FORRO CONVENCIONAL CARVALHO EUROPEU MILANO CHEVRON 15/3 X 1900X 740MM")</f>
        <v>FORRO CONVENCIONAL CARVALHO EUROPEU MILANO CHEVRON 15/3 X 1900X 740MM</v>
      </c>
      <c r="H200" s="283" t="s">
        <v>305</v>
      </c>
      <c r="I200" s="271" t="str">
        <f t="shared" si="3"/>
        <v/>
      </c>
      <c r="J200" s="288"/>
      <c r="K200" s="305" t="s">
        <v>1869</v>
      </c>
      <c r="L200" s="285" t="s">
        <v>306</v>
      </c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5"/>
      <c r="Z200" s="275"/>
      <c r="AA200" s="275"/>
    </row>
    <row r="201">
      <c r="A201" s="271"/>
      <c r="B201" s="271"/>
      <c r="C201" s="271"/>
      <c r="D201" s="271"/>
      <c r="E201" s="271"/>
      <c r="F201" s="305" t="s">
        <v>1869</v>
      </c>
      <c r="G201" s="271" t="str">
        <f>IFERROR(__xludf.DUMMYFUNCTION("""COMPUTED_VALUE"""),"FORRO CONVENCIONAL CARVALHO EUROPEU MILANO 15/3 X 125 X 1200MM")</f>
        <v>FORRO CONVENCIONAL CARVALHO EUROPEU MILANO 15/3 X 125 X 1200MM</v>
      </c>
      <c r="H201" s="283" t="s">
        <v>306</v>
      </c>
      <c r="I201" s="271" t="str">
        <f t="shared" si="3"/>
        <v/>
      </c>
      <c r="J201" s="288"/>
      <c r="K201" s="305" t="s">
        <v>1870</v>
      </c>
      <c r="L201" s="285" t="s">
        <v>307</v>
      </c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5"/>
      <c r="Z201" s="275"/>
      <c r="AA201" s="275"/>
    </row>
    <row r="202">
      <c r="A202" s="271"/>
      <c r="B202" s="271"/>
      <c r="C202" s="285"/>
      <c r="D202" s="285"/>
      <c r="E202" s="285"/>
      <c r="F202" s="305" t="s">
        <v>1870</v>
      </c>
      <c r="G202" s="271" t="str">
        <f>IFERROR(__xludf.DUMMYFUNCTION("""COMPUTED_VALUE"""),"FORRO CONVENCIONAL CARVALHO EUROPEU MILANO 15/3 X 190 X 1900MM")</f>
        <v>FORRO CONVENCIONAL CARVALHO EUROPEU MILANO 15/3 X 190 X 1900MM</v>
      </c>
      <c r="H202" s="283" t="s">
        <v>307</v>
      </c>
      <c r="I202" s="271" t="str">
        <f t="shared" si="3"/>
        <v/>
      </c>
      <c r="J202" s="284"/>
      <c r="K202" s="305" t="s">
        <v>1871</v>
      </c>
      <c r="L202" s="285" t="s">
        <v>308</v>
      </c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6"/>
      <c r="Z202" s="286"/>
      <c r="AA202" s="286"/>
    </row>
    <row r="203">
      <c r="A203" s="271"/>
      <c r="B203" s="271"/>
      <c r="C203" s="271"/>
      <c r="D203" s="271"/>
      <c r="E203" s="271"/>
      <c r="F203" s="305" t="s">
        <v>1871</v>
      </c>
      <c r="G203" s="271" t="str">
        <f>IFERROR(__xludf.DUMMYFUNCTION("""COMPUTED_VALUE"""),"FORRO CONVENCIONAL CARVALHO EUROPEU MILANO 20/6 X 300 X 4000MM")</f>
        <v>FORRO CONVENCIONAL CARVALHO EUROPEU MILANO 20/6 X 300 X 4000MM</v>
      </c>
      <c r="H203" s="283" t="s">
        <v>308</v>
      </c>
      <c r="I203" s="271" t="str">
        <f t="shared" si="3"/>
        <v/>
      </c>
      <c r="J203" s="288"/>
      <c r="K203" s="305" t="s">
        <v>1872</v>
      </c>
      <c r="L203" s="285" t="s">
        <v>309</v>
      </c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5"/>
      <c r="Z203" s="275"/>
      <c r="AA203" s="275"/>
    </row>
    <row r="204">
      <c r="A204" s="271"/>
      <c r="B204" s="271"/>
      <c r="C204" s="271"/>
      <c r="D204" s="271"/>
      <c r="E204" s="271"/>
      <c r="F204" s="305" t="s">
        <v>1872</v>
      </c>
      <c r="G204" s="271" t="str">
        <f>IFERROR(__xludf.DUMMYFUNCTION("""COMPUTED_VALUE"""),"FORRO CONVENCIONAL CARVALHO EUROPEU MILANO 20/6 X 400 X 5000MM")</f>
        <v>FORRO CONVENCIONAL CARVALHO EUROPEU MILANO 20/6 X 400 X 5000MM</v>
      </c>
      <c r="H204" s="283" t="s">
        <v>309</v>
      </c>
      <c r="I204" s="271" t="str">
        <f t="shared" si="3"/>
        <v/>
      </c>
      <c r="J204" s="288"/>
      <c r="K204" s="305" t="s">
        <v>1873</v>
      </c>
      <c r="L204" s="285" t="s">
        <v>310</v>
      </c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5"/>
      <c r="Z204" s="275"/>
      <c r="AA204" s="275"/>
    </row>
    <row r="205">
      <c r="A205" s="271"/>
      <c r="B205" s="271"/>
      <c r="C205" s="271"/>
      <c r="D205" s="271"/>
      <c r="E205" s="271"/>
      <c r="F205" s="305" t="s">
        <v>1873</v>
      </c>
      <c r="G205" s="271" t="str">
        <f>IFERROR(__xludf.DUMMYFUNCTION("""COMPUTED_VALUE"""),"FORRO CONVENCIONAL CARVALHO EUROPEU SMOKED CHEVRON 15/3 X 1900X 740MM")</f>
        <v>FORRO CONVENCIONAL CARVALHO EUROPEU SMOKED CHEVRON 15/3 X 1900X 740MM</v>
      </c>
      <c r="H205" s="283" t="s">
        <v>310</v>
      </c>
      <c r="I205" s="271" t="str">
        <f t="shared" si="3"/>
        <v/>
      </c>
      <c r="J205" s="288"/>
      <c r="K205" s="305" t="s">
        <v>1874</v>
      </c>
      <c r="L205" s="285" t="s">
        <v>311</v>
      </c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5"/>
      <c r="Z205" s="275"/>
      <c r="AA205" s="275"/>
    </row>
    <row r="206">
      <c r="A206" s="271"/>
      <c r="B206" s="271"/>
      <c r="C206" s="285"/>
      <c r="D206" s="285"/>
      <c r="E206" s="285"/>
      <c r="F206" s="305" t="s">
        <v>1874</v>
      </c>
      <c r="G206" s="271" t="str">
        <f>IFERROR(__xludf.DUMMYFUNCTION("""COMPUTED_VALUE"""),"FORRO CONVENCIONAL CARVALHO EUROPEU SMOKED 15/3 X 125 X 1200MM")</f>
        <v>FORRO CONVENCIONAL CARVALHO EUROPEU SMOKED 15/3 X 125 X 1200MM</v>
      </c>
      <c r="H206" s="283" t="s">
        <v>311</v>
      </c>
      <c r="I206" s="271" t="str">
        <f t="shared" si="3"/>
        <v/>
      </c>
      <c r="J206" s="284"/>
      <c r="K206" s="305" t="s">
        <v>1875</v>
      </c>
      <c r="L206" s="285" t="s">
        <v>312</v>
      </c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6"/>
      <c r="Z206" s="286"/>
      <c r="AA206" s="286"/>
    </row>
    <row r="207">
      <c r="A207" s="271"/>
      <c r="B207" s="271"/>
      <c r="C207" s="271"/>
      <c r="D207" s="271"/>
      <c r="E207" s="271"/>
      <c r="F207" s="305" t="s">
        <v>1875</v>
      </c>
      <c r="G207" s="271" t="str">
        <f>IFERROR(__xludf.DUMMYFUNCTION("""COMPUTED_VALUE"""),"FORRO CONVENCIONAL CARVALHO EUROPEU SMOKED 15/3 X 190 X 1900MM")</f>
        <v>FORRO CONVENCIONAL CARVALHO EUROPEU SMOKED 15/3 X 190 X 1900MM</v>
      </c>
      <c r="H207" s="283" t="s">
        <v>312</v>
      </c>
      <c r="I207" s="271" t="str">
        <f t="shared" si="3"/>
        <v/>
      </c>
      <c r="J207" s="288"/>
      <c r="K207" s="305" t="s">
        <v>1876</v>
      </c>
      <c r="L207" s="285" t="s">
        <v>313</v>
      </c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5"/>
      <c r="Z207" s="275"/>
      <c r="AA207" s="275"/>
    </row>
    <row r="208">
      <c r="A208" s="271"/>
      <c r="B208" s="271"/>
      <c r="C208" s="271"/>
      <c r="D208" s="271"/>
      <c r="E208" s="271"/>
      <c r="F208" s="305" t="s">
        <v>1876</v>
      </c>
      <c r="G208" s="271" t="str">
        <f>IFERROR(__xludf.DUMMYFUNCTION("""COMPUTED_VALUE"""),"FORRO CONVENCIONAL CARVALHO EUROPEU SMOKED 20/6 X 300 X 4000MM")</f>
        <v>FORRO CONVENCIONAL CARVALHO EUROPEU SMOKED 20/6 X 300 X 4000MM</v>
      </c>
      <c r="H208" s="283" t="s">
        <v>313</v>
      </c>
      <c r="I208" s="271" t="str">
        <f t="shared" si="3"/>
        <v/>
      </c>
      <c r="J208" s="288"/>
      <c r="K208" s="305" t="s">
        <v>1877</v>
      </c>
      <c r="L208" s="285" t="s">
        <v>314</v>
      </c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5"/>
      <c r="Z208" s="275"/>
      <c r="AA208" s="275"/>
    </row>
    <row r="209">
      <c r="A209" s="271"/>
      <c r="B209" s="271"/>
      <c r="C209" s="271"/>
      <c r="D209" s="271"/>
      <c r="E209" s="271"/>
      <c r="F209" s="305" t="s">
        <v>1877</v>
      </c>
      <c r="G209" s="271" t="str">
        <f>IFERROR(__xludf.DUMMYFUNCTION("""COMPUTED_VALUE"""),"FORRO CONVENCIONAL CARVALHO EUROPEU SMOKED 20/6 X 400 X 5000MM")</f>
        <v>FORRO CONVENCIONAL CARVALHO EUROPEU SMOKED 20/6 X 400 X 5000MM</v>
      </c>
      <c r="H209" s="283" t="s">
        <v>314</v>
      </c>
      <c r="I209" s="271" t="str">
        <f t="shared" si="3"/>
        <v/>
      </c>
      <c r="J209" s="288"/>
      <c r="K209" s="305" t="s">
        <v>1878</v>
      </c>
      <c r="L209" s="285" t="s">
        <v>315</v>
      </c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5"/>
      <c r="Z209" s="275"/>
      <c r="AA209" s="275"/>
    </row>
    <row r="210">
      <c r="A210" s="271"/>
      <c r="B210" s="271"/>
      <c r="C210" s="285"/>
      <c r="D210" s="285"/>
      <c r="E210" s="285"/>
      <c r="F210" s="305" t="s">
        <v>1878</v>
      </c>
      <c r="G210" s="271" t="str">
        <f>IFERROR(__xludf.DUMMYFUNCTION("""COMPUTED_VALUE"""),"FORRO CONVENCIONAL CARVALHO EUROPEU GIZ CHEVRON 15/3 X 1900X 740MM")</f>
        <v>FORRO CONVENCIONAL CARVALHO EUROPEU GIZ CHEVRON 15/3 X 1900X 740MM</v>
      </c>
      <c r="H210" s="283" t="s">
        <v>315</v>
      </c>
      <c r="I210" s="271" t="str">
        <f t="shared" si="3"/>
        <v/>
      </c>
      <c r="J210" s="284"/>
      <c r="K210" s="305" t="s">
        <v>1879</v>
      </c>
      <c r="L210" s="285" t="s">
        <v>316</v>
      </c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6"/>
      <c r="Z210" s="286"/>
      <c r="AA210" s="286"/>
    </row>
    <row r="211">
      <c r="A211" s="271"/>
      <c r="B211" s="271"/>
      <c r="C211" s="271"/>
      <c r="D211" s="271"/>
      <c r="E211" s="271"/>
      <c r="F211" s="305" t="s">
        <v>1879</v>
      </c>
      <c r="G211" s="271" t="str">
        <f>IFERROR(__xludf.DUMMYFUNCTION("""COMPUTED_VALUE"""),"FORRO CONVENCIONAL CARVALHO EUROPEU GIZ 15/3 X 125 X 1200MM")</f>
        <v>FORRO CONVENCIONAL CARVALHO EUROPEU GIZ 15/3 X 125 X 1200MM</v>
      </c>
      <c r="H211" s="283" t="s">
        <v>316</v>
      </c>
      <c r="I211" s="271" t="str">
        <f t="shared" si="3"/>
        <v/>
      </c>
      <c r="J211" s="288"/>
      <c r="K211" s="305" t="s">
        <v>1880</v>
      </c>
      <c r="L211" s="285" t="s">
        <v>317</v>
      </c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5"/>
      <c r="Z211" s="275"/>
      <c r="AA211" s="275"/>
    </row>
    <row r="212">
      <c r="A212" s="271"/>
      <c r="B212" s="271"/>
      <c r="C212" s="271"/>
      <c r="D212" s="271"/>
      <c r="E212" s="271"/>
      <c r="F212" s="305" t="s">
        <v>1880</v>
      </c>
      <c r="G212" s="271" t="str">
        <f>IFERROR(__xludf.DUMMYFUNCTION("""COMPUTED_VALUE"""),"FORRO CONVENCIONAL CARVALHO EUROPEU GIZ 15/3 X 190 X 1900MM")</f>
        <v>FORRO CONVENCIONAL CARVALHO EUROPEU GIZ 15/3 X 190 X 1900MM</v>
      </c>
      <c r="H212" s="283" t="s">
        <v>317</v>
      </c>
      <c r="I212" s="271" t="str">
        <f t="shared" si="3"/>
        <v/>
      </c>
      <c r="J212" s="288"/>
      <c r="K212" s="305" t="s">
        <v>1881</v>
      </c>
      <c r="L212" s="285" t="s">
        <v>318</v>
      </c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5"/>
      <c r="Z212" s="275"/>
      <c r="AA212" s="275"/>
    </row>
    <row r="213">
      <c r="A213" s="271"/>
      <c r="B213" s="271"/>
      <c r="C213" s="271"/>
      <c r="D213" s="271"/>
      <c r="E213" s="271"/>
      <c r="F213" s="305" t="s">
        <v>1881</v>
      </c>
      <c r="G213" s="271" t="str">
        <f>IFERROR(__xludf.DUMMYFUNCTION("""COMPUTED_VALUE"""),"FORRO CONVENCIONAL CARVALHO EUROPEU GIZ 20/6 X 300 X 4000MM")</f>
        <v>FORRO CONVENCIONAL CARVALHO EUROPEU GIZ 20/6 X 300 X 4000MM</v>
      </c>
      <c r="H213" s="283" t="s">
        <v>318</v>
      </c>
      <c r="I213" s="271" t="str">
        <f t="shared" si="3"/>
        <v/>
      </c>
      <c r="J213" s="288"/>
      <c r="K213" s="305" t="s">
        <v>1882</v>
      </c>
      <c r="L213" s="285" t="s">
        <v>319</v>
      </c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5"/>
      <c r="Z213" s="275"/>
      <c r="AA213" s="275"/>
    </row>
    <row r="214">
      <c r="A214" s="271"/>
      <c r="B214" s="271"/>
      <c r="C214" s="285"/>
      <c r="D214" s="271"/>
      <c r="E214" s="285"/>
      <c r="F214" s="305" t="s">
        <v>1882</v>
      </c>
      <c r="G214" s="271" t="str">
        <f>IFERROR(__xludf.DUMMYFUNCTION("""COMPUTED_VALUE"""),"FORRO CONVENCIONAL CARVALHO EUROPEU GIZ 20/6 X 400 X 5000MM")</f>
        <v>FORRO CONVENCIONAL CARVALHO EUROPEU GIZ 20/6 X 400 X 5000MM</v>
      </c>
      <c r="H214" s="283" t="s">
        <v>319</v>
      </c>
      <c r="I214" s="271" t="str">
        <f t="shared" si="3"/>
        <v/>
      </c>
      <c r="J214" s="284"/>
      <c r="K214" s="305" t="s">
        <v>1883</v>
      </c>
      <c r="L214" s="285" t="s">
        <v>320</v>
      </c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6"/>
      <c r="Z214" s="286"/>
      <c r="AA214" s="286"/>
    </row>
    <row r="215">
      <c r="A215" s="271"/>
      <c r="B215" s="271"/>
      <c r="C215" s="271"/>
      <c r="D215" s="271"/>
      <c r="E215" s="271"/>
      <c r="F215" s="305" t="s">
        <v>1883</v>
      </c>
      <c r="G215" s="271" t="str">
        <f>IFERROR(__xludf.DUMMYFUNCTION("""COMPUTED_VALUE"""),"FORRO CONVENCIONAL CARVALHO EUROPEU SNOW CHEVRON 15/3 X 1900X 740MM")</f>
        <v>FORRO CONVENCIONAL CARVALHO EUROPEU SNOW CHEVRON 15/3 X 1900X 740MM</v>
      </c>
      <c r="H215" s="283" t="s">
        <v>320</v>
      </c>
      <c r="I215" s="271" t="str">
        <f t="shared" si="3"/>
        <v/>
      </c>
      <c r="J215" s="288"/>
      <c r="K215" s="305" t="s">
        <v>1884</v>
      </c>
      <c r="L215" s="285" t="s">
        <v>321</v>
      </c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5"/>
      <c r="Z215" s="275"/>
      <c r="AA215" s="275"/>
    </row>
    <row r="216">
      <c r="A216" s="271"/>
      <c r="B216" s="271"/>
      <c r="C216" s="271"/>
      <c r="D216" s="271"/>
      <c r="E216" s="271"/>
      <c r="F216" s="305" t="s">
        <v>1884</v>
      </c>
      <c r="G216" s="271" t="str">
        <f>IFERROR(__xludf.DUMMYFUNCTION("""COMPUTED_VALUE"""),"FORRO CONVENCIONAL CARVALHO EUROPEU SNOW 15/3 X 125 X 1200MM")</f>
        <v>FORRO CONVENCIONAL CARVALHO EUROPEU SNOW 15/3 X 125 X 1200MM</v>
      </c>
      <c r="H216" s="283" t="s">
        <v>321</v>
      </c>
      <c r="I216" s="271" t="str">
        <f t="shared" si="3"/>
        <v/>
      </c>
      <c r="J216" s="288"/>
      <c r="K216" s="305" t="s">
        <v>112</v>
      </c>
      <c r="L216" s="285" t="s">
        <v>113</v>
      </c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5"/>
      <c r="Z216" s="275"/>
      <c r="AA216" s="275"/>
    </row>
    <row r="217">
      <c r="A217" s="271"/>
      <c r="B217" s="271"/>
      <c r="C217" s="271"/>
      <c r="D217" s="271"/>
      <c r="E217" s="271"/>
      <c r="F217" s="305" t="s">
        <v>112</v>
      </c>
      <c r="G217" s="271" t="str">
        <f>IFERROR(__xludf.DUMMYFUNCTION("""COMPUTED_VALUE"""),"FORRO CONVENCIONAL CARVALHO EUROPEU SNOW 15/3 X 190 X 1900MM")</f>
        <v>FORRO CONVENCIONAL CARVALHO EUROPEU SNOW 15/3 X 190 X 1900MM</v>
      </c>
      <c r="H217" s="283" t="s">
        <v>113</v>
      </c>
      <c r="I217" s="271" t="str">
        <f t="shared" si="3"/>
        <v/>
      </c>
      <c r="J217" s="288"/>
      <c r="K217" s="305" t="s">
        <v>1885</v>
      </c>
      <c r="L217" s="285" t="s">
        <v>322</v>
      </c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5"/>
      <c r="Z217" s="275"/>
      <c r="AA217" s="275"/>
    </row>
    <row r="218">
      <c r="A218" s="271"/>
      <c r="B218" s="271"/>
      <c r="C218" s="285"/>
      <c r="D218" s="285"/>
      <c r="E218" s="285"/>
      <c r="F218" s="305" t="s">
        <v>1886</v>
      </c>
      <c r="G218" s="271" t="str">
        <f>IFERROR(__xludf.DUMMYFUNCTION("""COMPUTED_VALUE"""),"FORRO CONVENCIONAL CARVALHO EUROPEU SNOW 20/6 X 300 X 4000MM")</f>
        <v>FORRO CONVENCIONAL CARVALHO EUROPEU SNOW 20/6 X 300 X 4000MM</v>
      </c>
      <c r="H218" s="283" t="s">
        <v>322</v>
      </c>
      <c r="I218" s="271" t="str">
        <f t="shared" si="3"/>
        <v/>
      </c>
      <c r="J218" s="284"/>
      <c r="K218" s="305" t="s">
        <v>1887</v>
      </c>
      <c r="L218" s="285" t="s">
        <v>323</v>
      </c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6"/>
      <c r="Z218" s="286"/>
      <c r="AA218" s="286"/>
    </row>
    <row r="219">
      <c r="A219" s="271"/>
      <c r="B219" s="271"/>
      <c r="C219" s="271"/>
      <c r="D219" s="271"/>
      <c r="E219" s="271"/>
      <c r="F219" s="322"/>
      <c r="G219" s="271" t="str">
        <f>IFERROR(__xludf.DUMMYFUNCTION("""COMPUTED_VALUE"""),"FORRO CONVENCIONAL CARVALHO EUROPEU SNOW 20/6 X 400 X 5000MM")</f>
        <v>FORRO CONVENCIONAL CARVALHO EUROPEU SNOW 20/6 X 400 X 5000MM</v>
      </c>
      <c r="H219" s="283" t="s">
        <v>323</v>
      </c>
      <c r="I219" s="271" t="str">
        <f t="shared" si="3"/>
        <v/>
      </c>
      <c r="J219" s="288"/>
      <c r="K219" s="305" t="s">
        <v>1888</v>
      </c>
      <c r="L219" s="285" t="s">
        <v>324</v>
      </c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5"/>
      <c r="Z219" s="275"/>
      <c r="AA219" s="275"/>
    </row>
    <row r="220">
      <c r="A220" s="271"/>
      <c r="B220" s="271"/>
      <c r="C220" s="271"/>
      <c r="D220" s="271"/>
      <c r="E220" s="271"/>
      <c r="F220" s="322"/>
      <c r="G220" s="271" t="str">
        <f>IFERROR(__xludf.DUMMYFUNCTION("""COMPUTED_VALUE"""),"FORRO CONVENCIONAL CARVALHO EUROPEU WILD CHEVRON 15/3 X 1900X 740MM")</f>
        <v>FORRO CONVENCIONAL CARVALHO EUROPEU WILD CHEVRON 15/3 X 1900X 740MM</v>
      </c>
      <c r="H220" s="283" t="s">
        <v>324</v>
      </c>
      <c r="I220" s="271" t="str">
        <f t="shared" si="3"/>
        <v/>
      </c>
      <c r="J220" s="288"/>
      <c r="K220" s="305" t="s">
        <v>1889</v>
      </c>
      <c r="L220" s="285" t="s">
        <v>325</v>
      </c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5"/>
      <c r="Z220" s="275"/>
      <c r="AA220" s="275"/>
    </row>
    <row r="221">
      <c r="A221" s="271"/>
      <c r="B221" s="271"/>
      <c r="C221" s="271"/>
      <c r="D221" s="271"/>
      <c r="E221" s="271"/>
      <c r="F221" s="322"/>
      <c r="G221" s="271" t="str">
        <f>IFERROR(__xludf.DUMMYFUNCTION("""COMPUTED_VALUE"""),"FORRO CONVENCIONAL CARVALHO EUROPEU WILD 15/3 X 125 X 1200MM")</f>
        <v>FORRO CONVENCIONAL CARVALHO EUROPEU WILD 15/3 X 125 X 1200MM</v>
      </c>
      <c r="H221" s="283" t="s">
        <v>325</v>
      </c>
      <c r="I221" s="271" t="str">
        <f t="shared" si="3"/>
        <v/>
      </c>
      <c r="J221" s="288"/>
      <c r="K221" s="305" t="s">
        <v>1890</v>
      </c>
      <c r="L221" s="285" t="s">
        <v>326</v>
      </c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5"/>
      <c r="Z221" s="275"/>
      <c r="AA221" s="275"/>
    </row>
    <row r="222">
      <c r="A222" s="271"/>
      <c r="B222" s="271"/>
      <c r="C222" s="285"/>
      <c r="D222" s="285"/>
      <c r="E222" s="285"/>
      <c r="F222" s="322"/>
      <c r="G222" s="271" t="str">
        <f>IFERROR(__xludf.DUMMYFUNCTION("""COMPUTED_VALUE"""),"FORRO CONVENCIONAL CARVALHO EUROPEU WILD 15/3 X 190 X 1900MM")</f>
        <v>FORRO CONVENCIONAL CARVALHO EUROPEU WILD 15/3 X 190 X 1900MM</v>
      </c>
      <c r="H222" s="283" t="s">
        <v>326</v>
      </c>
      <c r="I222" s="271" t="str">
        <f t="shared" si="3"/>
        <v/>
      </c>
      <c r="J222" s="284"/>
      <c r="K222" s="305" t="s">
        <v>1891</v>
      </c>
      <c r="L222" s="285" t="s">
        <v>327</v>
      </c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6"/>
      <c r="Z222" s="286"/>
      <c r="AA222" s="286"/>
    </row>
    <row r="223">
      <c r="A223" s="271"/>
      <c r="B223" s="271"/>
      <c r="C223" s="271"/>
      <c r="D223" s="271"/>
      <c r="E223" s="271"/>
      <c r="F223" s="322"/>
      <c r="G223" s="271" t="str">
        <f>IFERROR(__xludf.DUMMYFUNCTION("""COMPUTED_VALUE"""),"FORRO CONVENCIONAL CARVALHO EUROPEU WILD 20/6 X 300 X 4000MM")</f>
        <v>FORRO CONVENCIONAL CARVALHO EUROPEU WILD 20/6 X 300 X 4000MM</v>
      </c>
      <c r="H223" s="283" t="s">
        <v>327</v>
      </c>
      <c r="I223" s="271" t="str">
        <f t="shared" si="3"/>
        <v/>
      </c>
      <c r="J223" s="288"/>
      <c r="K223" s="305" t="s">
        <v>1892</v>
      </c>
      <c r="L223" s="285" t="s">
        <v>328</v>
      </c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5"/>
      <c r="Z223" s="275"/>
      <c r="AA223" s="275"/>
    </row>
    <row r="224">
      <c r="A224" s="271"/>
      <c r="B224" s="271"/>
      <c r="C224" s="271"/>
      <c r="D224" s="271"/>
      <c r="E224" s="271"/>
      <c r="F224" s="322"/>
      <c r="G224" s="271" t="str">
        <f>IFERROR(__xludf.DUMMYFUNCTION("""COMPUTED_VALUE"""),"FORRO CONVENCIONAL CARVALHO EUROPEU WILD 20/6 X 400 X 5000MM")</f>
        <v>FORRO CONVENCIONAL CARVALHO EUROPEU WILD 20/6 X 400 X 5000MM</v>
      </c>
      <c r="H224" s="283" t="s">
        <v>328</v>
      </c>
      <c r="I224" s="271" t="str">
        <f t="shared" si="3"/>
        <v/>
      </c>
      <c r="J224" s="288"/>
      <c r="K224" s="305" t="s">
        <v>1893</v>
      </c>
      <c r="L224" s="285" t="s">
        <v>329</v>
      </c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5"/>
      <c r="Z224" s="275"/>
      <c r="AA224" s="275"/>
    </row>
    <row r="225">
      <c r="A225" s="271"/>
      <c r="B225" s="271"/>
      <c r="C225" s="271"/>
      <c r="D225" s="271"/>
      <c r="E225" s="271"/>
      <c r="F225" s="322"/>
      <c r="G225" s="271" t="str">
        <f>IFERROR(__xludf.DUMMYFUNCTION("""COMPUTED_VALUE"""),"FORRO CONVENCIONAL CARVALHO EUROPEU NEVADO CHEVRON 15/3 X 1900X 740MM")</f>
        <v>FORRO CONVENCIONAL CARVALHO EUROPEU NEVADO CHEVRON 15/3 X 1900X 740MM</v>
      </c>
      <c r="H225" s="283" t="s">
        <v>329</v>
      </c>
      <c r="I225" s="271" t="str">
        <f t="shared" si="3"/>
        <v/>
      </c>
      <c r="J225" s="288"/>
      <c r="K225" s="305" t="s">
        <v>1894</v>
      </c>
      <c r="L225" s="285" t="s">
        <v>330</v>
      </c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5"/>
      <c r="Z225" s="275"/>
      <c r="AA225" s="275"/>
    </row>
    <row r="226">
      <c r="A226" s="271"/>
      <c r="B226" s="271"/>
      <c r="C226" s="285"/>
      <c r="D226" s="285"/>
      <c r="E226" s="285"/>
      <c r="F226" s="322"/>
      <c r="G226" s="271" t="str">
        <f>IFERROR(__xludf.DUMMYFUNCTION("""COMPUTED_VALUE"""),"FORRO CONVENCIONAL CARVALHO EUROPEU NEVADO 15/3 X 125 X 1200MM")</f>
        <v>FORRO CONVENCIONAL CARVALHO EUROPEU NEVADO 15/3 X 125 X 1200MM</v>
      </c>
      <c r="H226" s="283" t="s">
        <v>330</v>
      </c>
      <c r="I226" s="271" t="str">
        <f t="shared" si="3"/>
        <v/>
      </c>
      <c r="J226" s="284"/>
      <c r="K226" s="305" t="s">
        <v>1895</v>
      </c>
      <c r="L226" s="285" t="s">
        <v>331</v>
      </c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6"/>
      <c r="Z226" s="286"/>
      <c r="AA226" s="286"/>
    </row>
    <row r="227">
      <c r="A227" s="271"/>
      <c r="B227" s="271"/>
      <c r="C227" s="271"/>
      <c r="D227" s="271"/>
      <c r="E227" s="271"/>
      <c r="F227" s="322"/>
      <c r="G227" s="271" t="str">
        <f>IFERROR(__xludf.DUMMYFUNCTION("""COMPUTED_VALUE"""),"FORRO CONVENCIONAL CARVALHO EUROPEU NEVADO 15/3 X 190 X 1900MM")</f>
        <v>FORRO CONVENCIONAL CARVALHO EUROPEU NEVADO 15/3 X 190 X 1900MM</v>
      </c>
      <c r="H227" s="283" t="s">
        <v>331</v>
      </c>
      <c r="I227" s="271" t="str">
        <f t="shared" si="3"/>
        <v/>
      </c>
      <c r="J227" s="288"/>
      <c r="K227" s="305" t="s">
        <v>1896</v>
      </c>
      <c r="L227" s="285" t="s">
        <v>332</v>
      </c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5"/>
      <c r="Z227" s="275"/>
      <c r="AA227" s="275"/>
    </row>
    <row r="228">
      <c r="A228" s="271"/>
      <c r="B228" s="271"/>
      <c r="C228" s="271"/>
      <c r="D228" s="271"/>
      <c r="E228" s="271"/>
      <c r="F228" s="322"/>
      <c r="G228" s="271" t="str">
        <f>IFERROR(__xludf.DUMMYFUNCTION("""COMPUTED_VALUE"""),"FORRO CONVENCIONAL CARVALHO EUROPEU NEVADO 20/6 X 300 X 4000MM")</f>
        <v>FORRO CONVENCIONAL CARVALHO EUROPEU NEVADO 20/6 X 300 X 4000MM</v>
      </c>
      <c r="H228" s="283" t="s">
        <v>332</v>
      </c>
      <c r="I228" s="271" t="str">
        <f t="shared" si="3"/>
        <v/>
      </c>
      <c r="J228" s="288"/>
      <c r="K228" s="305" t="s">
        <v>1897</v>
      </c>
      <c r="L228" s="285" t="s">
        <v>333</v>
      </c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5"/>
      <c r="Z228" s="275"/>
      <c r="AA228" s="275"/>
    </row>
    <row r="229">
      <c r="A229" s="271"/>
      <c r="B229" s="271"/>
      <c r="C229" s="271"/>
      <c r="D229" s="271"/>
      <c r="E229" s="271"/>
      <c r="F229" s="322"/>
      <c r="G229" s="271" t="str">
        <f>IFERROR(__xludf.DUMMYFUNCTION("""COMPUTED_VALUE"""),"FORRO CONVENCIONAL CARVALHO EUROPEU NEVADO 20/6 X 400 X 5000MM")</f>
        <v>FORRO CONVENCIONAL CARVALHO EUROPEU NEVADO 20/6 X 400 X 5000MM</v>
      </c>
      <c r="H229" s="283" t="s">
        <v>333</v>
      </c>
      <c r="I229" s="271" t="str">
        <f t="shared" si="3"/>
        <v/>
      </c>
      <c r="J229" s="288"/>
      <c r="K229" s="305" t="s">
        <v>1898</v>
      </c>
      <c r="L229" s="285" t="s">
        <v>334</v>
      </c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5"/>
      <c r="Z229" s="275"/>
      <c r="AA229" s="275"/>
    </row>
    <row r="230">
      <c r="A230" s="271"/>
      <c r="B230" s="271"/>
      <c r="C230" s="285"/>
      <c r="D230" s="285"/>
      <c r="E230" s="285"/>
      <c r="F230" s="322"/>
      <c r="G230" s="271" t="str">
        <f>IFERROR(__xludf.DUMMYFUNCTION("""COMPUTED_VALUE"""),"FORRO CONVENCIONAL CARVALHO EUROPEU CONCRETE GREY CHEVRON 15/3 X 1900X 740MM")</f>
        <v>FORRO CONVENCIONAL CARVALHO EUROPEU CONCRETE GREY CHEVRON 15/3 X 1900X 740MM</v>
      </c>
      <c r="H230" s="283" t="s">
        <v>334</v>
      </c>
      <c r="I230" s="271" t="str">
        <f t="shared" si="3"/>
        <v/>
      </c>
      <c r="J230" s="284"/>
      <c r="K230" s="305" t="s">
        <v>1899</v>
      </c>
      <c r="L230" s="285" t="s">
        <v>335</v>
      </c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6"/>
      <c r="Z230" s="286"/>
      <c r="AA230" s="286"/>
    </row>
    <row r="231">
      <c r="A231" s="271"/>
      <c r="B231" s="271"/>
      <c r="C231" s="271"/>
      <c r="D231" s="271"/>
      <c r="E231" s="271"/>
      <c r="F231" s="322"/>
      <c r="G231" s="271" t="str">
        <f>IFERROR(__xludf.DUMMYFUNCTION("""COMPUTED_VALUE"""),"FORRO CONVENCIONAL CARVALHO EUROPEU CONCRETE GREY 15/3 X 125 X 1200MM")</f>
        <v>FORRO CONVENCIONAL CARVALHO EUROPEU CONCRETE GREY 15/3 X 125 X 1200MM</v>
      </c>
      <c r="H231" s="283" t="s">
        <v>335</v>
      </c>
      <c r="I231" s="271" t="str">
        <f t="shared" si="3"/>
        <v/>
      </c>
      <c r="J231" s="288"/>
      <c r="K231" s="305" t="s">
        <v>1900</v>
      </c>
      <c r="L231" s="285" t="s">
        <v>336</v>
      </c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5"/>
      <c r="Z231" s="275"/>
      <c r="AA231" s="275"/>
    </row>
    <row r="232">
      <c r="A232" s="271"/>
      <c r="B232" s="271"/>
      <c r="C232" s="271"/>
      <c r="D232" s="271"/>
      <c r="E232" s="271"/>
      <c r="F232" s="322"/>
      <c r="G232" s="271" t="str">
        <f>IFERROR(__xludf.DUMMYFUNCTION("""COMPUTED_VALUE"""),"FORRO CONVENCIONAL CARVALHO EUROPEU CONCRETE GREY 15/3 X 190 X 1900MM")</f>
        <v>FORRO CONVENCIONAL CARVALHO EUROPEU CONCRETE GREY 15/3 X 190 X 1900MM</v>
      </c>
      <c r="H232" s="283" t="s">
        <v>336</v>
      </c>
      <c r="I232" s="271" t="str">
        <f t="shared" si="3"/>
        <v/>
      </c>
      <c r="J232" s="288"/>
      <c r="K232" s="305" t="s">
        <v>1901</v>
      </c>
      <c r="L232" s="285" t="s">
        <v>337</v>
      </c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5"/>
      <c r="Z232" s="275"/>
      <c r="AA232" s="275"/>
    </row>
    <row r="233">
      <c r="A233" s="271"/>
      <c r="B233" s="271"/>
      <c r="C233" s="271"/>
      <c r="D233" s="271"/>
      <c r="E233" s="271"/>
      <c r="F233" s="322"/>
      <c r="G233" s="271" t="str">
        <f>IFERROR(__xludf.DUMMYFUNCTION("""COMPUTED_VALUE"""),"FORRO CONVENCIONAL CARVALHO EUROPEU CONCRETE GREY 20/6 X 300 X 4000MM")</f>
        <v>FORRO CONVENCIONAL CARVALHO EUROPEU CONCRETE GREY 20/6 X 300 X 4000MM</v>
      </c>
      <c r="H233" s="283" t="s">
        <v>337</v>
      </c>
      <c r="I233" s="271" t="str">
        <f t="shared" si="3"/>
        <v/>
      </c>
      <c r="J233" s="288"/>
      <c r="K233" s="305" t="s">
        <v>1902</v>
      </c>
      <c r="L233" s="285" t="s">
        <v>338</v>
      </c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5"/>
      <c r="Z233" s="275"/>
      <c r="AA233" s="275"/>
    </row>
    <row r="234">
      <c r="A234" s="271"/>
      <c r="B234" s="271"/>
      <c r="C234" s="285"/>
      <c r="D234" s="271"/>
      <c r="E234" s="285"/>
      <c r="F234" s="322"/>
      <c r="G234" s="271" t="str">
        <f>IFERROR(__xludf.DUMMYFUNCTION("""COMPUTED_VALUE"""),"FORRO CONVENCIONAL CARVALHO EUROPEU CONCRETE GREY 20/6 X 400 X 5000MM")</f>
        <v>FORRO CONVENCIONAL CARVALHO EUROPEU CONCRETE GREY 20/6 X 400 X 5000MM</v>
      </c>
      <c r="H234" s="283" t="s">
        <v>338</v>
      </c>
      <c r="I234" s="271" t="str">
        <f t="shared" si="3"/>
        <v/>
      </c>
      <c r="J234" s="284"/>
      <c r="K234" s="305" t="s">
        <v>1903</v>
      </c>
      <c r="L234" s="285" t="s">
        <v>339</v>
      </c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6"/>
      <c r="Z234" s="286"/>
      <c r="AA234" s="286"/>
    </row>
    <row r="235">
      <c r="A235" s="271"/>
      <c r="B235" s="271"/>
      <c r="C235" s="271"/>
      <c r="D235" s="271"/>
      <c r="E235" s="271"/>
      <c r="F235" s="322"/>
      <c r="G235" s="271" t="str">
        <f>IFERROR(__xludf.DUMMYFUNCTION("""COMPUTED_VALUE"""),"FORRO CONVENCIONAL CARVALHO EUROPEU ITALY BROWN CHEVRON 15/3 X 1900X 740MM")</f>
        <v>FORRO CONVENCIONAL CARVALHO EUROPEU ITALY BROWN CHEVRON 15/3 X 1900X 740MM</v>
      </c>
      <c r="H235" s="283" t="s">
        <v>339</v>
      </c>
      <c r="I235" s="271" t="str">
        <f t="shared" si="3"/>
        <v/>
      </c>
      <c r="J235" s="288"/>
      <c r="K235" s="305" t="s">
        <v>1904</v>
      </c>
      <c r="L235" s="285" t="s">
        <v>340</v>
      </c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5"/>
      <c r="Z235" s="275"/>
      <c r="AA235" s="275"/>
    </row>
    <row r="236">
      <c r="A236" s="271"/>
      <c r="B236" s="271"/>
      <c r="C236" s="271"/>
      <c r="D236" s="271"/>
      <c r="E236" s="271"/>
      <c r="F236" s="322"/>
      <c r="G236" s="271" t="str">
        <f>IFERROR(__xludf.DUMMYFUNCTION("""COMPUTED_VALUE"""),"FORRO CONVENCIONAL CARVALHO EUROPEU ITALY BROWN 15/3 X 125 X 1200MM")</f>
        <v>FORRO CONVENCIONAL CARVALHO EUROPEU ITALY BROWN 15/3 X 125 X 1200MM</v>
      </c>
      <c r="H236" s="283" t="s">
        <v>340</v>
      </c>
      <c r="I236" s="271" t="str">
        <f t="shared" si="3"/>
        <v/>
      </c>
      <c r="J236" s="288"/>
      <c r="K236" s="305" t="s">
        <v>1905</v>
      </c>
      <c r="L236" s="285" t="s">
        <v>341</v>
      </c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5"/>
      <c r="Z236" s="275"/>
      <c r="AA236" s="275"/>
    </row>
    <row r="237">
      <c r="A237" s="271"/>
      <c r="B237" s="271"/>
      <c r="C237" s="271"/>
      <c r="D237" s="271"/>
      <c r="E237" s="271"/>
      <c r="F237" s="322"/>
      <c r="G237" s="271" t="str">
        <f>IFERROR(__xludf.DUMMYFUNCTION("""COMPUTED_VALUE"""),"FORRO CONVENCIONAL CARVALHO EUROPEU ITALY BROWN 15/3 X 190 X 1900MM")</f>
        <v>FORRO CONVENCIONAL CARVALHO EUROPEU ITALY BROWN 15/3 X 190 X 1900MM</v>
      </c>
      <c r="H237" s="283" t="s">
        <v>341</v>
      </c>
      <c r="I237" s="271" t="str">
        <f t="shared" si="3"/>
        <v/>
      </c>
      <c r="J237" s="288"/>
      <c r="K237" s="305" t="s">
        <v>1906</v>
      </c>
      <c r="L237" s="285" t="s">
        <v>342</v>
      </c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5"/>
      <c r="Z237" s="275"/>
      <c r="AA237" s="275"/>
    </row>
    <row r="238">
      <c r="A238" s="271"/>
      <c r="B238" s="271"/>
      <c r="C238" s="285"/>
      <c r="D238" s="285"/>
      <c r="E238" s="285"/>
      <c r="F238" s="322"/>
      <c r="G238" s="271" t="str">
        <f>IFERROR(__xludf.DUMMYFUNCTION("""COMPUTED_VALUE"""),"FORRO CONVENCIONAL CARVALHO EUROPEU ITALY BROWN 20/6 X 300 X 4000MM")</f>
        <v>FORRO CONVENCIONAL CARVALHO EUROPEU ITALY BROWN 20/6 X 300 X 4000MM</v>
      </c>
      <c r="H238" s="283" t="s">
        <v>342</v>
      </c>
      <c r="I238" s="271" t="str">
        <f t="shared" si="3"/>
        <v/>
      </c>
      <c r="J238" s="284"/>
      <c r="K238" s="305" t="s">
        <v>1907</v>
      </c>
      <c r="L238" s="285" t="s">
        <v>343</v>
      </c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6"/>
      <c r="Z238" s="286"/>
      <c r="AA238" s="286"/>
    </row>
    <row r="239">
      <c r="A239" s="271"/>
      <c r="B239" s="271"/>
      <c r="C239" s="271"/>
      <c r="D239" s="271"/>
      <c r="E239" s="271"/>
      <c r="F239" s="322"/>
      <c r="G239" s="271" t="str">
        <f>IFERROR(__xludf.DUMMYFUNCTION("""COMPUTED_VALUE"""),"FORRO CONVENCIONAL CARVALHO EUROPEU ITALY BROWN 20/6 X 400 X 5000MM")</f>
        <v>FORRO CONVENCIONAL CARVALHO EUROPEU ITALY BROWN 20/6 X 400 X 5000MM</v>
      </c>
      <c r="H239" s="283" t="s">
        <v>343</v>
      </c>
      <c r="I239" s="271" t="str">
        <f t="shared" si="3"/>
        <v/>
      </c>
      <c r="J239" s="288"/>
      <c r="K239" s="305" t="s">
        <v>1908</v>
      </c>
      <c r="L239" s="285" t="s">
        <v>344</v>
      </c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5"/>
      <c r="Z239" s="275"/>
      <c r="AA239" s="275"/>
    </row>
    <row r="240">
      <c r="A240" s="271"/>
      <c r="B240" s="271"/>
      <c r="C240" s="271"/>
      <c r="D240" s="271"/>
      <c r="E240" s="271"/>
      <c r="F240" s="322"/>
      <c r="G240" s="271" t="str">
        <f>IFERROR(__xludf.DUMMYFUNCTION("""COMPUTED_VALUE"""),"FORRO CONVENCIONAL CARVALHO EUROPEU ALL BLACK CHEVRON 15/3 X 1900X 740MM")</f>
        <v>FORRO CONVENCIONAL CARVALHO EUROPEU ALL BLACK CHEVRON 15/3 X 1900X 740MM</v>
      </c>
      <c r="H240" s="283" t="s">
        <v>344</v>
      </c>
      <c r="I240" s="271" t="str">
        <f t="shared" si="3"/>
        <v/>
      </c>
      <c r="J240" s="288"/>
      <c r="K240" s="305" t="s">
        <v>1909</v>
      </c>
      <c r="L240" s="285" t="s">
        <v>345</v>
      </c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5"/>
      <c r="Z240" s="275"/>
      <c r="AA240" s="275"/>
    </row>
    <row r="241">
      <c r="A241" s="271"/>
      <c r="B241" s="271"/>
      <c r="C241" s="271"/>
      <c r="D241" s="271"/>
      <c r="E241" s="271"/>
      <c r="F241" s="322"/>
      <c r="G241" s="271" t="str">
        <f>IFERROR(__xludf.DUMMYFUNCTION("""COMPUTED_VALUE"""),"FORRO CONVENCIONAL CARVALHO EUROPEU ALL BLACK 15/3 X 125 X 1200MM")</f>
        <v>FORRO CONVENCIONAL CARVALHO EUROPEU ALL BLACK 15/3 X 125 X 1200MM</v>
      </c>
      <c r="H241" s="283" t="s">
        <v>345</v>
      </c>
      <c r="I241" s="271" t="str">
        <f t="shared" si="3"/>
        <v/>
      </c>
      <c r="J241" s="288"/>
      <c r="K241" s="305" t="s">
        <v>1910</v>
      </c>
      <c r="L241" s="285" t="s">
        <v>346</v>
      </c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5"/>
      <c r="Z241" s="275"/>
      <c r="AA241" s="275"/>
    </row>
    <row r="242">
      <c r="A242" s="271"/>
      <c r="B242" s="271"/>
      <c r="C242" s="285"/>
      <c r="D242" s="285"/>
      <c r="E242" s="285"/>
      <c r="F242" s="322"/>
      <c r="G242" s="271" t="str">
        <f>IFERROR(__xludf.DUMMYFUNCTION("""COMPUTED_VALUE"""),"FORRO CONVENCIONAL CARVALHO EUROPEU BLACK CHEVRON TG 15/3 X 125 X 775CM")</f>
        <v>FORRO CONVENCIONAL CARVALHO EUROPEU BLACK CHEVRON TG 15/3 X 125 X 775CM</v>
      </c>
      <c r="H242" s="283" t="s">
        <v>346</v>
      </c>
      <c r="I242" s="271" t="str">
        <f t="shared" si="3"/>
        <v/>
      </c>
      <c r="J242" s="284"/>
      <c r="K242" s="305" t="s">
        <v>1911</v>
      </c>
      <c r="L242" s="285" t="s">
        <v>347</v>
      </c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6"/>
      <c r="Z242" s="286"/>
      <c r="AA242" s="286"/>
    </row>
    <row r="243">
      <c r="A243" s="271"/>
      <c r="B243" s="271"/>
      <c r="C243" s="271"/>
      <c r="D243" s="271"/>
      <c r="E243" s="271"/>
      <c r="F243" s="322"/>
      <c r="G243" s="271" t="str">
        <f>IFERROR(__xludf.DUMMYFUNCTION("""COMPUTED_VALUE"""),"FORRO CONVENCIONAL CARVALHO EUROPEU ALL BLACK 15/3 X 190 X 1900MM")</f>
        <v>FORRO CONVENCIONAL CARVALHO EUROPEU ALL BLACK 15/3 X 190 X 1900MM</v>
      </c>
      <c r="H243" s="283" t="s">
        <v>347</v>
      </c>
      <c r="I243" s="271" t="str">
        <f t="shared" si="3"/>
        <v/>
      </c>
      <c r="J243" s="288"/>
      <c r="K243" s="305" t="s">
        <v>1912</v>
      </c>
      <c r="L243" s="285" t="s">
        <v>348</v>
      </c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5"/>
      <c r="Z243" s="275"/>
      <c r="AA243" s="275"/>
    </row>
    <row r="244">
      <c r="A244" s="271"/>
      <c r="B244" s="271"/>
      <c r="C244" s="271"/>
      <c r="D244" s="271"/>
      <c r="E244" s="271"/>
      <c r="F244" s="322"/>
      <c r="G244" s="271" t="str">
        <f>IFERROR(__xludf.DUMMYFUNCTION("""COMPUTED_VALUE"""),"FORRO CONVENCIONAL CARVALHO EUROPEU ALL BLACK 20/6 X 300 X 4000MM")</f>
        <v>FORRO CONVENCIONAL CARVALHO EUROPEU ALL BLACK 20/6 X 300 X 4000MM</v>
      </c>
      <c r="H244" s="283" t="s">
        <v>348</v>
      </c>
      <c r="I244" s="271" t="str">
        <f t="shared" si="3"/>
        <v/>
      </c>
      <c r="J244" s="288"/>
      <c r="K244" s="305" t="s">
        <v>1913</v>
      </c>
      <c r="L244" s="285" t="s">
        <v>349</v>
      </c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5"/>
      <c r="Z244" s="275"/>
      <c r="AA244" s="275"/>
    </row>
    <row r="245">
      <c r="A245" s="271"/>
      <c r="B245" s="271"/>
      <c r="C245" s="271"/>
      <c r="D245" s="271"/>
      <c r="E245" s="271"/>
      <c r="F245" s="322"/>
      <c r="G245" s="271" t="str">
        <f>IFERROR(__xludf.DUMMYFUNCTION("""COMPUTED_VALUE"""),"FORRO CONVENCIONAL CARVALHO EUROPEU ALL BLACK 20/6 X 400 X 5000MM")</f>
        <v>FORRO CONVENCIONAL CARVALHO EUROPEU ALL BLACK 20/6 X 400 X 5000MM</v>
      </c>
      <c r="H245" s="283" t="s">
        <v>349</v>
      </c>
      <c r="I245" s="271" t="str">
        <f t="shared" si="3"/>
        <v/>
      </c>
      <c r="J245" s="288"/>
      <c r="K245" s="305" t="s">
        <v>1914</v>
      </c>
      <c r="L245" s="285" t="s">
        <v>350</v>
      </c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5"/>
      <c r="Z245" s="275"/>
      <c r="AA245" s="275"/>
    </row>
    <row r="246">
      <c r="A246" s="271"/>
      <c r="B246" s="271"/>
      <c r="C246" s="285"/>
      <c r="D246" s="285"/>
      <c r="E246" s="285"/>
      <c r="F246" s="322"/>
      <c r="G246" s="271" t="str">
        <f>IFERROR(__xludf.DUMMYFUNCTION("""COMPUTED_VALUE"""),"FORRO CONVENCIONAL CARVALHO EUROPEU URBAN GREY CHEVRON 15/3 X 1900X 740MM")</f>
        <v>FORRO CONVENCIONAL CARVALHO EUROPEU URBAN GREY CHEVRON 15/3 X 1900X 740MM</v>
      </c>
      <c r="H246" s="283" t="s">
        <v>350</v>
      </c>
      <c r="I246" s="271" t="str">
        <f t="shared" si="3"/>
        <v/>
      </c>
      <c r="J246" s="284"/>
      <c r="K246" s="305" t="s">
        <v>1915</v>
      </c>
      <c r="L246" s="285" t="s">
        <v>351</v>
      </c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6"/>
      <c r="Z246" s="286"/>
      <c r="AA246" s="286"/>
    </row>
    <row r="247">
      <c r="A247" s="271"/>
      <c r="B247" s="271"/>
      <c r="C247" s="271"/>
      <c r="D247" s="271"/>
      <c r="E247" s="271"/>
      <c r="F247" s="322"/>
      <c r="G247" s="271" t="str">
        <f>IFERROR(__xludf.DUMMYFUNCTION("""COMPUTED_VALUE"""),"FORRO CONVENCIONAL CARVALHO EUROPEU URBAN GREY 15/3 X 125 X 1200MM")</f>
        <v>FORRO CONVENCIONAL CARVALHO EUROPEU URBAN GREY 15/3 X 125 X 1200MM</v>
      </c>
      <c r="H247" s="283" t="s">
        <v>351</v>
      </c>
      <c r="I247" s="271" t="str">
        <f t="shared" si="3"/>
        <v/>
      </c>
      <c r="J247" s="288"/>
      <c r="K247" s="305" t="s">
        <v>1916</v>
      </c>
      <c r="L247" s="285" t="s">
        <v>352</v>
      </c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5"/>
      <c r="Z247" s="275"/>
      <c r="AA247" s="275"/>
    </row>
    <row r="248">
      <c r="A248" s="271"/>
      <c r="B248" s="271"/>
      <c r="C248" s="271"/>
      <c r="D248" s="271"/>
      <c r="E248" s="271"/>
      <c r="F248" s="322"/>
      <c r="G248" s="271" t="str">
        <f>IFERROR(__xludf.DUMMYFUNCTION("""COMPUTED_VALUE"""),"FORRO CONVENCIONAL CARVALHO EUROPEU URBAN GREY 15/3 X 190 X 1900MM")</f>
        <v>FORRO CONVENCIONAL CARVALHO EUROPEU URBAN GREY 15/3 X 190 X 1900MM</v>
      </c>
      <c r="H248" s="283" t="s">
        <v>352</v>
      </c>
      <c r="I248" s="271" t="str">
        <f t="shared" si="3"/>
        <v/>
      </c>
      <c r="J248" s="288"/>
      <c r="K248" s="305" t="s">
        <v>1917</v>
      </c>
      <c r="L248" s="285" t="s">
        <v>353</v>
      </c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5"/>
      <c r="Z248" s="275"/>
      <c r="AA248" s="275"/>
    </row>
    <row r="249">
      <c r="A249" s="271"/>
      <c r="B249" s="271"/>
      <c r="C249" s="271"/>
      <c r="D249" s="271"/>
      <c r="E249" s="271"/>
      <c r="F249" s="322"/>
      <c r="G249" s="271" t="str">
        <f>IFERROR(__xludf.DUMMYFUNCTION("""COMPUTED_VALUE"""),"FORRO CONVENCIONAL CARVALHO EUROPEU URBAN GREY 20/6 X 300 X 4000MM")</f>
        <v>FORRO CONVENCIONAL CARVALHO EUROPEU URBAN GREY 20/6 X 300 X 4000MM</v>
      </c>
      <c r="H249" s="283" t="s">
        <v>353</v>
      </c>
      <c r="I249" s="271" t="str">
        <f t="shared" si="3"/>
        <v/>
      </c>
      <c r="J249" s="288"/>
      <c r="K249" s="305" t="s">
        <v>1918</v>
      </c>
      <c r="L249" s="285" t="s">
        <v>354</v>
      </c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5"/>
      <c r="Z249" s="275"/>
      <c r="AA249" s="275"/>
    </row>
    <row r="250">
      <c r="A250" s="271"/>
      <c r="B250" s="271"/>
      <c r="C250" s="285"/>
      <c r="D250" s="285"/>
      <c r="E250" s="285"/>
      <c r="F250" s="322"/>
      <c r="G250" s="271" t="str">
        <f>IFERROR(__xludf.DUMMYFUNCTION("""COMPUTED_VALUE"""),"FORRO CONVENCIONAL CARVALHO EUROPEU URBAN GREY 20/6 X 400 X 5000MM")</f>
        <v>FORRO CONVENCIONAL CARVALHO EUROPEU URBAN GREY 20/6 X 400 X 5000MM</v>
      </c>
      <c r="H250" s="283" t="s">
        <v>354</v>
      </c>
      <c r="I250" s="271" t="str">
        <f t="shared" si="3"/>
        <v/>
      </c>
      <c r="J250" s="284"/>
      <c r="K250" s="305" t="s">
        <v>1919</v>
      </c>
      <c r="L250" s="285" t="s">
        <v>355</v>
      </c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6"/>
      <c r="Z250" s="286"/>
      <c r="AA250" s="286"/>
    </row>
    <row r="251">
      <c r="A251" s="271"/>
      <c r="B251" s="271"/>
      <c r="C251" s="271"/>
      <c r="D251" s="271"/>
      <c r="E251" s="271"/>
      <c r="F251" s="322"/>
      <c r="G251" s="271" t="str">
        <f>IFERROR(__xludf.DUMMYFUNCTION("""COMPUTED_VALUE"""),"FORRO CONVENCIONAL CARVALHO EUROPEU CARAMEL CHEVRON 15/3 X 1900X 740MM")</f>
        <v>FORRO CONVENCIONAL CARVALHO EUROPEU CARAMEL CHEVRON 15/3 X 1900X 740MM</v>
      </c>
      <c r="H251" s="283" t="s">
        <v>355</v>
      </c>
      <c r="I251" s="271" t="str">
        <f t="shared" si="3"/>
        <v/>
      </c>
      <c r="J251" s="288"/>
      <c r="K251" s="305" t="s">
        <v>1920</v>
      </c>
      <c r="L251" s="285" t="s">
        <v>356</v>
      </c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5"/>
      <c r="Z251" s="275"/>
      <c r="AA251" s="275"/>
    </row>
    <row r="252">
      <c r="A252" s="271"/>
      <c r="B252" s="271"/>
      <c r="C252" s="271"/>
      <c r="D252" s="271"/>
      <c r="E252" s="271"/>
      <c r="F252" s="322"/>
      <c r="G252" s="271" t="str">
        <f>IFERROR(__xludf.DUMMYFUNCTION("""COMPUTED_VALUE"""),"FORRO CONVENCIONAL CARVALHO EUROPEU CARAMEL 15/3 X 125 X 1200MM")</f>
        <v>FORRO CONVENCIONAL CARVALHO EUROPEU CARAMEL 15/3 X 125 X 1200MM</v>
      </c>
      <c r="H252" s="283" t="s">
        <v>356</v>
      </c>
      <c r="I252" s="271" t="str">
        <f t="shared" si="3"/>
        <v/>
      </c>
      <c r="J252" s="288"/>
      <c r="K252" s="305" t="s">
        <v>1921</v>
      </c>
      <c r="L252" s="285" t="s">
        <v>357</v>
      </c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5"/>
      <c r="Z252" s="275"/>
      <c r="AA252" s="275"/>
    </row>
    <row r="253">
      <c r="A253" s="271"/>
      <c r="B253" s="271"/>
      <c r="C253" s="271"/>
      <c r="D253" s="271"/>
      <c r="E253" s="271"/>
      <c r="F253" s="322"/>
      <c r="G253" s="271" t="str">
        <f>IFERROR(__xludf.DUMMYFUNCTION("""COMPUTED_VALUE"""),"FORRO CONVENCIONAL CARVALHO EUROPEU CARAMEL 15/3 X 190 X 1900MM")</f>
        <v>FORRO CONVENCIONAL CARVALHO EUROPEU CARAMEL 15/3 X 190 X 1900MM</v>
      </c>
      <c r="H253" s="283" t="s">
        <v>357</v>
      </c>
      <c r="I253" s="271" t="str">
        <f t="shared" si="3"/>
        <v/>
      </c>
      <c r="J253" s="288"/>
      <c r="K253" s="305" t="s">
        <v>1922</v>
      </c>
      <c r="L253" s="285" t="s">
        <v>358</v>
      </c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5"/>
      <c r="Z253" s="275"/>
      <c r="AA253" s="275"/>
    </row>
    <row r="254">
      <c r="A254" s="271"/>
      <c r="B254" s="271"/>
      <c r="C254" s="285"/>
      <c r="D254" s="285"/>
      <c r="E254" s="285"/>
      <c r="F254" s="322"/>
      <c r="G254" s="271" t="str">
        <f>IFERROR(__xludf.DUMMYFUNCTION("""COMPUTED_VALUE"""),"FORRO CONVENCIONAL CARVALHO EUROPEU CARAMEL 20/6 X 300 X 4000MM")</f>
        <v>FORRO CONVENCIONAL CARVALHO EUROPEU CARAMEL 20/6 X 300 X 4000MM</v>
      </c>
      <c r="H254" s="283" t="s">
        <v>358</v>
      </c>
      <c r="I254" s="271" t="str">
        <f t="shared" si="3"/>
        <v/>
      </c>
      <c r="J254" s="284"/>
      <c r="K254" s="305" t="s">
        <v>1923</v>
      </c>
      <c r="L254" s="285" t="s">
        <v>359</v>
      </c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6"/>
      <c r="Z254" s="286"/>
      <c r="AA254" s="286"/>
    </row>
    <row r="255">
      <c r="A255" s="271"/>
      <c r="B255" s="271"/>
      <c r="C255" s="271"/>
      <c r="D255" s="271"/>
      <c r="E255" s="271"/>
      <c r="F255" s="322"/>
      <c r="G255" s="271" t="str">
        <f>IFERROR(__xludf.DUMMYFUNCTION("""COMPUTED_VALUE"""),"FORRO CONVENCIONAL CARVALHO EUROPEU CARAMEL 20/6 X 400 X 5000MM")</f>
        <v>FORRO CONVENCIONAL CARVALHO EUROPEU CARAMEL 20/6 X 400 X 5000MM</v>
      </c>
      <c r="H255" s="283" t="s">
        <v>359</v>
      </c>
      <c r="I255" s="271" t="str">
        <f t="shared" si="3"/>
        <v/>
      </c>
      <c r="J255" s="288"/>
      <c r="K255" s="305" t="s">
        <v>1924</v>
      </c>
      <c r="L255" s="285" t="s">
        <v>360</v>
      </c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5"/>
      <c r="Z255" s="275"/>
      <c r="AA255" s="275"/>
    </row>
    <row r="256">
      <c r="A256" s="271"/>
      <c r="B256" s="271"/>
      <c r="C256" s="271"/>
      <c r="D256" s="271"/>
      <c r="E256" s="271"/>
      <c r="F256" s="322"/>
      <c r="G256" s="271" t="str">
        <f>IFERROR(__xludf.DUMMYFUNCTION("""COMPUTED_VALUE"""),"FORRO CONVENCIONAL CARVALHO EUROPEU CHEMICAL CHEVRON TG 15/3*190*740MM")</f>
        <v>FORRO CONVENCIONAL CARVALHO EUROPEU CHEMICAL CHEVRON TG 15/3*190*740MM</v>
      </c>
      <c r="H256" s="283" t="s">
        <v>360</v>
      </c>
      <c r="I256" s="271" t="str">
        <f t="shared" si="3"/>
        <v/>
      </c>
      <c r="J256" s="288"/>
      <c r="K256" s="305" t="s">
        <v>1925</v>
      </c>
      <c r="L256" s="285" t="s">
        <v>361</v>
      </c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5"/>
      <c r="Z256" s="275"/>
      <c r="AA256" s="275"/>
    </row>
    <row r="257">
      <c r="A257" s="271"/>
      <c r="B257" s="271"/>
      <c r="C257" s="271"/>
      <c r="D257" s="271"/>
      <c r="E257" s="271"/>
      <c r="F257" s="322"/>
      <c r="G257" s="271" t="str">
        <f>IFERROR(__xludf.DUMMYFUNCTION("""COMPUTED_VALUE"""),"FORRO CONVENCIONAL CARVALHO EUROPEU WHITE RUSTIC 15/4*189*1860MM")</f>
        <v>FORRO CONVENCIONAL CARVALHO EUROPEU WHITE RUSTIC 15/4*189*1860MM</v>
      </c>
      <c r="H257" s="283" t="s">
        <v>361</v>
      </c>
      <c r="I257" s="271" t="str">
        <f t="shared" si="3"/>
        <v/>
      </c>
      <c r="J257" s="288"/>
      <c r="K257" s="305" t="s">
        <v>1926</v>
      </c>
      <c r="L257" s="285" t="s">
        <v>362</v>
      </c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5"/>
      <c r="Z257" s="275"/>
      <c r="AA257" s="275"/>
    </row>
    <row r="258">
      <c r="A258" s="271"/>
      <c r="B258" s="271"/>
      <c r="C258" s="285"/>
      <c r="D258" s="285"/>
      <c r="E258" s="285"/>
      <c r="F258" s="322"/>
      <c r="G258" s="271" t="str">
        <f>IFERROR(__xludf.DUMMYFUNCTION("""COMPUTED_VALUE"""),"FORRO CONVENCIONAL CARVALHO EUROPEU CUSTOMIZADO 14/3 X 12,7 X 186CM")</f>
        <v>FORRO CONVENCIONAL CARVALHO EUROPEU CUSTOMIZADO 14/3 X 12,7 X 186CM</v>
      </c>
      <c r="H258" s="283" t="s">
        <v>362</v>
      </c>
      <c r="I258" s="271" t="str">
        <f t="shared" si="3"/>
        <v/>
      </c>
      <c r="J258" s="284"/>
      <c r="K258" s="305" t="s">
        <v>1927</v>
      </c>
      <c r="L258" s="285" t="s">
        <v>363</v>
      </c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6"/>
      <c r="Z258" s="286"/>
      <c r="AA258" s="286"/>
    </row>
    <row r="259">
      <c r="A259" s="271"/>
      <c r="B259" s="271"/>
      <c r="C259" s="271"/>
      <c r="D259" s="271"/>
      <c r="E259" s="271"/>
      <c r="F259" s="322"/>
      <c r="G259" s="271" t="str">
        <f>IFERROR(__xludf.DUMMYFUNCTION("""COMPUTED_VALUE"""),"FORRO CONVENCIONAL CARVALHO EUROPEU CUSTOMIZADO 2.0 X 19 X 190CM (C2)")</f>
        <v>FORRO CONVENCIONAL CARVALHO EUROPEU CUSTOMIZADO 2.0 X 19 X 190CM (C2)</v>
      </c>
      <c r="H259" s="283" t="s">
        <v>363</v>
      </c>
      <c r="I259" s="271" t="str">
        <f t="shared" si="3"/>
        <v/>
      </c>
      <c r="J259" s="288"/>
      <c r="K259" s="305" t="s">
        <v>1928</v>
      </c>
      <c r="L259" s="285" t="s">
        <v>364</v>
      </c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5"/>
      <c r="Z259" s="275"/>
      <c r="AA259" s="275"/>
    </row>
    <row r="260">
      <c r="A260" s="271"/>
      <c r="B260" s="271"/>
      <c r="C260" s="271"/>
      <c r="D260" s="271"/>
      <c r="E260" s="271"/>
      <c r="F260" s="322"/>
      <c r="G260" s="271" t="str">
        <f>IFERROR(__xludf.DUMMYFUNCTION("""COMPUTED_VALUE"""),"FORRO CONVENCIONAL CARVALHO EUROPEU NATURAL CHEVRON TG 1.5/3 X 9X 51CM")</f>
        <v>FORRO CONVENCIONAL CARVALHO EUROPEU NATURAL CHEVRON TG 1.5/3 X 9X 51CM</v>
      </c>
      <c r="H260" s="283" t="s">
        <v>364</v>
      </c>
      <c r="I260" s="271" t="str">
        <f t="shared" si="3"/>
        <v/>
      </c>
      <c r="J260" s="288"/>
      <c r="K260" s="305" t="s">
        <v>1929</v>
      </c>
      <c r="L260" s="285" t="s">
        <v>364</v>
      </c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5"/>
      <c r="Z260" s="275"/>
      <c r="AA260" s="275"/>
    </row>
    <row r="261">
      <c r="A261" s="271"/>
      <c r="B261" s="271"/>
      <c r="C261" s="271"/>
      <c r="D261" s="271"/>
      <c r="E261" s="271"/>
      <c r="F261" s="322"/>
      <c r="G261" s="271" t="str">
        <f>IFERROR(__xludf.DUMMYFUNCTION("""COMPUTED_VALUE"""),"FORRO CONVENCIONAL CARVALHO EUROPEU NATURAL CHEVRON TG 1.5/3 X 9X 51CM")</f>
        <v>FORRO CONVENCIONAL CARVALHO EUROPEU NATURAL CHEVRON TG 1.5/3 X 9X 51CM</v>
      </c>
      <c r="H261" s="283" t="s">
        <v>364</v>
      </c>
      <c r="I261" s="271" t="str">
        <f t="shared" si="3"/>
        <v/>
      </c>
      <c r="J261" s="288"/>
      <c r="K261" s="305" t="s">
        <v>1930</v>
      </c>
      <c r="L261" s="285" t="s">
        <v>366</v>
      </c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5"/>
      <c r="Z261" s="275"/>
      <c r="AA261" s="275"/>
    </row>
    <row r="262">
      <c r="A262" s="271"/>
      <c r="B262" s="271"/>
      <c r="C262" s="285"/>
      <c r="D262" s="285"/>
      <c r="E262" s="285"/>
      <c r="F262" s="322"/>
      <c r="G262" s="271" t="str">
        <f>IFERROR(__xludf.DUMMYFUNCTION("""COMPUTED_VALUE"""),"FORRO CONVENCIONAL CARVALHO EUROPEU NUDE CHEVRON 60.. TG 15/3 X 190 X 90CM")</f>
        <v>FORRO CONVENCIONAL CARVALHO EUROPEU NUDE CHEVRON 60.. TG 15/3 X 190 X 90CM</v>
      </c>
      <c r="H262" s="283" t="s">
        <v>366</v>
      </c>
      <c r="I262" s="271" t="str">
        <f t="shared" si="3"/>
        <v/>
      </c>
      <c r="J262" s="284"/>
      <c r="K262" s="305" t="s">
        <v>1931</v>
      </c>
      <c r="L262" s="285" t="s">
        <v>367</v>
      </c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6"/>
      <c r="Z262" s="286"/>
      <c r="AA262" s="286"/>
    </row>
    <row r="263">
      <c r="A263" s="271"/>
      <c r="B263" s="271"/>
      <c r="C263" s="271"/>
      <c r="D263" s="271"/>
      <c r="E263" s="271"/>
      <c r="F263" s="322"/>
      <c r="G263" s="271" t="str">
        <f>IFERROR(__xludf.DUMMYFUNCTION("""COMPUTED_VALUE"""),"FORRO CONVENCIONAL CARVALHO EUROPEU NUDE CHEVRON TG 1.5/3X 12.5X 63CM")</f>
        <v>FORRO CONVENCIONAL CARVALHO EUROPEU NUDE CHEVRON TG 1.5/3X 12.5X 63CM</v>
      </c>
      <c r="H263" s="283" t="s">
        <v>367</v>
      </c>
      <c r="I263" s="271" t="str">
        <f t="shared" si="3"/>
        <v/>
      </c>
      <c r="J263" s="288"/>
      <c r="K263" s="305" t="s">
        <v>1932</v>
      </c>
      <c r="L263" s="285" t="s">
        <v>368</v>
      </c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5"/>
      <c r="Z263" s="275"/>
      <c r="AA263" s="275"/>
    </row>
    <row r="264">
      <c r="A264" s="271"/>
      <c r="B264" s="271"/>
      <c r="C264" s="271"/>
      <c r="D264" s="271"/>
      <c r="E264" s="271"/>
      <c r="F264" s="322"/>
      <c r="G264" s="271" t="str">
        <f>IFERROR(__xludf.DUMMYFUNCTION("""COMPUTED_VALUE"""),"FORRO CONVENCIONAL WALNUT 15/3 X 125 X 910MM")</f>
        <v>FORRO CONVENCIONAL WALNUT 15/3 X 125 X 910MM</v>
      </c>
      <c r="H264" s="283" t="s">
        <v>368</v>
      </c>
      <c r="I264" s="271" t="str">
        <f t="shared" si="3"/>
        <v/>
      </c>
      <c r="J264" s="288"/>
      <c r="K264" s="305" t="s">
        <v>1933</v>
      </c>
      <c r="L264" s="285" t="s">
        <v>369</v>
      </c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5"/>
      <c r="Z264" s="275"/>
      <c r="AA264" s="275"/>
    </row>
    <row r="265">
      <c r="A265" s="271"/>
      <c r="B265" s="271"/>
      <c r="C265" s="271"/>
      <c r="D265" s="271"/>
      <c r="E265" s="271"/>
      <c r="F265" s="322"/>
      <c r="G265" s="271" t="str">
        <f>IFERROR(__xludf.DUMMYFUNCTION("""COMPUTED_VALUE"""),"FORRO CONVENCIONAL WALNUT 15/3 X 190 X 1900MM")</f>
        <v>FORRO CONVENCIONAL WALNUT 15/3 X 190 X 1900MM</v>
      </c>
      <c r="H265" s="283" t="s">
        <v>369</v>
      </c>
      <c r="I265" s="271" t="str">
        <f t="shared" si="3"/>
        <v/>
      </c>
      <c r="J265" s="288"/>
      <c r="K265" s="305" t="s">
        <v>1934</v>
      </c>
      <c r="L265" s="285" t="s">
        <v>370</v>
      </c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5"/>
      <c r="Z265" s="275"/>
      <c r="AA265" s="275"/>
    </row>
    <row r="266">
      <c r="A266" s="271"/>
      <c r="B266" s="271"/>
      <c r="C266" s="285"/>
      <c r="D266" s="285"/>
      <c r="E266" s="285"/>
      <c r="F266" s="322"/>
      <c r="G266" s="271" t="str">
        <f>IFERROR(__xludf.DUMMYFUNCTION("""COMPUTED_VALUE"""),"FORRO CONVENCIONAL WALNUT 20/2 X 300 X 4000MM")</f>
        <v>FORRO CONVENCIONAL WALNUT 20/2 X 300 X 4000MM</v>
      </c>
      <c r="H266" s="283" t="s">
        <v>370</v>
      </c>
      <c r="I266" s="271" t="str">
        <f t="shared" si="3"/>
        <v/>
      </c>
      <c r="J266" s="284"/>
      <c r="K266" s="305" t="s">
        <v>1935</v>
      </c>
      <c r="L266" s="285" t="s">
        <v>371</v>
      </c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6"/>
      <c r="Z266" s="286"/>
      <c r="AA266" s="286"/>
    </row>
    <row r="267">
      <c r="A267" s="271"/>
      <c r="B267" s="271"/>
      <c r="C267" s="271"/>
      <c r="D267" s="271"/>
      <c r="E267" s="271"/>
      <c r="F267" s="322"/>
      <c r="G267" s="271" t="str">
        <f>IFERROR(__xludf.DUMMYFUNCTION("""COMPUTED_VALUE"""),"FORRO CONVENCIONAL BAMBU ALTA DENS. CUST PREMIUM TG 1.5/4 X19X185CM")</f>
        <v>FORRO CONVENCIONAL BAMBU ALTA DENS. CUST PREMIUM TG 1.5/4 X19X185CM</v>
      </c>
      <c r="H267" s="283" t="s">
        <v>371</v>
      </c>
      <c r="I267" s="271" t="str">
        <f t="shared" si="3"/>
        <v/>
      </c>
      <c r="J267" s="288"/>
      <c r="K267" s="305" t="s">
        <v>1936</v>
      </c>
      <c r="L267" s="285" t="s">
        <v>372</v>
      </c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5"/>
      <c r="Z267" s="275"/>
      <c r="AA267" s="275"/>
    </row>
    <row r="268">
      <c r="A268" s="271"/>
      <c r="B268" s="271"/>
      <c r="C268" s="271"/>
      <c r="D268" s="271"/>
      <c r="E268" s="271"/>
      <c r="F268" s="322"/>
      <c r="G268" s="271" t="str">
        <f>IFERROR(__xludf.DUMMYFUNCTION("""COMPUTED_VALUE"""),"FORRO CONVENCIONAL BAMBU CARAMEL ALTA DENSIDADE TG 1.5/4 X19X186CM")</f>
        <v>FORRO CONVENCIONAL BAMBU CARAMEL ALTA DENSIDADE TG 1.5/4 X19X186CM</v>
      </c>
      <c r="H268" s="283" t="s">
        <v>372</v>
      </c>
      <c r="I268" s="271" t="str">
        <f t="shared" si="3"/>
        <v/>
      </c>
      <c r="J268" s="288"/>
      <c r="K268" s="305" t="s">
        <v>1937</v>
      </c>
      <c r="L268" s="285" t="s">
        <v>373</v>
      </c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5"/>
      <c r="Z268" s="275"/>
      <c r="AA268" s="275"/>
    </row>
    <row r="269">
      <c r="A269" s="271"/>
      <c r="B269" s="271"/>
      <c r="C269" s="271"/>
      <c r="D269" s="271"/>
      <c r="E269" s="271"/>
      <c r="F269" s="322"/>
      <c r="G269" s="271" t="str">
        <f>IFERROR(__xludf.DUMMYFUNCTION("""COMPUTED_VALUE"""),"FORRO CONVENCIONAL RIPADO CUMARU PREMIUM TG 1,8 X 3,5+0,5CM PROF. BIT 0")</f>
        <v>FORRO CONVENCIONAL RIPADO CUMARU PREMIUM TG 1,8 X 3,5+0,5CM PROF. BIT 0</v>
      </c>
      <c r="H269" s="283" t="s">
        <v>373</v>
      </c>
      <c r="I269" s="271" t="str">
        <f t="shared" si="3"/>
        <v/>
      </c>
      <c r="J269" s="288"/>
      <c r="K269" s="305" t="s">
        <v>1938</v>
      </c>
      <c r="L269" s="285" t="s">
        <v>374</v>
      </c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5"/>
      <c r="Z269" s="275"/>
      <c r="AA269" s="275"/>
    </row>
    <row r="270">
      <c r="A270" s="271"/>
      <c r="B270" s="271"/>
      <c r="C270" s="285"/>
      <c r="D270" s="285"/>
      <c r="E270" s="285"/>
      <c r="F270" s="322"/>
      <c r="G270" s="271" t="str">
        <f>IFERROR(__xludf.DUMMYFUNCTION("""COMPUTED_VALUE"""),"FORRO CONVENCIONAL RIPADO CATUABA PREMIUM TG 1,8 X 3,5+0,5CM PROF. BIT 0")</f>
        <v>FORRO CONVENCIONAL RIPADO CATUABA PREMIUM TG 1,8 X 3,5+0,5CM PROF. BIT 0</v>
      </c>
      <c r="H270" s="283" t="s">
        <v>374</v>
      </c>
      <c r="I270" s="271" t="str">
        <f t="shared" si="3"/>
        <v/>
      </c>
      <c r="J270" s="284"/>
      <c r="K270" s="305" t="s">
        <v>1939</v>
      </c>
      <c r="L270" s="285" t="s">
        <v>375</v>
      </c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6"/>
      <c r="Z270" s="286"/>
      <c r="AA270" s="286"/>
    </row>
    <row r="271">
      <c r="A271" s="271"/>
      <c r="B271" s="271"/>
      <c r="C271" s="271"/>
      <c r="D271" s="271"/>
      <c r="E271" s="271"/>
      <c r="F271" s="322"/>
      <c r="G271" s="271" t="str">
        <f>IFERROR(__xludf.DUMMYFUNCTION("""COMPUTED_VALUE"""),"FORRO CONVENCIONAL RIPADO CABREUVA BRANCA PREMIUM TG 1,8 X 3,5+0,5CM PROF. BIT 0")</f>
        <v>FORRO CONVENCIONAL RIPADO CABREUVA BRANCA PREMIUM TG 1,8 X 3,5+0,5CM PROF. BIT 0</v>
      </c>
      <c r="H271" s="283" t="s">
        <v>375</v>
      </c>
      <c r="I271" s="271" t="str">
        <f t="shared" si="3"/>
        <v/>
      </c>
      <c r="J271" s="288"/>
      <c r="K271" s="305" t="s">
        <v>1940</v>
      </c>
      <c r="L271" s="285" t="s">
        <v>376</v>
      </c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5"/>
      <c r="Z271" s="275"/>
      <c r="AA271" s="275"/>
    </row>
    <row r="272">
      <c r="A272" s="271"/>
      <c r="B272" s="271"/>
      <c r="C272" s="271"/>
      <c r="D272" s="271"/>
      <c r="E272" s="271"/>
      <c r="F272" s="322"/>
      <c r="G272" s="271" t="str">
        <f>IFERROR(__xludf.DUMMYFUNCTION("""COMPUTED_VALUE"""),"FORRO CONVENCIONAL RIPADO CABREUVA DOURADA PREMIUM TG 1,8 X 3,5+0,5CM PROF. BIT 0")</f>
        <v>FORRO CONVENCIONAL RIPADO CABREUVA DOURADA PREMIUM TG 1,8 X 3,5+0,5CM PROF. BIT 0</v>
      </c>
      <c r="H272" s="283" t="s">
        <v>376</v>
      </c>
      <c r="I272" s="271" t="str">
        <f t="shared" si="3"/>
        <v/>
      </c>
      <c r="J272" s="288"/>
      <c r="K272" s="305" t="s">
        <v>1941</v>
      </c>
      <c r="L272" s="285" t="s">
        <v>377</v>
      </c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5"/>
      <c r="Z272" s="275"/>
      <c r="AA272" s="275"/>
    </row>
    <row r="273">
      <c r="A273" s="271"/>
      <c r="B273" s="271"/>
      <c r="C273" s="271"/>
      <c r="D273" s="271"/>
      <c r="E273" s="271"/>
      <c r="F273" s="322"/>
      <c r="G273" s="271" t="str">
        <f>IFERROR(__xludf.DUMMYFUNCTION("""COMPUTED_VALUE"""),"FORRO CONVENCIONAL RIPADO TAUARI PREMIUM TG 1,8 X 3,5+0,5CM PROF. BIT 0")</f>
        <v>FORRO CONVENCIONAL RIPADO TAUARI PREMIUM TG 1,8 X 3,5+0,5CM PROF. BIT 0</v>
      </c>
      <c r="H273" s="283" t="s">
        <v>377</v>
      </c>
      <c r="I273" s="271" t="str">
        <f t="shared" si="3"/>
        <v/>
      </c>
      <c r="J273" s="288"/>
      <c r="K273" s="305" t="s">
        <v>1942</v>
      </c>
      <c r="L273" s="285" t="s">
        <v>378</v>
      </c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5"/>
      <c r="Z273" s="275"/>
      <c r="AA273" s="275"/>
    </row>
    <row r="274">
      <c r="A274" s="271"/>
      <c r="B274" s="271"/>
      <c r="C274" s="285"/>
      <c r="D274" s="285"/>
      <c r="E274" s="285"/>
      <c r="F274" s="322"/>
      <c r="G274" s="271" t="str">
        <f>IFERROR(__xludf.DUMMYFUNCTION("""COMPUTED_VALUE"""),"FORRO CONVENCIONAL RIPADO PEROBA PREMIUM TG 1,8 X 3,5+0,5CM PROF. BIT 0")</f>
        <v>FORRO CONVENCIONAL RIPADO PEROBA PREMIUM TG 1,8 X 3,5+0,5CM PROF. BIT 0</v>
      </c>
      <c r="H274" s="283" t="s">
        <v>378</v>
      </c>
      <c r="I274" s="271" t="str">
        <f t="shared" si="3"/>
        <v/>
      </c>
      <c r="J274" s="284"/>
      <c r="K274" s="305" t="s">
        <v>1943</v>
      </c>
      <c r="L274" s="285" t="s">
        <v>379</v>
      </c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6"/>
      <c r="Z274" s="286"/>
      <c r="AA274" s="286"/>
    </row>
    <row r="275">
      <c r="A275" s="271"/>
      <c r="B275" s="271"/>
      <c r="C275" s="271"/>
      <c r="D275" s="271"/>
      <c r="E275" s="271"/>
      <c r="F275" s="322"/>
      <c r="G275" s="271" t="str">
        <f>IFERROR(__xludf.DUMMYFUNCTION("""COMPUTED_VALUE"""),"FORRO CONVENCIONAL RIPADO LORO PARDO PREMIUM TG 1,8 X 3,5+0,5CM PROF. BIT 0")</f>
        <v>FORRO CONVENCIONAL RIPADO LORO PARDO PREMIUM TG 1,8 X 3,5+0,5CM PROF. BIT 0</v>
      </c>
      <c r="H275" s="283" t="s">
        <v>379</v>
      </c>
      <c r="I275" s="271" t="str">
        <f t="shared" si="3"/>
        <v/>
      </c>
      <c r="J275" s="288"/>
      <c r="K275" s="305" t="s">
        <v>1944</v>
      </c>
      <c r="L275" s="285" t="s">
        <v>380</v>
      </c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5"/>
      <c r="Z275" s="275"/>
      <c r="AA275" s="275"/>
    </row>
    <row r="276">
      <c r="A276" s="271"/>
      <c r="B276" s="271"/>
      <c r="C276" s="271"/>
      <c r="D276" s="271"/>
      <c r="E276" s="271"/>
      <c r="F276" s="322"/>
      <c r="G276" s="271" t="str">
        <f>IFERROR(__xludf.DUMMYFUNCTION("""COMPUTED_VALUE"""),"FORRO CONVENCIONAL CUMARU MULTI PREMIUM 19 X 190 X 600 A 2200MM")</f>
        <v>FORRO CONVENCIONAL CUMARU MULTI PREMIUM 19 X 190 X 600 A 2200MM</v>
      </c>
      <c r="H276" s="283" t="s">
        <v>380</v>
      </c>
      <c r="I276" s="271" t="str">
        <f t="shared" si="3"/>
        <v/>
      </c>
      <c r="J276" s="288"/>
      <c r="K276" s="305" t="s">
        <v>1945</v>
      </c>
      <c r="L276" s="285" t="s">
        <v>381</v>
      </c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5"/>
      <c r="Z276" s="275"/>
      <c r="AA276" s="275"/>
    </row>
    <row r="277">
      <c r="A277" s="271"/>
      <c r="B277" s="271"/>
      <c r="C277" s="271"/>
      <c r="D277" s="271"/>
      <c r="E277" s="271"/>
      <c r="F277" s="322"/>
      <c r="G277" s="271" t="str">
        <f>IFERROR(__xludf.DUMMYFUNCTION("""COMPUTED_VALUE"""),"FORRO CONVENCIONAL CATUABA MULTI PREMIUM 19 X 190 X 600 A 2200MM")</f>
        <v>FORRO CONVENCIONAL CATUABA MULTI PREMIUM 19 X 190 X 600 A 2200MM</v>
      </c>
      <c r="H277" s="283" t="s">
        <v>381</v>
      </c>
      <c r="I277" s="271" t="str">
        <f t="shared" si="3"/>
        <v/>
      </c>
      <c r="J277" s="288"/>
      <c r="K277" s="305" t="s">
        <v>1946</v>
      </c>
      <c r="L277" s="285" t="s">
        <v>382</v>
      </c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5"/>
      <c r="Z277" s="275"/>
      <c r="AA277" s="275"/>
    </row>
    <row r="278">
      <c r="A278" s="271"/>
      <c r="B278" s="271"/>
      <c r="C278" s="285"/>
      <c r="D278" s="285"/>
      <c r="E278" s="285"/>
      <c r="F278" s="322"/>
      <c r="G278" s="271" t="str">
        <f>IFERROR(__xludf.DUMMYFUNCTION("""COMPUTED_VALUE"""),"FORRO CONVENCIONAL CABREUVA BRACA MULTI PREMIUM 19 X 190 X 600 A 2200MM")</f>
        <v>FORRO CONVENCIONAL CABREUVA BRACA MULTI PREMIUM 19 X 190 X 600 A 2200MM</v>
      </c>
      <c r="H278" s="283" t="s">
        <v>382</v>
      </c>
      <c r="I278" s="271" t="str">
        <f t="shared" si="3"/>
        <v/>
      </c>
      <c r="J278" s="284"/>
      <c r="K278" s="305" t="s">
        <v>1947</v>
      </c>
      <c r="L278" s="285" t="s">
        <v>383</v>
      </c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6"/>
      <c r="Z278" s="286"/>
      <c r="AA278" s="286"/>
    </row>
    <row r="279">
      <c r="A279" s="271"/>
      <c r="B279" s="271"/>
      <c r="C279" s="271"/>
      <c r="D279" s="271"/>
      <c r="E279" s="271"/>
      <c r="F279" s="322"/>
      <c r="G279" s="271" t="str">
        <f>IFERROR(__xludf.DUMMYFUNCTION("""COMPUTED_VALUE"""),"FORRO CONVENCIONAL CABREUVA DOURADA MULTI PREMIUM 19 X 190 X 600 A 2200MM")</f>
        <v>FORRO CONVENCIONAL CABREUVA DOURADA MULTI PREMIUM 19 X 190 X 600 A 2200MM</v>
      </c>
      <c r="H279" s="283" t="s">
        <v>383</v>
      </c>
      <c r="I279" s="271" t="str">
        <f t="shared" si="3"/>
        <v/>
      </c>
      <c r="J279" s="288"/>
      <c r="K279" s="305" t="s">
        <v>1948</v>
      </c>
      <c r="L279" s="285" t="s">
        <v>384</v>
      </c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5"/>
      <c r="Z279" s="275"/>
      <c r="AA279" s="275"/>
    </row>
    <row r="280">
      <c r="A280" s="271"/>
      <c r="B280" s="271"/>
      <c r="C280" s="271"/>
      <c r="D280" s="271"/>
      <c r="E280" s="271"/>
      <c r="F280" s="322"/>
      <c r="G280" s="271" t="str">
        <f>IFERROR(__xludf.DUMMYFUNCTION("""COMPUTED_VALUE"""),"FORRO CONVENCIONAL TAUARI MULTI PREMIUM 19 X 190 X 600 A 2200MM")</f>
        <v>FORRO CONVENCIONAL TAUARI MULTI PREMIUM 19 X 190 X 600 A 2200MM</v>
      </c>
      <c r="H280" s="283" t="s">
        <v>384</v>
      </c>
      <c r="I280" s="271" t="str">
        <f t="shared" si="3"/>
        <v/>
      </c>
      <c r="J280" s="288"/>
      <c r="K280" s="305" t="s">
        <v>1949</v>
      </c>
      <c r="L280" s="285" t="s">
        <v>385</v>
      </c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5"/>
      <c r="Z280" s="275"/>
      <c r="AA280" s="275"/>
    </row>
    <row r="281">
      <c r="A281" s="271"/>
      <c r="B281" s="271"/>
      <c r="C281" s="271"/>
      <c r="D281" s="271"/>
      <c r="E281" s="271"/>
      <c r="F281" s="322"/>
      <c r="G281" s="271" t="str">
        <f>IFERROR(__xludf.DUMMYFUNCTION("""COMPUTED_VALUE"""),"FORRO CONVENCIONAL PEROBA MULTI PREMIUM 19 X 190 X 600 A 2200MM")</f>
        <v>FORRO CONVENCIONAL PEROBA MULTI PREMIUM 19 X 190 X 600 A 2200MM</v>
      </c>
      <c r="H281" s="283" t="s">
        <v>385</v>
      </c>
      <c r="I281" s="271" t="str">
        <f t="shared" si="3"/>
        <v/>
      </c>
      <c r="J281" s="288"/>
      <c r="K281" s="305" t="s">
        <v>1950</v>
      </c>
      <c r="L281" s="285" t="s">
        <v>386</v>
      </c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5"/>
      <c r="Z281" s="275"/>
      <c r="AA281" s="275"/>
    </row>
    <row r="282">
      <c r="A282" s="271"/>
      <c r="B282" s="271"/>
      <c r="C282" s="285"/>
      <c r="D282" s="285"/>
      <c r="E282" s="285"/>
      <c r="F282" s="322"/>
      <c r="G282" s="271" t="str">
        <f>IFERROR(__xludf.DUMMYFUNCTION("""COMPUTED_VALUE"""),"FORRO CONVENCIONAL LORO PARDO MULTI PREMIUM 19 X 190 X 600 A 2200MM")</f>
        <v>FORRO CONVENCIONAL LORO PARDO MULTI PREMIUM 19 X 190 X 600 A 2200MM</v>
      </c>
      <c r="H282" s="283" t="s">
        <v>386</v>
      </c>
      <c r="I282" s="271" t="str">
        <f t="shared" si="3"/>
        <v/>
      </c>
      <c r="J282" s="284"/>
      <c r="K282" s="305" t="s">
        <v>1951</v>
      </c>
      <c r="L282" s="285" t="s">
        <v>387</v>
      </c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6"/>
      <c r="Z282" s="286"/>
      <c r="AA282" s="286"/>
    </row>
    <row r="283">
      <c r="A283" s="271"/>
      <c r="B283" s="271"/>
      <c r="C283" s="271"/>
      <c r="D283" s="271"/>
      <c r="E283" s="271"/>
      <c r="F283" s="322"/>
      <c r="G283" s="271" t="str">
        <f>IFERROR(__xludf.DUMMYFUNCTION("""COMPUTED_VALUE"""),"FORRO CONVENCIONAL MUXARABI CUMARU PREMIUM")</f>
        <v>FORRO CONVENCIONAL MUXARABI CUMARU PREMIUM</v>
      </c>
      <c r="H283" s="283" t="s">
        <v>387</v>
      </c>
      <c r="I283" s="271" t="str">
        <f t="shared" si="3"/>
        <v/>
      </c>
      <c r="J283" s="288"/>
      <c r="K283" s="305" t="s">
        <v>1952</v>
      </c>
      <c r="L283" s="285" t="s">
        <v>388</v>
      </c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5"/>
      <c r="Z283" s="275"/>
      <c r="AA283" s="275"/>
    </row>
    <row r="284">
      <c r="A284" s="271"/>
      <c r="B284" s="271"/>
      <c r="C284" s="271"/>
      <c r="D284" s="271"/>
      <c r="E284" s="271"/>
      <c r="F284" s="322"/>
      <c r="G284" s="271" t="str">
        <f>IFERROR(__xludf.DUMMYFUNCTION("""COMPUTED_VALUE"""),"FORRO CONVENCIONAL MUXARABI CATUABA PREMIUM")</f>
        <v>FORRO CONVENCIONAL MUXARABI CATUABA PREMIUM</v>
      </c>
      <c r="H284" s="283" t="s">
        <v>388</v>
      </c>
      <c r="I284" s="271" t="str">
        <f t="shared" si="3"/>
        <v/>
      </c>
      <c r="J284" s="288"/>
      <c r="K284" s="305" t="s">
        <v>1953</v>
      </c>
      <c r="L284" s="285" t="s">
        <v>389</v>
      </c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5"/>
      <c r="Z284" s="275"/>
      <c r="AA284" s="275"/>
    </row>
    <row r="285">
      <c r="A285" s="271"/>
      <c r="B285" s="271"/>
      <c r="C285" s="271"/>
      <c r="D285" s="271"/>
      <c r="E285" s="271"/>
      <c r="F285" s="322"/>
      <c r="G285" s="271" t="str">
        <f>IFERROR(__xludf.DUMMYFUNCTION("""COMPUTED_VALUE"""),"FORRO CONVENCIONAL MUXARABI CABREUVA BRANCA PREMIUM")</f>
        <v>FORRO CONVENCIONAL MUXARABI CABREUVA BRANCA PREMIUM</v>
      </c>
      <c r="H285" s="283" t="s">
        <v>389</v>
      </c>
      <c r="I285" s="271" t="str">
        <f t="shared" si="3"/>
        <v/>
      </c>
      <c r="J285" s="288"/>
      <c r="K285" s="305" t="s">
        <v>1954</v>
      </c>
      <c r="L285" s="285" t="s">
        <v>390</v>
      </c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5"/>
      <c r="Z285" s="275"/>
      <c r="AA285" s="275"/>
    </row>
    <row r="286">
      <c r="A286" s="271"/>
      <c r="B286" s="271"/>
      <c r="C286" s="285"/>
      <c r="D286" s="285"/>
      <c r="E286" s="285"/>
      <c r="F286" s="322"/>
      <c r="G286" s="271" t="str">
        <f>IFERROR(__xludf.DUMMYFUNCTION("""COMPUTED_VALUE"""),"FORRO CONVENCIONAL MUXARABI CABREUVA DOURADA PREMIUM")</f>
        <v>FORRO CONVENCIONAL MUXARABI CABREUVA DOURADA PREMIUM</v>
      </c>
      <c r="H286" s="283" t="s">
        <v>390</v>
      </c>
      <c r="I286" s="271" t="str">
        <f t="shared" si="3"/>
        <v/>
      </c>
      <c r="J286" s="284"/>
      <c r="K286" s="305" t="s">
        <v>1955</v>
      </c>
      <c r="L286" s="285" t="s">
        <v>391</v>
      </c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6"/>
      <c r="Z286" s="286"/>
      <c r="AA286" s="286"/>
    </row>
    <row r="287">
      <c r="A287" s="271"/>
      <c r="B287" s="271"/>
      <c r="C287" s="271"/>
      <c r="D287" s="271"/>
      <c r="E287" s="271"/>
      <c r="F287" s="322"/>
      <c r="G287" s="271" t="str">
        <f>IFERROR(__xludf.DUMMYFUNCTION("""COMPUTED_VALUE"""),"FORRO CONVENCIONAL MUXARABI TAUARI PREMIUM")</f>
        <v>FORRO CONVENCIONAL MUXARABI TAUARI PREMIUM</v>
      </c>
      <c r="H287" s="283" t="s">
        <v>391</v>
      </c>
      <c r="I287" s="271" t="str">
        <f t="shared" si="3"/>
        <v/>
      </c>
      <c r="J287" s="288"/>
      <c r="K287" s="305" t="s">
        <v>1956</v>
      </c>
      <c r="L287" s="285" t="s">
        <v>392</v>
      </c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5"/>
      <c r="Z287" s="275"/>
      <c r="AA287" s="275"/>
    </row>
    <row r="288">
      <c r="A288" s="271"/>
      <c r="B288" s="271"/>
      <c r="C288" s="271"/>
      <c r="D288" s="271"/>
      <c r="E288" s="271"/>
      <c r="F288" s="322"/>
      <c r="G288" s="271" t="str">
        <f>IFERROR(__xludf.DUMMYFUNCTION("""COMPUTED_VALUE"""),"FORRO CONVENCIONAL MUXARABI PEROBA PREMIUM")</f>
        <v>FORRO CONVENCIONAL MUXARABI PEROBA PREMIUM</v>
      </c>
      <c r="H288" s="283" t="s">
        <v>392</v>
      </c>
      <c r="I288" s="271" t="str">
        <f t="shared" si="3"/>
        <v/>
      </c>
      <c r="J288" s="288"/>
      <c r="K288" s="305" t="s">
        <v>1957</v>
      </c>
      <c r="L288" s="285" t="s">
        <v>393</v>
      </c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5"/>
      <c r="Z288" s="275"/>
      <c r="AA288" s="275"/>
    </row>
    <row r="289">
      <c r="A289" s="271"/>
      <c r="B289" s="271"/>
      <c r="C289" s="271"/>
      <c r="D289" s="271"/>
      <c r="E289" s="271"/>
      <c r="F289" s="322"/>
      <c r="G289" s="271" t="str">
        <f>IFERROR(__xludf.DUMMYFUNCTION("""COMPUTED_VALUE"""),"FORRO CONVENCIONAL MUXARABI LORO PARDO PREMIUM")</f>
        <v>FORRO CONVENCIONAL MUXARABI LORO PARDO PREMIUM</v>
      </c>
      <c r="H289" s="283" t="s">
        <v>393</v>
      </c>
      <c r="I289" s="271" t="str">
        <f t="shared" si="3"/>
        <v/>
      </c>
      <c r="J289" s="288"/>
      <c r="K289" s="305" t="s">
        <v>1958</v>
      </c>
      <c r="L289" s="285" t="s">
        <v>394</v>
      </c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5"/>
      <c r="Z289" s="275"/>
      <c r="AA289" s="275"/>
    </row>
    <row r="290">
      <c r="A290" s="271"/>
      <c r="B290" s="271"/>
      <c r="C290" s="285"/>
      <c r="D290" s="285"/>
      <c r="E290" s="285"/>
      <c r="F290" s="322"/>
      <c r="G290" s="271" t="str">
        <f>IFERROR(__xludf.DUMMYFUNCTION("""COMPUTED_VALUE"""),"FORRO CONVENCIONAL TOBLERONE CUMARU PREMIUM 3 X 3 COMPR. VARIAVEIS")</f>
        <v>FORRO CONVENCIONAL TOBLERONE CUMARU PREMIUM 3 X 3 COMPR. VARIAVEIS</v>
      </c>
      <c r="H290" s="283" t="s">
        <v>394</v>
      </c>
      <c r="I290" s="271" t="str">
        <f t="shared" si="3"/>
        <v/>
      </c>
      <c r="J290" s="284"/>
      <c r="K290" s="305" t="s">
        <v>1959</v>
      </c>
      <c r="L290" s="285" t="s">
        <v>395</v>
      </c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6"/>
      <c r="Z290" s="286"/>
      <c r="AA290" s="286"/>
    </row>
    <row r="291">
      <c r="A291" s="271"/>
      <c r="B291" s="271"/>
      <c r="C291" s="271"/>
      <c r="D291" s="271"/>
      <c r="E291" s="271"/>
      <c r="F291" s="322"/>
      <c r="G291" s="271" t="str">
        <f>IFERROR(__xludf.DUMMYFUNCTION("""COMPUTED_VALUE"""),"FORRO CONVENCIONAL TOBLERONE CATUABA PREMIUM 3 X 3 COMPR. VARIAVEIS")</f>
        <v>FORRO CONVENCIONAL TOBLERONE CATUABA PREMIUM 3 X 3 COMPR. VARIAVEIS</v>
      </c>
      <c r="H291" s="283" t="s">
        <v>395</v>
      </c>
      <c r="I291" s="271" t="str">
        <f t="shared" si="3"/>
        <v/>
      </c>
      <c r="J291" s="288"/>
      <c r="K291" s="305" t="s">
        <v>1960</v>
      </c>
      <c r="L291" s="285" t="s">
        <v>396</v>
      </c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5"/>
      <c r="Z291" s="275"/>
      <c r="AA291" s="275"/>
    </row>
    <row r="292">
      <c r="A292" s="271"/>
      <c r="B292" s="271"/>
      <c r="C292" s="271"/>
      <c r="D292" s="271"/>
      <c r="E292" s="271"/>
      <c r="F292" s="322"/>
      <c r="G292" s="271" t="str">
        <f>IFERROR(__xludf.DUMMYFUNCTION("""COMPUTED_VALUE"""),"FORRO CONVENCIONAL TOBLERONE CABREUVA BRANCA PREMIUM 3 X 3 COMPR. VARIAVEIS")</f>
        <v>FORRO CONVENCIONAL TOBLERONE CABREUVA BRANCA PREMIUM 3 X 3 COMPR. VARIAVEIS</v>
      </c>
      <c r="H292" s="283" t="s">
        <v>396</v>
      </c>
      <c r="I292" s="271" t="str">
        <f t="shared" si="3"/>
        <v/>
      </c>
      <c r="J292" s="288"/>
      <c r="K292" s="305" t="s">
        <v>1961</v>
      </c>
      <c r="L292" s="285" t="s">
        <v>397</v>
      </c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5"/>
      <c r="Z292" s="275"/>
      <c r="AA292" s="275"/>
    </row>
    <row r="293">
      <c r="A293" s="271"/>
      <c r="B293" s="271"/>
      <c r="C293" s="271"/>
      <c r="D293" s="271"/>
      <c r="E293" s="271"/>
      <c r="F293" s="322"/>
      <c r="G293" s="271" t="str">
        <f>IFERROR(__xludf.DUMMYFUNCTION("""COMPUTED_VALUE"""),"FORRO CONVENCIONAL TOBLERONE CABREUVA DOURADA PREMIUM 3 X 3 COMPR. VARIAVEIS")</f>
        <v>FORRO CONVENCIONAL TOBLERONE CABREUVA DOURADA PREMIUM 3 X 3 COMPR. VARIAVEIS</v>
      </c>
      <c r="H293" s="283" t="s">
        <v>397</v>
      </c>
      <c r="I293" s="271" t="str">
        <f t="shared" si="3"/>
        <v/>
      </c>
      <c r="J293" s="288"/>
      <c r="K293" s="305" t="s">
        <v>1962</v>
      </c>
      <c r="L293" s="285" t="s">
        <v>398</v>
      </c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5"/>
      <c r="Z293" s="275"/>
      <c r="AA293" s="275"/>
    </row>
    <row r="294">
      <c r="A294" s="271"/>
      <c r="B294" s="271"/>
      <c r="C294" s="285"/>
      <c r="D294" s="285"/>
      <c r="E294" s="285"/>
      <c r="F294" s="322"/>
      <c r="G294" s="271" t="str">
        <f>IFERROR(__xludf.DUMMYFUNCTION("""COMPUTED_VALUE"""),"FORRO CONVENCIONAL TOBLERONE TAUARI PREMIUM 3 X 3 COMPR. VARIAVEIS")</f>
        <v>FORRO CONVENCIONAL TOBLERONE TAUARI PREMIUM 3 X 3 COMPR. VARIAVEIS</v>
      </c>
      <c r="H294" s="283" t="s">
        <v>398</v>
      </c>
      <c r="I294" s="271" t="str">
        <f t="shared" si="3"/>
        <v/>
      </c>
      <c r="J294" s="284"/>
      <c r="K294" s="305" t="s">
        <v>1963</v>
      </c>
      <c r="L294" s="285" t="s">
        <v>399</v>
      </c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6"/>
      <c r="Z294" s="286"/>
      <c r="AA294" s="286"/>
    </row>
    <row r="295">
      <c r="A295" s="271"/>
      <c r="B295" s="271"/>
      <c r="C295" s="271"/>
      <c r="D295" s="271"/>
      <c r="E295" s="271"/>
      <c r="F295" s="322"/>
      <c r="G295" s="271" t="str">
        <f>IFERROR(__xludf.DUMMYFUNCTION("""COMPUTED_VALUE"""),"FORRO CONVENCIONAL TOBLERONE PEROBA PREMIUM 3 X 3 COMPR. VARIAVEIS")</f>
        <v>FORRO CONVENCIONAL TOBLERONE PEROBA PREMIUM 3 X 3 COMPR. VARIAVEIS</v>
      </c>
      <c r="H295" s="283" t="s">
        <v>399</v>
      </c>
      <c r="I295" s="271" t="str">
        <f t="shared" si="3"/>
        <v/>
      </c>
      <c r="J295" s="288"/>
      <c r="K295" s="305" t="s">
        <v>1964</v>
      </c>
      <c r="L295" s="285" t="s">
        <v>400</v>
      </c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5"/>
      <c r="Z295" s="275"/>
      <c r="AA295" s="275"/>
    </row>
    <row r="296">
      <c r="A296" s="271"/>
      <c r="B296" s="271"/>
      <c r="C296" s="271"/>
      <c r="D296" s="271"/>
      <c r="E296" s="271"/>
      <c r="F296" s="322"/>
      <c r="G296" s="271" t="str">
        <f>IFERROR(__xludf.DUMMYFUNCTION("""COMPUTED_VALUE"""),"FORRO CONVENCIONAL TOBLERONE LORO PARDO PREMIUM 3 X 3 COMPR. VARIAVEIS")</f>
        <v>FORRO CONVENCIONAL TOBLERONE LORO PARDO PREMIUM 3 X 3 COMPR. VARIAVEIS</v>
      </c>
      <c r="H296" s="283" t="s">
        <v>400</v>
      </c>
      <c r="I296" s="271" t="str">
        <f t="shared" si="3"/>
        <v/>
      </c>
      <c r="J296" s="288"/>
      <c r="K296" s="305" t="s">
        <v>1965</v>
      </c>
      <c r="L296" s="285" t="s">
        <v>401</v>
      </c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5"/>
      <c r="Z296" s="275"/>
      <c r="AA296" s="275"/>
    </row>
    <row r="297">
      <c r="A297" s="271"/>
      <c r="B297" s="271"/>
      <c r="C297" s="271"/>
      <c r="D297" s="271"/>
      <c r="E297" s="271"/>
      <c r="F297" s="322"/>
      <c r="G297" s="271" t="str">
        <f>IFERROR(__xludf.DUMMYFUNCTION("""COMPUTED_VALUE"""),"FORRO CONVENCIONAL DECK CUMARU PREMIUM TG 2,5 X 5 X COMPR. VARIAVEIS")</f>
        <v>FORRO CONVENCIONAL DECK CUMARU PREMIUM TG 2,5 X 5 X COMPR. VARIAVEIS</v>
      </c>
      <c r="H297" s="283" t="s">
        <v>401</v>
      </c>
      <c r="I297" s="271" t="str">
        <f t="shared" si="3"/>
        <v/>
      </c>
      <c r="J297" s="288"/>
      <c r="K297" s="305" t="s">
        <v>1966</v>
      </c>
      <c r="L297" s="285" t="s">
        <v>402</v>
      </c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5"/>
      <c r="Z297" s="275"/>
      <c r="AA297" s="275"/>
    </row>
    <row r="298">
      <c r="A298" s="271"/>
      <c r="B298" s="271"/>
      <c r="C298" s="285"/>
      <c r="D298" s="271"/>
      <c r="E298" s="285"/>
      <c r="F298" s="322"/>
      <c r="G298" s="271" t="str">
        <f>IFERROR(__xludf.DUMMYFUNCTION("""COMPUTED_VALUE"""),"FORRO CONVENCIONAL DECK CUMARU PREMIUM TG 2,5 X 10 X COMPR. VARIAVEIS")</f>
        <v>FORRO CONVENCIONAL DECK CUMARU PREMIUM TG 2,5 X 10 X COMPR. VARIAVEIS</v>
      </c>
      <c r="H298" s="283" t="s">
        <v>402</v>
      </c>
      <c r="I298" s="271" t="str">
        <f t="shared" si="3"/>
        <v/>
      </c>
      <c r="J298" s="284"/>
      <c r="K298" s="305" t="s">
        <v>1967</v>
      </c>
      <c r="L298" s="285" t="s">
        <v>403</v>
      </c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6"/>
      <c r="Z298" s="286"/>
      <c r="AA298" s="286"/>
    </row>
    <row r="299">
      <c r="A299" s="271"/>
      <c r="B299" s="271"/>
      <c r="C299" s="271"/>
      <c r="D299" s="271"/>
      <c r="E299" s="271"/>
      <c r="F299" s="322"/>
      <c r="G299" s="271" t="str">
        <f>IFERROR(__xludf.DUMMYFUNCTION("""COMPUTED_VALUE"""),"FORRO CONVENCIONAL DECK CATUABA PREMIUM TG 2,5 X 5 X COMPR. VARIAVEIS")</f>
        <v>FORRO CONVENCIONAL DECK CATUABA PREMIUM TG 2,5 X 5 X COMPR. VARIAVEIS</v>
      </c>
      <c r="H299" s="283" t="s">
        <v>403</v>
      </c>
      <c r="I299" s="271" t="str">
        <f t="shared" si="3"/>
        <v/>
      </c>
      <c r="J299" s="288"/>
      <c r="K299" s="305" t="s">
        <v>1968</v>
      </c>
      <c r="L299" s="285" t="s">
        <v>404</v>
      </c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5"/>
      <c r="Z299" s="275"/>
      <c r="AA299" s="275"/>
    </row>
    <row r="300">
      <c r="A300" s="271"/>
      <c r="B300" s="271"/>
      <c r="C300" s="271"/>
      <c r="D300" s="271"/>
      <c r="E300" s="271"/>
      <c r="F300" s="322"/>
      <c r="G300" s="271" t="str">
        <f>IFERROR(__xludf.DUMMYFUNCTION("""COMPUTED_VALUE"""),"FORRO CONVENCIONAL DECK CATUABA PREMIUM TG 2,5 X 10 X COMPR. VARIAVEIS")</f>
        <v>FORRO CONVENCIONAL DECK CATUABA PREMIUM TG 2,5 X 10 X COMPR. VARIAVEIS</v>
      </c>
      <c r="H300" s="283" t="s">
        <v>404</v>
      </c>
      <c r="I300" s="271" t="str">
        <f t="shared" si="3"/>
        <v/>
      </c>
      <c r="J300" s="288"/>
      <c r="K300" s="305" t="s">
        <v>1969</v>
      </c>
      <c r="L300" s="285" t="s">
        <v>405</v>
      </c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5"/>
      <c r="Z300" s="275"/>
      <c r="AA300" s="275"/>
    </row>
    <row r="301">
      <c r="A301" s="271"/>
      <c r="B301" s="271"/>
      <c r="C301" s="271"/>
      <c r="D301" s="271"/>
      <c r="E301" s="271"/>
      <c r="F301" s="322"/>
      <c r="G301" s="271" t="str">
        <f>IFERROR(__xludf.DUMMYFUNCTION("""COMPUTED_VALUE"""),"FORRO CONVENCIONAL DECK CABREUVA BRANCA PREMIUM TG 2,5 X 5 X COMPR. VARIAVEIS")</f>
        <v>FORRO CONVENCIONAL DECK CABREUVA BRANCA PREMIUM TG 2,5 X 5 X COMPR. VARIAVEIS</v>
      </c>
      <c r="H301" s="283" t="s">
        <v>405</v>
      </c>
      <c r="I301" s="271" t="str">
        <f t="shared" si="3"/>
        <v/>
      </c>
      <c r="J301" s="288"/>
      <c r="K301" s="305" t="s">
        <v>1970</v>
      </c>
      <c r="L301" s="285" t="s">
        <v>406</v>
      </c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5"/>
      <c r="Z301" s="275"/>
      <c r="AA301" s="275"/>
    </row>
    <row r="302">
      <c r="A302" s="271"/>
      <c r="B302" s="271"/>
      <c r="C302" s="285"/>
      <c r="D302" s="285"/>
      <c r="E302" s="285"/>
      <c r="F302" s="322"/>
      <c r="G302" s="271" t="str">
        <f>IFERROR(__xludf.DUMMYFUNCTION("""COMPUTED_VALUE"""),"FORRO CONVENCIONAL DECK CABREUVA BRANCA PREMIUM TG 2,5 X 10 X COMPR. VARIAVEIS")</f>
        <v>FORRO CONVENCIONAL DECK CABREUVA BRANCA PREMIUM TG 2,5 X 10 X COMPR. VARIAVEIS</v>
      </c>
      <c r="H302" s="283" t="s">
        <v>406</v>
      </c>
      <c r="I302" s="271" t="str">
        <f t="shared" si="3"/>
        <v/>
      </c>
      <c r="J302" s="284"/>
      <c r="K302" s="305" t="s">
        <v>1971</v>
      </c>
      <c r="L302" s="285" t="s">
        <v>407</v>
      </c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6"/>
      <c r="Z302" s="286"/>
      <c r="AA302" s="286"/>
    </row>
    <row r="303">
      <c r="A303" s="271"/>
      <c r="B303" s="271"/>
      <c r="C303" s="271"/>
      <c r="D303" s="271"/>
      <c r="E303" s="271"/>
      <c r="F303" s="322"/>
      <c r="G303" s="271" t="str">
        <f>IFERROR(__xludf.DUMMYFUNCTION("""COMPUTED_VALUE"""),"FORRO CONVENCIONAL DECK CABREUVA DOURADA PREMIUM TG 2,5 X 5 X COMPR. VARIAVEIS")</f>
        <v>FORRO CONVENCIONAL DECK CABREUVA DOURADA PREMIUM TG 2,5 X 5 X COMPR. VARIAVEIS</v>
      </c>
      <c r="H303" s="283" t="s">
        <v>407</v>
      </c>
      <c r="I303" s="271" t="str">
        <f t="shared" si="3"/>
        <v/>
      </c>
      <c r="J303" s="288"/>
      <c r="K303" s="305" t="s">
        <v>1972</v>
      </c>
      <c r="L303" s="285" t="s">
        <v>408</v>
      </c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5"/>
      <c r="Z303" s="275"/>
      <c r="AA303" s="275"/>
    </row>
    <row r="304">
      <c r="A304" s="271"/>
      <c r="B304" s="271"/>
      <c r="C304" s="271"/>
      <c r="D304" s="271"/>
      <c r="E304" s="271"/>
      <c r="F304" s="322"/>
      <c r="G304" s="271" t="str">
        <f>IFERROR(__xludf.DUMMYFUNCTION("""COMPUTED_VALUE"""),"FORRO CONVENCIONAL DECK CABREUVA DOURADA PREMIUM TG 2,5 X 10 X COMPR. VARIAVEIS")</f>
        <v>FORRO CONVENCIONAL DECK CABREUVA DOURADA PREMIUM TG 2,5 X 10 X COMPR. VARIAVEIS</v>
      </c>
      <c r="H304" s="283" t="s">
        <v>408</v>
      </c>
      <c r="I304" s="271" t="str">
        <f t="shared" si="3"/>
        <v/>
      </c>
      <c r="J304" s="288"/>
      <c r="K304" s="305" t="s">
        <v>1973</v>
      </c>
      <c r="L304" s="285" t="s">
        <v>409</v>
      </c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5"/>
      <c r="Z304" s="275"/>
      <c r="AA304" s="275"/>
    </row>
    <row r="305">
      <c r="A305" s="271"/>
      <c r="B305" s="271"/>
      <c r="C305" s="271"/>
      <c r="D305" s="271"/>
      <c r="E305" s="271"/>
      <c r="F305" s="322"/>
      <c r="G305" s="271" t="str">
        <f>IFERROR(__xludf.DUMMYFUNCTION("""COMPUTED_VALUE"""),"FORRO CONVENCIONAL DECK TAUARI PREMIUM TG 2,5 X 5 X COMPR. VARIAVEIS")</f>
        <v>FORRO CONVENCIONAL DECK TAUARI PREMIUM TG 2,5 X 5 X COMPR. VARIAVEIS</v>
      </c>
      <c r="H305" s="283" t="s">
        <v>409</v>
      </c>
      <c r="I305" s="271" t="str">
        <f t="shared" si="3"/>
        <v/>
      </c>
      <c r="J305" s="288"/>
      <c r="K305" s="305" t="s">
        <v>1974</v>
      </c>
      <c r="L305" s="285" t="s">
        <v>410</v>
      </c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5"/>
      <c r="Z305" s="275"/>
      <c r="AA305" s="275"/>
    </row>
    <row r="306">
      <c r="A306" s="271"/>
      <c r="B306" s="271"/>
      <c r="C306" s="285"/>
      <c r="D306" s="285"/>
      <c r="E306" s="285"/>
      <c r="F306" s="322"/>
      <c r="G306" s="271" t="str">
        <f>IFERROR(__xludf.DUMMYFUNCTION("""COMPUTED_VALUE"""),"FORRO CONVENCIONAL DECK TAUARI PREMIUM TG 2,5 X 10 X COMPR. VARIAVEIS")</f>
        <v>FORRO CONVENCIONAL DECK TAUARI PREMIUM TG 2,5 X 10 X COMPR. VARIAVEIS</v>
      </c>
      <c r="H306" s="283" t="s">
        <v>410</v>
      </c>
      <c r="I306" s="271" t="str">
        <f t="shared" si="3"/>
        <v/>
      </c>
      <c r="J306" s="284"/>
      <c r="K306" s="305" t="s">
        <v>1975</v>
      </c>
      <c r="L306" s="285" t="s">
        <v>411</v>
      </c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6"/>
      <c r="Z306" s="286"/>
      <c r="AA306" s="286"/>
    </row>
    <row r="307">
      <c r="A307" s="271"/>
      <c r="B307" s="271"/>
      <c r="C307" s="271"/>
      <c r="D307" s="271"/>
      <c r="E307" s="271"/>
      <c r="F307" s="322"/>
      <c r="G307" s="271" t="str">
        <f>IFERROR(__xludf.DUMMYFUNCTION("""COMPUTED_VALUE"""),"FORRO CONVENCIONAL DECK PEROBA PREMIUM TG 2,5 X 5 X COMPR. VARIAVEIS")</f>
        <v>FORRO CONVENCIONAL DECK PEROBA PREMIUM TG 2,5 X 5 X COMPR. VARIAVEIS</v>
      </c>
      <c r="H307" s="283" t="s">
        <v>411</v>
      </c>
      <c r="I307" s="271" t="str">
        <f t="shared" si="3"/>
        <v/>
      </c>
      <c r="J307" s="288"/>
      <c r="K307" s="305" t="s">
        <v>1976</v>
      </c>
      <c r="L307" s="285" t="s">
        <v>412</v>
      </c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5"/>
      <c r="Z307" s="275"/>
      <c r="AA307" s="275"/>
    </row>
    <row r="308">
      <c r="A308" s="271"/>
      <c r="B308" s="271"/>
      <c r="C308" s="271"/>
      <c r="D308" s="271"/>
      <c r="E308" s="271"/>
      <c r="F308" s="322"/>
      <c r="G308" s="271" t="str">
        <f>IFERROR(__xludf.DUMMYFUNCTION("""COMPUTED_VALUE"""),"FORRO CONVENCIONAL DECK PEROBA PREMIUM TG 2,5 X 10 X COMPR. VARIAVEIS")</f>
        <v>FORRO CONVENCIONAL DECK PEROBA PREMIUM TG 2,5 X 10 X COMPR. VARIAVEIS</v>
      </c>
      <c r="H308" s="283" t="s">
        <v>412</v>
      </c>
      <c r="I308" s="271" t="str">
        <f t="shared" si="3"/>
        <v/>
      </c>
      <c r="J308" s="288"/>
      <c r="K308" s="305" t="s">
        <v>1977</v>
      </c>
      <c r="L308" s="285" t="s">
        <v>413</v>
      </c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5"/>
      <c r="Z308" s="275"/>
      <c r="AA308" s="275"/>
    </row>
    <row r="309">
      <c r="A309" s="271"/>
      <c r="B309" s="271"/>
      <c r="C309" s="271"/>
      <c r="D309" s="271"/>
      <c r="E309" s="271"/>
      <c r="F309" s="322"/>
      <c r="G309" s="271" t="str">
        <f>IFERROR(__xludf.DUMMYFUNCTION("""COMPUTED_VALUE"""),"FORRO CONVENCIONAL DECK BAMBU CARAMEL ALTA DENSIDADE")</f>
        <v>FORRO CONVENCIONAL DECK BAMBU CARAMEL ALTA DENSIDADE</v>
      </c>
      <c r="H309" s="283" t="s">
        <v>413</v>
      </c>
      <c r="I309" s="271" t="str">
        <f t="shared" si="3"/>
        <v/>
      </c>
      <c r="J309" s="288"/>
      <c r="K309" s="305" t="s">
        <v>1978</v>
      </c>
      <c r="L309" s="285" t="s">
        <v>414</v>
      </c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5"/>
      <c r="Z309" s="275"/>
      <c r="AA309" s="275"/>
    </row>
    <row r="310">
      <c r="A310" s="271"/>
      <c r="B310" s="271"/>
      <c r="C310" s="285"/>
      <c r="D310" s="285"/>
      <c r="E310" s="285"/>
      <c r="F310" s="322"/>
      <c r="G310" s="271" t="str">
        <f>IFERROR(__xludf.DUMMYFUNCTION("""COMPUTED_VALUE"""),"FORRO CONVENCIONAL DECK BPC CINZA ESCURO 2 X15X 290CM PÇ/0.435M2")</f>
        <v>FORRO CONVENCIONAL DECK BPC CINZA ESCURO 2 X15X 290CM PÇ/0.435M2</v>
      </c>
      <c r="H310" s="283" t="s">
        <v>414</v>
      </c>
      <c r="I310" s="271" t="str">
        <f t="shared" si="3"/>
        <v/>
      </c>
      <c r="J310" s="284"/>
      <c r="K310" s="305" t="s">
        <v>1979</v>
      </c>
      <c r="L310" s="285" t="s">
        <v>415</v>
      </c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6"/>
      <c r="Z310" s="286"/>
      <c r="AA310" s="286"/>
    </row>
    <row r="311">
      <c r="A311" s="271"/>
      <c r="B311" s="271"/>
      <c r="C311" s="271"/>
      <c r="D311" s="271"/>
      <c r="E311" s="271"/>
      <c r="F311" s="322"/>
      <c r="G311" s="271" t="str">
        <f>IFERROR(__xludf.DUMMYFUNCTION("""COMPUTED_VALUE"""),"FORRO CONVENCIONAL DECK BPC MORROM 2X15X220CM")</f>
        <v>FORRO CONVENCIONAL DECK BPC MORROM 2X15X220CM</v>
      </c>
      <c r="H311" s="283" t="s">
        <v>415</v>
      </c>
      <c r="I311" s="271" t="str">
        <f t="shared" si="3"/>
        <v/>
      </c>
      <c r="J311" s="288"/>
      <c r="K311" s="305" t="s">
        <v>1980</v>
      </c>
      <c r="L311" s="285" t="s">
        <v>416</v>
      </c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5"/>
      <c r="Z311" s="275"/>
      <c r="AA311" s="275"/>
    </row>
    <row r="312">
      <c r="A312" s="271"/>
      <c r="B312" s="271"/>
      <c r="C312" s="271"/>
      <c r="D312" s="271"/>
      <c r="E312" s="271"/>
      <c r="F312" s="322"/>
      <c r="G312" s="271" t="str">
        <f>IFERROR(__xludf.DUMMYFUNCTION("""COMPUTED_VALUE"""),"FORRO CONVENCIONAL DECK WPC CINZA 2,2*14,6*220CM")</f>
        <v>FORRO CONVENCIONAL DECK WPC CINZA 2,2*14,6*220CM</v>
      </c>
      <c r="H312" s="283" t="s">
        <v>416</v>
      </c>
      <c r="I312" s="271" t="str">
        <f t="shared" si="3"/>
        <v/>
      </c>
      <c r="J312" s="288"/>
      <c r="K312" s="305" t="s">
        <v>1981</v>
      </c>
      <c r="L312" s="285" t="s">
        <v>417</v>
      </c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5"/>
      <c r="Z312" s="275"/>
      <c r="AA312" s="275"/>
    </row>
    <row r="313">
      <c r="A313" s="271"/>
      <c r="B313" s="271"/>
      <c r="C313" s="271"/>
      <c r="D313" s="271"/>
      <c r="E313" s="271"/>
      <c r="F313" s="322"/>
      <c r="G313" s="271" t="str">
        <f>IFERROR(__xludf.DUMMYFUNCTION("""COMPUTED_VALUE"""),"FORRO CONVENCIONAL PEROBA RUSTICA DE DEMOLIÇÃO")</f>
        <v>FORRO CONVENCIONAL PEROBA RUSTICA DE DEMOLIÇÃO</v>
      </c>
      <c r="H313" s="283" t="s">
        <v>417</v>
      </c>
      <c r="I313" s="271" t="str">
        <f t="shared" si="3"/>
        <v/>
      </c>
      <c r="J313" s="288"/>
      <c r="K313" s="305" t="s">
        <v>1982</v>
      </c>
      <c r="L313" s="285" t="s">
        <v>418</v>
      </c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5"/>
      <c r="Z313" s="275"/>
      <c r="AA313" s="275"/>
    </row>
    <row r="314">
      <c r="A314" s="271"/>
      <c r="B314" s="271"/>
      <c r="C314" s="285"/>
      <c r="D314" s="285"/>
      <c r="E314" s="285"/>
      <c r="F314" s="322"/>
      <c r="G314" s="271" t="str">
        <f>IFERROR(__xludf.DUMMYFUNCTION("""COMPUTED_VALUE"""),"FORRO CONVENCIONAL CANELA RUSTICA DE DEMOLIÇÃO")</f>
        <v>FORRO CONVENCIONAL CANELA RUSTICA DE DEMOLIÇÃO</v>
      </c>
      <c r="H314" s="283" t="s">
        <v>418</v>
      </c>
      <c r="I314" s="271" t="str">
        <f t="shared" si="3"/>
        <v/>
      </c>
      <c r="J314" s="284"/>
      <c r="K314" s="323" t="s">
        <v>88</v>
      </c>
      <c r="L314" s="285" t="s">
        <v>89</v>
      </c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6"/>
      <c r="Z314" s="286"/>
      <c r="AA314" s="286"/>
    </row>
    <row r="315">
      <c r="A315" s="271"/>
      <c r="B315" s="271"/>
      <c r="C315" s="271"/>
      <c r="D315" s="271"/>
      <c r="E315" s="271"/>
      <c r="F315" s="323" t="s">
        <v>88</v>
      </c>
      <c r="G315" s="324" t="str">
        <f>IFERROR(__xludf.DUMMYFUNCTION("""COMPUTED_VALUE"""),"PAINEL CARVALHO CARVALHO EUROPEU MARRONE CHEVRON 15/3 X 1900X 740MM")</f>
        <v>PAINEL CARVALHO CARVALHO EUROPEU MARRONE CHEVRON 15/3 X 1900X 740MM</v>
      </c>
      <c r="H315" s="283" t="s">
        <v>89</v>
      </c>
      <c r="I315" s="271">
        <f t="shared" si="3"/>
        <v>229.82</v>
      </c>
      <c r="J315" s="288"/>
      <c r="K315" s="309" t="s">
        <v>83</v>
      </c>
      <c r="L315" s="285" t="s">
        <v>84</v>
      </c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5"/>
      <c r="Z315" s="275"/>
      <c r="AA315" s="275"/>
    </row>
    <row r="316">
      <c r="A316" s="271"/>
      <c r="B316" s="271"/>
      <c r="C316" s="271"/>
      <c r="D316" s="271"/>
      <c r="E316" s="271"/>
      <c r="F316" s="309" t="s">
        <v>83</v>
      </c>
      <c r="G316" s="310" t="str">
        <f>IFERROR(__xludf.DUMMYFUNCTION("""COMPUTED_VALUE"""),"PAINEL CARVALHO CARVALHO EUROPEU MARRONE 15/3 X 125 X 1200MM")</f>
        <v>PAINEL CARVALHO CARVALHO EUROPEU MARRONE 15/3 X 125 X 1200MM</v>
      </c>
      <c r="H316" s="283" t="s">
        <v>84</v>
      </c>
      <c r="I316" s="271">
        <f t="shared" si="3"/>
        <v>194.56</v>
      </c>
      <c r="J316" s="288"/>
      <c r="K316" s="309" t="s">
        <v>1983</v>
      </c>
      <c r="L316" s="285" t="s">
        <v>85</v>
      </c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5"/>
      <c r="Z316" s="275"/>
      <c r="AA316" s="275"/>
    </row>
    <row r="317">
      <c r="A317" s="271"/>
      <c r="B317" s="271"/>
      <c r="C317" s="271"/>
      <c r="D317" s="271"/>
      <c r="E317" s="271"/>
      <c r="F317" s="309" t="s">
        <v>1983</v>
      </c>
      <c r="G317" s="310" t="str">
        <f>IFERROR(__xludf.DUMMYFUNCTION("""COMPUTED_VALUE"""),"PAINEL CARVALHO CARVALHO EUROPEU MARRONE 15/3 X 190 X 1900MM")</f>
        <v>PAINEL CARVALHO CARVALHO EUROPEU MARRONE 15/3 X 190 X 1900MM</v>
      </c>
      <c r="H317" s="283" t="s">
        <v>85</v>
      </c>
      <c r="I317" s="271">
        <f t="shared" si="3"/>
        <v>229.82</v>
      </c>
      <c r="J317" s="288"/>
      <c r="K317" s="305" t="s">
        <v>1984</v>
      </c>
      <c r="L317" s="285" t="s">
        <v>419</v>
      </c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5"/>
      <c r="Z317" s="275"/>
      <c r="AA317" s="275"/>
    </row>
    <row r="318">
      <c r="A318" s="271"/>
      <c r="B318" s="271"/>
      <c r="C318" s="285"/>
      <c r="D318" s="285"/>
      <c r="E318" s="285"/>
      <c r="F318" s="322"/>
      <c r="G318" s="271" t="str">
        <f>IFERROR(__xludf.DUMMYFUNCTION("""COMPUTED_VALUE"""),"PAINEL CARVALHO CARVALHO EUROPEU MARRONE 20/6 X 300 X 4000MM")</f>
        <v>PAINEL CARVALHO CARVALHO EUROPEU MARRONE 20/6 X 300 X 4000MM</v>
      </c>
      <c r="H318" s="283" t="s">
        <v>419</v>
      </c>
      <c r="I318" s="271">
        <f t="shared" si="3"/>
        <v>270.56</v>
      </c>
      <c r="J318" s="284"/>
      <c r="K318" s="305" t="s">
        <v>1985</v>
      </c>
      <c r="L318" s="285" t="s">
        <v>420</v>
      </c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6"/>
      <c r="Z318" s="286"/>
      <c r="AA318" s="286"/>
    </row>
    <row r="319">
      <c r="A319" s="271"/>
      <c r="B319" s="271"/>
      <c r="C319" s="271"/>
      <c r="D319" s="271"/>
      <c r="E319" s="271"/>
      <c r="F319" s="322"/>
      <c r="G319" s="271" t="str">
        <f>IFERROR(__xludf.DUMMYFUNCTION("""COMPUTED_VALUE"""),"PAINEL CARVALHO CARVALHO EUROPEU MARRONE 20/6 X 400 X 5000MM")</f>
        <v>PAINEL CARVALHO CARVALHO EUROPEU MARRONE 20/6 X 400 X 5000MM</v>
      </c>
      <c r="H319" s="283" t="s">
        <v>420</v>
      </c>
      <c r="I319" s="271">
        <f t="shared" si="3"/>
        <v>304</v>
      </c>
      <c r="J319" s="288"/>
      <c r="K319" s="305" t="s">
        <v>1986</v>
      </c>
      <c r="L319" s="285" t="s">
        <v>421</v>
      </c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5"/>
      <c r="Z319" s="275"/>
      <c r="AA319" s="275"/>
    </row>
    <row r="320">
      <c r="A320" s="271"/>
      <c r="B320" s="271"/>
      <c r="C320" s="271"/>
      <c r="D320" s="271"/>
      <c r="E320" s="271"/>
      <c r="F320" s="322"/>
      <c r="G320" s="271" t="str">
        <f>IFERROR(__xludf.DUMMYFUNCTION("""COMPUTED_VALUE"""),"PAINEL CARVALHO CARVALHO EUROPEU MONT BLANC CHEVRON 15/3 X 1900X 740MM")</f>
        <v>PAINEL CARVALHO CARVALHO EUROPEU MONT BLANC CHEVRON 15/3 X 1900X 740MM</v>
      </c>
      <c r="H320" s="283" t="s">
        <v>421</v>
      </c>
      <c r="I320" s="271">
        <f t="shared" si="3"/>
        <v>229.82</v>
      </c>
      <c r="J320" s="288"/>
      <c r="K320" s="305" t="s">
        <v>1987</v>
      </c>
      <c r="L320" s="285" t="s">
        <v>422</v>
      </c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5"/>
      <c r="Z320" s="275"/>
      <c r="AA320" s="275"/>
    </row>
    <row r="321">
      <c r="A321" s="271"/>
      <c r="B321" s="271"/>
      <c r="C321" s="271"/>
      <c r="D321" s="271"/>
      <c r="E321" s="271"/>
      <c r="F321" s="322"/>
      <c r="G321" s="271" t="str">
        <f>IFERROR(__xludf.DUMMYFUNCTION("""COMPUTED_VALUE"""),"PAINEL CARVALHO CARVALHO EUROPEU MONT BLANC ESPINHA DE PEIXE TG 15/3 X 125X900MM")</f>
        <v>PAINEL CARVALHO CARVALHO EUROPEU MONT BLANC ESPINHA DE PEIXE TG 15/3 X 125X900MM</v>
      </c>
      <c r="H321" s="283" t="s">
        <v>422</v>
      </c>
      <c r="I321" s="271">
        <f t="shared" si="3"/>
        <v>194.56</v>
      </c>
      <c r="J321" s="288"/>
      <c r="K321" s="305" t="s">
        <v>1988</v>
      </c>
      <c r="L321" s="285" t="s">
        <v>423</v>
      </c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5"/>
      <c r="Z321" s="275"/>
      <c r="AA321" s="275"/>
    </row>
    <row r="322">
      <c r="A322" s="271"/>
      <c r="B322" s="271"/>
      <c r="C322" s="285"/>
      <c r="D322" s="285"/>
      <c r="E322" s="285"/>
      <c r="F322" s="322"/>
      <c r="G322" s="271" t="str">
        <f>IFERROR(__xludf.DUMMYFUNCTION("""COMPUTED_VALUE"""),"PAINEL CARVALHO CARVALHO EUROPEU MONT BLANC 15/3 X 125 X 1200MM")</f>
        <v>PAINEL CARVALHO CARVALHO EUROPEU MONT BLANC 15/3 X 125 X 1200MM</v>
      </c>
      <c r="H322" s="283" t="s">
        <v>423</v>
      </c>
      <c r="I322" s="271">
        <f t="shared" si="3"/>
        <v>194.56</v>
      </c>
      <c r="J322" s="284"/>
      <c r="K322" s="305" t="s">
        <v>1989</v>
      </c>
      <c r="L322" s="285" t="s">
        <v>424</v>
      </c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6"/>
      <c r="Z322" s="286"/>
      <c r="AA322" s="286"/>
    </row>
    <row r="323">
      <c r="A323" s="271"/>
      <c r="B323" s="271"/>
      <c r="C323" s="271"/>
      <c r="D323" s="271"/>
      <c r="E323" s="271"/>
      <c r="F323" s="322"/>
      <c r="G323" s="271" t="str">
        <f>IFERROR(__xludf.DUMMYFUNCTION("""COMPUTED_VALUE"""),"PAINEL CARVALHO CARVALHO EUROPEU MONT BLANC 15/3 X 190 X 1900MM")</f>
        <v>PAINEL CARVALHO CARVALHO EUROPEU MONT BLANC 15/3 X 190 X 1900MM</v>
      </c>
      <c r="H323" s="283" t="s">
        <v>424</v>
      </c>
      <c r="I323" s="271">
        <f t="shared" si="3"/>
        <v>229.82</v>
      </c>
      <c r="J323" s="288"/>
      <c r="K323" s="305" t="s">
        <v>1990</v>
      </c>
      <c r="L323" s="285" t="s">
        <v>425</v>
      </c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5"/>
      <c r="Z323" s="275"/>
      <c r="AA323" s="275"/>
    </row>
    <row r="324">
      <c r="A324" s="271"/>
      <c r="B324" s="271"/>
      <c r="C324" s="271"/>
      <c r="D324" s="271"/>
      <c r="E324" s="271"/>
      <c r="F324" s="322"/>
      <c r="G324" s="271" t="str">
        <f>IFERROR(__xludf.DUMMYFUNCTION("""COMPUTED_VALUE"""),"PAINEL CARVALHO CARVALHO EUROPEU MONT BLANC 20/6 X 300 X 4000MM")</f>
        <v>PAINEL CARVALHO CARVALHO EUROPEU MONT BLANC 20/6 X 300 X 4000MM</v>
      </c>
      <c r="H324" s="283" t="s">
        <v>425</v>
      </c>
      <c r="I324" s="271">
        <f t="shared" si="3"/>
        <v>270.56</v>
      </c>
      <c r="J324" s="288"/>
      <c r="K324" s="305" t="s">
        <v>1991</v>
      </c>
      <c r="L324" s="285" t="s">
        <v>426</v>
      </c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5"/>
      <c r="Z324" s="275"/>
      <c r="AA324" s="275"/>
    </row>
    <row r="325">
      <c r="A325" s="271"/>
      <c r="B325" s="271"/>
      <c r="C325" s="271"/>
      <c r="D325" s="271"/>
      <c r="E325" s="271"/>
      <c r="F325" s="322"/>
      <c r="G325" s="271" t="str">
        <f>IFERROR(__xludf.DUMMYFUNCTION("""COMPUTED_VALUE"""),"PAINEL CARVALHO CARVALHO EUROPEU MONT BLANC 20/6 X 400 X 5000MM")</f>
        <v>PAINEL CARVALHO CARVALHO EUROPEU MONT BLANC 20/6 X 400 X 5000MM</v>
      </c>
      <c r="H325" s="283" t="s">
        <v>426</v>
      </c>
      <c r="I325" s="271">
        <f t="shared" si="3"/>
        <v>304</v>
      </c>
      <c r="J325" s="288"/>
      <c r="K325" s="305" t="s">
        <v>1992</v>
      </c>
      <c r="L325" s="285" t="s">
        <v>427</v>
      </c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5"/>
      <c r="Z325" s="275"/>
      <c r="AA325" s="275"/>
    </row>
    <row r="326">
      <c r="A326" s="271"/>
      <c r="B326" s="271"/>
      <c r="C326" s="285"/>
      <c r="D326" s="285"/>
      <c r="E326" s="285"/>
      <c r="F326" s="322"/>
      <c r="G326" s="271" t="str">
        <f>IFERROR(__xludf.DUMMYFUNCTION("""COMPUTED_VALUE"""),"PAINEL CARVALHO CARVALHO EUROPEU NATURAL CHEVRON TG 15/3 X 125 X 775MM")</f>
        <v>PAINEL CARVALHO CARVALHO EUROPEU NATURAL CHEVRON TG 15/3 X 125 X 775MM</v>
      </c>
      <c r="H326" s="283" t="s">
        <v>427</v>
      </c>
      <c r="I326" s="271">
        <f t="shared" si="3"/>
        <v>194.56</v>
      </c>
      <c r="J326" s="284"/>
      <c r="K326" s="305" t="s">
        <v>1993</v>
      </c>
      <c r="L326" s="285" t="s">
        <v>428</v>
      </c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6"/>
      <c r="Z326" s="286"/>
      <c r="AA326" s="286"/>
    </row>
    <row r="327">
      <c r="A327" s="271"/>
      <c r="B327" s="271"/>
      <c r="C327" s="271"/>
      <c r="D327" s="271"/>
      <c r="E327" s="271"/>
      <c r="F327" s="322"/>
      <c r="G327" s="271" t="str">
        <f>IFERROR(__xludf.DUMMYFUNCTION("""COMPUTED_VALUE"""),"PAINEL CARVALHO CARVALHO EUROPEU NATURALLE CHEVRON 15/3 X 1900X 740MM")</f>
        <v>PAINEL CARVALHO CARVALHO EUROPEU NATURALLE CHEVRON 15/3 X 1900X 740MM</v>
      </c>
      <c r="H327" s="283" t="s">
        <v>428</v>
      </c>
      <c r="I327" s="271">
        <f t="shared" si="3"/>
        <v>229.82</v>
      </c>
      <c r="J327" s="288"/>
      <c r="K327" s="305" t="s">
        <v>1994</v>
      </c>
      <c r="L327" s="285" t="s">
        <v>429</v>
      </c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5"/>
      <c r="Z327" s="275"/>
      <c r="AA327" s="275"/>
    </row>
    <row r="328">
      <c r="A328" s="271"/>
      <c r="B328" s="271"/>
      <c r="C328" s="271"/>
      <c r="D328" s="271"/>
      <c r="E328" s="271"/>
      <c r="F328" s="322"/>
      <c r="G328" s="271" t="str">
        <f>IFERROR(__xludf.DUMMYFUNCTION("""COMPUTED_VALUE"""),"PAINEL CARVALHO CARVALHO EUROPEU NATURALLE CHEVRON 60º 15/3 X 1900X 910MM")</f>
        <v>PAINEL CARVALHO CARVALHO EUROPEU NATURALLE CHEVRON 60º 15/3 X 1900X 910MM</v>
      </c>
      <c r="H328" s="283" t="s">
        <v>429</v>
      </c>
      <c r="I328" s="271">
        <f t="shared" si="3"/>
        <v>229.82</v>
      </c>
      <c r="J328" s="288"/>
      <c r="K328" s="305" t="s">
        <v>1995</v>
      </c>
      <c r="L328" s="285" t="s">
        <v>430</v>
      </c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5"/>
      <c r="Z328" s="275"/>
      <c r="AA328" s="275"/>
    </row>
    <row r="329">
      <c r="A329" s="271"/>
      <c r="B329" s="271"/>
      <c r="C329" s="271"/>
      <c r="D329" s="271"/>
      <c r="E329" s="271"/>
      <c r="F329" s="322"/>
      <c r="G329" s="271" t="str">
        <f>IFERROR(__xludf.DUMMYFUNCTION("""COMPUTED_VALUE"""),"PAINEL CARVALHO CARVALHO EUROPEU NATURALLE FINE 10/06 X 1900 X 1900MM")</f>
        <v>PAINEL CARVALHO CARVALHO EUROPEU NATURALLE FINE 10/06 X 1900 X 1900MM</v>
      </c>
      <c r="H329" s="283" t="s">
        <v>430</v>
      </c>
      <c r="I329" s="271">
        <f t="shared" si="3"/>
        <v>124.64</v>
      </c>
      <c r="J329" s="288"/>
      <c r="K329" s="305" t="s">
        <v>1996</v>
      </c>
      <c r="L329" s="285" t="s">
        <v>431</v>
      </c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5"/>
      <c r="Z329" s="275"/>
      <c r="AA329" s="275"/>
    </row>
    <row r="330">
      <c r="A330" s="271"/>
      <c r="B330" s="271"/>
      <c r="C330" s="285"/>
      <c r="D330" s="285"/>
      <c r="E330" s="285"/>
      <c r="F330" s="322"/>
      <c r="G330" s="271" t="str">
        <f>IFERROR(__xludf.DUMMYFUNCTION("""COMPUTED_VALUE"""),"PAINEL CARVALHO CARVALHO EUROPEU NATURALLE 15/3 X 125 X 1200MM")</f>
        <v>PAINEL CARVALHO CARVALHO EUROPEU NATURALLE 15/3 X 125 X 1200MM</v>
      </c>
      <c r="H330" s="283" t="s">
        <v>431</v>
      </c>
      <c r="I330" s="271">
        <f t="shared" si="3"/>
        <v>194.56</v>
      </c>
      <c r="J330" s="284"/>
      <c r="K330" s="305" t="s">
        <v>1997</v>
      </c>
      <c r="L330" s="285" t="s">
        <v>432</v>
      </c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6"/>
      <c r="Z330" s="286"/>
      <c r="AA330" s="286"/>
    </row>
    <row r="331">
      <c r="A331" s="271"/>
      <c r="B331" s="271"/>
      <c r="C331" s="271"/>
      <c r="D331" s="271"/>
      <c r="E331" s="271"/>
      <c r="F331" s="322"/>
      <c r="G331" s="271" t="str">
        <f>IFERROR(__xludf.DUMMYFUNCTION("""COMPUTED_VALUE"""),"PAINEL CARVALHO CARVALHO EUROPEU NATURALLE 15/3 X 190 X 1900MM")</f>
        <v>PAINEL CARVALHO CARVALHO EUROPEU NATURALLE 15/3 X 190 X 1900MM</v>
      </c>
      <c r="H331" s="283" t="s">
        <v>432</v>
      </c>
      <c r="I331" s="271">
        <f t="shared" si="3"/>
        <v>229.82</v>
      </c>
      <c r="J331" s="288"/>
      <c r="K331" s="305" t="s">
        <v>1998</v>
      </c>
      <c r="L331" s="285" t="s">
        <v>433</v>
      </c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5"/>
      <c r="Z331" s="275"/>
      <c r="AA331" s="275"/>
    </row>
    <row r="332">
      <c r="A332" s="271"/>
      <c r="B332" s="271"/>
      <c r="C332" s="271"/>
      <c r="D332" s="271"/>
      <c r="E332" s="271"/>
      <c r="F332" s="322"/>
      <c r="G332" s="271" t="str">
        <f>IFERROR(__xludf.DUMMYFUNCTION("""COMPUTED_VALUE"""),"PAINEL CARVALHO CARVALHO EUROPEU NATURALLE 20/6 X 300 X 4000MM")</f>
        <v>PAINEL CARVALHO CARVALHO EUROPEU NATURALLE 20/6 X 300 X 4000MM</v>
      </c>
      <c r="H332" s="283" t="s">
        <v>433</v>
      </c>
      <c r="I332" s="271">
        <f t="shared" si="3"/>
        <v>270.56</v>
      </c>
      <c r="J332" s="288"/>
      <c r="K332" s="305" t="s">
        <v>1999</v>
      </c>
      <c r="L332" s="285" t="s">
        <v>434</v>
      </c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5"/>
      <c r="Z332" s="275"/>
      <c r="AA332" s="275"/>
    </row>
    <row r="333">
      <c r="A333" s="271"/>
      <c r="B333" s="271"/>
      <c r="C333" s="271"/>
      <c r="D333" s="271"/>
      <c r="E333" s="271"/>
      <c r="F333" s="322"/>
      <c r="G333" s="271" t="str">
        <f>IFERROR(__xludf.DUMMYFUNCTION("""COMPUTED_VALUE"""),"PAINEL CARVALHO CARVALHO EUROPEU NATURALLE 20/6 X 400 X 5000MM")</f>
        <v>PAINEL CARVALHO CARVALHO EUROPEU NATURALLE 20/6 X 400 X 5000MM</v>
      </c>
      <c r="H333" s="283" t="s">
        <v>434</v>
      </c>
      <c r="I333" s="271">
        <f t="shared" si="3"/>
        <v>304</v>
      </c>
      <c r="J333" s="288"/>
      <c r="K333" s="305" t="s">
        <v>2000</v>
      </c>
      <c r="L333" s="285" t="s">
        <v>435</v>
      </c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5"/>
      <c r="Z333" s="275"/>
      <c r="AA333" s="275"/>
    </row>
    <row r="334">
      <c r="A334" s="271"/>
      <c r="B334" s="271"/>
      <c r="C334" s="285"/>
      <c r="D334" s="285"/>
      <c r="E334" s="285"/>
      <c r="F334" s="322"/>
      <c r="G334" s="271" t="str">
        <f>IFERROR(__xludf.DUMMYFUNCTION("""COMPUTED_VALUE"""),"PAINEL CARVALHO CARVALHO EUROPEU CAPUCCINO CHEVRON 15/3 X 1900X 740MM")</f>
        <v>PAINEL CARVALHO CARVALHO EUROPEU CAPUCCINO CHEVRON 15/3 X 1900X 740MM</v>
      </c>
      <c r="H334" s="283" t="s">
        <v>435</v>
      </c>
      <c r="I334" s="271">
        <f t="shared" si="3"/>
        <v>229.82</v>
      </c>
      <c r="J334" s="284"/>
      <c r="K334" s="305" t="s">
        <v>2001</v>
      </c>
      <c r="L334" s="285" t="s">
        <v>436</v>
      </c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6"/>
      <c r="Z334" s="286"/>
      <c r="AA334" s="286"/>
    </row>
    <row r="335">
      <c r="A335" s="271"/>
      <c r="B335" s="271"/>
      <c r="C335" s="271"/>
      <c r="D335" s="271"/>
      <c r="E335" s="271"/>
      <c r="F335" s="322"/>
      <c r="G335" s="271" t="str">
        <f>IFERROR(__xludf.DUMMYFUNCTION("""COMPUTED_VALUE"""),"PAINEL CARVALHO CARVALHO EUROPEU CAPUCCINO 15/3 X 125 X 1200MM")</f>
        <v>PAINEL CARVALHO CARVALHO EUROPEU CAPUCCINO 15/3 X 125 X 1200MM</v>
      </c>
      <c r="H335" s="283" t="s">
        <v>436</v>
      </c>
      <c r="I335" s="271">
        <f t="shared" si="3"/>
        <v>194.56</v>
      </c>
      <c r="J335" s="288"/>
      <c r="K335" s="305" t="s">
        <v>2002</v>
      </c>
      <c r="L335" s="285" t="s">
        <v>437</v>
      </c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5"/>
      <c r="Z335" s="275"/>
      <c r="AA335" s="275"/>
    </row>
    <row r="336">
      <c r="A336" s="271"/>
      <c r="B336" s="271"/>
      <c r="C336" s="271"/>
      <c r="D336" s="271"/>
      <c r="E336" s="271"/>
      <c r="F336" s="322"/>
      <c r="G336" s="271" t="str">
        <f>IFERROR(__xludf.DUMMYFUNCTION("""COMPUTED_VALUE"""),"PAINEL CARVALHO CARVALHO EUROPEU CAPPUCCINO ESPINHA DE PEIXE TG 15/3 X 125X900MM")</f>
        <v>PAINEL CARVALHO CARVALHO EUROPEU CAPPUCCINO ESPINHA DE PEIXE TG 15/3 X 125X900MM</v>
      </c>
      <c r="H336" s="283" t="s">
        <v>437</v>
      </c>
      <c r="I336" s="271">
        <f t="shared" si="3"/>
        <v>194.56</v>
      </c>
      <c r="J336" s="288"/>
      <c r="K336" s="305" t="s">
        <v>2003</v>
      </c>
      <c r="L336" s="285" t="s">
        <v>438</v>
      </c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5"/>
      <c r="Z336" s="275"/>
      <c r="AA336" s="275"/>
    </row>
    <row r="337">
      <c r="A337" s="271"/>
      <c r="B337" s="271"/>
      <c r="C337" s="271"/>
      <c r="D337" s="271"/>
      <c r="E337" s="271"/>
      <c r="F337" s="322"/>
      <c r="G337" s="271" t="str">
        <f>IFERROR(__xludf.DUMMYFUNCTION("""COMPUTED_VALUE"""),"PAINEL CARVALHO CARVALHO EUROPEU CAPUCCINO 15/3 X 190 X 1900MM")</f>
        <v>PAINEL CARVALHO CARVALHO EUROPEU CAPUCCINO 15/3 X 190 X 1900MM</v>
      </c>
      <c r="H337" s="283" t="s">
        <v>438</v>
      </c>
      <c r="I337" s="271">
        <f t="shared" si="3"/>
        <v>229.82</v>
      </c>
      <c r="J337" s="288"/>
      <c r="K337" s="305" t="s">
        <v>2004</v>
      </c>
      <c r="L337" s="285" t="s">
        <v>439</v>
      </c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5"/>
      <c r="Z337" s="275"/>
      <c r="AA337" s="275"/>
    </row>
    <row r="338">
      <c r="A338" s="271"/>
      <c r="B338" s="271"/>
      <c r="C338" s="285"/>
      <c r="D338" s="285"/>
      <c r="E338" s="285"/>
      <c r="F338" s="322"/>
      <c r="G338" s="271" t="str">
        <f>IFERROR(__xludf.DUMMYFUNCTION("""COMPUTED_VALUE"""),"PAINEL CARVALHO CARVALHO EUROPEU CAPUCCINO 20/6 X 300 X 4000MM")</f>
        <v>PAINEL CARVALHO CARVALHO EUROPEU CAPUCCINO 20/6 X 300 X 4000MM</v>
      </c>
      <c r="H338" s="283" t="s">
        <v>439</v>
      </c>
      <c r="I338" s="271">
        <f t="shared" si="3"/>
        <v>270.56</v>
      </c>
      <c r="J338" s="284"/>
      <c r="K338" s="305" t="s">
        <v>2005</v>
      </c>
      <c r="L338" s="285" t="s">
        <v>440</v>
      </c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6"/>
      <c r="Z338" s="286"/>
      <c r="AA338" s="286"/>
    </row>
    <row r="339">
      <c r="A339" s="271"/>
      <c r="B339" s="271"/>
      <c r="C339" s="271"/>
      <c r="D339" s="271"/>
      <c r="E339" s="271"/>
      <c r="F339" s="322"/>
      <c r="G339" s="271" t="str">
        <f>IFERROR(__xludf.DUMMYFUNCTION("""COMPUTED_VALUE"""),"PAINEL CARVALHO CARVALHO EUROPEU CAPUCCINO 20/6 X 400 X 5000MM")</f>
        <v>PAINEL CARVALHO CARVALHO EUROPEU CAPUCCINO 20/6 X 400 X 5000MM</v>
      </c>
      <c r="H339" s="283" t="s">
        <v>440</v>
      </c>
      <c r="I339" s="271">
        <f t="shared" si="3"/>
        <v>304</v>
      </c>
      <c r="J339" s="288"/>
      <c r="K339" s="305" t="s">
        <v>2006</v>
      </c>
      <c r="L339" s="285" t="s">
        <v>441</v>
      </c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5"/>
      <c r="Z339" s="275"/>
      <c r="AA339" s="275"/>
    </row>
    <row r="340">
      <c r="A340" s="271"/>
      <c r="B340" s="271"/>
      <c r="C340" s="271"/>
      <c r="D340" s="271"/>
      <c r="E340" s="271"/>
      <c r="F340" s="322"/>
      <c r="G340" s="271" t="str">
        <f>IFERROR(__xludf.DUMMYFUNCTION("""COMPUTED_VALUE"""),"PAINEL CARVALHO CARVALHO EUROPEU BABY GREY CHEVRON 15/3 X 1900X 740MM")</f>
        <v>PAINEL CARVALHO CARVALHO EUROPEU BABY GREY CHEVRON 15/3 X 1900X 740MM</v>
      </c>
      <c r="H340" s="283" t="s">
        <v>441</v>
      </c>
      <c r="I340" s="271">
        <f t="shared" si="3"/>
        <v>229.82</v>
      </c>
      <c r="J340" s="288"/>
      <c r="K340" s="305" t="s">
        <v>2007</v>
      </c>
      <c r="L340" s="285" t="s">
        <v>442</v>
      </c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5"/>
      <c r="Z340" s="275"/>
      <c r="AA340" s="275"/>
    </row>
    <row r="341">
      <c r="A341" s="271"/>
      <c r="B341" s="271"/>
      <c r="C341" s="271"/>
      <c r="D341" s="271"/>
      <c r="E341" s="271"/>
      <c r="F341" s="322"/>
      <c r="G341" s="271" t="str">
        <f>IFERROR(__xludf.DUMMYFUNCTION("""COMPUTED_VALUE"""),"PAINEL CARVALHO CARVALHO EUROPEU BABY GREY 15/3 X 125 X 1200MM")</f>
        <v>PAINEL CARVALHO CARVALHO EUROPEU BABY GREY 15/3 X 125 X 1200MM</v>
      </c>
      <c r="H341" s="283" t="s">
        <v>442</v>
      </c>
      <c r="I341" s="271">
        <f t="shared" si="3"/>
        <v>194.56</v>
      </c>
      <c r="J341" s="288"/>
      <c r="K341" s="305" t="s">
        <v>2008</v>
      </c>
      <c r="L341" s="285" t="s">
        <v>443</v>
      </c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5"/>
      <c r="Z341" s="275"/>
      <c r="AA341" s="275"/>
    </row>
    <row r="342">
      <c r="A342" s="271"/>
      <c r="B342" s="271"/>
      <c r="C342" s="285"/>
      <c r="D342" s="285"/>
      <c r="E342" s="285"/>
      <c r="F342" s="322"/>
      <c r="G342" s="271" t="str">
        <f>IFERROR(__xludf.DUMMYFUNCTION("""COMPUTED_VALUE"""),"PAINEL CARVALHO CARVALHO EUROPEU BABY GREY 15/3 X 190 X 1900MM")</f>
        <v>PAINEL CARVALHO CARVALHO EUROPEU BABY GREY 15/3 X 190 X 1900MM</v>
      </c>
      <c r="H342" s="283" t="s">
        <v>443</v>
      </c>
      <c r="I342" s="271">
        <f t="shared" si="3"/>
        <v>229.82</v>
      </c>
      <c r="J342" s="284"/>
      <c r="K342" s="305" t="s">
        <v>2009</v>
      </c>
      <c r="L342" s="285" t="s">
        <v>444</v>
      </c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6"/>
      <c r="Z342" s="286"/>
      <c r="AA342" s="286"/>
    </row>
    <row r="343">
      <c r="A343" s="271"/>
      <c r="B343" s="271"/>
      <c r="C343" s="271"/>
      <c r="D343" s="271"/>
      <c r="E343" s="271"/>
      <c r="F343" s="322"/>
      <c r="G343" s="271" t="str">
        <f>IFERROR(__xludf.DUMMYFUNCTION("""COMPUTED_VALUE"""),"PAINEL CARVALHO CARVALHO EUROPEU BABY GREY 20/6 X 300 X 4000MM")</f>
        <v>PAINEL CARVALHO CARVALHO EUROPEU BABY GREY 20/6 X 300 X 4000MM</v>
      </c>
      <c r="H343" s="283" t="s">
        <v>444</v>
      </c>
      <c r="I343" s="271">
        <f t="shared" si="3"/>
        <v>270.56</v>
      </c>
      <c r="J343" s="288"/>
      <c r="K343" s="305" t="s">
        <v>2010</v>
      </c>
      <c r="L343" s="285" t="s">
        <v>445</v>
      </c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5"/>
      <c r="Z343" s="275"/>
      <c r="AA343" s="275"/>
    </row>
    <row r="344">
      <c r="A344" s="271"/>
      <c r="B344" s="271"/>
      <c r="C344" s="271"/>
      <c r="D344" s="271"/>
      <c r="E344" s="271"/>
      <c r="F344" s="322"/>
      <c r="G344" s="271" t="str">
        <f>IFERROR(__xludf.DUMMYFUNCTION("""COMPUTED_VALUE"""),"PAINEL CARVALHO CARVALHO EUROPEU BABY GREY 20/6 X 400 X 5000MM")</f>
        <v>PAINEL CARVALHO CARVALHO EUROPEU BABY GREY 20/6 X 400 X 5000MM</v>
      </c>
      <c r="H344" s="283" t="s">
        <v>445</v>
      </c>
      <c r="I344" s="271">
        <f t="shared" si="3"/>
        <v>304</v>
      </c>
      <c r="J344" s="288"/>
      <c r="K344" s="305" t="s">
        <v>2011</v>
      </c>
      <c r="L344" s="285" t="s">
        <v>446</v>
      </c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5"/>
      <c r="Z344" s="275"/>
      <c r="AA344" s="275"/>
    </row>
    <row r="345">
      <c r="A345" s="271"/>
      <c r="B345" s="271"/>
      <c r="C345" s="271"/>
      <c r="D345" s="271"/>
      <c r="E345" s="271"/>
      <c r="F345" s="322"/>
      <c r="G345" s="271" t="str">
        <f>IFERROR(__xludf.DUMMYFUNCTION("""COMPUTED_VALUE"""),"PAINEL CARVALHO CARVALHO EUROPEU GRIGIO NERO CHEVRON 15/3 X 1900X 740MM")</f>
        <v>PAINEL CARVALHO CARVALHO EUROPEU GRIGIO NERO CHEVRON 15/3 X 1900X 740MM</v>
      </c>
      <c r="H345" s="283" t="s">
        <v>446</v>
      </c>
      <c r="I345" s="271">
        <f t="shared" si="3"/>
        <v>229.82</v>
      </c>
      <c r="J345" s="288"/>
      <c r="K345" s="305" t="s">
        <v>2012</v>
      </c>
      <c r="L345" s="285" t="s">
        <v>447</v>
      </c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5"/>
      <c r="Z345" s="275"/>
      <c r="AA345" s="275"/>
    </row>
    <row r="346">
      <c r="A346" s="271"/>
      <c r="B346" s="271"/>
      <c r="C346" s="285"/>
      <c r="D346" s="285"/>
      <c r="E346" s="285"/>
      <c r="F346" s="322"/>
      <c r="G346" s="271" t="str">
        <f>IFERROR(__xludf.DUMMYFUNCTION("""COMPUTED_VALUE"""),"PAINEL CARVALHO CARVALHO EUROPEU GRIGIO NERO 15/3 X 125 X 1200MM")</f>
        <v>PAINEL CARVALHO CARVALHO EUROPEU GRIGIO NERO 15/3 X 125 X 1200MM</v>
      </c>
      <c r="H346" s="283" t="s">
        <v>447</v>
      </c>
      <c r="I346" s="271">
        <f t="shared" si="3"/>
        <v>194.56</v>
      </c>
      <c r="J346" s="284"/>
      <c r="K346" s="305" t="s">
        <v>2013</v>
      </c>
      <c r="L346" s="285" t="s">
        <v>448</v>
      </c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6"/>
      <c r="Z346" s="286"/>
      <c r="AA346" s="286"/>
    </row>
    <row r="347">
      <c r="A347" s="271"/>
      <c r="B347" s="271"/>
      <c r="C347" s="271"/>
      <c r="D347" s="271"/>
      <c r="E347" s="271"/>
      <c r="F347" s="322"/>
      <c r="G347" s="271" t="str">
        <f>IFERROR(__xludf.DUMMYFUNCTION("""COMPUTED_VALUE"""),"PAINEL CARVALHO CARVALHO EUROPEU GRIGIO NERO 15/3 X 190 X 1900MM")</f>
        <v>PAINEL CARVALHO CARVALHO EUROPEU GRIGIO NERO 15/3 X 190 X 1900MM</v>
      </c>
      <c r="H347" s="283" t="s">
        <v>448</v>
      </c>
      <c r="I347" s="271">
        <f t="shared" si="3"/>
        <v>229.82</v>
      </c>
      <c r="J347" s="288"/>
      <c r="K347" s="305" t="s">
        <v>2014</v>
      </c>
      <c r="L347" s="285" t="s">
        <v>449</v>
      </c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5"/>
      <c r="Z347" s="275"/>
      <c r="AA347" s="275"/>
    </row>
    <row r="348">
      <c r="A348" s="271"/>
      <c r="B348" s="271"/>
      <c r="C348" s="271"/>
      <c r="D348" s="271"/>
      <c r="E348" s="271"/>
      <c r="F348" s="322"/>
      <c r="G348" s="271" t="str">
        <f>IFERROR(__xludf.DUMMYFUNCTION("""COMPUTED_VALUE"""),"PAINEL CARVALHO CARVALHO EUROPEU GRIGIO NERO 20/6 X 300 X 4000MM")</f>
        <v>PAINEL CARVALHO CARVALHO EUROPEU GRIGIO NERO 20/6 X 300 X 4000MM</v>
      </c>
      <c r="H348" s="283" t="s">
        <v>449</v>
      </c>
      <c r="I348" s="271">
        <f t="shared" si="3"/>
        <v>270.56</v>
      </c>
      <c r="J348" s="288"/>
      <c r="K348" s="305" t="s">
        <v>2015</v>
      </c>
      <c r="L348" s="285" t="s">
        <v>450</v>
      </c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5"/>
      <c r="Z348" s="275"/>
      <c r="AA348" s="275"/>
    </row>
    <row r="349">
      <c r="A349" s="271"/>
      <c r="B349" s="271"/>
      <c r="C349" s="271"/>
      <c r="D349" s="271"/>
      <c r="E349" s="271"/>
      <c r="F349" s="322"/>
      <c r="G349" s="271" t="str">
        <f>IFERROR(__xludf.DUMMYFUNCTION("""COMPUTED_VALUE"""),"PAINEL CARVALHO CARVALHO EUROPEU GRIGIO NERO 20/6 X 400 X 5000MM")</f>
        <v>PAINEL CARVALHO CARVALHO EUROPEU GRIGIO NERO 20/6 X 400 X 5000MM</v>
      </c>
      <c r="H349" s="283" t="s">
        <v>450</v>
      </c>
      <c r="I349" s="271">
        <f t="shared" si="3"/>
        <v>304</v>
      </c>
      <c r="J349" s="288"/>
      <c r="K349" s="305" t="s">
        <v>2016</v>
      </c>
      <c r="L349" s="285" t="s">
        <v>451</v>
      </c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5"/>
      <c r="Z349" s="275"/>
      <c r="AA349" s="275"/>
    </row>
    <row r="350">
      <c r="A350" s="271"/>
      <c r="B350" s="271"/>
      <c r="C350" s="285"/>
      <c r="D350" s="285"/>
      <c r="E350" s="285"/>
      <c r="F350" s="322"/>
      <c r="G350" s="271" t="str">
        <f>IFERROR(__xludf.DUMMYFUNCTION("""COMPUTED_VALUE"""),"PAINEL CARVALHO CARVALHO EUROPEU LIGHT BROWN CHEVRON 15/3 X 1900X 740MM")</f>
        <v>PAINEL CARVALHO CARVALHO EUROPEU LIGHT BROWN CHEVRON 15/3 X 1900X 740MM</v>
      </c>
      <c r="H350" s="283" t="s">
        <v>451</v>
      </c>
      <c r="I350" s="271">
        <f t="shared" si="3"/>
        <v>229.82</v>
      </c>
      <c r="J350" s="284"/>
      <c r="K350" s="305" t="s">
        <v>2017</v>
      </c>
      <c r="L350" s="285" t="s">
        <v>452</v>
      </c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6"/>
      <c r="Z350" s="286"/>
      <c r="AA350" s="286"/>
    </row>
    <row r="351">
      <c r="A351" s="271"/>
      <c r="B351" s="271"/>
      <c r="C351" s="271"/>
      <c r="D351" s="271"/>
      <c r="E351" s="271"/>
      <c r="F351" s="322"/>
      <c r="G351" s="271" t="str">
        <f>IFERROR(__xludf.DUMMYFUNCTION("""COMPUTED_VALUE"""),"PAINEL CARVALHO CARVALHO EUROPEU LIGHT BROWN 15/3 X 125 X 1200MM")</f>
        <v>PAINEL CARVALHO CARVALHO EUROPEU LIGHT BROWN 15/3 X 125 X 1200MM</v>
      </c>
      <c r="H351" s="283" t="s">
        <v>452</v>
      </c>
      <c r="I351" s="271">
        <f t="shared" si="3"/>
        <v>194.56</v>
      </c>
      <c r="J351" s="288"/>
      <c r="K351" s="305" t="s">
        <v>2018</v>
      </c>
      <c r="L351" s="285" t="s">
        <v>453</v>
      </c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5"/>
      <c r="Z351" s="275"/>
      <c r="AA351" s="275"/>
    </row>
    <row r="352">
      <c r="A352" s="271"/>
      <c r="B352" s="271"/>
      <c r="C352" s="271"/>
      <c r="D352" s="271"/>
      <c r="E352" s="271"/>
      <c r="F352" s="322"/>
      <c r="G352" s="271" t="str">
        <f>IFERROR(__xludf.DUMMYFUNCTION("""COMPUTED_VALUE"""),"PAINEL CARVALHO CARVALHO EUROPEU LIGHT BROWN 15/3 X 190 X 1900MM")</f>
        <v>PAINEL CARVALHO CARVALHO EUROPEU LIGHT BROWN 15/3 X 190 X 1900MM</v>
      </c>
      <c r="H352" s="283" t="s">
        <v>453</v>
      </c>
      <c r="I352" s="271">
        <f t="shared" si="3"/>
        <v>229.82</v>
      </c>
      <c r="J352" s="288"/>
      <c r="K352" s="305" t="s">
        <v>2019</v>
      </c>
      <c r="L352" s="285" t="s">
        <v>454</v>
      </c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5"/>
      <c r="Z352" s="275"/>
      <c r="AA352" s="275"/>
    </row>
    <row r="353">
      <c r="A353" s="271"/>
      <c r="B353" s="271"/>
      <c r="C353" s="271"/>
      <c r="D353" s="271"/>
      <c r="E353" s="271"/>
      <c r="F353" s="322"/>
      <c r="G353" s="271" t="str">
        <f>IFERROR(__xludf.DUMMYFUNCTION("""COMPUTED_VALUE"""),"PAINEL CARVALHO CARVALHO EUROPEU LIGHT BROWN 20/6 X 300 X 4000MM")</f>
        <v>PAINEL CARVALHO CARVALHO EUROPEU LIGHT BROWN 20/6 X 300 X 4000MM</v>
      </c>
      <c r="H353" s="283" t="s">
        <v>454</v>
      </c>
      <c r="I353" s="271">
        <f t="shared" si="3"/>
        <v>270.56</v>
      </c>
      <c r="J353" s="288"/>
      <c r="K353" s="305" t="s">
        <v>2020</v>
      </c>
      <c r="L353" s="285" t="s">
        <v>455</v>
      </c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5"/>
      <c r="Z353" s="275"/>
      <c r="AA353" s="275"/>
    </row>
    <row r="354">
      <c r="A354" s="271"/>
      <c r="B354" s="271"/>
      <c r="C354" s="285"/>
      <c r="D354" s="285"/>
      <c r="E354" s="285"/>
      <c r="F354" s="322"/>
      <c r="G354" s="271" t="str">
        <f>IFERROR(__xludf.DUMMYFUNCTION("""COMPUTED_VALUE"""),"PAINEL CARVALHO CARVALHO EUROPEU - LISTONE GIORDANO (HERITAGE 140 FILIGRANA - SIENNA 1179) TG 1,25 X 14,0 X 83,50CM --")</f>
        <v>PAINEL CARVALHO CARVALHO EUROPEU - LISTONE GIORDANO (HERITAGE 140 FILIGRANA - SIENNA 1179) TG 1,25 X 14,0 X 83,50CM --</v>
      </c>
      <c r="H354" s="283" t="s">
        <v>455</v>
      </c>
      <c r="I354" s="271">
        <f t="shared" si="3"/>
        <v>1095</v>
      </c>
      <c r="J354" s="284"/>
      <c r="K354" s="305" t="s">
        <v>2021</v>
      </c>
      <c r="L354" s="285" t="s">
        <v>456</v>
      </c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6"/>
      <c r="Z354" s="286"/>
      <c r="AA354" s="286"/>
    </row>
    <row r="355">
      <c r="A355" s="271"/>
      <c r="B355" s="271"/>
      <c r="C355" s="271"/>
      <c r="D355" s="271"/>
      <c r="E355" s="271"/>
      <c r="F355" s="322"/>
      <c r="G355" s="271" t="str">
        <f>IFERROR(__xludf.DUMMYFUNCTION("""COMPUTED_VALUE"""),"PAINEL CARVALHO ")</f>
        <v>PAINEL CARVALHO </v>
      </c>
      <c r="H355" s="283" t="s">
        <v>456</v>
      </c>
      <c r="I355" s="271" t="str">
        <f t="shared" si="3"/>
        <v/>
      </c>
      <c r="J355" s="288"/>
      <c r="K355" s="305" t="s">
        <v>2022</v>
      </c>
      <c r="L355" s="285" t="s">
        <v>457</v>
      </c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5"/>
      <c r="Z355" s="275"/>
      <c r="AA355" s="275"/>
    </row>
    <row r="356">
      <c r="A356" s="271"/>
      <c r="B356" s="271"/>
      <c r="C356" s="271"/>
      <c r="D356" s="271"/>
      <c r="E356" s="271"/>
      <c r="F356" s="322"/>
      <c r="G356" s="271" t="str">
        <f>IFERROR(__xludf.DUMMYFUNCTION("""COMPUTED_VALUE"""),"PAINEL CARVALHO CARVALHO EUROPEU MILANO CHEVRON 15/3 X 1900X 740MM")</f>
        <v>PAINEL CARVALHO CARVALHO EUROPEU MILANO CHEVRON 15/3 X 1900X 740MM</v>
      </c>
      <c r="H356" s="283" t="s">
        <v>457</v>
      </c>
      <c r="I356" s="271" t="str">
        <f t="shared" si="3"/>
        <v/>
      </c>
      <c r="J356" s="288"/>
      <c r="K356" s="305" t="s">
        <v>2023</v>
      </c>
      <c r="L356" s="285" t="s">
        <v>458</v>
      </c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5"/>
      <c r="Z356" s="275"/>
      <c r="AA356" s="275"/>
    </row>
    <row r="357">
      <c r="A357" s="271"/>
      <c r="B357" s="271"/>
      <c r="C357" s="271"/>
      <c r="D357" s="271"/>
      <c r="E357" s="271"/>
      <c r="F357" s="322"/>
      <c r="G357" s="271" t="str">
        <f>IFERROR(__xludf.DUMMYFUNCTION("""COMPUTED_VALUE"""),"PAINEL CARVALHO CARVALHO EUROPEU MILANO 15/3 X 125 X 1200MM")</f>
        <v>PAINEL CARVALHO CARVALHO EUROPEU MILANO 15/3 X 125 X 1200MM</v>
      </c>
      <c r="H357" s="283" t="s">
        <v>458</v>
      </c>
      <c r="I357" s="271" t="str">
        <f t="shared" si="3"/>
        <v/>
      </c>
      <c r="J357" s="288"/>
      <c r="K357" s="305" t="s">
        <v>2024</v>
      </c>
      <c r="L357" s="285" t="s">
        <v>459</v>
      </c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5"/>
      <c r="Z357" s="275"/>
      <c r="AA357" s="275"/>
    </row>
    <row r="358">
      <c r="A358" s="271"/>
      <c r="B358" s="271"/>
      <c r="C358" s="285"/>
      <c r="D358" s="285"/>
      <c r="E358" s="285"/>
      <c r="F358" s="322"/>
      <c r="G358" s="271" t="str">
        <f>IFERROR(__xludf.DUMMYFUNCTION("""COMPUTED_VALUE"""),"PAINEL CARVALHO CARVALHO EUROPEU MILANO 15/3 X 190 X 1900MM")</f>
        <v>PAINEL CARVALHO CARVALHO EUROPEU MILANO 15/3 X 190 X 1900MM</v>
      </c>
      <c r="H358" s="283" t="s">
        <v>459</v>
      </c>
      <c r="I358" s="271" t="str">
        <f t="shared" si="3"/>
        <v/>
      </c>
      <c r="J358" s="284"/>
      <c r="K358" s="305" t="s">
        <v>2025</v>
      </c>
      <c r="L358" s="285" t="s">
        <v>460</v>
      </c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6"/>
      <c r="Z358" s="286"/>
      <c r="AA358" s="286"/>
    </row>
    <row r="359">
      <c r="A359" s="271"/>
      <c r="B359" s="271"/>
      <c r="C359" s="285"/>
      <c r="D359" s="285"/>
      <c r="E359" s="285"/>
      <c r="F359" s="322"/>
      <c r="G359" s="271" t="str">
        <f>IFERROR(__xludf.DUMMYFUNCTION("""COMPUTED_VALUE"""),"PAINEL CARVALHO CARVALHO EUROPEU MILANO 20/6 X 300 X 4000MM")</f>
        <v>PAINEL CARVALHO CARVALHO EUROPEU MILANO 20/6 X 300 X 4000MM</v>
      </c>
      <c r="H359" s="283" t="s">
        <v>460</v>
      </c>
      <c r="I359" s="271" t="str">
        <f t="shared" si="3"/>
        <v/>
      </c>
      <c r="J359" s="284"/>
      <c r="K359" s="305" t="s">
        <v>2026</v>
      </c>
      <c r="L359" s="285" t="s">
        <v>461</v>
      </c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6"/>
      <c r="Z359" s="286"/>
      <c r="AA359" s="286"/>
    </row>
    <row r="360">
      <c r="A360" s="271"/>
      <c r="B360" s="271"/>
      <c r="C360" s="285"/>
      <c r="D360" s="285"/>
      <c r="E360" s="285"/>
      <c r="F360" s="322"/>
      <c r="G360" s="271" t="str">
        <f>IFERROR(__xludf.DUMMYFUNCTION("""COMPUTED_VALUE"""),"PAINEL CARVALHO CARVALHO EUROPEU MILANO 20/6 X 400 X 5000MM")</f>
        <v>PAINEL CARVALHO CARVALHO EUROPEU MILANO 20/6 X 400 X 5000MM</v>
      </c>
      <c r="H360" s="283" t="s">
        <v>461</v>
      </c>
      <c r="I360" s="271" t="str">
        <f t="shared" si="3"/>
        <v/>
      </c>
      <c r="J360" s="284"/>
      <c r="K360" s="305" t="s">
        <v>2027</v>
      </c>
      <c r="L360" s="285" t="s">
        <v>462</v>
      </c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6"/>
      <c r="Z360" s="286"/>
      <c r="AA360" s="286"/>
    </row>
    <row r="361">
      <c r="A361" s="271"/>
      <c r="B361" s="271"/>
      <c r="C361" s="285"/>
      <c r="D361" s="285"/>
      <c r="E361" s="285"/>
      <c r="F361" s="322"/>
      <c r="G361" s="271" t="str">
        <f>IFERROR(__xludf.DUMMYFUNCTION("""COMPUTED_VALUE"""),"PAINEL CARVALHO CARVALHO EUROPEU SMOKED CHEVRON 15/3 X 1900X 740MM")</f>
        <v>PAINEL CARVALHO CARVALHO EUROPEU SMOKED CHEVRON 15/3 X 1900X 740MM</v>
      </c>
      <c r="H361" s="283" t="s">
        <v>462</v>
      </c>
      <c r="I361" s="271" t="str">
        <f t="shared" si="3"/>
        <v/>
      </c>
      <c r="J361" s="284"/>
      <c r="K361" s="305" t="s">
        <v>2028</v>
      </c>
      <c r="L361" s="285" t="s">
        <v>463</v>
      </c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6"/>
      <c r="Z361" s="286"/>
      <c r="AA361" s="286"/>
    </row>
    <row r="362">
      <c r="A362" s="271"/>
      <c r="B362" s="271"/>
      <c r="C362" s="285"/>
      <c r="D362" s="285"/>
      <c r="E362" s="285"/>
      <c r="F362" s="322"/>
      <c r="G362" s="271" t="str">
        <f>IFERROR(__xludf.DUMMYFUNCTION("""COMPUTED_VALUE"""),"PAINEL CARVALHO CARVALHO EUROPEU SMOKED 15/3 X 125 X 1200MM")</f>
        <v>PAINEL CARVALHO CARVALHO EUROPEU SMOKED 15/3 X 125 X 1200MM</v>
      </c>
      <c r="H362" s="283" t="s">
        <v>463</v>
      </c>
      <c r="I362" s="271" t="str">
        <f t="shared" si="3"/>
        <v/>
      </c>
      <c r="J362" s="284"/>
      <c r="K362" s="305" t="s">
        <v>2029</v>
      </c>
      <c r="L362" s="285" t="s">
        <v>464</v>
      </c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6"/>
      <c r="Z362" s="286"/>
      <c r="AA362" s="286"/>
    </row>
    <row r="363">
      <c r="A363" s="271"/>
      <c r="B363" s="271"/>
      <c r="C363" s="271"/>
      <c r="D363" s="271"/>
      <c r="E363" s="271"/>
      <c r="F363" s="322"/>
      <c r="G363" s="271" t="str">
        <f>IFERROR(__xludf.DUMMYFUNCTION("""COMPUTED_VALUE"""),"PAINEL CARVALHO CARVALHO EUROPEU SMOKED 15/3 X 190 X 1900MM")</f>
        <v>PAINEL CARVALHO CARVALHO EUROPEU SMOKED 15/3 X 190 X 1900MM</v>
      </c>
      <c r="H363" s="283" t="s">
        <v>464</v>
      </c>
      <c r="I363" s="271" t="str">
        <f t="shared" si="3"/>
        <v/>
      </c>
      <c r="J363" s="288"/>
      <c r="K363" s="305" t="s">
        <v>2030</v>
      </c>
      <c r="L363" s="285" t="s">
        <v>465</v>
      </c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5"/>
      <c r="Z363" s="275"/>
      <c r="AA363" s="275"/>
    </row>
    <row r="364">
      <c r="A364" s="271"/>
      <c r="B364" s="271"/>
      <c r="C364" s="271"/>
      <c r="D364" s="271"/>
      <c r="E364" s="271"/>
      <c r="F364" s="322"/>
      <c r="G364" s="271" t="str">
        <f>IFERROR(__xludf.DUMMYFUNCTION("""COMPUTED_VALUE"""),"PAINEL CARVALHO CARVALHO EUROPEU SMOKED 20/6 X 300 X 4000MM")</f>
        <v>PAINEL CARVALHO CARVALHO EUROPEU SMOKED 20/6 X 300 X 4000MM</v>
      </c>
      <c r="H364" s="283" t="s">
        <v>465</v>
      </c>
      <c r="I364" s="271" t="str">
        <f t="shared" si="3"/>
        <v/>
      </c>
      <c r="J364" s="288"/>
      <c r="K364" s="305" t="s">
        <v>2031</v>
      </c>
      <c r="L364" s="285" t="s">
        <v>466</v>
      </c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5"/>
      <c r="Z364" s="275"/>
      <c r="AA364" s="275"/>
    </row>
    <row r="365">
      <c r="A365" s="271"/>
      <c r="B365" s="271"/>
      <c r="C365" s="271"/>
      <c r="D365" s="271"/>
      <c r="E365" s="271"/>
      <c r="F365" s="322"/>
      <c r="G365" s="271" t="str">
        <f>IFERROR(__xludf.DUMMYFUNCTION("""COMPUTED_VALUE"""),"PAINEL CARVALHO CARVALHO EUROPEU SMOKED 20/6 X 400 X 5000MM")</f>
        <v>PAINEL CARVALHO CARVALHO EUROPEU SMOKED 20/6 X 400 X 5000MM</v>
      </c>
      <c r="H365" s="283" t="s">
        <v>466</v>
      </c>
      <c r="I365" s="271" t="str">
        <f t="shared" si="3"/>
        <v/>
      </c>
      <c r="J365" s="288"/>
      <c r="K365" s="305" t="s">
        <v>2032</v>
      </c>
      <c r="L365" s="285" t="s">
        <v>467</v>
      </c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5"/>
      <c r="Z365" s="275"/>
      <c r="AA365" s="275"/>
    </row>
    <row r="366">
      <c r="A366" s="271"/>
      <c r="B366" s="271"/>
      <c r="C366" s="285"/>
      <c r="D366" s="285"/>
      <c r="E366" s="285"/>
      <c r="F366" s="322"/>
      <c r="G366" s="271" t="str">
        <f>IFERROR(__xludf.DUMMYFUNCTION("""COMPUTED_VALUE"""),"PAINEL CARVALHO CARVALHO EUROPEU GIZ CHEVRON 15/3 X 1900X 740MM")</f>
        <v>PAINEL CARVALHO CARVALHO EUROPEU GIZ CHEVRON 15/3 X 1900X 740MM</v>
      </c>
      <c r="H366" s="283" t="s">
        <v>467</v>
      </c>
      <c r="I366" s="271" t="str">
        <f t="shared" si="3"/>
        <v/>
      </c>
      <c r="J366" s="284"/>
      <c r="K366" s="305" t="s">
        <v>2033</v>
      </c>
      <c r="L366" s="285" t="s">
        <v>468</v>
      </c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6"/>
      <c r="Z366" s="286"/>
      <c r="AA366" s="286"/>
    </row>
    <row r="367">
      <c r="A367" s="271"/>
      <c r="B367" s="271"/>
      <c r="C367" s="285"/>
      <c r="D367" s="285"/>
      <c r="E367" s="285"/>
      <c r="F367" s="322"/>
      <c r="G367" s="271" t="str">
        <f>IFERROR(__xludf.DUMMYFUNCTION("""COMPUTED_VALUE"""),"PAINEL CARVALHO CARVALHO EUROPEU GIZ 15/3 X 125 X 1200MM")</f>
        <v>PAINEL CARVALHO CARVALHO EUROPEU GIZ 15/3 X 125 X 1200MM</v>
      </c>
      <c r="H367" s="283" t="s">
        <v>468</v>
      </c>
      <c r="I367" s="271" t="str">
        <f t="shared" si="3"/>
        <v/>
      </c>
      <c r="J367" s="284"/>
      <c r="K367" s="305" t="s">
        <v>2034</v>
      </c>
      <c r="L367" s="285" t="s">
        <v>469</v>
      </c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6"/>
      <c r="Z367" s="286"/>
      <c r="AA367" s="286"/>
    </row>
    <row r="368">
      <c r="A368" s="271"/>
      <c r="B368" s="271"/>
      <c r="C368" s="271"/>
      <c r="D368" s="271"/>
      <c r="E368" s="271"/>
      <c r="F368" s="322"/>
      <c r="G368" s="271" t="str">
        <f>IFERROR(__xludf.DUMMYFUNCTION("""COMPUTED_VALUE"""),"PAINEL CARVALHO CARVALHO EUROPEU GIZ 15/3 X 190 X 1900MM")</f>
        <v>PAINEL CARVALHO CARVALHO EUROPEU GIZ 15/3 X 190 X 1900MM</v>
      </c>
      <c r="H368" s="283" t="s">
        <v>469</v>
      </c>
      <c r="I368" s="271" t="str">
        <f t="shared" si="3"/>
        <v/>
      </c>
      <c r="J368" s="288"/>
      <c r="K368" s="305" t="s">
        <v>2035</v>
      </c>
      <c r="L368" s="285" t="s">
        <v>470</v>
      </c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5"/>
      <c r="Z368" s="275"/>
      <c r="AA368" s="275"/>
    </row>
    <row r="369">
      <c r="A369" s="271"/>
      <c r="B369" s="271"/>
      <c r="C369" s="271"/>
      <c r="D369" s="271"/>
      <c r="E369" s="271"/>
      <c r="F369" s="322"/>
      <c r="G369" s="271" t="str">
        <f>IFERROR(__xludf.DUMMYFUNCTION("""COMPUTED_VALUE"""),"PAINEL CARVALHO CARVALHO EUROPEU GIZ 20/6 X 300 X 4000MM")</f>
        <v>PAINEL CARVALHO CARVALHO EUROPEU GIZ 20/6 X 300 X 4000MM</v>
      </c>
      <c r="H369" s="283" t="s">
        <v>470</v>
      </c>
      <c r="I369" s="271" t="str">
        <f t="shared" si="3"/>
        <v/>
      </c>
      <c r="J369" s="288"/>
      <c r="K369" s="305" t="s">
        <v>2036</v>
      </c>
      <c r="L369" s="285" t="s">
        <v>471</v>
      </c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5"/>
      <c r="Z369" s="275"/>
      <c r="AA369" s="275"/>
    </row>
    <row r="370">
      <c r="A370" s="271"/>
      <c r="B370" s="271"/>
      <c r="C370" s="271"/>
      <c r="D370" s="271"/>
      <c r="E370" s="271"/>
      <c r="F370" s="322"/>
      <c r="G370" s="271" t="str">
        <f>IFERROR(__xludf.DUMMYFUNCTION("""COMPUTED_VALUE"""),"PAINEL CARVALHO CARVALHO EUROPEU GIZ 20/6 X 400 X 5000MM")</f>
        <v>PAINEL CARVALHO CARVALHO EUROPEU GIZ 20/6 X 400 X 5000MM</v>
      </c>
      <c r="H370" s="283" t="s">
        <v>471</v>
      </c>
      <c r="I370" s="271" t="str">
        <f t="shared" si="3"/>
        <v/>
      </c>
      <c r="J370" s="288"/>
      <c r="K370" s="305" t="s">
        <v>2037</v>
      </c>
      <c r="L370" s="285" t="s">
        <v>472</v>
      </c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5"/>
      <c r="Z370" s="275"/>
      <c r="AA370" s="275"/>
    </row>
    <row r="371">
      <c r="A371" s="271"/>
      <c r="B371" s="271"/>
      <c r="C371" s="285"/>
      <c r="D371" s="285"/>
      <c r="E371" s="285"/>
      <c r="F371" s="322"/>
      <c r="G371" s="271" t="str">
        <f>IFERROR(__xludf.DUMMYFUNCTION("""COMPUTED_VALUE"""),"PAINEL CARVALHO CARVALHO EUROPEU SNOW CHEVRON 15/3 X 1900X 740MM")</f>
        <v>PAINEL CARVALHO CARVALHO EUROPEU SNOW CHEVRON 15/3 X 1900X 740MM</v>
      </c>
      <c r="H371" s="283" t="s">
        <v>472</v>
      </c>
      <c r="I371" s="271" t="str">
        <f t="shared" si="3"/>
        <v/>
      </c>
      <c r="J371" s="284"/>
      <c r="K371" s="305" t="s">
        <v>2038</v>
      </c>
      <c r="L371" s="285" t="s">
        <v>473</v>
      </c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6"/>
      <c r="Z371" s="286"/>
      <c r="AA371" s="286"/>
    </row>
    <row r="372">
      <c r="A372" s="271"/>
      <c r="B372" s="271"/>
      <c r="C372" s="285"/>
      <c r="D372" s="285"/>
      <c r="E372" s="285"/>
      <c r="F372" s="322"/>
      <c r="G372" s="271" t="str">
        <f>IFERROR(__xludf.DUMMYFUNCTION("""COMPUTED_VALUE"""),"PAINEL CARVALHO CARVALHO EUROPEU SNOW 15/3 X 125 X 1200MM")</f>
        <v>PAINEL CARVALHO CARVALHO EUROPEU SNOW 15/3 X 125 X 1200MM</v>
      </c>
      <c r="H372" s="283" t="s">
        <v>473</v>
      </c>
      <c r="I372" s="271" t="str">
        <f t="shared" si="3"/>
        <v/>
      </c>
      <c r="J372" s="284"/>
      <c r="K372" s="305" t="s">
        <v>2039</v>
      </c>
      <c r="L372" s="285" t="s">
        <v>474</v>
      </c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6"/>
      <c r="Z372" s="286"/>
      <c r="AA372" s="286"/>
    </row>
    <row r="373">
      <c r="A373" s="271"/>
      <c r="B373" s="271"/>
      <c r="C373" s="271"/>
      <c r="D373" s="271"/>
      <c r="E373" s="271"/>
      <c r="F373" s="322"/>
      <c r="G373" s="271" t="str">
        <f>IFERROR(__xludf.DUMMYFUNCTION("""COMPUTED_VALUE"""),"PAINEL CARVALHO CARVALHO EUROPEU SNOW 15/3 X 190 X 1900MM")</f>
        <v>PAINEL CARVALHO CARVALHO EUROPEU SNOW 15/3 X 190 X 1900MM</v>
      </c>
      <c r="H373" s="283" t="s">
        <v>474</v>
      </c>
      <c r="I373" s="271" t="str">
        <f t="shared" si="3"/>
        <v/>
      </c>
      <c r="J373" s="288"/>
      <c r="K373" s="305" t="s">
        <v>2040</v>
      </c>
      <c r="L373" s="285" t="s">
        <v>475</v>
      </c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5"/>
      <c r="Z373" s="275"/>
      <c r="AA373" s="275"/>
    </row>
    <row r="374">
      <c r="A374" s="271"/>
      <c r="B374" s="271"/>
      <c r="C374" s="271"/>
      <c r="D374" s="271"/>
      <c r="E374" s="271"/>
      <c r="F374" s="322"/>
      <c r="G374" s="271" t="str">
        <f>IFERROR(__xludf.DUMMYFUNCTION("""COMPUTED_VALUE"""),"PAINEL CARVALHO CARVALHO EUROPEU SNOW 20/6 X 300 X 4000MM")</f>
        <v>PAINEL CARVALHO CARVALHO EUROPEU SNOW 20/6 X 300 X 4000MM</v>
      </c>
      <c r="H374" s="283" t="s">
        <v>475</v>
      </c>
      <c r="I374" s="271" t="str">
        <f t="shared" si="3"/>
        <v/>
      </c>
      <c r="J374" s="288"/>
      <c r="K374" s="305" t="s">
        <v>2041</v>
      </c>
      <c r="L374" s="285" t="s">
        <v>476</v>
      </c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5"/>
      <c r="Z374" s="275"/>
      <c r="AA374" s="275"/>
    </row>
    <row r="375">
      <c r="A375" s="271"/>
      <c r="B375" s="271"/>
      <c r="C375" s="271"/>
      <c r="D375" s="271"/>
      <c r="E375" s="271"/>
      <c r="F375" s="322"/>
      <c r="G375" s="271" t="str">
        <f>IFERROR(__xludf.DUMMYFUNCTION("""COMPUTED_VALUE"""),"PAINEL CARVALHO CARVALHO EUROPEU SNOW 20/6 X 400 X 5000MM")</f>
        <v>PAINEL CARVALHO CARVALHO EUROPEU SNOW 20/6 X 400 X 5000MM</v>
      </c>
      <c r="H375" s="283" t="s">
        <v>476</v>
      </c>
      <c r="I375" s="271" t="str">
        <f t="shared" si="3"/>
        <v/>
      </c>
      <c r="J375" s="288"/>
      <c r="K375" s="305" t="s">
        <v>2042</v>
      </c>
      <c r="L375" s="285" t="s">
        <v>477</v>
      </c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5"/>
      <c r="Z375" s="275"/>
      <c r="AA375" s="275"/>
    </row>
    <row r="376">
      <c r="A376" s="271"/>
      <c r="B376" s="271"/>
      <c r="C376" s="285"/>
      <c r="D376" s="285"/>
      <c r="E376" s="285"/>
      <c r="F376" s="322"/>
      <c r="G376" s="271" t="str">
        <f>IFERROR(__xludf.DUMMYFUNCTION("""COMPUTED_VALUE"""),"PAINEL CARVALHO CARVALHO EUROPEU WILD CHEVRON 15/3 X 1900X 740MM")</f>
        <v>PAINEL CARVALHO CARVALHO EUROPEU WILD CHEVRON 15/3 X 1900X 740MM</v>
      </c>
      <c r="H376" s="283" t="s">
        <v>477</v>
      </c>
      <c r="I376" s="271" t="str">
        <f t="shared" si="3"/>
        <v/>
      </c>
      <c r="J376" s="284"/>
      <c r="K376" s="305" t="s">
        <v>2043</v>
      </c>
      <c r="L376" s="285" t="s">
        <v>478</v>
      </c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6"/>
      <c r="Z376" s="286"/>
      <c r="AA376" s="286"/>
    </row>
    <row r="377">
      <c r="A377" s="271"/>
      <c r="B377" s="271"/>
      <c r="C377" s="271"/>
      <c r="D377" s="271"/>
      <c r="E377" s="271"/>
      <c r="F377" s="322"/>
      <c r="G377" s="271" t="str">
        <f>IFERROR(__xludf.DUMMYFUNCTION("""COMPUTED_VALUE"""),"PAINEL CARVALHO CARVALHO EUROPEU WILD 15/3 X 125 X 1200MM")</f>
        <v>PAINEL CARVALHO CARVALHO EUROPEU WILD 15/3 X 125 X 1200MM</v>
      </c>
      <c r="H377" s="283" t="s">
        <v>478</v>
      </c>
      <c r="I377" s="271" t="str">
        <f t="shared" si="3"/>
        <v/>
      </c>
      <c r="J377" s="288"/>
      <c r="K377" s="305" t="s">
        <v>2044</v>
      </c>
      <c r="L377" s="285" t="s">
        <v>479</v>
      </c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5"/>
      <c r="Z377" s="275"/>
      <c r="AA377" s="275"/>
    </row>
    <row r="378">
      <c r="A378" s="271"/>
      <c r="B378" s="271"/>
      <c r="C378" s="271"/>
      <c r="D378" s="271"/>
      <c r="E378" s="271"/>
      <c r="F378" s="322"/>
      <c r="G378" s="271" t="str">
        <f>IFERROR(__xludf.DUMMYFUNCTION("""COMPUTED_VALUE"""),"PAINEL CARVALHO CARVALHO EUROPEU WILD 15/3 X 190 X 1900MM")</f>
        <v>PAINEL CARVALHO CARVALHO EUROPEU WILD 15/3 X 190 X 1900MM</v>
      </c>
      <c r="H378" s="283" t="s">
        <v>479</v>
      </c>
      <c r="I378" s="271" t="str">
        <f t="shared" si="3"/>
        <v/>
      </c>
      <c r="J378" s="288"/>
      <c r="K378" s="305" t="s">
        <v>2045</v>
      </c>
      <c r="L378" s="285" t="s">
        <v>480</v>
      </c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5"/>
      <c r="Z378" s="275"/>
      <c r="AA378" s="275"/>
    </row>
    <row r="379">
      <c r="A379" s="271"/>
      <c r="B379" s="271"/>
      <c r="C379" s="271"/>
      <c r="D379" s="271"/>
      <c r="E379" s="271"/>
      <c r="F379" s="322"/>
      <c r="G379" s="271" t="str">
        <f>IFERROR(__xludf.DUMMYFUNCTION("""COMPUTED_VALUE"""),"PAINEL CARVALHO CARVALHO EUROPEU WILD 20/6 X 300 X 4000MM")</f>
        <v>PAINEL CARVALHO CARVALHO EUROPEU WILD 20/6 X 300 X 4000MM</v>
      </c>
      <c r="H379" s="283" t="s">
        <v>480</v>
      </c>
      <c r="I379" s="271" t="str">
        <f t="shared" si="3"/>
        <v/>
      </c>
      <c r="J379" s="288"/>
      <c r="K379" s="305" t="s">
        <v>2046</v>
      </c>
      <c r="L379" s="285" t="s">
        <v>481</v>
      </c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5"/>
      <c r="Z379" s="275"/>
      <c r="AA379" s="275"/>
    </row>
    <row r="380">
      <c r="A380" s="271"/>
      <c r="B380" s="271"/>
      <c r="C380" s="285"/>
      <c r="D380" s="285"/>
      <c r="E380" s="285"/>
      <c r="F380" s="322"/>
      <c r="G380" s="271" t="str">
        <f>IFERROR(__xludf.DUMMYFUNCTION("""COMPUTED_VALUE"""),"PAINEL CARVALHO CARVALHO EUROPEU WILD 20/6 X 400 X 5000MM")</f>
        <v>PAINEL CARVALHO CARVALHO EUROPEU WILD 20/6 X 400 X 5000MM</v>
      </c>
      <c r="H380" s="283" t="s">
        <v>481</v>
      </c>
      <c r="I380" s="271" t="str">
        <f t="shared" si="3"/>
        <v/>
      </c>
      <c r="J380" s="284"/>
      <c r="K380" s="305" t="s">
        <v>2047</v>
      </c>
      <c r="L380" s="285" t="s">
        <v>482</v>
      </c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6"/>
      <c r="Z380" s="286"/>
      <c r="AA380" s="286"/>
    </row>
    <row r="381">
      <c r="A381" s="271"/>
      <c r="B381" s="271"/>
      <c r="C381" s="271"/>
      <c r="D381" s="271"/>
      <c r="E381" s="271"/>
      <c r="F381" s="322"/>
      <c r="G381" s="271" t="str">
        <f>IFERROR(__xludf.DUMMYFUNCTION("""COMPUTED_VALUE"""),"PAINEL CARVALHO CARVALHO EUROPEU NEVADO CHEVRON 15/3 X 1900X 740MM")</f>
        <v>PAINEL CARVALHO CARVALHO EUROPEU NEVADO CHEVRON 15/3 X 1900X 740MM</v>
      </c>
      <c r="H381" s="283" t="s">
        <v>482</v>
      </c>
      <c r="I381" s="271" t="str">
        <f t="shared" si="3"/>
        <v/>
      </c>
      <c r="J381" s="288"/>
      <c r="K381" s="305" t="s">
        <v>2048</v>
      </c>
      <c r="L381" s="285" t="s">
        <v>483</v>
      </c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5"/>
      <c r="Z381" s="275"/>
      <c r="AA381" s="275"/>
    </row>
    <row r="382">
      <c r="A382" s="271"/>
      <c r="B382" s="271"/>
      <c r="C382" s="271"/>
      <c r="D382" s="271"/>
      <c r="E382" s="271"/>
      <c r="F382" s="322"/>
      <c r="G382" s="271" t="str">
        <f>IFERROR(__xludf.DUMMYFUNCTION("""COMPUTED_VALUE"""),"PAINEL CARVALHO CARVALHO EUROPEU NEVADO 15/3 X 125 X 1200MM")</f>
        <v>PAINEL CARVALHO CARVALHO EUROPEU NEVADO 15/3 X 125 X 1200MM</v>
      </c>
      <c r="H382" s="283" t="s">
        <v>483</v>
      </c>
      <c r="I382" s="271" t="str">
        <f t="shared" si="3"/>
        <v/>
      </c>
      <c r="J382" s="288"/>
      <c r="K382" s="305" t="s">
        <v>2049</v>
      </c>
      <c r="L382" s="285" t="s">
        <v>484</v>
      </c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5"/>
      <c r="Z382" s="275"/>
      <c r="AA382" s="275"/>
    </row>
    <row r="383">
      <c r="A383" s="271"/>
      <c r="B383" s="271"/>
      <c r="C383" s="271"/>
      <c r="D383" s="271"/>
      <c r="E383" s="271"/>
      <c r="F383" s="322"/>
      <c r="G383" s="271" t="str">
        <f>IFERROR(__xludf.DUMMYFUNCTION("""COMPUTED_VALUE"""),"PAINEL CARVALHO CARVALHO EUROPEU NEVADO 15/3 X 190 X 1900MM")</f>
        <v>PAINEL CARVALHO CARVALHO EUROPEU NEVADO 15/3 X 190 X 1900MM</v>
      </c>
      <c r="H383" s="283" t="s">
        <v>484</v>
      </c>
      <c r="I383" s="271" t="str">
        <f t="shared" si="3"/>
        <v/>
      </c>
      <c r="J383" s="288"/>
      <c r="K383" s="305" t="s">
        <v>2050</v>
      </c>
      <c r="L383" s="285" t="s">
        <v>485</v>
      </c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5"/>
      <c r="Z383" s="275"/>
      <c r="AA383" s="275"/>
    </row>
    <row r="384">
      <c r="A384" s="271"/>
      <c r="B384" s="271"/>
      <c r="C384" s="285"/>
      <c r="D384" s="285"/>
      <c r="E384" s="285"/>
      <c r="F384" s="322"/>
      <c r="G384" s="271" t="str">
        <f>IFERROR(__xludf.DUMMYFUNCTION("""COMPUTED_VALUE"""),"PAINEL CARVALHO CARVALHO EUROPEU NEVADO 20/6 X 300 X 4000MM")</f>
        <v>PAINEL CARVALHO CARVALHO EUROPEU NEVADO 20/6 X 300 X 4000MM</v>
      </c>
      <c r="H384" s="283" t="s">
        <v>485</v>
      </c>
      <c r="I384" s="271" t="str">
        <f t="shared" si="3"/>
        <v/>
      </c>
      <c r="J384" s="284"/>
      <c r="K384" s="305" t="s">
        <v>2051</v>
      </c>
      <c r="L384" s="285" t="s">
        <v>486</v>
      </c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6"/>
      <c r="Z384" s="286"/>
      <c r="AA384" s="286"/>
    </row>
    <row r="385">
      <c r="A385" s="271"/>
      <c r="B385" s="271"/>
      <c r="C385" s="271"/>
      <c r="D385" s="271"/>
      <c r="E385" s="271"/>
      <c r="F385" s="322"/>
      <c r="G385" s="271" t="str">
        <f>IFERROR(__xludf.DUMMYFUNCTION("""COMPUTED_VALUE"""),"PAINEL CARVALHO CARVALHO EUROPEU NEVADO 20/6 X 400 X 5000MM")</f>
        <v>PAINEL CARVALHO CARVALHO EUROPEU NEVADO 20/6 X 400 X 5000MM</v>
      </c>
      <c r="H385" s="283" t="s">
        <v>486</v>
      </c>
      <c r="I385" s="271" t="str">
        <f t="shared" si="3"/>
        <v/>
      </c>
      <c r="J385" s="288"/>
      <c r="K385" s="305" t="s">
        <v>2052</v>
      </c>
      <c r="L385" s="285" t="s">
        <v>487</v>
      </c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5"/>
      <c r="Z385" s="275"/>
      <c r="AA385" s="275"/>
    </row>
    <row r="386">
      <c r="A386" s="271"/>
      <c r="B386" s="271"/>
      <c r="C386" s="271"/>
      <c r="D386" s="271"/>
      <c r="E386" s="271"/>
      <c r="F386" s="322"/>
      <c r="G386" s="271" t="str">
        <f>IFERROR(__xludf.DUMMYFUNCTION("""COMPUTED_VALUE"""),"PAINEL CARVALHO CARVALHO EUROPEU CONCRETE GREY CHEVRON 15/3 X 1900X 740MM")</f>
        <v>PAINEL CARVALHO CARVALHO EUROPEU CONCRETE GREY CHEVRON 15/3 X 1900X 740MM</v>
      </c>
      <c r="H386" s="283" t="s">
        <v>487</v>
      </c>
      <c r="I386" s="271" t="str">
        <f t="shared" si="3"/>
        <v/>
      </c>
      <c r="J386" s="288"/>
      <c r="K386" s="305" t="s">
        <v>2053</v>
      </c>
      <c r="L386" s="285" t="s">
        <v>488</v>
      </c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5"/>
      <c r="Z386" s="275"/>
      <c r="AA386" s="275"/>
    </row>
    <row r="387">
      <c r="A387" s="271"/>
      <c r="B387" s="271"/>
      <c r="C387" s="271"/>
      <c r="D387" s="271"/>
      <c r="E387" s="271"/>
      <c r="F387" s="322"/>
      <c r="G387" s="271" t="str">
        <f>IFERROR(__xludf.DUMMYFUNCTION("""COMPUTED_VALUE"""),"PAINEL CARVALHO CARVALHO EUROPEU CONCRETE GREY 15/3 X 125 X 1200MM")</f>
        <v>PAINEL CARVALHO CARVALHO EUROPEU CONCRETE GREY 15/3 X 125 X 1200MM</v>
      </c>
      <c r="H387" s="283" t="s">
        <v>488</v>
      </c>
      <c r="I387" s="271" t="str">
        <f t="shared" si="3"/>
        <v/>
      </c>
      <c r="J387" s="288"/>
      <c r="K387" s="305" t="s">
        <v>2054</v>
      </c>
      <c r="L387" s="285" t="s">
        <v>489</v>
      </c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5"/>
      <c r="Z387" s="275"/>
      <c r="AA387" s="275"/>
    </row>
    <row r="388">
      <c r="A388" s="271"/>
      <c r="B388" s="271"/>
      <c r="C388" s="285"/>
      <c r="D388" s="271"/>
      <c r="E388" s="285"/>
      <c r="F388" s="322"/>
      <c r="G388" s="271" t="str">
        <f>IFERROR(__xludf.DUMMYFUNCTION("""COMPUTED_VALUE"""),"PAINEL CARVALHO CARVALHO EUROPEU CONCRETE GREY 15/3 X 190 X 1900MM")</f>
        <v>PAINEL CARVALHO CARVALHO EUROPEU CONCRETE GREY 15/3 X 190 X 1900MM</v>
      </c>
      <c r="H388" s="283" t="s">
        <v>489</v>
      </c>
      <c r="I388" s="271" t="str">
        <f t="shared" si="3"/>
        <v/>
      </c>
      <c r="J388" s="284"/>
      <c r="K388" s="305" t="s">
        <v>2055</v>
      </c>
      <c r="L388" s="285" t="s">
        <v>490</v>
      </c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6"/>
      <c r="Z388" s="286"/>
      <c r="AA388" s="286"/>
    </row>
    <row r="389">
      <c r="A389" s="271"/>
      <c r="B389" s="271"/>
      <c r="C389" s="271"/>
      <c r="D389" s="271"/>
      <c r="E389" s="271"/>
      <c r="F389" s="322"/>
      <c r="G389" s="271" t="str">
        <f>IFERROR(__xludf.DUMMYFUNCTION("""COMPUTED_VALUE"""),"PAINEL CARVALHO CARVALHO EUROPEU CONCRETE GREY 20/6 X 300 X 4000MM")</f>
        <v>PAINEL CARVALHO CARVALHO EUROPEU CONCRETE GREY 20/6 X 300 X 4000MM</v>
      </c>
      <c r="H389" s="283" t="s">
        <v>490</v>
      </c>
      <c r="I389" s="271" t="str">
        <f t="shared" si="3"/>
        <v/>
      </c>
      <c r="J389" s="288"/>
      <c r="K389" s="305" t="s">
        <v>2056</v>
      </c>
      <c r="L389" s="285" t="s">
        <v>491</v>
      </c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5"/>
      <c r="Z389" s="275"/>
      <c r="AA389" s="275"/>
    </row>
    <row r="390">
      <c r="A390" s="271"/>
      <c r="B390" s="271"/>
      <c r="C390" s="271"/>
      <c r="D390" s="271"/>
      <c r="E390" s="271"/>
      <c r="F390" s="322"/>
      <c r="G390" s="271" t="str">
        <f>IFERROR(__xludf.DUMMYFUNCTION("""COMPUTED_VALUE"""),"PAINEL CARVALHO CARVALHO EUROPEU CONCRETE GREY 20/6 X 400 X 5000MM")</f>
        <v>PAINEL CARVALHO CARVALHO EUROPEU CONCRETE GREY 20/6 X 400 X 5000MM</v>
      </c>
      <c r="H390" s="283" t="s">
        <v>491</v>
      </c>
      <c r="I390" s="271" t="str">
        <f t="shared" si="3"/>
        <v/>
      </c>
      <c r="J390" s="288"/>
      <c r="K390" s="305" t="s">
        <v>2057</v>
      </c>
      <c r="L390" s="285" t="s">
        <v>492</v>
      </c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5"/>
      <c r="Z390" s="275"/>
      <c r="AA390" s="275"/>
    </row>
    <row r="391">
      <c r="A391" s="271"/>
      <c r="B391" s="271"/>
      <c r="C391" s="271"/>
      <c r="D391" s="271"/>
      <c r="E391" s="271"/>
      <c r="F391" s="322"/>
      <c r="G391" s="271" t="str">
        <f>IFERROR(__xludf.DUMMYFUNCTION("""COMPUTED_VALUE"""),"PAINEL CARVALHO CARVALHO EUROPEU ITALY BROWN CHEVRON 15/3 X 1900X 740MM")</f>
        <v>PAINEL CARVALHO CARVALHO EUROPEU ITALY BROWN CHEVRON 15/3 X 1900X 740MM</v>
      </c>
      <c r="H391" s="283" t="s">
        <v>492</v>
      </c>
      <c r="I391" s="271" t="str">
        <f t="shared" si="3"/>
        <v/>
      </c>
      <c r="J391" s="288"/>
      <c r="K391" s="305" t="s">
        <v>2058</v>
      </c>
      <c r="L391" s="285" t="s">
        <v>493</v>
      </c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5"/>
      <c r="Z391" s="275"/>
      <c r="AA391" s="275"/>
    </row>
    <row r="392">
      <c r="A392" s="271"/>
      <c r="B392" s="271"/>
      <c r="C392" s="285"/>
      <c r="D392" s="271"/>
      <c r="E392" s="285"/>
      <c r="F392" s="322"/>
      <c r="G392" s="271" t="str">
        <f>IFERROR(__xludf.DUMMYFUNCTION("""COMPUTED_VALUE"""),"PAINEL CARVALHO CARVALHO EUROPEU ITALY BROWN 15/3 X 125 X 1200MM")</f>
        <v>PAINEL CARVALHO CARVALHO EUROPEU ITALY BROWN 15/3 X 125 X 1200MM</v>
      </c>
      <c r="H392" s="283" t="s">
        <v>493</v>
      </c>
      <c r="I392" s="271" t="str">
        <f t="shared" si="3"/>
        <v/>
      </c>
      <c r="J392" s="284"/>
      <c r="K392" s="305" t="s">
        <v>2059</v>
      </c>
      <c r="L392" s="285" t="s">
        <v>494</v>
      </c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6"/>
      <c r="Z392" s="286"/>
      <c r="AA392" s="286"/>
    </row>
    <row r="393">
      <c r="A393" s="271"/>
      <c r="B393" s="271"/>
      <c r="C393" s="271"/>
      <c r="D393" s="320"/>
      <c r="E393" s="320"/>
      <c r="F393" s="322"/>
      <c r="G393" s="271" t="str">
        <f>IFERROR(__xludf.DUMMYFUNCTION("""COMPUTED_VALUE"""),"PAINEL CARVALHO CARVALHO EUROPEU ITALY BROWN 15/3 X 190 X 1900MM")</f>
        <v>PAINEL CARVALHO CARVALHO EUROPEU ITALY BROWN 15/3 X 190 X 1900MM</v>
      </c>
      <c r="H393" s="283" t="s">
        <v>494</v>
      </c>
      <c r="I393" s="271" t="str">
        <f t="shared" si="3"/>
        <v/>
      </c>
      <c r="J393" s="288"/>
      <c r="K393" s="305" t="s">
        <v>2060</v>
      </c>
      <c r="L393" s="285" t="s">
        <v>495</v>
      </c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5"/>
      <c r="Z393" s="275"/>
      <c r="AA393" s="275"/>
    </row>
    <row r="394">
      <c r="A394" s="271"/>
      <c r="B394" s="271"/>
      <c r="C394" s="271"/>
      <c r="D394" s="271"/>
      <c r="E394" s="271"/>
      <c r="F394" s="322"/>
      <c r="G394" s="271" t="str">
        <f>IFERROR(__xludf.DUMMYFUNCTION("""COMPUTED_VALUE"""),"PAINEL CARVALHO CARVALHO EUROPEU ITALY BROWN 20/6 X 300 X 4000MM")</f>
        <v>PAINEL CARVALHO CARVALHO EUROPEU ITALY BROWN 20/6 X 300 X 4000MM</v>
      </c>
      <c r="H394" s="283" t="s">
        <v>495</v>
      </c>
      <c r="I394" s="271" t="str">
        <f t="shared" si="3"/>
        <v/>
      </c>
      <c r="J394" s="288"/>
      <c r="K394" s="305" t="s">
        <v>2061</v>
      </c>
      <c r="L394" s="285" t="s">
        <v>496</v>
      </c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5"/>
      <c r="Z394" s="275"/>
      <c r="AA394" s="275"/>
    </row>
    <row r="395">
      <c r="A395" s="271"/>
      <c r="B395" s="271"/>
      <c r="C395" s="271"/>
      <c r="D395" s="271"/>
      <c r="E395" s="271"/>
      <c r="F395" s="322"/>
      <c r="G395" s="271" t="str">
        <f>IFERROR(__xludf.DUMMYFUNCTION("""COMPUTED_VALUE"""),"PAINEL CARVALHO CARVALHO EUROPEU ITALY BROWN 20/6 X 400 X 5000MM")</f>
        <v>PAINEL CARVALHO CARVALHO EUROPEU ITALY BROWN 20/6 X 400 X 5000MM</v>
      </c>
      <c r="H395" s="283" t="s">
        <v>496</v>
      </c>
      <c r="I395" s="271" t="str">
        <f t="shared" si="3"/>
        <v/>
      </c>
      <c r="J395" s="288"/>
      <c r="K395" s="305" t="s">
        <v>2062</v>
      </c>
      <c r="L395" s="285" t="s">
        <v>497</v>
      </c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5"/>
      <c r="Z395" s="275"/>
      <c r="AA395" s="275"/>
    </row>
    <row r="396">
      <c r="A396" s="271"/>
      <c r="B396" s="271"/>
      <c r="C396" s="285"/>
      <c r="D396" s="285"/>
      <c r="E396" s="285"/>
      <c r="F396" s="322"/>
      <c r="G396" s="271" t="str">
        <f>IFERROR(__xludf.DUMMYFUNCTION("""COMPUTED_VALUE"""),"PAINEL CARVALHO CARVALHO EUROPEU ALL BLACK CHEVRON 15/3 X 1900X 740MM")</f>
        <v>PAINEL CARVALHO CARVALHO EUROPEU ALL BLACK CHEVRON 15/3 X 1900X 740MM</v>
      </c>
      <c r="H396" s="283" t="s">
        <v>497</v>
      </c>
      <c r="I396" s="271" t="str">
        <f t="shared" si="3"/>
        <v/>
      </c>
      <c r="J396" s="284"/>
      <c r="K396" s="305" t="s">
        <v>2063</v>
      </c>
      <c r="L396" s="285" t="s">
        <v>498</v>
      </c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6"/>
      <c r="Z396" s="286"/>
      <c r="AA396" s="286"/>
    </row>
    <row r="397">
      <c r="A397" s="271"/>
      <c r="B397" s="271"/>
      <c r="C397" s="285"/>
      <c r="D397" s="285"/>
      <c r="E397" s="285"/>
      <c r="F397" s="322"/>
      <c r="G397" s="271" t="str">
        <f>IFERROR(__xludf.DUMMYFUNCTION("""COMPUTED_VALUE"""),"PAINEL CARVALHO CARVALHO EUROPEU ALL BLACK 15/3 X 125 X 1200MM")</f>
        <v>PAINEL CARVALHO CARVALHO EUROPEU ALL BLACK 15/3 X 125 X 1200MM</v>
      </c>
      <c r="H397" s="283" t="s">
        <v>498</v>
      </c>
      <c r="I397" s="271" t="str">
        <f t="shared" si="3"/>
        <v/>
      </c>
      <c r="J397" s="284"/>
      <c r="K397" s="305" t="s">
        <v>2064</v>
      </c>
      <c r="L397" s="285" t="s">
        <v>499</v>
      </c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6"/>
      <c r="Z397" s="286"/>
      <c r="AA397" s="286"/>
    </row>
    <row r="398">
      <c r="A398" s="271"/>
      <c r="B398" s="271"/>
      <c r="C398" s="271"/>
      <c r="D398" s="271"/>
      <c r="E398" s="271"/>
      <c r="F398" s="322"/>
      <c r="G398" s="271" t="str">
        <f>IFERROR(__xludf.DUMMYFUNCTION("""COMPUTED_VALUE"""),"PAINEL CARVALHO CARVALHO EUROPEU BLACK CHEVRON TG 15/3 X 125 X 775CM")</f>
        <v>PAINEL CARVALHO CARVALHO EUROPEU BLACK CHEVRON TG 15/3 X 125 X 775CM</v>
      </c>
      <c r="H398" s="283" t="s">
        <v>499</v>
      </c>
      <c r="I398" s="271" t="str">
        <f t="shared" si="3"/>
        <v/>
      </c>
      <c r="J398" s="288"/>
      <c r="K398" s="305" t="s">
        <v>2065</v>
      </c>
      <c r="L398" s="285" t="s">
        <v>500</v>
      </c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5"/>
      <c r="Z398" s="275"/>
      <c r="AA398" s="275"/>
    </row>
    <row r="399">
      <c r="A399" s="271"/>
      <c r="B399" s="271"/>
      <c r="C399" s="271"/>
      <c r="D399" s="271"/>
      <c r="E399" s="271"/>
      <c r="F399" s="322"/>
      <c r="G399" s="271" t="str">
        <f>IFERROR(__xludf.DUMMYFUNCTION("""COMPUTED_VALUE"""),"PAINEL CARVALHO CARVALHO EUROPEU ALL BLACK 15/3 X 190 X 1900MM")</f>
        <v>PAINEL CARVALHO CARVALHO EUROPEU ALL BLACK 15/3 X 190 X 1900MM</v>
      </c>
      <c r="H399" s="283" t="s">
        <v>500</v>
      </c>
      <c r="I399" s="271" t="str">
        <f t="shared" si="3"/>
        <v/>
      </c>
      <c r="J399" s="288"/>
      <c r="K399" s="305" t="s">
        <v>2066</v>
      </c>
      <c r="L399" s="285" t="s">
        <v>501</v>
      </c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5"/>
      <c r="Z399" s="275"/>
      <c r="AA399" s="275"/>
    </row>
    <row r="400">
      <c r="A400" s="271"/>
      <c r="B400" s="271"/>
      <c r="C400" s="271"/>
      <c r="D400" s="271"/>
      <c r="E400" s="271"/>
      <c r="F400" s="322"/>
      <c r="G400" s="271" t="str">
        <f>IFERROR(__xludf.DUMMYFUNCTION("""COMPUTED_VALUE"""),"PAINEL CARVALHO CARVALHO EUROPEU ALL BLACK 20/6 X 300 X 4000MM")</f>
        <v>PAINEL CARVALHO CARVALHO EUROPEU ALL BLACK 20/6 X 300 X 4000MM</v>
      </c>
      <c r="H400" s="283" t="s">
        <v>501</v>
      </c>
      <c r="I400" s="271" t="str">
        <f t="shared" si="3"/>
        <v/>
      </c>
      <c r="J400" s="288"/>
      <c r="K400" s="305" t="s">
        <v>2067</v>
      </c>
      <c r="L400" s="285" t="s">
        <v>502</v>
      </c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5"/>
      <c r="Z400" s="275"/>
      <c r="AA400" s="275"/>
    </row>
    <row r="401">
      <c r="A401" s="271"/>
      <c r="B401" s="271"/>
      <c r="C401" s="285"/>
      <c r="D401" s="285"/>
      <c r="E401" s="285"/>
      <c r="F401" s="322"/>
      <c r="G401" s="271" t="str">
        <f>IFERROR(__xludf.DUMMYFUNCTION("""COMPUTED_VALUE"""),"PAINEL CARVALHO CARVALHO EUROPEU ALL BLACK 20/6 X 400 X 5000MM")</f>
        <v>PAINEL CARVALHO CARVALHO EUROPEU ALL BLACK 20/6 X 400 X 5000MM</v>
      </c>
      <c r="H401" s="283" t="s">
        <v>502</v>
      </c>
      <c r="I401" s="271" t="str">
        <f t="shared" si="3"/>
        <v/>
      </c>
      <c r="J401" s="284"/>
      <c r="K401" s="305" t="s">
        <v>2068</v>
      </c>
      <c r="L401" s="285" t="s">
        <v>503</v>
      </c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6"/>
      <c r="Z401" s="286"/>
      <c r="AA401" s="286"/>
    </row>
    <row r="402">
      <c r="A402" s="271"/>
      <c r="B402" s="271"/>
      <c r="C402" s="285"/>
      <c r="D402" s="285"/>
      <c r="E402" s="285"/>
      <c r="F402" s="322"/>
      <c r="G402" s="271" t="str">
        <f>IFERROR(__xludf.DUMMYFUNCTION("""COMPUTED_VALUE"""),"PAINEL CARVALHO CARVALHO EUROPEU URBAN GREY CHEVRON 15/3 X 1900X 740MM")</f>
        <v>PAINEL CARVALHO CARVALHO EUROPEU URBAN GREY CHEVRON 15/3 X 1900X 740MM</v>
      </c>
      <c r="H402" s="283" t="s">
        <v>503</v>
      </c>
      <c r="I402" s="271" t="str">
        <f t="shared" si="3"/>
        <v/>
      </c>
      <c r="J402" s="284"/>
      <c r="K402" s="305" t="s">
        <v>2069</v>
      </c>
      <c r="L402" s="285" t="s">
        <v>504</v>
      </c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6"/>
      <c r="Z402" s="286"/>
      <c r="AA402" s="286"/>
    </row>
    <row r="403">
      <c r="A403" s="271"/>
      <c r="B403" s="271"/>
      <c r="C403" s="271"/>
      <c r="D403" s="271"/>
      <c r="E403" s="271"/>
      <c r="F403" s="322"/>
      <c r="G403" s="271" t="str">
        <f>IFERROR(__xludf.DUMMYFUNCTION("""COMPUTED_VALUE"""),"PAINEL CARVALHO CARVALHO EUROPEU URBAN GREY 15/3 X 125 X 1200MM")</f>
        <v>PAINEL CARVALHO CARVALHO EUROPEU URBAN GREY 15/3 X 125 X 1200MM</v>
      </c>
      <c r="H403" s="283" t="s">
        <v>504</v>
      </c>
      <c r="I403" s="271" t="str">
        <f t="shared" si="3"/>
        <v/>
      </c>
      <c r="J403" s="288"/>
      <c r="K403" s="305" t="s">
        <v>2070</v>
      </c>
      <c r="L403" s="285" t="s">
        <v>505</v>
      </c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5"/>
      <c r="Z403" s="275"/>
      <c r="AA403" s="275"/>
    </row>
    <row r="404">
      <c r="A404" s="271"/>
      <c r="B404" s="271"/>
      <c r="C404" s="271"/>
      <c r="D404" s="271"/>
      <c r="E404" s="271"/>
      <c r="F404" s="322"/>
      <c r="G404" s="271" t="str">
        <f>IFERROR(__xludf.DUMMYFUNCTION("""COMPUTED_VALUE"""),"PAINEL CARVALHO CARVALHO EUROPEU URBAN GREY 15/3 X 190 X 1900MM")</f>
        <v>PAINEL CARVALHO CARVALHO EUROPEU URBAN GREY 15/3 X 190 X 1900MM</v>
      </c>
      <c r="H404" s="283" t="s">
        <v>505</v>
      </c>
      <c r="I404" s="271" t="str">
        <f t="shared" si="3"/>
        <v/>
      </c>
      <c r="J404" s="288"/>
      <c r="K404" s="305" t="s">
        <v>2071</v>
      </c>
      <c r="L404" s="285" t="s">
        <v>506</v>
      </c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5"/>
      <c r="Z404" s="275"/>
      <c r="AA404" s="275"/>
    </row>
    <row r="405">
      <c r="A405" s="271"/>
      <c r="B405" s="271"/>
      <c r="C405" s="271"/>
      <c r="D405" s="271"/>
      <c r="E405" s="271"/>
      <c r="F405" s="322"/>
      <c r="G405" s="271" t="str">
        <f>IFERROR(__xludf.DUMMYFUNCTION("""COMPUTED_VALUE"""),"PAINEL CARVALHO CARVALHO EUROPEU URBAN GREY 20/6 X 300 X 4000MM")</f>
        <v>PAINEL CARVALHO CARVALHO EUROPEU URBAN GREY 20/6 X 300 X 4000MM</v>
      </c>
      <c r="H405" s="283" t="s">
        <v>506</v>
      </c>
      <c r="I405" s="271" t="str">
        <f t="shared" si="3"/>
        <v/>
      </c>
      <c r="J405" s="288"/>
      <c r="K405" s="305" t="s">
        <v>2072</v>
      </c>
      <c r="L405" s="285" t="s">
        <v>507</v>
      </c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5"/>
      <c r="Z405" s="275"/>
      <c r="AA405" s="275"/>
    </row>
    <row r="406">
      <c r="A406" s="271"/>
      <c r="B406" s="271"/>
      <c r="C406" s="285"/>
      <c r="D406" s="285"/>
      <c r="E406" s="285"/>
      <c r="F406" s="322"/>
      <c r="G406" s="271" t="str">
        <f>IFERROR(__xludf.DUMMYFUNCTION("""COMPUTED_VALUE"""),"PAINEL CARVALHO CARVALHO EUROPEU URBAN GREY 20/6 X 400 X 5000MM")</f>
        <v>PAINEL CARVALHO CARVALHO EUROPEU URBAN GREY 20/6 X 400 X 5000MM</v>
      </c>
      <c r="H406" s="283" t="s">
        <v>507</v>
      </c>
      <c r="I406" s="271" t="str">
        <f t="shared" si="3"/>
        <v/>
      </c>
      <c r="J406" s="284"/>
      <c r="K406" s="305" t="s">
        <v>2073</v>
      </c>
      <c r="L406" s="285" t="s">
        <v>508</v>
      </c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6"/>
      <c r="Z406" s="286"/>
      <c r="AA406" s="286"/>
    </row>
    <row r="407">
      <c r="A407" s="271"/>
      <c r="B407" s="271"/>
      <c r="C407" s="285"/>
      <c r="D407" s="285"/>
      <c r="E407" s="285"/>
      <c r="F407" s="322"/>
      <c r="G407" s="271" t="str">
        <f>IFERROR(__xludf.DUMMYFUNCTION("""COMPUTED_VALUE"""),"PAINEL CARVALHO CARVALHO EUROPEU CARAMEL CHEVRON 15/3 X 1900X 740MM")</f>
        <v>PAINEL CARVALHO CARVALHO EUROPEU CARAMEL CHEVRON 15/3 X 1900X 740MM</v>
      </c>
      <c r="H407" s="283" t="s">
        <v>508</v>
      </c>
      <c r="I407" s="271" t="str">
        <f t="shared" si="3"/>
        <v/>
      </c>
      <c r="J407" s="284"/>
      <c r="K407" s="305" t="s">
        <v>2074</v>
      </c>
      <c r="L407" s="285" t="s">
        <v>509</v>
      </c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6"/>
      <c r="Z407" s="286"/>
      <c r="AA407" s="286"/>
    </row>
    <row r="408">
      <c r="A408" s="271"/>
      <c r="B408" s="271"/>
      <c r="C408" s="271"/>
      <c r="D408" s="271"/>
      <c r="E408" s="271"/>
      <c r="F408" s="322"/>
      <c r="G408" s="271" t="str">
        <f>IFERROR(__xludf.DUMMYFUNCTION("""COMPUTED_VALUE"""),"PAINEL CARVALHO CARVALHO EUROPEU CARAMEL 15/3 X 125 X 1200MM")</f>
        <v>PAINEL CARVALHO CARVALHO EUROPEU CARAMEL 15/3 X 125 X 1200MM</v>
      </c>
      <c r="H408" s="283" t="s">
        <v>509</v>
      </c>
      <c r="I408" s="271" t="str">
        <f t="shared" si="3"/>
        <v/>
      </c>
      <c r="J408" s="288"/>
      <c r="K408" s="305" t="s">
        <v>2075</v>
      </c>
      <c r="L408" s="285" t="s">
        <v>510</v>
      </c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5"/>
      <c r="Z408" s="275"/>
      <c r="AA408" s="275"/>
    </row>
    <row r="409">
      <c r="A409" s="271"/>
      <c r="B409" s="271"/>
      <c r="C409" s="271"/>
      <c r="D409" s="271"/>
      <c r="E409" s="271"/>
      <c r="F409" s="322"/>
      <c r="G409" s="271" t="str">
        <f>IFERROR(__xludf.DUMMYFUNCTION("""COMPUTED_VALUE"""),"PAINEL CARVALHO CARVALHO EUROPEU CARAMEL 15/3 X 190 X 1900MM")</f>
        <v>PAINEL CARVALHO CARVALHO EUROPEU CARAMEL 15/3 X 190 X 1900MM</v>
      </c>
      <c r="H409" s="283" t="s">
        <v>510</v>
      </c>
      <c r="I409" s="271" t="str">
        <f t="shared" si="3"/>
        <v/>
      </c>
      <c r="J409" s="288"/>
      <c r="K409" s="305" t="s">
        <v>2076</v>
      </c>
      <c r="L409" s="285" t="s">
        <v>511</v>
      </c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5"/>
      <c r="Z409" s="275"/>
      <c r="AA409" s="275"/>
    </row>
    <row r="410">
      <c r="A410" s="271"/>
      <c r="B410" s="271"/>
      <c r="C410" s="271"/>
      <c r="D410" s="271"/>
      <c r="E410" s="271"/>
      <c r="F410" s="322"/>
      <c r="G410" s="271" t="str">
        <f>IFERROR(__xludf.DUMMYFUNCTION("""COMPUTED_VALUE"""),"PAINEL CARVALHO CARVALHO EUROPEU CARAMEL 20/6 X 300 X 4000MM")</f>
        <v>PAINEL CARVALHO CARVALHO EUROPEU CARAMEL 20/6 X 300 X 4000MM</v>
      </c>
      <c r="H410" s="283" t="s">
        <v>511</v>
      </c>
      <c r="I410" s="271" t="str">
        <f t="shared" si="3"/>
        <v/>
      </c>
      <c r="J410" s="288"/>
      <c r="K410" s="305" t="s">
        <v>2077</v>
      </c>
      <c r="L410" s="285" t="s">
        <v>512</v>
      </c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5"/>
      <c r="Z410" s="275"/>
      <c r="AA410" s="275"/>
    </row>
    <row r="411">
      <c r="A411" s="271"/>
      <c r="B411" s="271"/>
      <c r="C411" s="285"/>
      <c r="D411" s="285"/>
      <c r="E411" s="285"/>
      <c r="F411" s="322"/>
      <c r="G411" s="271" t="str">
        <f>IFERROR(__xludf.DUMMYFUNCTION("""COMPUTED_VALUE"""),"PAINEL CARVALHO CARVALHO EUROPEU CARAMEL 20/6 X 400 X 5000MM")</f>
        <v>PAINEL CARVALHO CARVALHO EUROPEU CARAMEL 20/6 X 400 X 5000MM</v>
      </c>
      <c r="H411" s="283" t="s">
        <v>512</v>
      </c>
      <c r="I411" s="271" t="str">
        <f t="shared" si="3"/>
        <v/>
      </c>
      <c r="J411" s="284"/>
      <c r="K411" s="305" t="s">
        <v>2078</v>
      </c>
      <c r="L411" s="285" t="s">
        <v>513</v>
      </c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6"/>
      <c r="Z411" s="286"/>
      <c r="AA411" s="286"/>
    </row>
    <row r="412">
      <c r="A412" s="271"/>
      <c r="B412" s="271"/>
      <c r="C412" s="271"/>
      <c r="D412" s="271"/>
      <c r="E412" s="271"/>
      <c r="F412" s="322"/>
      <c r="G412" s="271" t="str">
        <f>IFERROR(__xludf.DUMMYFUNCTION("""COMPUTED_VALUE"""),"PAINEL CARVALHO CARVALHO EUROPEU CHEMICAL CHEVRON TG 15/3*190*740MM")</f>
        <v>PAINEL CARVALHO CARVALHO EUROPEU CHEMICAL CHEVRON TG 15/3*190*740MM</v>
      </c>
      <c r="H412" s="283" t="s">
        <v>513</v>
      </c>
      <c r="I412" s="271" t="str">
        <f t="shared" si="3"/>
        <v/>
      </c>
      <c r="J412" s="288"/>
      <c r="K412" s="305" t="s">
        <v>2079</v>
      </c>
      <c r="L412" s="285" t="s">
        <v>514</v>
      </c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5"/>
      <c r="Z412" s="275"/>
      <c r="AA412" s="275"/>
    </row>
    <row r="413">
      <c r="A413" s="271"/>
      <c r="B413" s="271"/>
      <c r="C413" s="271"/>
      <c r="D413" s="271"/>
      <c r="E413" s="271"/>
      <c r="F413" s="322"/>
      <c r="G413" s="271" t="str">
        <f>IFERROR(__xludf.DUMMYFUNCTION("""COMPUTED_VALUE"""),"PAINEL CARVALHO CARVALHO EUROPEU WHITE RUSTIC 15/4*189*1860MM")</f>
        <v>PAINEL CARVALHO CARVALHO EUROPEU WHITE RUSTIC 15/4*189*1860MM</v>
      </c>
      <c r="H413" s="283" t="s">
        <v>514</v>
      </c>
      <c r="I413" s="271" t="str">
        <f t="shared" si="3"/>
        <v/>
      </c>
      <c r="J413" s="288"/>
      <c r="K413" s="305" t="s">
        <v>2080</v>
      </c>
      <c r="L413" s="285" t="s">
        <v>515</v>
      </c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5"/>
      <c r="Z413" s="275"/>
      <c r="AA413" s="275"/>
    </row>
    <row r="414">
      <c r="A414" s="271"/>
      <c r="B414" s="271"/>
      <c r="C414" s="271"/>
      <c r="D414" s="271"/>
      <c r="E414" s="271"/>
      <c r="F414" s="322"/>
      <c r="G414" s="271" t="str">
        <f>IFERROR(__xludf.DUMMYFUNCTION("""COMPUTED_VALUE"""),"PAINEL CARVALHO CARVALHO EUROPEU CUSTOMIZADO 14/3 X 12,7 X 186CM")</f>
        <v>PAINEL CARVALHO CARVALHO EUROPEU CUSTOMIZADO 14/3 X 12,7 X 186CM</v>
      </c>
      <c r="H414" s="283" t="s">
        <v>515</v>
      </c>
      <c r="I414" s="271" t="str">
        <f t="shared" si="3"/>
        <v/>
      </c>
      <c r="J414" s="288"/>
      <c r="K414" s="305" t="s">
        <v>2081</v>
      </c>
      <c r="L414" s="285" t="s">
        <v>516</v>
      </c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5"/>
      <c r="Z414" s="275"/>
      <c r="AA414" s="275"/>
    </row>
    <row r="415">
      <c r="A415" s="271"/>
      <c r="B415" s="271"/>
      <c r="C415" s="285"/>
      <c r="D415" s="285"/>
      <c r="E415" s="285"/>
      <c r="F415" s="322"/>
      <c r="G415" s="271" t="str">
        <f>IFERROR(__xludf.DUMMYFUNCTION("""COMPUTED_VALUE"""),"PAINEL CARVALHO CARVALHO EUROPEU CUSTOMIZADO 2.0 X 19 X 190CM (C2)")</f>
        <v>PAINEL CARVALHO CARVALHO EUROPEU CUSTOMIZADO 2.0 X 19 X 190CM (C2)</v>
      </c>
      <c r="H415" s="283" t="s">
        <v>516</v>
      </c>
      <c r="I415" s="271" t="str">
        <f t="shared" si="3"/>
        <v/>
      </c>
      <c r="J415" s="284"/>
      <c r="K415" s="305" t="s">
        <v>2082</v>
      </c>
      <c r="L415" s="285" t="s">
        <v>517</v>
      </c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6"/>
      <c r="Z415" s="286"/>
      <c r="AA415" s="286"/>
    </row>
    <row r="416">
      <c r="A416" s="271"/>
      <c r="B416" s="271"/>
      <c r="C416" s="271"/>
      <c r="D416" s="271"/>
      <c r="E416" s="271"/>
      <c r="F416" s="322"/>
      <c r="G416" s="271" t="str">
        <f>IFERROR(__xludf.DUMMYFUNCTION("""COMPUTED_VALUE"""),"PAINEL CARVALHO CARVALHO EUROPEU NATURAL CHEVRON TG 1.5/3 X 9X 51CM")</f>
        <v>PAINEL CARVALHO CARVALHO EUROPEU NATURAL CHEVRON TG 1.5/3 X 9X 51CM</v>
      </c>
      <c r="H416" s="283" t="s">
        <v>517</v>
      </c>
      <c r="I416" s="271" t="str">
        <f t="shared" si="3"/>
        <v/>
      </c>
      <c r="J416" s="288"/>
      <c r="K416" s="305" t="s">
        <v>2083</v>
      </c>
      <c r="L416" s="285" t="s">
        <v>517</v>
      </c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5"/>
      <c r="Z416" s="275"/>
      <c r="AA416" s="275"/>
    </row>
    <row r="417">
      <c r="A417" s="271"/>
      <c r="B417" s="271"/>
      <c r="C417" s="271"/>
      <c r="D417" s="271"/>
      <c r="E417" s="271"/>
      <c r="F417" s="322"/>
      <c r="G417" s="271" t="str">
        <f>IFERROR(__xludf.DUMMYFUNCTION("""COMPUTED_VALUE"""),"PAINEL CARVALHO CARVALHO EUROPEU NATURAL CHEVRON TG 1.5/3 X 9X 51CM")</f>
        <v>PAINEL CARVALHO CARVALHO EUROPEU NATURAL CHEVRON TG 1.5/3 X 9X 51CM</v>
      </c>
      <c r="H417" s="283" t="s">
        <v>517</v>
      </c>
      <c r="I417" s="271" t="str">
        <f t="shared" si="3"/>
        <v/>
      </c>
      <c r="J417" s="288"/>
      <c r="K417" s="305" t="s">
        <v>2084</v>
      </c>
      <c r="L417" s="285" t="s">
        <v>519</v>
      </c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5"/>
      <c r="Z417" s="275"/>
      <c r="AA417" s="275"/>
    </row>
    <row r="418">
      <c r="A418" s="271"/>
      <c r="B418" s="271"/>
      <c r="C418" s="271"/>
      <c r="D418" s="271"/>
      <c r="E418" s="271"/>
      <c r="F418" s="322"/>
      <c r="G418" s="271" t="str">
        <f>IFERROR(__xludf.DUMMYFUNCTION("""COMPUTED_VALUE"""),"PAINEL CARVALHO CARVALHO EUROPEU NUDE CHEVRON 60.. TG 15/3 X 190 X 90CM")</f>
        <v>PAINEL CARVALHO CARVALHO EUROPEU NUDE CHEVRON 60.. TG 15/3 X 190 X 90CM</v>
      </c>
      <c r="H418" s="283" t="s">
        <v>519</v>
      </c>
      <c r="I418" s="271" t="str">
        <f t="shared" si="3"/>
        <v/>
      </c>
      <c r="J418" s="288"/>
      <c r="K418" s="305" t="s">
        <v>2085</v>
      </c>
      <c r="L418" s="285" t="s">
        <v>520</v>
      </c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5"/>
      <c r="Z418" s="275"/>
      <c r="AA418" s="275"/>
    </row>
    <row r="419">
      <c r="A419" s="271"/>
      <c r="B419" s="271"/>
      <c r="C419" s="285"/>
      <c r="D419" s="285"/>
      <c r="E419" s="285"/>
      <c r="F419" s="322"/>
      <c r="G419" s="271" t="str">
        <f>IFERROR(__xludf.DUMMYFUNCTION("""COMPUTED_VALUE"""),"PAINEL CARVALHO CARVALHO EUROPEU NUDE CHEVRON TG 1.5/3X 12.5X 63CM")</f>
        <v>PAINEL CARVALHO CARVALHO EUROPEU NUDE CHEVRON TG 1.5/3X 12.5X 63CM</v>
      </c>
      <c r="H419" s="283" t="s">
        <v>520</v>
      </c>
      <c r="I419" s="271" t="str">
        <f t="shared" si="3"/>
        <v/>
      </c>
      <c r="J419" s="284"/>
      <c r="K419" s="305" t="s">
        <v>2086</v>
      </c>
      <c r="L419" s="285" t="s">
        <v>521</v>
      </c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6"/>
      <c r="Z419" s="286"/>
      <c r="AA419" s="286"/>
    </row>
    <row r="420">
      <c r="A420" s="271"/>
      <c r="B420" s="271"/>
      <c r="C420" s="271"/>
      <c r="D420" s="271"/>
      <c r="E420" s="271"/>
      <c r="F420" s="322"/>
      <c r="G420" s="271" t="str">
        <f>IFERROR(__xludf.DUMMYFUNCTION("""COMPUTED_VALUE"""),"PAINEL CARVALHO WALNUT 15/3 X 125 X 910MM")</f>
        <v>PAINEL CARVALHO WALNUT 15/3 X 125 X 910MM</v>
      </c>
      <c r="H420" s="283" t="s">
        <v>521</v>
      </c>
      <c r="I420" s="271" t="str">
        <f t="shared" si="3"/>
        <v/>
      </c>
      <c r="J420" s="288"/>
      <c r="K420" s="305" t="s">
        <v>2087</v>
      </c>
      <c r="L420" s="285" t="s">
        <v>522</v>
      </c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5"/>
      <c r="Z420" s="275"/>
      <c r="AA420" s="275"/>
    </row>
    <row r="421">
      <c r="A421" s="271"/>
      <c r="B421" s="271"/>
      <c r="C421" s="285"/>
      <c r="D421" s="271"/>
      <c r="E421" s="285"/>
      <c r="F421" s="322"/>
      <c r="G421" s="271" t="str">
        <f>IFERROR(__xludf.DUMMYFUNCTION("""COMPUTED_VALUE"""),"PAINEL CARVALHO WALNUT 15/3 X 190 X 1900MM")</f>
        <v>PAINEL CARVALHO WALNUT 15/3 X 190 X 1900MM</v>
      </c>
      <c r="H421" s="283" t="s">
        <v>522</v>
      </c>
      <c r="I421" s="271" t="str">
        <f t="shared" si="3"/>
        <v/>
      </c>
      <c r="J421" s="284"/>
      <c r="K421" s="305" t="s">
        <v>2088</v>
      </c>
      <c r="L421" s="285" t="s">
        <v>523</v>
      </c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6"/>
      <c r="Z421" s="286"/>
      <c r="AA421" s="286"/>
    </row>
    <row r="422">
      <c r="A422" s="271"/>
      <c r="B422" s="271"/>
      <c r="C422" s="285"/>
      <c r="D422" s="271"/>
      <c r="E422" s="285"/>
      <c r="F422" s="322"/>
      <c r="G422" s="271" t="str">
        <f>IFERROR(__xludf.DUMMYFUNCTION("""COMPUTED_VALUE"""),"PAINEL CARVALHO WALNUT 20/2 X 300 X 4000MM")</f>
        <v>PAINEL CARVALHO WALNUT 20/2 X 300 X 4000MM</v>
      </c>
      <c r="H422" s="283" t="s">
        <v>523</v>
      </c>
      <c r="I422" s="271" t="str">
        <f t="shared" si="3"/>
        <v/>
      </c>
      <c r="J422" s="284"/>
      <c r="K422" s="305" t="s">
        <v>2089</v>
      </c>
      <c r="L422" s="285" t="s">
        <v>524</v>
      </c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6"/>
      <c r="Z422" s="286"/>
      <c r="AA422" s="286"/>
    </row>
    <row r="423">
      <c r="A423" s="271"/>
      <c r="B423" s="271"/>
      <c r="C423" s="285"/>
      <c r="D423" s="285"/>
      <c r="E423" s="285"/>
      <c r="F423" s="322"/>
      <c r="G423" s="271" t="str">
        <f>IFERROR(__xludf.DUMMYFUNCTION("""COMPUTED_VALUE"""),"PAINEL CARVALHO BAMBU ALTA DENS. CUST PREMIUM TG 1.5/4 X19X185CM")</f>
        <v>PAINEL CARVALHO BAMBU ALTA DENS. CUST PREMIUM TG 1.5/4 X19X185CM</v>
      </c>
      <c r="H423" s="283" t="s">
        <v>524</v>
      </c>
      <c r="I423" s="271" t="str">
        <f t="shared" si="3"/>
        <v/>
      </c>
      <c r="J423" s="284"/>
      <c r="K423" s="305" t="s">
        <v>2090</v>
      </c>
      <c r="L423" s="285" t="s">
        <v>525</v>
      </c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6"/>
      <c r="Z423" s="286"/>
      <c r="AA423" s="286"/>
    </row>
    <row r="424">
      <c r="A424" s="271"/>
      <c r="B424" s="271"/>
      <c r="C424" s="271"/>
      <c r="D424" s="271"/>
      <c r="E424" s="271"/>
      <c r="F424" s="322"/>
      <c r="G424" s="271" t="str">
        <f>IFERROR(__xludf.DUMMYFUNCTION("""COMPUTED_VALUE"""),"PAINEL CARVALHO BAMBU CARAMEL ALTA DENSIDADE TG 1.5/4 X19X186CM")</f>
        <v>PAINEL CARVALHO BAMBU CARAMEL ALTA DENSIDADE TG 1.5/4 X19X186CM</v>
      </c>
      <c r="H424" s="283" t="s">
        <v>525</v>
      </c>
      <c r="I424" s="271" t="str">
        <f t="shared" si="3"/>
        <v/>
      </c>
      <c r="J424" s="288"/>
      <c r="K424" s="305" t="s">
        <v>2091</v>
      </c>
      <c r="L424" s="285" t="s">
        <v>526</v>
      </c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5"/>
      <c r="Z424" s="275"/>
      <c r="AA424" s="275"/>
    </row>
    <row r="425">
      <c r="A425" s="271"/>
      <c r="B425" s="271"/>
      <c r="C425" s="271"/>
      <c r="D425" s="271"/>
      <c r="E425" s="271"/>
      <c r="F425" s="322"/>
      <c r="G425" s="271" t="str">
        <f>IFERROR(__xludf.DUMMYFUNCTION("""COMPUTED_VALUE"""),"PAINEL CARVALHO RIPADO CUMARU PREMIUM TG 1,8 X 3,5+0,5CM PROF. BIT 0")</f>
        <v>PAINEL CARVALHO RIPADO CUMARU PREMIUM TG 1,8 X 3,5+0,5CM PROF. BIT 0</v>
      </c>
      <c r="H425" s="283" t="s">
        <v>526</v>
      </c>
      <c r="I425" s="271" t="str">
        <f t="shared" si="3"/>
        <v/>
      </c>
      <c r="J425" s="288"/>
      <c r="K425" s="305" t="s">
        <v>2092</v>
      </c>
      <c r="L425" s="285" t="s">
        <v>527</v>
      </c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5"/>
      <c r="Z425" s="275"/>
      <c r="AA425" s="275"/>
    </row>
    <row r="426">
      <c r="A426" s="271"/>
      <c r="B426" s="271"/>
      <c r="C426" s="271"/>
      <c r="D426" s="271"/>
      <c r="E426" s="271"/>
      <c r="F426" s="322"/>
      <c r="G426" s="271" t="str">
        <f>IFERROR(__xludf.DUMMYFUNCTION("""COMPUTED_VALUE"""),"PAINEL CARVALHO RIPADO CATUABA PREMIUM TG 1,8 X 3,5+0,5CM PROF. BIT 0")</f>
        <v>PAINEL CARVALHO RIPADO CATUABA PREMIUM TG 1,8 X 3,5+0,5CM PROF. BIT 0</v>
      </c>
      <c r="H426" s="283" t="s">
        <v>527</v>
      </c>
      <c r="I426" s="271" t="str">
        <f t="shared" si="3"/>
        <v/>
      </c>
      <c r="J426" s="288"/>
      <c r="K426" s="305" t="s">
        <v>2093</v>
      </c>
      <c r="L426" s="285" t="s">
        <v>528</v>
      </c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5"/>
      <c r="Z426" s="275"/>
      <c r="AA426" s="275"/>
    </row>
    <row r="427">
      <c r="A427" s="271"/>
      <c r="B427" s="271"/>
      <c r="C427" s="285"/>
      <c r="D427" s="285"/>
      <c r="E427" s="285"/>
      <c r="F427" s="322"/>
      <c r="G427" s="271" t="str">
        <f>IFERROR(__xludf.DUMMYFUNCTION("""COMPUTED_VALUE"""),"PAINEL CARVALHO RIPADO CABREUVA BRANCA PREMIUM TG 1,8 X 3,5+0,5CM PROF. BIT 0")</f>
        <v>PAINEL CARVALHO RIPADO CABREUVA BRANCA PREMIUM TG 1,8 X 3,5+0,5CM PROF. BIT 0</v>
      </c>
      <c r="H427" s="283" t="s">
        <v>528</v>
      </c>
      <c r="I427" s="271" t="str">
        <f t="shared" si="3"/>
        <v/>
      </c>
      <c r="J427" s="284"/>
      <c r="K427" s="305" t="s">
        <v>2094</v>
      </c>
      <c r="L427" s="285" t="s">
        <v>529</v>
      </c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6"/>
      <c r="Z427" s="286"/>
      <c r="AA427" s="286"/>
    </row>
    <row r="428">
      <c r="A428" s="271"/>
      <c r="B428" s="271"/>
      <c r="C428" s="285"/>
      <c r="D428" s="285"/>
      <c r="E428" s="285"/>
      <c r="F428" s="322"/>
      <c r="G428" s="271" t="str">
        <f>IFERROR(__xludf.DUMMYFUNCTION("""COMPUTED_VALUE"""),"PAINEL CARVALHO RIPADO CABREUVA DOURADA PREMIUM TG 1,8 X 3,5+0,5CM PROF. BIT 0")</f>
        <v>PAINEL CARVALHO RIPADO CABREUVA DOURADA PREMIUM TG 1,8 X 3,5+0,5CM PROF. BIT 0</v>
      </c>
      <c r="H428" s="283" t="s">
        <v>529</v>
      </c>
      <c r="I428" s="271" t="str">
        <f t="shared" si="3"/>
        <v/>
      </c>
      <c r="J428" s="284"/>
      <c r="K428" s="305" t="s">
        <v>2095</v>
      </c>
      <c r="L428" s="285" t="s">
        <v>530</v>
      </c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6"/>
      <c r="Z428" s="286"/>
      <c r="AA428" s="286"/>
    </row>
    <row r="429">
      <c r="A429" s="271"/>
      <c r="B429" s="271"/>
      <c r="C429" s="285"/>
      <c r="D429" s="285"/>
      <c r="E429" s="285"/>
      <c r="F429" s="322"/>
      <c r="G429" s="271" t="str">
        <f>IFERROR(__xludf.DUMMYFUNCTION("""COMPUTED_VALUE"""),"PAINEL CARVALHO RIPADO TAUARI PREMIUM TG 1,8 X 3,5+0,5CM PROF. BIT 0")</f>
        <v>PAINEL CARVALHO RIPADO TAUARI PREMIUM TG 1,8 X 3,5+0,5CM PROF. BIT 0</v>
      </c>
      <c r="H429" s="283" t="s">
        <v>530</v>
      </c>
      <c r="I429" s="271" t="str">
        <f t="shared" si="3"/>
        <v/>
      </c>
      <c r="J429" s="284"/>
      <c r="K429" s="305" t="s">
        <v>2096</v>
      </c>
      <c r="L429" s="285" t="s">
        <v>531</v>
      </c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6"/>
      <c r="Z429" s="286"/>
      <c r="AA429" s="286"/>
    </row>
    <row r="430">
      <c r="A430" s="271"/>
      <c r="B430" s="271"/>
      <c r="C430" s="271"/>
      <c r="D430" s="271"/>
      <c r="E430" s="271"/>
      <c r="F430" s="322"/>
      <c r="G430" s="271" t="str">
        <f>IFERROR(__xludf.DUMMYFUNCTION("""COMPUTED_VALUE"""),"PAINEL CARVALHO RIPADO PEROBA PREMIUM TG 1,8 X 3,5+0,5CM PROF. BIT 0")</f>
        <v>PAINEL CARVALHO RIPADO PEROBA PREMIUM TG 1,8 X 3,5+0,5CM PROF. BIT 0</v>
      </c>
      <c r="H430" s="283" t="s">
        <v>531</v>
      </c>
      <c r="I430" s="271" t="str">
        <f t="shared" si="3"/>
        <v/>
      </c>
      <c r="J430" s="288"/>
      <c r="K430" s="305" t="s">
        <v>2097</v>
      </c>
      <c r="L430" s="285" t="s">
        <v>532</v>
      </c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5"/>
      <c r="Z430" s="275"/>
      <c r="AA430" s="275"/>
    </row>
    <row r="431">
      <c r="A431" s="320"/>
      <c r="B431" s="320"/>
      <c r="C431" s="285"/>
      <c r="D431" s="285"/>
      <c r="E431" s="285"/>
      <c r="F431" s="322"/>
      <c r="G431" s="271" t="str">
        <f>IFERROR(__xludf.DUMMYFUNCTION("""COMPUTED_VALUE"""),"PAINEL CARVALHO RIPADO LORO PARDO PREMIUM TG 1,8 X 3,5+0,5CM PROF. BIT 0")</f>
        <v>PAINEL CARVALHO RIPADO LORO PARDO PREMIUM TG 1,8 X 3,5+0,5CM PROF. BIT 0</v>
      </c>
      <c r="H431" s="283" t="s">
        <v>532</v>
      </c>
      <c r="I431" s="271" t="str">
        <f t="shared" si="3"/>
        <v/>
      </c>
      <c r="J431" s="284"/>
      <c r="K431" s="305" t="s">
        <v>2098</v>
      </c>
      <c r="L431" s="285" t="s">
        <v>533</v>
      </c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6"/>
      <c r="Z431" s="286"/>
      <c r="AA431" s="286"/>
    </row>
    <row r="432">
      <c r="A432" s="320"/>
      <c r="B432" s="320"/>
      <c r="C432" s="285"/>
      <c r="D432" s="285"/>
      <c r="E432" s="285"/>
      <c r="F432" s="322"/>
      <c r="G432" s="271" t="str">
        <f>IFERROR(__xludf.DUMMYFUNCTION("""COMPUTED_VALUE"""),"PAINEL CARVALHO CUMARU MULTI PREMIUM 19 X 190 X 600 A 2200MM")</f>
        <v>PAINEL CARVALHO CUMARU MULTI PREMIUM 19 X 190 X 600 A 2200MM</v>
      </c>
      <c r="H432" s="283" t="s">
        <v>533</v>
      </c>
      <c r="I432" s="271" t="str">
        <f t="shared" si="3"/>
        <v/>
      </c>
      <c r="J432" s="284"/>
      <c r="K432" s="305" t="s">
        <v>2099</v>
      </c>
      <c r="L432" s="285" t="s">
        <v>534</v>
      </c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6"/>
      <c r="Z432" s="286"/>
      <c r="AA432" s="286"/>
    </row>
    <row r="433">
      <c r="A433" s="320"/>
      <c r="B433" s="320"/>
      <c r="C433" s="285"/>
      <c r="D433" s="285"/>
      <c r="E433" s="285"/>
      <c r="F433" s="322"/>
      <c r="G433" s="271" t="str">
        <f>IFERROR(__xludf.DUMMYFUNCTION("""COMPUTED_VALUE"""),"PAINEL CARVALHO CATUABA MULTI PREMIUM 19 X 190 X 600 A 2200MM")</f>
        <v>PAINEL CARVALHO CATUABA MULTI PREMIUM 19 X 190 X 600 A 2200MM</v>
      </c>
      <c r="H433" s="283" t="s">
        <v>534</v>
      </c>
      <c r="I433" s="271" t="str">
        <f t="shared" si="3"/>
        <v/>
      </c>
      <c r="J433" s="284"/>
      <c r="K433" s="305" t="s">
        <v>2100</v>
      </c>
      <c r="L433" s="285" t="s">
        <v>535</v>
      </c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6"/>
      <c r="Z433" s="286"/>
      <c r="AA433" s="286"/>
    </row>
    <row r="434">
      <c r="A434" s="271"/>
      <c r="B434" s="271"/>
      <c r="C434" s="285"/>
      <c r="D434" s="285"/>
      <c r="E434" s="285"/>
      <c r="F434" s="322"/>
      <c r="G434" s="271" t="str">
        <f>IFERROR(__xludf.DUMMYFUNCTION("""COMPUTED_VALUE"""),"PAINEL CARVALHO CABREUVA BRACA MULTI PREMIUM 19 X 190 X 600 A 2200MM")</f>
        <v>PAINEL CARVALHO CABREUVA BRACA MULTI PREMIUM 19 X 190 X 600 A 2200MM</v>
      </c>
      <c r="H434" s="283" t="s">
        <v>535</v>
      </c>
      <c r="I434" s="271" t="str">
        <f t="shared" si="3"/>
        <v/>
      </c>
      <c r="J434" s="284"/>
      <c r="K434" s="305" t="s">
        <v>2101</v>
      </c>
      <c r="L434" s="285" t="s">
        <v>536</v>
      </c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6"/>
      <c r="Z434" s="286"/>
      <c r="AA434" s="286"/>
    </row>
    <row r="435">
      <c r="A435" s="320"/>
      <c r="B435" s="320"/>
      <c r="C435" s="285"/>
      <c r="D435" s="320"/>
      <c r="E435" s="285"/>
      <c r="F435" s="322"/>
      <c r="G435" s="271" t="str">
        <f>IFERROR(__xludf.DUMMYFUNCTION("""COMPUTED_VALUE"""),"PAINEL CARVALHO CABREUVA DOURADA MULTI PREMIUM 19 X 190 X 600 A 2200MM")</f>
        <v>PAINEL CARVALHO CABREUVA DOURADA MULTI PREMIUM 19 X 190 X 600 A 2200MM</v>
      </c>
      <c r="H435" s="283" t="s">
        <v>536</v>
      </c>
      <c r="I435" s="271" t="str">
        <f t="shared" si="3"/>
        <v/>
      </c>
      <c r="J435" s="284"/>
      <c r="K435" s="305" t="s">
        <v>2102</v>
      </c>
      <c r="L435" s="285" t="s">
        <v>537</v>
      </c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6"/>
      <c r="Z435" s="286"/>
      <c r="AA435" s="286"/>
    </row>
    <row r="436">
      <c r="A436" s="320"/>
      <c r="B436" s="320"/>
      <c r="C436" s="285"/>
      <c r="D436" s="320"/>
      <c r="E436" s="285"/>
      <c r="F436" s="322"/>
      <c r="G436" s="271" t="str">
        <f>IFERROR(__xludf.DUMMYFUNCTION("""COMPUTED_VALUE"""),"PAINEL CARVALHO TAUARI MULTI PREMIUM 19 X 190 X 600 A 2200MM")</f>
        <v>PAINEL CARVALHO TAUARI MULTI PREMIUM 19 X 190 X 600 A 2200MM</v>
      </c>
      <c r="H436" s="283" t="s">
        <v>537</v>
      </c>
      <c r="I436" s="271" t="str">
        <f t="shared" si="3"/>
        <v/>
      </c>
      <c r="J436" s="284"/>
      <c r="K436" s="305" t="s">
        <v>2103</v>
      </c>
      <c r="L436" s="285" t="s">
        <v>538</v>
      </c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6"/>
      <c r="Z436" s="286"/>
      <c r="AA436" s="286"/>
    </row>
    <row r="437">
      <c r="A437" s="320"/>
      <c r="B437" s="320"/>
      <c r="C437" s="285"/>
      <c r="D437" s="320"/>
      <c r="E437" s="285"/>
      <c r="F437" s="322"/>
      <c r="G437" s="271" t="str">
        <f>IFERROR(__xludf.DUMMYFUNCTION("""COMPUTED_VALUE"""),"PAINEL CARVALHO PEROBA MULTI PREMIUM 19 X 190 X 600 A 2200MM")</f>
        <v>PAINEL CARVALHO PEROBA MULTI PREMIUM 19 X 190 X 600 A 2200MM</v>
      </c>
      <c r="H437" s="283" t="s">
        <v>538</v>
      </c>
      <c r="I437" s="271" t="str">
        <f t="shared" si="3"/>
        <v/>
      </c>
      <c r="J437" s="284"/>
      <c r="K437" s="305" t="s">
        <v>2104</v>
      </c>
      <c r="L437" s="285" t="s">
        <v>539</v>
      </c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6"/>
      <c r="Z437" s="286"/>
      <c r="AA437" s="286"/>
    </row>
    <row r="438">
      <c r="A438" s="271"/>
      <c r="B438" s="271"/>
      <c r="C438" s="285"/>
      <c r="D438" s="285"/>
      <c r="E438" s="285"/>
      <c r="F438" s="322"/>
      <c r="G438" s="271" t="str">
        <f>IFERROR(__xludf.DUMMYFUNCTION("""COMPUTED_VALUE"""),"PAINEL CARVALHO LORO PARDO MULTI PREMIUM 19 X 190 X 600 A 2200MM")</f>
        <v>PAINEL CARVALHO LORO PARDO MULTI PREMIUM 19 X 190 X 600 A 2200MM</v>
      </c>
      <c r="H438" s="283" t="s">
        <v>539</v>
      </c>
      <c r="I438" s="271" t="str">
        <f t="shared" si="3"/>
        <v/>
      </c>
      <c r="J438" s="284"/>
      <c r="K438" s="305" t="s">
        <v>2105</v>
      </c>
      <c r="L438" s="285" t="s">
        <v>540</v>
      </c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6"/>
      <c r="Z438" s="286"/>
      <c r="AA438" s="286"/>
    </row>
    <row r="439">
      <c r="A439" s="320"/>
      <c r="B439" s="320"/>
      <c r="C439" s="285"/>
      <c r="D439" s="320"/>
      <c r="E439" s="285"/>
      <c r="F439" s="322"/>
      <c r="G439" s="271" t="str">
        <f>IFERROR(__xludf.DUMMYFUNCTION("""COMPUTED_VALUE"""),"PAINEL CARVALHO MUXARABI CUMARU PREMIUM")</f>
        <v>PAINEL CARVALHO MUXARABI CUMARU PREMIUM</v>
      </c>
      <c r="H439" s="283" t="s">
        <v>540</v>
      </c>
      <c r="I439" s="271" t="str">
        <f t="shared" si="3"/>
        <v/>
      </c>
      <c r="J439" s="284"/>
      <c r="K439" s="305" t="s">
        <v>2106</v>
      </c>
      <c r="L439" s="285" t="s">
        <v>541</v>
      </c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6"/>
      <c r="Z439" s="286"/>
      <c r="AA439" s="286"/>
    </row>
    <row r="440">
      <c r="A440" s="320"/>
      <c r="B440" s="320"/>
      <c r="C440" s="285"/>
      <c r="D440" s="320"/>
      <c r="E440" s="285"/>
      <c r="F440" s="322"/>
      <c r="G440" s="271" t="str">
        <f>IFERROR(__xludf.DUMMYFUNCTION("""COMPUTED_VALUE"""),"PAINEL CARVALHO MUXARABI CATUABA PREMIUM")</f>
        <v>PAINEL CARVALHO MUXARABI CATUABA PREMIUM</v>
      </c>
      <c r="H440" s="283" t="s">
        <v>541</v>
      </c>
      <c r="I440" s="271" t="str">
        <f t="shared" si="3"/>
        <v/>
      </c>
      <c r="J440" s="284"/>
      <c r="K440" s="305" t="s">
        <v>2107</v>
      </c>
      <c r="L440" s="285" t="s">
        <v>542</v>
      </c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6"/>
      <c r="Z440" s="286"/>
      <c r="AA440" s="286"/>
    </row>
    <row r="441">
      <c r="A441" s="320"/>
      <c r="B441" s="320"/>
      <c r="C441" s="285"/>
      <c r="D441" s="320"/>
      <c r="E441" s="285"/>
      <c r="F441" s="322"/>
      <c r="G441" s="271" t="str">
        <f>IFERROR(__xludf.DUMMYFUNCTION("""COMPUTED_VALUE"""),"PAINEL CARVALHO MUXARABI CABREUVA BRANCA PREMIUM")</f>
        <v>PAINEL CARVALHO MUXARABI CABREUVA BRANCA PREMIUM</v>
      </c>
      <c r="H441" s="283" t="s">
        <v>542</v>
      </c>
      <c r="I441" s="271" t="str">
        <f t="shared" si="3"/>
        <v/>
      </c>
      <c r="J441" s="284"/>
      <c r="K441" s="305" t="s">
        <v>2108</v>
      </c>
      <c r="L441" s="285" t="s">
        <v>543</v>
      </c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6"/>
      <c r="Z441" s="286"/>
      <c r="AA441" s="286"/>
    </row>
    <row r="442">
      <c r="A442" s="271"/>
      <c r="B442" s="271"/>
      <c r="C442" s="285"/>
      <c r="D442" s="285"/>
      <c r="E442" s="285"/>
      <c r="F442" s="322"/>
      <c r="G442" s="271" t="str">
        <f>IFERROR(__xludf.DUMMYFUNCTION("""COMPUTED_VALUE"""),"PAINEL CARVALHO MUXARABI CABREUVA DOURADA PREMIUM")</f>
        <v>PAINEL CARVALHO MUXARABI CABREUVA DOURADA PREMIUM</v>
      </c>
      <c r="H442" s="283" t="s">
        <v>543</v>
      </c>
      <c r="I442" s="271" t="str">
        <f t="shared" si="3"/>
        <v/>
      </c>
      <c r="J442" s="284"/>
      <c r="K442" s="305" t="s">
        <v>2109</v>
      </c>
      <c r="L442" s="285" t="s">
        <v>544</v>
      </c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6"/>
      <c r="Z442" s="286"/>
      <c r="AA442" s="286"/>
    </row>
    <row r="443">
      <c r="A443" s="271"/>
      <c r="B443" s="271"/>
      <c r="C443" s="285"/>
      <c r="D443" s="285"/>
      <c r="E443" s="285"/>
      <c r="F443" s="322"/>
      <c r="G443" s="271" t="str">
        <f>IFERROR(__xludf.DUMMYFUNCTION("""COMPUTED_VALUE"""),"PAINEL CARVALHO MUXARABI TAUARI PREMIUM")</f>
        <v>PAINEL CARVALHO MUXARABI TAUARI PREMIUM</v>
      </c>
      <c r="H443" s="283" t="s">
        <v>544</v>
      </c>
      <c r="I443" s="271" t="str">
        <f t="shared" si="3"/>
        <v/>
      </c>
      <c r="J443" s="284"/>
      <c r="K443" s="305" t="s">
        <v>2110</v>
      </c>
      <c r="L443" s="285" t="s">
        <v>545</v>
      </c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6"/>
      <c r="Z443" s="286"/>
      <c r="AA443" s="286"/>
    </row>
    <row r="444">
      <c r="A444" s="271"/>
      <c r="B444" s="271"/>
      <c r="C444" s="285"/>
      <c r="D444" s="285"/>
      <c r="E444" s="285"/>
      <c r="F444" s="322"/>
      <c r="G444" s="271" t="str">
        <f>IFERROR(__xludf.DUMMYFUNCTION("""COMPUTED_VALUE"""),"PAINEL CARVALHO MUXARABI PEROBA PREMIUM")</f>
        <v>PAINEL CARVALHO MUXARABI PEROBA PREMIUM</v>
      </c>
      <c r="H444" s="283" t="s">
        <v>545</v>
      </c>
      <c r="I444" s="271" t="str">
        <f t="shared" si="3"/>
        <v/>
      </c>
      <c r="J444" s="284"/>
      <c r="K444" s="305" t="s">
        <v>2111</v>
      </c>
      <c r="L444" s="285" t="s">
        <v>546</v>
      </c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6"/>
      <c r="Z444" s="286"/>
      <c r="AA444" s="286"/>
    </row>
    <row r="445">
      <c r="A445" s="271"/>
      <c r="B445" s="271"/>
      <c r="C445" s="285"/>
      <c r="D445" s="285"/>
      <c r="E445" s="285"/>
      <c r="F445" s="322"/>
      <c r="G445" s="271" t="str">
        <f>IFERROR(__xludf.DUMMYFUNCTION("""COMPUTED_VALUE"""),"PAINEL CARVALHO MUXARABI LORO PARDO PREMIUM")</f>
        <v>PAINEL CARVALHO MUXARABI LORO PARDO PREMIUM</v>
      </c>
      <c r="H445" s="283" t="s">
        <v>546</v>
      </c>
      <c r="I445" s="271" t="str">
        <f t="shared" si="3"/>
        <v/>
      </c>
      <c r="J445" s="284"/>
      <c r="K445" s="305" t="s">
        <v>2112</v>
      </c>
      <c r="L445" s="285" t="s">
        <v>547</v>
      </c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6"/>
      <c r="Z445" s="286"/>
      <c r="AA445" s="286"/>
    </row>
    <row r="446">
      <c r="A446" s="271"/>
      <c r="B446" s="271"/>
      <c r="C446" s="285"/>
      <c r="D446" s="285"/>
      <c r="E446" s="285"/>
      <c r="F446" s="322"/>
      <c r="G446" s="271" t="str">
        <f>IFERROR(__xludf.DUMMYFUNCTION("""COMPUTED_VALUE"""),"PAINEL CARVALHO TOBLERONE CUMARU PREMIUM 3 X 3 COMPR. VARIAVEIS")</f>
        <v>PAINEL CARVALHO TOBLERONE CUMARU PREMIUM 3 X 3 COMPR. VARIAVEIS</v>
      </c>
      <c r="H446" s="283" t="s">
        <v>547</v>
      </c>
      <c r="I446" s="271" t="str">
        <f t="shared" si="3"/>
        <v/>
      </c>
      <c r="J446" s="284"/>
      <c r="K446" s="305" t="s">
        <v>2113</v>
      </c>
      <c r="L446" s="285" t="s">
        <v>548</v>
      </c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6"/>
      <c r="Z446" s="286"/>
      <c r="AA446" s="286"/>
    </row>
    <row r="447">
      <c r="A447" s="271"/>
      <c r="B447" s="271"/>
      <c r="C447" s="285"/>
      <c r="D447" s="285"/>
      <c r="E447" s="285"/>
      <c r="F447" s="322"/>
      <c r="G447" s="271" t="str">
        <f>IFERROR(__xludf.DUMMYFUNCTION("""COMPUTED_VALUE"""),"PAINEL CARVALHO TOBLERONE CATUABA PREMIUM 3 X 3 COMPR. VARIAVEIS")</f>
        <v>PAINEL CARVALHO TOBLERONE CATUABA PREMIUM 3 X 3 COMPR. VARIAVEIS</v>
      </c>
      <c r="H447" s="283" t="s">
        <v>548</v>
      </c>
      <c r="I447" s="271" t="str">
        <f t="shared" si="3"/>
        <v/>
      </c>
      <c r="J447" s="284"/>
      <c r="K447" s="305" t="s">
        <v>2114</v>
      </c>
      <c r="L447" s="285" t="s">
        <v>549</v>
      </c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6"/>
      <c r="Z447" s="286"/>
      <c r="AA447" s="286"/>
    </row>
    <row r="448">
      <c r="A448" s="271"/>
      <c r="B448" s="271"/>
      <c r="C448" s="285"/>
      <c r="D448" s="285"/>
      <c r="E448" s="285"/>
      <c r="F448" s="322"/>
      <c r="G448" s="271" t="str">
        <f>IFERROR(__xludf.DUMMYFUNCTION("""COMPUTED_VALUE"""),"PAINEL CARVALHO TOBLERONE CABREUVA BRANCA PREMIUM 3 X 3 COMPR. VARIAVEIS")</f>
        <v>PAINEL CARVALHO TOBLERONE CABREUVA BRANCA PREMIUM 3 X 3 COMPR. VARIAVEIS</v>
      </c>
      <c r="H448" s="283" t="s">
        <v>549</v>
      </c>
      <c r="I448" s="271" t="str">
        <f t="shared" si="3"/>
        <v/>
      </c>
      <c r="J448" s="284"/>
      <c r="K448" s="305" t="s">
        <v>2115</v>
      </c>
      <c r="L448" s="285" t="s">
        <v>550</v>
      </c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6"/>
      <c r="Z448" s="286"/>
      <c r="AA448" s="286"/>
    </row>
    <row r="449">
      <c r="A449" s="271"/>
      <c r="B449" s="271"/>
      <c r="C449" s="285"/>
      <c r="D449" s="285"/>
      <c r="E449" s="285"/>
      <c r="F449" s="322"/>
      <c r="G449" s="271" t="str">
        <f>IFERROR(__xludf.DUMMYFUNCTION("""COMPUTED_VALUE"""),"PAINEL CARVALHO TOBLERONE CABREUVA DOURADA PREMIUM 3 X 3 COMPR. VARIAVEIS")</f>
        <v>PAINEL CARVALHO TOBLERONE CABREUVA DOURADA PREMIUM 3 X 3 COMPR. VARIAVEIS</v>
      </c>
      <c r="H449" s="283" t="s">
        <v>550</v>
      </c>
      <c r="I449" s="271" t="str">
        <f t="shared" si="3"/>
        <v/>
      </c>
      <c r="J449" s="284"/>
      <c r="K449" s="305" t="s">
        <v>2116</v>
      </c>
      <c r="L449" s="285" t="s">
        <v>551</v>
      </c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6"/>
      <c r="Z449" s="286"/>
      <c r="AA449" s="286"/>
    </row>
    <row r="450">
      <c r="A450" s="271"/>
      <c r="B450" s="271"/>
      <c r="C450" s="285"/>
      <c r="D450" s="285"/>
      <c r="E450" s="285"/>
      <c r="F450" s="322"/>
      <c r="G450" s="271" t="str">
        <f>IFERROR(__xludf.DUMMYFUNCTION("""COMPUTED_VALUE"""),"PAINEL CARVALHO TOBLERONE TAUARI PREMIUM 3 X 3 COMPR. VARIAVEIS")</f>
        <v>PAINEL CARVALHO TOBLERONE TAUARI PREMIUM 3 X 3 COMPR. VARIAVEIS</v>
      </c>
      <c r="H450" s="283" t="s">
        <v>551</v>
      </c>
      <c r="I450" s="271" t="str">
        <f t="shared" si="3"/>
        <v/>
      </c>
      <c r="J450" s="284"/>
      <c r="K450" s="305" t="s">
        <v>2117</v>
      </c>
      <c r="L450" s="285" t="s">
        <v>552</v>
      </c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6"/>
      <c r="Z450" s="286"/>
      <c r="AA450" s="286"/>
    </row>
    <row r="451">
      <c r="A451" s="271"/>
      <c r="B451" s="271"/>
      <c r="C451" s="285"/>
      <c r="D451" s="285"/>
      <c r="E451" s="285"/>
      <c r="F451" s="322"/>
      <c r="G451" s="271" t="str">
        <f>IFERROR(__xludf.DUMMYFUNCTION("""COMPUTED_VALUE"""),"PAINEL CARVALHO TOBLERONE PEROBA PREMIUM 3 X 3 COMPR. VARIAVEIS")</f>
        <v>PAINEL CARVALHO TOBLERONE PEROBA PREMIUM 3 X 3 COMPR. VARIAVEIS</v>
      </c>
      <c r="H451" s="283" t="s">
        <v>552</v>
      </c>
      <c r="I451" s="271" t="str">
        <f t="shared" si="3"/>
        <v/>
      </c>
      <c r="J451" s="284"/>
      <c r="K451" s="305" t="s">
        <v>2118</v>
      </c>
      <c r="L451" s="285" t="s">
        <v>553</v>
      </c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6"/>
      <c r="Z451" s="286"/>
      <c r="AA451" s="286"/>
    </row>
    <row r="452">
      <c r="A452" s="271"/>
      <c r="B452" s="271"/>
      <c r="C452" s="285"/>
      <c r="D452" s="285"/>
      <c r="E452" s="285"/>
      <c r="F452" s="322"/>
      <c r="G452" s="271" t="str">
        <f>IFERROR(__xludf.DUMMYFUNCTION("""COMPUTED_VALUE"""),"PAINEL CARVALHO TOBLERONE LORO PARDO PREMIUM 3 X 3 COMPR. VARIAVEIS")</f>
        <v>PAINEL CARVALHO TOBLERONE LORO PARDO PREMIUM 3 X 3 COMPR. VARIAVEIS</v>
      </c>
      <c r="H452" s="283" t="s">
        <v>553</v>
      </c>
      <c r="I452" s="271" t="str">
        <f t="shared" si="3"/>
        <v/>
      </c>
      <c r="J452" s="284"/>
      <c r="K452" s="305" t="s">
        <v>2119</v>
      </c>
      <c r="L452" s="285" t="s">
        <v>554</v>
      </c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6"/>
      <c r="Z452" s="286"/>
      <c r="AA452" s="286"/>
    </row>
    <row r="453">
      <c r="A453" s="271"/>
      <c r="B453" s="271"/>
      <c r="C453" s="285"/>
      <c r="D453" s="285"/>
      <c r="E453" s="285"/>
      <c r="F453" s="322"/>
      <c r="G453" s="271" t="str">
        <f>IFERROR(__xludf.DUMMYFUNCTION("""COMPUTED_VALUE"""),"PAINEL CARVALHO DECK CUMARU PREMIUM TG 2,5 X 5 X COMPR. VARIAVEIS")</f>
        <v>PAINEL CARVALHO DECK CUMARU PREMIUM TG 2,5 X 5 X COMPR. VARIAVEIS</v>
      </c>
      <c r="H453" s="283" t="s">
        <v>554</v>
      </c>
      <c r="I453" s="271" t="str">
        <f t="shared" si="3"/>
        <v/>
      </c>
      <c r="J453" s="284"/>
      <c r="K453" s="305" t="s">
        <v>2120</v>
      </c>
      <c r="L453" s="285" t="s">
        <v>555</v>
      </c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6"/>
      <c r="Z453" s="286"/>
      <c r="AA453" s="286"/>
    </row>
    <row r="454">
      <c r="A454" s="271"/>
      <c r="B454" s="271"/>
      <c r="C454" s="285"/>
      <c r="D454" s="285"/>
      <c r="E454" s="285"/>
      <c r="F454" s="322"/>
      <c r="G454" s="271" t="str">
        <f>IFERROR(__xludf.DUMMYFUNCTION("""COMPUTED_VALUE"""),"PAINEL CARVALHO DECK CUMARU PREMIUM TG 2,5 X 10 X COMPR. VARIAVEIS")</f>
        <v>PAINEL CARVALHO DECK CUMARU PREMIUM TG 2,5 X 10 X COMPR. VARIAVEIS</v>
      </c>
      <c r="H454" s="283" t="s">
        <v>555</v>
      </c>
      <c r="I454" s="271" t="str">
        <f t="shared" si="3"/>
        <v/>
      </c>
      <c r="J454" s="284"/>
      <c r="K454" s="305" t="s">
        <v>2121</v>
      </c>
      <c r="L454" s="285" t="s">
        <v>556</v>
      </c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6"/>
      <c r="Z454" s="286"/>
      <c r="AA454" s="286"/>
    </row>
    <row r="455">
      <c r="A455" s="271"/>
      <c r="B455" s="271"/>
      <c r="C455" s="285"/>
      <c r="D455" s="285"/>
      <c r="E455" s="285"/>
      <c r="F455" s="322"/>
      <c r="G455" s="271" t="str">
        <f>IFERROR(__xludf.DUMMYFUNCTION("""COMPUTED_VALUE"""),"PAINEL CARVALHO DECK CATUABA PREMIUM TG 2,5 X 5 X COMPR. VARIAVEIS")</f>
        <v>PAINEL CARVALHO DECK CATUABA PREMIUM TG 2,5 X 5 X COMPR. VARIAVEIS</v>
      </c>
      <c r="H455" s="283" t="s">
        <v>556</v>
      </c>
      <c r="I455" s="271" t="str">
        <f t="shared" si="3"/>
        <v/>
      </c>
      <c r="J455" s="284"/>
      <c r="K455" s="305" t="s">
        <v>2122</v>
      </c>
      <c r="L455" s="285" t="s">
        <v>557</v>
      </c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6"/>
      <c r="Z455" s="286"/>
      <c r="AA455" s="286"/>
    </row>
    <row r="456">
      <c r="A456" s="271"/>
      <c r="B456" s="271"/>
      <c r="C456" s="285"/>
      <c r="D456" s="285"/>
      <c r="E456" s="285"/>
      <c r="F456" s="322"/>
      <c r="G456" s="271" t="str">
        <f>IFERROR(__xludf.DUMMYFUNCTION("""COMPUTED_VALUE"""),"PAINEL CARVALHO DECK CATUABA PREMIUM TG 2,5 X 10 X COMPR. VARIAVEIS")</f>
        <v>PAINEL CARVALHO DECK CATUABA PREMIUM TG 2,5 X 10 X COMPR. VARIAVEIS</v>
      </c>
      <c r="H456" s="283" t="s">
        <v>557</v>
      </c>
      <c r="I456" s="271" t="str">
        <f t="shared" si="3"/>
        <v/>
      </c>
      <c r="J456" s="284"/>
      <c r="K456" s="305" t="s">
        <v>2123</v>
      </c>
      <c r="L456" s="285" t="s">
        <v>558</v>
      </c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6"/>
      <c r="Z456" s="286"/>
      <c r="AA456" s="286"/>
    </row>
    <row r="457">
      <c r="A457" s="271"/>
      <c r="B457" s="271"/>
      <c r="C457" s="285"/>
      <c r="D457" s="285"/>
      <c r="E457" s="285"/>
      <c r="F457" s="322"/>
      <c r="G457" s="271" t="str">
        <f>IFERROR(__xludf.DUMMYFUNCTION("""COMPUTED_VALUE"""),"PAINEL CARVALHO DECK CABREUVA BRANCA PREMIUM TG 2,5 X 5 X COMPR. VARIAVEIS")</f>
        <v>PAINEL CARVALHO DECK CABREUVA BRANCA PREMIUM TG 2,5 X 5 X COMPR. VARIAVEIS</v>
      </c>
      <c r="H457" s="283" t="s">
        <v>558</v>
      </c>
      <c r="I457" s="271" t="str">
        <f t="shared" si="3"/>
        <v/>
      </c>
      <c r="J457" s="284"/>
      <c r="K457" s="305" t="s">
        <v>2124</v>
      </c>
      <c r="L457" s="285" t="s">
        <v>559</v>
      </c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6"/>
      <c r="Z457" s="286"/>
      <c r="AA457" s="286"/>
    </row>
    <row r="458">
      <c r="A458" s="271"/>
      <c r="B458" s="271"/>
      <c r="C458" s="285"/>
      <c r="D458" s="285"/>
      <c r="E458" s="285"/>
      <c r="F458" s="322"/>
      <c r="G458" s="271" t="str">
        <f>IFERROR(__xludf.DUMMYFUNCTION("""COMPUTED_VALUE"""),"PAINEL CARVALHO DECK CABREUVA BRANCA PREMIUM TG 2,5 X 10 X COMPR. VARIAVEIS")</f>
        <v>PAINEL CARVALHO DECK CABREUVA BRANCA PREMIUM TG 2,5 X 10 X COMPR. VARIAVEIS</v>
      </c>
      <c r="H458" s="283" t="s">
        <v>559</v>
      </c>
      <c r="I458" s="271" t="str">
        <f t="shared" si="3"/>
        <v/>
      </c>
      <c r="J458" s="284"/>
      <c r="K458" s="305" t="s">
        <v>2125</v>
      </c>
      <c r="L458" s="285" t="s">
        <v>560</v>
      </c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6"/>
      <c r="Z458" s="286"/>
      <c r="AA458" s="286"/>
    </row>
    <row r="459">
      <c r="A459" s="271"/>
      <c r="B459" s="271"/>
      <c r="C459" s="285"/>
      <c r="D459" s="285"/>
      <c r="E459" s="285"/>
      <c r="F459" s="322"/>
      <c r="G459" s="271" t="str">
        <f>IFERROR(__xludf.DUMMYFUNCTION("""COMPUTED_VALUE"""),"PAINEL CARVALHO DECK CABREUVA DOURADA PREMIUM TG 2,5 X 5 X COMPR. VARIAVEIS")</f>
        <v>PAINEL CARVALHO DECK CABREUVA DOURADA PREMIUM TG 2,5 X 5 X COMPR. VARIAVEIS</v>
      </c>
      <c r="H459" s="283" t="s">
        <v>560</v>
      </c>
      <c r="I459" s="271" t="str">
        <f t="shared" si="3"/>
        <v/>
      </c>
      <c r="J459" s="284"/>
      <c r="K459" s="305" t="s">
        <v>2126</v>
      </c>
      <c r="L459" s="285" t="s">
        <v>561</v>
      </c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6"/>
      <c r="Z459" s="286"/>
      <c r="AA459" s="286"/>
    </row>
    <row r="460">
      <c r="A460" s="271"/>
      <c r="B460" s="271"/>
      <c r="C460" s="285"/>
      <c r="D460" s="285"/>
      <c r="E460" s="285"/>
      <c r="F460" s="322"/>
      <c r="G460" s="271" t="str">
        <f>IFERROR(__xludf.DUMMYFUNCTION("""COMPUTED_VALUE"""),"PAINEL CARVALHO DECK CABREUVA DOURADA PREMIUM TG 2,5 X 10 X COMPR. VARIAVEIS")</f>
        <v>PAINEL CARVALHO DECK CABREUVA DOURADA PREMIUM TG 2,5 X 10 X COMPR. VARIAVEIS</v>
      </c>
      <c r="H460" s="283" t="s">
        <v>561</v>
      </c>
      <c r="I460" s="271" t="str">
        <f t="shared" si="3"/>
        <v/>
      </c>
      <c r="J460" s="284"/>
      <c r="K460" s="305" t="s">
        <v>2127</v>
      </c>
      <c r="L460" s="285" t="s">
        <v>562</v>
      </c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6"/>
      <c r="Z460" s="286"/>
      <c r="AA460" s="286"/>
    </row>
    <row r="461">
      <c r="A461" s="271"/>
      <c r="B461" s="271"/>
      <c r="C461" s="285"/>
      <c r="D461" s="285"/>
      <c r="E461" s="285"/>
      <c r="F461" s="322"/>
      <c r="G461" s="271" t="str">
        <f>IFERROR(__xludf.DUMMYFUNCTION("""COMPUTED_VALUE"""),"PAINEL CARVALHO DECK TAUARI PREMIUM TG 2,5 X 5 X COMPR. VARIAVEIS")</f>
        <v>PAINEL CARVALHO DECK TAUARI PREMIUM TG 2,5 X 5 X COMPR. VARIAVEIS</v>
      </c>
      <c r="H461" s="283" t="s">
        <v>562</v>
      </c>
      <c r="I461" s="271" t="str">
        <f t="shared" si="3"/>
        <v/>
      </c>
      <c r="J461" s="284"/>
      <c r="K461" s="305" t="s">
        <v>2128</v>
      </c>
      <c r="L461" s="285" t="s">
        <v>563</v>
      </c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6"/>
      <c r="Z461" s="286"/>
      <c r="AA461" s="286"/>
    </row>
    <row r="462">
      <c r="A462" s="271"/>
      <c r="B462" s="271"/>
      <c r="C462" s="285"/>
      <c r="D462" s="285"/>
      <c r="E462" s="285"/>
      <c r="F462" s="322"/>
      <c r="G462" s="271" t="str">
        <f>IFERROR(__xludf.DUMMYFUNCTION("""COMPUTED_VALUE"""),"PAINEL CARVALHO DECK TAUARI PREMIUM TG 2,5 X 10 X COMPR. VARIAVEIS")</f>
        <v>PAINEL CARVALHO DECK TAUARI PREMIUM TG 2,5 X 10 X COMPR. VARIAVEIS</v>
      </c>
      <c r="H462" s="283" t="s">
        <v>563</v>
      </c>
      <c r="I462" s="271" t="str">
        <f t="shared" si="3"/>
        <v/>
      </c>
      <c r="J462" s="284"/>
      <c r="K462" s="305" t="s">
        <v>2129</v>
      </c>
      <c r="L462" s="285" t="s">
        <v>564</v>
      </c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6"/>
      <c r="Z462" s="286"/>
      <c r="AA462" s="286"/>
    </row>
    <row r="463">
      <c r="A463" s="271"/>
      <c r="B463" s="271"/>
      <c r="C463" s="285"/>
      <c r="D463" s="285"/>
      <c r="E463" s="285"/>
      <c r="F463" s="322"/>
      <c r="G463" s="271" t="str">
        <f>IFERROR(__xludf.DUMMYFUNCTION("""COMPUTED_VALUE"""),"PAINEL CARVALHO DECK PEROBA PREMIUM TG 2,5 X 5 X COMPR. VARIAVEIS")</f>
        <v>PAINEL CARVALHO DECK PEROBA PREMIUM TG 2,5 X 5 X COMPR. VARIAVEIS</v>
      </c>
      <c r="H463" s="283" t="s">
        <v>564</v>
      </c>
      <c r="I463" s="271" t="str">
        <f t="shared" si="3"/>
        <v/>
      </c>
      <c r="J463" s="284"/>
      <c r="K463" s="305" t="s">
        <v>2130</v>
      </c>
      <c r="L463" s="285" t="s">
        <v>565</v>
      </c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6"/>
      <c r="Z463" s="286"/>
      <c r="AA463" s="286"/>
    </row>
    <row r="464">
      <c r="A464" s="271"/>
      <c r="B464" s="271"/>
      <c r="C464" s="285"/>
      <c r="D464" s="285"/>
      <c r="E464" s="285"/>
      <c r="F464" s="322"/>
      <c r="G464" s="271" t="str">
        <f>IFERROR(__xludf.DUMMYFUNCTION("""COMPUTED_VALUE"""),"PAINEL CARVALHO DECK PEROBA PREMIUM TG 2,5 X 10 X COMPR. VARIAVEIS")</f>
        <v>PAINEL CARVALHO DECK PEROBA PREMIUM TG 2,5 X 10 X COMPR. VARIAVEIS</v>
      </c>
      <c r="H464" s="283" t="s">
        <v>565</v>
      </c>
      <c r="I464" s="271" t="str">
        <f t="shared" si="3"/>
        <v/>
      </c>
      <c r="J464" s="284"/>
      <c r="K464" s="305" t="s">
        <v>2131</v>
      </c>
      <c r="L464" s="285" t="s">
        <v>566</v>
      </c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6"/>
      <c r="Z464" s="286"/>
      <c r="AA464" s="286"/>
    </row>
    <row r="465">
      <c r="A465" s="271"/>
      <c r="B465" s="271"/>
      <c r="C465" s="285"/>
      <c r="D465" s="285"/>
      <c r="E465" s="285"/>
      <c r="F465" s="322"/>
      <c r="G465" s="271" t="str">
        <f>IFERROR(__xludf.DUMMYFUNCTION("""COMPUTED_VALUE"""),"PAINEL CARVALHO DECK BAMBU CARAMEL ALTA DENSIDADE")</f>
        <v>PAINEL CARVALHO DECK BAMBU CARAMEL ALTA DENSIDADE</v>
      </c>
      <c r="H465" s="283" t="s">
        <v>566</v>
      </c>
      <c r="I465" s="271" t="str">
        <f t="shared" si="3"/>
        <v/>
      </c>
      <c r="J465" s="284"/>
      <c r="K465" s="305" t="s">
        <v>2132</v>
      </c>
      <c r="L465" s="285" t="s">
        <v>567</v>
      </c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6"/>
      <c r="Z465" s="286"/>
      <c r="AA465" s="286"/>
    </row>
    <row r="466">
      <c r="A466" s="271"/>
      <c r="B466" s="271"/>
      <c r="C466" s="285"/>
      <c r="D466" s="285"/>
      <c r="E466" s="285"/>
      <c r="F466" s="322"/>
      <c r="G466" s="271" t="str">
        <f>IFERROR(__xludf.DUMMYFUNCTION("""COMPUTED_VALUE"""),"PAINEL CARVALHO DECK BPC CINZA ESCURO 2 X15X 290CM PÇ/0.435M2")</f>
        <v>PAINEL CARVALHO DECK BPC CINZA ESCURO 2 X15X 290CM PÇ/0.435M2</v>
      </c>
      <c r="H466" s="283" t="s">
        <v>567</v>
      </c>
      <c r="I466" s="271" t="str">
        <f t="shared" si="3"/>
        <v/>
      </c>
      <c r="J466" s="284"/>
      <c r="K466" s="305" t="s">
        <v>2133</v>
      </c>
      <c r="L466" s="285" t="s">
        <v>568</v>
      </c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6"/>
      <c r="Z466" s="286"/>
      <c r="AA466" s="286"/>
    </row>
    <row r="467">
      <c r="A467" s="271"/>
      <c r="B467" s="271"/>
      <c r="C467" s="285"/>
      <c r="D467" s="285"/>
      <c r="E467" s="285"/>
      <c r="F467" s="322"/>
      <c r="G467" s="271" t="str">
        <f>IFERROR(__xludf.DUMMYFUNCTION("""COMPUTED_VALUE"""),"PAINEL CARVALHO DECK BPC MORROM 2X15X220CM")</f>
        <v>PAINEL CARVALHO DECK BPC MORROM 2X15X220CM</v>
      </c>
      <c r="H467" s="283" t="s">
        <v>568</v>
      </c>
      <c r="I467" s="271" t="str">
        <f t="shared" si="3"/>
        <v/>
      </c>
      <c r="J467" s="284"/>
      <c r="K467" s="305" t="s">
        <v>2134</v>
      </c>
      <c r="L467" s="285" t="s">
        <v>569</v>
      </c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6"/>
      <c r="Z467" s="286"/>
      <c r="AA467" s="286"/>
    </row>
    <row r="468">
      <c r="A468" s="271"/>
      <c r="B468" s="271"/>
      <c r="C468" s="285"/>
      <c r="D468" s="285"/>
      <c r="E468" s="285"/>
      <c r="F468" s="322"/>
      <c r="G468" s="271" t="str">
        <f>IFERROR(__xludf.DUMMYFUNCTION("""COMPUTED_VALUE"""),"PAINEL CARVALHO DECK WPC CINZA 2,2*14,6*220CM")</f>
        <v>PAINEL CARVALHO DECK WPC CINZA 2,2*14,6*220CM</v>
      </c>
      <c r="H468" s="283" t="s">
        <v>569</v>
      </c>
      <c r="I468" s="271" t="str">
        <f t="shared" si="3"/>
        <v/>
      </c>
      <c r="J468" s="284"/>
      <c r="K468" s="305" t="s">
        <v>2135</v>
      </c>
      <c r="L468" s="285" t="s">
        <v>570</v>
      </c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6"/>
      <c r="Z468" s="286"/>
      <c r="AA468" s="286"/>
    </row>
    <row r="469">
      <c r="A469" s="271"/>
      <c r="B469" s="271"/>
      <c r="C469" s="285"/>
      <c r="D469" s="285"/>
      <c r="E469" s="285"/>
      <c r="F469" s="322"/>
      <c r="G469" s="271" t="str">
        <f>IFERROR(__xludf.DUMMYFUNCTION("""COMPUTED_VALUE"""),"PAINEL CARVALHO PEROBA RUSTICA DE DEMOLIÇÃO")</f>
        <v>PAINEL CARVALHO PEROBA RUSTICA DE DEMOLIÇÃO</v>
      </c>
      <c r="H469" s="283" t="s">
        <v>570</v>
      </c>
      <c r="I469" s="271" t="str">
        <f t="shared" si="3"/>
        <v/>
      </c>
      <c r="J469" s="284"/>
      <c r="K469" s="305" t="s">
        <v>2136</v>
      </c>
      <c r="L469" s="273" t="s">
        <v>2137</v>
      </c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6"/>
      <c r="Z469" s="286"/>
      <c r="AA469" s="286"/>
    </row>
    <row r="470">
      <c r="A470" s="271"/>
      <c r="B470" s="271"/>
      <c r="C470" s="285"/>
      <c r="D470" s="285"/>
      <c r="E470" s="285"/>
      <c r="F470" s="305" t="s">
        <v>2136</v>
      </c>
      <c r="G470" s="271" t="str">
        <f>IFERROR(__xludf.DUMMYFUNCTION("""COMPUTED_VALUE"""),"PAINEL CARVALHO CANELA RUSTICA DE DEMOLIÇÃO")</f>
        <v>PAINEL CARVALHO CANELA RUSTICA DE DEMOLIÇÃO</v>
      </c>
      <c r="H470" s="313" t="s">
        <v>2137</v>
      </c>
      <c r="I470" s="271" t="str">
        <f t="shared" si="3"/>
        <v/>
      </c>
      <c r="J470" s="284"/>
      <c r="K470" s="305" t="s">
        <v>2138</v>
      </c>
      <c r="L470" s="271" t="s">
        <v>572</v>
      </c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6"/>
      <c r="Z470" s="286"/>
      <c r="AA470" s="286"/>
    </row>
    <row r="471">
      <c r="A471" s="271"/>
      <c r="B471" s="271"/>
      <c r="C471" s="285"/>
      <c r="D471" s="285"/>
      <c r="E471" s="285"/>
      <c r="F471" s="322"/>
      <c r="G471" s="271" t="str">
        <f>IFERROR(__xludf.DUMMYFUNCTION("""COMPUTED_VALUE"""),"FORRO FINCAPINO CARVALHO EUROPEU MARRONE CHEVRON 15/3 X 1900X 740MM")</f>
        <v>FORRO FINCAPINO CARVALHO EUROPEU MARRONE CHEVRON 15/3 X 1900X 740MM</v>
      </c>
      <c r="H471" s="325" t="s">
        <v>572</v>
      </c>
      <c r="I471" s="271"/>
      <c r="J471" s="284"/>
      <c r="K471" s="305" t="s">
        <v>2139</v>
      </c>
      <c r="L471" s="285" t="s">
        <v>572</v>
      </c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6"/>
      <c r="Z471" s="286"/>
      <c r="AA471" s="286"/>
    </row>
    <row r="472">
      <c r="A472" s="271"/>
      <c r="B472" s="271"/>
      <c r="C472" s="285"/>
      <c r="D472" s="285"/>
      <c r="E472" s="285"/>
      <c r="F472" s="322"/>
      <c r="G472" s="271" t="str">
        <f>IFERROR(__xludf.DUMMYFUNCTION("""COMPUTED_VALUE"""),"FORRO FINCAPINO CARVALHO EUROPEU MARRONE 15/3 X 125 X 1200MM")</f>
        <v>FORRO FINCAPINO CARVALHO EUROPEU MARRONE 15/3 X 125 X 1200MM</v>
      </c>
      <c r="H472" s="283" t="s">
        <v>572</v>
      </c>
      <c r="I472" s="271">
        <f t="shared" ref="I472:I938" si="4">IFERROR(INDEX($D$3:$D$2001,MATCH(TRUE,ISNUMBER(FIND($B$3:$B$2001,G472)),0)),"")</f>
        <v>194.56</v>
      </c>
      <c r="J472" s="284"/>
      <c r="K472" s="305" t="s">
        <v>2140</v>
      </c>
      <c r="L472" s="285" t="s">
        <v>573</v>
      </c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6"/>
      <c r="Z472" s="286"/>
      <c r="AA472" s="286"/>
    </row>
    <row r="473">
      <c r="A473" s="271"/>
      <c r="B473" s="271"/>
      <c r="C473" s="285"/>
      <c r="D473" s="285"/>
      <c r="E473" s="285"/>
      <c r="F473" s="322"/>
      <c r="G473" s="271" t="str">
        <f>IFERROR(__xludf.DUMMYFUNCTION("""COMPUTED_VALUE"""),"FORRO FINCAPINO CARVALHO EUROPEU MARRONE 15/3 X 190 X 1900MM")</f>
        <v>FORRO FINCAPINO CARVALHO EUROPEU MARRONE 15/3 X 190 X 1900MM</v>
      </c>
      <c r="H473" s="283" t="s">
        <v>573</v>
      </c>
      <c r="I473" s="271">
        <f t="shared" si="4"/>
        <v>229.82</v>
      </c>
      <c r="J473" s="284"/>
      <c r="K473" s="305" t="s">
        <v>2141</v>
      </c>
      <c r="L473" s="285" t="s">
        <v>574</v>
      </c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6"/>
      <c r="Z473" s="286"/>
      <c r="AA473" s="286"/>
    </row>
    <row r="474">
      <c r="A474" s="271"/>
      <c r="B474" s="271"/>
      <c r="C474" s="285"/>
      <c r="D474" s="285"/>
      <c r="E474" s="285"/>
      <c r="F474" s="322"/>
      <c r="G474" s="271" t="str">
        <f>IFERROR(__xludf.DUMMYFUNCTION("""COMPUTED_VALUE"""),"FORRO FINCAPINO CARVALHO EUROPEU MARRONE 20/6 X 300 X 4000MM")</f>
        <v>FORRO FINCAPINO CARVALHO EUROPEU MARRONE 20/6 X 300 X 4000MM</v>
      </c>
      <c r="H474" s="283" t="s">
        <v>574</v>
      </c>
      <c r="I474" s="271">
        <f t="shared" si="4"/>
        <v>270.56</v>
      </c>
      <c r="J474" s="284"/>
      <c r="K474" s="305" t="s">
        <v>2142</v>
      </c>
      <c r="L474" s="285" t="s">
        <v>575</v>
      </c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6"/>
      <c r="Z474" s="286"/>
      <c r="AA474" s="286"/>
    </row>
    <row r="475">
      <c r="A475" s="271"/>
      <c r="B475" s="271"/>
      <c r="C475" s="285"/>
      <c r="D475" s="285"/>
      <c r="E475" s="285"/>
      <c r="F475" s="322"/>
      <c r="G475" s="271" t="str">
        <f>IFERROR(__xludf.DUMMYFUNCTION("""COMPUTED_VALUE"""),"FORRO FINCAPINO CARVALHO EUROPEU MARRONE 20/6 X 400 X 5000MM")</f>
        <v>FORRO FINCAPINO CARVALHO EUROPEU MARRONE 20/6 X 400 X 5000MM</v>
      </c>
      <c r="H475" s="283" t="s">
        <v>575</v>
      </c>
      <c r="I475" s="271">
        <f t="shared" si="4"/>
        <v>304</v>
      </c>
      <c r="J475" s="284"/>
      <c r="K475" s="305" t="s">
        <v>2143</v>
      </c>
      <c r="L475" s="285" t="s">
        <v>576</v>
      </c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6"/>
      <c r="Z475" s="286"/>
      <c r="AA475" s="286"/>
    </row>
    <row r="476">
      <c r="A476" s="271"/>
      <c r="B476" s="271"/>
      <c r="C476" s="285"/>
      <c r="D476" s="285"/>
      <c r="E476" s="285"/>
      <c r="F476" s="322"/>
      <c r="G476" s="271" t="str">
        <f>IFERROR(__xludf.DUMMYFUNCTION("""COMPUTED_VALUE"""),"FORRO FINCAPINO CARVALHO EUROPEU MONT BLANC CHEVRON 15/3 X 1900X 740MM")</f>
        <v>FORRO FINCAPINO CARVALHO EUROPEU MONT BLANC CHEVRON 15/3 X 1900X 740MM</v>
      </c>
      <c r="H476" s="283" t="s">
        <v>576</v>
      </c>
      <c r="I476" s="271">
        <f t="shared" si="4"/>
        <v>229.82</v>
      </c>
      <c r="J476" s="284"/>
      <c r="K476" s="305" t="s">
        <v>2144</v>
      </c>
      <c r="L476" s="285" t="s">
        <v>577</v>
      </c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6"/>
      <c r="Z476" s="286"/>
      <c r="AA476" s="286"/>
    </row>
    <row r="477">
      <c r="A477" s="271"/>
      <c r="B477" s="271"/>
      <c r="C477" s="285"/>
      <c r="D477" s="285"/>
      <c r="E477" s="285"/>
      <c r="F477" s="322"/>
      <c r="G477" s="271" t="str">
        <f>IFERROR(__xludf.DUMMYFUNCTION("""COMPUTED_VALUE"""),"FORRO FINCAPINO CARVALHO EUROPEU MONT BLANC ESPINHA DE PEIXE TG 15/3 X 125X900MM")</f>
        <v>FORRO FINCAPINO CARVALHO EUROPEU MONT BLANC ESPINHA DE PEIXE TG 15/3 X 125X900MM</v>
      </c>
      <c r="H477" s="283" t="s">
        <v>577</v>
      </c>
      <c r="I477" s="271">
        <f t="shared" si="4"/>
        <v>194.56</v>
      </c>
      <c r="J477" s="284"/>
      <c r="K477" s="305" t="s">
        <v>2145</v>
      </c>
      <c r="L477" s="285" t="s">
        <v>578</v>
      </c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6"/>
      <c r="Z477" s="286"/>
      <c r="AA477" s="286"/>
    </row>
    <row r="478">
      <c r="A478" s="271"/>
      <c r="B478" s="271"/>
      <c r="C478" s="285"/>
      <c r="D478" s="285"/>
      <c r="E478" s="285"/>
      <c r="F478" s="322"/>
      <c r="G478" s="271" t="str">
        <f>IFERROR(__xludf.DUMMYFUNCTION("""COMPUTED_VALUE"""),"FORRO FINCAPINO CARVALHO EUROPEU MONT BLANC 15/3 X 125 X 1200MM")</f>
        <v>FORRO FINCAPINO CARVALHO EUROPEU MONT BLANC 15/3 X 125 X 1200MM</v>
      </c>
      <c r="H478" s="283" t="s">
        <v>578</v>
      </c>
      <c r="I478" s="271">
        <f t="shared" si="4"/>
        <v>194.56</v>
      </c>
      <c r="J478" s="284"/>
      <c r="K478" s="305" t="s">
        <v>2146</v>
      </c>
      <c r="L478" s="285" t="s">
        <v>579</v>
      </c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6"/>
      <c r="Z478" s="286"/>
      <c r="AA478" s="286"/>
    </row>
    <row r="479">
      <c r="A479" s="271"/>
      <c r="B479" s="271"/>
      <c r="C479" s="285"/>
      <c r="D479" s="285"/>
      <c r="E479" s="285"/>
      <c r="F479" s="322"/>
      <c r="G479" s="271" t="str">
        <f>IFERROR(__xludf.DUMMYFUNCTION("""COMPUTED_VALUE"""),"FORRO FINCAPINO CARVALHO EUROPEU MONT BLANC 15/3 X 190 X 1900MM")</f>
        <v>FORRO FINCAPINO CARVALHO EUROPEU MONT BLANC 15/3 X 190 X 1900MM</v>
      </c>
      <c r="H479" s="283" t="s">
        <v>579</v>
      </c>
      <c r="I479" s="271">
        <f t="shared" si="4"/>
        <v>229.82</v>
      </c>
      <c r="J479" s="284"/>
      <c r="K479" s="305" t="s">
        <v>2147</v>
      </c>
      <c r="L479" s="285" t="s">
        <v>580</v>
      </c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6"/>
      <c r="Z479" s="286"/>
      <c r="AA479" s="286"/>
    </row>
    <row r="480">
      <c r="A480" s="271"/>
      <c r="B480" s="271"/>
      <c r="C480" s="285"/>
      <c r="D480" s="285"/>
      <c r="E480" s="285"/>
      <c r="F480" s="322"/>
      <c r="G480" s="271" t="str">
        <f>IFERROR(__xludf.DUMMYFUNCTION("""COMPUTED_VALUE"""),"FORRO FINCAPINO CARVALHO EUROPEU MONT BLANC 20/6 X 300 X 4000MM")</f>
        <v>FORRO FINCAPINO CARVALHO EUROPEU MONT BLANC 20/6 X 300 X 4000MM</v>
      </c>
      <c r="H480" s="283" t="s">
        <v>580</v>
      </c>
      <c r="I480" s="271">
        <f t="shared" si="4"/>
        <v>270.56</v>
      </c>
      <c r="J480" s="284"/>
      <c r="K480" s="305" t="s">
        <v>2148</v>
      </c>
      <c r="L480" s="285" t="s">
        <v>581</v>
      </c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6"/>
      <c r="Z480" s="286"/>
      <c r="AA480" s="286"/>
    </row>
    <row r="481">
      <c r="A481" s="271"/>
      <c r="B481" s="271"/>
      <c r="C481" s="285"/>
      <c r="D481" s="285"/>
      <c r="E481" s="285"/>
      <c r="F481" s="322"/>
      <c r="G481" s="271" t="str">
        <f>IFERROR(__xludf.DUMMYFUNCTION("""COMPUTED_VALUE"""),"FORRO FINCAPINO CARVALHO EUROPEU MONT BLANC 20/6 X 400 X 5000MM")</f>
        <v>FORRO FINCAPINO CARVALHO EUROPEU MONT BLANC 20/6 X 400 X 5000MM</v>
      </c>
      <c r="H481" s="283" t="s">
        <v>581</v>
      </c>
      <c r="I481" s="271">
        <f t="shared" si="4"/>
        <v>304</v>
      </c>
      <c r="J481" s="284"/>
      <c r="K481" s="305" t="s">
        <v>2149</v>
      </c>
      <c r="L481" s="285" t="s">
        <v>582</v>
      </c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6"/>
      <c r="Z481" s="286"/>
      <c r="AA481" s="286"/>
    </row>
    <row r="482">
      <c r="A482" s="271"/>
      <c r="B482" s="271"/>
      <c r="C482" s="285"/>
      <c r="D482" s="285"/>
      <c r="E482" s="285"/>
      <c r="F482" s="322"/>
      <c r="G482" s="271" t="str">
        <f>IFERROR(__xludf.DUMMYFUNCTION("""COMPUTED_VALUE"""),"FORRO FINCAPINO CARVALHO EUROPEU NATURAL CHEVRON TG 15/3 X 125 X 775MM")</f>
        <v>FORRO FINCAPINO CARVALHO EUROPEU NATURAL CHEVRON TG 15/3 X 125 X 775MM</v>
      </c>
      <c r="H482" s="283" t="s">
        <v>582</v>
      </c>
      <c r="I482" s="271">
        <f t="shared" si="4"/>
        <v>194.56</v>
      </c>
      <c r="J482" s="284"/>
      <c r="K482" s="305" t="s">
        <v>2150</v>
      </c>
      <c r="L482" s="285" t="s">
        <v>583</v>
      </c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6"/>
      <c r="Z482" s="286"/>
      <c r="AA482" s="286"/>
    </row>
    <row r="483">
      <c r="A483" s="271"/>
      <c r="B483" s="271"/>
      <c r="C483" s="285"/>
      <c r="D483" s="285"/>
      <c r="E483" s="285"/>
      <c r="F483" s="322"/>
      <c r="G483" s="271" t="str">
        <f>IFERROR(__xludf.DUMMYFUNCTION("""COMPUTED_VALUE"""),"FORRO FINCAPINO CARVALHO EUROPEU NATURALLE CHEVRON 15/3 X 1900X 740MM")</f>
        <v>FORRO FINCAPINO CARVALHO EUROPEU NATURALLE CHEVRON 15/3 X 1900X 740MM</v>
      </c>
      <c r="H483" s="283" t="s">
        <v>583</v>
      </c>
      <c r="I483" s="271">
        <f t="shared" si="4"/>
        <v>229.82</v>
      </c>
      <c r="J483" s="284"/>
      <c r="K483" s="305" t="s">
        <v>2151</v>
      </c>
      <c r="L483" s="285" t="s">
        <v>584</v>
      </c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6"/>
      <c r="Z483" s="286"/>
      <c r="AA483" s="286"/>
    </row>
    <row r="484">
      <c r="A484" s="271"/>
      <c r="B484" s="271"/>
      <c r="C484" s="285"/>
      <c r="D484" s="285"/>
      <c r="E484" s="285"/>
      <c r="F484" s="322"/>
      <c r="G484" s="271" t="str">
        <f>IFERROR(__xludf.DUMMYFUNCTION("""COMPUTED_VALUE"""),"FORRO FINCAPINO CARVALHO EUROPEU NATURALLE CHEVRON 60º 15/3 X 1900X 910MM")</f>
        <v>FORRO FINCAPINO CARVALHO EUROPEU NATURALLE CHEVRON 60º 15/3 X 1900X 910MM</v>
      </c>
      <c r="H484" s="283" t="s">
        <v>584</v>
      </c>
      <c r="I484" s="271">
        <f t="shared" si="4"/>
        <v>229.82</v>
      </c>
      <c r="J484" s="284"/>
      <c r="K484" s="305" t="s">
        <v>2152</v>
      </c>
      <c r="L484" s="285" t="s">
        <v>585</v>
      </c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6"/>
      <c r="Z484" s="286"/>
      <c r="AA484" s="286"/>
    </row>
    <row r="485">
      <c r="A485" s="271"/>
      <c r="B485" s="271"/>
      <c r="C485" s="285"/>
      <c r="D485" s="285"/>
      <c r="E485" s="285"/>
      <c r="F485" s="322"/>
      <c r="G485" s="271" t="str">
        <f>IFERROR(__xludf.DUMMYFUNCTION("""COMPUTED_VALUE"""),"FORRO FINCAPINO CARVALHO EUROPEU NATURALLE FINE 10/06 X 1900 X 1900MM")</f>
        <v>FORRO FINCAPINO CARVALHO EUROPEU NATURALLE FINE 10/06 X 1900 X 1900MM</v>
      </c>
      <c r="H485" s="283" t="s">
        <v>585</v>
      </c>
      <c r="I485" s="271">
        <f t="shared" si="4"/>
        <v>124.64</v>
      </c>
      <c r="J485" s="284"/>
      <c r="K485" s="305" t="s">
        <v>2153</v>
      </c>
      <c r="L485" s="285" t="s">
        <v>586</v>
      </c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6"/>
      <c r="Z485" s="286"/>
      <c r="AA485" s="286"/>
    </row>
    <row r="486">
      <c r="A486" s="271"/>
      <c r="B486" s="271"/>
      <c r="C486" s="285"/>
      <c r="D486" s="285"/>
      <c r="E486" s="285"/>
      <c r="F486" s="322"/>
      <c r="G486" s="271" t="str">
        <f>IFERROR(__xludf.DUMMYFUNCTION("""COMPUTED_VALUE"""),"FORRO FINCAPINO CARVALHO EUROPEU NATURALLE 15/3 X 125 X 1200MM")</f>
        <v>FORRO FINCAPINO CARVALHO EUROPEU NATURALLE 15/3 X 125 X 1200MM</v>
      </c>
      <c r="H486" s="283" t="s">
        <v>586</v>
      </c>
      <c r="I486" s="271">
        <f t="shared" si="4"/>
        <v>194.56</v>
      </c>
      <c r="J486" s="284"/>
      <c r="K486" s="305" t="s">
        <v>2154</v>
      </c>
      <c r="L486" s="285" t="s">
        <v>587</v>
      </c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6"/>
      <c r="Z486" s="286"/>
      <c r="AA486" s="286"/>
    </row>
    <row r="487">
      <c r="A487" s="271"/>
      <c r="B487" s="271"/>
      <c r="C487" s="285"/>
      <c r="D487" s="285"/>
      <c r="E487" s="285"/>
      <c r="F487" s="322"/>
      <c r="G487" s="271" t="str">
        <f>IFERROR(__xludf.DUMMYFUNCTION("""COMPUTED_VALUE"""),"FORRO FINCAPINO CARVALHO EUROPEU NATURALLE 15/3 X 190 X 1900MM")</f>
        <v>FORRO FINCAPINO CARVALHO EUROPEU NATURALLE 15/3 X 190 X 1900MM</v>
      </c>
      <c r="H487" s="283" t="s">
        <v>587</v>
      </c>
      <c r="I487" s="271">
        <f t="shared" si="4"/>
        <v>229.82</v>
      </c>
      <c r="J487" s="284"/>
      <c r="K487" s="305" t="s">
        <v>2155</v>
      </c>
      <c r="L487" s="285" t="s">
        <v>588</v>
      </c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6"/>
      <c r="Z487" s="286"/>
      <c r="AA487" s="286"/>
    </row>
    <row r="488">
      <c r="A488" s="271"/>
      <c r="B488" s="271"/>
      <c r="C488" s="285"/>
      <c r="D488" s="285"/>
      <c r="E488" s="285"/>
      <c r="F488" s="322"/>
      <c r="G488" s="271" t="str">
        <f>IFERROR(__xludf.DUMMYFUNCTION("""COMPUTED_VALUE"""),"FORRO FINCAPINO CARVALHO EUROPEU NATURALLE 20/6 X 300 X 4000MM")</f>
        <v>FORRO FINCAPINO CARVALHO EUROPEU NATURALLE 20/6 X 300 X 4000MM</v>
      </c>
      <c r="H488" s="283" t="s">
        <v>588</v>
      </c>
      <c r="I488" s="271">
        <f t="shared" si="4"/>
        <v>270.56</v>
      </c>
      <c r="J488" s="284"/>
      <c r="K488" s="305" t="s">
        <v>2156</v>
      </c>
      <c r="L488" s="285" t="s">
        <v>589</v>
      </c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6"/>
      <c r="Z488" s="286"/>
      <c r="AA488" s="286"/>
    </row>
    <row r="489">
      <c r="A489" s="271"/>
      <c r="B489" s="271"/>
      <c r="C489" s="285"/>
      <c r="D489" s="285"/>
      <c r="E489" s="285"/>
      <c r="F489" s="322"/>
      <c r="G489" s="271" t="str">
        <f>IFERROR(__xludf.DUMMYFUNCTION("""COMPUTED_VALUE"""),"FORRO FINCAPINO CARVALHO EUROPEU NATURALLE 20/6 X 400 X 5000MM")</f>
        <v>FORRO FINCAPINO CARVALHO EUROPEU NATURALLE 20/6 X 400 X 5000MM</v>
      </c>
      <c r="H489" s="283" t="s">
        <v>589</v>
      </c>
      <c r="I489" s="271">
        <f t="shared" si="4"/>
        <v>304</v>
      </c>
      <c r="J489" s="284"/>
      <c r="K489" s="305" t="s">
        <v>2157</v>
      </c>
      <c r="L489" s="285" t="s">
        <v>590</v>
      </c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6"/>
      <c r="Z489" s="286"/>
      <c r="AA489" s="286"/>
    </row>
    <row r="490">
      <c r="A490" s="271"/>
      <c r="B490" s="271"/>
      <c r="C490" s="285"/>
      <c r="D490" s="285"/>
      <c r="E490" s="285"/>
      <c r="F490" s="322"/>
      <c r="G490" s="271" t="str">
        <f>IFERROR(__xludf.DUMMYFUNCTION("""COMPUTED_VALUE"""),"FORRO FINCAPINO CARVALHO EUROPEU CAPUCCINO CHEVRON 15/3 X 1900X 740MM")</f>
        <v>FORRO FINCAPINO CARVALHO EUROPEU CAPUCCINO CHEVRON 15/3 X 1900X 740MM</v>
      </c>
      <c r="H490" s="283" t="s">
        <v>590</v>
      </c>
      <c r="I490" s="271">
        <f t="shared" si="4"/>
        <v>229.82</v>
      </c>
      <c r="J490" s="284"/>
      <c r="K490" s="305" t="s">
        <v>2158</v>
      </c>
      <c r="L490" s="285" t="s">
        <v>591</v>
      </c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6"/>
      <c r="Z490" s="286"/>
      <c r="AA490" s="286"/>
    </row>
    <row r="491">
      <c r="A491" s="271"/>
      <c r="B491" s="271"/>
      <c r="C491" s="285"/>
      <c r="D491" s="285"/>
      <c r="E491" s="285"/>
      <c r="F491" s="322"/>
      <c r="G491" s="271" t="str">
        <f>IFERROR(__xludf.DUMMYFUNCTION("""COMPUTED_VALUE"""),"FORRO FINCAPINO CARVALHO EUROPEU CAPUCCINO 15/3 X 125 X 1200MM")</f>
        <v>FORRO FINCAPINO CARVALHO EUROPEU CAPUCCINO 15/3 X 125 X 1200MM</v>
      </c>
      <c r="H491" s="283" t="s">
        <v>591</v>
      </c>
      <c r="I491" s="271">
        <f t="shared" si="4"/>
        <v>194.56</v>
      </c>
      <c r="J491" s="284"/>
      <c r="K491" s="305" t="s">
        <v>2159</v>
      </c>
      <c r="L491" s="285" t="s">
        <v>592</v>
      </c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6"/>
      <c r="Z491" s="286"/>
      <c r="AA491" s="286"/>
    </row>
    <row r="492">
      <c r="A492" s="271"/>
      <c r="B492" s="271"/>
      <c r="C492" s="285"/>
      <c r="D492" s="285"/>
      <c r="E492" s="285"/>
      <c r="F492" s="322"/>
      <c r="G492" s="271" t="str">
        <f>IFERROR(__xludf.DUMMYFUNCTION("""COMPUTED_VALUE"""),"FORRO FINCAPINO CARVALHO EUROPEU CAPPUCCINO ESPINHA DE PEIXE TG 15/3 X 125X900MM")</f>
        <v>FORRO FINCAPINO CARVALHO EUROPEU CAPPUCCINO ESPINHA DE PEIXE TG 15/3 X 125X900MM</v>
      </c>
      <c r="H492" s="283" t="s">
        <v>592</v>
      </c>
      <c r="I492" s="271">
        <f t="shared" si="4"/>
        <v>194.56</v>
      </c>
      <c r="J492" s="284"/>
      <c r="K492" s="305" t="s">
        <v>2160</v>
      </c>
      <c r="L492" s="285" t="s">
        <v>593</v>
      </c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6"/>
      <c r="Z492" s="286"/>
      <c r="AA492" s="286"/>
    </row>
    <row r="493">
      <c r="A493" s="271"/>
      <c r="B493" s="271"/>
      <c r="C493" s="285"/>
      <c r="D493" s="285"/>
      <c r="E493" s="285"/>
      <c r="F493" s="322"/>
      <c r="G493" s="271" t="str">
        <f>IFERROR(__xludf.DUMMYFUNCTION("""COMPUTED_VALUE"""),"FORRO FINCAPINO CARVALHO EUROPEU CAPUCCINO 15/3 X 190 X 1900MM")</f>
        <v>FORRO FINCAPINO CARVALHO EUROPEU CAPUCCINO 15/3 X 190 X 1900MM</v>
      </c>
      <c r="H493" s="283" t="s">
        <v>593</v>
      </c>
      <c r="I493" s="271">
        <f t="shared" si="4"/>
        <v>229.82</v>
      </c>
      <c r="J493" s="284"/>
      <c r="K493" s="305" t="s">
        <v>2161</v>
      </c>
      <c r="L493" s="285" t="s">
        <v>594</v>
      </c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6"/>
      <c r="Z493" s="286"/>
      <c r="AA493" s="286"/>
    </row>
    <row r="494">
      <c r="A494" s="271"/>
      <c r="B494" s="271"/>
      <c r="C494" s="285"/>
      <c r="D494" s="285"/>
      <c r="E494" s="285"/>
      <c r="F494" s="322"/>
      <c r="G494" s="271" t="str">
        <f>IFERROR(__xludf.DUMMYFUNCTION("""COMPUTED_VALUE"""),"FORRO FINCAPINO CARVALHO EUROPEU CAPUCCINO 20/6 X 300 X 4000MM")</f>
        <v>FORRO FINCAPINO CARVALHO EUROPEU CAPUCCINO 20/6 X 300 X 4000MM</v>
      </c>
      <c r="H494" s="283" t="s">
        <v>594</v>
      </c>
      <c r="I494" s="271">
        <f t="shared" si="4"/>
        <v>270.56</v>
      </c>
      <c r="J494" s="284"/>
      <c r="K494" s="305" t="s">
        <v>2162</v>
      </c>
      <c r="L494" s="285" t="s">
        <v>595</v>
      </c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6"/>
      <c r="Z494" s="286"/>
      <c r="AA494" s="286"/>
    </row>
    <row r="495">
      <c r="A495" s="271"/>
      <c r="B495" s="271"/>
      <c r="C495" s="285"/>
      <c r="D495" s="285"/>
      <c r="E495" s="285"/>
      <c r="F495" s="322"/>
      <c r="G495" s="271" t="str">
        <f>IFERROR(__xludf.DUMMYFUNCTION("""COMPUTED_VALUE"""),"FORRO FINCAPINO CARVALHO EUROPEU CAPUCCINO 20/6 X 400 X 5000MM")</f>
        <v>FORRO FINCAPINO CARVALHO EUROPEU CAPUCCINO 20/6 X 400 X 5000MM</v>
      </c>
      <c r="H495" s="283" t="s">
        <v>595</v>
      </c>
      <c r="I495" s="271">
        <f t="shared" si="4"/>
        <v>304</v>
      </c>
      <c r="J495" s="284"/>
      <c r="K495" s="305" t="s">
        <v>2163</v>
      </c>
      <c r="L495" s="285" t="s">
        <v>596</v>
      </c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6"/>
      <c r="Z495" s="286"/>
      <c r="AA495" s="286"/>
    </row>
    <row r="496">
      <c r="A496" s="271"/>
      <c r="B496" s="271"/>
      <c r="C496" s="285"/>
      <c r="D496" s="285"/>
      <c r="E496" s="285"/>
      <c r="F496" s="322"/>
      <c r="G496" s="271" t="str">
        <f>IFERROR(__xludf.DUMMYFUNCTION("""COMPUTED_VALUE"""),"FORRO FINCAPINO CARVALHO EUROPEU BABY GREY CHEVRON 15/3 X 1900X 740MM")</f>
        <v>FORRO FINCAPINO CARVALHO EUROPEU BABY GREY CHEVRON 15/3 X 1900X 740MM</v>
      </c>
      <c r="H496" s="283" t="s">
        <v>596</v>
      </c>
      <c r="I496" s="271">
        <f t="shared" si="4"/>
        <v>229.82</v>
      </c>
      <c r="J496" s="284"/>
      <c r="K496" s="305" t="s">
        <v>2164</v>
      </c>
      <c r="L496" s="285" t="s">
        <v>597</v>
      </c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6"/>
      <c r="Z496" s="286"/>
      <c r="AA496" s="286"/>
    </row>
    <row r="497">
      <c r="A497" s="271"/>
      <c r="B497" s="271"/>
      <c r="C497" s="285"/>
      <c r="D497" s="285"/>
      <c r="E497" s="285"/>
      <c r="F497" s="322"/>
      <c r="G497" s="271" t="str">
        <f>IFERROR(__xludf.DUMMYFUNCTION("""COMPUTED_VALUE"""),"FORRO FINCAPINO CARVALHO EUROPEU BABY GREY 15/3 X 125 X 1200MM")</f>
        <v>FORRO FINCAPINO CARVALHO EUROPEU BABY GREY 15/3 X 125 X 1200MM</v>
      </c>
      <c r="H497" s="283" t="s">
        <v>597</v>
      </c>
      <c r="I497" s="271">
        <f t="shared" si="4"/>
        <v>194.56</v>
      </c>
      <c r="J497" s="284"/>
      <c r="K497" s="305" t="s">
        <v>2165</v>
      </c>
      <c r="L497" s="285" t="s">
        <v>598</v>
      </c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6"/>
      <c r="Z497" s="286"/>
      <c r="AA497" s="286"/>
    </row>
    <row r="498">
      <c r="A498" s="271"/>
      <c r="B498" s="271"/>
      <c r="C498" s="285"/>
      <c r="D498" s="285"/>
      <c r="E498" s="285"/>
      <c r="F498" s="322"/>
      <c r="G498" s="271" t="str">
        <f>IFERROR(__xludf.DUMMYFUNCTION("""COMPUTED_VALUE"""),"FORRO FINCAPINO CARVALHO EUROPEU BABY GREY 15/3 X 190 X 1900MM")</f>
        <v>FORRO FINCAPINO CARVALHO EUROPEU BABY GREY 15/3 X 190 X 1900MM</v>
      </c>
      <c r="H498" s="283" t="s">
        <v>598</v>
      </c>
      <c r="I498" s="271">
        <f t="shared" si="4"/>
        <v>229.82</v>
      </c>
      <c r="J498" s="284"/>
      <c r="K498" s="305" t="s">
        <v>2166</v>
      </c>
      <c r="L498" s="285" t="s">
        <v>599</v>
      </c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6"/>
      <c r="Z498" s="286"/>
      <c r="AA498" s="286"/>
    </row>
    <row r="499">
      <c r="A499" s="271"/>
      <c r="B499" s="271"/>
      <c r="C499" s="285"/>
      <c r="D499" s="285"/>
      <c r="E499" s="285"/>
      <c r="F499" s="322"/>
      <c r="G499" s="271" t="str">
        <f>IFERROR(__xludf.DUMMYFUNCTION("""COMPUTED_VALUE"""),"FORRO FINCAPINO CARVALHO EUROPEU BABY GREY 20/6 X 300 X 4000MM")</f>
        <v>FORRO FINCAPINO CARVALHO EUROPEU BABY GREY 20/6 X 300 X 4000MM</v>
      </c>
      <c r="H499" s="283" t="s">
        <v>599</v>
      </c>
      <c r="I499" s="271">
        <f t="shared" si="4"/>
        <v>270.56</v>
      </c>
      <c r="J499" s="284"/>
      <c r="K499" s="305" t="s">
        <v>2167</v>
      </c>
      <c r="L499" s="285" t="s">
        <v>600</v>
      </c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6"/>
      <c r="Z499" s="286"/>
      <c r="AA499" s="286"/>
    </row>
    <row r="500">
      <c r="A500" s="271"/>
      <c r="B500" s="271"/>
      <c r="C500" s="285"/>
      <c r="D500" s="285"/>
      <c r="E500" s="285"/>
      <c r="F500" s="322"/>
      <c r="G500" s="271" t="str">
        <f>IFERROR(__xludf.DUMMYFUNCTION("""COMPUTED_VALUE"""),"FORRO FINCAPINO CARVALHO EUROPEU BABY GREY 20/6 X 400 X 5000MM")</f>
        <v>FORRO FINCAPINO CARVALHO EUROPEU BABY GREY 20/6 X 400 X 5000MM</v>
      </c>
      <c r="H500" s="283" t="s">
        <v>600</v>
      </c>
      <c r="I500" s="271">
        <f t="shared" si="4"/>
        <v>304</v>
      </c>
      <c r="J500" s="284"/>
      <c r="K500" s="305" t="s">
        <v>2168</v>
      </c>
      <c r="L500" s="285" t="s">
        <v>601</v>
      </c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6"/>
      <c r="Z500" s="286"/>
      <c r="AA500" s="286"/>
    </row>
    <row r="501">
      <c r="A501" s="271"/>
      <c r="B501" s="271"/>
      <c r="C501" s="285"/>
      <c r="D501" s="285"/>
      <c r="E501" s="285"/>
      <c r="F501" s="322"/>
      <c r="G501" s="271" t="str">
        <f>IFERROR(__xludf.DUMMYFUNCTION("""COMPUTED_VALUE"""),"FORRO FINCAPINO CARVALHO EUROPEU GRIGIO NERO CHEVRON 15/3 X 1900X 740MM")</f>
        <v>FORRO FINCAPINO CARVALHO EUROPEU GRIGIO NERO CHEVRON 15/3 X 1900X 740MM</v>
      </c>
      <c r="H501" s="283" t="s">
        <v>601</v>
      </c>
      <c r="I501" s="271">
        <f t="shared" si="4"/>
        <v>229.82</v>
      </c>
      <c r="J501" s="284"/>
      <c r="K501" s="305" t="s">
        <v>2169</v>
      </c>
      <c r="L501" s="285" t="s">
        <v>602</v>
      </c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6"/>
      <c r="Z501" s="286"/>
      <c r="AA501" s="286"/>
    </row>
    <row r="502">
      <c r="A502" s="271"/>
      <c r="B502" s="271"/>
      <c r="C502" s="285"/>
      <c r="D502" s="285"/>
      <c r="E502" s="285"/>
      <c r="F502" s="322"/>
      <c r="G502" s="271" t="str">
        <f>IFERROR(__xludf.DUMMYFUNCTION("""COMPUTED_VALUE"""),"FORRO FINCAPINO CARVALHO EUROPEU GRIGIO NERO 15/3 X 125 X 1200MM")</f>
        <v>FORRO FINCAPINO CARVALHO EUROPEU GRIGIO NERO 15/3 X 125 X 1200MM</v>
      </c>
      <c r="H502" s="283" t="s">
        <v>602</v>
      </c>
      <c r="I502" s="271">
        <f t="shared" si="4"/>
        <v>194.56</v>
      </c>
      <c r="J502" s="284"/>
      <c r="K502" s="305" t="s">
        <v>2170</v>
      </c>
      <c r="L502" s="285" t="s">
        <v>603</v>
      </c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6"/>
      <c r="Z502" s="286"/>
      <c r="AA502" s="286"/>
    </row>
    <row r="503">
      <c r="A503" s="271"/>
      <c r="B503" s="271"/>
      <c r="C503" s="285"/>
      <c r="D503" s="285"/>
      <c r="E503" s="285"/>
      <c r="F503" s="322"/>
      <c r="G503" s="271" t="str">
        <f>IFERROR(__xludf.DUMMYFUNCTION("""COMPUTED_VALUE"""),"FORRO FINCAPINO CARVALHO EUROPEU GRIGIO NERO 15/3 X 190 X 1900MM")</f>
        <v>FORRO FINCAPINO CARVALHO EUROPEU GRIGIO NERO 15/3 X 190 X 1900MM</v>
      </c>
      <c r="H503" s="283" t="s">
        <v>603</v>
      </c>
      <c r="I503" s="271">
        <f t="shared" si="4"/>
        <v>229.82</v>
      </c>
      <c r="J503" s="284"/>
      <c r="K503" s="305" t="s">
        <v>2171</v>
      </c>
      <c r="L503" s="285" t="s">
        <v>604</v>
      </c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6"/>
      <c r="Z503" s="286"/>
      <c r="AA503" s="286"/>
    </row>
    <row r="504">
      <c r="A504" s="271"/>
      <c r="B504" s="271"/>
      <c r="C504" s="285"/>
      <c r="D504" s="285"/>
      <c r="E504" s="285"/>
      <c r="F504" s="322"/>
      <c r="G504" s="271" t="str">
        <f>IFERROR(__xludf.DUMMYFUNCTION("""COMPUTED_VALUE"""),"FORRO FINCAPINO CARVALHO EUROPEU GRIGIO NERO 20/6 X 300 X 4000MM")</f>
        <v>FORRO FINCAPINO CARVALHO EUROPEU GRIGIO NERO 20/6 X 300 X 4000MM</v>
      </c>
      <c r="H504" s="283" t="s">
        <v>604</v>
      </c>
      <c r="I504" s="271">
        <f t="shared" si="4"/>
        <v>270.56</v>
      </c>
      <c r="J504" s="284"/>
      <c r="K504" s="305" t="s">
        <v>2172</v>
      </c>
      <c r="L504" s="285" t="s">
        <v>605</v>
      </c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6"/>
      <c r="Z504" s="286"/>
      <c r="AA504" s="286"/>
    </row>
    <row r="505">
      <c r="A505" s="271"/>
      <c r="B505" s="271"/>
      <c r="C505" s="285"/>
      <c r="D505" s="285"/>
      <c r="E505" s="285"/>
      <c r="F505" s="322"/>
      <c r="G505" s="271" t="str">
        <f>IFERROR(__xludf.DUMMYFUNCTION("""COMPUTED_VALUE"""),"FORRO FINCAPINO CARVALHO EUROPEU GRIGIO NERO 20/6 X 400 X 5000MM")</f>
        <v>FORRO FINCAPINO CARVALHO EUROPEU GRIGIO NERO 20/6 X 400 X 5000MM</v>
      </c>
      <c r="H505" s="283" t="s">
        <v>605</v>
      </c>
      <c r="I505" s="271">
        <f t="shared" si="4"/>
        <v>304</v>
      </c>
      <c r="J505" s="284"/>
      <c r="K505" s="305" t="s">
        <v>2173</v>
      </c>
      <c r="L505" s="285" t="s">
        <v>606</v>
      </c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6"/>
      <c r="Z505" s="286"/>
      <c r="AA505" s="286"/>
    </row>
    <row r="506">
      <c r="A506" s="271"/>
      <c r="B506" s="271"/>
      <c r="C506" s="285"/>
      <c r="D506" s="285"/>
      <c r="E506" s="285"/>
      <c r="F506" s="322"/>
      <c r="G506" s="271" t="str">
        <f>IFERROR(__xludf.DUMMYFUNCTION("""COMPUTED_VALUE"""),"FORRO FINCAPINO CARVALHO EUROPEU LIGHT BROWN CHEVRON 15/3 X 1900X 740MM")</f>
        <v>FORRO FINCAPINO CARVALHO EUROPEU LIGHT BROWN CHEVRON 15/3 X 1900X 740MM</v>
      </c>
      <c r="H506" s="283" t="s">
        <v>606</v>
      </c>
      <c r="I506" s="271">
        <f t="shared" si="4"/>
        <v>229.82</v>
      </c>
      <c r="J506" s="284"/>
      <c r="K506" s="305" t="s">
        <v>2174</v>
      </c>
      <c r="L506" s="285" t="s">
        <v>607</v>
      </c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6"/>
      <c r="Z506" s="286"/>
      <c r="AA506" s="286"/>
    </row>
    <row r="507">
      <c r="A507" s="271"/>
      <c r="B507" s="271"/>
      <c r="C507" s="285"/>
      <c r="D507" s="285"/>
      <c r="E507" s="285"/>
      <c r="F507" s="322"/>
      <c r="G507" s="271" t="str">
        <f>IFERROR(__xludf.DUMMYFUNCTION("""COMPUTED_VALUE"""),"FORRO FINCAPINO CARVALHO EUROPEU LIGHT BROWN 15/3 X 125 X 1200MM")</f>
        <v>FORRO FINCAPINO CARVALHO EUROPEU LIGHT BROWN 15/3 X 125 X 1200MM</v>
      </c>
      <c r="H507" s="283" t="s">
        <v>607</v>
      </c>
      <c r="I507" s="271">
        <f t="shared" si="4"/>
        <v>194.56</v>
      </c>
      <c r="J507" s="284"/>
      <c r="K507" s="305" t="s">
        <v>2175</v>
      </c>
      <c r="L507" s="285" t="s">
        <v>608</v>
      </c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6"/>
      <c r="Z507" s="286"/>
      <c r="AA507" s="286"/>
    </row>
    <row r="508">
      <c r="A508" s="271"/>
      <c r="B508" s="271"/>
      <c r="C508" s="285"/>
      <c r="D508" s="285"/>
      <c r="E508" s="285"/>
      <c r="F508" s="322"/>
      <c r="G508" s="271" t="str">
        <f>IFERROR(__xludf.DUMMYFUNCTION("""COMPUTED_VALUE"""),"FORRO FINCAPINO CARVALHO EUROPEU LIGHT BROWN 15/3 X 190 X 1900MM")</f>
        <v>FORRO FINCAPINO CARVALHO EUROPEU LIGHT BROWN 15/3 X 190 X 1900MM</v>
      </c>
      <c r="H508" s="283" t="s">
        <v>608</v>
      </c>
      <c r="I508" s="271">
        <f t="shared" si="4"/>
        <v>229.82</v>
      </c>
      <c r="J508" s="284"/>
      <c r="K508" s="305" t="s">
        <v>2176</v>
      </c>
      <c r="L508" s="285" t="s">
        <v>609</v>
      </c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6"/>
      <c r="Z508" s="286"/>
      <c r="AA508" s="286"/>
    </row>
    <row r="509">
      <c r="A509" s="271"/>
      <c r="B509" s="271"/>
      <c r="C509" s="285"/>
      <c r="D509" s="285"/>
      <c r="E509" s="285"/>
      <c r="F509" s="322"/>
      <c r="G509" s="271" t="str">
        <f>IFERROR(__xludf.DUMMYFUNCTION("""COMPUTED_VALUE"""),"FORRO FINCAPINO CARVALHO EUROPEU LIGHT BROWN 20/6 X 300 X 4000MM")</f>
        <v>FORRO FINCAPINO CARVALHO EUROPEU LIGHT BROWN 20/6 X 300 X 4000MM</v>
      </c>
      <c r="H509" s="283" t="s">
        <v>609</v>
      </c>
      <c r="I509" s="271">
        <f t="shared" si="4"/>
        <v>270.56</v>
      </c>
      <c r="J509" s="284"/>
      <c r="K509" s="305" t="s">
        <v>2177</v>
      </c>
      <c r="L509" s="285" t="s">
        <v>610</v>
      </c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6"/>
      <c r="Z509" s="286"/>
      <c r="AA509" s="286"/>
    </row>
    <row r="510">
      <c r="A510" s="271"/>
      <c r="B510" s="271"/>
      <c r="C510" s="285"/>
      <c r="D510" s="285"/>
      <c r="E510" s="285"/>
      <c r="F510" s="322"/>
      <c r="G510" s="271" t="str">
        <f>IFERROR(__xludf.DUMMYFUNCTION("""COMPUTED_VALUE"""),"FORRO FINCAPINO CARVALHO EUROPEU - LISTONE GIORDANO (HERITAGE 140 FILIGRANA - SIENNA 1179) TG 1,25 X 14,0 X 83,50CM --")</f>
        <v>FORRO FINCAPINO CARVALHO EUROPEU - LISTONE GIORDANO (HERITAGE 140 FILIGRANA - SIENNA 1179) TG 1,25 X 14,0 X 83,50CM --</v>
      </c>
      <c r="H510" s="283" t="s">
        <v>610</v>
      </c>
      <c r="I510" s="271">
        <f t="shared" si="4"/>
        <v>1095</v>
      </c>
      <c r="J510" s="284"/>
      <c r="K510" s="305" t="s">
        <v>2178</v>
      </c>
      <c r="L510" s="285" t="s">
        <v>611</v>
      </c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6"/>
      <c r="Z510" s="286"/>
      <c r="AA510" s="286"/>
    </row>
    <row r="511">
      <c r="A511" s="271"/>
      <c r="B511" s="271"/>
      <c r="C511" s="285"/>
      <c r="D511" s="285"/>
      <c r="E511" s="285"/>
      <c r="F511" s="322"/>
      <c r="G511" s="271" t="str">
        <f>IFERROR(__xludf.DUMMYFUNCTION("""COMPUTED_VALUE"""),"FORRO FINCAPINO ")</f>
        <v>FORRO FINCAPINO </v>
      </c>
      <c r="H511" s="283" t="s">
        <v>611</v>
      </c>
      <c r="I511" s="271" t="str">
        <f t="shared" si="4"/>
        <v/>
      </c>
      <c r="J511" s="284"/>
      <c r="K511" s="305" t="s">
        <v>2179</v>
      </c>
      <c r="L511" s="285" t="s">
        <v>612</v>
      </c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6"/>
      <c r="Z511" s="286"/>
      <c r="AA511" s="286"/>
    </row>
    <row r="512">
      <c r="A512" s="271"/>
      <c r="B512" s="271"/>
      <c r="C512" s="285"/>
      <c r="D512" s="285"/>
      <c r="E512" s="285"/>
      <c r="F512" s="322"/>
      <c r="G512" s="271" t="str">
        <f>IFERROR(__xludf.DUMMYFUNCTION("""COMPUTED_VALUE"""),"FORRO FINCAPINO CARVALHO EUROPEU MILANO CHEVRON 15/3 X 1900X 740MM")</f>
        <v>FORRO FINCAPINO CARVALHO EUROPEU MILANO CHEVRON 15/3 X 1900X 740MM</v>
      </c>
      <c r="H512" s="283" t="s">
        <v>612</v>
      </c>
      <c r="I512" s="271" t="str">
        <f t="shared" si="4"/>
        <v/>
      </c>
      <c r="J512" s="284"/>
      <c r="K512" s="305" t="s">
        <v>2180</v>
      </c>
      <c r="L512" s="285" t="s">
        <v>613</v>
      </c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6"/>
      <c r="Z512" s="286"/>
      <c r="AA512" s="286"/>
    </row>
    <row r="513">
      <c r="A513" s="271"/>
      <c r="B513" s="271"/>
      <c r="C513" s="285"/>
      <c r="D513" s="285"/>
      <c r="E513" s="285"/>
      <c r="F513" s="322"/>
      <c r="G513" s="271" t="str">
        <f>IFERROR(__xludf.DUMMYFUNCTION("""COMPUTED_VALUE"""),"FORRO FINCAPINO CARVALHO EUROPEU MILANO 15/3 X 125 X 1200MM")</f>
        <v>FORRO FINCAPINO CARVALHO EUROPEU MILANO 15/3 X 125 X 1200MM</v>
      </c>
      <c r="H513" s="283" t="s">
        <v>613</v>
      </c>
      <c r="I513" s="271" t="str">
        <f t="shared" si="4"/>
        <v/>
      </c>
      <c r="J513" s="284"/>
      <c r="K513" s="305" t="s">
        <v>2181</v>
      </c>
      <c r="L513" s="285" t="s">
        <v>614</v>
      </c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6"/>
      <c r="Z513" s="286"/>
      <c r="AA513" s="286"/>
    </row>
    <row r="514">
      <c r="A514" s="271"/>
      <c r="B514" s="271"/>
      <c r="C514" s="285"/>
      <c r="D514" s="285"/>
      <c r="E514" s="285"/>
      <c r="F514" s="322"/>
      <c r="G514" s="271" t="str">
        <f>IFERROR(__xludf.DUMMYFUNCTION("""COMPUTED_VALUE"""),"FORRO FINCAPINO CARVALHO EUROPEU MILANO 15/3 X 190 X 1900MM")</f>
        <v>FORRO FINCAPINO CARVALHO EUROPEU MILANO 15/3 X 190 X 1900MM</v>
      </c>
      <c r="H514" s="283" t="s">
        <v>614</v>
      </c>
      <c r="I514" s="271" t="str">
        <f t="shared" si="4"/>
        <v/>
      </c>
      <c r="J514" s="284"/>
      <c r="K514" s="305" t="s">
        <v>2182</v>
      </c>
      <c r="L514" s="285" t="s">
        <v>615</v>
      </c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6"/>
      <c r="Z514" s="286"/>
      <c r="AA514" s="286"/>
    </row>
    <row r="515">
      <c r="A515" s="271"/>
      <c r="B515" s="271"/>
      <c r="C515" s="285"/>
      <c r="D515" s="285"/>
      <c r="E515" s="285"/>
      <c r="F515" s="322"/>
      <c r="G515" s="271" t="str">
        <f>IFERROR(__xludf.DUMMYFUNCTION("""COMPUTED_VALUE"""),"FORRO FINCAPINO CARVALHO EUROPEU MILANO 20/6 X 300 X 4000MM")</f>
        <v>FORRO FINCAPINO CARVALHO EUROPEU MILANO 20/6 X 300 X 4000MM</v>
      </c>
      <c r="H515" s="283" t="s">
        <v>615</v>
      </c>
      <c r="I515" s="271" t="str">
        <f t="shared" si="4"/>
        <v/>
      </c>
      <c r="J515" s="284"/>
      <c r="K515" s="305" t="s">
        <v>2183</v>
      </c>
      <c r="L515" s="285" t="s">
        <v>616</v>
      </c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6"/>
      <c r="Z515" s="286"/>
      <c r="AA515" s="286"/>
    </row>
    <row r="516">
      <c r="A516" s="271"/>
      <c r="B516" s="271"/>
      <c r="C516" s="285"/>
      <c r="D516" s="285"/>
      <c r="E516" s="285"/>
      <c r="F516" s="322"/>
      <c r="G516" s="271" t="str">
        <f>IFERROR(__xludf.DUMMYFUNCTION("""COMPUTED_VALUE"""),"FORRO FINCAPINO CARVALHO EUROPEU MILANO 20/6 X 400 X 5000MM")</f>
        <v>FORRO FINCAPINO CARVALHO EUROPEU MILANO 20/6 X 400 X 5000MM</v>
      </c>
      <c r="H516" s="283" t="s">
        <v>616</v>
      </c>
      <c r="I516" s="271" t="str">
        <f t="shared" si="4"/>
        <v/>
      </c>
      <c r="J516" s="284"/>
      <c r="K516" s="305" t="s">
        <v>2184</v>
      </c>
      <c r="L516" s="285" t="s">
        <v>617</v>
      </c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6"/>
      <c r="Z516" s="286"/>
      <c r="AA516" s="286"/>
    </row>
    <row r="517">
      <c r="A517" s="271"/>
      <c r="B517" s="271"/>
      <c r="C517" s="285"/>
      <c r="D517" s="285"/>
      <c r="E517" s="285"/>
      <c r="F517" s="322"/>
      <c r="G517" s="271" t="str">
        <f>IFERROR(__xludf.DUMMYFUNCTION("""COMPUTED_VALUE"""),"FORRO FINCAPINO CARVALHO EUROPEU SMOKED CHEVRON 15/3 X 1900X 740MM")</f>
        <v>FORRO FINCAPINO CARVALHO EUROPEU SMOKED CHEVRON 15/3 X 1900X 740MM</v>
      </c>
      <c r="H517" s="283" t="s">
        <v>617</v>
      </c>
      <c r="I517" s="271" t="str">
        <f t="shared" si="4"/>
        <v/>
      </c>
      <c r="J517" s="284"/>
      <c r="K517" s="305" t="s">
        <v>2185</v>
      </c>
      <c r="L517" s="285" t="s">
        <v>618</v>
      </c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6"/>
      <c r="Z517" s="286"/>
      <c r="AA517" s="286"/>
    </row>
    <row r="518">
      <c r="A518" s="271"/>
      <c r="B518" s="271"/>
      <c r="C518" s="285"/>
      <c r="D518" s="285"/>
      <c r="E518" s="285"/>
      <c r="F518" s="322"/>
      <c r="G518" s="271" t="str">
        <f>IFERROR(__xludf.DUMMYFUNCTION("""COMPUTED_VALUE"""),"FORRO FINCAPINO CARVALHO EUROPEU SMOKED 15/3 X 125 X 1200MM")</f>
        <v>FORRO FINCAPINO CARVALHO EUROPEU SMOKED 15/3 X 125 X 1200MM</v>
      </c>
      <c r="H518" s="283" t="s">
        <v>618</v>
      </c>
      <c r="I518" s="271" t="str">
        <f t="shared" si="4"/>
        <v/>
      </c>
      <c r="J518" s="284"/>
      <c r="K518" s="305" t="s">
        <v>2186</v>
      </c>
      <c r="L518" s="285" t="s">
        <v>619</v>
      </c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6"/>
      <c r="Z518" s="286"/>
      <c r="AA518" s="286"/>
    </row>
    <row r="519">
      <c r="A519" s="271"/>
      <c r="B519" s="271"/>
      <c r="C519" s="285"/>
      <c r="D519" s="285"/>
      <c r="E519" s="285"/>
      <c r="F519" s="322"/>
      <c r="G519" s="271" t="str">
        <f>IFERROR(__xludf.DUMMYFUNCTION("""COMPUTED_VALUE"""),"FORRO FINCAPINO CARVALHO EUROPEU SMOKED 15/3 X 190 X 1900MM")</f>
        <v>FORRO FINCAPINO CARVALHO EUROPEU SMOKED 15/3 X 190 X 1900MM</v>
      </c>
      <c r="H519" s="283" t="s">
        <v>619</v>
      </c>
      <c r="I519" s="271" t="str">
        <f t="shared" si="4"/>
        <v/>
      </c>
      <c r="J519" s="284"/>
      <c r="K519" s="305" t="s">
        <v>2187</v>
      </c>
      <c r="L519" s="285" t="s">
        <v>620</v>
      </c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6"/>
      <c r="Z519" s="286"/>
      <c r="AA519" s="286"/>
    </row>
    <row r="520">
      <c r="A520" s="271"/>
      <c r="B520" s="271"/>
      <c r="C520" s="285"/>
      <c r="D520" s="285"/>
      <c r="E520" s="285"/>
      <c r="F520" s="322"/>
      <c r="G520" s="271" t="str">
        <f>IFERROR(__xludf.DUMMYFUNCTION("""COMPUTED_VALUE"""),"FORRO FINCAPINO CARVALHO EUROPEU SMOKED 20/6 X 300 X 4000MM")</f>
        <v>FORRO FINCAPINO CARVALHO EUROPEU SMOKED 20/6 X 300 X 4000MM</v>
      </c>
      <c r="H520" s="283" t="s">
        <v>620</v>
      </c>
      <c r="I520" s="271" t="str">
        <f t="shared" si="4"/>
        <v/>
      </c>
      <c r="J520" s="284"/>
      <c r="K520" s="305" t="s">
        <v>2188</v>
      </c>
      <c r="L520" s="285" t="s">
        <v>621</v>
      </c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6"/>
      <c r="Z520" s="286"/>
      <c r="AA520" s="286"/>
    </row>
    <row r="521">
      <c r="A521" s="271"/>
      <c r="B521" s="271"/>
      <c r="C521" s="285"/>
      <c r="D521" s="285"/>
      <c r="E521" s="285"/>
      <c r="F521" s="322"/>
      <c r="G521" s="271" t="str">
        <f>IFERROR(__xludf.DUMMYFUNCTION("""COMPUTED_VALUE"""),"FORRO FINCAPINO CARVALHO EUROPEU SMOKED 20/6 X 400 X 5000MM")</f>
        <v>FORRO FINCAPINO CARVALHO EUROPEU SMOKED 20/6 X 400 X 5000MM</v>
      </c>
      <c r="H521" s="283" t="s">
        <v>621</v>
      </c>
      <c r="I521" s="271" t="str">
        <f t="shared" si="4"/>
        <v/>
      </c>
      <c r="J521" s="284"/>
      <c r="K521" s="305" t="s">
        <v>2189</v>
      </c>
      <c r="L521" s="285" t="s">
        <v>622</v>
      </c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6"/>
      <c r="Z521" s="286"/>
      <c r="AA521" s="286"/>
    </row>
    <row r="522">
      <c r="A522" s="271"/>
      <c r="B522" s="271"/>
      <c r="C522" s="285"/>
      <c r="D522" s="285"/>
      <c r="E522" s="285"/>
      <c r="F522" s="322"/>
      <c r="G522" s="271" t="str">
        <f>IFERROR(__xludf.DUMMYFUNCTION("""COMPUTED_VALUE"""),"FORRO FINCAPINO CARVALHO EUROPEU GIZ CHEVRON 15/3 X 1900X 740MM")</f>
        <v>FORRO FINCAPINO CARVALHO EUROPEU GIZ CHEVRON 15/3 X 1900X 740MM</v>
      </c>
      <c r="H522" s="283" t="s">
        <v>622</v>
      </c>
      <c r="I522" s="271" t="str">
        <f t="shared" si="4"/>
        <v/>
      </c>
      <c r="J522" s="284"/>
      <c r="K522" s="305" t="s">
        <v>2190</v>
      </c>
      <c r="L522" s="285" t="s">
        <v>623</v>
      </c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6"/>
      <c r="Z522" s="286"/>
      <c r="AA522" s="286"/>
    </row>
    <row r="523">
      <c r="A523" s="271"/>
      <c r="B523" s="271"/>
      <c r="C523" s="285"/>
      <c r="D523" s="285"/>
      <c r="E523" s="285"/>
      <c r="F523" s="322"/>
      <c r="G523" s="271" t="str">
        <f>IFERROR(__xludf.DUMMYFUNCTION("""COMPUTED_VALUE"""),"FORRO FINCAPINO CARVALHO EUROPEU GIZ 15/3 X 125 X 1200MM")</f>
        <v>FORRO FINCAPINO CARVALHO EUROPEU GIZ 15/3 X 125 X 1200MM</v>
      </c>
      <c r="H523" s="283" t="s">
        <v>623</v>
      </c>
      <c r="I523" s="271" t="str">
        <f t="shared" si="4"/>
        <v/>
      </c>
      <c r="J523" s="284"/>
      <c r="K523" s="305" t="s">
        <v>2191</v>
      </c>
      <c r="L523" s="285" t="s">
        <v>624</v>
      </c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6"/>
      <c r="Z523" s="286"/>
      <c r="AA523" s="286"/>
    </row>
    <row r="524">
      <c r="A524" s="271"/>
      <c r="B524" s="271"/>
      <c r="C524" s="285"/>
      <c r="D524" s="285"/>
      <c r="E524" s="285"/>
      <c r="F524" s="322"/>
      <c r="G524" s="271" t="str">
        <f>IFERROR(__xludf.DUMMYFUNCTION("""COMPUTED_VALUE"""),"FORRO FINCAPINO CARVALHO EUROPEU GIZ 15/3 X 190 X 1900MM")</f>
        <v>FORRO FINCAPINO CARVALHO EUROPEU GIZ 15/3 X 190 X 1900MM</v>
      </c>
      <c r="H524" s="283" t="s">
        <v>624</v>
      </c>
      <c r="I524" s="271" t="str">
        <f t="shared" si="4"/>
        <v/>
      </c>
      <c r="J524" s="284"/>
      <c r="K524" s="305" t="s">
        <v>2192</v>
      </c>
      <c r="L524" s="285" t="s">
        <v>625</v>
      </c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6"/>
      <c r="Z524" s="286"/>
      <c r="AA524" s="286"/>
    </row>
    <row r="525">
      <c r="A525" s="271"/>
      <c r="B525" s="271"/>
      <c r="C525" s="285"/>
      <c r="D525" s="285"/>
      <c r="E525" s="285"/>
      <c r="F525" s="322"/>
      <c r="G525" s="271" t="str">
        <f>IFERROR(__xludf.DUMMYFUNCTION("""COMPUTED_VALUE"""),"FORRO FINCAPINO CARVALHO EUROPEU GIZ 20/6 X 300 X 4000MM")</f>
        <v>FORRO FINCAPINO CARVALHO EUROPEU GIZ 20/6 X 300 X 4000MM</v>
      </c>
      <c r="H525" s="283" t="s">
        <v>625</v>
      </c>
      <c r="I525" s="271" t="str">
        <f t="shared" si="4"/>
        <v/>
      </c>
      <c r="J525" s="284"/>
      <c r="K525" s="305" t="s">
        <v>2193</v>
      </c>
      <c r="L525" s="285" t="s">
        <v>626</v>
      </c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6"/>
      <c r="Z525" s="286"/>
      <c r="AA525" s="286"/>
    </row>
    <row r="526">
      <c r="A526" s="271"/>
      <c r="B526" s="271"/>
      <c r="C526" s="285"/>
      <c r="D526" s="285"/>
      <c r="E526" s="285"/>
      <c r="F526" s="322"/>
      <c r="G526" s="271" t="str">
        <f>IFERROR(__xludf.DUMMYFUNCTION("""COMPUTED_VALUE"""),"FORRO FINCAPINO CARVALHO EUROPEU GIZ 20/6 X 400 X 5000MM")</f>
        <v>FORRO FINCAPINO CARVALHO EUROPEU GIZ 20/6 X 400 X 5000MM</v>
      </c>
      <c r="H526" s="283" t="s">
        <v>626</v>
      </c>
      <c r="I526" s="271" t="str">
        <f t="shared" si="4"/>
        <v/>
      </c>
      <c r="J526" s="284"/>
      <c r="K526" s="305" t="s">
        <v>2194</v>
      </c>
      <c r="L526" s="285" t="s">
        <v>627</v>
      </c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6"/>
      <c r="Z526" s="286"/>
      <c r="AA526" s="286"/>
    </row>
    <row r="527">
      <c r="A527" s="271"/>
      <c r="B527" s="271"/>
      <c r="C527" s="285"/>
      <c r="D527" s="285"/>
      <c r="E527" s="285"/>
      <c r="F527" s="322"/>
      <c r="G527" s="271" t="str">
        <f>IFERROR(__xludf.DUMMYFUNCTION("""COMPUTED_VALUE"""),"FORRO FINCAPINO CARVALHO EUROPEU SNOW CHEVRON 15/3 X 1900X 740MM")</f>
        <v>FORRO FINCAPINO CARVALHO EUROPEU SNOW CHEVRON 15/3 X 1900X 740MM</v>
      </c>
      <c r="H527" s="283" t="s">
        <v>627</v>
      </c>
      <c r="I527" s="271" t="str">
        <f t="shared" si="4"/>
        <v/>
      </c>
      <c r="J527" s="284"/>
      <c r="K527" s="305" t="s">
        <v>2195</v>
      </c>
      <c r="L527" s="285" t="s">
        <v>628</v>
      </c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6"/>
      <c r="Z527" s="286"/>
      <c r="AA527" s="286"/>
    </row>
    <row r="528">
      <c r="A528" s="271"/>
      <c r="B528" s="271"/>
      <c r="C528" s="285"/>
      <c r="D528" s="285"/>
      <c r="E528" s="285"/>
      <c r="F528" s="322"/>
      <c r="G528" s="271" t="str">
        <f>IFERROR(__xludf.DUMMYFUNCTION("""COMPUTED_VALUE"""),"FORRO FINCAPINO CARVALHO EUROPEU SNOW 15/3 X 125 X 1200MM")</f>
        <v>FORRO FINCAPINO CARVALHO EUROPEU SNOW 15/3 X 125 X 1200MM</v>
      </c>
      <c r="H528" s="283" t="s">
        <v>628</v>
      </c>
      <c r="I528" s="271" t="str">
        <f t="shared" si="4"/>
        <v/>
      </c>
      <c r="J528" s="284"/>
      <c r="K528" s="305" t="s">
        <v>2196</v>
      </c>
      <c r="L528" s="285" t="s">
        <v>629</v>
      </c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6"/>
      <c r="Z528" s="286"/>
      <c r="AA528" s="286"/>
    </row>
    <row r="529">
      <c r="A529" s="271"/>
      <c r="B529" s="271"/>
      <c r="C529" s="285"/>
      <c r="D529" s="285"/>
      <c r="E529" s="285"/>
      <c r="F529" s="322"/>
      <c r="G529" s="271" t="str">
        <f>IFERROR(__xludf.DUMMYFUNCTION("""COMPUTED_VALUE"""),"FORRO FINCAPINO CARVALHO EUROPEU SNOW 15/3 X 190 X 1900MM")</f>
        <v>FORRO FINCAPINO CARVALHO EUROPEU SNOW 15/3 X 190 X 1900MM</v>
      </c>
      <c r="H529" s="283" t="s">
        <v>629</v>
      </c>
      <c r="I529" s="271" t="str">
        <f t="shared" si="4"/>
        <v/>
      </c>
      <c r="J529" s="284"/>
      <c r="K529" s="305" t="s">
        <v>2197</v>
      </c>
      <c r="L529" s="285" t="s">
        <v>630</v>
      </c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6"/>
      <c r="Z529" s="286"/>
      <c r="AA529" s="286"/>
    </row>
    <row r="530">
      <c r="A530" s="271"/>
      <c r="B530" s="271"/>
      <c r="C530" s="285"/>
      <c r="D530" s="285"/>
      <c r="E530" s="285"/>
      <c r="F530" s="322"/>
      <c r="G530" s="271" t="str">
        <f>IFERROR(__xludf.DUMMYFUNCTION("""COMPUTED_VALUE"""),"FORRO FINCAPINO CARVALHO EUROPEU SNOW 20/6 X 300 X 4000MM")</f>
        <v>FORRO FINCAPINO CARVALHO EUROPEU SNOW 20/6 X 300 X 4000MM</v>
      </c>
      <c r="H530" s="283" t="s">
        <v>630</v>
      </c>
      <c r="I530" s="271" t="str">
        <f t="shared" si="4"/>
        <v/>
      </c>
      <c r="J530" s="284"/>
      <c r="K530" s="305" t="s">
        <v>2198</v>
      </c>
      <c r="L530" s="285" t="s">
        <v>631</v>
      </c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6"/>
      <c r="Z530" s="286"/>
      <c r="AA530" s="286"/>
    </row>
    <row r="531">
      <c r="A531" s="271"/>
      <c r="B531" s="271"/>
      <c r="C531" s="285"/>
      <c r="D531" s="285"/>
      <c r="E531" s="285"/>
      <c r="F531" s="322"/>
      <c r="G531" s="271" t="str">
        <f>IFERROR(__xludf.DUMMYFUNCTION("""COMPUTED_VALUE"""),"FORRO FINCAPINO CARVALHO EUROPEU SNOW 20/6 X 400 X 5000MM")</f>
        <v>FORRO FINCAPINO CARVALHO EUROPEU SNOW 20/6 X 400 X 5000MM</v>
      </c>
      <c r="H531" s="283" t="s">
        <v>631</v>
      </c>
      <c r="I531" s="271" t="str">
        <f t="shared" si="4"/>
        <v/>
      </c>
      <c r="J531" s="284"/>
      <c r="K531" s="305" t="s">
        <v>2199</v>
      </c>
      <c r="L531" s="285" t="s">
        <v>632</v>
      </c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6"/>
      <c r="Z531" s="286"/>
      <c r="AA531" s="286"/>
    </row>
    <row r="532">
      <c r="A532" s="271"/>
      <c r="B532" s="271"/>
      <c r="C532" s="285"/>
      <c r="D532" s="285"/>
      <c r="E532" s="285"/>
      <c r="F532" s="322"/>
      <c r="G532" s="271" t="str">
        <f>IFERROR(__xludf.DUMMYFUNCTION("""COMPUTED_VALUE"""),"FORRO FINCAPINO CARVALHO EUROPEU WILD CHEVRON 15/3 X 1900X 740MM")</f>
        <v>FORRO FINCAPINO CARVALHO EUROPEU WILD CHEVRON 15/3 X 1900X 740MM</v>
      </c>
      <c r="H532" s="283" t="s">
        <v>632</v>
      </c>
      <c r="I532" s="271" t="str">
        <f t="shared" si="4"/>
        <v/>
      </c>
      <c r="J532" s="284"/>
      <c r="K532" s="305" t="s">
        <v>2200</v>
      </c>
      <c r="L532" s="285" t="s">
        <v>633</v>
      </c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6"/>
      <c r="Z532" s="286"/>
      <c r="AA532" s="286"/>
    </row>
    <row r="533">
      <c r="A533" s="271"/>
      <c r="B533" s="271"/>
      <c r="C533" s="285"/>
      <c r="D533" s="285"/>
      <c r="E533" s="285"/>
      <c r="F533" s="322"/>
      <c r="G533" s="271" t="str">
        <f>IFERROR(__xludf.DUMMYFUNCTION("""COMPUTED_VALUE"""),"FORRO FINCAPINO CARVALHO EUROPEU WILD 15/3 X 125 X 1200MM")</f>
        <v>FORRO FINCAPINO CARVALHO EUROPEU WILD 15/3 X 125 X 1200MM</v>
      </c>
      <c r="H533" s="283" t="s">
        <v>633</v>
      </c>
      <c r="I533" s="271" t="str">
        <f t="shared" si="4"/>
        <v/>
      </c>
      <c r="J533" s="284"/>
      <c r="K533" s="305" t="s">
        <v>2201</v>
      </c>
      <c r="L533" s="285" t="s">
        <v>634</v>
      </c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6"/>
      <c r="Z533" s="286"/>
      <c r="AA533" s="286"/>
    </row>
    <row r="534">
      <c r="A534" s="271"/>
      <c r="B534" s="271"/>
      <c r="C534" s="285"/>
      <c r="D534" s="285"/>
      <c r="E534" s="285"/>
      <c r="F534" s="322"/>
      <c r="G534" s="271" t="str">
        <f>IFERROR(__xludf.DUMMYFUNCTION("""COMPUTED_VALUE"""),"FORRO FINCAPINO CARVALHO EUROPEU WILD 15/3 X 190 X 1900MM")</f>
        <v>FORRO FINCAPINO CARVALHO EUROPEU WILD 15/3 X 190 X 1900MM</v>
      </c>
      <c r="H534" s="283" t="s">
        <v>634</v>
      </c>
      <c r="I534" s="271" t="str">
        <f t="shared" si="4"/>
        <v/>
      </c>
      <c r="J534" s="284"/>
      <c r="K534" s="305" t="s">
        <v>2202</v>
      </c>
      <c r="L534" s="285" t="s">
        <v>635</v>
      </c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6"/>
      <c r="Z534" s="286"/>
      <c r="AA534" s="286"/>
    </row>
    <row r="535">
      <c r="A535" s="271"/>
      <c r="B535" s="271"/>
      <c r="C535" s="285"/>
      <c r="D535" s="285"/>
      <c r="E535" s="285"/>
      <c r="F535" s="322"/>
      <c r="G535" s="271" t="str">
        <f>IFERROR(__xludf.DUMMYFUNCTION("""COMPUTED_VALUE"""),"FORRO FINCAPINO CARVALHO EUROPEU WILD 20/6 X 300 X 4000MM")</f>
        <v>FORRO FINCAPINO CARVALHO EUROPEU WILD 20/6 X 300 X 4000MM</v>
      </c>
      <c r="H535" s="283" t="s">
        <v>635</v>
      </c>
      <c r="I535" s="271" t="str">
        <f t="shared" si="4"/>
        <v/>
      </c>
      <c r="J535" s="284"/>
      <c r="K535" s="305" t="s">
        <v>2203</v>
      </c>
      <c r="L535" s="285" t="s">
        <v>636</v>
      </c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6"/>
      <c r="Z535" s="286"/>
      <c r="AA535" s="286"/>
    </row>
    <row r="536">
      <c r="A536" s="271"/>
      <c r="B536" s="271"/>
      <c r="C536" s="285"/>
      <c r="D536" s="285"/>
      <c r="E536" s="285"/>
      <c r="F536" s="322"/>
      <c r="G536" s="271" t="str">
        <f>IFERROR(__xludf.DUMMYFUNCTION("""COMPUTED_VALUE"""),"FORRO FINCAPINO CARVALHO EUROPEU WILD 20/6 X 400 X 5000MM")</f>
        <v>FORRO FINCAPINO CARVALHO EUROPEU WILD 20/6 X 400 X 5000MM</v>
      </c>
      <c r="H536" s="283" t="s">
        <v>636</v>
      </c>
      <c r="I536" s="271" t="str">
        <f t="shared" si="4"/>
        <v/>
      </c>
      <c r="J536" s="284"/>
      <c r="K536" s="305" t="s">
        <v>2204</v>
      </c>
      <c r="L536" s="285" t="s">
        <v>637</v>
      </c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6"/>
      <c r="Z536" s="286"/>
      <c r="AA536" s="286"/>
    </row>
    <row r="537">
      <c r="A537" s="271"/>
      <c r="B537" s="271"/>
      <c r="C537" s="285"/>
      <c r="D537" s="285"/>
      <c r="E537" s="285"/>
      <c r="F537" s="322"/>
      <c r="G537" s="271" t="str">
        <f>IFERROR(__xludf.DUMMYFUNCTION("""COMPUTED_VALUE"""),"FORRO FINCAPINO CARVALHO EUROPEU NEVADO CHEVRON 15/3 X 1900X 740MM")</f>
        <v>FORRO FINCAPINO CARVALHO EUROPEU NEVADO CHEVRON 15/3 X 1900X 740MM</v>
      </c>
      <c r="H537" s="283" t="s">
        <v>637</v>
      </c>
      <c r="I537" s="271" t="str">
        <f t="shared" si="4"/>
        <v/>
      </c>
      <c r="J537" s="284"/>
      <c r="K537" s="305" t="s">
        <v>2205</v>
      </c>
      <c r="L537" s="285" t="s">
        <v>638</v>
      </c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6"/>
      <c r="Z537" s="286"/>
      <c r="AA537" s="286"/>
    </row>
    <row r="538">
      <c r="A538" s="271"/>
      <c r="B538" s="271"/>
      <c r="C538" s="285"/>
      <c r="D538" s="285"/>
      <c r="E538" s="285"/>
      <c r="F538" s="322"/>
      <c r="G538" s="271" t="str">
        <f>IFERROR(__xludf.DUMMYFUNCTION("""COMPUTED_VALUE"""),"FORRO FINCAPINO CARVALHO EUROPEU NEVADO 15/3 X 125 X 1200MM")</f>
        <v>FORRO FINCAPINO CARVALHO EUROPEU NEVADO 15/3 X 125 X 1200MM</v>
      </c>
      <c r="H538" s="283" t="s">
        <v>638</v>
      </c>
      <c r="I538" s="271" t="str">
        <f t="shared" si="4"/>
        <v/>
      </c>
      <c r="J538" s="284"/>
      <c r="K538" s="305" t="s">
        <v>2206</v>
      </c>
      <c r="L538" s="285" t="s">
        <v>639</v>
      </c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6"/>
      <c r="Z538" s="286"/>
      <c r="AA538" s="286"/>
    </row>
    <row r="539">
      <c r="A539" s="271"/>
      <c r="B539" s="271"/>
      <c r="C539" s="285"/>
      <c r="D539" s="285"/>
      <c r="E539" s="285"/>
      <c r="F539" s="322"/>
      <c r="G539" s="271" t="str">
        <f>IFERROR(__xludf.DUMMYFUNCTION("""COMPUTED_VALUE"""),"FORRO FINCAPINO CARVALHO EUROPEU NEVADO 15/3 X 190 X 1900MM")</f>
        <v>FORRO FINCAPINO CARVALHO EUROPEU NEVADO 15/3 X 190 X 1900MM</v>
      </c>
      <c r="H539" s="283" t="s">
        <v>639</v>
      </c>
      <c r="I539" s="271" t="str">
        <f t="shared" si="4"/>
        <v/>
      </c>
      <c r="J539" s="284"/>
      <c r="K539" s="305" t="s">
        <v>2207</v>
      </c>
      <c r="L539" s="285" t="s">
        <v>640</v>
      </c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6"/>
      <c r="Z539" s="286"/>
      <c r="AA539" s="286"/>
    </row>
    <row r="540">
      <c r="A540" s="271"/>
      <c r="B540" s="271"/>
      <c r="C540" s="285"/>
      <c r="D540" s="285"/>
      <c r="E540" s="285"/>
      <c r="F540" s="322"/>
      <c r="G540" s="271" t="str">
        <f>IFERROR(__xludf.DUMMYFUNCTION("""COMPUTED_VALUE"""),"FORRO FINCAPINO CARVALHO EUROPEU NEVADO 20/6 X 300 X 4000MM")</f>
        <v>FORRO FINCAPINO CARVALHO EUROPEU NEVADO 20/6 X 300 X 4000MM</v>
      </c>
      <c r="H540" s="283" t="s">
        <v>640</v>
      </c>
      <c r="I540" s="271" t="str">
        <f t="shared" si="4"/>
        <v/>
      </c>
      <c r="J540" s="284"/>
      <c r="K540" s="305" t="s">
        <v>2208</v>
      </c>
      <c r="L540" s="285" t="s">
        <v>641</v>
      </c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6"/>
      <c r="Z540" s="286"/>
      <c r="AA540" s="286"/>
    </row>
    <row r="541">
      <c r="A541" s="271"/>
      <c r="B541" s="271"/>
      <c r="C541" s="285"/>
      <c r="D541" s="285"/>
      <c r="E541" s="285"/>
      <c r="F541" s="322"/>
      <c r="G541" s="271" t="str">
        <f>IFERROR(__xludf.DUMMYFUNCTION("""COMPUTED_VALUE"""),"FORRO FINCAPINO CARVALHO EUROPEU NEVADO 20/6 X 400 X 5000MM")</f>
        <v>FORRO FINCAPINO CARVALHO EUROPEU NEVADO 20/6 X 400 X 5000MM</v>
      </c>
      <c r="H541" s="283" t="s">
        <v>641</v>
      </c>
      <c r="I541" s="271" t="str">
        <f t="shared" si="4"/>
        <v/>
      </c>
      <c r="J541" s="284"/>
      <c r="K541" s="305" t="s">
        <v>2209</v>
      </c>
      <c r="L541" s="285" t="s">
        <v>642</v>
      </c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6"/>
      <c r="Z541" s="286"/>
      <c r="AA541" s="286"/>
    </row>
    <row r="542">
      <c r="A542" s="271"/>
      <c r="B542" s="271"/>
      <c r="C542" s="285"/>
      <c r="D542" s="285"/>
      <c r="E542" s="285"/>
      <c r="F542" s="322"/>
      <c r="G542" s="271" t="str">
        <f>IFERROR(__xludf.DUMMYFUNCTION("""COMPUTED_VALUE"""),"FORRO FINCAPINO CARVALHO EUROPEU CONCRETE GREY CHEVRON 15/3 X 1900X 740MM")</f>
        <v>FORRO FINCAPINO CARVALHO EUROPEU CONCRETE GREY CHEVRON 15/3 X 1900X 740MM</v>
      </c>
      <c r="H542" s="283" t="s">
        <v>642</v>
      </c>
      <c r="I542" s="271" t="str">
        <f t="shared" si="4"/>
        <v/>
      </c>
      <c r="J542" s="284"/>
      <c r="K542" s="305" t="s">
        <v>2210</v>
      </c>
      <c r="L542" s="285" t="s">
        <v>643</v>
      </c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6"/>
      <c r="Z542" s="286"/>
      <c r="AA542" s="286"/>
    </row>
    <row r="543">
      <c r="A543" s="271"/>
      <c r="B543" s="271"/>
      <c r="C543" s="285"/>
      <c r="D543" s="285"/>
      <c r="E543" s="285"/>
      <c r="F543" s="322"/>
      <c r="G543" s="271" t="str">
        <f>IFERROR(__xludf.DUMMYFUNCTION("""COMPUTED_VALUE"""),"FORRO FINCAPINO CARVALHO EUROPEU CONCRETE GREY 15/3 X 125 X 1200MM")</f>
        <v>FORRO FINCAPINO CARVALHO EUROPEU CONCRETE GREY 15/3 X 125 X 1200MM</v>
      </c>
      <c r="H543" s="283" t="s">
        <v>643</v>
      </c>
      <c r="I543" s="271" t="str">
        <f t="shared" si="4"/>
        <v/>
      </c>
      <c r="J543" s="284"/>
      <c r="K543" s="305" t="s">
        <v>2211</v>
      </c>
      <c r="L543" s="285" t="s">
        <v>644</v>
      </c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6"/>
      <c r="Z543" s="286"/>
      <c r="AA543" s="286"/>
    </row>
    <row r="544">
      <c r="A544" s="271"/>
      <c r="B544" s="271"/>
      <c r="C544" s="285"/>
      <c r="D544" s="285"/>
      <c r="E544" s="285"/>
      <c r="F544" s="322"/>
      <c r="G544" s="271" t="str">
        <f>IFERROR(__xludf.DUMMYFUNCTION("""COMPUTED_VALUE"""),"FORRO FINCAPINO CARVALHO EUROPEU CONCRETE GREY 15/3 X 190 X 1900MM")</f>
        <v>FORRO FINCAPINO CARVALHO EUROPEU CONCRETE GREY 15/3 X 190 X 1900MM</v>
      </c>
      <c r="H544" s="283" t="s">
        <v>644</v>
      </c>
      <c r="I544" s="271" t="str">
        <f t="shared" si="4"/>
        <v/>
      </c>
      <c r="J544" s="284"/>
      <c r="K544" s="305" t="s">
        <v>2212</v>
      </c>
      <c r="L544" s="285" t="s">
        <v>645</v>
      </c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6"/>
      <c r="Z544" s="286"/>
      <c r="AA544" s="286"/>
    </row>
    <row r="545">
      <c r="A545" s="271"/>
      <c r="B545" s="271"/>
      <c r="C545" s="285"/>
      <c r="D545" s="285"/>
      <c r="E545" s="285"/>
      <c r="F545" s="322"/>
      <c r="G545" s="271" t="str">
        <f>IFERROR(__xludf.DUMMYFUNCTION("""COMPUTED_VALUE"""),"FORRO FINCAPINO CARVALHO EUROPEU CONCRETE GREY 20/6 X 300 X 4000MM")</f>
        <v>FORRO FINCAPINO CARVALHO EUROPEU CONCRETE GREY 20/6 X 300 X 4000MM</v>
      </c>
      <c r="H545" s="283" t="s">
        <v>645</v>
      </c>
      <c r="I545" s="271" t="str">
        <f t="shared" si="4"/>
        <v/>
      </c>
      <c r="J545" s="284"/>
      <c r="K545" s="305" t="s">
        <v>2213</v>
      </c>
      <c r="L545" s="285" t="s">
        <v>646</v>
      </c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6"/>
      <c r="Z545" s="286"/>
      <c r="AA545" s="286"/>
    </row>
    <row r="546">
      <c r="A546" s="271"/>
      <c r="B546" s="271"/>
      <c r="C546" s="285"/>
      <c r="D546" s="285"/>
      <c r="E546" s="285"/>
      <c r="F546" s="322"/>
      <c r="G546" s="271" t="str">
        <f>IFERROR(__xludf.DUMMYFUNCTION("""COMPUTED_VALUE"""),"FORRO FINCAPINO CARVALHO EUROPEU CONCRETE GREY 20/6 X 400 X 5000MM")</f>
        <v>FORRO FINCAPINO CARVALHO EUROPEU CONCRETE GREY 20/6 X 400 X 5000MM</v>
      </c>
      <c r="H546" s="283" t="s">
        <v>646</v>
      </c>
      <c r="I546" s="271" t="str">
        <f t="shared" si="4"/>
        <v/>
      </c>
      <c r="J546" s="284"/>
      <c r="K546" s="305" t="s">
        <v>2214</v>
      </c>
      <c r="L546" s="285" t="s">
        <v>647</v>
      </c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6"/>
      <c r="Z546" s="286"/>
      <c r="AA546" s="286"/>
    </row>
    <row r="547">
      <c r="A547" s="271"/>
      <c r="B547" s="271"/>
      <c r="C547" s="285"/>
      <c r="D547" s="285"/>
      <c r="E547" s="285"/>
      <c r="F547" s="322"/>
      <c r="G547" s="271" t="str">
        <f>IFERROR(__xludf.DUMMYFUNCTION("""COMPUTED_VALUE"""),"FORRO FINCAPINO CARVALHO EUROPEU ITALY BROWN CHEVRON 15/3 X 1900X 740MM")</f>
        <v>FORRO FINCAPINO CARVALHO EUROPEU ITALY BROWN CHEVRON 15/3 X 1900X 740MM</v>
      </c>
      <c r="H547" s="283" t="s">
        <v>647</v>
      </c>
      <c r="I547" s="271" t="str">
        <f t="shared" si="4"/>
        <v/>
      </c>
      <c r="J547" s="284"/>
      <c r="K547" s="305" t="s">
        <v>2215</v>
      </c>
      <c r="L547" s="285" t="s">
        <v>648</v>
      </c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6"/>
      <c r="Z547" s="286"/>
      <c r="AA547" s="286"/>
    </row>
    <row r="548">
      <c r="A548" s="271"/>
      <c r="B548" s="271"/>
      <c r="C548" s="285"/>
      <c r="D548" s="285"/>
      <c r="E548" s="285"/>
      <c r="F548" s="326"/>
      <c r="G548" s="285" t="str">
        <f>IFERROR(__xludf.DUMMYFUNCTION("""COMPUTED_VALUE"""),"FORRO FINCAPINO CARVALHO EUROPEU ITALY BROWN 15/3 X 125 X 1200MM")</f>
        <v>FORRO FINCAPINO CARVALHO EUROPEU ITALY BROWN 15/3 X 125 X 1200MM</v>
      </c>
      <c r="H548" s="283" t="s">
        <v>648</v>
      </c>
      <c r="I548" s="271" t="str">
        <f t="shared" si="4"/>
        <v/>
      </c>
      <c r="J548" s="284"/>
      <c r="K548" s="305" t="s">
        <v>2216</v>
      </c>
      <c r="L548" s="285" t="s">
        <v>649</v>
      </c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6"/>
      <c r="Z548" s="286"/>
      <c r="AA548" s="286"/>
    </row>
    <row r="549">
      <c r="A549" s="271"/>
      <c r="B549" s="271"/>
      <c r="C549" s="285"/>
      <c r="D549" s="285"/>
      <c r="E549" s="285"/>
      <c r="F549" s="326"/>
      <c r="G549" s="285" t="str">
        <f>IFERROR(__xludf.DUMMYFUNCTION("""COMPUTED_VALUE"""),"FORRO FINCAPINO CARVALHO EUROPEU ITALY BROWN 15/3 X 190 X 1900MM")</f>
        <v>FORRO FINCAPINO CARVALHO EUROPEU ITALY BROWN 15/3 X 190 X 1900MM</v>
      </c>
      <c r="H549" s="283" t="s">
        <v>649</v>
      </c>
      <c r="I549" s="271" t="str">
        <f t="shared" si="4"/>
        <v/>
      </c>
      <c r="J549" s="284"/>
      <c r="K549" s="305" t="s">
        <v>2217</v>
      </c>
      <c r="L549" s="285" t="s">
        <v>650</v>
      </c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6"/>
      <c r="Z549" s="286"/>
      <c r="AA549" s="286"/>
    </row>
    <row r="550">
      <c r="A550" s="271"/>
      <c r="B550" s="271"/>
      <c r="C550" s="285"/>
      <c r="D550" s="285"/>
      <c r="E550" s="285"/>
      <c r="F550" s="326"/>
      <c r="G550" s="285" t="str">
        <f>IFERROR(__xludf.DUMMYFUNCTION("""COMPUTED_VALUE"""),"FORRO FINCAPINO CARVALHO EUROPEU ITALY BROWN 20/6 X 300 X 4000MM")</f>
        <v>FORRO FINCAPINO CARVALHO EUROPEU ITALY BROWN 20/6 X 300 X 4000MM</v>
      </c>
      <c r="H550" s="283" t="s">
        <v>650</v>
      </c>
      <c r="I550" s="271" t="str">
        <f t="shared" si="4"/>
        <v/>
      </c>
      <c r="J550" s="284"/>
      <c r="K550" s="305" t="s">
        <v>2218</v>
      </c>
      <c r="L550" s="285" t="s">
        <v>651</v>
      </c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6"/>
      <c r="Z550" s="286"/>
      <c r="AA550" s="286"/>
    </row>
    <row r="551">
      <c r="A551" s="271"/>
      <c r="B551" s="271"/>
      <c r="C551" s="285"/>
      <c r="D551" s="285"/>
      <c r="E551" s="285"/>
      <c r="F551" s="326"/>
      <c r="G551" s="285" t="str">
        <f>IFERROR(__xludf.DUMMYFUNCTION("""COMPUTED_VALUE"""),"FORRO FINCAPINO CARVALHO EUROPEU ITALY BROWN 20/6 X 400 X 5000MM")</f>
        <v>FORRO FINCAPINO CARVALHO EUROPEU ITALY BROWN 20/6 X 400 X 5000MM</v>
      </c>
      <c r="H551" s="283" t="s">
        <v>651</v>
      </c>
      <c r="I551" s="271" t="str">
        <f t="shared" si="4"/>
        <v/>
      </c>
      <c r="J551" s="284"/>
      <c r="K551" s="305" t="s">
        <v>2219</v>
      </c>
      <c r="L551" s="285" t="s">
        <v>652</v>
      </c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6"/>
      <c r="Z551" s="286"/>
      <c r="AA551" s="286"/>
    </row>
    <row r="552">
      <c r="A552" s="271"/>
      <c r="B552" s="271"/>
      <c r="C552" s="285"/>
      <c r="D552" s="285"/>
      <c r="E552" s="285"/>
      <c r="F552" s="326"/>
      <c r="G552" s="285" t="str">
        <f>IFERROR(__xludf.DUMMYFUNCTION("""COMPUTED_VALUE"""),"FORRO FINCAPINO CARVALHO EUROPEU ALL BLACK CHEVRON 15/3 X 1900X 740MM")</f>
        <v>FORRO FINCAPINO CARVALHO EUROPEU ALL BLACK CHEVRON 15/3 X 1900X 740MM</v>
      </c>
      <c r="H552" s="283" t="s">
        <v>652</v>
      </c>
      <c r="I552" s="271" t="str">
        <f t="shared" si="4"/>
        <v/>
      </c>
      <c r="J552" s="284"/>
      <c r="K552" s="305" t="s">
        <v>2220</v>
      </c>
      <c r="L552" s="285" t="s">
        <v>653</v>
      </c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6"/>
      <c r="Z552" s="286"/>
      <c r="AA552" s="286"/>
    </row>
    <row r="553">
      <c r="A553" s="271"/>
      <c r="B553" s="271"/>
      <c r="C553" s="285"/>
      <c r="D553" s="285"/>
      <c r="E553" s="285"/>
      <c r="F553" s="326"/>
      <c r="G553" s="285" t="str">
        <f>IFERROR(__xludf.DUMMYFUNCTION("""COMPUTED_VALUE"""),"FORRO FINCAPINO CARVALHO EUROPEU ALL BLACK 15/3 X 125 X 1200MM")</f>
        <v>FORRO FINCAPINO CARVALHO EUROPEU ALL BLACK 15/3 X 125 X 1200MM</v>
      </c>
      <c r="H553" s="283" t="s">
        <v>653</v>
      </c>
      <c r="I553" s="271" t="str">
        <f t="shared" si="4"/>
        <v/>
      </c>
      <c r="J553" s="284"/>
      <c r="K553" s="305" t="s">
        <v>2221</v>
      </c>
      <c r="L553" s="285" t="s">
        <v>654</v>
      </c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6"/>
      <c r="Z553" s="286"/>
      <c r="AA553" s="286"/>
    </row>
    <row r="554">
      <c r="A554" s="271"/>
      <c r="B554" s="271"/>
      <c r="C554" s="285"/>
      <c r="D554" s="285"/>
      <c r="E554" s="285"/>
      <c r="F554" s="326"/>
      <c r="G554" s="285" t="str">
        <f>IFERROR(__xludf.DUMMYFUNCTION("""COMPUTED_VALUE"""),"FORRO FINCAPINO CARVALHO EUROPEU BLACK CHEVRON TG 15/3 X 125 X 775CM")</f>
        <v>FORRO FINCAPINO CARVALHO EUROPEU BLACK CHEVRON TG 15/3 X 125 X 775CM</v>
      </c>
      <c r="H554" s="283" t="s">
        <v>654</v>
      </c>
      <c r="I554" s="271" t="str">
        <f t="shared" si="4"/>
        <v/>
      </c>
      <c r="J554" s="284"/>
      <c r="K554" s="305" t="s">
        <v>2222</v>
      </c>
      <c r="L554" s="285" t="s">
        <v>655</v>
      </c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6"/>
      <c r="Z554" s="286"/>
      <c r="AA554" s="286"/>
    </row>
    <row r="555">
      <c r="A555" s="271"/>
      <c r="B555" s="271"/>
      <c r="C555" s="285"/>
      <c r="D555" s="285"/>
      <c r="E555" s="285"/>
      <c r="F555" s="326"/>
      <c r="G555" s="285" t="str">
        <f>IFERROR(__xludf.DUMMYFUNCTION("""COMPUTED_VALUE"""),"FORRO FINCAPINO CARVALHO EUROPEU ALL BLACK 15/3 X 190 X 1900MM")</f>
        <v>FORRO FINCAPINO CARVALHO EUROPEU ALL BLACK 15/3 X 190 X 1900MM</v>
      </c>
      <c r="H555" s="283" t="s">
        <v>655</v>
      </c>
      <c r="I555" s="271" t="str">
        <f t="shared" si="4"/>
        <v/>
      </c>
      <c r="J555" s="284"/>
      <c r="K555" s="305" t="s">
        <v>2223</v>
      </c>
      <c r="L555" s="285" t="s">
        <v>656</v>
      </c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6"/>
      <c r="Z555" s="286"/>
      <c r="AA555" s="286"/>
    </row>
    <row r="556">
      <c r="A556" s="271"/>
      <c r="B556" s="271"/>
      <c r="C556" s="285"/>
      <c r="D556" s="285"/>
      <c r="E556" s="285"/>
      <c r="F556" s="326"/>
      <c r="G556" s="285" t="str">
        <f>IFERROR(__xludf.DUMMYFUNCTION("""COMPUTED_VALUE"""),"FORRO FINCAPINO CARVALHO EUROPEU ALL BLACK 20/6 X 300 X 4000MM")</f>
        <v>FORRO FINCAPINO CARVALHO EUROPEU ALL BLACK 20/6 X 300 X 4000MM</v>
      </c>
      <c r="H556" s="283" t="s">
        <v>656</v>
      </c>
      <c r="I556" s="271" t="str">
        <f t="shared" si="4"/>
        <v/>
      </c>
      <c r="J556" s="284"/>
      <c r="K556" s="305" t="s">
        <v>2224</v>
      </c>
      <c r="L556" s="285" t="s">
        <v>657</v>
      </c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6"/>
      <c r="Z556" s="286"/>
      <c r="AA556" s="286"/>
    </row>
    <row r="557">
      <c r="A557" s="271"/>
      <c r="B557" s="271"/>
      <c r="C557" s="285"/>
      <c r="D557" s="285"/>
      <c r="E557" s="285"/>
      <c r="F557" s="326"/>
      <c r="G557" s="285" t="str">
        <f>IFERROR(__xludf.DUMMYFUNCTION("""COMPUTED_VALUE"""),"FORRO FINCAPINO CARVALHO EUROPEU ALL BLACK 20/6 X 400 X 5000MM")</f>
        <v>FORRO FINCAPINO CARVALHO EUROPEU ALL BLACK 20/6 X 400 X 5000MM</v>
      </c>
      <c r="H557" s="283" t="s">
        <v>657</v>
      </c>
      <c r="I557" s="271" t="str">
        <f t="shared" si="4"/>
        <v/>
      </c>
      <c r="J557" s="284"/>
      <c r="K557" s="305" t="s">
        <v>2225</v>
      </c>
      <c r="L557" s="285" t="s">
        <v>658</v>
      </c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6"/>
      <c r="Z557" s="286"/>
      <c r="AA557" s="286"/>
    </row>
    <row r="558">
      <c r="A558" s="271"/>
      <c r="B558" s="271"/>
      <c r="C558" s="285"/>
      <c r="D558" s="285"/>
      <c r="E558" s="285"/>
      <c r="F558" s="326"/>
      <c r="G558" s="285" t="str">
        <f>IFERROR(__xludf.DUMMYFUNCTION("""COMPUTED_VALUE"""),"FORRO FINCAPINO CARVALHO EUROPEU URBAN GREY CHEVRON 15/3 X 1900X 740MM")</f>
        <v>FORRO FINCAPINO CARVALHO EUROPEU URBAN GREY CHEVRON 15/3 X 1900X 740MM</v>
      </c>
      <c r="H558" s="283" t="s">
        <v>658</v>
      </c>
      <c r="I558" s="271" t="str">
        <f t="shared" si="4"/>
        <v/>
      </c>
      <c r="J558" s="284"/>
      <c r="K558" s="305" t="s">
        <v>2226</v>
      </c>
      <c r="L558" s="285" t="s">
        <v>659</v>
      </c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6"/>
      <c r="Z558" s="286"/>
      <c r="AA558" s="286"/>
    </row>
    <row r="559">
      <c r="A559" s="271"/>
      <c r="B559" s="271"/>
      <c r="C559" s="285"/>
      <c r="D559" s="285"/>
      <c r="E559" s="285"/>
      <c r="F559" s="326"/>
      <c r="G559" s="285" t="str">
        <f>IFERROR(__xludf.DUMMYFUNCTION("""COMPUTED_VALUE"""),"FORRO FINCAPINO CARVALHO EUROPEU URBAN GREY 15/3 X 125 X 1200MM")</f>
        <v>FORRO FINCAPINO CARVALHO EUROPEU URBAN GREY 15/3 X 125 X 1200MM</v>
      </c>
      <c r="H559" s="283" t="s">
        <v>659</v>
      </c>
      <c r="I559" s="271" t="str">
        <f t="shared" si="4"/>
        <v/>
      </c>
      <c r="J559" s="284"/>
      <c r="K559" s="305" t="s">
        <v>2227</v>
      </c>
      <c r="L559" s="285" t="s">
        <v>660</v>
      </c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6"/>
      <c r="Z559" s="286"/>
      <c r="AA559" s="286"/>
    </row>
    <row r="560">
      <c r="A560" s="271"/>
      <c r="B560" s="271"/>
      <c r="C560" s="285"/>
      <c r="D560" s="285"/>
      <c r="E560" s="285"/>
      <c r="F560" s="326"/>
      <c r="G560" s="285" t="str">
        <f>IFERROR(__xludf.DUMMYFUNCTION("""COMPUTED_VALUE"""),"FORRO FINCAPINO CARVALHO EUROPEU URBAN GREY 15/3 X 190 X 1900MM")</f>
        <v>FORRO FINCAPINO CARVALHO EUROPEU URBAN GREY 15/3 X 190 X 1900MM</v>
      </c>
      <c r="H560" s="283" t="s">
        <v>660</v>
      </c>
      <c r="I560" s="271" t="str">
        <f t="shared" si="4"/>
        <v/>
      </c>
      <c r="J560" s="284"/>
      <c r="K560" s="305" t="s">
        <v>2228</v>
      </c>
      <c r="L560" s="285" t="s">
        <v>661</v>
      </c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6"/>
      <c r="Z560" s="286"/>
      <c r="AA560" s="286"/>
    </row>
    <row r="561">
      <c r="A561" s="271"/>
      <c r="B561" s="271"/>
      <c r="C561" s="285"/>
      <c r="D561" s="285"/>
      <c r="E561" s="285"/>
      <c r="F561" s="326"/>
      <c r="G561" s="285" t="str">
        <f>IFERROR(__xludf.DUMMYFUNCTION("""COMPUTED_VALUE"""),"FORRO FINCAPINO CARVALHO EUROPEU URBAN GREY 20/6 X 300 X 4000MM")</f>
        <v>FORRO FINCAPINO CARVALHO EUROPEU URBAN GREY 20/6 X 300 X 4000MM</v>
      </c>
      <c r="H561" s="283" t="s">
        <v>661</v>
      </c>
      <c r="I561" s="271" t="str">
        <f t="shared" si="4"/>
        <v/>
      </c>
      <c r="J561" s="284"/>
      <c r="K561" s="305" t="s">
        <v>2229</v>
      </c>
      <c r="L561" s="285" t="s">
        <v>662</v>
      </c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6"/>
      <c r="Z561" s="286"/>
      <c r="AA561" s="286"/>
    </row>
    <row r="562">
      <c r="A562" s="271"/>
      <c r="B562" s="271"/>
      <c r="C562" s="285"/>
      <c r="D562" s="285"/>
      <c r="E562" s="285"/>
      <c r="F562" s="326"/>
      <c r="G562" s="285" t="str">
        <f>IFERROR(__xludf.DUMMYFUNCTION("""COMPUTED_VALUE"""),"FORRO FINCAPINO CARVALHO EUROPEU URBAN GREY 20/6 X 400 X 5000MM")</f>
        <v>FORRO FINCAPINO CARVALHO EUROPEU URBAN GREY 20/6 X 400 X 5000MM</v>
      </c>
      <c r="H562" s="283" t="s">
        <v>662</v>
      </c>
      <c r="I562" s="271" t="str">
        <f t="shared" si="4"/>
        <v/>
      </c>
      <c r="J562" s="284"/>
      <c r="K562" s="305" t="s">
        <v>2230</v>
      </c>
      <c r="L562" s="285" t="s">
        <v>663</v>
      </c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6"/>
      <c r="Z562" s="286"/>
      <c r="AA562" s="286"/>
    </row>
    <row r="563">
      <c r="A563" s="271"/>
      <c r="B563" s="271"/>
      <c r="C563" s="285"/>
      <c r="D563" s="285"/>
      <c r="E563" s="285"/>
      <c r="F563" s="326"/>
      <c r="G563" s="285" t="str">
        <f>IFERROR(__xludf.DUMMYFUNCTION("""COMPUTED_VALUE"""),"FORRO FINCAPINO CARVALHO EUROPEU CARAMEL CHEVRON 15/3 X 1900X 740MM")</f>
        <v>FORRO FINCAPINO CARVALHO EUROPEU CARAMEL CHEVRON 15/3 X 1900X 740MM</v>
      </c>
      <c r="H563" s="283" t="s">
        <v>663</v>
      </c>
      <c r="I563" s="271" t="str">
        <f t="shared" si="4"/>
        <v/>
      </c>
      <c r="J563" s="284"/>
      <c r="K563" s="305" t="s">
        <v>2231</v>
      </c>
      <c r="L563" s="285" t="s">
        <v>664</v>
      </c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6"/>
      <c r="Z563" s="286"/>
      <c r="AA563" s="286"/>
    </row>
    <row r="564">
      <c r="A564" s="271"/>
      <c r="B564" s="271"/>
      <c r="C564" s="285"/>
      <c r="D564" s="285"/>
      <c r="E564" s="285"/>
      <c r="F564" s="326"/>
      <c r="G564" s="285" t="str">
        <f>IFERROR(__xludf.DUMMYFUNCTION("""COMPUTED_VALUE"""),"FORRO FINCAPINO CARVALHO EUROPEU CARAMEL 15/3 X 125 X 1200MM")</f>
        <v>FORRO FINCAPINO CARVALHO EUROPEU CARAMEL 15/3 X 125 X 1200MM</v>
      </c>
      <c r="H564" s="283" t="s">
        <v>664</v>
      </c>
      <c r="I564" s="271" t="str">
        <f t="shared" si="4"/>
        <v/>
      </c>
      <c r="J564" s="284"/>
      <c r="K564" s="305" t="s">
        <v>2232</v>
      </c>
      <c r="L564" s="285" t="s">
        <v>665</v>
      </c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6"/>
      <c r="Z564" s="286"/>
      <c r="AA564" s="286"/>
    </row>
    <row r="565">
      <c r="A565" s="271"/>
      <c r="B565" s="271"/>
      <c r="C565" s="285"/>
      <c r="D565" s="285"/>
      <c r="E565" s="285"/>
      <c r="F565" s="326"/>
      <c r="G565" s="285" t="str">
        <f>IFERROR(__xludf.DUMMYFUNCTION("""COMPUTED_VALUE"""),"FORRO FINCAPINO CARVALHO EUROPEU CARAMEL 15/3 X 190 X 1900MM")</f>
        <v>FORRO FINCAPINO CARVALHO EUROPEU CARAMEL 15/3 X 190 X 1900MM</v>
      </c>
      <c r="H565" s="283" t="s">
        <v>665</v>
      </c>
      <c r="I565" s="271" t="str">
        <f t="shared" si="4"/>
        <v/>
      </c>
      <c r="J565" s="284"/>
      <c r="K565" s="305" t="s">
        <v>2233</v>
      </c>
      <c r="L565" s="285" t="s">
        <v>666</v>
      </c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6"/>
      <c r="Z565" s="286"/>
      <c r="AA565" s="286"/>
    </row>
    <row r="566">
      <c r="A566" s="271"/>
      <c r="B566" s="271"/>
      <c r="C566" s="285"/>
      <c r="D566" s="285"/>
      <c r="E566" s="285"/>
      <c r="F566" s="326"/>
      <c r="G566" s="285" t="str">
        <f>IFERROR(__xludf.DUMMYFUNCTION("""COMPUTED_VALUE"""),"FORRO FINCAPINO CARVALHO EUROPEU CARAMEL 20/6 X 300 X 4000MM")</f>
        <v>FORRO FINCAPINO CARVALHO EUROPEU CARAMEL 20/6 X 300 X 4000MM</v>
      </c>
      <c r="H566" s="283" t="s">
        <v>666</v>
      </c>
      <c r="I566" s="271" t="str">
        <f t="shared" si="4"/>
        <v/>
      </c>
      <c r="J566" s="284"/>
      <c r="K566" s="305" t="s">
        <v>2234</v>
      </c>
      <c r="L566" s="285" t="s">
        <v>667</v>
      </c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6"/>
      <c r="Z566" s="286"/>
      <c r="AA566" s="286"/>
    </row>
    <row r="567">
      <c r="A567" s="271"/>
      <c r="B567" s="271"/>
      <c r="C567" s="285"/>
      <c r="D567" s="285"/>
      <c r="E567" s="285"/>
      <c r="F567" s="326"/>
      <c r="G567" s="285" t="str">
        <f>IFERROR(__xludf.DUMMYFUNCTION("""COMPUTED_VALUE"""),"FORRO FINCAPINO CARVALHO EUROPEU CARAMEL 20/6 X 400 X 5000MM")</f>
        <v>FORRO FINCAPINO CARVALHO EUROPEU CARAMEL 20/6 X 400 X 5000MM</v>
      </c>
      <c r="H567" s="283" t="s">
        <v>667</v>
      </c>
      <c r="I567" s="271" t="str">
        <f t="shared" si="4"/>
        <v/>
      </c>
      <c r="J567" s="284"/>
      <c r="K567" s="305" t="s">
        <v>2235</v>
      </c>
      <c r="L567" s="285" t="s">
        <v>668</v>
      </c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6"/>
      <c r="Z567" s="286"/>
      <c r="AA567" s="286"/>
    </row>
    <row r="568">
      <c r="A568" s="271"/>
      <c r="B568" s="271"/>
      <c r="C568" s="285"/>
      <c r="D568" s="285"/>
      <c r="E568" s="285"/>
      <c r="F568" s="326"/>
      <c r="G568" s="285" t="str">
        <f>IFERROR(__xludf.DUMMYFUNCTION("""COMPUTED_VALUE"""),"FORRO FINCAPINO CARVALHO EUROPEU CHEMICAL CHEVRON TG 15/3*190*740MM")</f>
        <v>FORRO FINCAPINO CARVALHO EUROPEU CHEMICAL CHEVRON TG 15/3*190*740MM</v>
      </c>
      <c r="H568" s="283" t="s">
        <v>668</v>
      </c>
      <c r="I568" s="271" t="str">
        <f t="shared" si="4"/>
        <v/>
      </c>
      <c r="J568" s="284"/>
      <c r="K568" s="305" t="s">
        <v>2236</v>
      </c>
      <c r="L568" s="285" t="s">
        <v>669</v>
      </c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6"/>
      <c r="Z568" s="286"/>
      <c r="AA568" s="286"/>
    </row>
    <row r="569">
      <c r="A569" s="271"/>
      <c r="B569" s="271"/>
      <c r="C569" s="285"/>
      <c r="D569" s="285"/>
      <c r="E569" s="285"/>
      <c r="F569" s="326"/>
      <c r="G569" s="285" t="str">
        <f>IFERROR(__xludf.DUMMYFUNCTION("""COMPUTED_VALUE"""),"FORRO FINCAPINO CARVALHO EUROPEU WHITE RUSTIC 15/4*189*1860MM")</f>
        <v>FORRO FINCAPINO CARVALHO EUROPEU WHITE RUSTIC 15/4*189*1860MM</v>
      </c>
      <c r="H569" s="283" t="s">
        <v>669</v>
      </c>
      <c r="I569" s="271" t="str">
        <f t="shared" si="4"/>
        <v/>
      </c>
      <c r="J569" s="284"/>
      <c r="K569" s="305" t="s">
        <v>2237</v>
      </c>
      <c r="L569" s="285" t="s">
        <v>670</v>
      </c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6"/>
      <c r="Z569" s="286"/>
      <c r="AA569" s="286"/>
    </row>
    <row r="570">
      <c r="A570" s="271"/>
      <c r="B570" s="271"/>
      <c r="C570" s="285"/>
      <c r="D570" s="285"/>
      <c r="E570" s="285"/>
      <c r="F570" s="326"/>
      <c r="G570" s="285" t="str">
        <f>IFERROR(__xludf.DUMMYFUNCTION("""COMPUTED_VALUE"""),"FORRO FINCAPINO CARVALHO EUROPEU CUSTOMIZADO 14/3 X 12,7 X 186CM")</f>
        <v>FORRO FINCAPINO CARVALHO EUROPEU CUSTOMIZADO 14/3 X 12,7 X 186CM</v>
      </c>
      <c r="H570" s="283" t="s">
        <v>670</v>
      </c>
      <c r="I570" s="271" t="str">
        <f t="shared" si="4"/>
        <v/>
      </c>
      <c r="J570" s="284"/>
      <c r="K570" s="305" t="s">
        <v>2238</v>
      </c>
      <c r="L570" s="285" t="s">
        <v>671</v>
      </c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6"/>
      <c r="Z570" s="286"/>
      <c r="AA570" s="286"/>
    </row>
    <row r="571">
      <c r="A571" s="271"/>
      <c r="B571" s="271"/>
      <c r="C571" s="285"/>
      <c r="D571" s="285"/>
      <c r="E571" s="285"/>
      <c r="F571" s="326"/>
      <c r="G571" s="285" t="str">
        <f>IFERROR(__xludf.DUMMYFUNCTION("""COMPUTED_VALUE"""),"FORRO FINCAPINO CARVALHO EUROPEU CUSTOMIZADO 2.0 X 19 X 190CM (C2)")</f>
        <v>FORRO FINCAPINO CARVALHO EUROPEU CUSTOMIZADO 2.0 X 19 X 190CM (C2)</v>
      </c>
      <c r="H571" s="283" t="s">
        <v>671</v>
      </c>
      <c r="I571" s="271" t="str">
        <f t="shared" si="4"/>
        <v/>
      </c>
      <c r="J571" s="284"/>
      <c r="K571" s="305" t="s">
        <v>2239</v>
      </c>
      <c r="L571" s="285" t="s">
        <v>672</v>
      </c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6"/>
      <c r="Z571" s="286"/>
      <c r="AA571" s="286"/>
    </row>
    <row r="572">
      <c r="A572" s="271"/>
      <c r="B572" s="271"/>
      <c r="C572" s="285"/>
      <c r="D572" s="285"/>
      <c r="E572" s="285"/>
      <c r="F572" s="326"/>
      <c r="G572" s="285" t="str">
        <f>IFERROR(__xludf.DUMMYFUNCTION("""COMPUTED_VALUE"""),"FORRO FINCAPINO CARVALHO EUROPEU NATURAL CHEVRON TG 1.5/3 X 9X 51CM")</f>
        <v>FORRO FINCAPINO CARVALHO EUROPEU NATURAL CHEVRON TG 1.5/3 X 9X 51CM</v>
      </c>
      <c r="H572" s="283" t="s">
        <v>672</v>
      </c>
      <c r="I572" s="271" t="str">
        <f t="shared" si="4"/>
        <v/>
      </c>
      <c r="J572" s="284"/>
      <c r="K572" s="305" t="s">
        <v>2240</v>
      </c>
      <c r="L572" s="285" t="s">
        <v>673</v>
      </c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6"/>
      <c r="Z572" s="286"/>
      <c r="AA572" s="286"/>
    </row>
    <row r="573">
      <c r="A573" s="271"/>
      <c r="B573" s="271"/>
      <c r="C573" s="285"/>
      <c r="D573" s="285"/>
      <c r="E573" s="285"/>
      <c r="F573" s="326"/>
      <c r="G573" s="285" t="str">
        <f>IFERROR(__xludf.DUMMYFUNCTION("""COMPUTED_VALUE"""),"FORRO FINCAPINO CARVALHO EUROPEU NATURAL CHEVRON TG 1.5/3 X 9X 51CM")</f>
        <v>FORRO FINCAPINO CARVALHO EUROPEU NATURAL CHEVRON TG 1.5/3 X 9X 51CM</v>
      </c>
      <c r="H573" s="283" t="s">
        <v>673</v>
      </c>
      <c r="I573" s="271" t="str">
        <f t="shared" si="4"/>
        <v/>
      </c>
      <c r="J573" s="284"/>
      <c r="K573" s="305" t="s">
        <v>2241</v>
      </c>
      <c r="L573" s="285" t="s">
        <v>673</v>
      </c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6"/>
      <c r="Z573" s="286"/>
      <c r="AA573" s="286"/>
    </row>
    <row r="574">
      <c r="A574" s="271"/>
      <c r="B574" s="271"/>
      <c r="C574" s="285"/>
      <c r="D574" s="285"/>
      <c r="E574" s="285"/>
      <c r="F574" s="326"/>
      <c r="G574" s="285" t="str">
        <f>IFERROR(__xludf.DUMMYFUNCTION("""COMPUTED_VALUE"""),"FORRO FINCAPINO CARVALHO EUROPEU NUDE CHEVRON 60.. TG 15/3 X 190 X 90CM")</f>
        <v>FORRO FINCAPINO CARVALHO EUROPEU NUDE CHEVRON 60.. TG 15/3 X 190 X 90CM</v>
      </c>
      <c r="H574" s="283" t="s">
        <v>673</v>
      </c>
      <c r="I574" s="271" t="str">
        <f t="shared" si="4"/>
        <v/>
      </c>
      <c r="J574" s="284"/>
      <c r="K574" s="305" t="s">
        <v>2242</v>
      </c>
      <c r="L574" s="285" t="s">
        <v>675</v>
      </c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6"/>
      <c r="Z574" s="286"/>
      <c r="AA574" s="286"/>
    </row>
    <row r="575">
      <c r="A575" s="271"/>
      <c r="B575" s="271"/>
      <c r="C575" s="285"/>
      <c r="D575" s="285"/>
      <c r="E575" s="285"/>
      <c r="F575" s="326"/>
      <c r="G575" s="285" t="str">
        <f>IFERROR(__xludf.DUMMYFUNCTION("""COMPUTED_VALUE"""),"FORRO FINCAPINO CARVALHO EUROPEU NUDE CHEVRON TG 1.5/3X 12.5X 63CM")</f>
        <v>FORRO FINCAPINO CARVALHO EUROPEU NUDE CHEVRON TG 1.5/3X 12.5X 63CM</v>
      </c>
      <c r="H575" s="283" t="s">
        <v>675</v>
      </c>
      <c r="I575" s="271" t="str">
        <f t="shared" si="4"/>
        <v/>
      </c>
      <c r="J575" s="284"/>
      <c r="K575" s="305" t="s">
        <v>2243</v>
      </c>
      <c r="L575" s="285" t="s">
        <v>676</v>
      </c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6"/>
      <c r="Z575" s="286"/>
      <c r="AA575" s="286"/>
    </row>
    <row r="576">
      <c r="A576" s="271"/>
      <c r="B576" s="271"/>
      <c r="C576" s="285"/>
      <c r="D576" s="285"/>
      <c r="E576" s="285"/>
      <c r="F576" s="326"/>
      <c r="G576" s="285" t="str">
        <f>IFERROR(__xludf.DUMMYFUNCTION("""COMPUTED_VALUE"""),"FORRO FINCAPINO WALNUT 15/3 X 125 X 910MM")</f>
        <v>FORRO FINCAPINO WALNUT 15/3 X 125 X 910MM</v>
      </c>
      <c r="H576" s="283" t="s">
        <v>676</v>
      </c>
      <c r="I576" s="271" t="str">
        <f t="shared" si="4"/>
        <v/>
      </c>
      <c r="J576" s="284"/>
      <c r="K576" s="305" t="s">
        <v>2244</v>
      </c>
      <c r="L576" s="285" t="s">
        <v>677</v>
      </c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6"/>
      <c r="Z576" s="286"/>
      <c r="AA576" s="286"/>
    </row>
    <row r="577">
      <c r="A577" s="271"/>
      <c r="B577" s="271"/>
      <c r="C577" s="285"/>
      <c r="D577" s="285"/>
      <c r="E577" s="285"/>
      <c r="F577" s="326"/>
      <c r="G577" s="285" t="str">
        <f>IFERROR(__xludf.DUMMYFUNCTION("""COMPUTED_VALUE"""),"FORRO FINCAPINO WALNUT 15/3 X 190 X 1900MM")</f>
        <v>FORRO FINCAPINO WALNUT 15/3 X 190 X 1900MM</v>
      </c>
      <c r="H577" s="283" t="s">
        <v>677</v>
      </c>
      <c r="I577" s="271" t="str">
        <f t="shared" si="4"/>
        <v/>
      </c>
      <c r="J577" s="284"/>
      <c r="K577" s="305" t="s">
        <v>2245</v>
      </c>
      <c r="L577" s="285" t="s">
        <v>678</v>
      </c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6"/>
      <c r="Z577" s="286"/>
      <c r="AA577" s="286"/>
    </row>
    <row r="578">
      <c r="A578" s="271"/>
      <c r="B578" s="271"/>
      <c r="C578" s="285"/>
      <c r="D578" s="285"/>
      <c r="E578" s="285"/>
      <c r="F578" s="326"/>
      <c r="G578" s="285" t="str">
        <f>IFERROR(__xludf.DUMMYFUNCTION("""COMPUTED_VALUE"""),"FORRO FINCAPINO WALNUT 20/2 X 300 X 4000MM")</f>
        <v>FORRO FINCAPINO WALNUT 20/2 X 300 X 4000MM</v>
      </c>
      <c r="H578" s="283" t="s">
        <v>678</v>
      </c>
      <c r="I578" s="271" t="str">
        <f t="shared" si="4"/>
        <v/>
      </c>
      <c r="J578" s="284"/>
      <c r="K578" s="305" t="s">
        <v>2246</v>
      </c>
      <c r="L578" s="285" t="s">
        <v>679</v>
      </c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6"/>
      <c r="Z578" s="286"/>
      <c r="AA578" s="286"/>
    </row>
    <row r="579">
      <c r="A579" s="271"/>
      <c r="B579" s="271"/>
      <c r="C579" s="285"/>
      <c r="D579" s="285"/>
      <c r="E579" s="285"/>
      <c r="F579" s="326"/>
      <c r="G579" s="285" t="str">
        <f>IFERROR(__xludf.DUMMYFUNCTION("""COMPUTED_VALUE"""),"FORRO FINCAPINO BAMBU ALTA DENS. CUST PREMIUM TG 1.5/4 X19X185CM")</f>
        <v>FORRO FINCAPINO BAMBU ALTA DENS. CUST PREMIUM TG 1.5/4 X19X185CM</v>
      </c>
      <c r="H579" s="283" t="s">
        <v>679</v>
      </c>
      <c r="I579" s="271" t="str">
        <f t="shared" si="4"/>
        <v/>
      </c>
      <c r="J579" s="284"/>
      <c r="K579" s="305" t="s">
        <v>2247</v>
      </c>
      <c r="L579" s="285" t="s">
        <v>680</v>
      </c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6"/>
      <c r="Z579" s="286"/>
      <c r="AA579" s="286"/>
    </row>
    <row r="580">
      <c r="A580" s="271"/>
      <c r="B580" s="271"/>
      <c r="C580" s="285"/>
      <c r="D580" s="285"/>
      <c r="E580" s="285"/>
      <c r="F580" s="326"/>
      <c r="G580" s="285" t="str">
        <f>IFERROR(__xludf.DUMMYFUNCTION("""COMPUTED_VALUE"""),"FORRO FINCAPINO BAMBU CARAMEL ALTA DENSIDADE TG 1.5/4 X19X186CM")</f>
        <v>FORRO FINCAPINO BAMBU CARAMEL ALTA DENSIDADE TG 1.5/4 X19X186CM</v>
      </c>
      <c r="H580" s="283" t="s">
        <v>680</v>
      </c>
      <c r="I580" s="271" t="str">
        <f t="shared" si="4"/>
        <v/>
      </c>
      <c r="J580" s="284"/>
      <c r="K580" s="305" t="s">
        <v>2248</v>
      </c>
      <c r="L580" s="285" t="s">
        <v>681</v>
      </c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6"/>
      <c r="Z580" s="286"/>
      <c r="AA580" s="286"/>
    </row>
    <row r="581">
      <c r="A581" s="271"/>
      <c r="B581" s="271"/>
      <c r="C581" s="285"/>
      <c r="D581" s="285"/>
      <c r="E581" s="285"/>
      <c r="F581" s="326"/>
      <c r="G581" s="285" t="str">
        <f>IFERROR(__xludf.DUMMYFUNCTION("""COMPUTED_VALUE"""),"FORRO FINCAPINO RIPADO CUMARU PREMIUM TG 1,8 X 3,5+0,5CM PROF. BIT 0")</f>
        <v>FORRO FINCAPINO RIPADO CUMARU PREMIUM TG 1,8 X 3,5+0,5CM PROF. BIT 0</v>
      </c>
      <c r="H581" s="283" t="s">
        <v>681</v>
      </c>
      <c r="I581" s="271" t="str">
        <f t="shared" si="4"/>
        <v/>
      </c>
      <c r="J581" s="284"/>
      <c r="K581" s="305" t="s">
        <v>2249</v>
      </c>
      <c r="L581" s="285" t="s">
        <v>689</v>
      </c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6"/>
      <c r="Z581" s="286"/>
      <c r="AA581" s="286"/>
    </row>
    <row r="582">
      <c r="A582" s="271"/>
      <c r="B582" s="271"/>
      <c r="C582" s="285"/>
      <c r="D582" s="285"/>
      <c r="E582" s="285"/>
      <c r="F582" s="326"/>
      <c r="G582" s="285" t="str">
        <f>IFERROR(__xludf.DUMMYFUNCTION("""COMPUTED_VALUE"""),"FORRO FINCAPINO RIPADO CATUABA PREMIUM TG 1,8 X 3,5+0,5CM PROF. BIT 0")</f>
        <v>FORRO FINCAPINO RIPADO CATUABA PREMIUM TG 1,8 X 3,5+0,5CM PROF. BIT 0</v>
      </c>
      <c r="I582" s="271" t="str">
        <f t="shared" si="4"/>
        <v/>
      </c>
      <c r="J582" s="284"/>
      <c r="K582" s="305" t="s">
        <v>2250</v>
      </c>
      <c r="L582" s="285" t="s">
        <v>690</v>
      </c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6"/>
      <c r="Z582" s="286"/>
      <c r="AA582" s="286"/>
    </row>
    <row r="583">
      <c r="A583" s="271"/>
      <c r="B583" s="271"/>
      <c r="C583" s="285"/>
      <c r="D583" s="285"/>
      <c r="E583" s="285"/>
      <c r="F583" s="326"/>
      <c r="G583" s="285" t="str">
        <f>IFERROR(__xludf.DUMMYFUNCTION("""COMPUTED_VALUE"""),"FORRO FINCAPINO RIPADO CABREUVA BRANCA PREMIUM TG 1,8 X 3,5+0,5CM PROF. BIT 0")</f>
        <v>FORRO FINCAPINO RIPADO CABREUVA BRANCA PREMIUM TG 1,8 X 3,5+0,5CM PROF. BIT 0</v>
      </c>
      <c r="I583" s="271" t="str">
        <f t="shared" si="4"/>
        <v/>
      </c>
      <c r="J583" s="284"/>
      <c r="K583" s="305" t="s">
        <v>2251</v>
      </c>
      <c r="L583" s="285" t="s">
        <v>691</v>
      </c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6"/>
      <c r="Z583" s="286"/>
      <c r="AA583" s="286"/>
    </row>
    <row r="584">
      <c r="A584" s="271"/>
      <c r="B584" s="271"/>
      <c r="C584" s="285"/>
      <c r="D584" s="285"/>
      <c r="E584" s="285"/>
      <c r="F584" s="326"/>
      <c r="G584" s="285" t="str">
        <f>IFERROR(__xludf.DUMMYFUNCTION("""COMPUTED_VALUE"""),"FORRO FINCAPINO RIPADO CABREUVA DOURADA PREMIUM TG 1,8 X 3,5+0,5CM PROF. BIT 0")</f>
        <v>FORRO FINCAPINO RIPADO CABREUVA DOURADA PREMIUM TG 1,8 X 3,5+0,5CM PROF. BIT 0</v>
      </c>
      <c r="I584" s="271" t="str">
        <f t="shared" si="4"/>
        <v/>
      </c>
      <c r="J584" s="284"/>
      <c r="K584" s="305" t="s">
        <v>2252</v>
      </c>
      <c r="L584" s="285" t="s">
        <v>692</v>
      </c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6"/>
      <c r="Z584" s="286"/>
      <c r="AA584" s="286"/>
    </row>
    <row r="585">
      <c r="A585" s="271"/>
      <c r="B585" s="271"/>
      <c r="C585" s="285"/>
      <c r="D585" s="285"/>
      <c r="E585" s="285"/>
      <c r="F585" s="326"/>
      <c r="G585" s="285" t="str">
        <f>IFERROR(__xludf.DUMMYFUNCTION("""COMPUTED_VALUE"""),"FORRO FINCAPINO RIPADO TAUARI PREMIUM TG 1,8 X 3,5+0,5CM PROF. BIT 0")</f>
        <v>FORRO FINCAPINO RIPADO TAUARI PREMIUM TG 1,8 X 3,5+0,5CM PROF. BIT 0</v>
      </c>
      <c r="I585" s="271" t="str">
        <f t="shared" si="4"/>
        <v/>
      </c>
      <c r="J585" s="284"/>
      <c r="K585" s="305" t="s">
        <v>2253</v>
      </c>
      <c r="L585" s="285" t="s">
        <v>693</v>
      </c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6"/>
      <c r="Z585" s="286"/>
      <c r="AA585" s="286"/>
    </row>
    <row r="586">
      <c r="A586" s="271"/>
      <c r="B586" s="271"/>
      <c r="C586" s="285"/>
      <c r="D586" s="285"/>
      <c r="E586" s="285"/>
      <c r="F586" s="326"/>
      <c r="G586" s="285" t="str">
        <f>IFERROR(__xludf.DUMMYFUNCTION("""COMPUTED_VALUE"""),"FORRO FINCAPINO RIPADO PEROBA PREMIUM TG 1,8 X 3,5+0,5CM PROF. BIT 0")</f>
        <v>FORRO FINCAPINO RIPADO PEROBA PREMIUM TG 1,8 X 3,5+0,5CM PROF. BIT 0</v>
      </c>
      <c r="I586" s="271" t="str">
        <f t="shared" si="4"/>
        <v/>
      </c>
      <c r="J586" s="284"/>
      <c r="K586" s="305" t="s">
        <v>2254</v>
      </c>
      <c r="L586" s="285" t="s">
        <v>694</v>
      </c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6"/>
      <c r="Z586" s="286"/>
      <c r="AA586" s="286"/>
    </row>
    <row r="587">
      <c r="A587" s="271"/>
      <c r="B587" s="271"/>
      <c r="C587" s="285"/>
      <c r="D587" s="285"/>
      <c r="E587" s="285"/>
      <c r="F587" s="326"/>
      <c r="G587" s="285" t="str">
        <f>IFERROR(__xludf.DUMMYFUNCTION("""COMPUTED_VALUE"""),"FORRO FINCAPINO RIPADO LORO PARDO PREMIUM TG 1,8 X 3,5+0,5CM PROF. BIT 0")</f>
        <v>FORRO FINCAPINO RIPADO LORO PARDO PREMIUM TG 1,8 X 3,5+0,5CM PROF. BIT 0</v>
      </c>
      <c r="I587" s="271" t="str">
        <f t="shared" si="4"/>
        <v/>
      </c>
      <c r="J587" s="284"/>
      <c r="K587" s="305" t="s">
        <v>2255</v>
      </c>
      <c r="L587" s="285" t="s">
        <v>695</v>
      </c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6"/>
      <c r="Z587" s="286"/>
      <c r="AA587" s="286"/>
    </row>
    <row r="588">
      <c r="A588" s="271"/>
      <c r="B588" s="271"/>
      <c r="C588" s="285"/>
      <c r="D588" s="285"/>
      <c r="E588" s="285"/>
      <c r="F588" s="326"/>
      <c r="G588" s="285" t="str">
        <f>IFERROR(__xludf.DUMMYFUNCTION("""COMPUTED_VALUE"""),"FORRO FINCAPINO CUMARU MULTI PREMIUM 19 X 190 X 600 A 2200MM")</f>
        <v>FORRO FINCAPINO CUMARU MULTI PREMIUM 19 X 190 X 600 A 2200MM</v>
      </c>
      <c r="I588" s="271" t="str">
        <f t="shared" si="4"/>
        <v/>
      </c>
      <c r="J588" s="284"/>
      <c r="K588" s="305" t="s">
        <v>2256</v>
      </c>
      <c r="L588" s="285" t="s">
        <v>726</v>
      </c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6"/>
      <c r="Z588" s="286"/>
      <c r="AA588" s="286"/>
    </row>
    <row r="589">
      <c r="A589" s="271"/>
      <c r="B589" s="271"/>
      <c r="C589" s="285"/>
      <c r="D589" s="285"/>
      <c r="E589" s="285"/>
      <c r="F589" s="326"/>
      <c r="G589" s="285" t="str">
        <f>IFERROR(__xludf.DUMMYFUNCTION("""COMPUTED_VALUE"""),"FORRO FINCAPINO CATUABA MULTI PREMIUM 19 X 190 X 600 A 2200MM")</f>
        <v>FORRO FINCAPINO CATUABA MULTI PREMIUM 19 X 190 X 600 A 2200MM</v>
      </c>
      <c r="H589" s="283" t="s">
        <v>689</v>
      </c>
      <c r="I589" s="271" t="str">
        <f t="shared" si="4"/>
        <v/>
      </c>
      <c r="J589" s="284"/>
      <c r="K589" s="305" t="s">
        <v>2257</v>
      </c>
      <c r="L589" s="285" t="s">
        <v>727</v>
      </c>
      <c r="M589" s="273" t="s">
        <v>2258</v>
      </c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6"/>
      <c r="Z589" s="286"/>
      <c r="AA589" s="286"/>
    </row>
    <row r="590">
      <c r="A590" s="271"/>
      <c r="B590" s="271"/>
      <c r="C590" s="285"/>
      <c r="D590" s="285"/>
      <c r="E590" s="285"/>
      <c r="F590" s="326"/>
      <c r="G590" s="285" t="str">
        <f>IFERROR(__xludf.DUMMYFUNCTION("""COMPUTED_VALUE"""),"FORRO FINCAPINO CABREUVA BRACA MULTI PREMIUM 19 X 190 X 600 A 2200MM")</f>
        <v>FORRO FINCAPINO CABREUVA BRACA MULTI PREMIUM 19 X 190 X 600 A 2200MM</v>
      </c>
      <c r="H590" s="283" t="s">
        <v>690</v>
      </c>
      <c r="I590" s="271" t="str">
        <f t="shared" si="4"/>
        <v/>
      </c>
      <c r="J590" s="284"/>
      <c r="K590" s="305" t="s">
        <v>2259</v>
      </c>
      <c r="L590" s="285" t="s">
        <v>728</v>
      </c>
      <c r="M590" s="273" t="s">
        <v>2260</v>
      </c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6"/>
      <c r="Z590" s="286"/>
      <c r="AA590" s="286"/>
    </row>
    <row r="591">
      <c r="A591" s="271"/>
      <c r="B591" s="271"/>
      <c r="C591" s="285"/>
      <c r="D591" s="285"/>
      <c r="E591" s="285"/>
      <c r="F591" s="326"/>
      <c r="G591" s="285" t="str">
        <f>IFERROR(__xludf.DUMMYFUNCTION("""COMPUTED_VALUE"""),"FORRO FINCAPINO CABREUVA DOURADA MULTI PREMIUM 19 X 190 X 600 A 2200MM")</f>
        <v>FORRO FINCAPINO CABREUVA DOURADA MULTI PREMIUM 19 X 190 X 600 A 2200MM</v>
      </c>
      <c r="H591" s="283" t="s">
        <v>691</v>
      </c>
      <c r="I591" s="271" t="str">
        <f t="shared" si="4"/>
        <v/>
      </c>
      <c r="J591" s="284"/>
      <c r="K591" s="305" t="s">
        <v>2261</v>
      </c>
      <c r="L591" s="285" t="s">
        <v>729</v>
      </c>
      <c r="M591" s="273" t="s">
        <v>2262</v>
      </c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6"/>
      <c r="Z591" s="286"/>
      <c r="AA591" s="286"/>
    </row>
    <row r="592">
      <c r="A592" s="271"/>
      <c r="B592" s="271"/>
      <c r="C592" s="285"/>
      <c r="D592" s="285"/>
      <c r="E592" s="285"/>
      <c r="F592" s="326"/>
      <c r="G592" s="285" t="str">
        <f>IFERROR(__xludf.DUMMYFUNCTION("""COMPUTED_VALUE"""),"FORRO FINCAPINO TAUARI MULTI PREMIUM 19 X 190 X 600 A 2200MM")</f>
        <v>FORRO FINCAPINO TAUARI MULTI PREMIUM 19 X 190 X 600 A 2200MM</v>
      </c>
      <c r="H592" s="283" t="s">
        <v>692</v>
      </c>
      <c r="I592" s="271" t="str">
        <f t="shared" si="4"/>
        <v/>
      </c>
      <c r="J592" s="284"/>
      <c r="K592" s="305" t="s">
        <v>2263</v>
      </c>
      <c r="L592" s="285" t="s">
        <v>730</v>
      </c>
      <c r="M592" s="273" t="s">
        <v>2264</v>
      </c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6"/>
      <c r="Z592" s="286"/>
      <c r="AA592" s="286"/>
    </row>
    <row r="593">
      <c r="A593" s="271"/>
      <c r="B593" s="271"/>
      <c r="C593" s="285"/>
      <c r="D593" s="285"/>
      <c r="E593" s="285"/>
      <c r="F593" s="326"/>
      <c r="G593" s="285" t="str">
        <f>IFERROR(__xludf.DUMMYFUNCTION("""COMPUTED_VALUE"""),"FORRO FINCAPINO PEROBA MULTI PREMIUM 19 X 190 X 600 A 2200MM")</f>
        <v>FORRO FINCAPINO PEROBA MULTI PREMIUM 19 X 190 X 600 A 2200MM</v>
      </c>
      <c r="H593" s="283" t="s">
        <v>693</v>
      </c>
      <c r="I593" s="271" t="str">
        <f t="shared" si="4"/>
        <v/>
      </c>
      <c r="J593" s="284"/>
      <c r="K593" s="305" t="s">
        <v>2265</v>
      </c>
      <c r="L593" s="285" t="s">
        <v>731</v>
      </c>
      <c r="M593" s="273" t="s">
        <v>2266</v>
      </c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6"/>
      <c r="Z593" s="286"/>
      <c r="AA593" s="286"/>
    </row>
    <row r="594">
      <c r="A594" s="271"/>
      <c r="B594" s="271"/>
      <c r="C594" s="285"/>
      <c r="D594" s="285"/>
      <c r="E594" s="285"/>
      <c r="F594" s="326"/>
      <c r="G594" s="285" t="str">
        <f>IFERROR(__xludf.DUMMYFUNCTION("""COMPUTED_VALUE"""),"FORRO FINCAPINO LORO PARDO MULTI PREMIUM 19 X 190 X 600 A 2200MM")</f>
        <v>FORRO FINCAPINO LORO PARDO MULTI PREMIUM 19 X 190 X 600 A 2200MM</v>
      </c>
      <c r="H594" s="283" t="s">
        <v>694</v>
      </c>
      <c r="I594" s="271" t="str">
        <f t="shared" si="4"/>
        <v/>
      </c>
      <c r="J594" s="284"/>
      <c r="K594" s="305" t="s">
        <v>2267</v>
      </c>
      <c r="L594" s="285" t="s">
        <v>732</v>
      </c>
      <c r="M594" s="273" t="s">
        <v>2268</v>
      </c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6"/>
      <c r="Z594" s="286"/>
      <c r="AA594" s="286"/>
    </row>
    <row r="595">
      <c r="A595" s="271"/>
      <c r="B595" s="271"/>
      <c r="C595" s="285"/>
      <c r="D595" s="285"/>
      <c r="E595" s="285"/>
      <c r="F595" s="326"/>
      <c r="G595" s="285" t="str">
        <f>IFERROR(__xludf.DUMMYFUNCTION("""COMPUTED_VALUE"""),"FORRO FINCAPINO MUXARABI CUMARU PREMIUM")</f>
        <v>FORRO FINCAPINO MUXARABI CUMARU PREMIUM</v>
      </c>
      <c r="H595" s="283" t="s">
        <v>695</v>
      </c>
      <c r="I595" s="271" t="str">
        <f t="shared" si="4"/>
        <v/>
      </c>
      <c r="J595" s="284"/>
      <c r="K595" s="305" t="s">
        <v>2269</v>
      </c>
      <c r="L595" s="285" t="s">
        <v>733</v>
      </c>
      <c r="M595" s="273" t="s">
        <v>2270</v>
      </c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6"/>
      <c r="Z595" s="286"/>
      <c r="AA595" s="286"/>
    </row>
    <row r="596">
      <c r="A596" s="271"/>
      <c r="B596" s="271"/>
      <c r="C596" s="285"/>
      <c r="D596" s="285"/>
      <c r="E596" s="285"/>
      <c r="F596" s="326"/>
      <c r="G596" s="285" t="str">
        <f>IFERROR(__xludf.DUMMYFUNCTION("""COMPUTED_VALUE"""),"FORRO FINCAPINO MUXARABI CATUABA PREMIUM")</f>
        <v>FORRO FINCAPINO MUXARABI CATUABA PREMIUM</v>
      </c>
      <c r="I596" s="271" t="str">
        <f t="shared" si="4"/>
        <v/>
      </c>
      <c r="J596" s="284"/>
      <c r="K596" s="305" t="s">
        <v>2271</v>
      </c>
      <c r="L596" s="285" t="s">
        <v>734</v>
      </c>
      <c r="M596" s="273" t="s">
        <v>2272</v>
      </c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6"/>
      <c r="Z596" s="286"/>
      <c r="AA596" s="286"/>
    </row>
    <row r="597">
      <c r="A597" s="271"/>
      <c r="B597" s="271"/>
      <c r="C597" s="285"/>
      <c r="D597" s="285"/>
      <c r="E597" s="285"/>
      <c r="F597" s="326"/>
      <c r="G597" s="285" t="str">
        <f>IFERROR(__xludf.DUMMYFUNCTION("""COMPUTED_VALUE"""),"FORRO FINCAPINO MUXARABI CABREUVA BRANCA PREMIUM")</f>
        <v>FORRO FINCAPINO MUXARABI CABREUVA BRANCA PREMIUM</v>
      </c>
      <c r="I597" s="271" t="str">
        <f t="shared" si="4"/>
        <v/>
      </c>
      <c r="J597" s="284"/>
      <c r="K597" s="305" t="s">
        <v>2273</v>
      </c>
      <c r="L597" s="285" t="s">
        <v>735</v>
      </c>
      <c r="M597" s="273" t="s">
        <v>2274</v>
      </c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6"/>
      <c r="Z597" s="286"/>
      <c r="AA597" s="286"/>
    </row>
    <row r="598">
      <c r="A598" s="271"/>
      <c r="B598" s="271"/>
      <c r="C598" s="285"/>
      <c r="D598" s="285"/>
      <c r="E598" s="285"/>
      <c r="F598" s="326"/>
      <c r="G598" s="285" t="str">
        <f>IFERROR(__xludf.DUMMYFUNCTION("""COMPUTED_VALUE"""),"FORRO FINCAPINO MUXARABI CABREUVA DOURADA PREMIUM")</f>
        <v>FORRO FINCAPINO MUXARABI CABREUVA DOURADA PREMIUM</v>
      </c>
      <c r="I598" s="271" t="str">
        <f t="shared" si="4"/>
        <v/>
      </c>
      <c r="J598" s="284"/>
      <c r="K598" s="305" t="s">
        <v>2275</v>
      </c>
      <c r="L598" s="285" t="s">
        <v>736</v>
      </c>
      <c r="M598" s="273" t="s">
        <v>2276</v>
      </c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6"/>
      <c r="Z598" s="286"/>
      <c r="AA598" s="286"/>
    </row>
    <row r="599">
      <c r="A599" s="271"/>
      <c r="B599" s="271"/>
      <c r="C599" s="285"/>
      <c r="D599" s="285"/>
      <c r="E599" s="285"/>
      <c r="F599" s="326"/>
      <c r="G599" s="285" t="str">
        <f>IFERROR(__xludf.DUMMYFUNCTION("""COMPUTED_VALUE"""),"FORRO FINCAPINO MUXARABI TAUARI PREMIUM")</f>
        <v>FORRO FINCAPINO MUXARABI TAUARI PREMIUM</v>
      </c>
      <c r="I599" s="271" t="str">
        <f t="shared" si="4"/>
        <v/>
      </c>
      <c r="J599" s="284"/>
      <c r="K599" s="305" t="s">
        <v>2277</v>
      </c>
      <c r="L599" s="285" t="s">
        <v>737</v>
      </c>
      <c r="M599" s="273" t="s">
        <v>2278</v>
      </c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6"/>
      <c r="Z599" s="286"/>
      <c r="AA599" s="286"/>
    </row>
    <row r="600">
      <c r="A600" s="271"/>
      <c r="B600" s="271"/>
      <c r="C600" s="285"/>
      <c r="D600" s="285"/>
      <c r="E600" s="285"/>
      <c r="F600" s="326"/>
      <c r="G600" s="285" t="str">
        <f>IFERROR(__xludf.DUMMYFUNCTION("""COMPUTED_VALUE"""),"FORRO FINCAPINO MUXARABI PEROBA PREMIUM")</f>
        <v>FORRO FINCAPINO MUXARABI PEROBA PREMIUM</v>
      </c>
      <c r="I600" s="271" t="str">
        <f t="shared" si="4"/>
        <v/>
      </c>
      <c r="J600" s="284"/>
      <c r="K600" s="305" t="s">
        <v>2279</v>
      </c>
      <c r="L600" s="285" t="s">
        <v>738</v>
      </c>
      <c r="M600" s="273" t="s">
        <v>2280</v>
      </c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6"/>
      <c r="Z600" s="286"/>
      <c r="AA600" s="286"/>
    </row>
    <row r="601">
      <c r="A601" s="271"/>
      <c r="B601" s="271"/>
      <c r="C601" s="285"/>
      <c r="D601" s="285"/>
      <c r="E601" s="285"/>
      <c r="F601" s="326"/>
      <c r="G601" s="285" t="str">
        <f>IFERROR(__xludf.DUMMYFUNCTION("""COMPUTED_VALUE"""),"FORRO FINCAPINO MUXARABI LORO PARDO PREMIUM")</f>
        <v>FORRO FINCAPINO MUXARABI LORO PARDO PREMIUM</v>
      </c>
      <c r="I601" s="271" t="str">
        <f t="shared" si="4"/>
        <v/>
      </c>
      <c r="J601" s="284"/>
      <c r="K601" s="305" t="s">
        <v>2281</v>
      </c>
      <c r="L601" s="285" t="s">
        <v>739</v>
      </c>
      <c r="M601" s="273" t="s">
        <v>2282</v>
      </c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6"/>
      <c r="Z601" s="286"/>
      <c r="AA601" s="286"/>
    </row>
    <row r="602">
      <c r="A602" s="271"/>
      <c r="B602" s="271"/>
      <c r="C602" s="285"/>
      <c r="D602" s="285"/>
      <c r="E602" s="285"/>
      <c r="F602" s="326"/>
      <c r="G602" s="285" t="str">
        <f>IFERROR(__xludf.DUMMYFUNCTION("""COMPUTED_VALUE"""),"FORRO FINCAPINO TOBLERONE CUMARU PREMIUM 3 X 3 COMPR. VARIAVEIS")</f>
        <v>FORRO FINCAPINO TOBLERONE CUMARU PREMIUM 3 X 3 COMPR. VARIAVEIS</v>
      </c>
      <c r="I602" s="271" t="str">
        <f t="shared" si="4"/>
        <v/>
      </c>
      <c r="J602" s="284"/>
      <c r="K602" s="305" t="s">
        <v>2283</v>
      </c>
      <c r="L602" s="285" t="s">
        <v>740</v>
      </c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6"/>
      <c r="Z602" s="286"/>
      <c r="AA602" s="286"/>
    </row>
    <row r="603">
      <c r="A603" s="271"/>
      <c r="B603" s="271"/>
      <c r="C603" s="285"/>
      <c r="D603" s="285"/>
      <c r="E603" s="285"/>
      <c r="F603" s="326"/>
      <c r="G603" s="285" t="str">
        <f>IFERROR(__xludf.DUMMYFUNCTION("""COMPUTED_VALUE"""),"FORRO FINCAPINO TOBLERONE CATUABA PREMIUM 3 X 3 COMPR. VARIAVEIS")</f>
        <v>FORRO FINCAPINO TOBLERONE CATUABA PREMIUM 3 X 3 COMPR. VARIAVEIS</v>
      </c>
      <c r="I603" s="271" t="str">
        <f t="shared" si="4"/>
        <v/>
      </c>
      <c r="J603" s="284"/>
      <c r="K603" s="305" t="s">
        <v>2284</v>
      </c>
      <c r="L603" s="285" t="s">
        <v>741</v>
      </c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6"/>
      <c r="Z603" s="286"/>
      <c r="AA603" s="286"/>
    </row>
    <row r="604">
      <c r="A604" s="271"/>
      <c r="B604" s="271"/>
      <c r="C604" s="285"/>
      <c r="D604" s="285"/>
      <c r="E604" s="285"/>
      <c r="F604" s="326"/>
      <c r="G604" s="285" t="str">
        <f>IFERROR(__xludf.DUMMYFUNCTION("""COMPUTED_VALUE"""),"FORRO FINCAPINO TOBLERONE CABREUVA BRANCA PREMIUM 3 X 3 COMPR. VARIAVEIS")</f>
        <v>FORRO FINCAPINO TOBLERONE CABREUVA BRANCA PREMIUM 3 X 3 COMPR. VARIAVEIS</v>
      </c>
      <c r="I604" s="271" t="str">
        <f t="shared" si="4"/>
        <v/>
      </c>
      <c r="J604" s="284"/>
      <c r="K604" s="305" t="s">
        <v>2285</v>
      </c>
      <c r="L604" s="285" t="s">
        <v>742</v>
      </c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6"/>
      <c r="Z604" s="286"/>
      <c r="AA604" s="286"/>
    </row>
    <row r="605">
      <c r="A605" s="271"/>
      <c r="B605" s="271"/>
      <c r="C605" s="285"/>
      <c r="D605" s="285"/>
      <c r="E605" s="285"/>
      <c r="F605" s="326"/>
      <c r="G605" s="285" t="str">
        <f>IFERROR(__xludf.DUMMYFUNCTION("""COMPUTED_VALUE"""),"FORRO FINCAPINO TOBLERONE CABREUVA DOURADA PREMIUM 3 X 3 COMPR. VARIAVEIS")</f>
        <v>FORRO FINCAPINO TOBLERONE CABREUVA DOURADA PREMIUM 3 X 3 COMPR. VARIAVEIS</v>
      </c>
      <c r="I605" s="271" t="str">
        <f t="shared" si="4"/>
        <v/>
      </c>
      <c r="J605" s="284"/>
      <c r="K605" s="305" t="s">
        <v>2286</v>
      </c>
      <c r="L605" s="285" t="s">
        <v>743</v>
      </c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6"/>
      <c r="Z605" s="286"/>
      <c r="AA605" s="286"/>
    </row>
    <row r="606">
      <c r="A606" s="271"/>
      <c r="B606" s="271"/>
      <c r="C606" s="285"/>
      <c r="D606" s="285"/>
      <c r="E606" s="285"/>
      <c r="F606" s="326"/>
      <c r="G606" s="285" t="str">
        <f>IFERROR(__xludf.DUMMYFUNCTION("""COMPUTED_VALUE"""),"FORRO FINCAPINO TOBLERONE TAUARI PREMIUM 3 X 3 COMPR. VARIAVEIS")</f>
        <v>FORRO FINCAPINO TOBLERONE TAUARI PREMIUM 3 X 3 COMPR. VARIAVEIS</v>
      </c>
      <c r="I606" s="271" t="str">
        <f t="shared" si="4"/>
        <v/>
      </c>
      <c r="J606" s="284"/>
      <c r="K606" s="305" t="s">
        <v>2287</v>
      </c>
      <c r="L606" s="285" t="s">
        <v>744</v>
      </c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6"/>
      <c r="Z606" s="286"/>
      <c r="AA606" s="286"/>
    </row>
    <row r="607">
      <c r="A607" s="271"/>
      <c r="B607" s="271"/>
      <c r="C607" s="285"/>
      <c r="D607" s="285"/>
      <c r="E607" s="285"/>
      <c r="F607" s="326"/>
      <c r="G607" s="285" t="str">
        <f>IFERROR(__xludf.DUMMYFUNCTION("""COMPUTED_VALUE"""),"FORRO FINCAPINO TOBLERONE PEROBA PREMIUM 3 X 3 COMPR. VARIAVEIS")</f>
        <v>FORRO FINCAPINO TOBLERONE PEROBA PREMIUM 3 X 3 COMPR. VARIAVEIS</v>
      </c>
      <c r="I607" s="271" t="str">
        <f t="shared" si="4"/>
        <v/>
      </c>
      <c r="J607" s="284"/>
      <c r="K607" s="305" t="s">
        <v>2288</v>
      </c>
      <c r="L607" s="285" t="s">
        <v>745</v>
      </c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6"/>
      <c r="Z607" s="286"/>
      <c r="AA607" s="286"/>
    </row>
    <row r="608">
      <c r="A608" s="271"/>
      <c r="B608" s="271"/>
      <c r="C608" s="285"/>
      <c r="D608" s="285"/>
      <c r="E608" s="285"/>
      <c r="F608" s="326"/>
      <c r="G608" s="285" t="str">
        <f>IFERROR(__xludf.DUMMYFUNCTION("""COMPUTED_VALUE"""),"FORRO FINCAPINO TOBLERONE LORO PARDO PREMIUM 3 X 3 COMPR. VARIAVEIS")</f>
        <v>FORRO FINCAPINO TOBLERONE LORO PARDO PREMIUM 3 X 3 COMPR. VARIAVEIS</v>
      </c>
      <c r="I608" s="271" t="str">
        <f t="shared" si="4"/>
        <v/>
      </c>
      <c r="J608" s="284"/>
      <c r="K608" s="305" t="s">
        <v>2289</v>
      </c>
      <c r="L608" s="285" t="s">
        <v>746</v>
      </c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6"/>
      <c r="Z608" s="286"/>
      <c r="AA608" s="286"/>
    </row>
    <row r="609">
      <c r="A609" s="271"/>
      <c r="B609" s="271"/>
      <c r="C609" s="285"/>
      <c r="D609" s="285"/>
      <c r="E609" s="285"/>
      <c r="F609" s="326"/>
      <c r="G609" s="285" t="str">
        <f>IFERROR(__xludf.DUMMYFUNCTION("""COMPUTED_VALUE"""),"FORRO FINCAPINO DECK CUMARU PREMIUM TG 2,5 X 5 X COMPR. VARIAVEIS")</f>
        <v>FORRO FINCAPINO DECK CUMARU PREMIUM TG 2,5 X 5 X COMPR. VARIAVEIS</v>
      </c>
      <c r="I609" s="271" t="str">
        <f t="shared" si="4"/>
        <v/>
      </c>
      <c r="J609" s="284"/>
      <c r="K609" s="305" t="s">
        <v>2290</v>
      </c>
      <c r="L609" s="285" t="s">
        <v>747</v>
      </c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6"/>
      <c r="Z609" s="286"/>
      <c r="AA609" s="286"/>
    </row>
    <row r="610">
      <c r="A610" s="271"/>
      <c r="B610" s="271"/>
      <c r="C610" s="285"/>
      <c r="D610" s="285"/>
      <c r="E610" s="285"/>
      <c r="F610" s="326"/>
      <c r="G610" s="285" t="str">
        <f>IFERROR(__xludf.DUMMYFUNCTION("""COMPUTED_VALUE"""),"FORRO FINCAPINO DECK CUMARU PREMIUM TG 2,5 X 10 X COMPR. VARIAVEIS")</f>
        <v>FORRO FINCAPINO DECK CUMARU PREMIUM TG 2,5 X 10 X COMPR. VARIAVEIS</v>
      </c>
      <c r="H610" s="313" t="s">
        <v>2258</v>
      </c>
      <c r="I610" s="271" t="str">
        <f t="shared" si="4"/>
        <v/>
      </c>
      <c r="J610" s="284"/>
      <c r="K610" s="305" t="s">
        <v>2291</v>
      </c>
      <c r="L610" s="285" t="s">
        <v>748</v>
      </c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6"/>
      <c r="Z610" s="286"/>
      <c r="AA610" s="286"/>
    </row>
    <row r="611">
      <c r="A611" s="271"/>
      <c r="B611" s="271"/>
      <c r="C611" s="285"/>
      <c r="D611" s="285"/>
      <c r="E611" s="285"/>
      <c r="F611" s="326"/>
      <c r="G611" s="285" t="str">
        <f>IFERROR(__xludf.DUMMYFUNCTION("""COMPUTED_VALUE"""),"FORRO FINCAPINO DECK CATUABA PREMIUM TG 2,5 X 5 X COMPR. VARIAVEIS")</f>
        <v>FORRO FINCAPINO DECK CATUABA PREMIUM TG 2,5 X 5 X COMPR. VARIAVEIS</v>
      </c>
      <c r="H611" s="313" t="s">
        <v>2260</v>
      </c>
      <c r="I611" s="271" t="str">
        <f t="shared" si="4"/>
        <v/>
      </c>
      <c r="J611" s="284"/>
      <c r="K611" s="305" t="s">
        <v>2292</v>
      </c>
      <c r="L611" s="285" t="s">
        <v>749</v>
      </c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6"/>
      <c r="Z611" s="286"/>
      <c r="AA611" s="286"/>
    </row>
    <row r="612">
      <c r="A612" s="271"/>
      <c r="B612" s="271"/>
      <c r="C612" s="285"/>
      <c r="D612" s="285"/>
      <c r="E612" s="285"/>
      <c r="F612" s="326"/>
      <c r="G612" s="285" t="str">
        <f>IFERROR(__xludf.DUMMYFUNCTION("""COMPUTED_VALUE"""),"FORRO FINCAPINO DECK CATUABA PREMIUM TG 2,5 X 10 X COMPR. VARIAVEIS")</f>
        <v>FORRO FINCAPINO DECK CATUABA PREMIUM TG 2,5 X 10 X COMPR. VARIAVEIS</v>
      </c>
      <c r="H612" s="313" t="s">
        <v>2262</v>
      </c>
      <c r="I612" s="271" t="str">
        <f t="shared" si="4"/>
        <v/>
      </c>
      <c r="J612" s="284"/>
      <c r="K612" s="305" t="s">
        <v>2293</v>
      </c>
      <c r="L612" s="285" t="s">
        <v>750</v>
      </c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6"/>
      <c r="Z612" s="286"/>
      <c r="AA612" s="286"/>
    </row>
    <row r="613">
      <c r="A613" s="271"/>
      <c r="B613" s="271"/>
      <c r="C613" s="285"/>
      <c r="D613" s="285"/>
      <c r="E613" s="285"/>
      <c r="F613" s="326"/>
      <c r="G613" s="285" t="str">
        <f>IFERROR(__xludf.DUMMYFUNCTION("""COMPUTED_VALUE"""),"FORRO FINCAPINO DECK CABREUVA BRANCA PREMIUM TG 2,5 X 5 X COMPR. VARIAVEIS")</f>
        <v>FORRO FINCAPINO DECK CABREUVA BRANCA PREMIUM TG 2,5 X 5 X COMPR. VARIAVEIS</v>
      </c>
      <c r="H613" s="313" t="s">
        <v>2264</v>
      </c>
      <c r="I613" s="271" t="str">
        <f t="shared" si="4"/>
        <v/>
      </c>
      <c r="J613" s="284"/>
      <c r="K613" s="305" t="s">
        <v>2294</v>
      </c>
      <c r="L613" s="285" t="s">
        <v>751</v>
      </c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6"/>
      <c r="Z613" s="286"/>
      <c r="AA613" s="286"/>
    </row>
    <row r="614">
      <c r="A614" s="271"/>
      <c r="B614" s="271"/>
      <c r="C614" s="285"/>
      <c r="D614" s="285"/>
      <c r="E614" s="285"/>
      <c r="F614" s="326"/>
      <c r="G614" s="285" t="str">
        <f>IFERROR(__xludf.DUMMYFUNCTION("""COMPUTED_VALUE"""),"FORRO FINCAPINO DECK CABREUVA BRANCA PREMIUM TG 2,5 X 10 X COMPR. VARIAVEIS")</f>
        <v>FORRO FINCAPINO DECK CABREUVA BRANCA PREMIUM TG 2,5 X 10 X COMPR. VARIAVEIS</v>
      </c>
      <c r="H614" s="313" t="s">
        <v>2266</v>
      </c>
      <c r="I614" s="271" t="str">
        <f t="shared" si="4"/>
        <v/>
      </c>
      <c r="J614" s="284"/>
      <c r="K614" s="305" t="s">
        <v>2295</v>
      </c>
      <c r="L614" s="285" t="s">
        <v>752</v>
      </c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6"/>
      <c r="Z614" s="286"/>
      <c r="AA614" s="286"/>
    </row>
    <row r="615">
      <c r="A615" s="271"/>
      <c r="B615" s="271"/>
      <c r="C615" s="285"/>
      <c r="D615" s="285"/>
      <c r="E615" s="285"/>
      <c r="F615" s="326"/>
      <c r="G615" s="285" t="str">
        <f>IFERROR(__xludf.DUMMYFUNCTION("""COMPUTED_VALUE"""),"FORRO FINCAPINO DECK CABREUVA DOURADA PREMIUM TG 2,5 X 5 X COMPR. VARIAVEIS")</f>
        <v>FORRO FINCAPINO DECK CABREUVA DOURADA PREMIUM TG 2,5 X 5 X COMPR. VARIAVEIS</v>
      </c>
      <c r="H615" s="313" t="s">
        <v>2268</v>
      </c>
      <c r="I615" s="271" t="str">
        <f t="shared" si="4"/>
        <v/>
      </c>
      <c r="J615" s="284"/>
      <c r="K615" s="305" t="s">
        <v>2296</v>
      </c>
      <c r="L615" s="285" t="s">
        <v>753</v>
      </c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6"/>
      <c r="Z615" s="286"/>
      <c r="AA615" s="286"/>
    </row>
    <row r="616">
      <c r="A616" s="271"/>
      <c r="B616" s="271"/>
      <c r="C616" s="285"/>
      <c r="D616" s="285"/>
      <c r="E616" s="285"/>
      <c r="F616" s="326"/>
      <c r="G616" s="285" t="str">
        <f>IFERROR(__xludf.DUMMYFUNCTION("""COMPUTED_VALUE"""),"FORRO FINCAPINO DECK CABREUVA DOURADA PREMIUM TG 2,5 X 10 X COMPR. VARIAVEIS")</f>
        <v>FORRO FINCAPINO DECK CABREUVA DOURADA PREMIUM TG 2,5 X 10 X COMPR. VARIAVEIS</v>
      </c>
      <c r="H616" s="313" t="s">
        <v>2270</v>
      </c>
      <c r="I616" s="271" t="str">
        <f t="shared" si="4"/>
        <v/>
      </c>
      <c r="J616" s="284"/>
      <c r="K616" s="305" t="s">
        <v>2297</v>
      </c>
      <c r="L616" s="285" t="s">
        <v>754</v>
      </c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6"/>
      <c r="Z616" s="286"/>
      <c r="AA616" s="286"/>
    </row>
    <row r="617">
      <c r="A617" s="271"/>
      <c r="B617" s="271"/>
      <c r="C617" s="285"/>
      <c r="D617" s="285"/>
      <c r="E617" s="285"/>
      <c r="F617" s="326"/>
      <c r="G617" s="285" t="str">
        <f>IFERROR(__xludf.DUMMYFUNCTION("""COMPUTED_VALUE"""),"FORRO FINCAPINO DECK TAUARI PREMIUM TG 2,5 X 5 X COMPR. VARIAVEIS")</f>
        <v>FORRO FINCAPINO DECK TAUARI PREMIUM TG 2,5 X 5 X COMPR. VARIAVEIS</v>
      </c>
      <c r="H617" s="313" t="s">
        <v>2272</v>
      </c>
      <c r="I617" s="271" t="str">
        <f t="shared" si="4"/>
        <v/>
      </c>
      <c r="J617" s="284"/>
      <c r="K617" s="305" t="s">
        <v>2298</v>
      </c>
      <c r="L617" s="285" t="s">
        <v>755</v>
      </c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6"/>
      <c r="Z617" s="286"/>
      <c r="AA617" s="286"/>
    </row>
    <row r="618">
      <c r="A618" s="271"/>
      <c r="B618" s="271"/>
      <c r="C618" s="285"/>
      <c r="D618" s="285"/>
      <c r="E618" s="285"/>
      <c r="F618" s="326"/>
      <c r="G618" s="285" t="str">
        <f>IFERROR(__xludf.DUMMYFUNCTION("""COMPUTED_VALUE"""),"FORRO FINCAPINO DECK TAUARI PREMIUM TG 2,5 X 10 X COMPR. VARIAVEIS")</f>
        <v>FORRO FINCAPINO DECK TAUARI PREMIUM TG 2,5 X 10 X COMPR. VARIAVEIS</v>
      </c>
      <c r="H618" s="313" t="s">
        <v>2274</v>
      </c>
      <c r="I618" s="271" t="str">
        <f t="shared" si="4"/>
        <v/>
      </c>
      <c r="J618" s="284"/>
      <c r="K618" s="305" t="s">
        <v>2299</v>
      </c>
      <c r="L618" s="285" t="s">
        <v>756</v>
      </c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6"/>
      <c r="Z618" s="286"/>
      <c r="AA618" s="286"/>
    </row>
    <row r="619">
      <c r="A619" s="271"/>
      <c r="B619" s="271"/>
      <c r="C619" s="285"/>
      <c r="D619" s="285"/>
      <c r="E619" s="285"/>
      <c r="F619" s="326"/>
      <c r="G619" s="285" t="str">
        <f>IFERROR(__xludf.DUMMYFUNCTION("""COMPUTED_VALUE"""),"FORRO FINCAPINO DECK PEROBA PREMIUM TG 2,5 X 5 X COMPR. VARIAVEIS")</f>
        <v>FORRO FINCAPINO DECK PEROBA PREMIUM TG 2,5 X 5 X COMPR. VARIAVEIS</v>
      </c>
      <c r="H619" s="313" t="s">
        <v>2276</v>
      </c>
      <c r="I619" s="271" t="str">
        <f t="shared" si="4"/>
        <v/>
      </c>
      <c r="J619" s="284"/>
      <c r="K619" s="305" t="s">
        <v>2300</v>
      </c>
      <c r="L619" s="285" t="s">
        <v>757</v>
      </c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6"/>
      <c r="Z619" s="286"/>
      <c r="AA619" s="286"/>
    </row>
    <row r="620">
      <c r="A620" s="271"/>
      <c r="B620" s="271"/>
      <c r="C620" s="285"/>
      <c r="D620" s="285"/>
      <c r="E620" s="285"/>
      <c r="F620" s="326"/>
      <c r="G620" s="285" t="str">
        <f>IFERROR(__xludf.DUMMYFUNCTION("""COMPUTED_VALUE"""),"FORRO FINCAPINO DECK PEROBA PREMIUM TG 2,5 X 10 X COMPR. VARIAVEIS")</f>
        <v>FORRO FINCAPINO DECK PEROBA PREMIUM TG 2,5 X 10 X COMPR. VARIAVEIS</v>
      </c>
      <c r="H620" s="313" t="s">
        <v>2278</v>
      </c>
      <c r="I620" s="271" t="str">
        <f t="shared" si="4"/>
        <v/>
      </c>
      <c r="J620" s="284"/>
      <c r="K620" s="305" t="s">
        <v>2301</v>
      </c>
      <c r="L620" s="285" t="s">
        <v>758</v>
      </c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6"/>
      <c r="Z620" s="286"/>
      <c r="AA620" s="286"/>
    </row>
    <row r="621">
      <c r="A621" s="271"/>
      <c r="B621" s="271"/>
      <c r="C621" s="285"/>
      <c r="D621" s="285"/>
      <c r="E621" s="285"/>
      <c r="F621" s="326"/>
      <c r="G621" s="285" t="str">
        <f>IFERROR(__xludf.DUMMYFUNCTION("""COMPUTED_VALUE"""),"FORRO FINCAPINO DECK BAMBU CARAMEL ALTA DENSIDADE")</f>
        <v>FORRO FINCAPINO DECK BAMBU CARAMEL ALTA DENSIDADE</v>
      </c>
      <c r="H621" s="313" t="s">
        <v>2280</v>
      </c>
      <c r="I621" s="271" t="str">
        <f t="shared" si="4"/>
        <v/>
      </c>
      <c r="J621" s="284"/>
      <c r="K621" s="305" t="s">
        <v>2302</v>
      </c>
      <c r="L621" s="285" t="s">
        <v>759</v>
      </c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6"/>
      <c r="Z621" s="286"/>
      <c r="AA621" s="286"/>
    </row>
    <row r="622">
      <c r="A622" s="271"/>
      <c r="B622" s="271"/>
      <c r="C622" s="285"/>
      <c r="D622" s="285"/>
      <c r="E622" s="285"/>
      <c r="F622" s="326"/>
      <c r="G622" s="285" t="str">
        <f>IFERROR(__xludf.DUMMYFUNCTION("""COMPUTED_VALUE"""),"FORRO FINCAPINO DECK BPC CINZA ESCURO 2 X15X 290CM PÇ/0.435M2")</f>
        <v>FORRO FINCAPINO DECK BPC CINZA ESCURO 2 X15X 290CM PÇ/0.435M2</v>
      </c>
      <c r="H622" s="313" t="s">
        <v>2282</v>
      </c>
      <c r="I622" s="271" t="str">
        <f t="shared" si="4"/>
        <v/>
      </c>
      <c r="J622" s="284"/>
      <c r="K622" s="305" t="s">
        <v>2303</v>
      </c>
      <c r="L622" s="285" t="s">
        <v>760</v>
      </c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6"/>
      <c r="Z622" s="286"/>
      <c r="AA622" s="286"/>
    </row>
    <row r="623">
      <c r="A623" s="271"/>
      <c r="B623" s="271"/>
      <c r="C623" s="285"/>
      <c r="D623" s="285"/>
      <c r="E623" s="285"/>
      <c r="F623" s="326"/>
      <c r="G623" s="285" t="str">
        <f>IFERROR(__xludf.DUMMYFUNCTION("""COMPUTED_VALUE"""),"FORRO FINCAPINO DECK BPC MORROM 2X15X220CM")</f>
        <v>FORRO FINCAPINO DECK BPC MORROM 2X15X220CM</v>
      </c>
      <c r="I623" s="271" t="str">
        <f t="shared" si="4"/>
        <v/>
      </c>
      <c r="J623" s="284"/>
      <c r="K623" s="305" t="s">
        <v>2304</v>
      </c>
      <c r="L623" s="285" t="s">
        <v>761</v>
      </c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6"/>
      <c r="Z623" s="286"/>
      <c r="AA623" s="286"/>
    </row>
    <row r="624">
      <c r="A624" s="271"/>
      <c r="B624" s="271"/>
      <c r="C624" s="285"/>
      <c r="D624" s="285"/>
      <c r="E624" s="285"/>
      <c r="F624" s="326"/>
      <c r="G624" s="285" t="str">
        <f>IFERROR(__xludf.DUMMYFUNCTION("""COMPUTED_VALUE"""),"FORRO FINCAPINO DECK WPC CINZA 2,2*14,6*220CM")</f>
        <v>FORRO FINCAPINO DECK WPC CINZA 2,2*14,6*220CM</v>
      </c>
      <c r="I624" s="271" t="str">
        <f t="shared" si="4"/>
        <v/>
      </c>
      <c r="J624" s="284"/>
      <c r="K624" s="305" t="s">
        <v>2305</v>
      </c>
      <c r="L624" s="285" t="s">
        <v>762</v>
      </c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6"/>
      <c r="Z624" s="286"/>
      <c r="AA624" s="286"/>
    </row>
    <row r="625">
      <c r="A625" s="271"/>
      <c r="B625" s="271"/>
      <c r="C625" s="285"/>
      <c r="D625" s="285"/>
      <c r="E625" s="285"/>
      <c r="F625" s="326"/>
      <c r="G625" s="285" t="str">
        <f>IFERROR(__xludf.DUMMYFUNCTION("""COMPUTED_VALUE"""),"FORRO FINCAPINO PEROBA RUSTICA DE DEMOLIÇÃO")</f>
        <v>FORRO FINCAPINO PEROBA RUSTICA DE DEMOLIÇÃO</v>
      </c>
      <c r="I625" s="271" t="str">
        <f t="shared" si="4"/>
        <v/>
      </c>
      <c r="J625" s="284"/>
      <c r="K625" s="305" t="s">
        <v>2306</v>
      </c>
      <c r="L625" s="285" t="s">
        <v>763</v>
      </c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6"/>
      <c r="Z625" s="286"/>
      <c r="AA625" s="286"/>
    </row>
    <row r="626">
      <c r="A626" s="271"/>
      <c r="B626" s="271"/>
      <c r="C626" s="285"/>
      <c r="D626" s="285"/>
      <c r="E626" s="285"/>
      <c r="F626" s="326"/>
      <c r="G626" s="285" t="str">
        <f>IFERROR(__xludf.DUMMYFUNCTION("""COMPUTED_VALUE"""),"FORRO FINCAPINO CANELA RUSTICA DE DEMOLIÇÃO")</f>
        <v>FORRO FINCAPINO CANELA RUSTICA DE DEMOLIÇÃO</v>
      </c>
      <c r="H626" s="283" t="s">
        <v>726</v>
      </c>
      <c r="I626" s="271" t="str">
        <f t="shared" si="4"/>
        <v/>
      </c>
      <c r="J626" s="284"/>
      <c r="K626" s="305" t="s">
        <v>2307</v>
      </c>
      <c r="L626" s="285" t="s">
        <v>764</v>
      </c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6"/>
      <c r="Z626" s="286"/>
      <c r="AA626" s="286"/>
    </row>
    <row r="627">
      <c r="A627" s="271"/>
      <c r="B627" s="271"/>
      <c r="C627" s="285"/>
      <c r="D627" s="285"/>
      <c r="E627" s="285"/>
      <c r="F627" s="326"/>
      <c r="G627" s="285" t="str">
        <f>IFERROR(__xludf.DUMMYFUNCTION("""COMPUTED_VALUE"""),"FORRO AUTOBROCANTE CARVALHO EUROPEU MARRONE CHEVRON 15/3 X 1900X 740MM")</f>
        <v>FORRO AUTOBROCANTE CARVALHO EUROPEU MARRONE CHEVRON 15/3 X 1900X 740MM</v>
      </c>
      <c r="H627" s="283" t="s">
        <v>727</v>
      </c>
      <c r="I627" s="271">
        <f t="shared" si="4"/>
        <v>229.82</v>
      </c>
      <c r="J627" s="284"/>
      <c r="K627" s="305" t="s">
        <v>2308</v>
      </c>
      <c r="L627" s="285" t="s">
        <v>765</v>
      </c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6"/>
      <c r="Z627" s="286"/>
      <c r="AA627" s="286"/>
    </row>
    <row r="628">
      <c r="A628" s="271"/>
      <c r="B628" s="271"/>
      <c r="C628" s="285"/>
      <c r="D628" s="285"/>
      <c r="E628" s="285"/>
      <c r="F628" s="326"/>
      <c r="G628" s="285" t="str">
        <f>IFERROR(__xludf.DUMMYFUNCTION("""COMPUTED_VALUE"""),"FORRO AUTOBROCANTE CARVALHO EUROPEU MARRONE 15/3 X 125 X 1200MM")</f>
        <v>FORRO AUTOBROCANTE CARVALHO EUROPEU MARRONE 15/3 X 125 X 1200MM</v>
      </c>
      <c r="H628" s="283" t="s">
        <v>728</v>
      </c>
      <c r="I628" s="271">
        <f t="shared" si="4"/>
        <v>194.56</v>
      </c>
      <c r="J628" s="284"/>
      <c r="K628" s="305" t="s">
        <v>2309</v>
      </c>
      <c r="L628" s="285" t="s">
        <v>766</v>
      </c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6"/>
      <c r="Z628" s="286"/>
      <c r="AA628" s="286"/>
    </row>
    <row r="629">
      <c r="A629" s="271"/>
      <c r="B629" s="271"/>
      <c r="C629" s="285"/>
      <c r="D629" s="285"/>
      <c r="E629" s="285"/>
      <c r="F629" s="326"/>
      <c r="G629" s="285" t="str">
        <f>IFERROR(__xludf.DUMMYFUNCTION("""COMPUTED_VALUE"""),"FORRO AUTOBROCANTE CARVALHO EUROPEU MARRONE 15/3 X 190 X 1900MM")</f>
        <v>FORRO AUTOBROCANTE CARVALHO EUROPEU MARRONE 15/3 X 190 X 1900MM</v>
      </c>
      <c r="H629" s="283" t="s">
        <v>729</v>
      </c>
      <c r="I629" s="271">
        <f t="shared" si="4"/>
        <v>229.82</v>
      </c>
      <c r="J629" s="284"/>
      <c r="K629" s="305" t="s">
        <v>2310</v>
      </c>
      <c r="L629" s="285" t="s">
        <v>767</v>
      </c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6"/>
      <c r="Z629" s="286"/>
      <c r="AA629" s="286"/>
    </row>
    <row r="630">
      <c r="A630" s="271"/>
      <c r="B630" s="271"/>
      <c r="C630" s="285"/>
      <c r="D630" s="285"/>
      <c r="E630" s="285"/>
      <c r="F630" s="326"/>
      <c r="G630" s="285" t="str">
        <f>IFERROR(__xludf.DUMMYFUNCTION("""COMPUTED_VALUE"""),"FORRO AUTOBROCANTE CARVALHO EUROPEU MARRONE 20/6 X 300 X 4000MM")</f>
        <v>FORRO AUTOBROCANTE CARVALHO EUROPEU MARRONE 20/6 X 300 X 4000MM</v>
      </c>
      <c r="H630" s="283" t="s">
        <v>730</v>
      </c>
      <c r="I630" s="271">
        <f t="shared" si="4"/>
        <v>270.56</v>
      </c>
      <c r="J630" s="284"/>
      <c r="K630" s="305" t="s">
        <v>2311</v>
      </c>
      <c r="L630" s="285" t="s">
        <v>768</v>
      </c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6"/>
      <c r="Z630" s="286"/>
      <c r="AA630" s="286"/>
    </row>
    <row r="631">
      <c r="A631" s="271"/>
      <c r="B631" s="271"/>
      <c r="C631" s="285"/>
      <c r="D631" s="285"/>
      <c r="E631" s="285"/>
      <c r="F631" s="326"/>
      <c r="G631" s="285" t="str">
        <f>IFERROR(__xludf.DUMMYFUNCTION("""COMPUTED_VALUE"""),"FORRO AUTOBROCANTE CARVALHO EUROPEU MARRONE 20/6 X 400 X 5000MM")</f>
        <v>FORRO AUTOBROCANTE CARVALHO EUROPEU MARRONE 20/6 X 400 X 5000MM</v>
      </c>
      <c r="H631" s="283" t="s">
        <v>731</v>
      </c>
      <c r="I631" s="271">
        <f t="shared" si="4"/>
        <v>304</v>
      </c>
      <c r="J631" s="284"/>
      <c r="K631" s="305" t="s">
        <v>2312</v>
      </c>
      <c r="L631" s="285" t="s">
        <v>769</v>
      </c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6"/>
      <c r="Z631" s="286"/>
      <c r="AA631" s="286"/>
    </row>
    <row r="632">
      <c r="A632" s="271"/>
      <c r="B632" s="271"/>
      <c r="C632" s="285"/>
      <c r="D632" s="285"/>
      <c r="E632" s="285"/>
      <c r="F632" s="326"/>
      <c r="G632" s="285" t="str">
        <f>IFERROR(__xludf.DUMMYFUNCTION("""COMPUTED_VALUE"""),"FORRO AUTOBROCANTE CARVALHO EUROPEU MONT BLANC CHEVRON 15/3 X 1900X 740MM")</f>
        <v>FORRO AUTOBROCANTE CARVALHO EUROPEU MONT BLANC CHEVRON 15/3 X 1900X 740MM</v>
      </c>
      <c r="H632" s="283" t="s">
        <v>732</v>
      </c>
      <c r="I632" s="271">
        <f t="shared" si="4"/>
        <v>229.82</v>
      </c>
      <c r="J632" s="284"/>
      <c r="K632" s="305" t="s">
        <v>2313</v>
      </c>
      <c r="L632" s="285" t="s">
        <v>770</v>
      </c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6"/>
      <c r="Z632" s="286"/>
      <c r="AA632" s="286"/>
    </row>
    <row r="633">
      <c r="A633" s="271"/>
      <c r="B633" s="271"/>
      <c r="C633" s="285"/>
      <c r="D633" s="285"/>
      <c r="E633" s="285"/>
      <c r="F633" s="326"/>
      <c r="G633" s="285" t="str">
        <f>IFERROR(__xludf.DUMMYFUNCTION("""COMPUTED_VALUE"""),"FORRO AUTOBROCANTE CARVALHO EUROPEU MONT BLANC ESPINHA DE PEIXE TG 15/3 X 125X900MM")</f>
        <v>FORRO AUTOBROCANTE CARVALHO EUROPEU MONT BLANC ESPINHA DE PEIXE TG 15/3 X 125X900MM</v>
      </c>
      <c r="H633" s="283" t="s">
        <v>733</v>
      </c>
      <c r="I633" s="271">
        <f t="shared" si="4"/>
        <v>194.56</v>
      </c>
      <c r="J633" s="284"/>
      <c r="K633" s="305" t="s">
        <v>2314</v>
      </c>
      <c r="L633" s="285" t="s">
        <v>771</v>
      </c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6"/>
      <c r="Z633" s="286"/>
      <c r="AA633" s="286"/>
    </row>
    <row r="634">
      <c r="A634" s="271"/>
      <c r="B634" s="271"/>
      <c r="C634" s="285"/>
      <c r="D634" s="285"/>
      <c r="E634" s="285"/>
      <c r="F634" s="326"/>
      <c r="G634" s="285" t="str">
        <f>IFERROR(__xludf.DUMMYFUNCTION("""COMPUTED_VALUE"""),"FORRO AUTOBROCANTE CARVALHO EUROPEU MONT BLANC 15/3 X 125 X 1200MM")</f>
        <v>FORRO AUTOBROCANTE CARVALHO EUROPEU MONT BLANC 15/3 X 125 X 1200MM</v>
      </c>
      <c r="H634" s="283" t="s">
        <v>734</v>
      </c>
      <c r="I634" s="271">
        <f t="shared" si="4"/>
        <v>194.56</v>
      </c>
      <c r="J634" s="284"/>
      <c r="K634" s="305" t="s">
        <v>2315</v>
      </c>
      <c r="L634" s="285" t="s">
        <v>772</v>
      </c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6"/>
      <c r="Z634" s="286"/>
      <c r="AA634" s="286"/>
    </row>
    <row r="635">
      <c r="A635" s="271"/>
      <c r="B635" s="271"/>
      <c r="C635" s="285"/>
      <c r="D635" s="285"/>
      <c r="E635" s="285"/>
      <c r="F635" s="326"/>
      <c r="G635" s="285" t="str">
        <f>IFERROR(__xludf.DUMMYFUNCTION("""COMPUTED_VALUE"""),"FORRO AUTOBROCANTE CARVALHO EUROPEU MONT BLANC 15/3 X 190 X 1900MM")</f>
        <v>FORRO AUTOBROCANTE CARVALHO EUROPEU MONT BLANC 15/3 X 190 X 1900MM</v>
      </c>
      <c r="H635" s="283" t="s">
        <v>735</v>
      </c>
      <c r="I635" s="271">
        <f t="shared" si="4"/>
        <v>229.82</v>
      </c>
      <c r="J635" s="284"/>
      <c r="K635" s="305" t="s">
        <v>2316</v>
      </c>
      <c r="L635" s="285" t="s">
        <v>773</v>
      </c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6"/>
      <c r="Z635" s="286"/>
      <c r="AA635" s="286"/>
    </row>
    <row r="636">
      <c r="A636" s="271"/>
      <c r="B636" s="271"/>
      <c r="C636" s="285"/>
      <c r="D636" s="285"/>
      <c r="E636" s="285"/>
      <c r="F636" s="326"/>
      <c r="G636" s="285" t="str">
        <f>IFERROR(__xludf.DUMMYFUNCTION("""COMPUTED_VALUE"""),"FORRO AUTOBROCANTE CARVALHO EUROPEU MONT BLANC 20/6 X 300 X 4000MM")</f>
        <v>FORRO AUTOBROCANTE CARVALHO EUROPEU MONT BLANC 20/6 X 300 X 4000MM</v>
      </c>
      <c r="H636" s="283" t="s">
        <v>736</v>
      </c>
      <c r="I636" s="271">
        <f t="shared" si="4"/>
        <v>270.56</v>
      </c>
      <c r="J636" s="284"/>
      <c r="K636" s="305" t="s">
        <v>2317</v>
      </c>
      <c r="L636" s="285" t="s">
        <v>774</v>
      </c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6"/>
      <c r="Z636" s="286"/>
      <c r="AA636" s="286"/>
    </row>
    <row r="637">
      <c r="A637" s="271"/>
      <c r="B637" s="271"/>
      <c r="C637" s="285"/>
      <c r="D637" s="285"/>
      <c r="E637" s="285"/>
      <c r="F637" s="326"/>
      <c r="G637" s="285" t="str">
        <f>IFERROR(__xludf.DUMMYFUNCTION("""COMPUTED_VALUE"""),"FORRO AUTOBROCANTE CARVALHO EUROPEU MONT BLANC 20/6 X 400 X 5000MM")</f>
        <v>FORRO AUTOBROCANTE CARVALHO EUROPEU MONT BLANC 20/6 X 400 X 5000MM</v>
      </c>
      <c r="H637" s="283" t="s">
        <v>737</v>
      </c>
      <c r="I637" s="271">
        <f t="shared" si="4"/>
        <v>304</v>
      </c>
      <c r="J637" s="284"/>
      <c r="K637" s="305" t="s">
        <v>2318</v>
      </c>
      <c r="L637" s="285" t="s">
        <v>775</v>
      </c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6"/>
      <c r="Z637" s="286"/>
      <c r="AA637" s="286"/>
    </row>
    <row r="638">
      <c r="A638" s="271"/>
      <c r="B638" s="271"/>
      <c r="C638" s="285"/>
      <c r="D638" s="285"/>
      <c r="E638" s="285"/>
      <c r="F638" s="326"/>
      <c r="G638" s="285" t="str">
        <f>IFERROR(__xludf.DUMMYFUNCTION("""COMPUTED_VALUE"""),"FORRO AUTOBROCANTE CARVALHO EUROPEU NATURAL CHEVRON TG 15/3 X 125 X 775MM")</f>
        <v>FORRO AUTOBROCANTE CARVALHO EUROPEU NATURAL CHEVRON TG 15/3 X 125 X 775MM</v>
      </c>
      <c r="H638" s="283" t="s">
        <v>738</v>
      </c>
      <c r="I638" s="271">
        <f t="shared" si="4"/>
        <v>194.56</v>
      </c>
      <c r="J638" s="284"/>
      <c r="K638" s="305" t="s">
        <v>2319</v>
      </c>
      <c r="L638" s="285" t="s">
        <v>776</v>
      </c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6"/>
      <c r="Z638" s="286"/>
      <c r="AA638" s="286"/>
    </row>
    <row r="639">
      <c r="A639" s="271"/>
      <c r="B639" s="271"/>
      <c r="C639" s="285"/>
      <c r="D639" s="285"/>
      <c r="E639" s="285"/>
      <c r="F639" s="326"/>
      <c r="G639" s="285" t="str">
        <f>IFERROR(__xludf.DUMMYFUNCTION("""COMPUTED_VALUE"""),"FORRO AUTOBROCANTE CARVALHO EUROPEU NATURALLE CHEVRON 15/3 X 1900X 740MM")</f>
        <v>FORRO AUTOBROCANTE CARVALHO EUROPEU NATURALLE CHEVRON 15/3 X 1900X 740MM</v>
      </c>
      <c r="H639" s="283" t="s">
        <v>739</v>
      </c>
      <c r="I639" s="271">
        <f t="shared" si="4"/>
        <v>229.82</v>
      </c>
      <c r="J639" s="284"/>
      <c r="K639" s="305" t="s">
        <v>2320</v>
      </c>
      <c r="L639" s="285" t="s">
        <v>777</v>
      </c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6"/>
      <c r="Z639" s="286"/>
      <c r="AA639" s="286"/>
    </row>
    <row r="640">
      <c r="A640" s="271"/>
      <c r="B640" s="271"/>
      <c r="C640" s="285"/>
      <c r="D640" s="285"/>
      <c r="E640" s="285"/>
      <c r="F640" s="326"/>
      <c r="G640" s="285" t="str">
        <f>IFERROR(__xludf.DUMMYFUNCTION("""COMPUTED_VALUE"""),"FORRO AUTOBROCANTE CARVALHO EUROPEU NATURALLE CHEVRON 60º 15/3 X 1900X 910MM")</f>
        <v>FORRO AUTOBROCANTE CARVALHO EUROPEU NATURALLE CHEVRON 60º 15/3 X 1900X 910MM</v>
      </c>
      <c r="H640" s="283" t="s">
        <v>740</v>
      </c>
      <c r="I640" s="271">
        <f t="shared" si="4"/>
        <v>229.82</v>
      </c>
      <c r="J640" s="284"/>
      <c r="K640" s="305" t="s">
        <v>2321</v>
      </c>
      <c r="L640" s="285" t="s">
        <v>778</v>
      </c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6"/>
      <c r="Z640" s="286"/>
      <c r="AA640" s="286"/>
    </row>
    <row r="641">
      <c r="A641" s="271"/>
      <c r="B641" s="271"/>
      <c r="C641" s="285"/>
      <c r="D641" s="271"/>
      <c r="E641" s="285"/>
      <c r="F641" s="326"/>
      <c r="G641" s="285" t="str">
        <f>IFERROR(__xludf.DUMMYFUNCTION("""COMPUTED_VALUE"""),"FORRO AUTOBROCANTE CARVALHO EUROPEU NATURALLE FINE 10/06 X 1900 X 1900MM")</f>
        <v>FORRO AUTOBROCANTE CARVALHO EUROPEU NATURALLE FINE 10/06 X 1900 X 1900MM</v>
      </c>
      <c r="H641" s="283" t="s">
        <v>741</v>
      </c>
      <c r="I641" s="271">
        <f t="shared" si="4"/>
        <v>124.64</v>
      </c>
      <c r="J641" s="284"/>
      <c r="K641" s="305" t="s">
        <v>2322</v>
      </c>
      <c r="L641" s="285" t="s">
        <v>779</v>
      </c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6"/>
      <c r="Z641" s="286"/>
      <c r="AA641" s="286"/>
    </row>
    <row r="642">
      <c r="A642" s="271"/>
      <c r="B642" s="271"/>
      <c r="C642" s="285"/>
      <c r="D642" s="285"/>
      <c r="E642" s="285"/>
      <c r="F642" s="326"/>
      <c r="G642" s="285" t="str">
        <f>IFERROR(__xludf.DUMMYFUNCTION("""COMPUTED_VALUE"""),"FORRO AUTOBROCANTE CARVALHO EUROPEU NATURALLE 15/3 X 125 X 1200MM")</f>
        <v>FORRO AUTOBROCANTE CARVALHO EUROPEU NATURALLE 15/3 X 125 X 1200MM</v>
      </c>
      <c r="H642" s="283" t="s">
        <v>742</v>
      </c>
      <c r="I642" s="271">
        <f t="shared" si="4"/>
        <v>194.56</v>
      </c>
      <c r="J642" s="284"/>
      <c r="K642" s="305" t="s">
        <v>2323</v>
      </c>
      <c r="L642" s="285" t="s">
        <v>780</v>
      </c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6"/>
      <c r="Z642" s="286"/>
      <c r="AA642" s="286"/>
    </row>
    <row r="643">
      <c r="A643" s="271"/>
      <c r="B643" s="271"/>
      <c r="C643" s="285"/>
      <c r="D643" s="285"/>
      <c r="E643" s="285"/>
      <c r="F643" s="326"/>
      <c r="G643" s="285" t="str">
        <f>IFERROR(__xludf.DUMMYFUNCTION("""COMPUTED_VALUE"""),"FORRO AUTOBROCANTE CARVALHO EUROPEU NATURALLE 15/3 X 190 X 1900MM")</f>
        <v>FORRO AUTOBROCANTE CARVALHO EUROPEU NATURALLE 15/3 X 190 X 1900MM</v>
      </c>
      <c r="H643" s="283" t="s">
        <v>743</v>
      </c>
      <c r="I643" s="271">
        <f t="shared" si="4"/>
        <v>229.82</v>
      </c>
      <c r="J643" s="284"/>
      <c r="K643" s="305" t="s">
        <v>2324</v>
      </c>
      <c r="L643" s="285" t="s">
        <v>781</v>
      </c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6"/>
      <c r="Z643" s="286"/>
      <c r="AA643" s="286"/>
    </row>
    <row r="644">
      <c r="A644" s="271"/>
      <c r="B644" s="271"/>
      <c r="C644" s="285"/>
      <c r="D644" s="285"/>
      <c r="E644" s="285"/>
      <c r="F644" s="326"/>
      <c r="G644" s="285" t="str">
        <f>IFERROR(__xludf.DUMMYFUNCTION("""COMPUTED_VALUE"""),"FORRO AUTOBROCANTE CARVALHO EUROPEU NATURALLE 20/6 X 300 X 4000MM")</f>
        <v>FORRO AUTOBROCANTE CARVALHO EUROPEU NATURALLE 20/6 X 300 X 4000MM</v>
      </c>
      <c r="H644" s="283" t="s">
        <v>744</v>
      </c>
      <c r="I644" s="271">
        <f t="shared" si="4"/>
        <v>270.56</v>
      </c>
      <c r="J644" s="284"/>
      <c r="K644" s="305" t="s">
        <v>2325</v>
      </c>
      <c r="L644" s="285" t="s">
        <v>782</v>
      </c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6"/>
      <c r="Z644" s="286"/>
      <c r="AA644" s="286"/>
    </row>
    <row r="645">
      <c r="A645" s="271"/>
      <c r="B645" s="271"/>
      <c r="C645" s="285"/>
      <c r="D645" s="285"/>
      <c r="E645" s="285"/>
      <c r="F645" s="326"/>
      <c r="G645" s="285" t="str">
        <f>IFERROR(__xludf.DUMMYFUNCTION("""COMPUTED_VALUE"""),"FORRO AUTOBROCANTE CARVALHO EUROPEU NATURALLE 20/6 X 400 X 5000MM")</f>
        <v>FORRO AUTOBROCANTE CARVALHO EUROPEU NATURALLE 20/6 X 400 X 5000MM</v>
      </c>
      <c r="H645" s="283" t="s">
        <v>745</v>
      </c>
      <c r="I645" s="271">
        <f t="shared" si="4"/>
        <v>304</v>
      </c>
      <c r="J645" s="284"/>
      <c r="K645" s="305" t="s">
        <v>2326</v>
      </c>
      <c r="L645" s="285" t="s">
        <v>783</v>
      </c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6"/>
      <c r="Z645" s="286"/>
      <c r="AA645" s="286"/>
    </row>
    <row r="646">
      <c r="A646" s="271"/>
      <c r="B646" s="271"/>
      <c r="C646" s="285"/>
      <c r="D646" s="285"/>
      <c r="E646" s="285"/>
      <c r="F646" s="326"/>
      <c r="G646" s="285" t="str">
        <f>IFERROR(__xludf.DUMMYFUNCTION("""COMPUTED_VALUE"""),"FORRO AUTOBROCANTE CARVALHO EUROPEU CAPUCCINO CHEVRON 15/3 X 1900X 740MM")</f>
        <v>FORRO AUTOBROCANTE CARVALHO EUROPEU CAPUCCINO CHEVRON 15/3 X 1900X 740MM</v>
      </c>
      <c r="H646" s="283" t="s">
        <v>746</v>
      </c>
      <c r="I646" s="271">
        <f t="shared" si="4"/>
        <v>229.82</v>
      </c>
      <c r="J646" s="284"/>
      <c r="K646" s="305" t="s">
        <v>2327</v>
      </c>
      <c r="L646" s="285" t="s">
        <v>784</v>
      </c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6"/>
      <c r="Z646" s="286"/>
      <c r="AA646" s="286"/>
    </row>
    <row r="647">
      <c r="A647" s="271"/>
      <c r="B647" s="271"/>
      <c r="C647" s="285"/>
      <c r="D647" s="285"/>
      <c r="E647" s="285"/>
      <c r="F647" s="326"/>
      <c r="G647" s="285" t="str">
        <f>IFERROR(__xludf.DUMMYFUNCTION("""COMPUTED_VALUE"""),"FORRO AUTOBROCANTE CARVALHO EUROPEU CAPUCCINO 15/3 X 125 X 1200MM")</f>
        <v>FORRO AUTOBROCANTE CARVALHO EUROPEU CAPUCCINO 15/3 X 125 X 1200MM</v>
      </c>
      <c r="H647" s="283" t="s">
        <v>747</v>
      </c>
      <c r="I647" s="271">
        <f t="shared" si="4"/>
        <v>194.56</v>
      </c>
      <c r="J647" s="284"/>
      <c r="K647" s="305" t="s">
        <v>2328</v>
      </c>
      <c r="L647" s="285" t="s">
        <v>785</v>
      </c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6"/>
      <c r="Z647" s="286"/>
      <c r="AA647" s="286"/>
    </row>
    <row r="648">
      <c r="A648" s="271"/>
      <c r="B648" s="271"/>
      <c r="C648" s="285"/>
      <c r="D648" s="285"/>
      <c r="E648" s="285"/>
      <c r="F648" s="326"/>
      <c r="G648" s="285" t="str">
        <f>IFERROR(__xludf.DUMMYFUNCTION("""COMPUTED_VALUE"""),"FORRO AUTOBROCANTE CARVALHO EUROPEU CAPPUCCINO ESPINHA DE PEIXE TG 15/3 X 125X900MM")</f>
        <v>FORRO AUTOBROCANTE CARVALHO EUROPEU CAPPUCCINO ESPINHA DE PEIXE TG 15/3 X 125X900MM</v>
      </c>
      <c r="H648" s="283" t="s">
        <v>748</v>
      </c>
      <c r="I648" s="271">
        <f t="shared" si="4"/>
        <v>194.56</v>
      </c>
      <c r="J648" s="284"/>
      <c r="K648" s="305" t="s">
        <v>2329</v>
      </c>
      <c r="L648" s="285" t="s">
        <v>786</v>
      </c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6"/>
      <c r="Z648" s="286"/>
      <c r="AA648" s="286"/>
    </row>
    <row r="649">
      <c r="A649" s="271"/>
      <c r="B649" s="271"/>
      <c r="C649" s="285"/>
      <c r="D649" s="285"/>
      <c r="E649" s="285"/>
      <c r="F649" s="326"/>
      <c r="G649" s="285" t="str">
        <f>IFERROR(__xludf.DUMMYFUNCTION("""COMPUTED_VALUE"""),"FORRO AUTOBROCANTE CARVALHO EUROPEU CAPUCCINO 15/3 X 190 X 1900MM")</f>
        <v>FORRO AUTOBROCANTE CARVALHO EUROPEU CAPUCCINO 15/3 X 190 X 1900MM</v>
      </c>
      <c r="H649" s="283" t="s">
        <v>749</v>
      </c>
      <c r="I649" s="271">
        <f t="shared" si="4"/>
        <v>229.82</v>
      </c>
      <c r="J649" s="284"/>
      <c r="K649" s="305" t="s">
        <v>2330</v>
      </c>
      <c r="L649" s="285" t="s">
        <v>787</v>
      </c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6"/>
      <c r="Z649" s="286"/>
      <c r="AA649" s="286"/>
    </row>
    <row r="650">
      <c r="A650" s="271"/>
      <c r="B650" s="271"/>
      <c r="C650" s="285"/>
      <c r="D650" s="285"/>
      <c r="E650" s="285"/>
      <c r="F650" s="326"/>
      <c r="G650" s="285" t="str">
        <f>IFERROR(__xludf.DUMMYFUNCTION("""COMPUTED_VALUE"""),"FORRO AUTOBROCANTE CARVALHO EUROPEU CAPUCCINO 20/6 X 300 X 4000MM")</f>
        <v>FORRO AUTOBROCANTE CARVALHO EUROPEU CAPUCCINO 20/6 X 300 X 4000MM</v>
      </c>
      <c r="H650" s="283" t="s">
        <v>750</v>
      </c>
      <c r="I650" s="271">
        <f t="shared" si="4"/>
        <v>270.56</v>
      </c>
      <c r="J650" s="284"/>
      <c r="K650" s="305" t="s">
        <v>2331</v>
      </c>
      <c r="L650" s="285" t="s">
        <v>788</v>
      </c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6"/>
      <c r="Z650" s="286"/>
      <c r="AA650" s="286"/>
    </row>
    <row r="651">
      <c r="A651" s="271"/>
      <c r="B651" s="271"/>
      <c r="C651" s="285"/>
      <c r="D651" s="285"/>
      <c r="E651" s="285"/>
      <c r="F651" s="326"/>
      <c r="G651" s="285" t="str">
        <f>IFERROR(__xludf.DUMMYFUNCTION("""COMPUTED_VALUE"""),"FORRO AUTOBROCANTE CARVALHO EUROPEU CAPUCCINO 20/6 X 400 X 5000MM")</f>
        <v>FORRO AUTOBROCANTE CARVALHO EUROPEU CAPUCCINO 20/6 X 400 X 5000MM</v>
      </c>
      <c r="H651" s="283" t="s">
        <v>751</v>
      </c>
      <c r="I651" s="271">
        <f t="shared" si="4"/>
        <v>304</v>
      </c>
      <c r="J651" s="284"/>
      <c r="K651" s="305" t="s">
        <v>2332</v>
      </c>
      <c r="L651" s="285" t="s">
        <v>789</v>
      </c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6"/>
      <c r="Z651" s="286"/>
      <c r="AA651" s="286"/>
    </row>
    <row r="652">
      <c r="A652" s="271"/>
      <c r="B652" s="271"/>
      <c r="C652" s="285"/>
      <c r="D652" s="285"/>
      <c r="E652" s="285"/>
      <c r="F652" s="326"/>
      <c r="G652" s="285" t="str">
        <f>IFERROR(__xludf.DUMMYFUNCTION("""COMPUTED_VALUE"""),"FORRO AUTOBROCANTE CARVALHO EUROPEU BABY GREY CHEVRON 15/3 X 1900X 740MM")</f>
        <v>FORRO AUTOBROCANTE CARVALHO EUROPEU BABY GREY CHEVRON 15/3 X 1900X 740MM</v>
      </c>
      <c r="H652" s="283" t="s">
        <v>752</v>
      </c>
      <c r="I652" s="271">
        <f t="shared" si="4"/>
        <v>229.82</v>
      </c>
      <c r="J652" s="284"/>
      <c r="K652" s="305" t="s">
        <v>2333</v>
      </c>
      <c r="L652" s="285" t="s">
        <v>790</v>
      </c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6"/>
      <c r="Z652" s="286"/>
      <c r="AA652" s="286"/>
    </row>
    <row r="653">
      <c r="A653" s="271"/>
      <c r="B653" s="271"/>
      <c r="C653" s="285"/>
      <c r="D653" s="285"/>
      <c r="E653" s="285"/>
      <c r="F653" s="326"/>
      <c r="G653" s="285" t="str">
        <f>IFERROR(__xludf.DUMMYFUNCTION("""COMPUTED_VALUE"""),"FORRO AUTOBROCANTE CARVALHO EUROPEU BABY GREY 15/3 X 125 X 1200MM")</f>
        <v>FORRO AUTOBROCANTE CARVALHO EUROPEU BABY GREY 15/3 X 125 X 1200MM</v>
      </c>
      <c r="H653" s="283" t="s">
        <v>753</v>
      </c>
      <c r="I653" s="271">
        <f t="shared" si="4"/>
        <v>194.56</v>
      </c>
      <c r="J653" s="284"/>
      <c r="K653" s="305" t="s">
        <v>2334</v>
      </c>
      <c r="L653" s="285" t="s">
        <v>791</v>
      </c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6"/>
      <c r="Z653" s="286"/>
      <c r="AA653" s="286"/>
    </row>
    <row r="654">
      <c r="A654" s="271"/>
      <c r="B654" s="271"/>
      <c r="C654" s="285"/>
      <c r="D654" s="285"/>
      <c r="E654" s="285"/>
      <c r="F654" s="326"/>
      <c r="G654" s="285" t="str">
        <f>IFERROR(__xludf.DUMMYFUNCTION("""COMPUTED_VALUE"""),"FORRO AUTOBROCANTE CARVALHO EUROPEU BABY GREY 15/3 X 190 X 1900MM")</f>
        <v>FORRO AUTOBROCANTE CARVALHO EUROPEU BABY GREY 15/3 X 190 X 1900MM</v>
      </c>
      <c r="H654" s="283" t="s">
        <v>754</v>
      </c>
      <c r="I654" s="271">
        <f t="shared" si="4"/>
        <v>229.82</v>
      </c>
      <c r="J654" s="284"/>
      <c r="K654" s="305" t="s">
        <v>2335</v>
      </c>
      <c r="L654" s="285" t="s">
        <v>792</v>
      </c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6"/>
      <c r="Z654" s="286"/>
      <c r="AA654" s="286"/>
    </row>
    <row r="655">
      <c r="A655" s="271"/>
      <c r="B655" s="271"/>
      <c r="C655" s="285"/>
      <c r="D655" s="285"/>
      <c r="E655" s="285"/>
      <c r="F655" s="326"/>
      <c r="G655" s="285" t="str">
        <f>IFERROR(__xludf.DUMMYFUNCTION("""COMPUTED_VALUE"""),"FORRO AUTOBROCANTE CARVALHO EUROPEU BABY GREY 20/6 X 300 X 4000MM")</f>
        <v>FORRO AUTOBROCANTE CARVALHO EUROPEU BABY GREY 20/6 X 300 X 4000MM</v>
      </c>
      <c r="H655" s="283" t="s">
        <v>755</v>
      </c>
      <c r="I655" s="271">
        <f t="shared" si="4"/>
        <v>270.56</v>
      </c>
      <c r="J655" s="284"/>
      <c r="K655" s="305" t="s">
        <v>2336</v>
      </c>
      <c r="L655" s="285" t="s">
        <v>793</v>
      </c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6"/>
      <c r="Z655" s="286"/>
      <c r="AA655" s="286"/>
    </row>
    <row r="656">
      <c r="A656" s="271"/>
      <c r="B656" s="271"/>
      <c r="C656" s="285"/>
      <c r="D656" s="285"/>
      <c r="E656" s="285"/>
      <c r="F656" s="326"/>
      <c r="G656" s="285" t="str">
        <f>IFERROR(__xludf.DUMMYFUNCTION("""COMPUTED_VALUE"""),"FORRO AUTOBROCANTE CARVALHO EUROPEU BABY GREY 20/6 X 400 X 5000MM")</f>
        <v>FORRO AUTOBROCANTE CARVALHO EUROPEU BABY GREY 20/6 X 400 X 5000MM</v>
      </c>
      <c r="H656" s="283" t="s">
        <v>756</v>
      </c>
      <c r="I656" s="271">
        <f t="shared" si="4"/>
        <v>304</v>
      </c>
      <c r="J656" s="284"/>
      <c r="K656" s="305" t="s">
        <v>2337</v>
      </c>
      <c r="L656" s="285" t="s">
        <v>794</v>
      </c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6"/>
      <c r="Z656" s="286"/>
      <c r="AA656" s="286"/>
    </row>
    <row r="657">
      <c r="A657" s="271"/>
      <c r="B657" s="271"/>
      <c r="C657" s="285"/>
      <c r="D657" s="285"/>
      <c r="E657" s="285"/>
      <c r="F657" s="326"/>
      <c r="G657" s="285" t="str">
        <f>IFERROR(__xludf.DUMMYFUNCTION("""COMPUTED_VALUE"""),"FORRO AUTOBROCANTE CARVALHO EUROPEU GRIGIO NERO CHEVRON 15/3 X 1900X 740MM")</f>
        <v>FORRO AUTOBROCANTE CARVALHO EUROPEU GRIGIO NERO CHEVRON 15/3 X 1900X 740MM</v>
      </c>
      <c r="H657" s="283" t="s">
        <v>757</v>
      </c>
      <c r="I657" s="271">
        <f t="shared" si="4"/>
        <v>229.82</v>
      </c>
      <c r="J657" s="284"/>
      <c r="K657" s="305" t="s">
        <v>2338</v>
      </c>
      <c r="L657" s="285" t="s">
        <v>795</v>
      </c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6"/>
      <c r="Z657" s="286"/>
      <c r="AA657" s="286"/>
    </row>
    <row r="658">
      <c r="A658" s="271"/>
      <c r="B658" s="271"/>
      <c r="C658" s="285"/>
      <c r="D658" s="285"/>
      <c r="E658" s="285"/>
      <c r="F658" s="326"/>
      <c r="G658" s="285" t="str">
        <f>IFERROR(__xludf.DUMMYFUNCTION("""COMPUTED_VALUE"""),"FORRO AUTOBROCANTE CARVALHO EUROPEU GRIGIO NERO 15/3 X 125 X 1200MM")</f>
        <v>FORRO AUTOBROCANTE CARVALHO EUROPEU GRIGIO NERO 15/3 X 125 X 1200MM</v>
      </c>
      <c r="H658" s="283" t="s">
        <v>758</v>
      </c>
      <c r="I658" s="271">
        <f t="shared" si="4"/>
        <v>194.56</v>
      </c>
      <c r="J658" s="284"/>
      <c r="K658" s="305" t="s">
        <v>2339</v>
      </c>
      <c r="L658" s="285" t="s">
        <v>796</v>
      </c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6"/>
      <c r="Z658" s="286"/>
      <c r="AA658" s="286"/>
    </row>
    <row r="659">
      <c r="A659" s="271"/>
      <c r="B659" s="271"/>
      <c r="C659" s="285"/>
      <c r="D659" s="285"/>
      <c r="E659" s="285"/>
      <c r="F659" s="326"/>
      <c r="G659" s="285" t="str">
        <f>IFERROR(__xludf.DUMMYFUNCTION("""COMPUTED_VALUE"""),"FORRO AUTOBROCANTE CARVALHO EUROPEU GRIGIO NERO 15/3 X 190 X 1900MM")</f>
        <v>FORRO AUTOBROCANTE CARVALHO EUROPEU GRIGIO NERO 15/3 X 190 X 1900MM</v>
      </c>
      <c r="H659" s="283" t="s">
        <v>759</v>
      </c>
      <c r="I659" s="271">
        <f t="shared" si="4"/>
        <v>229.82</v>
      </c>
      <c r="J659" s="284"/>
      <c r="K659" s="305" t="s">
        <v>2340</v>
      </c>
      <c r="L659" s="285" t="s">
        <v>797</v>
      </c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6"/>
      <c r="Z659" s="286"/>
      <c r="AA659" s="286"/>
    </row>
    <row r="660">
      <c r="A660" s="271"/>
      <c r="B660" s="271"/>
      <c r="C660" s="285"/>
      <c r="D660" s="285"/>
      <c r="E660" s="285"/>
      <c r="F660" s="326"/>
      <c r="G660" s="285" t="str">
        <f>IFERROR(__xludf.DUMMYFUNCTION("""COMPUTED_VALUE"""),"FORRO AUTOBROCANTE CARVALHO EUROPEU GRIGIO NERO 20/6 X 300 X 4000MM")</f>
        <v>FORRO AUTOBROCANTE CARVALHO EUROPEU GRIGIO NERO 20/6 X 300 X 4000MM</v>
      </c>
      <c r="H660" s="283" t="s">
        <v>760</v>
      </c>
      <c r="I660" s="271">
        <f t="shared" si="4"/>
        <v>270.56</v>
      </c>
      <c r="J660" s="284"/>
      <c r="K660" s="305" t="s">
        <v>2341</v>
      </c>
      <c r="L660" s="285" t="s">
        <v>798</v>
      </c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6"/>
      <c r="Z660" s="286"/>
      <c r="AA660" s="286"/>
    </row>
    <row r="661">
      <c r="A661" s="271"/>
      <c r="B661" s="271"/>
      <c r="C661" s="285"/>
      <c r="D661" s="285"/>
      <c r="E661" s="285"/>
      <c r="F661" s="326"/>
      <c r="G661" s="285" t="str">
        <f>IFERROR(__xludf.DUMMYFUNCTION("""COMPUTED_VALUE"""),"FORRO AUTOBROCANTE CARVALHO EUROPEU GRIGIO NERO 20/6 X 400 X 5000MM")</f>
        <v>FORRO AUTOBROCANTE CARVALHO EUROPEU GRIGIO NERO 20/6 X 400 X 5000MM</v>
      </c>
      <c r="H661" s="283" t="s">
        <v>761</v>
      </c>
      <c r="I661" s="271">
        <f t="shared" si="4"/>
        <v>304</v>
      </c>
      <c r="J661" s="284"/>
      <c r="K661" s="305" t="s">
        <v>2342</v>
      </c>
      <c r="L661" s="285" t="s">
        <v>799</v>
      </c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6"/>
      <c r="Z661" s="286"/>
      <c r="AA661" s="286"/>
    </row>
    <row r="662">
      <c r="A662" s="271"/>
      <c r="B662" s="271"/>
      <c r="C662" s="285"/>
      <c r="D662" s="285"/>
      <c r="E662" s="285"/>
      <c r="F662" s="326"/>
      <c r="G662" s="285" t="str">
        <f>IFERROR(__xludf.DUMMYFUNCTION("""COMPUTED_VALUE"""),"FORRO AUTOBROCANTE CARVALHO EUROPEU LIGHT BROWN CHEVRON 15/3 X 1900X 740MM")</f>
        <v>FORRO AUTOBROCANTE CARVALHO EUROPEU LIGHT BROWN CHEVRON 15/3 X 1900X 740MM</v>
      </c>
      <c r="H662" s="283" t="s">
        <v>762</v>
      </c>
      <c r="I662" s="271">
        <f t="shared" si="4"/>
        <v>229.82</v>
      </c>
      <c r="J662" s="284"/>
      <c r="K662" s="305" t="s">
        <v>2343</v>
      </c>
      <c r="L662" s="285" t="s">
        <v>800</v>
      </c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6"/>
      <c r="Z662" s="286"/>
      <c r="AA662" s="286"/>
    </row>
    <row r="663">
      <c r="A663" s="271"/>
      <c r="B663" s="271"/>
      <c r="C663" s="285"/>
      <c r="D663" s="285"/>
      <c r="E663" s="285"/>
      <c r="F663" s="326"/>
      <c r="G663" s="285" t="str">
        <f>IFERROR(__xludf.DUMMYFUNCTION("""COMPUTED_VALUE"""),"FORRO AUTOBROCANTE CARVALHO EUROPEU LIGHT BROWN 15/3 X 125 X 1200MM")</f>
        <v>FORRO AUTOBROCANTE CARVALHO EUROPEU LIGHT BROWN 15/3 X 125 X 1200MM</v>
      </c>
      <c r="H663" s="283" t="s">
        <v>763</v>
      </c>
      <c r="I663" s="271">
        <f t="shared" si="4"/>
        <v>194.56</v>
      </c>
      <c r="J663" s="284"/>
      <c r="K663" s="305" t="s">
        <v>2344</v>
      </c>
      <c r="L663" s="285" t="s">
        <v>801</v>
      </c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6"/>
      <c r="Z663" s="286"/>
      <c r="AA663" s="286"/>
    </row>
    <row r="664">
      <c r="A664" s="271"/>
      <c r="B664" s="271"/>
      <c r="C664" s="285"/>
      <c r="D664" s="285"/>
      <c r="E664" s="285"/>
      <c r="F664" s="326"/>
      <c r="G664" s="285" t="str">
        <f>IFERROR(__xludf.DUMMYFUNCTION("""COMPUTED_VALUE"""),"FORRO AUTOBROCANTE CARVALHO EUROPEU LIGHT BROWN 15/3 X 190 X 1900MM")</f>
        <v>FORRO AUTOBROCANTE CARVALHO EUROPEU LIGHT BROWN 15/3 X 190 X 1900MM</v>
      </c>
      <c r="H664" s="283" t="s">
        <v>764</v>
      </c>
      <c r="I664" s="271">
        <f t="shared" si="4"/>
        <v>229.82</v>
      </c>
      <c r="J664" s="284"/>
      <c r="K664" s="305" t="s">
        <v>2345</v>
      </c>
      <c r="L664" s="285" t="s">
        <v>802</v>
      </c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6"/>
      <c r="Z664" s="286"/>
      <c r="AA664" s="286"/>
    </row>
    <row r="665">
      <c r="A665" s="271"/>
      <c r="B665" s="271"/>
      <c r="C665" s="285"/>
      <c r="D665" s="285"/>
      <c r="E665" s="285"/>
      <c r="F665" s="326"/>
      <c r="G665" s="285" t="str">
        <f>IFERROR(__xludf.DUMMYFUNCTION("""COMPUTED_VALUE"""),"FORRO AUTOBROCANTE CARVALHO EUROPEU LIGHT BROWN 20/6 X 300 X 4000MM")</f>
        <v>FORRO AUTOBROCANTE CARVALHO EUROPEU LIGHT BROWN 20/6 X 300 X 4000MM</v>
      </c>
      <c r="H665" s="283" t="s">
        <v>765</v>
      </c>
      <c r="I665" s="271">
        <f t="shared" si="4"/>
        <v>270.56</v>
      </c>
      <c r="J665" s="284"/>
      <c r="K665" s="305" t="s">
        <v>2346</v>
      </c>
      <c r="L665" s="285" t="s">
        <v>803</v>
      </c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6"/>
      <c r="Z665" s="286"/>
      <c r="AA665" s="286"/>
    </row>
    <row r="666">
      <c r="A666" s="271"/>
      <c r="B666" s="271"/>
      <c r="C666" s="285"/>
      <c r="D666" s="285"/>
      <c r="E666" s="285"/>
      <c r="F666" s="326"/>
      <c r="G666" s="285" t="str">
        <f>IFERROR(__xludf.DUMMYFUNCTION("""COMPUTED_VALUE"""),"FORRO AUTOBROCANTE CARVALHO EUROPEU - LISTONE GIORDANO (HERITAGE 140 FILIGRANA - SIENNA 1179) TG 1,25 X 14,0 X 83,50CM --")</f>
        <v>FORRO AUTOBROCANTE CARVALHO EUROPEU - LISTONE GIORDANO (HERITAGE 140 FILIGRANA - SIENNA 1179) TG 1,25 X 14,0 X 83,50CM --</v>
      </c>
      <c r="H666" s="283" t="s">
        <v>766</v>
      </c>
      <c r="I666" s="271">
        <f t="shared" si="4"/>
        <v>1095</v>
      </c>
      <c r="J666" s="284"/>
      <c r="K666" s="305" t="s">
        <v>2347</v>
      </c>
      <c r="L666" s="285" t="s">
        <v>804</v>
      </c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6"/>
      <c r="Z666" s="286"/>
      <c r="AA666" s="286"/>
    </row>
    <row r="667">
      <c r="A667" s="271"/>
      <c r="B667" s="271"/>
      <c r="C667" s="285"/>
      <c r="D667" s="285"/>
      <c r="E667" s="285"/>
      <c r="F667" s="326"/>
      <c r="G667" s="285" t="str">
        <f>IFERROR(__xludf.DUMMYFUNCTION("""COMPUTED_VALUE"""),"FORRO AUTOBROCANTE ")</f>
        <v>FORRO AUTOBROCANTE </v>
      </c>
      <c r="H667" s="283" t="s">
        <v>767</v>
      </c>
      <c r="I667" s="271" t="str">
        <f t="shared" si="4"/>
        <v/>
      </c>
      <c r="J667" s="284"/>
      <c r="K667" s="305" t="s">
        <v>2348</v>
      </c>
      <c r="L667" s="285" t="s">
        <v>805</v>
      </c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6"/>
      <c r="Z667" s="286"/>
      <c r="AA667" s="286"/>
    </row>
    <row r="668">
      <c r="A668" s="271"/>
      <c r="B668" s="271"/>
      <c r="C668" s="285"/>
      <c r="D668" s="285"/>
      <c r="E668" s="285"/>
      <c r="F668" s="326"/>
      <c r="G668" s="285" t="str">
        <f>IFERROR(__xludf.DUMMYFUNCTION("""COMPUTED_VALUE"""),"FORRO AUTOBROCANTE CARVALHO EUROPEU MILANO CHEVRON 15/3 X 1900X 740MM")</f>
        <v>FORRO AUTOBROCANTE CARVALHO EUROPEU MILANO CHEVRON 15/3 X 1900X 740MM</v>
      </c>
      <c r="H668" s="283" t="s">
        <v>768</v>
      </c>
      <c r="I668" s="271" t="str">
        <f t="shared" si="4"/>
        <v/>
      </c>
      <c r="J668" s="284"/>
      <c r="K668" s="305" t="s">
        <v>2349</v>
      </c>
      <c r="L668" s="285" t="s">
        <v>806</v>
      </c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6"/>
      <c r="Z668" s="286"/>
      <c r="AA668" s="286"/>
    </row>
    <row r="669">
      <c r="A669" s="271"/>
      <c r="B669" s="271"/>
      <c r="C669" s="285"/>
      <c r="D669" s="285"/>
      <c r="E669" s="285"/>
      <c r="F669" s="326"/>
      <c r="G669" s="285" t="str">
        <f>IFERROR(__xludf.DUMMYFUNCTION("""COMPUTED_VALUE"""),"FORRO AUTOBROCANTE CARVALHO EUROPEU MILANO 15/3 X 125 X 1200MM")</f>
        <v>FORRO AUTOBROCANTE CARVALHO EUROPEU MILANO 15/3 X 125 X 1200MM</v>
      </c>
      <c r="H669" s="283" t="s">
        <v>769</v>
      </c>
      <c r="I669" s="271" t="str">
        <f t="shared" si="4"/>
        <v/>
      </c>
      <c r="J669" s="284"/>
      <c r="K669" s="305" t="s">
        <v>2350</v>
      </c>
      <c r="L669" s="285" t="s">
        <v>807</v>
      </c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6"/>
      <c r="Z669" s="286"/>
      <c r="AA669" s="286"/>
    </row>
    <row r="670">
      <c r="A670" s="271"/>
      <c r="B670" s="271"/>
      <c r="C670" s="285"/>
      <c r="D670" s="285"/>
      <c r="E670" s="285"/>
      <c r="F670" s="326"/>
      <c r="G670" s="285" t="str">
        <f>IFERROR(__xludf.DUMMYFUNCTION("""COMPUTED_VALUE"""),"FORRO AUTOBROCANTE CARVALHO EUROPEU MILANO 15/3 X 190 X 1900MM")</f>
        <v>FORRO AUTOBROCANTE CARVALHO EUROPEU MILANO 15/3 X 190 X 1900MM</v>
      </c>
      <c r="H670" s="283" t="s">
        <v>770</v>
      </c>
      <c r="I670" s="271" t="str">
        <f t="shared" si="4"/>
        <v/>
      </c>
      <c r="J670" s="284"/>
      <c r="K670" s="305" t="s">
        <v>2351</v>
      </c>
      <c r="L670" s="285" t="s">
        <v>808</v>
      </c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6"/>
      <c r="Z670" s="286"/>
      <c r="AA670" s="286"/>
    </row>
    <row r="671">
      <c r="A671" s="271"/>
      <c r="B671" s="271"/>
      <c r="C671" s="285"/>
      <c r="D671" s="285"/>
      <c r="E671" s="285"/>
      <c r="F671" s="326"/>
      <c r="G671" s="285" t="str">
        <f>IFERROR(__xludf.DUMMYFUNCTION("""COMPUTED_VALUE"""),"FORRO AUTOBROCANTE CARVALHO EUROPEU MILANO 20/6 X 300 X 4000MM")</f>
        <v>FORRO AUTOBROCANTE CARVALHO EUROPEU MILANO 20/6 X 300 X 4000MM</v>
      </c>
      <c r="H671" s="283" t="s">
        <v>771</v>
      </c>
      <c r="I671" s="271" t="str">
        <f t="shared" si="4"/>
        <v/>
      </c>
      <c r="J671" s="284"/>
      <c r="K671" s="305" t="s">
        <v>2352</v>
      </c>
      <c r="L671" s="285" t="s">
        <v>809</v>
      </c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6"/>
      <c r="Z671" s="286"/>
      <c r="AA671" s="286"/>
    </row>
    <row r="672">
      <c r="A672" s="271"/>
      <c r="B672" s="271"/>
      <c r="C672" s="285"/>
      <c r="D672" s="285"/>
      <c r="E672" s="285"/>
      <c r="F672" s="326"/>
      <c r="G672" s="285" t="str">
        <f>IFERROR(__xludf.DUMMYFUNCTION("""COMPUTED_VALUE"""),"FORRO AUTOBROCANTE CARVALHO EUROPEU MILANO 20/6 X 400 X 5000MM")</f>
        <v>FORRO AUTOBROCANTE CARVALHO EUROPEU MILANO 20/6 X 400 X 5000MM</v>
      </c>
      <c r="H672" s="283" t="s">
        <v>772</v>
      </c>
      <c r="I672" s="271" t="str">
        <f t="shared" si="4"/>
        <v/>
      </c>
      <c r="J672" s="284"/>
      <c r="K672" s="305" t="s">
        <v>2353</v>
      </c>
      <c r="L672" s="285" t="s">
        <v>810</v>
      </c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6"/>
      <c r="Z672" s="286"/>
      <c r="AA672" s="286"/>
    </row>
    <row r="673">
      <c r="A673" s="271"/>
      <c r="B673" s="271"/>
      <c r="C673" s="285"/>
      <c r="D673" s="285"/>
      <c r="E673" s="285"/>
      <c r="F673" s="326"/>
      <c r="G673" s="285" t="str">
        <f>IFERROR(__xludf.DUMMYFUNCTION("""COMPUTED_VALUE"""),"FORRO AUTOBROCANTE CARVALHO EUROPEU SMOKED CHEVRON 15/3 X 1900X 740MM")</f>
        <v>FORRO AUTOBROCANTE CARVALHO EUROPEU SMOKED CHEVRON 15/3 X 1900X 740MM</v>
      </c>
      <c r="H673" s="283" t="s">
        <v>773</v>
      </c>
      <c r="I673" s="271" t="str">
        <f t="shared" si="4"/>
        <v/>
      </c>
      <c r="J673" s="284"/>
      <c r="K673" s="305" t="s">
        <v>2354</v>
      </c>
      <c r="L673" s="285" t="s">
        <v>811</v>
      </c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6"/>
      <c r="Z673" s="286"/>
      <c r="AA673" s="286"/>
    </row>
    <row r="674">
      <c r="A674" s="271"/>
      <c r="B674" s="271"/>
      <c r="C674" s="285"/>
      <c r="D674" s="285"/>
      <c r="E674" s="285"/>
      <c r="F674" s="326"/>
      <c r="G674" s="285" t="str">
        <f>IFERROR(__xludf.DUMMYFUNCTION("""COMPUTED_VALUE"""),"FORRO AUTOBROCANTE CARVALHO EUROPEU SMOKED 15/3 X 125 X 1200MM")</f>
        <v>FORRO AUTOBROCANTE CARVALHO EUROPEU SMOKED 15/3 X 125 X 1200MM</v>
      </c>
      <c r="H674" s="283" t="s">
        <v>774</v>
      </c>
      <c r="I674" s="271" t="str">
        <f t="shared" si="4"/>
        <v/>
      </c>
      <c r="J674" s="284"/>
      <c r="K674" s="305" t="s">
        <v>2355</v>
      </c>
      <c r="L674" s="285" t="s">
        <v>812</v>
      </c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6"/>
      <c r="Z674" s="286"/>
      <c r="AA674" s="286"/>
    </row>
    <row r="675">
      <c r="A675" s="271"/>
      <c r="B675" s="271"/>
      <c r="C675" s="285"/>
      <c r="D675" s="285"/>
      <c r="E675" s="285"/>
      <c r="F675" s="326"/>
      <c r="G675" s="285" t="str">
        <f>IFERROR(__xludf.DUMMYFUNCTION("""COMPUTED_VALUE"""),"FORRO AUTOBROCANTE CARVALHO EUROPEU SMOKED 15/3 X 190 X 1900MM")</f>
        <v>FORRO AUTOBROCANTE CARVALHO EUROPEU SMOKED 15/3 X 190 X 1900MM</v>
      </c>
      <c r="H675" s="283" t="s">
        <v>775</v>
      </c>
      <c r="I675" s="271" t="str">
        <f t="shared" si="4"/>
        <v/>
      </c>
      <c r="J675" s="284"/>
      <c r="K675" s="305" t="s">
        <v>2356</v>
      </c>
      <c r="L675" s="285" t="s">
        <v>813</v>
      </c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6"/>
      <c r="Z675" s="286"/>
      <c r="AA675" s="286"/>
    </row>
    <row r="676">
      <c r="A676" s="271"/>
      <c r="B676" s="271"/>
      <c r="C676" s="285"/>
      <c r="D676" s="285"/>
      <c r="E676" s="285"/>
      <c r="F676" s="326"/>
      <c r="G676" s="285" t="str">
        <f>IFERROR(__xludf.DUMMYFUNCTION("""COMPUTED_VALUE"""),"FORRO AUTOBROCANTE CARVALHO EUROPEU SMOKED 20/6 X 300 X 4000MM")</f>
        <v>FORRO AUTOBROCANTE CARVALHO EUROPEU SMOKED 20/6 X 300 X 4000MM</v>
      </c>
      <c r="H676" s="283" t="s">
        <v>776</v>
      </c>
      <c r="I676" s="271" t="str">
        <f t="shared" si="4"/>
        <v/>
      </c>
      <c r="J676" s="284"/>
      <c r="K676" s="305" t="s">
        <v>2357</v>
      </c>
      <c r="L676" s="285" t="s">
        <v>814</v>
      </c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6"/>
      <c r="Z676" s="286"/>
      <c r="AA676" s="286"/>
    </row>
    <row r="677">
      <c r="A677" s="271"/>
      <c r="B677" s="271"/>
      <c r="C677" s="285"/>
      <c r="D677" s="285"/>
      <c r="E677" s="285"/>
      <c r="F677" s="326"/>
      <c r="G677" s="285" t="str">
        <f>IFERROR(__xludf.DUMMYFUNCTION("""COMPUTED_VALUE"""),"FORRO AUTOBROCANTE CARVALHO EUROPEU SMOKED 20/6 X 400 X 5000MM")</f>
        <v>FORRO AUTOBROCANTE CARVALHO EUROPEU SMOKED 20/6 X 400 X 5000MM</v>
      </c>
      <c r="H677" s="283" t="s">
        <v>777</v>
      </c>
      <c r="I677" s="271" t="str">
        <f t="shared" si="4"/>
        <v/>
      </c>
      <c r="J677" s="284"/>
      <c r="K677" s="305" t="s">
        <v>2358</v>
      </c>
      <c r="L677" s="285" t="s">
        <v>815</v>
      </c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6"/>
      <c r="Z677" s="286"/>
      <c r="AA677" s="286"/>
    </row>
    <row r="678">
      <c r="A678" s="271"/>
      <c r="B678" s="271"/>
      <c r="C678" s="285"/>
      <c r="D678" s="285"/>
      <c r="E678" s="285"/>
      <c r="F678" s="326"/>
      <c r="G678" s="285" t="str">
        <f>IFERROR(__xludf.DUMMYFUNCTION("""COMPUTED_VALUE"""),"FORRO AUTOBROCANTE CARVALHO EUROPEU GIZ CHEVRON 15/3 X 1900X 740MM")</f>
        <v>FORRO AUTOBROCANTE CARVALHO EUROPEU GIZ CHEVRON 15/3 X 1900X 740MM</v>
      </c>
      <c r="H678" s="283" t="s">
        <v>778</v>
      </c>
      <c r="I678" s="271" t="str">
        <f t="shared" si="4"/>
        <v/>
      </c>
      <c r="J678" s="284"/>
      <c r="K678" s="305" t="s">
        <v>2359</v>
      </c>
      <c r="L678" s="285" t="s">
        <v>816</v>
      </c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6"/>
      <c r="Z678" s="286"/>
      <c r="AA678" s="286"/>
    </row>
    <row r="679">
      <c r="A679" s="271"/>
      <c r="B679" s="271"/>
      <c r="C679" s="285"/>
      <c r="D679" s="285"/>
      <c r="E679" s="285"/>
      <c r="F679" s="326"/>
      <c r="G679" s="285" t="str">
        <f>IFERROR(__xludf.DUMMYFUNCTION("""COMPUTED_VALUE"""),"FORRO AUTOBROCANTE CARVALHO EUROPEU GIZ 15/3 X 125 X 1200MM")</f>
        <v>FORRO AUTOBROCANTE CARVALHO EUROPEU GIZ 15/3 X 125 X 1200MM</v>
      </c>
      <c r="H679" s="283" t="s">
        <v>779</v>
      </c>
      <c r="I679" s="271" t="str">
        <f t="shared" si="4"/>
        <v/>
      </c>
      <c r="J679" s="284"/>
      <c r="K679" s="305" t="s">
        <v>2360</v>
      </c>
      <c r="L679" s="285" t="s">
        <v>817</v>
      </c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6"/>
      <c r="Z679" s="286"/>
      <c r="AA679" s="286"/>
    </row>
    <row r="680">
      <c r="A680" s="271"/>
      <c r="B680" s="271"/>
      <c r="C680" s="285"/>
      <c r="D680" s="285"/>
      <c r="E680" s="285"/>
      <c r="F680" s="326"/>
      <c r="G680" s="285" t="str">
        <f>IFERROR(__xludf.DUMMYFUNCTION("""COMPUTED_VALUE"""),"FORRO AUTOBROCANTE CARVALHO EUROPEU GIZ 15/3 X 190 X 1900MM")</f>
        <v>FORRO AUTOBROCANTE CARVALHO EUROPEU GIZ 15/3 X 190 X 1900MM</v>
      </c>
      <c r="H680" s="283" t="s">
        <v>780</v>
      </c>
      <c r="I680" s="271" t="str">
        <f t="shared" si="4"/>
        <v/>
      </c>
      <c r="J680" s="284"/>
      <c r="K680" s="305" t="s">
        <v>2361</v>
      </c>
      <c r="L680" s="285" t="s">
        <v>818</v>
      </c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6"/>
      <c r="Z680" s="286"/>
      <c r="AA680" s="286"/>
    </row>
    <row r="681">
      <c r="A681" s="271"/>
      <c r="B681" s="271"/>
      <c r="C681" s="285"/>
      <c r="D681" s="285"/>
      <c r="E681" s="285"/>
      <c r="F681" s="326"/>
      <c r="G681" s="285" t="str">
        <f>IFERROR(__xludf.DUMMYFUNCTION("""COMPUTED_VALUE"""),"FORRO AUTOBROCANTE CARVALHO EUROPEU GIZ 20/6 X 300 X 4000MM")</f>
        <v>FORRO AUTOBROCANTE CARVALHO EUROPEU GIZ 20/6 X 300 X 4000MM</v>
      </c>
      <c r="H681" s="283" t="s">
        <v>781</v>
      </c>
      <c r="I681" s="271" t="str">
        <f t="shared" si="4"/>
        <v/>
      </c>
      <c r="J681" s="284"/>
      <c r="K681" s="305" t="s">
        <v>2362</v>
      </c>
      <c r="L681" s="285" t="s">
        <v>819</v>
      </c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6"/>
      <c r="Z681" s="286"/>
      <c r="AA681" s="286"/>
    </row>
    <row r="682">
      <c r="A682" s="271"/>
      <c r="B682" s="271"/>
      <c r="C682" s="285"/>
      <c r="D682" s="285"/>
      <c r="E682" s="285"/>
      <c r="F682" s="326"/>
      <c r="G682" s="285" t="str">
        <f>IFERROR(__xludf.DUMMYFUNCTION("""COMPUTED_VALUE"""),"FORRO AUTOBROCANTE CARVALHO EUROPEU GIZ 20/6 X 400 X 5000MM")</f>
        <v>FORRO AUTOBROCANTE CARVALHO EUROPEU GIZ 20/6 X 400 X 5000MM</v>
      </c>
      <c r="H682" s="283" t="s">
        <v>782</v>
      </c>
      <c r="I682" s="271" t="str">
        <f t="shared" si="4"/>
        <v/>
      </c>
      <c r="J682" s="284"/>
      <c r="K682" s="305" t="s">
        <v>2363</v>
      </c>
      <c r="L682" s="285" t="s">
        <v>820</v>
      </c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6"/>
      <c r="Z682" s="286"/>
      <c r="AA682" s="286"/>
    </row>
    <row r="683">
      <c r="A683" s="271"/>
      <c r="B683" s="271"/>
      <c r="C683" s="285"/>
      <c r="D683" s="285"/>
      <c r="E683" s="285"/>
      <c r="F683" s="326"/>
      <c r="G683" s="285" t="str">
        <f>IFERROR(__xludf.DUMMYFUNCTION("""COMPUTED_VALUE"""),"FORRO AUTOBROCANTE CARVALHO EUROPEU SNOW CHEVRON 15/3 X 1900X 740MM")</f>
        <v>FORRO AUTOBROCANTE CARVALHO EUROPEU SNOW CHEVRON 15/3 X 1900X 740MM</v>
      </c>
      <c r="H683" s="283" t="s">
        <v>783</v>
      </c>
      <c r="I683" s="271" t="str">
        <f t="shared" si="4"/>
        <v/>
      </c>
      <c r="J683" s="284"/>
      <c r="K683" s="305" t="s">
        <v>2364</v>
      </c>
      <c r="L683" s="285" t="s">
        <v>821</v>
      </c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6"/>
      <c r="Z683" s="286"/>
      <c r="AA683" s="286"/>
    </row>
    <row r="684">
      <c r="A684" s="271"/>
      <c r="B684" s="271"/>
      <c r="C684" s="285"/>
      <c r="D684" s="285"/>
      <c r="E684" s="285"/>
      <c r="F684" s="326"/>
      <c r="G684" s="285" t="str">
        <f>IFERROR(__xludf.DUMMYFUNCTION("""COMPUTED_VALUE"""),"FORRO AUTOBROCANTE CARVALHO EUROPEU SNOW 15/3 X 125 X 1200MM")</f>
        <v>FORRO AUTOBROCANTE CARVALHO EUROPEU SNOW 15/3 X 125 X 1200MM</v>
      </c>
      <c r="H684" s="283" t="s">
        <v>784</v>
      </c>
      <c r="I684" s="271" t="str">
        <f t="shared" si="4"/>
        <v/>
      </c>
      <c r="J684" s="284"/>
      <c r="K684" s="305" t="s">
        <v>2365</v>
      </c>
      <c r="L684" s="285" t="s">
        <v>822</v>
      </c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6"/>
      <c r="Z684" s="286"/>
      <c r="AA684" s="286"/>
    </row>
    <row r="685">
      <c r="A685" s="271"/>
      <c r="B685" s="271"/>
      <c r="C685" s="285"/>
      <c r="D685" s="285"/>
      <c r="E685" s="285"/>
      <c r="F685" s="326"/>
      <c r="G685" s="285" t="str">
        <f>IFERROR(__xludf.DUMMYFUNCTION("""COMPUTED_VALUE"""),"FORRO AUTOBROCANTE CARVALHO EUROPEU SNOW 15/3 X 190 X 1900MM")</f>
        <v>FORRO AUTOBROCANTE CARVALHO EUROPEU SNOW 15/3 X 190 X 1900MM</v>
      </c>
      <c r="H685" s="283" t="s">
        <v>785</v>
      </c>
      <c r="I685" s="271" t="str">
        <f t="shared" si="4"/>
        <v/>
      </c>
      <c r="J685" s="284"/>
      <c r="K685" s="305" t="s">
        <v>2366</v>
      </c>
      <c r="L685" s="285" t="s">
        <v>823</v>
      </c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6"/>
      <c r="Z685" s="286"/>
      <c r="AA685" s="286"/>
    </row>
    <row r="686">
      <c r="A686" s="271"/>
      <c r="B686" s="271"/>
      <c r="C686" s="285"/>
      <c r="D686" s="285"/>
      <c r="E686" s="285"/>
      <c r="F686" s="326"/>
      <c r="G686" s="285" t="str">
        <f>IFERROR(__xludf.DUMMYFUNCTION("""COMPUTED_VALUE"""),"FORRO AUTOBROCANTE CARVALHO EUROPEU SNOW 20/6 X 300 X 4000MM")</f>
        <v>FORRO AUTOBROCANTE CARVALHO EUROPEU SNOW 20/6 X 300 X 4000MM</v>
      </c>
      <c r="H686" s="283" t="s">
        <v>786</v>
      </c>
      <c r="I686" s="271" t="str">
        <f t="shared" si="4"/>
        <v/>
      </c>
      <c r="J686" s="284"/>
      <c r="K686" s="305" t="s">
        <v>2367</v>
      </c>
      <c r="L686" s="285" t="s">
        <v>824</v>
      </c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6"/>
      <c r="Z686" s="286"/>
      <c r="AA686" s="286"/>
    </row>
    <row r="687">
      <c r="A687" s="271"/>
      <c r="B687" s="271"/>
      <c r="C687" s="285"/>
      <c r="D687" s="285"/>
      <c r="E687" s="285"/>
      <c r="F687" s="326"/>
      <c r="G687" s="285" t="str">
        <f>IFERROR(__xludf.DUMMYFUNCTION("""COMPUTED_VALUE"""),"FORRO AUTOBROCANTE CARVALHO EUROPEU SNOW 20/6 X 400 X 5000MM")</f>
        <v>FORRO AUTOBROCANTE CARVALHO EUROPEU SNOW 20/6 X 400 X 5000MM</v>
      </c>
      <c r="H687" s="283" t="s">
        <v>787</v>
      </c>
      <c r="I687" s="271" t="str">
        <f t="shared" si="4"/>
        <v/>
      </c>
      <c r="J687" s="284"/>
      <c r="K687" s="305" t="s">
        <v>2368</v>
      </c>
      <c r="L687" s="285" t="s">
        <v>825</v>
      </c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6"/>
      <c r="Z687" s="286"/>
      <c r="AA687" s="286"/>
    </row>
    <row r="688">
      <c r="A688" s="271"/>
      <c r="B688" s="271"/>
      <c r="C688" s="285"/>
      <c r="D688" s="285"/>
      <c r="E688" s="285"/>
      <c r="F688" s="326"/>
      <c r="G688" s="285" t="str">
        <f>IFERROR(__xludf.DUMMYFUNCTION("""COMPUTED_VALUE"""),"FORRO AUTOBROCANTE CARVALHO EUROPEU WILD CHEVRON 15/3 X 1900X 740MM")</f>
        <v>FORRO AUTOBROCANTE CARVALHO EUROPEU WILD CHEVRON 15/3 X 1900X 740MM</v>
      </c>
      <c r="H688" s="283" t="s">
        <v>788</v>
      </c>
      <c r="I688" s="271" t="str">
        <f t="shared" si="4"/>
        <v/>
      </c>
      <c r="J688" s="284"/>
      <c r="K688" s="305" t="s">
        <v>2369</v>
      </c>
      <c r="L688" s="285" t="s">
        <v>826</v>
      </c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6"/>
      <c r="Z688" s="286"/>
      <c r="AA688" s="286"/>
    </row>
    <row r="689">
      <c r="A689" s="271"/>
      <c r="B689" s="271"/>
      <c r="C689" s="285"/>
      <c r="D689" s="285"/>
      <c r="E689" s="285"/>
      <c r="F689" s="326"/>
      <c r="G689" s="285" t="str">
        <f>IFERROR(__xludf.DUMMYFUNCTION("""COMPUTED_VALUE"""),"FORRO AUTOBROCANTE CARVALHO EUROPEU WILD 15/3 X 125 X 1200MM")</f>
        <v>FORRO AUTOBROCANTE CARVALHO EUROPEU WILD 15/3 X 125 X 1200MM</v>
      </c>
      <c r="H689" s="283" t="s">
        <v>789</v>
      </c>
      <c r="I689" s="271" t="str">
        <f t="shared" si="4"/>
        <v/>
      </c>
      <c r="J689" s="284"/>
      <c r="K689" s="305" t="s">
        <v>2370</v>
      </c>
      <c r="L689" s="285" t="s">
        <v>827</v>
      </c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6"/>
      <c r="Z689" s="286"/>
      <c r="AA689" s="286"/>
    </row>
    <row r="690">
      <c r="A690" s="271"/>
      <c r="B690" s="271"/>
      <c r="C690" s="285"/>
      <c r="D690" s="285"/>
      <c r="E690" s="285"/>
      <c r="F690" s="326"/>
      <c r="G690" s="285" t="str">
        <f>IFERROR(__xludf.DUMMYFUNCTION("""COMPUTED_VALUE"""),"FORRO AUTOBROCANTE CARVALHO EUROPEU WILD 15/3 X 190 X 1900MM")</f>
        <v>FORRO AUTOBROCANTE CARVALHO EUROPEU WILD 15/3 X 190 X 1900MM</v>
      </c>
      <c r="H690" s="283" t="s">
        <v>790</v>
      </c>
      <c r="I690" s="271" t="str">
        <f t="shared" si="4"/>
        <v/>
      </c>
      <c r="J690" s="284"/>
      <c r="K690" s="305" t="s">
        <v>2371</v>
      </c>
      <c r="L690" s="285" t="s">
        <v>828</v>
      </c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6"/>
      <c r="Z690" s="286"/>
      <c r="AA690" s="286"/>
    </row>
    <row r="691">
      <c r="A691" s="271"/>
      <c r="B691" s="271"/>
      <c r="C691" s="285"/>
      <c r="D691" s="285"/>
      <c r="E691" s="285"/>
      <c r="F691" s="326"/>
      <c r="G691" s="285" t="str">
        <f>IFERROR(__xludf.DUMMYFUNCTION("""COMPUTED_VALUE"""),"FORRO AUTOBROCANTE CARVALHO EUROPEU WILD 20/6 X 300 X 4000MM")</f>
        <v>FORRO AUTOBROCANTE CARVALHO EUROPEU WILD 20/6 X 300 X 4000MM</v>
      </c>
      <c r="H691" s="283" t="s">
        <v>791</v>
      </c>
      <c r="I691" s="271" t="str">
        <f t="shared" si="4"/>
        <v/>
      </c>
      <c r="J691" s="284"/>
      <c r="K691" s="305" t="s">
        <v>2372</v>
      </c>
      <c r="L691" s="285" t="s">
        <v>829</v>
      </c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6"/>
      <c r="Z691" s="286"/>
      <c r="AA691" s="286"/>
    </row>
    <row r="692">
      <c r="A692" s="271"/>
      <c r="B692" s="271"/>
      <c r="C692" s="285"/>
      <c r="D692" s="285"/>
      <c r="E692" s="285"/>
      <c r="F692" s="326"/>
      <c r="G692" s="285" t="str">
        <f>IFERROR(__xludf.DUMMYFUNCTION("""COMPUTED_VALUE"""),"FORRO AUTOBROCANTE CARVALHO EUROPEU WILD 20/6 X 400 X 5000MM")</f>
        <v>FORRO AUTOBROCANTE CARVALHO EUROPEU WILD 20/6 X 400 X 5000MM</v>
      </c>
      <c r="H692" s="283" t="s">
        <v>792</v>
      </c>
      <c r="I692" s="271" t="str">
        <f t="shared" si="4"/>
        <v/>
      </c>
      <c r="J692" s="284"/>
      <c r="K692" s="305" t="s">
        <v>2373</v>
      </c>
      <c r="L692" s="285" t="s">
        <v>829</v>
      </c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6"/>
      <c r="Z692" s="286"/>
      <c r="AA692" s="286"/>
    </row>
    <row r="693">
      <c r="A693" s="271"/>
      <c r="B693" s="271"/>
      <c r="C693" s="285"/>
      <c r="D693" s="285"/>
      <c r="E693" s="285"/>
      <c r="F693" s="326"/>
      <c r="G693" s="285" t="str">
        <f>IFERROR(__xludf.DUMMYFUNCTION("""COMPUTED_VALUE"""),"FORRO AUTOBROCANTE CARVALHO EUROPEU NEVADO CHEVRON 15/3 X 1900X 740MM")</f>
        <v>FORRO AUTOBROCANTE CARVALHO EUROPEU NEVADO CHEVRON 15/3 X 1900X 740MM</v>
      </c>
      <c r="H693" s="283" t="s">
        <v>793</v>
      </c>
      <c r="I693" s="271" t="str">
        <f t="shared" si="4"/>
        <v/>
      </c>
      <c r="J693" s="284"/>
      <c r="K693" s="305" t="s">
        <v>2374</v>
      </c>
      <c r="L693" s="285" t="s">
        <v>831</v>
      </c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6"/>
      <c r="Z693" s="286"/>
      <c r="AA693" s="286"/>
    </row>
    <row r="694">
      <c r="A694" s="271"/>
      <c r="B694" s="271"/>
      <c r="C694" s="285"/>
      <c r="D694" s="285"/>
      <c r="E694" s="285"/>
      <c r="F694" s="326"/>
      <c r="G694" s="285" t="str">
        <f>IFERROR(__xludf.DUMMYFUNCTION("""COMPUTED_VALUE"""),"FORRO AUTOBROCANTE CARVALHO EUROPEU NEVADO 15/3 X 125 X 1200MM")</f>
        <v>FORRO AUTOBROCANTE CARVALHO EUROPEU NEVADO 15/3 X 125 X 1200MM</v>
      </c>
      <c r="H694" s="283" t="s">
        <v>794</v>
      </c>
      <c r="I694" s="271" t="str">
        <f t="shared" si="4"/>
        <v/>
      </c>
      <c r="J694" s="284"/>
      <c r="K694" s="305" t="s">
        <v>2375</v>
      </c>
      <c r="L694" s="285" t="s">
        <v>832</v>
      </c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6"/>
      <c r="Z694" s="286"/>
      <c r="AA694" s="286"/>
    </row>
    <row r="695">
      <c r="A695" s="271"/>
      <c r="B695" s="271"/>
      <c r="C695" s="285"/>
      <c r="D695" s="285"/>
      <c r="E695" s="285"/>
      <c r="F695" s="326"/>
      <c r="G695" s="285" t="str">
        <f>IFERROR(__xludf.DUMMYFUNCTION("""COMPUTED_VALUE"""),"FORRO AUTOBROCANTE CARVALHO EUROPEU NEVADO 15/3 X 190 X 1900MM")</f>
        <v>FORRO AUTOBROCANTE CARVALHO EUROPEU NEVADO 15/3 X 190 X 1900MM</v>
      </c>
      <c r="H695" s="283" t="s">
        <v>795</v>
      </c>
      <c r="I695" s="271" t="str">
        <f t="shared" si="4"/>
        <v/>
      </c>
      <c r="J695" s="284"/>
      <c r="K695" s="305" t="s">
        <v>2376</v>
      </c>
      <c r="L695" s="285" t="s">
        <v>833</v>
      </c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6"/>
      <c r="Z695" s="286"/>
      <c r="AA695" s="286"/>
    </row>
    <row r="696">
      <c r="A696" s="271"/>
      <c r="B696" s="271"/>
      <c r="C696" s="285"/>
      <c r="D696" s="285"/>
      <c r="E696" s="285"/>
      <c r="F696" s="326"/>
      <c r="G696" s="285" t="str">
        <f>IFERROR(__xludf.DUMMYFUNCTION("""COMPUTED_VALUE"""),"FORRO AUTOBROCANTE CARVALHO EUROPEU NEVADO 20/6 X 300 X 4000MM")</f>
        <v>FORRO AUTOBROCANTE CARVALHO EUROPEU NEVADO 20/6 X 300 X 4000MM</v>
      </c>
      <c r="H696" s="283" t="s">
        <v>796</v>
      </c>
      <c r="I696" s="271" t="str">
        <f t="shared" si="4"/>
        <v/>
      </c>
      <c r="J696" s="284"/>
      <c r="K696" s="305" t="s">
        <v>2377</v>
      </c>
      <c r="L696" s="285" t="s">
        <v>834</v>
      </c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6"/>
      <c r="Z696" s="286"/>
      <c r="AA696" s="286"/>
    </row>
    <row r="697">
      <c r="A697" s="271"/>
      <c r="B697" s="271"/>
      <c r="C697" s="285"/>
      <c r="D697" s="285"/>
      <c r="E697" s="285"/>
      <c r="F697" s="326"/>
      <c r="G697" s="285" t="str">
        <f>IFERROR(__xludf.DUMMYFUNCTION("""COMPUTED_VALUE"""),"FORRO AUTOBROCANTE CARVALHO EUROPEU NEVADO 20/6 X 400 X 5000MM")</f>
        <v>FORRO AUTOBROCANTE CARVALHO EUROPEU NEVADO 20/6 X 400 X 5000MM</v>
      </c>
      <c r="H697" s="283" t="s">
        <v>797</v>
      </c>
      <c r="I697" s="271" t="str">
        <f t="shared" si="4"/>
        <v/>
      </c>
      <c r="J697" s="284"/>
      <c r="K697" s="305" t="s">
        <v>2378</v>
      </c>
      <c r="L697" s="285" t="s">
        <v>835</v>
      </c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6"/>
      <c r="Z697" s="286"/>
      <c r="AA697" s="286"/>
    </row>
    <row r="698">
      <c r="A698" s="271"/>
      <c r="B698" s="271"/>
      <c r="C698" s="285"/>
      <c r="D698" s="285"/>
      <c r="E698" s="285"/>
      <c r="F698" s="326"/>
      <c r="G698" s="285" t="str">
        <f>IFERROR(__xludf.DUMMYFUNCTION("""COMPUTED_VALUE"""),"FORRO AUTOBROCANTE CARVALHO EUROPEU CONCRETE GREY CHEVRON 15/3 X 1900X 740MM")</f>
        <v>FORRO AUTOBROCANTE CARVALHO EUROPEU CONCRETE GREY CHEVRON 15/3 X 1900X 740MM</v>
      </c>
      <c r="H698" s="283" t="s">
        <v>798</v>
      </c>
      <c r="I698" s="271" t="str">
        <f t="shared" si="4"/>
        <v/>
      </c>
      <c r="J698" s="284"/>
      <c r="K698" s="305" t="s">
        <v>2379</v>
      </c>
      <c r="L698" s="285" t="s">
        <v>836</v>
      </c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6"/>
      <c r="Z698" s="286"/>
      <c r="AA698" s="286"/>
    </row>
    <row r="699">
      <c r="A699" s="271"/>
      <c r="B699" s="271"/>
      <c r="C699" s="285"/>
      <c r="D699" s="285"/>
      <c r="E699" s="285"/>
      <c r="F699" s="326"/>
      <c r="G699" s="285" t="str">
        <f>IFERROR(__xludf.DUMMYFUNCTION("""COMPUTED_VALUE"""),"FORRO AUTOBROCANTE CARVALHO EUROPEU CONCRETE GREY 15/3 X 125 X 1200MM")</f>
        <v>FORRO AUTOBROCANTE CARVALHO EUROPEU CONCRETE GREY 15/3 X 125 X 1200MM</v>
      </c>
      <c r="H699" s="283" t="s">
        <v>799</v>
      </c>
      <c r="I699" s="271" t="str">
        <f t="shared" si="4"/>
        <v/>
      </c>
      <c r="J699" s="284"/>
      <c r="K699" s="305" t="s">
        <v>2380</v>
      </c>
      <c r="L699" s="285" t="s">
        <v>837</v>
      </c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6"/>
      <c r="Z699" s="286"/>
      <c r="AA699" s="286"/>
    </row>
    <row r="700">
      <c r="A700" s="271"/>
      <c r="B700" s="271"/>
      <c r="C700" s="285"/>
      <c r="D700" s="285"/>
      <c r="E700" s="285"/>
      <c r="F700" s="326"/>
      <c r="G700" s="285" t="str">
        <f>IFERROR(__xludf.DUMMYFUNCTION("""COMPUTED_VALUE"""),"FORRO AUTOBROCANTE CARVALHO EUROPEU CONCRETE GREY 15/3 X 190 X 1900MM")</f>
        <v>FORRO AUTOBROCANTE CARVALHO EUROPEU CONCRETE GREY 15/3 X 190 X 1900MM</v>
      </c>
      <c r="H700" s="283" t="s">
        <v>800</v>
      </c>
      <c r="I700" s="271" t="str">
        <f t="shared" si="4"/>
        <v/>
      </c>
      <c r="J700" s="284"/>
      <c r="K700" s="305" t="s">
        <v>2381</v>
      </c>
      <c r="L700" s="285" t="s">
        <v>845</v>
      </c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6"/>
      <c r="Z700" s="286"/>
      <c r="AA700" s="286"/>
    </row>
    <row r="701">
      <c r="A701" s="271"/>
      <c r="B701" s="271"/>
      <c r="C701" s="285"/>
      <c r="D701" s="285"/>
      <c r="E701" s="285"/>
      <c r="F701" s="326"/>
      <c r="G701" s="285" t="str">
        <f>IFERROR(__xludf.DUMMYFUNCTION("""COMPUTED_VALUE"""),"FORRO AUTOBROCANTE CARVALHO EUROPEU CONCRETE GREY 20/6 X 300 X 4000MM")</f>
        <v>FORRO AUTOBROCANTE CARVALHO EUROPEU CONCRETE GREY 20/6 X 300 X 4000MM</v>
      </c>
      <c r="H701" s="283" t="s">
        <v>801</v>
      </c>
      <c r="I701" s="271" t="str">
        <f t="shared" si="4"/>
        <v/>
      </c>
      <c r="J701" s="284"/>
      <c r="K701" s="305" t="s">
        <v>2382</v>
      </c>
      <c r="L701" s="285" t="s">
        <v>846</v>
      </c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6"/>
      <c r="Z701" s="286"/>
      <c r="AA701" s="286"/>
    </row>
    <row r="702">
      <c r="A702" s="271"/>
      <c r="B702" s="271"/>
      <c r="C702" s="285"/>
      <c r="D702" s="285"/>
      <c r="E702" s="285"/>
      <c r="F702" s="326"/>
      <c r="G702" s="285" t="str">
        <f>IFERROR(__xludf.DUMMYFUNCTION("""COMPUTED_VALUE"""),"FORRO AUTOBROCANTE CARVALHO EUROPEU CONCRETE GREY 20/6 X 400 X 5000MM")</f>
        <v>FORRO AUTOBROCANTE CARVALHO EUROPEU CONCRETE GREY 20/6 X 400 X 5000MM</v>
      </c>
      <c r="H702" s="283" t="s">
        <v>802</v>
      </c>
      <c r="I702" s="271" t="str">
        <f t="shared" si="4"/>
        <v/>
      </c>
      <c r="J702" s="284"/>
      <c r="K702" s="305" t="s">
        <v>2383</v>
      </c>
      <c r="L702" s="285" t="s">
        <v>847</v>
      </c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6"/>
      <c r="Z702" s="286"/>
      <c r="AA702" s="286"/>
    </row>
    <row r="703">
      <c r="A703" s="271"/>
      <c r="B703" s="271"/>
      <c r="C703" s="285"/>
      <c r="D703" s="285"/>
      <c r="E703" s="285"/>
      <c r="F703" s="326"/>
      <c r="G703" s="285" t="str">
        <f>IFERROR(__xludf.DUMMYFUNCTION("""COMPUTED_VALUE"""),"FORRO AUTOBROCANTE CARVALHO EUROPEU ITALY BROWN CHEVRON 15/3 X 1900X 740MM")</f>
        <v>FORRO AUTOBROCANTE CARVALHO EUROPEU ITALY BROWN CHEVRON 15/3 X 1900X 740MM</v>
      </c>
      <c r="H703" s="283" t="s">
        <v>803</v>
      </c>
      <c r="I703" s="271" t="str">
        <f t="shared" si="4"/>
        <v/>
      </c>
      <c r="J703" s="284"/>
      <c r="K703" s="305" t="s">
        <v>2384</v>
      </c>
      <c r="L703" s="285" t="s">
        <v>848</v>
      </c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6"/>
      <c r="Z703" s="286"/>
      <c r="AA703" s="286"/>
    </row>
    <row r="704">
      <c r="A704" s="271"/>
      <c r="B704" s="271"/>
      <c r="C704" s="285"/>
      <c r="D704" s="285"/>
      <c r="E704" s="285"/>
      <c r="F704" s="326"/>
      <c r="G704" s="285" t="str">
        <f>IFERROR(__xludf.DUMMYFUNCTION("""COMPUTED_VALUE"""),"FORRO AUTOBROCANTE CARVALHO EUROPEU ITALY BROWN 15/3 X 125 X 1200MM")</f>
        <v>FORRO AUTOBROCANTE CARVALHO EUROPEU ITALY BROWN 15/3 X 125 X 1200MM</v>
      </c>
      <c r="H704" s="283" t="s">
        <v>804</v>
      </c>
      <c r="I704" s="271" t="str">
        <f t="shared" si="4"/>
        <v/>
      </c>
      <c r="J704" s="284"/>
      <c r="K704" s="305" t="s">
        <v>2385</v>
      </c>
      <c r="L704" s="285" t="s">
        <v>849</v>
      </c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6"/>
      <c r="Z704" s="286"/>
      <c r="AA704" s="286"/>
    </row>
    <row r="705">
      <c r="A705" s="271"/>
      <c r="B705" s="271"/>
      <c r="C705" s="285"/>
      <c r="D705" s="285"/>
      <c r="E705" s="285"/>
      <c r="F705" s="326"/>
      <c r="G705" s="285" t="str">
        <f>IFERROR(__xludf.DUMMYFUNCTION("""COMPUTED_VALUE"""),"FORRO AUTOBROCANTE CARVALHO EUROPEU ITALY BROWN 15/3 X 190 X 1900MM")</f>
        <v>FORRO AUTOBROCANTE CARVALHO EUROPEU ITALY BROWN 15/3 X 190 X 1900MM</v>
      </c>
      <c r="H705" s="283" t="s">
        <v>805</v>
      </c>
      <c r="I705" s="271" t="str">
        <f t="shared" si="4"/>
        <v/>
      </c>
      <c r="J705" s="284"/>
      <c r="K705" s="305" t="s">
        <v>2386</v>
      </c>
      <c r="L705" s="285" t="s">
        <v>850</v>
      </c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6"/>
      <c r="Z705" s="286"/>
      <c r="AA705" s="286"/>
    </row>
    <row r="706">
      <c r="A706" s="271"/>
      <c r="B706" s="271"/>
      <c r="C706" s="285"/>
      <c r="D706" s="285"/>
      <c r="E706" s="285"/>
      <c r="F706" s="326"/>
      <c r="G706" s="285" t="str">
        <f>IFERROR(__xludf.DUMMYFUNCTION("""COMPUTED_VALUE"""),"FORRO AUTOBROCANTE CARVALHO EUROPEU ITALY BROWN 20/6 X 300 X 4000MM")</f>
        <v>FORRO AUTOBROCANTE CARVALHO EUROPEU ITALY BROWN 20/6 X 300 X 4000MM</v>
      </c>
      <c r="H706" s="283" t="s">
        <v>806</v>
      </c>
      <c r="I706" s="271" t="str">
        <f t="shared" si="4"/>
        <v/>
      </c>
      <c r="J706" s="284"/>
      <c r="K706" s="305" t="s">
        <v>2387</v>
      </c>
      <c r="L706" s="285" t="s">
        <v>851</v>
      </c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6"/>
      <c r="Z706" s="286"/>
      <c r="AA706" s="286"/>
    </row>
    <row r="707">
      <c r="A707" s="271"/>
      <c r="B707" s="271"/>
      <c r="C707" s="285"/>
      <c r="D707" s="285"/>
      <c r="E707" s="285"/>
      <c r="F707" s="326"/>
      <c r="G707" s="285" t="str">
        <f>IFERROR(__xludf.DUMMYFUNCTION("""COMPUTED_VALUE"""),"FORRO AUTOBROCANTE CARVALHO EUROPEU ITALY BROWN 20/6 X 400 X 5000MM")</f>
        <v>FORRO AUTOBROCANTE CARVALHO EUROPEU ITALY BROWN 20/6 X 400 X 5000MM</v>
      </c>
      <c r="H707" s="283" t="s">
        <v>807</v>
      </c>
      <c r="I707" s="271" t="str">
        <f t="shared" si="4"/>
        <v/>
      </c>
      <c r="J707" s="284"/>
      <c r="K707" s="305" t="s">
        <v>2388</v>
      </c>
      <c r="L707" s="273" t="s">
        <v>2389</v>
      </c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6"/>
      <c r="Z707" s="286"/>
      <c r="AA707" s="286"/>
    </row>
    <row r="708">
      <c r="A708" s="271"/>
      <c r="B708" s="271"/>
      <c r="C708" s="271"/>
      <c r="D708" s="271"/>
      <c r="E708" s="271"/>
      <c r="F708" s="322"/>
      <c r="G708" s="271" t="str">
        <f>IFERROR(__xludf.DUMMYFUNCTION("""COMPUTED_VALUE"""),"FORRO AUTOBROCANTE CARVALHO EUROPEU ALL BLACK CHEVRON 15/3 X 1900X 740MM")</f>
        <v>FORRO AUTOBROCANTE CARVALHO EUROPEU ALL BLACK CHEVRON 15/3 X 1900X 740MM</v>
      </c>
      <c r="H708" s="283" t="s">
        <v>808</v>
      </c>
      <c r="I708" s="271" t="str">
        <f t="shared" si="4"/>
        <v/>
      </c>
      <c r="J708" s="288"/>
      <c r="K708" s="305" t="s">
        <v>2390</v>
      </c>
      <c r="L708" s="273" t="s">
        <v>2391</v>
      </c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5"/>
      <c r="Z708" s="275"/>
      <c r="AA708" s="275"/>
    </row>
    <row r="709">
      <c r="A709" s="271"/>
      <c r="B709" s="271"/>
      <c r="C709" s="271"/>
      <c r="D709" s="271"/>
      <c r="E709" s="271"/>
      <c r="F709" s="322"/>
      <c r="G709" s="271" t="str">
        <f>IFERROR(__xludf.DUMMYFUNCTION("""COMPUTED_VALUE"""),"FORRO AUTOBROCANTE CARVALHO EUROPEU ALL BLACK 15/3 X 125 X 1200MM")</f>
        <v>FORRO AUTOBROCANTE CARVALHO EUROPEU ALL BLACK 15/3 X 125 X 1200MM</v>
      </c>
      <c r="H709" s="283" t="s">
        <v>809</v>
      </c>
      <c r="I709" s="271" t="str">
        <f t="shared" si="4"/>
        <v/>
      </c>
      <c r="J709" s="288"/>
      <c r="K709" s="305" t="s">
        <v>2392</v>
      </c>
      <c r="L709" s="273" t="s">
        <v>2393</v>
      </c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5"/>
      <c r="Z709" s="275"/>
      <c r="AA709" s="275"/>
    </row>
    <row r="710">
      <c r="A710" s="271"/>
      <c r="B710" s="271"/>
      <c r="C710" s="271"/>
      <c r="D710" s="271"/>
      <c r="E710" s="271"/>
      <c r="F710" s="322"/>
      <c r="G710" s="271" t="str">
        <f>IFERROR(__xludf.DUMMYFUNCTION("""COMPUTED_VALUE"""),"FORRO AUTOBROCANTE CARVALHO EUROPEU BLACK CHEVRON TG 15/3 X 125 X 775CM")</f>
        <v>FORRO AUTOBROCANTE CARVALHO EUROPEU BLACK CHEVRON TG 15/3 X 125 X 775CM</v>
      </c>
      <c r="H710" s="283" t="s">
        <v>810</v>
      </c>
      <c r="I710" s="271" t="str">
        <f t="shared" si="4"/>
        <v/>
      </c>
      <c r="J710" s="288"/>
      <c r="K710" s="305" t="s">
        <v>2394</v>
      </c>
      <c r="L710" s="273" t="s">
        <v>2395</v>
      </c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5"/>
      <c r="Z710" s="275"/>
      <c r="AA710" s="275"/>
    </row>
    <row r="711">
      <c r="A711" s="271"/>
      <c r="B711" s="271"/>
      <c r="C711" s="285"/>
      <c r="D711" s="285"/>
      <c r="E711" s="285"/>
      <c r="F711" s="326"/>
      <c r="G711" s="285" t="str">
        <f>IFERROR(__xludf.DUMMYFUNCTION("""COMPUTED_VALUE"""),"FORRO AUTOBROCANTE CARVALHO EUROPEU ALL BLACK 15/3 X 190 X 1900MM")</f>
        <v>FORRO AUTOBROCANTE CARVALHO EUROPEU ALL BLACK 15/3 X 190 X 1900MM</v>
      </c>
      <c r="H711" s="283" t="s">
        <v>811</v>
      </c>
      <c r="I711" s="271" t="str">
        <f t="shared" si="4"/>
        <v/>
      </c>
      <c r="J711" s="284"/>
      <c r="K711" s="305" t="s">
        <v>2396</v>
      </c>
      <c r="L711" s="273" t="s">
        <v>2397</v>
      </c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6"/>
      <c r="Z711" s="286"/>
      <c r="AA711" s="286"/>
    </row>
    <row r="712">
      <c r="A712" s="271"/>
      <c r="B712" s="271"/>
      <c r="C712" s="285"/>
      <c r="D712" s="285"/>
      <c r="E712" s="285"/>
      <c r="F712" s="326"/>
      <c r="G712" s="285" t="str">
        <f>IFERROR(__xludf.DUMMYFUNCTION("""COMPUTED_VALUE"""),"FORRO AUTOBROCANTE CARVALHO EUROPEU ALL BLACK 20/6 X 300 X 4000MM")</f>
        <v>FORRO AUTOBROCANTE CARVALHO EUROPEU ALL BLACK 20/6 X 300 X 4000MM</v>
      </c>
      <c r="H712" s="283" t="s">
        <v>812</v>
      </c>
      <c r="I712" s="271" t="str">
        <f t="shared" si="4"/>
        <v/>
      </c>
      <c r="J712" s="284"/>
      <c r="K712" s="305" t="s">
        <v>2398</v>
      </c>
      <c r="L712" s="273" t="s">
        <v>2399</v>
      </c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6"/>
      <c r="Z712" s="286"/>
      <c r="AA712" s="286"/>
    </row>
    <row r="713">
      <c r="A713" s="271"/>
      <c r="B713" s="271"/>
      <c r="C713" s="285"/>
      <c r="D713" s="285"/>
      <c r="E713" s="285"/>
      <c r="F713" s="326"/>
      <c r="G713" s="285" t="str">
        <f>IFERROR(__xludf.DUMMYFUNCTION("""COMPUTED_VALUE"""),"FORRO AUTOBROCANTE CARVALHO EUROPEU ALL BLACK 20/6 X 400 X 5000MM")</f>
        <v>FORRO AUTOBROCANTE CARVALHO EUROPEU ALL BLACK 20/6 X 400 X 5000MM</v>
      </c>
      <c r="H713" s="283" t="s">
        <v>813</v>
      </c>
      <c r="I713" s="271" t="str">
        <f t="shared" si="4"/>
        <v/>
      </c>
      <c r="J713" s="284"/>
      <c r="K713" s="305" t="s">
        <v>2400</v>
      </c>
      <c r="L713" s="273" t="s">
        <v>2401</v>
      </c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6"/>
      <c r="Z713" s="286"/>
      <c r="AA713" s="286"/>
    </row>
    <row r="714">
      <c r="A714" s="271"/>
      <c r="B714" s="271"/>
      <c r="C714" s="285"/>
      <c r="D714" s="285"/>
      <c r="E714" s="285"/>
      <c r="F714" s="326"/>
      <c r="G714" s="285" t="str">
        <f>IFERROR(__xludf.DUMMYFUNCTION("""COMPUTED_VALUE"""),"FORRO AUTOBROCANTE CARVALHO EUROPEU URBAN GREY CHEVRON 15/3 X 1900X 740MM")</f>
        <v>FORRO AUTOBROCANTE CARVALHO EUROPEU URBAN GREY CHEVRON 15/3 X 1900X 740MM</v>
      </c>
      <c r="H714" s="283" t="s">
        <v>814</v>
      </c>
      <c r="I714" s="271" t="str">
        <f t="shared" si="4"/>
        <v/>
      </c>
      <c r="J714" s="284"/>
      <c r="K714" s="305" t="s">
        <v>2402</v>
      </c>
      <c r="L714" s="273" t="s">
        <v>2403</v>
      </c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6"/>
      <c r="Z714" s="286"/>
      <c r="AA714" s="286"/>
    </row>
    <row r="715">
      <c r="A715" s="271"/>
      <c r="B715" s="271"/>
      <c r="C715" s="285"/>
      <c r="D715" s="285"/>
      <c r="E715" s="285"/>
      <c r="F715" s="326"/>
      <c r="G715" s="285" t="str">
        <f>IFERROR(__xludf.DUMMYFUNCTION("""COMPUTED_VALUE"""),"FORRO AUTOBROCANTE CARVALHO EUROPEU URBAN GREY 15/3 X 125 X 1200MM")</f>
        <v>FORRO AUTOBROCANTE CARVALHO EUROPEU URBAN GREY 15/3 X 125 X 1200MM</v>
      </c>
      <c r="H715" s="283" t="s">
        <v>815</v>
      </c>
      <c r="I715" s="271" t="str">
        <f t="shared" si="4"/>
        <v/>
      </c>
      <c r="J715" s="284"/>
      <c r="K715" s="305" t="s">
        <v>2404</v>
      </c>
      <c r="L715" s="273" t="s">
        <v>2405</v>
      </c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6"/>
      <c r="Z715" s="286"/>
      <c r="AA715" s="286"/>
    </row>
    <row r="716">
      <c r="A716" s="271"/>
      <c r="B716" s="271"/>
      <c r="C716" s="285"/>
      <c r="D716" s="285"/>
      <c r="E716" s="285"/>
      <c r="F716" s="326"/>
      <c r="G716" s="285" t="str">
        <f>IFERROR(__xludf.DUMMYFUNCTION("""COMPUTED_VALUE"""),"FORRO AUTOBROCANTE CARVALHO EUROPEU URBAN GREY 15/3 X 190 X 1900MM")</f>
        <v>FORRO AUTOBROCANTE CARVALHO EUROPEU URBAN GREY 15/3 X 190 X 1900MM</v>
      </c>
      <c r="H716" s="283" t="s">
        <v>816</v>
      </c>
      <c r="I716" s="271" t="str">
        <f t="shared" si="4"/>
        <v/>
      </c>
      <c r="J716" s="284"/>
      <c r="K716" s="305" t="s">
        <v>2406</v>
      </c>
      <c r="L716" s="273" t="s">
        <v>2407</v>
      </c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6"/>
      <c r="Z716" s="286"/>
      <c r="AA716" s="286"/>
    </row>
    <row r="717">
      <c r="A717" s="271"/>
      <c r="B717" s="271"/>
      <c r="C717" s="285"/>
      <c r="D717" s="285"/>
      <c r="E717" s="285"/>
      <c r="F717" s="326"/>
      <c r="G717" s="285" t="str">
        <f>IFERROR(__xludf.DUMMYFUNCTION("""COMPUTED_VALUE"""),"FORRO AUTOBROCANTE CARVALHO EUROPEU URBAN GREY 20/6 X 300 X 4000MM")</f>
        <v>FORRO AUTOBROCANTE CARVALHO EUROPEU URBAN GREY 20/6 X 300 X 4000MM</v>
      </c>
      <c r="H717" s="283" t="s">
        <v>817</v>
      </c>
      <c r="I717" s="271" t="str">
        <f t="shared" si="4"/>
        <v/>
      </c>
      <c r="J717" s="284"/>
      <c r="K717" s="305" t="s">
        <v>2408</v>
      </c>
      <c r="L717" s="273" t="s">
        <v>2409</v>
      </c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6"/>
      <c r="Z717" s="286"/>
      <c r="AA717" s="286"/>
    </row>
    <row r="718">
      <c r="A718" s="271"/>
      <c r="B718" s="271"/>
      <c r="C718" s="285"/>
      <c r="D718" s="285"/>
      <c r="E718" s="285"/>
      <c r="F718" s="326"/>
      <c r="G718" s="285" t="str">
        <f>IFERROR(__xludf.DUMMYFUNCTION("""COMPUTED_VALUE"""),"FORRO AUTOBROCANTE CARVALHO EUROPEU URBAN GREY 20/6 X 400 X 5000MM")</f>
        <v>FORRO AUTOBROCANTE CARVALHO EUROPEU URBAN GREY 20/6 X 400 X 5000MM</v>
      </c>
      <c r="H718" s="283" t="s">
        <v>818</v>
      </c>
      <c r="I718" s="271" t="str">
        <f t="shared" si="4"/>
        <v/>
      </c>
      <c r="J718" s="284"/>
      <c r="K718" s="305" t="s">
        <v>2410</v>
      </c>
      <c r="L718" s="273" t="s">
        <v>2411</v>
      </c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6"/>
      <c r="Z718" s="286"/>
      <c r="AA718" s="286"/>
    </row>
    <row r="719">
      <c r="A719" s="271"/>
      <c r="B719" s="271"/>
      <c r="C719" s="285"/>
      <c r="D719" s="285"/>
      <c r="E719" s="285"/>
      <c r="F719" s="326"/>
      <c r="G719" s="285" t="str">
        <f>IFERROR(__xludf.DUMMYFUNCTION("""COMPUTED_VALUE"""),"FORRO AUTOBROCANTE CARVALHO EUROPEU CARAMEL CHEVRON 15/3 X 1900X 740MM")</f>
        <v>FORRO AUTOBROCANTE CARVALHO EUROPEU CARAMEL CHEVRON 15/3 X 1900X 740MM</v>
      </c>
      <c r="H719" s="283" t="s">
        <v>819</v>
      </c>
      <c r="I719" s="271" t="str">
        <f t="shared" si="4"/>
        <v/>
      </c>
      <c r="J719" s="284"/>
      <c r="K719" s="305" t="s">
        <v>2412</v>
      </c>
      <c r="L719" s="273" t="s">
        <v>2413</v>
      </c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6"/>
      <c r="Z719" s="286"/>
      <c r="AA719" s="286"/>
    </row>
    <row r="720">
      <c r="A720" s="271"/>
      <c r="B720" s="271"/>
      <c r="C720" s="285"/>
      <c r="D720" s="285"/>
      <c r="E720" s="285"/>
      <c r="F720" s="326"/>
      <c r="G720" s="285" t="str">
        <f>IFERROR(__xludf.DUMMYFUNCTION("""COMPUTED_VALUE"""),"FORRO AUTOBROCANTE CARVALHO EUROPEU CARAMEL 15/3 X 125 X 1200MM")</f>
        <v>FORRO AUTOBROCANTE CARVALHO EUROPEU CARAMEL 15/3 X 125 X 1200MM</v>
      </c>
      <c r="H720" s="283" t="s">
        <v>820</v>
      </c>
      <c r="I720" s="271" t="str">
        <f t="shared" si="4"/>
        <v/>
      </c>
      <c r="J720" s="284"/>
      <c r="K720" s="305" t="s">
        <v>2414</v>
      </c>
      <c r="L720" s="285" t="s">
        <v>882</v>
      </c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6"/>
      <c r="Z720" s="286"/>
      <c r="AA720" s="286"/>
    </row>
    <row r="721">
      <c r="A721" s="271"/>
      <c r="B721" s="271"/>
      <c r="C721" s="285"/>
      <c r="D721" s="285"/>
      <c r="E721" s="285"/>
      <c r="F721" s="326"/>
      <c r="G721" s="285" t="str">
        <f>IFERROR(__xludf.DUMMYFUNCTION("""COMPUTED_VALUE"""),"FORRO AUTOBROCANTE CARVALHO EUROPEU CARAMEL 15/3 X 190 X 1900MM")</f>
        <v>FORRO AUTOBROCANTE CARVALHO EUROPEU CARAMEL 15/3 X 190 X 1900MM</v>
      </c>
      <c r="H721" s="283" t="s">
        <v>821</v>
      </c>
      <c r="I721" s="271" t="str">
        <f t="shared" si="4"/>
        <v/>
      </c>
      <c r="J721" s="284"/>
      <c r="K721" s="305" t="s">
        <v>2415</v>
      </c>
      <c r="L721" s="285" t="s">
        <v>883</v>
      </c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6"/>
      <c r="Z721" s="286"/>
      <c r="AA721" s="286"/>
    </row>
    <row r="722">
      <c r="A722" s="271"/>
      <c r="B722" s="271"/>
      <c r="C722" s="285"/>
      <c r="D722" s="285"/>
      <c r="E722" s="285"/>
      <c r="F722" s="326"/>
      <c r="G722" s="285" t="str">
        <f>IFERROR(__xludf.DUMMYFUNCTION("""COMPUTED_VALUE"""),"FORRO AUTOBROCANTE CARVALHO EUROPEU CARAMEL 20/6 X 300 X 4000MM")</f>
        <v>FORRO AUTOBROCANTE CARVALHO EUROPEU CARAMEL 20/6 X 300 X 4000MM</v>
      </c>
      <c r="H722" s="283" t="s">
        <v>822</v>
      </c>
      <c r="I722" s="271" t="str">
        <f t="shared" si="4"/>
        <v/>
      </c>
      <c r="J722" s="284"/>
      <c r="K722" s="305" t="s">
        <v>2416</v>
      </c>
      <c r="L722" s="285" t="s">
        <v>884</v>
      </c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6"/>
      <c r="Z722" s="286"/>
      <c r="AA722" s="286"/>
    </row>
    <row r="723">
      <c r="A723" s="271"/>
      <c r="B723" s="271"/>
      <c r="C723" s="285"/>
      <c r="D723" s="285"/>
      <c r="E723" s="285"/>
      <c r="F723" s="326"/>
      <c r="G723" s="285" t="str">
        <f>IFERROR(__xludf.DUMMYFUNCTION("""COMPUTED_VALUE"""),"FORRO AUTOBROCANTE CARVALHO EUROPEU CARAMEL 20/6 X 400 X 5000MM")</f>
        <v>FORRO AUTOBROCANTE CARVALHO EUROPEU CARAMEL 20/6 X 400 X 5000MM</v>
      </c>
      <c r="H723" s="283" t="s">
        <v>823</v>
      </c>
      <c r="I723" s="271" t="str">
        <f t="shared" si="4"/>
        <v/>
      </c>
      <c r="J723" s="284"/>
      <c r="K723" s="305" t="s">
        <v>2417</v>
      </c>
      <c r="L723" s="285" t="s">
        <v>885</v>
      </c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6"/>
      <c r="Z723" s="286"/>
      <c r="AA723" s="286"/>
    </row>
    <row r="724">
      <c r="A724" s="271"/>
      <c r="B724" s="271"/>
      <c r="C724" s="285"/>
      <c r="D724" s="285"/>
      <c r="E724" s="285"/>
      <c r="F724" s="326"/>
      <c r="G724" s="285" t="str">
        <f>IFERROR(__xludf.DUMMYFUNCTION("""COMPUTED_VALUE"""),"FORRO AUTOBROCANTE CARVALHO EUROPEU CHEMICAL CHEVRON TG 15/3*190*740MM")</f>
        <v>FORRO AUTOBROCANTE CARVALHO EUROPEU CHEMICAL CHEVRON TG 15/3*190*740MM</v>
      </c>
      <c r="H724" s="283" t="s">
        <v>824</v>
      </c>
      <c r="I724" s="271" t="str">
        <f t="shared" si="4"/>
        <v/>
      </c>
      <c r="J724" s="284"/>
      <c r="K724" s="305" t="s">
        <v>2418</v>
      </c>
      <c r="L724" s="285" t="s">
        <v>886</v>
      </c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6"/>
      <c r="Z724" s="286"/>
      <c r="AA724" s="286"/>
    </row>
    <row r="725">
      <c r="A725" s="271"/>
      <c r="B725" s="271"/>
      <c r="C725" s="285"/>
      <c r="D725" s="285"/>
      <c r="E725" s="285"/>
      <c r="F725" s="326"/>
      <c r="G725" s="285" t="str">
        <f>IFERROR(__xludf.DUMMYFUNCTION("""COMPUTED_VALUE"""),"FORRO AUTOBROCANTE CARVALHO EUROPEU WHITE RUSTIC 15/4*189*1860MM")</f>
        <v>FORRO AUTOBROCANTE CARVALHO EUROPEU WHITE RUSTIC 15/4*189*1860MM</v>
      </c>
      <c r="H725" s="283" t="s">
        <v>825</v>
      </c>
      <c r="I725" s="271" t="str">
        <f t="shared" si="4"/>
        <v/>
      </c>
      <c r="J725" s="284"/>
      <c r="K725" s="305" t="s">
        <v>2419</v>
      </c>
      <c r="L725" s="285" t="s">
        <v>887</v>
      </c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6"/>
      <c r="Z725" s="286"/>
      <c r="AA725" s="286"/>
    </row>
    <row r="726">
      <c r="A726" s="271"/>
      <c r="B726" s="271"/>
      <c r="C726" s="285"/>
      <c r="D726" s="285"/>
      <c r="E726" s="285"/>
      <c r="F726" s="326"/>
      <c r="G726" s="285" t="str">
        <f>IFERROR(__xludf.DUMMYFUNCTION("""COMPUTED_VALUE"""),"FORRO AUTOBROCANTE CARVALHO EUROPEU CUSTOMIZADO 14/3 X 12,7 X 186CM")</f>
        <v>FORRO AUTOBROCANTE CARVALHO EUROPEU CUSTOMIZADO 14/3 X 12,7 X 186CM</v>
      </c>
      <c r="H726" s="283" t="s">
        <v>826</v>
      </c>
      <c r="I726" s="271" t="str">
        <f t="shared" si="4"/>
        <v/>
      </c>
      <c r="J726" s="284"/>
      <c r="K726" s="305" t="s">
        <v>2420</v>
      </c>
      <c r="L726" s="285" t="s">
        <v>888</v>
      </c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6"/>
      <c r="Z726" s="286"/>
      <c r="AA726" s="286"/>
    </row>
    <row r="727">
      <c r="A727" s="271"/>
      <c r="B727" s="271"/>
      <c r="C727" s="285"/>
      <c r="D727" s="285"/>
      <c r="E727" s="285"/>
      <c r="F727" s="326"/>
      <c r="G727" s="285" t="str">
        <f>IFERROR(__xludf.DUMMYFUNCTION("""COMPUTED_VALUE"""),"FORRO AUTOBROCANTE CARVALHO EUROPEU CUSTOMIZADO 2.0 X 19 X 190CM (C2)")</f>
        <v>FORRO AUTOBROCANTE CARVALHO EUROPEU CUSTOMIZADO 2.0 X 19 X 190CM (C2)</v>
      </c>
      <c r="H727" s="283" t="s">
        <v>827</v>
      </c>
      <c r="I727" s="271" t="str">
        <f t="shared" si="4"/>
        <v/>
      </c>
      <c r="J727" s="284"/>
      <c r="K727" s="305" t="s">
        <v>2421</v>
      </c>
      <c r="L727" s="285" t="s">
        <v>889</v>
      </c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6"/>
      <c r="Z727" s="286"/>
      <c r="AA727" s="286"/>
    </row>
    <row r="728">
      <c r="A728" s="271"/>
      <c r="B728" s="271"/>
      <c r="C728" s="285"/>
      <c r="D728" s="285"/>
      <c r="E728" s="285"/>
      <c r="F728" s="326"/>
      <c r="G728" s="285" t="str">
        <f>IFERROR(__xludf.DUMMYFUNCTION("""COMPUTED_VALUE"""),"FORRO AUTOBROCANTE CARVALHO EUROPEU NATURAL CHEVRON TG 1.5/3 X 9X 51CM")</f>
        <v>FORRO AUTOBROCANTE CARVALHO EUROPEU NATURAL CHEVRON TG 1.5/3 X 9X 51CM</v>
      </c>
      <c r="H728" s="283" t="s">
        <v>828</v>
      </c>
      <c r="I728" s="271" t="str">
        <f t="shared" si="4"/>
        <v/>
      </c>
      <c r="J728" s="284"/>
      <c r="K728" s="305" t="s">
        <v>2422</v>
      </c>
      <c r="L728" s="285" t="s">
        <v>890</v>
      </c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6"/>
      <c r="Z728" s="286"/>
      <c r="AA728" s="286"/>
    </row>
    <row r="729">
      <c r="A729" s="271"/>
      <c r="B729" s="271"/>
      <c r="C729" s="285"/>
      <c r="D729" s="285"/>
      <c r="E729" s="285"/>
      <c r="F729" s="326"/>
      <c r="G729" s="285" t="str">
        <f>IFERROR(__xludf.DUMMYFUNCTION("""COMPUTED_VALUE"""),"FORRO AUTOBROCANTE CARVALHO EUROPEU NATURAL CHEVRON TG 1.5/3 X 9X 51CM")</f>
        <v>FORRO AUTOBROCANTE CARVALHO EUROPEU NATURAL CHEVRON TG 1.5/3 X 9X 51CM</v>
      </c>
      <c r="H729" s="283" t="s">
        <v>829</v>
      </c>
      <c r="I729" s="271" t="str">
        <f t="shared" si="4"/>
        <v/>
      </c>
      <c r="J729" s="284"/>
      <c r="K729" s="305" t="s">
        <v>2423</v>
      </c>
      <c r="L729" s="285" t="s">
        <v>891</v>
      </c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6"/>
      <c r="Z729" s="286"/>
      <c r="AA729" s="286"/>
    </row>
    <row r="730">
      <c r="A730" s="271"/>
      <c r="B730" s="271"/>
      <c r="C730" s="285"/>
      <c r="D730" s="285"/>
      <c r="E730" s="285"/>
      <c r="F730" s="326"/>
      <c r="G730" s="285" t="str">
        <f>IFERROR(__xludf.DUMMYFUNCTION("""COMPUTED_VALUE"""),"FORRO AUTOBROCANTE CARVALHO EUROPEU NUDE CHEVRON 60.. TG 15/3 X 190 X 90CM")</f>
        <v>FORRO AUTOBROCANTE CARVALHO EUROPEU NUDE CHEVRON 60.. TG 15/3 X 190 X 90CM</v>
      </c>
      <c r="H730" s="283" t="s">
        <v>829</v>
      </c>
      <c r="I730" s="271" t="str">
        <f t="shared" si="4"/>
        <v/>
      </c>
      <c r="J730" s="284"/>
      <c r="K730" s="305" t="s">
        <v>2424</v>
      </c>
      <c r="L730" s="285" t="s">
        <v>892</v>
      </c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6"/>
      <c r="Z730" s="286"/>
      <c r="AA730" s="286"/>
    </row>
    <row r="731">
      <c r="A731" s="271"/>
      <c r="B731" s="271"/>
      <c r="C731" s="285"/>
      <c r="D731" s="285"/>
      <c r="E731" s="285"/>
      <c r="F731" s="326"/>
      <c r="G731" s="285" t="str">
        <f>IFERROR(__xludf.DUMMYFUNCTION("""COMPUTED_VALUE"""),"FORRO AUTOBROCANTE CARVALHO EUROPEU NUDE CHEVRON TG 1.5/3X 12.5X 63CM")</f>
        <v>FORRO AUTOBROCANTE CARVALHO EUROPEU NUDE CHEVRON TG 1.5/3X 12.5X 63CM</v>
      </c>
      <c r="H731" s="283" t="s">
        <v>831</v>
      </c>
      <c r="I731" s="271" t="str">
        <f t="shared" si="4"/>
        <v/>
      </c>
      <c r="J731" s="284"/>
      <c r="K731" s="305" t="s">
        <v>2425</v>
      </c>
      <c r="L731" s="285" t="s">
        <v>893</v>
      </c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6"/>
      <c r="Z731" s="286"/>
      <c r="AA731" s="286"/>
    </row>
    <row r="732">
      <c r="A732" s="271"/>
      <c r="B732" s="271"/>
      <c r="C732" s="285"/>
      <c r="D732" s="285"/>
      <c r="E732" s="285"/>
      <c r="F732" s="326"/>
      <c r="G732" s="285" t="str">
        <f>IFERROR(__xludf.DUMMYFUNCTION("""COMPUTED_VALUE"""),"FORRO AUTOBROCANTE WALNUT 15/3 X 125 X 910MM")</f>
        <v>FORRO AUTOBROCANTE WALNUT 15/3 X 125 X 910MM</v>
      </c>
      <c r="H732" s="283" t="s">
        <v>832</v>
      </c>
      <c r="I732" s="271" t="str">
        <f t="shared" si="4"/>
        <v/>
      </c>
      <c r="J732" s="284"/>
      <c r="K732" s="305" t="s">
        <v>2426</v>
      </c>
      <c r="L732" s="285" t="s">
        <v>894</v>
      </c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6"/>
      <c r="Z732" s="286"/>
      <c r="AA732" s="286"/>
    </row>
    <row r="733">
      <c r="A733" s="271"/>
      <c r="B733" s="271"/>
      <c r="C733" s="285"/>
      <c r="D733" s="285"/>
      <c r="E733" s="285"/>
      <c r="F733" s="326"/>
      <c r="G733" s="285" t="str">
        <f>IFERROR(__xludf.DUMMYFUNCTION("""COMPUTED_VALUE"""),"FORRO AUTOBROCANTE WALNUT 15/3 X 190 X 1900MM")</f>
        <v>FORRO AUTOBROCANTE WALNUT 15/3 X 190 X 1900MM</v>
      </c>
      <c r="H733" s="283" t="s">
        <v>833</v>
      </c>
      <c r="I733" s="271" t="str">
        <f t="shared" si="4"/>
        <v/>
      </c>
      <c r="J733" s="284"/>
      <c r="K733" s="305" t="s">
        <v>2427</v>
      </c>
      <c r="L733" s="285" t="s">
        <v>895</v>
      </c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6"/>
      <c r="Z733" s="286"/>
      <c r="AA733" s="286"/>
    </row>
    <row r="734">
      <c r="A734" s="271"/>
      <c r="B734" s="271"/>
      <c r="C734" s="285"/>
      <c r="D734" s="285"/>
      <c r="E734" s="285"/>
      <c r="F734" s="326"/>
      <c r="G734" s="285" t="str">
        <f>IFERROR(__xludf.DUMMYFUNCTION("""COMPUTED_VALUE"""),"FORRO AUTOBROCANTE WALNUT 20/2 X 300 X 4000MM")</f>
        <v>FORRO AUTOBROCANTE WALNUT 20/2 X 300 X 4000MM</v>
      </c>
      <c r="H734" s="283" t="s">
        <v>834</v>
      </c>
      <c r="I734" s="271" t="str">
        <f t="shared" si="4"/>
        <v/>
      </c>
      <c r="J734" s="284"/>
      <c r="K734" s="305" t="s">
        <v>2428</v>
      </c>
      <c r="L734" s="285" t="s">
        <v>896</v>
      </c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6"/>
      <c r="Z734" s="286"/>
      <c r="AA734" s="286"/>
    </row>
    <row r="735">
      <c r="A735" s="271"/>
      <c r="B735" s="271"/>
      <c r="C735" s="285"/>
      <c r="D735" s="285"/>
      <c r="E735" s="285"/>
      <c r="F735" s="326"/>
      <c r="G735" s="285" t="str">
        <f>IFERROR(__xludf.DUMMYFUNCTION("""COMPUTED_VALUE"""),"FORRO AUTOBROCANTE BAMBU ALTA DENS. CUST PREMIUM TG 1.5/4 X19X185CM")</f>
        <v>FORRO AUTOBROCANTE BAMBU ALTA DENS. CUST PREMIUM TG 1.5/4 X19X185CM</v>
      </c>
      <c r="H735" s="283" t="s">
        <v>835</v>
      </c>
      <c r="I735" s="271" t="str">
        <f t="shared" si="4"/>
        <v/>
      </c>
      <c r="J735" s="284"/>
      <c r="K735" s="305" t="s">
        <v>2429</v>
      </c>
      <c r="L735" s="285" t="s">
        <v>897</v>
      </c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6"/>
      <c r="Z735" s="286"/>
      <c r="AA735" s="286"/>
    </row>
    <row r="736">
      <c r="A736" s="271"/>
      <c r="B736" s="271"/>
      <c r="C736" s="285"/>
      <c r="D736" s="285"/>
      <c r="E736" s="285"/>
      <c r="F736" s="326"/>
      <c r="G736" s="285" t="str">
        <f>IFERROR(__xludf.DUMMYFUNCTION("""COMPUTED_VALUE"""),"FORRO AUTOBROCANTE BAMBU CARAMEL ALTA DENSIDADE TG 1.5/4 X19X186CM")</f>
        <v>FORRO AUTOBROCANTE BAMBU CARAMEL ALTA DENSIDADE TG 1.5/4 X19X186CM</v>
      </c>
      <c r="H736" s="283" t="s">
        <v>836</v>
      </c>
      <c r="I736" s="271" t="str">
        <f t="shared" si="4"/>
        <v/>
      </c>
      <c r="J736" s="284"/>
      <c r="K736" s="305" t="s">
        <v>2430</v>
      </c>
      <c r="L736" s="285" t="s">
        <v>898</v>
      </c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6"/>
      <c r="Z736" s="286"/>
      <c r="AA736" s="286"/>
    </row>
    <row r="737">
      <c r="A737" s="271"/>
      <c r="B737" s="271"/>
      <c r="C737" s="285"/>
      <c r="D737" s="285"/>
      <c r="E737" s="285"/>
      <c r="F737" s="326"/>
      <c r="G737" s="285" t="str">
        <f>IFERROR(__xludf.DUMMYFUNCTION("""COMPUTED_VALUE"""),"FORRO AUTOBROCANTE RIPADO CUMARU PREMIUM TG 1,8 X 3,5+0,5CM PROF. BIT 0")</f>
        <v>FORRO AUTOBROCANTE RIPADO CUMARU PREMIUM TG 1,8 X 3,5+0,5CM PROF. BIT 0</v>
      </c>
      <c r="H737" s="283" t="s">
        <v>837</v>
      </c>
      <c r="I737" s="271" t="str">
        <f t="shared" si="4"/>
        <v/>
      </c>
      <c r="J737" s="284"/>
      <c r="K737" s="305" t="s">
        <v>2431</v>
      </c>
      <c r="L737" s="285" t="s">
        <v>899</v>
      </c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6"/>
      <c r="Z737" s="286"/>
      <c r="AA737" s="286"/>
    </row>
    <row r="738">
      <c r="A738" s="271"/>
      <c r="B738" s="271"/>
      <c r="C738" s="285"/>
      <c r="D738" s="285"/>
      <c r="E738" s="285"/>
      <c r="F738" s="326"/>
      <c r="G738" s="285" t="str">
        <f>IFERROR(__xludf.DUMMYFUNCTION("""COMPUTED_VALUE"""),"FORRO AUTOBROCANTE RIPADO CATUABA PREMIUM TG 1,8 X 3,5+0,5CM PROF. BIT 0")</f>
        <v>FORRO AUTOBROCANTE RIPADO CATUABA PREMIUM TG 1,8 X 3,5+0,5CM PROF. BIT 0</v>
      </c>
      <c r="I738" s="271" t="str">
        <f t="shared" si="4"/>
        <v/>
      </c>
      <c r="J738" s="284"/>
      <c r="K738" s="305" t="s">
        <v>2432</v>
      </c>
      <c r="L738" s="285" t="s">
        <v>900</v>
      </c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6"/>
      <c r="Z738" s="286"/>
      <c r="AA738" s="286"/>
    </row>
    <row r="739">
      <c r="A739" s="271"/>
      <c r="B739" s="271"/>
      <c r="C739" s="285"/>
      <c r="D739" s="285"/>
      <c r="E739" s="285"/>
      <c r="F739" s="326"/>
      <c r="G739" s="285" t="str">
        <f>IFERROR(__xludf.DUMMYFUNCTION("""COMPUTED_VALUE"""),"FORRO AUTOBROCANTE RIPADO CABREUVA BRANCA PREMIUM TG 1,8 X 3,5+0,5CM PROF. BIT 0")</f>
        <v>FORRO AUTOBROCANTE RIPADO CABREUVA BRANCA PREMIUM TG 1,8 X 3,5+0,5CM PROF. BIT 0</v>
      </c>
      <c r="I739" s="271" t="str">
        <f t="shared" si="4"/>
        <v/>
      </c>
      <c r="J739" s="284"/>
      <c r="K739" s="305" t="s">
        <v>2433</v>
      </c>
      <c r="L739" s="285" t="s">
        <v>901</v>
      </c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6"/>
      <c r="Z739" s="286"/>
      <c r="AA739" s="286"/>
    </row>
    <row r="740">
      <c r="A740" s="271"/>
      <c r="B740" s="271"/>
      <c r="C740" s="285"/>
      <c r="D740" s="285"/>
      <c r="E740" s="285"/>
      <c r="F740" s="326"/>
      <c r="G740" s="285" t="str">
        <f>IFERROR(__xludf.DUMMYFUNCTION("""COMPUTED_VALUE"""),"FORRO AUTOBROCANTE RIPADO CABREUVA DOURADA PREMIUM TG 1,8 X 3,5+0,5CM PROF. BIT 0")</f>
        <v>FORRO AUTOBROCANTE RIPADO CABREUVA DOURADA PREMIUM TG 1,8 X 3,5+0,5CM PROF. BIT 0</v>
      </c>
      <c r="I740" s="271" t="str">
        <f t="shared" si="4"/>
        <v/>
      </c>
      <c r="J740" s="284"/>
      <c r="K740" s="305" t="s">
        <v>2434</v>
      </c>
      <c r="L740" s="285" t="s">
        <v>902</v>
      </c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6"/>
      <c r="Z740" s="286"/>
      <c r="AA740" s="286"/>
    </row>
    <row r="741">
      <c r="A741" s="271"/>
      <c r="B741" s="271"/>
      <c r="C741" s="285"/>
      <c r="D741" s="285"/>
      <c r="E741" s="285"/>
      <c r="F741" s="326"/>
      <c r="G741" s="285" t="str">
        <f>IFERROR(__xludf.DUMMYFUNCTION("""COMPUTED_VALUE"""),"FORRO AUTOBROCANTE RIPADO TAUARI PREMIUM TG 1,8 X 3,5+0,5CM PROF. BIT 0")</f>
        <v>FORRO AUTOBROCANTE RIPADO TAUARI PREMIUM TG 1,8 X 3,5+0,5CM PROF. BIT 0</v>
      </c>
      <c r="I741" s="271" t="str">
        <f t="shared" si="4"/>
        <v/>
      </c>
      <c r="J741" s="284"/>
      <c r="K741" s="305" t="s">
        <v>2435</v>
      </c>
      <c r="L741" s="285" t="s">
        <v>903</v>
      </c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6"/>
      <c r="Z741" s="286"/>
      <c r="AA741" s="286"/>
    </row>
    <row r="742">
      <c r="A742" s="271"/>
      <c r="B742" s="271"/>
      <c r="C742" s="285"/>
      <c r="D742" s="285"/>
      <c r="E742" s="285"/>
      <c r="F742" s="326"/>
      <c r="G742" s="285" t="str">
        <f>IFERROR(__xludf.DUMMYFUNCTION("""COMPUTED_VALUE"""),"FORRO AUTOBROCANTE RIPADO PEROBA PREMIUM TG 1,8 X 3,5+0,5CM PROF. BIT 0")</f>
        <v>FORRO AUTOBROCANTE RIPADO PEROBA PREMIUM TG 1,8 X 3,5+0,5CM PROF. BIT 0</v>
      </c>
      <c r="I742" s="271" t="str">
        <f t="shared" si="4"/>
        <v/>
      </c>
      <c r="J742" s="284"/>
      <c r="K742" s="305" t="s">
        <v>2436</v>
      </c>
      <c r="L742" s="285" t="s">
        <v>904</v>
      </c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6"/>
      <c r="Z742" s="286"/>
      <c r="AA742" s="286"/>
    </row>
    <row r="743">
      <c r="A743" s="271"/>
      <c r="B743" s="271"/>
      <c r="C743" s="285"/>
      <c r="D743" s="285"/>
      <c r="E743" s="285"/>
      <c r="F743" s="326"/>
      <c r="G743" s="285" t="str">
        <f>IFERROR(__xludf.DUMMYFUNCTION("""COMPUTED_VALUE"""),"FORRO AUTOBROCANTE RIPADO LORO PARDO PREMIUM TG 1,8 X 3,5+0,5CM PROF. BIT 0")</f>
        <v>FORRO AUTOBROCANTE RIPADO LORO PARDO PREMIUM TG 1,8 X 3,5+0,5CM PROF. BIT 0</v>
      </c>
      <c r="I743" s="271" t="str">
        <f t="shared" si="4"/>
        <v/>
      </c>
      <c r="J743" s="284"/>
      <c r="K743" s="305" t="s">
        <v>2437</v>
      </c>
      <c r="L743" s="285" t="s">
        <v>905</v>
      </c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6"/>
      <c r="Z743" s="286"/>
      <c r="AA743" s="286"/>
    </row>
    <row r="744">
      <c r="A744" s="271"/>
      <c r="B744" s="271"/>
      <c r="C744" s="285"/>
      <c r="D744" s="285"/>
      <c r="E744" s="285"/>
      <c r="F744" s="326"/>
      <c r="G744" s="285" t="str">
        <f>IFERROR(__xludf.DUMMYFUNCTION("""COMPUTED_VALUE"""),"FORRO AUTOBROCANTE CUMARU MULTI PREMIUM 19 X 190 X 600 A 2200MM")</f>
        <v>FORRO AUTOBROCANTE CUMARU MULTI PREMIUM 19 X 190 X 600 A 2200MM</v>
      </c>
      <c r="I744" s="271" t="str">
        <f t="shared" si="4"/>
        <v/>
      </c>
      <c r="J744" s="284"/>
      <c r="K744" s="305" t="s">
        <v>2438</v>
      </c>
      <c r="L744" s="285" t="s">
        <v>906</v>
      </c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6"/>
      <c r="Z744" s="286"/>
      <c r="AA744" s="286"/>
    </row>
    <row r="745">
      <c r="A745" s="271"/>
      <c r="B745" s="271"/>
      <c r="C745" s="285"/>
      <c r="D745" s="285"/>
      <c r="E745" s="285"/>
      <c r="F745" s="326"/>
      <c r="G745" s="285" t="str">
        <f>IFERROR(__xludf.DUMMYFUNCTION("""COMPUTED_VALUE"""),"FORRO AUTOBROCANTE CATUABA MULTI PREMIUM 19 X 190 X 600 A 2200MM")</f>
        <v>FORRO AUTOBROCANTE CATUABA MULTI PREMIUM 19 X 190 X 600 A 2200MM</v>
      </c>
      <c r="H745" s="283" t="s">
        <v>845</v>
      </c>
      <c r="I745" s="271" t="str">
        <f t="shared" si="4"/>
        <v/>
      </c>
      <c r="J745" s="284"/>
      <c r="K745" s="305" t="s">
        <v>2439</v>
      </c>
      <c r="L745" s="285" t="s">
        <v>907</v>
      </c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6"/>
      <c r="Z745" s="286"/>
      <c r="AA745" s="286"/>
    </row>
    <row r="746">
      <c r="A746" s="271"/>
      <c r="B746" s="271"/>
      <c r="C746" s="285"/>
      <c r="D746" s="285"/>
      <c r="E746" s="285"/>
      <c r="F746" s="326"/>
      <c r="G746" s="285" t="str">
        <f>IFERROR(__xludf.DUMMYFUNCTION("""COMPUTED_VALUE"""),"FORRO AUTOBROCANTE CABREUVA BRACA MULTI PREMIUM 19 X 190 X 600 A 2200MM")</f>
        <v>FORRO AUTOBROCANTE CABREUVA BRACA MULTI PREMIUM 19 X 190 X 600 A 2200MM</v>
      </c>
      <c r="H746" s="283" t="s">
        <v>846</v>
      </c>
      <c r="I746" s="271" t="str">
        <f t="shared" si="4"/>
        <v/>
      </c>
      <c r="J746" s="284"/>
      <c r="K746" s="305" t="s">
        <v>2440</v>
      </c>
      <c r="L746" s="285" t="s">
        <v>908</v>
      </c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6"/>
      <c r="Z746" s="286"/>
      <c r="AA746" s="286"/>
    </row>
    <row r="747">
      <c r="A747" s="271"/>
      <c r="B747" s="271"/>
      <c r="C747" s="285"/>
      <c r="D747" s="285"/>
      <c r="E747" s="285"/>
      <c r="F747" s="326"/>
      <c r="G747" s="285" t="str">
        <f>IFERROR(__xludf.DUMMYFUNCTION("""COMPUTED_VALUE"""),"FORRO AUTOBROCANTE CABREUVA DOURADA MULTI PREMIUM 19 X 190 X 600 A 2200MM")</f>
        <v>FORRO AUTOBROCANTE CABREUVA DOURADA MULTI PREMIUM 19 X 190 X 600 A 2200MM</v>
      </c>
      <c r="H747" s="283" t="s">
        <v>847</v>
      </c>
      <c r="I747" s="271" t="str">
        <f t="shared" si="4"/>
        <v/>
      </c>
      <c r="J747" s="284"/>
      <c r="K747" s="305" t="s">
        <v>2441</v>
      </c>
      <c r="L747" s="285" t="s">
        <v>909</v>
      </c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6"/>
      <c r="Z747" s="286"/>
      <c r="AA747" s="286"/>
    </row>
    <row r="748">
      <c r="A748" s="271"/>
      <c r="B748" s="271"/>
      <c r="C748" s="285"/>
      <c r="D748" s="285"/>
      <c r="E748" s="285"/>
      <c r="F748" s="326"/>
      <c r="G748" s="285" t="str">
        <f>IFERROR(__xludf.DUMMYFUNCTION("""COMPUTED_VALUE"""),"FORRO AUTOBROCANTE TAUARI MULTI PREMIUM 19 X 190 X 600 A 2200MM")</f>
        <v>FORRO AUTOBROCANTE TAUARI MULTI PREMIUM 19 X 190 X 600 A 2200MM</v>
      </c>
      <c r="H748" s="283" t="s">
        <v>848</v>
      </c>
      <c r="I748" s="271" t="str">
        <f t="shared" si="4"/>
        <v/>
      </c>
      <c r="J748" s="284"/>
      <c r="K748" s="305" t="s">
        <v>2442</v>
      </c>
      <c r="L748" s="285" t="s">
        <v>910</v>
      </c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6"/>
      <c r="Z748" s="286"/>
      <c r="AA748" s="286"/>
    </row>
    <row r="749">
      <c r="A749" s="271"/>
      <c r="B749" s="271"/>
      <c r="C749" s="285"/>
      <c r="D749" s="285"/>
      <c r="E749" s="285"/>
      <c r="F749" s="326"/>
      <c r="G749" s="285" t="str">
        <f>IFERROR(__xludf.DUMMYFUNCTION("""COMPUTED_VALUE"""),"FORRO AUTOBROCANTE PEROBA MULTI PREMIUM 19 X 190 X 600 A 2200MM")</f>
        <v>FORRO AUTOBROCANTE PEROBA MULTI PREMIUM 19 X 190 X 600 A 2200MM</v>
      </c>
      <c r="H749" s="283" t="s">
        <v>849</v>
      </c>
      <c r="I749" s="271" t="str">
        <f t="shared" si="4"/>
        <v/>
      </c>
      <c r="J749" s="284"/>
      <c r="K749" s="305" t="s">
        <v>2443</v>
      </c>
      <c r="L749" s="285" t="s">
        <v>911</v>
      </c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6"/>
      <c r="Z749" s="286"/>
      <c r="AA749" s="286"/>
    </row>
    <row r="750">
      <c r="A750" s="271"/>
      <c r="B750" s="271"/>
      <c r="C750" s="285"/>
      <c r="D750" s="285"/>
      <c r="E750" s="285"/>
      <c r="F750" s="326"/>
      <c r="G750" s="285" t="str">
        <f>IFERROR(__xludf.DUMMYFUNCTION("""COMPUTED_VALUE"""),"FORRO AUTOBROCANTE LORO PARDO MULTI PREMIUM 19 X 190 X 600 A 2200MM")</f>
        <v>FORRO AUTOBROCANTE LORO PARDO MULTI PREMIUM 19 X 190 X 600 A 2200MM</v>
      </c>
      <c r="H750" s="283" t="s">
        <v>850</v>
      </c>
      <c r="I750" s="271" t="str">
        <f t="shared" si="4"/>
        <v/>
      </c>
      <c r="J750" s="284"/>
      <c r="K750" s="305" t="s">
        <v>2444</v>
      </c>
      <c r="L750" s="285" t="s">
        <v>912</v>
      </c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6"/>
      <c r="Z750" s="286"/>
      <c r="AA750" s="286"/>
    </row>
    <row r="751">
      <c r="A751" s="271"/>
      <c r="B751" s="271"/>
      <c r="C751" s="285"/>
      <c r="D751" s="285"/>
      <c r="E751" s="285"/>
      <c r="F751" s="326"/>
      <c r="G751" s="285" t="str">
        <f>IFERROR(__xludf.DUMMYFUNCTION("""COMPUTED_VALUE"""),"FORRO AUTOBROCANTE MUXARABI CUMARU PREMIUM")</f>
        <v>FORRO AUTOBROCANTE MUXARABI CUMARU PREMIUM</v>
      </c>
      <c r="H751" s="283" t="s">
        <v>851</v>
      </c>
      <c r="I751" s="271" t="str">
        <f t="shared" si="4"/>
        <v/>
      </c>
      <c r="J751" s="284"/>
      <c r="K751" s="305" t="s">
        <v>2445</v>
      </c>
      <c r="L751" s="285" t="s">
        <v>913</v>
      </c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6"/>
      <c r="Z751" s="286"/>
      <c r="AA751" s="286"/>
    </row>
    <row r="752">
      <c r="A752" s="271"/>
      <c r="B752" s="271"/>
      <c r="C752" s="285"/>
      <c r="D752" s="285"/>
      <c r="E752" s="285"/>
      <c r="F752" s="326"/>
      <c r="G752" s="285" t="str">
        <f>IFERROR(__xludf.DUMMYFUNCTION("""COMPUTED_VALUE"""),"FORRO AUTOBROCANTE MUXARABI CATUABA PREMIUM")</f>
        <v>FORRO AUTOBROCANTE MUXARABI CATUABA PREMIUM</v>
      </c>
      <c r="I752" s="271" t="str">
        <f t="shared" si="4"/>
        <v/>
      </c>
      <c r="J752" s="284"/>
      <c r="K752" s="305" t="s">
        <v>2446</v>
      </c>
      <c r="L752" s="285" t="s">
        <v>914</v>
      </c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6"/>
      <c r="Z752" s="286"/>
      <c r="AA752" s="286"/>
    </row>
    <row r="753">
      <c r="A753" s="271"/>
      <c r="B753" s="271"/>
      <c r="C753" s="285"/>
      <c r="D753" s="285"/>
      <c r="E753" s="285"/>
      <c r="F753" s="326"/>
      <c r="G753" s="285" t="str">
        <f>IFERROR(__xludf.DUMMYFUNCTION("""COMPUTED_VALUE"""),"FORRO AUTOBROCANTE MUXARABI CABREUVA BRANCA PREMIUM")</f>
        <v>FORRO AUTOBROCANTE MUXARABI CABREUVA BRANCA PREMIUM</v>
      </c>
      <c r="I753" s="271" t="str">
        <f t="shared" si="4"/>
        <v/>
      </c>
      <c r="J753" s="284"/>
      <c r="K753" s="305" t="s">
        <v>2447</v>
      </c>
      <c r="L753" s="285" t="s">
        <v>915</v>
      </c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6"/>
      <c r="Z753" s="286"/>
      <c r="AA753" s="286"/>
    </row>
    <row r="754">
      <c r="A754" s="271"/>
      <c r="B754" s="271"/>
      <c r="C754" s="285"/>
      <c r="D754" s="285"/>
      <c r="E754" s="285"/>
      <c r="F754" s="326"/>
      <c r="G754" s="285" t="str">
        <f>IFERROR(__xludf.DUMMYFUNCTION("""COMPUTED_VALUE"""),"FORRO AUTOBROCANTE MUXARABI CABREUVA DOURADA PREMIUM")</f>
        <v>FORRO AUTOBROCANTE MUXARABI CABREUVA DOURADA PREMIUM</v>
      </c>
      <c r="I754" s="271" t="str">
        <f t="shared" si="4"/>
        <v/>
      </c>
      <c r="J754" s="284"/>
      <c r="K754" s="305" t="s">
        <v>2448</v>
      </c>
      <c r="L754" s="285" t="s">
        <v>916</v>
      </c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6"/>
      <c r="Z754" s="286"/>
      <c r="AA754" s="286"/>
    </row>
    <row r="755">
      <c r="A755" s="271"/>
      <c r="B755" s="271"/>
      <c r="C755" s="285"/>
      <c r="D755" s="285"/>
      <c r="E755" s="285"/>
      <c r="F755" s="326"/>
      <c r="G755" s="285" t="str">
        <f>IFERROR(__xludf.DUMMYFUNCTION("""COMPUTED_VALUE"""),"FORRO AUTOBROCANTE MUXARABI TAUARI PREMIUM")</f>
        <v>FORRO AUTOBROCANTE MUXARABI TAUARI PREMIUM</v>
      </c>
      <c r="I755" s="271" t="str">
        <f t="shared" si="4"/>
        <v/>
      </c>
      <c r="J755" s="284"/>
      <c r="K755" s="305" t="s">
        <v>2449</v>
      </c>
      <c r="L755" s="285" t="s">
        <v>917</v>
      </c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6"/>
      <c r="Z755" s="286"/>
      <c r="AA755" s="286"/>
    </row>
    <row r="756">
      <c r="A756" s="271"/>
      <c r="B756" s="271"/>
      <c r="C756" s="285"/>
      <c r="D756" s="285"/>
      <c r="E756" s="285"/>
      <c r="F756" s="326"/>
      <c r="G756" s="285" t="str">
        <f>IFERROR(__xludf.DUMMYFUNCTION("""COMPUTED_VALUE"""),"FORRO AUTOBROCANTE MUXARABI PEROBA PREMIUM")</f>
        <v>FORRO AUTOBROCANTE MUXARABI PEROBA PREMIUM</v>
      </c>
      <c r="I756" s="271" t="str">
        <f t="shared" si="4"/>
        <v/>
      </c>
      <c r="J756" s="284"/>
      <c r="K756" s="305" t="s">
        <v>2450</v>
      </c>
      <c r="L756" s="285" t="s">
        <v>918</v>
      </c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6"/>
      <c r="Z756" s="286"/>
      <c r="AA756" s="286"/>
    </row>
    <row r="757">
      <c r="A757" s="271"/>
      <c r="B757" s="271"/>
      <c r="C757" s="285"/>
      <c r="D757" s="285"/>
      <c r="E757" s="285"/>
      <c r="F757" s="326"/>
      <c r="G757" s="285" t="str">
        <f>IFERROR(__xludf.DUMMYFUNCTION("""COMPUTED_VALUE"""),"FORRO AUTOBROCANTE MUXARABI LORO PARDO PREMIUM")</f>
        <v>FORRO AUTOBROCANTE MUXARABI LORO PARDO PREMIUM</v>
      </c>
      <c r="I757" s="271" t="str">
        <f t="shared" si="4"/>
        <v/>
      </c>
      <c r="J757" s="284"/>
      <c r="K757" s="305" t="s">
        <v>2451</v>
      </c>
      <c r="L757" s="285" t="s">
        <v>919</v>
      </c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6"/>
      <c r="Z757" s="286"/>
      <c r="AA757" s="286"/>
    </row>
    <row r="758">
      <c r="A758" s="271"/>
      <c r="B758" s="271"/>
      <c r="C758" s="285"/>
      <c r="D758" s="285"/>
      <c r="E758" s="285"/>
      <c r="F758" s="326"/>
      <c r="G758" s="285" t="str">
        <f>IFERROR(__xludf.DUMMYFUNCTION("""COMPUTED_VALUE"""),"FORRO AUTOBROCANTE TOBLERONE CUMARU PREMIUM 3 X 3 COMPR. VARIAVEIS")</f>
        <v>FORRO AUTOBROCANTE TOBLERONE CUMARU PREMIUM 3 X 3 COMPR. VARIAVEIS</v>
      </c>
      <c r="I758" s="271" t="str">
        <f t="shared" si="4"/>
        <v/>
      </c>
      <c r="J758" s="284"/>
      <c r="K758" s="305" t="s">
        <v>2452</v>
      </c>
      <c r="L758" s="285" t="s">
        <v>920</v>
      </c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6"/>
      <c r="Z758" s="286"/>
      <c r="AA758" s="286"/>
    </row>
    <row r="759">
      <c r="A759" s="271"/>
      <c r="B759" s="271"/>
      <c r="C759" s="285"/>
      <c r="D759" s="285"/>
      <c r="E759" s="285"/>
      <c r="F759" s="326"/>
      <c r="G759" s="285" t="str">
        <f>IFERROR(__xludf.DUMMYFUNCTION("""COMPUTED_VALUE"""),"FORRO AUTOBROCANTE TOBLERONE CATUABA PREMIUM 3 X 3 COMPR. VARIAVEIS")</f>
        <v>FORRO AUTOBROCANTE TOBLERONE CATUABA PREMIUM 3 X 3 COMPR. VARIAVEIS</v>
      </c>
      <c r="I759" s="271" t="str">
        <f t="shared" si="4"/>
        <v/>
      </c>
      <c r="J759" s="284"/>
      <c r="K759" s="305" t="s">
        <v>2453</v>
      </c>
      <c r="L759" s="285" t="s">
        <v>921</v>
      </c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6"/>
      <c r="Z759" s="286"/>
      <c r="AA759" s="286"/>
    </row>
    <row r="760">
      <c r="A760" s="271"/>
      <c r="B760" s="271"/>
      <c r="C760" s="285"/>
      <c r="D760" s="285"/>
      <c r="E760" s="285"/>
      <c r="F760" s="326"/>
      <c r="G760" s="285" t="str">
        <f>IFERROR(__xludf.DUMMYFUNCTION("""COMPUTED_VALUE"""),"FORRO AUTOBROCANTE TOBLERONE CABREUVA BRANCA PREMIUM 3 X 3 COMPR. VARIAVEIS")</f>
        <v>FORRO AUTOBROCANTE TOBLERONE CABREUVA BRANCA PREMIUM 3 X 3 COMPR. VARIAVEIS</v>
      </c>
      <c r="I760" s="271" t="str">
        <f t="shared" si="4"/>
        <v/>
      </c>
      <c r="J760" s="284"/>
      <c r="K760" s="305" t="s">
        <v>2454</v>
      </c>
      <c r="L760" s="285" t="s">
        <v>922</v>
      </c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6"/>
      <c r="Z760" s="286"/>
      <c r="AA760" s="286"/>
    </row>
    <row r="761">
      <c r="A761" s="271"/>
      <c r="B761" s="271"/>
      <c r="C761" s="285"/>
      <c r="D761" s="285"/>
      <c r="E761" s="285"/>
      <c r="F761" s="326"/>
      <c r="G761" s="285" t="str">
        <f>IFERROR(__xludf.DUMMYFUNCTION("""COMPUTED_VALUE"""),"FORRO AUTOBROCANTE TOBLERONE CABREUVA DOURADA PREMIUM 3 X 3 COMPR. VARIAVEIS")</f>
        <v>FORRO AUTOBROCANTE TOBLERONE CABREUVA DOURADA PREMIUM 3 X 3 COMPR. VARIAVEIS</v>
      </c>
      <c r="I761" s="271" t="str">
        <f t="shared" si="4"/>
        <v/>
      </c>
      <c r="J761" s="284"/>
      <c r="K761" s="305" t="s">
        <v>2455</v>
      </c>
      <c r="L761" s="285" t="s">
        <v>923</v>
      </c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6"/>
      <c r="Z761" s="286"/>
      <c r="AA761" s="286"/>
    </row>
    <row r="762">
      <c r="A762" s="271"/>
      <c r="B762" s="271"/>
      <c r="C762" s="285"/>
      <c r="D762" s="285"/>
      <c r="E762" s="285"/>
      <c r="F762" s="326"/>
      <c r="G762" s="285" t="str">
        <f>IFERROR(__xludf.DUMMYFUNCTION("""COMPUTED_VALUE"""),"FORRO AUTOBROCANTE TOBLERONE TAUARI PREMIUM 3 X 3 COMPR. VARIAVEIS")</f>
        <v>FORRO AUTOBROCANTE TOBLERONE TAUARI PREMIUM 3 X 3 COMPR. VARIAVEIS</v>
      </c>
      <c r="I762" s="271" t="str">
        <f t="shared" si="4"/>
        <v/>
      </c>
      <c r="J762" s="284"/>
      <c r="K762" s="305" t="s">
        <v>2456</v>
      </c>
      <c r="L762" s="285" t="s">
        <v>924</v>
      </c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6"/>
      <c r="Z762" s="286"/>
      <c r="AA762" s="286"/>
    </row>
    <row r="763">
      <c r="A763" s="271"/>
      <c r="B763" s="271"/>
      <c r="C763" s="285"/>
      <c r="D763" s="285"/>
      <c r="E763" s="285"/>
      <c r="F763" s="326"/>
      <c r="G763" s="285" t="str">
        <f>IFERROR(__xludf.DUMMYFUNCTION("""COMPUTED_VALUE"""),"FORRO AUTOBROCANTE TOBLERONE PEROBA PREMIUM 3 X 3 COMPR. VARIAVEIS")</f>
        <v>FORRO AUTOBROCANTE TOBLERONE PEROBA PREMIUM 3 X 3 COMPR. VARIAVEIS</v>
      </c>
      <c r="I763" s="271" t="str">
        <f t="shared" si="4"/>
        <v/>
      </c>
      <c r="J763" s="284"/>
      <c r="K763" s="305" t="s">
        <v>2457</v>
      </c>
      <c r="L763" s="285" t="s">
        <v>925</v>
      </c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6"/>
      <c r="Z763" s="286"/>
      <c r="AA763" s="286"/>
    </row>
    <row r="764">
      <c r="A764" s="271"/>
      <c r="B764" s="271"/>
      <c r="C764" s="285"/>
      <c r="D764" s="285"/>
      <c r="E764" s="285"/>
      <c r="F764" s="326"/>
      <c r="G764" s="285" t="str">
        <f>IFERROR(__xludf.DUMMYFUNCTION("""COMPUTED_VALUE"""),"FORRO AUTOBROCANTE TOBLERONE LORO PARDO PREMIUM 3 X 3 COMPR. VARIAVEIS")</f>
        <v>FORRO AUTOBROCANTE TOBLERONE LORO PARDO PREMIUM 3 X 3 COMPR. VARIAVEIS</v>
      </c>
      <c r="I764" s="271" t="str">
        <f t="shared" si="4"/>
        <v/>
      </c>
      <c r="J764" s="284"/>
      <c r="K764" s="305" t="s">
        <v>2458</v>
      </c>
      <c r="L764" s="285" t="s">
        <v>926</v>
      </c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6"/>
      <c r="Z764" s="286"/>
      <c r="AA764" s="286"/>
    </row>
    <row r="765">
      <c r="A765" s="271"/>
      <c r="B765" s="271"/>
      <c r="C765" s="285"/>
      <c r="D765" s="285"/>
      <c r="E765" s="285"/>
      <c r="F765" s="326"/>
      <c r="G765" s="285" t="str">
        <f>IFERROR(__xludf.DUMMYFUNCTION("""COMPUTED_VALUE"""),"FORRO AUTOBROCANTE DECK CUMARU PREMIUM TG 2,5 X 5 X COMPR. VARIAVEIS")</f>
        <v>FORRO AUTOBROCANTE DECK CUMARU PREMIUM TG 2,5 X 5 X COMPR. VARIAVEIS</v>
      </c>
      <c r="I765" s="271" t="str">
        <f t="shared" si="4"/>
        <v/>
      </c>
      <c r="J765" s="284"/>
      <c r="K765" s="305" t="s">
        <v>2459</v>
      </c>
      <c r="L765" s="285" t="s">
        <v>927</v>
      </c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6"/>
      <c r="Z765" s="286"/>
      <c r="AA765" s="286"/>
    </row>
    <row r="766">
      <c r="A766" s="271"/>
      <c r="B766" s="271"/>
      <c r="C766" s="285"/>
      <c r="D766" s="285"/>
      <c r="E766" s="285"/>
      <c r="F766" s="326"/>
      <c r="G766" s="285" t="str">
        <f>IFERROR(__xludf.DUMMYFUNCTION("""COMPUTED_VALUE"""),"FORRO AUTOBROCANTE DECK CUMARU PREMIUM TG 2,5 X 10 X COMPR. VARIAVEIS")</f>
        <v>FORRO AUTOBROCANTE DECK CUMARU PREMIUM TG 2,5 X 10 X COMPR. VARIAVEIS</v>
      </c>
      <c r="H766" s="313" t="s">
        <v>2389</v>
      </c>
      <c r="I766" s="271" t="str">
        <f t="shared" si="4"/>
        <v/>
      </c>
      <c r="J766" s="284"/>
      <c r="K766" s="305" t="s">
        <v>2460</v>
      </c>
      <c r="L766" s="285" t="s">
        <v>928</v>
      </c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6"/>
      <c r="Z766" s="286"/>
      <c r="AA766" s="286"/>
    </row>
    <row r="767">
      <c r="A767" s="271"/>
      <c r="B767" s="271"/>
      <c r="C767" s="285"/>
      <c r="D767" s="285"/>
      <c r="E767" s="285"/>
      <c r="F767" s="326"/>
      <c r="G767" s="285" t="str">
        <f>IFERROR(__xludf.DUMMYFUNCTION("""COMPUTED_VALUE"""),"FORRO AUTOBROCANTE DECK CATUABA PREMIUM TG 2,5 X 5 X COMPR. VARIAVEIS")</f>
        <v>FORRO AUTOBROCANTE DECK CATUABA PREMIUM TG 2,5 X 5 X COMPR. VARIAVEIS</v>
      </c>
      <c r="H767" s="313" t="s">
        <v>2391</v>
      </c>
      <c r="I767" s="271" t="str">
        <f t="shared" si="4"/>
        <v/>
      </c>
      <c r="J767" s="284"/>
      <c r="K767" s="305" t="s">
        <v>2461</v>
      </c>
      <c r="L767" s="285" t="s">
        <v>929</v>
      </c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6"/>
      <c r="Z767" s="286"/>
      <c r="AA767" s="286"/>
    </row>
    <row r="768">
      <c r="A768" s="271"/>
      <c r="B768" s="271"/>
      <c r="C768" s="285"/>
      <c r="D768" s="285"/>
      <c r="E768" s="285"/>
      <c r="F768" s="326"/>
      <c r="G768" s="285" t="str">
        <f>IFERROR(__xludf.DUMMYFUNCTION("""COMPUTED_VALUE"""),"FORRO AUTOBROCANTE DECK CATUABA PREMIUM TG 2,5 X 10 X COMPR. VARIAVEIS")</f>
        <v>FORRO AUTOBROCANTE DECK CATUABA PREMIUM TG 2,5 X 10 X COMPR. VARIAVEIS</v>
      </c>
      <c r="H768" s="313" t="s">
        <v>2393</v>
      </c>
      <c r="I768" s="271" t="str">
        <f t="shared" si="4"/>
        <v/>
      </c>
      <c r="J768" s="284"/>
      <c r="K768" s="305" t="s">
        <v>2462</v>
      </c>
      <c r="L768" s="285" t="s">
        <v>930</v>
      </c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6"/>
      <c r="Z768" s="286"/>
      <c r="AA768" s="286"/>
    </row>
    <row r="769">
      <c r="A769" s="271"/>
      <c r="B769" s="271"/>
      <c r="C769" s="285"/>
      <c r="D769" s="285"/>
      <c r="E769" s="285"/>
      <c r="F769" s="326"/>
      <c r="G769" s="285" t="str">
        <f>IFERROR(__xludf.DUMMYFUNCTION("""COMPUTED_VALUE"""),"FORRO AUTOBROCANTE DECK CABREUVA BRANCA PREMIUM TG 2,5 X 5 X COMPR. VARIAVEIS")</f>
        <v>FORRO AUTOBROCANTE DECK CABREUVA BRANCA PREMIUM TG 2,5 X 5 X COMPR. VARIAVEIS</v>
      </c>
      <c r="H769" s="313" t="s">
        <v>2395</v>
      </c>
      <c r="I769" s="271" t="str">
        <f t="shared" si="4"/>
        <v/>
      </c>
      <c r="J769" s="284"/>
      <c r="K769" s="305" t="s">
        <v>2463</v>
      </c>
      <c r="L769" s="285" t="s">
        <v>931</v>
      </c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6"/>
      <c r="Z769" s="286"/>
      <c r="AA769" s="286"/>
    </row>
    <row r="770">
      <c r="A770" s="271"/>
      <c r="B770" s="271"/>
      <c r="C770" s="285"/>
      <c r="D770" s="285"/>
      <c r="E770" s="285"/>
      <c r="F770" s="326"/>
      <c r="G770" s="285" t="str">
        <f>IFERROR(__xludf.DUMMYFUNCTION("""COMPUTED_VALUE"""),"FORRO AUTOBROCANTE DECK CABREUVA BRANCA PREMIUM TG 2,5 X 10 X COMPR. VARIAVEIS")</f>
        <v>FORRO AUTOBROCANTE DECK CABREUVA BRANCA PREMIUM TG 2,5 X 10 X COMPR. VARIAVEIS</v>
      </c>
      <c r="H770" s="313" t="s">
        <v>2397</v>
      </c>
      <c r="I770" s="271" t="str">
        <f t="shared" si="4"/>
        <v/>
      </c>
      <c r="J770" s="284"/>
      <c r="K770" s="305" t="s">
        <v>2464</v>
      </c>
      <c r="L770" s="285" t="s">
        <v>932</v>
      </c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6"/>
      <c r="Z770" s="286"/>
      <c r="AA770" s="286"/>
    </row>
    <row r="771">
      <c r="A771" s="271"/>
      <c r="B771" s="271"/>
      <c r="C771" s="285"/>
      <c r="D771" s="285"/>
      <c r="E771" s="285"/>
      <c r="F771" s="326"/>
      <c r="G771" s="285" t="str">
        <f>IFERROR(__xludf.DUMMYFUNCTION("""COMPUTED_VALUE"""),"FORRO AUTOBROCANTE DECK CABREUVA DOURADA PREMIUM TG 2,5 X 5 X COMPR. VARIAVEIS")</f>
        <v>FORRO AUTOBROCANTE DECK CABREUVA DOURADA PREMIUM TG 2,5 X 5 X COMPR. VARIAVEIS</v>
      </c>
      <c r="H771" s="313" t="s">
        <v>2399</v>
      </c>
      <c r="I771" s="271" t="str">
        <f t="shared" si="4"/>
        <v/>
      </c>
      <c r="J771" s="284"/>
      <c r="K771" s="305" t="s">
        <v>2465</v>
      </c>
      <c r="L771" s="285" t="s">
        <v>933</v>
      </c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6"/>
      <c r="Z771" s="286"/>
      <c r="AA771" s="286"/>
    </row>
    <row r="772">
      <c r="A772" s="271"/>
      <c r="B772" s="271"/>
      <c r="C772" s="285"/>
      <c r="D772" s="285"/>
      <c r="E772" s="285"/>
      <c r="F772" s="326"/>
      <c r="G772" s="285" t="str">
        <f>IFERROR(__xludf.DUMMYFUNCTION("""COMPUTED_VALUE"""),"FORRO AUTOBROCANTE DECK CABREUVA DOURADA PREMIUM TG 2,5 X 10 X COMPR. VARIAVEIS")</f>
        <v>FORRO AUTOBROCANTE DECK CABREUVA DOURADA PREMIUM TG 2,5 X 10 X COMPR. VARIAVEIS</v>
      </c>
      <c r="H772" s="313" t="s">
        <v>2401</v>
      </c>
      <c r="I772" s="271" t="str">
        <f t="shared" si="4"/>
        <v/>
      </c>
      <c r="J772" s="284"/>
      <c r="K772" s="305" t="s">
        <v>2466</v>
      </c>
      <c r="L772" s="285" t="s">
        <v>934</v>
      </c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6"/>
      <c r="Z772" s="286"/>
      <c r="AA772" s="286"/>
    </row>
    <row r="773">
      <c r="A773" s="271"/>
      <c r="B773" s="271"/>
      <c r="C773" s="285"/>
      <c r="D773" s="285"/>
      <c r="E773" s="285"/>
      <c r="F773" s="326"/>
      <c r="G773" s="285" t="str">
        <f>IFERROR(__xludf.DUMMYFUNCTION("""COMPUTED_VALUE"""),"FORRO AUTOBROCANTE DECK TAUARI PREMIUM TG 2,5 X 5 X COMPR. VARIAVEIS")</f>
        <v>FORRO AUTOBROCANTE DECK TAUARI PREMIUM TG 2,5 X 5 X COMPR. VARIAVEIS</v>
      </c>
      <c r="H773" s="313" t="s">
        <v>2403</v>
      </c>
      <c r="I773" s="271" t="str">
        <f t="shared" si="4"/>
        <v/>
      </c>
      <c r="J773" s="284"/>
      <c r="K773" s="305" t="s">
        <v>2467</v>
      </c>
      <c r="L773" s="285" t="s">
        <v>935</v>
      </c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6"/>
      <c r="Z773" s="286"/>
      <c r="AA773" s="286"/>
    </row>
    <row r="774">
      <c r="A774" s="271"/>
      <c r="B774" s="271"/>
      <c r="C774" s="285"/>
      <c r="D774" s="285"/>
      <c r="E774" s="285"/>
      <c r="F774" s="326"/>
      <c r="G774" s="285" t="str">
        <f>IFERROR(__xludf.DUMMYFUNCTION("""COMPUTED_VALUE"""),"FORRO AUTOBROCANTE DECK TAUARI PREMIUM TG 2,5 X 10 X COMPR. VARIAVEIS")</f>
        <v>FORRO AUTOBROCANTE DECK TAUARI PREMIUM TG 2,5 X 10 X COMPR. VARIAVEIS</v>
      </c>
      <c r="H774" s="313" t="s">
        <v>2405</v>
      </c>
      <c r="I774" s="271" t="str">
        <f t="shared" si="4"/>
        <v/>
      </c>
      <c r="J774" s="284"/>
      <c r="K774" s="305" t="s">
        <v>2468</v>
      </c>
      <c r="L774" s="285" t="s">
        <v>936</v>
      </c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6"/>
      <c r="Z774" s="286"/>
      <c r="AA774" s="286"/>
    </row>
    <row r="775">
      <c r="A775" s="271"/>
      <c r="B775" s="271"/>
      <c r="C775" s="285"/>
      <c r="D775" s="285"/>
      <c r="E775" s="285"/>
      <c r="F775" s="326"/>
      <c r="G775" s="285" t="str">
        <f>IFERROR(__xludf.DUMMYFUNCTION("""COMPUTED_VALUE"""),"FORRO AUTOBROCANTE DECK PEROBA PREMIUM TG 2,5 X 5 X COMPR. VARIAVEIS")</f>
        <v>FORRO AUTOBROCANTE DECK PEROBA PREMIUM TG 2,5 X 5 X COMPR. VARIAVEIS</v>
      </c>
      <c r="H775" s="313" t="s">
        <v>2407</v>
      </c>
      <c r="I775" s="271" t="str">
        <f t="shared" si="4"/>
        <v/>
      </c>
      <c r="J775" s="284"/>
      <c r="K775" s="305" t="s">
        <v>2469</v>
      </c>
      <c r="L775" s="285" t="s">
        <v>937</v>
      </c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6"/>
      <c r="Z775" s="286"/>
      <c r="AA775" s="286"/>
    </row>
    <row r="776">
      <c r="A776" s="271"/>
      <c r="B776" s="271"/>
      <c r="C776" s="285"/>
      <c r="D776" s="285"/>
      <c r="E776" s="285"/>
      <c r="F776" s="326"/>
      <c r="G776" s="285" t="str">
        <f>IFERROR(__xludf.DUMMYFUNCTION("""COMPUTED_VALUE"""),"FORRO AUTOBROCANTE DECK PEROBA PREMIUM TG 2,5 X 10 X COMPR. VARIAVEIS")</f>
        <v>FORRO AUTOBROCANTE DECK PEROBA PREMIUM TG 2,5 X 10 X COMPR. VARIAVEIS</v>
      </c>
      <c r="H776" s="313" t="s">
        <v>2409</v>
      </c>
      <c r="I776" s="271" t="str">
        <f t="shared" si="4"/>
        <v/>
      </c>
      <c r="J776" s="284"/>
      <c r="K776" s="305" t="s">
        <v>2470</v>
      </c>
      <c r="L776" s="285" t="s">
        <v>938</v>
      </c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6"/>
      <c r="Z776" s="286"/>
      <c r="AA776" s="286"/>
    </row>
    <row r="777">
      <c r="A777" s="271"/>
      <c r="B777" s="271"/>
      <c r="C777" s="285"/>
      <c r="D777" s="285"/>
      <c r="E777" s="285"/>
      <c r="F777" s="326"/>
      <c r="G777" s="285" t="str">
        <f>IFERROR(__xludf.DUMMYFUNCTION("""COMPUTED_VALUE"""),"FORRO AUTOBROCANTE DECK BAMBU CARAMEL ALTA DENSIDADE")</f>
        <v>FORRO AUTOBROCANTE DECK BAMBU CARAMEL ALTA DENSIDADE</v>
      </c>
      <c r="H777" s="313" t="s">
        <v>2411</v>
      </c>
      <c r="I777" s="271" t="str">
        <f t="shared" si="4"/>
        <v/>
      </c>
      <c r="J777" s="284"/>
      <c r="K777" s="305" t="s">
        <v>2471</v>
      </c>
      <c r="L777" s="285" t="s">
        <v>939</v>
      </c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6"/>
      <c r="Z777" s="286"/>
      <c r="AA777" s="286"/>
    </row>
    <row r="778">
      <c r="A778" s="271"/>
      <c r="B778" s="271"/>
      <c r="C778" s="285"/>
      <c r="D778" s="285"/>
      <c r="E778" s="285"/>
      <c r="F778" s="326"/>
      <c r="G778" s="285" t="str">
        <f>IFERROR(__xludf.DUMMYFUNCTION("""COMPUTED_VALUE"""),"FORRO AUTOBROCANTE DECK BPC CINZA ESCURO 2 X15X 290CM PÇ/0.435M2")</f>
        <v>FORRO AUTOBROCANTE DECK BPC CINZA ESCURO 2 X15X 290CM PÇ/0.435M2</v>
      </c>
      <c r="H778" s="313" t="s">
        <v>2413</v>
      </c>
      <c r="I778" s="271" t="str">
        <f t="shared" si="4"/>
        <v/>
      </c>
      <c r="J778" s="284"/>
      <c r="K778" s="305" t="s">
        <v>2472</v>
      </c>
      <c r="L778" s="285" t="s">
        <v>940</v>
      </c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6"/>
      <c r="Z778" s="286"/>
      <c r="AA778" s="286"/>
    </row>
    <row r="779">
      <c r="A779" s="271"/>
      <c r="B779" s="271"/>
      <c r="C779" s="285"/>
      <c r="D779" s="285"/>
      <c r="E779" s="285"/>
      <c r="F779" s="326"/>
      <c r="G779" s="285" t="str">
        <f>IFERROR(__xludf.DUMMYFUNCTION("""COMPUTED_VALUE"""),"FORRO AUTOBROCANTE DECK BPC MORROM 2X15X220CM")</f>
        <v>FORRO AUTOBROCANTE DECK BPC MORROM 2X15X220CM</v>
      </c>
      <c r="I779" s="271" t="str">
        <f t="shared" si="4"/>
        <v/>
      </c>
      <c r="J779" s="284"/>
      <c r="K779" s="305" t="s">
        <v>2473</v>
      </c>
      <c r="L779" s="285" t="s">
        <v>941</v>
      </c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6"/>
      <c r="Z779" s="286"/>
      <c r="AA779" s="286"/>
    </row>
    <row r="780">
      <c r="A780" s="271"/>
      <c r="B780" s="271"/>
      <c r="C780" s="285"/>
      <c r="D780" s="285"/>
      <c r="E780" s="285"/>
      <c r="F780" s="326"/>
      <c r="G780" s="285" t="str">
        <f>IFERROR(__xludf.DUMMYFUNCTION("""COMPUTED_VALUE"""),"FORRO AUTOBROCANTE DECK WPC CINZA 2,2*14,6*220CM")</f>
        <v>FORRO AUTOBROCANTE DECK WPC CINZA 2,2*14,6*220CM</v>
      </c>
      <c r="I780" s="271" t="str">
        <f t="shared" si="4"/>
        <v/>
      </c>
      <c r="J780" s="284"/>
      <c r="K780" s="305" t="s">
        <v>2474</v>
      </c>
      <c r="L780" s="285" t="s">
        <v>942</v>
      </c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6"/>
      <c r="Z780" s="286"/>
      <c r="AA780" s="286"/>
    </row>
    <row r="781">
      <c r="A781" s="271"/>
      <c r="B781" s="271"/>
      <c r="C781" s="285"/>
      <c r="D781" s="285"/>
      <c r="E781" s="285"/>
      <c r="F781" s="326"/>
      <c r="G781" s="285" t="str">
        <f>IFERROR(__xludf.DUMMYFUNCTION("""COMPUTED_VALUE"""),"FORRO AUTOBROCANTE PEROBA RUSTICA DE DEMOLIÇÃO")</f>
        <v>FORRO AUTOBROCANTE PEROBA RUSTICA DE DEMOLIÇÃO</v>
      </c>
      <c r="I781" s="271" t="str">
        <f t="shared" si="4"/>
        <v/>
      </c>
      <c r="J781" s="284"/>
      <c r="K781" s="305" t="s">
        <v>2475</v>
      </c>
      <c r="L781" s="285" t="s">
        <v>943</v>
      </c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6"/>
      <c r="Z781" s="286"/>
      <c r="AA781" s="286"/>
    </row>
    <row r="782">
      <c r="A782" s="271"/>
      <c r="B782" s="271"/>
      <c r="C782" s="285"/>
      <c r="D782" s="285"/>
      <c r="E782" s="285"/>
      <c r="F782" s="326"/>
      <c r="G782" s="285" t="str">
        <f>IFERROR(__xludf.DUMMYFUNCTION("""COMPUTED_VALUE"""),"FORRO AUTOBROCANTE CANELA RUSTICA DE DEMOLIÇÃO")</f>
        <v>FORRO AUTOBROCANTE CANELA RUSTICA DE DEMOLIÇÃO</v>
      </c>
      <c r="H782" s="283" t="s">
        <v>882</v>
      </c>
      <c r="I782" s="271" t="str">
        <f t="shared" si="4"/>
        <v/>
      </c>
      <c r="J782" s="284"/>
      <c r="K782" s="305" t="s">
        <v>2476</v>
      </c>
      <c r="L782" s="285" t="s">
        <v>944</v>
      </c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6"/>
      <c r="Z782" s="286"/>
      <c r="AA782" s="286"/>
    </row>
    <row r="783">
      <c r="A783" s="271"/>
      <c r="B783" s="271"/>
      <c r="C783" s="285"/>
      <c r="D783" s="285"/>
      <c r="E783" s="285"/>
      <c r="F783" s="326"/>
      <c r="G783" s="285" t="str">
        <f>IFERROR(__xludf.DUMMYFUNCTION("""COMPUTED_VALUE"""),"FORRO INOX CARVALHO EUROPEU MARRONE CHEVRON 15/3 X 1900X 740MM")</f>
        <v>FORRO INOX CARVALHO EUROPEU MARRONE CHEVRON 15/3 X 1900X 740MM</v>
      </c>
      <c r="H783" s="283" t="s">
        <v>883</v>
      </c>
      <c r="I783" s="271">
        <f t="shared" si="4"/>
        <v>229.82</v>
      </c>
      <c r="J783" s="284"/>
      <c r="K783" s="305" t="s">
        <v>2477</v>
      </c>
      <c r="L783" s="285" t="s">
        <v>945</v>
      </c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6"/>
      <c r="Z783" s="286"/>
      <c r="AA783" s="286"/>
    </row>
    <row r="784">
      <c r="A784" s="271"/>
      <c r="B784" s="271"/>
      <c r="C784" s="285"/>
      <c r="D784" s="285"/>
      <c r="E784" s="285"/>
      <c r="F784" s="326"/>
      <c r="G784" s="285" t="str">
        <f>IFERROR(__xludf.DUMMYFUNCTION("""COMPUTED_VALUE"""),"FORRO INOX CARVALHO EUROPEU MARRONE 15/3 X 125 X 1200MM")</f>
        <v>FORRO INOX CARVALHO EUROPEU MARRONE 15/3 X 125 X 1200MM</v>
      </c>
      <c r="H784" s="283" t="s">
        <v>884</v>
      </c>
      <c r="I784" s="271">
        <f t="shared" si="4"/>
        <v>194.56</v>
      </c>
      <c r="J784" s="284"/>
      <c r="K784" s="305" t="s">
        <v>2478</v>
      </c>
      <c r="L784" s="285" t="s">
        <v>946</v>
      </c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6"/>
      <c r="Z784" s="286"/>
      <c r="AA784" s="286"/>
    </row>
    <row r="785">
      <c r="A785" s="271"/>
      <c r="B785" s="271"/>
      <c r="C785" s="285"/>
      <c r="D785" s="285"/>
      <c r="E785" s="285"/>
      <c r="F785" s="326"/>
      <c r="G785" s="285" t="str">
        <f>IFERROR(__xludf.DUMMYFUNCTION("""COMPUTED_VALUE"""),"FORRO INOX CARVALHO EUROPEU MARRONE 15/3 X 190 X 1900MM")</f>
        <v>FORRO INOX CARVALHO EUROPEU MARRONE 15/3 X 190 X 1900MM</v>
      </c>
      <c r="H785" s="283" t="s">
        <v>885</v>
      </c>
      <c r="I785" s="271">
        <f t="shared" si="4"/>
        <v>229.82</v>
      </c>
      <c r="J785" s="284"/>
      <c r="K785" s="305" t="s">
        <v>2479</v>
      </c>
      <c r="L785" s="285" t="s">
        <v>947</v>
      </c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6"/>
      <c r="Z785" s="286"/>
      <c r="AA785" s="286"/>
    </row>
    <row r="786">
      <c r="A786" s="271"/>
      <c r="B786" s="271"/>
      <c r="C786" s="285"/>
      <c r="D786" s="285"/>
      <c r="E786" s="285"/>
      <c r="F786" s="326"/>
      <c r="G786" s="285" t="str">
        <f>IFERROR(__xludf.DUMMYFUNCTION("""COMPUTED_VALUE"""),"FORRO INOX CARVALHO EUROPEU MARRONE 20/6 X 300 X 4000MM")</f>
        <v>FORRO INOX CARVALHO EUROPEU MARRONE 20/6 X 300 X 4000MM</v>
      </c>
      <c r="H786" s="283" t="s">
        <v>886</v>
      </c>
      <c r="I786" s="271">
        <f t="shared" si="4"/>
        <v>270.56</v>
      </c>
      <c r="J786" s="284"/>
      <c r="K786" s="305" t="s">
        <v>2480</v>
      </c>
      <c r="L786" s="285" t="s">
        <v>948</v>
      </c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6"/>
      <c r="Z786" s="286"/>
      <c r="AA786" s="286"/>
    </row>
    <row r="787">
      <c r="A787" s="271"/>
      <c r="B787" s="271"/>
      <c r="C787" s="285"/>
      <c r="D787" s="285"/>
      <c r="E787" s="285"/>
      <c r="F787" s="326"/>
      <c r="G787" s="285" t="str">
        <f>IFERROR(__xludf.DUMMYFUNCTION("""COMPUTED_VALUE"""),"FORRO INOX CARVALHO EUROPEU MARRONE 20/6 X 400 X 5000MM")</f>
        <v>FORRO INOX CARVALHO EUROPEU MARRONE 20/6 X 400 X 5000MM</v>
      </c>
      <c r="H787" s="283" t="s">
        <v>887</v>
      </c>
      <c r="I787" s="271">
        <f t="shared" si="4"/>
        <v>304</v>
      </c>
      <c r="J787" s="284"/>
      <c r="K787" s="305" t="s">
        <v>2481</v>
      </c>
      <c r="L787" s="285" t="s">
        <v>949</v>
      </c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6"/>
      <c r="Z787" s="286"/>
      <c r="AA787" s="286"/>
    </row>
    <row r="788">
      <c r="A788" s="271"/>
      <c r="B788" s="271"/>
      <c r="C788" s="285"/>
      <c r="D788" s="285"/>
      <c r="E788" s="285"/>
      <c r="F788" s="326"/>
      <c r="G788" s="285" t="str">
        <f>IFERROR(__xludf.DUMMYFUNCTION("""COMPUTED_VALUE"""),"FORRO INOX CARVALHO EUROPEU MONT BLANC CHEVRON 15/3 X 1900X 740MM")</f>
        <v>FORRO INOX CARVALHO EUROPEU MONT BLANC CHEVRON 15/3 X 1900X 740MM</v>
      </c>
      <c r="H788" s="283" t="s">
        <v>888</v>
      </c>
      <c r="I788" s="271">
        <f t="shared" si="4"/>
        <v>229.82</v>
      </c>
      <c r="J788" s="284"/>
      <c r="K788" s="305" t="s">
        <v>2482</v>
      </c>
      <c r="L788" s="285" t="s">
        <v>950</v>
      </c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6"/>
      <c r="Z788" s="286"/>
      <c r="AA788" s="286"/>
    </row>
    <row r="789">
      <c r="A789" s="271"/>
      <c r="B789" s="271"/>
      <c r="C789" s="285"/>
      <c r="D789" s="285"/>
      <c r="E789" s="285"/>
      <c r="F789" s="326"/>
      <c r="G789" s="285" t="str">
        <f>IFERROR(__xludf.DUMMYFUNCTION("""COMPUTED_VALUE"""),"FORRO INOX CARVALHO EUROPEU MONT BLANC ESPINHA DE PEIXE TG 15/3 X 125X900MM")</f>
        <v>FORRO INOX CARVALHO EUROPEU MONT BLANC ESPINHA DE PEIXE TG 15/3 X 125X900MM</v>
      </c>
      <c r="H789" s="283" t="s">
        <v>889</v>
      </c>
      <c r="I789" s="271">
        <f t="shared" si="4"/>
        <v>194.56</v>
      </c>
      <c r="J789" s="284"/>
      <c r="K789" s="305" t="s">
        <v>2483</v>
      </c>
      <c r="L789" s="285" t="s">
        <v>951</v>
      </c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6"/>
      <c r="Z789" s="286"/>
      <c r="AA789" s="286"/>
    </row>
    <row r="790">
      <c r="A790" s="271"/>
      <c r="B790" s="271"/>
      <c r="C790" s="285"/>
      <c r="D790" s="285"/>
      <c r="E790" s="285"/>
      <c r="F790" s="326"/>
      <c r="G790" s="285" t="str">
        <f>IFERROR(__xludf.DUMMYFUNCTION("""COMPUTED_VALUE"""),"FORRO INOX CARVALHO EUROPEU MONT BLANC 15/3 X 125 X 1200MM")</f>
        <v>FORRO INOX CARVALHO EUROPEU MONT BLANC 15/3 X 125 X 1200MM</v>
      </c>
      <c r="H790" s="283" t="s">
        <v>890</v>
      </c>
      <c r="I790" s="271">
        <f t="shared" si="4"/>
        <v>194.56</v>
      </c>
      <c r="J790" s="284"/>
      <c r="K790" s="305" t="s">
        <v>2484</v>
      </c>
      <c r="L790" s="285" t="s">
        <v>952</v>
      </c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6"/>
      <c r="Z790" s="286"/>
      <c r="AA790" s="286"/>
    </row>
    <row r="791">
      <c r="A791" s="271"/>
      <c r="B791" s="271"/>
      <c r="C791" s="285"/>
      <c r="D791" s="285"/>
      <c r="E791" s="285"/>
      <c r="F791" s="326"/>
      <c r="G791" s="285" t="str">
        <f>IFERROR(__xludf.DUMMYFUNCTION("""COMPUTED_VALUE"""),"FORRO INOX CARVALHO EUROPEU MONT BLANC 15/3 X 190 X 1900MM")</f>
        <v>FORRO INOX CARVALHO EUROPEU MONT BLANC 15/3 X 190 X 1900MM</v>
      </c>
      <c r="H791" s="283" t="s">
        <v>891</v>
      </c>
      <c r="I791" s="271">
        <f t="shared" si="4"/>
        <v>229.82</v>
      </c>
      <c r="J791" s="284"/>
      <c r="K791" s="305" t="s">
        <v>2485</v>
      </c>
      <c r="L791" s="285" t="s">
        <v>953</v>
      </c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6"/>
      <c r="Z791" s="286"/>
      <c r="AA791" s="286"/>
    </row>
    <row r="792">
      <c r="A792" s="271"/>
      <c r="B792" s="271"/>
      <c r="C792" s="285"/>
      <c r="D792" s="285"/>
      <c r="E792" s="285"/>
      <c r="F792" s="326"/>
      <c r="G792" s="285" t="str">
        <f>IFERROR(__xludf.DUMMYFUNCTION("""COMPUTED_VALUE"""),"FORRO INOX CARVALHO EUROPEU MONT BLANC 20/6 X 300 X 4000MM")</f>
        <v>FORRO INOX CARVALHO EUROPEU MONT BLANC 20/6 X 300 X 4000MM</v>
      </c>
      <c r="H792" s="283" t="s">
        <v>892</v>
      </c>
      <c r="I792" s="271">
        <f t="shared" si="4"/>
        <v>270.56</v>
      </c>
      <c r="J792" s="284"/>
      <c r="K792" s="305" t="s">
        <v>2486</v>
      </c>
      <c r="L792" s="285" t="s">
        <v>954</v>
      </c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6"/>
      <c r="Z792" s="286"/>
      <c r="AA792" s="286"/>
    </row>
    <row r="793">
      <c r="A793" s="271"/>
      <c r="B793" s="271"/>
      <c r="C793" s="285"/>
      <c r="D793" s="285"/>
      <c r="E793" s="285"/>
      <c r="F793" s="326"/>
      <c r="G793" s="285" t="str">
        <f>IFERROR(__xludf.DUMMYFUNCTION("""COMPUTED_VALUE"""),"FORRO INOX CARVALHO EUROPEU MONT BLANC 20/6 X 400 X 5000MM")</f>
        <v>FORRO INOX CARVALHO EUROPEU MONT BLANC 20/6 X 400 X 5000MM</v>
      </c>
      <c r="H793" s="283" t="s">
        <v>893</v>
      </c>
      <c r="I793" s="271">
        <f t="shared" si="4"/>
        <v>304</v>
      </c>
      <c r="J793" s="284"/>
      <c r="K793" s="305" t="s">
        <v>2487</v>
      </c>
      <c r="L793" s="285" t="s">
        <v>955</v>
      </c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6"/>
      <c r="Z793" s="286"/>
      <c r="AA793" s="286"/>
    </row>
    <row r="794">
      <c r="A794" s="271"/>
      <c r="B794" s="271"/>
      <c r="C794" s="285"/>
      <c r="D794" s="285"/>
      <c r="E794" s="285"/>
      <c r="F794" s="326"/>
      <c r="G794" s="285" t="str">
        <f>IFERROR(__xludf.DUMMYFUNCTION("""COMPUTED_VALUE"""),"FORRO INOX CARVALHO EUROPEU NATURAL CHEVRON TG 15/3 X 125 X 775MM")</f>
        <v>FORRO INOX CARVALHO EUROPEU NATURAL CHEVRON TG 15/3 X 125 X 775MM</v>
      </c>
      <c r="H794" s="283" t="s">
        <v>894</v>
      </c>
      <c r="I794" s="271">
        <f t="shared" si="4"/>
        <v>194.56</v>
      </c>
      <c r="J794" s="284"/>
      <c r="K794" s="305" t="s">
        <v>2488</v>
      </c>
      <c r="L794" s="285" t="s">
        <v>956</v>
      </c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6"/>
      <c r="Z794" s="286"/>
      <c r="AA794" s="286"/>
    </row>
    <row r="795">
      <c r="A795" s="271"/>
      <c r="B795" s="271"/>
      <c r="C795" s="285"/>
      <c r="D795" s="285"/>
      <c r="E795" s="285"/>
      <c r="F795" s="326"/>
      <c r="G795" s="285" t="str">
        <f>IFERROR(__xludf.DUMMYFUNCTION("""COMPUTED_VALUE"""),"FORRO INOX CARVALHO EUROPEU NATURALLE CHEVRON 15/3 X 1900X 740MM")</f>
        <v>FORRO INOX CARVALHO EUROPEU NATURALLE CHEVRON 15/3 X 1900X 740MM</v>
      </c>
      <c r="H795" s="283" t="s">
        <v>895</v>
      </c>
      <c r="I795" s="271">
        <f t="shared" si="4"/>
        <v>229.82</v>
      </c>
      <c r="J795" s="284"/>
      <c r="K795" s="305" t="s">
        <v>2489</v>
      </c>
      <c r="L795" s="285" t="s">
        <v>957</v>
      </c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6"/>
      <c r="Z795" s="286"/>
      <c r="AA795" s="286"/>
    </row>
    <row r="796">
      <c r="A796" s="271"/>
      <c r="B796" s="271"/>
      <c r="C796" s="285"/>
      <c r="D796" s="285"/>
      <c r="E796" s="285"/>
      <c r="F796" s="326"/>
      <c r="G796" s="285" t="str">
        <f>IFERROR(__xludf.DUMMYFUNCTION("""COMPUTED_VALUE"""),"FORRO INOX CARVALHO EUROPEU NATURALLE CHEVRON 60º 15/3 X 1900X 910MM")</f>
        <v>FORRO INOX CARVALHO EUROPEU NATURALLE CHEVRON 60º 15/3 X 1900X 910MM</v>
      </c>
      <c r="H796" s="283" t="s">
        <v>896</v>
      </c>
      <c r="I796" s="271">
        <f t="shared" si="4"/>
        <v>229.82</v>
      </c>
      <c r="J796" s="284"/>
      <c r="K796" s="305" t="s">
        <v>2490</v>
      </c>
      <c r="L796" s="285" t="s">
        <v>958</v>
      </c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6"/>
      <c r="Z796" s="286"/>
      <c r="AA796" s="286"/>
    </row>
    <row r="797">
      <c r="A797" s="271"/>
      <c r="B797" s="271"/>
      <c r="C797" s="285"/>
      <c r="D797" s="285"/>
      <c r="E797" s="285"/>
      <c r="F797" s="326"/>
      <c r="G797" s="285" t="str">
        <f>IFERROR(__xludf.DUMMYFUNCTION("""COMPUTED_VALUE"""),"FORRO INOX CARVALHO EUROPEU NATURALLE FINE 10/06 X 1900 X 1900MM")</f>
        <v>FORRO INOX CARVALHO EUROPEU NATURALLE FINE 10/06 X 1900 X 1900MM</v>
      </c>
      <c r="H797" s="283" t="s">
        <v>897</v>
      </c>
      <c r="I797" s="271">
        <f t="shared" si="4"/>
        <v>124.64</v>
      </c>
      <c r="J797" s="284"/>
      <c r="K797" s="305" t="s">
        <v>2491</v>
      </c>
      <c r="L797" s="285" t="s">
        <v>959</v>
      </c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6"/>
      <c r="Z797" s="286"/>
      <c r="AA797" s="286"/>
    </row>
    <row r="798">
      <c r="A798" s="271"/>
      <c r="B798" s="271"/>
      <c r="C798" s="285"/>
      <c r="D798" s="285"/>
      <c r="E798" s="285"/>
      <c r="F798" s="326"/>
      <c r="G798" s="285" t="str">
        <f>IFERROR(__xludf.DUMMYFUNCTION("""COMPUTED_VALUE"""),"FORRO INOX CARVALHO EUROPEU NATURALLE 15/3 X 125 X 1200MM")</f>
        <v>FORRO INOX CARVALHO EUROPEU NATURALLE 15/3 X 125 X 1200MM</v>
      </c>
      <c r="H798" s="283" t="s">
        <v>898</v>
      </c>
      <c r="I798" s="271">
        <f t="shared" si="4"/>
        <v>194.56</v>
      </c>
      <c r="J798" s="284"/>
      <c r="K798" s="305" t="s">
        <v>2492</v>
      </c>
      <c r="L798" s="285" t="s">
        <v>960</v>
      </c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6"/>
      <c r="Z798" s="286"/>
      <c r="AA798" s="286"/>
    </row>
    <row r="799">
      <c r="A799" s="271"/>
      <c r="B799" s="271"/>
      <c r="C799" s="285"/>
      <c r="D799" s="285"/>
      <c r="E799" s="285"/>
      <c r="F799" s="326"/>
      <c r="G799" s="285" t="str">
        <f>IFERROR(__xludf.DUMMYFUNCTION("""COMPUTED_VALUE"""),"FORRO INOX CARVALHO EUROPEU NATURALLE 15/3 X 190 X 1900MM")</f>
        <v>FORRO INOX CARVALHO EUROPEU NATURALLE 15/3 X 190 X 1900MM</v>
      </c>
      <c r="H799" s="283" t="s">
        <v>899</v>
      </c>
      <c r="I799" s="271">
        <f t="shared" si="4"/>
        <v>229.82</v>
      </c>
      <c r="J799" s="284"/>
      <c r="K799" s="305" t="s">
        <v>2493</v>
      </c>
      <c r="L799" s="285" t="s">
        <v>961</v>
      </c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6"/>
      <c r="Z799" s="286"/>
      <c r="AA799" s="286"/>
    </row>
    <row r="800">
      <c r="A800" s="271"/>
      <c r="B800" s="271"/>
      <c r="C800" s="285"/>
      <c r="D800" s="285"/>
      <c r="E800" s="285"/>
      <c r="F800" s="326"/>
      <c r="G800" s="285" t="str">
        <f>IFERROR(__xludf.DUMMYFUNCTION("""COMPUTED_VALUE"""),"FORRO INOX CARVALHO EUROPEU NATURALLE 20/6 X 300 X 4000MM")</f>
        <v>FORRO INOX CARVALHO EUROPEU NATURALLE 20/6 X 300 X 4000MM</v>
      </c>
      <c r="H800" s="283" t="s">
        <v>900</v>
      </c>
      <c r="I800" s="271">
        <f t="shared" si="4"/>
        <v>270.56</v>
      </c>
      <c r="J800" s="284"/>
      <c r="K800" s="305" t="s">
        <v>2494</v>
      </c>
      <c r="L800" s="285" t="s">
        <v>962</v>
      </c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6"/>
      <c r="Z800" s="286"/>
      <c r="AA800" s="286"/>
    </row>
    <row r="801">
      <c r="A801" s="271"/>
      <c r="B801" s="271"/>
      <c r="C801" s="285"/>
      <c r="D801" s="285"/>
      <c r="E801" s="285"/>
      <c r="F801" s="326"/>
      <c r="G801" s="285" t="str">
        <f>IFERROR(__xludf.DUMMYFUNCTION("""COMPUTED_VALUE"""),"FORRO INOX CARVALHO EUROPEU NATURALLE 20/6 X 400 X 5000MM")</f>
        <v>FORRO INOX CARVALHO EUROPEU NATURALLE 20/6 X 400 X 5000MM</v>
      </c>
      <c r="H801" s="283" t="s">
        <v>901</v>
      </c>
      <c r="I801" s="271">
        <f t="shared" si="4"/>
        <v>304</v>
      </c>
      <c r="J801" s="284"/>
      <c r="K801" s="305" t="s">
        <v>2495</v>
      </c>
      <c r="L801" s="285" t="s">
        <v>963</v>
      </c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6"/>
      <c r="Z801" s="286"/>
      <c r="AA801" s="286"/>
    </row>
    <row r="802">
      <c r="A802" s="271"/>
      <c r="B802" s="271"/>
      <c r="C802" s="285"/>
      <c r="D802" s="285"/>
      <c r="E802" s="285"/>
      <c r="F802" s="326"/>
      <c r="G802" s="285" t="str">
        <f>IFERROR(__xludf.DUMMYFUNCTION("""COMPUTED_VALUE"""),"FORRO INOX CARVALHO EUROPEU CAPUCCINO CHEVRON 15/3 X 1900X 740MM")</f>
        <v>FORRO INOX CARVALHO EUROPEU CAPUCCINO CHEVRON 15/3 X 1900X 740MM</v>
      </c>
      <c r="H802" s="283" t="s">
        <v>902</v>
      </c>
      <c r="I802" s="271">
        <f t="shared" si="4"/>
        <v>229.82</v>
      </c>
      <c r="J802" s="284"/>
      <c r="K802" s="305" t="s">
        <v>2496</v>
      </c>
      <c r="L802" s="285" t="s">
        <v>964</v>
      </c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6"/>
      <c r="Z802" s="286"/>
      <c r="AA802" s="286"/>
    </row>
    <row r="803">
      <c r="A803" s="271"/>
      <c r="B803" s="271"/>
      <c r="C803" s="285"/>
      <c r="D803" s="285"/>
      <c r="E803" s="285"/>
      <c r="F803" s="326"/>
      <c r="G803" s="285" t="str">
        <f>IFERROR(__xludf.DUMMYFUNCTION("""COMPUTED_VALUE"""),"FORRO INOX CARVALHO EUROPEU CAPUCCINO 15/3 X 125 X 1200MM")</f>
        <v>FORRO INOX CARVALHO EUROPEU CAPUCCINO 15/3 X 125 X 1200MM</v>
      </c>
      <c r="H803" s="283" t="s">
        <v>903</v>
      </c>
      <c r="I803" s="271">
        <f t="shared" si="4"/>
        <v>194.56</v>
      </c>
      <c r="J803" s="284"/>
      <c r="K803" s="305" t="s">
        <v>2497</v>
      </c>
      <c r="L803" s="285" t="s">
        <v>965</v>
      </c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6"/>
      <c r="Z803" s="286"/>
      <c r="AA803" s="286"/>
    </row>
    <row r="804">
      <c r="A804" s="271"/>
      <c r="B804" s="271"/>
      <c r="C804" s="285"/>
      <c r="D804" s="285"/>
      <c r="E804" s="285"/>
      <c r="F804" s="326"/>
      <c r="G804" s="285" t="str">
        <f>IFERROR(__xludf.DUMMYFUNCTION("""COMPUTED_VALUE"""),"FORRO INOX CARVALHO EUROPEU CAPPUCCINO ESPINHA DE PEIXE TG 15/3 X 125X900MM")</f>
        <v>FORRO INOX CARVALHO EUROPEU CAPPUCCINO ESPINHA DE PEIXE TG 15/3 X 125X900MM</v>
      </c>
      <c r="H804" s="283" t="s">
        <v>904</v>
      </c>
      <c r="I804" s="271">
        <f t="shared" si="4"/>
        <v>194.56</v>
      </c>
      <c r="J804" s="284"/>
      <c r="K804" s="305" t="s">
        <v>2498</v>
      </c>
      <c r="L804" s="285" t="s">
        <v>966</v>
      </c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6"/>
      <c r="Z804" s="286"/>
      <c r="AA804" s="286"/>
    </row>
    <row r="805">
      <c r="A805" s="271"/>
      <c r="B805" s="271"/>
      <c r="C805" s="285"/>
      <c r="D805" s="285"/>
      <c r="E805" s="285"/>
      <c r="F805" s="326"/>
      <c r="G805" s="285" t="str">
        <f>IFERROR(__xludf.DUMMYFUNCTION("""COMPUTED_VALUE"""),"FORRO INOX CARVALHO EUROPEU CAPUCCINO 15/3 X 190 X 1900MM")</f>
        <v>FORRO INOX CARVALHO EUROPEU CAPUCCINO 15/3 X 190 X 1900MM</v>
      </c>
      <c r="H805" s="283" t="s">
        <v>905</v>
      </c>
      <c r="I805" s="271">
        <f t="shared" si="4"/>
        <v>229.82</v>
      </c>
      <c r="J805" s="284"/>
      <c r="K805" s="305" t="s">
        <v>2499</v>
      </c>
      <c r="L805" s="285" t="s">
        <v>967</v>
      </c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6"/>
      <c r="Z805" s="286"/>
      <c r="AA805" s="286"/>
    </row>
    <row r="806">
      <c r="A806" s="271"/>
      <c r="B806" s="271"/>
      <c r="C806" s="285"/>
      <c r="D806" s="285"/>
      <c r="E806" s="285"/>
      <c r="F806" s="326"/>
      <c r="G806" s="285" t="str">
        <f>IFERROR(__xludf.DUMMYFUNCTION("""COMPUTED_VALUE"""),"FORRO INOX CARVALHO EUROPEU CAPUCCINO 20/6 X 300 X 4000MM")</f>
        <v>FORRO INOX CARVALHO EUROPEU CAPUCCINO 20/6 X 300 X 4000MM</v>
      </c>
      <c r="H806" s="283" t="s">
        <v>906</v>
      </c>
      <c r="I806" s="271">
        <f t="shared" si="4"/>
        <v>270.56</v>
      </c>
      <c r="J806" s="284"/>
      <c r="K806" s="305" t="s">
        <v>2500</v>
      </c>
      <c r="L806" s="285" t="s">
        <v>968</v>
      </c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6"/>
      <c r="Z806" s="286"/>
      <c r="AA806" s="286"/>
    </row>
    <row r="807">
      <c r="A807" s="271"/>
      <c r="B807" s="271"/>
      <c r="C807" s="285"/>
      <c r="D807" s="285"/>
      <c r="E807" s="285"/>
      <c r="F807" s="326"/>
      <c r="G807" s="285" t="str">
        <f>IFERROR(__xludf.DUMMYFUNCTION("""COMPUTED_VALUE"""),"FORRO INOX CARVALHO EUROPEU CAPUCCINO 20/6 X 400 X 5000MM")</f>
        <v>FORRO INOX CARVALHO EUROPEU CAPUCCINO 20/6 X 400 X 5000MM</v>
      </c>
      <c r="H807" s="283" t="s">
        <v>907</v>
      </c>
      <c r="I807" s="271">
        <f t="shared" si="4"/>
        <v>304</v>
      </c>
      <c r="J807" s="284"/>
      <c r="K807" s="305" t="s">
        <v>2501</v>
      </c>
      <c r="L807" s="285" t="s">
        <v>969</v>
      </c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6"/>
      <c r="Z807" s="286"/>
      <c r="AA807" s="286"/>
    </row>
    <row r="808">
      <c r="A808" s="271"/>
      <c r="B808" s="271"/>
      <c r="C808" s="285"/>
      <c r="D808" s="285"/>
      <c r="E808" s="285"/>
      <c r="F808" s="326"/>
      <c r="G808" s="285" t="str">
        <f>IFERROR(__xludf.DUMMYFUNCTION("""COMPUTED_VALUE"""),"FORRO INOX CARVALHO EUROPEU BABY GREY CHEVRON 15/3 X 1900X 740MM")</f>
        <v>FORRO INOX CARVALHO EUROPEU BABY GREY CHEVRON 15/3 X 1900X 740MM</v>
      </c>
      <c r="H808" s="283" t="s">
        <v>908</v>
      </c>
      <c r="I808" s="271">
        <f t="shared" si="4"/>
        <v>229.82</v>
      </c>
      <c r="J808" s="284"/>
      <c r="K808" s="305" t="s">
        <v>2502</v>
      </c>
      <c r="L808" s="285" t="s">
        <v>970</v>
      </c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6"/>
      <c r="Z808" s="286"/>
      <c r="AA808" s="286"/>
    </row>
    <row r="809">
      <c r="A809" s="271"/>
      <c r="B809" s="271"/>
      <c r="C809" s="285"/>
      <c r="D809" s="285"/>
      <c r="E809" s="285"/>
      <c r="F809" s="326"/>
      <c r="G809" s="285" t="str">
        <f>IFERROR(__xludf.DUMMYFUNCTION("""COMPUTED_VALUE"""),"FORRO INOX CARVALHO EUROPEU BABY GREY 15/3 X 125 X 1200MM")</f>
        <v>FORRO INOX CARVALHO EUROPEU BABY GREY 15/3 X 125 X 1200MM</v>
      </c>
      <c r="H809" s="283" t="s">
        <v>909</v>
      </c>
      <c r="I809" s="271">
        <f t="shared" si="4"/>
        <v>194.56</v>
      </c>
      <c r="J809" s="284"/>
      <c r="K809" s="305" t="s">
        <v>2503</v>
      </c>
      <c r="L809" s="285" t="s">
        <v>971</v>
      </c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6"/>
      <c r="Z809" s="286"/>
      <c r="AA809" s="286"/>
    </row>
    <row r="810">
      <c r="A810" s="271"/>
      <c r="B810" s="271"/>
      <c r="C810" s="285"/>
      <c r="D810" s="285"/>
      <c r="E810" s="285"/>
      <c r="F810" s="326"/>
      <c r="G810" s="285" t="str">
        <f>IFERROR(__xludf.DUMMYFUNCTION("""COMPUTED_VALUE"""),"FORRO INOX CARVALHO EUROPEU BABY GREY 15/3 X 190 X 1900MM")</f>
        <v>FORRO INOX CARVALHO EUROPEU BABY GREY 15/3 X 190 X 1900MM</v>
      </c>
      <c r="H810" s="283" t="s">
        <v>910</v>
      </c>
      <c r="I810" s="271">
        <f t="shared" si="4"/>
        <v>229.82</v>
      </c>
      <c r="J810" s="284"/>
      <c r="K810" s="305" t="s">
        <v>2504</v>
      </c>
      <c r="L810" s="285" t="s">
        <v>972</v>
      </c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6"/>
      <c r="Z810" s="286"/>
      <c r="AA810" s="286"/>
    </row>
    <row r="811">
      <c r="A811" s="271"/>
      <c r="B811" s="271"/>
      <c r="C811" s="285"/>
      <c r="D811" s="285"/>
      <c r="E811" s="285"/>
      <c r="F811" s="326"/>
      <c r="G811" s="285" t="str">
        <f>IFERROR(__xludf.DUMMYFUNCTION("""COMPUTED_VALUE"""),"FORRO INOX CARVALHO EUROPEU BABY GREY 20/6 X 300 X 4000MM")</f>
        <v>FORRO INOX CARVALHO EUROPEU BABY GREY 20/6 X 300 X 4000MM</v>
      </c>
      <c r="H811" s="283" t="s">
        <v>911</v>
      </c>
      <c r="I811" s="271">
        <f t="shared" si="4"/>
        <v>270.56</v>
      </c>
      <c r="J811" s="284"/>
      <c r="K811" s="305" t="s">
        <v>2505</v>
      </c>
      <c r="L811" s="285" t="s">
        <v>973</v>
      </c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6"/>
      <c r="Z811" s="286"/>
      <c r="AA811" s="286"/>
    </row>
    <row r="812">
      <c r="A812" s="271"/>
      <c r="B812" s="271"/>
      <c r="C812" s="285"/>
      <c r="D812" s="285"/>
      <c r="E812" s="285"/>
      <c r="F812" s="326"/>
      <c r="G812" s="285" t="str">
        <f>IFERROR(__xludf.DUMMYFUNCTION("""COMPUTED_VALUE"""),"FORRO INOX CARVALHO EUROPEU BABY GREY 20/6 X 400 X 5000MM")</f>
        <v>FORRO INOX CARVALHO EUROPEU BABY GREY 20/6 X 400 X 5000MM</v>
      </c>
      <c r="H812" s="283" t="s">
        <v>912</v>
      </c>
      <c r="I812" s="271">
        <f t="shared" si="4"/>
        <v>304</v>
      </c>
      <c r="J812" s="284"/>
      <c r="K812" s="305" t="s">
        <v>2506</v>
      </c>
      <c r="L812" s="285" t="s">
        <v>974</v>
      </c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6"/>
      <c r="Z812" s="286"/>
      <c r="AA812" s="286"/>
    </row>
    <row r="813">
      <c r="A813" s="271"/>
      <c r="B813" s="271"/>
      <c r="C813" s="285"/>
      <c r="D813" s="285"/>
      <c r="E813" s="285"/>
      <c r="F813" s="326"/>
      <c r="G813" s="285" t="str">
        <f>IFERROR(__xludf.DUMMYFUNCTION("""COMPUTED_VALUE"""),"FORRO INOX CARVALHO EUROPEU GRIGIO NERO CHEVRON 15/3 X 1900X 740MM")</f>
        <v>FORRO INOX CARVALHO EUROPEU GRIGIO NERO CHEVRON 15/3 X 1900X 740MM</v>
      </c>
      <c r="H813" s="283" t="s">
        <v>913</v>
      </c>
      <c r="I813" s="271">
        <f t="shared" si="4"/>
        <v>229.82</v>
      </c>
      <c r="J813" s="284"/>
      <c r="K813" s="305" t="s">
        <v>2507</v>
      </c>
      <c r="L813" s="285" t="s">
        <v>975</v>
      </c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6"/>
      <c r="Z813" s="286"/>
      <c r="AA813" s="286"/>
    </row>
    <row r="814">
      <c r="A814" s="271"/>
      <c r="B814" s="271"/>
      <c r="C814" s="285"/>
      <c r="D814" s="285"/>
      <c r="E814" s="285"/>
      <c r="F814" s="326"/>
      <c r="G814" s="285" t="str">
        <f>IFERROR(__xludf.DUMMYFUNCTION("""COMPUTED_VALUE"""),"FORRO INOX CARVALHO EUROPEU GRIGIO NERO 15/3 X 125 X 1200MM")</f>
        <v>FORRO INOX CARVALHO EUROPEU GRIGIO NERO 15/3 X 125 X 1200MM</v>
      </c>
      <c r="H814" s="283" t="s">
        <v>914</v>
      </c>
      <c r="I814" s="271">
        <f t="shared" si="4"/>
        <v>194.56</v>
      </c>
      <c r="J814" s="284"/>
      <c r="K814" s="305" t="s">
        <v>2508</v>
      </c>
      <c r="L814" s="285" t="s">
        <v>976</v>
      </c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6"/>
      <c r="Z814" s="286"/>
      <c r="AA814" s="286"/>
    </row>
    <row r="815">
      <c r="A815" s="271"/>
      <c r="B815" s="271"/>
      <c r="C815" s="285"/>
      <c r="D815" s="285"/>
      <c r="E815" s="285"/>
      <c r="F815" s="326"/>
      <c r="G815" s="285" t="str">
        <f>IFERROR(__xludf.DUMMYFUNCTION("""COMPUTED_VALUE"""),"FORRO INOX CARVALHO EUROPEU GRIGIO NERO 15/3 X 190 X 1900MM")</f>
        <v>FORRO INOX CARVALHO EUROPEU GRIGIO NERO 15/3 X 190 X 1900MM</v>
      </c>
      <c r="H815" s="283" t="s">
        <v>915</v>
      </c>
      <c r="I815" s="271">
        <f t="shared" si="4"/>
        <v>229.82</v>
      </c>
      <c r="J815" s="284"/>
      <c r="K815" s="305" t="s">
        <v>2509</v>
      </c>
      <c r="L815" s="285" t="s">
        <v>977</v>
      </c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6"/>
      <c r="Z815" s="286"/>
      <c r="AA815" s="286"/>
    </row>
    <row r="816">
      <c r="A816" s="271"/>
      <c r="B816" s="271"/>
      <c r="C816" s="285"/>
      <c r="D816" s="285"/>
      <c r="E816" s="285"/>
      <c r="F816" s="326"/>
      <c r="G816" s="285" t="str">
        <f>IFERROR(__xludf.DUMMYFUNCTION("""COMPUTED_VALUE"""),"FORRO INOX CARVALHO EUROPEU GRIGIO NERO 20/6 X 300 X 4000MM")</f>
        <v>FORRO INOX CARVALHO EUROPEU GRIGIO NERO 20/6 X 300 X 4000MM</v>
      </c>
      <c r="H816" s="283" t="s">
        <v>916</v>
      </c>
      <c r="I816" s="271">
        <f t="shared" si="4"/>
        <v>270.56</v>
      </c>
      <c r="J816" s="284"/>
      <c r="K816" s="305" t="s">
        <v>2510</v>
      </c>
      <c r="L816" s="285" t="s">
        <v>978</v>
      </c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6"/>
      <c r="Z816" s="286"/>
      <c r="AA816" s="286"/>
    </row>
    <row r="817">
      <c r="A817" s="271"/>
      <c r="B817" s="271"/>
      <c r="C817" s="285"/>
      <c r="D817" s="285"/>
      <c r="E817" s="285"/>
      <c r="F817" s="326"/>
      <c r="G817" s="285" t="str">
        <f>IFERROR(__xludf.DUMMYFUNCTION("""COMPUTED_VALUE"""),"FORRO INOX CARVALHO EUROPEU GRIGIO NERO 20/6 X 400 X 5000MM")</f>
        <v>FORRO INOX CARVALHO EUROPEU GRIGIO NERO 20/6 X 400 X 5000MM</v>
      </c>
      <c r="H817" s="283" t="s">
        <v>917</v>
      </c>
      <c r="I817" s="271">
        <f t="shared" si="4"/>
        <v>304</v>
      </c>
      <c r="J817" s="284"/>
      <c r="K817" s="305" t="s">
        <v>2511</v>
      </c>
      <c r="L817" s="285" t="s">
        <v>979</v>
      </c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6"/>
      <c r="Z817" s="286"/>
      <c r="AA817" s="286"/>
    </row>
    <row r="818">
      <c r="A818" s="271"/>
      <c r="B818" s="271"/>
      <c r="C818" s="285"/>
      <c r="D818" s="285"/>
      <c r="E818" s="285"/>
      <c r="F818" s="326"/>
      <c r="G818" s="285" t="str">
        <f>IFERROR(__xludf.DUMMYFUNCTION("""COMPUTED_VALUE"""),"FORRO INOX CARVALHO EUROPEU LIGHT BROWN CHEVRON 15/3 X 1900X 740MM")</f>
        <v>FORRO INOX CARVALHO EUROPEU LIGHT BROWN CHEVRON 15/3 X 1900X 740MM</v>
      </c>
      <c r="H818" s="283" t="s">
        <v>918</v>
      </c>
      <c r="I818" s="271">
        <f t="shared" si="4"/>
        <v>229.82</v>
      </c>
      <c r="J818" s="284"/>
      <c r="K818" s="305" t="s">
        <v>2512</v>
      </c>
      <c r="L818" s="285" t="s">
        <v>980</v>
      </c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6"/>
      <c r="Z818" s="286"/>
      <c r="AA818" s="286"/>
    </row>
    <row r="819">
      <c r="A819" s="271"/>
      <c r="B819" s="271"/>
      <c r="C819" s="285"/>
      <c r="D819" s="285"/>
      <c r="E819" s="285"/>
      <c r="F819" s="326"/>
      <c r="G819" s="285" t="str">
        <f>IFERROR(__xludf.DUMMYFUNCTION("""COMPUTED_VALUE"""),"FORRO INOX CARVALHO EUROPEU LIGHT BROWN 15/3 X 125 X 1200MM")</f>
        <v>FORRO INOX CARVALHO EUROPEU LIGHT BROWN 15/3 X 125 X 1200MM</v>
      </c>
      <c r="H819" s="283" t="s">
        <v>919</v>
      </c>
      <c r="I819" s="271">
        <f t="shared" si="4"/>
        <v>194.56</v>
      </c>
      <c r="J819" s="284"/>
      <c r="K819" s="305" t="s">
        <v>2513</v>
      </c>
      <c r="L819" s="285" t="s">
        <v>981</v>
      </c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6"/>
      <c r="Z819" s="286"/>
      <c r="AA819" s="286"/>
    </row>
    <row r="820">
      <c r="A820" s="271"/>
      <c r="B820" s="271"/>
      <c r="C820" s="285"/>
      <c r="D820" s="285"/>
      <c r="E820" s="285"/>
      <c r="F820" s="326"/>
      <c r="G820" s="285" t="str">
        <f>IFERROR(__xludf.DUMMYFUNCTION("""COMPUTED_VALUE"""),"FORRO INOX CARVALHO EUROPEU LIGHT BROWN 15/3 X 190 X 1900MM")</f>
        <v>FORRO INOX CARVALHO EUROPEU LIGHT BROWN 15/3 X 190 X 1900MM</v>
      </c>
      <c r="H820" s="283" t="s">
        <v>920</v>
      </c>
      <c r="I820" s="271">
        <f t="shared" si="4"/>
        <v>229.82</v>
      </c>
      <c r="J820" s="284"/>
      <c r="K820" s="305" t="s">
        <v>2514</v>
      </c>
      <c r="L820" s="285" t="s">
        <v>982</v>
      </c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6"/>
      <c r="Z820" s="286"/>
      <c r="AA820" s="286"/>
    </row>
    <row r="821">
      <c r="A821" s="271"/>
      <c r="B821" s="271"/>
      <c r="C821" s="285"/>
      <c r="D821" s="285"/>
      <c r="E821" s="285"/>
      <c r="F821" s="326"/>
      <c r="G821" s="285" t="str">
        <f>IFERROR(__xludf.DUMMYFUNCTION("""COMPUTED_VALUE"""),"FORRO INOX CARVALHO EUROPEU LIGHT BROWN 20/6 X 300 X 4000MM")</f>
        <v>FORRO INOX CARVALHO EUROPEU LIGHT BROWN 20/6 X 300 X 4000MM</v>
      </c>
      <c r="H821" s="283" t="s">
        <v>921</v>
      </c>
      <c r="I821" s="271">
        <f t="shared" si="4"/>
        <v>270.56</v>
      </c>
      <c r="J821" s="284"/>
      <c r="K821" s="305" t="s">
        <v>2515</v>
      </c>
      <c r="L821" s="285" t="s">
        <v>983</v>
      </c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6"/>
      <c r="Z821" s="286"/>
      <c r="AA821" s="286"/>
    </row>
    <row r="822">
      <c r="A822" s="271"/>
      <c r="B822" s="271"/>
      <c r="C822" s="285"/>
      <c r="D822" s="285"/>
      <c r="E822" s="285"/>
      <c r="F822" s="326"/>
      <c r="G822" s="285" t="str">
        <f>IFERROR(__xludf.DUMMYFUNCTION("""COMPUTED_VALUE"""),"FORRO INOX CARVALHO EUROPEU - LISTONE GIORDANO (HERITAGE 140 FILIGRANA - SIENNA 1179) TG 1,25 X 14,0 X 83,50CM --")</f>
        <v>FORRO INOX CARVALHO EUROPEU - LISTONE GIORDANO (HERITAGE 140 FILIGRANA - SIENNA 1179) TG 1,25 X 14,0 X 83,50CM --</v>
      </c>
      <c r="H822" s="283" t="s">
        <v>922</v>
      </c>
      <c r="I822" s="271">
        <f t="shared" si="4"/>
        <v>1095</v>
      </c>
      <c r="J822" s="284"/>
      <c r="K822" s="305" t="s">
        <v>2516</v>
      </c>
      <c r="L822" s="285" t="s">
        <v>984</v>
      </c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6"/>
      <c r="Z822" s="286"/>
      <c r="AA822" s="286"/>
    </row>
    <row r="823">
      <c r="A823" s="271"/>
      <c r="B823" s="271"/>
      <c r="C823" s="285"/>
      <c r="D823" s="285"/>
      <c r="E823" s="285"/>
      <c r="F823" s="326"/>
      <c r="G823" s="285" t="str">
        <f>IFERROR(__xludf.DUMMYFUNCTION("""COMPUTED_VALUE"""),"FORRO INOX ")</f>
        <v>FORRO INOX </v>
      </c>
      <c r="H823" s="283" t="s">
        <v>923</v>
      </c>
      <c r="I823" s="271" t="str">
        <f t="shared" si="4"/>
        <v/>
      </c>
      <c r="J823" s="284"/>
      <c r="K823" s="305" t="s">
        <v>2517</v>
      </c>
      <c r="L823" s="285" t="s">
        <v>985</v>
      </c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6"/>
      <c r="Z823" s="286"/>
      <c r="AA823" s="286"/>
    </row>
    <row r="824">
      <c r="A824" s="271"/>
      <c r="B824" s="271"/>
      <c r="C824" s="285"/>
      <c r="D824" s="285"/>
      <c r="E824" s="285"/>
      <c r="F824" s="326"/>
      <c r="G824" s="285" t="str">
        <f>IFERROR(__xludf.DUMMYFUNCTION("""COMPUTED_VALUE"""),"FORRO INOX CARVALHO EUROPEU MILANO CHEVRON 15/3 X 1900X 740MM")</f>
        <v>FORRO INOX CARVALHO EUROPEU MILANO CHEVRON 15/3 X 1900X 740MM</v>
      </c>
      <c r="H824" s="283" t="s">
        <v>924</v>
      </c>
      <c r="I824" s="271" t="str">
        <f t="shared" si="4"/>
        <v/>
      </c>
      <c r="J824" s="284"/>
      <c r="K824" s="305" t="s">
        <v>2518</v>
      </c>
      <c r="L824" s="285" t="s">
        <v>985</v>
      </c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6"/>
      <c r="Z824" s="286"/>
      <c r="AA824" s="286"/>
    </row>
    <row r="825">
      <c r="A825" s="271"/>
      <c r="B825" s="271"/>
      <c r="C825" s="285"/>
      <c r="D825" s="285"/>
      <c r="E825" s="285"/>
      <c r="F825" s="326"/>
      <c r="G825" s="285" t="str">
        <f>IFERROR(__xludf.DUMMYFUNCTION("""COMPUTED_VALUE"""),"FORRO INOX CARVALHO EUROPEU MILANO 15/3 X 125 X 1200MM")</f>
        <v>FORRO INOX CARVALHO EUROPEU MILANO 15/3 X 125 X 1200MM</v>
      </c>
      <c r="H825" s="283" t="s">
        <v>925</v>
      </c>
      <c r="I825" s="271" t="str">
        <f t="shared" si="4"/>
        <v/>
      </c>
      <c r="J825" s="284"/>
      <c r="K825" s="305" t="s">
        <v>2519</v>
      </c>
      <c r="L825" s="285" t="s">
        <v>987</v>
      </c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6"/>
      <c r="Z825" s="286"/>
      <c r="AA825" s="286"/>
    </row>
    <row r="826">
      <c r="A826" s="271"/>
      <c r="B826" s="271"/>
      <c r="C826" s="285"/>
      <c r="D826" s="285"/>
      <c r="E826" s="285"/>
      <c r="F826" s="326"/>
      <c r="G826" s="285" t="str">
        <f>IFERROR(__xludf.DUMMYFUNCTION("""COMPUTED_VALUE"""),"FORRO INOX CARVALHO EUROPEU MILANO 15/3 X 190 X 1900MM")</f>
        <v>FORRO INOX CARVALHO EUROPEU MILANO 15/3 X 190 X 1900MM</v>
      </c>
      <c r="H826" s="283" t="s">
        <v>926</v>
      </c>
      <c r="I826" s="271" t="str">
        <f t="shared" si="4"/>
        <v/>
      </c>
      <c r="J826" s="284"/>
      <c r="K826" s="305" t="s">
        <v>2520</v>
      </c>
      <c r="L826" s="285" t="s">
        <v>988</v>
      </c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6"/>
      <c r="Z826" s="286"/>
      <c r="AA826" s="286"/>
    </row>
    <row r="827">
      <c r="A827" s="271"/>
      <c r="B827" s="271"/>
      <c r="C827" s="285"/>
      <c r="D827" s="285"/>
      <c r="E827" s="285"/>
      <c r="F827" s="326"/>
      <c r="G827" s="285" t="str">
        <f>IFERROR(__xludf.DUMMYFUNCTION("""COMPUTED_VALUE"""),"FORRO INOX CARVALHO EUROPEU MILANO 20/6 X 300 X 4000MM")</f>
        <v>FORRO INOX CARVALHO EUROPEU MILANO 20/6 X 300 X 4000MM</v>
      </c>
      <c r="H827" s="283" t="s">
        <v>927</v>
      </c>
      <c r="I827" s="271" t="str">
        <f t="shared" si="4"/>
        <v/>
      </c>
      <c r="J827" s="284"/>
      <c r="K827" s="305" t="s">
        <v>2521</v>
      </c>
      <c r="L827" s="285" t="s">
        <v>989</v>
      </c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6"/>
      <c r="Z827" s="286"/>
      <c r="AA827" s="286"/>
    </row>
    <row r="828">
      <c r="A828" s="271"/>
      <c r="B828" s="271"/>
      <c r="C828" s="285"/>
      <c r="D828" s="285"/>
      <c r="E828" s="285"/>
      <c r="F828" s="326"/>
      <c r="G828" s="285" t="str">
        <f>IFERROR(__xludf.DUMMYFUNCTION("""COMPUTED_VALUE"""),"FORRO INOX CARVALHO EUROPEU MILANO 20/6 X 400 X 5000MM")</f>
        <v>FORRO INOX CARVALHO EUROPEU MILANO 20/6 X 400 X 5000MM</v>
      </c>
      <c r="H828" s="283" t="s">
        <v>928</v>
      </c>
      <c r="I828" s="271" t="str">
        <f t="shared" si="4"/>
        <v/>
      </c>
      <c r="J828" s="284"/>
      <c r="K828" s="305" t="s">
        <v>2522</v>
      </c>
      <c r="L828" s="285" t="s">
        <v>990</v>
      </c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6"/>
      <c r="Z828" s="286"/>
      <c r="AA828" s="286"/>
    </row>
    <row r="829">
      <c r="A829" s="271"/>
      <c r="B829" s="271"/>
      <c r="C829" s="285"/>
      <c r="D829" s="285"/>
      <c r="E829" s="285"/>
      <c r="F829" s="326"/>
      <c r="G829" s="285" t="str">
        <f>IFERROR(__xludf.DUMMYFUNCTION("""COMPUTED_VALUE"""),"FORRO INOX CARVALHO EUROPEU SMOKED CHEVRON 15/3 X 1900X 740MM")</f>
        <v>FORRO INOX CARVALHO EUROPEU SMOKED CHEVRON 15/3 X 1900X 740MM</v>
      </c>
      <c r="H829" s="283" t="s">
        <v>929</v>
      </c>
      <c r="I829" s="271" t="str">
        <f t="shared" si="4"/>
        <v/>
      </c>
      <c r="J829" s="284"/>
      <c r="K829" s="305" t="s">
        <v>2523</v>
      </c>
      <c r="L829" s="285" t="s">
        <v>991</v>
      </c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6"/>
      <c r="Z829" s="286"/>
      <c r="AA829" s="286"/>
    </row>
    <row r="830">
      <c r="A830" s="271"/>
      <c r="B830" s="271"/>
      <c r="C830" s="285"/>
      <c r="D830" s="285"/>
      <c r="E830" s="285"/>
      <c r="F830" s="326"/>
      <c r="G830" s="285" t="str">
        <f>IFERROR(__xludf.DUMMYFUNCTION("""COMPUTED_VALUE"""),"FORRO INOX CARVALHO EUROPEU SMOKED 15/3 X 125 X 1200MM")</f>
        <v>FORRO INOX CARVALHO EUROPEU SMOKED 15/3 X 125 X 1200MM</v>
      </c>
      <c r="H830" s="283" t="s">
        <v>930</v>
      </c>
      <c r="I830" s="271" t="str">
        <f t="shared" si="4"/>
        <v/>
      </c>
      <c r="J830" s="284"/>
      <c r="K830" s="305" t="s">
        <v>2524</v>
      </c>
      <c r="L830" s="285" t="s">
        <v>992</v>
      </c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6"/>
      <c r="Z830" s="286"/>
      <c r="AA830" s="286"/>
    </row>
    <row r="831">
      <c r="A831" s="271"/>
      <c r="B831" s="271"/>
      <c r="C831" s="285"/>
      <c r="D831" s="285"/>
      <c r="E831" s="285"/>
      <c r="F831" s="326"/>
      <c r="G831" s="285" t="str">
        <f>IFERROR(__xludf.DUMMYFUNCTION("""COMPUTED_VALUE"""),"FORRO INOX CARVALHO EUROPEU SMOKED 15/3 X 190 X 1900MM")</f>
        <v>FORRO INOX CARVALHO EUROPEU SMOKED 15/3 X 190 X 1900MM</v>
      </c>
      <c r="H831" s="283" t="s">
        <v>931</v>
      </c>
      <c r="I831" s="271" t="str">
        <f t="shared" si="4"/>
        <v/>
      </c>
      <c r="J831" s="284"/>
      <c r="K831" s="305" t="s">
        <v>2525</v>
      </c>
      <c r="L831" s="285" t="s">
        <v>993</v>
      </c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6"/>
      <c r="Z831" s="286"/>
      <c r="AA831" s="286"/>
    </row>
    <row r="832">
      <c r="A832" s="271"/>
      <c r="B832" s="271"/>
      <c r="C832" s="285"/>
      <c r="D832" s="285"/>
      <c r="E832" s="285"/>
      <c r="F832" s="326"/>
      <c r="G832" s="285" t="str">
        <f>IFERROR(__xludf.DUMMYFUNCTION("""COMPUTED_VALUE"""),"FORRO INOX CARVALHO EUROPEU SMOKED 20/6 X 300 X 4000MM")</f>
        <v>FORRO INOX CARVALHO EUROPEU SMOKED 20/6 X 300 X 4000MM</v>
      </c>
      <c r="H832" s="283" t="s">
        <v>932</v>
      </c>
      <c r="I832" s="271" t="str">
        <f t="shared" si="4"/>
        <v/>
      </c>
      <c r="J832" s="284"/>
      <c r="K832" s="305" t="s">
        <v>2526</v>
      </c>
      <c r="L832" s="285" t="s">
        <v>1001</v>
      </c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6"/>
      <c r="Z832" s="286"/>
      <c r="AA832" s="286"/>
    </row>
    <row r="833">
      <c r="A833" s="271"/>
      <c r="B833" s="271"/>
      <c r="C833" s="285"/>
      <c r="D833" s="285"/>
      <c r="E833" s="285"/>
      <c r="F833" s="326"/>
      <c r="G833" s="285" t="str">
        <f>IFERROR(__xludf.DUMMYFUNCTION("""COMPUTED_VALUE"""),"FORRO INOX CARVALHO EUROPEU SMOKED 20/6 X 400 X 5000MM")</f>
        <v>FORRO INOX CARVALHO EUROPEU SMOKED 20/6 X 400 X 5000MM</v>
      </c>
      <c r="H833" s="283" t="s">
        <v>933</v>
      </c>
      <c r="I833" s="271" t="str">
        <f t="shared" si="4"/>
        <v/>
      </c>
      <c r="J833" s="284"/>
      <c r="K833" s="305" t="s">
        <v>2527</v>
      </c>
      <c r="L833" s="285" t="s">
        <v>1002</v>
      </c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6"/>
      <c r="Z833" s="286"/>
      <c r="AA833" s="286"/>
    </row>
    <row r="834">
      <c r="A834" s="271"/>
      <c r="B834" s="271"/>
      <c r="C834" s="285"/>
      <c r="D834" s="285"/>
      <c r="E834" s="285"/>
      <c r="F834" s="326"/>
      <c r="G834" s="285" t="str">
        <f>IFERROR(__xludf.DUMMYFUNCTION("""COMPUTED_VALUE"""),"FORRO INOX CARVALHO EUROPEU GIZ CHEVRON 15/3 X 1900X 740MM")</f>
        <v>FORRO INOX CARVALHO EUROPEU GIZ CHEVRON 15/3 X 1900X 740MM</v>
      </c>
      <c r="H834" s="283" t="s">
        <v>934</v>
      </c>
      <c r="I834" s="271" t="str">
        <f t="shared" si="4"/>
        <v/>
      </c>
      <c r="J834" s="284"/>
      <c r="K834" s="305" t="s">
        <v>2528</v>
      </c>
      <c r="L834" s="285" t="s">
        <v>1003</v>
      </c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6"/>
      <c r="Z834" s="286"/>
      <c r="AA834" s="286"/>
    </row>
    <row r="835">
      <c r="A835" s="271"/>
      <c r="B835" s="271"/>
      <c r="C835" s="285"/>
      <c r="D835" s="285"/>
      <c r="E835" s="285"/>
      <c r="F835" s="326"/>
      <c r="G835" s="285" t="str">
        <f>IFERROR(__xludf.DUMMYFUNCTION("""COMPUTED_VALUE"""),"FORRO INOX CARVALHO EUROPEU GIZ 15/3 X 125 X 1200MM")</f>
        <v>FORRO INOX CARVALHO EUROPEU GIZ 15/3 X 125 X 1200MM</v>
      </c>
      <c r="H835" s="283" t="s">
        <v>935</v>
      </c>
      <c r="I835" s="271" t="str">
        <f t="shared" si="4"/>
        <v/>
      </c>
      <c r="J835" s="284"/>
      <c r="K835" s="305" t="s">
        <v>2529</v>
      </c>
      <c r="L835" s="285" t="s">
        <v>1004</v>
      </c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6"/>
      <c r="Z835" s="286"/>
      <c r="AA835" s="286"/>
    </row>
    <row r="836">
      <c r="A836" s="271"/>
      <c r="B836" s="271"/>
      <c r="C836" s="285"/>
      <c r="D836" s="285"/>
      <c r="E836" s="285"/>
      <c r="F836" s="326"/>
      <c r="G836" s="285" t="str">
        <f>IFERROR(__xludf.DUMMYFUNCTION("""COMPUTED_VALUE"""),"FORRO INOX CARVALHO EUROPEU GIZ 15/3 X 190 X 1900MM")</f>
        <v>FORRO INOX CARVALHO EUROPEU GIZ 15/3 X 190 X 1900MM</v>
      </c>
      <c r="H836" s="283" t="s">
        <v>936</v>
      </c>
      <c r="I836" s="271" t="str">
        <f t="shared" si="4"/>
        <v/>
      </c>
      <c r="J836" s="284"/>
      <c r="K836" s="305" t="s">
        <v>2530</v>
      </c>
      <c r="L836" s="285" t="s">
        <v>1005</v>
      </c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6"/>
      <c r="Z836" s="286"/>
      <c r="AA836" s="286"/>
    </row>
    <row r="837">
      <c r="A837" s="271"/>
      <c r="B837" s="271"/>
      <c r="C837" s="285"/>
      <c r="D837" s="285"/>
      <c r="E837" s="285"/>
      <c r="F837" s="326"/>
      <c r="G837" s="285" t="str">
        <f>IFERROR(__xludf.DUMMYFUNCTION("""COMPUTED_VALUE"""),"FORRO INOX CARVALHO EUROPEU GIZ 20/6 X 300 X 4000MM")</f>
        <v>FORRO INOX CARVALHO EUROPEU GIZ 20/6 X 300 X 4000MM</v>
      </c>
      <c r="H837" s="283" t="s">
        <v>937</v>
      </c>
      <c r="I837" s="271" t="str">
        <f t="shared" si="4"/>
        <v/>
      </c>
      <c r="J837" s="284"/>
      <c r="K837" s="305" t="s">
        <v>2531</v>
      </c>
      <c r="L837" s="285" t="s">
        <v>1006</v>
      </c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6"/>
      <c r="Z837" s="286"/>
      <c r="AA837" s="286"/>
    </row>
    <row r="838">
      <c r="A838" s="271"/>
      <c r="B838" s="271"/>
      <c r="C838" s="285"/>
      <c r="D838" s="285"/>
      <c r="E838" s="285"/>
      <c r="F838" s="326"/>
      <c r="G838" s="285" t="str">
        <f>IFERROR(__xludf.DUMMYFUNCTION("""COMPUTED_VALUE"""),"FORRO INOX CARVALHO EUROPEU GIZ 20/6 X 400 X 5000MM")</f>
        <v>FORRO INOX CARVALHO EUROPEU GIZ 20/6 X 400 X 5000MM</v>
      </c>
      <c r="H838" s="283" t="s">
        <v>938</v>
      </c>
      <c r="I838" s="271" t="str">
        <f t="shared" si="4"/>
        <v/>
      </c>
      <c r="J838" s="284"/>
      <c r="K838" s="305" t="s">
        <v>2532</v>
      </c>
      <c r="L838" s="285" t="s">
        <v>1007</v>
      </c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6"/>
      <c r="Z838" s="286"/>
      <c r="AA838" s="286"/>
    </row>
    <row r="839">
      <c r="A839" s="271"/>
      <c r="B839" s="271"/>
      <c r="C839" s="285"/>
      <c r="D839" s="285"/>
      <c r="E839" s="285"/>
      <c r="F839" s="326"/>
      <c r="G839" s="285" t="str">
        <f>IFERROR(__xludf.DUMMYFUNCTION("""COMPUTED_VALUE"""),"FORRO INOX CARVALHO EUROPEU SNOW CHEVRON 15/3 X 1900X 740MM")</f>
        <v>FORRO INOX CARVALHO EUROPEU SNOW CHEVRON 15/3 X 1900X 740MM</v>
      </c>
      <c r="H839" s="283" t="s">
        <v>939</v>
      </c>
      <c r="I839" s="271" t="str">
        <f t="shared" si="4"/>
        <v/>
      </c>
      <c r="J839" s="284"/>
      <c r="K839" s="305" t="s">
        <v>2533</v>
      </c>
      <c r="L839" s="273" t="s">
        <v>2534</v>
      </c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6"/>
      <c r="Z839" s="286"/>
      <c r="AA839" s="286"/>
    </row>
    <row r="840">
      <c r="A840" s="271"/>
      <c r="B840" s="271"/>
      <c r="C840" s="285"/>
      <c r="D840" s="285"/>
      <c r="E840" s="285"/>
      <c r="F840" s="326"/>
      <c r="G840" s="285" t="str">
        <f>IFERROR(__xludf.DUMMYFUNCTION("""COMPUTED_VALUE"""),"FORRO INOX CARVALHO EUROPEU SNOW 15/3 X 125 X 1200MM")</f>
        <v>FORRO INOX CARVALHO EUROPEU SNOW 15/3 X 125 X 1200MM</v>
      </c>
      <c r="H840" s="283" t="s">
        <v>940</v>
      </c>
      <c r="I840" s="271" t="str">
        <f t="shared" si="4"/>
        <v/>
      </c>
      <c r="J840" s="284"/>
      <c r="K840" s="305" t="s">
        <v>2535</v>
      </c>
      <c r="L840" s="273" t="s">
        <v>2536</v>
      </c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6"/>
      <c r="Z840" s="286"/>
      <c r="AA840" s="286"/>
    </row>
    <row r="841">
      <c r="A841" s="271"/>
      <c r="B841" s="271"/>
      <c r="C841" s="285"/>
      <c r="D841" s="285"/>
      <c r="E841" s="285"/>
      <c r="F841" s="326"/>
      <c r="G841" s="285" t="str">
        <f>IFERROR(__xludf.DUMMYFUNCTION("""COMPUTED_VALUE"""),"FORRO INOX CARVALHO EUROPEU SNOW 15/3 X 190 X 1900MM")</f>
        <v>FORRO INOX CARVALHO EUROPEU SNOW 15/3 X 190 X 1900MM</v>
      </c>
      <c r="H841" s="283" t="s">
        <v>941</v>
      </c>
      <c r="I841" s="271" t="str">
        <f t="shared" si="4"/>
        <v/>
      </c>
      <c r="J841" s="284"/>
      <c r="K841" s="305" t="s">
        <v>2537</v>
      </c>
      <c r="L841" s="273" t="s">
        <v>2538</v>
      </c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6"/>
      <c r="Z841" s="286"/>
      <c r="AA841" s="286"/>
    </row>
    <row r="842">
      <c r="A842" s="271"/>
      <c r="B842" s="271"/>
      <c r="C842" s="285"/>
      <c r="D842" s="285"/>
      <c r="E842" s="285"/>
      <c r="F842" s="326"/>
      <c r="G842" s="285" t="str">
        <f>IFERROR(__xludf.DUMMYFUNCTION("""COMPUTED_VALUE"""),"FORRO INOX CARVALHO EUROPEU SNOW 20/6 X 300 X 4000MM")</f>
        <v>FORRO INOX CARVALHO EUROPEU SNOW 20/6 X 300 X 4000MM</v>
      </c>
      <c r="H842" s="283" t="s">
        <v>942</v>
      </c>
      <c r="I842" s="271" t="str">
        <f t="shared" si="4"/>
        <v/>
      </c>
      <c r="J842" s="284"/>
      <c r="K842" s="305" t="s">
        <v>2539</v>
      </c>
      <c r="L842" s="273" t="s">
        <v>2540</v>
      </c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6"/>
      <c r="Z842" s="286"/>
      <c r="AA842" s="286"/>
    </row>
    <row r="843">
      <c r="A843" s="271"/>
      <c r="B843" s="271"/>
      <c r="C843" s="285"/>
      <c r="D843" s="285"/>
      <c r="E843" s="285"/>
      <c r="F843" s="326"/>
      <c r="G843" s="285" t="str">
        <f>IFERROR(__xludf.DUMMYFUNCTION("""COMPUTED_VALUE"""),"FORRO INOX CARVALHO EUROPEU SNOW 20/6 X 400 X 5000MM")</f>
        <v>FORRO INOX CARVALHO EUROPEU SNOW 20/6 X 400 X 5000MM</v>
      </c>
      <c r="H843" s="283" t="s">
        <v>943</v>
      </c>
      <c r="I843" s="271" t="str">
        <f t="shared" si="4"/>
        <v/>
      </c>
      <c r="J843" s="284"/>
      <c r="K843" s="305" t="s">
        <v>2541</v>
      </c>
      <c r="L843" s="273" t="s">
        <v>2542</v>
      </c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6"/>
      <c r="Z843" s="286"/>
      <c r="AA843" s="286"/>
    </row>
    <row r="844">
      <c r="A844" s="271"/>
      <c r="B844" s="271"/>
      <c r="C844" s="285"/>
      <c r="D844" s="285"/>
      <c r="E844" s="285"/>
      <c r="F844" s="326"/>
      <c r="G844" s="285" t="str">
        <f>IFERROR(__xludf.DUMMYFUNCTION("""COMPUTED_VALUE"""),"FORRO INOX CARVALHO EUROPEU WILD CHEVRON 15/3 X 1900X 740MM")</f>
        <v>FORRO INOX CARVALHO EUROPEU WILD CHEVRON 15/3 X 1900X 740MM</v>
      </c>
      <c r="H844" s="283" t="s">
        <v>944</v>
      </c>
      <c r="I844" s="271" t="str">
        <f t="shared" si="4"/>
        <v/>
      </c>
      <c r="J844" s="284"/>
      <c r="K844" s="305" t="s">
        <v>2543</v>
      </c>
      <c r="L844" s="273" t="s">
        <v>2544</v>
      </c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6"/>
      <c r="Z844" s="286"/>
      <c r="AA844" s="286"/>
    </row>
    <row r="845">
      <c r="A845" s="271"/>
      <c r="B845" s="271"/>
      <c r="C845" s="285"/>
      <c r="D845" s="285"/>
      <c r="E845" s="285"/>
      <c r="F845" s="326"/>
      <c r="G845" s="285" t="str">
        <f>IFERROR(__xludf.DUMMYFUNCTION("""COMPUTED_VALUE"""),"FORRO INOX CARVALHO EUROPEU WILD 15/3 X 125 X 1200MM")</f>
        <v>FORRO INOX CARVALHO EUROPEU WILD 15/3 X 125 X 1200MM</v>
      </c>
      <c r="H845" s="283" t="s">
        <v>945</v>
      </c>
      <c r="I845" s="271" t="str">
        <f t="shared" si="4"/>
        <v/>
      </c>
      <c r="J845" s="284"/>
      <c r="K845" s="305" t="s">
        <v>2545</v>
      </c>
      <c r="L845" s="273" t="s">
        <v>2546</v>
      </c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6"/>
      <c r="Z845" s="286"/>
      <c r="AA845" s="286"/>
    </row>
    <row r="846">
      <c r="A846" s="271"/>
      <c r="B846" s="271"/>
      <c r="C846" s="285"/>
      <c r="D846" s="285"/>
      <c r="E846" s="285"/>
      <c r="F846" s="326"/>
      <c r="G846" s="285" t="str">
        <f>IFERROR(__xludf.DUMMYFUNCTION("""COMPUTED_VALUE"""),"FORRO INOX CARVALHO EUROPEU WILD 15/3 X 190 X 1900MM")</f>
        <v>FORRO INOX CARVALHO EUROPEU WILD 15/3 X 190 X 1900MM</v>
      </c>
      <c r="H846" s="283" t="s">
        <v>946</v>
      </c>
      <c r="I846" s="271" t="str">
        <f t="shared" si="4"/>
        <v/>
      </c>
      <c r="J846" s="284"/>
      <c r="K846" s="305" t="s">
        <v>2547</v>
      </c>
      <c r="L846" s="273" t="s">
        <v>2548</v>
      </c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6"/>
      <c r="Z846" s="286"/>
      <c r="AA846" s="286"/>
    </row>
    <row r="847">
      <c r="A847" s="271"/>
      <c r="B847" s="271"/>
      <c r="C847" s="285"/>
      <c r="D847" s="285"/>
      <c r="E847" s="285"/>
      <c r="F847" s="326"/>
      <c r="G847" s="285" t="str">
        <f>IFERROR(__xludf.DUMMYFUNCTION("""COMPUTED_VALUE"""),"FORRO INOX CARVALHO EUROPEU WILD 20/6 X 300 X 4000MM")</f>
        <v>FORRO INOX CARVALHO EUROPEU WILD 20/6 X 300 X 4000MM</v>
      </c>
      <c r="H847" s="283" t="s">
        <v>947</v>
      </c>
      <c r="I847" s="271" t="str">
        <f t="shared" si="4"/>
        <v/>
      </c>
      <c r="J847" s="284"/>
      <c r="K847" s="305" t="s">
        <v>2549</v>
      </c>
      <c r="L847" s="273" t="s">
        <v>2550</v>
      </c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6"/>
      <c r="Z847" s="286"/>
      <c r="AA847" s="286"/>
    </row>
    <row r="848">
      <c r="A848" s="271"/>
      <c r="B848" s="271"/>
      <c r="C848" s="285"/>
      <c r="D848" s="285"/>
      <c r="E848" s="285"/>
      <c r="F848" s="326"/>
      <c r="G848" s="285" t="str">
        <f>IFERROR(__xludf.DUMMYFUNCTION("""COMPUTED_VALUE"""),"FORRO INOX CARVALHO EUROPEU WILD 20/6 X 400 X 5000MM")</f>
        <v>FORRO INOX CARVALHO EUROPEU WILD 20/6 X 400 X 5000MM</v>
      </c>
      <c r="H848" s="283" t="s">
        <v>948</v>
      </c>
      <c r="I848" s="271" t="str">
        <f t="shared" si="4"/>
        <v/>
      </c>
      <c r="J848" s="284"/>
      <c r="K848" s="305" t="s">
        <v>2551</v>
      </c>
      <c r="L848" s="273" t="s">
        <v>2552</v>
      </c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6"/>
      <c r="Z848" s="286"/>
      <c r="AA848" s="286"/>
    </row>
    <row r="849">
      <c r="A849" s="271"/>
      <c r="B849" s="271"/>
      <c r="C849" s="285"/>
      <c r="D849" s="285"/>
      <c r="E849" s="285"/>
      <c r="F849" s="326"/>
      <c r="G849" s="285" t="str">
        <f>IFERROR(__xludf.DUMMYFUNCTION("""COMPUTED_VALUE"""),"FORRO INOX CARVALHO EUROPEU NEVADO CHEVRON 15/3 X 1900X 740MM")</f>
        <v>FORRO INOX CARVALHO EUROPEU NEVADO CHEVRON 15/3 X 1900X 740MM</v>
      </c>
      <c r="H849" s="283" t="s">
        <v>949</v>
      </c>
      <c r="I849" s="271" t="str">
        <f t="shared" si="4"/>
        <v/>
      </c>
      <c r="J849" s="284"/>
      <c r="K849" s="305" t="s">
        <v>2553</v>
      </c>
      <c r="L849" s="273" t="s">
        <v>2554</v>
      </c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6"/>
      <c r="Z849" s="286"/>
      <c r="AA849" s="286"/>
    </row>
    <row r="850">
      <c r="A850" s="271"/>
      <c r="B850" s="271"/>
      <c r="C850" s="285"/>
      <c r="D850" s="285"/>
      <c r="E850" s="285"/>
      <c r="F850" s="326"/>
      <c r="G850" s="285" t="str">
        <f>IFERROR(__xludf.DUMMYFUNCTION("""COMPUTED_VALUE"""),"FORRO INOX CARVALHO EUROPEU NEVADO 15/3 X 125 X 1200MM")</f>
        <v>FORRO INOX CARVALHO EUROPEU NEVADO 15/3 X 125 X 1200MM</v>
      </c>
      <c r="H850" s="283" t="s">
        <v>950</v>
      </c>
      <c r="I850" s="271" t="str">
        <f t="shared" si="4"/>
        <v/>
      </c>
      <c r="J850" s="284"/>
      <c r="K850" s="305" t="s">
        <v>2555</v>
      </c>
      <c r="L850" s="273" t="s">
        <v>2556</v>
      </c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6"/>
      <c r="Z850" s="286"/>
      <c r="AA850" s="286"/>
    </row>
    <row r="851">
      <c r="A851" s="271"/>
      <c r="B851" s="271"/>
      <c r="C851" s="285"/>
      <c r="D851" s="285"/>
      <c r="E851" s="285"/>
      <c r="F851" s="326"/>
      <c r="G851" s="285" t="str">
        <f>IFERROR(__xludf.DUMMYFUNCTION("""COMPUTED_VALUE"""),"FORRO INOX CARVALHO EUROPEU NEVADO 15/3 X 190 X 1900MM")</f>
        <v>FORRO INOX CARVALHO EUROPEU NEVADO 15/3 X 190 X 1900MM</v>
      </c>
      <c r="H851" s="283" t="s">
        <v>951</v>
      </c>
      <c r="I851" s="271" t="str">
        <f t="shared" si="4"/>
        <v/>
      </c>
      <c r="J851" s="284"/>
      <c r="K851" s="305" t="s">
        <v>2557</v>
      </c>
      <c r="L851" s="273" t="s">
        <v>2558</v>
      </c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6"/>
      <c r="Z851" s="286"/>
      <c r="AA851" s="286"/>
    </row>
    <row r="852">
      <c r="A852" s="271"/>
      <c r="B852" s="271"/>
      <c r="C852" s="285"/>
      <c r="D852" s="285"/>
      <c r="E852" s="285"/>
      <c r="F852" s="326"/>
      <c r="G852" s="285" t="str">
        <f>IFERROR(__xludf.DUMMYFUNCTION("""COMPUTED_VALUE"""),"FORRO INOX CARVALHO EUROPEU NEVADO 20/6 X 300 X 4000MM")</f>
        <v>FORRO INOX CARVALHO EUROPEU NEVADO 20/6 X 300 X 4000MM</v>
      </c>
      <c r="H852" s="283" t="s">
        <v>952</v>
      </c>
      <c r="I852" s="271" t="str">
        <f t="shared" si="4"/>
        <v/>
      </c>
      <c r="J852" s="284"/>
      <c r="K852" s="305" t="s">
        <v>2559</v>
      </c>
      <c r="L852" s="273" t="s">
        <v>2560</v>
      </c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6"/>
      <c r="Z852" s="286"/>
      <c r="AA852" s="286"/>
    </row>
    <row r="853">
      <c r="A853" s="271"/>
      <c r="B853" s="271"/>
      <c r="C853" s="285"/>
      <c r="D853" s="285"/>
      <c r="E853" s="285"/>
      <c r="F853" s="326"/>
      <c r="G853" s="285" t="str">
        <f>IFERROR(__xludf.DUMMYFUNCTION("""COMPUTED_VALUE"""),"FORRO INOX CARVALHO EUROPEU NEVADO 20/6 X 400 X 5000MM")</f>
        <v>FORRO INOX CARVALHO EUROPEU NEVADO 20/6 X 400 X 5000MM</v>
      </c>
      <c r="H853" s="283" t="s">
        <v>953</v>
      </c>
      <c r="I853" s="271" t="str">
        <f t="shared" si="4"/>
        <v/>
      </c>
      <c r="J853" s="284"/>
      <c r="K853" s="305" t="s">
        <v>2561</v>
      </c>
      <c r="L853" s="273" t="s">
        <v>2562</v>
      </c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6"/>
      <c r="Z853" s="286"/>
      <c r="AA853" s="286"/>
    </row>
    <row r="854">
      <c r="A854" s="271"/>
      <c r="B854" s="271"/>
      <c r="C854" s="285"/>
      <c r="D854" s="285"/>
      <c r="E854" s="285"/>
      <c r="F854" s="326"/>
      <c r="G854" s="285" t="str">
        <f>IFERROR(__xludf.DUMMYFUNCTION("""COMPUTED_VALUE"""),"FORRO INOX CARVALHO EUROPEU CONCRETE GREY CHEVRON 15/3 X 1900X 740MM")</f>
        <v>FORRO INOX CARVALHO EUROPEU CONCRETE GREY CHEVRON 15/3 X 1900X 740MM</v>
      </c>
      <c r="H854" s="283" t="s">
        <v>954</v>
      </c>
      <c r="I854" s="271" t="str">
        <f t="shared" si="4"/>
        <v/>
      </c>
      <c r="J854" s="284"/>
      <c r="K854" s="305" t="s">
        <v>2563</v>
      </c>
      <c r="L854" s="273" t="s">
        <v>2564</v>
      </c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6"/>
      <c r="Z854" s="286"/>
      <c r="AA854" s="286"/>
    </row>
    <row r="855">
      <c r="A855" s="271"/>
      <c r="B855" s="271"/>
      <c r="C855" s="285"/>
      <c r="D855" s="285"/>
      <c r="E855" s="285"/>
      <c r="F855" s="326"/>
      <c r="G855" s="285" t="str">
        <f>IFERROR(__xludf.DUMMYFUNCTION("""COMPUTED_VALUE"""),"FORRO INOX CARVALHO EUROPEU CONCRETE GREY 15/3 X 125 X 1200MM")</f>
        <v>FORRO INOX CARVALHO EUROPEU CONCRETE GREY 15/3 X 125 X 1200MM</v>
      </c>
      <c r="H855" s="283" t="s">
        <v>955</v>
      </c>
      <c r="I855" s="271" t="str">
        <f t="shared" si="4"/>
        <v/>
      </c>
      <c r="J855" s="284"/>
      <c r="K855" s="305" t="s">
        <v>2565</v>
      </c>
      <c r="L855" s="285" t="s">
        <v>1038</v>
      </c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6"/>
      <c r="Z855" s="286"/>
      <c r="AA855" s="286"/>
    </row>
    <row r="856">
      <c r="A856" s="271"/>
      <c r="B856" s="271"/>
      <c r="C856" s="285"/>
      <c r="D856" s="285"/>
      <c r="E856" s="285"/>
      <c r="F856" s="326"/>
      <c r="G856" s="285" t="str">
        <f>IFERROR(__xludf.DUMMYFUNCTION("""COMPUTED_VALUE"""),"FORRO INOX CARVALHO EUROPEU CONCRETE GREY 15/3 X 190 X 1900MM")</f>
        <v>FORRO INOX CARVALHO EUROPEU CONCRETE GREY 15/3 X 190 X 1900MM</v>
      </c>
      <c r="H856" s="283" t="s">
        <v>956</v>
      </c>
      <c r="I856" s="271" t="str">
        <f t="shared" si="4"/>
        <v/>
      </c>
      <c r="J856" s="284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6"/>
      <c r="Z856" s="286"/>
      <c r="AA856" s="286"/>
    </row>
    <row r="857">
      <c r="A857" s="271"/>
      <c r="B857" s="271"/>
      <c r="C857" s="285"/>
      <c r="D857" s="285"/>
      <c r="E857" s="285"/>
      <c r="F857" s="326"/>
      <c r="G857" s="285" t="str">
        <f>IFERROR(__xludf.DUMMYFUNCTION("""COMPUTED_VALUE"""),"FORRO INOX CARVALHO EUROPEU CONCRETE GREY 20/6 X 300 X 4000MM")</f>
        <v>FORRO INOX CARVALHO EUROPEU CONCRETE GREY 20/6 X 300 X 4000MM</v>
      </c>
      <c r="H857" s="283" t="s">
        <v>957</v>
      </c>
      <c r="I857" s="271" t="str">
        <f t="shared" si="4"/>
        <v/>
      </c>
      <c r="J857" s="284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6"/>
      <c r="Z857" s="286"/>
      <c r="AA857" s="286"/>
    </row>
    <row r="858">
      <c r="A858" s="271"/>
      <c r="B858" s="271"/>
      <c r="C858" s="285"/>
      <c r="D858" s="285"/>
      <c r="E858" s="285"/>
      <c r="F858" s="326"/>
      <c r="G858" s="285" t="str">
        <f>IFERROR(__xludf.DUMMYFUNCTION("""COMPUTED_VALUE"""),"FORRO INOX CARVALHO EUROPEU CONCRETE GREY 20/6 X 400 X 5000MM")</f>
        <v>FORRO INOX CARVALHO EUROPEU CONCRETE GREY 20/6 X 400 X 5000MM</v>
      </c>
      <c r="H858" s="283" t="s">
        <v>958</v>
      </c>
      <c r="I858" s="271" t="str">
        <f t="shared" si="4"/>
        <v/>
      </c>
      <c r="J858" s="284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6"/>
      <c r="Z858" s="286"/>
      <c r="AA858" s="286"/>
    </row>
    <row r="859">
      <c r="A859" s="271"/>
      <c r="B859" s="271"/>
      <c r="C859" s="285"/>
      <c r="D859" s="285"/>
      <c r="E859" s="285"/>
      <c r="F859" s="326"/>
      <c r="G859" s="285" t="str">
        <f>IFERROR(__xludf.DUMMYFUNCTION("""COMPUTED_VALUE"""),"FORRO INOX CARVALHO EUROPEU ITALY BROWN CHEVRON 15/3 X 1900X 740MM")</f>
        <v>FORRO INOX CARVALHO EUROPEU ITALY BROWN CHEVRON 15/3 X 1900X 740MM</v>
      </c>
      <c r="H859" s="283" t="s">
        <v>959</v>
      </c>
      <c r="I859" s="271" t="str">
        <f t="shared" si="4"/>
        <v/>
      </c>
      <c r="J859" s="284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6"/>
      <c r="Z859" s="286"/>
      <c r="AA859" s="286"/>
    </row>
    <row r="860">
      <c r="A860" s="271"/>
      <c r="B860" s="271"/>
      <c r="C860" s="285"/>
      <c r="D860" s="285"/>
      <c r="E860" s="285"/>
      <c r="F860" s="326"/>
      <c r="G860" s="285" t="str">
        <f>IFERROR(__xludf.DUMMYFUNCTION("""COMPUTED_VALUE"""),"FORRO INOX CARVALHO EUROPEU ITALY BROWN 15/3 X 125 X 1200MM")</f>
        <v>FORRO INOX CARVALHO EUROPEU ITALY BROWN 15/3 X 125 X 1200MM</v>
      </c>
      <c r="H860" s="283" t="s">
        <v>960</v>
      </c>
      <c r="I860" s="271" t="str">
        <f t="shared" si="4"/>
        <v/>
      </c>
      <c r="J860" s="284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6"/>
      <c r="Z860" s="286"/>
      <c r="AA860" s="286"/>
    </row>
    <row r="861">
      <c r="A861" s="271"/>
      <c r="B861" s="271"/>
      <c r="C861" s="285"/>
      <c r="D861" s="285"/>
      <c r="E861" s="285"/>
      <c r="F861" s="326"/>
      <c r="G861" s="285" t="str">
        <f>IFERROR(__xludf.DUMMYFUNCTION("""COMPUTED_VALUE"""),"FORRO INOX CARVALHO EUROPEU ITALY BROWN 15/3 X 190 X 1900MM")</f>
        <v>FORRO INOX CARVALHO EUROPEU ITALY BROWN 15/3 X 190 X 1900MM</v>
      </c>
      <c r="H861" s="283" t="s">
        <v>961</v>
      </c>
      <c r="I861" s="271" t="str">
        <f t="shared" si="4"/>
        <v/>
      </c>
      <c r="J861" s="284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6"/>
      <c r="Z861" s="286"/>
      <c r="AA861" s="286"/>
    </row>
    <row r="862">
      <c r="A862" s="271"/>
      <c r="B862" s="271"/>
      <c r="C862" s="285"/>
      <c r="D862" s="285"/>
      <c r="E862" s="285"/>
      <c r="F862" s="326"/>
      <c r="G862" s="285" t="str">
        <f>IFERROR(__xludf.DUMMYFUNCTION("""COMPUTED_VALUE"""),"FORRO INOX CARVALHO EUROPEU ITALY BROWN 20/6 X 300 X 4000MM")</f>
        <v>FORRO INOX CARVALHO EUROPEU ITALY BROWN 20/6 X 300 X 4000MM</v>
      </c>
      <c r="H862" s="283" t="s">
        <v>962</v>
      </c>
      <c r="I862" s="271" t="str">
        <f t="shared" si="4"/>
        <v/>
      </c>
      <c r="J862" s="284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6"/>
      <c r="Z862" s="286"/>
      <c r="AA862" s="286"/>
    </row>
    <row r="863">
      <c r="A863" s="271"/>
      <c r="B863" s="271"/>
      <c r="C863" s="285"/>
      <c r="D863" s="285"/>
      <c r="E863" s="285"/>
      <c r="F863" s="326"/>
      <c r="G863" s="285" t="str">
        <f>IFERROR(__xludf.DUMMYFUNCTION("""COMPUTED_VALUE"""),"FORRO INOX CARVALHO EUROPEU ITALY BROWN 20/6 X 400 X 5000MM")</f>
        <v>FORRO INOX CARVALHO EUROPEU ITALY BROWN 20/6 X 400 X 5000MM</v>
      </c>
      <c r="H863" s="283" t="s">
        <v>963</v>
      </c>
      <c r="I863" s="271" t="str">
        <f t="shared" si="4"/>
        <v/>
      </c>
      <c r="J863" s="284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6"/>
      <c r="Z863" s="286"/>
      <c r="AA863" s="286"/>
    </row>
    <row r="864">
      <c r="A864" s="271"/>
      <c r="B864" s="271"/>
      <c r="C864" s="285"/>
      <c r="D864" s="285"/>
      <c r="E864" s="285"/>
      <c r="F864" s="326"/>
      <c r="G864" s="285" t="str">
        <f>IFERROR(__xludf.DUMMYFUNCTION("""COMPUTED_VALUE"""),"FORRO INOX CARVALHO EUROPEU ALL BLACK CHEVRON 15/3 X 1900X 740MM")</f>
        <v>FORRO INOX CARVALHO EUROPEU ALL BLACK CHEVRON 15/3 X 1900X 740MM</v>
      </c>
      <c r="H864" s="283" t="s">
        <v>964</v>
      </c>
      <c r="I864" s="271" t="str">
        <f t="shared" si="4"/>
        <v/>
      </c>
      <c r="J864" s="284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6"/>
      <c r="Z864" s="286"/>
      <c r="AA864" s="286"/>
    </row>
    <row r="865">
      <c r="A865" s="271"/>
      <c r="B865" s="271"/>
      <c r="C865" s="285"/>
      <c r="D865" s="285"/>
      <c r="E865" s="285"/>
      <c r="F865" s="326"/>
      <c r="G865" s="285" t="str">
        <f>IFERROR(__xludf.DUMMYFUNCTION("""COMPUTED_VALUE"""),"FORRO INOX CARVALHO EUROPEU ALL BLACK 15/3 X 125 X 1200MM")</f>
        <v>FORRO INOX CARVALHO EUROPEU ALL BLACK 15/3 X 125 X 1200MM</v>
      </c>
      <c r="H865" s="283" t="s">
        <v>965</v>
      </c>
      <c r="I865" s="271" t="str">
        <f t="shared" si="4"/>
        <v/>
      </c>
      <c r="J865" s="284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6"/>
      <c r="Z865" s="286"/>
      <c r="AA865" s="286"/>
    </row>
    <row r="866">
      <c r="A866" s="271"/>
      <c r="B866" s="271"/>
      <c r="C866" s="285"/>
      <c r="D866" s="285"/>
      <c r="E866" s="285"/>
      <c r="F866" s="326"/>
      <c r="G866" s="285" t="str">
        <f>IFERROR(__xludf.DUMMYFUNCTION("""COMPUTED_VALUE"""),"FORRO INOX CARVALHO EUROPEU BLACK CHEVRON TG 15/3 X 125 X 775CM")</f>
        <v>FORRO INOX CARVALHO EUROPEU BLACK CHEVRON TG 15/3 X 125 X 775CM</v>
      </c>
      <c r="H866" s="283" t="s">
        <v>966</v>
      </c>
      <c r="I866" s="271" t="str">
        <f t="shared" si="4"/>
        <v/>
      </c>
      <c r="J866" s="284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6"/>
      <c r="Z866" s="286"/>
      <c r="AA866" s="286"/>
    </row>
    <row r="867">
      <c r="A867" s="271"/>
      <c r="B867" s="271"/>
      <c r="C867" s="285"/>
      <c r="D867" s="285"/>
      <c r="E867" s="285"/>
      <c r="F867" s="326"/>
      <c r="G867" s="285" t="str">
        <f>IFERROR(__xludf.DUMMYFUNCTION("""COMPUTED_VALUE"""),"FORRO INOX CARVALHO EUROPEU ALL BLACK 15/3 X 190 X 1900MM")</f>
        <v>FORRO INOX CARVALHO EUROPEU ALL BLACK 15/3 X 190 X 1900MM</v>
      </c>
      <c r="H867" s="283" t="s">
        <v>967</v>
      </c>
      <c r="I867" s="271" t="str">
        <f t="shared" si="4"/>
        <v/>
      </c>
      <c r="J867" s="284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6"/>
      <c r="Z867" s="286"/>
      <c r="AA867" s="286"/>
    </row>
    <row r="868">
      <c r="A868" s="271"/>
      <c r="B868" s="271"/>
      <c r="C868" s="285"/>
      <c r="D868" s="285"/>
      <c r="E868" s="285"/>
      <c r="F868" s="326"/>
      <c r="G868" s="285" t="str">
        <f>IFERROR(__xludf.DUMMYFUNCTION("""COMPUTED_VALUE"""),"FORRO INOX CARVALHO EUROPEU ALL BLACK 20/6 X 300 X 4000MM")</f>
        <v>FORRO INOX CARVALHO EUROPEU ALL BLACK 20/6 X 300 X 4000MM</v>
      </c>
      <c r="H868" s="283" t="s">
        <v>968</v>
      </c>
      <c r="I868" s="271" t="str">
        <f t="shared" si="4"/>
        <v/>
      </c>
      <c r="J868" s="284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6"/>
      <c r="Z868" s="286"/>
      <c r="AA868" s="286"/>
    </row>
    <row r="869">
      <c r="A869" s="271"/>
      <c r="B869" s="271"/>
      <c r="C869" s="285"/>
      <c r="D869" s="285"/>
      <c r="E869" s="285"/>
      <c r="F869" s="326"/>
      <c r="G869" s="285" t="str">
        <f>IFERROR(__xludf.DUMMYFUNCTION("""COMPUTED_VALUE"""),"FORRO INOX CARVALHO EUROPEU ALL BLACK 20/6 X 400 X 5000MM")</f>
        <v>FORRO INOX CARVALHO EUROPEU ALL BLACK 20/6 X 400 X 5000MM</v>
      </c>
      <c r="H869" s="283" t="s">
        <v>969</v>
      </c>
      <c r="I869" s="271" t="str">
        <f t="shared" si="4"/>
        <v/>
      </c>
      <c r="J869" s="284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6"/>
      <c r="Z869" s="286"/>
      <c r="AA869" s="286"/>
    </row>
    <row r="870">
      <c r="A870" s="271"/>
      <c r="B870" s="271"/>
      <c r="C870" s="285"/>
      <c r="D870" s="285"/>
      <c r="E870" s="285"/>
      <c r="F870" s="326"/>
      <c r="G870" s="285" t="str">
        <f>IFERROR(__xludf.DUMMYFUNCTION("""COMPUTED_VALUE"""),"FORRO INOX CARVALHO EUROPEU URBAN GREY CHEVRON 15/3 X 1900X 740MM")</f>
        <v>FORRO INOX CARVALHO EUROPEU URBAN GREY CHEVRON 15/3 X 1900X 740MM</v>
      </c>
      <c r="H870" s="283" t="s">
        <v>970</v>
      </c>
      <c r="I870" s="271" t="str">
        <f t="shared" si="4"/>
        <v/>
      </c>
      <c r="J870" s="284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6"/>
      <c r="Z870" s="286"/>
      <c r="AA870" s="286"/>
    </row>
    <row r="871">
      <c r="A871" s="271"/>
      <c r="B871" s="271"/>
      <c r="C871" s="285"/>
      <c r="D871" s="285"/>
      <c r="E871" s="285"/>
      <c r="F871" s="326"/>
      <c r="G871" s="285" t="str">
        <f>IFERROR(__xludf.DUMMYFUNCTION("""COMPUTED_VALUE"""),"FORRO INOX CARVALHO EUROPEU URBAN GREY 15/3 X 125 X 1200MM")</f>
        <v>FORRO INOX CARVALHO EUROPEU URBAN GREY 15/3 X 125 X 1200MM</v>
      </c>
      <c r="H871" s="283" t="s">
        <v>971</v>
      </c>
      <c r="I871" s="271" t="str">
        <f t="shared" si="4"/>
        <v/>
      </c>
      <c r="J871" s="284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6"/>
      <c r="Z871" s="286"/>
      <c r="AA871" s="286"/>
    </row>
    <row r="872">
      <c r="A872" s="271"/>
      <c r="B872" s="271"/>
      <c r="C872" s="285"/>
      <c r="D872" s="285"/>
      <c r="E872" s="285"/>
      <c r="F872" s="326"/>
      <c r="G872" s="285" t="str">
        <f>IFERROR(__xludf.DUMMYFUNCTION("""COMPUTED_VALUE"""),"FORRO INOX CARVALHO EUROPEU URBAN GREY 15/3 X 190 X 1900MM")</f>
        <v>FORRO INOX CARVALHO EUROPEU URBAN GREY 15/3 X 190 X 1900MM</v>
      </c>
      <c r="H872" s="283" t="s">
        <v>972</v>
      </c>
      <c r="I872" s="271" t="str">
        <f t="shared" si="4"/>
        <v/>
      </c>
      <c r="J872" s="284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6"/>
      <c r="Z872" s="286"/>
      <c r="AA872" s="286"/>
    </row>
    <row r="873">
      <c r="A873" s="271"/>
      <c r="B873" s="271"/>
      <c r="C873" s="285"/>
      <c r="D873" s="285"/>
      <c r="E873" s="285"/>
      <c r="F873" s="326"/>
      <c r="G873" s="285" t="str">
        <f>IFERROR(__xludf.DUMMYFUNCTION("""COMPUTED_VALUE"""),"FORRO INOX CARVALHO EUROPEU URBAN GREY 20/6 X 300 X 4000MM")</f>
        <v>FORRO INOX CARVALHO EUROPEU URBAN GREY 20/6 X 300 X 4000MM</v>
      </c>
      <c r="H873" s="283" t="s">
        <v>973</v>
      </c>
      <c r="I873" s="271" t="str">
        <f t="shared" si="4"/>
        <v/>
      </c>
      <c r="J873" s="284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6"/>
      <c r="Z873" s="286"/>
      <c r="AA873" s="286"/>
    </row>
    <row r="874">
      <c r="A874" s="271"/>
      <c r="B874" s="271"/>
      <c r="C874" s="285"/>
      <c r="D874" s="285"/>
      <c r="E874" s="285"/>
      <c r="F874" s="326"/>
      <c r="G874" s="285" t="str">
        <f>IFERROR(__xludf.DUMMYFUNCTION("""COMPUTED_VALUE"""),"FORRO INOX CARVALHO EUROPEU URBAN GREY 20/6 X 400 X 5000MM")</f>
        <v>FORRO INOX CARVALHO EUROPEU URBAN GREY 20/6 X 400 X 5000MM</v>
      </c>
      <c r="H874" s="283" t="s">
        <v>974</v>
      </c>
      <c r="I874" s="271" t="str">
        <f t="shared" si="4"/>
        <v/>
      </c>
      <c r="J874" s="284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6"/>
      <c r="Z874" s="286"/>
      <c r="AA874" s="286"/>
    </row>
    <row r="875">
      <c r="A875" s="271"/>
      <c r="B875" s="271"/>
      <c r="C875" s="285"/>
      <c r="D875" s="285"/>
      <c r="E875" s="285"/>
      <c r="F875" s="326"/>
      <c r="G875" s="285" t="str">
        <f>IFERROR(__xludf.DUMMYFUNCTION("""COMPUTED_VALUE"""),"FORRO INOX CARVALHO EUROPEU CARAMEL CHEVRON 15/3 X 1900X 740MM")</f>
        <v>FORRO INOX CARVALHO EUROPEU CARAMEL CHEVRON 15/3 X 1900X 740MM</v>
      </c>
      <c r="H875" s="283" t="s">
        <v>975</v>
      </c>
      <c r="I875" s="271" t="str">
        <f t="shared" si="4"/>
        <v/>
      </c>
      <c r="J875" s="284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6"/>
      <c r="Z875" s="286"/>
      <c r="AA875" s="286"/>
    </row>
    <row r="876">
      <c r="A876" s="271"/>
      <c r="B876" s="271"/>
      <c r="C876" s="285"/>
      <c r="D876" s="285"/>
      <c r="E876" s="285"/>
      <c r="F876" s="326"/>
      <c r="G876" s="285" t="str">
        <f>IFERROR(__xludf.DUMMYFUNCTION("""COMPUTED_VALUE"""),"FORRO INOX CARVALHO EUROPEU CARAMEL 15/3 X 125 X 1200MM")</f>
        <v>FORRO INOX CARVALHO EUROPEU CARAMEL 15/3 X 125 X 1200MM</v>
      </c>
      <c r="H876" s="283" t="s">
        <v>976</v>
      </c>
      <c r="I876" s="271" t="str">
        <f t="shared" si="4"/>
        <v/>
      </c>
      <c r="J876" s="284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6"/>
      <c r="Z876" s="286"/>
      <c r="AA876" s="286"/>
    </row>
    <row r="877">
      <c r="A877" s="271"/>
      <c r="B877" s="271"/>
      <c r="C877" s="285"/>
      <c r="D877" s="285"/>
      <c r="E877" s="285"/>
      <c r="F877" s="326"/>
      <c r="G877" s="285" t="str">
        <f>IFERROR(__xludf.DUMMYFUNCTION("""COMPUTED_VALUE"""),"FORRO INOX CARVALHO EUROPEU CARAMEL 15/3 X 190 X 1900MM")</f>
        <v>FORRO INOX CARVALHO EUROPEU CARAMEL 15/3 X 190 X 1900MM</v>
      </c>
      <c r="H877" s="283" t="s">
        <v>977</v>
      </c>
      <c r="I877" s="271" t="str">
        <f t="shared" si="4"/>
        <v/>
      </c>
      <c r="J877" s="284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6"/>
      <c r="Z877" s="286"/>
      <c r="AA877" s="286"/>
    </row>
    <row r="878">
      <c r="A878" s="271"/>
      <c r="B878" s="271"/>
      <c r="C878" s="285"/>
      <c r="D878" s="285"/>
      <c r="E878" s="285"/>
      <c r="F878" s="326"/>
      <c r="G878" s="285" t="str">
        <f>IFERROR(__xludf.DUMMYFUNCTION("""COMPUTED_VALUE"""),"FORRO INOX CARVALHO EUROPEU CARAMEL 20/6 X 300 X 4000MM")</f>
        <v>FORRO INOX CARVALHO EUROPEU CARAMEL 20/6 X 300 X 4000MM</v>
      </c>
      <c r="H878" s="283" t="s">
        <v>978</v>
      </c>
      <c r="I878" s="271" t="str">
        <f t="shared" si="4"/>
        <v/>
      </c>
      <c r="J878" s="284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6"/>
      <c r="Z878" s="286"/>
      <c r="AA878" s="286"/>
    </row>
    <row r="879">
      <c r="A879" s="271"/>
      <c r="B879" s="271"/>
      <c r="C879" s="285"/>
      <c r="D879" s="285"/>
      <c r="E879" s="285"/>
      <c r="F879" s="326"/>
      <c r="G879" s="285" t="str">
        <f>IFERROR(__xludf.DUMMYFUNCTION("""COMPUTED_VALUE"""),"FORRO INOX CARVALHO EUROPEU CARAMEL 20/6 X 400 X 5000MM")</f>
        <v>FORRO INOX CARVALHO EUROPEU CARAMEL 20/6 X 400 X 5000MM</v>
      </c>
      <c r="H879" s="283" t="s">
        <v>979</v>
      </c>
      <c r="I879" s="271" t="str">
        <f t="shared" si="4"/>
        <v/>
      </c>
      <c r="J879" s="284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6"/>
      <c r="Z879" s="286"/>
      <c r="AA879" s="286"/>
    </row>
    <row r="880">
      <c r="A880" s="271"/>
      <c r="B880" s="271"/>
      <c r="C880" s="285"/>
      <c r="D880" s="285"/>
      <c r="E880" s="285"/>
      <c r="F880" s="326"/>
      <c r="G880" s="285" t="str">
        <f>IFERROR(__xludf.DUMMYFUNCTION("""COMPUTED_VALUE"""),"FORRO INOX CARVALHO EUROPEU CHEMICAL CHEVRON TG 15/3*190*740MM")</f>
        <v>FORRO INOX CARVALHO EUROPEU CHEMICAL CHEVRON TG 15/3*190*740MM</v>
      </c>
      <c r="H880" s="283" t="s">
        <v>980</v>
      </c>
      <c r="I880" s="271" t="str">
        <f t="shared" si="4"/>
        <v/>
      </c>
      <c r="J880" s="284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6"/>
      <c r="Z880" s="286"/>
      <c r="AA880" s="286"/>
    </row>
    <row r="881">
      <c r="A881" s="271"/>
      <c r="B881" s="271"/>
      <c r="C881" s="285"/>
      <c r="D881" s="285"/>
      <c r="E881" s="285"/>
      <c r="F881" s="326"/>
      <c r="G881" s="285" t="str">
        <f>IFERROR(__xludf.DUMMYFUNCTION("""COMPUTED_VALUE"""),"FORRO INOX CARVALHO EUROPEU WHITE RUSTIC 15/4*189*1860MM")</f>
        <v>FORRO INOX CARVALHO EUROPEU WHITE RUSTIC 15/4*189*1860MM</v>
      </c>
      <c r="H881" s="283" t="s">
        <v>981</v>
      </c>
      <c r="I881" s="271" t="str">
        <f t="shared" si="4"/>
        <v/>
      </c>
      <c r="J881" s="284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6"/>
      <c r="Z881" s="286"/>
      <c r="AA881" s="286"/>
    </row>
    <row r="882">
      <c r="A882" s="271"/>
      <c r="B882" s="271"/>
      <c r="C882" s="285"/>
      <c r="D882" s="285"/>
      <c r="E882" s="285"/>
      <c r="F882" s="326"/>
      <c r="G882" s="285" t="str">
        <f>IFERROR(__xludf.DUMMYFUNCTION("""COMPUTED_VALUE"""),"FORRO INOX CARVALHO EUROPEU CUSTOMIZADO 14/3 X 12,7 X 186CM")</f>
        <v>FORRO INOX CARVALHO EUROPEU CUSTOMIZADO 14/3 X 12,7 X 186CM</v>
      </c>
      <c r="H882" s="283" t="s">
        <v>982</v>
      </c>
      <c r="I882" s="271" t="str">
        <f t="shared" si="4"/>
        <v/>
      </c>
      <c r="J882" s="284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6"/>
      <c r="Z882" s="286"/>
      <c r="AA882" s="286"/>
    </row>
    <row r="883">
      <c r="A883" s="271"/>
      <c r="B883" s="271"/>
      <c r="C883" s="285"/>
      <c r="D883" s="285"/>
      <c r="E883" s="285"/>
      <c r="F883" s="326"/>
      <c r="G883" s="285" t="str">
        <f>IFERROR(__xludf.DUMMYFUNCTION("""COMPUTED_VALUE"""),"FORRO INOX CARVALHO EUROPEU CUSTOMIZADO 2.0 X 19 X 190CM (C2)")</f>
        <v>FORRO INOX CARVALHO EUROPEU CUSTOMIZADO 2.0 X 19 X 190CM (C2)</v>
      </c>
      <c r="H883" s="283" t="s">
        <v>983</v>
      </c>
      <c r="I883" s="271" t="str">
        <f t="shared" si="4"/>
        <v/>
      </c>
      <c r="J883" s="284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6"/>
      <c r="Z883" s="286"/>
      <c r="AA883" s="286"/>
    </row>
    <row r="884">
      <c r="A884" s="271"/>
      <c r="B884" s="271"/>
      <c r="C884" s="285"/>
      <c r="D884" s="285"/>
      <c r="E884" s="285"/>
      <c r="F884" s="326"/>
      <c r="G884" s="285" t="str">
        <f>IFERROR(__xludf.DUMMYFUNCTION("""COMPUTED_VALUE"""),"FORRO INOX CARVALHO EUROPEU NATURAL CHEVRON TG 1.5/3 X 9X 51CM")</f>
        <v>FORRO INOX CARVALHO EUROPEU NATURAL CHEVRON TG 1.5/3 X 9X 51CM</v>
      </c>
      <c r="H884" s="283" t="s">
        <v>984</v>
      </c>
      <c r="I884" s="271" t="str">
        <f t="shared" si="4"/>
        <v/>
      </c>
      <c r="J884" s="284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6"/>
      <c r="Z884" s="286"/>
      <c r="AA884" s="286"/>
    </row>
    <row r="885">
      <c r="A885" s="271"/>
      <c r="B885" s="271"/>
      <c r="C885" s="285"/>
      <c r="D885" s="285"/>
      <c r="E885" s="285"/>
      <c r="F885" s="326"/>
      <c r="G885" s="285" t="str">
        <f>IFERROR(__xludf.DUMMYFUNCTION("""COMPUTED_VALUE"""),"FORRO INOX CARVALHO EUROPEU NATURAL CHEVRON TG 1.5/3 X 9X 51CM")</f>
        <v>FORRO INOX CARVALHO EUROPEU NATURAL CHEVRON TG 1.5/3 X 9X 51CM</v>
      </c>
      <c r="H885" s="283" t="s">
        <v>985</v>
      </c>
      <c r="I885" s="271" t="str">
        <f t="shared" si="4"/>
        <v/>
      </c>
      <c r="J885" s="284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6"/>
      <c r="Z885" s="286"/>
      <c r="AA885" s="286"/>
    </row>
    <row r="886">
      <c r="A886" s="271"/>
      <c r="B886" s="271"/>
      <c r="C886" s="285"/>
      <c r="D886" s="285"/>
      <c r="E886" s="285"/>
      <c r="F886" s="326"/>
      <c r="G886" s="285" t="str">
        <f>IFERROR(__xludf.DUMMYFUNCTION("""COMPUTED_VALUE"""),"FORRO INOX CARVALHO EUROPEU NUDE CHEVRON 60.. TG 15/3 X 190 X 90CM")</f>
        <v>FORRO INOX CARVALHO EUROPEU NUDE CHEVRON 60.. TG 15/3 X 190 X 90CM</v>
      </c>
      <c r="H886" s="283" t="s">
        <v>985</v>
      </c>
      <c r="I886" s="271" t="str">
        <f t="shared" si="4"/>
        <v/>
      </c>
      <c r="J886" s="284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6"/>
      <c r="Z886" s="286"/>
      <c r="AA886" s="286"/>
    </row>
    <row r="887">
      <c r="A887" s="271"/>
      <c r="B887" s="271"/>
      <c r="C887" s="285"/>
      <c r="D887" s="285"/>
      <c r="E887" s="285"/>
      <c r="F887" s="326"/>
      <c r="G887" s="285" t="str">
        <f>IFERROR(__xludf.DUMMYFUNCTION("""COMPUTED_VALUE"""),"FORRO INOX CARVALHO EUROPEU NUDE CHEVRON TG 1.5/3X 12.5X 63CM")</f>
        <v>FORRO INOX CARVALHO EUROPEU NUDE CHEVRON TG 1.5/3X 12.5X 63CM</v>
      </c>
      <c r="H887" s="283" t="s">
        <v>987</v>
      </c>
      <c r="I887" s="271" t="str">
        <f t="shared" si="4"/>
        <v/>
      </c>
      <c r="J887" s="284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6"/>
      <c r="Z887" s="286"/>
      <c r="AA887" s="286"/>
    </row>
    <row r="888">
      <c r="A888" s="271"/>
      <c r="B888" s="271"/>
      <c r="C888" s="285"/>
      <c r="D888" s="285"/>
      <c r="E888" s="285"/>
      <c r="F888" s="326"/>
      <c r="G888" s="285" t="str">
        <f>IFERROR(__xludf.DUMMYFUNCTION("""COMPUTED_VALUE"""),"FORRO INOX WALNUT 15/3 X 125 X 910MM")</f>
        <v>FORRO INOX WALNUT 15/3 X 125 X 910MM</v>
      </c>
      <c r="H888" s="283" t="s">
        <v>988</v>
      </c>
      <c r="I888" s="271" t="str">
        <f t="shared" si="4"/>
        <v/>
      </c>
      <c r="J888" s="284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6"/>
      <c r="Z888" s="286"/>
      <c r="AA888" s="286"/>
    </row>
    <row r="889">
      <c r="A889" s="271"/>
      <c r="B889" s="271"/>
      <c r="C889" s="285"/>
      <c r="D889" s="285"/>
      <c r="E889" s="285"/>
      <c r="F889" s="326"/>
      <c r="G889" s="285" t="str">
        <f>IFERROR(__xludf.DUMMYFUNCTION("""COMPUTED_VALUE"""),"FORRO INOX WALNUT 15/3 X 190 X 1900MM")</f>
        <v>FORRO INOX WALNUT 15/3 X 190 X 1900MM</v>
      </c>
      <c r="H889" s="283" t="s">
        <v>989</v>
      </c>
      <c r="I889" s="271" t="str">
        <f t="shared" si="4"/>
        <v/>
      </c>
      <c r="J889" s="284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6"/>
      <c r="Z889" s="286"/>
      <c r="AA889" s="286"/>
    </row>
    <row r="890">
      <c r="A890" s="271"/>
      <c r="B890" s="271"/>
      <c r="C890" s="285"/>
      <c r="D890" s="285"/>
      <c r="E890" s="285"/>
      <c r="F890" s="326"/>
      <c r="G890" s="285" t="str">
        <f>IFERROR(__xludf.DUMMYFUNCTION("""COMPUTED_VALUE"""),"FORRO INOX WALNUT 20/2 X 300 X 4000MM")</f>
        <v>FORRO INOX WALNUT 20/2 X 300 X 4000MM</v>
      </c>
      <c r="H890" s="283" t="s">
        <v>990</v>
      </c>
      <c r="I890" s="271" t="str">
        <f t="shared" si="4"/>
        <v/>
      </c>
      <c r="J890" s="284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6"/>
      <c r="Z890" s="286"/>
      <c r="AA890" s="286"/>
    </row>
    <row r="891">
      <c r="A891" s="271"/>
      <c r="B891" s="271"/>
      <c r="C891" s="285"/>
      <c r="D891" s="285"/>
      <c r="E891" s="285"/>
      <c r="F891" s="326"/>
      <c r="G891" s="285" t="str">
        <f>IFERROR(__xludf.DUMMYFUNCTION("""COMPUTED_VALUE"""),"FORRO INOX BAMBU ALTA DENS. CUST PREMIUM TG 1.5/4 X19X185CM")</f>
        <v>FORRO INOX BAMBU ALTA DENS. CUST PREMIUM TG 1.5/4 X19X185CM</v>
      </c>
      <c r="H891" s="283" t="s">
        <v>991</v>
      </c>
      <c r="I891" s="271" t="str">
        <f t="shared" si="4"/>
        <v/>
      </c>
      <c r="J891" s="284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6"/>
      <c r="Z891" s="286"/>
      <c r="AA891" s="286"/>
    </row>
    <row r="892">
      <c r="A892" s="271"/>
      <c r="B892" s="271"/>
      <c r="C892" s="285"/>
      <c r="D892" s="285"/>
      <c r="E892" s="285"/>
      <c r="F892" s="326"/>
      <c r="G892" s="285" t="str">
        <f>IFERROR(__xludf.DUMMYFUNCTION("""COMPUTED_VALUE"""),"FORRO INOX BAMBU CARAMEL ALTA DENSIDADE TG 1.5/4 X19X186CM")</f>
        <v>FORRO INOX BAMBU CARAMEL ALTA DENSIDADE TG 1.5/4 X19X186CM</v>
      </c>
      <c r="H892" s="283" t="s">
        <v>992</v>
      </c>
      <c r="I892" s="271" t="str">
        <f t="shared" si="4"/>
        <v/>
      </c>
      <c r="J892" s="284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6"/>
      <c r="Z892" s="286"/>
      <c r="AA892" s="286"/>
    </row>
    <row r="893">
      <c r="A893" s="271"/>
      <c r="B893" s="271"/>
      <c r="C893" s="285"/>
      <c r="D893" s="285"/>
      <c r="E893" s="285"/>
      <c r="F893" s="326"/>
      <c r="G893" s="285" t="str">
        <f>IFERROR(__xludf.DUMMYFUNCTION("""COMPUTED_VALUE"""),"FORRO INOX RIPADO CUMARU PREMIUM TG 1,8 X 3,5+0,5CM PROF. BIT 0")</f>
        <v>FORRO INOX RIPADO CUMARU PREMIUM TG 1,8 X 3,5+0,5CM PROF. BIT 0</v>
      </c>
      <c r="H893" s="283" t="s">
        <v>993</v>
      </c>
      <c r="I893" s="271" t="str">
        <f t="shared" si="4"/>
        <v/>
      </c>
      <c r="J893" s="284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6"/>
      <c r="Z893" s="286"/>
      <c r="AA893" s="286"/>
    </row>
    <row r="894">
      <c r="A894" s="271"/>
      <c r="B894" s="271"/>
      <c r="C894" s="285"/>
      <c r="D894" s="285"/>
      <c r="E894" s="285"/>
      <c r="F894" s="326"/>
      <c r="G894" s="285" t="str">
        <f>IFERROR(__xludf.DUMMYFUNCTION("""COMPUTED_VALUE"""),"FORRO INOX RIPADO CATUABA PREMIUM TG 1,8 X 3,5+0,5CM PROF. BIT 0")</f>
        <v>FORRO INOX RIPADO CATUABA PREMIUM TG 1,8 X 3,5+0,5CM PROF. BIT 0</v>
      </c>
      <c r="I894" s="271" t="str">
        <f t="shared" si="4"/>
        <v/>
      </c>
      <c r="J894" s="284"/>
      <c r="K894" s="326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6"/>
      <c r="Z894" s="286"/>
      <c r="AA894" s="286"/>
    </row>
    <row r="895">
      <c r="A895" s="271"/>
      <c r="B895" s="271"/>
      <c r="C895" s="285"/>
      <c r="D895" s="285"/>
      <c r="E895" s="285"/>
      <c r="F895" s="326"/>
      <c r="G895" s="285" t="str">
        <f>IFERROR(__xludf.DUMMYFUNCTION("""COMPUTED_VALUE"""),"FORRO INOX RIPADO CABREUVA BRANCA PREMIUM TG 1,8 X 3,5+0,5CM PROF. BIT 0")</f>
        <v>FORRO INOX RIPADO CABREUVA BRANCA PREMIUM TG 1,8 X 3,5+0,5CM PROF. BIT 0</v>
      </c>
      <c r="I895" s="271" t="str">
        <f t="shared" si="4"/>
        <v/>
      </c>
      <c r="J895" s="284"/>
      <c r="K895" s="326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6"/>
      <c r="Z895" s="286"/>
      <c r="AA895" s="286"/>
    </row>
    <row r="896">
      <c r="A896" s="271"/>
      <c r="B896" s="271"/>
      <c r="C896" s="285"/>
      <c r="D896" s="285"/>
      <c r="E896" s="285"/>
      <c r="F896" s="326"/>
      <c r="G896" s="285" t="str">
        <f>IFERROR(__xludf.DUMMYFUNCTION("""COMPUTED_VALUE"""),"FORRO INOX RIPADO CABREUVA DOURADA PREMIUM TG 1,8 X 3,5+0,5CM PROF. BIT 0")</f>
        <v>FORRO INOX RIPADO CABREUVA DOURADA PREMIUM TG 1,8 X 3,5+0,5CM PROF. BIT 0</v>
      </c>
      <c r="I896" s="271" t="str">
        <f t="shared" si="4"/>
        <v/>
      </c>
      <c r="J896" s="284"/>
      <c r="K896" s="326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6"/>
      <c r="Z896" s="286"/>
      <c r="AA896" s="286"/>
    </row>
    <row r="897">
      <c r="A897" s="271"/>
      <c r="B897" s="271"/>
      <c r="C897" s="285"/>
      <c r="D897" s="285"/>
      <c r="E897" s="285"/>
      <c r="F897" s="326"/>
      <c r="G897" s="285" t="str">
        <f>IFERROR(__xludf.DUMMYFUNCTION("""COMPUTED_VALUE"""),"FORRO INOX RIPADO TAUARI PREMIUM TG 1,8 X 3,5+0,5CM PROF. BIT 0")</f>
        <v>FORRO INOX RIPADO TAUARI PREMIUM TG 1,8 X 3,5+0,5CM PROF. BIT 0</v>
      </c>
      <c r="I897" s="271" t="str">
        <f t="shared" si="4"/>
        <v/>
      </c>
      <c r="J897" s="284"/>
      <c r="K897" s="326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6"/>
      <c r="Z897" s="286"/>
      <c r="AA897" s="286"/>
    </row>
    <row r="898">
      <c r="A898" s="271"/>
      <c r="B898" s="271"/>
      <c r="C898" s="285"/>
      <c r="D898" s="285"/>
      <c r="E898" s="285"/>
      <c r="F898" s="326"/>
      <c r="G898" s="285" t="str">
        <f>IFERROR(__xludf.DUMMYFUNCTION("""COMPUTED_VALUE"""),"FORRO INOX RIPADO PEROBA PREMIUM TG 1,8 X 3,5+0,5CM PROF. BIT 0")</f>
        <v>FORRO INOX RIPADO PEROBA PREMIUM TG 1,8 X 3,5+0,5CM PROF. BIT 0</v>
      </c>
      <c r="I898" s="271" t="str">
        <f t="shared" si="4"/>
        <v/>
      </c>
      <c r="J898" s="284"/>
      <c r="K898" s="326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6"/>
      <c r="Z898" s="286"/>
      <c r="AA898" s="286"/>
    </row>
    <row r="899">
      <c r="A899" s="271"/>
      <c r="B899" s="271"/>
      <c r="C899" s="285"/>
      <c r="D899" s="285"/>
      <c r="E899" s="285"/>
      <c r="F899" s="326"/>
      <c r="G899" s="285" t="str">
        <f>IFERROR(__xludf.DUMMYFUNCTION("""COMPUTED_VALUE"""),"FORRO INOX RIPADO LORO PARDO PREMIUM TG 1,8 X 3,5+0,5CM PROF. BIT 0")</f>
        <v>FORRO INOX RIPADO LORO PARDO PREMIUM TG 1,8 X 3,5+0,5CM PROF. BIT 0</v>
      </c>
      <c r="I899" s="271" t="str">
        <f t="shared" si="4"/>
        <v/>
      </c>
      <c r="J899" s="284"/>
      <c r="K899" s="326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6"/>
      <c r="Z899" s="286"/>
      <c r="AA899" s="286"/>
    </row>
    <row r="900">
      <c r="A900" s="271"/>
      <c r="B900" s="271"/>
      <c r="C900" s="285"/>
      <c r="D900" s="285"/>
      <c r="E900" s="285"/>
      <c r="F900" s="326"/>
      <c r="G900" s="285" t="str">
        <f>IFERROR(__xludf.DUMMYFUNCTION("""COMPUTED_VALUE"""),"FORRO INOX CUMARU MULTI PREMIUM 19 X 190 X 600 A 2200MM")</f>
        <v>FORRO INOX CUMARU MULTI PREMIUM 19 X 190 X 600 A 2200MM</v>
      </c>
      <c r="I900" s="271" t="str">
        <f t="shared" si="4"/>
        <v/>
      </c>
      <c r="J900" s="284"/>
      <c r="K900" s="326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6"/>
      <c r="Z900" s="286"/>
      <c r="AA900" s="286"/>
    </row>
    <row r="901">
      <c r="A901" s="271"/>
      <c r="B901" s="271"/>
      <c r="C901" s="285"/>
      <c r="D901" s="285"/>
      <c r="E901" s="285"/>
      <c r="F901" s="326"/>
      <c r="G901" s="285" t="str">
        <f>IFERROR(__xludf.DUMMYFUNCTION("""COMPUTED_VALUE"""),"FORRO INOX CATUABA MULTI PREMIUM 19 X 190 X 600 A 2200MM")</f>
        <v>FORRO INOX CATUABA MULTI PREMIUM 19 X 190 X 600 A 2200MM</v>
      </c>
      <c r="H901" s="283" t="s">
        <v>1001</v>
      </c>
      <c r="I901" s="271" t="str">
        <f t="shared" si="4"/>
        <v/>
      </c>
      <c r="J901" s="284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6"/>
      <c r="Z901" s="286"/>
      <c r="AA901" s="286"/>
    </row>
    <row r="902">
      <c r="A902" s="271"/>
      <c r="B902" s="271"/>
      <c r="C902" s="285"/>
      <c r="D902" s="285"/>
      <c r="E902" s="285"/>
      <c r="F902" s="326"/>
      <c r="G902" s="285" t="str">
        <f>IFERROR(__xludf.DUMMYFUNCTION("""COMPUTED_VALUE"""),"FORRO INOX CABREUVA BRACA MULTI PREMIUM 19 X 190 X 600 A 2200MM")</f>
        <v>FORRO INOX CABREUVA BRACA MULTI PREMIUM 19 X 190 X 600 A 2200MM</v>
      </c>
      <c r="H902" s="283" t="s">
        <v>1002</v>
      </c>
      <c r="I902" s="271" t="str">
        <f t="shared" si="4"/>
        <v/>
      </c>
      <c r="J902" s="284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6"/>
      <c r="Z902" s="286"/>
      <c r="AA902" s="286"/>
    </row>
    <row r="903">
      <c r="A903" s="271"/>
      <c r="B903" s="271"/>
      <c r="C903" s="285"/>
      <c r="D903" s="285"/>
      <c r="E903" s="285"/>
      <c r="F903" s="326"/>
      <c r="G903" s="285" t="str">
        <f>IFERROR(__xludf.DUMMYFUNCTION("""COMPUTED_VALUE"""),"FORRO INOX CABREUVA DOURADA MULTI PREMIUM 19 X 190 X 600 A 2200MM")</f>
        <v>FORRO INOX CABREUVA DOURADA MULTI PREMIUM 19 X 190 X 600 A 2200MM</v>
      </c>
      <c r="H903" s="283" t="s">
        <v>1003</v>
      </c>
      <c r="I903" s="271" t="str">
        <f t="shared" si="4"/>
        <v/>
      </c>
      <c r="J903" s="284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6"/>
      <c r="Z903" s="286"/>
      <c r="AA903" s="286"/>
    </row>
    <row r="904">
      <c r="A904" s="271"/>
      <c r="B904" s="271"/>
      <c r="C904" s="285"/>
      <c r="D904" s="285"/>
      <c r="E904" s="285"/>
      <c r="F904" s="326"/>
      <c r="G904" s="285" t="str">
        <f>IFERROR(__xludf.DUMMYFUNCTION("""COMPUTED_VALUE"""),"FORRO INOX TAUARI MULTI PREMIUM 19 X 190 X 600 A 2200MM")</f>
        <v>FORRO INOX TAUARI MULTI PREMIUM 19 X 190 X 600 A 2200MM</v>
      </c>
      <c r="H904" s="283" t="s">
        <v>1004</v>
      </c>
      <c r="I904" s="271" t="str">
        <f t="shared" si="4"/>
        <v/>
      </c>
      <c r="J904" s="284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6"/>
      <c r="Z904" s="286"/>
      <c r="AA904" s="286"/>
    </row>
    <row r="905">
      <c r="A905" s="271"/>
      <c r="B905" s="271"/>
      <c r="C905" s="285"/>
      <c r="D905" s="285"/>
      <c r="E905" s="285"/>
      <c r="F905" s="326"/>
      <c r="G905" s="285" t="str">
        <f>IFERROR(__xludf.DUMMYFUNCTION("""COMPUTED_VALUE"""),"FORRO INOX PEROBA MULTI PREMIUM 19 X 190 X 600 A 2200MM")</f>
        <v>FORRO INOX PEROBA MULTI PREMIUM 19 X 190 X 600 A 2200MM</v>
      </c>
      <c r="H905" s="283" t="s">
        <v>1005</v>
      </c>
      <c r="I905" s="271" t="str">
        <f t="shared" si="4"/>
        <v/>
      </c>
      <c r="J905" s="284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6"/>
      <c r="Z905" s="286"/>
      <c r="AA905" s="286"/>
    </row>
    <row r="906">
      <c r="A906" s="271"/>
      <c r="B906" s="271"/>
      <c r="C906" s="285"/>
      <c r="D906" s="285"/>
      <c r="E906" s="285"/>
      <c r="F906" s="326"/>
      <c r="G906" s="285" t="str">
        <f>IFERROR(__xludf.DUMMYFUNCTION("""COMPUTED_VALUE"""),"FORRO INOX LORO PARDO MULTI PREMIUM 19 X 190 X 600 A 2200MM")</f>
        <v>FORRO INOX LORO PARDO MULTI PREMIUM 19 X 190 X 600 A 2200MM</v>
      </c>
      <c r="H906" s="283" t="s">
        <v>1006</v>
      </c>
      <c r="I906" s="271" t="str">
        <f t="shared" si="4"/>
        <v/>
      </c>
      <c r="J906" s="284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6"/>
      <c r="Z906" s="286"/>
      <c r="AA906" s="286"/>
    </row>
    <row r="907">
      <c r="A907" s="271"/>
      <c r="B907" s="271"/>
      <c r="C907" s="285"/>
      <c r="D907" s="285"/>
      <c r="E907" s="285"/>
      <c r="F907" s="326"/>
      <c r="G907" s="285" t="str">
        <f>IFERROR(__xludf.DUMMYFUNCTION("""COMPUTED_VALUE"""),"FORRO INOX MUXARABI CUMARU PREMIUM")</f>
        <v>FORRO INOX MUXARABI CUMARU PREMIUM</v>
      </c>
      <c r="H907" s="283" t="s">
        <v>1007</v>
      </c>
      <c r="I907" s="271" t="str">
        <f t="shared" si="4"/>
        <v/>
      </c>
      <c r="J907" s="284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6"/>
      <c r="Z907" s="286"/>
      <c r="AA907" s="286"/>
    </row>
    <row r="908">
      <c r="A908" s="271"/>
      <c r="B908" s="271"/>
      <c r="C908" s="285"/>
      <c r="D908" s="285"/>
      <c r="E908" s="285"/>
      <c r="F908" s="326"/>
      <c r="G908" s="285" t="str">
        <f>IFERROR(__xludf.DUMMYFUNCTION("""COMPUTED_VALUE"""),"FORRO INOX MUXARABI CATUABA PREMIUM")</f>
        <v>FORRO INOX MUXARABI CATUABA PREMIUM</v>
      </c>
      <c r="H908" s="313" t="s">
        <v>2534</v>
      </c>
      <c r="I908" s="271" t="str">
        <f t="shared" si="4"/>
        <v/>
      </c>
      <c r="J908" s="284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6"/>
      <c r="Z908" s="286"/>
      <c r="AA908" s="286"/>
    </row>
    <row r="909">
      <c r="A909" s="271"/>
      <c r="B909" s="271"/>
      <c r="C909" s="285"/>
      <c r="D909" s="285"/>
      <c r="E909" s="285"/>
      <c r="F909" s="326"/>
      <c r="G909" s="285" t="str">
        <f>IFERROR(__xludf.DUMMYFUNCTION("""COMPUTED_VALUE"""),"FORRO INOX MUXARABI CABREUVA BRANCA PREMIUM")</f>
        <v>FORRO INOX MUXARABI CABREUVA BRANCA PREMIUM</v>
      </c>
      <c r="H909" s="313" t="s">
        <v>2536</v>
      </c>
      <c r="I909" s="271" t="str">
        <f t="shared" si="4"/>
        <v/>
      </c>
      <c r="J909" s="284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6"/>
      <c r="Z909" s="286"/>
      <c r="AA909" s="286"/>
    </row>
    <row r="910">
      <c r="A910" s="271"/>
      <c r="B910" s="271"/>
      <c r="C910" s="285"/>
      <c r="D910" s="285"/>
      <c r="E910" s="285"/>
      <c r="F910" s="326"/>
      <c r="G910" s="285" t="str">
        <f>IFERROR(__xludf.DUMMYFUNCTION("""COMPUTED_VALUE"""),"FORRO INOX MUXARABI CABREUVA DOURADA PREMIUM")</f>
        <v>FORRO INOX MUXARABI CABREUVA DOURADA PREMIUM</v>
      </c>
      <c r="H910" s="313" t="s">
        <v>2538</v>
      </c>
      <c r="I910" s="271" t="str">
        <f t="shared" si="4"/>
        <v/>
      </c>
      <c r="J910" s="284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6"/>
      <c r="Z910" s="286"/>
      <c r="AA910" s="286"/>
    </row>
    <row r="911">
      <c r="A911" s="271"/>
      <c r="B911" s="271"/>
      <c r="C911" s="285"/>
      <c r="D911" s="285"/>
      <c r="E911" s="285"/>
      <c r="F911" s="326"/>
      <c r="G911" s="285" t="str">
        <f>IFERROR(__xludf.DUMMYFUNCTION("""COMPUTED_VALUE"""),"FORRO INOX MUXARABI TAUARI PREMIUM")</f>
        <v>FORRO INOX MUXARABI TAUARI PREMIUM</v>
      </c>
      <c r="H911" s="313" t="s">
        <v>2540</v>
      </c>
      <c r="I911" s="271" t="str">
        <f t="shared" si="4"/>
        <v/>
      </c>
      <c r="J911" s="284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6"/>
      <c r="Z911" s="286"/>
      <c r="AA911" s="286"/>
    </row>
    <row r="912">
      <c r="A912" s="271"/>
      <c r="B912" s="271"/>
      <c r="C912" s="285"/>
      <c r="D912" s="285"/>
      <c r="E912" s="285"/>
      <c r="F912" s="326"/>
      <c r="G912" s="285" t="str">
        <f>IFERROR(__xludf.DUMMYFUNCTION("""COMPUTED_VALUE"""),"FORRO INOX MUXARABI PEROBA PREMIUM")</f>
        <v>FORRO INOX MUXARABI PEROBA PREMIUM</v>
      </c>
      <c r="H912" s="313" t="s">
        <v>2542</v>
      </c>
      <c r="I912" s="271" t="str">
        <f t="shared" si="4"/>
        <v/>
      </c>
      <c r="J912" s="284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6"/>
      <c r="Z912" s="286"/>
      <c r="AA912" s="286"/>
    </row>
    <row r="913">
      <c r="A913" s="271"/>
      <c r="B913" s="271"/>
      <c r="C913" s="285"/>
      <c r="D913" s="285"/>
      <c r="E913" s="285"/>
      <c r="F913" s="326"/>
      <c r="G913" s="285" t="str">
        <f>IFERROR(__xludf.DUMMYFUNCTION("""COMPUTED_VALUE"""),"FORRO INOX MUXARABI LORO PARDO PREMIUM")</f>
        <v>FORRO INOX MUXARABI LORO PARDO PREMIUM</v>
      </c>
      <c r="H913" s="313" t="s">
        <v>2544</v>
      </c>
      <c r="I913" s="271" t="str">
        <f t="shared" si="4"/>
        <v/>
      </c>
      <c r="J913" s="284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6"/>
      <c r="Z913" s="286"/>
      <c r="AA913" s="286"/>
    </row>
    <row r="914">
      <c r="A914" s="271"/>
      <c r="B914" s="271"/>
      <c r="C914" s="285"/>
      <c r="D914" s="285"/>
      <c r="E914" s="285"/>
      <c r="F914" s="326"/>
      <c r="G914" s="285" t="str">
        <f>IFERROR(__xludf.DUMMYFUNCTION("""COMPUTED_VALUE"""),"FORRO INOX TOBLERONE CUMARU PREMIUM 3 X 3 COMPR. VARIAVEIS")</f>
        <v>FORRO INOX TOBLERONE CUMARU PREMIUM 3 X 3 COMPR. VARIAVEIS</v>
      </c>
      <c r="H914" s="313" t="s">
        <v>2546</v>
      </c>
      <c r="I914" s="271" t="str">
        <f t="shared" si="4"/>
        <v/>
      </c>
      <c r="J914" s="284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6"/>
      <c r="Z914" s="286"/>
      <c r="AA914" s="286"/>
    </row>
    <row r="915">
      <c r="A915" s="271"/>
      <c r="B915" s="271"/>
      <c r="C915" s="285"/>
      <c r="D915" s="285"/>
      <c r="E915" s="285"/>
      <c r="F915" s="326"/>
      <c r="G915" s="285" t="str">
        <f>IFERROR(__xludf.DUMMYFUNCTION("""COMPUTED_VALUE"""),"FORRO INOX TOBLERONE CATUABA PREMIUM 3 X 3 COMPR. VARIAVEIS")</f>
        <v>FORRO INOX TOBLERONE CATUABA PREMIUM 3 X 3 COMPR. VARIAVEIS</v>
      </c>
      <c r="H915" s="313" t="s">
        <v>2548</v>
      </c>
      <c r="I915" s="271" t="str">
        <f t="shared" si="4"/>
        <v/>
      </c>
      <c r="J915" s="284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6"/>
      <c r="Z915" s="286"/>
      <c r="AA915" s="286"/>
    </row>
    <row r="916">
      <c r="A916" s="271"/>
      <c r="B916" s="271"/>
      <c r="C916" s="285"/>
      <c r="D916" s="285"/>
      <c r="E916" s="285"/>
      <c r="F916" s="326"/>
      <c r="G916" s="285" t="str">
        <f>IFERROR(__xludf.DUMMYFUNCTION("""COMPUTED_VALUE"""),"FORRO INOX TOBLERONE CABREUVA BRANCA PREMIUM 3 X 3 COMPR. VARIAVEIS")</f>
        <v>FORRO INOX TOBLERONE CABREUVA BRANCA PREMIUM 3 X 3 COMPR. VARIAVEIS</v>
      </c>
      <c r="H916" s="313" t="s">
        <v>2550</v>
      </c>
      <c r="I916" s="271" t="str">
        <f t="shared" si="4"/>
        <v/>
      </c>
      <c r="J916" s="284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6"/>
      <c r="Z916" s="286"/>
      <c r="AA916" s="286"/>
    </row>
    <row r="917">
      <c r="A917" s="271"/>
      <c r="B917" s="271"/>
      <c r="C917" s="285"/>
      <c r="D917" s="285"/>
      <c r="E917" s="285"/>
      <c r="F917" s="326"/>
      <c r="G917" s="285" t="str">
        <f>IFERROR(__xludf.DUMMYFUNCTION("""COMPUTED_VALUE"""),"FORRO INOX TOBLERONE CABREUVA DOURADA PREMIUM 3 X 3 COMPR. VARIAVEIS")</f>
        <v>FORRO INOX TOBLERONE CABREUVA DOURADA PREMIUM 3 X 3 COMPR. VARIAVEIS</v>
      </c>
      <c r="H917" s="313" t="s">
        <v>2552</v>
      </c>
      <c r="I917" s="271" t="str">
        <f t="shared" si="4"/>
        <v/>
      </c>
      <c r="J917" s="284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6"/>
      <c r="Z917" s="286"/>
      <c r="AA917" s="286"/>
    </row>
    <row r="918">
      <c r="A918" s="271"/>
      <c r="B918" s="271"/>
      <c r="C918" s="285"/>
      <c r="D918" s="285"/>
      <c r="E918" s="285"/>
      <c r="F918" s="326"/>
      <c r="G918" s="285" t="str">
        <f>IFERROR(__xludf.DUMMYFUNCTION("""COMPUTED_VALUE"""),"FORRO INOX TOBLERONE TAUARI PREMIUM 3 X 3 COMPR. VARIAVEIS")</f>
        <v>FORRO INOX TOBLERONE TAUARI PREMIUM 3 X 3 COMPR. VARIAVEIS</v>
      </c>
      <c r="H918" s="313" t="s">
        <v>2554</v>
      </c>
      <c r="I918" s="271" t="str">
        <f t="shared" si="4"/>
        <v/>
      </c>
      <c r="J918" s="284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6"/>
      <c r="Z918" s="286"/>
      <c r="AA918" s="286"/>
    </row>
    <row r="919">
      <c r="A919" s="271"/>
      <c r="B919" s="271"/>
      <c r="C919" s="285"/>
      <c r="D919" s="285"/>
      <c r="E919" s="285"/>
      <c r="F919" s="326"/>
      <c r="G919" s="285" t="str">
        <f>IFERROR(__xludf.DUMMYFUNCTION("""COMPUTED_VALUE"""),"FORRO INOX TOBLERONE PEROBA PREMIUM 3 X 3 COMPR. VARIAVEIS")</f>
        <v>FORRO INOX TOBLERONE PEROBA PREMIUM 3 X 3 COMPR. VARIAVEIS</v>
      </c>
      <c r="H919" s="313" t="s">
        <v>2556</v>
      </c>
      <c r="I919" s="271" t="str">
        <f t="shared" si="4"/>
        <v/>
      </c>
      <c r="J919" s="284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6"/>
      <c r="Z919" s="286"/>
      <c r="AA919" s="286"/>
    </row>
    <row r="920">
      <c r="A920" s="271"/>
      <c r="B920" s="271"/>
      <c r="C920" s="285"/>
      <c r="D920" s="285"/>
      <c r="E920" s="285"/>
      <c r="F920" s="326"/>
      <c r="G920" s="285" t="str">
        <f>IFERROR(__xludf.DUMMYFUNCTION("""COMPUTED_VALUE"""),"FORRO INOX TOBLERONE LORO PARDO PREMIUM 3 X 3 COMPR. VARIAVEIS")</f>
        <v>FORRO INOX TOBLERONE LORO PARDO PREMIUM 3 X 3 COMPR. VARIAVEIS</v>
      </c>
      <c r="H920" s="313" t="s">
        <v>2558</v>
      </c>
      <c r="I920" s="271" t="str">
        <f t="shared" si="4"/>
        <v/>
      </c>
      <c r="J920" s="284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6"/>
      <c r="Z920" s="286"/>
      <c r="AA920" s="286"/>
    </row>
    <row r="921">
      <c r="A921" s="271"/>
      <c r="B921" s="271"/>
      <c r="C921" s="285"/>
      <c r="D921" s="285"/>
      <c r="E921" s="285"/>
      <c r="F921" s="326"/>
      <c r="G921" s="285" t="str">
        <f>IFERROR(__xludf.DUMMYFUNCTION("""COMPUTED_VALUE"""),"FORRO INOX DECK CUMARU PREMIUM TG 2,5 X 5 X COMPR. VARIAVEIS")</f>
        <v>FORRO INOX DECK CUMARU PREMIUM TG 2,5 X 5 X COMPR. VARIAVEIS</v>
      </c>
      <c r="H921" s="313" t="s">
        <v>2560</v>
      </c>
      <c r="I921" s="271" t="str">
        <f t="shared" si="4"/>
        <v/>
      </c>
      <c r="J921" s="284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6"/>
      <c r="Z921" s="286"/>
      <c r="AA921" s="286"/>
    </row>
    <row r="922">
      <c r="A922" s="271"/>
      <c r="B922" s="271"/>
      <c r="C922" s="285"/>
      <c r="D922" s="285"/>
      <c r="E922" s="285"/>
      <c r="F922" s="326"/>
      <c r="G922" s="285" t="str">
        <f>IFERROR(__xludf.DUMMYFUNCTION("""COMPUTED_VALUE"""),"FORRO INOX DECK CUMARU PREMIUM TG 2,5 X 10 X COMPR. VARIAVEIS")</f>
        <v>FORRO INOX DECK CUMARU PREMIUM TG 2,5 X 10 X COMPR. VARIAVEIS</v>
      </c>
      <c r="H922" s="313" t="s">
        <v>2562</v>
      </c>
      <c r="I922" s="271" t="str">
        <f t="shared" si="4"/>
        <v/>
      </c>
      <c r="J922" s="284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6"/>
      <c r="Z922" s="286"/>
      <c r="AA922" s="286"/>
    </row>
    <row r="923">
      <c r="A923" s="271"/>
      <c r="B923" s="271"/>
      <c r="C923" s="285"/>
      <c r="D923" s="285"/>
      <c r="E923" s="285"/>
      <c r="F923" s="326"/>
      <c r="G923" s="285" t="str">
        <f>IFERROR(__xludf.DUMMYFUNCTION("""COMPUTED_VALUE"""),"FORRO INOX DECK CATUABA PREMIUM TG 2,5 X 5 X COMPR. VARIAVEIS")</f>
        <v>FORRO INOX DECK CATUABA PREMIUM TG 2,5 X 5 X COMPR. VARIAVEIS</v>
      </c>
      <c r="H923" s="313" t="s">
        <v>2564</v>
      </c>
      <c r="I923" s="271" t="str">
        <f t="shared" si="4"/>
        <v/>
      </c>
      <c r="J923" s="284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6"/>
      <c r="Z923" s="286"/>
      <c r="AA923" s="286"/>
    </row>
    <row r="924">
      <c r="A924" s="271"/>
      <c r="B924" s="271"/>
      <c r="C924" s="285"/>
      <c r="D924" s="285"/>
      <c r="E924" s="285"/>
      <c r="F924" s="326"/>
      <c r="G924" s="285" t="str">
        <f>IFERROR(__xludf.DUMMYFUNCTION("""COMPUTED_VALUE"""),"FORRO INOX DECK CATUABA PREMIUM TG 2,5 X 10 X COMPR. VARIAVEIS")</f>
        <v>FORRO INOX DECK CATUABA PREMIUM TG 2,5 X 10 X COMPR. VARIAVEIS</v>
      </c>
      <c r="H924" s="283" t="s">
        <v>1038</v>
      </c>
      <c r="I924" s="271" t="str">
        <f t="shared" si="4"/>
        <v/>
      </c>
      <c r="J924" s="284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6"/>
      <c r="Z924" s="286"/>
      <c r="AA924" s="286"/>
    </row>
    <row r="925">
      <c r="A925" s="271"/>
      <c r="B925" s="271"/>
      <c r="C925" s="285"/>
      <c r="D925" s="285"/>
      <c r="E925" s="285"/>
      <c r="F925" s="326"/>
      <c r="G925" s="285" t="str">
        <f>IFERROR(__xludf.DUMMYFUNCTION("""COMPUTED_VALUE"""),"FORRO INOX DECK CABREUVA BRANCA PREMIUM TG 2,5 X 5 X COMPR. VARIAVEIS")</f>
        <v>FORRO INOX DECK CABREUVA BRANCA PREMIUM TG 2,5 X 5 X COMPR. VARIAVEIS</v>
      </c>
      <c r="I925" s="271" t="str">
        <f t="shared" si="4"/>
        <v/>
      </c>
      <c r="J925" s="284"/>
      <c r="K925" s="326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6"/>
      <c r="Z925" s="286"/>
      <c r="AA925" s="286"/>
    </row>
    <row r="926">
      <c r="A926" s="271"/>
      <c r="B926" s="271"/>
      <c r="C926" s="285"/>
      <c r="D926" s="285"/>
      <c r="E926" s="285"/>
      <c r="F926" s="326"/>
      <c r="G926" s="285" t="str">
        <f>IFERROR(__xludf.DUMMYFUNCTION("""COMPUTED_VALUE"""),"FORRO INOX DECK CABREUVA BRANCA PREMIUM TG 2,5 X 10 X COMPR. VARIAVEIS")</f>
        <v>FORRO INOX DECK CABREUVA BRANCA PREMIUM TG 2,5 X 10 X COMPR. VARIAVEIS</v>
      </c>
      <c r="I926" s="271" t="str">
        <f t="shared" si="4"/>
        <v/>
      </c>
      <c r="J926" s="284"/>
      <c r="K926" s="326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6"/>
      <c r="Z926" s="286"/>
      <c r="AA926" s="286"/>
    </row>
    <row r="927">
      <c r="A927" s="271"/>
      <c r="B927" s="271"/>
      <c r="C927" s="285"/>
      <c r="D927" s="285"/>
      <c r="E927" s="285"/>
      <c r="F927" s="326"/>
      <c r="G927" s="285" t="str">
        <f>IFERROR(__xludf.DUMMYFUNCTION("""COMPUTED_VALUE"""),"FORRO INOX DECK CABREUVA DOURADA PREMIUM TG 2,5 X 5 X COMPR. VARIAVEIS")</f>
        <v>FORRO INOX DECK CABREUVA DOURADA PREMIUM TG 2,5 X 5 X COMPR. VARIAVEIS</v>
      </c>
      <c r="I927" s="271" t="str">
        <f t="shared" si="4"/>
        <v/>
      </c>
      <c r="J927" s="284"/>
      <c r="K927" s="326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6"/>
      <c r="Z927" s="286"/>
      <c r="AA927" s="286"/>
    </row>
    <row r="928">
      <c r="A928" s="271"/>
      <c r="B928" s="271"/>
      <c r="C928" s="285"/>
      <c r="D928" s="285"/>
      <c r="E928" s="285"/>
      <c r="F928" s="326"/>
      <c r="G928" s="285" t="str">
        <f>IFERROR(__xludf.DUMMYFUNCTION("""COMPUTED_VALUE"""),"FORRO INOX DECK CABREUVA DOURADA PREMIUM TG 2,5 X 10 X COMPR. VARIAVEIS")</f>
        <v>FORRO INOX DECK CABREUVA DOURADA PREMIUM TG 2,5 X 10 X COMPR. VARIAVEIS</v>
      </c>
      <c r="I928" s="271" t="str">
        <f t="shared" si="4"/>
        <v/>
      </c>
      <c r="J928" s="284"/>
      <c r="K928" s="326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6"/>
      <c r="Z928" s="286"/>
      <c r="AA928" s="286"/>
    </row>
    <row r="929">
      <c r="A929" s="271"/>
      <c r="B929" s="271"/>
      <c r="C929" s="285"/>
      <c r="D929" s="285"/>
      <c r="E929" s="285"/>
      <c r="F929" s="326"/>
      <c r="G929" s="285" t="str">
        <f>IFERROR(__xludf.DUMMYFUNCTION("""COMPUTED_VALUE"""),"FORRO INOX DECK TAUARI PREMIUM TG 2,5 X 5 X COMPR. VARIAVEIS")</f>
        <v>FORRO INOX DECK TAUARI PREMIUM TG 2,5 X 5 X COMPR. VARIAVEIS</v>
      </c>
      <c r="I929" s="271" t="str">
        <f t="shared" si="4"/>
        <v/>
      </c>
      <c r="J929" s="284"/>
      <c r="K929" s="326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6"/>
      <c r="Z929" s="286"/>
      <c r="AA929" s="286"/>
    </row>
    <row r="930">
      <c r="A930" s="271"/>
      <c r="B930" s="271"/>
      <c r="C930" s="285"/>
      <c r="D930" s="285"/>
      <c r="E930" s="285"/>
      <c r="F930" s="326"/>
      <c r="G930" s="285" t="str">
        <f>IFERROR(__xludf.DUMMYFUNCTION("""COMPUTED_VALUE"""),"FORRO INOX DECK TAUARI PREMIUM TG 2,5 X 10 X COMPR. VARIAVEIS")</f>
        <v>FORRO INOX DECK TAUARI PREMIUM TG 2,5 X 10 X COMPR. VARIAVEIS</v>
      </c>
      <c r="I930" s="271" t="str">
        <f t="shared" si="4"/>
        <v/>
      </c>
      <c r="J930" s="284"/>
      <c r="K930" s="326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6"/>
      <c r="Z930" s="286"/>
      <c r="AA930" s="286"/>
    </row>
    <row r="931">
      <c r="A931" s="271"/>
      <c r="B931" s="271"/>
      <c r="C931" s="285"/>
      <c r="D931" s="285"/>
      <c r="E931" s="285"/>
      <c r="F931" s="326"/>
      <c r="G931" s="285" t="str">
        <f>IFERROR(__xludf.DUMMYFUNCTION("""COMPUTED_VALUE"""),"FORRO INOX DECK PEROBA PREMIUM TG 2,5 X 5 X COMPR. VARIAVEIS")</f>
        <v>FORRO INOX DECK PEROBA PREMIUM TG 2,5 X 5 X COMPR. VARIAVEIS</v>
      </c>
      <c r="I931" s="271" t="str">
        <f t="shared" si="4"/>
        <v/>
      </c>
      <c r="J931" s="284"/>
      <c r="K931" s="326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6"/>
      <c r="Z931" s="286"/>
      <c r="AA931" s="286"/>
    </row>
    <row r="932">
      <c r="A932" s="271"/>
      <c r="B932" s="271"/>
      <c r="C932" s="285"/>
      <c r="D932" s="285"/>
      <c r="E932" s="285"/>
      <c r="F932" s="326"/>
      <c r="G932" s="285" t="str">
        <f>IFERROR(__xludf.DUMMYFUNCTION("""COMPUTED_VALUE"""),"FORRO INOX DECK PEROBA PREMIUM TG 2,5 X 10 X COMPR. VARIAVEIS")</f>
        <v>FORRO INOX DECK PEROBA PREMIUM TG 2,5 X 10 X COMPR. VARIAVEIS</v>
      </c>
      <c r="I932" s="271" t="str">
        <f t="shared" si="4"/>
        <v/>
      </c>
      <c r="J932" s="284"/>
      <c r="K932" s="326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6"/>
      <c r="Z932" s="286"/>
      <c r="AA932" s="286"/>
    </row>
    <row r="933">
      <c r="A933" s="271"/>
      <c r="B933" s="271"/>
      <c r="C933" s="285"/>
      <c r="D933" s="285"/>
      <c r="E933" s="285"/>
      <c r="F933" s="326"/>
      <c r="G933" s="285" t="str">
        <f>IFERROR(__xludf.DUMMYFUNCTION("""COMPUTED_VALUE"""),"FORRO INOX DECK BAMBU CARAMEL ALTA DENSIDADE")</f>
        <v>FORRO INOX DECK BAMBU CARAMEL ALTA DENSIDADE</v>
      </c>
      <c r="I933" s="271" t="str">
        <f t="shared" si="4"/>
        <v/>
      </c>
      <c r="J933" s="284"/>
      <c r="K933" s="326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6"/>
      <c r="Z933" s="286"/>
      <c r="AA933" s="286"/>
    </row>
    <row r="934">
      <c r="A934" s="271"/>
      <c r="B934" s="271"/>
      <c r="C934" s="285"/>
      <c r="D934" s="285"/>
      <c r="E934" s="285"/>
      <c r="F934" s="326"/>
      <c r="G934" s="285" t="str">
        <f>IFERROR(__xludf.DUMMYFUNCTION("""COMPUTED_VALUE"""),"FORRO INOX DECK BPC CINZA ESCURO 2 X15X 290CM PÇ/0.435M2")</f>
        <v>FORRO INOX DECK BPC CINZA ESCURO 2 X15X 290CM PÇ/0.435M2</v>
      </c>
      <c r="I934" s="271" t="str">
        <f t="shared" si="4"/>
        <v/>
      </c>
      <c r="J934" s="284"/>
      <c r="K934" s="326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6"/>
      <c r="Z934" s="286"/>
      <c r="AA934" s="286"/>
    </row>
    <row r="935">
      <c r="A935" s="271"/>
      <c r="B935" s="271"/>
      <c r="C935" s="285"/>
      <c r="D935" s="285"/>
      <c r="E935" s="285"/>
      <c r="F935" s="326"/>
      <c r="G935" s="285" t="str">
        <f>IFERROR(__xludf.DUMMYFUNCTION("""COMPUTED_VALUE"""),"FORRO INOX DECK BPC MORROM 2X15X220CM")</f>
        <v>FORRO INOX DECK BPC MORROM 2X15X220CM</v>
      </c>
      <c r="I935" s="271" t="str">
        <f t="shared" si="4"/>
        <v/>
      </c>
      <c r="J935" s="284"/>
      <c r="K935" s="326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6"/>
      <c r="Z935" s="286"/>
      <c r="AA935" s="286"/>
    </row>
    <row r="936">
      <c r="A936" s="271"/>
      <c r="B936" s="271"/>
      <c r="C936" s="285"/>
      <c r="D936" s="285"/>
      <c r="E936" s="285"/>
      <c r="F936" s="326"/>
      <c r="G936" s="285" t="str">
        <f>IFERROR(__xludf.DUMMYFUNCTION("""COMPUTED_VALUE"""),"FORRO INOX DECK WPC CINZA 2,2*14,6*220CM")</f>
        <v>FORRO INOX DECK WPC CINZA 2,2*14,6*220CM</v>
      </c>
      <c r="I936" s="271" t="str">
        <f t="shared" si="4"/>
        <v/>
      </c>
      <c r="J936" s="284"/>
      <c r="K936" s="326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6"/>
      <c r="Z936" s="286"/>
      <c r="AA936" s="286"/>
    </row>
    <row r="937">
      <c r="A937" s="271"/>
      <c r="B937" s="271"/>
      <c r="C937" s="285"/>
      <c r="D937" s="285"/>
      <c r="E937" s="285"/>
      <c r="F937" s="326"/>
      <c r="G937" s="285" t="str">
        <f>IFERROR(__xludf.DUMMYFUNCTION("""COMPUTED_VALUE"""),"FORRO INOX PEROBA RUSTICA DE DEMOLIÇÃO")</f>
        <v>FORRO INOX PEROBA RUSTICA DE DEMOLIÇÃO</v>
      </c>
      <c r="I937" s="271" t="str">
        <f t="shared" si="4"/>
        <v/>
      </c>
      <c r="J937" s="284"/>
      <c r="K937" s="326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6"/>
      <c r="Z937" s="286"/>
      <c r="AA937" s="286"/>
    </row>
    <row r="938">
      <c r="A938" s="271"/>
      <c r="B938" s="271"/>
      <c r="C938" s="285"/>
      <c r="D938" s="285"/>
      <c r="E938" s="285"/>
      <c r="F938" s="326"/>
      <c r="G938" s="285" t="str">
        <f>IFERROR(__xludf.DUMMYFUNCTION("""COMPUTED_VALUE"""),"FORRO INOX CANELA RUSTICA DE DEMOLIÇÃO")</f>
        <v>FORRO INOX CANELA RUSTICA DE DEMOLIÇÃO</v>
      </c>
      <c r="I938" s="271" t="str">
        <f t="shared" si="4"/>
        <v/>
      </c>
      <c r="J938" s="284"/>
      <c r="K938" s="326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6"/>
      <c r="Z938" s="286"/>
      <c r="AA938" s="286"/>
    </row>
    <row r="939">
      <c r="A939" s="271"/>
      <c r="B939" s="271"/>
      <c r="C939" s="285"/>
      <c r="D939" s="285"/>
      <c r="E939" s="285"/>
      <c r="F939" s="326"/>
      <c r="G939" s="285" t="str">
        <f>IFERROR(__xludf.DUMMYFUNCTION("""COMPUTED_VALUE"""),"DECK 10 CARVALHO EUROPEU MARRONE CHEVRON 15/3 X 1900X 740MM")</f>
        <v>DECK 10 CARVALHO EUROPEU MARRONE CHEVRON 15/3 X 1900X 740MM</v>
      </c>
      <c r="I939" s="271"/>
      <c r="J939" s="284"/>
      <c r="K939" s="326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6"/>
      <c r="Z939" s="286"/>
      <c r="AA939" s="286"/>
    </row>
    <row r="940">
      <c r="A940" s="271"/>
      <c r="B940" s="271"/>
      <c r="C940" s="285"/>
      <c r="D940" s="285"/>
      <c r="E940" s="285"/>
      <c r="F940" s="326"/>
      <c r="G940" s="285" t="str">
        <f>IFERROR(__xludf.DUMMYFUNCTION("""COMPUTED_VALUE"""),"DECK 10 CARVALHO EUROPEU MARRONE 15/3 X 125 X 1200MM")</f>
        <v>DECK 10 CARVALHO EUROPEU MARRONE 15/3 X 125 X 1200MM</v>
      </c>
      <c r="I940" s="271"/>
      <c r="J940" s="284"/>
      <c r="K940" s="326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6"/>
      <c r="Z940" s="286"/>
      <c r="AA940" s="286"/>
    </row>
    <row r="941">
      <c r="A941" s="271"/>
      <c r="B941" s="271"/>
      <c r="C941" s="285"/>
      <c r="D941" s="285"/>
      <c r="E941" s="285"/>
      <c r="F941" s="326"/>
      <c r="G941" s="285" t="str">
        <f>IFERROR(__xludf.DUMMYFUNCTION("""COMPUTED_VALUE"""),"DECK 10 CARVALHO EUROPEU MARRONE 15/3 X 190 X 1900MM")</f>
        <v>DECK 10 CARVALHO EUROPEU MARRONE 15/3 X 190 X 1900MM</v>
      </c>
      <c r="I941" s="271"/>
      <c r="J941" s="284"/>
      <c r="K941" s="326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6"/>
      <c r="Z941" s="286"/>
      <c r="AA941" s="286"/>
    </row>
    <row r="942">
      <c r="A942" s="271"/>
      <c r="B942" s="271"/>
      <c r="C942" s="285"/>
      <c r="D942" s="285"/>
      <c r="E942" s="285"/>
      <c r="F942" s="326"/>
      <c r="G942" s="285" t="str">
        <f>IFERROR(__xludf.DUMMYFUNCTION("""COMPUTED_VALUE"""),"DECK 10 CARVALHO EUROPEU MARRONE 20/6 X 300 X 4000MM")</f>
        <v>DECK 10 CARVALHO EUROPEU MARRONE 20/6 X 300 X 4000MM</v>
      </c>
      <c r="I942" s="271"/>
      <c r="J942" s="284"/>
      <c r="K942" s="326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6"/>
      <c r="Z942" s="286"/>
      <c r="AA942" s="286"/>
    </row>
    <row r="943">
      <c r="A943" s="271"/>
      <c r="B943" s="271"/>
      <c r="C943" s="285"/>
      <c r="D943" s="285"/>
      <c r="E943" s="285"/>
      <c r="F943" s="326"/>
      <c r="G943" s="285" t="str">
        <f>IFERROR(__xludf.DUMMYFUNCTION("""COMPUTED_VALUE"""),"DECK 10 CARVALHO EUROPEU MARRONE 20/6 X 400 X 5000MM")</f>
        <v>DECK 10 CARVALHO EUROPEU MARRONE 20/6 X 400 X 5000MM</v>
      </c>
      <c r="I943" s="271"/>
      <c r="J943" s="284"/>
      <c r="K943" s="326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6"/>
      <c r="Z943" s="286"/>
      <c r="AA943" s="286"/>
    </row>
    <row r="944">
      <c r="A944" s="271"/>
      <c r="B944" s="271"/>
      <c r="C944" s="285"/>
      <c r="D944" s="285"/>
      <c r="E944" s="285"/>
      <c r="F944" s="326"/>
      <c r="G944" s="285" t="str">
        <f>IFERROR(__xludf.DUMMYFUNCTION("""COMPUTED_VALUE"""),"DECK 10 CARVALHO EUROPEU MONT BLANC CHEVRON 15/3 X 1900X 740MM")</f>
        <v>DECK 10 CARVALHO EUROPEU MONT BLANC CHEVRON 15/3 X 1900X 740MM</v>
      </c>
      <c r="I944" s="271"/>
      <c r="J944" s="284"/>
      <c r="K944" s="326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6"/>
      <c r="Z944" s="286"/>
      <c r="AA944" s="286"/>
    </row>
    <row r="945">
      <c r="A945" s="271"/>
      <c r="B945" s="271"/>
      <c r="C945" s="285"/>
      <c r="D945" s="285"/>
      <c r="E945" s="285"/>
      <c r="F945" s="326"/>
      <c r="G945" s="285" t="str">
        <f>IFERROR(__xludf.DUMMYFUNCTION("""COMPUTED_VALUE"""),"DECK 10 CARVALHO EUROPEU MONT BLANC ESPINHA DE PEIXE TG 15/3 X 125X900MM")</f>
        <v>DECK 10 CARVALHO EUROPEU MONT BLANC ESPINHA DE PEIXE TG 15/3 X 125X900MM</v>
      </c>
      <c r="I945" s="271"/>
      <c r="J945" s="284"/>
      <c r="K945" s="326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6"/>
      <c r="Z945" s="286"/>
      <c r="AA945" s="286"/>
    </row>
    <row r="946">
      <c r="A946" s="271"/>
      <c r="B946" s="271"/>
      <c r="C946" s="285"/>
      <c r="D946" s="285"/>
      <c r="E946" s="285"/>
      <c r="F946" s="326"/>
      <c r="G946" s="285" t="str">
        <f>IFERROR(__xludf.DUMMYFUNCTION("""COMPUTED_VALUE"""),"DECK 10 CARVALHO EUROPEU MONT BLANC 15/3 X 125 X 1200MM")</f>
        <v>DECK 10 CARVALHO EUROPEU MONT BLANC 15/3 X 125 X 1200MM</v>
      </c>
      <c r="I946" s="271"/>
      <c r="J946" s="284"/>
      <c r="K946" s="326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6"/>
      <c r="Z946" s="286"/>
      <c r="AA946" s="286"/>
    </row>
    <row r="947">
      <c r="A947" s="271"/>
      <c r="B947" s="271"/>
      <c r="C947" s="285"/>
      <c r="D947" s="285"/>
      <c r="E947" s="285"/>
      <c r="F947" s="326"/>
      <c r="G947" s="285" t="str">
        <f>IFERROR(__xludf.DUMMYFUNCTION("""COMPUTED_VALUE"""),"DECK 10 CARVALHO EUROPEU MONT BLANC 15/3 X 190 X 1900MM")</f>
        <v>DECK 10 CARVALHO EUROPEU MONT BLANC 15/3 X 190 X 1900MM</v>
      </c>
      <c r="I947" s="271"/>
      <c r="J947" s="284"/>
      <c r="K947" s="326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6"/>
      <c r="Z947" s="286"/>
      <c r="AA947" s="286"/>
    </row>
    <row r="948">
      <c r="A948" s="271"/>
      <c r="B948" s="271"/>
      <c r="C948" s="285"/>
      <c r="D948" s="285"/>
      <c r="E948" s="285"/>
      <c r="F948" s="326"/>
      <c r="G948" s="285" t="str">
        <f>IFERROR(__xludf.DUMMYFUNCTION("""COMPUTED_VALUE"""),"DECK 10 CARVALHO EUROPEU MONT BLANC 20/6 X 300 X 4000MM")</f>
        <v>DECK 10 CARVALHO EUROPEU MONT BLANC 20/6 X 300 X 4000MM</v>
      </c>
      <c r="I948" s="271"/>
      <c r="J948" s="284"/>
      <c r="K948" s="326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6"/>
      <c r="Z948" s="286"/>
      <c r="AA948" s="286"/>
    </row>
    <row r="949">
      <c r="A949" s="271"/>
      <c r="B949" s="271"/>
      <c r="C949" s="285"/>
      <c r="D949" s="285"/>
      <c r="E949" s="285"/>
      <c r="F949" s="326"/>
      <c r="G949" s="285" t="str">
        <f>IFERROR(__xludf.DUMMYFUNCTION("""COMPUTED_VALUE"""),"DECK 10 CARVALHO EUROPEU MONT BLANC 20/6 X 400 X 5000MM")</f>
        <v>DECK 10 CARVALHO EUROPEU MONT BLANC 20/6 X 400 X 5000MM</v>
      </c>
      <c r="I949" s="271"/>
      <c r="J949" s="284"/>
      <c r="K949" s="326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6"/>
      <c r="Z949" s="286"/>
      <c r="AA949" s="286"/>
    </row>
    <row r="950">
      <c r="A950" s="271"/>
      <c r="B950" s="271"/>
      <c r="C950" s="285"/>
      <c r="D950" s="285"/>
      <c r="E950" s="285"/>
      <c r="F950" s="326"/>
      <c r="G950" s="285" t="str">
        <f>IFERROR(__xludf.DUMMYFUNCTION("""COMPUTED_VALUE"""),"DECK 10 CARVALHO EUROPEU NATURAL CHEVRON TG 15/3 X 125 X 775MM")</f>
        <v>DECK 10 CARVALHO EUROPEU NATURAL CHEVRON TG 15/3 X 125 X 775MM</v>
      </c>
      <c r="I950" s="271"/>
      <c r="J950" s="284"/>
      <c r="K950" s="326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6"/>
      <c r="Z950" s="286"/>
      <c r="AA950" s="286"/>
    </row>
    <row r="951">
      <c r="A951" s="271"/>
      <c r="B951" s="271"/>
      <c r="C951" s="285"/>
      <c r="D951" s="285"/>
      <c r="E951" s="285"/>
      <c r="F951" s="326"/>
      <c r="G951" s="285" t="str">
        <f>IFERROR(__xludf.DUMMYFUNCTION("""COMPUTED_VALUE"""),"DECK 10 CARVALHO EUROPEU NATURALLE CHEVRON 15/3 X 1900X 740MM")</f>
        <v>DECK 10 CARVALHO EUROPEU NATURALLE CHEVRON 15/3 X 1900X 740MM</v>
      </c>
      <c r="I951" s="271"/>
      <c r="J951" s="284"/>
      <c r="K951" s="326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6"/>
      <c r="Z951" s="286"/>
      <c r="AA951" s="286"/>
    </row>
    <row r="952">
      <c r="A952" s="271"/>
      <c r="B952" s="271"/>
      <c r="C952" s="285"/>
      <c r="D952" s="285"/>
      <c r="E952" s="285"/>
      <c r="F952" s="326"/>
      <c r="G952" s="285" t="str">
        <f>IFERROR(__xludf.DUMMYFUNCTION("""COMPUTED_VALUE"""),"DECK 10 CARVALHO EUROPEU NATURALLE CHEVRON 60º 15/3 X 1900X 910MM")</f>
        <v>DECK 10 CARVALHO EUROPEU NATURALLE CHEVRON 60º 15/3 X 1900X 910MM</v>
      </c>
      <c r="I952" s="271"/>
      <c r="J952" s="284"/>
      <c r="K952" s="326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6"/>
      <c r="Z952" s="286"/>
      <c r="AA952" s="286"/>
    </row>
    <row r="953">
      <c r="A953" s="271"/>
      <c r="B953" s="271"/>
      <c r="C953" s="285"/>
      <c r="D953" s="285"/>
      <c r="E953" s="285"/>
      <c r="F953" s="326"/>
      <c r="G953" s="285" t="str">
        <f>IFERROR(__xludf.DUMMYFUNCTION("""COMPUTED_VALUE"""),"DECK 10 CARVALHO EUROPEU NATURALLE FINE 10/06 X 1900 X 1900MM")</f>
        <v>DECK 10 CARVALHO EUROPEU NATURALLE FINE 10/06 X 1900 X 1900MM</v>
      </c>
      <c r="I953" s="271"/>
      <c r="J953" s="284"/>
      <c r="K953" s="326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6"/>
      <c r="Z953" s="286"/>
      <c r="AA953" s="286"/>
    </row>
    <row r="954">
      <c r="A954" s="271"/>
      <c r="B954" s="271"/>
      <c r="C954" s="285"/>
      <c r="D954" s="285"/>
      <c r="E954" s="285"/>
      <c r="F954" s="326"/>
      <c r="G954" s="285" t="str">
        <f>IFERROR(__xludf.DUMMYFUNCTION("""COMPUTED_VALUE"""),"DECK 10 CARVALHO EUROPEU NATURALLE 15/3 X 125 X 1200MM")</f>
        <v>DECK 10 CARVALHO EUROPEU NATURALLE 15/3 X 125 X 1200MM</v>
      </c>
      <c r="I954" s="271"/>
      <c r="J954" s="284"/>
      <c r="K954" s="326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6"/>
      <c r="Z954" s="286"/>
      <c r="AA954" s="286"/>
    </row>
    <row r="955">
      <c r="A955" s="271"/>
      <c r="B955" s="271"/>
      <c r="C955" s="285"/>
      <c r="D955" s="285"/>
      <c r="E955" s="285"/>
      <c r="F955" s="326"/>
      <c r="G955" s="285" t="str">
        <f>IFERROR(__xludf.DUMMYFUNCTION("""COMPUTED_VALUE"""),"DECK 10 CARVALHO EUROPEU NATURALLE 15/3 X 190 X 1900MM")</f>
        <v>DECK 10 CARVALHO EUROPEU NATURALLE 15/3 X 190 X 1900MM</v>
      </c>
      <c r="I955" s="271"/>
      <c r="J955" s="284"/>
      <c r="K955" s="326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6"/>
      <c r="Z955" s="286"/>
      <c r="AA955" s="286"/>
    </row>
    <row r="956">
      <c r="A956" s="271"/>
      <c r="B956" s="271"/>
      <c r="C956" s="285"/>
      <c r="D956" s="285"/>
      <c r="E956" s="285"/>
      <c r="F956" s="326"/>
      <c r="G956" s="285" t="str">
        <f>IFERROR(__xludf.DUMMYFUNCTION("""COMPUTED_VALUE"""),"DECK 10 CARVALHO EUROPEU NATURALLE 20/6 X 300 X 4000MM")</f>
        <v>DECK 10 CARVALHO EUROPEU NATURALLE 20/6 X 300 X 4000MM</v>
      </c>
      <c r="I956" s="271"/>
      <c r="J956" s="284"/>
      <c r="K956" s="326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6"/>
      <c r="Z956" s="286"/>
      <c r="AA956" s="286"/>
    </row>
    <row r="957">
      <c r="A957" s="271"/>
      <c r="B957" s="271"/>
      <c r="C957" s="285"/>
      <c r="D957" s="285"/>
      <c r="E957" s="285"/>
      <c r="F957" s="326"/>
      <c r="G957" s="285" t="str">
        <f>IFERROR(__xludf.DUMMYFUNCTION("""COMPUTED_VALUE"""),"DECK 10 CARVALHO EUROPEU NATURALLE 20/6 X 400 X 5000MM")</f>
        <v>DECK 10 CARVALHO EUROPEU NATURALLE 20/6 X 400 X 5000MM</v>
      </c>
      <c r="I957" s="271"/>
      <c r="J957" s="284"/>
      <c r="K957" s="326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6"/>
      <c r="Z957" s="286"/>
      <c r="AA957" s="286"/>
    </row>
    <row r="958">
      <c r="A958" s="271"/>
      <c r="B958" s="271"/>
      <c r="C958" s="285"/>
      <c r="D958" s="285"/>
      <c r="E958" s="285"/>
      <c r="F958" s="326"/>
      <c r="G958" s="285" t="str">
        <f>IFERROR(__xludf.DUMMYFUNCTION("""COMPUTED_VALUE"""),"DECK 10 CARVALHO EUROPEU CAPUCCINO CHEVRON 15/3 X 1900X 740MM")</f>
        <v>DECK 10 CARVALHO EUROPEU CAPUCCINO CHEVRON 15/3 X 1900X 740MM</v>
      </c>
      <c r="I958" s="271"/>
      <c r="J958" s="284"/>
      <c r="K958" s="326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6"/>
      <c r="Z958" s="286"/>
      <c r="AA958" s="286"/>
    </row>
    <row r="959">
      <c r="A959" s="271"/>
      <c r="B959" s="271"/>
      <c r="C959" s="285"/>
      <c r="D959" s="285"/>
      <c r="E959" s="285"/>
      <c r="F959" s="326"/>
      <c r="G959" s="285" t="str">
        <f>IFERROR(__xludf.DUMMYFUNCTION("""COMPUTED_VALUE"""),"DECK 10 CARVALHO EUROPEU CAPUCCINO 15/3 X 125 X 1200MM")</f>
        <v>DECK 10 CARVALHO EUROPEU CAPUCCINO 15/3 X 125 X 1200MM</v>
      </c>
      <c r="I959" s="271"/>
      <c r="J959" s="284"/>
      <c r="K959" s="326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6"/>
      <c r="Z959" s="286"/>
      <c r="AA959" s="286"/>
    </row>
    <row r="960">
      <c r="A960" s="271"/>
      <c r="B960" s="271"/>
      <c r="C960" s="285"/>
      <c r="D960" s="285"/>
      <c r="E960" s="285"/>
      <c r="F960" s="326"/>
      <c r="G960" s="285" t="str">
        <f>IFERROR(__xludf.DUMMYFUNCTION("""COMPUTED_VALUE"""),"DECK 10 CARVALHO EUROPEU CAPPUCCINO ESPINHA DE PEIXE TG 15/3 X 125X900MM")</f>
        <v>DECK 10 CARVALHO EUROPEU CAPPUCCINO ESPINHA DE PEIXE TG 15/3 X 125X900MM</v>
      </c>
      <c r="I960" s="271"/>
      <c r="J960" s="284"/>
      <c r="K960" s="326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6"/>
      <c r="Z960" s="286"/>
      <c r="AA960" s="286"/>
    </row>
    <row r="961">
      <c r="A961" s="271"/>
      <c r="B961" s="271"/>
      <c r="C961" s="285"/>
      <c r="D961" s="285"/>
      <c r="E961" s="285"/>
      <c r="F961" s="326"/>
      <c r="G961" s="285" t="str">
        <f>IFERROR(__xludf.DUMMYFUNCTION("""COMPUTED_VALUE"""),"DECK 10 CARVALHO EUROPEU CAPUCCINO 15/3 X 190 X 1900MM")</f>
        <v>DECK 10 CARVALHO EUROPEU CAPUCCINO 15/3 X 190 X 1900MM</v>
      </c>
      <c r="I961" s="271"/>
      <c r="J961" s="284"/>
      <c r="K961" s="326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6"/>
      <c r="Z961" s="286"/>
      <c r="AA961" s="286"/>
    </row>
    <row r="962">
      <c r="A962" s="271"/>
      <c r="B962" s="271"/>
      <c r="C962" s="285"/>
      <c r="D962" s="285"/>
      <c r="E962" s="285"/>
      <c r="F962" s="326"/>
      <c r="G962" s="285" t="str">
        <f>IFERROR(__xludf.DUMMYFUNCTION("""COMPUTED_VALUE"""),"DECK 10 CARVALHO EUROPEU CAPUCCINO 20/6 X 300 X 4000MM")</f>
        <v>DECK 10 CARVALHO EUROPEU CAPUCCINO 20/6 X 300 X 4000MM</v>
      </c>
      <c r="I962" s="271"/>
      <c r="J962" s="284"/>
      <c r="K962" s="326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6"/>
      <c r="Z962" s="286"/>
      <c r="AA962" s="286"/>
    </row>
    <row r="963">
      <c r="A963" s="271"/>
      <c r="B963" s="271"/>
      <c r="C963" s="285"/>
      <c r="D963" s="285"/>
      <c r="E963" s="285"/>
      <c r="F963" s="326"/>
      <c r="G963" s="285" t="str">
        <f>IFERROR(__xludf.DUMMYFUNCTION("""COMPUTED_VALUE"""),"DECK 10 CARVALHO EUROPEU CAPUCCINO 20/6 X 400 X 5000MM")</f>
        <v>DECK 10 CARVALHO EUROPEU CAPUCCINO 20/6 X 400 X 5000MM</v>
      </c>
      <c r="I963" s="271"/>
      <c r="J963" s="284"/>
      <c r="K963" s="326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6"/>
      <c r="Z963" s="286"/>
      <c r="AA963" s="286"/>
    </row>
    <row r="964">
      <c r="A964" s="271"/>
      <c r="B964" s="271"/>
      <c r="C964" s="285"/>
      <c r="D964" s="285"/>
      <c r="E964" s="285"/>
      <c r="F964" s="326"/>
      <c r="G964" s="285" t="str">
        <f>IFERROR(__xludf.DUMMYFUNCTION("""COMPUTED_VALUE"""),"DECK 10 CARVALHO EUROPEU BABY GREY CHEVRON 15/3 X 1900X 740MM")</f>
        <v>DECK 10 CARVALHO EUROPEU BABY GREY CHEVRON 15/3 X 1900X 740MM</v>
      </c>
      <c r="I964" s="271"/>
      <c r="J964" s="284"/>
      <c r="K964" s="326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6"/>
      <c r="Z964" s="286"/>
      <c r="AA964" s="286"/>
    </row>
    <row r="965">
      <c r="A965" s="271"/>
      <c r="B965" s="271"/>
      <c r="C965" s="285"/>
      <c r="D965" s="285"/>
      <c r="E965" s="285"/>
      <c r="F965" s="326"/>
      <c r="G965" s="285" t="str">
        <f>IFERROR(__xludf.DUMMYFUNCTION("""COMPUTED_VALUE"""),"DECK 10 CARVALHO EUROPEU BABY GREY 15/3 X 125 X 1200MM")</f>
        <v>DECK 10 CARVALHO EUROPEU BABY GREY 15/3 X 125 X 1200MM</v>
      </c>
      <c r="I965" s="271"/>
      <c r="J965" s="284"/>
      <c r="K965" s="326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6"/>
      <c r="Z965" s="286"/>
      <c r="AA965" s="286"/>
    </row>
    <row r="966">
      <c r="A966" s="271"/>
      <c r="B966" s="271"/>
      <c r="C966" s="285"/>
      <c r="D966" s="285"/>
      <c r="E966" s="285"/>
      <c r="F966" s="326"/>
      <c r="G966" s="285" t="str">
        <f>IFERROR(__xludf.DUMMYFUNCTION("""COMPUTED_VALUE"""),"DECK 10 CARVALHO EUROPEU BABY GREY 15/3 X 190 X 1900MM")</f>
        <v>DECK 10 CARVALHO EUROPEU BABY GREY 15/3 X 190 X 1900MM</v>
      </c>
      <c r="I966" s="271"/>
      <c r="J966" s="284"/>
      <c r="K966" s="326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6"/>
      <c r="Z966" s="286"/>
      <c r="AA966" s="286"/>
    </row>
    <row r="967">
      <c r="A967" s="271"/>
      <c r="B967" s="271"/>
      <c r="C967" s="285"/>
      <c r="D967" s="285"/>
      <c r="E967" s="285"/>
      <c r="F967" s="326"/>
      <c r="G967" s="285" t="str">
        <f>IFERROR(__xludf.DUMMYFUNCTION("""COMPUTED_VALUE"""),"DECK 10 CARVALHO EUROPEU BABY GREY 20/6 X 300 X 4000MM")</f>
        <v>DECK 10 CARVALHO EUROPEU BABY GREY 20/6 X 300 X 4000MM</v>
      </c>
      <c r="I967" s="271"/>
      <c r="J967" s="284"/>
      <c r="K967" s="326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6"/>
      <c r="Z967" s="286"/>
      <c r="AA967" s="286"/>
    </row>
    <row r="968">
      <c r="A968" s="271"/>
      <c r="B968" s="271"/>
      <c r="C968" s="285"/>
      <c r="D968" s="285"/>
      <c r="E968" s="285"/>
      <c r="F968" s="326"/>
      <c r="G968" s="285" t="str">
        <f>IFERROR(__xludf.DUMMYFUNCTION("""COMPUTED_VALUE"""),"DECK 10 CARVALHO EUROPEU BABY GREY 20/6 X 400 X 5000MM")</f>
        <v>DECK 10 CARVALHO EUROPEU BABY GREY 20/6 X 400 X 5000MM</v>
      </c>
      <c r="I968" s="271"/>
      <c r="J968" s="284"/>
      <c r="K968" s="326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6"/>
      <c r="Z968" s="286"/>
      <c r="AA968" s="286"/>
    </row>
    <row r="969">
      <c r="A969" s="271"/>
      <c r="B969" s="271"/>
      <c r="C969" s="285"/>
      <c r="D969" s="285"/>
      <c r="E969" s="285"/>
      <c r="F969" s="326"/>
      <c r="G969" s="285" t="str">
        <f>IFERROR(__xludf.DUMMYFUNCTION("""COMPUTED_VALUE"""),"DECK 10 CARVALHO EUROPEU GRIGIO NERO CHEVRON 15/3 X 1900X 740MM")</f>
        <v>DECK 10 CARVALHO EUROPEU GRIGIO NERO CHEVRON 15/3 X 1900X 740MM</v>
      </c>
      <c r="I969" s="271"/>
      <c r="J969" s="284"/>
      <c r="K969" s="326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6"/>
      <c r="Z969" s="286"/>
      <c r="AA969" s="286"/>
    </row>
    <row r="970">
      <c r="A970" s="271"/>
      <c r="B970" s="271"/>
      <c r="C970" s="285"/>
      <c r="D970" s="285"/>
      <c r="E970" s="285"/>
      <c r="F970" s="326"/>
      <c r="G970" s="285" t="str">
        <f>IFERROR(__xludf.DUMMYFUNCTION("""COMPUTED_VALUE"""),"DECK 10 CARVALHO EUROPEU GRIGIO NERO 15/3 X 125 X 1200MM")</f>
        <v>DECK 10 CARVALHO EUROPEU GRIGIO NERO 15/3 X 125 X 1200MM</v>
      </c>
      <c r="I970" s="271"/>
      <c r="J970" s="284"/>
      <c r="K970" s="326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6"/>
      <c r="Z970" s="286"/>
      <c r="AA970" s="286"/>
    </row>
    <row r="971">
      <c r="A971" s="271"/>
      <c r="B971" s="271"/>
      <c r="C971" s="285"/>
      <c r="D971" s="285"/>
      <c r="E971" s="285"/>
      <c r="F971" s="326"/>
      <c r="G971" s="285" t="str">
        <f>IFERROR(__xludf.DUMMYFUNCTION("""COMPUTED_VALUE"""),"DECK 10 CARVALHO EUROPEU GRIGIO NERO 15/3 X 190 X 1900MM")</f>
        <v>DECK 10 CARVALHO EUROPEU GRIGIO NERO 15/3 X 190 X 1900MM</v>
      </c>
      <c r="I971" s="271"/>
      <c r="J971" s="284"/>
      <c r="K971" s="326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6"/>
      <c r="Z971" s="286"/>
      <c r="AA971" s="286"/>
    </row>
    <row r="972">
      <c r="A972" s="271"/>
      <c r="B972" s="271"/>
      <c r="C972" s="285"/>
      <c r="D972" s="285"/>
      <c r="E972" s="285"/>
      <c r="F972" s="326"/>
      <c r="G972" s="285" t="str">
        <f>IFERROR(__xludf.DUMMYFUNCTION("""COMPUTED_VALUE"""),"DECK 10 CARVALHO EUROPEU GRIGIO NERO 20/6 X 300 X 4000MM")</f>
        <v>DECK 10 CARVALHO EUROPEU GRIGIO NERO 20/6 X 300 X 4000MM</v>
      </c>
      <c r="I972" s="271"/>
      <c r="J972" s="284"/>
      <c r="K972" s="326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6"/>
      <c r="Z972" s="286"/>
      <c r="AA972" s="286"/>
    </row>
    <row r="973">
      <c r="A973" s="271"/>
      <c r="B973" s="271"/>
      <c r="C973" s="285"/>
      <c r="D973" s="285"/>
      <c r="E973" s="285"/>
      <c r="F973" s="326"/>
      <c r="G973" s="285" t="str">
        <f>IFERROR(__xludf.DUMMYFUNCTION("""COMPUTED_VALUE"""),"DECK 10 CARVALHO EUROPEU GRIGIO NERO 20/6 X 400 X 5000MM")</f>
        <v>DECK 10 CARVALHO EUROPEU GRIGIO NERO 20/6 X 400 X 5000MM</v>
      </c>
      <c r="I973" s="271"/>
      <c r="J973" s="284"/>
      <c r="K973" s="326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6"/>
      <c r="Z973" s="286"/>
      <c r="AA973" s="286"/>
    </row>
    <row r="974">
      <c r="A974" s="271"/>
      <c r="B974" s="271"/>
      <c r="C974" s="285"/>
      <c r="D974" s="285"/>
      <c r="E974" s="285"/>
      <c r="F974" s="326"/>
      <c r="G974" s="285" t="str">
        <f>IFERROR(__xludf.DUMMYFUNCTION("""COMPUTED_VALUE"""),"DECK 10 CARVALHO EUROPEU LIGHT BROWN CHEVRON 15/3 X 1900X 740MM")</f>
        <v>DECK 10 CARVALHO EUROPEU LIGHT BROWN CHEVRON 15/3 X 1900X 740MM</v>
      </c>
      <c r="I974" s="271"/>
      <c r="J974" s="284"/>
      <c r="K974" s="326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6"/>
      <c r="Z974" s="286"/>
      <c r="AA974" s="286"/>
    </row>
    <row r="975">
      <c r="A975" s="271"/>
      <c r="B975" s="271"/>
      <c r="C975" s="285"/>
      <c r="D975" s="285"/>
      <c r="E975" s="285"/>
      <c r="F975" s="326"/>
      <c r="G975" s="285" t="str">
        <f>IFERROR(__xludf.DUMMYFUNCTION("""COMPUTED_VALUE"""),"DECK 10 CARVALHO EUROPEU LIGHT BROWN 15/3 X 125 X 1200MM")</f>
        <v>DECK 10 CARVALHO EUROPEU LIGHT BROWN 15/3 X 125 X 1200MM</v>
      </c>
      <c r="I975" s="271"/>
      <c r="J975" s="284"/>
      <c r="K975" s="326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6"/>
      <c r="Z975" s="286"/>
      <c r="AA975" s="286"/>
    </row>
    <row r="976">
      <c r="A976" s="271"/>
      <c r="B976" s="271"/>
      <c r="C976" s="285"/>
      <c r="D976" s="285"/>
      <c r="E976" s="285"/>
      <c r="F976" s="326"/>
      <c r="G976" s="285" t="str">
        <f>IFERROR(__xludf.DUMMYFUNCTION("""COMPUTED_VALUE"""),"DECK 10 CARVALHO EUROPEU LIGHT BROWN 15/3 X 190 X 1900MM")</f>
        <v>DECK 10 CARVALHO EUROPEU LIGHT BROWN 15/3 X 190 X 1900MM</v>
      </c>
      <c r="I976" s="271"/>
      <c r="J976" s="284"/>
      <c r="K976" s="326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6"/>
      <c r="Z976" s="286"/>
      <c r="AA976" s="286"/>
    </row>
    <row r="977">
      <c r="A977" s="271"/>
      <c r="B977" s="271"/>
      <c r="C977" s="285"/>
      <c r="D977" s="285"/>
      <c r="E977" s="285"/>
      <c r="F977" s="326"/>
      <c r="G977" s="285" t="str">
        <f>IFERROR(__xludf.DUMMYFUNCTION("""COMPUTED_VALUE"""),"DECK 10 CARVALHO EUROPEU LIGHT BROWN 20/6 X 300 X 4000MM")</f>
        <v>DECK 10 CARVALHO EUROPEU LIGHT BROWN 20/6 X 300 X 4000MM</v>
      </c>
      <c r="I977" s="271"/>
      <c r="J977" s="284"/>
      <c r="K977" s="326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6"/>
      <c r="Z977" s="286"/>
      <c r="AA977" s="286"/>
    </row>
    <row r="978">
      <c r="A978" s="271"/>
      <c r="B978" s="271"/>
      <c r="C978" s="285"/>
      <c r="D978" s="285"/>
      <c r="E978" s="285"/>
      <c r="F978" s="326"/>
      <c r="G978" s="285" t="str">
        <f>IFERROR(__xludf.DUMMYFUNCTION("""COMPUTED_VALUE"""),"DECK 10 CARVALHO EUROPEU - LISTONE GIORDANO (HERITAGE 140 FILIGRANA - SIENNA 1179) TG 1,25 X 14,0 X 83,50CM --")</f>
        <v>DECK 10 CARVALHO EUROPEU - LISTONE GIORDANO (HERITAGE 140 FILIGRANA - SIENNA 1179) TG 1,25 X 14,0 X 83,50CM --</v>
      </c>
      <c r="I978" s="271"/>
      <c r="J978" s="284"/>
      <c r="K978" s="326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6"/>
      <c r="Z978" s="286"/>
      <c r="AA978" s="286"/>
    </row>
    <row r="979">
      <c r="A979" s="271"/>
      <c r="B979" s="271"/>
      <c r="C979" s="285"/>
      <c r="D979" s="285"/>
      <c r="E979" s="285"/>
      <c r="F979" s="326"/>
      <c r="G979" s="285" t="str">
        <f>IFERROR(__xludf.DUMMYFUNCTION("""COMPUTED_VALUE"""),"DECK 10 ")</f>
        <v>DECK 10 </v>
      </c>
      <c r="I979" s="271"/>
      <c r="J979" s="284"/>
      <c r="K979" s="326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6"/>
      <c r="Z979" s="286"/>
      <c r="AA979" s="286"/>
    </row>
    <row r="980">
      <c r="A980" s="271"/>
      <c r="B980" s="271"/>
      <c r="C980" s="285"/>
      <c r="D980" s="285"/>
      <c r="E980" s="285"/>
      <c r="F980" s="326"/>
      <c r="G980" s="285" t="str">
        <f>IFERROR(__xludf.DUMMYFUNCTION("""COMPUTED_VALUE"""),"DECK 10 CARVALHO EUROPEU MILANO CHEVRON 15/3 X 1900X 740MM")</f>
        <v>DECK 10 CARVALHO EUROPEU MILANO CHEVRON 15/3 X 1900X 740MM</v>
      </c>
      <c r="I980" s="271"/>
      <c r="J980" s="284"/>
      <c r="K980" s="326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6"/>
      <c r="Z980" s="286"/>
      <c r="AA980" s="286"/>
    </row>
    <row r="981">
      <c r="A981" s="271"/>
      <c r="B981" s="271"/>
      <c r="C981" s="285"/>
      <c r="D981" s="285"/>
      <c r="E981" s="285"/>
      <c r="F981" s="326"/>
      <c r="G981" s="285" t="str">
        <f>IFERROR(__xludf.DUMMYFUNCTION("""COMPUTED_VALUE"""),"DECK 10 CARVALHO EUROPEU MILANO 15/3 X 125 X 1200MM")</f>
        <v>DECK 10 CARVALHO EUROPEU MILANO 15/3 X 125 X 1200MM</v>
      </c>
      <c r="I981" s="271"/>
      <c r="J981" s="284"/>
      <c r="K981" s="326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6"/>
      <c r="Z981" s="286"/>
      <c r="AA981" s="286"/>
    </row>
    <row r="982">
      <c r="A982" s="271"/>
      <c r="B982" s="271"/>
      <c r="C982" s="285"/>
      <c r="D982" s="285"/>
      <c r="E982" s="285"/>
      <c r="F982" s="326"/>
      <c r="G982" s="285" t="str">
        <f>IFERROR(__xludf.DUMMYFUNCTION("""COMPUTED_VALUE"""),"DECK 10 CARVALHO EUROPEU MILANO 15/3 X 190 X 1900MM")</f>
        <v>DECK 10 CARVALHO EUROPEU MILANO 15/3 X 190 X 1900MM</v>
      </c>
      <c r="I982" s="271"/>
      <c r="J982" s="284"/>
      <c r="K982" s="326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6"/>
      <c r="Z982" s="286"/>
      <c r="AA982" s="286"/>
    </row>
    <row r="983">
      <c r="A983" s="271"/>
      <c r="B983" s="271"/>
      <c r="C983" s="285"/>
      <c r="D983" s="285"/>
      <c r="E983" s="285"/>
      <c r="F983" s="326"/>
      <c r="G983" s="285" t="str">
        <f>IFERROR(__xludf.DUMMYFUNCTION("""COMPUTED_VALUE"""),"DECK 10 CARVALHO EUROPEU MILANO 20/6 X 300 X 4000MM")</f>
        <v>DECK 10 CARVALHO EUROPEU MILANO 20/6 X 300 X 4000MM</v>
      </c>
      <c r="I983" s="271"/>
      <c r="J983" s="284"/>
      <c r="K983" s="326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6"/>
      <c r="Z983" s="286"/>
      <c r="AA983" s="286"/>
    </row>
    <row r="984">
      <c r="A984" s="271"/>
      <c r="B984" s="271"/>
      <c r="C984" s="285"/>
      <c r="D984" s="285"/>
      <c r="E984" s="285"/>
      <c r="F984" s="326"/>
      <c r="G984" s="285" t="str">
        <f>IFERROR(__xludf.DUMMYFUNCTION("""COMPUTED_VALUE"""),"DECK 10 CARVALHO EUROPEU MILANO 20/6 X 400 X 5000MM")</f>
        <v>DECK 10 CARVALHO EUROPEU MILANO 20/6 X 400 X 5000MM</v>
      </c>
      <c r="I984" s="271"/>
      <c r="J984" s="284"/>
      <c r="K984" s="326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6"/>
      <c r="Z984" s="286"/>
      <c r="AA984" s="286"/>
    </row>
    <row r="985">
      <c r="A985" s="271"/>
      <c r="B985" s="271"/>
      <c r="C985" s="285"/>
      <c r="D985" s="285"/>
      <c r="E985" s="285"/>
      <c r="F985" s="326"/>
      <c r="G985" s="285" t="str">
        <f>IFERROR(__xludf.DUMMYFUNCTION("""COMPUTED_VALUE"""),"DECK 10 CARVALHO EUROPEU SMOKED CHEVRON 15/3 X 1900X 740MM")</f>
        <v>DECK 10 CARVALHO EUROPEU SMOKED CHEVRON 15/3 X 1900X 740MM</v>
      </c>
      <c r="I985" s="271"/>
      <c r="J985" s="284"/>
      <c r="K985" s="326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6"/>
      <c r="Z985" s="286"/>
      <c r="AA985" s="286"/>
    </row>
    <row r="986">
      <c r="A986" s="271"/>
      <c r="B986" s="271"/>
      <c r="C986" s="285"/>
      <c r="D986" s="285"/>
      <c r="E986" s="285"/>
      <c r="F986" s="326"/>
      <c r="G986" s="285" t="str">
        <f>IFERROR(__xludf.DUMMYFUNCTION("""COMPUTED_VALUE"""),"DECK 10 CARVALHO EUROPEU SMOKED 15/3 X 125 X 1200MM")</f>
        <v>DECK 10 CARVALHO EUROPEU SMOKED 15/3 X 125 X 1200MM</v>
      </c>
      <c r="I986" s="271"/>
      <c r="J986" s="284"/>
      <c r="K986" s="326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6"/>
      <c r="Z986" s="286"/>
      <c r="AA986" s="286"/>
    </row>
    <row r="987">
      <c r="A987" s="271"/>
      <c r="B987" s="271"/>
      <c r="C987" s="285"/>
      <c r="D987" s="285"/>
      <c r="E987" s="285"/>
      <c r="F987" s="326"/>
      <c r="G987" s="285" t="str">
        <f>IFERROR(__xludf.DUMMYFUNCTION("""COMPUTED_VALUE"""),"DECK 10 CARVALHO EUROPEU SMOKED 15/3 X 190 X 1900MM")</f>
        <v>DECK 10 CARVALHO EUROPEU SMOKED 15/3 X 190 X 1900MM</v>
      </c>
      <c r="I987" s="271"/>
      <c r="J987" s="284"/>
      <c r="K987" s="326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6"/>
      <c r="Z987" s="286"/>
      <c r="AA987" s="286"/>
    </row>
    <row r="988">
      <c r="A988" s="271"/>
      <c r="B988" s="271"/>
      <c r="C988" s="285"/>
      <c r="D988" s="285"/>
      <c r="E988" s="285"/>
      <c r="F988" s="326"/>
      <c r="G988" s="285" t="str">
        <f>IFERROR(__xludf.DUMMYFUNCTION("""COMPUTED_VALUE"""),"DECK 10 CARVALHO EUROPEU SMOKED 20/6 X 300 X 4000MM")</f>
        <v>DECK 10 CARVALHO EUROPEU SMOKED 20/6 X 300 X 4000MM</v>
      </c>
      <c r="I988" s="271"/>
      <c r="J988" s="284"/>
      <c r="K988" s="326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6"/>
      <c r="Z988" s="286"/>
      <c r="AA988" s="286"/>
    </row>
    <row r="989">
      <c r="A989" s="271"/>
      <c r="B989" s="271"/>
      <c r="C989" s="285"/>
      <c r="D989" s="285"/>
      <c r="E989" s="285"/>
      <c r="F989" s="326"/>
      <c r="G989" s="285" t="str">
        <f>IFERROR(__xludf.DUMMYFUNCTION("""COMPUTED_VALUE"""),"DECK 10 CARVALHO EUROPEU SMOKED 20/6 X 400 X 5000MM")</f>
        <v>DECK 10 CARVALHO EUROPEU SMOKED 20/6 X 400 X 5000MM</v>
      </c>
      <c r="I989" s="271"/>
      <c r="J989" s="284"/>
      <c r="K989" s="326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6"/>
      <c r="Z989" s="286"/>
      <c r="AA989" s="286"/>
    </row>
    <row r="990">
      <c r="A990" s="271"/>
      <c r="B990" s="271"/>
      <c r="C990" s="285"/>
      <c r="D990" s="285"/>
      <c r="E990" s="285"/>
      <c r="F990" s="326"/>
      <c r="G990" s="285" t="str">
        <f>IFERROR(__xludf.DUMMYFUNCTION("""COMPUTED_VALUE"""),"DECK 10 CARVALHO EUROPEU GIZ CHEVRON 15/3 X 1900X 740MM")</f>
        <v>DECK 10 CARVALHO EUROPEU GIZ CHEVRON 15/3 X 1900X 740MM</v>
      </c>
      <c r="I990" s="271"/>
      <c r="J990" s="284"/>
      <c r="K990" s="326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6"/>
      <c r="Z990" s="286"/>
      <c r="AA990" s="286"/>
    </row>
    <row r="991">
      <c r="A991" s="271"/>
      <c r="B991" s="271"/>
      <c r="C991" s="285"/>
      <c r="D991" s="285"/>
      <c r="E991" s="285"/>
      <c r="F991" s="326"/>
      <c r="G991" s="285" t="str">
        <f>IFERROR(__xludf.DUMMYFUNCTION("""COMPUTED_VALUE"""),"DECK 10 CARVALHO EUROPEU GIZ 15/3 X 125 X 1200MM")</f>
        <v>DECK 10 CARVALHO EUROPEU GIZ 15/3 X 125 X 1200MM</v>
      </c>
      <c r="I991" s="271"/>
      <c r="J991" s="284"/>
      <c r="K991" s="326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6"/>
      <c r="Z991" s="286"/>
      <c r="AA991" s="286"/>
    </row>
    <row r="992">
      <c r="A992" s="271"/>
      <c r="B992" s="271"/>
      <c r="C992" s="285"/>
      <c r="D992" s="285"/>
      <c r="E992" s="285"/>
      <c r="F992" s="326"/>
      <c r="G992" s="285" t="str">
        <f>IFERROR(__xludf.DUMMYFUNCTION("""COMPUTED_VALUE"""),"DECK 10 CARVALHO EUROPEU GIZ 15/3 X 190 X 1900MM")</f>
        <v>DECK 10 CARVALHO EUROPEU GIZ 15/3 X 190 X 1900MM</v>
      </c>
      <c r="I992" s="271"/>
      <c r="J992" s="284"/>
      <c r="K992" s="326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6"/>
      <c r="Z992" s="286"/>
      <c r="AA992" s="286"/>
    </row>
    <row r="993">
      <c r="A993" s="271"/>
      <c r="B993" s="271"/>
      <c r="C993" s="285"/>
      <c r="D993" s="285"/>
      <c r="E993" s="285"/>
      <c r="F993" s="326"/>
      <c r="G993" s="285" t="str">
        <f>IFERROR(__xludf.DUMMYFUNCTION("""COMPUTED_VALUE"""),"DECK 10 CARVALHO EUROPEU GIZ 20/6 X 300 X 4000MM")</f>
        <v>DECK 10 CARVALHO EUROPEU GIZ 20/6 X 300 X 4000MM</v>
      </c>
      <c r="I993" s="271"/>
      <c r="J993" s="284"/>
      <c r="K993" s="326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6"/>
      <c r="Z993" s="286"/>
      <c r="AA993" s="286"/>
    </row>
    <row r="994">
      <c r="A994" s="271"/>
      <c r="B994" s="271"/>
      <c r="C994" s="285"/>
      <c r="D994" s="285"/>
      <c r="E994" s="285"/>
      <c r="F994" s="326"/>
      <c r="G994" s="285" t="str">
        <f>IFERROR(__xludf.DUMMYFUNCTION("""COMPUTED_VALUE"""),"DECK 10 CARVALHO EUROPEU GIZ 20/6 X 400 X 5000MM")</f>
        <v>DECK 10 CARVALHO EUROPEU GIZ 20/6 X 400 X 5000MM</v>
      </c>
      <c r="I994" s="271"/>
      <c r="J994" s="284"/>
      <c r="K994" s="326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6"/>
      <c r="Z994" s="286"/>
      <c r="AA994" s="286"/>
    </row>
    <row r="995">
      <c r="A995" s="271"/>
      <c r="B995" s="271"/>
      <c r="C995" s="285"/>
      <c r="D995" s="285"/>
      <c r="E995" s="285"/>
      <c r="F995" s="326"/>
      <c r="G995" s="285" t="str">
        <f>IFERROR(__xludf.DUMMYFUNCTION("""COMPUTED_VALUE"""),"DECK 10 CARVALHO EUROPEU SNOW CHEVRON 15/3 X 1900X 740MM")</f>
        <v>DECK 10 CARVALHO EUROPEU SNOW CHEVRON 15/3 X 1900X 740MM</v>
      </c>
      <c r="I995" s="271"/>
      <c r="J995" s="284"/>
      <c r="K995" s="326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6"/>
      <c r="Z995" s="286"/>
      <c r="AA995" s="286"/>
    </row>
    <row r="996">
      <c r="A996" s="271"/>
      <c r="B996" s="271"/>
      <c r="C996" s="285"/>
      <c r="D996" s="285"/>
      <c r="E996" s="285"/>
      <c r="F996" s="326"/>
      <c r="G996" s="285" t="str">
        <f>IFERROR(__xludf.DUMMYFUNCTION("""COMPUTED_VALUE"""),"DECK 10 CARVALHO EUROPEU SNOW 15/3 X 125 X 1200MM")</f>
        <v>DECK 10 CARVALHO EUROPEU SNOW 15/3 X 125 X 1200MM</v>
      </c>
      <c r="I996" s="271"/>
      <c r="J996" s="284"/>
      <c r="K996" s="326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6"/>
      <c r="Z996" s="286"/>
      <c r="AA996" s="286"/>
    </row>
    <row r="997">
      <c r="A997" s="271"/>
      <c r="B997" s="271"/>
      <c r="C997" s="285"/>
      <c r="D997" s="285"/>
      <c r="E997" s="285"/>
      <c r="F997" s="326"/>
      <c r="G997" s="285" t="str">
        <f>IFERROR(__xludf.DUMMYFUNCTION("""COMPUTED_VALUE"""),"DECK 10 CARVALHO EUROPEU SNOW 15/3 X 190 X 1900MM")</f>
        <v>DECK 10 CARVALHO EUROPEU SNOW 15/3 X 190 X 1900MM</v>
      </c>
      <c r="I997" s="271"/>
      <c r="J997" s="284"/>
      <c r="K997" s="326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6"/>
      <c r="Z997" s="286"/>
      <c r="AA997" s="286"/>
    </row>
    <row r="998">
      <c r="A998" s="271"/>
      <c r="B998" s="271"/>
      <c r="C998" s="285"/>
      <c r="D998" s="285"/>
      <c r="E998" s="285"/>
      <c r="F998" s="326"/>
      <c r="G998" s="285" t="str">
        <f>IFERROR(__xludf.DUMMYFUNCTION("""COMPUTED_VALUE"""),"DECK 10 CARVALHO EUROPEU SNOW 20/6 X 300 X 4000MM")</f>
        <v>DECK 10 CARVALHO EUROPEU SNOW 20/6 X 300 X 4000MM</v>
      </c>
      <c r="I998" s="271"/>
      <c r="J998" s="284"/>
      <c r="K998" s="326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6"/>
      <c r="Z998" s="286"/>
      <c r="AA998" s="286"/>
    </row>
    <row r="999">
      <c r="A999" s="271"/>
      <c r="B999" s="271"/>
      <c r="C999" s="285"/>
      <c r="D999" s="285"/>
      <c r="E999" s="285"/>
      <c r="F999" s="326"/>
      <c r="G999" s="285" t="str">
        <f>IFERROR(__xludf.DUMMYFUNCTION("""COMPUTED_VALUE"""),"DECK 10 CARVALHO EUROPEU SNOW 20/6 X 400 X 5000MM")</f>
        <v>DECK 10 CARVALHO EUROPEU SNOW 20/6 X 400 X 5000MM</v>
      </c>
      <c r="I999" s="271"/>
      <c r="J999" s="284"/>
      <c r="K999" s="326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6"/>
      <c r="Z999" s="286"/>
      <c r="AA999" s="286"/>
    </row>
    <row r="1000">
      <c r="A1000" s="271"/>
      <c r="B1000" s="271"/>
      <c r="C1000" s="285"/>
      <c r="D1000" s="285"/>
      <c r="E1000" s="285"/>
      <c r="F1000" s="326"/>
      <c r="G1000" s="285" t="str">
        <f>IFERROR(__xludf.DUMMYFUNCTION("""COMPUTED_VALUE"""),"DECK 10 CARVALHO EUROPEU WILD CHEVRON 15/3 X 1900X 740MM")</f>
        <v>DECK 10 CARVALHO EUROPEU WILD CHEVRON 15/3 X 1900X 740MM</v>
      </c>
      <c r="I1000" s="271"/>
      <c r="J1000" s="284"/>
      <c r="K1000" s="326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6"/>
      <c r="Z1000" s="286"/>
      <c r="AA1000" s="286"/>
    </row>
    <row r="1001">
      <c r="A1001" s="271"/>
      <c r="B1001" s="271"/>
      <c r="C1001" s="285"/>
      <c r="D1001" s="285"/>
      <c r="E1001" s="285"/>
      <c r="F1001" s="326"/>
      <c r="G1001" s="285" t="str">
        <f>IFERROR(__xludf.DUMMYFUNCTION("""COMPUTED_VALUE"""),"DECK 10 CARVALHO EUROPEU WILD 15/3 X 125 X 1200MM")</f>
        <v>DECK 10 CARVALHO EUROPEU WILD 15/3 X 125 X 1200MM</v>
      </c>
      <c r="I1001" s="271"/>
      <c r="J1001" s="284"/>
      <c r="K1001" s="326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6"/>
      <c r="Z1001" s="286"/>
      <c r="AA1001" s="286"/>
    </row>
    <row r="1002">
      <c r="A1002" s="271"/>
      <c r="B1002" s="271"/>
      <c r="C1002" s="285"/>
      <c r="D1002" s="285"/>
      <c r="E1002" s="285"/>
      <c r="F1002" s="326"/>
      <c r="G1002" s="285" t="str">
        <f>IFERROR(__xludf.DUMMYFUNCTION("""COMPUTED_VALUE"""),"DECK 10 CARVALHO EUROPEU WILD 15/3 X 190 X 1900MM")</f>
        <v>DECK 10 CARVALHO EUROPEU WILD 15/3 X 190 X 1900MM</v>
      </c>
      <c r="I1002" s="271"/>
      <c r="J1002" s="284"/>
      <c r="K1002" s="326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6"/>
      <c r="Z1002" s="286"/>
      <c r="AA1002" s="286"/>
    </row>
    <row r="1003">
      <c r="A1003" s="271"/>
      <c r="B1003" s="271"/>
      <c r="C1003" s="285"/>
      <c r="D1003" s="285"/>
      <c r="E1003" s="285"/>
      <c r="F1003" s="326"/>
      <c r="G1003" s="285" t="str">
        <f>IFERROR(__xludf.DUMMYFUNCTION("""COMPUTED_VALUE"""),"DECK 10 CARVALHO EUROPEU WILD 20/6 X 300 X 4000MM")</f>
        <v>DECK 10 CARVALHO EUROPEU WILD 20/6 X 300 X 4000MM</v>
      </c>
      <c r="I1003" s="271"/>
      <c r="J1003" s="284"/>
      <c r="K1003" s="326"/>
      <c r="L1003" s="285"/>
      <c r="M1003" s="285"/>
      <c r="N1003" s="285"/>
      <c r="O1003" s="285"/>
      <c r="P1003" s="285"/>
      <c r="Q1003" s="285"/>
      <c r="R1003" s="285"/>
      <c r="S1003" s="285"/>
      <c r="T1003" s="285"/>
      <c r="U1003" s="285"/>
      <c r="V1003" s="285"/>
      <c r="W1003" s="285"/>
      <c r="X1003" s="285"/>
      <c r="Y1003" s="286"/>
      <c r="Z1003" s="286"/>
      <c r="AA1003" s="286"/>
    </row>
    <row r="1004">
      <c r="A1004" s="271"/>
      <c r="B1004" s="271"/>
      <c r="C1004" s="285"/>
      <c r="D1004" s="285"/>
      <c r="E1004" s="285"/>
      <c r="F1004" s="326"/>
      <c r="G1004" s="285" t="str">
        <f>IFERROR(__xludf.DUMMYFUNCTION("""COMPUTED_VALUE"""),"DECK 10 CARVALHO EUROPEU WILD 20/6 X 400 X 5000MM")</f>
        <v>DECK 10 CARVALHO EUROPEU WILD 20/6 X 400 X 5000MM</v>
      </c>
      <c r="I1004" s="271"/>
      <c r="J1004" s="284"/>
      <c r="K1004" s="326"/>
      <c r="L1004" s="285"/>
      <c r="M1004" s="285"/>
      <c r="N1004" s="285"/>
      <c r="O1004" s="285"/>
      <c r="P1004" s="285"/>
      <c r="Q1004" s="285"/>
      <c r="R1004" s="285"/>
      <c r="S1004" s="285"/>
      <c r="T1004" s="285"/>
      <c r="U1004" s="285"/>
      <c r="V1004" s="285"/>
      <c r="W1004" s="285"/>
      <c r="X1004" s="285"/>
      <c r="Y1004" s="286"/>
      <c r="Z1004" s="286"/>
      <c r="AA1004" s="286"/>
    </row>
    <row r="1005">
      <c r="A1005" s="271"/>
      <c r="B1005" s="271"/>
      <c r="C1005" s="285"/>
      <c r="D1005" s="285"/>
      <c r="E1005" s="285"/>
      <c r="F1005" s="326"/>
      <c r="G1005" s="285" t="str">
        <f>IFERROR(__xludf.DUMMYFUNCTION("""COMPUTED_VALUE"""),"DECK 10 CARVALHO EUROPEU NEVADO CHEVRON 15/3 X 1900X 740MM")</f>
        <v>DECK 10 CARVALHO EUROPEU NEVADO CHEVRON 15/3 X 1900X 740MM</v>
      </c>
      <c r="I1005" s="271"/>
      <c r="J1005" s="284"/>
      <c r="K1005" s="326"/>
      <c r="L1005" s="285"/>
      <c r="M1005" s="285"/>
      <c r="N1005" s="285"/>
      <c r="O1005" s="285"/>
      <c r="P1005" s="285"/>
      <c r="Q1005" s="285"/>
      <c r="R1005" s="285"/>
      <c r="S1005" s="285"/>
      <c r="T1005" s="285"/>
      <c r="U1005" s="285"/>
      <c r="V1005" s="285"/>
      <c r="W1005" s="285"/>
      <c r="X1005" s="285"/>
      <c r="Y1005" s="286"/>
      <c r="Z1005" s="286"/>
      <c r="AA1005" s="286"/>
    </row>
    <row r="1006">
      <c r="A1006" s="271"/>
      <c r="B1006" s="271"/>
      <c r="C1006" s="285"/>
      <c r="D1006" s="285"/>
      <c r="E1006" s="285"/>
      <c r="F1006" s="326"/>
      <c r="G1006" s="285" t="str">
        <f>IFERROR(__xludf.DUMMYFUNCTION("""COMPUTED_VALUE"""),"DECK 10 CARVALHO EUROPEU NEVADO 15/3 X 125 X 1200MM")</f>
        <v>DECK 10 CARVALHO EUROPEU NEVADO 15/3 X 125 X 1200MM</v>
      </c>
      <c r="I1006" s="271"/>
      <c r="J1006" s="284"/>
      <c r="K1006" s="326"/>
      <c r="L1006" s="285"/>
      <c r="M1006" s="285"/>
      <c r="N1006" s="285"/>
      <c r="O1006" s="285"/>
      <c r="P1006" s="285"/>
      <c r="Q1006" s="285"/>
      <c r="R1006" s="285"/>
      <c r="S1006" s="285"/>
      <c r="T1006" s="285"/>
      <c r="U1006" s="285"/>
      <c r="V1006" s="285"/>
      <c r="W1006" s="285"/>
      <c r="X1006" s="285"/>
      <c r="Y1006" s="286"/>
      <c r="Z1006" s="286"/>
      <c r="AA1006" s="286"/>
    </row>
    <row r="1007">
      <c r="A1007" s="271"/>
      <c r="B1007" s="271"/>
      <c r="C1007" s="285"/>
      <c r="D1007" s="285"/>
      <c r="E1007" s="285"/>
      <c r="F1007" s="326"/>
      <c r="G1007" s="285" t="str">
        <f>IFERROR(__xludf.DUMMYFUNCTION("""COMPUTED_VALUE"""),"DECK 10 CARVALHO EUROPEU NEVADO 15/3 X 190 X 1900MM")</f>
        <v>DECK 10 CARVALHO EUROPEU NEVADO 15/3 X 190 X 1900MM</v>
      </c>
      <c r="I1007" s="271"/>
      <c r="J1007" s="284"/>
      <c r="K1007" s="326"/>
      <c r="L1007" s="285"/>
      <c r="M1007" s="285"/>
      <c r="N1007" s="285"/>
      <c r="O1007" s="285"/>
      <c r="P1007" s="285"/>
      <c r="Q1007" s="285"/>
      <c r="R1007" s="285"/>
      <c r="S1007" s="285"/>
      <c r="T1007" s="285"/>
      <c r="U1007" s="285"/>
      <c r="V1007" s="285"/>
      <c r="W1007" s="285"/>
      <c r="X1007" s="285"/>
      <c r="Y1007" s="286"/>
      <c r="Z1007" s="286"/>
      <c r="AA1007" s="286"/>
    </row>
    <row r="1008">
      <c r="A1008" s="271"/>
      <c r="B1008" s="271"/>
      <c r="C1008" s="285"/>
      <c r="D1008" s="285"/>
      <c r="E1008" s="285"/>
      <c r="F1008" s="326"/>
      <c r="G1008" s="285" t="str">
        <f>IFERROR(__xludf.DUMMYFUNCTION("""COMPUTED_VALUE"""),"DECK 10 CARVALHO EUROPEU NEVADO 20/6 X 300 X 4000MM")</f>
        <v>DECK 10 CARVALHO EUROPEU NEVADO 20/6 X 300 X 4000MM</v>
      </c>
      <c r="I1008" s="271"/>
      <c r="J1008" s="284"/>
      <c r="K1008" s="326"/>
      <c r="L1008" s="285"/>
      <c r="M1008" s="285"/>
      <c r="N1008" s="285"/>
      <c r="O1008" s="285"/>
      <c r="P1008" s="285"/>
      <c r="Q1008" s="285"/>
      <c r="R1008" s="285"/>
      <c r="S1008" s="285"/>
      <c r="T1008" s="285"/>
      <c r="U1008" s="285"/>
      <c r="V1008" s="285"/>
      <c r="W1008" s="285"/>
      <c r="X1008" s="285"/>
      <c r="Y1008" s="286"/>
      <c r="Z1008" s="286"/>
      <c r="AA1008" s="286"/>
    </row>
    <row r="1009">
      <c r="A1009" s="271"/>
      <c r="B1009" s="271"/>
      <c r="C1009" s="285"/>
      <c r="D1009" s="285"/>
      <c r="E1009" s="285"/>
      <c r="F1009" s="326"/>
      <c r="G1009" s="285" t="str">
        <f>IFERROR(__xludf.DUMMYFUNCTION("""COMPUTED_VALUE"""),"DECK 10 CARVALHO EUROPEU NEVADO 20/6 X 400 X 5000MM")</f>
        <v>DECK 10 CARVALHO EUROPEU NEVADO 20/6 X 400 X 5000MM</v>
      </c>
      <c r="I1009" s="271"/>
      <c r="J1009" s="284"/>
      <c r="K1009" s="326"/>
      <c r="L1009" s="285"/>
      <c r="M1009" s="285"/>
      <c r="N1009" s="285"/>
      <c r="O1009" s="285"/>
      <c r="P1009" s="285"/>
      <c r="Q1009" s="285"/>
      <c r="R1009" s="285"/>
      <c r="S1009" s="285"/>
      <c r="T1009" s="285"/>
      <c r="U1009" s="285"/>
      <c r="V1009" s="285"/>
      <c r="W1009" s="285"/>
      <c r="X1009" s="285"/>
      <c r="Y1009" s="286"/>
      <c r="Z1009" s="286"/>
      <c r="AA1009" s="286"/>
    </row>
    <row r="1010">
      <c r="A1010" s="271"/>
      <c r="B1010" s="271"/>
      <c r="C1010" s="285"/>
      <c r="D1010" s="285"/>
      <c r="E1010" s="285"/>
      <c r="F1010" s="326"/>
      <c r="G1010" s="285" t="str">
        <f>IFERROR(__xludf.DUMMYFUNCTION("""COMPUTED_VALUE"""),"DECK 10 CARVALHO EUROPEU CONCRETE GREY CHEVRON 15/3 X 1900X 740MM")</f>
        <v>DECK 10 CARVALHO EUROPEU CONCRETE GREY CHEVRON 15/3 X 1900X 740MM</v>
      </c>
      <c r="I1010" s="271"/>
      <c r="J1010" s="284"/>
      <c r="K1010" s="326"/>
      <c r="L1010" s="285"/>
      <c r="M1010" s="285"/>
      <c r="N1010" s="285"/>
      <c r="O1010" s="285"/>
      <c r="P1010" s="285"/>
      <c r="Q1010" s="285"/>
      <c r="R1010" s="285"/>
      <c r="S1010" s="285"/>
      <c r="T1010" s="285"/>
      <c r="U1010" s="285"/>
      <c r="V1010" s="285"/>
      <c r="W1010" s="285"/>
      <c r="X1010" s="285"/>
      <c r="Y1010" s="286"/>
      <c r="Z1010" s="286"/>
      <c r="AA1010" s="286"/>
    </row>
    <row r="1011">
      <c r="A1011" s="271"/>
      <c r="B1011" s="271"/>
      <c r="C1011" s="285"/>
      <c r="D1011" s="285"/>
      <c r="E1011" s="285"/>
      <c r="F1011" s="326"/>
      <c r="G1011" s="285" t="str">
        <f>IFERROR(__xludf.DUMMYFUNCTION("""COMPUTED_VALUE"""),"DECK 10 CARVALHO EUROPEU CONCRETE GREY 15/3 X 125 X 1200MM")</f>
        <v>DECK 10 CARVALHO EUROPEU CONCRETE GREY 15/3 X 125 X 1200MM</v>
      </c>
      <c r="I1011" s="271"/>
      <c r="J1011" s="284"/>
      <c r="K1011" s="326"/>
      <c r="L1011" s="285"/>
      <c r="M1011" s="285"/>
      <c r="N1011" s="285"/>
      <c r="O1011" s="285"/>
      <c r="P1011" s="285"/>
      <c r="Q1011" s="285"/>
      <c r="R1011" s="285"/>
      <c r="S1011" s="285"/>
      <c r="T1011" s="285"/>
      <c r="U1011" s="285"/>
      <c r="V1011" s="285"/>
      <c r="W1011" s="285"/>
      <c r="X1011" s="285"/>
      <c r="Y1011" s="286"/>
      <c r="Z1011" s="286"/>
      <c r="AA1011" s="286"/>
    </row>
    <row r="1012">
      <c r="A1012" s="271"/>
      <c r="B1012" s="271"/>
      <c r="C1012" s="285"/>
      <c r="D1012" s="285"/>
      <c r="E1012" s="285"/>
      <c r="F1012" s="326"/>
      <c r="G1012" s="285" t="str">
        <f>IFERROR(__xludf.DUMMYFUNCTION("""COMPUTED_VALUE"""),"DECK 10 CARVALHO EUROPEU CONCRETE GREY 15/3 X 190 X 1900MM")</f>
        <v>DECK 10 CARVALHO EUROPEU CONCRETE GREY 15/3 X 190 X 1900MM</v>
      </c>
      <c r="I1012" s="271"/>
      <c r="J1012" s="284"/>
      <c r="K1012" s="326"/>
      <c r="L1012" s="285"/>
      <c r="M1012" s="285"/>
      <c r="N1012" s="285"/>
      <c r="O1012" s="285"/>
      <c r="P1012" s="285"/>
      <c r="Q1012" s="285"/>
      <c r="R1012" s="285"/>
      <c r="S1012" s="285"/>
      <c r="T1012" s="285"/>
      <c r="U1012" s="285"/>
      <c r="V1012" s="285"/>
      <c r="W1012" s="285"/>
      <c r="X1012" s="285"/>
      <c r="Y1012" s="286"/>
      <c r="Z1012" s="286"/>
      <c r="AA1012" s="286"/>
    </row>
    <row r="1013">
      <c r="A1013" s="271"/>
      <c r="B1013" s="271"/>
      <c r="C1013" s="285"/>
      <c r="D1013" s="285"/>
      <c r="E1013" s="285"/>
      <c r="F1013" s="326"/>
      <c r="G1013" s="285" t="str">
        <f>IFERROR(__xludf.DUMMYFUNCTION("""COMPUTED_VALUE"""),"DECK 10 CARVALHO EUROPEU CONCRETE GREY 20/6 X 300 X 4000MM")</f>
        <v>DECK 10 CARVALHO EUROPEU CONCRETE GREY 20/6 X 300 X 4000MM</v>
      </c>
      <c r="I1013" s="271"/>
      <c r="J1013" s="284"/>
      <c r="K1013" s="326"/>
      <c r="L1013" s="285"/>
      <c r="M1013" s="285"/>
      <c r="N1013" s="285"/>
      <c r="O1013" s="285"/>
      <c r="P1013" s="285"/>
      <c r="Q1013" s="285"/>
      <c r="R1013" s="285"/>
      <c r="S1013" s="285"/>
      <c r="T1013" s="285"/>
      <c r="U1013" s="285"/>
      <c r="V1013" s="285"/>
      <c r="W1013" s="285"/>
      <c r="X1013" s="285"/>
      <c r="Y1013" s="286"/>
      <c r="Z1013" s="286"/>
      <c r="AA1013" s="286"/>
    </row>
    <row r="1014">
      <c r="A1014" s="271"/>
      <c r="B1014" s="271"/>
      <c r="C1014" s="285"/>
      <c r="D1014" s="285"/>
      <c r="E1014" s="285"/>
      <c r="F1014" s="326"/>
      <c r="G1014" s="285" t="str">
        <f>IFERROR(__xludf.DUMMYFUNCTION("""COMPUTED_VALUE"""),"DECK 10 CARVALHO EUROPEU CONCRETE GREY 20/6 X 400 X 5000MM")</f>
        <v>DECK 10 CARVALHO EUROPEU CONCRETE GREY 20/6 X 400 X 5000MM</v>
      </c>
      <c r="I1014" s="271"/>
      <c r="J1014" s="284"/>
      <c r="K1014" s="326"/>
      <c r="L1014" s="285"/>
      <c r="M1014" s="285"/>
      <c r="N1014" s="285"/>
      <c r="O1014" s="285"/>
      <c r="P1014" s="285"/>
      <c r="Q1014" s="285"/>
      <c r="R1014" s="285"/>
      <c r="S1014" s="285"/>
      <c r="T1014" s="285"/>
      <c r="U1014" s="285"/>
      <c r="V1014" s="285"/>
      <c r="W1014" s="285"/>
      <c r="X1014" s="285"/>
      <c r="Y1014" s="286"/>
      <c r="Z1014" s="286"/>
      <c r="AA1014" s="286"/>
    </row>
    <row r="1015">
      <c r="A1015" s="271"/>
      <c r="B1015" s="271"/>
      <c r="C1015" s="285"/>
      <c r="D1015" s="285"/>
      <c r="E1015" s="285"/>
      <c r="F1015" s="326"/>
      <c r="G1015" s="285" t="str">
        <f>IFERROR(__xludf.DUMMYFUNCTION("""COMPUTED_VALUE"""),"DECK 10 CARVALHO EUROPEU ITALY BROWN CHEVRON 15/3 X 1900X 740MM")</f>
        <v>DECK 10 CARVALHO EUROPEU ITALY BROWN CHEVRON 15/3 X 1900X 740MM</v>
      </c>
      <c r="I1015" s="271"/>
      <c r="J1015" s="284"/>
      <c r="K1015" s="326"/>
      <c r="L1015" s="285"/>
      <c r="M1015" s="285"/>
      <c r="N1015" s="285"/>
      <c r="O1015" s="285"/>
      <c r="P1015" s="285"/>
      <c r="Q1015" s="285"/>
      <c r="R1015" s="285"/>
      <c r="S1015" s="285"/>
      <c r="T1015" s="285"/>
      <c r="U1015" s="285"/>
      <c r="V1015" s="285"/>
      <c r="W1015" s="285"/>
      <c r="X1015" s="285"/>
      <c r="Y1015" s="286"/>
      <c r="Z1015" s="286"/>
      <c r="AA1015" s="286"/>
    </row>
    <row r="1016">
      <c r="A1016" s="271"/>
      <c r="B1016" s="271"/>
      <c r="C1016" s="285"/>
      <c r="D1016" s="285"/>
      <c r="E1016" s="285"/>
      <c r="F1016" s="326"/>
      <c r="G1016" s="285" t="str">
        <f>IFERROR(__xludf.DUMMYFUNCTION("""COMPUTED_VALUE"""),"DECK 10 CARVALHO EUROPEU ITALY BROWN 15/3 X 125 X 1200MM")</f>
        <v>DECK 10 CARVALHO EUROPEU ITALY BROWN 15/3 X 125 X 1200MM</v>
      </c>
      <c r="I1016" s="271"/>
      <c r="J1016" s="284"/>
      <c r="K1016" s="326"/>
      <c r="L1016" s="285"/>
      <c r="M1016" s="285"/>
      <c r="N1016" s="285"/>
      <c r="O1016" s="285"/>
      <c r="P1016" s="285"/>
      <c r="Q1016" s="285"/>
      <c r="R1016" s="285"/>
      <c r="S1016" s="285"/>
      <c r="T1016" s="285"/>
      <c r="U1016" s="285"/>
      <c r="V1016" s="285"/>
      <c r="W1016" s="285"/>
      <c r="X1016" s="285"/>
      <c r="Y1016" s="286"/>
      <c r="Z1016" s="286"/>
      <c r="AA1016" s="286"/>
    </row>
    <row r="1017">
      <c r="A1017" s="271"/>
      <c r="B1017" s="271"/>
      <c r="C1017" s="285"/>
      <c r="D1017" s="285"/>
      <c r="E1017" s="285"/>
      <c r="F1017" s="326"/>
      <c r="G1017" s="285" t="str">
        <f>IFERROR(__xludf.DUMMYFUNCTION("""COMPUTED_VALUE"""),"DECK 10 CARVALHO EUROPEU ITALY BROWN 15/3 X 190 X 1900MM")</f>
        <v>DECK 10 CARVALHO EUROPEU ITALY BROWN 15/3 X 190 X 1900MM</v>
      </c>
      <c r="I1017" s="271"/>
      <c r="J1017" s="284"/>
      <c r="K1017" s="326"/>
      <c r="L1017" s="285"/>
      <c r="M1017" s="285"/>
      <c r="N1017" s="285"/>
      <c r="O1017" s="285"/>
      <c r="P1017" s="285"/>
      <c r="Q1017" s="285"/>
      <c r="R1017" s="285"/>
      <c r="S1017" s="285"/>
      <c r="T1017" s="285"/>
      <c r="U1017" s="285"/>
      <c r="V1017" s="285"/>
      <c r="W1017" s="285"/>
      <c r="X1017" s="285"/>
      <c r="Y1017" s="286"/>
      <c r="Z1017" s="286"/>
      <c r="AA1017" s="286"/>
    </row>
    <row r="1018">
      <c r="A1018" s="327"/>
      <c r="B1018" s="245"/>
      <c r="C1018" s="286"/>
      <c r="D1018" s="328"/>
      <c r="E1018" s="286"/>
      <c r="F1018" s="329"/>
      <c r="G1018" s="286" t="str">
        <f>IFERROR(__xludf.DUMMYFUNCTION("""COMPUTED_VALUE"""),"DECK 10 CARVALHO EUROPEU ITALY BROWN 20/6 X 300 X 4000MM")</f>
        <v>DECK 10 CARVALHO EUROPEU ITALY BROWN 20/6 X 300 X 4000MM</v>
      </c>
      <c r="I1018" s="271"/>
      <c r="J1018" s="330"/>
      <c r="K1018" s="329"/>
      <c r="L1018" s="286"/>
      <c r="M1018" s="286"/>
      <c r="N1018" s="286"/>
      <c r="O1018" s="286"/>
      <c r="P1018" s="286"/>
      <c r="Q1018" s="286"/>
      <c r="R1018" s="286"/>
      <c r="S1018" s="286"/>
      <c r="T1018" s="286"/>
      <c r="U1018" s="286"/>
      <c r="V1018" s="286"/>
      <c r="W1018" s="286"/>
      <c r="X1018" s="286"/>
      <c r="Y1018" s="286"/>
      <c r="Z1018" s="286"/>
      <c r="AA1018" s="286"/>
    </row>
    <row r="1019">
      <c r="A1019" s="327"/>
      <c r="B1019" s="245"/>
      <c r="C1019" s="286"/>
      <c r="D1019" s="328"/>
      <c r="E1019" s="286"/>
      <c r="F1019" s="329"/>
      <c r="G1019" s="286" t="str">
        <f>IFERROR(__xludf.DUMMYFUNCTION("""COMPUTED_VALUE"""),"DECK 10 CARVALHO EUROPEU ITALY BROWN 20/6 X 400 X 5000MM")</f>
        <v>DECK 10 CARVALHO EUROPEU ITALY BROWN 20/6 X 400 X 5000MM</v>
      </c>
      <c r="I1019" s="271"/>
      <c r="J1019" s="330"/>
      <c r="K1019" s="329"/>
      <c r="L1019" s="286"/>
      <c r="M1019" s="286"/>
      <c r="N1019" s="286"/>
      <c r="O1019" s="286"/>
      <c r="P1019" s="286"/>
      <c r="Q1019" s="286"/>
      <c r="R1019" s="286"/>
      <c r="S1019" s="286"/>
      <c r="T1019" s="286"/>
      <c r="U1019" s="286"/>
      <c r="V1019" s="286"/>
      <c r="W1019" s="286"/>
      <c r="X1019" s="286"/>
      <c r="Y1019" s="286"/>
      <c r="Z1019" s="286"/>
      <c r="AA1019" s="286"/>
    </row>
    <row r="1020">
      <c r="A1020" s="327"/>
      <c r="B1020" s="245"/>
      <c r="C1020" s="286"/>
      <c r="D1020" s="328"/>
      <c r="E1020" s="286"/>
      <c r="F1020" s="329"/>
      <c r="G1020" s="286" t="str">
        <f>IFERROR(__xludf.DUMMYFUNCTION("""COMPUTED_VALUE"""),"DECK 10 CARVALHO EUROPEU ALL BLACK CHEVRON 15/3 X 1900X 740MM")</f>
        <v>DECK 10 CARVALHO EUROPEU ALL BLACK CHEVRON 15/3 X 1900X 740MM</v>
      </c>
      <c r="I1020" s="271"/>
      <c r="J1020" s="330"/>
      <c r="K1020" s="329"/>
      <c r="L1020" s="286"/>
      <c r="M1020" s="286"/>
      <c r="N1020" s="286"/>
      <c r="O1020" s="286"/>
      <c r="P1020" s="286"/>
      <c r="Q1020" s="286"/>
      <c r="R1020" s="286"/>
      <c r="S1020" s="286"/>
      <c r="T1020" s="286"/>
      <c r="U1020" s="286"/>
      <c r="V1020" s="286"/>
      <c r="W1020" s="286"/>
      <c r="X1020" s="286"/>
      <c r="Y1020" s="286"/>
      <c r="Z1020" s="286"/>
      <c r="AA1020" s="286"/>
    </row>
    <row r="1021">
      <c r="A1021" s="327"/>
      <c r="B1021" s="245"/>
      <c r="C1021" s="286"/>
      <c r="D1021" s="328"/>
      <c r="E1021" s="286"/>
      <c r="F1021" s="329"/>
      <c r="G1021" s="286" t="str">
        <f>IFERROR(__xludf.DUMMYFUNCTION("""COMPUTED_VALUE"""),"DECK 10 CARVALHO EUROPEU ALL BLACK 15/3 X 125 X 1200MM")</f>
        <v>DECK 10 CARVALHO EUROPEU ALL BLACK 15/3 X 125 X 1200MM</v>
      </c>
      <c r="I1021" s="271"/>
      <c r="J1021" s="330"/>
      <c r="K1021" s="329"/>
      <c r="L1021" s="286"/>
      <c r="M1021" s="286"/>
      <c r="N1021" s="286"/>
      <c r="O1021" s="286"/>
      <c r="P1021" s="286"/>
      <c r="Q1021" s="286"/>
      <c r="R1021" s="286"/>
      <c r="S1021" s="286"/>
      <c r="T1021" s="286"/>
      <c r="U1021" s="286"/>
      <c r="V1021" s="286"/>
      <c r="W1021" s="286"/>
      <c r="X1021" s="286"/>
      <c r="Y1021" s="286"/>
      <c r="Z1021" s="286"/>
      <c r="AA1021" s="286"/>
    </row>
    <row r="1022">
      <c r="A1022" s="327"/>
      <c r="B1022" s="245"/>
      <c r="C1022" s="286"/>
      <c r="D1022" s="328"/>
      <c r="E1022" s="286"/>
      <c r="F1022" s="329"/>
      <c r="G1022" s="286" t="str">
        <f>IFERROR(__xludf.DUMMYFUNCTION("""COMPUTED_VALUE"""),"DECK 10 CARVALHO EUROPEU BLACK CHEVRON TG 15/3 X 125 X 775CM")</f>
        <v>DECK 10 CARVALHO EUROPEU BLACK CHEVRON TG 15/3 X 125 X 775CM</v>
      </c>
      <c r="I1022" s="271"/>
      <c r="J1022" s="330"/>
      <c r="K1022" s="329"/>
      <c r="L1022" s="286"/>
      <c r="M1022" s="286"/>
      <c r="N1022" s="286"/>
      <c r="O1022" s="286"/>
      <c r="P1022" s="286"/>
      <c r="Q1022" s="286"/>
      <c r="R1022" s="286"/>
      <c r="S1022" s="286"/>
      <c r="T1022" s="286"/>
      <c r="U1022" s="286"/>
      <c r="V1022" s="286"/>
      <c r="W1022" s="286"/>
      <c r="X1022" s="286"/>
      <c r="Y1022" s="286"/>
      <c r="Z1022" s="286"/>
      <c r="AA1022" s="286"/>
    </row>
    <row r="1023">
      <c r="A1023" s="327"/>
      <c r="B1023" s="245"/>
      <c r="C1023" s="286"/>
      <c r="D1023" s="328"/>
      <c r="E1023" s="286"/>
      <c r="F1023" s="329"/>
      <c r="G1023" s="286" t="str">
        <f>IFERROR(__xludf.DUMMYFUNCTION("""COMPUTED_VALUE"""),"DECK 10 CARVALHO EUROPEU ALL BLACK 15/3 X 190 X 1900MM")</f>
        <v>DECK 10 CARVALHO EUROPEU ALL BLACK 15/3 X 190 X 1900MM</v>
      </c>
      <c r="I1023" s="271"/>
      <c r="J1023" s="330"/>
      <c r="K1023" s="329"/>
      <c r="L1023" s="286"/>
      <c r="M1023" s="286"/>
      <c r="N1023" s="286"/>
      <c r="O1023" s="286"/>
      <c r="P1023" s="286"/>
      <c r="Q1023" s="286"/>
      <c r="R1023" s="286"/>
      <c r="S1023" s="286"/>
      <c r="T1023" s="286"/>
      <c r="U1023" s="286"/>
      <c r="V1023" s="286"/>
      <c r="W1023" s="286"/>
      <c r="X1023" s="286"/>
      <c r="Y1023" s="286"/>
      <c r="Z1023" s="286"/>
      <c r="AA1023" s="286"/>
    </row>
    <row r="1024">
      <c r="A1024" s="327"/>
      <c r="B1024" s="245"/>
      <c r="C1024" s="286"/>
      <c r="D1024" s="328"/>
      <c r="E1024" s="286"/>
      <c r="F1024" s="329"/>
      <c r="G1024" s="286" t="str">
        <f>IFERROR(__xludf.DUMMYFUNCTION("""COMPUTED_VALUE"""),"DECK 10 CARVALHO EUROPEU ALL BLACK 20/6 X 300 X 4000MM")</f>
        <v>DECK 10 CARVALHO EUROPEU ALL BLACK 20/6 X 300 X 4000MM</v>
      </c>
      <c r="I1024" s="271"/>
      <c r="J1024" s="330"/>
      <c r="K1024" s="329"/>
      <c r="L1024" s="286"/>
      <c r="M1024" s="286"/>
      <c r="N1024" s="286"/>
      <c r="O1024" s="286"/>
      <c r="P1024" s="286"/>
      <c r="Q1024" s="286"/>
      <c r="R1024" s="286"/>
      <c r="S1024" s="286"/>
      <c r="T1024" s="286"/>
      <c r="U1024" s="286"/>
      <c r="V1024" s="286"/>
      <c r="W1024" s="286"/>
      <c r="X1024" s="286"/>
      <c r="Y1024" s="286"/>
      <c r="Z1024" s="286"/>
      <c r="AA1024" s="286"/>
    </row>
    <row r="1025">
      <c r="A1025" s="327"/>
      <c r="B1025" s="245"/>
      <c r="C1025" s="286"/>
      <c r="D1025" s="328"/>
      <c r="E1025" s="286"/>
      <c r="F1025" s="329"/>
      <c r="G1025" s="286" t="str">
        <f>IFERROR(__xludf.DUMMYFUNCTION("""COMPUTED_VALUE"""),"DECK 10 CARVALHO EUROPEU ALL BLACK 20/6 X 400 X 5000MM")</f>
        <v>DECK 10 CARVALHO EUROPEU ALL BLACK 20/6 X 400 X 5000MM</v>
      </c>
      <c r="I1025" s="271"/>
      <c r="J1025" s="330"/>
      <c r="K1025" s="329"/>
      <c r="L1025" s="286"/>
      <c r="M1025" s="286"/>
      <c r="N1025" s="286"/>
      <c r="O1025" s="286"/>
      <c r="P1025" s="286"/>
      <c r="Q1025" s="286"/>
      <c r="R1025" s="286"/>
      <c r="S1025" s="286"/>
      <c r="T1025" s="286"/>
      <c r="U1025" s="286"/>
      <c r="V1025" s="286"/>
      <c r="W1025" s="286"/>
      <c r="X1025" s="286"/>
      <c r="Y1025" s="286"/>
      <c r="Z1025" s="286"/>
      <c r="AA1025" s="286"/>
    </row>
    <row r="1026">
      <c r="A1026" s="327"/>
      <c r="B1026" s="245"/>
      <c r="C1026" s="286"/>
      <c r="D1026" s="328"/>
      <c r="E1026" s="286"/>
      <c r="F1026" s="329"/>
      <c r="G1026" s="286" t="str">
        <f>IFERROR(__xludf.DUMMYFUNCTION("""COMPUTED_VALUE"""),"DECK 10 CARVALHO EUROPEU URBAN GREY CHEVRON 15/3 X 1900X 740MM")</f>
        <v>DECK 10 CARVALHO EUROPEU URBAN GREY CHEVRON 15/3 X 1900X 740MM</v>
      </c>
      <c r="I1026" s="271"/>
      <c r="J1026" s="330"/>
      <c r="K1026" s="329"/>
      <c r="L1026" s="286"/>
      <c r="M1026" s="286"/>
      <c r="N1026" s="286"/>
      <c r="O1026" s="286"/>
      <c r="P1026" s="286"/>
      <c r="Q1026" s="286"/>
      <c r="R1026" s="286"/>
      <c r="S1026" s="286"/>
      <c r="T1026" s="286"/>
      <c r="U1026" s="286"/>
      <c r="V1026" s="286"/>
      <c r="W1026" s="286"/>
      <c r="X1026" s="286"/>
      <c r="Y1026" s="286"/>
      <c r="Z1026" s="286"/>
      <c r="AA1026" s="286"/>
    </row>
    <row r="1027">
      <c r="A1027" s="327"/>
      <c r="B1027" s="245"/>
      <c r="C1027" s="286"/>
      <c r="D1027" s="328"/>
      <c r="E1027" s="286"/>
      <c r="F1027" s="329"/>
      <c r="G1027" s="286" t="str">
        <f>IFERROR(__xludf.DUMMYFUNCTION("""COMPUTED_VALUE"""),"DECK 10 CARVALHO EUROPEU URBAN GREY 15/3 X 125 X 1200MM")</f>
        <v>DECK 10 CARVALHO EUROPEU URBAN GREY 15/3 X 125 X 1200MM</v>
      </c>
      <c r="I1027" s="271"/>
      <c r="J1027" s="330"/>
      <c r="K1027" s="329"/>
      <c r="L1027" s="286"/>
      <c r="M1027" s="286"/>
      <c r="N1027" s="286"/>
      <c r="O1027" s="286"/>
      <c r="P1027" s="286"/>
      <c r="Q1027" s="286"/>
      <c r="R1027" s="286"/>
      <c r="S1027" s="286"/>
      <c r="T1027" s="286"/>
      <c r="U1027" s="286"/>
      <c r="V1027" s="286"/>
      <c r="W1027" s="286"/>
      <c r="X1027" s="286"/>
      <c r="Y1027" s="286"/>
      <c r="Z1027" s="286"/>
      <c r="AA1027" s="286"/>
    </row>
    <row r="1028">
      <c r="A1028" s="327"/>
      <c r="B1028" s="245"/>
      <c r="C1028" s="286"/>
      <c r="D1028" s="328"/>
      <c r="E1028" s="286"/>
      <c r="F1028" s="329"/>
      <c r="G1028" s="286" t="str">
        <f>IFERROR(__xludf.DUMMYFUNCTION("""COMPUTED_VALUE"""),"DECK 10 CARVALHO EUROPEU URBAN GREY 15/3 X 190 X 1900MM")</f>
        <v>DECK 10 CARVALHO EUROPEU URBAN GREY 15/3 X 190 X 1900MM</v>
      </c>
      <c r="I1028" s="271"/>
      <c r="J1028" s="330"/>
      <c r="K1028" s="329"/>
      <c r="L1028" s="286"/>
      <c r="M1028" s="286"/>
      <c r="N1028" s="286"/>
      <c r="O1028" s="286"/>
      <c r="P1028" s="286"/>
      <c r="Q1028" s="286"/>
      <c r="R1028" s="286"/>
      <c r="S1028" s="286"/>
      <c r="T1028" s="286"/>
      <c r="U1028" s="286"/>
      <c r="V1028" s="286"/>
      <c r="W1028" s="286"/>
      <c r="X1028" s="286"/>
      <c r="Y1028" s="286"/>
      <c r="Z1028" s="286"/>
      <c r="AA1028" s="286"/>
    </row>
    <row r="1029">
      <c r="A1029" s="327"/>
      <c r="B1029" s="245"/>
      <c r="C1029" s="286"/>
      <c r="D1029" s="328"/>
      <c r="E1029" s="286"/>
      <c r="F1029" s="329"/>
      <c r="G1029" s="286" t="str">
        <f>IFERROR(__xludf.DUMMYFUNCTION("""COMPUTED_VALUE"""),"DECK 10 CARVALHO EUROPEU URBAN GREY 20/6 X 300 X 4000MM")</f>
        <v>DECK 10 CARVALHO EUROPEU URBAN GREY 20/6 X 300 X 4000MM</v>
      </c>
      <c r="I1029" s="271"/>
      <c r="J1029" s="330"/>
      <c r="K1029" s="329"/>
      <c r="L1029" s="286"/>
      <c r="M1029" s="286"/>
      <c r="N1029" s="286"/>
      <c r="O1029" s="286"/>
      <c r="P1029" s="286"/>
      <c r="Q1029" s="286"/>
      <c r="R1029" s="286"/>
      <c r="S1029" s="286"/>
      <c r="T1029" s="286"/>
      <c r="U1029" s="286"/>
      <c r="V1029" s="286"/>
      <c r="W1029" s="286"/>
      <c r="X1029" s="286"/>
      <c r="Y1029" s="286"/>
      <c r="Z1029" s="286"/>
      <c r="AA1029" s="286"/>
    </row>
    <row r="1030">
      <c r="A1030" s="327"/>
      <c r="B1030" s="245"/>
      <c r="C1030" s="286"/>
      <c r="D1030" s="328"/>
      <c r="E1030" s="286"/>
      <c r="F1030" s="329"/>
      <c r="G1030" s="286" t="str">
        <f>IFERROR(__xludf.DUMMYFUNCTION("""COMPUTED_VALUE"""),"DECK 10 CARVALHO EUROPEU URBAN GREY 20/6 X 400 X 5000MM")</f>
        <v>DECK 10 CARVALHO EUROPEU URBAN GREY 20/6 X 400 X 5000MM</v>
      </c>
      <c r="I1030" s="271"/>
      <c r="J1030" s="330"/>
      <c r="K1030" s="329"/>
      <c r="L1030" s="286"/>
      <c r="M1030" s="286"/>
      <c r="N1030" s="286"/>
      <c r="O1030" s="286"/>
      <c r="P1030" s="286"/>
      <c r="Q1030" s="286"/>
      <c r="R1030" s="286"/>
      <c r="S1030" s="286"/>
      <c r="T1030" s="286"/>
      <c r="U1030" s="286"/>
      <c r="V1030" s="286"/>
      <c r="W1030" s="286"/>
      <c r="X1030" s="286"/>
      <c r="Y1030" s="286"/>
      <c r="Z1030" s="286"/>
      <c r="AA1030" s="286"/>
    </row>
    <row r="1031">
      <c r="A1031" s="327"/>
      <c r="B1031" s="245"/>
      <c r="C1031" s="286"/>
      <c r="D1031" s="328"/>
      <c r="E1031" s="286"/>
      <c r="F1031" s="329"/>
      <c r="G1031" s="286" t="str">
        <f>IFERROR(__xludf.DUMMYFUNCTION("""COMPUTED_VALUE"""),"DECK 10 CARVALHO EUROPEU CARAMEL CHEVRON 15/3 X 1900X 740MM")</f>
        <v>DECK 10 CARVALHO EUROPEU CARAMEL CHEVRON 15/3 X 1900X 740MM</v>
      </c>
      <c r="I1031" s="271"/>
      <c r="J1031" s="330"/>
      <c r="K1031" s="329"/>
      <c r="L1031" s="286"/>
      <c r="M1031" s="286"/>
      <c r="N1031" s="286"/>
      <c r="O1031" s="286"/>
      <c r="P1031" s="286"/>
      <c r="Q1031" s="286"/>
      <c r="R1031" s="286"/>
      <c r="S1031" s="286"/>
      <c r="T1031" s="286"/>
      <c r="U1031" s="286"/>
      <c r="V1031" s="286"/>
      <c r="W1031" s="286"/>
      <c r="X1031" s="286"/>
      <c r="Y1031" s="286"/>
      <c r="Z1031" s="286"/>
      <c r="AA1031" s="286"/>
    </row>
    <row r="1032">
      <c r="A1032" s="327"/>
      <c r="B1032" s="245"/>
      <c r="C1032" s="286"/>
      <c r="D1032" s="328"/>
      <c r="E1032" s="286"/>
      <c r="F1032" s="329"/>
      <c r="G1032" s="286" t="str">
        <f>IFERROR(__xludf.DUMMYFUNCTION("""COMPUTED_VALUE"""),"DECK 10 CARVALHO EUROPEU CARAMEL 15/3 X 125 X 1200MM")</f>
        <v>DECK 10 CARVALHO EUROPEU CARAMEL 15/3 X 125 X 1200MM</v>
      </c>
      <c r="I1032" s="271"/>
      <c r="J1032" s="330"/>
      <c r="K1032" s="329"/>
      <c r="L1032" s="286"/>
      <c r="M1032" s="286"/>
      <c r="N1032" s="286"/>
      <c r="O1032" s="286"/>
      <c r="P1032" s="286"/>
      <c r="Q1032" s="286"/>
      <c r="R1032" s="286"/>
      <c r="S1032" s="286"/>
      <c r="T1032" s="286"/>
      <c r="U1032" s="286"/>
      <c r="V1032" s="286"/>
      <c r="W1032" s="286"/>
      <c r="X1032" s="286"/>
      <c r="Y1032" s="286"/>
      <c r="Z1032" s="286"/>
      <c r="AA1032" s="286"/>
    </row>
    <row r="1033">
      <c r="A1033" s="327"/>
      <c r="B1033" s="245"/>
      <c r="C1033" s="286"/>
      <c r="D1033" s="328"/>
      <c r="E1033" s="286"/>
      <c r="F1033" s="329"/>
      <c r="G1033" s="286" t="str">
        <f>IFERROR(__xludf.DUMMYFUNCTION("""COMPUTED_VALUE"""),"DECK 10 CARVALHO EUROPEU CARAMEL 15/3 X 190 X 1900MM")</f>
        <v>DECK 10 CARVALHO EUROPEU CARAMEL 15/3 X 190 X 1900MM</v>
      </c>
      <c r="I1033" s="271"/>
      <c r="J1033" s="330"/>
      <c r="K1033" s="329"/>
      <c r="L1033" s="286"/>
      <c r="M1033" s="286"/>
      <c r="N1033" s="286"/>
      <c r="O1033" s="286"/>
      <c r="P1033" s="286"/>
      <c r="Q1033" s="286"/>
      <c r="R1033" s="286"/>
      <c r="S1033" s="286"/>
      <c r="T1033" s="286"/>
      <c r="U1033" s="286"/>
      <c r="V1033" s="286"/>
      <c r="W1033" s="286"/>
      <c r="X1033" s="286"/>
      <c r="Y1033" s="286"/>
      <c r="Z1033" s="286"/>
      <c r="AA1033" s="286"/>
    </row>
    <row r="1034">
      <c r="A1034" s="327"/>
      <c r="B1034" s="245"/>
      <c r="C1034" s="286"/>
      <c r="D1034" s="328"/>
      <c r="E1034" s="286"/>
      <c r="F1034" s="329"/>
      <c r="G1034" s="286" t="str">
        <f>IFERROR(__xludf.DUMMYFUNCTION("""COMPUTED_VALUE"""),"DECK 10 CARVALHO EUROPEU CARAMEL 20/6 X 300 X 4000MM")</f>
        <v>DECK 10 CARVALHO EUROPEU CARAMEL 20/6 X 300 X 4000MM</v>
      </c>
      <c r="I1034" s="271"/>
      <c r="J1034" s="330"/>
      <c r="K1034" s="329"/>
      <c r="L1034" s="286"/>
      <c r="M1034" s="286"/>
      <c r="N1034" s="286"/>
      <c r="O1034" s="286"/>
      <c r="P1034" s="286"/>
      <c r="Q1034" s="286"/>
      <c r="R1034" s="286"/>
      <c r="S1034" s="286"/>
      <c r="T1034" s="286"/>
      <c r="U1034" s="286"/>
      <c r="V1034" s="286"/>
      <c r="W1034" s="286"/>
      <c r="X1034" s="286"/>
      <c r="Y1034" s="286"/>
      <c r="Z1034" s="286"/>
      <c r="AA1034" s="286"/>
    </row>
    <row r="1035">
      <c r="A1035" s="327"/>
      <c r="B1035" s="245"/>
      <c r="C1035" s="286"/>
      <c r="D1035" s="328"/>
      <c r="E1035" s="286"/>
      <c r="F1035" s="329"/>
      <c r="G1035" s="286" t="str">
        <f>IFERROR(__xludf.DUMMYFUNCTION("""COMPUTED_VALUE"""),"DECK 10 CARVALHO EUROPEU CARAMEL 20/6 X 400 X 5000MM")</f>
        <v>DECK 10 CARVALHO EUROPEU CARAMEL 20/6 X 400 X 5000MM</v>
      </c>
      <c r="I1035" s="271"/>
      <c r="J1035" s="330"/>
      <c r="K1035" s="329"/>
      <c r="L1035" s="286"/>
      <c r="M1035" s="286"/>
      <c r="N1035" s="286"/>
      <c r="O1035" s="286"/>
      <c r="P1035" s="286"/>
      <c r="Q1035" s="286"/>
      <c r="R1035" s="286"/>
      <c r="S1035" s="286"/>
      <c r="T1035" s="286"/>
      <c r="U1035" s="286"/>
      <c r="V1035" s="286"/>
      <c r="W1035" s="286"/>
      <c r="X1035" s="286"/>
      <c r="Y1035" s="286"/>
      <c r="Z1035" s="286"/>
      <c r="AA1035" s="286"/>
    </row>
    <row r="1036">
      <c r="A1036" s="327"/>
      <c r="B1036" s="245"/>
      <c r="C1036" s="286"/>
      <c r="D1036" s="328"/>
      <c r="E1036" s="286"/>
      <c r="F1036" s="329"/>
      <c r="G1036" s="286" t="str">
        <f>IFERROR(__xludf.DUMMYFUNCTION("""COMPUTED_VALUE"""),"DECK 10 CARVALHO EUROPEU CHEMICAL CHEVRON TG 15/3*190*740MM")</f>
        <v>DECK 10 CARVALHO EUROPEU CHEMICAL CHEVRON TG 15/3*190*740MM</v>
      </c>
      <c r="I1036" s="271"/>
      <c r="J1036" s="330"/>
      <c r="K1036" s="329"/>
      <c r="L1036" s="286"/>
      <c r="M1036" s="286"/>
      <c r="N1036" s="286"/>
      <c r="O1036" s="286"/>
      <c r="P1036" s="286"/>
      <c r="Q1036" s="286"/>
      <c r="R1036" s="286"/>
      <c r="S1036" s="286"/>
      <c r="T1036" s="286"/>
      <c r="U1036" s="286"/>
      <c r="V1036" s="286"/>
      <c r="W1036" s="286"/>
      <c r="X1036" s="286"/>
      <c r="Y1036" s="286"/>
      <c r="Z1036" s="286"/>
      <c r="AA1036" s="286"/>
    </row>
    <row r="1037">
      <c r="A1037" s="327"/>
      <c r="B1037" s="245"/>
      <c r="C1037" s="286"/>
      <c r="D1037" s="328"/>
      <c r="E1037" s="286"/>
      <c r="F1037" s="329"/>
      <c r="G1037" s="286" t="str">
        <f>IFERROR(__xludf.DUMMYFUNCTION("""COMPUTED_VALUE"""),"DECK 10 CARVALHO EUROPEU WHITE RUSTIC 15/4*189*1860MM")</f>
        <v>DECK 10 CARVALHO EUROPEU WHITE RUSTIC 15/4*189*1860MM</v>
      </c>
      <c r="I1037" s="271"/>
      <c r="J1037" s="330"/>
      <c r="K1037" s="329"/>
      <c r="L1037" s="286"/>
      <c r="M1037" s="286"/>
      <c r="N1037" s="286"/>
      <c r="O1037" s="286"/>
      <c r="P1037" s="286"/>
      <c r="Q1037" s="286"/>
      <c r="R1037" s="286"/>
      <c r="S1037" s="286"/>
      <c r="T1037" s="286"/>
      <c r="U1037" s="286"/>
      <c r="V1037" s="286"/>
      <c r="W1037" s="286"/>
      <c r="X1037" s="286"/>
      <c r="Y1037" s="286"/>
      <c r="Z1037" s="286"/>
      <c r="AA1037" s="286"/>
    </row>
    <row r="1038">
      <c r="A1038" s="327"/>
      <c r="B1038" s="245"/>
      <c r="C1038" s="286"/>
      <c r="D1038" s="328"/>
      <c r="E1038" s="286"/>
      <c r="F1038" s="329"/>
      <c r="G1038" s="286" t="str">
        <f>IFERROR(__xludf.DUMMYFUNCTION("""COMPUTED_VALUE"""),"DECK 10 CARVALHO EUROPEU CUSTOMIZADO 14/3 X 12,7 X 186CM")</f>
        <v>DECK 10 CARVALHO EUROPEU CUSTOMIZADO 14/3 X 12,7 X 186CM</v>
      </c>
      <c r="I1038" s="271"/>
      <c r="J1038" s="330"/>
      <c r="K1038" s="329"/>
      <c r="L1038" s="286"/>
      <c r="M1038" s="286"/>
      <c r="N1038" s="286"/>
      <c r="O1038" s="286"/>
      <c r="P1038" s="286"/>
      <c r="Q1038" s="286"/>
      <c r="R1038" s="286"/>
      <c r="S1038" s="286"/>
      <c r="T1038" s="286"/>
      <c r="U1038" s="286"/>
      <c r="V1038" s="286"/>
      <c r="W1038" s="286"/>
      <c r="X1038" s="286"/>
      <c r="Y1038" s="286"/>
      <c r="Z1038" s="286"/>
      <c r="AA1038" s="286"/>
    </row>
    <row r="1039">
      <c r="A1039" s="327"/>
      <c r="B1039" s="245"/>
      <c r="C1039" s="286"/>
      <c r="D1039" s="328"/>
      <c r="E1039" s="286"/>
      <c r="F1039" s="329"/>
      <c r="G1039" s="286" t="str">
        <f>IFERROR(__xludf.DUMMYFUNCTION("""COMPUTED_VALUE"""),"DECK 10 CARVALHO EUROPEU CUSTOMIZADO 2.0 X 19 X 190CM (C2)")</f>
        <v>DECK 10 CARVALHO EUROPEU CUSTOMIZADO 2.0 X 19 X 190CM (C2)</v>
      </c>
      <c r="I1039" s="271"/>
      <c r="J1039" s="330"/>
      <c r="K1039" s="329"/>
      <c r="L1039" s="286"/>
      <c r="M1039" s="286"/>
      <c r="N1039" s="286"/>
      <c r="O1039" s="286"/>
      <c r="P1039" s="286"/>
      <c r="Q1039" s="286"/>
      <c r="R1039" s="286"/>
      <c r="S1039" s="286"/>
      <c r="T1039" s="286"/>
      <c r="U1039" s="286"/>
      <c r="V1039" s="286"/>
      <c r="W1039" s="286"/>
      <c r="X1039" s="286"/>
      <c r="Y1039" s="286"/>
      <c r="Z1039" s="286"/>
      <c r="AA1039" s="286"/>
    </row>
    <row r="1040">
      <c r="A1040" s="327"/>
      <c r="B1040" s="245"/>
      <c r="C1040" s="286"/>
      <c r="D1040" s="328"/>
      <c r="E1040" s="286"/>
      <c r="F1040" s="329"/>
      <c r="G1040" s="286" t="str">
        <f>IFERROR(__xludf.DUMMYFUNCTION("""COMPUTED_VALUE"""),"DECK 10 CARVALHO EUROPEU NATURAL CHEVRON TG 1.5/3 X 9X 51CM")</f>
        <v>DECK 10 CARVALHO EUROPEU NATURAL CHEVRON TG 1.5/3 X 9X 51CM</v>
      </c>
      <c r="I1040" s="271"/>
      <c r="J1040" s="330"/>
      <c r="K1040" s="329"/>
      <c r="L1040" s="286"/>
      <c r="M1040" s="286"/>
      <c r="N1040" s="286"/>
      <c r="O1040" s="286"/>
      <c r="P1040" s="286"/>
      <c r="Q1040" s="286"/>
      <c r="R1040" s="286"/>
      <c r="S1040" s="286"/>
      <c r="T1040" s="286"/>
      <c r="U1040" s="286"/>
      <c r="V1040" s="286"/>
      <c r="W1040" s="286"/>
      <c r="X1040" s="286"/>
      <c r="Y1040" s="286"/>
      <c r="Z1040" s="286"/>
      <c r="AA1040" s="286"/>
    </row>
    <row r="1041">
      <c r="A1041" s="327"/>
      <c r="B1041" s="245"/>
      <c r="C1041" s="286"/>
      <c r="D1041" s="328"/>
      <c r="E1041" s="286"/>
      <c r="F1041" s="329"/>
      <c r="G1041" s="286" t="str">
        <f>IFERROR(__xludf.DUMMYFUNCTION("""COMPUTED_VALUE"""),"DECK 10 CARVALHO EUROPEU NATURAL CHEVRON TG 1.5/3 X 9X 51CM")</f>
        <v>DECK 10 CARVALHO EUROPEU NATURAL CHEVRON TG 1.5/3 X 9X 51CM</v>
      </c>
      <c r="I1041" s="271"/>
      <c r="J1041" s="330"/>
      <c r="K1041" s="329"/>
      <c r="L1041" s="286"/>
      <c r="M1041" s="286"/>
      <c r="N1041" s="286"/>
      <c r="O1041" s="286"/>
      <c r="P1041" s="286"/>
      <c r="Q1041" s="286"/>
      <c r="R1041" s="286"/>
      <c r="S1041" s="286"/>
      <c r="T1041" s="286"/>
      <c r="U1041" s="286"/>
      <c r="V1041" s="286"/>
      <c r="W1041" s="286"/>
      <c r="X1041" s="286"/>
      <c r="Y1041" s="286"/>
      <c r="Z1041" s="286"/>
      <c r="AA1041" s="286"/>
    </row>
    <row r="1042">
      <c r="A1042" s="327"/>
      <c r="B1042" s="245"/>
      <c r="C1042" s="286"/>
      <c r="D1042" s="328"/>
      <c r="E1042" s="286"/>
      <c r="F1042" s="329"/>
      <c r="G1042" s="286" t="str">
        <f>IFERROR(__xludf.DUMMYFUNCTION("""COMPUTED_VALUE"""),"DECK 10 CARVALHO EUROPEU NUDE CHEVRON 60.. TG 15/3 X 190 X 90CM")</f>
        <v>DECK 10 CARVALHO EUROPEU NUDE CHEVRON 60.. TG 15/3 X 190 X 90CM</v>
      </c>
      <c r="I1042" s="271"/>
      <c r="J1042" s="330"/>
      <c r="K1042" s="329"/>
      <c r="L1042" s="286"/>
      <c r="M1042" s="286"/>
      <c r="N1042" s="286"/>
      <c r="O1042" s="286"/>
      <c r="P1042" s="286"/>
      <c r="Q1042" s="286"/>
      <c r="R1042" s="286"/>
      <c r="S1042" s="286"/>
      <c r="T1042" s="286"/>
      <c r="U1042" s="286"/>
      <c r="V1042" s="286"/>
      <c r="W1042" s="286"/>
      <c r="X1042" s="286"/>
      <c r="Y1042" s="286"/>
      <c r="Z1042" s="286"/>
      <c r="AA1042" s="286"/>
    </row>
    <row r="1043">
      <c r="A1043" s="327"/>
      <c r="B1043" s="245"/>
      <c r="C1043" s="286"/>
      <c r="D1043" s="328"/>
      <c r="E1043" s="286"/>
      <c r="F1043" s="329"/>
      <c r="G1043" s="286" t="str">
        <f>IFERROR(__xludf.DUMMYFUNCTION("""COMPUTED_VALUE"""),"DECK 10 CARVALHO EUROPEU NUDE CHEVRON TG 1.5/3X 12.5X 63CM")</f>
        <v>DECK 10 CARVALHO EUROPEU NUDE CHEVRON TG 1.5/3X 12.5X 63CM</v>
      </c>
      <c r="I1043" s="271"/>
      <c r="J1043" s="330"/>
      <c r="K1043" s="329"/>
      <c r="L1043" s="286"/>
      <c r="M1043" s="286"/>
      <c r="N1043" s="286"/>
      <c r="O1043" s="286"/>
      <c r="P1043" s="286"/>
      <c r="Q1043" s="286"/>
      <c r="R1043" s="286"/>
      <c r="S1043" s="286"/>
      <c r="T1043" s="286"/>
      <c r="U1043" s="286"/>
      <c r="V1043" s="286"/>
      <c r="W1043" s="286"/>
      <c r="X1043" s="286"/>
      <c r="Y1043" s="286"/>
      <c r="Z1043" s="286"/>
      <c r="AA1043" s="286"/>
    </row>
    <row r="1044">
      <c r="A1044" s="327"/>
      <c r="B1044" s="245"/>
      <c r="C1044" s="286"/>
      <c r="D1044" s="328"/>
      <c r="E1044" s="286"/>
      <c r="F1044" s="329"/>
      <c r="G1044" s="286" t="str">
        <f>IFERROR(__xludf.DUMMYFUNCTION("""COMPUTED_VALUE"""),"DECK 10 WALNUT 15/3 X 125 X 910MM")</f>
        <v>DECK 10 WALNUT 15/3 X 125 X 910MM</v>
      </c>
      <c r="I1044" s="271" t="str">
        <f t="shared" ref="I1044:I1406" si="5">IFERROR(INDEX($D$3:$D$2001,MATCH(TRUE,ISNUMBER(FIND($B$3:$B$2001,G1044)),0)),"")</f>
        <v/>
      </c>
      <c r="J1044" s="330"/>
      <c r="K1044" s="329"/>
      <c r="L1044" s="286"/>
      <c r="M1044" s="286"/>
      <c r="N1044" s="286"/>
      <c r="O1044" s="286"/>
      <c r="P1044" s="286"/>
      <c r="Q1044" s="286"/>
      <c r="R1044" s="286"/>
      <c r="S1044" s="286"/>
      <c r="T1044" s="286"/>
      <c r="U1044" s="286"/>
      <c r="V1044" s="286"/>
      <c r="W1044" s="286"/>
      <c r="X1044" s="286"/>
      <c r="Y1044" s="286"/>
      <c r="Z1044" s="286"/>
      <c r="AA1044" s="286"/>
    </row>
    <row r="1045">
      <c r="A1045" s="327"/>
      <c r="B1045" s="245"/>
      <c r="C1045" s="286"/>
      <c r="D1045" s="328"/>
      <c r="E1045" s="286"/>
      <c r="F1045" s="329"/>
      <c r="G1045" s="286" t="str">
        <f>IFERROR(__xludf.DUMMYFUNCTION("""COMPUTED_VALUE"""),"DECK 10 WALNUT 15/3 X 190 X 1900MM")</f>
        <v>DECK 10 WALNUT 15/3 X 190 X 1900MM</v>
      </c>
      <c r="H1045" s="283" t="s">
        <v>1145</v>
      </c>
      <c r="I1045" s="271" t="str">
        <f t="shared" si="5"/>
        <v/>
      </c>
      <c r="J1045" s="330"/>
      <c r="K1045" s="329"/>
      <c r="L1045" s="286" t="s">
        <v>1145</v>
      </c>
      <c r="M1045" s="286"/>
      <c r="N1045" s="286"/>
      <c r="O1045" s="286"/>
      <c r="P1045" s="286"/>
      <c r="Q1045" s="286"/>
      <c r="R1045" s="286"/>
      <c r="S1045" s="286"/>
      <c r="T1045" s="286"/>
      <c r="U1045" s="286"/>
      <c r="V1045" s="286"/>
      <c r="W1045" s="286"/>
      <c r="X1045" s="286"/>
      <c r="Y1045" s="286"/>
      <c r="Z1045" s="286"/>
      <c r="AA1045" s="286"/>
    </row>
    <row r="1046">
      <c r="A1046" s="327"/>
      <c r="B1046" s="245"/>
      <c r="C1046" s="286"/>
      <c r="D1046" s="328"/>
      <c r="E1046" s="286"/>
      <c r="F1046" s="329"/>
      <c r="G1046" s="286" t="str">
        <f>IFERROR(__xludf.DUMMYFUNCTION("""COMPUTED_VALUE"""),"DECK 10 WALNUT 20/2 X 300 X 4000MM")</f>
        <v>DECK 10 WALNUT 20/2 X 300 X 4000MM</v>
      </c>
      <c r="H1046" s="283" t="s">
        <v>1146</v>
      </c>
      <c r="I1046" s="271" t="str">
        <f t="shared" si="5"/>
        <v/>
      </c>
      <c r="J1046" s="330"/>
      <c r="K1046" s="329"/>
      <c r="L1046" s="286" t="s">
        <v>1146</v>
      </c>
      <c r="M1046" s="286"/>
      <c r="N1046" s="286"/>
      <c r="O1046" s="286"/>
      <c r="P1046" s="286"/>
      <c r="Q1046" s="286"/>
      <c r="R1046" s="286"/>
      <c r="S1046" s="286"/>
      <c r="T1046" s="286"/>
      <c r="U1046" s="286"/>
      <c r="V1046" s="286"/>
      <c r="W1046" s="286"/>
      <c r="X1046" s="286"/>
      <c r="Y1046" s="286"/>
      <c r="Z1046" s="286"/>
      <c r="AA1046" s="286"/>
    </row>
    <row r="1047">
      <c r="A1047" s="327"/>
      <c r="B1047" s="245"/>
      <c r="C1047" s="286"/>
      <c r="D1047" s="328"/>
      <c r="E1047" s="286"/>
      <c r="F1047" s="329"/>
      <c r="G1047" s="286" t="str">
        <f>IFERROR(__xludf.DUMMYFUNCTION("""COMPUTED_VALUE"""),"DECK 10 BAMBU ALTA DENS. CUST PREMIUM TG 1.5/4 X19X185CM")</f>
        <v>DECK 10 BAMBU ALTA DENS. CUST PREMIUM TG 1.5/4 X19X185CM</v>
      </c>
      <c r="H1047" s="283" t="s">
        <v>1147</v>
      </c>
      <c r="I1047" s="271" t="str">
        <f t="shared" si="5"/>
        <v/>
      </c>
      <c r="J1047" s="330"/>
      <c r="K1047" s="329"/>
      <c r="L1047" s="286" t="s">
        <v>1147</v>
      </c>
      <c r="M1047" s="286"/>
      <c r="N1047" s="286"/>
      <c r="O1047" s="286"/>
      <c r="P1047" s="286"/>
      <c r="Q1047" s="286"/>
      <c r="R1047" s="286"/>
      <c r="S1047" s="286"/>
      <c r="T1047" s="286"/>
      <c r="U1047" s="286"/>
      <c r="V1047" s="286"/>
      <c r="W1047" s="286"/>
      <c r="X1047" s="286"/>
      <c r="Y1047" s="286"/>
      <c r="Z1047" s="286"/>
      <c r="AA1047" s="286"/>
    </row>
    <row r="1048">
      <c r="A1048" s="327"/>
      <c r="B1048" s="245"/>
      <c r="C1048" s="286"/>
      <c r="D1048" s="328"/>
      <c r="E1048" s="286"/>
      <c r="F1048" s="329"/>
      <c r="G1048" s="286" t="str">
        <f>IFERROR(__xludf.DUMMYFUNCTION("""COMPUTED_VALUE"""),"DECK 10 BAMBU CARAMEL ALTA DENSIDADE TG 1.5/4 X19X186CM")</f>
        <v>DECK 10 BAMBU CARAMEL ALTA DENSIDADE TG 1.5/4 X19X186CM</v>
      </c>
      <c r="H1048" s="283" t="s">
        <v>1148</v>
      </c>
      <c r="I1048" s="271" t="str">
        <f t="shared" si="5"/>
        <v/>
      </c>
      <c r="J1048" s="330"/>
      <c r="K1048" s="329"/>
      <c r="L1048" s="286" t="s">
        <v>1148</v>
      </c>
      <c r="M1048" s="286"/>
      <c r="N1048" s="286"/>
      <c r="O1048" s="286"/>
      <c r="P1048" s="286"/>
      <c r="Q1048" s="286"/>
      <c r="R1048" s="286"/>
      <c r="S1048" s="286"/>
      <c r="T1048" s="286"/>
      <c r="U1048" s="286"/>
      <c r="V1048" s="286"/>
      <c r="W1048" s="286"/>
      <c r="X1048" s="286"/>
      <c r="Y1048" s="286"/>
      <c r="Z1048" s="286"/>
      <c r="AA1048" s="286"/>
    </row>
    <row r="1049">
      <c r="A1049" s="327"/>
      <c r="B1049" s="245"/>
      <c r="C1049" s="286"/>
      <c r="D1049" s="328"/>
      <c r="E1049" s="286"/>
      <c r="F1049" s="329"/>
      <c r="G1049" s="286" t="str">
        <f>IFERROR(__xludf.DUMMYFUNCTION("""COMPUTED_VALUE"""),"DECK 10 RIPADO CUMARU PREMIUM TG 1,8 X 3,5+0,5CM PROF. BIT 0")</f>
        <v>DECK 10 RIPADO CUMARU PREMIUM TG 1,8 X 3,5+0,5CM PROF. BIT 0</v>
      </c>
      <c r="H1049" s="283" t="s">
        <v>1149</v>
      </c>
      <c r="I1049" s="271" t="str">
        <f t="shared" si="5"/>
        <v/>
      </c>
      <c r="J1049" s="330"/>
      <c r="K1049" s="329"/>
      <c r="L1049" s="286" t="s">
        <v>1149</v>
      </c>
      <c r="M1049" s="286"/>
      <c r="N1049" s="286"/>
      <c r="O1049" s="286"/>
      <c r="P1049" s="286"/>
      <c r="Q1049" s="286"/>
      <c r="R1049" s="286"/>
      <c r="S1049" s="286"/>
      <c r="T1049" s="286"/>
      <c r="U1049" s="286"/>
      <c r="V1049" s="286"/>
      <c r="W1049" s="286"/>
      <c r="X1049" s="286"/>
      <c r="Y1049" s="286"/>
      <c r="Z1049" s="286"/>
      <c r="AA1049" s="286"/>
    </row>
    <row r="1050">
      <c r="A1050" s="327"/>
      <c r="B1050" s="245"/>
      <c r="C1050" s="286"/>
      <c r="D1050" s="328"/>
      <c r="E1050" s="286"/>
      <c r="F1050" s="329"/>
      <c r="G1050" s="286" t="str">
        <f>IFERROR(__xludf.DUMMYFUNCTION("""COMPUTED_VALUE"""),"DECK 10 RIPADO CATUABA PREMIUM TG 1,8 X 3,5+0,5CM PROF. BIT 0")</f>
        <v>DECK 10 RIPADO CATUABA PREMIUM TG 1,8 X 3,5+0,5CM PROF. BIT 0</v>
      </c>
      <c r="I1050" s="271" t="str">
        <f t="shared" si="5"/>
        <v/>
      </c>
      <c r="J1050" s="330"/>
      <c r="K1050" s="329"/>
      <c r="L1050" s="286"/>
      <c r="M1050" s="286"/>
      <c r="N1050" s="286"/>
      <c r="O1050" s="286"/>
      <c r="P1050" s="286"/>
      <c r="Q1050" s="286"/>
      <c r="R1050" s="286"/>
      <c r="S1050" s="286"/>
      <c r="T1050" s="286"/>
      <c r="U1050" s="286"/>
      <c r="V1050" s="286"/>
      <c r="W1050" s="286"/>
      <c r="X1050" s="286"/>
      <c r="Y1050" s="286"/>
      <c r="Z1050" s="286"/>
      <c r="AA1050" s="286"/>
    </row>
    <row r="1051">
      <c r="A1051" s="327"/>
      <c r="B1051" s="245"/>
      <c r="C1051" s="286"/>
      <c r="D1051" s="328"/>
      <c r="E1051" s="286"/>
      <c r="F1051" s="329"/>
      <c r="G1051" s="286" t="str">
        <f>IFERROR(__xludf.DUMMYFUNCTION("""COMPUTED_VALUE"""),"DECK 10 RIPADO CABREUVA BRANCA PREMIUM TG 1,8 X 3,5+0,5CM PROF. BIT 0")</f>
        <v>DECK 10 RIPADO CABREUVA BRANCA PREMIUM TG 1,8 X 3,5+0,5CM PROF. BIT 0</v>
      </c>
      <c r="I1051" s="271" t="str">
        <f t="shared" si="5"/>
        <v/>
      </c>
      <c r="J1051" s="330"/>
      <c r="K1051" s="329"/>
      <c r="L1051" s="286"/>
      <c r="M1051" s="286"/>
      <c r="N1051" s="286"/>
      <c r="O1051" s="286"/>
      <c r="P1051" s="286"/>
      <c r="Q1051" s="286"/>
      <c r="R1051" s="286"/>
      <c r="S1051" s="286"/>
      <c r="T1051" s="286"/>
      <c r="U1051" s="286"/>
      <c r="V1051" s="286"/>
      <c r="W1051" s="286"/>
      <c r="X1051" s="286"/>
      <c r="Y1051" s="286"/>
      <c r="Z1051" s="286"/>
      <c r="AA1051" s="286"/>
    </row>
    <row r="1052">
      <c r="A1052" s="327"/>
      <c r="B1052" s="245"/>
      <c r="C1052" s="286"/>
      <c r="D1052" s="328"/>
      <c r="E1052" s="286"/>
      <c r="F1052" s="329"/>
      <c r="G1052" s="286" t="str">
        <f>IFERROR(__xludf.DUMMYFUNCTION("""COMPUTED_VALUE"""),"DECK 10 RIPADO CABREUVA DOURADA PREMIUM TG 1,8 X 3,5+0,5CM PROF. BIT 0")</f>
        <v>DECK 10 RIPADO CABREUVA DOURADA PREMIUM TG 1,8 X 3,5+0,5CM PROF. BIT 0</v>
      </c>
      <c r="I1052" s="271" t="str">
        <f t="shared" si="5"/>
        <v/>
      </c>
      <c r="J1052" s="330"/>
      <c r="K1052" s="329"/>
      <c r="L1052" s="286"/>
      <c r="M1052" s="286"/>
      <c r="N1052" s="286"/>
      <c r="O1052" s="286"/>
      <c r="P1052" s="286"/>
      <c r="Q1052" s="286"/>
      <c r="R1052" s="286"/>
      <c r="S1052" s="286"/>
      <c r="T1052" s="286"/>
      <c r="U1052" s="286"/>
      <c r="V1052" s="286"/>
      <c r="W1052" s="286"/>
      <c r="X1052" s="286"/>
      <c r="Y1052" s="286"/>
      <c r="Z1052" s="286"/>
      <c r="AA1052" s="286"/>
    </row>
    <row r="1053">
      <c r="A1053" s="327"/>
      <c r="B1053" s="245"/>
      <c r="C1053" s="286"/>
      <c r="D1053" s="328"/>
      <c r="E1053" s="286"/>
      <c r="F1053" s="329"/>
      <c r="G1053" s="286" t="str">
        <f>IFERROR(__xludf.DUMMYFUNCTION("""COMPUTED_VALUE"""),"DECK 10 RIPADO TAUARI PREMIUM TG 1,8 X 3,5+0,5CM PROF. BIT 0")</f>
        <v>DECK 10 RIPADO TAUARI PREMIUM TG 1,8 X 3,5+0,5CM PROF. BIT 0</v>
      </c>
      <c r="I1053" s="271" t="str">
        <f t="shared" si="5"/>
        <v/>
      </c>
      <c r="J1053" s="330"/>
      <c r="K1053" s="329"/>
      <c r="L1053" s="286"/>
      <c r="M1053" s="286"/>
      <c r="N1053" s="286"/>
      <c r="O1053" s="286"/>
      <c r="P1053" s="286"/>
      <c r="Q1053" s="286"/>
      <c r="R1053" s="286"/>
      <c r="S1053" s="286"/>
      <c r="T1053" s="286"/>
      <c r="U1053" s="286"/>
      <c r="V1053" s="286"/>
      <c r="W1053" s="286"/>
      <c r="X1053" s="286"/>
      <c r="Y1053" s="286"/>
      <c r="Z1053" s="286"/>
      <c r="AA1053" s="286"/>
    </row>
    <row r="1054">
      <c r="A1054" s="327"/>
      <c r="B1054" s="245"/>
      <c r="C1054" s="286"/>
      <c r="D1054" s="328"/>
      <c r="E1054" s="286"/>
      <c r="F1054" s="329"/>
      <c r="G1054" s="286" t="str">
        <f>IFERROR(__xludf.DUMMYFUNCTION("""COMPUTED_VALUE"""),"DECK 10 RIPADO PEROBA PREMIUM TG 1,8 X 3,5+0,5CM PROF. BIT 0")</f>
        <v>DECK 10 RIPADO PEROBA PREMIUM TG 1,8 X 3,5+0,5CM PROF. BIT 0</v>
      </c>
      <c r="I1054" s="271" t="str">
        <f t="shared" si="5"/>
        <v/>
      </c>
      <c r="J1054" s="330"/>
      <c r="K1054" s="329"/>
      <c r="L1054" s="286"/>
      <c r="M1054" s="286"/>
      <c r="N1054" s="286"/>
      <c r="O1054" s="286"/>
      <c r="P1054" s="286"/>
      <c r="Q1054" s="286"/>
      <c r="R1054" s="286"/>
      <c r="S1054" s="286"/>
      <c r="T1054" s="286"/>
      <c r="U1054" s="286"/>
      <c r="V1054" s="286"/>
      <c r="W1054" s="286"/>
      <c r="X1054" s="286"/>
      <c r="Y1054" s="286"/>
      <c r="Z1054" s="286"/>
      <c r="AA1054" s="286"/>
    </row>
    <row r="1055">
      <c r="A1055" s="327"/>
      <c r="B1055" s="245"/>
      <c r="C1055" s="286"/>
      <c r="D1055" s="328"/>
      <c r="E1055" s="286"/>
      <c r="F1055" s="329"/>
      <c r="G1055" s="286" t="str">
        <f>IFERROR(__xludf.DUMMYFUNCTION("""COMPUTED_VALUE"""),"DECK 10 RIPADO LORO PARDO PREMIUM TG 1,8 X 3,5+0,5CM PROF. BIT 0")</f>
        <v>DECK 10 RIPADO LORO PARDO PREMIUM TG 1,8 X 3,5+0,5CM PROF. BIT 0</v>
      </c>
      <c r="I1055" s="271" t="str">
        <f t="shared" si="5"/>
        <v/>
      </c>
      <c r="J1055" s="330"/>
      <c r="K1055" s="329"/>
      <c r="L1055" s="286"/>
      <c r="M1055" s="286"/>
      <c r="N1055" s="286"/>
      <c r="O1055" s="286"/>
      <c r="P1055" s="286"/>
      <c r="Q1055" s="286"/>
      <c r="R1055" s="286"/>
      <c r="S1055" s="286"/>
      <c r="T1055" s="286"/>
      <c r="U1055" s="286"/>
      <c r="V1055" s="286"/>
      <c r="W1055" s="286"/>
      <c r="X1055" s="286"/>
      <c r="Y1055" s="286"/>
      <c r="Z1055" s="286"/>
      <c r="AA1055" s="286"/>
    </row>
    <row r="1056">
      <c r="A1056" s="327"/>
      <c r="B1056" s="245"/>
      <c r="C1056" s="286"/>
      <c r="D1056" s="328"/>
      <c r="E1056" s="286"/>
      <c r="F1056" s="329"/>
      <c r="G1056" s="286" t="str">
        <f>IFERROR(__xludf.DUMMYFUNCTION("""COMPUTED_VALUE"""),"DECK 10 CUMARU MULTI PREMIUM 19 X 190 X 600 A 2200MM")</f>
        <v>DECK 10 CUMARU MULTI PREMIUM 19 X 190 X 600 A 2200MM</v>
      </c>
      <c r="I1056" s="271" t="str">
        <f t="shared" si="5"/>
        <v/>
      </c>
      <c r="J1056" s="330"/>
      <c r="K1056" s="329"/>
      <c r="L1056" s="286"/>
      <c r="M1056" s="286"/>
      <c r="N1056" s="286"/>
      <c r="O1056" s="286"/>
      <c r="P1056" s="286"/>
      <c r="Q1056" s="286"/>
      <c r="R1056" s="286"/>
      <c r="S1056" s="286"/>
      <c r="T1056" s="286"/>
      <c r="U1056" s="286"/>
      <c r="V1056" s="286"/>
      <c r="W1056" s="286"/>
      <c r="X1056" s="286"/>
      <c r="Y1056" s="286"/>
      <c r="Z1056" s="286"/>
      <c r="AA1056" s="286"/>
    </row>
    <row r="1057">
      <c r="A1057" s="327"/>
      <c r="B1057" s="245"/>
      <c r="C1057" s="286"/>
      <c r="D1057" s="328"/>
      <c r="E1057" s="286"/>
      <c r="F1057" s="329"/>
      <c r="G1057" s="286" t="str">
        <f>IFERROR(__xludf.DUMMYFUNCTION("""COMPUTED_VALUE"""),"DECK 10 CATUABA MULTI PREMIUM 19 X 190 X 600 A 2200MM")</f>
        <v>DECK 10 CATUABA MULTI PREMIUM 19 X 190 X 600 A 2200MM</v>
      </c>
      <c r="H1057" s="283" t="s">
        <v>1157</v>
      </c>
      <c r="I1057" s="271" t="str">
        <f t="shared" si="5"/>
        <v/>
      </c>
      <c r="J1057" s="330"/>
      <c r="K1057" s="329"/>
      <c r="L1057" s="286" t="s">
        <v>1157</v>
      </c>
      <c r="M1057" s="286"/>
      <c r="N1057" s="286"/>
      <c r="O1057" s="286"/>
      <c r="P1057" s="286"/>
      <c r="Q1057" s="286"/>
      <c r="R1057" s="286"/>
      <c r="S1057" s="286"/>
      <c r="T1057" s="286"/>
      <c r="U1057" s="286"/>
      <c r="V1057" s="286"/>
      <c r="W1057" s="286"/>
      <c r="X1057" s="286"/>
      <c r="Y1057" s="286"/>
      <c r="Z1057" s="286"/>
      <c r="AA1057" s="286"/>
    </row>
    <row r="1058">
      <c r="A1058" s="327"/>
      <c r="B1058" s="245"/>
      <c r="C1058" s="286"/>
      <c r="D1058" s="328"/>
      <c r="E1058" s="286"/>
      <c r="F1058" s="329"/>
      <c r="G1058" s="286" t="str">
        <f>IFERROR(__xludf.DUMMYFUNCTION("""COMPUTED_VALUE"""),"DECK 10 CABREUVA BRACA MULTI PREMIUM 19 X 190 X 600 A 2200MM")</f>
        <v>DECK 10 CABREUVA BRACA MULTI PREMIUM 19 X 190 X 600 A 2200MM</v>
      </c>
      <c r="H1058" s="283" t="s">
        <v>1158</v>
      </c>
      <c r="I1058" s="271" t="str">
        <f t="shared" si="5"/>
        <v/>
      </c>
      <c r="J1058" s="330"/>
      <c r="K1058" s="329"/>
      <c r="L1058" s="286" t="s">
        <v>1158</v>
      </c>
      <c r="M1058" s="286"/>
      <c r="N1058" s="286"/>
      <c r="O1058" s="286"/>
      <c r="P1058" s="286"/>
      <c r="Q1058" s="286"/>
      <c r="R1058" s="286"/>
      <c r="S1058" s="286"/>
      <c r="T1058" s="286"/>
      <c r="U1058" s="286"/>
      <c r="V1058" s="286"/>
      <c r="W1058" s="286"/>
      <c r="X1058" s="286"/>
      <c r="Y1058" s="286"/>
      <c r="Z1058" s="286"/>
      <c r="AA1058" s="286"/>
    </row>
    <row r="1059">
      <c r="A1059" s="327"/>
      <c r="B1059" s="245"/>
      <c r="C1059" s="286"/>
      <c r="D1059" s="328"/>
      <c r="E1059" s="286"/>
      <c r="F1059" s="329"/>
      <c r="G1059" s="286" t="str">
        <f>IFERROR(__xludf.DUMMYFUNCTION("""COMPUTED_VALUE"""),"DECK 10 CABREUVA DOURADA MULTI PREMIUM 19 X 190 X 600 A 2200MM")</f>
        <v>DECK 10 CABREUVA DOURADA MULTI PREMIUM 19 X 190 X 600 A 2200MM</v>
      </c>
      <c r="H1059" s="283" t="s">
        <v>1159</v>
      </c>
      <c r="I1059" s="271" t="str">
        <f t="shared" si="5"/>
        <v/>
      </c>
      <c r="J1059" s="330"/>
      <c r="K1059" s="329"/>
      <c r="L1059" s="286" t="s">
        <v>1159</v>
      </c>
      <c r="M1059" s="286"/>
      <c r="N1059" s="286"/>
      <c r="O1059" s="286"/>
      <c r="P1059" s="286"/>
      <c r="Q1059" s="286"/>
      <c r="R1059" s="286"/>
      <c r="S1059" s="286"/>
      <c r="T1059" s="286"/>
      <c r="U1059" s="286"/>
      <c r="V1059" s="286"/>
      <c r="W1059" s="286"/>
      <c r="X1059" s="286"/>
      <c r="Y1059" s="286"/>
      <c r="Z1059" s="286"/>
      <c r="AA1059" s="286"/>
    </row>
    <row r="1060">
      <c r="A1060" s="327"/>
      <c r="B1060" s="245"/>
      <c r="C1060" s="286"/>
      <c r="D1060" s="328"/>
      <c r="E1060" s="286"/>
      <c r="F1060" s="329"/>
      <c r="G1060" s="286" t="str">
        <f>IFERROR(__xludf.DUMMYFUNCTION("""COMPUTED_VALUE"""),"DECK 10 TAUARI MULTI PREMIUM 19 X 190 X 600 A 2200MM")</f>
        <v>DECK 10 TAUARI MULTI PREMIUM 19 X 190 X 600 A 2200MM</v>
      </c>
      <c r="H1060" s="283" t="s">
        <v>1160</v>
      </c>
      <c r="I1060" s="271" t="str">
        <f t="shared" si="5"/>
        <v/>
      </c>
      <c r="J1060" s="330"/>
      <c r="K1060" s="329"/>
      <c r="L1060" s="286" t="s">
        <v>1160</v>
      </c>
      <c r="M1060" s="286"/>
      <c r="N1060" s="286"/>
      <c r="O1060" s="286"/>
      <c r="P1060" s="286"/>
      <c r="Q1060" s="286"/>
      <c r="R1060" s="286"/>
      <c r="S1060" s="286"/>
      <c r="T1060" s="286"/>
      <c r="U1060" s="286"/>
      <c r="V1060" s="286"/>
      <c r="W1060" s="286"/>
      <c r="X1060" s="286"/>
      <c r="Y1060" s="286"/>
      <c r="Z1060" s="286"/>
      <c r="AA1060" s="286"/>
    </row>
    <row r="1061">
      <c r="A1061" s="327"/>
      <c r="B1061" s="245"/>
      <c r="C1061" s="286"/>
      <c r="D1061" s="328"/>
      <c r="E1061" s="286"/>
      <c r="F1061" s="329"/>
      <c r="G1061" s="286" t="str">
        <f>IFERROR(__xludf.DUMMYFUNCTION("""COMPUTED_VALUE"""),"DECK 10 PEROBA MULTI PREMIUM 19 X 190 X 600 A 2200MM")</f>
        <v>DECK 10 PEROBA MULTI PREMIUM 19 X 190 X 600 A 2200MM</v>
      </c>
      <c r="H1061" s="283" t="s">
        <v>1161</v>
      </c>
      <c r="I1061" s="271" t="str">
        <f t="shared" si="5"/>
        <v/>
      </c>
      <c r="J1061" s="330"/>
      <c r="K1061" s="329"/>
      <c r="L1061" s="286" t="s">
        <v>1161</v>
      </c>
      <c r="M1061" s="286"/>
      <c r="N1061" s="286"/>
      <c r="O1061" s="286"/>
      <c r="P1061" s="286"/>
      <c r="Q1061" s="286"/>
      <c r="R1061" s="286"/>
      <c r="S1061" s="286"/>
      <c r="T1061" s="286"/>
      <c r="U1061" s="286"/>
      <c r="V1061" s="286"/>
      <c r="W1061" s="286"/>
      <c r="X1061" s="286"/>
      <c r="Y1061" s="286"/>
      <c r="Z1061" s="286"/>
      <c r="AA1061" s="286"/>
    </row>
    <row r="1062">
      <c r="A1062" s="327"/>
      <c r="B1062" s="245"/>
      <c r="C1062" s="286"/>
      <c r="D1062" s="328"/>
      <c r="E1062" s="286"/>
      <c r="F1062" s="329"/>
      <c r="G1062" s="286" t="str">
        <f>IFERROR(__xludf.DUMMYFUNCTION("""COMPUTED_VALUE"""),"DECK 10 LORO PARDO MULTI PREMIUM 19 X 190 X 600 A 2200MM")</f>
        <v>DECK 10 LORO PARDO MULTI PREMIUM 19 X 190 X 600 A 2200MM</v>
      </c>
      <c r="H1062" s="283" t="s">
        <v>1162</v>
      </c>
      <c r="I1062" s="271" t="str">
        <f t="shared" si="5"/>
        <v/>
      </c>
      <c r="J1062" s="330"/>
      <c r="K1062" s="329"/>
      <c r="L1062" s="286" t="s">
        <v>1162</v>
      </c>
      <c r="M1062" s="286"/>
      <c r="N1062" s="286"/>
      <c r="O1062" s="286"/>
      <c r="P1062" s="286"/>
      <c r="Q1062" s="286"/>
      <c r="R1062" s="286"/>
      <c r="S1062" s="286"/>
      <c r="T1062" s="286"/>
      <c r="U1062" s="286"/>
      <c r="V1062" s="286"/>
      <c r="W1062" s="286"/>
      <c r="X1062" s="286"/>
      <c r="Y1062" s="286"/>
      <c r="Z1062" s="286"/>
      <c r="AA1062" s="286"/>
    </row>
    <row r="1063">
      <c r="A1063" s="327"/>
      <c r="B1063" s="245"/>
      <c r="C1063" s="286"/>
      <c r="D1063" s="328"/>
      <c r="E1063" s="286"/>
      <c r="F1063" s="329"/>
      <c r="G1063" s="286" t="str">
        <f>IFERROR(__xludf.DUMMYFUNCTION("""COMPUTED_VALUE"""),"DECK 10 MUXARABI CUMARU PREMIUM")</f>
        <v>DECK 10 MUXARABI CUMARU PREMIUM</v>
      </c>
      <c r="H1063" s="283" t="s">
        <v>1163</v>
      </c>
      <c r="I1063" s="271" t="str">
        <f t="shared" si="5"/>
        <v/>
      </c>
      <c r="J1063" s="330"/>
      <c r="K1063" s="329"/>
      <c r="L1063" s="286" t="s">
        <v>1163</v>
      </c>
      <c r="M1063" s="286"/>
      <c r="N1063" s="286"/>
      <c r="O1063" s="286"/>
      <c r="P1063" s="286"/>
      <c r="Q1063" s="286"/>
      <c r="R1063" s="286"/>
      <c r="S1063" s="286"/>
      <c r="T1063" s="286"/>
      <c r="U1063" s="286"/>
      <c r="V1063" s="286"/>
      <c r="W1063" s="286"/>
      <c r="X1063" s="286"/>
      <c r="Y1063" s="286"/>
      <c r="Z1063" s="286"/>
      <c r="AA1063" s="286"/>
    </row>
    <row r="1064">
      <c r="A1064" s="327"/>
      <c r="B1064" s="245"/>
      <c r="C1064" s="286"/>
      <c r="D1064" s="328"/>
      <c r="E1064" s="286"/>
      <c r="F1064" s="329"/>
      <c r="G1064" s="286" t="str">
        <f>IFERROR(__xludf.DUMMYFUNCTION("""COMPUTED_VALUE"""),"DECK 10 MUXARABI CATUABA PREMIUM")</f>
        <v>DECK 10 MUXARABI CATUABA PREMIUM</v>
      </c>
      <c r="I1064" s="271" t="str">
        <f t="shared" si="5"/>
        <v/>
      </c>
      <c r="J1064" s="330"/>
      <c r="K1064" s="329"/>
      <c r="L1064" s="286"/>
      <c r="M1064" s="286"/>
      <c r="N1064" s="286"/>
      <c r="O1064" s="286"/>
      <c r="P1064" s="286"/>
      <c r="Q1064" s="286"/>
      <c r="R1064" s="286"/>
      <c r="S1064" s="286"/>
      <c r="T1064" s="286"/>
      <c r="U1064" s="286"/>
      <c r="V1064" s="286"/>
      <c r="W1064" s="286"/>
      <c r="X1064" s="286"/>
      <c r="Y1064" s="286"/>
      <c r="Z1064" s="286"/>
      <c r="AA1064" s="286"/>
    </row>
    <row r="1065">
      <c r="A1065" s="327"/>
      <c r="B1065" s="245"/>
      <c r="C1065" s="286"/>
      <c r="D1065" s="328"/>
      <c r="E1065" s="286"/>
      <c r="F1065" s="329"/>
      <c r="G1065" s="286" t="str">
        <f>IFERROR(__xludf.DUMMYFUNCTION("""COMPUTED_VALUE"""),"DECK 10 MUXARABI CABREUVA BRANCA PREMIUM")</f>
        <v>DECK 10 MUXARABI CABREUVA BRANCA PREMIUM</v>
      </c>
      <c r="I1065" s="271" t="str">
        <f t="shared" si="5"/>
        <v/>
      </c>
      <c r="J1065" s="330"/>
      <c r="K1065" s="329"/>
      <c r="L1065" s="286"/>
      <c r="M1065" s="286"/>
      <c r="N1065" s="286"/>
      <c r="O1065" s="286"/>
      <c r="P1065" s="286"/>
      <c r="Q1065" s="286"/>
      <c r="R1065" s="286"/>
      <c r="S1065" s="286"/>
      <c r="T1065" s="286"/>
      <c r="U1065" s="286"/>
      <c r="V1065" s="286"/>
      <c r="W1065" s="286"/>
      <c r="X1065" s="286"/>
      <c r="Y1065" s="286"/>
      <c r="Z1065" s="286"/>
      <c r="AA1065" s="286"/>
    </row>
    <row r="1066">
      <c r="A1066" s="327"/>
      <c r="B1066" s="245"/>
      <c r="C1066" s="286"/>
      <c r="D1066" s="328"/>
      <c r="E1066" s="286"/>
      <c r="F1066" s="329"/>
      <c r="G1066" s="286" t="str">
        <f>IFERROR(__xludf.DUMMYFUNCTION("""COMPUTED_VALUE"""),"DECK 10 MUXARABI CABREUVA DOURADA PREMIUM")</f>
        <v>DECK 10 MUXARABI CABREUVA DOURADA PREMIUM</v>
      </c>
      <c r="I1066" s="271" t="str">
        <f t="shared" si="5"/>
        <v/>
      </c>
      <c r="J1066" s="330"/>
      <c r="K1066" s="329"/>
      <c r="L1066" s="286"/>
      <c r="M1066" s="286"/>
      <c r="N1066" s="286"/>
      <c r="O1066" s="286"/>
      <c r="P1066" s="286"/>
      <c r="Q1066" s="286"/>
      <c r="R1066" s="286"/>
      <c r="S1066" s="286"/>
      <c r="T1066" s="286"/>
      <c r="U1066" s="286"/>
      <c r="V1066" s="286"/>
      <c r="W1066" s="286"/>
      <c r="X1066" s="286"/>
      <c r="Y1066" s="286"/>
      <c r="Z1066" s="286"/>
      <c r="AA1066" s="286"/>
    </row>
    <row r="1067">
      <c r="A1067" s="327"/>
      <c r="B1067" s="245"/>
      <c r="C1067" s="286"/>
      <c r="D1067" s="328"/>
      <c r="E1067" s="286"/>
      <c r="F1067" s="329"/>
      <c r="G1067" s="286" t="str">
        <f>IFERROR(__xludf.DUMMYFUNCTION("""COMPUTED_VALUE"""),"DECK 10 MUXARABI TAUARI PREMIUM")</f>
        <v>DECK 10 MUXARABI TAUARI PREMIUM</v>
      </c>
      <c r="I1067" s="271" t="str">
        <f t="shared" si="5"/>
        <v/>
      </c>
      <c r="J1067" s="330"/>
      <c r="K1067" s="329"/>
      <c r="L1067" s="286"/>
      <c r="M1067" s="286"/>
      <c r="N1067" s="286"/>
      <c r="O1067" s="286"/>
      <c r="P1067" s="286"/>
      <c r="Q1067" s="286"/>
      <c r="R1067" s="286"/>
      <c r="S1067" s="286"/>
      <c r="T1067" s="286"/>
      <c r="U1067" s="286"/>
      <c r="V1067" s="286"/>
      <c r="W1067" s="286"/>
      <c r="X1067" s="286"/>
      <c r="Y1067" s="286"/>
      <c r="Z1067" s="286"/>
      <c r="AA1067" s="286"/>
    </row>
    <row r="1068">
      <c r="A1068" s="327"/>
      <c r="B1068" s="245"/>
      <c r="C1068" s="286"/>
      <c r="D1068" s="328"/>
      <c r="E1068" s="286"/>
      <c r="F1068" s="329"/>
      <c r="G1068" s="286" t="str">
        <f>IFERROR(__xludf.DUMMYFUNCTION("""COMPUTED_VALUE"""),"DECK 10 MUXARABI PEROBA PREMIUM")</f>
        <v>DECK 10 MUXARABI PEROBA PREMIUM</v>
      </c>
      <c r="I1068" s="271" t="str">
        <f t="shared" si="5"/>
        <v/>
      </c>
      <c r="J1068" s="330"/>
      <c r="K1068" s="329"/>
      <c r="L1068" s="286"/>
      <c r="M1068" s="286"/>
      <c r="N1068" s="286"/>
      <c r="O1068" s="286"/>
      <c r="P1068" s="286"/>
      <c r="Q1068" s="286"/>
      <c r="R1068" s="286"/>
      <c r="S1068" s="286"/>
      <c r="T1068" s="286"/>
      <c r="U1068" s="286"/>
      <c r="V1068" s="286"/>
      <c r="W1068" s="286"/>
      <c r="X1068" s="286"/>
      <c r="Y1068" s="286"/>
      <c r="Z1068" s="286"/>
      <c r="AA1068" s="286"/>
    </row>
    <row r="1069">
      <c r="A1069" s="327"/>
      <c r="B1069" s="245"/>
      <c r="C1069" s="286"/>
      <c r="D1069" s="328"/>
      <c r="E1069" s="286"/>
      <c r="F1069" s="329"/>
      <c r="G1069" s="286" t="str">
        <f>IFERROR(__xludf.DUMMYFUNCTION("""COMPUTED_VALUE"""),"DECK 10 MUXARABI LORO PARDO PREMIUM")</f>
        <v>DECK 10 MUXARABI LORO PARDO PREMIUM</v>
      </c>
      <c r="I1069" s="271" t="str">
        <f t="shared" si="5"/>
        <v/>
      </c>
      <c r="J1069" s="330"/>
      <c r="K1069" s="329"/>
      <c r="L1069" s="286"/>
      <c r="M1069" s="286"/>
      <c r="N1069" s="286"/>
      <c r="O1069" s="286"/>
      <c r="P1069" s="286"/>
      <c r="Q1069" s="286"/>
      <c r="R1069" s="286"/>
      <c r="S1069" s="286"/>
      <c r="T1069" s="286"/>
      <c r="U1069" s="286"/>
      <c r="V1069" s="286"/>
      <c r="W1069" s="286"/>
      <c r="X1069" s="286"/>
      <c r="Y1069" s="286"/>
      <c r="Z1069" s="286"/>
      <c r="AA1069" s="286"/>
    </row>
    <row r="1070">
      <c r="A1070" s="327"/>
      <c r="B1070" s="245"/>
      <c r="C1070" s="286"/>
      <c r="D1070" s="328"/>
      <c r="E1070" s="286"/>
      <c r="F1070" s="329"/>
      <c r="G1070" s="286" t="str">
        <f>IFERROR(__xludf.DUMMYFUNCTION("""COMPUTED_VALUE"""),"DECK 10 TOBLERONE CUMARU PREMIUM 3 X 3 COMPR. VARIAVEIS")</f>
        <v>DECK 10 TOBLERONE CUMARU PREMIUM 3 X 3 COMPR. VARIAVEIS</v>
      </c>
      <c r="I1070" s="271" t="str">
        <f t="shared" si="5"/>
        <v/>
      </c>
      <c r="J1070" s="330"/>
      <c r="K1070" s="329"/>
      <c r="L1070" s="286"/>
      <c r="M1070" s="286"/>
      <c r="N1070" s="286"/>
      <c r="O1070" s="286"/>
      <c r="P1070" s="286"/>
      <c r="Q1070" s="286"/>
      <c r="R1070" s="286"/>
      <c r="S1070" s="286"/>
      <c r="T1070" s="286"/>
      <c r="U1070" s="286"/>
      <c r="V1070" s="286"/>
      <c r="W1070" s="286"/>
      <c r="X1070" s="286"/>
      <c r="Y1070" s="286"/>
      <c r="Z1070" s="286"/>
      <c r="AA1070" s="286"/>
    </row>
    <row r="1071">
      <c r="A1071" s="327"/>
      <c r="B1071" s="245"/>
      <c r="C1071" s="286"/>
      <c r="D1071" s="328"/>
      <c r="E1071" s="286"/>
      <c r="F1071" s="329"/>
      <c r="G1071" s="286" t="str">
        <f>IFERROR(__xludf.DUMMYFUNCTION("""COMPUTED_VALUE"""),"DECK 10 TOBLERONE CATUABA PREMIUM 3 X 3 COMPR. VARIAVEIS")</f>
        <v>DECK 10 TOBLERONE CATUABA PREMIUM 3 X 3 COMPR. VARIAVEIS</v>
      </c>
      <c r="I1071" s="271" t="str">
        <f t="shared" si="5"/>
        <v/>
      </c>
      <c r="J1071" s="330"/>
      <c r="K1071" s="329"/>
      <c r="L1071" s="286"/>
      <c r="M1071" s="286"/>
      <c r="N1071" s="286"/>
      <c r="O1071" s="286"/>
      <c r="P1071" s="286"/>
      <c r="Q1071" s="286"/>
      <c r="R1071" s="286"/>
      <c r="S1071" s="286"/>
      <c r="T1071" s="286"/>
      <c r="U1071" s="286"/>
      <c r="V1071" s="286"/>
      <c r="W1071" s="286"/>
      <c r="X1071" s="286"/>
      <c r="Y1071" s="286"/>
      <c r="Z1071" s="286"/>
      <c r="AA1071" s="286"/>
    </row>
    <row r="1072">
      <c r="A1072" s="327"/>
      <c r="B1072" s="245"/>
      <c r="C1072" s="286"/>
      <c r="D1072" s="328"/>
      <c r="E1072" s="286"/>
      <c r="F1072" s="329"/>
      <c r="G1072" s="286" t="str">
        <f>IFERROR(__xludf.DUMMYFUNCTION("""COMPUTED_VALUE"""),"DECK 10 TOBLERONE CABREUVA BRANCA PREMIUM 3 X 3 COMPR. VARIAVEIS")</f>
        <v>DECK 10 TOBLERONE CABREUVA BRANCA PREMIUM 3 X 3 COMPR. VARIAVEIS</v>
      </c>
      <c r="I1072" s="271" t="str">
        <f t="shared" si="5"/>
        <v/>
      </c>
      <c r="J1072" s="330"/>
      <c r="K1072" s="329"/>
      <c r="L1072" s="286"/>
      <c r="M1072" s="286"/>
      <c r="N1072" s="286"/>
      <c r="O1072" s="286"/>
      <c r="P1072" s="286"/>
      <c r="Q1072" s="286"/>
      <c r="R1072" s="286"/>
      <c r="S1072" s="286"/>
      <c r="T1072" s="286"/>
      <c r="U1072" s="286"/>
      <c r="V1072" s="286"/>
      <c r="W1072" s="286"/>
      <c r="X1072" s="286"/>
      <c r="Y1072" s="286"/>
      <c r="Z1072" s="286"/>
      <c r="AA1072" s="286"/>
    </row>
    <row r="1073">
      <c r="A1073" s="327"/>
      <c r="B1073" s="245"/>
      <c r="C1073" s="286"/>
      <c r="D1073" s="328"/>
      <c r="E1073" s="286"/>
      <c r="F1073" s="329"/>
      <c r="G1073" s="286" t="str">
        <f>IFERROR(__xludf.DUMMYFUNCTION("""COMPUTED_VALUE"""),"DECK 10 TOBLERONE CABREUVA DOURADA PREMIUM 3 X 3 COMPR. VARIAVEIS")</f>
        <v>DECK 10 TOBLERONE CABREUVA DOURADA PREMIUM 3 X 3 COMPR. VARIAVEIS</v>
      </c>
      <c r="I1073" s="271" t="str">
        <f t="shared" si="5"/>
        <v/>
      </c>
      <c r="J1073" s="330"/>
      <c r="K1073" s="329"/>
      <c r="L1073" s="286"/>
      <c r="M1073" s="286"/>
      <c r="N1073" s="286"/>
      <c r="O1073" s="286"/>
      <c r="P1073" s="286"/>
      <c r="Q1073" s="286"/>
      <c r="R1073" s="286"/>
      <c r="S1073" s="286"/>
      <c r="T1073" s="286"/>
      <c r="U1073" s="286"/>
      <c r="V1073" s="286"/>
      <c r="W1073" s="286"/>
      <c r="X1073" s="286"/>
      <c r="Y1073" s="286"/>
      <c r="Z1073" s="286"/>
      <c r="AA1073" s="286"/>
    </row>
    <row r="1074">
      <c r="A1074" s="327"/>
      <c r="B1074" s="245"/>
      <c r="C1074" s="286"/>
      <c r="D1074" s="328"/>
      <c r="E1074" s="286"/>
      <c r="F1074" s="329"/>
      <c r="G1074" s="286" t="str">
        <f>IFERROR(__xludf.DUMMYFUNCTION("""COMPUTED_VALUE"""),"DECK 10 TOBLERONE TAUARI PREMIUM 3 X 3 COMPR. VARIAVEIS")</f>
        <v>DECK 10 TOBLERONE TAUARI PREMIUM 3 X 3 COMPR. VARIAVEIS</v>
      </c>
      <c r="I1074" s="271" t="str">
        <f t="shared" si="5"/>
        <v/>
      </c>
      <c r="J1074" s="330"/>
      <c r="K1074" s="329"/>
      <c r="L1074" s="286"/>
      <c r="M1074" s="286"/>
      <c r="N1074" s="286"/>
      <c r="O1074" s="286"/>
      <c r="P1074" s="286"/>
      <c r="Q1074" s="286"/>
      <c r="R1074" s="286"/>
      <c r="S1074" s="286"/>
      <c r="T1074" s="286"/>
      <c r="U1074" s="286"/>
      <c r="V1074" s="286"/>
      <c r="W1074" s="286"/>
      <c r="X1074" s="286"/>
      <c r="Y1074" s="286"/>
      <c r="Z1074" s="286"/>
      <c r="AA1074" s="286"/>
    </row>
    <row r="1075">
      <c r="A1075" s="327"/>
      <c r="B1075" s="245"/>
      <c r="C1075" s="286"/>
      <c r="D1075" s="328"/>
      <c r="E1075" s="286"/>
      <c r="F1075" s="329"/>
      <c r="G1075" s="286" t="str">
        <f>IFERROR(__xludf.DUMMYFUNCTION("""COMPUTED_VALUE"""),"DECK 10 TOBLERONE PEROBA PREMIUM 3 X 3 COMPR. VARIAVEIS")</f>
        <v>DECK 10 TOBLERONE PEROBA PREMIUM 3 X 3 COMPR. VARIAVEIS</v>
      </c>
      <c r="I1075" s="271" t="str">
        <f t="shared" si="5"/>
        <v/>
      </c>
      <c r="J1075" s="330"/>
      <c r="K1075" s="329"/>
      <c r="L1075" s="286"/>
      <c r="M1075" s="286"/>
      <c r="N1075" s="286"/>
      <c r="O1075" s="286"/>
      <c r="P1075" s="286"/>
      <c r="Q1075" s="286"/>
      <c r="R1075" s="286"/>
      <c r="S1075" s="286"/>
      <c r="T1075" s="286"/>
      <c r="U1075" s="286"/>
      <c r="V1075" s="286"/>
      <c r="W1075" s="286"/>
      <c r="X1075" s="286"/>
      <c r="Y1075" s="286"/>
      <c r="Z1075" s="286"/>
      <c r="AA1075" s="286"/>
    </row>
    <row r="1076">
      <c r="A1076" s="327"/>
      <c r="B1076" s="245"/>
      <c r="C1076" s="286"/>
      <c r="D1076" s="328"/>
      <c r="E1076" s="286"/>
      <c r="F1076" s="329"/>
      <c r="G1076" s="286" t="str">
        <f>IFERROR(__xludf.DUMMYFUNCTION("""COMPUTED_VALUE"""),"DECK 10 TOBLERONE LORO PARDO PREMIUM 3 X 3 COMPR. VARIAVEIS")</f>
        <v>DECK 10 TOBLERONE LORO PARDO PREMIUM 3 X 3 COMPR. VARIAVEIS</v>
      </c>
      <c r="I1076" s="271" t="str">
        <f t="shared" si="5"/>
        <v/>
      </c>
      <c r="J1076" s="330"/>
      <c r="K1076" s="329"/>
      <c r="L1076" s="286"/>
      <c r="M1076" s="286"/>
      <c r="N1076" s="286"/>
      <c r="O1076" s="286"/>
      <c r="P1076" s="286"/>
      <c r="Q1076" s="286"/>
      <c r="R1076" s="286"/>
      <c r="S1076" s="286"/>
      <c r="T1076" s="286"/>
      <c r="U1076" s="286"/>
      <c r="V1076" s="286"/>
      <c r="W1076" s="286"/>
      <c r="X1076" s="286"/>
      <c r="Y1076" s="286"/>
      <c r="Z1076" s="286"/>
      <c r="AA1076" s="286"/>
    </row>
    <row r="1077">
      <c r="A1077" s="327"/>
      <c r="B1077" s="245"/>
      <c r="C1077" s="286"/>
      <c r="D1077" s="328"/>
      <c r="E1077" s="286"/>
      <c r="F1077" s="329"/>
      <c r="G1077" s="286" t="str">
        <f>IFERROR(__xludf.DUMMYFUNCTION("""COMPUTED_VALUE"""),"DECK 10 DECK CUMARU PREMIUM TG 2,5 X 5 X COMPR. VARIAVEIS")</f>
        <v>DECK 10 DECK CUMARU PREMIUM TG 2,5 X 5 X COMPR. VARIAVEIS</v>
      </c>
      <c r="I1077" s="271" t="str">
        <f t="shared" si="5"/>
        <v/>
      </c>
      <c r="J1077" s="330"/>
      <c r="K1077" s="329"/>
      <c r="L1077" s="286"/>
      <c r="M1077" s="286"/>
      <c r="N1077" s="286"/>
      <c r="O1077" s="286"/>
      <c r="P1077" s="286"/>
      <c r="Q1077" s="286"/>
      <c r="R1077" s="286"/>
      <c r="S1077" s="286"/>
      <c r="T1077" s="286"/>
      <c r="U1077" s="286"/>
      <c r="V1077" s="286"/>
      <c r="W1077" s="286"/>
      <c r="X1077" s="286"/>
      <c r="Y1077" s="286"/>
      <c r="Z1077" s="286"/>
      <c r="AA1077" s="286"/>
    </row>
    <row r="1078">
      <c r="A1078" s="327"/>
      <c r="B1078" s="245"/>
      <c r="C1078" s="286"/>
      <c r="D1078" s="328"/>
      <c r="E1078" s="286"/>
      <c r="F1078" s="329"/>
      <c r="G1078" s="286" t="str">
        <f>IFERROR(__xludf.DUMMYFUNCTION("""COMPUTED_VALUE"""),"DECK 10 DECK CUMARU PREMIUM TG 2,5 X 10 X COMPR. VARIAVEIS")</f>
        <v>DECK 10 DECK CUMARU PREMIUM TG 2,5 X 10 X COMPR. VARIAVEIS</v>
      </c>
      <c r="H1078" s="283" t="s">
        <v>1178</v>
      </c>
      <c r="I1078" s="271" t="str">
        <f t="shared" si="5"/>
        <v/>
      </c>
      <c r="J1078" s="330"/>
      <c r="K1078" s="329"/>
      <c r="L1078" s="286" t="s">
        <v>1178</v>
      </c>
      <c r="M1078" s="286"/>
      <c r="N1078" s="286"/>
      <c r="O1078" s="286"/>
      <c r="P1078" s="286"/>
      <c r="Q1078" s="286"/>
      <c r="R1078" s="286"/>
      <c r="S1078" s="286"/>
      <c r="T1078" s="286"/>
      <c r="U1078" s="286"/>
      <c r="V1078" s="286"/>
      <c r="W1078" s="286"/>
      <c r="X1078" s="286"/>
      <c r="Y1078" s="286"/>
      <c r="Z1078" s="286"/>
      <c r="AA1078" s="286"/>
    </row>
    <row r="1079">
      <c r="A1079" s="327"/>
      <c r="B1079" s="245"/>
      <c r="C1079" s="286"/>
      <c r="D1079" s="328"/>
      <c r="E1079" s="286"/>
      <c r="F1079" s="329"/>
      <c r="G1079" s="286" t="str">
        <f>IFERROR(__xludf.DUMMYFUNCTION("""COMPUTED_VALUE"""),"DECK 10 DECK CATUABA PREMIUM TG 2,5 X 5 X COMPR. VARIAVEIS")</f>
        <v>DECK 10 DECK CATUABA PREMIUM TG 2,5 X 5 X COMPR. VARIAVEIS</v>
      </c>
      <c r="H1079" s="283" t="s">
        <v>1179</v>
      </c>
      <c r="I1079" s="271" t="str">
        <f t="shared" si="5"/>
        <v/>
      </c>
      <c r="J1079" s="330"/>
      <c r="K1079" s="329"/>
      <c r="L1079" s="286" t="s">
        <v>1179</v>
      </c>
      <c r="M1079" s="286"/>
      <c r="N1079" s="286"/>
      <c r="O1079" s="286"/>
      <c r="P1079" s="286"/>
      <c r="Q1079" s="286"/>
      <c r="R1079" s="286"/>
      <c r="S1079" s="286"/>
      <c r="T1079" s="286"/>
      <c r="U1079" s="286"/>
      <c r="V1079" s="286"/>
      <c r="W1079" s="286"/>
      <c r="X1079" s="286"/>
      <c r="Y1079" s="286"/>
      <c r="Z1079" s="286"/>
      <c r="AA1079" s="286"/>
    </row>
    <row r="1080">
      <c r="A1080" s="327"/>
      <c r="B1080" s="245"/>
      <c r="C1080" s="286"/>
      <c r="D1080" s="328"/>
      <c r="E1080" s="286"/>
      <c r="F1080" s="329"/>
      <c r="G1080" s="286" t="str">
        <f>IFERROR(__xludf.DUMMYFUNCTION("""COMPUTED_VALUE"""),"DECK 10 DECK CATUABA PREMIUM TG 2,5 X 10 X COMPR. VARIAVEIS")</f>
        <v>DECK 10 DECK CATUABA PREMIUM TG 2,5 X 10 X COMPR. VARIAVEIS</v>
      </c>
      <c r="H1080" s="283" t="s">
        <v>1180</v>
      </c>
      <c r="I1080" s="271" t="str">
        <f t="shared" si="5"/>
        <v/>
      </c>
      <c r="J1080" s="330"/>
      <c r="K1080" s="329"/>
      <c r="L1080" s="286" t="s">
        <v>1180</v>
      </c>
      <c r="M1080" s="286"/>
      <c r="N1080" s="286"/>
      <c r="O1080" s="286"/>
      <c r="P1080" s="286"/>
      <c r="Q1080" s="286"/>
      <c r="R1080" s="286"/>
      <c r="S1080" s="286"/>
      <c r="T1080" s="286"/>
      <c r="U1080" s="286"/>
      <c r="V1080" s="286"/>
      <c r="W1080" s="286"/>
      <c r="X1080" s="286"/>
      <c r="Y1080" s="286"/>
      <c r="Z1080" s="286"/>
      <c r="AA1080" s="286"/>
    </row>
    <row r="1081">
      <c r="A1081" s="327"/>
      <c r="B1081" s="245"/>
      <c r="C1081" s="286"/>
      <c r="D1081" s="328"/>
      <c r="E1081" s="286"/>
      <c r="F1081" s="329"/>
      <c r="G1081" s="286" t="str">
        <f>IFERROR(__xludf.DUMMYFUNCTION("""COMPUTED_VALUE"""),"DECK 10 DECK CABREUVA BRANCA PREMIUM TG 2,5 X 5 X COMPR. VARIAVEIS")</f>
        <v>DECK 10 DECK CABREUVA BRANCA PREMIUM TG 2,5 X 5 X COMPR. VARIAVEIS</v>
      </c>
      <c r="H1081" s="283" t="s">
        <v>1181</v>
      </c>
      <c r="I1081" s="271" t="str">
        <f t="shared" si="5"/>
        <v/>
      </c>
      <c r="J1081" s="330"/>
      <c r="K1081" s="329"/>
      <c r="L1081" s="286" t="s">
        <v>1181</v>
      </c>
      <c r="M1081" s="286"/>
      <c r="N1081" s="286"/>
      <c r="O1081" s="286"/>
      <c r="P1081" s="286"/>
      <c r="Q1081" s="286"/>
      <c r="R1081" s="286"/>
      <c r="S1081" s="286"/>
      <c r="T1081" s="286"/>
      <c r="U1081" s="286"/>
      <c r="V1081" s="286"/>
      <c r="W1081" s="286"/>
      <c r="X1081" s="286"/>
      <c r="Y1081" s="286"/>
      <c r="Z1081" s="286"/>
      <c r="AA1081" s="286"/>
    </row>
    <row r="1082">
      <c r="A1082" s="327"/>
      <c r="B1082" s="245"/>
      <c r="C1082" s="286"/>
      <c r="D1082" s="328"/>
      <c r="E1082" s="286"/>
      <c r="F1082" s="329"/>
      <c r="G1082" s="286" t="str">
        <f>IFERROR(__xludf.DUMMYFUNCTION("""COMPUTED_VALUE"""),"DECK 10 DECK CABREUVA BRANCA PREMIUM TG 2,5 X 10 X COMPR. VARIAVEIS")</f>
        <v>DECK 10 DECK CABREUVA BRANCA PREMIUM TG 2,5 X 10 X COMPR. VARIAVEIS</v>
      </c>
      <c r="H1082" s="283" t="s">
        <v>1182</v>
      </c>
      <c r="I1082" s="271" t="str">
        <f t="shared" si="5"/>
        <v/>
      </c>
      <c r="J1082" s="330"/>
      <c r="K1082" s="329"/>
      <c r="L1082" s="286" t="s">
        <v>1182</v>
      </c>
      <c r="M1082" s="286"/>
      <c r="N1082" s="286"/>
      <c r="O1082" s="286"/>
      <c r="P1082" s="286"/>
      <c r="Q1082" s="286"/>
      <c r="R1082" s="286"/>
      <c r="S1082" s="286"/>
      <c r="T1082" s="286"/>
      <c r="U1082" s="286"/>
      <c r="V1082" s="286"/>
      <c r="W1082" s="286"/>
      <c r="X1082" s="286"/>
      <c r="Y1082" s="286"/>
      <c r="Z1082" s="286"/>
      <c r="AA1082" s="286"/>
    </row>
    <row r="1083">
      <c r="A1083" s="327"/>
      <c r="B1083" s="245"/>
      <c r="C1083" s="286"/>
      <c r="D1083" s="328"/>
      <c r="E1083" s="286"/>
      <c r="F1083" s="329"/>
      <c r="G1083" s="286" t="str">
        <f>IFERROR(__xludf.DUMMYFUNCTION("""COMPUTED_VALUE"""),"DECK 10 DECK CABREUVA DOURADA PREMIUM TG 2,5 X 5 X COMPR. VARIAVEIS")</f>
        <v>DECK 10 DECK CABREUVA DOURADA PREMIUM TG 2,5 X 5 X COMPR. VARIAVEIS</v>
      </c>
      <c r="H1083" s="283" t="s">
        <v>1183</v>
      </c>
      <c r="I1083" s="271" t="str">
        <f t="shared" si="5"/>
        <v/>
      </c>
      <c r="J1083" s="330"/>
      <c r="K1083" s="329"/>
      <c r="L1083" s="286" t="s">
        <v>1183</v>
      </c>
      <c r="M1083" s="286"/>
      <c r="N1083" s="286"/>
      <c r="O1083" s="286"/>
      <c r="P1083" s="286"/>
      <c r="Q1083" s="286"/>
      <c r="R1083" s="286"/>
      <c r="S1083" s="286"/>
      <c r="T1083" s="286"/>
      <c r="U1083" s="286"/>
      <c r="V1083" s="286"/>
      <c r="W1083" s="286"/>
      <c r="X1083" s="286"/>
      <c r="Y1083" s="286"/>
      <c r="Z1083" s="286"/>
      <c r="AA1083" s="286"/>
    </row>
    <row r="1084">
      <c r="A1084" s="327"/>
      <c r="B1084" s="245"/>
      <c r="C1084" s="286"/>
      <c r="D1084" s="328"/>
      <c r="E1084" s="286"/>
      <c r="F1084" s="329"/>
      <c r="G1084" s="286" t="str">
        <f>IFERROR(__xludf.DUMMYFUNCTION("""COMPUTED_VALUE"""),"DECK 10 DECK CABREUVA DOURADA PREMIUM TG 2,5 X 10 X COMPR. VARIAVEIS")</f>
        <v>DECK 10 DECK CABREUVA DOURADA PREMIUM TG 2,5 X 10 X COMPR. VARIAVEIS</v>
      </c>
      <c r="H1084" s="283" t="s">
        <v>1184</v>
      </c>
      <c r="I1084" s="271" t="str">
        <f t="shared" si="5"/>
        <v/>
      </c>
      <c r="J1084" s="330"/>
      <c r="K1084" s="329"/>
      <c r="L1084" s="286" t="s">
        <v>1184</v>
      </c>
      <c r="M1084" s="286"/>
      <c r="N1084" s="286"/>
      <c r="O1084" s="286"/>
      <c r="P1084" s="286"/>
      <c r="Q1084" s="286"/>
      <c r="R1084" s="286"/>
      <c r="S1084" s="286"/>
      <c r="T1084" s="286"/>
      <c r="U1084" s="286"/>
      <c r="V1084" s="286"/>
      <c r="W1084" s="286"/>
      <c r="X1084" s="286"/>
      <c r="Y1084" s="286"/>
      <c r="Z1084" s="286"/>
      <c r="AA1084" s="286"/>
    </row>
    <row r="1085">
      <c r="A1085" s="327"/>
      <c r="B1085" s="245"/>
      <c r="C1085" s="286"/>
      <c r="D1085" s="328"/>
      <c r="E1085" s="286"/>
      <c r="F1085" s="329"/>
      <c r="G1085" s="286" t="str">
        <f>IFERROR(__xludf.DUMMYFUNCTION("""COMPUTED_VALUE"""),"DECK 10 DECK TAUARI PREMIUM TG 2,5 X 5 X COMPR. VARIAVEIS")</f>
        <v>DECK 10 DECK TAUARI PREMIUM TG 2,5 X 5 X COMPR. VARIAVEIS</v>
      </c>
      <c r="H1085" s="283" t="s">
        <v>1185</v>
      </c>
      <c r="I1085" s="271" t="str">
        <f t="shared" si="5"/>
        <v/>
      </c>
      <c r="J1085" s="330"/>
      <c r="K1085" s="329"/>
      <c r="L1085" s="286" t="s">
        <v>1185</v>
      </c>
      <c r="M1085" s="286"/>
      <c r="N1085" s="286"/>
      <c r="O1085" s="286"/>
      <c r="P1085" s="286"/>
      <c r="Q1085" s="286"/>
      <c r="R1085" s="286"/>
      <c r="S1085" s="286"/>
      <c r="T1085" s="286"/>
      <c r="U1085" s="286"/>
      <c r="V1085" s="286"/>
      <c r="W1085" s="286"/>
      <c r="X1085" s="286"/>
      <c r="Y1085" s="286"/>
      <c r="Z1085" s="286"/>
      <c r="AA1085" s="286"/>
    </row>
    <row r="1086">
      <c r="A1086" s="327"/>
      <c r="B1086" s="245"/>
      <c r="C1086" s="286"/>
      <c r="D1086" s="328"/>
      <c r="E1086" s="286"/>
      <c r="F1086" s="329"/>
      <c r="G1086" s="286" t="str">
        <f>IFERROR(__xludf.DUMMYFUNCTION("""COMPUTED_VALUE"""),"DECK 10 DECK TAUARI PREMIUM TG 2,5 X 10 X COMPR. VARIAVEIS")</f>
        <v>DECK 10 DECK TAUARI PREMIUM TG 2,5 X 10 X COMPR. VARIAVEIS</v>
      </c>
      <c r="H1086" s="283" t="s">
        <v>1186</v>
      </c>
      <c r="I1086" s="271" t="str">
        <f t="shared" si="5"/>
        <v/>
      </c>
      <c r="J1086" s="330"/>
      <c r="K1086" s="329"/>
      <c r="L1086" s="286" t="s">
        <v>1186</v>
      </c>
      <c r="M1086" s="286"/>
      <c r="N1086" s="286"/>
      <c r="O1086" s="286"/>
      <c r="P1086" s="286"/>
      <c r="Q1086" s="286"/>
      <c r="R1086" s="286"/>
      <c r="S1086" s="286"/>
      <c r="T1086" s="286"/>
      <c r="U1086" s="286"/>
      <c r="V1086" s="286"/>
      <c r="W1086" s="286"/>
      <c r="X1086" s="286"/>
      <c r="Y1086" s="286"/>
      <c r="Z1086" s="286"/>
      <c r="AA1086" s="286"/>
    </row>
    <row r="1087">
      <c r="A1087" s="327"/>
      <c r="B1087" s="245"/>
      <c r="C1087" s="286"/>
      <c r="D1087" s="328"/>
      <c r="E1087" s="286"/>
      <c r="F1087" s="329"/>
      <c r="G1087" s="286" t="str">
        <f>IFERROR(__xludf.DUMMYFUNCTION("""COMPUTED_VALUE"""),"DECK 10 DECK PEROBA PREMIUM TG 2,5 X 5 X COMPR. VARIAVEIS")</f>
        <v>DECK 10 DECK PEROBA PREMIUM TG 2,5 X 5 X COMPR. VARIAVEIS</v>
      </c>
      <c r="H1087" s="283" t="s">
        <v>1187</v>
      </c>
      <c r="I1087" s="271" t="str">
        <f t="shared" si="5"/>
        <v/>
      </c>
      <c r="J1087" s="330"/>
      <c r="K1087" s="329"/>
      <c r="L1087" s="286" t="s">
        <v>1187</v>
      </c>
      <c r="M1087" s="286"/>
      <c r="N1087" s="286"/>
      <c r="O1087" s="286"/>
      <c r="P1087" s="286"/>
      <c r="Q1087" s="286"/>
      <c r="R1087" s="286"/>
      <c r="S1087" s="286"/>
      <c r="T1087" s="286"/>
      <c r="U1087" s="286"/>
      <c r="V1087" s="286"/>
      <c r="W1087" s="286"/>
      <c r="X1087" s="286"/>
      <c r="Y1087" s="286"/>
      <c r="Z1087" s="286"/>
      <c r="AA1087" s="286"/>
    </row>
    <row r="1088">
      <c r="A1088" s="327"/>
      <c r="B1088" s="245"/>
      <c r="C1088" s="286"/>
      <c r="D1088" s="328"/>
      <c r="E1088" s="286"/>
      <c r="F1088" s="329"/>
      <c r="G1088" s="286" t="str">
        <f>IFERROR(__xludf.DUMMYFUNCTION("""COMPUTED_VALUE"""),"DECK 10 DECK PEROBA PREMIUM TG 2,5 X 10 X COMPR. VARIAVEIS")</f>
        <v>DECK 10 DECK PEROBA PREMIUM TG 2,5 X 10 X COMPR. VARIAVEIS</v>
      </c>
      <c r="H1088" s="283" t="s">
        <v>1188</v>
      </c>
      <c r="I1088" s="271" t="str">
        <f t="shared" si="5"/>
        <v/>
      </c>
      <c r="J1088" s="330"/>
      <c r="K1088" s="329"/>
      <c r="L1088" s="286" t="s">
        <v>1188</v>
      </c>
      <c r="M1088" s="286"/>
      <c r="N1088" s="286"/>
      <c r="O1088" s="286"/>
      <c r="P1088" s="286"/>
      <c r="Q1088" s="286"/>
      <c r="R1088" s="286"/>
      <c r="S1088" s="286"/>
      <c r="T1088" s="286"/>
      <c r="U1088" s="286"/>
      <c r="V1088" s="286"/>
      <c r="W1088" s="286"/>
      <c r="X1088" s="286"/>
      <c r="Y1088" s="286"/>
      <c r="Z1088" s="286"/>
      <c r="AA1088" s="286"/>
    </row>
    <row r="1089">
      <c r="A1089" s="327"/>
      <c r="B1089" s="245"/>
      <c r="C1089" s="286"/>
      <c r="D1089" s="328"/>
      <c r="E1089" s="286"/>
      <c r="F1089" s="329"/>
      <c r="G1089" s="286" t="str">
        <f>IFERROR(__xludf.DUMMYFUNCTION("""COMPUTED_VALUE"""),"DECK 10 DECK BAMBU CARAMEL ALTA DENSIDADE")</f>
        <v>DECK 10 DECK BAMBU CARAMEL ALTA DENSIDADE</v>
      </c>
      <c r="H1089" s="283" t="s">
        <v>1189</v>
      </c>
      <c r="I1089" s="271" t="str">
        <f t="shared" si="5"/>
        <v/>
      </c>
      <c r="J1089" s="330"/>
      <c r="K1089" s="329"/>
      <c r="L1089" s="286" t="s">
        <v>1189</v>
      </c>
      <c r="M1089" s="286"/>
      <c r="N1089" s="286"/>
      <c r="O1089" s="286"/>
      <c r="P1089" s="286"/>
      <c r="Q1089" s="286"/>
      <c r="R1089" s="286"/>
      <c r="S1089" s="286"/>
      <c r="T1089" s="286"/>
      <c r="U1089" s="286"/>
      <c r="V1089" s="286"/>
      <c r="W1089" s="286"/>
      <c r="X1089" s="286"/>
      <c r="Y1089" s="286"/>
      <c r="Z1089" s="286"/>
      <c r="AA1089" s="286"/>
    </row>
    <row r="1090">
      <c r="A1090" s="327"/>
      <c r="B1090" s="245"/>
      <c r="C1090" s="286"/>
      <c r="D1090" s="328"/>
      <c r="E1090" s="286"/>
      <c r="F1090" s="329"/>
      <c r="G1090" s="286" t="str">
        <f>IFERROR(__xludf.DUMMYFUNCTION("""COMPUTED_VALUE"""),"DECK 10 DECK BPC CINZA ESCURO 2 X15X 290CM PÇ/0.435M2")</f>
        <v>DECK 10 DECK BPC CINZA ESCURO 2 X15X 290CM PÇ/0.435M2</v>
      </c>
      <c r="H1090" s="283" t="s">
        <v>1190</v>
      </c>
      <c r="I1090" s="271" t="str">
        <f t="shared" si="5"/>
        <v/>
      </c>
      <c r="J1090" s="330"/>
      <c r="K1090" s="329"/>
      <c r="L1090" s="286" t="s">
        <v>1190</v>
      </c>
      <c r="M1090" s="286"/>
      <c r="N1090" s="286"/>
      <c r="O1090" s="286"/>
      <c r="P1090" s="286"/>
      <c r="Q1090" s="286"/>
      <c r="R1090" s="286"/>
      <c r="S1090" s="286"/>
      <c r="T1090" s="286"/>
      <c r="U1090" s="286"/>
      <c r="V1090" s="286"/>
      <c r="W1090" s="286"/>
      <c r="X1090" s="286"/>
      <c r="Y1090" s="286"/>
      <c r="Z1090" s="286"/>
      <c r="AA1090" s="286"/>
    </row>
    <row r="1091">
      <c r="A1091" s="327"/>
      <c r="B1091" s="245"/>
      <c r="C1091" s="286"/>
      <c r="D1091" s="328"/>
      <c r="E1091" s="286"/>
      <c r="F1091" s="329"/>
      <c r="G1091" s="286" t="str">
        <f>IFERROR(__xludf.DUMMYFUNCTION("""COMPUTED_VALUE"""),"DECK 10 DECK BPC MORROM 2X15X220CM")</f>
        <v>DECK 10 DECK BPC MORROM 2X15X220CM</v>
      </c>
      <c r="H1091" s="283" t="s">
        <v>1191</v>
      </c>
      <c r="I1091" s="271" t="str">
        <f t="shared" si="5"/>
        <v/>
      </c>
      <c r="J1091" s="330"/>
      <c r="K1091" s="329"/>
      <c r="L1091" s="286" t="s">
        <v>1191</v>
      </c>
      <c r="M1091" s="286"/>
      <c r="N1091" s="286"/>
      <c r="O1091" s="286"/>
      <c r="P1091" s="286"/>
      <c r="Q1091" s="286"/>
      <c r="R1091" s="286"/>
      <c r="S1091" s="286"/>
      <c r="T1091" s="286"/>
      <c r="U1091" s="286"/>
      <c r="V1091" s="286"/>
      <c r="W1091" s="286"/>
      <c r="X1091" s="286"/>
      <c r="Y1091" s="286"/>
      <c r="Z1091" s="286"/>
      <c r="AA1091" s="286"/>
    </row>
    <row r="1092">
      <c r="A1092" s="327"/>
      <c r="B1092" s="245"/>
      <c r="C1092" s="286"/>
      <c r="D1092" s="328"/>
      <c r="E1092" s="286"/>
      <c r="F1092" s="329"/>
      <c r="G1092" s="286" t="str">
        <f>IFERROR(__xludf.DUMMYFUNCTION("""COMPUTED_VALUE"""),"DECK 10 DECK WPC CINZA 2,2*14,6*220CM")</f>
        <v>DECK 10 DECK WPC CINZA 2,2*14,6*220CM</v>
      </c>
      <c r="H1092" s="283" t="s">
        <v>1192</v>
      </c>
      <c r="I1092" s="271" t="str">
        <f t="shared" si="5"/>
        <v/>
      </c>
      <c r="J1092" s="330"/>
      <c r="K1092" s="329"/>
      <c r="L1092" s="286" t="s">
        <v>1192</v>
      </c>
      <c r="M1092" s="286"/>
      <c r="N1092" s="286"/>
      <c r="O1092" s="286"/>
      <c r="P1092" s="286"/>
      <c r="Q1092" s="286"/>
      <c r="R1092" s="286"/>
      <c r="S1092" s="286"/>
      <c r="T1092" s="286"/>
      <c r="U1092" s="286"/>
      <c r="V1092" s="286"/>
      <c r="W1092" s="286"/>
      <c r="X1092" s="286"/>
      <c r="Y1092" s="286"/>
      <c r="Z1092" s="286"/>
      <c r="AA1092" s="286"/>
    </row>
    <row r="1093">
      <c r="A1093" s="327"/>
      <c r="B1093" s="245"/>
      <c r="C1093" s="286"/>
      <c r="D1093" s="328"/>
      <c r="E1093" s="286"/>
      <c r="F1093" s="329"/>
      <c r="G1093" s="286" t="str">
        <f>IFERROR(__xludf.DUMMYFUNCTION("""COMPUTED_VALUE"""),"DECK 10 PEROBA RUSTICA DE DEMOLIÇÃO")</f>
        <v>DECK 10 PEROBA RUSTICA DE DEMOLIÇÃO</v>
      </c>
      <c r="H1093" s="283" t="s">
        <v>1193</v>
      </c>
      <c r="I1093" s="271" t="str">
        <f t="shared" si="5"/>
        <v/>
      </c>
      <c r="J1093" s="330"/>
      <c r="K1093" s="329"/>
      <c r="L1093" s="286" t="s">
        <v>1193</v>
      </c>
      <c r="M1093" s="286"/>
      <c r="N1093" s="286"/>
      <c r="O1093" s="286"/>
      <c r="P1093" s="286"/>
      <c r="Q1093" s="286"/>
      <c r="R1093" s="286"/>
      <c r="S1093" s="286"/>
      <c r="T1093" s="286"/>
      <c r="U1093" s="286"/>
      <c r="V1093" s="286"/>
      <c r="W1093" s="286"/>
      <c r="X1093" s="286"/>
      <c r="Y1093" s="286"/>
      <c r="Z1093" s="286"/>
      <c r="AA1093" s="286"/>
    </row>
    <row r="1094">
      <c r="A1094" s="327"/>
      <c r="B1094" s="245"/>
      <c r="C1094" s="286"/>
      <c r="D1094" s="328"/>
      <c r="E1094" s="286"/>
      <c r="F1094" s="329"/>
      <c r="G1094" s="286" t="str">
        <f>IFERROR(__xludf.DUMMYFUNCTION("""COMPUTED_VALUE"""),"DECK 10 CANELA RUSTICA DE DEMOLIÇÃO")</f>
        <v>DECK 10 CANELA RUSTICA DE DEMOLIÇÃO</v>
      </c>
      <c r="H1094" s="283" t="s">
        <v>1194</v>
      </c>
      <c r="I1094" s="271" t="str">
        <f t="shared" si="5"/>
        <v/>
      </c>
      <c r="J1094" s="330"/>
      <c r="K1094" s="329"/>
      <c r="L1094" s="286" t="s">
        <v>1194</v>
      </c>
      <c r="M1094" s="286"/>
      <c r="N1094" s="286"/>
      <c r="O1094" s="286"/>
      <c r="P1094" s="286"/>
      <c r="Q1094" s="286"/>
      <c r="R1094" s="286"/>
      <c r="S1094" s="286"/>
      <c r="T1094" s="286"/>
      <c r="U1094" s="286"/>
      <c r="V1094" s="286"/>
      <c r="W1094" s="286"/>
      <c r="X1094" s="286"/>
      <c r="Y1094" s="286"/>
      <c r="Z1094" s="286"/>
      <c r="AA1094" s="286"/>
    </row>
    <row r="1095">
      <c r="A1095" s="327"/>
      <c r="B1095" s="245"/>
      <c r="C1095" s="286"/>
      <c r="D1095" s="328"/>
      <c r="E1095" s="286"/>
      <c r="F1095" s="329"/>
      <c r="G1095" s="286" t="str">
        <f>IFERROR(__xludf.DUMMYFUNCTION("""COMPUTED_VALUE"""),"DECK 05 CARVALHO EUROPEU MARRONE CHEVRON 15/3 X 1900X 740MM")</f>
        <v>DECK 05 CARVALHO EUROPEU MARRONE CHEVRON 15/3 X 1900X 740MM</v>
      </c>
      <c r="H1095" s="283" t="s">
        <v>1195</v>
      </c>
      <c r="I1095" s="271">
        <f t="shared" si="5"/>
        <v>229.82</v>
      </c>
      <c r="J1095" s="330"/>
      <c r="K1095" s="329"/>
      <c r="L1095" s="286" t="s">
        <v>1195</v>
      </c>
      <c r="M1095" s="286"/>
      <c r="N1095" s="286"/>
      <c r="O1095" s="286"/>
      <c r="P1095" s="286"/>
      <c r="Q1095" s="286"/>
      <c r="R1095" s="286"/>
      <c r="S1095" s="286"/>
      <c r="T1095" s="286"/>
      <c r="U1095" s="286"/>
      <c r="V1095" s="286"/>
      <c r="W1095" s="286"/>
      <c r="X1095" s="286"/>
      <c r="Y1095" s="286"/>
      <c r="Z1095" s="286"/>
      <c r="AA1095" s="286"/>
    </row>
    <row r="1096">
      <c r="A1096" s="327"/>
      <c r="B1096" s="245"/>
      <c r="C1096" s="286"/>
      <c r="D1096" s="328"/>
      <c r="E1096" s="286"/>
      <c r="F1096" s="329"/>
      <c r="G1096" s="286" t="str">
        <f>IFERROR(__xludf.DUMMYFUNCTION("""COMPUTED_VALUE"""),"DECK 05 CARVALHO EUROPEU MARRONE 15/3 X 125 X 1200MM")</f>
        <v>DECK 05 CARVALHO EUROPEU MARRONE 15/3 X 125 X 1200MM</v>
      </c>
      <c r="I1096" s="271">
        <f t="shared" si="5"/>
        <v>194.56</v>
      </c>
      <c r="J1096" s="330"/>
      <c r="K1096" s="329"/>
      <c r="L1096" s="286"/>
      <c r="M1096" s="286"/>
      <c r="N1096" s="286"/>
      <c r="O1096" s="286"/>
      <c r="P1096" s="286"/>
      <c r="Q1096" s="286"/>
      <c r="R1096" s="286"/>
      <c r="S1096" s="286"/>
      <c r="T1096" s="286"/>
      <c r="U1096" s="286"/>
      <c r="V1096" s="286"/>
      <c r="W1096" s="286"/>
      <c r="X1096" s="286"/>
      <c r="Y1096" s="286"/>
      <c r="Z1096" s="286"/>
      <c r="AA1096" s="286"/>
    </row>
    <row r="1097">
      <c r="A1097" s="327"/>
      <c r="B1097" s="245"/>
      <c r="C1097" s="286"/>
      <c r="D1097" s="328"/>
      <c r="E1097" s="286"/>
      <c r="F1097" s="329"/>
      <c r="G1097" s="286" t="str">
        <f>IFERROR(__xludf.DUMMYFUNCTION("""COMPUTED_VALUE"""),"DECK 05 CARVALHO EUROPEU MARRONE 15/3 X 190 X 1900MM")</f>
        <v>DECK 05 CARVALHO EUROPEU MARRONE 15/3 X 190 X 1900MM</v>
      </c>
      <c r="I1097" s="271">
        <f t="shared" si="5"/>
        <v>229.82</v>
      </c>
      <c r="J1097" s="330"/>
      <c r="K1097" s="329"/>
      <c r="L1097" s="286"/>
      <c r="M1097" s="286"/>
      <c r="N1097" s="286"/>
      <c r="O1097" s="286"/>
      <c r="P1097" s="286"/>
      <c r="Q1097" s="286"/>
      <c r="R1097" s="286"/>
      <c r="S1097" s="286"/>
      <c r="T1097" s="286"/>
      <c r="U1097" s="286"/>
      <c r="V1097" s="286"/>
      <c r="W1097" s="286"/>
      <c r="X1097" s="286"/>
      <c r="Y1097" s="286"/>
      <c r="Z1097" s="286"/>
      <c r="AA1097" s="286"/>
    </row>
    <row r="1098">
      <c r="A1098" s="327"/>
      <c r="B1098" s="245"/>
      <c r="C1098" s="286"/>
      <c r="D1098" s="328"/>
      <c r="E1098" s="286"/>
      <c r="F1098" s="329"/>
      <c r="G1098" s="286" t="str">
        <f>IFERROR(__xludf.DUMMYFUNCTION("""COMPUTED_VALUE"""),"DECK 05 CARVALHO EUROPEU MARRONE 20/6 X 300 X 4000MM")</f>
        <v>DECK 05 CARVALHO EUROPEU MARRONE 20/6 X 300 X 4000MM</v>
      </c>
      <c r="I1098" s="271">
        <f t="shared" si="5"/>
        <v>270.56</v>
      </c>
      <c r="J1098" s="330"/>
      <c r="K1098" s="329"/>
      <c r="L1098" s="286"/>
      <c r="M1098" s="286"/>
      <c r="N1098" s="286"/>
      <c r="O1098" s="286"/>
      <c r="P1098" s="286"/>
      <c r="Q1098" s="286"/>
      <c r="R1098" s="286"/>
      <c r="S1098" s="286"/>
      <c r="T1098" s="286"/>
      <c r="U1098" s="286"/>
      <c r="V1098" s="286"/>
      <c r="W1098" s="286"/>
      <c r="X1098" s="286"/>
      <c r="Y1098" s="286"/>
      <c r="Z1098" s="286"/>
      <c r="AA1098" s="286"/>
    </row>
    <row r="1099">
      <c r="A1099" s="327"/>
      <c r="B1099" s="245"/>
      <c r="C1099" s="286"/>
      <c r="D1099" s="328"/>
      <c r="E1099" s="286"/>
      <c r="F1099" s="329"/>
      <c r="G1099" s="286" t="str">
        <f>IFERROR(__xludf.DUMMYFUNCTION("""COMPUTED_VALUE"""),"DECK 05 CARVALHO EUROPEU MARRONE 20/6 X 400 X 5000MM")</f>
        <v>DECK 05 CARVALHO EUROPEU MARRONE 20/6 X 400 X 5000MM</v>
      </c>
      <c r="I1099" s="271">
        <f t="shared" si="5"/>
        <v>304</v>
      </c>
      <c r="J1099" s="330"/>
      <c r="K1099" s="329"/>
      <c r="L1099" s="286"/>
      <c r="M1099" s="286"/>
      <c r="N1099" s="286"/>
      <c r="O1099" s="286"/>
      <c r="P1099" s="286"/>
      <c r="Q1099" s="286"/>
      <c r="R1099" s="286"/>
      <c r="S1099" s="286"/>
      <c r="T1099" s="286"/>
      <c r="U1099" s="286"/>
      <c r="V1099" s="286"/>
      <c r="W1099" s="286"/>
      <c r="X1099" s="286"/>
      <c r="Y1099" s="286"/>
      <c r="Z1099" s="286"/>
      <c r="AA1099" s="286"/>
    </row>
    <row r="1100">
      <c r="A1100" s="327"/>
      <c r="B1100" s="245"/>
      <c r="C1100" s="286"/>
      <c r="D1100" s="328"/>
      <c r="E1100" s="286"/>
      <c r="F1100" s="329"/>
      <c r="G1100" s="286" t="str">
        <f>IFERROR(__xludf.DUMMYFUNCTION("""COMPUTED_VALUE"""),"DECK 05 CARVALHO EUROPEU MONT BLANC CHEVRON 15/3 X 1900X 740MM")</f>
        <v>DECK 05 CARVALHO EUROPEU MONT BLANC CHEVRON 15/3 X 1900X 740MM</v>
      </c>
      <c r="I1100" s="271">
        <f t="shared" si="5"/>
        <v>229.82</v>
      </c>
      <c r="J1100" s="330"/>
      <c r="K1100" s="329"/>
      <c r="L1100" s="286"/>
      <c r="M1100" s="286"/>
      <c r="N1100" s="286"/>
      <c r="O1100" s="286"/>
      <c r="P1100" s="286"/>
      <c r="Q1100" s="286"/>
      <c r="R1100" s="286"/>
      <c r="S1100" s="286"/>
      <c r="T1100" s="286"/>
      <c r="U1100" s="286"/>
      <c r="V1100" s="286"/>
      <c r="W1100" s="286"/>
      <c r="X1100" s="286"/>
      <c r="Y1100" s="286"/>
      <c r="Z1100" s="286"/>
      <c r="AA1100" s="286"/>
    </row>
    <row r="1101">
      <c r="A1101" s="327"/>
      <c r="B1101" s="245"/>
      <c r="C1101" s="286"/>
      <c r="D1101" s="328"/>
      <c r="E1101" s="286"/>
      <c r="F1101" s="329"/>
      <c r="G1101" s="286" t="str">
        <f>IFERROR(__xludf.DUMMYFUNCTION("""COMPUTED_VALUE"""),"DECK 05 CARVALHO EUROPEU MONT BLANC ESPINHA DE PEIXE TG 15/3 X 125X900MM")</f>
        <v>DECK 05 CARVALHO EUROPEU MONT BLANC ESPINHA DE PEIXE TG 15/3 X 125X900MM</v>
      </c>
      <c r="I1101" s="271">
        <f t="shared" si="5"/>
        <v>194.56</v>
      </c>
      <c r="J1101" s="330"/>
      <c r="K1101" s="329"/>
      <c r="L1101" s="286"/>
      <c r="M1101" s="286"/>
      <c r="N1101" s="286"/>
      <c r="O1101" s="286"/>
      <c r="P1101" s="286"/>
      <c r="Q1101" s="286"/>
      <c r="R1101" s="286"/>
      <c r="S1101" s="286"/>
      <c r="T1101" s="286"/>
      <c r="U1101" s="286"/>
      <c r="V1101" s="286"/>
      <c r="W1101" s="286"/>
      <c r="X1101" s="286"/>
      <c r="Y1101" s="286"/>
      <c r="Z1101" s="286"/>
      <c r="AA1101" s="286"/>
    </row>
    <row r="1102">
      <c r="A1102" s="327"/>
      <c r="B1102" s="245"/>
      <c r="C1102" s="286"/>
      <c r="D1102" s="328"/>
      <c r="E1102" s="286"/>
      <c r="F1102" s="329"/>
      <c r="G1102" s="286" t="str">
        <f>IFERROR(__xludf.DUMMYFUNCTION("""COMPUTED_VALUE"""),"DECK 05 CARVALHO EUROPEU MONT BLANC 15/3 X 125 X 1200MM")</f>
        <v>DECK 05 CARVALHO EUROPEU MONT BLANC 15/3 X 125 X 1200MM</v>
      </c>
      <c r="I1102" s="271">
        <f t="shared" si="5"/>
        <v>194.56</v>
      </c>
      <c r="J1102" s="330"/>
      <c r="K1102" s="329"/>
      <c r="L1102" s="286"/>
      <c r="M1102" s="286"/>
      <c r="N1102" s="286"/>
      <c r="O1102" s="286"/>
      <c r="P1102" s="286"/>
      <c r="Q1102" s="286"/>
      <c r="R1102" s="286"/>
      <c r="S1102" s="286"/>
      <c r="T1102" s="286"/>
      <c r="U1102" s="286"/>
      <c r="V1102" s="286"/>
      <c r="W1102" s="286"/>
      <c r="X1102" s="286"/>
      <c r="Y1102" s="286"/>
      <c r="Z1102" s="286"/>
      <c r="AA1102" s="286"/>
    </row>
    <row r="1103">
      <c r="A1103" s="327"/>
      <c r="B1103" s="245"/>
      <c r="C1103" s="286"/>
      <c r="D1103" s="328"/>
      <c r="E1103" s="286"/>
      <c r="F1103" s="329"/>
      <c r="G1103" s="286" t="str">
        <f>IFERROR(__xludf.DUMMYFUNCTION("""COMPUTED_VALUE"""),"DECK 05 CARVALHO EUROPEU MONT BLANC 15/3 X 190 X 1900MM")</f>
        <v>DECK 05 CARVALHO EUROPEU MONT BLANC 15/3 X 190 X 1900MM</v>
      </c>
      <c r="I1103" s="271">
        <f t="shared" si="5"/>
        <v>229.82</v>
      </c>
      <c r="J1103" s="330"/>
      <c r="K1103" s="329"/>
      <c r="L1103" s="286"/>
      <c r="M1103" s="286"/>
      <c r="N1103" s="286"/>
      <c r="O1103" s="286"/>
      <c r="P1103" s="286"/>
      <c r="Q1103" s="286"/>
      <c r="R1103" s="286"/>
      <c r="S1103" s="286"/>
      <c r="T1103" s="286"/>
      <c r="U1103" s="286"/>
      <c r="V1103" s="286"/>
      <c r="W1103" s="286"/>
      <c r="X1103" s="286"/>
      <c r="Y1103" s="286"/>
      <c r="Z1103" s="286"/>
      <c r="AA1103" s="286"/>
    </row>
    <row r="1104">
      <c r="A1104" s="327"/>
      <c r="B1104" s="245"/>
      <c r="C1104" s="286"/>
      <c r="D1104" s="328"/>
      <c r="E1104" s="286"/>
      <c r="F1104" s="329"/>
      <c r="G1104" s="286" t="str">
        <f>IFERROR(__xludf.DUMMYFUNCTION("""COMPUTED_VALUE"""),"DECK 05 CARVALHO EUROPEU MONT BLANC 20/6 X 300 X 4000MM")</f>
        <v>DECK 05 CARVALHO EUROPEU MONT BLANC 20/6 X 300 X 4000MM</v>
      </c>
      <c r="I1104" s="271">
        <f t="shared" si="5"/>
        <v>270.56</v>
      </c>
      <c r="J1104" s="330"/>
      <c r="K1104" s="329"/>
      <c r="L1104" s="286"/>
      <c r="M1104" s="286"/>
      <c r="N1104" s="286"/>
      <c r="O1104" s="286"/>
      <c r="P1104" s="286"/>
      <c r="Q1104" s="286"/>
      <c r="R1104" s="286"/>
      <c r="S1104" s="286"/>
      <c r="T1104" s="286"/>
      <c r="U1104" s="286"/>
      <c r="V1104" s="286"/>
      <c r="W1104" s="286"/>
      <c r="X1104" s="286"/>
      <c r="Y1104" s="286"/>
      <c r="Z1104" s="286"/>
      <c r="AA1104" s="286"/>
    </row>
    <row r="1105">
      <c r="A1105" s="327"/>
      <c r="B1105" s="245"/>
      <c r="C1105" s="286"/>
      <c r="D1105" s="328"/>
      <c r="E1105" s="286"/>
      <c r="F1105" s="329"/>
      <c r="G1105" s="286" t="str">
        <f>IFERROR(__xludf.DUMMYFUNCTION("""COMPUTED_VALUE"""),"DECK 05 CARVALHO EUROPEU MONT BLANC 20/6 X 400 X 5000MM")</f>
        <v>DECK 05 CARVALHO EUROPEU MONT BLANC 20/6 X 400 X 5000MM</v>
      </c>
      <c r="I1105" s="271">
        <f t="shared" si="5"/>
        <v>304</v>
      </c>
      <c r="J1105" s="330"/>
      <c r="K1105" s="329"/>
      <c r="L1105" s="286"/>
      <c r="M1105" s="286"/>
      <c r="N1105" s="286"/>
      <c r="O1105" s="286"/>
      <c r="P1105" s="286"/>
      <c r="Q1105" s="286"/>
      <c r="R1105" s="286"/>
      <c r="S1105" s="286"/>
      <c r="T1105" s="286"/>
      <c r="U1105" s="286"/>
      <c r="V1105" s="286"/>
      <c r="W1105" s="286"/>
      <c r="X1105" s="286"/>
      <c r="Y1105" s="286"/>
      <c r="Z1105" s="286"/>
      <c r="AA1105" s="286"/>
    </row>
    <row r="1106">
      <c r="A1106" s="327"/>
      <c r="B1106" s="245"/>
      <c r="C1106" s="286"/>
      <c r="D1106" s="328"/>
      <c r="E1106" s="286"/>
      <c r="F1106" s="329"/>
      <c r="G1106" s="286" t="str">
        <f>IFERROR(__xludf.DUMMYFUNCTION("""COMPUTED_VALUE"""),"DECK 05 CARVALHO EUROPEU NATURAL CHEVRON TG 15/3 X 125 X 775MM")</f>
        <v>DECK 05 CARVALHO EUROPEU NATURAL CHEVRON TG 15/3 X 125 X 775MM</v>
      </c>
      <c r="I1106" s="271">
        <f t="shared" si="5"/>
        <v>194.56</v>
      </c>
      <c r="J1106" s="330"/>
      <c r="K1106" s="329"/>
      <c r="L1106" s="286"/>
      <c r="M1106" s="286"/>
      <c r="N1106" s="286"/>
      <c r="O1106" s="286"/>
      <c r="P1106" s="286"/>
      <c r="Q1106" s="286"/>
      <c r="R1106" s="286"/>
      <c r="S1106" s="286"/>
      <c r="T1106" s="286"/>
      <c r="U1106" s="286"/>
      <c r="V1106" s="286"/>
      <c r="W1106" s="286"/>
      <c r="X1106" s="286"/>
      <c r="Y1106" s="286"/>
      <c r="Z1106" s="286"/>
      <c r="AA1106" s="286"/>
    </row>
    <row r="1107">
      <c r="A1107" s="327"/>
      <c r="B1107" s="245"/>
      <c r="C1107" s="286"/>
      <c r="D1107" s="328"/>
      <c r="E1107" s="286"/>
      <c r="F1107" s="329"/>
      <c r="G1107" s="286" t="str">
        <f>IFERROR(__xludf.DUMMYFUNCTION("""COMPUTED_VALUE"""),"DECK 05 CARVALHO EUROPEU NATURALLE CHEVRON 15/3 X 1900X 740MM")</f>
        <v>DECK 05 CARVALHO EUROPEU NATURALLE CHEVRON 15/3 X 1900X 740MM</v>
      </c>
      <c r="I1107" s="271">
        <f t="shared" si="5"/>
        <v>229.82</v>
      </c>
      <c r="J1107" s="330"/>
      <c r="K1107" s="329"/>
      <c r="L1107" s="286"/>
      <c r="M1107" s="286"/>
      <c r="N1107" s="286"/>
      <c r="O1107" s="286"/>
      <c r="P1107" s="286"/>
      <c r="Q1107" s="286"/>
      <c r="R1107" s="286"/>
      <c r="S1107" s="286"/>
      <c r="T1107" s="286"/>
      <c r="U1107" s="286"/>
      <c r="V1107" s="286"/>
      <c r="W1107" s="286"/>
      <c r="X1107" s="286"/>
      <c r="Y1107" s="286"/>
      <c r="Z1107" s="286"/>
      <c r="AA1107" s="286"/>
    </row>
    <row r="1108">
      <c r="A1108" s="327"/>
      <c r="B1108" s="245"/>
      <c r="C1108" s="286"/>
      <c r="D1108" s="328"/>
      <c r="E1108" s="286"/>
      <c r="F1108" s="329"/>
      <c r="G1108" s="286" t="str">
        <f>IFERROR(__xludf.DUMMYFUNCTION("""COMPUTED_VALUE"""),"DECK 05 CARVALHO EUROPEU NATURALLE CHEVRON 60º 15/3 X 1900X 910MM")</f>
        <v>DECK 05 CARVALHO EUROPEU NATURALLE CHEVRON 60º 15/3 X 1900X 910MM</v>
      </c>
      <c r="I1108" s="271">
        <f t="shared" si="5"/>
        <v>229.82</v>
      </c>
      <c r="J1108" s="330"/>
      <c r="K1108" s="329"/>
      <c r="L1108" s="286"/>
      <c r="M1108" s="286"/>
      <c r="N1108" s="286"/>
      <c r="O1108" s="286"/>
      <c r="P1108" s="286"/>
      <c r="Q1108" s="286"/>
      <c r="R1108" s="286"/>
      <c r="S1108" s="286"/>
      <c r="T1108" s="286"/>
      <c r="U1108" s="286"/>
      <c r="V1108" s="286"/>
      <c r="W1108" s="286"/>
      <c r="X1108" s="286"/>
      <c r="Y1108" s="286"/>
      <c r="Z1108" s="286"/>
      <c r="AA1108" s="286"/>
    </row>
    <row r="1109">
      <c r="A1109" s="327"/>
      <c r="B1109" s="245"/>
      <c r="C1109" s="286"/>
      <c r="D1109" s="328"/>
      <c r="E1109" s="286"/>
      <c r="F1109" s="329"/>
      <c r="G1109" s="286" t="str">
        <f>IFERROR(__xludf.DUMMYFUNCTION("""COMPUTED_VALUE"""),"DECK 05 CARVALHO EUROPEU NATURALLE FINE 10/06 X 1900 X 1900MM")</f>
        <v>DECK 05 CARVALHO EUROPEU NATURALLE FINE 10/06 X 1900 X 1900MM</v>
      </c>
      <c r="I1109" s="271">
        <f t="shared" si="5"/>
        <v>124.64</v>
      </c>
      <c r="J1109" s="330"/>
      <c r="K1109" s="329"/>
      <c r="L1109" s="286"/>
      <c r="M1109" s="286"/>
      <c r="N1109" s="286"/>
      <c r="O1109" s="286"/>
      <c r="P1109" s="286"/>
      <c r="Q1109" s="286"/>
      <c r="R1109" s="286"/>
      <c r="S1109" s="286"/>
      <c r="T1109" s="286"/>
      <c r="U1109" s="286"/>
      <c r="V1109" s="286"/>
      <c r="W1109" s="286"/>
      <c r="X1109" s="286"/>
      <c r="Y1109" s="286"/>
      <c r="Z1109" s="286"/>
      <c r="AA1109" s="286"/>
    </row>
    <row r="1110">
      <c r="A1110" s="327"/>
      <c r="B1110" s="245"/>
      <c r="C1110" s="286"/>
      <c r="D1110" s="328"/>
      <c r="E1110" s="286"/>
      <c r="F1110" s="329"/>
      <c r="G1110" s="286" t="str">
        <f>IFERROR(__xludf.DUMMYFUNCTION("""COMPUTED_VALUE"""),"DECK 05 CARVALHO EUROPEU NATURALLE 15/3 X 125 X 1200MM")</f>
        <v>DECK 05 CARVALHO EUROPEU NATURALLE 15/3 X 125 X 1200MM</v>
      </c>
      <c r="I1110" s="271">
        <f t="shared" si="5"/>
        <v>194.56</v>
      </c>
      <c r="J1110" s="330"/>
      <c r="K1110" s="329"/>
      <c r="L1110" s="286"/>
      <c r="M1110" s="286"/>
      <c r="N1110" s="286"/>
      <c r="O1110" s="286"/>
      <c r="P1110" s="286"/>
      <c r="Q1110" s="286"/>
      <c r="R1110" s="286"/>
      <c r="S1110" s="286"/>
      <c r="T1110" s="286"/>
      <c r="U1110" s="286"/>
      <c r="V1110" s="286"/>
      <c r="W1110" s="286"/>
      <c r="X1110" s="286"/>
      <c r="Y1110" s="286"/>
      <c r="Z1110" s="286"/>
      <c r="AA1110" s="286"/>
    </row>
    <row r="1111">
      <c r="A1111" s="327"/>
      <c r="B1111" s="245"/>
      <c r="C1111" s="286"/>
      <c r="D1111" s="328"/>
      <c r="E1111" s="286"/>
      <c r="F1111" s="329"/>
      <c r="G1111" s="286" t="str">
        <f>IFERROR(__xludf.DUMMYFUNCTION("""COMPUTED_VALUE"""),"DECK 05 CARVALHO EUROPEU NATURALLE 15/3 X 190 X 1900MM")</f>
        <v>DECK 05 CARVALHO EUROPEU NATURALLE 15/3 X 190 X 1900MM</v>
      </c>
      <c r="I1111" s="271">
        <f t="shared" si="5"/>
        <v>229.82</v>
      </c>
      <c r="J1111" s="330"/>
      <c r="K1111" s="329"/>
      <c r="L1111" s="286"/>
      <c r="M1111" s="286"/>
      <c r="N1111" s="286"/>
      <c r="O1111" s="286"/>
      <c r="P1111" s="286"/>
      <c r="Q1111" s="286"/>
      <c r="R1111" s="286"/>
      <c r="S1111" s="286"/>
      <c r="T1111" s="286"/>
      <c r="U1111" s="286"/>
      <c r="V1111" s="286"/>
      <c r="W1111" s="286"/>
      <c r="X1111" s="286"/>
      <c r="Y1111" s="286"/>
      <c r="Z1111" s="286"/>
      <c r="AA1111" s="286"/>
    </row>
    <row r="1112">
      <c r="A1112" s="327"/>
      <c r="B1112" s="245"/>
      <c r="C1112" s="286"/>
      <c r="D1112" s="328"/>
      <c r="E1112" s="286"/>
      <c r="F1112" s="329"/>
      <c r="G1112" s="286" t="str">
        <f>IFERROR(__xludf.DUMMYFUNCTION("""COMPUTED_VALUE"""),"DECK 05 CARVALHO EUROPEU NATURALLE 20/6 X 300 X 4000MM")</f>
        <v>DECK 05 CARVALHO EUROPEU NATURALLE 20/6 X 300 X 4000MM</v>
      </c>
      <c r="I1112" s="271">
        <f t="shared" si="5"/>
        <v>270.56</v>
      </c>
      <c r="J1112" s="330"/>
      <c r="K1112" s="329"/>
      <c r="L1112" s="286"/>
      <c r="M1112" s="286"/>
      <c r="N1112" s="286"/>
      <c r="O1112" s="286"/>
      <c r="P1112" s="286"/>
      <c r="Q1112" s="286"/>
      <c r="R1112" s="286"/>
      <c r="S1112" s="286"/>
      <c r="T1112" s="286"/>
      <c r="U1112" s="286"/>
      <c r="V1112" s="286"/>
      <c r="W1112" s="286"/>
      <c r="X1112" s="286"/>
      <c r="Y1112" s="286"/>
      <c r="Z1112" s="286"/>
      <c r="AA1112" s="286"/>
    </row>
    <row r="1113">
      <c r="A1113" s="327"/>
      <c r="B1113" s="245"/>
      <c r="C1113" s="286"/>
      <c r="D1113" s="328"/>
      <c r="E1113" s="286"/>
      <c r="F1113" s="329"/>
      <c r="G1113" s="286" t="str">
        <f>IFERROR(__xludf.DUMMYFUNCTION("""COMPUTED_VALUE"""),"DECK 05 CARVALHO EUROPEU NATURALLE 20/6 X 400 X 5000MM")</f>
        <v>DECK 05 CARVALHO EUROPEU NATURALLE 20/6 X 400 X 5000MM</v>
      </c>
      <c r="I1113" s="271">
        <f t="shared" si="5"/>
        <v>304</v>
      </c>
      <c r="J1113" s="330"/>
      <c r="K1113" s="329"/>
      <c r="L1113" s="286"/>
      <c r="M1113" s="286"/>
      <c r="N1113" s="286"/>
      <c r="O1113" s="286"/>
      <c r="P1113" s="286"/>
      <c r="Q1113" s="286"/>
      <c r="R1113" s="286"/>
      <c r="S1113" s="286"/>
      <c r="T1113" s="286"/>
      <c r="U1113" s="286"/>
      <c r="V1113" s="286"/>
      <c r="W1113" s="286"/>
      <c r="X1113" s="286"/>
      <c r="Y1113" s="286"/>
      <c r="Z1113" s="286"/>
      <c r="AA1113" s="286"/>
    </row>
    <row r="1114">
      <c r="A1114" s="327"/>
      <c r="B1114" s="245"/>
      <c r="C1114" s="286"/>
      <c r="D1114" s="328"/>
      <c r="E1114" s="286"/>
      <c r="F1114" s="329"/>
      <c r="G1114" s="286" t="str">
        <f>IFERROR(__xludf.DUMMYFUNCTION("""COMPUTED_VALUE"""),"DECK 05 CARVALHO EUROPEU CAPUCCINO CHEVRON 15/3 X 1900X 740MM")</f>
        <v>DECK 05 CARVALHO EUROPEU CAPUCCINO CHEVRON 15/3 X 1900X 740MM</v>
      </c>
      <c r="I1114" s="271">
        <f t="shared" si="5"/>
        <v>229.82</v>
      </c>
      <c r="J1114" s="330"/>
      <c r="K1114" s="329"/>
      <c r="L1114" s="286"/>
      <c r="M1114" s="286"/>
      <c r="N1114" s="286"/>
      <c r="O1114" s="286"/>
      <c r="P1114" s="286"/>
      <c r="Q1114" s="286"/>
      <c r="R1114" s="286"/>
      <c r="S1114" s="286"/>
      <c r="T1114" s="286"/>
      <c r="U1114" s="286"/>
      <c r="V1114" s="286"/>
      <c r="W1114" s="286"/>
      <c r="X1114" s="286"/>
      <c r="Y1114" s="286"/>
      <c r="Z1114" s="286"/>
      <c r="AA1114" s="286"/>
    </row>
    <row r="1115">
      <c r="A1115" s="327"/>
      <c r="B1115" s="245"/>
      <c r="C1115" s="286"/>
      <c r="D1115" s="328"/>
      <c r="E1115" s="286"/>
      <c r="F1115" s="329"/>
      <c r="G1115" s="286" t="str">
        <f>IFERROR(__xludf.DUMMYFUNCTION("""COMPUTED_VALUE"""),"DECK 05 CARVALHO EUROPEU CAPUCCINO 15/3 X 125 X 1200MM")</f>
        <v>DECK 05 CARVALHO EUROPEU CAPUCCINO 15/3 X 125 X 1200MM</v>
      </c>
      <c r="I1115" s="271">
        <f t="shared" si="5"/>
        <v>194.56</v>
      </c>
      <c r="J1115" s="330"/>
      <c r="K1115" s="329"/>
      <c r="L1115" s="286"/>
      <c r="M1115" s="286"/>
      <c r="N1115" s="286"/>
      <c r="O1115" s="286"/>
      <c r="P1115" s="286"/>
      <c r="Q1115" s="286"/>
      <c r="R1115" s="286"/>
      <c r="S1115" s="286"/>
      <c r="T1115" s="286"/>
      <c r="U1115" s="286"/>
      <c r="V1115" s="286"/>
      <c r="W1115" s="286"/>
      <c r="X1115" s="286"/>
      <c r="Y1115" s="286"/>
      <c r="Z1115" s="286"/>
      <c r="AA1115" s="286"/>
    </row>
    <row r="1116">
      <c r="A1116" s="327"/>
      <c r="B1116" s="245"/>
      <c r="C1116" s="286"/>
      <c r="D1116" s="328"/>
      <c r="E1116" s="286"/>
      <c r="F1116" s="329"/>
      <c r="G1116" s="286" t="str">
        <f>IFERROR(__xludf.DUMMYFUNCTION("""COMPUTED_VALUE"""),"DECK 05 CARVALHO EUROPEU CAPPUCCINO ESPINHA DE PEIXE TG 15/3 X 125X900MM")</f>
        <v>DECK 05 CARVALHO EUROPEU CAPPUCCINO ESPINHA DE PEIXE TG 15/3 X 125X900MM</v>
      </c>
      <c r="I1116" s="271">
        <f t="shared" si="5"/>
        <v>194.56</v>
      </c>
      <c r="J1116" s="330"/>
      <c r="K1116" s="329"/>
      <c r="L1116" s="286"/>
      <c r="M1116" s="286"/>
      <c r="N1116" s="286"/>
      <c r="O1116" s="286"/>
      <c r="P1116" s="286"/>
      <c r="Q1116" s="286"/>
      <c r="R1116" s="286"/>
      <c r="S1116" s="286"/>
      <c r="T1116" s="286"/>
      <c r="U1116" s="286"/>
      <c r="V1116" s="286"/>
      <c r="W1116" s="286"/>
      <c r="X1116" s="286"/>
      <c r="Y1116" s="286"/>
      <c r="Z1116" s="286"/>
      <c r="AA1116" s="286"/>
    </row>
    <row r="1117">
      <c r="A1117" s="327"/>
      <c r="B1117" s="245"/>
      <c r="C1117" s="286"/>
      <c r="D1117" s="328"/>
      <c r="E1117" s="286"/>
      <c r="F1117" s="329"/>
      <c r="G1117" s="286" t="str">
        <f>IFERROR(__xludf.DUMMYFUNCTION("""COMPUTED_VALUE"""),"DECK 05 CARVALHO EUROPEU CAPUCCINO 15/3 X 190 X 1900MM")</f>
        <v>DECK 05 CARVALHO EUROPEU CAPUCCINO 15/3 X 190 X 1900MM</v>
      </c>
      <c r="I1117" s="271">
        <f t="shared" si="5"/>
        <v>229.82</v>
      </c>
      <c r="J1117" s="330"/>
      <c r="K1117" s="329"/>
      <c r="L1117" s="286"/>
      <c r="M1117" s="286"/>
      <c r="N1117" s="286"/>
      <c r="O1117" s="286"/>
      <c r="P1117" s="286"/>
      <c r="Q1117" s="286"/>
      <c r="R1117" s="286"/>
      <c r="S1117" s="286"/>
      <c r="T1117" s="286"/>
      <c r="U1117" s="286"/>
      <c r="V1117" s="286"/>
      <c r="W1117" s="286"/>
      <c r="X1117" s="286"/>
      <c r="Y1117" s="286"/>
      <c r="Z1117" s="286"/>
      <c r="AA1117" s="286"/>
    </row>
    <row r="1118">
      <c r="A1118" s="327"/>
      <c r="B1118" s="245"/>
      <c r="C1118" s="286"/>
      <c r="D1118" s="328"/>
      <c r="E1118" s="286"/>
      <c r="F1118" s="329"/>
      <c r="G1118" s="286" t="str">
        <f>IFERROR(__xludf.DUMMYFUNCTION("""COMPUTED_VALUE"""),"DECK 05 CARVALHO EUROPEU CAPUCCINO 20/6 X 300 X 4000MM")</f>
        <v>DECK 05 CARVALHO EUROPEU CAPUCCINO 20/6 X 300 X 4000MM</v>
      </c>
      <c r="I1118" s="271">
        <f t="shared" si="5"/>
        <v>270.56</v>
      </c>
      <c r="J1118" s="330"/>
      <c r="K1118" s="329"/>
      <c r="L1118" s="286"/>
      <c r="M1118" s="286"/>
      <c r="N1118" s="286"/>
      <c r="O1118" s="286"/>
      <c r="P1118" s="286"/>
      <c r="Q1118" s="286"/>
      <c r="R1118" s="286"/>
      <c r="S1118" s="286"/>
      <c r="T1118" s="286"/>
      <c r="U1118" s="286"/>
      <c r="V1118" s="286"/>
      <c r="W1118" s="286"/>
      <c r="X1118" s="286"/>
      <c r="Y1118" s="286"/>
      <c r="Z1118" s="286"/>
      <c r="AA1118" s="286"/>
    </row>
    <row r="1119">
      <c r="A1119" s="327"/>
      <c r="B1119" s="245"/>
      <c r="C1119" s="286"/>
      <c r="D1119" s="328"/>
      <c r="E1119" s="286"/>
      <c r="F1119" s="329"/>
      <c r="G1119" s="286" t="str">
        <f>IFERROR(__xludf.DUMMYFUNCTION("""COMPUTED_VALUE"""),"DECK 05 CARVALHO EUROPEU CAPUCCINO 20/6 X 400 X 5000MM")</f>
        <v>DECK 05 CARVALHO EUROPEU CAPUCCINO 20/6 X 400 X 5000MM</v>
      </c>
      <c r="I1119" s="271">
        <f t="shared" si="5"/>
        <v>304</v>
      </c>
      <c r="J1119" s="330"/>
      <c r="K1119" s="329"/>
      <c r="L1119" s="286"/>
      <c r="M1119" s="286"/>
      <c r="N1119" s="286"/>
      <c r="O1119" s="286"/>
      <c r="P1119" s="286"/>
      <c r="Q1119" s="286"/>
      <c r="R1119" s="286"/>
      <c r="S1119" s="286"/>
      <c r="T1119" s="286"/>
      <c r="U1119" s="286"/>
      <c r="V1119" s="286"/>
      <c r="W1119" s="286"/>
      <c r="X1119" s="286"/>
      <c r="Y1119" s="286"/>
      <c r="Z1119" s="286"/>
      <c r="AA1119" s="286"/>
    </row>
    <row r="1120">
      <c r="A1120" s="327"/>
      <c r="B1120" s="245"/>
      <c r="C1120" s="286"/>
      <c r="D1120" s="328"/>
      <c r="E1120" s="286"/>
      <c r="F1120" s="329"/>
      <c r="G1120" s="286" t="str">
        <f>IFERROR(__xludf.DUMMYFUNCTION("""COMPUTED_VALUE"""),"DECK 05 CARVALHO EUROPEU BABY GREY CHEVRON 15/3 X 1900X 740MM")</f>
        <v>DECK 05 CARVALHO EUROPEU BABY GREY CHEVRON 15/3 X 1900X 740MM</v>
      </c>
      <c r="I1120" s="271">
        <f t="shared" si="5"/>
        <v>229.82</v>
      </c>
      <c r="J1120" s="330"/>
      <c r="K1120" s="329"/>
      <c r="L1120" s="286"/>
      <c r="M1120" s="286"/>
      <c r="N1120" s="286"/>
      <c r="O1120" s="286"/>
      <c r="P1120" s="286"/>
      <c r="Q1120" s="286"/>
      <c r="R1120" s="286"/>
      <c r="S1120" s="286"/>
      <c r="T1120" s="286"/>
      <c r="U1120" s="286"/>
      <c r="V1120" s="286"/>
      <c r="W1120" s="286"/>
      <c r="X1120" s="286"/>
      <c r="Y1120" s="286"/>
      <c r="Z1120" s="286"/>
      <c r="AA1120" s="286"/>
    </row>
    <row r="1121">
      <c r="A1121" s="327"/>
      <c r="B1121" s="245"/>
      <c r="C1121" s="286"/>
      <c r="D1121" s="328"/>
      <c r="E1121" s="286"/>
      <c r="F1121" s="329"/>
      <c r="G1121" s="286" t="str">
        <f>IFERROR(__xludf.DUMMYFUNCTION("""COMPUTED_VALUE"""),"DECK 05 CARVALHO EUROPEU BABY GREY 15/3 X 125 X 1200MM")</f>
        <v>DECK 05 CARVALHO EUROPEU BABY GREY 15/3 X 125 X 1200MM</v>
      </c>
      <c r="I1121" s="271">
        <f t="shared" si="5"/>
        <v>194.56</v>
      </c>
      <c r="J1121" s="330"/>
      <c r="K1121" s="329"/>
      <c r="L1121" s="286"/>
      <c r="M1121" s="286"/>
      <c r="N1121" s="286"/>
      <c r="O1121" s="286"/>
      <c r="P1121" s="286"/>
      <c r="Q1121" s="286"/>
      <c r="R1121" s="286"/>
      <c r="S1121" s="286"/>
      <c r="T1121" s="286"/>
      <c r="U1121" s="286"/>
      <c r="V1121" s="286"/>
      <c r="W1121" s="286"/>
      <c r="X1121" s="286"/>
      <c r="Y1121" s="286"/>
      <c r="Z1121" s="286"/>
      <c r="AA1121" s="286"/>
    </row>
    <row r="1122">
      <c r="A1122" s="327"/>
      <c r="B1122" s="245"/>
      <c r="C1122" s="286"/>
      <c r="D1122" s="328"/>
      <c r="E1122" s="286"/>
      <c r="F1122" s="329"/>
      <c r="G1122" s="286" t="str">
        <f>IFERROR(__xludf.DUMMYFUNCTION("""COMPUTED_VALUE"""),"DECK 05 CARVALHO EUROPEU BABY GREY 15/3 X 190 X 1900MM")</f>
        <v>DECK 05 CARVALHO EUROPEU BABY GREY 15/3 X 190 X 1900MM</v>
      </c>
      <c r="I1122" s="271">
        <f t="shared" si="5"/>
        <v>229.82</v>
      </c>
      <c r="J1122" s="330"/>
      <c r="K1122" s="329"/>
      <c r="L1122" s="286"/>
      <c r="M1122" s="286"/>
      <c r="N1122" s="286"/>
      <c r="O1122" s="286"/>
      <c r="P1122" s="286"/>
      <c r="Q1122" s="286"/>
      <c r="R1122" s="286"/>
      <c r="S1122" s="286"/>
      <c r="T1122" s="286"/>
      <c r="U1122" s="286"/>
      <c r="V1122" s="286"/>
      <c r="W1122" s="286"/>
      <c r="X1122" s="286"/>
      <c r="Y1122" s="286"/>
      <c r="Z1122" s="286"/>
      <c r="AA1122" s="286"/>
    </row>
    <row r="1123">
      <c r="A1123" s="327"/>
      <c r="B1123" s="245"/>
      <c r="C1123" s="286"/>
      <c r="D1123" s="328"/>
      <c r="E1123" s="286"/>
      <c r="F1123" s="329"/>
      <c r="G1123" s="286" t="str">
        <f>IFERROR(__xludf.DUMMYFUNCTION("""COMPUTED_VALUE"""),"DECK 05 CARVALHO EUROPEU BABY GREY 20/6 X 300 X 4000MM")</f>
        <v>DECK 05 CARVALHO EUROPEU BABY GREY 20/6 X 300 X 4000MM</v>
      </c>
      <c r="I1123" s="271">
        <f t="shared" si="5"/>
        <v>270.56</v>
      </c>
      <c r="J1123" s="330"/>
      <c r="K1123" s="329"/>
      <c r="L1123" s="286"/>
      <c r="M1123" s="286"/>
      <c r="N1123" s="286"/>
      <c r="O1123" s="286"/>
      <c r="P1123" s="286"/>
      <c r="Q1123" s="286"/>
      <c r="R1123" s="286"/>
      <c r="S1123" s="286"/>
      <c r="T1123" s="286"/>
      <c r="U1123" s="286"/>
      <c r="V1123" s="286"/>
      <c r="W1123" s="286"/>
      <c r="X1123" s="286"/>
      <c r="Y1123" s="286"/>
      <c r="Z1123" s="286"/>
      <c r="AA1123" s="286"/>
    </row>
    <row r="1124">
      <c r="A1124" s="327"/>
      <c r="B1124" s="245"/>
      <c r="C1124" s="286"/>
      <c r="D1124" s="328"/>
      <c r="E1124" s="286"/>
      <c r="F1124" s="329"/>
      <c r="G1124" s="286" t="str">
        <f>IFERROR(__xludf.DUMMYFUNCTION("""COMPUTED_VALUE"""),"DECK 05 CARVALHO EUROPEU BABY GREY 20/6 X 400 X 5000MM")</f>
        <v>DECK 05 CARVALHO EUROPEU BABY GREY 20/6 X 400 X 5000MM</v>
      </c>
      <c r="I1124" s="271">
        <f t="shared" si="5"/>
        <v>304</v>
      </c>
      <c r="J1124" s="330"/>
      <c r="K1124" s="329"/>
      <c r="L1124" s="286"/>
      <c r="M1124" s="286"/>
      <c r="N1124" s="286"/>
      <c r="O1124" s="286"/>
      <c r="P1124" s="286"/>
      <c r="Q1124" s="286"/>
      <c r="R1124" s="286"/>
      <c r="S1124" s="286"/>
      <c r="T1124" s="286"/>
      <c r="U1124" s="286"/>
      <c r="V1124" s="286"/>
      <c r="W1124" s="286"/>
      <c r="X1124" s="286"/>
      <c r="Y1124" s="286"/>
      <c r="Z1124" s="286"/>
      <c r="AA1124" s="286"/>
    </row>
    <row r="1125">
      <c r="A1125" s="327"/>
      <c r="B1125" s="245"/>
      <c r="C1125" s="286"/>
      <c r="D1125" s="328"/>
      <c r="E1125" s="286"/>
      <c r="F1125" s="329"/>
      <c r="G1125" s="286" t="str">
        <f>IFERROR(__xludf.DUMMYFUNCTION("""COMPUTED_VALUE"""),"DECK 05 CARVALHO EUROPEU GRIGIO NERO CHEVRON 15/3 X 1900X 740MM")</f>
        <v>DECK 05 CARVALHO EUROPEU GRIGIO NERO CHEVRON 15/3 X 1900X 740MM</v>
      </c>
      <c r="I1125" s="271">
        <f t="shared" si="5"/>
        <v>229.82</v>
      </c>
      <c r="J1125" s="330"/>
      <c r="K1125" s="329"/>
      <c r="L1125" s="286"/>
      <c r="M1125" s="286"/>
      <c r="N1125" s="286"/>
      <c r="O1125" s="286"/>
      <c r="P1125" s="286"/>
      <c r="Q1125" s="286"/>
      <c r="R1125" s="286"/>
      <c r="S1125" s="286"/>
      <c r="T1125" s="286"/>
      <c r="U1125" s="286"/>
      <c r="V1125" s="286"/>
      <c r="W1125" s="286"/>
      <c r="X1125" s="286"/>
      <c r="Y1125" s="286"/>
      <c r="Z1125" s="286"/>
      <c r="AA1125" s="286"/>
    </row>
    <row r="1126">
      <c r="A1126" s="327"/>
      <c r="B1126" s="245"/>
      <c r="C1126" s="286"/>
      <c r="D1126" s="328"/>
      <c r="E1126" s="286"/>
      <c r="F1126" s="329"/>
      <c r="G1126" s="286" t="str">
        <f>IFERROR(__xludf.DUMMYFUNCTION("""COMPUTED_VALUE"""),"DECK 05 CARVALHO EUROPEU GRIGIO NERO 15/3 X 125 X 1200MM")</f>
        <v>DECK 05 CARVALHO EUROPEU GRIGIO NERO 15/3 X 125 X 1200MM</v>
      </c>
      <c r="I1126" s="271">
        <f t="shared" si="5"/>
        <v>194.56</v>
      </c>
      <c r="J1126" s="330"/>
      <c r="K1126" s="329"/>
      <c r="L1126" s="286"/>
      <c r="M1126" s="286"/>
      <c r="N1126" s="286"/>
      <c r="O1126" s="286"/>
      <c r="P1126" s="286"/>
      <c r="Q1126" s="286"/>
      <c r="R1126" s="286"/>
      <c r="S1126" s="286"/>
      <c r="T1126" s="286"/>
      <c r="U1126" s="286"/>
      <c r="V1126" s="286"/>
      <c r="W1126" s="286"/>
      <c r="X1126" s="286"/>
      <c r="Y1126" s="286"/>
      <c r="Z1126" s="286"/>
      <c r="AA1126" s="286"/>
    </row>
    <row r="1127">
      <c r="A1127" s="327"/>
      <c r="B1127" s="245"/>
      <c r="C1127" s="286"/>
      <c r="D1127" s="328"/>
      <c r="E1127" s="286"/>
      <c r="F1127" s="329"/>
      <c r="G1127" s="286" t="str">
        <f>IFERROR(__xludf.DUMMYFUNCTION("""COMPUTED_VALUE"""),"DECK 05 CARVALHO EUROPEU GRIGIO NERO 15/3 X 190 X 1900MM")</f>
        <v>DECK 05 CARVALHO EUROPEU GRIGIO NERO 15/3 X 190 X 1900MM</v>
      </c>
      <c r="I1127" s="271">
        <f t="shared" si="5"/>
        <v>229.82</v>
      </c>
      <c r="J1127" s="330"/>
      <c r="K1127" s="329"/>
      <c r="L1127" s="286"/>
      <c r="M1127" s="286"/>
      <c r="N1127" s="286"/>
      <c r="O1127" s="286"/>
      <c r="P1127" s="286"/>
      <c r="Q1127" s="286"/>
      <c r="R1127" s="286"/>
      <c r="S1127" s="286"/>
      <c r="T1127" s="286"/>
      <c r="U1127" s="286"/>
      <c r="V1127" s="286"/>
      <c r="W1127" s="286"/>
      <c r="X1127" s="286"/>
      <c r="Y1127" s="286"/>
      <c r="Z1127" s="286"/>
      <c r="AA1127" s="286"/>
    </row>
    <row r="1128">
      <c r="A1128" s="327"/>
      <c r="B1128" s="245"/>
      <c r="C1128" s="286"/>
      <c r="D1128" s="328"/>
      <c r="E1128" s="286"/>
      <c r="F1128" s="329"/>
      <c r="G1128" s="286" t="str">
        <f>IFERROR(__xludf.DUMMYFUNCTION("""COMPUTED_VALUE"""),"DECK 05 CARVALHO EUROPEU GRIGIO NERO 20/6 X 300 X 4000MM")</f>
        <v>DECK 05 CARVALHO EUROPEU GRIGIO NERO 20/6 X 300 X 4000MM</v>
      </c>
      <c r="I1128" s="271">
        <f t="shared" si="5"/>
        <v>270.56</v>
      </c>
      <c r="J1128" s="330"/>
      <c r="K1128" s="329"/>
      <c r="L1128" s="286"/>
      <c r="M1128" s="286"/>
      <c r="N1128" s="286"/>
      <c r="O1128" s="286"/>
      <c r="P1128" s="286"/>
      <c r="Q1128" s="286"/>
      <c r="R1128" s="286"/>
      <c r="S1128" s="286"/>
      <c r="T1128" s="286"/>
      <c r="U1128" s="286"/>
      <c r="V1128" s="286"/>
      <c r="W1128" s="286"/>
      <c r="X1128" s="286"/>
      <c r="Y1128" s="286"/>
      <c r="Z1128" s="286"/>
      <c r="AA1128" s="286"/>
    </row>
    <row r="1129">
      <c r="A1129" s="327"/>
      <c r="B1129" s="245"/>
      <c r="C1129" s="286"/>
      <c r="D1129" s="328"/>
      <c r="E1129" s="286"/>
      <c r="F1129" s="329"/>
      <c r="G1129" s="286" t="str">
        <f>IFERROR(__xludf.DUMMYFUNCTION("""COMPUTED_VALUE"""),"DECK 05 CARVALHO EUROPEU GRIGIO NERO 20/6 X 400 X 5000MM")</f>
        <v>DECK 05 CARVALHO EUROPEU GRIGIO NERO 20/6 X 400 X 5000MM</v>
      </c>
      <c r="I1129" s="271">
        <f t="shared" si="5"/>
        <v>304</v>
      </c>
      <c r="J1129" s="330"/>
      <c r="K1129" s="329"/>
      <c r="L1129" s="286"/>
      <c r="M1129" s="286"/>
      <c r="N1129" s="286"/>
      <c r="O1129" s="286"/>
      <c r="P1129" s="286"/>
      <c r="Q1129" s="286"/>
      <c r="R1129" s="286"/>
      <c r="S1129" s="286"/>
      <c r="T1129" s="286"/>
      <c r="U1129" s="286"/>
      <c r="V1129" s="286"/>
      <c r="W1129" s="286"/>
      <c r="X1129" s="286"/>
      <c r="Y1129" s="286"/>
      <c r="Z1129" s="286"/>
      <c r="AA1129" s="286"/>
    </row>
    <row r="1130">
      <c r="A1130" s="327"/>
      <c r="B1130" s="245"/>
      <c r="C1130" s="286"/>
      <c r="D1130" s="328"/>
      <c r="E1130" s="286"/>
      <c r="F1130" s="329"/>
      <c r="G1130" s="286" t="str">
        <f>IFERROR(__xludf.DUMMYFUNCTION("""COMPUTED_VALUE"""),"DECK 05 CARVALHO EUROPEU LIGHT BROWN CHEVRON 15/3 X 1900X 740MM")</f>
        <v>DECK 05 CARVALHO EUROPEU LIGHT BROWN CHEVRON 15/3 X 1900X 740MM</v>
      </c>
      <c r="I1130" s="271">
        <f t="shared" si="5"/>
        <v>229.82</v>
      </c>
      <c r="J1130" s="330"/>
      <c r="K1130" s="329"/>
      <c r="L1130" s="286"/>
      <c r="M1130" s="286"/>
      <c r="N1130" s="286"/>
      <c r="O1130" s="286"/>
      <c r="P1130" s="286"/>
      <c r="Q1130" s="286"/>
      <c r="R1130" s="286"/>
      <c r="S1130" s="286"/>
      <c r="T1130" s="286"/>
      <c r="U1130" s="286"/>
      <c r="V1130" s="286"/>
      <c r="W1130" s="286"/>
      <c r="X1130" s="286"/>
      <c r="Y1130" s="286"/>
      <c r="Z1130" s="286"/>
      <c r="AA1130" s="286"/>
    </row>
    <row r="1131">
      <c r="A1131" s="327"/>
      <c r="B1131" s="245"/>
      <c r="C1131" s="286"/>
      <c r="D1131" s="328"/>
      <c r="E1131" s="286"/>
      <c r="F1131" s="329"/>
      <c r="G1131" s="286" t="str">
        <f>IFERROR(__xludf.DUMMYFUNCTION("""COMPUTED_VALUE"""),"DECK 05 CARVALHO EUROPEU LIGHT BROWN 15/3 X 125 X 1200MM")</f>
        <v>DECK 05 CARVALHO EUROPEU LIGHT BROWN 15/3 X 125 X 1200MM</v>
      </c>
      <c r="I1131" s="271">
        <f t="shared" si="5"/>
        <v>194.56</v>
      </c>
      <c r="J1131" s="330"/>
      <c r="K1131" s="329"/>
      <c r="L1131" s="286"/>
      <c r="M1131" s="286"/>
      <c r="N1131" s="286"/>
      <c r="O1131" s="286"/>
      <c r="P1131" s="286"/>
      <c r="Q1131" s="286"/>
      <c r="R1131" s="286"/>
      <c r="S1131" s="286"/>
      <c r="T1131" s="286"/>
      <c r="U1131" s="286"/>
      <c r="V1131" s="286"/>
      <c r="W1131" s="286"/>
      <c r="X1131" s="286"/>
      <c r="Y1131" s="286"/>
      <c r="Z1131" s="286"/>
      <c r="AA1131" s="286"/>
    </row>
    <row r="1132">
      <c r="A1132" s="327"/>
      <c r="B1132" s="245"/>
      <c r="C1132" s="286"/>
      <c r="D1132" s="328"/>
      <c r="E1132" s="286"/>
      <c r="F1132" s="329"/>
      <c r="G1132" s="286" t="str">
        <f>IFERROR(__xludf.DUMMYFUNCTION("""COMPUTED_VALUE"""),"DECK 05 CARVALHO EUROPEU LIGHT BROWN 15/3 X 190 X 1900MM")</f>
        <v>DECK 05 CARVALHO EUROPEU LIGHT BROWN 15/3 X 190 X 1900MM</v>
      </c>
      <c r="I1132" s="271">
        <f t="shared" si="5"/>
        <v>229.82</v>
      </c>
      <c r="J1132" s="330"/>
      <c r="K1132" s="329"/>
      <c r="L1132" s="286"/>
      <c r="M1132" s="286"/>
      <c r="N1132" s="286"/>
      <c r="O1132" s="286"/>
      <c r="P1132" s="286"/>
      <c r="Q1132" s="286"/>
      <c r="R1132" s="286"/>
      <c r="S1132" s="286"/>
      <c r="T1132" s="286"/>
      <c r="U1132" s="286"/>
      <c r="V1132" s="286"/>
      <c r="W1132" s="286"/>
      <c r="X1132" s="286"/>
      <c r="Y1132" s="286"/>
      <c r="Z1132" s="286"/>
      <c r="AA1132" s="286"/>
    </row>
    <row r="1133">
      <c r="A1133" s="327"/>
      <c r="B1133" s="245"/>
      <c r="C1133" s="286"/>
      <c r="D1133" s="328"/>
      <c r="E1133" s="286"/>
      <c r="F1133" s="329"/>
      <c r="G1133" s="286" t="str">
        <f>IFERROR(__xludf.DUMMYFUNCTION("""COMPUTED_VALUE"""),"DECK 05 CARVALHO EUROPEU LIGHT BROWN 20/6 X 300 X 4000MM")</f>
        <v>DECK 05 CARVALHO EUROPEU LIGHT BROWN 20/6 X 300 X 4000MM</v>
      </c>
      <c r="I1133" s="271">
        <f t="shared" si="5"/>
        <v>270.56</v>
      </c>
      <c r="J1133" s="330"/>
      <c r="K1133" s="329"/>
      <c r="L1133" s="286"/>
      <c r="M1133" s="286"/>
      <c r="N1133" s="286"/>
      <c r="O1133" s="286"/>
      <c r="P1133" s="286"/>
      <c r="Q1133" s="286"/>
      <c r="R1133" s="286"/>
      <c r="S1133" s="286"/>
      <c r="T1133" s="286"/>
      <c r="U1133" s="286"/>
      <c r="V1133" s="286"/>
      <c r="W1133" s="286"/>
      <c r="X1133" s="286"/>
      <c r="Y1133" s="286"/>
      <c r="Z1133" s="286"/>
      <c r="AA1133" s="286"/>
    </row>
    <row r="1134">
      <c r="A1134" s="327"/>
      <c r="B1134" s="245"/>
      <c r="C1134" s="286"/>
      <c r="D1134" s="328"/>
      <c r="E1134" s="286"/>
      <c r="F1134" s="329"/>
      <c r="G1134" s="286" t="str">
        <f>IFERROR(__xludf.DUMMYFUNCTION("""COMPUTED_VALUE"""),"DECK 05 CARVALHO EUROPEU - LISTONE GIORDANO (HERITAGE 140 FILIGRANA - SIENNA 1179) TG 1,25 X 14,0 X 83,50CM --")</f>
        <v>DECK 05 CARVALHO EUROPEU - LISTONE GIORDANO (HERITAGE 140 FILIGRANA - SIENNA 1179) TG 1,25 X 14,0 X 83,50CM --</v>
      </c>
      <c r="I1134" s="271">
        <f t="shared" si="5"/>
        <v>1095</v>
      </c>
      <c r="J1134" s="330"/>
      <c r="K1134" s="329"/>
      <c r="L1134" s="286"/>
      <c r="M1134" s="286"/>
      <c r="N1134" s="286"/>
      <c r="O1134" s="286"/>
      <c r="P1134" s="286"/>
      <c r="Q1134" s="286"/>
      <c r="R1134" s="286"/>
      <c r="S1134" s="286"/>
      <c r="T1134" s="286"/>
      <c r="U1134" s="286"/>
      <c r="V1134" s="286"/>
      <c r="W1134" s="286"/>
      <c r="X1134" s="286"/>
      <c r="Y1134" s="286"/>
      <c r="Z1134" s="286"/>
      <c r="AA1134" s="286"/>
    </row>
    <row r="1135">
      <c r="A1135" s="327"/>
      <c r="B1135" s="245"/>
      <c r="C1135" s="286"/>
      <c r="D1135" s="328"/>
      <c r="E1135" s="286"/>
      <c r="F1135" s="329"/>
      <c r="G1135" s="286" t="str">
        <f>IFERROR(__xludf.DUMMYFUNCTION("""COMPUTED_VALUE"""),"DECK 05 ")</f>
        <v>DECK 05 </v>
      </c>
      <c r="I1135" s="271" t="str">
        <f t="shared" si="5"/>
        <v/>
      </c>
      <c r="J1135" s="330"/>
      <c r="K1135" s="329"/>
      <c r="L1135" s="286"/>
      <c r="M1135" s="286"/>
      <c r="N1135" s="286"/>
      <c r="O1135" s="286"/>
      <c r="P1135" s="286"/>
      <c r="Q1135" s="286"/>
      <c r="R1135" s="286"/>
      <c r="S1135" s="286"/>
      <c r="T1135" s="286"/>
      <c r="U1135" s="286"/>
      <c r="V1135" s="286"/>
      <c r="W1135" s="286"/>
      <c r="X1135" s="286"/>
      <c r="Y1135" s="286"/>
      <c r="Z1135" s="286"/>
      <c r="AA1135" s="286"/>
    </row>
    <row r="1136">
      <c r="A1136" s="327"/>
      <c r="B1136" s="245"/>
      <c r="C1136" s="286"/>
      <c r="D1136" s="328"/>
      <c r="E1136" s="286"/>
      <c r="F1136" s="329"/>
      <c r="G1136" s="286" t="str">
        <f>IFERROR(__xludf.DUMMYFUNCTION("""COMPUTED_VALUE"""),"DECK 05 CARVALHO EUROPEU MILANO CHEVRON 15/3 X 1900X 740MM")</f>
        <v>DECK 05 CARVALHO EUROPEU MILANO CHEVRON 15/3 X 1900X 740MM</v>
      </c>
      <c r="I1136" s="271" t="str">
        <f t="shared" si="5"/>
        <v/>
      </c>
      <c r="J1136" s="330"/>
      <c r="K1136" s="329"/>
      <c r="L1136" s="286"/>
      <c r="M1136" s="286"/>
      <c r="N1136" s="286"/>
      <c r="O1136" s="286"/>
      <c r="P1136" s="286"/>
      <c r="Q1136" s="286"/>
      <c r="R1136" s="286"/>
      <c r="S1136" s="286"/>
      <c r="T1136" s="286"/>
      <c r="U1136" s="286"/>
      <c r="V1136" s="286"/>
      <c r="W1136" s="286"/>
      <c r="X1136" s="286"/>
      <c r="Y1136" s="286"/>
      <c r="Z1136" s="286"/>
      <c r="AA1136" s="286"/>
    </row>
    <row r="1137">
      <c r="A1137" s="327"/>
      <c r="B1137" s="245"/>
      <c r="C1137" s="286"/>
      <c r="D1137" s="328"/>
      <c r="E1137" s="286"/>
      <c r="F1137" s="329"/>
      <c r="G1137" s="286" t="str">
        <f>IFERROR(__xludf.DUMMYFUNCTION("""COMPUTED_VALUE"""),"DECK 05 CARVALHO EUROPEU MILANO 15/3 X 125 X 1200MM")</f>
        <v>DECK 05 CARVALHO EUROPEU MILANO 15/3 X 125 X 1200MM</v>
      </c>
      <c r="I1137" s="271" t="str">
        <f t="shared" si="5"/>
        <v/>
      </c>
      <c r="J1137" s="330"/>
      <c r="K1137" s="329"/>
      <c r="L1137" s="286"/>
      <c r="M1137" s="286"/>
      <c r="N1137" s="286"/>
      <c r="O1137" s="286"/>
      <c r="P1137" s="286"/>
      <c r="Q1137" s="286"/>
      <c r="R1137" s="286"/>
      <c r="S1137" s="286"/>
      <c r="T1137" s="286"/>
      <c r="U1137" s="286"/>
      <c r="V1137" s="286"/>
      <c r="W1137" s="286"/>
      <c r="X1137" s="286"/>
      <c r="Y1137" s="286"/>
      <c r="Z1137" s="286"/>
      <c r="AA1137" s="286"/>
    </row>
    <row r="1138">
      <c r="A1138" s="327"/>
      <c r="B1138" s="245"/>
      <c r="C1138" s="286"/>
      <c r="D1138" s="328"/>
      <c r="E1138" s="286"/>
      <c r="F1138" s="329"/>
      <c r="G1138" s="286" t="str">
        <f>IFERROR(__xludf.DUMMYFUNCTION("""COMPUTED_VALUE"""),"DECK 05 CARVALHO EUROPEU MILANO 15/3 X 190 X 1900MM")</f>
        <v>DECK 05 CARVALHO EUROPEU MILANO 15/3 X 190 X 1900MM</v>
      </c>
      <c r="I1138" s="271" t="str">
        <f t="shared" si="5"/>
        <v/>
      </c>
      <c r="J1138" s="330"/>
      <c r="K1138" s="329"/>
      <c r="L1138" s="286"/>
      <c r="M1138" s="286"/>
      <c r="N1138" s="286"/>
      <c r="O1138" s="286"/>
      <c r="P1138" s="286"/>
      <c r="Q1138" s="286"/>
      <c r="R1138" s="286"/>
      <c r="S1138" s="286"/>
      <c r="T1138" s="286"/>
      <c r="U1138" s="286"/>
      <c r="V1138" s="286"/>
      <c r="W1138" s="286"/>
      <c r="X1138" s="286"/>
      <c r="Y1138" s="286"/>
      <c r="Z1138" s="286"/>
      <c r="AA1138" s="286"/>
    </row>
    <row r="1139">
      <c r="A1139" s="327"/>
      <c r="B1139" s="245"/>
      <c r="C1139" s="286"/>
      <c r="D1139" s="328"/>
      <c r="E1139" s="286"/>
      <c r="F1139" s="329"/>
      <c r="G1139" s="286" t="str">
        <f>IFERROR(__xludf.DUMMYFUNCTION("""COMPUTED_VALUE"""),"DECK 05 CARVALHO EUROPEU MILANO 20/6 X 300 X 4000MM")</f>
        <v>DECK 05 CARVALHO EUROPEU MILANO 20/6 X 300 X 4000MM</v>
      </c>
      <c r="I1139" s="271" t="str">
        <f t="shared" si="5"/>
        <v/>
      </c>
      <c r="J1139" s="330"/>
      <c r="K1139" s="329"/>
      <c r="L1139" s="286"/>
      <c r="M1139" s="286"/>
      <c r="N1139" s="286"/>
      <c r="O1139" s="286"/>
      <c r="P1139" s="286"/>
      <c r="Q1139" s="286"/>
      <c r="R1139" s="286"/>
      <c r="S1139" s="286"/>
      <c r="T1139" s="286"/>
      <c r="U1139" s="286"/>
      <c r="V1139" s="286"/>
      <c r="W1139" s="286"/>
      <c r="X1139" s="286"/>
      <c r="Y1139" s="286"/>
      <c r="Z1139" s="286"/>
      <c r="AA1139" s="286"/>
    </row>
    <row r="1140">
      <c r="A1140" s="327"/>
      <c r="B1140" s="245"/>
      <c r="C1140" s="286"/>
      <c r="D1140" s="328"/>
      <c r="E1140" s="286"/>
      <c r="F1140" s="329"/>
      <c r="G1140" s="286" t="str">
        <f>IFERROR(__xludf.DUMMYFUNCTION("""COMPUTED_VALUE"""),"DECK 05 CARVALHO EUROPEU MILANO 20/6 X 400 X 5000MM")</f>
        <v>DECK 05 CARVALHO EUROPEU MILANO 20/6 X 400 X 5000MM</v>
      </c>
      <c r="I1140" s="271" t="str">
        <f t="shared" si="5"/>
        <v/>
      </c>
      <c r="J1140" s="330"/>
      <c r="K1140" s="329"/>
      <c r="L1140" s="286"/>
      <c r="M1140" s="286"/>
      <c r="N1140" s="286"/>
      <c r="O1140" s="286"/>
      <c r="P1140" s="286"/>
      <c r="Q1140" s="286"/>
      <c r="R1140" s="286"/>
      <c r="S1140" s="286"/>
      <c r="T1140" s="286"/>
      <c r="U1140" s="286"/>
      <c r="V1140" s="286"/>
      <c r="W1140" s="286"/>
      <c r="X1140" s="286"/>
      <c r="Y1140" s="286"/>
      <c r="Z1140" s="286"/>
      <c r="AA1140" s="286"/>
    </row>
    <row r="1141">
      <c r="A1141" s="327"/>
      <c r="B1141" s="245"/>
      <c r="C1141" s="286"/>
      <c r="D1141" s="328"/>
      <c r="E1141" s="286"/>
      <c r="F1141" s="329"/>
      <c r="G1141" s="286" t="str">
        <f>IFERROR(__xludf.DUMMYFUNCTION("""COMPUTED_VALUE"""),"DECK 05 CARVALHO EUROPEU SMOKED CHEVRON 15/3 X 1900X 740MM")</f>
        <v>DECK 05 CARVALHO EUROPEU SMOKED CHEVRON 15/3 X 1900X 740MM</v>
      </c>
      <c r="I1141" s="271" t="str">
        <f t="shared" si="5"/>
        <v/>
      </c>
      <c r="J1141" s="330"/>
      <c r="K1141" s="329"/>
      <c r="L1141" s="286"/>
      <c r="M1141" s="286"/>
      <c r="N1141" s="286"/>
      <c r="O1141" s="286"/>
      <c r="P1141" s="286"/>
      <c r="Q1141" s="286"/>
      <c r="R1141" s="286"/>
      <c r="S1141" s="286"/>
      <c r="T1141" s="286"/>
      <c r="U1141" s="286"/>
      <c r="V1141" s="286"/>
      <c r="W1141" s="286"/>
      <c r="X1141" s="286"/>
      <c r="Y1141" s="286"/>
      <c r="Z1141" s="286"/>
      <c r="AA1141" s="286"/>
    </row>
    <row r="1142">
      <c r="A1142" s="327"/>
      <c r="B1142" s="245"/>
      <c r="C1142" s="286"/>
      <c r="D1142" s="328"/>
      <c r="E1142" s="286"/>
      <c r="F1142" s="329"/>
      <c r="G1142" s="286" t="str">
        <f>IFERROR(__xludf.DUMMYFUNCTION("""COMPUTED_VALUE"""),"DECK 05 CARVALHO EUROPEU SMOKED 15/3 X 125 X 1200MM")</f>
        <v>DECK 05 CARVALHO EUROPEU SMOKED 15/3 X 125 X 1200MM</v>
      </c>
      <c r="I1142" s="271" t="str">
        <f t="shared" si="5"/>
        <v/>
      </c>
      <c r="J1142" s="330"/>
      <c r="K1142" s="329"/>
      <c r="L1142" s="286"/>
      <c r="M1142" s="286"/>
      <c r="N1142" s="286"/>
      <c r="O1142" s="286"/>
      <c r="P1142" s="286"/>
      <c r="Q1142" s="286"/>
      <c r="R1142" s="286"/>
      <c r="S1142" s="286"/>
      <c r="T1142" s="286"/>
      <c r="U1142" s="286"/>
      <c r="V1142" s="286"/>
      <c r="W1142" s="286"/>
      <c r="X1142" s="286"/>
      <c r="Y1142" s="286"/>
      <c r="Z1142" s="286"/>
      <c r="AA1142" s="286"/>
    </row>
    <row r="1143">
      <c r="A1143" s="327"/>
      <c r="B1143" s="245"/>
      <c r="C1143" s="286"/>
      <c r="D1143" s="328"/>
      <c r="E1143" s="286"/>
      <c r="F1143" s="329"/>
      <c r="G1143" s="286" t="str">
        <f>IFERROR(__xludf.DUMMYFUNCTION("""COMPUTED_VALUE"""),"DECK 05 CARVALHO EUROPEU SMOKED 15/3 X 190 X 1900MM")</f>
        <v>DECK 05 CARVALHO EUROPEU SMOKED 15/3 X 190 X 1900MM</v>
      </c>
      <c r="I1143" s="271" t="str">
        <f t="shared" si="5"/>
        <v/>
      </c>
      <c r="J1143" s="330"/>
      <c r="K1143" s="329"/>
      <c r="L1143" s="286"/>
      <c r="M1143" s="286"/>
      <c r="N1143" s="286"/>
      <c r="O1143" s="286"/>
      <c r="P1143" s="286"/>
      <c r="Q1143" s="286"/>
      <c r="R1143" s="286"/>
      <c r="S1143" s="286"/>
      <c r="T1143" s="286"/>
      <c r="U1143" s="286"/>
      <c r="V1143" s="286"/>
      <c r="W1143" s="286"/>
      <c r="X1143" s="286"/>
      <c r="Y1143" s="286"/>
      <c r="Z1143" s="286"/>
      <c r="AA1143" s="286"/>
    </row>
    <row r="1144">
      <c r="A1144" s="327"/>
      <c r="B1144" s="245"/>
      <c r="C1144" s="286"/>
      <c r="D1144" s="328"/>
      <c r="E1144" s="286"/>
      <c r="F1144" s="329"/>
      <c r="G1144" s="286" t="str">
        <f>IFERROR(__xludf.DUMMYFUNCTION("""COMPUTED_VALUE"""),"DECK 05 CARVALHO EUROPEU SMOKED 20/6 X 300 X 4000MM")</f>
        <v>DECK 05 CARVALHO EUROPEU SMOKED 20/6 X 300 X 4000MM</v>
      </c>
      <c r="I1144" s="271" t="str">
        <f t="shared" si="5"/>
        <v/>
      </c>
      <c r="J1144" s="330"/>
      <c r="K1144" s="329"/>
      <c r="L1144" s="286"/>
      <c r="M1144" s="286"/>
      <c r="N1144" s="286"/>
      <c r="O1144" s="286"/>
      <c r="P1144" s="286"/>
      <c r="Q1144" s="286"/>
      <c r="R1144" s="286"/>
      <c r="S1144" s="286"/>
      <c r="T1144" s="286"/>
      <c r="U1144" s="286"/>
      <c r="V1144" s="286"/>
      <c r="W1144" s="286"/>
      <c r="X1144" s="286"/>
      <c r="Y1144" s="286"/>
      <c r="Z1144" s="286"/>
      <c r="AA1144" s="286"/>
    </row>
    <row r="1145">
      <c r="A1145" s="327"/>
      <c r="B1145" s="245"/>
      <c r="C1145" s="286"/>
      <c r="D1145" s="328"/>
      <c r="E1145" s="286"/>
      <c r="F1145" s="329"/>
      <c r="G1145" s="286" t="str">
        <f>IFERROR(__xludf.DUMMYFUNCTION("""COMPUTED_VALUE"""),"DECK 05 CARVALHO EUROPEU SMOKED 20/6 X 400 X 5000MM")</f>
        <v>DECK 05 CARVALHO EUROPEU SMOKED 20/6 X 400 X 5000MM</v>
      </c>
      <c r="I1145" s="271" t="str">
        <f t="shared" si="5"/>
        <v/>
      </c>
      <c r="J1145" s="330"/>
      <c r="K1145" s="329"/>
      <c r="L1145" s="286"/>
      <c r="M1145" s="286"/>
      <c r="N1145" s="286"/>
      <c r="O1145" s="286"/>
      <c r="P1145" s="286"/>
      <c r="Q1145" s="286"/>
      <c r="R1145" s="286"/>
      <c r="S1145" s="286"/>
      <c r="T1145" s="286"/>
      <c r="U1145" s="286"/>
      <c r="V1145" s="286"/>
      <c r="W1145" s="286"/>
      <c r="X1145" s="286"/>
      <c r="Y1145" s="286"/>
      <c r="Z1145" s="286"/>
      <c r="AA1145" s="286"/>
    </row>
    <row r="1146">
      <c r="A1146" s="327"/>
      <c r="B1146" s="245"/>
      <c r="C1146" s="286"/>
      <c r="D1146" s="328"/>
      <c r="E1146" s="286"/>
      <c r="F1146" s="329"/>
      <c r="G1146" s="286" t="str">
        <f>IFERROR(__xludf.DUMMYFUNCTION("""COMPUTED_VALUE"""),"DECK 05 CARVALHO EUROPEU GIZ CHEVRON 15/3 X 1900X 740MM")</f>
        <v>DECK 05 CARVALHO EUROPEU GIZ CHEVRON 15/3 X 1900X 740MM</v>
      </c>
      <c r="I1146" s="271" t="str">
        <f t="shared" si="5"/>
        <v/>
      </c>
      <c r="J1146" s="330"/>
      <c r="K1146" s="329"/>
      <c r="L1146" s="286"/>
      <c r="M1146" s="286"/>
      <c r="N1146" s="286"/>
      <c r="O1146" s="286"/>
      <c r="P1146" s="286"/>
      <c r="Q1146" s="286"/>
      <c r="R1146" s="286"/>
      <c r="S1146" s="286"/>
      <c r="T1146" s="286"/>
      <c r="U1146" s="286"/>
      <c r="V1146" s="286"/>
      <c r="W1146" s="286"/>
      <c r="X1146" s="286"/>
      <c r="Y1146" s="286"/>
      <c r="Z1146" s="286"/>
      <c r="AA1146" s="286"/>
    </row>
    <row r="1147">
      <c r="A1147" s="327"/>
      <c r="B1147" s="245"/>
      <c r="C1147" s="286"/>
      <c r="D1147" s="328"/>
      <c r="E1147" s="286"/>
      <c r="F1147" s="329"/>
      <c r="G1147" s="286" t="str">
        <f>IFERROR(__xludf.DUMMYFUNCTION("""COMPUTED_VALUE"""),"DECK 05 CARVALHO EUROPEU GIZ 15/3 X 125 X 1200MM")</f>
        <v>DECK 05 CARVALHO EUROPEU GIZ 15/3 X 125 X 1200MM</v>
      </c>
      <c r="I1147" s="271" t="str">
        <f t="shared" si="5"/>
        <v/>
      </c>
      <c r="J1147" s="330"/>
      <c r="K1147" s="329"/>
      <c r="L1147" s="286"/>
      <c r="M1147" s="286"/>
      <c r="N1147" s="286"/>
      <c r="O1147" s="286"/>
      <c r="P1147" s="286"/>
      <c r="Q1147" s="286"/>
      <c r="R1147" s="286"/>
      <c r="S1147" s="286"/>
      <c r="T1147" s="286"/>
      <c r="U1147" s="286"/>
      <c r="V1147" s="286"/>
      <c r="W1147" s="286"/>
      <c r="X1147" s="286"/>
      <c r="Y1147" s="286"/>
      <c r="Z1147" s="286"/>
      <c r="AA1147" s="286"/>
    </row>
    <row r="1148">
      <c r="A1148" s="327"/>
      <c r="B1148" s="245"/>
      <c r="C1148" s="286"/>
      <c r="D1148" s="328"/>
      <c r="E1148" s="286"/>
      <c r="F1148" s="329"/>
      <c r="G1148" s="286" t="str">
        <f>IFERROR(__xludf.DUMMYFUNCTION("""COMPUTED_VALUE"""),"DECK 05 CARVALHO EUROPEU GIZ 15/3 X 190 X 1900MM")</f>
        <v>DECK 05 CARVALHO EUROPEU GIZ 15/3 X 190 X 1900MM</v>
      </c>
      <c r="I1148" s="271" t="str">
        <f t="shared" si="5"/>
        <v/>
      </c>
      <c r="J1148" s="330"/>
      <c r="K1148" s="329"/>
      <c r="L1148" s="286"/>
      <c r="M1148" s="286"/>
      <c r="N1148" s="286"/>
      <c r="O1148" s="286"/>
      <c r="P1148" s="286"/>
      <c r="Q1148" s="286"/>
      <c r="R1148" s="286"/>
      <c r="S1148" s="286"/>
      <c r="T1148" s="286"/>
      <c r="U1148" s="286"/>
      <c r="V1148" s="286"/>
      <c r="W1148" s="286"/>
      <c r="X1148" s="286"/>
      <c r="Y1148" s="286"/>
      <c r="Z1148" s="286"/>
      <c r="AA1148" s="286"/>
    </row>
    <row r="1149">
      <c r="A1149" s="327"/>
      <c r="B1149" s="245"/>
      <c r="C1149" s="286"/>
      <c r="D1149" s="328"/>
      <c r="E1149" s="286"/>
      <c r="F1149" s="329"/>
      <c r="G1149" s="286" t="str">
        <f>IFERROR(__xludf.DUMMYFUNCTION("""COMPUTED_VALUE"""),"DECK 05 CARVALHO EUROPEU GIZ 20/6 X 300 X 4000MM")</f>
        <v>DECK 05 CARVALHO EUROPEU GIZ 20/6 X 300 X 4000MM</v>
      </c>
      <c r="I1149" s="271" t="str">
        <f t="shared" si="5"/>
        <v/>
      </c>
      <c r="J1149" s="330"/>
      <c r="K1149" s="329"/>
      <c r="L1149" s="286"/>
      <c r="M1149" s="286"/>
      <c r="N1149" s="286"/>
      <c r="O1149" s="286"/>
      <c r="P1149" s="286"/>
      <c r="Q1149" s="286"/>
      <c r="R1149" s="286"/>
      <c r="S1149" s="286"/>
      <c r="T1149" s="286"/>
      <c r="U1149" s="286"/>
      <c r="V1149" s="286"/>
      <c r="W1149" s="286"/>
      <c r="X1149" s="286"/>
      <c r="Y1149" s="286"/>
      <c r="Z1149" s="286"/>
      <c r="AA1149" s="286"/>
    </row>
    <row r="1150">
      <c r="A1150" s="327"/>
      <c r="B1150" s="245"/>
      <c r="C1150" s="286"/>
      <c r="D1150" s="328"/>
      <c r="E1150" s="286"/>
      <c r="F1150" s="329"/>
      <c r="G1150" s="286" t="str">
        <f>IFERROR(__xludf.DUMMYFUNCTION("""COMPUTED_VALUE"""),"DECK 05 CARVALHO EUROPEU GIZ 20/6 X 400 X 5000MM")</f>
        <v>DECK 05 CARVALHO EUROPEU GIZ 20/6 X 400 X 5000MM</v>
      </c>
      <c r="I1150" s="271" t="str">
        <f t="shared" si="5"/>
        <v/>
      </c>
      <c r="J1150" s="330"/>
      <c r="K1150" s="329"/>
      <c r="L1150" s="286"/>
      <c r="M1150" s="286"/>
      <c r="N1150" s="286"/>
      <c r="O1150" s="286"/>
      <c r="P1150" s="286"/>
      <c r="Q1150" s="286"/>
      <c r="R1150" s="286"/>
      <c r="S1150" s="286"/>
      <c r="T1150" s="286"/>
      <c r="U1150" s="286"/>
      <c r="V1150" s="286"/>
      <c r="W1150" s="286"/>
      <c r="X1150" s="286"/>
      <c r="Y1150" s="286"/>
      <c r="Z1150" s="286"/>
      <c r="AA1150" s="286"/>
    </row>
    <row r="1151">
      <c r="A1151" s="327"/>
      <c r="B1151" s="245"/>
      <c r="C1151" s="286"/>
      <c r="D1151" s="328"/>
      <c r="E1151" s="286"/>
      <c r="F1151" s="329"/>
      <c r="G1151" s="286" t="str">
        <f>IFERROR(__xludf.DUMMYFUNCTION("""COMPUTED_VALUE"""),"DECK 05 CARVALHO EUROPEU SNOW CHEVRON 15/3 X 1900X 740MM")</f>
        <v>DECK 05 CARVALHO EUROPEU SNOW CHEVRON 15/3 X 1900X 740MM</v>
      </c>
      <c r="I1151" s="271" t="str">
        <f t="shared" si="5"/>
        <v/>
      </c>
      <c r="J1151" s="330"/>
      <c r="K1151" s="329"/>
      <c r="L1151" s="286"/>
      <c r="M1151" s="286"/>
      <c r="N1151" s="286"/>
      <c r="O1151" s="286"/>
      <c r="P1151" s="286"/>
      <c r="Q1151" s="286"/>
      <c r="R1151" s="286"/>
      <c r="S1151" s="286"/>
      <c r="T1151" s="286"/>
      <c r="U1151" s="286"/>
      <c r="V1151" s="286"/>
      <c r="W1151" s="286"/>
      <c r="X1151" s="286"/>
      <c r="Y1151" s="286"/>
      <c r="Z1151" s="286"/>
      <c r="AA1151" s="286"/>
    </row>
    <row r="1152">
      <c r="A1152" s="327"/>
      <c r="B1152" s="245"/>
      <c r="C1152" s="286"/>
      <c r="D1152" s="328"/>
      <c r="E1152" s="286"/>
      <c r="F1152" s="329"/>
      <c r="G1152" s="286" t="str">
        <f>IFERROR(__xludf.DUMMYFUNCTION("""COMPUTED_VALUE"""),"DECK 05 CARVALHO EUROPEU SNOW 15/3 X 125 X 1200MM")</f>
        <v>DECK 05 CARVALHO EUROPEU SNOW 15/3 X 125 X 1200MM</v>
      </c>
      <c r="I1152" s="271" t="str">
        <f t="shared" si="5"/>
        <v/>
      </c>
      <c r="J1152" s="330"/>
      <c r="K1152" s="329"/>
      <c r="L1152" s="286"/>
      <c r="M1152" s="286"/>
      <c r="N1152" s="286"/>
      <c r="O1152" s="286"/>
      <c r="P1152" s="286"/>
      <c r="Q1152" s="286"/>
      <c r="R1152" s="286"/>
      <c r="S1152" s="286"/>
      <c r="T1152" s="286"/>
      <c r="U1152" s="286"/>
      <c r="V1152" s="286"/>
      <c r="W1152" s="286"/>
      <c r="X1152" s="286"/>
      <c r="Y1152" s="286"/>
      <c r="Z1152" s="286"/>
      <c r="AA1152" s="286"/>
    </row>
    <row r="1153">
      <c r="A1153" s="327"/>
      <c r="B1153" s="245"/>
      <c r="C1153" s="286"/>
      <c r="D1153" s="328"/>
      <c r="E1153" s="286"/>
      <c r="F1153" s="329"/>
      <c r="G1153" s="286" t="str">
        <f>IFERROR(__xludf.DUMMYFUNCTION("""COMPUTED_VALUE"""),"DECK 05 CARVALHO EUROPEU SNOW 15/3 X 190 X 1900MM")</f>
        <v>DECK 05 CARVALHO EUROPEU SNOW 15/3 X 190 X 1900MM</v>
      </c>
      <c r="I1153" s="271" t="str">
        <f t="shared" si="5"/>
        <v/>
      </c>
      <c r="J1153" s="330"/>
      <c r="K1153" s="329"/>
      <c r="L1153" s="286"/>
      <c r="M1153" s="286"/>
      <c r="N1153" s="286"/>
      <c r="O1153" s="286"/>
      <c r="P1153" s="286"/>
      <c r="Q1153" s="286"/>
      <c r="R1153" s="286"/>
      <c r="S1153" s="286"/>
      <c r="T1153" s="286"/>
      <c r="U1153" s="286"/>
      <c r="V1153" s="286"/>
      <c r="W1153" s="286"/>
      <c r="X1153" s="286"/>
      <c r="Y1153" s="286"/>
      <c r="Z1153" s="286"/>
      <c r="AA1153" s="286"/>
    </row>
    <row r="1154">
      <c r="A1154" s="327"/>
      <c r="B1154" s="245"/>
      <c r="C1154" s="286"/>
      <c r="D1154" s="328"/>
      <c r="E1154" s="286"/>
      <c r="F1154" s="329"/>
      <c r="G1154" s="286" t="str">
        <f>IFERROR(__xludf.DUMMYFUNCTION("""COMPUTED_VALUE"""),"DECK 05 CARVALHO EUROPEU SNOW 20/6 X 300 X 4000MM")</f>
        <v>DECK 05 CARVALHO EUROPEU SNOW 20/6 X 300 X 4000MM</v>
      </c>
      <c r="I1154" s="271" t="str">
        <f t="shared" si="5"/>
        <v/>
      </c>
      <c r="J1154" s="330"/>
      <c r="K1154" s="329"/>
      <c r="L1154" s="286"/>
      <c r="M1154" s="286"/>
      <c r="N1154" s="286"/>
      <c r="O1154" s="286"/>
      <c r="P1154" s="286"/>
      <c r="Q1154" s="286"/>
      <c r="R1154" s="286"/>
      <c r="S1154" s="286"/>
      <c r="T1154" s="286"/>
      <c r="U1154" s="286"/>
      <c r="V1154" s="286"/>
      <c r="W1154" s="286"/>
      <c r="X1154" s="286"/>
      <c r="Y1154" s="286"/>
      <c r="Z1154" s="286"/>
      <c r="AA1154" s="286"/>
    </row>
    <row r="1155">
      <c r="A1155" s="327"/>
      <c r="B1155" s="245"/>
      <c r="C1155" s="286"/>
      <c r="D1155" s="328"/>
      <c r="E1155" s="286"/>
      <c r="F1155" s="329"/>
      <c r="G1155" s="286" t="str">
        <f>IFERROR(__xludf.DUMMYFUNCTION("""COMPUTED_VALUE"""),"DECK 05 CARVALHO EUROPEU SNOW 20/6 X 400 X 5000MM")</f>
        <v>DECK 05 CARVALHO EUROPEU SNOW 20/6 X 400 X 5000MM</v>
      </c>
      <c r="I1155" s="271" t="str">
        <f t="shared" si="5"/>
        <v/>
      </c>
      <c r="J1155" s="330"/>
      <c r="K1155" s="329"/>
      <c r="L1155" s="286"/>
      <c r="M1155" s="286"/>
      <c r="N1155" s="286"/>
      <c r="O1155" s="286"/>
      <c r="P1155" s="286"/>
      <c r="Q1155" s="286"/>
      <c r="R1155" s="286"/>
      <c r="S1155" s="286"/>
      <c r="T1155" s="286"/>
      <c r="U1155" s="286"/>
      <c r="V1155" s="286"/>
      <c r="W1155" s="286"/>
      <c r="X1155" s="286"/>
      <c r="Y1155" s="286"/>
      <c r="Z1155" s="286"/>
      <c r="AA1155" s="286"/>
    </row>
    <row r="1156">
      <c r="A1156" s="327"/>
      <c r="B1156" s="245"/>
      <c r="C1156" s="286"/>
      <c r="D1156" s="328"/>
      <c r="E1156" s="286"/>
      <c r="F1156" s="329"/>
      <c r="G1156" s="286" t="str">
        <f>IFERROR(__xludf.DUMMYFUNCTION("""COMPUTED_VALUE"""),"DECK 05 CARVALHO EUROPEU WILD CHEVRON 15/3 X 1900X 740MM")</f>
        <v>DECK 05 CARVALHO EUROPEU WILD CHEVRON 15/3 X 1900X 740MM</v>
      </c>
      <c r="I1156" s="271" t="str">
        <f t="shared" si="5"/>
        <v/>
      </c>
      <c r="J1156" s="330"/>
      <c r="K1156" s="329"/>
      <c r="L1156" s="286"/>
      <c r="M1156" s="286"/>
      <c r="N1156" s="286"/>
      <c r="O1156" s="286"/>
      <c r="P1156" s="286"/>
      <c r="Q1156" s="286"/>
      <c r="R1156" s="286"/>
      <c r="S1156" s="286"/>
      <c r="T1156" s="286"/>
      <c r="U1156" s="286"/>
      <c r="V1156" s="286"/>
      <c r="W1156" s="286"/>
      <c r="X1156" s="286"/>
      <c r="Y1156" s="286"/>
      <c r="Z1156" s="286"/>
      <c r="AA1156" s="286"/>
    </row>
    <row r="1157">
      <c r="A1157" s="327"/>
      <c r="B1157" s="245"/>
      <c r="C1157" s="286"/>
      <c r="D1157" s="328"/>
      <c r="E1157" s="286"/>
      <c r="F1157" s="329"/>
      <c r="G1157" s="286" t="str">
        <f>IFERROR(__xludf.DUMMYFUNCTION("""COMPUTED_VALUE"""),"DECK 05 CARVALHO EUROPEU WILD 15/3 X 125 X 1200MM")</f>
        <v>DECK 05 CARVALHO EUROPEU WILD 15/3 X 125 X 1200MM</v>
      </c>
      <c r="I1157" s="271" t="str">
        <f t="shared" si="5"/>
        <v/>
      </c>
      <c r="J1157" s="330"/>
      <c r="K1157" s="329"/>
      <c r="L1157" s="286"/>
      <c r="M1157" s="286"/>
      <c r="N1157" s="286"/>
      <c r="O1157" s="286"/>
      <c r="P1157" s="286"/>
      <c r="Q1157" s="286"/>
      <c r="R1157" s="286"/>
      <c r="S1157" s="286"/>
      <c r="T1157" s="286"/>
      <c r="U1157" s="286"/>
      <c r="V1157" s="286"/>
      <c r="W1157" s="286"/>
      <c r="X1157" s="286"/>
      <c r="Y1157" s="286"/>
      <c r="Z1157" s="286"/>
      <c r="AA1157" s="286"/>
    </row>
    <row r="1158">
      <c r="A1158" s="327"/>
      <c r="B1158" s="245"/>
      <c r="C1158" s="286"/>
      <c r="D1158" s="328"/>
      <c r="E1158" s="286"/>
      <c r="F1158" s="329"/>
      <c r="G1158" s="286" t="str">
        <f>IFERROR(__xludf.DUMMYFUNCTION("""COMPUTED_VALUE"""),"DECK 05 CARVALHO EUROPEU WILD 15/3 X 190 X 1900MM")</f>
        <v>DECK 05 CARVALHO EUROPEU WILD 15/3 X 190 X 1900MM</v>
      </c>
      <c r="I1158" s="271" t="str">
        <f t="shared" si="5"/>
        <v/>
      </c>
      <c r="J1158" s="330"/>
      <c r="K1158" s="329"/>
      <c r="L1158" s="286"/>
      <c r="M1158" s="286"/>
      <c r="N1158" s="286"/>
      <c r="O1158" s="286"/>
      <c r="P1158" s="286"/>
      <c r="Q1158" s="286"/>
      <c r="R1158" s="286"/>
      <c r="S1158" s="286"/>
      <c r="T1158" s="286"/>
      <c r="U1158" s="286"/>
      <c r="V1158" s="286"/>
      <c r="W1158" s="286"/>
      <c r="X1158" s="286"/>
      <c r="Y1158" s="286"/>
      <c r="Z1158" s="286"/>
      <c r="AA1158" s="286"/>
    </row>
    <row r="1159">
      <c r="A1159" s="327"/>
      <c r="B1159" s="245"/>
      <c r="C1159" s="286"/>
      <c r="D1159" s="328"/>
      <c r="E1159" s="286"/>
      <c r="F1159" s="329"/>
      <c r="G1159" s="286" t="str">
        <f>IFERROR(__xludf.DUMMYFUNCTION("""COMPUTED_VALUE"""),"DECK 05 CARVALHO EUROPEU WILD 20/6 X 300 X 4000MM")</f>
        <v>DECK 05 CARVALHO EUROPEU WILD 20/6 X 300 X 4000MM</v>
      </c>
      <c r="I1159" s="271" t="str">
        <f t="shared" si="5"/>
        <v/>
      </c>
      <c r="J1159" s="330"/>
      <c r="K1159" s="329"/>
      <c r="L1159" s="286"/>
      <c r="M1159" s="286"/>
      <c r="N1159" s="286"/>
      <c r="O1159" s="286"/>
      <c r="P1159" s="286"/>
      <c r="Q1159" s="286"/>
      <c r="R1159" s="286"/>
      <c r="S1159" s="286"/>
      <c r="T1159" s="286"/>
      <c r="U1159" s="286"/>
      <c r="V1159" s="286"/>
      <c r="W1159" s="286"/>
      <c r="X1159" s="286"/>
      <c r="Y1159" s="286"/>
      <c r="Z1159" s="286"/>
      <c r="AA1159" s="286"/>
    </row>
    <row r="1160">
      <c r="A1160" s="327"/>
      <c r="B1160" s="245"/>
      <c r="C1160" s="286"/>
      <c r="D1160" s="328"/>
      <c r="E1160" s="286"/>
      <c r="F1160" s="329"/>
      <c r="G1160" s="286" t="str">
        <f>IFERROR(__xludf.DUMMYFUNCTION("""COMPUTED_VALUE"""),"DECK 05 CARVALHO EUROPEU WILD 20/6 X 400 X 5000MM")</f>
        <v>DECK 05 CARVALHO EUROPEU WILD 20/6 X 400 X 5000MM</v>
      </c>
      <c r="I1160" s="271" t="str">
        <f t="shared" si="5"/>
        <v/>
      </c>
      <c r="J1160" s="330"/>
      <c r="K1160" s="329"/>
      <c r="L1160" s="286"/>
      <c r="M1160" s="286"/>
      <c r="N1160" s="286"/>
      <c r="O1160" s="286"/>
      <c r="P1160" s="286"/>
      <c r="Q1160" s="286"/>
      <c r="R1160" s="286"/>
      <c r="S1160" s="286"/>
      <c r="T1160" s="286"/>
      <c r="U1160" s="286"/>
      <c r="V1160" s="286"/>
      <c r="W1160" s="286"/>
      <c r="X1160" s="286"/>
      <c r="Y1160" s="286"/>
      <c r="Z1160" s="286"/>
      <c r="AA1160" s="286"/>
    </row>
    <row r="1161">
      <c r="A1161" s="327"/>
      <c r="B1161" s="245"/>
      <c r="C1161" s="286"/>
      <c r="D1161" s="328"/>
      <c r="E1161" s="286"/>
      <c r="F1161" s="329"/>
      <c r="G1161" s="286" t="str">
        <f>IFERROR(__xludf.DUMMYFUNCTION("""COMPUTED_VALUE"""),"DECK 05 CARVALHO EUROPEU NEVADO CHEVRON 15/3 X 1900X 740MM")</f>
        <v>DECK 05 CARVALHO EUROPEU NEVADO CHEVRON 15/3 X 1900X 740MM</v>
      </c>
      <c r="I1161" s="271" t="str">
        <f t="shared" si="5"/>
        <v/>
      </c>
      <c r="J1161" s="330"/>
      <c r="K1161" s="329"/>
      <c r="L1161" s="286"/>
      <c r="M1161" s="286"/>
      <c r="N1161" s="286"/>
      <c r="O1161" s="286"/>
      <c r="P1161" s="286"/>
      <c r="Q1161" s="286"/>
      <c r="R1161" s="286"/>
      <c r="S1161" s="286"/>
      <c r="T1161" s="286"/>
      <c r="U1161" s="286"/>
      <c r="V1161" s="286"/>
      <c r="W1161" s="286"/>
      <c r="X1161" s="286"/>
      <c r="Y1161" s="286"/>
      <c r="Z1161" s="286"/>
      <c r="AA1161" s="286"/>
    </row>
    <row r="1162">
      <c r="A1162" s="327"/>
      <c r="B1162" s="245"/>
      <c r="C1162" s="286"/>
      <c r="D1162" s="328"/>
      <c r="E1162" s="286"/>
      <c r="F1162" s="329"/>
      <c r="G1162" s="286" t="str">
        <f>IFERROR(__xludf.DUMMYFUNCTION("""COMPUTED_VALUE"""),"DECK 05 CARVALHO EUROPEU NEVADO 15/3 X 125 X 1200MM")</f>
        <v>DECK 05 CARVALHO EUROPEU NEVADO 15/3 X 125 X 1200MM</v>
      </c>
      <c r="I1162" s="271" t="str">
        <f t="shared" si="5"/>
        <v/>
      </c>
      <c r="J1162" s="330"/>
      <c r="K1162" s="329"/>
      <c r="L1162" s="286"/>
      <c r="M1162" s="286"/>
      <c r="N1162" s="286"/>
      <c r="O1162" s="286"/>
      <c r="P1162" s="286"/>
      <c r="Q1162" s="286"/>
      <c r="R1162" s="286"/>
      <c r="S1162" s="286"/>
      <c r="T1162" s="286"/>
      <c r="U1162" s="286"/>
      <c r="V1162" s="286"/>
      <c r="W1162" s="286"/>
      <c r="X1162" s="286"/>
      <c r="Y1162" s="286"/>
      <c r="Z1162" s="286"/>
      <c r="AA1162" s="286"/>
    </row>
    <row r="1163">
      <c r="A1163" s="327"/>
      <c r="B1163" s="245"/>
      <c r="C1163" s="286"/>
      <c r="D1163" s="328"/>
      <c r="E1163" s="286"/>
      <c r="F1163" s="329"/>
      <c r="G1163" s="286" t="str">
        <f>IFERROR(__xludf.DUMMYFUNCTION("""COMPUTED_VALUE"""),"DECK 05 CARVALHO EUROPEU NEVADO 15/3 X 190 X 1900MM")</f>
        <v>DECK 05 CARVALHO EUROPEU NEVADO 15/3 X 190 X 1900MM</v>
      </c>
      <c r="I1163" s="271" t="str">
        <f t="shared" si="5"/>
        <v/>
      </c>
      <c r="J1163" s="330"/>
      <c r="K1163" s="329"/>
      <c r="L1163" s="286"/>
      <c r="M1163" s="286"/>
      <c r="N1163" s="286"/>
      <c r="O1163" s="286"/>
      <c r="P1163" s="286"/>
      <c r="Q1163" s="286"/>
      <c r="R1163" s="286"/>
      <c r="S1163" s="286"/>
      <c r="T1163" s="286"/>
      <c r="U1163" s="286"/>
      <c r="V1163" s="286"/>
      <c r="W1163" s="286"/>
      <c r="X1163" s="286"/>
      <c r="Y1163" s="286"/>
      <c r="Z1163" s="286"/>
      <c r="AA1163" s="286"/>
    </row>
    <row r="1164">
      <c r="A1164" s="327"/>
      <c r="B1164" s="245"/>
      <c r="C1164" s="286"/>
      <c r="D1164" s="328"/>
      <c r="E1164" s="286"/>
      <c r="F1164" s="329"/>
      <c r="G1164" s="286" t="str">
        <f>IFERROR(__xludf.DUMMYFUNCTION("""COMPUTED_VALUE"""),"DECK 05 CARVALHO EUROPEU NEVADO 20/6 X 300 X 4000MM")</f>
        <v>DECK 05 CARVALHO EUROPEU NEVADO 20/6 X 300 X 4000MM</v>
      </c>
      <c r="I1164" s="271" t="str">
        <f t="shared" si="5"/>
        <v/>
      </c>
      <c r="J1164" s="330"/>
      <c r="K1164" s="329"/>
      <c r="L1164" s="286"/>
      <c r="M1164" s="286"/>
      <c r="N1164" s="286"/>
      <c r="O1164" s="286"/>
      <c r="P1164" s="286"/>
      <c r="Q1164" s="286"/>
      <c r="R1164" s="286"/>
      <c r="S1164" s="286"/>
      <c r="T1164" s="286"/>
      <c r="U1164" s="286"/>
      <c r="V1164" s="286"/>
      <c r="W1164" s="286"/>
      <c r="X1164" s="286"/>
      <c r="Y1164" s="286"/>
      <c r="Z1164" s="286"/>
      <c r="AA1164" s="286"/>
    </row>
    <row r="1165">
      <c r="A1165" s="327"/>
      <c r="B1165" s="245"/>
      <c r="C1165" s="286"/>
      <c r="D1165" s="328"/>
      <c r="E1165" s="286"/>
      <c r="F1165" s="329"/>
      <c r="G1165" s="286" t="str">
        <f>IFERROR(__xludf.DUMMYFUNCTION("""COMPUTED_VALUE"""),"DECK 05 CARVALHO EUROPEU NEVADO 20/6 X 400 X 5000MM")</f>
        <v>DECK 05 CARVALHO EUROPEU NEVADO 20/6 X 400 X 5000MM</v>
      </c>
      <c r="I1165" s="271" t="str">
        <f t="shared" si="5"/>
        <v/>
      </c>
      <c r="J1165" s="330"/>
      <c r="K1165" s="329"/>
      <c r="L1165" s="286"/>
      <c r="M1165" s="286"/>
      <c r="N1165" s="286"/>
      <c r="O1165" s="286"/>
      <c r="P1165" s="286"/>
      <c r="Q1165" s="286"/>
      <c r="R1165" s="286"/>
      <c r="S1165" s="286"/>
      <c r="T1165" s="286"/>
      <c r="U1165" s="286"/>
      <c r="V1165" s="286"/>
      <c r="W1165" s="286"/>
      <c r="X1165" s="286"/>
      <c r="Y1165" s="286"/>
      <c r="Z1165" s="286"/>
      <c r="AA1165" s="286"/>
    </row>
    <row r="1166">
      <c r="A1166" s="327"/>
      <c r="B1166" s="245"/>
      <c r="C1166" s="286"/>
      <c r="D1166" s="328"/>
      <c r="E1166" s="286"/>
      <c r="F1166" s="329"/>
      <c r="G1166" s="286" t="str">
        <f>IFERROR(__xludf.DUMMYFUNCTION("""COMPUTED_VALUE"""),"DECK 05 CARVALHO EUROPEU CONCRETE GREY CHEVRON 15/3 X 1900X 740MM")</f>
        <v>DECK 05 CARVALHO EUROPEU CONCRETE GREY CHEVRON 15/3 X 1900X 740MM</v>
      </c>
      <c r="I1166" s="271" t="str">
        <f t="shared" si="5"/>
        <v/>
      </c>
      <c r="J1166" s="330"/>
      <c r="K1166" s="329"/>
      <c r="L1166" s="286"/>
      <c r="M1166" s="286"/>
      <c r="N1166" s="286"/>
      <c r="O1166" s="286"/>
      <c r="P1166" s="286"/>
      <c r="Q1166" s="286"/>
      <c r="R1166" s="286"/>
      <c r="S1166" s="286"/>
      <c r="T1166" s="286"/>
      <c r="U1166" s="286"/>
      <c r="V1166" s="286"/>
      <c r="W1166" s="286"/>
      <c r="X1166" s="286"/>
      <c r="Y1166" s="286"/>
      <c r="Z1166" s="286"/>
      <c r="AA1166" s="286"/>
    </row>
    <row r="1167">
      <c r="A1167" s="327"/>
      <c r="B1167" s="245"/>
      <c r="C1167" s="286"/>
      <c r="D1167" s="328"/>
      <c r="E1167" s="286"/>
      <c r="F1167" s="329"/>
      <c r="G1167" s="286" t="str">
        <f>IFERROR(__xludf.DUMMYFUNCTION("""COMPUTED_VALUE"""),"DECK 05 CARVALHO EUROPEU CONCRETE GREY 15/3 X 125 X 1200MM")</f>
        <v>DECK 05 CARVALHO EUROPEU CONCRETE GREY 15/3 X 125 X 1200MM</v>
      </c>
      <c r="I1167" s="271" t="str">
        <f t="shared" si="5"/>
        <v/>
      </c>
      <c r="J1167" s="330"/>
      <c r="K1167" s="329"/>
      <c r="L1167" s="286"/>
      <c r="M1167" s="286"/>
      <c r="N1167" s="286"/>
      <c r="O1167" s="286"/>
      <c r="P1167" s="286"/>
      <c r="Q1167" s="286"/>
      <c r="R1167" s="286"/>
      <c r="S1167" s="286"/>
      <c r="T1167" s="286"/>
      <c r="U1167" s="286"/>
      <c r="V1167" s="286"/>
      <c r="W1167" s="286"/>
      <c r="X1167" s="286"/>
      <c r="Y1167" s="286"/>
      <c r="Z1167" s="286"/>
      <c r="AA1167" s="286"/>
    </row>
    <row r="1168">
      <c r="A1168" s="327"/>
      <c r="B1168" s="245"/>
      <c r="C1168" s="286"/>
      <c r="D1168" s="328"/>
      <c r="E1168" s="286"/>
      <c r="F1168" s="329"/>
      <c r="G1168" s="286" t="str">
        <f>IFERROR(__xludf.DUMMYFUNCTION("""COMPUTED_VALUE"""),"DECK 05 CARVALHO EUROPEU CONCRETE GREY 15/3 X 190 X 1900MM")</f>
        <v>DECK 05 CARVALHO EUROPEU CONCRETE GREY 15/3 X 190 X 1900MM</v>
      </c>
      <c r="I1168" s="271" t="str">
        <f t="shared" si="5"/>
        <v/>
      </c>
      <c r="J1168" s="330"/>
      <c r="K1168" s="329"/>
      <c r="L1168" s="286"/>
      <c r="M1168" s="286"/>
      <c r="N1168" s="286"/>
      <c r="O1168" s="286"/>
      <c r="P1168" s="286"/>
      <c r="Q1168" s="286"/>
      <c r="R1168" s="286"/>
      <c r="S1168" s="286"/>
      <c r="T1168" s="286"/>
      <c r="U1168" s="286"/>
      <c r="V1168" s="286"/>
      <c r="W1168" s="286"/>
      <c r="X1168" s="286"/>
      <c r="Y1168" s="286"/>
      <c r="Z1168" s="286"/>
      <c r="AA1168" s="286"/>
    </row>
    <row r="1169">
      <c r="A1169" s="327"/>
      <c r="B1169" s="245"/>
      <c r="C1169" s="286"/>
      <c r="D1169" s="328"/>
      <c r="E1169" s="286"/>
      <c r="F1169" s="329"/>
      <c r="G1169" s="286" t="str">
        <f>IFERROR(__xludf.DUMMYFUNCTION("""COMPUTED_VALUE"""),"DECK 05 CARVALHO EUROPEU CONCRETE GREY 20/6 X 300 X 4000MM")</f>
        <v>DECK 05 CARVALHO EUROPEU CONCRETE GREY 20/6 X 300 X 4000MM</v>
      </c>
      <c r="I1169" s="271" t="str">
        <f t="shared" si="5"/>
        <v/>
      </c>
      <c r="J1169" s="330"/>
      <c r="K1169" s="329"/>
      <c r="L1169" s="286"/>
      <c r="M1169" s="286"/>
      <c r="N1169" s="286"/>
      <c r="O1169" s="286"/>
      <c r="P1169" s="286"/>
      <c r="Q1169" s="286"/>
      <c r="R1169" s="286"/>
      <c r="S1169" s="286"/>
      <c r="T1169" s="286"/>
      <c r="U1169" s="286"/>
      <c r="V1169" s="286"/>
      <c r="W1169" s="286"/>
      <c r="X1169" s="286"/>
      <c r="Y1169" s="286"/>
      <c r="Z1169" s="286"/>
      <c r="AA1169" s="286"/>
    </row>
    <row r="1170">
      <c r="A1170" s="327"/>
      <c r="B1170" s="245"/>
      <c r="C1170" s="286"/>
      <c r="D1170" s="328"/>
      <c r="E1170" s="286"/>
      <c r="F1170" s="329"/>
      <c r="G1170" s="286" t="str">
        <f>IFERROR(__xludf.DUMMYFUNCTION("""COMPUTED_VALUE"""),"DECK 05 CARVALHO EUROPEU CONCRETE GREY 20/6 X 400 X 5000MM")</f>
        <v>DECK 05 CARVALHO EUROPEU CONCRETE GREY 20/6 X 400 X 5000MM</v>
      </c>
      <c r="I1170" s="271" t="str">
        <f t="shared" si="5"/>
        <v/>
      </c>
      <c r="J1170" s="330"/>
      <c r="K1170" s="329"/>
      <c r="L1170" s="286"/>
      <c r="M1170" s="286"/>
      <c r="N1170" s="286"/>
      <c r="O1170" s="286"/>
      <c r="P1170" s="286"/>
      <c r="Q1170" s="286"/>
      <c r="R1170" s="286"/>
      <c r="S1170" s="286"/>
      <c r="T1170" s="286"/>
      <c r="U1170" s="286"/>
      <c r="V1170" s="286"/>
      <c r="W1170" s="286"/>
      <c r="X1170" s="286"/>
      <c r="Y1170" s="286"/>
      <c r="Z1170" s="286"/>
      <c r="AA1170" s="286"/>
    </row>
    <row r="1171">
      <c r="A1171" s="327"/>
      <c r="B1171" s="245"/>
      <c r="C1171" s="286"/>
      <c r="D1171" s="328"/>
      <c r="E1171" s="286"/>
      <c r="F1171" s="329"/>
      <c r="G1171" s="286" t="str">
        <f>IFERROR(__xludf.DUMMYFUNCTION("""COMPUTED_VALUE"""),"DECK 05 CARVALHO EUROPEU ITALY BROWN CHEVRON 15/3 X 1900X 740MM")</f>
        <v>DECK 05 CARVALHO EUROPEU ITALY BROWN CHEVRON 15/3 X 1900X 740MM</v>
      </c>
      <c r="I1171" s="271" t="str">
        <f t="shared" si="5"/>
        <v/>
      </c>
      <c r="J1171" s="330"/>
      <c r="K1171" s="329"/>
      <c r="L1171" s="286"/>
      <c r="M1171" s="286"/>
      <c r="N1171" s="286"/>
      <c r="O1171" s="286"/>
      <c r="P1171" s="286"/>
      <c r="Q1171" s="286"/>
      <c r="R1171" s="286"/>
      <c r="S1171" s="286"/>
      <c r="T1171" s="286"/>
      <c r="U1171" s="286"/>
      <c r="V1171" s="286"/>
      <c r="W1171" s="286"/>
      <c r="X1171" s="286"/>
      <c r="Y1171" s="286"/>
      <c r="Z1171" s="286"/>
      <c r="AA1171" s="286"/>
    </row>
    <row r="1172">
      <c r="A1172" s="327"/>
      <c r="B1172" s="245"/>
      <c r="C1172" s="286"/>
      <c r="D1172" s="328"/>
      <c r="E1172" s="286"/>
      <c r="F1172" s="329"/>
      <c r="G1172" s="286" t="str">
        <f>IFERROR(__xludf.DUMMYFUNCTION("""COMPUTED_VALUE"""),"DECK 05 CARVALHO EUROPEU ITALY BROWN 15/3 X 125 X 1200MM")</f>
        <v>DECK 05 CARVALHO EUROPEU ITALY BROWN 15/3 X 125 X 1200MM</v>
      </c>
      <c r="I1172" s="271" t="str">
        <f t="shared" si="5"/>
        <v/>
      </c>
      <c r="J1172" s="330"/>
      <c r="K1172" s="329"/>
      <c r="L1172" s="286"/>
      <c r="M1172" s="286"/>
      <c r="N1172" s="286"/>
      <c r="O1172" s="286"/>
      <c r="P1172" s="286"/>
      <c r="Q1172" s="286"/>
      <c r="R1172" s="286"/>
      <c r="S1172" s="286"/>
      <c r="T1172" s="286"/>
      <c r="U1172" s="286"/>
      <c r="V1172" s="286"/>
      <c r="W1172" s="286"/>
      <c r="X1172" s="286"/>
      <c r="Y1172" s="286"/>
      <c r="Z1172" s="286"/>
      <c r="AA1172" s="286"/>
    </row>
    <row r="1173">
      <c r="A1173" s="327"/>
      <c r="B1173" s="245"/>
      <c r="C1173" s="286"/>
      <c r="D1173" s="328"/>
      <c r="E1173" s="286"/>
      <c r="F1173" s="329"/>
      <c r="G1173" s="286" t="str">
        <f>IFERROR(__xludf.DUMMYFUNCTION("""COMPUTED_VALUE"""),"DECK 05 CARVALHO EUROPEU ITALY BROWN 15/3 X 190 X 1900MM")</f>
        <v>DECK 05 CARVALHO EUROPEU ITALY BROWN 15/3 X 190 X 1900MM</v>
      </c>
      <c r="I1173" s="271" t="str">
        <f t="shared" si="5"/>
        <v/>
      </c>
      <c r="J1173" s="330"/>
      <c r="K1173" s="329"/>
      <c r="L1173" s="286"/>
      <c r="M1173" s="286"/>
      <c r="N1173" s="286"/>
      <c r="O1173" s="286"/>
      <c r="P1173" s="286"/>
      <c r="Q1173" s="286"/>
      <c r="R1173" s="286"/>
      <c r="S1173" s="286"/>
      <c r="T1173" s="286"/>
      <c r="U1173" s="286"/>
      <c r="V1173" s="286"/>
      <c r="W1173" s="286"/>
      <c r="X1173" s="286"/>
      <c r="Y1173" s="286"/>
      <c r="Z1173" s="286"/>
      <c r="AA1173" s="286"/>
    </row>
    <row r="1174">
      <c r="A1174" s="327"/>
      <c r="B1174" s="245"/>
      <c r="C1174" s="286"/>
      <c r="D1174" s="328"/>
      <c r="E1174" s="286"/>
      <c r="F1174" s="329"/>
      <c r="G1174" s="286" t="str">
        <f>IFERROR(__xludf.DUMMYFUNCTION("""COMPUTED_VALUE"""),"DECK 05 CARVALHO EUROPEU ITALY BROWN 20/6 X 300 X 4000MM")</f>
        <v>DECK 05 CARVALHO EUROPEU ITALY BROWN 20/6 X 300 X 4000MM</v>
      </c>
      <c r="I1174" s="271" t="str">
        <f t="shared" si="5"/>
        <v/>
      </c>
      <c r="J1174" s="330"/>
      <c r="K1174" s="329"/>
      <c r="L1174" s="286"/>
      <c r="M1174" s="286"/>
      <c r="N1174" s="286"/>
      <c r="O1174" s="286"/>
      <c r="P1174" s="286"/>
      <c r="Q1174" s="286"/>
      <c r="R1174" s="286"/>
      <c r="S1174" s="286"/>
      <c r="T1174" s="286"/>
      <c r="U1174" s="286"/>
      <c r="V1174" s="286"/>
      <c r="W1174" s="286"/>
      <c r="X1174" s="286"/>
      <c r="Y1174" s="286"/>
      <c r="Z1174" s="286"/>
      <c r="AA1174" s="286"/>
    </row>
    <row r="1175">
      <c r="A1175" s="327"/>
      <c r="B1175" s="245"/>
      <c r="C1175" s="286"/>
      <c r="D1175" s="328"/>
      <c r="E1175" s="286"/>
      <c r="F1175" s="329"/>
      <c r="G1175" s="286" t="str">
        <f>IFERROR(__xludf.DUMMYFUNCTION("""COMPUTED_VALUE"""),"DECK 05 CARVALHO EUROPEU ITALY BROWN 20/6 X 400 X 5000MM")</f>
        <v>DECK 05 CARVALHO EUROPEU ITALY BROWN 20/6 X 400 X 5000MM</v>
      </c>
      <c r="I1175" s="271" t="str">
        <f t="shared" si="5"/>
        <v/>
      </c>
      <c r="J1175" s="330"/>
      <c r="K1175" s="329"/>
      <c r="L1175" s="286"/>
      <c r="M1175" s="286"/>
      <c r="N1175" s="286"/>
      <c r="O1175" s="286"/>
      <c r="P1175" s="286"/>
      <c r="Q1175" s="286"/>
      <c r="R1175" s="286"/>
      <c r="S1175" s="286"/>
      <c r="T1175" s="286"/>
      <c r="U1175" s="286"/>
      <c r="V1175" s="286"/>
      <c r="W1175" s="286"/>
      <c r="X1175" s="286"/>
      <c r="Y1175" s="286"/>
      <c r="Z1175" s="286"/>
      <c r="AA1175" s="286"/>
    </row>
    <row r="1176">
      <c r="A1176" s="327"/>
      <c r="B1176" s="245"/>
      <c r="C1176" s="286"/>
      <c r="D1176" s="328"/>
      <c r="E1176" s="286"/>
      <c r="F1176" s="329"/>
      <c r="G1176" s="286" t="str">
        <f>IFERROR(__xludf.DUMMYFUNCTION("""COMPUTED_VALUE"""),"DECK 05 CARVALHO EUROPEU ALL BLACK CHEVRON 15/3 X 1900X 740MM")</f>
        <v>DECK 05 CARVALHO EUROPEU ALL BLACK CHEVRON 15/3 X 1900X 740MM</v>
      </c>
      <c r="I1176" s="271" t="str">
        <f t="shared" si="5"/>
        <v/>
      </c>
      <c r="J1176" s="330"/>
      <c r="K1176" s="329"/>
      <c r="L1176" s="286"/>
      <c r="M1176" s="286"/>
      <c r="N1176" s="286"/>
      <c r="O1176" s="286"/>
      <c r="P1176" s="286"/>
      <c r="Q1176" s="286"/>
      <c r="R1176" s="286"/>
      <c r="S1176" s="286"/>
      <c r="T1176" s="286"/>
      <c r="U1176" s="286"/>
      <c r="V1176" s="286"/>
      <c r="W1176" s="286"/>
      <c r="X1176" s="286"/>
      <c r="Y1176" s="286"/>
      <c r="Z1176" s="286"/>
      <c r="AA1176" s="286"/>
    </row>
    <row r="1177">
      <c r="A1177" s="327"/>
      <c r="B1177" s="245"/>
      <c r="C1177" s="286"/>
      <c r="D1177" s="328"/>
      <c r="E1177" s="286"/>
      <c r="F1177" s="329"/>
      <c r="G1177" s="286" t="str">
        <f>IFERROR(__xludf.DUMMYFUNCTION("""COMPUTED_VALUE"""),"DECK 05 CARVALHO EUROPEU ALL BLACK 15/3 X 125 X 1200MM")</f>
        <v>DECK 05 CARVALHO EUROPEU ALL BLACK 15/3 X 125 X 1200MM</v>
      </c>
      <c r="I1177" s="271" t="str">
        <f t="shared" si="5"/>
        <v/>
      </c>
      <c r="J1177" s="330"/>
      <c r="K1177" s="329"/>
      <c r="L1177" s="286"/>
      <c r="M1177" s="286"/>
      <c r="N1177" s="286"/>
      <c r="O1177" s="286"/>
      <c r="P1177" s="286"/>
      <c r="Q1177" s="286"/>
      <c r="R1177" s="286"/>
      <c r="S1177" s="286"/>
      <c r="T1177" s="286"/>
      <c r="U1177" s="286"/>
      <c r="V1177" s="286"/>
      <c r="W1177" s="286"/>
      <c r="X1177" s="286"/>
      <c r="Y1177" s="286"/>
      <c r="Z1177" s="286"/>
      <c r="AA1177" s="286"/>
    </row>
    <row r="1178">
      <c r="A1178" s="327"/>
      <c r="B1178" s="245"/>
      <c r="C1178" s="286"/>
      <c r="D1178" s="328"/>
      <c r="E1178" s="286"/>
      <c r="F1178" s="329"/>
      <c r="G1178" s="286" t="str">
        <f>IFERROR(__xludf.DUMMYFUNCTION("""COMPUTED_VALUE"""),"DECK 05 CARVALHO EUROPEU BLACK CHEVRON TG 15/3 X 125 X 775CM")</f>
        <v>DECK 05 CARVALHO EUROPEU BLACK CHEVRON TG 15/3 X 125 X 775CM</v>
      </c>
      <c r="I1178" s="271" t="str">
        <f t="shared" si="5"/>
        <v/>
      </c>
      <c r="J1178" s="330"/>
      <c r="K1178" s="329"/>
      <c r="L1178" s="286"/>
      <c r="M1178" s="286"/>
      <c r="N1178" s="286"/>
      <c r="O1178" s="286"/>
      <c r="P1178" s="286"/>
      <c r="Q1178" s="286"/>
      <c r="R1178" s="286"/>
      <c r="S1178" s="286"/>
      <c r="T1178" s="286"/>
      <c r="U1178" s="286"/>
      <c r="V1178" s="286"/>
      <c r="W1178" s="286"/>
      <c r="X1178" s="286"/>
      <c r="Y1178" s="286"/>
      <c r="Z1178" s="286"/>
      <c r="AA1178" s="286"/>
    </row>
    <row r="1179">
      <c r="A1179" s="327"/>
      <c r="B1179" s="245"/>
      <c r="C1179" s="286"/>
      <c r="D1179" s="328"/>
      <c r="E1179" s="286"/>
      <c r="F1179" s="329"/>
      <c r="G1179" s="286" t="str">
        <f>IFERROR(__xludf.DUMMYFUNCTION("""COMPUTED_VALUE"""),"DECK 05 CARVALHO EUROPEU ALL BLACK 15/3 X 190 X 1900MM")</f>
        <v>DECK 05 CARVALHO EUROPEU ALL BLACK 15/3 X 190 X 1900MM</v>
      </c>
      <c r="I1179" s="271" t="str">
        <f t="shared" si="5"/>
        <v/>
      </c>
      <c r="J1179" s="330"/>
      <c r="K1179" s="329"/>
      <c r="L1179" s="286"/>
      <c r="M1179" s="286"/>
      <c r="N1179" s="286"/>
      <c r="O1179" s="286"/>
      <c r="P1179" s="286"/>
      <c r="Q1179" s="286"/>
      <c r="R1179" s="286"/>
      <c r="S1179" s="286"/>
      <c r="T1179" s="286"/>
      <c r="U1179" s="286"/>
      <c r="V1179" s="286"/>
      <c r="W1179" s="286"/>
      <c r="X1179" s="286"/>
      <c r="Y1179" s="286"/>
      <c r="Z1179" s="286"/>
      <c r="AA1179" s="286"/>
    </row>
    <row r="1180">
      <c r="A1180" s="327"/>
      <c r="B1180" s="245"/>
      <c r="C1180" s="286"/>
      <c r="D1180" s="328"/>
      <c r="E1180" s="286"/>
      <c r="F1180" s="329"/>
      <c r="G1180" s="286" t="str">
        <f>IFERROR(__xludf.DUMMYFUNCTION("""COMPUTED_VALUE"""),"DECK 05 CARVALHO EUROPEU ALL BLACK 20/6 X 300 X 4000MM")</f>
        <v>DECK 05 CARVALHO EUROPEU ALL BLACK 20/6 X 300 X 4000MM</v>
      </c>
      <c r="I1180" s="271" t="str">
        <f t="shared" si="5"/>
        <v/>
      </c>
      <c r="J1180" s="330"/>
      <c r="K1180" s="329"/>
      <c r="L1180" s="286"/>
      <c r="M1180" s="286"/>
      <c r="N1180" s="286"/>
      <c r="O1180" s="286"/>
      <c r="P1180" s="286"/>
      <c r="Q1180" s="286"/>
      <c r="R1180" s="286"/>
      <c r="S1180" s="286"/>
      <c r="T1180" s="286"/>
      <c r="U1180" s="286"/>
      <c r="V1180" s="286"/>
      <c r="W1180" s="286"/>
      <c r="X1180" s="286"/>
      <c r="Y1180" s="286"/>
      <c r="Z1180" s="286"/>
      <c r="AA1180" s="286"/>
    </row>
    <row r="1181">
      <c r="A1181" s="327"/>
      <c r="B1181" s="245"/>
      <c r="C1181" s="286"/>
      <c r="D1181" s="328"/>
      <c r="E1181" s="286"/>
      <c r="F1181" s="329"/>
      <c r="G1181" s="286" t="str">
        <f>IFERROR(__xludf.DUMMYFUNCTION("""COMPUTED_VALUE"""),"DECK 05 CARVALHO EUROPEU ALL BLACK 20/6 X 400 X 5000MM")</f>
        <v>DECK 05 CARVALHO EUROPEU ALL BLACK 20/6 X 400 X 5000MM</v>
      </c>
      <c r="I1181" s="271" t="str">
        <f t="shared" si="5"/>
        <v/>
      </c>
      <c r="J1181" s="330"/>
      <c r="K1181" s="329"/>
      <c r="L1181" s="286"/>
      <c r="M1181" s="286"/>
      <c r="N1181" s="286"/>
      <c r="O1181" s="286"/>
      <c r="P1181" s="286"/>
      <c r="Q1181" s="286"/>
      <c r="R1181" s="286"/>
      <c r="S1181" s="286"/>
      <c r="T1181" s="286"/>
      <c r="U1181" s="286"/>
      <c r="V1181" s="286"/>
      <c r="W1181" s="286"/>
      <c r="X1181" s="286"/>
      <c r="Y1181" s="286"/>
      <c r="Z1181" s="286"/>
      <c r="AA1181" s="286"/>
    </row>
    <row r="1182">
      <c r="A1182" s="327"/>
      <c r="B1182" s="245"/>
      <c r="C1182" s="286"/>
      <c r="D1182" s="328"/>
      <c r="E1182" s="286"/>
      <c r="F1182" s="329"/>
      <c r="G1182" s="286" t="str">
        <f>IFERROR(__xludf.DUMMYFUNCTION("""COMPUTED_VALUE"""),"DECK 05 CARVALHO EUROPEU URBAN GREY CHEVRON 15/3 X 1900X 740MM")</f>
        <v>DECK 05 CARVALHO EUROPEU URBAN GREY CHEVRON 15/3 X 1900X 740MM</v>
      </c>
      <c r="I1182" s="271" t="str">
        <f t="shared" si="5"/>
        <v/>
      </c>
      <c r="J1182" s="330"/>
      <c r="K1182" s="329"/>
      <c r="L1182" s="286"/>
      <c r="M1182" s="286"/>
      <c r="N1182" s="286"/>
      <c r="O1182" s="286"/>
      <c r="P1182" s="286"/>
      <c r="Q1182" s="286"/>
      <c r="R1182" s="286"/>
      <c r="S1182" s="286"/>
      <c r="T1182" s="286"/>
      <c r="U1182" s="286"/>
      <c r="V1182" s="286"/>
      <c r="W1182" s="286"/>
      <c r="X1182" s="286"/>
      <c r="Y1182" s="286"/>
      <c r="Z1182" s="286"/>
      <c r="AA1182" s="286"/>
    </row>
    <row r="1183">
      <c r="A1183" s="327"/>
      <c r="B1183" s="245"/>
      <c r="C1183" s="286"/>
      <c r="D1183" s="328"/>
      <c r="E1183" s="286"/>
      <c r="F1183" s="329"/>
      <c r="G1183" s="286" t="str">
        <f>IFERROR(__xludf.DUMMYFUNCTION("""COMPUTED_VALUE"""),"DECK 05 CARVALHO EUROPEU URBAN GREY 15/3 X 125 X 1200MM")</f>
        <v>DECK 05 CARVALHO EUROPEU URBAN GREY 15/3 X 125 X 1200MM</v>
      </c>
      <c r="I1183" s="271" t="str">
        <f t="shared" si="5"/>
        <v/>
      </c>
      <c r="J1183" s="330"/>
      <c r="K1183" s="329"/>
      <c r="L1183" s="286"/>
      <c r="M1183" s="286"/>
      <c r="N1183" s="286"/>
      <c r="O1183" s="286"/>
      <c r="P1183" s="286"/>
      <c r="Q1183" s="286"/>
      <c r="R1183" s="286"/>
      <c r="S1183" s="286"/>
      <c r="T1183" s="286"/>
      <c r="U1183" s="286"/>
      <c r="V1183" s="286"/>
      <c r="W1183" s="286"/>
      <c r="X1183" s="286"/>
      <c r="Y1183" s="286"/>
      <c r="Z1183" s="286"/>
      <c r="AA1183" s="286"/>
    </row>
    <row r="1184">
      <c r="A1184" s="327"/>
      <c r="B1184" s="245"/>
      <c r="C1184" s="286"/>
      <c r="D1184" s="328"/>
      <c r="E1184" s="286"/>
      <c r="F1184" s="329"/>
      <c r="G1184" s="286" t="str">
        <f>IFERROR(__xludf.DUMMYFUNCTION("""COMPUTED_VALUE"""),"DECK 05 CARVALHO EUROPEU URBAN GREY 15/3 X 190 X 1900MM")</f>
        <v>DECK 05 CARVALHO EUROPEU URBAN GREY 15/3 X 190 X 1900MM</v>
      </c>
      <c r="I1184" s="271" t="str">
        <f t="shared" si="5"/>
        <v/>
      </c>
      <c r="J1184" s="330"/>
      <c r="K1184" s="329"/>
      <c r="L1184" s="286"/>
      <c r="M1184" s="286"/>
      <c r="N1184" s="286"/>
      <c r="O1184" s="286"/>
      <c r="P1184" s="286"/>
      <c r="Q1184" s="286"/>
      <c r="R1184" s="286"/>
      <c r="S1184" s="286"/>
      <c r="T1184" s="286"/>
      <c r="U1184" s="286"/>
      <c r="V1184" s="286"/>
      <c r="W1184" s="286"/>
      <c r="X1184" s="286"/>
      <c r="Y1184" s="286"/>
      <c r="Z1184" s="286"/>
      <c r="AA1184" s="286"/>
    </row>
    <row r="1185">
      <c r="A1185" s="327"/>
      <c r="B1185" s="245"/>
      <c r="C1185" s="286"/>
      <c r="D1185" s="328"/>
      <c r="E1185" s="286"/>
      <c r="F1185" s="329"/>
      <c r="G1185" s="286" t="str">
        <f>IFERROR(__xludf.DUMMYFUNCTION("""COMPUTED_VALUE"""),"DECK 05 CARVALHO EUROPEU URBAN GREY 20/6 X 300 X 4000MM")</f>
        <v>DECK 05 CARVALHO EUROPEU URBAN GREY 20/6 X 300 X 4000MM</v>
      </c>
      <c r="I1185" s="271" t="str">
        <f t="shared" si="5"/>
        <v/>
      </c>
      <c r="J1185" s="330"/>
      <c r="K1185" s="329"/>
      <c r="L1185" s="286"/>
      <c r="M1185" s="286"/>
      <c r="N1185" s="286"/>
      <c r="O1185" s="286"/>
      <c r="P1185" s="286"/>
      <c r="Q1185" s="286"/>
      <c r="R1185" s="286"/>
      <c r="S1185" s="286"/>
      <c r="T1185" s="286"/>
      <c r="U1185" s="286"/>
      <c r="V1185" s="286"/>
      <c r="W1185" s="286"/>
      <c r="X1185" s="286"/>
      <c r="Y1185" s="286"/>
      <c r="Z1185" s="286"/>
      <c r="AA1185" s="286"/>
    </row>
    <row r="1186">
      <c r="A1186" s="327"/>
      <c r="B1186" s="245"/>
      <c r="C1186" s="286"/>
      <c r="D1186" s="328"/>
      <c r="E1186" s="286"/>
      <c r="F1186" s="329"/>
      <c r="G1186" s="286" t="str">
        <f>IFERROR(__xludf.DUMMYFUNCTION("""COMPUTED_VALUE"""),"DECK 05 CARVALHO EUROPEU URBAN GREY 20/6 X 400 X 5000MM")</f>
        <v>DECK 05 CARVALHO EUROPEU URBAN GREY 20/6 X 400 X 5000MM</v>
      </c>
      <c r="I1186" s="271" t="str">
        <f t="shared" si="5"/>
        <v/>
      </c>
      <c r="J1186" s="330"/>
      <c r="K1186" s="329"/>
      <c r="L1186" s="286"/>
      <c r="M1186" s="286"/>
      <c r="N1186" s="286"/>
      <c r="O1186" s="286"/>
      <c r="P1186" s="286"/>
      <c r="Q1186" s="286"/>
      <c r="R1186" s="286"/>
      <c r="S1186" s="286"/>
      <c r="T1186" s="286"/>
      <c r="U1186" s="286"/>
      <c r="V1186" s="286"/>
      <c r="W1186" s="286"/>
      <c r="X1186" s="286"/>
      <c r="Y1186" s="286"/>
      <c r="Z1186" s="286"/>
      <c r="AA1186" s="286"/>
    </row>
    <row r="1187">
      <c r="A1187" s="327"/>
      <c r="B1187" s="245"/>
      <c r="C1187" s="286"/>
      <c r="D1187" s="328"/>
      <c r="E1187" s="286"/>
      <c r="F1187" s="329"/>
      <c r="G1187" s="286" t="str">
        <f>IFERROR(__xludf.DUMMYFUNCTION("""COMPUTED_VALUE"""),"DECK 05 CARVALHO EUROPEU CARAMEL CHEVRON 15/3 X 1900X 740MM")</f>
        <v>DECK 05 CARVALHO EUROPEU CARAMEL CHEVRON 15/3 X 1900X 740MM</v>
      </c>
      <c r="I1187" s="271" t="str">
        <f t="shared" si="5"/>
        <v/>
      </c>
      <c r="J1187" s="330"/>
      <c r="K1187" s="329"/>
      <c r="L1187" s="286"/>
      <c r="M1187" s="286"/>
      <c r="N1187" s="286"/>
      <c r="O1187" s="286"/>
      <c r="P1187" s="286"/>
      <c r="Q1187" s="286"/>
      <c r="R1187" s="286"/>
      <c r="S1187" s="286"/>
      <c r="T1187" s="286"/>
      <c r="U1187" s="286"/>
      <c r="V1187" s="286"/>
      <c r="W1187" s="286"/>
      <c r="X1187" s="286"/>
      <c r="Y1187" s="286"/>
      <c r="Z1187" s="286"/>
      <c r="AA1187" s="286"/>
    </row>
    <row r="1188">
      <c r="A1188" s="327"/>
      <c r="B1188" s="245"/>
      <c r="C1188" s="286"/>
      <c r="D1188" s="328"/>
      <c r="E1188" s="286"/>
      <c r="F1188" s="329"/>
      <c r="G1188" s="286" t="str">
        <f>IFERROR(__xludf.DUMMYFUNCTION("""COMPUTED_VALUE"""),"DECK 05 CARVALHO EUROPEU CARAMEL 15/3 X 125 X 1200MM")</f>
        <v>DECK 05 CARVALHO EUROPEU CARAMEL 15/3 X 125 X 1200MM</v>
      </c>
      <c r="I1188" s="271" t="str">
        <f t="shared" si="5"/>
        <v/>
      </c>
      <c r="J1188" s="330"/>
      <c r="K1188" s="329"/>
      <c r="L1188" s="286"/>
      <c r="M1188" s="286"/>
      <c r="N1188" s="286"/>
      <c r="O1188" s="286"/>
      <c r="P1188" s="286"/>
      <c r="Q1188" s="286"/>
      <c r="R1188" s="286"/>
      <c r="S1188" s="286"/>
      <c r="T1188" s="286"/>
      <c r="U1188" s="286"/>
      <c r="V1188" s="286"/>
      <c r="W1188" s="286"/>
      <c r="X1188" s="286"/>
      <c r="Y1188" s="286"/>
      <c r="Z1188" s="286"/>
      <c r="AA1188" s="286"/>
    </row>
    <row r="1189">
      <c r="A1189" s="327"/>
      <c r="B1189" s="245"/>
      <c r="C1189" s="286"/>
      <c r="D1189" s="328"/>
      <c r="E1189" s="286"/>
      <c r="F1189" s="329"/>
      <c r="G1189" s="286" t="str">
        <f>IFERROR(__xludf.DUMMYFUNCTION("""COMPUTED_VALUE"""),"DECK 05 CARVALHO EUROPEU CARAMEL 15/3 X 190 X 1900MM")</f>
        <v>DECK 05 CARVALHO EUROPEU CARAMEL 15/3 X 190 X 1900MM</v>
      </c>
      <c r="I1189" s="271" t="str">
        <f t="shared" si="5"/>
        <v/>
      </c>
      <c r="J1189" s="330"/>
      <c r="K1189" s="329"/>
      <c r="L1189" s="286"/>
      <c r="M1189" s="286"/>
      <c r="N1189" s="286"/>
      <c r="O1189" s="286"/>
      <c r="P1189" s="286"/>
      <c r="Q1189" s="286"/>
      <c r="R1189" s="286"/>
      <c r="S1189" s="286"/>
      <c r="T1189" s="286"/>
      <c r="U1189" s="286"/>
      <c r="V1189" s="286"/>
      <c r="W1189" s="286"/>
      <c r="X1189" s="286"/>
      <c r="Y1189" s="286"/>
      <c r="Z1189" s="286"/>
      <c r="AA1189" s="286"/>
    </row>
    <row r="1190">
      <c r="A1190" s="327"/>
      <c r="B1190" s="245"/>
      <c r="C1190" s="286"/>
      <c r="D1190" s="328"/>
      <c r="E1190" s="286"/>
      <c r="F1190" s="329"/>
      <c r="G1190" s="286" t="str">
        <f>IFERROR(__xludf.DUMMYFUNCTION("""COMPUTED_VALUE"""),"DECK 05 CARVALHO EUROPEU CARAMEL 20/6 X 300 X 4000MM")</f>
        <v>DECK 05 CARVALHO EUROPEU CARAMEL 20/6 X 300 X 4000MM</v>
      </c>
      <c r="I1190" s="271" t="str">
        <f t="shared" si="5"/>
        <v/>
      </c>
      <c r="J1190" s="330"/>
      <c r="K1190" s="329"/>
      <c r="L1190" s="286"/>
      <c r="M1190" s="286"/>
      <c r="N1190" s="286"/>
      <c r="O1190" s="286"/>
      <c r="P1190" s="286"/>
      <c r="Q1190" s="286"/>
      <c r="R1190" s="286"/>
      <c r="S1190" s="286"/>
      <c r="T1190" s="286"/>
      <c r="U1190" s="286"/>
      <c r="V1190" s="286"/>
      <c r="W1190" s="286"/>
      <c r="X1190" s="286"/>
      <c r="Y1190" s="286"/>
      <c r="Z1190" s="286"/>
      <c r="AA1190" s="286"/>
    </row>
    <row r="1191">
      <c r="A1191" s="327"/>
      <c r="B1191" s="245"/>
      <c r="C1191" s="286"/>
      <c r="D1191" s="328"/>
      <c r="E1191" s="286"/>
      <c r="F1191" s="329"/>
      <c r="G1191" s="286" t="str">
        <f>IFERROR(__xludf.DUMMYFUNCTION("""COMPUTED_VALUE"""),"DECK 05 CARVALHO EUROPEU CARAMEL 20/6 X 400 X 5000MM")</f>
        <v>DECK 05 CARVALHO EUROPEU CARAMEL 20/6 X 400 X 5000MM</v>
      </c>
      <c r="I1191" s="271" t="str">
        <f t="shared" si="5"/>
        <v/>
      </c>
      <c r="J1191" s="330"/>
      <c r="K1191" s="329"/>
      <c r="L1191" s="286"/>
      <c r="M1191" s="286"/>
      <c r="N1191" s="286"/>
      <c r="O1191" s="286"/>
      <c r="P1191" s="286"/>
      <c r="Q1191" s="286"/>
      <c r="R1191" s="286"/>
      <c r="S1191" s="286"/>
      <c r="T1191" s="286"/>
      <c r="U1191" s="286"/>
      <c r="V1191" s="286"/>
      <c r="W1191" s="286"/>
      <c r="X1191" s="286"/>
      <c r="Y1191" s="286"/>
      <c r="Z1191" s="286"/>
      <c r="AA1191" s="286"/>
    </row>
    <row r="1192">
      <c r="A1192" s="327"/>
      <c r="B1192" s="245"/>
      <c r="C1192" s="286"/>
      <c r="D1192" s="328"/>
      <c r="E1192" s="286"/>
      <c r="F1192" s="329"/>
      <c r="G1192" s="286" t="str">
        <f>IFERROR(__xludf.DUMMYFUNCTION("""COMPUTED_VALUE"""),"DECK 05 CARVALHO EUROPEU CHEMICAL CHEVRON TG 15/3*190*740MM")</f>
        <v>DECK 05 CARVALHO EUROPEU CHEMICAL CHEVRON TG 15/3*190*740MM</v>
      </c>
      <c r="I1192" s="271" t="str">
        <f t="shared" si="5"/>
        <v/>
      </c>
      <c r="J1192" s="330"/>
      <c r="K1192" s="329"/>
      <c r="L1192" s="286"/>
      <c r="M1192" s="286"/>
      <c r="N1192" s="286"/>
      <c r="O1192" s="286"/>
      <c r="P1192" s="286"/>
      <c r="Q1192" s="286"/>
      <c r="R1192" s="286"/>
      <c r="S1192" s="286"/>
      <c r="T1192" s="286"/>
      <c r="U1192" s="286"/>
      <c r="V1192" s="286"/>
      <c r="W1192" s="286"/>
      <c r="X1192" s="286"/>
      <c r="Y1192" s="286"/>
      <c r="Z1192" s="286"/>
      <c r="AA1192" s="286"/>
    </row>
    <row r="1193">
      <c r="A1193" s="327"/>
      <c r="B1193" s="245"/>
      <c r="C1193" s="286"/>
      <c r="D1193" s="328"/>
      <c r="E1193" s="286"/>
      <c r="F1193" s="329"/>
      <c r="G1193" s="286" t="str">
        <f>IFERROR(__xludf.DUMMYFUNCTION("""COMPUTED_VALUE"""),"DECK 05 CARVALHO EUROPEU WHITE RUSTIC 15/4*189*1860MM")</f>
        <v>DECK 05 CARVALHO EUROPEU WHITE RUSTIC 15/4*189*1860MM</v>
      </c>
      <c r="I1193" s="271" t="str">
        <f t="shared" si="5"/>
        <v/>
      </c>
      <c r="J1193" s="330"/>
      <c r="K1193" s="329"/>
      <c r="L1193" s="286"/>
      <c r="M1193" s="286"/>
      <c r="N1193" s="286"/>
      <c r="O1193" s="286"/>
      <c r="P1193" s="286"/>
      <c r="Q1193" s="286"/>
      <c r="R1193" s="286"/>
      <c r="S1193" s="286"/>
      <c r="T1193" s="286"/>
      <c r="U1193" s="286"/>
      <c r="V1193" s="286"/>
      <c r="W1193" s="286"/>
      <c r="X1193" s="286"/>
      <c r="Y1193" s="286"/>
      <c r="Z1193" s="286"/>
      <c r="AA1193" s="286"/>
    </row>
    <row r="1194">
      <c r="A1194" s="327"/>
      <c r="B1194" s="245"/>
      <c r="C1194" s="286"/>
      <c r="D1194" s="331"/>
      <c r="E1194" s="286"/>
      <c r="F1194" s="329"/>
      <c r="G1194" s="286" t="str">
        <f>IFERROR(__xludf.DUMMYFUNCTION("""COMPUTED_VALUE"""),"DECK 05 CARVALHO EUROPEU CUSTOMIZADO 14/3 X 12,7 X 186CM")</f>
        <v>DECK 05 CARVALHO EUROPEU CUSTOMIZADO 14/3 X 12,7 X 186CM</v>
      </c>
      <c r="I1194" s="271" t="str">
        <f t="shared" si="5"/>
        <v/>
      </c>
      <c r="J1194" s="330"/>
      <c r="K1194" s="329"/>
      <c r="L1194" s="286"/>
      <c r="M1194" s="286"/>
      <c r="N1194" s="286"/>
      <c r="O1194" s="286"/>
      <c r="P1194" s="286"/>
      <c r="Q1194" s="286"/>
      <c r="R1194" s="286"/>
      <c r="S1194" s="286"/>
      <c r="T1194" s="286"/>
      <c r="U1194" s="286"/>
      <c r="V1194" s="286"/>
      <c r="W1194" s="286"/>
      <c r="X1194" s="286"/>
      <c r="Y1194" s="286"/>
      <c r="Z1194" s="286"/>
      <c r="AA1194" s="286"/>
    </row>
    <row r="1195">
      <c r="A1195" s="327"/>
      <c r="B1195" s="245"/>
      <c r="C1195" s="286"/>
      <c r="D1195" s="328"/>
      <c r="E1195" s="286"/>
      <c r="F1195" s="329"/>
      <c r="G1195" s="286" t="str">
        <f>IFERROR(__xludf.DUMMYFUNCTION("""COMPUTED_VALUE"""),"DECK 05 CARVALHO EUROPEU CUSTOMIZADO 2.0 X 19 X 190CM (C2)")</f>
        <v>DECK 05 CARVALHO EUROPEU CUSTOMIZADO 2.0 X 19 X 190CM (C2)</v>
      </c>
      <c r="I1195" s="271" t="str">
        <f t="shared" si="5"/>
        <v/>
      </c>
      <c r="J1195" s="330"/>
      <c r="K1195" s="329"/>
      <c r="L1195" s="286"/>
      <c r="M1195" s="286"/>
      <c r="N1195" s="286"/>
      <c r="O1195" s="286"/>
      <c r="P1195" s="286"/>
      <c r="Q1195" s="286"/>
      <c r="R1195" s="286"/>
      <c r="S1195" s="286"/>
      <c r="T1195" s="286"/>
      <c r="U1195" s="286"/>
      <c r="V1195" s="286"/>
      <c r="W1195" s="286"/>
      <c r="X1195" s="286"/>
      <c r="Y1195" s="286"/>
      <c r="Z1195" s="286"/>
      <c r="AA1195" s="286"/>
    </row>
    <row r="1196">
      <c r="A1196" s="327"/>
      <c r="B1196" s="245"/>
      <c r="C1196" s="286"/>
      <c r="D1196" s="328"/>
      <c r="E1196" s="286"/>
      <c r="F1196" s="329"/>
      <c r="G1196" s="286" t="str">
        <f>IFERROR(__xludf.DUMMYFUNCTION("""COMPUTED_VALUE"""),"DECK 05 CARVALHO EUROPEU NATURAL CHEVRON TG 1.5/3 X 9X 51CM")</f>
        <v>DECK 05 CARVALHO EUROPEU NATURAL CHEVRON TG 1.5/3 X 9X 51CM</v>
      </c>
      <c r="I1196" s="271" t="str">
        <f t="shared" si="5"/>
        <v/>
      </c>
      <c r="J1196" s="330"/>
      <c r="K1196" s="329"/>
      <c r="L1196" s="286"/>
      <c r="M1196" s="286"/>
      <c r="N1196" s="286"/>
      <c r="O1196" s="286"/>
      <c r="P1196" s="286"/>
      <c r="Q1196" s="286"/>
      <c r="R1196" s="286"/>
      <c r="S1196" s="286"/>
      <c r="T1196" s="286"/>
      <c r="U1196" s="286"/>
      <c r="V1196" s="286"/>
      <c r="W1196" s="286"/>
      <c r="X1196" s="286"/>
      <c r="Y1196" s="286"/>
      <c r="Z1196" s="286"/>
      <c r="AA1196" s="286"/>
    </row>
    <row r="1197">
      <c r="A1197" s="327"/>
      <c r="B1197" s="245"/>
      <c r="C1197" s="286"/>
      <c r="D1197" s="328"/>
      <c r="E1197" s="286"/>
      <c r="F1197" s="329"/>
      <c r="G1197" s="286" t="str">
        <f>IFERROR(__xludf.DUMMYFUNCTION("""COMPUTED_VALUE"""),"DECK 05 CARVALHO EUROPEU NATURAL CHEVRON TG 1.5/3 X 9X 51CM")</f>
        <v>DECK 05 CARVALHO EUROPEU NATURAL CHEVRON TG 1.5/3 X 9X 51CM</v>
      </c>
      <c r="I1197" s="271" t="str">
        <f t="shared" si="5"/>
        <v/>
      </c>
      <c r="J1197" s="330"/>
      <c r="K1197" s="329"/>
      <c r="L1197" s="286"/>
      <c r="M1197" s="286"/>
      <c r="N1197" s="286"/>
      <c r="O1197" s="286"/>
      <c r="P1197" s="286"/>
      <c r="Q1197" s="286"/>
      <c r="R1197" s="286"/>
      <c r="S1197" s="286"/>
      <c r="T1197" s="286"/>
      <c r="U1197" s="286"/>
      <c r="V1197" s="286"/>
      <c r="W1197" s="286"/>
      <c r="X1197" s="286"/>
      <c r="Y1197" s="286"/>
      <c r="Z1197" s="286"/>
      <c r="AA1197" s="286"/>
    </row>
    <row r="1198">
      <c r="A1198" s="327"/>
      <c r="B1198" s="245"/>
      <c r="C1198" s="286"/>
      <c r="D1198" s="328"/>
      <c r="E1198" s="286"/>
      <c r="F1198" s="329"/>
      <c r="G1198" s="286" t="str">
        <f>IFERROR(__xludf.DUMMYFUNCTION("""COMPUTED_VALUE"""),"DECK 05 CARVALHO EUROPEU NUDE CHEVRON 60.. TG 15/3 X 190 X 90CM")</f>
        <v>DECK 05 CARVALHO EUROPEU NUDE CHEVRON 60.. TG 15/3 X 190 X 90CM</v>
      </c>
      <c r="I1198" s="271" t="str">
        <f t="shared" si="5"/>
        <v/>
      </c>
      <c r="J1198" s="330"/>
      <c r="K1198" s="329"/>
      <c r="L1198" s="286"/>
      <c r="M1198" s="286"/>
      <c r="N1198" s="286"/>
      <c r="O1198" s="286"/>
      <c r="P1198" s="286"/>
      <c r="Q1198" s="286"/>
      <c r="R1198" s="286"/>
      <c r="S1198" s="286"/>
      <c r="T1198" s="286"/>
      <c r="U1198" s="286"/>
      <c r="V1198" s="286"/>
      <c r="W1198" s="286"/>
      <c r="X1198" s="286"/>
      <c r="Y1198" s="286"/>
      <c r="Z1198" s="286"/>
      <c r="AA1198" s="286"/>
    </row>
    <row r="1199">
      <c r="A1199" s="327"/>
      <c r="B1199" s="245"/>
      <c r="C1199" s="286"/>
      <c r="D1199" s="328"/>
      <c r="E1199" s="286"/>
      <c r="F1199" s="329"/>
      <c r="G1199" s="286" t="str">
        <f>IFERROR(__xludf.DUMMYFUNCTION("""COMPUTED_VALUE"""),"DECK 05 CARVALHO EUROPEU NUDE CHEVRON TG 1.5/3X 12.5X 63CM")</f>
        <v>DECK 05 CARVALHO EUROPEU NUDE CHEVRON TG 1.5/3X 12.5X 63CM</v>
      </c>
      <c r="I1199" s="271" t="str">
        <f t="shared" si="5"/>
        <v/>
      </c>
      <c r="J1199" s="330"/>
      <c r="K1199" s="329"/>
      <c r="L1199" s="286"/>
      <c r="M1199" s="286"/>
      <c r="N1199" s="286"/>
      <c r="O1199" s="286"/>
      <c r="P1199" s="286"/>
      <c r="Q1199" s="286"/>
      <c r="R1199" s="286"/>
      <c r="S1199" s="286"/>
      <c r="T1199" s="286"/>
      <c r="U1199" s="286"/>
      <c r="V1199" s="286"/>
      <c r="W1199" s="286"/>
      <c r="X1199" s="286"/>
      <c r="Y1199" s="286"/>
      <c r="Z1199" s="286"/>
      <c r="AA1199" s="286"/>
    </row>
    <row r="1200">
      <c r="A1200" s="327"/>
      <c r="B1200" s="245"/>
      <c r="C1200" s="286"/>
      <c r="D1200" s="328"/>
      <c r="E1200" s="286"/>
      <c r="F1200" s="329"/>
      <c r="G1200" s="286" t="str">
        <f>IFERROR(__xludf.DUMMYFUNCTION("""COMPUTED_VALUE"""),"DECK 05 WALNUT 15/3 X 125 X 910MM")</f>
        <v>DECK 05 WALNUT 15/3 X 125 X 910MM</v>
      </c>
      <c r="I1200" s="271" t="str">
        <f t="shared" si="5"/>
        <v/>
      </c>
      <c r="J1200" s="330"/>
      <c r="K1200" s="329"/>
      <c r="L1200" s="286"/>
      <c r="M1200" s="286"/>
      <c r="N1200" s="286"/>
      <c r="O1200" s="286"/>
      <c r="P1200" s="286"/>
      <c r="Q1200" s="286"/>
      <c r="R1200" s="286"/>
      <c r="S1200" s="286"/>
      <c r="T1200" s="286"/>
      <c r="U1200" s="286"/>
      <c r="V1200" s="286"/>
      <c r="W1200" s="286"/>
      <c r="X1200" s="286"/>
      <c r="Y1200" s="286"/>
      <c r="Z1200" s="286"/>
      <c r="AA1200" s="286"/>
    </row>
    <row r="1201">
      <c r="A1201" s="327"/>
      <c r="B1201" s="245"/>
      <c r="C1201" s="286"/>
      <c r="D1201" s="328"/>
      <c r="E1201" s="286"/>
      <c r="F1201" s="329"/>
      <c r="G1201" s="286" t="str">
        <f>IFERROR(__xludf.DUMMYFUNCTION("""COMPUTED_VALUE"""),"DECK 05 WALNUT 15/3 X 190 X 1900MM")</f>
        <v>DECK 05 WALNUT 15/3 X 190 X 1900MM</v>
      </c>
      <c r="I1201" s="271" t="str">
        <f t="shared" si="5"/>
        <v/>
      </c>
      <c r="J1201" s="330"/>
      <c r="K1201" s="329"/>
      <c r="L1201" s="286"/>
      <c r="M1201" s="286"/>
      <c r="N1201" s="286"/>
      <c r="O1201" s="286"/>
      <c r="P1201" s="286"/>
      <c r="Q1201" s="286"/>
      <c r="R1201" s="286"/>
      <c r="S1201" s="286"/>
      <c r="T1201" s="286"/>
      <c r="U1201" s="286"/>
      <c r="V1201" s="286"/>
      <c r="W1201" s="286"/>
      <c r="X1201" s="286"/>
      <c r="Y1201" s="286"/>
      <c r="Z1201" s="286"/>
      <c r="AA1201" s="286"/>
    </row>
    <row r="1202">
      <c r="A1202" s="327"/>
      <c r="B1202" s="245"/>
      <c r="C1202" s="286"/>
      <c r="D1202" s="328"/>
      <c r="E1202" s="286"/>
      <c r="F1202" s="329"/>
      <c r="G1202" s="286" t="str">
        <f>IFERROR(__xludf.DUMMYFUNCTION("""COMPUTED_VALUE"""),"DECK 05 WALNUT 20/2 X 300 X 4000MM")</f>
        <v>DECK 05 WALNUT 20/2 X 300 X 4000MM</v>
      </c>
      <c r="I1202" s="271" t="str">
        <f t="shared" si="5"/>
        <v/>
      </c>
      <c r="J1202" s="330"/>
      <c r="K1202" s="329"/>
      <c r="L1202" s="286"/>
      <c r="M1202" s="286"/>
      <c r="N1202" s="286"/>
      <c r="O1202" s="286"/>
      <c r="P1202" s="286"/>
      <c r="Q1202" s="286"/>
      <c r="R1202" s="286"/>
      <c r="S1202" s="286"/>
      <c r="T1202" s="286"/>
      <c r="U1202" s="286"/>
      <c r="V1202" s="286"/>
      <c r="W1202" s="286"/>
      <c r="X1202" s="286"/>
      <c r="Y1202" s="286"/>
      <c r="Z1202" s="286"/>
      <c r="AA1202" s="286"/>
    </row>
    <row r="1203">
      <c r="A1203" s="327"/>
      <c r="B1203" s="245"/>
      <c r="C1203" s="286"/>
      <c r="D1203" s="328"/>
      <c r="E1203" s="286"/>
      <c r="F1203" s="329"/>
      <c r="G1203" s="286" t="str">
        <f>IFERROR(__xludf.DUMMYFUNCTION("""COMPUTED_VALUE"""),"DECK 05 BAMBU ALTA DENS. CUST PREMIUM TG 1.5/4 X19X185CM")</f>
        <v>DECK 05 BAMBU ALTA DENS. CUST PREMIUM TG 1.5/4 X19X185CM</v>
      </c>
      <c r="I1203" s="271" t="str">
        <f t="shared" si="5"/>
        <v/>
      </c>
      <c r="J1203" s="330"/>
      <c r="K1203" s="329"/>
      <c r="L1203" s="286"/>
      <c r="M1203" s="286"/>
      <c r="N1203" s="286"/>
      <c r="O1203" s="286"/>
      <c r="P1203" s="286"/>
      <c r="Q1203" s="286"/>
      <c r="R1203" s="286"/>
      <c r="S1203" s="286"/>
      <c r="T1203" s="286"/>
      <c r="U1203" s="286"/>
      <c r="V1203" s="286"/>
      <c r="W1203" s="286"/>
      <c r="X1203" s="286"/>
      <c r="Y1203" s="286"/>
      <c r="Z1203" s="286"/>
      <c r="AA1203" s="286"/>
    </row>
    <row r="1204">
      <c r="A1204" s="327"/>
      <c r="B1204" s="245"/>
      <c r="C1204" s="286"/>
      <c r="D1204" s="328"/>
      <c r="E1204" s="286"/>
      <c r="F1204" s="329"/>
      <c r="G1204" s="286" t="str">
        <f>IFERROR(__xludf.DUMMYFUNCTION("""COMPUTED_VALUE"""),"DECK 05 BAMBU CARAMEL ALTA DENSIDADE TG 1.5/4 X19X186CM")</f>
        <v>DECK 05 BAMBU CARAMEL ALTA DENSIDADE TG 1.5/4 X19X186CM</v>
      </c>
      <c r="I1204" s="271" t="str">
        <f t="shared" si="5"/>
        <v/>
      </c>
      <c r="J1204" s="330"/>
      <c r="K1204" s="329"/>
      <c r="L1204" s="286"/>
      <c r="M1204" s="286"/>
      <c r="N1204" s="286"/>
      <c r="O1204" s="286"/>
      <c r="P1204" s="286"/>
      <c r="Q1204" s="286"/>
      <c r="R1204" s="286"/>
      <c r="S1204" s="286"/>
      <c r="T1204" s="286"/>
      <c r="U1204" s="286"/>
      <c r="V1204" s="286"/>
      <c r="W1204" s="286"/>
      <c r="X1204" s="286"/>
      <c r="Y1204" s="286"/>
      <c r="Z1204" s="286"/>
      <c r="AA1204" s="286"/>
    </row>
    <row r="1205">
      <c r="A1205" s="327"/>
      <c r="B1205" s="245"/>
      <c r="C1205" s="286"/>
      <c r="D1205" s="328"/>
      <c r="E1205" s="286"/>
      <c r="F1205" s="329"/>
      <c r="G1205" s="286" t="str">
        <f>IFERROR(__xludf.DUMMYFUNCTION("""COMPUTED_VALUE"""),"DECK 05 RIPADO CUMARU PREMIUM TG 1,8 X 3,5+0,5CM PROF. BIT 0")</f>
        <v>DECK 05 RIPADO CUMARU PREMIUM TG 1,8 X 3,5+0,5CM PROF. BIT 0</v>
      </c>
      <c r="I1205" s="271" t="str">
        <f t="shared" si="5"/>
        <v/>
      </c>
      <c r="J1205" s="330"/>
      <c r="K1205" s="329"/>
      <c r="L1205" s="286"/>
      <c r="M1205" s="286"/>
      <c r="N1205" s="286"/>
      <c r="O1205" s="286"/>
      <c r="P1205" s="286"/>
      <c r="Q1205" s="286"/>
      <c r="R1205" s="286"/>
      <c r="S1205" s="286"/>
      <c r="T1205" s="286"/>
      <c r="U1205" s="286"/>
      <c r="V1205" s="286"/>
      <c r="W1205" s="286"/>
      <c r="X1205" s="286"/>
      <c r="Y1205" s="286"/>
      <c r="Z1205" s="286"/>
      <c r="AA1205" s="286"/>
    </row>
    <row r="1206">
      <c r="A1206" s="327"/>
      <c r="B1206" s="245"/>
      <c r="C1206" s="286"/>
      <c r="D1206" s="328"/>
      <c r="E1206" s="286"/>
      <c r="F1206" s="329"/>
      <c r="G1206" s="286" t="str">
        <f>IFERROR(__xludf.DUMMYFUNCTION("""COMPUTED_VALUE"""),"DECK 05 RIPADO CATUABA PREMIUM TG 1,8 X 3,5+0,5CM PROF. BIT 0")</f>
        <v>DECK 05 RIPADO CATUABA PREMIUM TG 1,8 X 3,5+0,5CM PROF. BIT 0</v>
      </c>
      <c r="I1206" s="271" t="str">
        <f t="shared" si="5"/>
        <v/>
      </c>
      <c r="J1206" s="330"/>
      <c r="K1206" s="329"/>
      <c r="L1206" s="286"/>
      <c r="M1206" s="286"/>
      <c r="N1206" s="286"/>
      <c r="O1206" s="286"/>
      <c r="P1206" s="286"/>
      <c r="Q1206" s="286"/>
      <c r="R1206" s="286"/>
      <c r="S1206" s="286"/>
      <c r="T1206" s="286"/>
      <c r="U1206" s="286"/>
      <c r="V1206" s="286"/>
      <c r="W1206" s="286"/>
      <c r="X1206" s="286"/>
      <c r="Y1206" s="286"/>
      <c r="Z1206" s="286"/>
      <c r="AA1206" s="286"/>
    </row>
    <row r="1207">
      <c r="A1207" s="327"/>
      <c r="B1207" s="245"/>
      <c r="C1207" s="286"/>
      <c r="D1207" s="328"/>
      <c r="E1207" s="286"/>
      <c r="F1207" s="329"/>
      <c r="G1207" s="286" t="str">
        <f>IFERROR(__xludf.DUMMYFUNCTION("""COMPUTED_VALUE"""),"DECK 05 RIPADO CABREUVA BRANCA PREMIUM TG 1,8 X 3,5+0,5CM PROF. BIT 0")</f>
        <v>DECK 05 RIPADO CABREUVA BRANCA PREMIUM TG 1,8 X 3,5+0,5CM PROF. BIT 0</v>
      </c>
      <c r="I1207" s="271" t="str">
        <f t="shared" si="5"/>
        <v/>
      </c>
      <c r="J1207" s="330"/>
      <c r="K1207" s="329"/>
      <c r="L1207" s="286"/>
      <c r="M1207" s="286"/>
      <c r="N1207" s="286"/>
      <c r="O1207" s="286"/>
      <c r="P1207" s="286"/>
      <c r="Q1207" s="286"/>
      <c r="R1207" s="286"/>
      <c r="S1207" s="286"/>
      <c r="T1207" s="286"/>
      <c r="U1207" s="286"/>
      <c r="V1207" s="286"/>
      <c r="W1207" s="286"/>
      <c r="X1207" s="286"/>
      <c r="Y1207" s="286"/>
      <c r="Z1207" s="286"/>
      <c r="AA1207" s="286"/>
    </row>
    <row r="1208">
      <c r="A1208" s="327"/>
      <c r="B1208" s="245"/>
      <c r="C1208" s="286"/>
      <c r="D1208" s="328"/>
      <c r="E1208" s="286"/>
      <c r="F1208" s="329"/>
      <c r="G1208" s="286" t="str">
        <f>IFERROR(__xludf.DUMMYFUNCTION("""COMPUTED_VALUE"""),"DECK 05 RIPADO CABREUVA DOURADA PREMIUM TG 1,8 X 3,5+0,5CM PROF. BIT 0")</f>
        <v>DECK 05 RIPADO CABREUVA DOURADA PREMIUM TG 1,8 X 3,5+0,5CM PROF. BIT 0</v>
      </c>
      <c r="I1208" s="271" t="str">
        <f t="shared" si="5"/>
        <v/>
      </c>
      <c r="J1208" s="330"/>
      <c r="K1208" s="329"/>
      <c r="L1208" s="286"/>
      <c r="M1208" s="286"/>
      <c r="N1208" s="286"/>
      <c r="O1208" s="286"/>
      <c r="P1208" s="286"/>
      <c r="Q1208" s="286"/>
      <c r="R1208" s="286"/>
      <c r="S1208" s="286"/>
      <c r="T1208" s="286"/>
      <c r="U1208" s="286"/>
      <c r="V1208" s="286"/>
      <c r="W1208" s="286"/>
      <c r="X1208" s="286"/>
      <c r="Y1208" s="286"/>
      <c r="Z1208" s="286"/>
      <c r="AA1208" s="286"/>
    </row>
    <row r="1209">
      <c r="A1209" s="327"/>
      <c r="B1209" s="245"/>
      <c r="C1209" s="286"/>
      <c r="D1209" s="328"/>
      <c r="E1209" s="286"/>
      <c r="F1209" s="329"/>
      <c r="G1209" s="286" t="str">
        <f>IFERROR(__xludf.DUMMYFUNCTION("""COMPUTED_VALUE"""),"DECK 05 RIPADO TAUARI PREMIUM TG 1,8 X 3,5+0,5CM PROF. BIT 0")</f>
        <v>DECK 05 RIPADO TAUARI PREMIUM TG 1,8 X 3,5+0,5CM PROF. BIT 0</v>
      </c>
      <c r="I1209" s="271" t="str">
        <f t="shared" si="5"/>
        <v/>
      </c>
      <c r="J1209" s="330"/>
      <c r="K1209" s="329"/>
      <c r="L1209" s="286"/>
      <c r="M1209" s="286"/>
      <c r="N1209" s="286"/>
      <c r="O1209" s="286"/>
      <c r="P1209" s="286"/>
      <c r="Q1209" s="286"/>
      <c r="R1209" s="286"/>
      <c r="S1209" s="286"/>
      <c r="T1209" s="286"/>
      <c r="U1209" s="286"/>
      <c r="V1209" s="286"/>
      <c r="W1209" s="286"/>
      <c r="X1209" s="286"/>
      <c r="Y1209" s="286"/>
      <c r="Z1209" s="286"/>
      <c r="AA1209" s="286"/>
    </row>
    <row r="1210">
      <c r="A1210" s="327"/>
      <c r="B1210" s="245"/>
      <c r="C1210" s="286"/>
      <c r="D1210" s="328"/>
      <c r="E1210" s="286"/>
      <c r="F1210" s="329"/>
      <c r="G1210" s="286" t="str">
        <f>IFERROR(__xludf.DUMMYFUNCTION("""COMPUTED_VALUE"""),"DECK 05 RIPADO PEROBA PREMIUM TG 1,8 X 3,5+0,5CM PROF. BIT 0")</f>
        <v>DECK 05 RIPADO PEROBA PREMIUM TG 1,8 X 3,5+0,5CM PROF. BIT 0</v>
      </c>
      <c r="I1210" s="271" t="str">
        <f t="shared" si="5"/>
        <v/>
      </c>
      <c r="J1210" s="330"/>
      <c r="K1210" s="329"/>
      <c r="L1210" s="286"/>
      <c r="M1210" s="286"/>
      <c r="N1210" s="286"/>
      <c r="O1210" s="286"/>
      <c r="P1210" s="286"/>
      <c r="Q1210" s="286"/>
      <c r="R1210" s="286"/>
      <c r="S1210" s="286"/>
      <c r="T1210" s="286"/>
      <c r="U1210" s="286"/>
      <c r="V1210" s="286"/>
      <c r="W1210" s="286"/>
      <c r="X1210" s="286"/>
      <c r="Y1210" s="286"/>
      <c r="Z1210" s="286"/>
      <c r="AA1210" s="286"/>
    </row>
    <row r="1211">
      <c r="A1211" s="327"/>
      <c r="B1211" s="245"/>
      <c r="C1211" s="286"/>
      <c r="D1211" s="328"/>
      <c r="E1211" s="286"/>
      <c r="F1211" s="329"/>
      <c r="G1211" s="286" t="str">
        <f>IFERROR(__xludf.DUMMYFUNCTION("""COMPUTED_VALUE"""),"DECK 05 RIPADO LORO PARDO PREMIUM TG 1,8 X 3,5+0,5CM PROF. BIT 0")</f>
        <v>DECK 05 RIPADO LORO PARDO PREMIUM TG 1,8 X 3,5+0,5CM PROF. BIT 0</v>
      </c>
      <c r="I1211" s="271" t="str">
        <f t="shared" si="5"/>
        <v/>
      </c>
      <c r="J1211" s="330"/>
      <c r="K1211" s="329"/>
      <c r="L1211" s="286"/>
      <c r="M1211" s="286"/>
      <c r="N1211" s="286"/>
      <c r="O1211" s="286"/>
      <c r="P1211" s="286"/>
      <c r="Q1211" s="286"/>
      <c r="R1211" s="286"/>
      <c r="S1211" s="286"/>
      <c r="T1211" s="286"/>
      <c r="U1211" s="286"/>
      <c r="V1211" s="286"/>
      <c r="W1211" s="286"/>
      <c r="X1211" s="286"/>
      <c r="Y1211" s="286"/>
      <c r="Z1211" s="286"/>
      <c r="AA1211" s="286"/>
    </row>
    <row r="1212">
      <c r="A1212" s="327"/>
      <c r="B1212" s="245"/>
      <c r="C1212" s="286"/>
      <c r="D1212" s="328"/>
      <c r="E1212" s="286"/>
      <c r="F1212" s="329"/>
      <c r="G1212" s="286" t="str">
        <f>IFERROR(__xludf.DUMMYFUNCTION("""COMPUTED_VALUE"""),"DECK 05 CUMARU MULTI PREMIUM 19 X 190 X 600 A 2200MM")</f>
        <v>DECK 05 CUMARU MULTI PREMIUM 19 X 190 X 600 A 2200MM</v>
      </c>
      <c r="I1212" s="271" t="str">
        <f t="shared" si="5"/>
        <v/>
      </c>
      <c r="J1212" s="330"/>
      <c r="K1212" s="329"/>
      <c r="L1212" s="286"/>
      <c r="M1212" s="286"/>
      <c r="N1212" s="286"/>
      <c r="O1212" s="286"/>
      <c r="P1212" s="286"/>
      <c r="Q1212" s="286"/>
      <c r="R1212" s="286"/>
      <c r="S1212" s="286"/>
      <c r="T1212" s="286"/>
      <c r="U1212" s="286"/>
      <c r="V1212" s="286"/>
      <c r="W1212" s="286"/>
      <c r="X1212" s="286"/>
      <c r="Y1212" s="286"/>
      <c r="Z1212" s="286"/>
      <c r="AA1212" s="286"/>
    </row>
    <row r="1213">
      <c r="A1213" s="327"/>
      <c r="B1213" s="245"/>
      <c r="C1213" s="286"/>
      <c r="D1213" s="328"/>
      <c r="E1213" s="286"/>
      <c r="F1213" s="329"/>
      <c r="G1213" s="286" t="str">
        <f>IFERROR(__xludf.DUMMYFUNCTION("""COMPUTED_VALUE"""),"DECK 05 CATUABA MULTI PREMIUM 19 X 190 X 600 A 2200MM")</f>
        <v>DECK 05 CATUABA MULTI PREMIUM 19 X 190 X 600 A 2200MM</v>
      </c>
      <c r="H1213" s="283" t="s">
        <v>1313</v>
      </c>
      <c r="I1213" s="271" t="str">
        <f t="shared" si="5"/>
        <v/>
      </c>
      <c r="J1213" s="330"/>
      <c r="K1213" s="329"/>
      <c r="L1213" s="286" t="s">
        <v>1313</v>
      </c>
      <c r="M1213" s="286"/>
      <c r="N1213" s="286"/>
      <c r="O1213" s="286"/>
      <c r="P1213" s="286"/>
      <c r="Q1213" s="286"/>
      <c r="R1213" s="286"/>
      <c r="S1213" s="286"/>
      <c r="T1213" s="286"/>
      <c r="U1213" s="286"/>
      <c r="V1213" s="286"/>
      <c r="W1213" s="286"/>
      <c r="X1213" s="286"/>
      <c r="Y1213" s="286"/>
      <c r="Z1213" s="286"/>
      <c r="AA1213" s="286"/>
    </row>
    <row r="1214">
      <c r="A1214" s="327"/>
      <c r="B1214" s="245"/>
      <c r="C1214" s="286"/>
      <c r="D1214" s="328"/>
      <c r="E1214" s="286"/>
      <c r="F1214" s="329"/>
      <c r="G1214" s="286" t="str">
        <f>IFERROR(__xludf.DUMMYFUNCTION("""COMPUTED_VALUE"""),"DECK 05 CABREUVA BRACA MULTI PREMIUM 19 X 190 X 600 A 2200MM")</f>
        <v>DECK 05 CABREUVA BRACA MULTI PREMIUM 19 X 190 X 600 A 2200MM</v>
      </c>
      <c r="H1214" s="283" t="s">
        <v>1314</v>
      </c>
      <c r="I1214" s="271" t="str">
        <f t="shared" si="5"/>
        <v/>
      </c>
      <c r="J1214" s="330"/>
      <c r="K1214" s="329"/>
      <c r="L1214" s="286" t="s">
        <v>1314</v>
      </c>
      <c r="M1214" s="286"/>
      <c r="N1214" s="286"/>
      <c r="O1214" s="286"/>
      <c r="P1214" s="286"/>
      <c r="Q1214" s="286"/>
      <c r="R1214" s="286"/>
      <c r="S1214" s="286"/>
      <c r="T1214" s="286"/>
      <c r="U1214" s="286"/>
      <c r="V1214" s="286"/>
      <c r="W1214" s="286"/>
      <c r="X1214" s="286"/>
      <c r="Y1214" s="286"/>
      <c r="Z1214" s="286"/>
      <c r="AA1214" s="286"/>
    </row>
    <row r="1215">
      <c r="A1215" s="327"/>
      <c r="B1215" s="245"/>
      <c r="C1215" s="286"/>
      <c r="D1215" s="328"/>
      <c r="E1215" s="286"/>
      <c r="F1215" s="329"/>
      <c r="G1215" s="286" t="str">
        <f>IFERROR(__xludf.DUMMYFUNCTION("""COMPUTED_VALUE"""),"DECK 05 CABREUVA DOURADA MULTI PREMIUM 19 X 190 X 600 A 2200MM")</f>
        <v>DECK 05 CABREUVA DOURADA MULTI PREMIUM 19 X 190 X 600 A 2200MM</v>
      </c>
      <c r="H1215" s="283" t="s">
        <v>1315</v>
      </c>
      <c r="I1215" s="271" t="str">
        <f t="shared" si="5"/>
        <v/>
      </c>
      <c r="J1215" s="330"/>
      <c r="K1215" s="329"/>
      <c r="L1215" s="286" t="s">
        <v>1315</v>
      </c>
      <c r="M1215" s="286"/>
      <c r="N1215" s="286"/>
      <c r="O1215" s="286"/>
      <c r="P1215" s="286"/>
      <c r="Q1215" s="286"/>
      <c r="R1215" s="286"/>
      <c r="S1215" s="286"/>
      <c r="T1215" s="286"/>
      <c r="U1215" s="286"/>
      <c r="V1215" s="286"/>
      <c r="W1215" s="286"/>
      <c r="X1215" s="286"/>
      <c r="Y1215" s="286"/>
      <c r="Z1215" s="286"/>
      <c r="AA1215" s="286"/>
    </row>
    <row r="1216">
      <c r="A1216" s="327"/>
      <c r="B1216" s="245"/>
      <c r="C1216" s="286"/>
      <c r="D1216" s="328"/>
      <c r="E1216" s="286"/>
      <c r="F1216" s="329"/>
      <c r="G1216" s="286" t="str">
        <f>IFERROR(__xludf.DUMMYFUNCTION("""COMPUTED_VALUE"""),"DECK 05 TAUARI MULTI PREMIUM 19 X 190 X 600 A 2200MM")</f>
        <v>DECK 05 TAUARI MULTI PREMIUM 19 X 190 X 600 A 2200MM</v>
      </c>
      <c r="H1216" s="283" t="s">
        <v>1316</v>
      </c>
      <c r="I1216" s="271" t="str">
        <f t="shared" si="5"/>
        <v/>
      </c>
      <c r="J1216" s="330"/>
      <c r="K1216" s="329"/>
      <c r="L1216" s="286" t="s">
        <v>1316</v>
      </c>
      <c r="M1216" s="286"/>
      <c r="N1216" s="286"/>
      <c r="O1216" s="286"/>
      <c r="P1216" s="286"/>
      <c r="Q1216" s="286"/>
      <c r="R1216" s="286"/>
      <c r="S1216" s="286"/>
      <c r="T1216" s="286"/>
      <c r="U1216" s="286"/>
      <c r="V1216" s="286"/>
      <c r="W1216" s="286"/>
      <c r="X1216" s="286"/>
      <c r="Y1216" s="286"/>
      <c r="Z1216" s="286"/>
      <c r="AA1216" s="286"/>
    </row>
    <row r="1217">
      <c r="A1217" s="327"/>
      <c r="B1217" s="245"/>
      <c r="C1217" s="286"/>
      <c r="D1217" s="328"/>
      <c r="E1217" s="286"/>
      <c r="F1217" s="329"/>
      <c r="G1217" s="286" t="str">
        <f>IFERROR(__xludf.DUMMYFUNCTION("""COMPUTED_VALUE"""),"DECK 05 PEROBA MULTI PREMIUM 19 X 190 X 600 A 2200MM")</f>
        <v>DECK 05 PEROBA MULTI PREMIUM 19 X 190 X 600 A 2200MM</v>
      </c>
      <c r="I1217" s="271" t="str">
        <f t="shared" si="5"/>
        <v/>
      </c>
      <c r="J1217" s="330"/>
      <c r="K1217" s="329"/>
      <c r="L1217" s="286"/>
      <c r="M1217" s="286"/>
      <c r="N1217" s="286"/>
      <c r="O1217" s="286"/>
      <c r="P1217" s="286"/>
      <c r="Q1217" s="286"/>
      <c r="R1217" s="286"/>
      <c r="S1217" s="286"/>
      <c r="T1217" s="286"/>
      <c r="U1217" s="286"/>
      <c r="V1217" s="286"/>
      <c r="W1217" s="286"/>
      <c r="X1217" s="286"/>
      <c r="Y1217" s="286"/>
      <c r="Z1217" s="286"/>
      <c r="AA1217" s="286"/>
    </row>
    <row r="1218">
      <c r="A1218" s="327"/>
      <c r="B1218" s="245"/>
      <c r="C1218" s="286"/>
      <c r="D1218" s="328"/>
      <c r="E1218" s="286"/>
      <c r="F1218" s="329"/>
      <c r="G1218" s="286" t="str">
        <f>IFERROR(__xludf.DUMMYFUNCTION("""COMPUTED_VALUE"""),"DECK 05 LORO PARDO MULTI PREMIUM 19 X 190 X 600 A 2200MM")</f>
        <v>DECK 05 LORO PARDO MULTI PREMIUM 19 X 190 X 600 A 2200MM</v>
      </c>
      <c r="H1218" s="283" t="s">
        <v>1318</v>
      </c>
      <c r="I1218" s="271" t="str">
        <f t="shared" si="5"/>
        <v/>
      </c>
      <c r="J1218" s="330"/>
      <c r="K1218" s="329"/>
      <c r="L1218" s="286" t="s">
        <v>1318</v>
      </c>
      <c r="M1218" s="286"/>
      <c r="N1218" s="286"/>
      <c r="O1218" s="286"/>
      <c r="P1218" s="286"/>
      <c r="Q1218" s="286"/>
      <c r="R1218" s="286"/>
      <c r="S1218" s="286"/>
      <c r="T1218" s="286"/>
      <c r="U1218" s="286"/>
      <c r="V1218" s="286"/>
      <c r="W1218" s="286"/>
      <c r="X1218" s="286"/>
      <c r="Y1218" s="286"/>
      <c r="Z1218" s="286"/>
      <c r="AA1218" s="286"/>
    </row>
    <row r="1219">
      <c r="A1219" s="327"/>
      <c r="B1219" s="245"/>
      <c r="C1219" s="286"/>
      <c r="D1219" s="328"/>
      <c r="E1219" s="286"/>
      <c r="F1219" s="329"/>
      <c r="G1219" s="286" t="str">
        <f>IFERROR(__xludf.DUMMYFUNCTION("""COMPUTED_VALUE"""),"DECK 05 MUXARABI CUMARU PREMIUM")</f>
        <v>DECK 05 MUXARABI CUMARU PREMIUM</v>
      </c>
      <c r="I1219" s="271" t="str">
        <f t="shared" si="5"/>
        <v/>
      </c>
      <c r="J1219" s="330"/>
      <c r="K1219" s="329"/>
      <c r="L1219" s="286"/>
      <c r="M1219" s="286"/>
      <c r="N1219" s="286"/>
      <c r="O1219" s="286"/>
      <c r="P1219" s="286"/>
      <c r="Q1219" s="286"/>
      <c r="R1219" s="286"/>
      <c r="S1219" s="286"/>
      <c r="T1219" s="286"/>
      <c r="U1219" s="286"/>
      <c r="V1219" s="286"/>
      <c r="W1219" s="286"/>
      <c r="X1219" s="286"/>
      <c r="Y1219" s="286"/>
      <c r="Z1219" s="286"/>
      <c r="AA1219" s="286"/>
    </row>
    <row r="1220">
      <c r="A1220" s="327"/>
      <c r="B1220" s="245"/>
      <c r="C1220" s="286"/>
      <c r="D1220" s="328"/>
      <c r="E1220" s="286"/>
      <c r="F1220" s="329"/>
      <c r="G1220" s="286" t="str">
        <f>IFERROR(__xludf.DUMMYFUNCTION("""COMPUTED_VALUE"""),"DECK 05 MUXARABI CATUABA PREMIUM")</f>
        <v>DECK 05 MUXARABI CATUABA PREMIUM</v>
      </c>
      <c r="I1220" s="271" t="str">
        <f t="shared" si="5"/>
        <v/>
      </c>
      <c r="J1220" s="330"/>
      <c r="K1220" s="329"/>
      <c r="L1220" s="286"/>
      <c r="M1220" s="286"/>
      <c r="N1220" s="286"/>
      <c r="O1220" s="286"/>
      <c r="P1220" s="286"/>
      <c r="Q1220" s="286"/>
      <c r="R1220" s="286"/>
      <c r="S1220" s="286"/>
      <c r="T1220" s="286"/>
      <c r="U1220" s="286"/>
      <c r="V1220" s="286"/>
      <c r="W1220" s="286"/>
      <c r="X1220" s="286"/>
      <c r="Y1220" s="286"/>
      <c r="Z1220" s="286"/>
      <c r="AA1220" s="286"/>
    </row>
    <row r="1221">
      <c r="A1221" s="327"/>
      <c r="B1221" s="245"/>
      <c r="C1221" s="286"/>
      <c r="D1221" s="328"/>
      <c r="E1221" s="286"/>
      <c r="F1221" s="329"/>
      <c r="G1221" s="286" t="str">
        <f>IFERROR(__xludf.DUMMYFUNCTION("""COMPUTED_VALUE"""),"DECK 05 MUXARABI CABREUVA BRANCA PREMIUM")</f>
        <v>DECK 05 MUXARABI CABREUVA BRANCA PREMIUM</v>
      </c>
      <c r="I1221" s="271" t="str">
        <f t="shared" si="5"/>
        <v/>
      </c>
      <c r="J1221" s="330"/>
      <c r="K1221" s="329"/>
      <c r="L1221" s="286"/>
      <c r="M1221" s="286"/>
      <c r="N1221" s="286"/>
      <c r="O1221" s="286"/>
      <c r="P1221" s="286"/>
      <c r="Q1221" s="286"/>
      <c r="R1221" s="286"/>
      <c r="S1221" s="286"/>
      <c r="T1221" s="286"/>
      <c r="U1221" s="286"/>
      <c r="V1221" s="286"/>
      <c r="W1221" s="286"/>
      <c r="X1221" s="286"/>
      <c r="Y1221" s="286"/>
      <c r="Z1221" s="286"/>
      <c r="AA1221" s="286"/>
    </row>
    <row r="1222">
      <c r="A1222" s="327"/>
      <c r="B1222" s="245"/>
      <c r="C1222" s="286"/>
      <c r="D1222" s="328"/>
      <c r="E1222" s="286"/>
      <c r="F1222" s="329"/>
      <c r="G1222" s="286" t="str">
        <f>IFERROR(__xludf.DUMMYFUNCTION("""COMPUTED_VALUE"""),"DECK 05 MUXARABI CABREUVA DOURADA PREMIUM")</f>
        <v>DECK 05 MUXARABI CABREUVA DOURADA PREMIUM</v>
      </c>
      <c r="I1222" s="271" t="str">
        <f t="shared" si="5"/>
        <v/>
      </c>
      <c r="J1222" s="330"/>
      <c r="K1222" s="329"/>
      <c r="L1222" s="286"/>
      <c r="M1222" s="286"/>
      <c r="N1222" s="286"/>
      <c r="O1222" s="286"/>
      <c r="P1222" s="286"/>
      <c r="Q1222" s="286"/>
      <c r="R1222" s="286"/>
      <c r="S1222" s="286"/>
      <c r="T1222" s="286"/>
      <c r="U1222" s="286"/>
      <c r="V1222" s="286"/>
      <c r="W1222" s="286"/>
      <c r="X1222" s="286"/>
      <c r="Y1222" s="286"/>
      <c r="Z1222" s="286"/>
      <c r="AA1222" s="286"/>
    </row>
    <row r="1223">
      <c r="A1223" s="327"/>
      <c r="B1223" s="245"/>
      <c r="C1223" s="286"/>
      <c r="D1223" s="328"/>
      <c r="E1223" s="286"/>
      <c r="F1223" s="329"/>
      <c r="G1223" s="286" t="str">
        <f>IFERROR(__xludf.DUMMYFUNCTION("""COMPUTED_VALUE"""),"DECK 05 MUXARABI TAUARI PREMIUM")</f>
        <v>DECK 05 MUXARABI TAUARI PREMIUM</v>
      </c>
      <c r="I1223" s="271" t="str">
        <f t="shared" si="5"/>
        <v/>
      </c>
      <c r="J1223" s="330"/>
      <c r="K1223" s="329"/>
      <c r="L1223" s="286"/>
      <c r="M1223" s="286"/>
      <c r="N1223" s="286"/>
      <c r="O1223" s="286"/>
      <c r="P1223" s="286"/>
      <c r="Q1223" s="286"/>
      <c r="R1223" s="286"/>
      <c r="S1223" s="286"/>
      <c r="T1223" s="286"/>
      <c r="U1223" s="286"/>
      <c r="V1223" s="286"/>
      <c r="W1223" s="286"/>
      <c r="X1223" s="286"/>
      <c r="Y1223" s="286"/>
      <c r="Z1223" s="286"/>
      <c r="AA1223" s="286"/>
    </row>
    <row r="1224">
      <c r="A1224" s="327"/>
      <c r="B1224" s="245"/>
      <c r="C1224" s="286"/>
      <c r="D1224" s="328"/>
      <c r="E1224" s="286"/>
      <c r="F1224" s="329"/>
      <c r="G1224" s="286" t="str">
        <f>IFERROR(__xludf.DUMMYFUNCTION("""COMPUTED_VALUE"""),"DECK 05 MUXARABI PEROBA PREMIUM")</f>
        <v>DECK 05 MUXARABI PEROBA PREMIUM</v>
      </c>
      <c r="I1224" s="271" t="str">
        <f t="shared" si="5"/>
        <v/>
      </c>
      <c r="J1224" s="330"/>
      <c r="K1224" s="329"/>
      <c r="L1224" s="286"/>
      <c r="M1224" s="286"/>
      <c r="N1224" s="286"/>
      <c r="O1224" s="286"/>
      <c r="P1224" s="286"/>
      <c r="Q1224" s="286"/>
      <c r="R1224" s="286"/>
      <c r="S1224" s="286"/>
      <c r="T1224" s="286"/>
      <c r="U1224" s="286"/>
      <c r="V1224" s="286"/>
      <c r="W1224" s="286"/>
      <c r="X1224" s="286"/>
      <c r="Y1224" s="286"/>
      <c r="Z1224" s="286"/>
      <c r="AA1224" s="286"/>
    </row>
    <row r="1225">
      <c r="A1225" s="327"/>
      <c r="B1225" s="245"/>
      <c r="C1225" s="286"/>
      <c r="D1225" s="328"/>
      <c r="E1225" s="286"/>
      <c r="F1225" s="329"/>
      <c r="G1225" s="286" t="str">
        <f>IFERROR(__xludf.DUMMYFUNCTION("""COMPUTED_VALUE"""),"DECK 05 MUXARABI LORO PARDO PREMIUM")</f>
        <v>DECK 05 MUXARABI LORO PARDO PREMIUM</v>
      </c>
      <c r="I1225" s="271" t="str">
        <f t="shared" si="5"/>
        <v/>
      </c>
      <c r="J1225" s="330"/>
      <c r="K1225" s="329"/>
      <c r="L1225" s="286"/>
      <c r="M1225" s="286"/>
      <c r="N1225" s="286"/>
      <c r="O1225" s="286"/>
      <c r="P1225" s="286"/>
      <c r="Q1225" s="286"/>
      <c r="R1225" s="286"/>
      <c r="S1225" s="286"/>
      <c r="T1225" s="286"/>
      <c r="U1225" s="286"/>
      <c r="V1225" s="286"/>
      <c r="W1225" s="286"/>
      <c r="X1225" s="286"/>
      <c r="Y1225" s="286"/>
      <c r="Z1225" s="286"/>
      <c r="AA1225" s="286"/>
    </row>
    <row r="1226">
      <c r="A1226" s="327"/>
      <c r="B1226" s="245"/>
      <c r="C1226" s="286"/>
      <c r="D1226" s="328"/>
      <c r="E1226" s="286"/>
      <c r="F1226" s="329"/>
      <c r="G1226" s="286" t="str">
        <f>IFERROR(__xludf.DUMMYFUNCTION("""COMPUTED_VALUE"""),"DECK 05 TOBLERONE CUMARU PREMIUM 3 X 3 COMPR. VARIAVEIS")</f>
        <v>DECK 05 TOBLERONE CUMARU PREMIUM 3 X 3 COMPR. VARIAVEIS</v>
      </c>
      <c r="I1226" s="271" t="str">
        <f t="shared" si="5"/>
        <v/>
      </c>
      <c r="J1226" s="330"/>
      <c r="K1226" s="329"/>
      <c r="L1226" s="286"/>
      <c r="M1226" s="286"/>
      <c r="N1226" s="286"/>
      <c r="O1226" s="286"/>
      <c r="P1226" s="286"/>
      <c r="Q1226" s="286"/>
      <c r="R1226" s="286"/>
      <c r="S1226" s="286"/>
      <c r="T1226" s="286"/>
      <c r="U1226" s="286"/>
      <c r="V1226" s="286"/>
      <c r="W1226" s="286"/>
      <c r="X1226" s="286"/>
      <c r="Y1226" s="286"/>
      <c r="Z1226" s="286"/>
      <c r="AA1226" s="286"/>
    </row>
    <row r="1227">
      <c r="A1227" s="327"/>
      <c r="B1227" s="245"/>
      <c r="C1227" s="286"/>
      <c r="D1227" s="328"/>
      <c r="E1227" s="286"/>
      <c r="F1227" s="329"/>
      <c r="G1227" s="286" t="str">
        <f>IFERROR(__xludf.DUMMYFUNCTION("""COMPUTED_VALUE"""),"DECK 05 TOBLERONE CATUABA PREMIUM 3 X 3 COMPR. VARIAVEIS")</f>
        <v>DECK 05 TOBLERONE CATUABA PREMIUM 3 X 3 COMPR. VARIAVEIS</v>
      </c>
      <c r="I1227" s="271" t="str">
        <f t="shared" si="5"/>
        <v/>
      </c>
      <c r="J1227" s="330"/>
      <c r="K1227" s="329"/>
      <c r="L1227" s="286"/>
      <c r="M1227" s="286"/>
      <c r="N1227" s="286"/>
      <c r="O1227" s="286"/>
      <c r="P1227" s="286"/>
      <c r="Q1227" s="286"/>
      <c r="R1227" s="286"/>
      <c r="S1227" s="286"/>
      <c r="T1227" s="286"/>
      <c r="U1227" s="286"/>
      <c r="V1227" s="286"/>
      <c r="W1227" s="286"/>
      <c r="X1227" s="286"/>
      <c r="Y1227" s="286"/>
      <c r="Z1227" s="286"/>
      <c r="AA1227" s="286"/>
    </row>
    <row r="1228">
      <c r="A1228" s="327"/>
      <c r="B1228" s="245"/>
      <c r="C1228" s="286"/>
      <c r="D1228" s="328"/>
      <c r="E1228" s="286"/>
      <c r="F1228" s="329"/>
      <c r="G1228" s="286" t="str">
        <f>IFERROR(__xludf.DUMMYFUNCTION("""COMPUTED_VALUE"""),"DECK 05 TOBLERONE CABREUVA BRANCA PREMIUM 3 X 3 COMPR. VARIAVEIS")</f>
        <v>DECK 05 TOBLERONE CABREUVA BRANCA PREMIUM 3 X 3 COMPR. VARIAVEIS</v>
      </c>
      <c r="I1228" s="271" t="str">
        <f t="shared" si="5"/>
        <v/>
      </c>
      <c r="J1228" s="330"/>
      <c r="K1228" s="329"/>
      <c r="L1228" s="286"/>
      <c r="M1228" s="286"/>
      <c r="N1228" s="286"/>
      <c r="O1228" s="286"/>
      <c r="P1228" s="286"/>
      <c r="Q1228" s="286"/>
      <c r="R1228" s="286"/>
      <c r="S1228" s="286"/>
      <c r="T1228" s="286"/>
      <c r="U1228" s="286"/>
      <c r="V1228" s="286"/>
      <c r="W1228" s="286"/>
      <c r="X1228" s="286"/>
      <c r="Y1228" s="286"/>
      <c r="Z1228" s="286"/>
      <c r="AA1228" s="286"/>
    </row>
    <row r="1229">
      <c r="A1229" s="327"/>
      <c r="B1229" s="245"/>
      <c r="C1229" s="286"/>
      <c r="D1229" s="328"/>
      <c r="E1229" s="286"/>
      <c r="F1229" s="329"/>
      <c r="G1229" s="286" t="str">
        <f>IFERROR(__xludf.DUMMYFUNCTION("""COMPUTED_VALUE"""),"DECK 05 TOBLERONE CABREUVA DOURADA PREMIUM 3 X 3 COMPR. VARIAVEIS")</f>
        <v>DECK 05 TOBLERONE CABREUVA DOURADA PREMIUM 3 X 3 COMPR. VARIAVEIS</v>
      </c>
      <c r="I1229" s="271" t="str">
        <f t="shared" si="5"/>
        <v/>
      </c>
      <c r="J1229" s="330"/>
      <c r="K1229" s="329"/>
      <c r="L1229" s="286"/>
      <c r="M1229" s="286"/>
      <c r="N1229" s="286"/>
      <c r="O1229" s="286"/>
      <c r="P1229" s="286"/>
      <c r="Q1229" s="286"/>
      <c r="R1229" s="286"/>
      <c r="S1229" s="286"/>
      <c r="T1229" s="286"/>
      <c r="U1229" s="286"/>
      <c r="V1229" s="286"/>
      <c r="W1229" s="286"/>
      <c r="X1229" s="286"/>
      <c r="Y1229" s="286"/>
      <c r="Z1229" s="286"/>
      <c r="AA1229" s="286"/>
    </row>
    <row r="1230">
      <c r="A1230" s="327"/>
      <c r="B1230" s="245"/>
      <c r="C1230" s="286"/>
      <c r="D1230" s="328"/>
      <c r="E1230" s="286"/>
      <c r="F1230" s="329"/>
      <c r="G1230" s="286" t="str">
        <f>IFERROR(__xludf.DUMMYFUNCTION("""COMPUTED_VALUE"""),"DECK 05 TOBLERONE TAUARI PREMIUM 3 X 3 COMPR. VARIAVEIS")</f>
        <v>DECK 05 TOBLERONE TAUARI PREMIUM 3 X 3 COMPR. VARIAVEIS</v>
      </c>
      <c r="I1230" s="271" t="str">
        <f t="shared" si="5"/>
        <v/>
      </c>
      <c r="J1230" s="330"/>
      <c r="K1230" s="329"/>
      <c r="L1230" s="286"/>
      <c r="M1230" s="286"/>
      <c r="N1230" s="286"/>
      <c r="O1230" s="286"/>
      <c r="P1230" s="286"/>
      <c r="Q1230" s="286"/>
      <c r="R1230" s="286"/>
      <c r="S1230" s="286"/>
      <c r="T1230" s="286"/>
      <c r="U1230" s="286"/>
      <c r="V1230" s="286"/>
      <c r="W1230" s="286"/>
      <c r="X1230" s="286"/>
      <c r="Y1230" s="286"/>
      <c r="Z1230" s="286"/>
      <c r="AA1230" s="286"/>
    </row>
    <row r="1231">
      <c r="A1231" s="327"/>
      <c r="B1231" s="245"/>
      <c r="C1231" s="286"/>
      <c r="D1231" s="328"/>
      <c r="E1231" s="286"/>
      <c r="F1231" s="329"/>
      <c r="G1231" s="286" t="str">
        <f>IFERROR(__xludf.DUMMYFUNCTION("""COMPUTED_VALUE"""),"DECK 05 TOBLERONE PEROBA PREMIUM 3 X 3 COMPR. VARIAVEIS")</f>
        <v>DECK 05 TOBLERONE PEROBA PREMIUM 3 X 3 COMPR. VARIAVEIS</v>
      </c>
      <c r="I1231" s="271" t="str">
        <f t="shared" si="5"/>
        <v/>
      </c>
      <c r="J1231" s="330"/>
      <c r="K1231" s="329"/>
      <c r="L1231" s="286"/>
      <c r="M1231" s="286"/>
      <c r="N1231" s="286"/>
      <c r="O1231" s="286"/>
      <c r="P1231" s="286"/>
      <c r="Q1231" s="286"/>
      <c r="R1231" s="286"/>
      <c r="S1231" s="286"/>
      <c r="T1231" s="286"/>
      <c r="U1231" s="286"/>
      <c r="V1231" s="286"/>
      <c r="W1231" s="286"/>
      <c r="X1231" s="286"/>
      <c r="Y1231" s="286"/>
      <c r="Z1231" s="286"/>
      <c r="AA1231" s="286"/>
    </row>
    <row r="1232">
      <c r="A1232" s="327"/>
      <c r="B1232" s="245"/>
      <c r="C1232" s="286"/>
      <c r="D1232" s="328"/>
      <c r="E1232" s="286"/>
      <c r="F1232" s="329"/>
      <c r="G1232" s="286" t="str">
        <f>IFERROR(__xludf.DUMMYFUNCTION("""COMPUTED_VALUE"""),"DECK 05 TOBLERONE LORO PARDO PREMIUM 3 X 3 COMPR. VARIAVEIS")</f>
        <v>DECK 05 TOBLERONE LORO PARDO PREMIUM 3 X 3 COMPR. VARIAVEIS</v>
      </c>
      <c r="I1232" s="271" t="str">
        <f t="shared" si="5"/>
        <v/>
      </c>
      <c r="J1232" s="330"/>
      <c r="K1232" s="329"/>
      <c r="L1232" s="286"/>
      <c r="M1232" s="286"/>
      <c r="N1232" s="286"/>
      <c r="O1232" s="286"/>
      <c r="P1232" s="286"/>
      <c r="Q1232" s="286"/>
      <c r="R1232" s="286"/>
      <c r="S1232" s="286"/>
      <c r="T1232" s="286"/>
      <c r="U1232" s="286"/>
      <c r="V1232" s="286"/>
      <c r="W1232" s="286"/>
      <c r="X1232" s="286"/>
      <c r="Y1232" s="286"/>
      <c r="Z1232" s="286"/>
      <c r="AA1232" s="286"/>
    </row>
    <row r="1233">
      <c r="A1233" s="327"/>
      <c r="B1233" s="245"/>
      <c r="C1233" s="286"/>
      <c r="D1233" s="328"/>
      <c r="E1233" s="286"/>
      <c r="F1233" s="329"/>
      <c r="G1233" s="286" t="str">
        <f>IFERROR(__xludf.DUMMYFUNCTION("""COMPUTED_VALUE"""),"DECK 05 DECK CUMARU PREMIUM TG 2,5 X 5 X COMPR. VARIAVEIS")</f>
        <v>DECK 05 DECK CUMARU PREMIUM TG 2,5 X 5 X COMPR. VARIAVEIS</v>
      </c>
      <c r="I1233" s="271" t="str">
        <f t="shared" si="5"/>
        <v/>
      </c>
      <c r="J1233" s="330"/>
      <c r="K1233" s="329"/>
      <c r="L1233" s="286"/>
      <c r="M1233" s="286"/>
      <c r="N1233" s="286"/>
      <c r="O1233" s="286"/>
      <c r="P1233" s="286"/>
      <c r="Q1233" s="286"/>
      <c r="R1233" s="286"/>
      <c r="S1233" s="286"/>
      <c r="T1233" s="286"/>
      <c r="U1233" s="286"/>
      <c r="V1233" s="286"/>
      <c r="W1233" s="286"/>
      <c r="X1233" s="286"/>
      <c r="Y1233" s="286"/>
      <c r="Z1233" s="286"/>
      <c r="AA1233" s="286"/>
    </row>
    <row r="1234">
      <c r="A1234" s="327"/>
      <c r="B1234" s="245"/>
      <c r="C1234" s="286"/>
      <c r="D1234" s="328"/>
      <c r="E1234" s="286"/>
      <c r="F1234" s="329"/>
      <c r="G1234" s="286" t="str">
        <f>IFERROR(__xludf.DUMMYFUNCTION("""COMPUTED_VALUE"""),"DECK 05 DECK CUMARU PREMIUM TG 2,5 X 10 X COMPR. VARIAVEIS")</f>
        <v>DECK 05 DECK CUMARU PREMIUM TG 2,5 X 10 X COMPR. VARIAVEIS</v>
      </c>
      <c r="H1234" s="313" t="s">
        <v>2566</v>
      </c>
      <c r="I1234" s="271" t="str">
        <f t="shared" si="5"/>
        <v/>
      </c>
      <c r="J1234" s="330"/>
      <c r="K1234" s="329"/>
      <c r="L1234" s="332" t="s">
        <v>2566</v>
      </c>
      <c r="M1234" s="286"/>
      <c r="N1234" s="286"/>
      <c r="O1234" s="286"/>
      <c r="P1234" s="286"/>
      <c r="Q1234" s="286"/>
      <c r="R1234" s="286"/>
      <c r="S1234" s="286"/>
      <c r="T1234" s="286"/>
      <c r="U1234" s="286"/>
      <c r="V1234" s="286"/>
      <c r="W1234" s="286"/>
      <c r="X1234" s="286"/>
      <c r="Y1234" s="286"/>
      <c r="Z1234" s="286"/>
      <c r="AA1234" s="286"/>
    </row>
    <row r="1235">
      <c r="A1235" s="327"/>
      <c r="B1235" s="245"/>
      <c r="C1235" s="286"/>
      <c r="D1235" s="328"/>
      <c r="E1235" s="286"/>
      <c r="F1235" s="329"/>
      <c r="G1235" s="286" t="str">
        <f>IFERROR(__xludf.DUMMYFUNCTION("""COMPUTED_VALUE"""),"DECK 05 DECK CATUABA PREMIUM TG 2,5 X 5 X COMPR. VARIAVEIS")</f>
        <v>DECK 05 DECK CATUABA PREMIUM TG 2,5 X 5 X COMPR. VARIAVEIS</v>
      </c>
      <c r="H1235" s="313" t="s">
        <v>2567</v>
      </c>
      <c r="I1235" s="271" t="str">
        <f t="shared" si="5"/>
        <v/>
      </c>
      <c r="J1235" s="330"/>
      <c r="K1235" s="329"/>
      <c r="L1235" s="332" t="s">
        <v>2567</v>
      </c>
      <c r="M1235" s="286"/>
      <c r="N1235" s="286"/>
      <c r="O1235" s="286"/>
      <c r="P1235" s="286"/>
      <c r="Q1235" s="286"/>
      <c r="R1235" s="286"/>
      <c r="S1235" s="286"/>
      <c r="T1235" s="286"/>
      <c r="U1235" s="286"/>
      <c r="V1235" s="286"/>
      <c r="W1235" s="286"/>
      <c r="X1235" s="286"/>
      <c r="Y1235" s="286"/>
      <c r="Z1235" s="286"/>
      <c r="AA1235" s="286"/>
    </row>
    <row r="1236">
      <c r="A1236" s="327"/>
      <c r="B1236" s="245"/>
      <c r="C1236" s="286"/>
      <c r="D1236" s="328"/>
      <c r="E1236" s="286"/>
      <c r="F1236" s="329"/>
      <c r="G1236" s="286" t="str">
        <f>IFERROR(__xludf.DUMMYFUNCTION("""COMPUTED_VALUE"""),"DECK 05 DECK CATUABA PREMIUM TG 2,5 X 10 X COMPR. VARIAVEIS")</f>
        <v>DECK 05 DECK CATUABA PREMIUM TG 2,5 X 10 X COMPR. VARIAVEIS</v>
      </c>
      <c r="H1236" s="313" t="s">
        <v>2568</v>
      </c>
      <c r="I1236" s="271" t="str">
        <f t="shared" si="5"/>
        <v/>
      </c>
      <c r="J1236" s="330"/>
      <c r="K1236" s="329"/>
      <c r="L1236" s="332" t="s">
        <v>2568</v>
      </c>
      <c r="M1236" s="286"/>
      <c r="N1236" s="286"/>
      <c r="O1236" s="286"/>
      <c r="P1236" s="286"/>
      <c r="Q1236" s="286"/>
      <c r="R1236" s="286"/>
      <c r="S1236" s="286"/>
      <c r="T1236" s="286"/>
      <c r="U1236" s="286"/>
      <c r="V1236" s="286"/>
      <c r="W1236" s="286"/>
      <c r="X1236" s="286"/>
      <c r="Y1236" s="286"/>
      <c r="Z1236" s="286"/>
      <c r="AA1236" s="286"/>
    </row>
    <row r="1237">
      <c r="A1237" s="327"/>
      <c r="B1237" s="245"/>
      <c r="C1237" s="286"/>
      <c r="D1237" s="328"/>
      <c r="E1237" s="286"/>
      <c r="F1237" s="329"/>
      <c r="G1237" s="286" t="str">
        <f>IFERROR(__xludf.DUMMYFUNCTION("""COMPUTED_VALUE"""),"DECK 05 DECK CABREUVA BRANCA PREMIUM TG 2,5 X 5 X COMPR. VARIAVEIS")</f>
        <v>DECK 05 DECK CABREUVA BRANCA PREMIUM TG 2,5 X 5 X COMPR. VARIAVEIS</v>
      </c>
      <c r="H1237" s="313" t="s">
        <v>2569</v>
      </c>
      <c r="I1237" s="271" t="str">
        <f t="shared" si="5"/>
        <v/>
      </c>
      <c r="J1237" s="330"/>
      <c r="K1237" s="329"/>
      <c r="L1237" s="332" t="s">
        <v>2569</v>
      </c>
      <c r="M1237" s="286"/>
      <c r="N1237" s="286"/>
      <c r="O1237" s="286"/>
      <c r="P1237" s="286"/>
      <c r="Q1237" s="286"/>
      <c r="R1237" s="286"/>
      <c r="S1237" s="286"/>
      <c r="T1237" s="286"/>
      <c r="U1237" s="286"/>
      <c r="V1237" s="286"/>
      <c r="W1237" s="286"/>
      <c r="X1237" s="286"/>
      <c r="Y1237" s="286"/>
      <c r="Z1237" s="286"/>
      <c r="AA1237" s="286"/>
    </row>
    <row r="1238">
      <c r="A1238" s="327"/>
      <c r="B1238" s="245"/>
      <c r="C1238" s="286"/>
      <c r="D1238" s="328"/>
      <c r="E1238" s="286"/>
      <c r="F1238" s="329"/>
      <c r="G1238" s="286" t="str">
        <f>IFERROR(__xludf.DUMMYFUNCTION("""COMPUTED_VALUE"""),"DECK 05 DECK CABREUVA BRANCA PREMIUM TG 2,5 X 10 X COMPR. VARIAVEIS")</f>
        <v>DECK 05 DECK CABREUVA BRANCA PREMIUM TG 2,5 X 10 X COMPR. VARIAVEIS</v>
      </c>
      <c r="H1238" s="313" t="s">
        <v>2570</v>
      </c>
      <c r="I1238" s="271" t="str">
        <f t="shared" si="5"/>
        <v/>
      </c>
      <c r="J1238" s="330"/>
      <c r="K1238" s="329"/>
      <c r="L1238" s="332" t="s">
        <v>2570</v>
      </c>
      <c r="M1238" s="286"/>
      <c r="N1238" s="286"/>
      <c r="O1238" s="286"/>
      <c r="P1238" s="286"/>
      <c r="Q1238" s="286"/>
      <c r="R1238" s="286"/>
      <c r="S1238" s="286"/>
      <c r="T1238" s="286"/>
      <c r="U1238" s="286"/>
      <c r="V1238" s="286"/>
      <c r="W1238" s="286"/>
      <c r="X1238" s="286"/>
      <c r="Y1238" s="286"/>
      <c r="Z1238" s="286"/>
      <c r="AA1238" s="286"/>
    </row>
    <row r="1239">
      <c r="A1239" s="327"/>
      <c r="B1239" s="245"/>
      <c r="C1239" s="286"/>
      <c r="D1239" s="328"/>
      <c r="E1239" s="286"/>
      <c r="F1239" s="329"/>
      <c r="G1239" s="286" t="str">
        <f>IFERROR(__xludf.DUMMYFUNCTION("""COMPUTED_VALUE"""),"DECK 05 DECK CABREUVA DOURADA PREMIUM TG 2,5 X 5 X COMPR. VARIAVEIS")</f>
        <v>DECK 05 DECK CABREUVA DOURADA PREMIUM TG 2,5 X 5 X COMPR. VARIAVEIS</v>
      </c>
      <c r="H1239" s="313" t="s">
        <v>2571</v>
      </c>
      <c r="I1239" s="271" t="str">
        <f t="shared" si="5"/>
        <v/>
      </c>
      <c r="J1239" s="330"/>
      <c r="K1239" s="329"/>
      <c r="L1239" s="332" t="s">
        <v>2571</v>
      </c>
      <c r="M1239" s="286"/>
      <c r="N1239" s="286"/>
      <c r="O1239" s="286"/>
      <c r="P1239" s="286"/>
      <c r="Q1239" s="286"/>
      <c r="R1239" s="286"/>
      <c r="S1239" s="286"/>
      <c r="T1239" s="286"/>
      <c r="U1239" s="286"/>
      <c r="V1239" s="286"/>
      <c r="W1239" s="286"/>
      <c r="X1239" s="286"/>
      <c r="Y1239" s="286"/>
      <c r="Z1239" s="286"/>
      <c r="AA1239" s="286"/>
    </row>
    <row r="1240">
      <c r="A1240" s="327"/>
      <c r="B1240" s="245"/>
      <c r="C1240" s="286"/>
      <c r="D1240" s="328"/>
      <c r="E1240" s="286"/>
      <c r="F1240" s="329"/>
      <c r="G1240" s="286" t="str">
        <f>IFERROR(__xludf.DUMMYFUNCTION("""COMPUTED_VALUE"""),"DECK 05 DECK CABREUVA DOURADA PREMIUM TG 2,5 X 10 X COMPR. VARIAVEIS")</f>
        <v>DECK 05 DECK CABREUVA DOURADA PREMIUM TG 2,5 X 10 X COMPR. VARIAVEIS</v>
      </c>
      <c r="H1240" s="313" t="s">
        <v>2572</v>
      </c>
      <c r="I1240" s="271" t="str">
        <f t="shared" si="5"/>
        <v/>
      </c>
      <c r="J1240" s="330"/>
      <c r="K1240" s="329"/>
      <c r="L1240" s="332" t="s">
        <v>2572</v>
      </c>
      <c r="M1240" s="286"/>
      <c r="N1240" s="286"/>
      <c r="O1240" s="286"/>
      <c r="P1240" s="286"/>
      <c r="Q1240" s="286"/>
      <c r="R1240" s="286"/>
      <c r="S1240" s="286"/>
      <c r="T1240" s="286"/>
      <c r="U1240" s="286"/>
      <c r="V1240" s="286"/>
      <c r="W1240" s="286"/>
      <c r="X1240" s="286"/>
      <c r="Y1240" s="286"/>
      <c r="Z1240" s="286"/>
      <c r="AA1240" s="286"/>
    </row>
    <row r="1241">
      <c r="A1241" s="327"/>
      <c r="B1241" s="245"/>
      <c r="C1241" s="286"/>
      <c r="D1241" s="328"/>
      <c r="E1241" s="286"/>
      <c r="F1241" s="329"/>
      <c r="G1241" s="286" t="str">
        <f>IFERROR(__xludf.DUMMYFUNCTION("""COMPUTED_VALUE"""),"DECK 05 DECK TAUARI PREMIUM TG 2,5 X 5 X COMPR. VARIAVEIS")</f>
        <v>DECK 05 DECK TAUARI PREMIUM TG 2,5 X 5 X COMPR. VARIAVEIS</v>
      </c>
      <c r="H1241" s="313" t="s">
        <v>2573</v>
      </c>
      <c r="I1241" s="271" t="str">
        <f t="shared" si="5"/>
        <v/>
      </c>
      <c r="J1241" s="330"/>
      <c r="K1241" s="329"/>
      <c r="L1241" s="332" t="s">
        <v>2573</v>
      </c>
      <c r="M1241" s="286"/>
      <c r="N1241" s="286"/>
      <c r="O1241" s="286"/>
      <c r="P1241" s="286"/>
      <c r="Q1241" s="286"/>
      <c r="R1241" s="286"/>
      <c r="S1241" s="286"/>
      <c r="T1241" s="286"/>
      <c r="U1241" s="286"/>
      <c r="V1241" s="286"/>
      <c r="W1241" s="286"/>
      <c r="X1241" s="286"/>
      <c r="Y1241" s="286"/>
      <c r="Z1241" s="286"/>
      <c r="AA1241" s="286"/>
    </row>
    <row r="1242">
      <c r="A1242" s="327"/>
      <c r="B1242" s="245"/>
      <c r="C1242" s="286"/>
      <c r="D1242" s="328"/>
      <c r="E1242" s="286"/>
      <c r="F1242" s="329"/>
      <c r="G1242" s="286" t="str">
        <f>IFERROR(__xludf.DUMMYFUNCTION("""COMPUTED_VALUE"""),"DECK 05 DECK TAUARI PREMIUM TG 2,5 X 10 X COMPR. VARIAVEIS")</f>
        <v>DECK 05 DECK TAUARI PREMIUM TG 2,5 X 10 X COMPR. VARIAVEIS</v>
      </c>
      <c r="H1242" s="313" t="s">
        <v>2574</v>
      </c>
      <c r="I1242" s="271" t="str">
        <f t="shared" si="5"/>
        <v/>
      </c>
      <c r="J1242" s="330"/>
      <c r="K1242" s="329"/>
      <c r="L1242" s="332" t="s">
        <v>2574</v>
      </c>
      <c r="M1242" s="286"/>
      <c r="N1242" s="286"/>
      <c r="O1242" s="286"/>
      <c r="P1242" s="286"/>
      <c r="Q1242" s="286"/>
      <c r="R1242" s="286"/>
      <c r="S1242" s="286"/>
      <c r="T1242" s="286"/>
      <c r="U1242" s="286"/>
      <c r="V1242" s="286"/>
      <c r="W1242" s="286"/>
      <c r="X1242" s="286"/>
      <c r="Y1242" s="286"/>
      <c r="Z1242" s="286"/>
      <c r="AA1242" s="286"/>
    </row>
    <row r="1243">
      <c r="A1243" s="327"/>
      <c r="B1243" s="245"/>
      <c r="C1243" s="286"/>
      <c r="D1243" s="328"/>
      <c r="E1243" s="286"/>
      <c r="F1243" s="329"/>
      <c r="G1243" s="286" t="str">
        <f>IFERROR(__xludf.DUMMYFUNCTION("""COMPUTED_VALUE"""),"DECK 05 DECK PEROBA PREMIUM TG 2,5 X 5 X COMPR. VARIAVEIS")</f>
        <v>DECK 05 DECK PEROBA PREMIUM TG 2,5 X 5 X COMPR. VARIAVEIS</v>
      </c>
      <c r="H1243" s="313" t="s">
        <v>2575</v>
      </c>
      <c r="I1243" s="271" t="str">
        <f t="shared" si="5"/>
        <v/>
      </c>
      <c r="J1243" s="330"/>
      <c r="K1243" s="329"/>
      <c r="L1243" s="332" t="s">
        <v>2575</v>
      </c>
      <c r="M1243" s="286"/>
      <c r="N1243" s="286"/>
      <c r="O1243" s="286"/>
      <c r="P1243" s="286"/>
      <c r="Q1243" s="286"/>
      <c r="R1243" s="286"/>
      <c r="S1243" s="286"/>
      <c r="T1243" s="286"/>
      <c r="U1243" s="286"/>
      <c r="V1243" s="286"/>
      <c r="W1243" s="286"/>
      <c r="X1243" s="286"/>
      <c r="Y1243" s="286"/>
      <c r="Z1243" s="286"/>
      <c r="AA1243" s="286"/>
    </row>
    <row r="1244">
      <c r="A1244" s="327"/>
      <c r="B1244" s="245"/>
      <c r="C1244" s="286"/>
      <c r="D1244" s="328"/>
      <c r="E1244" s="286"/>
      <c r="F1244" s="329"/>
      <c r="G1244" s="286" t="str">
        <f>IFERROR(__xludf.DUMMYFUNCTION("""COMPUTED_VALUE"""),"DECK 05 DECK PEROBA PREMIUM TG 2,5 X 10 X COMPR. VARIAVEIS")</f>
        <v>DECK 05 DECK PEROBA PREMIUM TG 2,5 X 10 X COMPR. VARIAVEIS</v>
      </c>
      <c r="H1244" s="313" t="s">
        <v>2576</v>
      </c>
      <c r="I1244" s="271" t="str">
        <f t="shared" si="5"/>
        <v/>
      </c>
      <c r="J1244" s="330"/>
      <c r="K1244" s="329"/>
      <c r="L1244" s="332" t="s">
        <v>2576</v>
      </c>
      <c r="M1244" s="286"/>
      <c r="N1244" s="286"/>
      <c r="O1244" s="286"/>
      <c r="P1244" s="286"/>
      <c r="Q1244" s="286"/>
      <c r="R1244" s="286"/>
      <c r="S1244" s="286"/>
      <c r="T1244" s="286"/>
      <c r="U1244" s="286"/>
      <c r="V1244" s="286"/>
      <c r="W1244" s="286"/>
      <c r="X1244" s="286"/>
      <c r="Y1244" s="286"/>
      <c r="Z1244" s="286"/>
      <c r="AA1244" s="286"/>
    </row>
    <row r="1245">
      <c r="A1245" s="327"/>
      <c r="B1245" s="245"/>
      <c r="C1245" s="286"/>
      <c r="D1245" s="328"/>
      <c r="E1245" s="286"/>
      <c r="F1245" s="329"/>
      <c r="G1245" s="286" t="str">
        <f>IFERROR(__xludf.DUMMYFUNCTION("""COMPUTED_VALUE"""),"DECK 05 DECK BAMBU CARAMEL ALTA DENSIDADE")</f>
        <v>DECK 05 DECK BAMBU CARAMEL ALTA DENSIDADE</v>
      </c>
      <c r="H1245" s="313" t="s">
        <v>2577</v>
      </c>
      <c r="I1245" s="271" t="str">
        <f t="shared" si="5"/>
        <v/>
      </c>
      <c r="J1245" s="330"/>
      <c r="K1245" s="329"/>
      <c r="L1245" s="332" t="s">
        <v>2577</v>
      </c>
      <c r="M1245" s="286"/>
      <c r="N1245" s="286"/>
      <c r="O1245" s="286"/>
      <c r="P1245" s="286"/>
      <c r="Q1245" s="286"/>
      <c r="R1245" s="286"/>
      <c r="S1245" s="286"/>
      <c r="T1245" s="286"/>
      <c r="U1245" s="286"/>
      <c r="V1245" s="286"/>
      <c r="W1245" s="286"/>
      <c r="X1245" s="286"/>
      <c r="Y1245" s="286"/>
      <c r="Z1245" s="286"/>
      <c r="AA1245" s="286"/>
    </row>
    <row r="1246">
      <c r="A1246" s="327"/>
      <c r="B1246" s="245"/>
      <c r="C1246" s="286"/>
      <c r="D1246" s="328"/>
      <c r="E1246" s="286"/>
      <c r="F1246" s="329"/>
      <c r="G1246" s="286" t="str">
        <f>IFERROR(__xludf.DUMMYFUNCTION("""COMPUTED_VALUE"""),"DECK 05 DECK BPC CINZA ESCURO 2 X15X 290CM PÇ/0.435M2")</f>
        <v>DECK 05 DECK BPC CINZA ESCURO 2 X15X 290CM PÇ/0.435M2</v>
      </c>
      <c r="H1246" s="313" t="s">
        <v>2578</v>
      </c>
      <c r="I1246" s="271" t="str">
        <f t="shared" si="5"/>
        <v/>
      </c>
      <c r="J1246" s="330"/>
      <c r="K1246" s="329"/>
      <c r="L1246" s="332" t="s">
        <v>2578</v>
      </c>
      <c r="M1246" s="286"/>
      <c r="N1246" s="286"/>
      <c r="O1246" s="286"/>
      <c r="P1246" s="286"/>
      <c r="Q1246" s="286"/>
      <c r="R1246" s="286"/>
      <c r="S1246" s="286"/>
      <c r="T1246" s="286"/>
      <c r="U1246" s="286"/>
      <c r="V1246" s="286"/>
      <c r="W1246" s="286"/>
      <c r="X1246" s="286"/>
      <c r="Y1246" s="286"/>
      <c r="Z1246" s="286"/>
      <c r="AA1246" s="286"/>
    </row>
    <row r="1247">
      <c r="A1247" s="327"/>
      <c r="B1247" s="245"/>
      <c r="C1247" s="286"/>
      <c r="D1247" s="328"/>
      <c r="E1247" s="286"/>
      <c r="F1247" s="329"/>
      <c r="G1247" s="286" t="str">
        <f>IFERROR(__xludf.DUMMYFUNCTION("""COMPUTED_VALUE"""),"DECK 05 DECK BPC MORROM 2X15X220CM")</f>
        <v>DECK 05 DECK BPC MORROM 2X15X220CM</v>
      </c>
      <c r="I1247" s="271" t="str">
        <f t="shared" si="5"/>
        <v/>
      </c>
      <c r="J1247" s="330"/>
      <c r="K1247" s="329"/>
      <c r="L1247" s="286"/>
      <c r="M1247" s="286"/>
      <c r="N1247" s="286"/>
      <c r="O1247" s="286"/>
      <c r="P1247" s="286"/>
      <c r="Q1247" s="286"/>
      <c r="R1247" s="286"/>
      <c r="S1247" s="286"/>
      <c r="T1247" s="286"/>
      <c r="U1247" s="286"/>
      <c r="V1247" s="286"/>
      <c r="W1247" s="286"/>
      <c r="X1247" s="286"/>
      <c r="Y1247" s="286"/>
      <c r="Z1247" s="286"/>
      <c r="AA1247" s="286"/>
    </row>
    <row r="1248">
      <c r="A1248" s="327"/>
      <c r="B1248" s="245"/>
      <c r="C1248" s="286"/>
      <c r="D1248" s="328"/>
      <c r="E1248" s="286"/>
      <c r="F1248" s="329"/>
      <c r="G1248" s="286" t="str">
        <f>IFERROR(__xludf.DUMMYFUNCTION("""COMPUTED_VALUE"""),"DECK 05 DECK WPC CINZA 2,2*14,6*220CM")</f>
        <v>DECK 05 DECK WPC CINZA 2,2*14,6*220CM</v>
      </c>
      <c r="I1248" s="271" t="str">
        <f t="shared" si="5"/>
        <v/>
      </c>
      <c r="J1248" s="330"/>
      <c r="K1248" s="329"/>
      <c r="L1248" s="286"/>
      <c r="M1248" s="286"/>
      <c r="N1248" s="286"/>
      <c r="O1248" s="286"/>
      <c r="P1248" s="286"/>
      <c r="Q1248" s="286"/>
      <c r="R1248" s="286"/>
      <c r="S1248" s="286"/>
      <c r="T1248" s="286"/>
      <c r="U1248" s="286"/>
      <c r="V1248" s="286"/>
      <c r="W1248" s="286"/>
      <c r="X1248" s="286"/>
      <c r="Y1248" s="286"/>
      <c r="Z1248" s="286"/>
      <c r="AA1248" s="286"/>
    </row>
    <row r="1249">
      <c r="A1249" s="327"/>
      <c r="B1249" s="245"/>
      <c r="C1249" s="286"/>
      <c r="D1249" s="328"/>
      <c r="E1249" s="286"/>
      <c r="F1249" s="329"/>
      <c r="G1249" s="286" t="str">
        <f>IFERROR(__xludf.DUMMYFUNCTION("""COMPUTED_VALUE"""),"DECK 05 PEROBA RUSTICA DE DEMOLIÇÃO")</f>
        <v>DECK 05 PEROBA RUSTICA DE DEMOLIÇÃO</v>
      </c>
      <c r="I1249" s="271" t="str">
        <f t="shared" si="5"/>
        <v/>
      </c>
      <c r="J1249" s="330"/>
      <c r="K1249" s="329"/>
      <c r="L1249" s="286"/>
      <c r="M1249" s="286"/>
      <c r="N1249" s="286"/>
      <c r="O1249" s="286"/>
      <c r="P1249" s="286"/>
      <c r="Q1249" s="286"/>
      <c r="R1249" s="286"/>
      <c r="S1249" s="286"/>
      <c r="T1249" s="286"/>
      <c r="U1249" s="286"/>
      <c r="V1249" s="286"/>
      <c r="W1249" s="286"/>
      <c r="X1249" s="286"/>
      <c r="Y1249" s="286"/>
      <c r="Z1249" s="286"/>
      <c r="AA1249" s="286"/>
    </row>
    <row r="1250">
      <c r="A1250" s="327"/>
      <c r="B1250" s="245"/>
      <c r="C1250" s="286"/>
      <c r="D1250" s="328"/>
      <c r="E1250" s="286"/>
      <c r="F1250" s="329"/>
      <c r="G1250" s="286" t="str">
        <f>IFERROR(__xludf.DUMMYFUNCTION("""COMPUTED_VALUE"""),"DECK 05 CANELA RUSTICA DE DEMOLIÇÃO")</f>
        <v>DECK 05 CANELA RUSTICA DE DEMOLIÇÃO</v>
      </c>
      <c r="H1250" s="283" t="s">
        <v>1350</v>
      </c>
      <c r="I1250" s="271" t="str">
        <f t="shared" si="5"/>
        <v/>
      </c>
      <c r="J1250" s="330"/>
      <c r="K1250" s="329"/>
      <c r="L1250" s="286" t="s">
        <v>1350</v>
      </c>
      <c r="M1250" s="286"/>
      <c r="N1250" s="286"/>
      <c r="O1250" s="286"/>
      <c r="P1250" s="286"/>
      <c r="Q1250" s="286"/>
      <c r="R1250" s="286"/>
      <c r="S1250" s="286"/>
      <c r="T1250" s="286"/>
      <c r="U1250" s="286"/>
      <c r="V1250" s="286"/>
      <c r="W1250" s="286"/>
      <c r="X1250" s="286"/>
      <c r="Y1250" s="286"/>
      <c r="Z1250" s="286"/>
      <c r="AA1250" s="286"/>
    </row>
    <row r="1251">
      <c r="A1251" s="327"/>
      <c r="B1251" s="245"/>
      <c r="C1251" s="286"/>
      <c r="D1251" s="328"/>
      <c r="E1251" s="286"/>
      <c r="F1251" s="329"/>
      <c r="G1251" s="286" t="str">
        <f>IFERROR(__xludf.DUMMYFUNCTION("""COMPUTED_VALUE"""),"RODAPÉ CARVALHO EUROPEU MARRONE CHEVRON 15/3 X 1900X 740MM")</f>
        <v>RODAPÉ CARVALHO EUROPEU MARRONE CHEVRON 15/3 X 1900X 740MM</v>
      </c>
      <c r="H1251" s="283" t="s">
        <v>1351</v>
      </c>
      <c r="I1251" s="271">
        <f t="shared" si="5"/>
        <v>229.82</v>
      </c>
      <c r="J1251" s="330"/>
      <c r="K1251" s="329"/>
      <c r="L1251" s="286" t="s">
        <v>1351</v>
      </c>
      <c r="M1251" s="286"/>
      <c r="N1251" s="286"/>
      <c r="O1251" s="286"/>
      <c r="P1251" s="286"/>
      <c r="Q1251" s="286"/>
      <c r="R1251" s="286"/>
      <c r="S1251" s="286"/>
      <c r="T1251" s="286"/>
      <c r="U1251" s="286"/>
      <c r="V1251" s="286"/>
      <c r="W1251" s="286"/>
      <c r="X1251" s="286"/>
      <c r="Y1251" s="286"/>
      <c r="Z1251" s="286"/>
      <c r="AA1251" s="286"/>
    </row>
    <row r="1252">
      <c r="A1252" s="327"/>
      <c r="B1252" s="245"/>
      <c r="C1252" s="286"/>
      <c r="D1252" s="328"/>
      <c r="E1252" s="286"/>
      <c r="F1252" s="329"/>
      <c r="G1252" s="286" t="str">
        <f>IFERROR(__xludf.DUMMYFUNCTION("""COMPUTED_VALUE"""),"RODAPÉ CARVALHO EUROPEU MARRONE 15/3 X 125 X 1200MM")</f>
        <v>RODAPÉ CARVALHO EUROPEU MARRONE 15/3 X 125 X 1200MM</v>
      </c>
      <c r="H1252" s="333" t="s">
        <v>1352</v>
      </c>
      <c r="I1252" s="271">
        <f t="shared" si="5"/>
        <v>194.56</v>
      </c>
      <c r="J1252" s="330"/>
      <c r="K1252" s="329"/>
      <c r="L1252" s="286" t="s">
        <v>1352</v>
      </c>
      <c r="M1252" s="286"/>
      <c r="N1252" s="286"/>
      <c r="O1252" s="286"/>
      <c r="P1252" s="286"/>
      <c r="Q1252" s="286"/>
      <c r="R1252" s="286"/>
      <c r="S1252" s="286"/>
      <c r="T1252" s="286"/>
      <c r="U1252" s="286"/>
      <c r="V1252" s="286"/>
      <c r="W1252" s="286"/>
      <c r="X1252" s="286"/>
      <c r="Y1252" s="286"/>
      <c r="Z1252" s="286"/>
      <c r="AA1252" s="286"/>
    </row>
    <row r="1253">
      <c r="A1253" s="327"/>
      <c r="B1253" s="245"/>
      <c r="C1253" s="286"/>
      <c r="D1253" s="328"/>
      <c r="E1253" s="286"/>
      <c r="F1253" s="329"/>
      <c r="G1253" s="286" t="str">
        <f>IFERROR(__xludf.DUMMYFUNCTION("""COMPUTED_VALUE"""),"RODAPÉ CARVALHO EUROPEU MARRONE 15/3 X 190 X 1900MM")</f>
        <v>RODAPÉ CARVALHO EUROPEU MARRONE 15/3 X 190 X 1900MM</v>
      </c>
      <c r="H1253" s="333" t="s">
        <v>1353</v>
      </c>
      <c r="I1253" s="271">
        <f t="shared" si="5"/>
        <v>229.82</v>
      </c>
      <c r="J1253" s="330"/>
      <c r="K1253" s="329"/>
      <c r="L1253" s="286" t="s">
        <v>1353</v>
      </c>
      <c r="M1253" s="286"/>
      <c r="N1253" s="286"/>
      <c r="O1253" s="286"/>
      <c r="P1253" s="286"/>
      <c r="Q1253" s="286"/>
      <c r="R1253" s="286"/>
      <c r="S1253" s="286"/>
      <c r="T1253" s="286"/>
      <c r="U1253" s="286"/>
      <c r="V1253" s="286"/>
      <c r="W1253" s="286"/>
      <c r="X1253" s="286"/>
      <c r="Y1253" s="286"/>
      <c r="Z1253" s="286"/>
      <c r="AA1253" s="286"/>
    </row>
    <row r="1254">
      <c r="A1254" s="327"/>
      <c r="B1254" s="245"/>
      <c r="C1254" s="286"/>
      <c r="D1254" s="328"/>
      <c r="E1254" s="286"/>
      <c r="F1254" s="329"/>
      <c r="G1254" s="286" t="str">
        <f>IFERROR(__xludf.DUMMYFUNCTION("""COMPUTED_VALUE"""),"RODAPÉ CARVALHO EUROPEU MARRONE 20/6 X 300 X 4000MM")</f>
        <v>RODAPÉ CARVALHO EUROPEU MARRONE 20/6 X 300 X 4000MM</v>
      </c>
      <c r="H1254" s="333" t="s">
        <v>1354</v>
      </c>
      <c r="I1254" s="271">
        <f t="shared" si="5"/>
        <v>270.56</v>
      </c>
      <c r="J1254" s="330"/>
      <c r="K1254" s="329"/>
      <c r="L1254" s="286" t="s">
        <v>1354</v>
      </c>
      <c r="M1254" s="286"/>
      <c r="N1254" s="286"/>
      <c r="O1254" s="286"/>
      <c r="P1254" s="286"/>
      <c r="Q1254" s="286"/>
      <c r="R1254" s="286"/>
      <c r="S1254" s="286"/>
      <c r="T1254" s="286"/>
      <c r="U1254" s="286"/>
      <c r="V1254" s="286"/>
      <c r="W1254" s="286"/>
      <c r="X1254" s="286"/>
      <c r="Y1254" s="286"/>
      <c r="Z1254" s="286"/>
      <c r="AA1254" s="286"/>
    </row>
    <row r="1255">
      <c r="A1255" s="327"/>
      <c r="B1255" s="245"/>
      <c r="C1255" s="286"/>
      <c r="D1255" s="328"/>
      <c r="E1255" s="286"/>
      <c r="F1255" s="329"/>
      <c r="G1255" s="286" t="str">
        <f>IFERROR(__xludf.DUMMYFUNCTION("""COMPUTED_VALUE"""),"RODAPÉ CARVALHO EUROPEU MARRONE 20/6 X 400 X 5000MM")</f>
        <v>RODAPÉ CARVALHO EUROPEU MARRONE 20/6 X 400 X 5000MM</v>
      </c>
      <c r="H1255" s="333" t="s">
        <v>1355</v>
      </c>
      <c r="I1255" s="271">
        <f t="shared" si="5"/>
        <v>304</v>
      </c>
      <c r="J1255" s="330"/>
      <c r="K1255" s="329"/>
      <c r="L1255" s="286" t="s">
        <v>1355</v>
      </c>
      <c r="M1255" s="286"/>
      <c r="N1255" s="286"/>
      <c r="O1255" s="286"/>
      <c r="P1255" s="286"/>
      <c r="Q1255" s="286"/>
      <c r="R1255" s="286"/>
      <c r="S1255" s="286"/>
      <c r="T1255" s="286"/>
      <c r="U1255" s="286"/>
      <c r="V1255" s="286"/>
      <c r="W1255" s="286"/>
      <c r="X1255" s="286"/>
      <c r="Y1255" s="286"/>
      <c r="Z1255" s="286"/>
      <c r="AA1255" s="286"/>
    </row>
    <row r="1256">
      <c r="A1256" s="327"/>
      <c r="B1256" s="245"/>
      <c r="C1256" s="286"/>
      <c r="D1256" s="328"/>
      <c r="E1256" s="286"/>
      <c r="F1256" s="329"/>
      <c r="G1256" s="286" t="str">
        <f>IFERROR(__xludf.DUMMYFUNCTION("""COMPUTED_VALUE"""),"RODAPÉ CARVALHO EUROPEU MONT BLANC CHEVRON 15/3 X 1900X 740MM")</f>
        <v>RODAPÉ CARVALHO EUROPEU MONT BLANC CHEVRON 15/3 X 1900X 740MM</v>
      </c>
      <c r="H1256" s="333" t="s">
        <v>1356</v>
      </c>
      <c r="I1256" s="271">
        <f t="shared" si="5"/>
        <v>229.82</v>
      </c>
      <c r="J1256" s="330"/>
      <c r="K1256" s="329"/>
      <c r="L1256" s="286" t="s">
        <v>1356</v>
      </c>
      <c r="M1256" s="286"/>
      <c r="N1256" s="286"/>
      <c r="O1256" s="286"/>
      <c r="P1256" s="286"/>
      <c r="Q1256" s="286"/>
      <c r="R1256" s="286"/>
      <c r="S1256" s="286"/>
      <c r="T1256" s="286"/>
      <c r="U1256" s="286"/>
      <c r="V1256" s="286"/>
      <c r="W1256" s="286"/>
      <c r="X1256" s="286"/>
      <c r="Y1256" s="286"/>
      <c r="Z1256" s="286"/>
      <c r="AA1256" s="286"/>
    </row>
    <row r="1257">
      <c r="A1257" s="327"/>
      <c r="B1257" s="245"/>
      <c r="C1257" s="286"/>
      <c r="D1257" s="328"/>
      <c r="E1257" s="286"/>
      <c r="F1257" s="329"/>
      <c r="G1257" s="286" t="str">
        <f>IFERROR(__xludf.DUMMYFUNCTION("""COMPUTED_VALUE"""),"RODAPÉ CARVALHO EUROPEU MONT BLANC ESPINHA DE PEIXE TG 15/3 X 125X900MM")</f>
        <v>RODAPÉ CARVALHO EUROPEU MONT BLANC ESPINHA DE PEIXE TG 15/3 X 125X900MM</v>
      </c>
      <c r="H1257" s="333" t="s">
        <v>1357</v>
      </c>
      <c r="I1257" s="271">
        <f t="shared" si="5"/>
        <v>194.56</v>
      </c>
      <c r="J1257" s="330"/>
      <c r="K1257" s="329"/>
      <c r="L1257" s="286" t="s">
        <v>1357</v>
      </c>
      <c r="M1257" s="286"/>
      <c r="N1257" s="286"/>
      <c r="O1257" s="286"/>
      <c r="P1257" s="286"/>
      <c r="Q1257" s="286"/>
      <c r="R1257" s="286"/>
      <c r="S1257" s="286"/>
      <c r="T1257" s="286"/>
      <c r="U1257" s="286"/>
      <c r="V1257" s="286"/>
      <c r="W1257" s="286"/>
      <c r="X1257" s="286"/>
      <c r="Y1257" s="286"/>
      <c r="Z1257" s="286"/>
      <c r="AA1257" s="286"/>
    </row>
    <row r="1258">
      <c r="A1258" s="327"/>
      <c r="B1258" s="245"/>
      <c r="C1258" s="286"/>
      <c r="D1258" s="328"/>
      <c r="E1258" s="286"/>
      <c r="F1258" s="329"/>
      <c r="G1258" s="286" t="str">
        <f>IFERROR(__xludf.DUMMYFUNCTION("""COMPUTED_VALUE"""),"RODAPÉ CARVALHO EUROPEU MONT BLANC 15/3 X 125 X 1200MM")</f>
        <v>RODAPÉ CARVALHO EUROPEU MONT BLANC 15/3 X 125 X 1200MM</v>
      </c>
      <c r="H1258" s="333" t="s">
        <v>1358</v>
      </c>
      <c r="I1258" s="271">
        <f t="shared" si="5"/>
        <v>194.56</v>
      </c>
      <c r="J1258" s="330"/>
      <c r="K1258" s="329"/>
      <c r="L1258" s="286" t="s">
        <v>1358</v>
      </c>
      <c r="M1258" s="286"/>
      <c r="N1258" s="286"/>
      <c r="O1258" s="286"/>
      <c r="P1258" s="286"/>
      <c r="Q1258" s="286"/>
      <c r="R1258" s="286"/>
      <c r="S1258" s="286"/>
      <c r="T1258" s="286"/>
      <c r="U1258" s="286"/>
      <c r="V1258" s="286"/>
      <c r="W1258" s="286"/>
      <c r="X1258" s="286"/>
      <c r="Y1258" s="286"/>
      <c r="Z1258" s="286"/>
      <c r="AA1258" s="286"/>
    </row>
    <row r="1259">
      <c r="A1259" s="327"/>
      <c r="B1259" s="245"/>
      <c r="C1259" s="286"/>
      <c r="D1259" s="328"/>
      <c r="E1259" s="286"/>
      <c r="F1259" s="329"/>
      <c r="G1259" s="286" t="str">
        <f>IFERROR(__xludf.DUMMYFUNCTION("""COMPUTED_VALUE"""),"RODAPÉ CARVALHO EUROPEU MONT BLANC 15/3 X 190 X 1900MM")</f>
        <v>RODAPÉ CARVALHO EUROPEU MONT BLANC 15/3 X 190 X 1900MM</v>
      </c>
      <c r="H1259" s="333" t="s">
        <v>1359</v>
      </c>
      <c r="I1259" s="271">
        <f t="shared" si="5"/>
        <v>229.82</v>
      </c>
      <c r="J1259" s="330"/>
      <c r="K1259" s="329"/>
      <c r="L1259" s="286" t="s">
        <v>1359</v>
      </c>
      <c r="M1259" s="286"/>
      <c r="N1259" s="286"/>
      <c r="O1259" s="286"/>
      <c r="P1259" s="286"/>
      <c r="Q1259" s="286"/>
      <c r="R1259" s="286"/>
      <c r="S1259" s="286"/>
      <c r="T1259" s="286"/>
      <c r="U1259" s="286"/>
      <c r="V1259" s="286"/>
      <c r="W1259" s="286"/>
      <c r="X1259" s="286"/>
      <c r="Y1259" s="286"/>
      <c r="Z1259" s="286"/>
      <c r="AA1259" s="286"/>
    </row>
    <row r="1260">
      <c r="A1260" s="327"/>
      <c r="B1260" s="245"/>
      <c r="C1260" s="286"/>
      <c r="D1260" s="328"/>
      <c r="E1260" s="286"/>
      <c r="F1260" s="329"/>
      <c r="G1260" s="286" t="str">
        <f>IFERROR(__xludf.DUMMYFUNCTION("""COMPUTED_VALUE"""),"RODAPÉ CARVALHO EUROPEU MONT BLANC 20/6 X 300 X 4000MM")</f>
        <v>RODAPÉ CARVALHO EUROPEU MONT BLANC 20/6 X 300 X 4000MM</v>
      </c>
      <c r="H1260" s="333" t="s">
        <v>1360</v>
      </c>
      <c r="I1260" s="271">
        <f t="shared" si="5"/>
        <v>270.56</v>
      </c>
      <c r="J1260" s="330"/>
      <c r="K1260" s="329"/>
      <c r="L1260" s="286" t="s">
        <v>1360</v>
      </c>
      <c r="M1260" s="286"/>
      <c r="N1260" s="286"/>
      <c r="O1260" s="286"/>
      <c r="P1260" s="286"/>
      <c r="Q1260" s="286"/>
      <c r="R1260" s="286"/>
      <c r="S1260" s="286"/>
      <c r="T1260" s="286"/>
      <c r="U1260" s="286"/>
      <c r="V1260" s="286"/>
      <c r="W1260" s="286"/>
      <c r="X1260" s="286"/>
      <c r="Y1260" s="286"/>
      <c r="Z1260" s="286"/>
      <c r="AA1260" s="286"/>
    </row>
    <row r="1261">
      <c r="A1261" s="327"/>
      <c r="B1261" s="245"/>
      <c r="C1261" s="286"/>
      <c r="D1261" s="328"/>
      <c r="E1261" s="286"/>
      <c r="F1261" s="329"/>
      <c r="G1261" s="286" t="str">
        <f>IFERROR(__xludf.DUMMYFUNCTION("""COMPUTED_VALUE"""),"RODAPÉ CARVALHO EUROPEU MONT BLANC 20/6 X 400 X 5000MM")</f>
        <v>RODAPÉ CARVALHO EUROPEU MONT BLANC 20/6 X 400 X 5000MM</v>
      </c>
      <c r="H1261" s="333" t="s">
        <v>1361</v>
      </c>
      <c r="I1261" s="271">
        <f t="shared" si="5"/>
        <v>304</v>
      </c>
      <c r="J1261" s="330"/>
      <c r="K1261" s="329"/>
      <c r="L1261" s="286" t="s">
        <v>1361</v>
      </c>
      <c r="M1261" s="286"/>
      <c r="N1261" s="286"/>
      <c r="O1261" s="286"/>
      <c r="P1261" s="286"/>
      <c r="Q1261" s="286"/>
      <c r="R1261" s="286"/>
      <c r="S1261" s="286"/>
      <c r="T1261" s="286"/>
      <c r="U1261" s="286"/>
      <c r="V1261" s="286"/>
      <c r="W1261" s="286"/>
      <c r="X1261" s="286"/>
      <c r="Y1261" s="286"/>
      <c r="Z1261" s="286"/>
      <c r="AA1261" s="286"/>
    </row>
    <row r="1262">
      <c r="A1262" s="327"/>
      <c r="B1262" s="245"/>
      <c r="C1262" s="286"/>
      <c r="D1262" s="328"/>
      <c r="E1262" s="286"/>
      <c r="F1262" s="329"/>
      <c r="G1262" s="286" t="str">
        <f>IFERROR(__xludf.DUMMYFUNCTION("""COMPUTED_VALUE"""),"RODAPÉ CARVALHO EUROPEU NATURAL CHEVRON TG 15/3 X 125 X 775MM")</f>
        <v>RODAPÉ CARVALHO EUROPEU NATURAL CHEVRON TG 15/3 X 125 X 775MM</v>
      </c>
      <c r="H1262" s="333" t="s">
        <v>1362</v>
      </c>
      <c r="I1262" s="271">
        <f t="shared" si="5"/>
        <v>194.56</v>
      </c>
      <c r="J1262" s="330"/>
      <c r="K1262" s="329"/>
      <c r="L1262" s="286" t="s">
        <v>1362</v>
      </c>
      <c r="M1262" s="286"/>
      <c r="N1262" s="286"/>
      <c r="O1262" s="286"/>
      <c r="P1262" s="286"/>
      <c r="Q1262" s="286"/>
      <c r="R1262" s="286"/>
      <c r="S1262" s="286"/>
      <c r="T1262" s="286"/>
      <c r="U1262" s="286"/>
      <c r="V1262" s="286"/>
      <c r="W1262" s="286"/>
      <c r="X1262" s="286"/>
      <c r="Y1262" s="286"/>
      <c r="Z1262" s="286"/>
      <c r="AA1262" s="286"/>
    </row>
    <row r="1263">
      <c r="A1263" s="327"/>
      <c r="B1263" s="245"/>
      <c r="C1263" s="286"/>
      <c r="D1263" s="328"/>
      <c r="E1263" s="286"/>
      <c r="F1263" s="329"/>
      <c r="G1263" s="286" t="str">
        <f>IFERROR(__xludf.DUMMYFUNCTION("""COMPUTED_VALUE"""),"RODAPÉ CARVALHO EUROPEU NATURALLE CHEVRON 15/3 X 1900X 740MM")</f>
        <v>RODAPÉ CARVALHO EUROPEU NATURALLE CHEVRON 15/3 X 1900X 740MM</v>
      </c>
      <c r="H1263" s="333" t="s">
        <v>1363</v>
      </c>
      <c r="I1263" s="271">
        <f t="shared" si="5"/>
        <v>229.82</v>
      </c>
      <c r="J1263" s="330"/>
      <c r="K1263" s="329"/>
      <c r="L1263" s="286" t="s">
        <v>1363</v>
      </c>
      <c r="M1263" s="286"/>
      <c r="N1263" s="286"/>
      <c r="O1263" s="286"/>
      <c r="P1263" s="286"/>
      <c r="Q1263" s="286"/>
      <c r="R1263" s="286"/>
      <c r="S1263" s="286"/>
      <c r="T1263" s="286"/>
      <c r="U1263" s="286"/>
      <c r="V1263" s="286"/>
      <c r="W1263" s="286"/>
      <c r="X1263" s="286"/>
      <c r="Y1263" s="286"/>
      <c r="Z1263" s="286"/>
      <c r="AA1263" s="286"/>
    </row>
    <row r="1264">
      <c r="A1264" s="327"/>
      <c r="B1264" s="245"/>
      <c r="C1264" s="286"/>
      <c r="D1264" s="328"/>
      <c r="E1264" s="286"/>
      <c r="F1264" s="329"/>
      <c r="G1264" s="286" t="str">
        <f>IFERROR(__xludf.DUMMYFUNCTION("""COMPUTED_VALUE"""),"RODAPÉ CARVALHO EUROPEU NATURALLE CHEVRON 60º 15/3 X 1900X 910MM")</f>
        <v>RODAPÉ CARVALHO EUROPEU NATURALLE CHEVRON 60º 15/3 X 1900X 910MM</v>
      </c>
      <c r="H1264" s="333" t="s">
        <v>1364</v>
      </c>
      <c r="I1264" s="271">
        <f t="shared" si="5"/>
        <v>229.82</v>
      </c>
      <c r="J1264" s="330"/>
      <c r="K1264" s="329"/>
      <c r="L1264" s="286" t="s">
        <v>1364</v>
      </c>
      <c r="M1264" s="286"/>
      <c r="N1264" s="286"/>
      <c r="O1264" s="286"/>
      <c r="P1264" s="286"/>
      <c r="Q1264" s="286"/>
      <c r="R1264" s="286"/>
      <c r="S1264" s="286"/>
      <c r="T1264" s="286"/>
      <c r="U1264" s="286"/>
      <c r="V1264" s="286"/>
      <c r="W1264" s="286"/>
      <c r="X1264" s="286"/>
      <c r="Y1264" s="286"/>
      <c r="Z1264" s="286"/>
      <c r="AA1264" s="286"/>
    </row>
    <row r="1265">
      <c r="A1265" s="327"/>
      <c r="B1265" s="245"/>
      <c r="C1265" s="286"/>
      <c r="D1265" s="328"/>
      <c r="E1265" s="286"/>
      <c r="F1265" s="329"/>
      <c r="G1265" s="286" t="str">
        <f>IFERROR(__xludf.DUMMYFUNCTION("""COMPUTED_VALUE"""),"RODAPÉ CARVALHO EUROPEU NATURALLE FINE 10/06 X 1900 X 1900MM")</f>
        <v>RODAPÉ CARVALHO EUROPEU NATURALLE FINE 10/06 X 1900 X 1900MM</v>
      </c>
      <c r="H1265" s="333" t="s">
        <v>1365</v>
      </c>
      <c r="I1265" s="271">
        <f t="shared" si="5"/>
        <v>124.64</v>
      </c>
      <c r="J1265" s="330"/>
      <c r="K1265" s="329"/>
      <c r="L1265" s="286" t="s">
        <v>1365</v>
      </c>
      <c r="M1265" s="286"/>
      <c r="N1265" s="286"/>
      <c r="O1265" s="286"/>
      <c r="P1265" s="286"/>
      <c r="Q1265" s="286"/>
      <c r="R1265" s="286"/>
      <c r="S1265" s="286"/>
      <c r="T1265" s="286"/>
      <c r="U1265" s="286"/>
      <c r="V1265" s="286"/>
      <c r="W1265" s="286"/>
      <c r="X1265" s="286"/>
      <c r="Y1265" s="286"/>
      <c r="Z1265" s="286"/>
      <c r="AA1265" s="286"/>
    </row>
    <row r="1266">
      <c r="A1266" s="327"/>
      <c r="B1266" s="245"/>
      <c r="C1266" s="286"/>
      <c r="D1266" s="328"/>
      <c r="E1266" s="286"/>
      <c r="F1266" s="329"/>
      <c r="G1266" s="286" t="str">
        <f>IFERROR(__xludf.DUMMYFUNCTION("""COMPUTED_VALUE"""),"RODAPÉ CARVALHO EUROPEU NATURALLE 15/3 X 125 X 1200MM")</f>
        <v>RODAPÉ CARVALHO EUROPEU NATURALLE 15/3 X 125 X 1200MM</v>
      </c>
      <c r="H1266" s="333" t="s">
        <v>1366</v>
      </c>
      <c r="I1266" s="271">
        <f t="shared" si="5"/>
        <v>194.56</v>
      </c>
      <c r="J1266" s="330"/>
      <c r="K1266" s="329"/>
      <c r="L1266" s="286" t="s">
        <v>1366</v>
      </c>
      <c r="M1266" s="286"/>
      <c r="N1266" s="286"/>
      <c r="O1266" s="286"/>
      <c r="P1266" s="286"/>
      <c r="Q1266" s="286"/>
      <c r="R1266" s="286"/>
      <c r="S1266" s="286"/>
      <c r="T1266" s="286"/>
      <c r="U1266" s="286"/>
      <c r="V1266" s="286"/>
      <c r="W1266" s="286"/>
      <c r="X1266" s="286"/>
      <c r="Y1266" s="286"/>
      <c r="Z1266" s="286"/>
      <c r="AA1266" s="286"/>
    </row>
    <row r="1267">
      <c r="A1267" s="327"/>
      <c r="B1267" s="245"/>
      <c r="C1267" s="286"/>
      <c r="D1267" s="328"/>
      <c r="E1267" s="286"/>
      <c r="F1267" s="329"/>
      <c r="G1267" s="286" t="str">
        <f>IFERROR(__xludf.DUMMYFUNCTION("""COMPUTED_VALUE"""),"RODAPÉ CARVALHO EUROPEU NATURALLE 15/3 X 190 X 1900MM")</f>
        <v>RODAPÉ CARVALHO EUROPEU NATURALLE 15/3 X 190 X 1900MM</v>
      </c>
      <c r="H1267" s="333" t="s">
        <v>1367</v>
      </c>
      <c r="I1267" s="271">
        <f t="shared" si="5"/>
        <v>229.82</v>
      </c>
      <c r="J1267" s="330"/>
      <c r="K1267" s="329"/>
      <c r="L1267" s="286" t="s">
        <v>1367</v>
      </c>
      <c r="M1267" s="286"/>
      <c r="N1267" s="286"/>
      <c r="O1267" s="286"/>
      <c r="P1267" s="286"/>
      <c r="Q1267" s="286"/>
      <c r="R1267" s="286"/>
      <c r="S1267" s="286"/>
      <c r="T1267" s="286"/>
      <c r="U1267" s="286"/>
      <c r="V1267" s="286"/>
      <c r="W1267" s="286"/>
      <c r="X1267" s="286"/>
      <c r="Y1267" s="286"/>
      <c r="Z1267" s="286"/>
      <c r="AA1267" s="286"/>
    </row>
    <row r="1268">
      <c r="A1268" s="327"/>
      <c r="B1268" s="245"/>
      <c r="C1268" s="286"/>
      <c r="D1268" s="328"/>
      <c r="E1268" s="286"/>
      <c r="F1268" s="329"/>
      <c r="G1268" s="286" t="str">
        <f>IFERROR(__xludf.DUMMYFUNCTION("""COMPUTED_VALUE"""),"RODAPÉ CARVALHO EUROPEU NATURALLE 20/6 X 300 X 4000MM")</f>
        <v>RODAPÉ CARVALHO EUROPEU NATURALLE 20/6 X 300 X 4000MM</v>
      </c>
      <c r="H1268" s="333" t="s">
        <v>1368</v>
      </c>
      <c r="I1268" s="271">
        <f t="shared" si="5"/>
        <v>270.56</v>
      </c>
      <c r="J1268" s="330"/>
      <c r="K1268" s="329"/>
      <c r="L1268" s="286" t="s">
        <v>1368</v>
      </c>
      <c r="M1268" s="286"/>
      <c r="N1268" s="286"/>
      <c r="O1268" s="286"/>
      <c r="P1268" s="286"/>
      <c r="Q1268" s="286"/>
      <c r="R1268" s="286"/>
      <c r="S1268" s="286"/>
      <c r="T1268" s="286"/>
      <c r="U1268" s="286"/>
      <c r="V1268" s="286"/>
      <c r="W1268" s="286"/>
      <c r="X1268" s="286"/>
      <c r="Y1268" s="286"/>
      <c r="Z1268" s="286"/>
      <c r="AA1268" s="286"/>
    </row>
    <row r="1269">
      <c r="A1269" s="327"/>
      <c r="B1269" s="245"/>
      <c r="C1269" s="286"/>
      <c r="D1269" s="328"/>
      <c r="E1269" s="286"/>
      <c r="F1269" s="329"/>
      <c r="G1269" s="286" t="str">
        <f>IFERROR(__xludf.DUMMYFUNCTION("""COMPUTED_VALUE"""),"RODAPÉ CARVALHO EUROPEU NATURALLE 20/6 X 400 X 5000MM")</f>
        <v>RODAPÉ CARVALHO EUROPEU NATURALLE 20/6 X 400 X 5000MM</v>
      </c>
      <c r="H1269" s="333" t="s">
        <v>1369</v>
      </c>
      <c r="I1269" s="271">
        <f t="shared" si="5"/>
        <v>304</v>
      </c>
      <c r="J1269" s="330"/>
      <c r="K1269" s="329"/>
      <c r="L1269" s="286" t="s">
        <v>1369</v>
      </c>
      <c r="M1269" s="286"/>
      <c r="N1269" s="286"/>
      <c r="O1269" s="286"/>
      <c r="P1269" s="286"/>
      <c r="Q1269" s="286"/>
      <c r="R1269" s="286"/>
      <c r="S1269" s="286"/>
      <c r="T1269" s="286"/>
      <c r="U1269" s="286"/>
      <c r="V1269" s="286"/>
      <c r="W1269" s="286"/>
      <c r="X1269" s="286"/>
      <c r="Y1269" s="286"/>
      <c r="Z1269" s="286"/>
      <c r="AA1269" s="286"/>
    </row>
    <row r="1270">
      <c r="A1270" s="327"/>
      <c r="B1270" s="245"/>
      <c r="C1270" s="286"/>
      <c r="D1270" s="328"/>
      <c r="E1270" s="286"/>
      <c r="F1270" s="329"/>
      <c r="G1270" s="286" t="str">
        <f>IFERROR(__xludf.DUMMYFUNCTION("""COMPUTED_VALUE"""),"RODAPÉ CARVALHO EUROPEU CAPUCCINO CHEVRON 15/3 X 1900X 740MM")</f>
        <v>RODAPÉ CARVALHO EUROPEU CAPUCCINO CHEVRON 15/3 X 1900X 740MM</v>
      </c>
      <c r="H1270" s="333" t="s">
        <v>1370</v>
      </c>
      <c r="I1270" s="271">
        <f t="shared" si="5"/>
        <v>229.82</v>
      </c>
      <c r="J1270" s="330"/>
      <c r="K1270" s="329"/>
      <c r="L1270" s="286" t="s">
        <v>1370</v>
      </c>
      <c r="M1270" s="286"/>
      <c r="N1270" s="286"/>
      <c r="O1270" s="286"/>
      <c r="P1270" s="286"/>
      <c r="Q1270" s="286"/>
      <c r="R1270" s="286"/>
      <c r="S1270" s="286"/>
      <c r="T1270" s="286"/>
      <c r="U1270" s="286"/>
      <c r="V1270" s="286"/>
      <c r="W1270" s="286"/>
      <c r="X1270" s="286"/>
      <c r="Y1270" s="286"/>
      <c r="Z1270" s="286"/>
      <c r="AA1270" s="286"/>
    </row>
    <row r="1271">
      <c r="A1271" s="327"/>
      <c r="B1271" s="245"/>
      <c r="C1271" s="286"/>
      <c r="D1271" s="328"/>
      <c r="E1271" s="286"/>
      <c r="F1271" s="329"/>
      <c r="G1271" s="286" t="str">
        <f>IFERROR(__xludf.DUMMYFUNCTION("""COMPUTED_VALUE"""),"RODAPÉ CARVALHO EUROPEU CAPUCCINO 15/3 X 125 X 1200MM")</f>
        <v>RODAPÉ CARVALHO EUROPEU CAPUCCINO 15/3 X 125 X 1200MM</v>
      </c>
      <c r="H1271" s="333" t="s">
        <v>1371</v>
      </c>
      <c r="I1271" s="271">
        <f t="shared" si="5"/>
        <v>194.56</v>
      </c>
      <c r="J1271" s="330"/>
      <c r="K1271" s="329"/>
      <c r="L1271" s="286" t="s">
        <v>1371</v>
      </c>
      <c r="M1271" s="286"/>
      <c r="N1271" s="286"/>
      <c r="O1271" s="286"/>
      <c r="P1271" s="286"/>
      <c r="Q1271" s="286"/>
      <c r="R1271" s="286"/>
      <c r="S1271" s="286"/>
      <c r="T1271" s="286"/>
      <c r="U1271" s="286"/>
      <c r="V1271" s="286"/>
      <c r="W1271" s="286"/>
      <c r="X1271" s="286"/>
      <c r="Y1271" s="286"/>
      <c r="Z1271" s="286"/>
      <c r="AA1271" s="286"/>
    </row>
    <row r="1272">
      <c r="A1272" s="327"/>
      <c r="B1272" s="245"/>
      <c r="C1272" s="286"/>
      <c r="D1272" s="328"/>
      <c r="E1272" s="286"/>
      <c r="F1272" s="329"/>
      <c r="G1272" s="286" t="str">
        <f>IFERROR(__xludf.DUMMYFUNCTION("""COMPUTED_VALUE"""),"RODAPÉ CARVALHO EUROPEU CAPPUCCINO ESPINHA DE PEIXE TG 15/3 X 125X900MM")</f>
        <v>RODAPÉ CARVALHO EUROPEU CAPPUCCINO ESPINHA DE PEIXE TG 15/3 X 125X900MM</v>
      </c>
      <c r="H1272" s="333" t="s">
        <v>1372</v>
      </c>
      <c r="I1272" s="271">
        <f t="shared" si="5"/>
        <v>194.56</v>
      </c>
      <c r="J1272" s="330"/>
      <c r="K1272" s="329"/>
      <c r="L1272" s="286" t="s">
        <v>1372</v>
      </c>
      <c r="M1272" s="286"/>
      <c r="N1272" s="286"/>
      <c r="O1272" s="286"/>
      <c r="P1272" s="286"/>
      <c r="Q1272" s="286"/>
      <c r="R1272" s="286"/>
      <c r="S1272" s="286"/>
      <c r="T1272" s="286"/>
      <c r="U1272" s="286"/>
      <c r="V1272" s="286"/>
      <c r="W1272" s="286"/>
      <c r="X1272" s="286"/>
      <c r="Y1272" s="286"/>
      <c r="Z1272" s="286"/>
      <c r="AA1272" s="286"/>
    </row>
    <row r="1273">
      <c r="A1273" s="327"/>
      <c r="B1273" s="245"/>
      <c r="C1273" s="286"/>
      <c r="D1273" s="328"/>
      <c r="E1273" s="286"/>
      <c r="F1273" s="329"/>
      <c r="G1273" s="286" t="str">
        <f>IFERROR(__xludf.DUMMYFUNCTION("""COMPUTED_VALUE"""),"RODAPÉ CARVALHO EUROPEU CAPUCCINO 15/3 X 190 X 1900MM")</f>
        <v>RODAPÉ CARVALHO EUROPEU CAPUCCINO 15/3 X 190 X 1900MM</v>
      </c>
      <c r="H1273" s="333" t="s">
        <v>1373</v>
      </c>
      <c r="I1273" s="271">
        <f t="shared" si="5"/>
        <v>229.82</v>
      </c>
      <c r="J1273" s="330"/>
      <c r="K1273" s="329"/>
      <c r="L1273" s="286" t="s">
        <v>1373</v>
      </c>
      <c r="M1273" s="286"/>
      <c r="N1273" s="286"/>
      <c r="O1273" s="286"/>
      <c r="P1273" s="286"/>
      <c r="Q1273" s="286"/>
      <c r="R1273" s="286"/>
      <c r="S1273" s="286"/>
      <c r="T1273" s="286"/>
      <c r="U1273" s="286"/>
      <c r="V1273" s="286"/>
      <c r="W1273" s="286"/>
      <c r="X1273" s="286"/>
      <c r="Y1273" s="286"/>
      <c r="Z1273" s="286"/>
      <c r="AA1273" s="286"/>
    </row>
    <row r="1274">
      <c r="A1274" s="327"/>
      <c r="B1274" s="245"/>
      <c r="C1274" s="286"/>
      <c r="D1274" s="328"/>
      <c r="E1274" s="286"/>
      <c r="F1274" s="329"/>
      <c r="G1274" s="286" t="str">
        <f>IFERROR(__xludf.DUMMYFUNCTION("""COMPUTED_VALUE"""),"RODAPÉ CARVALHO EUROPEU CAPUCCINO 20/6 X 300 X 4000MM")</f>
        <v>RODAPÉ CARVALHO EUROPEU CAPUCCINO 20/6 X 300 X 4000MM</v>
      </c>
      <c r="H1274" s="333" t="s">
        <v>1374</v>
      </c>
      <c r="I1274" s="271">
        <f t="shared" si="5"/>
        <v>270.56</v>
      </c>
      <c r="J1274" s="330"/>
      <c r="K1274" s="329"/>
      <c r="L1274" s="286" t="s">
        <v>1374</v>
      </c>
      <c r="M1274" s="286"/>
      <c r="N1274" s="286"/>
      <c r="O1274" s="286"/>
      <c r="P1274" s="286"/>
      <c r="Q1274" s="286"/>
      <c r="R1274" s="286"/>
      <c r="S1274" s="286"/>
      <c r="T1274" s="286"/>
      <c r="U1274" s="286"/>
      <c r="V1274" s="286"/>
      <c r="W1274" s="286"/>
      <c r="X1274" s="286"/>
      <c r="Y1274" s="286"/>
      <c r="Z1274" s="286"/>
      <c r="AA1274" s="286"/>
    </row>
    <row r="1275">
      <c r="A1275" s="327"/>
      <c r="B1275" s="245"/>
      <c r="C1275" s="286"/>
      <c r="D1275" s="328"/>
      <c r="E1275" s="286"/>
      <c r="F1275" s="329"/>
      <c r="G1275" s="286" t="str">
        <f>IFERROR(__xludf.DUMMYFUNCTION("""COMPUTED_VALUE"""),"RODAPÉ CARVALHO EUROPEU CAPUCCINO 20/6 X 400 X 5000MM")</f>
        <v>RODAPÉ CARVALHO EUROPEU CAPUCCINO 20/6 X 400 X 5000MM</v>
      </c>
      <c r="H1275" s="333" t="s">
        <v>1375</v>
      </c>
      <c r="I1275" s="271">
        <f t="shared" si="5"/>
        <v>304</v>
      </c>
      <c r="J1275" s="330"/>
      <c r="K1275" s="329"/>
      <c r="L1275" s="286" t="s">
        <v>1375</v>
      </c>
      <c r="M1275" s="286"/>
      <c r="N1275" s="286"/>
      <c r="O1275" s="286"/>
      <c r="P1275" s="286"/>
      <c r="Q1275" s="286"/>
      <c r="R1275" s="286"/>
      <c r="S1275" s="286"/>
      <c r="T1275" s="286"/>
      <c r="U1275" s="286"/>
      <c r="V1275" s="286"/>
      <c r="W1275" s="286"/>
      <c r="X1275" s="286"/>
      <c r="Y1275" s="286"/>
      <c r="Z1275" s="286"/>
      <c r="AA1275" s="286"/>
    </row>
    <row r="1276">
      <c r="A1276" s="327"/>
      <c r="B1276" s="245"/>
      <c r="C1276" s="286"/>
      <c r="D1276" s="328"/>
      <c r="E1276" s="286"/>
      <c r="F1276" s="329"/>
      <c r="G1276" s="286" t="str">
        <f>IFERROR(__xludf.DUMMYFUNCTION("""COMPUTED_VALUE"""),"RODAPÉ CARVALHO EUROPEU BABY GREY CHEVRON 15/3 X 1900X 740MM")</f>
        <v>RODAPÉ CARVALHO EUROPEU BABY GREY CHEVRON 15/3 X 1900X 740MM</v>
      </c>
      <c r="H1276" s="333" t="s">
        <v>1376</v>
      </c>
      <c r="I1276" s="271">
        <f t="shared" si="5"/>
        <v>229.82</v>
      </c>
      <c r="J1276" s="330"/>
      <c r="K1276" s="329"/>
      <c r="L1276" s="286" t="s">
        <v>1376</v>
      </c>
      <c r="M1276" s="286"/>
      <c r="N1276" s="286"/>
      <c r="O1276" s="286"/>
      <c r="P1276" s="286"/>
      <c r="Q1276" s="286"/>
      <c r="R1276" s="286"/>
      <c r="S1276" s="286"/>
      <c r="T1276" s="286"/>
      <c r="U1276" s="286"/>
      <c r="V1276" s="286"/>
      <c r="W1276" s="286"/>
      <c r="X1276" s="286"/>
      <c r="Y1276" s="286"/>
      <c r="Z1276" s="286"/>
      <c r="AA1276" s="286"/>
    </row>
    <row r="1277">
      <c r="A1277" s="327"/>
      <c r="B1277" s="245"/>
      <c r="C1277" s="286"/>
      <c r="D1277" s="328"/>
      <c r="E1277" s="286"/>
      <c r="F1277" s="329"/>
      <c r="G1277" s="286" t="str">
        <f>IFERROR(__xludf.DUMMYFUNCTION("""COMPUTED_VALUE"""),"RODAPÉ CARVALHO EUROPEU BABY GREY 15/3 X 125 X 1200MM")</f>
        <v>RODAPÉ CARVALHO EUROPEU BABY GREY 15/3 X 125 X 1200MM</v>
      </c>
      <c r="H1277" s="333" t="s">
        <v>1377</v>
      </c>
      <c r="I1277" s="271">
        <f t="shared" si="5"/>
        <v>194.56</v>
      </c>
      <c r="J1277" s="330"/>
      <c r="K1277" s="329"/>
      <c r="L1277" s="286" t="s">
        <v>1377</v>
      </c>
      <c r="M1277" s="286"/>
      <c r="N1277" s="286"/>
      <c r="O1277" s="286"/>
      <c r="P1277" s="286"/>
      <c r="Q1277" s="286"/>
      <c r="R1277" s="286"/>
      <c r="S1277" s="286"/>
      <c r="T1277" s="286"/>
      <c r="U1277" s="286"/>
      <c r="V1277" s="286"/>
      <c r="W1277" s="286"/>
      <c r="X1277" s="286"/>
      <c r="Y1277" s="286"/>
      <c r="Z1277" s="286"/>
      <c r="AA1277" s="286"/>
    </row>
    <row r="1278">
      <c r="A1278" s="327"/>
      <c r="B1278" s="245"/>
      <c r="C1278" s="286"/>
      <c r="D1278" s="328"/>
      <c r="E1278" s="286"/>
      <c r="F1278" s="329"/>
      <c r="G1278" s="286" t="str">
        <f>IFERROR(__xludf.DUMMYFUNCTION("""COMPUTED_VALUE"""),"RODAPÉ CARVALHO EUROPEU BABY GREY 15/3 X 190 X 1900MM")</f>
        <v>RODAPÉ CARVALHO EUROPEU BABY GREY 15/3 X 190 X 1900MM</v>
      </c>
      <c r="H1278" s="333" t="s">
        <v>1378</v>
      </c>
      <c r="I1278" s="271">
        <f t="shared" si="5"/>
        <v>229.82</v>
      </c>
      <c r="J1278" s="330"/>
      <c r="K1278" s="329"/>
      <c r="L1278" s="286" t="s">
        <v>1378</v>
      </c>
      <c r="M1278" s="286"/>
      <c r="N1278" s="286"/>
      <c r="O1278" s="286"/>
      <c r="P1278" s="286"/>
      <c r="Q1278" s="286"/>
      <c r="R1278" s="286"/>
      <c r="S1278" s="286"/>
      <c r="T1278" s="286"/>
      <c r="U1278" s="286"/>
      <c r="V1278" s="286"/>
      <c r="W1278" s="286"/>
      <c r="X1278" s="286"/>
      <c r="Y1278" s="286"/>
      <c r="Z1278" s="286"/>
      <c r="AA1278" s="286"/>
    </row>
    <row r="1279">
      <c r="A1279" s="327"/>
      <c r="B1279" s="245"/>
      <c r="C1279" s="286"/>
      <c r="D1279" s="328"/>
      <c r="E1279" s="286"/>
      <c r="F1279" s="329"/>
      <c r="G1279" s="286" t="str">
        <f>IFERROR(__xludf.DUMMYFUNCTION("""COMPUTED_VALUE"""),"RODAPÉ CARVALHO EUROPEU BABY GREY 20/6 X 300 X 4000MM")</f>
        <v>RODAPÉ CARVALHO EUROPEU BABY GREY 20/6 X 300 X 4000MM</v>
      </c>
      <c r="H1279" s="333" t="s">
        <v>1379</v>
      </c>
      <c r="I1279" s="271">
        <f t="shared" si="5"/>
        <v>270.56</v>
      </c>
      <c r="J1279" s="330"/>
      <c r="K1279" s="329"/>
      <c r="L1279" s="286" t="s">
        <v>1379</v>
      </c>
      <c r="M1279" s="286"/>
      <c r="N1279" s="286"/>
      <c r="O1279" s="286"/>
      <c r="P1279" s="286"/>
      <c r="Q1279" s="286"/>
      <c r="R1279" s="286"/>
      <c r="S1279" s="286"/>
      <c r="T1279" s="286"/>
      <c r="U1279" s="286"/>
      <c r="V1279" s="286"/>
      <c r="W1279" s="286"/>
      <c r="X1279" s="286"/>
      <c r="Y1279" s="286"/>
      <c r="Z1279" s="286"/>
      <c r="AA1279" s="286"/>
    </row>
    <row r="1280">
      <c r="A1280" s="327"/>
      <c r="B1280" s="245"/>
      <c r="C1280" s="286"/>
      <c r="D1280" s="328"/>
      <c r="E1280" s="286"/>
      <c r="F1280" s="329"/>
      <c r="G1280" s="286" t="str">
        <f>IFERROR(__xludf.DUMMYFUNCTION("""COMPUTED_VALUE"""),"RODAPÉ CARVALHO EUROPEU BABY GREY 20/6 X 400 X 5000MM")</f>
        <v>RODAPÉ CARVALHO EUROPEU BABY GREY 20/6 X 400 X 5000MM</v>
      </c>
      <c r="H1280" s="333" t="s">
        <v>1380</v>
      </c>
      <c r="I1280" s="271">
        <f t="shared" si="5"/>
        <v>304</v>
      </c>
      <c r="J1280" s="330"/>
      <c r="K1280" s="329"/>
      <c r="L1280" s="286" t="s">
        <v>1380</v>
      </c>
      <c r="M1280" s="286"/>
      <c r="N1280" s="286"/>
      <c r="O1280" s="286"/>
      <c r="P1280" s="286"/>
      <c r="Q1280" s="286"/>
      <c r="R1280" s="286"/>
      <c r="S1280" s="286"/>
      <c r="T1280" s="286"/>
      <c r="U1280" s="286"/>
      <c r="V1280" s="286"/>
      <c r="W1280" s="286"/>
      <c r="X1280" s="286"/>
      <c r="Y1280" s="286"/>
      <c r="Z1280" s="286"/>
      <c r="AA1280" s="286"/>
    </row>
    <row r="1281">
      <c r="A1281" s="327"/>
      <c r="B1281" s="245"/>
      <c r="C1281" s="286"/>
      <c r="D1281" s="328"/>
      <c r="E1281" s="286"/>
      <c r="F1281" s="329"/>
      <c r="G1281" s="286" t="str">
        <f>IFERROR(__xludf.DUMMYFUNCTION("""COMPUTED_VALUE"""),"RODAPÉ CARVALHO EUROPEU GRIGIO NERO CHEVRON 15/3 X 1900X 740MM")</f>
        <v>RODAPÉ CARVALHO EUROPEU GRIGIO NERO CHEVRON 15/3 X 1900X 740MM</v>
      </c>
      <c r="H1281" s="333" t="s">
        <v>1381</v>
      </c>
      <c r="I1281" s="271">
        <f t="shared" si="5"/>
        <v>229.82</v>
      </c>
      <c r="J1281" s="330"/>
      <c r="K1281" s="329"/>
      <c r="L1281" s="286" t="s">
        <v>1381</v>
      </c>
      <c r="M1281" s="286"/>
      <c r="N1281" s="286"/>
      <c r="O1281" s="286"/>
      <c r="P1281" s="286"/>
      <c r="Q1281" s="286"/>
      <c r="R1281" s="286"/>
      <c r="S1281" s="286"/>
      <c r="T1281" s="286"/>
      <c r="U1281" s="286"/>
      <c r="V1281" s="286"/>
      <c r="W1281" s="286"/>
      <c r="X1281" s="286"/>
      <c r="Y1281" s="286"/>
      <c r="Z1281" s="286"/>
      <c r="AA1281" s="286"/>
    </row>
    <row r="1282">
      <c r="A1282" s="327"/>
      <c r="B1282" s="245"/>
      <c r="C1282" s="286"/>
      <c r="D1282" s="328"/>
      <c r="E1282" s="286"/>
      <c r="F1282" s="329"/>
      <c r="G1282" s="286" t="str">
        <f>IFERROR(__xludf.DUMMYFUNCTION("""COMPUTED_VALUE"""),"RODAPÉ CARVALHO EUROPEU GRIGIO NERO 15/3 X 125 X 1200MM")</f>
        <v>RODAPÉ CARVALHO EUROPEU GRIGIO NERO 15/3 X 125 X 1200MM</v>
      </c>
      <c r="H1282" s="333" t="s">
        <v>1382</v>
      </c>
      <c r="I1282" s="271">
        <f t="shared" si="5"/>
        <v>194.56</v>
      </c>
      <c r="J1282" s="330"/>
      <c r="K1282" s="329"/>
      <c r="L1282" s="286" t="s">
        <v>1382</v>
      </c>
      <c r="M1282" s="286"/>
      <c r="N1282" s="286"/>
      <c r="O1282" s="286"/>
      <c r="P1282" s="286"/>
      <c r="Q1282" s="286"/>
      <c r="R1282" s="286"/>
      <c r="S1282" s="286"/>
      <c r="T1282" s="286"/>
      <c r="U1282" s="286"/>
      <c r="V1282" s="286"/>
      <c r="W1282" s="286"/>
      <c r="X1282" s="286"/>
      <c r="Y1282" s="286"/>
      <c r="Z1282" s="286"/>
      <c r="AA1282" s="286"/>
    </row>
    <row r="1283">
      <c r="A1283" s="327"/>
      <c r="B1283" s="245"/>
      <c r="C1283" s="286"/>
      <c r="D1283" s="328"/>
      <c r="E1283" s="286"/>
      <c r="F1283" s="329"/>
      <c r="G1283" s="286" t="str">
        <f>IFERROR(__xludf.DUMMYFUNCTION("""COMPUTED_VALUE"""),"RODAPÉ CARVALHO EUROPEU GRIGIO NERO 15/3 X 190 X 1900MM")</f>
        <v>RODAPÉ CARVALHO EUROPEU GRIGIO NERO 15/3 X 190 X 1900MM</v>
      </c>
      <c r="H1283" s="333" t="s">
        <v>1383</v>
      </c>
      <c r="I1283" s="271">
        <f t="shared" si="5"/>
        <v>229.82</v>
      </c>
      <c r="J1283" s="330"/>
      <c r="K1283" s="329"/>
      <c r="L1283" s="286" t="s">
        <v>1383</v>
      </c>
      <c r="M1283" s="286"/>
      <c r="N1283" s="286"/>
      <c r="O1283" s="286"/>
      <c r="P1283" s="286"/>
      <c r="Q1283" s="286"/>
      <c r="R1283" s="286"/>
      <c r="S1283" s="286"/>
      <c r="T1283" s="286"/>
      <c r="U1283" s="286"/>
      <c r="V1283" s="286"/>
      <c r="W1283" s="286"/>
      <c r="X1283" s="286"/>
      <c r="Y1283" s="286"/>
      <c r="Z1283" s="286"/>
      <c r="AA1283" s="286"/>
    </row>
    <row r="1284">
      <c r="A1284" s="327"/>
      <c r="B1284" s="245"/>
      <c r="C1284" s="286"/>
      <c r="D1284" s="328"/>
      <c r="E1284" s="286"/>
      <c r="F1284" s="329"/>
      <c r="G1284" s="286" t="str">
        <f>IFERROR(__xludf.DUMMYFUNCTION("""COMPUTED_VALUE"""),"RODAPÉ CARVALHO EUROPEU GRIGIO NERO 20/6 X 300 X 4000MM")</f>
        <v>RODAPÉ CARVALHO EUROPEU GRIGIO NERO 20/6 X 300 X 4000MM</v>
      </c>
      <c r="H1284" s="333" t="s">
        <v>1384</v>
      </c>
      <c r="I1284" s="271">
        <f t="shared" si="5"/>
        <v>270.56</v>
      </c>
      <c r="J1284" s="330"/>
      <c r="K1284" s="329"/>
      <c r="L1284" s="286" t="s">
        <v>1384</v>
      </c>
      <c r="M1284" s="286"/>
      <c r="N1284" s="286"/>
      <c r="O1284" s="286"/>
      <c r="P1284" s="286"/>
      <c r="Q1284" s="286"/>
      <c r="R1284" s="286"/>
      <c r="S1284" s="286"/>
      <c r="T1284" s="286"/>
      <c r="U1284" s="286"/>
      <c r="V1284" s="286"/>
      <c r="W1284" s="286"/>
      <c r="X1284" s="286"/>
      <c r="Y1284" s="286"/>
      <c r="Z1284" s="286"/>
      <c r="AA1284" s="286"/>
    </row>
    <row r="1285">
      <c r="A1285" s="327"/>
      <c r="B1285" s="245"/>
      <c r="C1285" s="286"/>
      <c r="D1285" s="328"/>
      <c r="E1285" s="286"/>
      <c r="F1285" s="329"/>
      <c r="G1285" s="286" t="str">
        <f>IFERROR(__xludf.DUMMYFUNCTION("""COMPUTED_VALUE"""),"RODAPÉ CARVALHO EUROPEU GRIGIO NERO 20/6 X 400 X 5000MM")</f>
        <v>RODAPÉ CARVALHO EUROPEU GRIGIO NERO 20/6 X 400 X 5000MM</v>
      </c>
      <c r="H1285" s="333" t="s">
        <v>1385</v>
      </c>
      <c r="I1285" s="271">
        <f t="shared" si="5"/>
        <v>304</v>
      </c>
      <c r="J1285" s="330"/>
      <c r="K1285" s="329"/>
      <c r="L1285" s="286" t="s">
        <v>1385</v>
      </c>
      <c r="M1285" s="286"/>
      <c r="N1285" s="286"/>
      <c r="O1285" s="286"/>
      <c r="P1285" s="286"/>
      <c r="Q1285" s="286"/>
      <c r="R1285" s="286"/>
      <c r="S1285" s="286"/>
      <c r="T1285" s="286"/>
      <c r="U1285" s="286"/>
      <c r="V1285" s="286"/>
      <c r="W1285" s="286"/>
      <c r="X1285" s="286"/>
      <c r="Y1285" s="286"/>
      <c r="Z1285" s="286"/>
      <c r="AA1285" s="286"/>
    </row>
    <row r="1286">
      <c r="A1286" s="327"/>
      <c r="B1286" s="245"/>
      <c r="C1286" s="286"/>
      <c r="D1286" s="328"/>
      <c r="E1286" s="286"/>
      <c r="F1286" s="329"/>
      <c r="G1286" s="286" t="str">
        <f>IFERROR(__xludf.DUMMYFUNCTION("""COMPUTED_VALUE"""),"RODAPÉ CARVALHO EUROPEU LIGHT BROWN CHEVRON 15/3 X 1900X 740MM")</f>
        <v>RODAPÉ CARVALHO EUROPEU LIGHT BROWN CHEVRON 15/3 X 1900X 740MM</v>
      </c>
      <c r="H1286" s="333" t="s">
        <v>1386</v>
      </c>
      <c r="I1286" s="271">
        <f t="shared" si="5"/>
        <v>229.82</v>
      </c>
      <c r="J1286" s="330"/>
      <c r="K1286" s="329"/>
      <c r="L1286" s="286" t="s">
        <v>1386</v>
      </c>
      <c r="M1286" s="286"/>
      <c r="N1286" s="286"/>
      <c r="O1286" s="286"/>
      <c r="P1286" s="286"/>
      <c r="Q1286" s="286"/>
      <c r="R1286" s="286"/>
      <c r="S1286" s="286"/>
      <c r="T1286" s="286"/>
      <c r="U1286" s="286"/>
      <c r="V1286" s="286"/>
      <c r="W1286" s="286"/>
      <c r="X1286" s="286"/>
      <c r="Y1286" s="286"/>
      <c r="Z1286" s="286"/>
      <c r="AA1286" s="286"/>
    </row>
    <row r="1287">
      <c r="A1287" s="327"/>
      <c r="B1287" s="245"/>
      <c r="C1287" s="286"/>
      <c r="D1287" s="328"/>
      <c r="E1287" s="286"/>
      <c r="F1287" s="329"/>
      <c r="G1287" s="286" t="str">
        <f>IFERROR(__xludf.DUMMYFUNCTION("""COMPUTED_VALUE"""),"RODAPÉ CARVALHO EUROPEU LIGHT BROWN 15/3 X 125 X 1200MM")</f>
        <v>RODAPÉ CARVALHO EUROPEU LIGHT BROWN 15/3 X 125 X 1200MM</v>
      </c>
      <c r="H1287" s="333" t="s">
        <v>1387</v>
      </c>
      <c r="I1287" s="271">
        <f t="shared" si="5"/>
        <v>194.56</v>
      </c>
      <c r="J1287" s="330"/>
      <c r="K1287" s="329"/>
      <c r="L1287" s="286" t="s">
        <v>1387</v>
      </c>
      <c r="M1287" s="286"/>
      <c r="N1287" s="286"/>
      <c r="O1287" s="286"/>
      <c r="P1287" s="286"/>
      <c r="Q1287" s="286"/>
      <c r="R1287" s="286"/>
      <c r="S1287" s="286"/>
      <c r="T1287" s="286"/>
      <c r="U1287" s="286"/>
      <c r="V1287" s="286"/>
      <c r="W1287" s="286"/>
      <c r="X1287" s="286"/>
      <c r="Y1287" s="286"/>
      <c r="Z1287" s="286"/>
      <c r="AA1287" s="286"/>
    </row>
    <row r="1288">
      <c r="A1288" s="327"/>
      <c r="B1288" s="245"/>
      <c r="C1288" s="286"/>
      <c r="D1288" s="328"/>
      <c r="E1288" s="286"/>
      <c r="F1288" s="329"/>
      <c r="G1288" s="286" t="str">
        <f>IFERROR(__xludf.DUMMYFUNCTION("""COMPUTED_VALUE"""),"RODAPÉ CARVALHO EUROPEU LIGHT BROWN 15/3 X 190 X 1900MM")</f>
        <v>RODAPÉ CARVALHO EUROPEU LIGHT BROWN 15/3 X 190 X 1900MM</v>
      </c>
      <c r="H1288" s="333" t="s">
        <v>1388</v>
      </c>
      <c r="I1288" s="271">
        <f t="shared" si="5"/>
        <v>229.82</v>
      </c>
      <c r="J1288" s="330"/>
      <c r="K1288" s="329"/>
      <c r="L1288" s="286" t="s">
        <v>1388</v>
      </c>
      <c r="M1288" s="286"/>
      <c r="N1288" s="286"/>
      <c r="O1288" s="286"/>
      <c r="P1288" s="286"/>
      <c r="Q1288" s="286"/>
      <c r="R1288" s="286"/>
      <c r="S1288" s="286"/>
      <c r="T1288" s="286"/>
      <c r="U1288" s="286"/>
      <c r="V1288" s="286"/>
      <c r="W1288" s="286"/>
      <c r="X1288" s="286"/>
      <c r="Y1288" s="286"/>
      <c r="Z1288" s="286"/>
      <c r="AA1288" s="286"/>
    </row>
    <row r="1289">
      <c r="A1289" s="327"/>
      <c r="B1289" s="245"/>
      <c r="C1289" s="286"/>
      <c r="D1289" s="328"/>
      <c r="E1289" s="286"/>
      <c r="F1289" s="329"/>
      <c r="G1289" s="286" t="str">
        <f>IFERROR(__xludf.DUMMYFUNCTION("""COMPUTED_VALUE"""),"RODAPÉ CARVALHO EUROPEU LIGHT BROWN 20/6 X 300 X 4000MM")</f>
        <v>RODAPÉ CARVALHO EUROPEU LIGHT BROWN 20/6 X 300 X 4000MM</v>
      </c>
      <c r="H1289" s="333" t="s">
        <v>1389</v>
      </c>
      <c r="I1289" s="271">
        <f t="shared" si="5"/>
        <v>270.56</v>
      </c>
      <c r="J1289" s="330"/>
      <c r="K1289" s="329"/>
      <c r="L1289" s="286" t="s">
        <v>1389</v>
      </c>
      <c r="M1289" s="286"/>
      <c r="N1289" s="286"/>
      <c r="O1289" s="286"/>
      <c r="P1289" s="286"/>
      <c r="Q1289" s="286"/>
      <c r="R1289" s="286"/>
      <c r="S1289" s="286"/>
      <c r="T1289" s="286"/>
      <c r="U1289" s="286"/>
      <c r="V1289" s="286"/>
      <c r="W1289" s="286"/>
      <c r="X1289" s="286"/>
      <c r="Y1289" s="286"/>
      <c r="Z1289" s="286"/>
      <c r="AA1289" s="286"/>
    </row>
    <row r="1290">
      <c r="A1290" s="327"/>
      <c r="B1290" s="245"/>
      <c r="C1290" s="286"/>
      <c r="D1290" s="328"/>
      <c r="E1290" s="286"/>
      <c r="F1290" s="329"/>
      <c r="G1290" s="286" t="str">
        <f>IFERROR(__xludf.DUMMYFUNCTION("""COMPUTED_VALUE"""),"RODAPÉ CARVALHO EUROPEU - LISTONE GIORDANO (HERITAGE 140 FILIGRANA - SIENNA 1179) TG 1,25 X 14,0 X 83,50CM --")</f>
        <v>RODAPÉ CARVALHO EUROPEU - LISTONE GIORDANO (HERITAGE 140 FILIGRANA - SIENNA 1179) TG 1,25 X 14,0 X 83,50CM --</v>
      </c>
      <c r="H1290" s="333" t="s">
        <v>1390</v>
      </c>
      <c r="I1290" s="271">
        <f t="shared" si="5"/>
        <v>1095</v>
      </c>
      <c r="J1290" s="330"/>
      <c r="K1290" s="329"/>
      <c r="L1290" s="286" t="s">
        <v>1390</v>
      </c>
      <c r="M1290" s="286"/>
      <c r="N1290" s="286"/>
      <c r="O1290" s="286"/>
      <c r="P1290" s="286"/>
      <c r="Q1290" s="286"/>
      <c r="R1290" s="286"/>
      <c r="S1290" s="286"/>
      <c r="T1290" s="286"/>
      <c r="U1290" s="286"/>
      <c r="V1290" s="286"/>
      <c r="W1290" s="286"/>
      <c r="X1290" s="286"/>
      <c r="Y1290" s="286"/>
      <c r="Z1290" s="286"/>
      <c r="AA1290" s="286"/>
    </row>
    <row r="1291">
      <c r="A1291" s="327"/>
      <c r="B1291" s="245"/>
      <c r="C1291" s="286"/>
      <c r="D1291" s="328"/>
      <c r="E1291" s="286"/>
      <c r="F1291" s="329"/>
      <c r="G1291" s="286" t="str">
        <f>IFERROR(__xludf.DUMMYFUNCTION("""COMPUTED_VALUE"""),"RODAPÉ ")</f>
        <v>RODAPÉ </v>
      </c>
      <c r="H1291" s="333" t="s">
        <v>1391</v>
      </c>
      <c r="I1291" s="271" t="str">
        <f t="shared" si="5"/>
        <v/>
      </c>
      <c r="J1291" s="330"/>
      <c r="K1291" s="329"/>
      <c r="L1291" s="286" t="s">
        <v>1391</v>
      </c>
      <c r="M1291" s="286"/>
      <c r="N1291" s="286"/>
      <c r="O1291" s="286"/>
      <c r="P1291" s="286"/>
      <c r="Q1291" s="286"/>
      <c r="R1291" s="286"/>
      <c r="S1291" s="286"/>
      <c r="T1291" s="286"/>
      <c r="U1291" s="286"/>
      <c r="V1291" s="286"/>
      <c r="W1291" s="286"/>
      <c r="X1291" s="286"/>
      <c r="Y1291" s="286"/>
      <c r="Z1291" s="286"/>
      <c r="AA1291" s="286"/>
    </row>
    <row r="1292">
      <c r="A1292" s="327"/>
      <c r="B1292" s="245"/>
      <c r="C1292" s="286"/>
      <c r="D1292" s="328"/>
      <c r="E1292" s="286"/>
      <c r="F1292" s="329"/>
      <c r="G1292" s="286" t="str">
        <f>IFERROR(__xludf.DUMMYFUNCTION("""COMPUTED_VALUE"""),"RODAPÉ CARVALHO EUROPEU MILANO CHEVRON 15/3 X 1900X 740MM")</f>
        <v>RODAPÉ CARVALHO EUROPEU MILANO CHEVRON 15/3 X 1900X 740MM</v>
      </c>
      <c r="H1292" s="333" t="s">
        <v>1392</v>
      </c>
      <c r="I1292" s="271" t="str">
        <f t="shared" si="5"/>
        <v/>
      </c>
      <c r="J1292" s="330"/>
      <c r="K1292" s="329"/>
      <c r="L1292" s="286" t="s">
        <v>1392</v>
      </c>
      <c r="M1292" s="286"/>
      <c r="N1292" s="286"/>
      <c r="O1292" s="286"/>
      <c r="P1292" s="286"/>
      <c r="Q1292" s="286"/>
      <c r="R1292" s="286"/>
      <c r="S1292" s="286"/>
      <c r="T1292" s="286"/>
      <c r="U1292" s="286"/>
      <c r="V1292" s="286"/>
      <c r="W1292" s="286"/>
      <c r="X1292" s="286"/>
      <c r="Y1292" s="286"/>
      <c r="Z1292" s="286"/>
      <c r="AA1292" s="286"/>
    </row>
    <row r="1293">
      <c r="A1293" s="327"/>
      <c r="B1293" s="245"/>
      <c r="C1293" s="286"/>
      <c r="D1293" s="328"/>
      <c r="E1293" s="286"/>
      <c r="F1293" s="329"/>
      <c r="G1293" s="286" t="str">
        <f>IFERROR(__xludf.DUMMYFUNCTION("""COMPUTED_VALUE"""),"RODAPÉ CARVALHO EUROPEU MILANO 15/3 X 125 X 1200MM")</f>
        <v>RODAPÉ CARVALHO EUROPEU MILANO 15/3 X 125 X 1200MM</v>
      </c>
      <c r="H1293" s="333" t="s">
        <v>1393</v>
      </c>
      <c r="I1293" s="271" t="str">
        <f t="shared" si="5"/>
        <v/>
      </c>
      <c r="J1293" s="330"/>
      <c r="K1293" s="329"/>
      <c r="L1293" s="286" t="s">
        <v>1393</v>
      </c>
      <c r="M1293" s="286"/>
      <c r="N1293" s="286"/>
      <c r="O1293" s="286"/>
      <c r="P1293" s="286"/>
      <c r="Q1293" s="286"/>
      <c r="R1293" s="286"/>
      <c r="S1293" s="286"/>
      <c r="T1293" s="286"/>
      <c r="U1293" s="286"/>
      <c r="V1293" s="286"/>
      <c r="W1293" s="286"/>
      <c r="X1293" s="286"/>
      <c r="Y1293" s="286"/>
      <c r="Z1293" s="286"/>
      <c r="AA1293" s="286"/>
    </row>
    <row r="1294">
      <c r="A1294" s="327"/>
      <c r="B1294" s="245"/>
      <c r="C1294" s="286"/>
      <c r="D1294" s="328"/>
      <c r="E1294" s="286"/>
      <c r="F1294" s="329"/>
      <c r="G1294" s="286" t="str">
        <f>IFERROR(__xludf.DUMMYFUNCTION("""COMPUTED_VALUE"""),"RODAPÉ CARVALHO EUROPEU MILANO 15/3 X 190 X 1900MM")</f>
        <v>RODAPÉ CARVALHO EUROPEU MILANO 15/3 X 190 X 1900MM</v>
      </c>
      <c r="H1294" s="333" t="s">
        <v>1394</v>
      </c>
      <c r="I1294" s="271" t="str">
        <f t="shared" si="5"/>
        <v/>
      </c>
      <c r="J1294" s="330"/>
      <c r="K1294" s="329"/>
      <c r="L1294" s="286" t="s">
        <v>1394</v>
      </c>
      <c r="M1294" s="286"/>
      <c r="N1294" s="286"/>
      <c r="O1294" s="286"/>
      <c r="P1294" s="286"/>
      <c r="Q1294" s="286"/>
      <c r="R1294" s="286"/>
      <c r="S1294" s="286"/>
      <c r="T1294" s="286"/>
      <c r="U1294" s="286"/>
      <c r="V1294" s="286"/>
      <c r="W1294" s="286"/>
      <c r="X1294" s="286"/>
      <c r="Y1294" s="286"/>
      <c r="Z1294" s="286"/>
      <c r="AA1294" s="286"/>
    </row>
    <row r="1295">
      <c r="A1295" s="327"/>
      <c r="B1295" s="245"/>
      <c r="C1295" s="286"/>
      <c r="D1295" s="328"/>
      <c r="E1295" s="286"/>
      <c r="F1295" s="329"/>
      <c r="G1295" s="286" t="str">
        <f>IFERROR(__xludf.DUMMYFUNCTION("""COMPUTED_VALUE"""),"RODAPÉ CARVALHO EUROPEU MILANO 20/6 X 300 X 4000MM")</f>
        <v>RODAPÉ CARVALHO EUROPEU MILANO 20/6 X 300 X 4000MM</v>
      </c>
      <c r="H1295" s="333" t="s">
        <v>1395</v>
      </c>
      <c r="I1295" s="271" t="str">
        <f t="shared" si="5"/>
        <v/>
      </c>
      <c r="J1295" s="330"/>
      <c r="K1295" s="329"/>
      <c r="L1295" s="286" t="s">
        <v>1395</v>
      </c>
      <c r="M1295" s="286"/>
      <c r="N1295" s="286"/>
      <c r="O1295" s="286"/>
      <c r="P1295" s="286"/>
      <c r="Q1295" s="286"/>
      <c r="R1295" s="286"/>
      <c r="S1295" s="286"/>
      <c r="T1295" s="286"/>
      <c r="U1295" s="286"/>
      <c r="V1295" s="286"/>
      <c r="W1295" s="286"/>
      <c r="X1295" s="286"/>
      <c r="Y1295" s="286"/>
      <c r="Z1295" s="286"/>
      <c r="AA1295" s="286"/>
    </row>
    <row r="1296">
      <c r="A1296" s="327"/>
      <c r="B1296" s="245"/>
      <c r="C1296" s="286"/>
      <c r="D1296" s="328"/>
      <c r="E1296" s="286"/>
      <c r="F1296" s="329"/>
      <c r="G1296" s="286" t="str">
        <f>IFERROR(__xludf.DUMMYFUNCTION("""COMPUTED_VALUE"""),"RODAPÉ CARVALHO EUROPEU MILANO 20/6 X 400 X 5000MM")</f>
        <v>RODAPÉ CARVALHO EUROPEU MILANO 20/6 X 400 X 5000MM</v>
      </c>
      <c r="H1296" s="333" t="s">
        <v>1396</v>
      </c>
      <c r="I1296" s="271" t="str">
        <f t="shared" si="5"/>
        <v/>
      </c>
      <c r="J1296" s="330"/>
      <c r="K1296" s="329"/>
      <c r="L1296" s="286" t="s">
        <v>1396</v>
      </c>
      <c r="M1296" s="286"/>
      <c r="N1296" s="286"/>
      <c r="O1296" s="286"/>
      <c r="P1296" s="286"/>
      <c r="Q1296" s="286"/>
      <c r="R1296" s="286"/>
      <c r="S1296" s="286"/>
      <c r="T1296" s="286"/>
      <c r="U1296" s="286"/>
      <c r="V1296" s="286"/>
      <c r="W1296" s="286"/>
      <c r="X1296" s="286"/>
      <c r="Y1296" s="286"/>
      <c r="Z1296" s="286"/>
      <c r="AA1296" s="286"/>
    </row>
    <row r="1297">
      <c r="A1297" s="327"/>
      <c r="B1297" s="245"/>
      <c r="C1297" s="286"/>
      <c r="D1297" s="328"/>
      <c r="E1297" s="286"/>
      <c r="F1297" s="329"/>
      <c r="G1297" s="286" t="str">
        <f>IFERROR(__xludf.DUMMYFUNCTION("""COMPUTED_VALUE"""),"RODAPÉ CARVALHO EUROPEU SMOKED CHEVRON 15/3 X 1900X 740MM")</f>
        <v>RODAPÉ CARVALHO EUROPEU SMOKED CHEVRON 15/3 X 1900X 740MM</v>
      </c>
      <c r="H1297" s="333" t="s">
        <v>1397</v>
      </c>
      <c r="I1297" s="271" t="str">
        <f t="shared" si="5"/>
        <v/>
      </c>
      <c r="J1297" s="330"/>
      <c r="K1297" s="329"/>
      <c r="L1297" s="286" t="s">
        <v>1397</v>
      </c>
      <c r="M1297" s="286"/>
      <c r="N1297" s="286"/>
      <c r="O1297" s="286"/>
      <c r="P1297" s="286"/>
      <c r="Q1297" s="286"/>
      <c r="R1297" s="286"/>
      <c r="S1297" s="286"/>
      <c r="T1297" s="286"/>
      <c r="U1297" s="286"/>
      <c r="V1297" s="286"/>
      <c r="W1297" s="286"/>
      <c r="X1297" s="286"/>
      <c r="Y1297" s="286"/>
      <c r="Z1297" s="286"/>
      <c r="AA1297" s="286"/>
    </row>
    <row r="1298">
      <c r="A1298" s="327"/>
      <c r="B1298" s="245"/>
      <c r="C1298" s="286"/>
      <c r="D1298" s="328"/>
      <c r="E1298" s="286"/>
      <c r="F1298" s="329"/>
      <c r="G1298" s="286" t="str">
        <f>IFERROR(__xludf.DUMMYFUNCTION("""COMPUTED_VALUE"""),"RODAPÉ CARVALHO EUROPEU SMOKED 15/3 X 125 X 1200MM")</f>
        <v>RODAPÉ CARVALHO EUROPEU SMOKED 15/3 X 125 X 1200MM</v>
      </c>
      <c r="H1298" s="333" t="s">
        <v>1398</v>
      </c>
      <c r="I1298" s="271" t="str">
        <f t="shared" si="5"/>
        <v/>
      </c>
      <c r="J1298" s="330"/>
      <c r="K1298" s="329"/>
      <c r="L1298" s="286" t="s">
        <v>1398</v>
      </c>
      <c r="M1298" s="286"/>
      <c r="N1298" s="286"/>
      <c r="O1298" s="286"/>
      <c r="P1298" s="286"/>
      <c r="Q1298" s="286"/>
      <c r="R1298" s="286"/>
      <c r="S1298" s="286"/>
      <c r="T1298" s="286"/>
      <c r="U1298" s="286"/>
      <c r="V1298" s="286"/>
      <c r="W1298" s="286"/>
      <c r="X1298" s="286"/>
      <c r="Y1298" s="286"/>
      <c r="Z1298" s="286"/>
      <c r="AA1298" s="286"/>
    </row>
    <row r="1299">
      <c r="A1299" s="327"/>
      <c r="B1299" s="245"/>
      <c r="C1299" s="286"/>
      <c r="D1299" s="328"/>
      <c r="E1299" s="286"/>
      <c r="F1299" s="329"/>
      <c r="G1299" s="286" t="str">
        <f>IFERROR(__xludf.DUMMYFUNCTION("""COMPUTED_VALUE"""),"RODAPÉ CARVALHO EUROPEU SMOKED 15/3 X 190 X 1900MM")</f>
        <v>RODAPÉ CARVALHO EUROPEU SMOKED 15/3 X 190 X 1900MM</v>
      </c>
      <c r="H1299" s="333" t="s">
        <v>1399</v>
      </c>
      <c r="I1299" s="271" t="str">
        <f t="shared" si="5"/>
        <v/>
      </c>
      <c r="J1299" s="330"/>
      <c r="K1299" s="329"/>
      <c r="L1299" s="286" t="s">
        <v>1399</v>
      </c>
      <c r="M1299" s="286"/>
      <c r="N1299" s="286"/>
      <c r="O1299" s="286"/>
      <c r="P1299" s="286"/>
      <c r="Q1299" s="286"/>
      <c r="R1299" s="286"/>
      <c r="S1299" s="286"/>
      <c r="T1299" s="286"/>
      <c r="U1299" s="286"/>
      <c r="V1299" s="286"/>
      <c r="W1299" s="286"/>
      <c r="X1299" s="286"/>
      <c r="Y1299" s="286"/>
      <c r="Z1299" s="286"/>
      <c r="AA1299" s="286"/>
    </row>
    <row r="1300">
      <c r="A1300" s="327"/>
      <c r="B1300" s="245"/>
      <c r="C1300" s="286"/>
      <c r="D1300" s="328"/>
      <c r="E1300" s="286"/>
      <c r="F1300" s="329"/>
      <c r="G1300" s="286" t="str">
        <f>IFERROR(__xludf.DUMMYFUNCTION("""COMPUTED_VALUE"""),"RODAPÉ CARVALHO EUROPEU SMOKED 20/6 X 300 X 4000MM")</f>
        <v>RODAPÉ CARVALHO EUROPEU SMOKED 20/6 X 300 X 4000MM</v>
      </c>
      <c r="H1300" s="333" t="s">
        <v>1400</v>
      </c>
      <c r="I1300" s="271" t="str">
        <f t="shared" si="5"/>
        <v/>
      </c>
      <c r="J1300" s="330"/>
      <c r="K1300" s="329"/>
      <c r="L1300" s="286" t="s">
        <v>1400</v>
      </c>
      <c r="M1300" s="286"/>
      <c r="N1300" s="286"/>
      <c r="O1300" s="286"/>
      <c r="P1300" s="286"/>
      <c r="Q1300" s="286"/>
      <c r="R1300" s="286"/>
      <c r="S1300" s="286"/>
      <c r="T1300" s="286"/>
      <c r="U1300" s="286"/>
      <c r="V1300" s="286"/>
      <c r="W1300" s="286"/>
      <c r="X1300" s="286"/>
      <c r="Y1300" s="286"/>
      <c r="Z1300" s="286"/>
      <c r="AA1300" s="286"/>
    </row>
    <row r="1301">
      <c r="A1301" s="327"/>
      <c r="B1301" s="245"/>
      <c r="C1301" s="286"/>
      <c r="D1301" s="328"/>
      <c r="E1301" s="286"/>
      <c r="F1301" s="329"/>
      <c r="G1301" s="286" t="str">
        <f>IFERROR(__xludf.DUMMYFUNCTION("""COMPUTED_VALUE"""),"RODAPÉ CARVALHO EUROPEU SMOKED 20/6 X 400 X 5000MM")</f>
        <v>RODAPÉ CARVALHO EUROPEU SMOKED 20/6 X 400 X 5000MM</v>
      </c>
      <c r="H1301" s="333" t="s">
        <v>1401</v>
      </c>
      <c r="I1301" s="271" t="str">
        <f t="shared" si="5"/>
        <v/>
      </c>
      <c r="J1301" s="330"/>
      <c r="K1301" s="329"/>
      <c r="L1301" s="286" t="s">
        <v>1401</v>
      </c>
      <c r="M1301" s="286"/>
      <c r="N1301" s="286"/>
      <c r="O1301" s="286"/>
      <c r="P1301" s="286"/>
      <c r="Q1301" s="286"/>
      <c r="R1301" s="286"/>
      <c r="S1301" s="286"/>
      <c r="T1301" s="286"/>
      <c r="U1301" s="286"/>
      <c r="V1301" s="286"/>
      <c r="W1301" s="286"/>
      <c r="X1301" s="286"/>
      <c r="Y1301" s="286"/>
      <c r="Z1301" s="286"/>
      <c r="AA1301" s="286"/>
    </row>
    <row r="1302">
      <c r="A1302" s="327"/>
      <c r="B1302" s="245"/>
      <c r="C1302" s="286"/>
      <c r="D1302" s="328"/>
      <c r="E1302" s="286"/>
      <c r="F1302" s="329"/>
      <c r="G1302" s="286" t="str">
        <f>IFERROR(__xludf.DUMMYFUNCTION("""COMPUTED_VALUE"""),"RODAPÉ CARVALHO EUROPEU GIZ CHEVRON 15/3 X 1900X 740MM")</f>
        <v>RODAPÉ CARVALHO EUROPEU GIZ CHEVRON 15/3 X 1900X 740MM</v>
      </c>
      <c r="H1302" s="333" t="s">
        <v>1402</v>
      </c>
      <c r="I1302" s="271" t="str">
        <f t="shared" si="5"/>
        <v/>
      </c>
      <c r="J1302" s="330"/>
      <c r="K1302" s="329"/>
      <c r="L1302" s="286" t="s">
        <v>1402</v>
      </c>
      <c r="M1302" s="286"/>
      <c r="N1302" s="286"/>
      <c r="O1302" s="286"/>
      <c r="P1302" s="286"/>
      <c r="Q1302" s="286"/>
      <c r="R1302" s="286"/>
      <c r="S1302" s="286"/>
      <c r="T1302" s="286"/>
      <c r="U1302" s="286"/>
      <c r="V1302" s="286"/>
      <c r="W1302" s="286"/>
      <c r="X1302" s="286"/>
      <c r="Y1302" s="286"/>
      <c r="Z1302" s="286"/>
      <c r="AA1302" s="286"/>
    </row>
    <row r="1303">
      <c r="A1303" s="327"/>
      <c r="B1303" s="245"/>
      <c r="C1303" s="286"/>
      <c r="D1303" s="328"/>
      <c r="E1303" s="286"/>
      <c r="F1303" s="329"/>
      <c r="G1303" s="286" t="str">
        <f>IFERROR(__xludf.DUMMYFUNCTION("""COMPUTED_VALUE"""),"RODAPÉ CARVALHO EUROPEU GIZ 15/3 X 125 X 1200MM")</f>
        <v>RODAPÉ CARVALHO EUROPEU GIZ 15/3 X 125 X 1200MM</v>
      </c>
      <c r="H1303" s="333" t="s">
        <v>1403</v>
      </c>
      <c r="I1303" s="271" t="str">
        <f t="shared" si="5"/>
        <v/>
      </c>
      <c r="J1303" s="330"/>
      <c r="K1303" s="329"/>
      <c r="L1303" s="286" t="s">
        <v>1403</v>
      </c>
      <c r="M1303" s="286"/>
      <c r="N1303" s="286"/>
      <c r="O1303" s="286"/>
      <c r="P1303" s="286"/>
      <c r="Q1303" s="286"/>
      <c r="R1303" s="286"/>
      <c r="S1303" s="286"/>
      <c r="T1303" s="286"/>
      <c r="U1303" s="286"/>
      <c r="V1303" s="286"/>
      <c r="W1303" s="286"/>
      <c r="X1303" s="286"/>
      <c r="Y1303" s="286"/>
      <c r="Z1303" s="286"/>
      <c r="AA1303" s="286"/>
    </row>
    <row r="1304">
      <c r="A1304" s="327"/>
      <c r="B1304" s="245"/>
      <c r="C1304" s="286"/>
      <c r="D1304" s="328"/>
      <c r="E1304" s="286"/>
      <c r="F1304" s="329"/>
      <c r="G1304" s="286" t="str">
        <f>IFERROR(__xludf.DUMMYFUNCTION("""COMPUTED_VALUE"""),"RODAPÉ CARVALHO EUROPEU GIZ 15/3 X 190 X 1900MM")</f>
        <v>RODAPÉ CARVALHO EUROPEU GIZ 15/3 X 190 X 1900MM</v>
      </c>
      <c r="H1304" s="333" t="s">
        <v>1404</v>
      </c>
      <c r="I1304" s="271" t="str">
        <f t="shared" si="5"/>
        <v/>
      </c>
      <c r="J1304" s="330"/>
      <c r="K1304" s="329"/>
      <c r="L1304" s="286" t="s">
        <v>1404</v>
      </c>
      <c r="M1304" s="286"/>
      <c r="N1304" s="286"/>
      <c r="O1304" s="286"/>
      <c r="P1304" s="286"/>
      <c r="Q1304" s="286"/>
      <c r="R1304" s="286"/>
      <c r="S1304" s="286"/>
      <c r="T1304" s="286"/>
      <c r="U1304" s="286"/>
      <c r="V1304" s="286"/>
      <c r="W1304" s="286"/>
      <c r="X1304" s="286"/>
      <c r="Y1304" s="286"/>
      <c r="Z1304" s="286"/>
      <c r="AA1304" s="286"/>
    </row>
    <row r="1305">
      <c r="A1305" s="327"/>
      <c r="B1305" s="245"/>
      <c r="C1305" s="286"/>
      <c r="D1305" s="328"/>
      <c r="E1305" s="286"/>
      <c r="F1305" s="329"/>
      <c r="G1305" s="286" t="str">
        <f>IFERROR(__xludf.DUMMYFUNCTION("""COMPUTED_VALUE"""),"RODAPÉ CARVALHO EUROPEU GIZ 20/6 X 300 X 4000MM")</f>
        <v>RODAPÉ CARVALHO EUROPEU GIZ 20/6 X 300 X 4000MM</v>
      </c>
      <c r="H1305" s="333" t="s">
        <v>1405</v>
      </c>
      <c r="I1305" s="271" t="str">
        <f t="shared" si="5"/>
        <v/>
      </c>
      <c r="J1305" s="330"/>
      <c r="K1305" s="329"/>
      <c r="L1305" s="286" t="s">
        <v>1405</v>
      </c>
      <c r="M1305" s="286"/>
      <c r="N1305" s="286"/>
      <c r="O1305" s="286"/>
      <c r="P1305" s="286"/>
      <c r="Q1305" s="286"/>
      <c r="R1305" s="286"/>
      <c r="S1305" s="286"/>
      <c r="T1305" s="286"/>
      <c r="U1305" s="286"/>
      <c r="V1305" s="286"/>
      <c r="W1305" s="286"/>
      <c r="X1305" s="286"/>
      <c r="Y1305" s="286"/>
      <c r="Z1305" s="286"/>
      <c r="AA1305" s="286"/>
    </row>
    <row r="1306">
      <c r="A1306" s="327"/>
      <c r="B1306" s="245"/>
      <c r="C1306" s="286"/>
      <c r="D1306" s="328"/>
      <c r="E1306" s="286"/>
      <c r="F1306" s="329"/>
      <c r="G1306" s="286" t="str">
        <f>IFERROR(__xludf.DUMMYFUNCTION("""COMPUTED_VALUE"""),"RODAPÉ CARVALHO EUROPEU GIZ 20/6 X 400 X 5000MM")</f>
        <v>RODAPÉ CARVALHO EUROPEU GIZ 20/6 X 400 X 5000MM</v>
      </c>
      <c r="H1306" s="333" t="s">
        <v>1406</v>
      </c>
      <c r="I1306" s="271" t="str">
        <f t="shared" si="5"/>
        <v/>
      </c>
      <c r="J1306" s="330"/>
      <c r="K1306" s="329"/>
      <c r="L1306" s="286" t="s">
        <v>1406</v>
      </c>
      <c r="M1306" s="286"/>
      <c r="N1306" s="286"/>
      <c r="O1306" s="286"/>
      <c r="P1306" s="286"/>
      <c r="Q1306" s="286"/>
      <c r="R1306" s="286"/>
      <c r="S1306" s="286"/>
      <c r="T1306" s="286"/>
      <c r="U1306" s="286"/>
      <c r="V1306" s="286"/>
      <c r="W1306" s="286"/>
      <c r="X1306" s="286"/>
      <c r="Y1306" s="286"/>
      <c r="Z1306" s="286"/>
      <c r="AA1306" s="286"/>
    </row>
    <row r="1307">
      <c r="A1307" s="327"/>
      <c r="B1307" s="245"/>
      <c r="C1307" s="286"/>
      <c r="D1307" s="328"/>
      <c r="E1307" s="286"/>
      <c r="F1307" s="329"/>
      <c r="G1307" s="286" t="str">
        <f>IFERROR(__xludf.DUMMYFUNCTION("""COMPUTED_VALUE"""),"RODAPÉ CARVALHO EUROPEU SNOW CHEVRON 15/3 X 1900X 740MM")</f>
        <v>RODAPÉ CARVALHO EUROPEU SNOW CHEVRON 15/3 X 1900X 740MM</v>
      </c>
      <c r="H1307" s="333" t="s">
        <v>1407</v>
      </c>
      <c r="I1307" s="271" t="str">
        <f t="shared" si="5"/>
        <v/>
      </c>
      <c r="J1307" s="330"/>
      <c r="K1307" s="329"/>
      <c r="L1307" s="286" t="s">
        <v>1407</v>
      </c>
      <c r="M1307" s="286"/>
      <c r="N1307" s="286"/>
      <c r="O1307" s="286"/>
      <c r="P1307" s="286"/>
      <c r="Q1307" s="286"/>
      <c r="R1307" s="286"/>
      <c r="S1307" s="286"/>
      <c r="T1307" s="286"/>
      <c r="U1307" s="286"/>
      <c r="V1307" s="286"/>
      <c r="W1307" s="286"/>
      <c r="X1307" s="286"/>
      <c r="Y1307" s="286"/>
      <c r="Z1307" s="286"/>
      <c r="AA1307" s="286"/>
    </row>
    <row r="1308">
      <c r="A1308" s="327"/>
      <c r="B1308" s="245"/>
      <c r="C1308" s="286"/>
      <c r="D1308" s="328"/>
      <c r="E1308" s="286"/>
      <c r="F1308" s="329"/>
      <c r="G1308" s="286" t="str">
        <f>IFERROR(__xludf.DUMMYFUNCTION("""COMPUTED_VALUE"""),"RODAPÉ CARVALHO EUROPEU SNOW 15/3 X 125 X 1200MM")</f>
        <v>RODAPÉ CARVALHO EUROPEU SNOW 15/3 X 125 X 1200MM</v>
      </c>
      <c r="H1308" s="333" t="s">
        <v>1408</v>
      </c>
      <c r="I1308" s="271" t="str">
        <f t="shared" si="5"/>
        <v/>
      </c>
      <c r="J1308" s="330"/>
      <c r="K1308" s="329"/>
      <c r="L1308" s="286" t="s">
        <v>1408</v>
      </c>
      <c r="M1308" s="286"/>
      <c r="N1308" s="286"/>
      <c r="O1308" s="286"/>
      <c r="P1308" s="286"/>
      <c r="Q1308" s="286"/>
      <c r="R1308" s="286"/>
      <c r="S1308" s="286"/>
      <c r="T1308" s="286"/>
      <c r="U1308" s="286"/>
      <c r="V1308" s="286"/>
      <c r="W1308" s="286"/>
      <c r="X1308" s="286"/>
      <c r="Y1308" s="286"/>
      <c r="Z1308" s="286"/>
      <c r="AA1308" s="286"/>
    </row>
    <row r="1309">
      <c r="A1309" s="327"/>
      <c r="B1309" s="245"/>
      <c r="C1309" s="286"/>
      <c r="D1309" s="328"/>
      <c r="E1309" s="286"/>
      <c r="F1309" s="329"/>
      <c r="G1309" s="286" t="str">
        <f>IFERROR(__xludf.DUMMYFUNCTION("""COMPUTED_VALUE"""),"RODAPÉ CARVALHO EUROPEU SNOW 15/3 X 190 X 1900MM")</f>
        <v>RODAPÉ CARVALHO EUROPEU SNOW 15/3 X 190 X 1900MM</v>
      </c>
      <c r="H1309" s="333" t="s">
        <v>1409</v>
      </c>
      <c r="I1309" s="271" t="str">
        <f t="shared" si="5"/>
        <v/>
      </c>
      <c r="J1309" s="330"/>
      <c r="K1309" s="329"/>
      <c r="L1309" s="286" t="s">
        <v>1409</v>
      </c>
      <c r="M1309" s="286"/>
      <c r="N1309" s="286"/>
      <c r="O1309" s="286"/>
      <c r="P1309" s="286"/>
      <c r="Q1309" s="286"/>
      <c r="R1309" s="286"/>
      <c r="S1309" s="286"/>
      <c r="T1309" s="286"/>
      <c r="U1309" s="286"/>
      <c r="V1309" s="286"/>
      <c r="W1309" s="286"/>
      <c r="X1309" s="286"/>
      <c r="Y1309" s="286"/>
      <c r="Z1309" s="286"/>
      <c r="AA1309" s="286"/>
    </row>
    <row r="1310">
      <c r="A1310" s="327"/>
      <c r="B1310" s="245"/>
      <c r="C1310" s="286"/>
      <c r="D1310" s="328"/>
      <c r="E1310" s="286"/>
      <c r="F1310" s="329"/>
      <c r="G1310" s="286" t="str">
        <f>IFERROR(__xludf.DUMMYFUNCTION("""COMPUTED_VALUE"""),"RODAPÉ CARVALHO EUROPEU SNOW 20/6 X 300 X 4000MM")</f>
        <v>RODAPÉ CARVALHO EUROPEU SNOW 20/6 X 300 X 4000MM</v>
      </c>
      <c r="H1310" s="333" t="s">
        <v>1410</v>
      </c>
      <c r="I1310" s="271" t="str">
        <f t="shared" si="5"/>
        <v/>
      </c>
      <c r="J1310" s="330"/>
      <c r="K1310" s="329"/>
      <c r="L1310" s="286" t="s">
        <v>1410</v>
      </c>
      <c r="M1310" s="286"/>
      <c r="N1310" s="286"/>
      <c r="O1310" s="286"/>
      <c r="P1310" s="286"/>
      <c r="Q1310" s="286"/>
      <c r="R1310" s="286"/>
      <c r="S1310" s="286"/>
      <c r="T1310" s="286"/>
      <c r="U1310" s="286"/>
      <c r="V1310" s="286"/>
      <c r="W1310" s="286"/>
      <c r="X1310" s="286"/>
      <c r="Y1310" s="286"/>
      <c r="Z1310" s="286"/>
      <c r="AA1310" s="286"/>
    </row>
    <row r="1311">
      <c r="A1311" s="327"/>
      <c r="B1311" s="245"/>
      <c r="C1311" s="286"/>
      <c r="D1311" s="328"/>
      <c r="E1311" s="286"/>
      <c r="F1311" s="329"/>
      <c r="G1311" s="286" t="str">
        <f>IFERROR(__xludf.DUMMYFUNCTION("""COMPUTED_VALUE"""),"RODAPÉ CARVALHO EUROPEU SNOW 20/6 X 400 X 5000MM")</f>
        <v>RODAPÉ CARVALHO EUROPEU SNOW 20/6 X 400 X 5000MM</v>
      </c>
      <c r="H1311" s="333" t="s">
        <v>1411</v>
      </c>
      <c r="I1311" s="271" t="str">
        <f t="shared" si="5"/>
        <v/>
      </c>
      <c r="J1311" s="330"/>
      <c r="K1311" s="329"/>
      <c r="L1311" s="286" t="s">
        <v>1411</v>
      </c>
      <c r="M1311" s="286"/>
      <c r="N1311" s="286"/>
      <c r="O1311" s="286"/>
      <c r="P1311" s="286"/>
      <c r="Q1311" s="286"/>
      <c r="R1311" s="286"/>
      <c r="S1311" s="286"/>
      <c r="T1311" s="286"/>
      <c r="U1311" s="286"/>
      <c r="V1311" s="286"/>
      <c r="W1311" s="286"/>
      <c r="X1311" s="286"/>
      <c r="Y1311" s="286"/>
      <c r="Z1311" s="286"/>
      <c r="AA1311" s="286"/>
    </row>
    <row r="1312">
      <c r="A1312" s="327"/>
      <c r="B1312" s="245"/>
      <c r="C1312" s="286"/>
      <c r="D1312" s="328"/>
      <c r="E1312" s="286"/>
      <c r="F1312" s="329"/>
      <c r="G1312" s="286" t="str">
        <f>IFERROR(__xludf.DUMMYFUNCTION("""COMPUTED_VALUE"""),"RODAPÉ CARVALHO EUROPEU WILD CHEVRON 15/3 X 1900X 740MM")</f>
        <v>RODAPÉ CARVALHO EUROPEU WILD CHEVRON 15/3 X 1900X 740MM</v>
      </c>
      <c r="H1312" s="333" t="s">
        <v>1412</v>
      </c>
      <c r="I1312" s="271" t="str">
        <f t="shared" si="5"/>
        <v/>
      </c>
      <c r="J1312" s="330"/>
      <c r="K1312" s="329"/>
      <c r="L1312" s="286" t="s">
        <v>1412</v>
      </c>
      <c r="M1312" s="286"/>
      <c r="N1312" s="286"/>
      <c r="O1312" s="286"/>
      <c r="P1312" s="286"/>
      <c r="Q1312" s="286"/>
      <c r="R1312" s="286"/>
      <c r="S1312" s="286"/>
      <c r="T1312" s="286"/>
      <c r="U1312" s="286"/>
      <c r="V1312" s="286"/>
      <c r="W1312" s="286"/>
      <c r="X1312" s="286"/>
      <c r="Y1312" s="286"/>
      <c r="Z1312" s="286"/>
      <c r="AA1312" s="286"/>
    </row>
    <row r="1313">
      <c r="A1313" s="327"/>
      <c r="B1313" s="245"/>
      <c r="C1313" s="286"/>
      <c r="D1313" s="328"/>
      <c r="E1313" s="286"/>
      <c r="F1313" s="329"/>
      <c r="G1313" s="286" t="str">
        <f>IFERROR(__xludf.DUMMYFUNCTION("""COMPUTED_VALUE"""),"RODAPÉ CARVALHO EUROPEU WILD 15/3 X 125 X 1200MM")</f>
        <v>RODAPÉ CARVALHO EUROPEU WILD 15/3 X 125 X 1200MM</v>
      </c>
      <c r="H1313" s="333" t="s">
        <v>1413</v>
      </c>
      <c r="I1313" s="271" t="str">
        <f t="shared" si="5"/>
        <v/>
      </c>
      <c r="J1313" s="330"/>
      <c r="K1313" s="329"/>
      <c r="L1313" s="286" t="s">
        <v>1413</v>
      </c>
      <c r="M1313" s="286"/>
      <c r="N1313" s="286"/>
      <c r="O1313" s="286"/>
      <c r="P1313" s="286"/>
      <c r="Q1313" s="286"/>
      <c r="R1313" s="286"/>
      <c r="S1313" s="286"/>
      <c r="T1313" s="286"/>
      <c r="U1313" s="286"/>
      <c r="V1313" s="286"/>
      <c r="W1313" s="286"/>
      <c r="X1313" s="286"/>
      <c r="Y1313" s="286"/>
      <c r="Z1313" s="286"/>
      <c r="AA1313" s="286"/>
    </row>
    <row r="1314">
      <c r="A1314" s="327"/>
      <c r="B1314" s="245"/>
      <c r="C1314" s="286"/>
      <c r="D1314" s="328"/>
      <c r="E1314" s="286"/>
      <c r="F1314" s="329"/>
      <c r="G1314" s="286" t="str">
        <f>IFERROR(__xludf.DUMMYFUNCTION("""COMPUTED_VALUE"""),"RODAPÉ CARVALHO EUROPEU WILD 15/3 X 190 X 1900MM")</f>
        <v>RODAPÉ CARVALHO EUROPEU WILD 15/3 X 190 X 1900MM</v>
      </c>
      <c r="H1314" s="333" t="s">
        <v>1414</v>
      </c>
      <c r="I1314" s="271" t="str">
        <f t="shared" si="5"/>
        <v/>
      </c>
      <c r="J1314" s="330"/>
      <c r="K1314" s="329"/>
      <c r="L1314" s="286" t="s">
        <v>1414</v>
      </c>
      <c r="M1314" s="286"/>
      <c r="N1314" s="286"/>
      <c r="O1314" s="286"/>
      <c r="P1314" s="286"/>
      <c r="Q1314" s="286"/>
      <c r="R1314" s="286"/>
      <c r="S1314" s="286"/>
      <c r="T1314" s="286"/>
      <c r="U1314" s="286"/>
      <c r="V1314" s="286"/>
      <c r="W1314" s="286"/>
      <c r="X1314" s="286"/>
      <c r="Y1314" s="286"/>
      <c r="Z1314" s="286"/>
      <c r="AA1314" s="286"/>
    </row>
    <row r="1315">
      <c r="A1315" s="327"/>
      <c r="B1315" s="245"/>
      <c r="C1315" s="286"/>
      <c r="D1315" s="328"/>
      <c r="E1315" s="286"/>
      <c r="F1315" s="329"/>
      <c r="G1315" s="286" t="str">
        <f>IFERROR(__xludf.DUMMYFUNCTION("""COMPUTED_VALUE"""),"RODAPÉ CARVALHO EUROPEU WILD 20/6 X 300 X 4000MM")</f>
        <v>RODAPÉ CARVALHO EUROPEU WILD 20/6 X 300 X 4000MM</v>
      </c>
      <c r="H1315" s="333" t="s">
        <v>1415</v>
      </c>
      <c r="I1315" s="271" t="str">
        <f t="shared" si="5"/>
        <v/>
      </c>
      <c r="J1315" s="330"/>
      <c r="K1315" s="329"/>
      <c r="L1315" s="286" t="s">
        <v>1415</v>
      </c>
      <c r="M1315" s="286"/>
      <c r="N1315" s="286"/>
      <c r="O1315" s="286"/>
      <c r="P1315" s="286"/>
      <c r="Q1315" s="286"/>
      <c r="R1315" s="286"/>
      <c r="S1315" s="286"/>
      <c r="T1315" s="286"/>
      <c r="U1315" s="286"/>
      <c r="V1315" s="286"/>
      <c r="W1315" s="286"/>
      <c r="X1315" s="286"/>
      <c r="Y1315" s="286"/>
      <c r="Z1315" s="286"/>
      <c r="AA1315" s="286"/>
    </row>
    <row r="1316">
      <c r="A1316" s="327"/>
      <c r="B1316" s="245"/>
      <c r="C1316" s="286"/>
      <c r="D1316" s="328"/>
      <c r="E1316" s="286"/>
      <c r="F1316" s="329"/>
      <c r="G1316" s="286" t="str">
        <f>IFERROR(__xludf.DUMMYFUNCTION("""COMPUTED_VALUE"""),"RODAPÉ CARVALHO EUROPEU WILD 20/6 X 400 X 5000MM")</f>
        <v>RODAPÉ CARVALHO EUROPEU WILD 20/6 X 400 X 5000MM</v>
      </c>
      <c r="H1316" s="333" t="s">
        <v>1416</v>
      </c>
      <c r="I1316" s="271" t="str">
        <f t="shared" si="5"/>
        <v/>
      </c>
      <c r="J1316" s="330"/>
      <c r="K1316" s="329"/>
      <c r="L1316" s="286" t="s">
        <v>1416</v>
      </c>
      <c r="M1316" s="286"/>
      <c r="N1316" s="286"/>
      <c r="O1316" s="286"/>
      <c r="P1316" s="286"/>
      <c r="Q1316" s="286"/>
      <c r="R1316" s="286"/>
      <c r="S1316" s="286"/>
      <c r="T1316" s="286"/>
      <c r="U1316" s="286"/>
      <c r="V1316" s="286"/>
      <c r="W1316" s="286"/>
      <c r="X1316" s="286"/>
      <c r="Y1316" s="286"/>
      <c r="Z1316" s="286"/>
      <c r="AA1316" s="286"/>
    </row>
    <row r="1317">
      <c r="A1317" s="327"/>
      <c r="B1317" s="245"/>
      <c r="C1317" s="286"/>
      <c r="D1317" s="328"/>
      <c r="E1317" s="286"/>
      <c r="F1317" s="329"/>
      <c r="G1317" s="286" t="str">
        <f>IFERROR(__xludf.DUMMYFUNCTION("""COMPUTED_VALUE"""),"RODAPÉ CARVALHO EUROPEU NEVADO CHEVRON 15/3 X 1900X 740MM")</f>
        <v>RODAPÉ CARVALHO EUROPEU NEVADO CHEVRON 15/3 X 1900X 740MM</v>
      </c>
      <c r="H1317" s="333" t="s">
        <v>1417</v>
      </c>
      <c r="I1317" s="271" t="str">
        <f t="shared" si="5"/>
        <v/>
      </c>
      <c r="J1317" s="330"/>
      <c r="K1317" s="329"/>
      <c r="L1317" s="286" t="s">
        <v>1417</v>
      </c>
      <c r="M1317" s="286"/>
      <c r="N1317" s="286"/>
      <c r="O1317" s="286"/>
      <c r="P1317" s="286"/>
      <c r="Q1317" s="286"/>
      <c r="R1317" s="286"/>
      <c r="S1317" s="286"/>
      <c r="T1317" s="286"/>
      <c r="U1317" s="286"/>
      <c r="V1317" s="286"/>
      <c r="W1317" s="286"/>
      <c r="X1317" s="286"/>
      <c r="Y1317" s="286"/>
      <c r="Z1317" s="286"/>
      <c r="AA1317" s="286"/>
    </row>
    <row r="1318">
      <c r="A1318" s="327"/>
      <c r="B1318" s="245"/>
      <c r="C1318" s="286"/>
      <c r="D1318" s="328"/>
      <c r="E1318" s="286"/>
      <c r="F1318" s="329"/>
      <c r="G1318" s="286" t="str">
        <f>IFERROR(__xludf.DUMMYFUNCTION("""COMPUTED_VALUE"""),"RODAPÉ CARVALHO EUROPEU NEVADO 15/3 X 125 X 1200MM")</f>
        <v>RODAPÉ CARVALHO EUROPEU NEVADO 15/3 X 125 X 1200MM</v>
      </c>
      <c r="H1318" s="333" t="s">
        <v>1418</v>
      </c>
      <c r="I1318" s="271" t="str">
        <f t="shared" si="5"/>
        <v/>
      </c>
      <c r="J1318" s="330"/>
      <c r="K1318" s="329"/>
      <c r="L1318" s="286" t="s">
        <v>1418</v>
      </c>
      <c r="M1318" s="286"/>
      <c r="N1318" s="286"/>
      <c r="O1318" s="286"/>
      <c r="P1318" s="286"/>
      <c r="Q1318" s="286"/>
      <c r="R1318" s="286"/>
      <c r="S1318" s="286"/>
      <c r="T1318" s="286"/>
      <c r="U1318" s="286"/>
      <c r="V1318" s="286"/>
      <c r="W1318" s="286"/>
      <c r="X1318" s="286"/>
      <c r="Y1318" s="286"/>
      <c r="Z1318" s="286"/>
      <c r="AA1318" s="286"/>
    </row>
    <row r="1319">
      <c r="A1319" s="327"/>
      <c r="B1319" s="245"/>
      <c r="C1319" s="286"/>
      <c r="D1319" s="328"/>
      <c r="E1319" s="286"/>
      <c r="F1319" s="329"/>
      <c r="G1319" s="286" t="str">
        <f>IFERROR(__xludf.DUMMYFUNCTION("""COMPUTED_VALUE"""),"RODAPÉ CARVALHO EUROPEU NEVADO 15/3 X 190 X 1900MM")</f>
        <v>RODAPÉ CARVALHO EUROPEU NEVADO 15/3 X 190 X 1900MM</v>
      </c>
      <c r="H1319" s="333" t="s">
        <v>1419</v>
      </c>
      <c r="I1319" s="271" t="str">
        <f t="shared" si="5"/>
        <v/>
      </c>
      <c r="J1319" s="330"/>
      <c r="K1319" s="329"/>
      <c r="L1319" s="286" t="s">
        <v>1419</v>
      </c>
      <c r="M1319" s="286"/>
      <c r="N1319" s="286"/>
      <c r="O1319" s="286"/>
      <c r="P1319" s="286"/>
      <c r="Q1319" s="286"/>
      <c r="R1319" s="286"/>
      <c r="S1319" s="286"/>
      <c r="T1319" s="286"/>
      <c r="U1319" s="286"/>
      <c r="V1319" s="286"/>
      <c r="W1319" s="286"/>
      <c r="X1319" s="286"/>
      <c r="Y1319" s="286"/>
      <c r="Z1319" s="286"/>
      <c r="AA1319" s="286"/>
    </row>
    <row r="1320">
      <c r="A1320" s="327"/>
      <c r="B1320" s="245"/>
      <c r="C1320" s="286"/>
      <c r="D1320" s="328"/>
      <c r="E1320" s="286"/>
      <c r="F1320" s="329"/>
      <c r="G1320" s="286" t="str">
        <f>IFERROR(__xludf.DUMMYFUNCTION("""COMPUTED_VALUE"""),"RODAPÉ CARVALHO EUROPEU NEVADO 20/6 X 300 X 4000MM")</f>
        <v>RODAPÉ CARVALHO EUROPEU NEVADO 20/6 X 300 X 4000MM</v>
      </c>
      <c r="H1320" s="333" t="s">
        <v>1420</v>
      </c>
      <c r="I1320" s="271" t="str">
        <f t="shared" si="5"/>
        <v/>
      </c>
      <c r="J1320" s="330"/>
      <c r="K1320" s="329"/>
      <c r="L1320" s="286" t="s">
        <v>1420</v>
      </c>
      <c r="M1320" s="286"/>
      <c r="N1320" s="286"/>
      <c r="O1320" s="286"/>
      <c r="P1320" s="286"/>
      <c r="Q1320" s="286"/>
      <c r="R1320" s="286"/>
      <c r="S1320" s="286"/>
      <c r="T1320" s="286"/>
      <c r="U1320" s="286"/>
      <c r="V1320" s="286"/>
      <c r="W1320" s="286"/>
      <c r="X1320" s="286"/>
      <c r="Y1320" s="286"/>
      <c r="Z1320" s="286"/>
      <c r="AA1320" s="286"/>
    </row>
    <row r="1321">
      <c r="A1321" s="327"/>
      <c r="B1321" s="245"/>
      <c r="C1321" s="286"/>
      <c r="D1321" s="328"/>
      <c r="E1321" s="286"/>
      <c r="F1321" s="329"/>
      <c r="G1321" s="286" t="str">
        <f>IFERROR(__xludf.DUMMYFUNCTION("""COMPUTED_VALUE"""),"RODAPÉ CARVALHO EUROPEU NEVADO 20/6 X 400 X 5000MM")</f>
        <v>RODAPÉ CARVALHO EUROPEU NEVADO 20/6 X 400 X 5000MM</v>
      </c>
      <c r="H1321" s="333" t="s">
        <v>1421</v>
      </c>
      <c r="I1321" s="271" t="str">
        <f t="shared" si="5"/>
        <v/>
      </c>
      <c r="J1321" s="330"/>
      <c r="K1321" s="329"/>
      <c r="L1321" s="286" t="s">
        <v>1421</v>
      </c>
      <c r="M1321" s="286"/>
      <c r="N1321" s="286"/>
      <c r="O1321" s="286"/>
      <c r="P1321" s="286"/>
      <c r="Q1321" s="286"/>
      <c r="R1321" s="286"/>
      <c r="S1321" s="286"/>
      <c r="T1321" s="286"/>
      <c r="U1321" s="286"/>
      <c r="V1321" s="286"/>
      <c r="W1321" s="286"/>
      <c r="X1321" s="286"/>
      <c r="Y1321" s="286"/>
      <c r="Z1321" s="286"/>
      <c r="AA1321" s="286"/>
    </row>
    <row r="1322">
      <c r="A1322" s="327"/>
      <c r="B1322" s="245"/>
      <c r="C1322" s="286"/>
      <c r="D1322" s="328"/>
      <c r="E1322" s="286"/>
      <c r="F1322" s="329"/>
      <c r="G1322" s="286" t="str">
        <f>IFERROR(__xludf.DUMMYFUNCTION("""COMPUTED_VALUE"""),"RODAPÉ CARVALHO EUROPEU CONCRETE GREY CHEVRON 15/3 X 1900X 740MM")</f>
        <v>RODAPÉ CARVALHO EUROPEU CONCRETE GREY CHEVRON 15/3 X 1900X 740MM</v>
      </c>
      <c r="H1322" s="333" t="s">
        <v>1422</v>
      </c>
      <c r="I1322" s="271" t="str">
        <f t="shared" si="5"/>
        <v/>
      </c>
      <c r="J1322" s="330"/>
      <c r="K1322" s="329"/>
      <c r="L1322" s="286" t="s">
        <v>1422</v>
      </c>
      <c r="M1322" s="286"/>
      <c r="N1322" s="286"/>
      <c r="O1322" s="286"/>
      <c r="P1322" s="286"/>
      <c r="Q1322" s="286"/>
      <c r="R1322" s="286"/>
      <c r="S1322" s="286"/>
      <c r="T1322" s="286"/>
      <c r="U1322" s="286"/>
      <c r="V1322" s="286"/>
      <c r="W1322" s="286"/>
      <c r="X1322" s="286"/>
      <c r="Y1322" s="286"/>
      <c r="Z1322" s="286"/>
      <c r="AA1322" s="286"/>
    </row>
    <row r="1323">
      <c r="A1323" s="327"/>
      <c r="B1323" s="245"/>
      <c r="C1323" s="286"/>
      <c r="D1323" s="328"/>
      <c r="E1323" s="286"/>
      <c r="F1323" s="329"/>
      <c r="G1323" s="286" t="str">
        <f>IFERROR(__xludf.DUMMYFUNCTION("""COMPUTED_VALUE"""),"RODAPÉ CARVALHO EUROPEU CONCRETE GREY 15/3 X 125 X 1200MM")</f>
        <v>RODAPÉ CARVALHO EUROPEU CONCRETE GREY 15/3 X 125 X 1200MM</v>
      </c>
      <c r="H1323" s="333" t="s">
        <v>1423</v>
      </c>
      <c r="I1323" s="271" t="str">
        <f t="shared" si="5"/>
        <v/>
      </c>
      <c r="J1323" s="330"/>
      <c r="K1323" s="329"/>
      <c r="L1323" s="286" t="s">
        <v>1423</v>
      </c>
      <c r="M1323" s="286"/>
      <c r="N1323" s="286"/>
      <c r="O1323" s="286"/>
      <c r="P1323" s="286"/>
      <c r="Q1323" s="286"/>
      <c r="R1323" s="286"/>
      <c r="S1323" s="286"/>
      <c r="T1323" s="286"/>
      <c r="U1323" s="286"/>
      <c r="V1323" s="286"/>
      <c r="W1323" s="286"/>
      <c r="X1323" s="286"/>
      <c r="Y1323" s="286"/>
      <c r="Z1323" s="286"/>
      <c r="AA1323" s="286"/>
    </row>
    <row r="1324">
      <c r="A1324" s="327"/>
      <c r="B1324" s="245"/>
      <c r="C1324" s="286"/>
      <c r="D1324" s="328"/>
      <c r="E1324" s="286"/>
      <c r="F1324" s="329"/>
      <c r="G1324" s="286" t="str">
        <f>IFERROR(__xludf.DUMMYFUNCTION("""COMPUTED_VALUE"""),"RODAPÉ CARVALHO EUROPEU CONCRETE GREY 15/3 X 190 X 1900MM")</f>
        <v>RODAPÉ CARVALHO EUROPEU CONCRETE GREY 15/3 X 190 X 1900MM</v>
      </c>
      <c r="H1324" s="333" t="s">
        <v>1424</v>
      </c>
      <c r="I1324" s="271" t="str">
        <f t="shared" si="5"/>
        <v/>
      </c>
      <c r="J1324" s="330"/>
      <c r="K1324" s="329"/>
      <c r="L1324" s="286" t="s">
        <v>1424</v>
      </c>
      <c r="M1324" s="286"/>
      <c r="N1324" s="286"/>
      <c r="O1324" s="286"/>
      <c r="P1324" s="286"/>
      <c r="Q1324" s="286"/>
      <c r="R1324" s="286"/>
      <c r="S1324" s="286"/>
      <c r="T1324" s="286"/>
      <c r="U1324" s="286"/>
      <c r="V1324" s="286"/>
      <c r="W1324" s="286"/>
      <c r="X1324" s="286"/>
      <c r="Y1324" s="286"/>
      <c r="Z1324" s="286"/>
      <c r="AA1324" s="286"/>
    </row>
    <row r="1325">
      <c r="A1325" s="327"/>
      <c r="B1325" s="245"/>
      <c r="C1325" s="286"/>
      <c r="D1325" s="328"/>
      <c r="E1325" s="286"/>
      <c r="F1325" s="329"/>
      <c r="G1325" s="286" t="str">
        <f>IFERROR(__xludf.DUMMYFUNCTION("""COMPUTED_VALUE"""),"RODAPÉ CARVALHO EUROPEU CONCRETE GREY 20/6 X 300 X 4000MM")</f>
        <v>RODAPÉ CARVALHO EUROPEU CONCRETE GREY 20/6 X 300 X 4000MM</v>
      </c>
      <c r="H1325" s="333" t="s">
        <v>1425</v>
      </c>
      <c r="I1325" s="271" t="str">
        <f t="shared" si="5"/>
        <v/>
      </c>
      <c r="J1325" s="330"/>
      <c r="K1325" s="329"/>
      <c r="L1325" s="286" t="s">
        <v>1425</v>
      </c>
      <c r="M1325" s="286"/>
      <c r="N1325" s="286"/>
      <c r="O1325" s="286"/>
      <c r="P1325" s="286"/>
      <c r="Q1325" s="286"/>
      <c r="R1325" s="286"/>
      <c r="S1325" s="286"/>
      <c r="T1325" s="286"/>
      <c r="U1325" s="286"/>
      <c r="V1325" s="286"/>
      <c r="W1325" s="286"/>
      <c r="X1325" s="286"/>
      <c r="Y1325" s="286"/>
      <c r="Z1325" s="286"/>
      <c r="AA1325" s="286"/>
    </row>
    <row r="1326">
      <c r="A1326" s="327"/>
      <c r="B1326" s="245"/>
      <c r="C1326" s="286"/>
      <c r="D1326" s="328"/>
      <c r="E1326" s="286"/>
      <c r="F1326" s="329"/>
      <c r="G1326" s="286" t="str">
        <f>IFERROR(__xludf.DUMMYFUNCTION("""COMPUTED_VALUE"""),"RODAPÉ CARVALHO EUROPEU CONCRETE GREY 20/6 X 400 X 5000MM")</f>
        <v>RODAPÉ CARVALHO EUROPEU CONCRETE GREY 20/6 X 400 X 5000MM</v>
      </c>
      <c r="H1326" s="333" t="s">
        <v>1426</v>
      </c>
      <c r="I1326" s="271" t="str">
        <f t="shared" si="5"/>
        <v/>
      </c>
      <c r="J1326" s="330"/>
      <c r="K1326" s="329"/>
      <c r="L1326" s="286" t="s">
        <v>1426</v>
      </c>
      <c r="M1326" s="286"/>
      <c r="N1326" s="286"/>
      <c r="O1326" s="286"/>
      <c r="P1326" s="286"/>
      <c r="Q1326" s="286"/>
      <c r="R1326" s="286"/>
      <c r="S1326" s="286"/>
      <c r="T1326" s="286"/>
      <c r="U1326" s="286"/>
      <c r="V1326" s="286"/>
      <c r="W1326" s="286"/>
      <c r="X1326" s="286"/>
      <c r="Y1326" s="286"/>
      <c r="Z1326" s="286"/>
      <c r="AA1326" s="286"/>
    </row>
    <row r="1327">
      <c r="A1327" s="327"/>
      <c r="B1327" s="245"/>
      <c r="C1327" s="286"/>
      <c r="D1327" s="328"/>
      <c r="E1327" s="286"/>
      <c r="F1327" s="329"/>
      <c r="G1327" s="286" t="str">
        <f>IFERROR(__xludf.DUMMYFUNCTION("""COMPUTED_VALUE"""),"RODAPÉ CARVALHO EUROPEU ITALY BROWN CHEVRON 15/3 X 1900X 740MM")</f>
        <v>RODAPÉ CARVALHO EUROPEU ITALY BROWN CHEVRON 15/3 X 1900X 740MM</v>
      </c>
      <c r="H1327" s="333" t="s">
        <v>1427</v>
      </c>
      <c r="I1327" s="271" t="str">
        <f t="shared" si="5"/>
        <v/>
      </c>
      <c r="J1327" s="330"/>
      <c r="K1327" s="329"/>
      <c r="L1327" s="286" t="s">
        <v>1427</v>
      </c>
      <c r="M1327" s="286"/>
      <c r="N1327" s="286"/>
      <c r="O1327" s="286"/>
      <c r="P1327" s="286"/>
      <c r="Q1327" s="286"/>
      <c r="R1327" s="286"/>
      <c r="S1327" s="286"/>
      <c r="T1327" s="286"/>
      <c r="U1327" s="286"/>
      <c r="V1327" s="286"/>
      <c r="W1327" s="286"/>
      <c r="X1327" s="286"/>
      <c r="Y1327" s="286"/>
      <c r="Z1327" s="286"/>
      <c r="AA1327" s="286"/>
    </row>
    <row r="1328">
      <c r="A1328" s="327"/>
      <c r="B1328" s="245"/>
      <c r="C1328" s="286"/>
      <c r="D1328" s="328"/>
      <c r="E1328" s="286"/>
      <c r="F1328" s="329"/>
      <c r="G1328" s="286" t="str">
        <f>IFERROR(__xludf.DUMMYFUNCTION("""COMPUTED_VALUE"""),"RODAPÉ CARVALHO EUROPEU ITALY BROWN 15/3 X 125 X 1200MM")</f>
        <v>RODAPÉ CARVALHO EUROPEU ITALY BROWN 15/3 X 125 X 1200MM</v>
      </c>
      <c r="H1328" s="333" t="s">
        <v>1428</v>
      </c>
      <c r="I1328" s="271" t="str">
        <f t="shared" si="5"/>
        <v/>
      </c>
      <c r="J1328" s="330"/>
      <c r="K1328" s="329"/>
      <c r="L1328" s="286" t="s">
        <v>1428</v>
      </c>
      <c r="M1328" s="286"/>
      <c r="N1328" s="286"/>
      <c r="O1328" s="286"/>
      <c r="P1328" s="286"/>
      <c r="Q1328" s="286"/>
      <c r="R1328" s="286"/>
      <c r="S1328" s="286"/>
      <c r="T1328" s="286"/>
      <c r="U1328" s="286"/>
      <c r="V1328" s="286"/>
      <c r="W1328" s="286"/>
      <c r="X1328" s="286"/>
      <c r="Y1328" s="286"/>
      <c r="Z1328" s="286"/>
      <c r="AA1328" s="286"/>
    </row>
    <row r="1329">
      <c r="A1329" s="327"/>
      <c r="B1329" s="245"/>
      <c r="C1329" s="286"/>
      <c r="D1329" s="328"/>
      <c r="E1329" s="286"/>
      <c r="F1329" s="329"/>
      <c r="G1329" s="286" t="str">
        <f>IFERROR(__xludf.DUMMYFUNCTION("""COMPUTED_VALUE"""),"RODAPÉ CARVALHO EUROPEU ITALY BROWN 15/3 X 190 X 1900MM")</f>
        <v>RODAPÉ CARVALHO EUROPEU ITALY BROWN 15/3 X 190 X 1900MM</v>
      </c>
      <c r="H1329" s="333" t="s">
        <v>1429</v>
      </c>
      <c r="I1329" s="271" t="str">
        <f t="shared" si="5"/>
        <v/>
      </c>
      <c r="J1329" s="330"/>
      <c r="K1329" s="329"/>
      <c r="L1329" s="286" t="s">
        <v>1429</v>
      </c>
      <c r="M1329" s="286"/>
      <c r="N1329" s="286"/>
      <c r="O1329" s="286"/>
      <c r="P1329" s="286"/>
      <c r="Q1329" s="286"/>
      <c r="R1329" s="286"/>
      <c r="S1329" s="286"/>
      <c r="T1329" s="286"/>
      <c r="U1329" s="286"/>
      <c r="V1329" s="286"/>
      <c r="W1329" s="286"/>
      <c r="X1329" s="286"/>
      <c r="Y1329" s="286"/>
      <c r="Z1329" s="286"/>
      <c r="AA1329" s="286"/>
    </row>
    <row r="1330">
      <c r="A1330" s="327"/>
      <c r="B1330" s="245"/>
      <c r="C1330" s="286"/>
      <c r="D1330" s="328"/>
      <c r="E1330" s="286"/>
      <c r="F1330" s="329"/>
      <c r="G1330" s="286" t="str">
        <f>IFERROR(__xludf.DUMMYFUNCTION("""COMPUTED_VALUE"""),"RODAPÉ CARVALHO EUROPEU ITALY BROWN 20/6 X 300 X 4000MM")</f>
        <v>RODAPÉ CARVALHO EUROPEU ITALY BROWN 20/6 X 300 X 4000MM</v>
      </c>
      <c r="H1330" s="333" t="s">
        <v>1430</v>
      </c>
      <c r="I1330" s="271" t="str">
        <f t="shared" si="5"/>
        <v/>
      </c>
      <c r="J1330" s="330"/>
      <c r="K1330" s="329"/>
      <c r="L1330" s="286" t="s">
        <v>1430</v>
      </c>
      <c r="M1330" s="286"/>
      <c r="N1330" s="286"/>
      <c r="O1330" s="286"/>
      <c r="P1330" s="286"/>
      <c r="Q1330" s="286"/>
      <c r="R1330" s="286"/>
      <c r="S1330" s="286"/>
      <c r="T1330" s="286"/>
      <c r="U1330" s="286"/>
      <c r="V1330" s="286"/>
      <c r="W1330" s="286"/>
      <c r="X1330" s="286"/>
      <c r="Y1330" s="286"/>
      <c r="Z1330" s="286"/>
      <c r="AA1330" s="286"/>
    </row>
    <row r="1331">
      <c r="A1331" s="327"/>
      <c r="B1331" s="245"/>
      <c r="C1331" s="286"/>
      <c r="D1331" s="328"/>
      <c r="E1331" s="286"/>
      <c r="F1331" s="329"/>
      <c r="G1331" s="286" t="str">
        <f>IFERROR(__xludf.DUMMYFUNCTION("""COMPUTED_VALUE"""),"RODAPÉ CARVALHO EUROPEU ITALY BROWN 20/6 X 400 X 5000MM")</f>
        <v>RODAPÉ CARVALHO EUROPEU ITALY BROWN 20/6 X 400 X 5000MM</v>
      </c>
      <c r="H1331" s="333" t="s">
        <v>1431</v>
      </c>
      <c r="I1331" s="271" t="str">
        <f t="shared" si="5"/>
        <v/>
      </c>
      <c r="J1331" s="330"/>
      <c r="K1331" s="329"/>
      <c r="L1331" s="286" t="s">
        <v>1431</v>
      </c>
      <c r="M1331" s="286"/>
      <c r="N1331" s="286"/>
      <c r="O1331" s="286"/>
      <c r="P1331" s="286"/>
      <c r="Q1331" s="286"/>
      <c r="R1331" s="286"/>
      <c r="S1331" s="286"/>
      <c r="T1331" s="286"/>
      <c r="U1331" s="286"/>
      <c r="V1331" s="286"/>
      <c r="W1331" s="286"/>
      <c r="X1331" s="286"/>
      <c r="Y1331" s="286"/>
      <c r="Z1331" s="286"/>
      <c r="AA1331" s="286"/>
    </row>
    <row r="1332">
      <c r="A1332" s="327"/>
      <c r="B1332" s="245"/>
      <c r="C1332" s="286"/>
      <c r="D1332" s="328"/>
      <c r="E1332" s="286"/>
      <c r="F1332" s="329"/>
      <c r="G1332" s="286" t="str">
        <f>IFERROR(__xludf.DUMMYFUNCTION("""COMPUTED_VALUE"""),"RODAPÉ CARVALHO EUROPEU ALL BLACK CHEVRON 15/3 X 1900X 740MM")</f>
        <v>RODAPÉ CARVALHO EUROPEU ALL BLACK CHEVRON 15/3 X 1900X 740MM</v>
      </c>
      <c r="H1332" s="333" t="s">
        <v>1432</v>
      </c>
      <c r="I1332" s="271" t="str">
        <f t="shared" si="5"/>
        <v/>
      </c>
      <c r="J1332" s="330"/>
      <c r="K1332" s="329"/>
      <c r="L1332" s="286" t="s">
        <v>1432</v>
      </c>
      <c r="M1332" s="286"/>
      <c r="N1332" s="286"/>
      <c r="O1332" s="286"/>
      <c r="P1332" s="286"/>
      <c r="Q1332" s="286"/>
      <c r="R1332" s="286"/>
      <c r="S1332" s="286"/>
      <c r="T1332" s="286"/>
      <c r="U1332" s="286"/>
      <c r="V1332" s="286"/>
      <c r="W1332" s="286"/>
      <c r="X1332" s="286"/>
      <c r="Y1332" s="286"/>
      <c r="Z1332" s="286"/>
      <c r="AA1332" s="286"/>
    </row>
    <row r="1333">
      <c r="A1333" s="327"/>
      <c r="B1333" s="245"/>
      <c r="C1333" s="286"/>
      <c r="D1333" s="328"/>
      <c r="E1333" s="286"/>
      <c r="F1333" s="329"/>
      <c r="G1333" s="286" t="str">
        <f>IFERROR(__xludf.DUMMYFUNCTION("""COMPUTED_VALUE"""),"RODAPÉ CARVALHO EUROPEU ALL BLACK 15/3 X 125 X 1200MM")</f>
        <v>RODAPÉ CARVALHO EUROPEU ALL BLACK 15/3 X 125 X 1200MM</v>
      </c>
      <c r="H1333" s="333" t="s">
        <v>1433</v>
      </c>
      <c r="I1333" s="271" t="str">
        <f t="shared" si="5"/>
        <v/>
      </c>
      <c r="J1333" s="330"/>
      <c r="K1333" s="329"/>
      <c r="L1333" s="286" t="s">
        <v>1433</v>
      </c>
      <c r="M1333" s="286"/>
      <c r="N1333" s="286"/>
      <c r="O1333" s="286"/>
      <c r="P1333" s="286"/>
      <c r="Q1333" s="286"/>
      <c r="R1333" s="286"/>
      <c r="S1333" s="286"/>
      <c r="T1333" s="286"/>
      <c r="U1333" s="286"/>
      <c r="V1333" s="286"/>
      <c r="W1333" s="286"/>
      <c r="X1333" s="286"/>
      <c r="Y1333" s="286"/>
      <c r="Z1333" s="286"/>
      <c r="AA1333" s="286"/>
    </row>
    <row r="1334">
      <c r="A1334" s="327"/>
      <c r="B1334" s="245"/>
      <c r="C1334" s="286"/>
      <c r="D1334" s="328"/>
      <c r="E1334" s="286"/>
      <c r="F1334" s="329"/>
      <c r="G1334" s="286" t="str">
        <f>IFERROR(__xludf.DUMMYFUNCTION("""COMPUTED_VALUE"""),"RODAPÉ CARVALHO EUROPEU BLACK CHEVRON TG 15/3 X 125 X 775CM")</f>
        <v>RODAPÉ CARVALHO EUROPEU BLACK CHEVRON TG 15/3 X 125 X 775CM</v>
      </c>
      <c r="H1334" s="333" t="s">
        <v>1434</v>
      </c>
      <c r="I1334" s="271" t="str">
        <f t="shared" si="5"/>
        <v/>
      </c>
      <c r="J1334" s="330"/>
      <c r="K1334" s="329"/>
      <c r="L1334" s="286" t="s">
        <v>1434</v>
      </c>
      <c r="M1334" s="286"/>
      <c r="N1334" s="286"/>
      <c r="O1334" s="286"/>
      <c r="P1334" s="286"/>
      <c r="Q1334" s="286"/>
      <c r="R1334" s="286"/>
      <c r="S1334" s="286"/>
      <c r="T1334" s="286"/>
      <c r="U1334" s="286"/>
      <c r="V1334" s="286"/>
      <c r="W1334" s="286"/>
      <c r="X1334" s="286"/>
      <c r="Y1334" s="286"/>
      <c r="Z1334" s="286"/>
      <c r="AA1334" s="286"/>
    </row>
    <row r="1335">
      <c r="A1335" s="327"/>
      <c r="B1335" s="245"/>
      <c r="C1335" s="286"/>
      <c r="D1335" s="328"/>
      <c r="E1335" s="286"/>
      <c r="F1335" s="329"/>
      <c r="G1335" s="286" t="str">
        <f>IFERROR(__xludf.DUMMYFUNCTION("""COMPUTED_VALUE"""),"RODAPÉ CARVALHO EUROPEU ALL BLACK 15/3 X 190 X 1900MM")</f>
        <v>RODAPÉ CARVALHO EUROPEU ALL BLACK 15/3 X 190 X 1900MM</v>
      </c>
      <c r="H1335" s="333" t="s">
        <v>1435</v>
      </c>
      <c r="I1335" s="271" t="str">
        <f t="shared" si="5"/>
        <v/>
      </c>
      <c r="J1335" s="330"/>
      <c r="K1335" s="329"/>
      <c r="L1335" s="286" t="s">
        <v>1435</v>
      </c>
      <c r="M1335" s="286"/>
      <c r="N1335" s="286"/>
      <c r="O1335" s="286"/>
      <c r="P1335" s="286"/>
      <c r="Q1335" s="286"/>
      <c r="R1335" s="286"/>
      <c r="S1335" s="286"/>
      <c r="T1335" s="286"/>
      <c r="U1335" s="286"/>
      <c r="V1335" s="286"/>
      <c r="W1335" s="286"/>
      <c r="X1335" s="286"/>
      <c r="Y1335" s="286"/>
      <c r="Z1335" s="286"/>
      <c r="AA1335" s="286"/>
    </row>
    <row r="1336">
      <c r="A1336" s="327"/>
      <c r="B1336" s="245"/>
      <c r="C1336" s="286"/>
      <c r="D1336" s="328"/>
      <c r="E1336" s="286"/>
      <c r="F1336" s="329"/>
      <c r="G1336" s="286" t="str">
        <f>IFERROR(__xludf.DUMMYFUNCTION("""COMPUTED_VALUE"""),"RODAPÉ CARVALHO EUROPEU ALL BLACK 20/6 X 300 X 4000MM")</f>
        <v>RODAPÉ CARVALHO EUROPEU ALL BLACK 20/6 X 300 X 4000MM</v>
      </c>
      <c r="H1336" s="333" t="s">
        <v>1436</v>
      </c>
      <c r="I1336" s="271" t="str">
        <f t="shared" si="5"/>
        <v/>
      </c>
      <c r="J1336" s="330"/>
      <c r="K1336" s="329"/>
      <c r="L1336" s="286" t="s">
        <v>1436</v>
      </c>
      <c r="M1336" s="286"/>
      <c r="N1336" s="286"/>
      <c r="O1336" s="286"/>
      <c r="P1336" s="286"/>
      <c r="Q1336" s="286"/>
      <c r="R1336" s="286"/>
      <c r="S1336" s="286"/>
      <c r="T1336" s="286"/>
      <c r="U1336" s="286"/>
      <c r="V1336" s="286"/>
      <c r="W1336" s="286"/>
      <c r="X1336" s="286"/>
      <c r="Y1336" s="286"/>
      <c r="Z1336" s="286"/>
      <c r="AA1336" s="286"/>
    </row>
    <row r="1337">
      <c r="A1337" s="327"/>
      <c r="B1337" s="245"/>
      <c r="C1337" s="286"/>
      <c r="D1337" s="328"/>
      <c r="E1337" s="286"/>
      <c r="F1337" s="329"/>
      <c r="G1337" s="286" t="str">
        <f>IFERROR(__xludf.DUMMYFUNCTION("""COMPUTED_VALUE"""),"RODAPÉ CARVALHO EUROPEU ALL BLACK 20/6 X 400 X 5000MM")</f>
        <v>RODAPÉ CARVALHO EUROPEU ALL BLACK 20/6 X 400 X 5000MM</v>
      </c>
      <c r="H1337" s="333" t="s">
        <v>1437</v>
      </c>
      <c r="I1337" s="271" t="str">
        <f t="shared" si="5"/>
        <v/>
      </c>
      <c r="J1337" s="330"/>
      <c r="K1337" s="329"/>
      <c r="L1337" s="286" t="s">
        <v>1437</v>
      </c>
      <c r="M1337" s="286"/>
      <c r="N1337" s="286"/>
      <c r="O1337" s="286"/>
      <c r="P1337" s="286"/>
      <c r="Q1337" s="286"/>
      <c r="R1337" s="286"/>
      <c r="S1337" s="286"/>
      <c r="T1337" s="286"/>
      <c r="U1337" s="286"/>
      <c r="V1337" s="286"/>
      <c r="W1337" s="286"/>
      <c r="X1337" s="286"/>
      <c r="Y1337" s="286"/>
      <c r="Z1337" s="286"/>
      <c r="AA1337" s="286"/>
    </row>
    <row r="1338">
      <c r="A1338" s="327"/>
      <c r="B1338" s="245"/>
      <c r="C1338" s="286"/>
      <c r="D1338" s="328"/>
      <c r="E1338" s="286"/>
      <c r="F1338" s="329"/>
      <c r="G1338" s="286" t="str">
        <f>IFERROR(__xludf.DUMMYFUNCTION("""COMPUTED_VALUE"""),"RODAPÉ CARVALHO EUROPEU URBAN GREY CHEVRON 15/3 X 1900X 740MM")</f>
        <v>RODAPÉ CARVALHO EUROPEU URBAN GREY CHEVRON 15/3 X 1900X 740MM</v>
      </c>
      <c r="H1338" s="333" t="s">
        <v>1438</v>
      </c>
      <c r="I1338" s="271" t="str">
        <f t="shared" si="5"/>
        <v/>
      </c>
      <c r="J1338" s="330"/>
      <c r="K1338" s="329"/>
      <c r="L1338" s="286" t="s">
        <v>1438</v>
      </c>
      <c r="M1338" s="286"/>
      <c r="N1338" s="286"/>
      <c r="O1338" s="286"/>
      <c r="P1338" s="286"/>
      <c r="Q1338" s="286"/>
      <c r="R1338" s="286"/>
      <c r="S1338" s="286"/>
      <c r="T1338" s="286"/>
      <c r="U1338" s="286"/>
      <c r="V1338" s="286"/>
      <c r="W1338" s="286"/>
      <c r="X1338" s="286"/>
      <c r="Y1338" s="286"/>
      <c r="Z1338" s="286"/>
      <c r="AA1338" s="286"/>
    </row>
    <row r="1339">
      <c r="A1339" s="327"/>
      <c r="B1339" s="245"/>
      <c r="C1339" s="286"/>
      <c r="D1339" s="328"/>
      <c r="E1339" s="286"/>
      <c r="F1339" s="329"/>
      <c r="G1339" s="286" t="str">
        <f>IFERROR(__xludf.DUMMYFUNCTION("""COMPUTED_VALUE"""),"RODAPÉ CARVALHO EUROPEU URBAN GREY 15/3 X 125 X 1200MM")</f>
        <v>RODAPÉ CARVALHO EUROPEU URBAN GREY 15/3 X 125 X 1200MM</v>
      </c>
      <c r="H1339" s="333" t="s">
        <v>1439</v>
      </c>
      <c r="I1339" s="271" t="str">
        <f t="shared" si="5"/>
        <v/>
      </c>
      <c r="J1339" s="330"/>
      <c r="K1339" s="329"/>
      <c r="L1339" s="286" t="s">
        <v>1439</v>
      </c>
      <c r="M1339" s="286"/>
      <c r="N1339" s="286"/>
      <c r="O1339" s="286"/>
      <c r="P1339" s="286"/>
      <c r="Q1339" s="286"/>
      <c r="R1339" s="286"/>
      <c r="S1339" s="286"/>
      <c r="T1339" s="286"/>
      <c r="U1339" s="286"/>
      <c r="V1339" s="286"/>
      <c r="W1339" s="286"/>
      <c r="X1339" s="286"/>
      <c r="Y1339" s="286"/>
      <c r="Z1339" s="286"/>
      <c r="AA1339" s="286"/>
    </row>
    <row r="1340">
      <c r="A1340" s="327"/>
      <c r="B1340" s="245"/>
      <c r="C1340" s="286"/>
      <c r="D1340" s="328"/>
      <c r="E1340" s="286"/>
      <c r="F1340" s="329"/>
      <c r="G1340" s="286" t="str">
        <f>IFERROR(__xludf.DUMMYFUNCTION("""COMPUTED_VALUE"""),"RODAPÉ CARVALHO EUROPEU URBAN GREY 15/3 X 190 X 1900MM")</f>
        <v>RODAPÉ CARVALHO EUROPEU URBAN GREY 15/3 X 190 X 1900MM</v>
      </c>
      <c r="H1340" s="333" t="s">
        <v>1440</v>
      </c>
      <c r="I1340" s="271" t="str">
        <f t="shared" si="5"/>
        <v/>
      </c>
      <c r="J1340" s="330"/>
      <c r="K1340" s="329"/>
      <c r="L1340" s="286" t="s">
        <v>1440</v>
      </c>
      <c r="M1340" s="286"/>
      <c r="N1340" s="286"/>
      <c r="O1340" s="286"/>
      <c r="P1340" s="286"/>
      <c r="Q1340" s="286"/>
      <c r="R1340" s="286"/>
      <c r="S1340" s="286"/>
      <c r="T1340" s="286"/>
      <c r="U1340" s="286"/>
      <c r="V1340" s="286"/>
      <c r="W1340" s="286"/>
      <c r="X1340" s="286"/>
      <c r="Y1340" s="286"/>
      <c r="Z1340" s="286"/>
      <c r="AA1340" s="286"/>
    </row>
    <row r="1341">
      <c r="A1341" s="327"/>
      <c r="B1341" s="245"/>
      <c r="C1341" s="286"/>
      <c r="D1341" s="328"/>
      <c r="E1341" s="286"/>
      <c r="F1341" s="329"/>
      <c r="G1341" s="286" t="str">
        <f>IFERROR(__xludf.DUMMYFUNCTION("""COMPUTED_VALUE"""),"RODAPÉ CARVALHO EUROPEU URBAN GREY 20/6 X 300 X 4000MM")</f>
        <v>RODAPÉ CARVALHO EUROPEU URBAN GREY 20/6 X 300 X 4000MM</v>
      </c>
      <c r="H1341" s="333" t="s">
        <v>1441</v>
      </c>
      <c r="I1341" s="271" t="str">
        <f t="shared" si="5"/>
        <v/>
      </c>
      <c r="J1341" s="330"/>
      <c r="K1341" s="329"/>
      <c r="L1341" s="286" t="s">
        <v>1441</v>
      </c>
      <c r="M1341" s="286"/>
      <c r="N1341" s="286"/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</row>
    <row r="1342">
      <c r="A1342" s="327"/>
      <c r="B1342" s="245"/>
      <c r="C1342" s="286"/>
      <c r="D1342" s="328"/>
      <c r="E1342" s="286"/>
      <c r="F1342" s="329"/>
      <c r="G1342" s="286" t="str">
        <f>IFERROR(__xludf.DUMMYFUNCTION("""COMPUTED_VALUE"""),"RODAPÉ CARVALHO EUROPEU URBAN GREY 20/6 X 400 X 5000MM")</f>
        <v>RODAPÉ CARVALHO EUROPEU URBAN GREY 20/6 X 400 X 5000MM</v>
      </c>
      <c r="H1342" s="333" t="s">
        <v>1442</v>
      </c>
      <c r="I1342" s="271" t="str">
        <f t="shared" si="5"/>
        <v/>
      </c>
      <c r="J1342" s="330"/>
      <c r="K1342" s="329"/>
      <c r="L1342" s="286" t="s">
        <v>1442</v>
      </c>
      <c r="M1342" s="286"/>
      <c r="N1342" s="286"/>
      <c r="O1342" s="286"/>
      <c r="P1342" s="286"/>
      <c r="Q1342" s="286"/>
      <c r="R1342" s="286"/>
      <c r="S1342" s="286"/>
      <c r="T1342" s="286"/>
      <c r="U1342" s="286"/>
      <c r="V1342" s="286"/>
      <c r="W1342" s="286"/>
      <c r="X1342" s="286"/>
      <c r="Y1342" s="286"/>
      <c r="Z1342" s="286"/>
      <c r="AA1342" s="286"/>
    </row>
    <row r="1343">
      <c r="A1343" s="327"/>
      <c r="B1343" s="245"/>
      <c r="C1343" s="286"/>
      <c r="D1343" s="328"/>
      <c r="E1343" s="286"/>
      <c r="F1343" s="329"/>
      <c r="G1343" s="286" t="str">
        <f>IFERROR(__xludf.DUMMYFUNCTION("""COMPUTED_VALUE"""),"RODAPÉ CARVALHO EUROPEU CARAMEL CHEVRON 15/3 X 1900X 740MM")</f>
        <v>RODAPÉ CARVALHO EUROPEU CARAMEL CHEVRON 15/3 X 1900X 740MM</v>
      </c>
      <c r="H1343" s="333" t="s">
        <v>1443</v>
      </c>
      <c r="I1343" s="271" t="str">
        <f t="shared" si="5"/>
        <v/>
      </c>
      <c r="J1343" s="330"/>
      <c r="K1343" s="329"/>
      <c r="L1343" s="286" t="s">
        <v>1443</v>
      </c>
      <c r="M1343" s="286"/>
      <c r="N1343" s="286"/>
      <c r="O1343" s="286"/>
      <c r="P1343" s="286"/>
      <c r="Q1343" s="286"/>
      <c r="R1343" s="286"/>
      <c r="S1343" s="286"/>
      <c r="T1343" s="286"/>
      <c r="U1343" s="286"/>
      <c r="V1343" s="286"/>
      <c r="W1343" s="286"/>
      <c r="X1343" s="286"/>
      <c r="Y1343" s="286"/>
      <c r="Z1343" s="286"/>
      <c r="AA1343" s="286"/>
    </row>
    <row r="1344">
      <c r="A1344" s="327"/>
      <c r="B1344" s="245"/>
      <c r="C1344" s="286"/>
      <c r="D1344" s="328"/>
      <c r="E1344" s="286"/>
      <c r="F1344" s="329"/>
      <c r="G1344" s="286" t="str">
        <f>IFERROR(__xludf.DUMMYFUNCTION("""COMPUTED_VALUE"""),"RODAPÉ CARVALHO EUROPEU CARAMEL 15/3 X 125 X 1200MM")</f>
        <v>RODAPÉ CARVALHO EUROPEU CARAMEL 15/3 X 125 X 1200MM</v>
      </c>
      <c r="H1344" s="333" t="s">
        <v>1444</v>
      </c>
      <c r="I1344" s="271" t="str">
        <f t="shared" si="5"/>
        <v/>
      </c>
      <c r="J1344" s="330"/>
      <c r="K1344" s="329"/>
      <c r="L1344" s="286" t="s">
        <v>1444</v>
      </c>
      <c r="M1344" s="286"/>
      <c r="N1344" s="286"/>
      <c r="O1344" s="286"/>
      <c r="P1344" s="286"/>
      <c r="Q1344" s="286"/>
      <c r="R1344" s="286"/>
      <c r="S1344" s="286"/>
      <c r="T1344" s="286"/>
      <c r="U1344" s="286"/>
      <c r="V1344" s="286"/>
      <c r="W1344" s="286"/>
      <c r="X1344" s="286"/>
      <c r="Y1344" s="286"/>
      <c r="Z1344" s="286"/>
      <c r="AA1344" s="286"/>
    </row>
    <row r="1345">
      <c r="A1345" s="327"/>
      <c r="B1345" s="245"/>
      <c r="C1345" s="286"/>
      <c r="D1345" s="328"/>
      <c r="E1345" s="286"/>
      <c r="F1345" s="329"/>
      <c r="G1345" s="286" t="str">
        <f>IFERROR(__xludf.DUMMYFUNCTION("""COMPUTED_VALUE"""),"RODAPÉ CARVALHO EUROPEU CARAMEL 15/3 X 190 X 1900MM")</f>
        <v>RODAPÉ CARVALHO EUROPEU CARAMEL 15/3 X 190 X 1900MM</v>
      </c>
      <c r="H1345" s="333" t="s">
        <v>1445</v>
      </c>
      <c r="I1345" s="271" t="str">
        <f t="shared" si="5"/>
        <v/>
      </c>
      <c r="J1345" s="330"/>
      <c r="K1345" s="329"/>
      <c r="L1345" s="286" t="s">
        <v>1445</v>
      </c>
      <c r="M1345" s="286"/>
      <c r="N1345" s="286"/>
      <c r="O1345" s="286"/>
      <c r="P1345" s="286"/>
      <c r="Q1345" s="286"/>
      <c r="R1345" s="286"/>
      <c r="S1345" s="286"/>
      <c r="T1345" s="286"/>
      <c r="U1345" s="286"/>
      <c r="V1345" s="286"/>
      <c r="W1345" s="286"/>
      <c r="X1345" s="286"/>
      <c r="Y1345" s="286"/>
      <c r="Z1345" s="286"/>
      <c r="AA1345" s="286"/>
    </row>
    <row r="1346">
      <c r="A1346" s="327"/>
      <c r="B1346" s="245"/>
      <c r="C1346" s="286"/>
      <c r="D1346" s="328"/>
      <c r="E1346" s="286"/>
      <c r="F1346" s="329"/>
      <c r="G1346" s="286" t="str">
        <f>IFERROR(__xludf.DUMMYFUNCTION("""COMPUTED_VALUE"""),"RODAPÉ CARVALHO EUROPEU CARAMEL 20/6 X 300 X 4000MM")</f>
        <v>RODAPÉ CARVALHO EUROPEU CARAMEL 20/6 X 300 X 4000MM</v>
      </c>
      <c r="H1346" s="333" t="s">
        <v>1446</v>
      </c>
      <c r="I1346" s="271" t="str">
        <f t="shared" si="5"/>
        <v/>
      </c>
      <c r="J1346" s="330"/>
      <c r="K1346" s="329"/>
      <c r="L1346" s="286" t="s">
        <v>1446</v>
      </c>
      <c r="M1346" s="286"/>
      <c r="N1346" s="286"/>
      <c r="O1346" s="286"/>
      <c r="P1346" s="286"/>
      <c r="Q1346" s="286"/>
      <c r="R1346" s="286"/>
      <c r="S1346" s="286"/>
      <c r="T1346" s="286"/>
      <c r="U1346" s="286"/>
      <c r="V1346" s="286"/>
      <c r="W1346" s="286"/>
      <c r="X1346" s="286"/>
      <c r="Y1346" s="286"/>
      <c r="Z1346" s="286"/>
      <c r="AA1346" s="286"/>
    </row>
    <row r="1347">
      <c r="A1347" s="327"/>
      <c r="B1347" s="245"/>
      <c r="C1347" s="286"/>
      <c r="D1347" s="328"/>
      <c r="E1347" s="286"/>
      <c r="F1347" s="329"/>
      <c r="G1347" s="286" t="str">
        <f>IFERROR(__xludf.DUMMYFUNCTION("""COMPUTED_VALUE"""),"RODAPÉ CARVALHO EUROPEU CARAMEL 20/6 X 400 X 5000MM")</f>
        <v>RODAPÉ CARVALHO EUROPEU CARAMEL 20/6 X 400 X 5000MM</v>
      </c>
      <c r="H1347" s="333" t="s">
        <v>1447</v>
      </c>
      <c r="I1347" s="271" t="str">
        <f t="shared" si="5"/>
        <v/>
      </c>
      <c r="J1347" s="330"/>
      <c r="K1347" s="329"/>
      <c r="L1347" s="286" t="s">
        <v>1447</v>
      </c>
      <c r="M1347" s="286"/>
      <c r="N1347" s="286"/>
      <c r="O1347" s="286"/>
      <c r="P1347" s="286"/>
      <c r="Q1347" s="286"/>
      <c r="R1347" s="286"/>
      <c r="S1347" s="286"/>
      <c r="T1347" s="286"/>
      <c r="U1347" s="286"/>
      <c r="V1347" s="286"/>
      <c r="W1347" s="286"/>
      <c r="X1347" s="286"/>
      <c r="Y1347" s="286"/>
      <c r="Z1347" s="286"/>
      <c r="AA1347" s="286"/>
    </row>
    <row r="1348">
      <c r="A1348" s="327"/>
      <c r="B1348" s="245"/>
      <c r="C1348" s="286"/>
      <c r="D1348" s="328"/>
      <c r="E1348" s="286"/>
      <c r="F1348" s="329"/>
      <c r="G1348" s="286" t="str">
        <f>IFERROR(__xludf.DUMMYFUNCTION("""COMPUTED_VALUE"""),"RODAPÉ CARVALHO EUROPEU CHEMICAL CHEVRON TG 15/3*190*740MM")</f>
        <v>RODAPÉ CARVALHO EUROPEU CHEMICAL CHEVRON TG 15/3*190*740MM</v>
      </c>
      <c r="H1348" s="333" t="s">
        <v>1448</v>
      </c>
      <c r="I1348" s="271" t="str">
        <f t="shared" si="5"/>
        <v/>
      </c>
      <c r="J1348" s="330"/>
      <c r="K1348" s="329"/>
      <c r="L1348" s="286" t="s">
        <v>1448</v>
      </c>
      <c r="M1348" s="286"/>
      <c r="N1348" s="286"/>
      <c r="O1348" s="286"/>
      <c r="P1348" s="286"/>
      <c r="Q1348" s="286"/>
      <c r="R1348" s="286"/>
      <c r="S1348" s="286"/>
      <c r="T1348" s="286"/>
      <c r="U1348" s="286"/>
      <c r="V1348" s="286"/>
      <c r="W1348" s="286"/>
      <c r="X1348" s="286"/>
      <c r="Y1348" s="286"/>
      <c r="Z1348" s="286"/>
      <c r="AA1348" s="286"/>
    </row>
    <row r="1349">
      <c r="A1349" s="327"/>
      <c r="B1349" s="245"/>
      <c r="C1349" s="286"/>
      <c r="D1349" s="328"/>
      <c r="E1349" s="286"/>
      <c r="F1349" s="329"/>
      <c r="G1349" s="286" t="str">
        <f>IFERROR(__xludf.DUMMYFUNCTION("""COMPUTED_VALUE"""),"RODAPÉ CARVALHO EUROPEU WHITE RUSTIC 15/4*189*1860MM")</f>
        <v>RODAPÉ CARVALHO EUROPEU WHITE RUSTIC 15/4*189*1860MM</v>
      </c>
      <c r="H1349" s="333" t="s">
        <v>1449</v>
      </c>
      <c r="I1349" s="271" t="str">
        <f t="shared" si="5"/>
        <v/>
      </c>
      <c r="J1349" s="330"/>
      <c r="K1349" s="329"/>
      <c r="L1349" s="286" t="s">
        <v>1449</v>
      </c>
      <c r="M1349" s="286"/>
      <c r="N1349" s="286"/>
      <c r="O1349" s="286"/>
      <c r="P1349" s="286"/>
      <c r="Q1349" s="286"/>
      <c r="R1349" s="286"/>
      <c r="S1349" s="286"/>
      <c r="T1349" s="286"/>
      <c r="U1349" s="286"/>
      <c r="V1349" s="286"/>
      <c r="W1349" s="286"/>
      <c r="X1349" s="286"/>
      <c r="Y1349" s="286"/>
      <c r="Z1349" s="286"/>
      <c r="AA1349" s="286"/>
    </row>
    <row r="1350">
      <c r="A1350" s="327"/>
      <c r="B1350" s="245"/>
      <c r="C1350" s="286"/>
      <c r="D1350" s="328"/>
      <c r="E1350" s="286"/>
      <c r="F1350" s="329"/>
      <c r="G1350" s="286" t="str">
        <f>IFERROR(__xludf.DUMMYFUNCTION("""COMPUTED_VALUE"""),"RODAPÉ CARVALHO EUROPEU CUSTOMIZADO 14/3 X 12,7 X 186CM")</f>
        <v>RODAPÉ CARVALHO EUROPEU CUSTOMIZADO 14/3 X 12,7 X 186CM</v>
      </c>
      <c r="H1350" s="333" t="s">
        <v>1450</v>
      </c>
      <c r="I1350" s="271" t="str">
        <f t="shared" si="5"/>
        <v/>
      </c>
      <c r="J1350" s="330"/>
      <c r="K1350" s="329"/>
      <c r="L1350" s="286" t="s">
        <v>1450</v>
      </c>
      <c r="M1350" s="286"/>
      <c r="N1350" s="286"/>
      <c r="O1350" s="286"/>
      <c r="P1350" s="286"/>
      <c r="Q1350" s="286"/>
      <c r="R1350" s="286"/>
      <c r="S1350" s="286"/>
      <c r="T1350" s="286"/>
      <c r="U1350" s="286"/>
      <c r="V1350" s="286"/>
      <c r="W1350" s="286"/>
      <c r="X1350" s="286"/>
      <c r="Y1350" s="286"/>
      <c r="Z1350" s="286"/>
      <c r="AA1350" s="286"/>
    </row>
    <row r="1351">
      <c r="A1351" s="327"/>
      <c r="B1351" s="245"/>
      <c r="C1351" s="286"/>
      <c r="D1351" s="328"/>
      <c r="E1351" s="286"/>
      <c r="F1351" s="329"/>
      <c r="G1351" s="286" t="str">
        <f>IFERROR(__xludf.DUMMYFUNCTION("""COMPUTED_VALUE"""),"RODAPÉ CARVALHO EUROPEU CUSTOMIZADO 2.0 X 19 X 190CM (C2)")</f>
        <v>RODAPÉ CARVALHO EUROPEU CUSTOMIZADO 2.0 X 19 X 190CM (C2)</v>
      </c>
      <c r="H1351" s="333" t="s">
        <v>1451</v>
      </c>
      <c r="I1351" s="271" t="str">
        <f t="shared" si="5"/>
        <v/>
      </c>
      <c r="J1351" s="330"/>
      <c r="K1351" s="329"/>
      <c r="L1351" s="286" t="s">
        <v>1451</v>
      </c>
      <c r="M1351" s="286"/>
      <c r="N1351" s="286"/>
      <c r="O1351" s="286"/>
      <c r="P1351" s="286"/>
      <c r="Q1351" s="286"/>
      <c r="R1351" s="286"/>
      <c r="S1351" s="286"/>
      <c r="T1351" s="286"/>
      <c r="U1351" s="286"/>
      <c r="V1351" s="286"/>
      <c r="W1351" s="286"/>
      <c r="X1351" s="286"/>
      <c r="Y1351" s="286"/>
      <c r="Z1351" s="286"/>
      <c r="AA1351" s="286"/>
    </row>
    <row r="1352">
      <c r="A1352" s="327"/>
      <c r="B1352" s="245"/>
      <c r="C1352" s="286"/>
      <c r="D1352" s="328"/>
      <c r="E1352" s="286"/>
      <c r="F1352" s="329"/>
      <c r="G1352" s="286" t="str">
        <f>IFERROR(__xludf.DUMMYFUNCTION("""COMPUTED_VALUE"""),"RODAPÉ CARVALHO EUROPEU NATURAL CHEVRON TG 1.5/3 X 9X 51CM")</f>
        <v>RODAPÉ CARVALHO EUROPEU NATURAL CHEVRON TG 1.5/3 X 9X 51CM</v>
      </c>
      <c r="H1352" s="333" t="s">
        <v>1452</v>
      </c>
      <c r="I1352" s="271" t="str">
        <f t="shared" si="5"/>
        <v/>
      </c>
      <c r="J1352" s="330"/>
      <c r="K1352" s="329"/>
      <c r="L1352" s="286" t="s">
        <v>1452</v>
      </c>
      <c r="M1352" s="286"/>
      <c r="N1352" s="286"/>
      <c r="O1352" s="286"/>
      <c r="P1352" s="286"/>
      <c r="Q1352" s="286"/>
      <c r="R1352" s="286"/>
      <c r="S1352" s="286"/>
      <c r="T1352" s="286"/>
      <c r="U1352" s="286"/>
      <c r="V1352" s="286"/>
      <c r="W1352" s="286"/>
      <c r="X1352" s="286"/>
      <c r="Y1352" s="286"/>
      <c r="Z1352" s="286"/>
      <c r="AA1352" s="286"/>
    </row>
    <row r="1353">
      <c r="A1353" s="327"/>
      <c r="B1353" s="245"/>
      <c r="C1353" s="286"/>
      <c r="D1353" s="328"/>
      <c r="E1353" s="286"/>
      <c r="F1353" s="329"/>
      <c r="G1353" s="286" t="str">
        <f>IFERROR(__xludf.DUMMYFUNCTION("""COMPUTED_VALUE"""),"RODAPÉ CARVALHO EUROPEU NATURAL CHEVRON TG 1.5/3 X 9X 51CM")</f>
        <v>RODAPÉ CARVALHO EUROPEU NATURAL CHEVRON TG 1.5/3 X 9X 51CM</v>
      </c>
      <c r="H1353" s="333" t="s">
        <v>1453</v>
      </c>
      <c r="I1353" s="271" t="str">
        <f t="shared" si="5"/>
        <v/>
      </c>
      <c r="J1353" s="330"/>
      <c r="K1353" s="329"/>
      <c r="L1353" s="286" t="s">
        <v>1453</v>
      </c>
      <c r="M1353" s="286"/>
      <c r="N1353" s="286"/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</row>
    <row r="1354">
      <c r="A1354" s="327"/>
      <c r="B1354" s="245"/>
      <c r="C1354" s="286"/>
      <c r="D1354" s="328"/>
      <c r="E1354" s="286"/>
      <c r="F1354" s="329"/>
      <c r="G1354" s="286" t="str">
        <f>IFERROR(__xludf.DUMMYFUNCTION("""COMPUTED_VALUE"""),"RODAPÉ CARVALHO EUROPEU NUDE CHEVRON 60.. TG 15/3 X 190 X 90CM")</f>
        <v>RODAPÉ CARVALHO EUROPEU NUDE CHEVRON 60.. TG 15/3 X 190 X 90CM</v>
      </c>
      <c r="H1354" s="333" t="s">
        <v>1453</v>
      </c>
      <c r="I1354" s="271" t="str">
        <f t="shared" si="5"/>
        <v/>
      </c>
      <c r="J1354" s="330"/>
      <c r="K1354" s="329"/>
      <c r="L1354" s="286" t="s">
        <v>1453</v>
      </c>
      <c r="M1354" s="286"/>
      <c r="N1354" s="286"/>
      <c r="O1354" s="286"/>
      <c r="P1354" s="286"/>
      <c r="Q1354" s="286"/>
      <c r="R1354" s="286"/>
      <c r="S1354" s="286"/>
      <c r="T1354" s="286"/>
      <c r="U1354" s="286"/>
      <c r="V1354" s="286"/>
      <c r="W1354" s="286"/>
      <c r="X1354" s="286"/>
      <c r="Y1354" s="286"/>
      <c r="Z1354" s="286"/>
      <c r="AA1354" s="286"/>
    </row>
    <row r="1355">
      <c r="A1355" s="327"/>
      <c r="B1355" s="245"/>
      <c r="C1355" s="286"/>
      <c r="D1355" s="328"/>
      <c r="E1355" s="286"/>
      <c r="F1355" s="329"/>
      <c r="G1355" s="286" t="str">
        <f>IFERROR(__xludf.DUMMYFUNCTION("""COMPUTED_VALUE"""),"RODAPÉ CARVALHO EUROPEU NUDE CHEVRON TG 1.5/3X 12.5X 63CM")</f>
        <v>RODAPÉ CARVALHO EUROPEU NUDE CHEVRON TG 1.5/3X 12.5X 63CM</v>
      </c>
      <c r="H1355" s="333" t="s">
        <v>1455</v>
      </c>
      <c r="I1355" s="271" t="str">
        <f t="shared" si="5"/>
        <v/>
      </c>
      <c r="J1355" s="330"/>
      <c r="K1355" s="329"/>
      <c r="L1355" s="286" t="s">
        <v>1455</v>
      </c>
      <c r="M1355" s="286"/>
      <c r="N1355" s="286"/>
      <c r="O1355" s="286"/>
      <c r="P1355" s="286"/>
      <c r="Q1355" s="286"/>
      <c r="R1355" s="286"/>
      <c r="S1355" s="286"/>
      <c r="T1355" s="286"/>
      <c r="U1355" s="286"/>
      <c r="V1355" s="286"/>
      <c r="W1355" s="286"/>
      <c r="X1355" s="286"/>
      <c r="Y1355" s="286"/>
      <c r="Z1355" s="286"/>
      <c r="AA1355" s="286"/>
    </row>
    <row r="1356">
      <c r="A1356" s="327"/>
      <c r="B1356" s="245"/>
      <c r="C1356" s="286"/>
      <c r="D1356" s="328"/>
      <c r="E1356" s="286"/>
      <c r="F1356" s="329"/>
      <c r="G1356" s="286" t="str">
        <f>IFERROR(__xludf.DUMMYFUNCTION("""COMPUTED_VALUE"""),"RODAPÉ WALNUT 15/3 X 125 X 910MM")</f>
        <v>RODAPÉ WALNUT 15/3 X 125 X 910MM</v>
      </c>
      <c r="H1356" s="333" t="s">
        <v>1456</v>
      </c>
      <c r="I1356" s="271" t="str">
        <f t="shared" si="5"/>
        <v/>
      </c>
      <c r="J1356" s="330"/>
      <c r="K1356" s="329"/>
      <c r="L1356" s="286" t="s">
        <v>1456</v>
      </c>
      <c r="M1356" s="286"/>
      <c r="N1356" s="286"/>
      <c r="O1356" s="286"/>
      <c r="P1356" s="286"/>
      <c r="Q1356" s="286"/>
      <c r="R1356" s="286"/>
      <c r="S1356" s="286"/>
      <c r="T1356" s="286"/>
      <c r="U1356" s="286"/>
      <c r="V1356" s="286"/>
      <c r="W1356" s="286"/>
      <c r="X1356" s="286"/>
      <c r="Y1356" s="286"/>
      <c r="Z1356" s="286"/>
      <c r="AA1356" s="286"/>
    </row>
    <row r="1357">
      <c r="A1357" s="327"/>
      <c r="B1357" s="245"/>
      <c r="C1357" s="286"/>
      <c r="D1357" s="328"/>
      <c r="E1357" s="286"/>
      <c r="F1357" s="329"/>
      <c r="G1357" s="286" t="str">
        <f>IFERROR(__xludf.DUMMYFUNCTION("""COMPUTED_VALUE"""),"RODAPÉ WALNUT 15/3 X 190 X 1900MM")</f>
        <v>RODAPÉ WALNUT 15/3 X 190 X 1900MM</v>
      </c>
      <c r="H1357" s="333" t="s">
        <v>1457</v>
      </c>
      <c r="I1357" s="271" t="str">
        <f t="shared" si="5"/>
        <v/>
      </c>
      <c r="J1357" s="330"/>
      <c r="K1357" s="329"/>
      <c r="L1357" s="286" t="s">
        <v>1457</v>
      </c>
      <c r="M1357" s="286"/>
      <c r="N1357" s="286"/>
      <c r="O1357" s="286"/>
      <c r="P1357" s="286"/>
      <c r="Q1357" s="286"/>
      <c r="R1357" s="286"/>
      <c r="S1357" s="286"/>
      <c r="T1357" s="286"/>
      <c r="U1357" s="286"/>
      <c r="V1357" s="286"/>
      <c r="W1357" s="286"/>
      <c r="X1357" s="286"/>
      <c r="Y1357" s="286"/>
      <c r="Z1357" s="286"/>
      <c r="AA1357" s="286"/>
    </row>
    <row r="1358">
      <c r="A1358" s="327"/>
      <c r="B1358" s="245"/>
      <c r="C1358" s="286"/>
      <c r="D1358" s="328"/>
      <c r="E1358" s="286"/>
      <c r="F1358" s="329"/>
      <c r="G1358" s="286" t="str">
        <f>IFERROR(__xludf.DUMMYFUNCTION("""COMPUTED_VALUE"""),"RODAPÉ WALNUT 20/2 X 300 X 4000MM")</f>
        <v>RODAPÉ WALNUT 20/2 X 300 X 4000MM</v>
      </c>
      <c r="H1358" s="333" t="s">
        <v>1458</v>
      </c>
      <c r="I1358" s="271" t="str">
        <f t="shared" si="5"/>
        <v/>
      </c>
      <c r="J1358" s="330"/>
      <c r="K1358" s="329"/>
      <c r="L1358" s="286" t="s">
        <v>1458</v>
      </c>
      <c r="M1358" s="286"/>
      <c r="N1358" s="286"/>
      <c r="O1358" s="286"/>
      <c r="P1358" s="286"/>
      <c r="Q1358" s="286"/>
      <c r="R1358" s="286"/>
      <c r="S1358" s="286"/>
      <c r="T1358" s="286"/>
      <c r="U1358" s="286"/>
      <c r="V1358" s="286"/>
      <c r="W1358" s="286"/>
      <c r="X1358" s="286"/>
      <c r="Y1358" s="286"/>
      <c r="Z1358" s="286"/>
      <c r="AA1358" s="286"/>
    </row>
    <row r="1359">
      <c r="A1359" s="327"/>
      <c r="B1359" s="245"/>
      <c r="C1359" s="286"/>
      <c r="D1359" s="328"/>
      <c r="E1359" s="286"/>
      <c r="F1359" s="329"/>
      <c r="G1359" s="286" t="str">
        <f>IFERROR(__xludf.DUMMYFUNCTION("""COMPUTED_VALUE"""),"RODAPÉ BAMBU ALTA DENS. CUST PREMIUM TG 1.5/4 X19X185CM")</f>
        <v>RODAPÉ BAMBU ALTA DENS. CUST PREMIUM TG 1.5/4 X19X185CM</v>
      </c>
      <c r="H1359" s="333" t="s">
        <v>1459</v>
      </c>
      <c r="I1359" s="271" t="str">
        <f t="shared" si="5"/>
        <v/>
      </c>
      <c r="J1359" s="330"/>
      <c r="K1359" s="329"/>
      <c r="L1359" s="286" t="s">
        <v>1459</v>
      </c>
      <c r="M1359" s="286"/>
      <c r="N1359" s="286"/>
      <c r="O1359" s="286"/>
      <c r="P1359" s="286"/>
      <c r="Q1359" s="286"/>
      <c r="R1359" s="286"/>
      <c r="S1359" s="286"/>
      <c r="T1359" s="286"/>
      <c r="U1359" s="286"/>
      <c r="V1359" s="286"/>
      <c r="W1359" s="286"/>
      <c r="X1359" s="286"/>
      <c r="Y1359" s="286"/>
      <c r="Z1359" s="286"/>
      <c r="AA1359" s="286"/>
    </row>
    <row r="1360">
      <c r="A1360" s="327"/>
      <c r="B1360" s="245"/>
      <c r="C1360" s="286"/>
      <c r="D1360" s="328"/>
      <c r="E1360" s="286"/>
      <c r="F1360" s="329"/>
      <c r="G1360" s="286" t="str">
        <f>IFERROR(__xludf.DUMMYFUNCTION("""COMPUTED_VALUE"""),"RODAPÉ BAMBU CARAMEL ALTA DENSIDADE TG 1.5/4 X19X186CM")</f>
        <v>RODAPÉ BAMBU CARAMEL ALTA DENSIDADE TG 1.5/4 X19X186CM</v>
      </c>
      <c r="H1360" s="333" t="s">
        <v>1460</v>
      </c>
      <c r="I1360" s="271" t="str">
        <f t="shared" si="5"/>
        <v/>
      </c>
      <c r="J1360" s="330"/>
      <c r="K1360" s="329"/>
      <c r="L1360" s="286" t="s">
        <v>1460</v>
      </c>
      <c r="M1360" s="286"/>
      <c r="N1360" s="286"/>
      <c r="O1360" s="286"/>
      <c r="P1360" s="286"/>
      <c r="Q1360" s="286"/>
      <c r="R1360" s="286"/>
      <c r="S1360" s="286"/>
      <c r="T1360" s="286"/>
      <c r="U1360" s="286"/>
      <c r="V1360" s="286"/>
      <c r="W1360" s="286"/>
      <c r="X1360" s="286"/>
      <c r="Y1360" s="286"/>
      <c r="Z1360" s="286"/>
      <c r="AA1360" s="286"/>
    </row>
    <row r="1361">
      <c r="A1361" s="327"/>
      <c r="B1361" s="245"/>
      <c r="C1361" s="286"/>
      <c r="D1361" s="328"/>
      <c r="E1361" s="286"/>
      <c r="F1361" s="329"/>
      <c r="G1361" s="286" t="str">
        <f>IFERROR(__xludf.DUMMYFUNCTION("""COMPUTED_VALUE"""),"RODAPÉ RIPADO CUMARU PREMIUM TG 1,8 X 3,5+0,5CM PROF. BIT 0")</f>
        <v>RODAPÉ RIPADO CUMARU PREMIUM TG 1,8 X 3,5+0,5CM PROF. BIT 0</v>
      </c>
      <c r="H1361" s="333" t="s">
        <v>1461</v>
      </c>
      <c r="I1361" s="271" t="str">
        <f t="shared" si="5"/>
        <v/>
      </c>
      <c r="J1361" s="330"/>
      <c r="K1361" s="329"/>
      <c r="L1361" s="286" t="s">
        <v>1461</v>
      </c>
      <c r="M1361" s="286"/>
      <c r="N1361" s="286"/>
      <c r="O1361" s="286"/>
      <c r="P1361" s="286"/>
      <c r="Q1361" s="286"/>
      <c r="R1361" s="286"/>
      <c r="S1361" s="286"/>
      <c r="T1361" s="286"/>
      <c r="U1361" s="286"/>
      <c r="V1361" s="286"/>
      <c r="W1361" s="286"/>
      <c r="X1361" s="286"/>
      <c r="Y1361" s="286"/>
      <c r="Z1361" s="286"/>
      <c r="AA1361" s="286"/>
    </row>
    <row r="1362">
      <c r="A1362" s="327"/>
      <c r="B1362" s="245"/>
      <c r="C1362" s="286"/>
      <c r="D1362" s="328"/>
      <c r="E1362" s="286"/>
      <c r="F1362" s="329"/>
      <c r="G1362" s="286" t="str">
        <f>IFERROR(__xludf.DUMMYFUNCTION("""COMPUTED_VALUE"""),"RODAPÉ RIPADO CATUABA PREMIUM TG 1,8 X 3,5+0,5CM PROF. BIT 0")</f>
        <v>RODAPÉ RIPADO CATUABA PREMIUM TG 1,8 X 3,5+0,5CM PROF. BIT 0</v>
      </c>
      <c r="H1362" s="333" t="s">
        <v>1462</v>
      </c>
      <c r="I1362" s="271" t="str">
        <f t="shared" si="5"/>
        <v/>
      </c>
      <c r="J1362" s="330"/>
      <c r="K1362" s="329"/>
      <c r="L1362" s="286" t="s">
        <v>1462</v>
      </c>
      <c r="M1362" s="286"/>
      <c r="N1362" s="286"/>
      <c r="O1362" s="286"/>
      <c r="P1362" s="286"/>
      <c r="Q1362" s="286"/>
      <c r="R1362" s="286"/>
      <c r="S1362" s="286"/>
      <c r="T1362" s="286"/>
      <c r="U1362" s="286"/>
      <c r="V1362" s="286"/>
      <c r="W1362" s="286"/>
      <c r="X1362" s="286"/>
      <c r="Y1362" s="286"/>
      <c r="Z1362" s="286"/>
      <c r="AA1362" s="286"/>
    </row>
    <row r="1363">
      <c r="A1363" s="327"/>
      <c r="B1363" s="245"/>
      <c r="C1363" s="286"/>
      <c r="D1363" s="328"/>
      <c r="E1363" s="286"/>
      <c r="F1363" s="329"/>
      <c r="G1363" s="286" t="str">
        <f>IFERROR(__xludf.DUMMYFUNCTION("""COMPUTED_VALUE"""),"RODAPÉ RIPADO CABREUVA BRANCA PREMIUM TG 1,8 X 3,5+0,5CM PROF. BIT 0")</f>
        <v>RODAPÉ RIPADO CABREUVA BRANCA PREMIUM TG 1,8 X 3,5+0,5CM PROF. BIT 0</v>
      </c>
      <c r="H1363" s="333" t="s">
        <v>1463</v>
      </c>
      <c r="I1363" s="271" t="str">
        <f t="shared" si="5"/>
        <v/>
      </c>
      <c r="J1363" s="330"/>
      <c r="K1363" s="329"/>
      <c r="L1363" s="286" t="s">
        <v>1463</v>
      </c>
      <c r="M1363" s="286"/>
      <c r="N1363" s="286"/>
      <c r="O1363" s="286"/>
      <c r="P1363" s="286"/>
      <c r="Q1363" s="286"/>
      <c r="R1363" s="286"/>
      <c r="S1363" s="286"/>
      <c r="T1363" s="286"/>
      <c r="U1363" s="286"/>
      <c r="V1363" s="286"/>
      <c r="W1363" s="286"/>
      <c r="X1363" s="286"/>
      <c r="Y1363" s="286"/>
      <c r="Z1363" s="286"/>
      <c r="AA1363" s="286"/>
    </row>
    <row r="1364">
      <c r="A1364" s="327"/>
      <c r="B1364" s="245"/>
      <c r="C1364" s="286"/>
      <c r="D1364" s="328"/>
      <c r="E1364" s="286"/>
      <c r="F1364" s="329"/>
      <c r="G1364" s="286" t="str">
        <f>IFERROR(__xludf.DUMMYFUNCTION("""COMPUTED_VALUE"""),"RODAPÉ RIPADO CABREUVA DOURADA PREMIUM TG 1,8 X 3,5+0,5CM PROF. BIT 0")</f>
        <v>RODAPÉ RIPADO CABREUVA DOURADA PREMIUM TG 1,8 X 3,5+0,5CM PROF. BIT 0</v>
      </c>
      <c r="H1364" s="333" t="s">
        <v>1464</v>
      </c>
      <c r="I1364" s="271" t="str">
        <f t="shared" si="5"/>
        <v/>
      </c>
      <c r="J1364" s="330"/>
      <c r="K1364" s="329"/>
      <c r="L1364" s="286" t="s">
        <v>1464</v>
      </c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</row>
    <row r="1365">
      <c r="A1365" s="327"/>
      <c r="B1365" s="245"/>
      <c r="C1365" s="286"/>
      <c r="D1365" s="328"/>
      <c r="E1365" s="286"/>
      <c r="F1365" s="329"/>
      <c r="G1365" s="286" t="str">
        <f>IFERROR(__xludf.DUMMYFUNCTION("""COMPUTED_VALUE"""),"RODAPÉ RIPADO TAUARI PREMIUM TG 1,8 X 3,5+0,5CM PROF. BIT 0")</f>
        <v>RODAPÉ RIPADO TAUARI PREMIUM TG 1,8 X 3,5+0,5CM PROF. BIT 0</v>
      </c>
      <c r="H1365" s="333" t="s">
        <v>1465</v>
      </c>
      <c r="I1365" s="271" t="str">
        <f t="shared" si="5"/>
        <v/>
      </c>
      <c r="J1365" s="330"/>
      <c r="K1365" s="329"/>
      <c r="L1365" s="286" t="s">
        <v>1465</v>
      </c>
      <c r="M1365" s="286"/>
      <c r="N1365" s="286"/>
      <c r="O1365" s="286"/>
      <c r="P1365" s="286"/>
      <c r="Q1365" s="286"/>
      <c r="R1365" s="286"/>
      <c r="S1365" s="286"/>
      <c r="T1365" s="286"/>
      <c r="U1365" s="286"/>
      <c r="V1365" s="286"/>
      <c r="W1365" s="286"/>
      <c r="X1365" s="286"/>
      <c r="Y1365" s="286"/>
      <c r="Z1365" s="286"/>
      <c r="AA1365" s="286"/>
    </row>
    <row r="1366">
      <c r="A1366" s="327"/>
      <c r="B1366" s="327"/>
      <c r="C1366" s="295"/>
      <c r="D1366" s="334"/>
      <c r="E1366" s="295"/>
      <c r="F1366" s="329"/>
      <c r="G1366" s="295" t="str">
        <f>IFERROR(__xludf.DUMMYFUNCTION("""COMPUTED_VALUE"""),"RODAPÉ RIPADO PEROBA PREMIUM TG 1,8 X 3,5+0,5CM PROF. BIT 0")</f>
        <v>RODAPÉ RIPADO PEROBA PREMIUM TG 1,8 X 3,5+0,5CM PROF. BIT 0</v>
      </c>
      <c r="H1366" s="333" t="s">
        <v>1466</v>
      </c>
      <c r="I1366" s="271" t="str">
        <f t="shared" si="5"/>
        <v/>
      </c>
      <c r="J1366" s="230"/>
      <c r="K1366" s="329"/>
      <c r="L1366" s="295" t="s">
        <v>1466</v>
      </c>
      <c r="M1366" s="295"/>
      <c r="N1366" s="295"/>
      <c r="O1366" s="295"/>
      <c r="P1366" s="295"/>
      <c r="Q1366" s="295"/>
      <c r="R1366" s="295"/>
      <c r="S1366" s="295"/>
      <c r="T1366" s="295"/>
      <c r="U1366" s="295"/>
      <c r="V1366" s="295"/>
      <c r="W1366" s="295"/>
      <c r="X1366" s="295"/>
      <c r="Y1366" s="295"/>
      <c r="Z1366" s="295"/>
      <c r="AA1366" s="295"/>
    </row>
    <row r="1367">
      <c r="A1367" s="327"/>
      <c r="B1367" s="327"/>
      <c r="C1367" s="295"/>
      <c r="D1367" s="334"/>
      <c r="E1367" s="295"/>
      <c r="F1367" s="329"/>
      <c r="G1367" s="295" t="str">
        <f>IFERROR(__xludf.DUMMYFUNCTION("""COMPUTED_VALUE"""),"RODAPÉ RIPADO LORO PARDO PREMIUM TG 1,8 X 3,5+0,5CM PROF. BIT 0")</f>
        <v>RODAPÉ RIPADO LORO PARDO PREMIUM TG 1,8 X 3,5+0,5CM PROF. BIT 0</v>
      </c>
      <c r="H1367" s="333" t="s">
        <v>1467</v>
      </c>
      <c r="I1367" s="271" t="str">
        <f t="shared" si="5"/>
        <v/>
      </c>
      <c r="J1367" s="230"/>
      <c r="K1367" s="329"/>
      <c r="L1367" s="295" t="s">
        <v>1467</v>
      </c>
      <c r="M1367" s="295"/>
      <c r="N1367" s="295"/>
      <c r="O1367" s="295"/>
      <c r="P1367" s="295"/>
      <c r="Q1367" s="295"/>
      <c r="R1367" s="295"/>
      <c r="S1367" s="295"/>
      <c r="T1367" s="295"/>
      <c r="U1367" s="295"/>
      <c r="V1367" s="295"/>
      <c r="W1367" s="295"/>
      <c r="X1367" s="295"/>
      <c r="Y1367" s="295"/>
      <c r="Z1367" s="295"/>
      <c r="AA1367" s="295"/>
    </row>
    <row r="1368">
      <c r="A1368" s="327"/>
      <c r="B1368" s="327"/>
      <c r="C1368" s="295"/>
      <c r="D1368" s="334"/>
      <c r="E1368" s="295"/>
      <c r="F1368" s="329"/>
      <c r="G1368" s="295" t="str">
        <f>IFERROR(__xludf.DUMMYFUNCTION("""COMPUTED_VALUE"""),"RODAPÉ CUMARU MULTI PREMIUM 19 X 190 X 600 A 2200MM")</f>
        <v>RODAPÉ CUMARU MULTI PREMIUM 19 X 190 X 600 A 2200MM</v>
      </c>
      <c r="H1368" s="333" t="s">
        <v>1468</v>
      </c>
      <c r="I1368" s="271" t="str">
        <f t="shared" si="5"/>
        <v/>
      </c>
      <c r="J1368" s="230"/>
      <c r="K1368" s="329"/>
      <c r="L1368" s="295" t="s">
        <v>1468</v>
      </c>
      <c r="M1368" s="295"/>
      <c r="N1368" s="295"/>
      <c r="O1368" s="295"/>
      <c r="P1368" s="295"/>
      <c r="Q1368" s="295"/>
      <c r="R1368" s="295"/>
      <c r="S1368" s="295"/>
      <c r="T1368" s="295"/>
      <c r="U1368" s="295"/>
      <c r="V1368" s="295"/>
      <c r="W1368" s="295"/>
      <c r="X1368" s="295"/>
      <c r="Y1368" s="295"/>
      <c r="Z1368" s="295"/>
      <c r="AA1368" s="295"/>
    </row>
    <row r="1369">
      <c r="A1369" s="327"/>
      <c r="B1369" s="327"/>
      <c r="C1369" s="295"/>
      <c r="D1369" s="334"/>
      <c r="E1369" s="295"/>
      <c r="F1369" s="329"/>
      <c r="G1369" s="295" t="str">
        <f>IFERROR(__xludf.DUMMYFUNCTION("""COMPUTED_VALUE"""),"RODAPÉ CATUABA MULTI PREMIUM 19 X 190 X 600 A 2200MM")</f>
        <v>RODAPÉ CATUABA MULTI PREMIUM 19 X 190 X 600 A 2200MM</v>
      </c>
      <c r="H1369" s="333" t="s">
        <v>1469</v>
      </c>
      <c r="I1369" s="271" t="str">
        <f t="shared" si="5"/>
        <v/>
      </c>
      <c r="J1369" s="230"/>
      <c r="K1369" s="329"/>
      <c r="L1369" s="295" t="s">
        <v>1469</v>
      </c>
      <c r="M1369" s="295"/>
      <c r="N1369" s="295"/>
      <c r="O1369" s="295"/>
      <c r="P1369" s="295"/>
      <c r="Q1369" s="295"/>
      <c r="R1369" s="295"/>
      <c r="S1369" s="295"/>
      <c r="T1369" s="295"/>
      <c r="U1369" s="295"/>
      <c r="V1369" s="295"/>
      <c r="W1369" s="295"/>
      <c r="X1369" s="295"/>
      <c r="Y1369" s="295"/>
      <c r="Z1369" s="295"/>
      <c r="AA1369" s="295"/>
    </row>
    <row r="1370">
      <c r="A1370" s="327"/>
      <c r="B1370" s="327"/>
      <c r="C1370" s="295"/>
      <c r="D1370" s="334"/>
      <c r="E1370" s="295"/>
      <c r="F1370" s="329"/>
      <c r="G1370" s="295" t="str">
        <f>IFERROR(__xludf.DUMMYFUNCTION("""COMPUTED_VALUE"""),"RODAPÉ CABREUVA BRACA MULTI PREMIUM 19 X 190 X 600 A 2200MM")</f>
        <v>RODAPÉ CABREUVA BRACA MULTI PREMIUM 19 X 190 X 600 A 2200MM</v>
      </c>
      <c r="H1370" s="333" t="s">
        <v>1470</v>
      </c>
      <c r="I1370" s="271" t="str">
        <f t="shared" si="5"/>
        <v/>
      </c>
      <c r="J1370" s="230"/>
      <c r="K1370" s="329"/>
      <c r="L1370" s="295" t="s">
        <v>1470</v>
      </c>
      <c r="M1370" s="295"/>
      <c r="N1370" s="295"/>
      <c r="O1370" s="295"/>
      <c r="P1370" s="295"/>
      <c r="Q1370" s="295"/>
      <c r="R1370" s="295"/>
      <c r="S1370" s="295"/>
      <c r="T1370" s="295"/>
      <c r="U1370" s="295"/>
      <c r="V1370" s="295"/>
      <c r="W1370" s="295"/>
      <c r="X1370" s="295"/>
      <c r="Y1370" s="295"/>
      <c r="Z1370" s="295"/>
      <c r="AA1370" s="295"/>
    </row>
    <row r="1371">
      <c r="A1371" s="327"/>
      <c r="B1371" s="327"/>
      <c r="C1371" s="295"/>
      <c r="D1371" s="334"/>
      <c r="E1371" s="295"/>
      <c r="F1371" s="329"/>
      <c r="G1371" s="295" t="str">
        <f>IFERROR(__xludf.DUMMYFUNCTION("""COMPUTED_VALUE"""),"RODAPÉ CABREUVA DOURADA MULTI PREMIUM 19 X 190 X 600 A 2200MM")</f>
        <v>RODAPÉ CABREUVA DOURADA MULTI PREMIUM 19 X 190 X 600 A 2200MM</v>
      </c>
      <c r="H1371" s="333" t="s">
        <v>1471</v>
      </c>
      <c r="I1371" s="271" t="str">
        <f t="shared" si="5"/>
        <v/>
      </c>
      <c r="J1371" s="230"/>
      <c r="K1371" s="329"/>
      <c r="L1371" s="295" t="s">
        <v>1471</v>
      </c>
      <c r="M1371" s="295"/>
      <c r="N1371" s="295"/>
      <c r="O1371" s="295"/>
      <c r="P1371" s="295"/>
      <c r="Q1371" s="295"/>
      <c r="R1371" s="295"/>
      <c r="S1371" s="295"/>
      <c r="T1371" s="295"/>
      <c r="U1371" s="295"/>
      <c r="V1371" s="295"/>
      <c r="W1371" s="295"/>
      <c r="X1371" s="295"/>
      <c r="Y1371" s="295"/>
      <c r="Z1371" s="295"/>
      <c r="AA1371" s="295"/>
    </row>
    <row r="1372">
      <c r="A1372" s="327"/>
      <c r="B1372" s="327"/>
      <c r="C1372" s="295"/>
      <c r="D1372" s="334"/>
      <c r="E1372" s="295"/>
      <c r="F1372" s="329"/>
      <c r="G1372" s="295" t="str">
        <f>IFERROR(__xludf.DUMMYFUNCTION("""COMPUTED_VALUE"""),"RODAPÉ TAUARI MULTI PREMIUM 19 X 190 X 600 A 2200MM")</f>
        <v>RODAPÉ TAUARI MULTI PREMIUM 19 X 190 X 600 A 2200MM</v>
      </c>
      <c r="H1372" s="333" t="s">
        <v>1472</v>
      </c>
      <c r="I1372" s="271" t="str">
        <f t="shared" si="5"/>
        <v/>
      </c>
      <c r="J1372" s="230"/>
      <c r="K1372" s="329"/>
      <c r="L1372" s="295" t="s">
        <v>1472</v>
      </c>
      <c r="M1372" s="295"/>
      <c r="N1372" s="295"/>
      <c r="O1372" s="295"/>
      <c r="P1372" s="295"/>
      <c r="Q1372" s="295"/>
      <c r="R1372" s="295"/>
      <c r="S1372" s="295"/>
      <c r="T1372" s="295"/>
      <c r="U1372" s="295"/>
      <c r="V1372" s="295"/>
      <c r="W1372" s="295"/>
      <c r="X1372" s="295"/>
      <c r="Y1372" s="295"/>
      <c r="Z1372" s="295"/>
      <c r="AA1372" s="295"/>
    </row>
    <row r="1373">
      <c r="A1373" s="327"/>
      <c r="B1373" s="327"/>
      <c r="C1373" s="295"/>
      <c r="D1373" s="334"/>
      <c r="E1373" s="295"/>
      <c r="F1373" s="329"/>
      <c r="G1373" s="295" t="str">
        <f>IFERROR(__xludf.DUMMYFUNCTION("""COMPUTED_VALUE"""),"RODAPÉ PEROBA MULTI PREMIUM 19 X 190 X 600 A 2200MM")</f>
        <v>RODAPÉ PEROBA MULTI PREMIUM 19 X 190 X 600 A 2200MM</v>
      </c>
      <c r="H1373" s="333" t="s">
        <v>1473</v>
      </c>
      <c r="I1373" s="271" t="str">
        <f t="shared" si="5"/>
        <v/>
      </c>
      <c r="J1373" s="230"/>
      <c r="K1373" s="329"/>
      <c r="L1373" s="295" t="s">
        <v>1473</v>
      </c>
      <c r="M1373" s="295"/>
      <c r="N1373" s="295"/>
      <c r="O1373" s="295"/>
      <c r="P1373" s="295"/>
      <c r="Q1373" s="295"/>
      <c r="R1373" s="295"/>
      <c r="S1373" s="295"/>
      <c r="T1373" s="295"/>
      <c r="U1373" s="295"/>
      <c r="V1373" s="295"/>
      <c r="W1373" s="295"/>
      <c r="X1373" s="295"/>
      <c r="Y1373" s="295"/>
      <c r="Z1373" s="295"/>
      <c r="AA1373" s="295"/>
    </row>
    <row r="1374">
      <c r="A1374" s="327"/>
      <c r="B1374" s="327"/>
      <c r="C1374" s="295"/>
      <c r="D1374" s="334"/>
      <c r="E1374" s="295"/>
      <c r="F1374" s="329"/>
      <c r="G1374" s="295" t="str">
        <f>IFERROR(__xludf.DUMMYFUNCTION("""COMPUTED_VALUE"""),"RODAPÉ LORO PARDO MULTI PREMIUM 19 X 190 X 600 A 2200MM")</f>
        <v>RODAPÉ LORO PARDO MULTI PREMIUM 19 X 190 X 600 A 2200MM</v>
      </c>
      <c r="H1374" s="333" t="s">
        <v>1474</v>
      </c>
      <c r="I1374" s="271" t="str">
        <f t="shared" si="5"/>
        <v/>
      </c>
      <c r="J1374" s="230"/>
      <c r="K1374" s="329"/>
      <c r="L1374" s="295" t="s">
        <v>1474</v>
      </c>
      <c r="M1374" s="295"/>
      <c r="N1374" s="295"/>
      <c r="O1374" s="295"/>
      <c r="P1374" s="295"/>
      <c r="Q1374" s="295"/>
      <c r="R1374" s="295"/>
      <c r="S1374" s="295"/>
      <c r="T1374" s="295"/>
      <c r="U1374" s="295"/>
      <c r="V1374" s="295"/>
      <c r="W1374" s="295"/>
      <c r="X1374" s="295"/>
      <c r="Y1374" s="295"/>
      <c r="Z1374" s="295"/>
      <c r="AA1374" s="295"/>
    </row>
    <row r="1375">
      <c r="A1375" s="327"/>
      <c r="B1375" s="327"/>
      <c r="C1375" s="295"/>
      <c r="D1375" s="334"/>
      <c r="E1375" s="295"/>
      <c r="F1375" s="329"/>
      <c r="G1375" s="295" t="str">
        <f>IFERROR(__xludf.DUMMYFUNCTION("""COMPUTED_VALUE"""),"RODAPÉ MUXARABI CUMARU PREMIUM")</f>
        <v>RODAPÉ MUXARABI CUMARU PREMIUM</v>
      </c>
      <c r="H1375" s="333" t="s">
        <v>1475</v>
      </c>
      <c r="I1375" s="271" t="str">
        <f t="shared" si="5"/>
        <v/>
      </c>
      <c r="J1375" s="230"/>
      <c r="K1375" s="329"/>
      <c r="L1375" s="295" t="s">
        <v>1475</v>
      </c>
      <c r="M1375" s="295"/>
      <c r="N1375" s="295"/>
      <c r="O1375" s="295"/>
      <c r="P1375" s="295"/>
      <c r="Q1375" s="295"/>
      <c r="R1375" s="295"/>
      <c r="S1375" s="295"/>
      <c r="T1375" s="295"/>
      <c r="U1375" s="295"/>
      <c r="V1375" s="295"/>
      <c r="W1375" s="295"/>
      <c r="X1375" s="295"/>
      <c r="Y1375" s="295"/>
      <c r="Z1375" s="295"/>
      <c r="AA1375" s="295"/>
    </row>
    <row r="1376">
      <c r="A1376" s="327"/>
      <c r="B1376" s="327"/>
      <c r="C1376" s="295"/>
      <c r="D1376" s="334"/>
      <c r="E1376" s="295"/>
      <c r="F1376" s="329"/>
      <c r="G1376" s="295" t="str">
        <f>IFERROR(__xludf.DUMMYFUNCTION("""COMPUTED_VALUE"""),"RODAPÉ MUXARABI CATUABA PREMIUM")</f>
        <v>RODAPÉ MUXARABI CATUABA PREMIUM</v>
      </c>
      <c r="H1376" s="333" t="s">
        <v>1476</v>
      </c>
      <c r="I1376" s="271" t="str">
        <f t="shared" si="5"/>
        <v/>
      </c>
      <c r="J1376" s="230"/>
      <c r="K1376" s="329"/>
      <c r="L1376" s="295" t="s">
        <v>1476</v>
      </c>
      <c r="M1376" s="295"/>
      <c r="N1376" s="295"/>
      <c r="O1376" s="295"/>
      <c r="P1376" s="295"/>
      <c r="Q1376" s="295"/>
      <c r="R1376" s="295"/>
      <c r="S1376" s="295"/>
      <c r="T1376" s="295"/>
      <c r="U1376" s="295"/>
      <c r="V1376" s="295"/>
      <c r="W1376" s="295"/>
      <c r="X1376" s="295"/>
      <c r="Y1376" s="295"/>
      <c r="Z1376" s="295"/>
      <c r="AA1376" s="295"/>
    </row>
    <row r="1377">
      <c r="A1377" s="327"/>
      <c r="B1377" s="327"/>
      <c r="C1377" s="295"/>
      <c r="D1377" s="334"/>
      <c r="E1377" s="295"/>
      <c r="F1377" s="329"/>
      <c r="G1377" s="295" t="str">
        <f>IFERROR(__xludf.DUMMYFUNCTION("""COMPUTED_VALUE"""),"RODAPÉ MUXARABI CABREUVA BRANCA PREMIUM")</f>
        <v>RODAPÉ MUXARABI CABREUVA BRANCA PREMIUM</v>
      </c>
      <c r="H1377" s="333" t="s">
        <v>1477</v>
      </c>
      <c r="I1377" s="271" t="str">
        <f t="shared" si="5"/>
        <v/>
      </c>
      <c r="J1377" s="230"/>
      <c r="K1377" s="329"/>
      <c r="L1377" s="295" t="s">
        <v>1477</v>
      </c>
      <c r="M1377" s="295"/>
      <c r="N1377" s="295"/>
      <c r="O1377" s="295"/>
      <c r="P1377" s="295"/>
      <c r="Q1377" s="295"/>
      <c r="R1377" s="295"/>
      <c r="S1377" s="295"/>
      <c r="T1377" s="295"/>
      <c r="U1377" s="295"/>
      <c r="V1377" s="295"/>
      <c r="W1377" s="295"/>
      <c r="X1377" s="295"/>
      <c r="Y1377" s="295"/>
      <c r="Z1377" s="295"/>
      <c r="AA1377" s="295"/>
    </row>
    <row r="1378">
      <c r="A1378" s="327"/>
      <c r="B1378" s="327"/>
      <c r="C1378" s="295"/>
      <c r="D1378" s="334"/>
      <c r="E1378" s="295"/>
      <c r="F1378" s="329"/>
      <c r="G1378" s="295" t="str">
        <f>IFERROR(__xludf.DUMMYFUNCTION("""COMPUTED_VALUE"""),"RODAPÉ MUXARABI CABREUVA DOURADA PREMIUM")</f>
        <v>RODAPÉ MUXARABI CABREUVA DOURADA PREMIUM</v>
      </c>
      <c r="H1378" s="333" t="s">
        <v>1478</v>
      </c>
      <c r="I1378" s="271" t="str">
        <f t="shared" si="5"/>
        <v/>
      </c>
      <c r="J1378" s="230"/>
      <c r="K1378" s="329"/>
      <c r="L1378" s="295" t="s">
        <v>1478</v>
      </c>
      <c r="M1378" s="295"/>
      <c r="N1378" s="295"/>
      <c r="O1378" s="295"/>
      <c r="P1378" s="295"/>
      <c r="Q1378" s="295"/>
      <c r="R1378" s="295"/>
      <c r="S1378" s="295"/>
      <c r="T1378" s="295"/>
      <c r="U1378" s="295"/>
      <c r="V1378" s="295"/>
      <c r="W1378" s="295"/>
      <c r="X1378" s="295"/>
      <c r="Y1378" s="295"/>
      <c r="Z1378" s="295"/>
      <c r="AA1378" s="295"/>
    </row>
    <row r="1379">
      <c r="A1379" s="327"/>
      <c r="B1379" s="327"/>
      <c r="C1379" s="295"/>
      <c r="D1379" s="334"/>
      <c r="E1379" s="295"/>
      <c r="F1379" s="329"/>
      <c r="G1379" s="295" t="str">
        <f>IFERROR(__xludf.DUMMYFUNCTION("""COMPUTED_VALUE"""),"RODAPÉ MUXARABI TAUARI PREMIUM")</f>
        <v>RODAPÉ MUXARABI TAUARI PREMIUM</v>
      </c>
      <c r="H1379" s="333" t="s">
        <v>1479</v>
      </c>
      <c r="I1379" s="271" t="str">
        <f t="shared" si="5"/>
        <v/>
      </c>
      <c r="J1379" s="230"/>
      <c r="K1379" s="329"/>
      <c r="L1379" s="295" t="s">
        <v>1479</v>
      </c>
      <c r="M1379" s="295"/>
      <c r="N1379" s="295"/>
      <c r="O1379" s="295"/>
      <c r="P1379" s="295"/>
      <c r="Q1379" s="295"/>
      <c r="R1379" s="295"/>
      <c r="S1379" s="295"/>
      <c r="T1379" s="295"/>
      <c r="U1379" s="295"/>
      <c r="V1379" s="295"/>
      <c r="W1379" s="295"/>
      <c r="X1379" s="295"/>
      <c r="Y1379" s="295"/>
      <c r="Z1379" s="295"/>
      <c r="AA1379" s="295"/>
    </row>
    <row r="1380">
      <c r="A1380" s="327"/>
      <c r="B1380" s="327"/>
      <c r="C1380" s="295"/>
      <c r="D1380" s="334"/>
      <c r="E1380" s="295"/>
      <c r="F1380" s="329"/>
      <c r="G1380" s="295" t="str">
        <f>IFERROR(__xludf.DUMMYFUNCTION("""COMPUTED_VALUE"""),"RODAPÉ MUXARABI PEROBA PREMIUM")</f>
        <v>RODAPÉ MUXARABI PEROBA PREMIUM</v>
      </c>
      <c r="H1380" s="333" t="s">
        <v>1480</v>
      </c>
      <c r="I1380" s="271" t="str">
        <f t="shared" si="5"/>
        <v/>
      </c>
      <c r="J1380" s="230"/>
      <c r="K1380" s="329"/>
      <c r="L1380" s="295" t="s">
        <v>1480</v>
      </c>
      <c r="M1380" s="295"/>
      <c r="N1380" s="295"/>
      <c r="O1380" s="295"/>
      <c r="P1380" s="295"/>
      <c r="Q1380" s="295"/>
      <c r="R1380" s="295"/>
      <c r="S1380" s="295"/>
      <c r="T1380" s="295"/>
      <c r="U1380" s="295"/>
      <c r="V1380" s="295"/>
      <c r="W1380" s="295"/>
      <c r="X1380" s="295"/>
      <c r="Y1380" s="295"/>
      <c r="Z1380" s="295"/>
      <c r="AA1380" s="295"/>
    </row>
    <row r="1381">
      <c r="A1381" s="327"/>
      <c r="B1381" s="327"/>
      <c r="C1381" s="295"/>
      <c r="D1381" s="334"/>
      <c r="E1381" s="295"/>
      <c r="F1381" s="329"/>
      <c r="G1381" s="295" t="str">
        <f>IFERROR(__xludf.DUMMYFUNCTION("""COMPUTED_VALUE"""),"RODAPÉ MUXARABI LORO PARDO PREMIUM")</f>
        <v>RODAPÉ MUXARABI LORO PARDO PREMIUM</v>
      </c>
      <c r="H1381" s="333" t="s">
        <v>1481</v>
      </c>
      <c r="I1381" s="271" t="str">
        <f t="shared" si="5"/>
        <v/>
      </c>
      <c r="J1381" s="230"/>
      <c r="K1381" s="329"/>
      <c r="L1381" s="295" t="s">
        <v>1481</v>
      </c>
      <c r="M1381" s="295"/>
      <c r="N1381" s="295"/>
      <c r="O1381" s="295"/>
      <c r="P1381" s="295"/>
      <c r="Q1381" s="295"/>
      <c r="R1381" s="295"/>
      <c r="S1381" s="295"/>
      <c r="T1381" s="295"/>
      <c r="U1381" s="295"/>
      <c r="V1381" s="295"/>
      <c r="W1381" s="295"/>
      <c r="X1381" s="295"/>
      <c r="Y1381" s="295"/>
      <c r="Z1381" s="295"/>
      <c r="AA1381" s="295"/>
    </row>
    <row r="1382">
      <c r="A1382" s="327"/>
      <c r="B1382" s="327"/>
      <c r="C1382" s="295"/>
      <c r="D1382" s="334"/>
      <c r="E1382" s="295"/>
      <c r="F1382" s="329"/>
      <c r="G1382" s="295" t="str">
        <f>IFERROR(__xludf.DUMMYFUNCTION("""COMPUTED_VALUE"""),"RODAPÉ TOBLERONE CUMARU PREMIUM 3 X 3 COMPR. VARIAVEIS")</f>
        <v>RODAPÉ TOBLERONE CUMARU PREMIUM 3 X 3 COMPR. VARIAVEIS</v>
      </c>
      <c r="H1382" s="333" t="s">
        <v>1482</v>
      </c>
      <c r="I1382" s="271" t="str">
        <f t="shared" si="5"/>
        <v/>
      </c>
      <c r="J1382" s="230"/>
      <c r="K1382" s="329"/>
      <c r="L1382" s="295" t="s">
        <v>1482</v>
      </c>
      <c r="M1382" s="295"/>
      <c r="N1382" s="295"/>
      <c r="O1382" s="295"/>
      <c r="P1382" s="295"/>
      <c r="Q1382" s="295"/>
      <c r="R1382" s="295"/>
      <c r="S1382" s="295"/>
      <c r="T1382" s="295"/>
      <c r="U1382" s="295"/>
      <c r="V1382" s="295"/>
      <c r="W1382" s="295"/>
      <c r="X1382" s="295"/>
      <c r="Y1382" s="295"/>
      <c r="Z1382" s="295"/>
      <c r="AA1382" s="295"/>
    </row>
    <row r="1383">
      <c r="A1383" s="327"/>
      <c r="B1383" s="327"/>
      <c r="C1383" s="295"/>
      <c r="D1383" s="334"/>
      <c r="E1383" s="295"/>
      <c r="F1383" s="329"/>
      <c r="G1383" s="295" t="str">
        <f>IFERROR(__xludf.DUMMYFUNCTION("""COMPUTED_VALUE"""),"RODAPÉ TOBLERONE CATUABA PREMIUM 3 X 3 COMPR. VARIAVEIS")</f>
        <v>RODAPÉ TOBLERONE CATUABA PREMIUM 3 X 3 COMPR. VARIAVEIS</v>
      </c>
      <c r="H1383" s="333" t="s">
        <v>1483</v>
      </c>
      <c r="I1383" s="271" t="str">
        <f t="shared" si="5"/>
        <v/>
      </c>
      <c r="J1383" s="230"/>
      <c r="K1383" s="329"/>
      <c r="L1383" s="295" t="s">
        <v>1483</v>
      </c>
      <c r="M1383" s="295"/>
      <c r="N1383" s="295"/>
      <c r="O1383" s="295"/>
      <c r="P1383" s="295"/>
      <c r="Q1383" s="295"/>
      <c r="R1383" s="295"/>
      <c r="S1383" s="295"/>
      <c r="T1383" s="295"/>
      <c r="U1383" s="295"/>
      <c r="V1383" s="295"/>
      <c r="W1383" s="295"/>
      <c r="X1383" s="295"/>
      <c r="Y1383" s="295"/>
      <c r="Z1383" s="295"/>
      <c r="AA1383" s="295"/>
    </row>
    <row r="1384">
      <c r="A1384" s="327"/>
      <c r="B1384" s="327"/>
      <c r="C1384" s="295"/>
      <c r="D1384" s="334"/>
      <c r="E1384" s="295"/>
      <c r="F1384" s="329"/>
      <c r="G1384" s="295" t="str">
        <f>IFERROR(__xludf.DUMMYFUNCTION("""COMPUTED_VALUE"""),"RODAPÉ TOBLERONE CABREUVA BRANCA PREMIUM 3 X 3 COMPR. VARIAVEIS")</f>
        <v>RODAPÉ TOBLERONE CABREUVA BRANCA PREMIUM 3 X 3 COMPR. VARIAVEIS</v>
      </c>
      <c r="H1384" s="333" t="s">
        <v>1484</v>
      </c>
      <c r="I1384" s="271" t="str">
        <f t="shared" si="5"/>
        <v/>
      </c>
      <c r="J1384" s="230"/>
      <c r="K1384" s="329"/>
      <c r="L1384" s="295" t="s">
        <v>1484</v>
      </c>
      <c r="M1384" s="295"/>
      <c r="N1384" s="295"/>
      <c r="O1384" s="295"/>
      <c r="P1384" s="295"/>
      <c r="Q1384" s="295"/>
      <c r="R1384" s="295"/>
      <c r="S1384" s="295"/>
      <c r="T1384" s="295"/>
      <c r="U1384" s="295"/>
      <c r="V1384" s="295"/>
      <c r="W1384" s="295"/>
      <c r="X1384" s="295"/>
      <c r="Y1384" s="295"/>
      <c r="Z1384" s="295"/>
      <c r="AA1384" s="295"/>
    </row>
    <row r="1385">
      <c r="A1385" s="327"/>
      <c r="B1385" s="327"/>
      <c r="C1385" s="295"/>
      <c r="D1385" s="334"/>
      <c r="E1385" s="295"/>
      <c r="F1385" s="329"/>
      <c r="G1385" s="295" t="str">
        <f>IFERROR(__xludf.DUMMYFUNCTION("""COMPUTED_VALUE"""),"RODAPÉ TOBLERONE CABREUVA DOURADA PREMIUM 3 X 3 COMPR. VARIAVEIS")</f>
        <v>RODAPÉ TOBLERONE CABREUVA DOURADA PREMIUM 3 X 3 COMPR. VARIAVEIS</v>
      </c>
      <c r="H1385" s="333" t="s">
        <v>1485</v>
      </c>
      <c r="I1385" s="271" t="str">
        <f t="shared" si="5"/>
        <v/>
      </c>
      <c r="J1385" s="230"/>
      <c r="K1385" s="329"/>
      <c r="L1385" s="295" t="s">
        <v>1485</v>
      </c>
      <c r="M1385" s="295"/>
      <c r="N1385" s="295"/>
      <c r="O1385" s="295"/>
      <c r="P1385" s="295"/>
      <c r="Q1385" s="295"/>
      <c r="R1385" s="295"/>
      <c r="S1385" s="295"/>
      <c r="T1385" s="295"/>
      <c r="U1385" s="295"/>
      <c r="V1385" s="295"/>
      <c r="W1385" s="295"/>
      <c r="X1385" s="295"/>
      <c r="Y1385" s="295"/>
      <c r="Z1385" s="295"/>
      <c r="AA1385" s="295"/>
    </row>
    <row r="1386">
      <c r="A1386" s="327"/>
      <c r="B1386" s="327"/>
      <c r="C1386" s="295"/>
      <c r="D1386" s="334"/>
      <c r="E1386" s="295"/>
      <c r="F1386" s="329"/>
      <c r="G1386" s="295" t="str">
        <f>IFERROR(__xludf.DUMMYFUNCTION("""COMPUTED_VALUE"""),"RODAPÉ TOBLERONE TAUARI PREMIUM 3 X 3 COMPR. VARIAVEIS")</f>
        <v>RODAPÉ TOBLERONE TAUARI PREMIUM 3 X 3 COMPR. VARIAVEIS</v>
      </c>
      <c r="H1386" s="333" t="s">
        <v>1486</v>
      </c>
      <c r="I1386" s="271" t="str">
        <f t="shared" si="5"/>
        <v/>
      </c>
      <c r="J1386" s="230"/>
      <c r="K1386" s="329"/>
      <c r="L1386" s="295" t="s">
        <v>1486</v>
      </c>
      <c r="M1386" s="295"/>
      <c r="N1386" s="295"/>
      <c r="O1386" s="295"/>
      <c r="P1386" s="295"/>
      <c r="Q1386" s="295"/>
      <c r="R1386" s="295"/>
      <c r="S1386" s="295"/>
      <c r="T1386" s="295"/>
      <c r="U1386" s="295"/>
      <c r="V1386" s="295"/>
      <c r="W1386" s="295"/>
      <c r="X1386" s="295"/>
      <c r="Y1386" s="295"/>
      <c r="Z1386" s="295"/>
      <c r="AA1386" s="295"/>
    </row>
    <row r="1387">
      <c r="A1387" s="327"/>
      <c r="B1387" s="327"/>
      <c r="C1387" s="295"/>
      <c r="D1387" s="334"/>
      <c r="E1387" s="295"/>
      <c r="F1387" s="329"/>
      <c r="G1387" s="295" t="str">
        <f>IFERROR(__xludf.DUMMYFUNCTION("""COMPUTED_VALUE"""),"RODAPÉ TOBLERONE PEROBA PREMIUM 3 X 3 COMPR. VARIAVEIS")</f>
        <v>RODAPÉ TOBLERONE PEROBA PREMIUM 3 X 3 COMPR. VARIAVEIS</v>
      </c>
      <c r="H1387" s="333" t="s">
        <v>1487</v>
      </c>
      <c r="I1387" s="271" t="str">
        <f t="shared" si="5"/>
        <v/>
      </c>
      <c r="J1387" s="230"/>
      <c r="K1387" s="329"/>
      <c r="L1387" s="295" t="s">
        <v>1487</v>
      </c>
      <c r="M1387" s="295"/>
      <c r="N1387" s="295"/>
      <c r="O1387" s="295"/>
      <c r="P1387" s="295"/>
      <c r="Q1387" s="295"/>
      <c r="R1387" s="295"/>
      <c r="S1387" s="295"/>
      <c r="T1387" s="295"/>
      <c r="U1387" s="295"/>
      <c r="V1387" s="295"/>
      <c r="W1387" s="295"/>
      <c r="X1387" s="295"/>
      <c r="Y1387" s="295"/>
      <c r="Z1387" s="295"/>
      <c r="AA1387" s="295"/>
    </row>
    <row r="1388">
      <c r="A1388" s="327"/>
      <c r="B1388" s="327"/>
      <c r="C1388" s="295"/>
      <c r="D1388" s="334"/>
      <c r="E1388" s="295"/>
      <c r="F1388" s="329"/>
      <c r="G1388" s="295" t="str">
        <f>IFERROR(__xludf.DUMMYFUNCTION("""COMPUTED_VALUE"""),"RODAPÉ TOBLERONE LORO PARDO PREMIUM 3 X 3 COMPR. VARIAVEIS")</f>
        <v>RODAPÉ TOBLERONE LORO PARDO PREMIUM 3 X 3 COMPR. VARIAVEIS</v>
      </c>
      <c r="H1388" s="333" t="s">
        <v>1488</v>
      </c>
      <c r="I1388" s="271" t="str">
        <f t="shared" si="5"/>
        <v/>
      </c>
      <c r="J1388" s="230"/>
      <c r="K1388" s="329"/>
      <c r="L1388" s="295" t="s">
        <v>1488</v>
      </c>
      <c r="M1388" s="295"/>
      <c r="N1388" s="295"/>
      <c r="O1388" s="295"/>
      <c r="P1388" s="295"/>
      <c r="Q1388" s="295"/>
      <c r="R1388" s="295"/>
      <c r="S1388" s="295"/>
      <c r="T1388" s="295"/>
      <c r="U1388" s="295"/>
      <c r="V1388" s="295"/>
      <c r="W1388" s="295"/>
      <c r="X1388" s="295"/>
      <c r="Y1388" s="295"/>
      <c r="Z1388" s="295"/>
      <c r="AA1388" s="295"/>
    </row>
    <row r="1389">
      <c r="A1389" s="327"/>
      <c r="B1389" s="327"/>
      <c r="C1389" s="295"/>
      <c r="D1389" s="334"/>
      <c r="E1389" s="295"/>
      <c r="F1389" s="329"/>
      <c r="G1389" s="295" t="str">
        <f>IFERROR(__xludf.DUMMYFUNCTION("""COMPUTED_VALUE"""),"RODAPÉ DECK CUMARU PREMIUM TG 2,5 X 5 X COMPR. VARIAVEIS")</f>
        <v>RODAPÉ DECK CUMARU PREMIUM TG 2,5 X 5 X COMPR. VARIAVEIS</v>
      </c>
      <c r="H1389" s="333" t="s">
        <v>1489</v>
      </c>
      <c r="I1389" s="271" t="str">
        <f t="shared" si="5"/>
        <v/>
      </c>
      <c r="J1389" s="230"/>
      <c r="K1389" s="329"/>
      <c r="L1389" s="295" t="s">
        <v>1489</v>
      </c>
      <c r="M1389" s="295"/>
      <c r="N1389" s="295"/>
      <c r="O1389" s="295"/>
      <c r="P1389" s="295"/>
      <c r="Q1389" s="295"/>
      <c r="R1389" s="295"/>
      <c r="S1389" s="295"/>
      <c r="T1389" s="295"/>
      <c r="U1389" s="295"/>
      <c r="V1389" s="295"/>
      <c r="W1389" s="295"/>
      <c r="X1389" s="295"/>
      <c r="Y1389" s="295"/>
      <c r="Z1389" s="295"/>
      <c r="AA1389" s="295"/>
    </row>
    <row r="1390">
      <c r="A1390" s="327"/>
      <c r="B1390" s="327"/>
      <c r="C1390" s="295"/>
      <c r="D1390" s="334"/>
      <c r="E1390" s="295"/>
      <c r="F1390" s="329"/>
      <c r="G1390" s="295" t="str">
        <f>IFERROR(__xludf.DUMMYFUNCTION("""COMPUTED_VALUE"""),"RODAPÉ DECK CUMARU PREMIUM TG 2,5 X 10 X COMPR. VARIAVEIS")</f>
        <v>RODAPÉ DECK CUMARU PREMIUM TG 2,5 X 10 X COMPR. VARIAVEIS</v>
      </c>
      <c r="H1390" s="333" t="s">
        <v>1490</v>
      </c>
      <c r="I1390" s="271" t="str">
        <f t="shared" si="5"/>
        <v/>
      </c>
      <c r="J1390" s="230"/>
      <c r="K1390" s="329"/>
      <c r="L1390" s="295" t="s">
        <v>1490</v>
      </c>
      <c r="M1390" s="295"/>
      <c r="N1390" s="295"/>
      <c r="O1390" s="295"/>
      <c r="P1390" s="295"/>
      <c r="Q1390" s="295"/>
      <c r="R1390" s="295"/>
      <c r="S1390" s="295"/>
      <c r="T1390" s="295"/>
      <c r="U1390" s="295"/>
      <c r="V1390" s="295"/>
      <c r="W1390" s="295"/>
      <c r="X1390" s="295"/>
      <c r="Y1390" s="295"/>
      <c r="Z1390" s="295"/>
      <c r="AA1390" s="295"/>
    </row>
    <row r="1391">
      <c r="A1391" s="327"/>
      <c r="B1391" s="327"/>
      <c r="C1391" s="295"/>
      <c r="D1391" s="334"/>
      <c r="E1391" s="295"/>
      <c r="F1391" s="329"/>
      <c r="G1391" s="295" t="str">
        <f>IFERROR(__xludf.DUMMYFUNCTION("""COMPUTED_VALUE"""),"RODAPÉ DECK CATUABA PREMIUM TG 2,5 X 5 X COMPR. VARIAVEIS")</f>
        <v>RODAPÉ DECK CATUABA PREMIUM TG 2,5 X 5 X COMPR. VARIAVEIS</v>
      </c>
      <c r="H1391" s="333" t="s">
        <v>1491</v>
      </c>
      <c r="I1391" s="271" t="str">
        <f t="shared" si="5"/>
        <v/>
      </c>
      <c r="J1391" s="230"/>
      <c r="K1391" s="329"/>
      <c r="L1391" s="295" t="s">
        <v>1491</v>
      </c>
      <c r="M1391" s="295"/>
      <c r="N1391" s="295"/>
      <c r="O1391" s="295"/>
      <c r="P1391" s="295"/>
      <c r="Q1391" s="295"/>
      <c r="R1391" s="295"/>
      <c r="S1391" s="295"/>
      <c r="T1391" s="295"/>
      <c r="U1391" s="295"/>
      <c r="V1391" s="295"/>
      <c r="W1391" s="295"/>
      <c r="X1391" s="295"/>
      <c r="Y1391" s="295"/>
      <c r="Z1391" s="295"/>
      <c r="AA1391" s="295"/>
    </row>
    <row r="1392">
      <c r="A1392" s="327"/>
      <c r="B1392" s="327"/>
      <c r="C1392" s="295"/>
      <c r="D1392" s="334"/>
      <c r="E1392" s="295"/>
      <c r="F1392" s="329"/>
      <c r="G1392" s="295" t="str">
        <f>IFERROR(__xludf.DUMMYFUNCTION("""COMPUTED_VALUE"""),"RODAPÉ DECK CATUABA PREMIUM TG 2,5 X 10 X COMPR. VARIAVEIS")</f>
        <v>RODAPÉ DECK CATUABA PREMIUM TG 2,5 X 10 X COMPR. VARIAVEIS</v>
      </c>
      <c r="H1392" s="333" t="s">
        <v>1492</v>
      </c>
      <c r="I1392" s="271" t="str">
        <f t="shared" si="5"/>
        <v/>
      </c>
      <c r="J1392" s="230"/>
      <c r="K1392" s="329"/>
      <c r="L1392" s="295" t="s">
        <v>1492</v>
      </c>
      <c r="M1392" s="295"/>
      <c r="N1392" s="295"/>
      <c r="O1392" s="295"/>
      <c r="P1392" s="295"/>
      <c r="Q1392" s="295"/>
      <c r="R1392" s="295"/>
      <c r="S1392" s="295"/>
      <c r="T1392" s="295"/>
      <c r="U1392" s="295"/>
      <c r="V1392" s="295"/>
      <c r="W1392" s="295"/>
      <c r="X1392" s="295"/>
      <c r="Y1392" s="295"/>
      <c r="Z1392" s="295"/>
      <c r="AA1392" s="295"/>
    </row>
    <row r="1393">
      <c r="A1393" s="327"/>
      <c r="B1393" s="327"/>
      <c r="C1393" s="295"/>
      <c r="D1393" s="334"/>
      <c r="E1393" s="295"/>
      <c r="F1393" s="329"/>
      <c r="G1393" s="295" t="str">
        <f>IFERROR(__xludf.DUMMYFUNCTION("""COMPUTED_VALUE"""),"RODAPÉ DECK CABREUVA BRANCA PREMIUM TG 2,5 X 5 X COMPR. VARIAVEIS")</f>
        <v>RODAPÉ DECK CABREUVA BRANCA PREMIUM TG 2,5 X 5 X COMPR. VARIAVEIS</v>
      </c>
      <c r="H1393" s="333" t="s">
        <v>1493</v>
      </c>
      <c r="I1393" s="271" t="str">
        <f t="shared" si="5"/>
        <v/>
      </c>
      <c r="J1393" s="230"/>
      <c r="K1393" s="329"/>
      <c r="L1393" s="295" t="s">
        <v>1493</v>
      </c>
      <c r="M1393" s="295"/>
      <c r="N1393" s="295"/>
      <c r="O1393" s="295"/>
      <c r="P1393" s="295"/>
      <c r="Q1393" s="295"/>
      <c r="R1393" s="295"/>
      <c r="S1393" s="295"/>
      <c r="T1393" s="295"/>
      <c r="U1393" s="295"/>
      <c r="V1393" s="295"/>
      <c r="W1393" s="295"/>
      <c r="X1393" s="295"/>
      <c r="Y1393" s="295"/>
      <c r="Z1393" s="295"/>
      <c r="AA1393" s="295"/>
    </row>
    <row r="1394">
      <c r="A1394" s="327"/>
      <c r="B1394" s="327"/>
      <c r="C1394" s="295"/>
      <c r="D1394" s="334"/>
      <c r="E1394" s="295"/>
      <c r="F1394" s="329"/>
      <c r="G1394" s="295" t="str">
        <f>IFERROR(__xludf.DUMMYFUNCTION("""COMPUTED_VALUE"""),"RODAPÉ DECK CABREUVA BRANCA PREMIUM TG 2,5 X 10 X COMPR. VARIAVEIS")</f>
        <v>RODAPÉ DECK CABREUVA BRANCA PREMIUM TG 2,5 X 10 X COMPR. VARIAVEIS</v>
      </c>
      <c r="H1394" s="333" t="s">
        <v>1494</v>
      </c>
      <c r="I1394" s="271" t="str">
        <f t="shared" si="5"/>
        <v/>
      </c>
      <c r="J1394" s="230"/>
      <c r="K1394" s="329"/>
      <c r="L1394" s="295" t="s">
        <v>1494</v>
      </c>
      <c r="M1394" s="295"/>
      <c r="N1394" s="295"/>
      <c r="O1394" s="295"/>
      <c r="P1394" s="295"/>
      <c r="Q1394" s="295"/>
      <c r="R1394" s="295"/>
      <c r="S1394" s="295"/>
      <c r="T1394" s="295"/>
      <c r="U1394" s="295"/>
      <c r="V1394" s="295"/>
      <c r="W1394" s="295"/>
      <c r="X1394" s="295"/>
      <c r="Y1394" s="295"/>
      <c r="Z1394" s="295"/>
      <c r="AA1394" s="295"/>
    </row>
    <row r="1395">
      <c r="A1395" s="327"/>
      <c r="B1395" s="327"/>
      <c r="C1395" s="295"/>
      <c r="D1395" s="334"/>
      <c r="E1395" s="295"/>
      <c r="F1395" s="329"/>
      <c r="G1395" s="295" t="str">
        <f>IFERROR(__xludf.DUMMYFUNCTION("""COMPUTED_VALUE"""),"RODAPÉ DECK CABREUVA DOURADA PREMIUM TG 2,5 X 5 X COMPR. VARIAVEIS")</f>
        <v>RODAPÉ DECK CABREUVA DOURADA PREMIUM TG 2,5 X 5 X COMPR. VARIAVEIS</v>
      </c>
      <c r="H1395" s="333" t="s">
        <v>1495</v>
      </c>
      <c r="I1395" s="271" t="str">
        <f t="shared" si="5"/>
        <v/>
      </c>
      <c r="J1395" s="230"/>
      <c r="K1395" s="329"/>
      <c r="L1395" s="295" t="s">
        <v>1495</v>
      </c>
      <c r="M1395" s="295"/>
      <c r="N1395" s="295"/>
      <c r="O1395" s="295"/>
      <c r="P1395" s="295"/>
      <c r="Q1395" s="295"/>
      <c r="R1395" s="295"/>
      <c r="S1395" s="295"/>
      <c r="T1395" s="295"/>
      <c r="U1395" s="295"/>
      <c r="V1395" s="295"/>
      <c r="W1395" s="295"/>
      <c r="X1395" s="295"/>
      <c r="Y1395" s="295"/>
      <c r="Z1395" s="295"/>
      <c r="AA1395" s="295"/>
    </row>
    <row r="1396">
      <c r="A1396" s="327"/>
      <c r="B1396" s="327"/>
      <c r="C1396" s="295"/>
      <c r="D1396" s="334"/>
      <c r="E1396" s="295"/>
      <c r="F1396" s="329"/>
      <c r="G1396" s="295" t="str">
        <f>IFERROR(__xludf.DUMMYFUNCTION("""COMPUTED_VALUE"""),"RODAPÉ DECK CABREUVA DOURADA PREMIUM TG 2,5 X 10 X COMPR. VARIAVEIS")</f>
        <v>RODAPÉ DECK CABREUVA DOURADA PREMIUM TG 2,5 X 10 X COMPR. VARIAVEIS</v>
      </c>
      <c r="H1396" s="333" t="s">
        <v>1496</v>
      </c>
      <c r="I1396" s="271" t="str">
        <f t="shared" si="5"/>
        <v/>
      </c>
      <c r="J1396" s="230"/>
      <c r="K1396" s="329"/>
      <c r="L1396" s="295" t="s">
        <v>1496</v>
      </c>
      <c r="M1396" s="295"/>
      <c r="N1396" s="295"/>
      <c r="O1396" s="295"/>
      <c r="P1396" s="295"/>
      <c r="Q1396" s="295"/>
      <c r="R1396" s="295"/>
      <c r="S1396" s="295"/>
      <c r="T1396" s="295"/>
      <c r="U1396" s="295"/>
      <c r="V1396" s="295"/>
      <c r="W1396" s="295"/>
      <c r="X1396" s="295"/>
      <c r="Y1396" s="295"/>
      <c r="Z1396" s="295"/>
      <c r="AA1396" s="295"/>
    </row>
    <row r="1397">
      <c r="A1397" s="327"/>
      <c r="B1397" s="327"/>
      <c r="C1397" s="295"/>
      <c r="D1397" s="334"/>
      <c r="E1397" s="295"/>
      <c r="F1397" s="329"/>
      <c r="G1397" s="295" t="str">
        <f>IFERROR(__xludf.DUMMYFUNCTION("""COMPUTED_VALUE"""),"RODAPÉ DECK TAUARI PREMIUM TG 2,5 X 5 X COMPR. VARIAVEIS")</f>
        <v>RODAPÉ DECK TAUARI PREMIUM TG 2,5 X 5 X COMPR. VARIAVEIS</v>
      </c>
      <c r="H1397" s="333" t="s">
        <v>1497</v>
      </c>
      <c r="I1397" s="271" t="str">
        <f t="shared" si="5"/>
        <v/>
      </c>
      <c r="J1397" s="230"/>
      <c r="K1397" s="329"/>
      <c r="L1397" s="295" t="s">
        <v>1497</v>
      </c>
      <c r="M1397" s="295"/>
      <c r="N1397" s="295"/>
      <c r="O1397" s="295"/>
      <c r="P1397" s="295"/>
      <c r="Q1397" s="295"/>
      <c r="R1397" s="295"/>
      <c r="S1397" s="295"/>
      <c r="T1397" s="295"/>
      <c r="U1397" s="295"/>
      <c r="V1397" s="295"/>
      <c r="W1397" s="295"/>
      <c r="X1397" s="295"/>
      <c r="Y1397" s="295"/>
      <c r="Z1397" s="295"/>
      <c r="AA1397" s="295"/>
    </row>
    <row r="1398">
      <c r="A1398" s="327"/>
      <c r="B1398" s="327"/>
      <c r="C1398" s="295"/>
      <c r="D1398" s="334"/>
      <c r="E1398" s="295"/>
      <c r="F1398" s="329"/>
      <c r="G1398" s="295" t="str">
        <f>IFERROR(__xludf.DUMMYFUNCTION("""COMPUTED_VALUE"""),"RODAPÉ DECK TAUARI PREMIUM TG 2,5 X 10 X COMPR. VARIAVEIS")</f>
        <v>RODAPÉ DECK TAUARI PREMIUM TG 2,5 X 10 X COMPR. VARIAVEIS</v>
      </c>
      <c r="H1398" s="333" t="s">
        <v>1498</v>
      </c>
      <c r="I1398" s="271" t="str">
        <f t="shared" si="5"/>
        <v/>
      </c>
      <c r="J1398" s="230"/>
      <c r="K1398" s="329"/>
      <c r="L1398" s="295" t="s">
        <v>1498</v>
      </c>
      <c r="M1398" s="295"/>
      <c r="N1398" s="295"/>
      <c r="O1398" s="295"/>
      <c r="P1398" s="295"/>
      <c r="Q1398" s="295"/>
      <c r="R1398" s="295"/>
      <c r="S1398" s="295"/>
      <c r="T1398" s="295"/>
      <c r="U1398" s="295"/>
      <c r="V1398" s="295"/>
      <c r="W1398" s="295"/>
      <c r="X1398" s="295"/>
      <c r="Y1398" s="295"/>
      <c r="Z1398" s="295"/>
      <c r="AA1398" s="295"/>
    </row>
    <row r="1399">
      <c r="A1399" s="327"/>
      <c r="B1399" s="327"/>
      <c r="C1399" s="295"/>
      <c r="D1399" s="334"/>
      <c r="E1399" s="295"/>
      <c r="F1399" s="329"/>
      <c r="G1399" s="295" t="str">
        <f>IFERROR(__xludf.DUMMYFUNCTION("""COMPUTED_VALUE"""),"RODAPÉ DECK PEROBA PREMIUM TG 2,5 X 5 X COMPR. VARIAVEIS")</f>
        <v>RODAPÉ DECK PEROBA PREMIUM TG 2,5 X 5 X COMPR. VARIAVEIS</v>
      </c>
      <c r="H1399" s="333" t="s">
        <v>1499</v>
      </c>
      <c r="I1399" s="271" t="str">
        <f t="shared" si="5"/>
        <v/>
      </c>
      <c r="J1399" s="230"/>
      <c r="K1399" s="329"/>
      <c r="L1399" s="295" t="s">
        <v>1499</v>
      </c>
      <c r="M1399" s="295"/>
      <c r="N1399" s="295"/>
      <c r="O1399" s="295"/>
      <c r="P1399" s="295"/>
      <c r="Q1399" s="295"/>
      <c r="R1399" s="295"/>
      <c r="S1399" s="295"/>
      <c r="T1399" s="295"/>
      <c r="U1399" s="295"/>
      <c r="V1399" s="295"/>
      <c r="W1399" s="295"/>
      <c r="X1399" s="295"/>
      <c r="Y1399" s="295"/>
      <c r="Z1399" s="295"/>
      <c r="AA1399" s="295"/>
    </row>
    <row r="1400">
      <c r="A1400" s="327"/>
      <c r="B1400" s="327"/>
      <c r="C1400" s="295"/>
      <c r="D1400" s="334"/>
      <c r="E1400" s="295"/>
      <c r="F1400" s="329"/>
      <c r="G1400" s="295" t="str">
        <f>IFERROR(__xludf.DUMMYFUNCTION("""COMPUTED_VALUE"""),"RODAPÉ DECK PEROBA PREMIUM TG 2,5 X 10 X COMPR. VARIAVEIS")</f>
        <v>RODAPÉ DECK PEROBA PREMIUM TG 2,5 X 10 X COMPR. VARIAVEIS</v>
      </c>
      <c r="H1400" s="333" t="s">
        <v>1500</v>
      </c>
      <c r="I1400" s="271" t="str">
        <f t="shared" si="5"/>
        <v/>
      </c>
      <c r="J1400" s="230"/>
      <c r="K1400" s="329"/>
      <c r="L1400" s="295" t="s">
        <v>1500</v>
      </c>
      <c r="M1400" s="295"/>
      <c r="N1400" s="295"/>
      <c r="O1400" s="295"/>
      <c r="P1400" s="295"/>
      <c r="Q1400" s="295"/>
      <c r="R1400" s="295"/>
      <c r="S1400" s="295"/>
      <c r="T1400" s="295"/>
      <c r="U1400" s="295"/>
      <c r="V1400" s="295"/>
      <c r="W1400" s="295"/>
      <c r="X1400" s="295"/>
      <c r="Y1400" s="295"/>
      <c r="Z1400" s="295"/>
      <c r="AA1400" s="295"/>
    </row>
    <row r="1401">
      <c r="A1401" s="327"/>
      <c r="B1401" s="327"/>
      <c r="C1401" s="295"/>
      <c r="D1401" s="334"/>
      <c r="E1401" s="295"/>
      <c r="F1401" s="329"/>
      <c r="G1401" s="295" t="str">
        <f>IFERROR(__xludf.DUMMYFUNCTION("""COMPUTED_VALUE"""),"RODAPÉ DECK BAMBU CARAMEL ALTA DENSIDADE")</f>
        <v>RODAPÉ DECK BAMBU CARAMEL ALTA DENSIDADE</v>
      </c>
      <c r="H1401" s="333" t="s">
        <v>1501</v>
      </c>
      <c r="I1401" s="271" t="str">
        <f t="shared" si="5"/>
        <v/>
      </c>
      <c r="J1401" s="230"/>
      <c r="K1401" s="329"/>
      <c r="L1401" s="295" t="s">
        <v>1501</v>
      </c>
      <c r="M1401" s="295"/>
      <c r="N1401" s="295"/>
      <c r="O1401" s="295"/>
      <c r="P1401" s="295"/>
      <c r="Q1401" s="295"/>
      <c r="R1401" s="295"/>
      <c r="S1401" s="295"/>
      <c r="T1401" s="295"/>
      <c r="U1401" s="295"/>
      <c r="V1401" s="295"/>
      <c r="W1401" s="295"/>
      <c r="X1401" s="295"/>
      <c r="Y1401" s="295"/>
      <c r="Z1401" s="295"/>
      <c r="AA1401" s="295"/>
    </row>
    <row r="1402">
      <c r="A1402" s="327"/>
      <c r="B1402" s="327"/>
      <c r="C1402" s="295"/>
      <c r="D1402" s="334"/>
      <c r="E1402" s="295"/>
      <c r="F1402" s="329"/>
      <c r="G1402" s="295" t="str">
        <f>IFERROR(__xludf.DUMMYFUNCTION("""COMPUTED_VALUE"""),"RODAPÉ DECK BPC CINZA ESCURO 2 X15X 290CM PÇ/0.435M2")</f>
        <v>RODAPÉ DECK BPC CINZA ESCURO 2 X15X 290CM PÇ/0.435M2</v>
      </c>
      <c r="H1402" s="333" t="s">
        <v>1502</v>
      </c>
      <c r="I1402" s="271" t="str">
        <f t="shared" si="5"/>
        <v/>
      </c>
      <c r="J1402" s="230"/>
      <c r="K1402" s="329"/>
      <c r="L1402" s="295" t="s">
        <v>1502</v>
      </c>
      <c r="M1402" s="295"/>
      <c r="N1402" s="295"/>
      <c r="O1402" s="295"/>
      <c r="P1402" s="295"/>
      <c r="Q1402" s="295"/>
      <c r="R1402" s="295"/>
      <c r="S1402" s="295"/>
      <c r="T1402" s="295"/>
      <c r="U1402" s="295"/>
      <c r="V1402" s="295"/>
      <c r="W1402" s="295"/>
      <c r="X1402" s="295"/>
      <c r="Y1402" s="295"/>
      <c r="Z1402" s="295"/>
      <c r="AA1402" s="295"/>
    </row>
    <row r="1403">
      <c r="A1403" s="327"/>
      <c r="B1403" s="327"/>
      <c r="C1403" s="295"/>
      <c r="D1403" s="334"/>
      <c r="E1403" s="295"/>
      <c r="F1403" s="329"/>
      <c r="G1403" s="295" t="str">
        <f>IFERROR(__xludf.DUMMYFUNCTION("""COMPUTED_VALUE"""),"RODAPÉ DECK BPC MORROM 2X15X220CM")</f>
        <v>RODAPÉ DECK BPC MORROM 2X15X220CM</v>
      </c>
      <c r="H1403" s="333" t="s">
        <v>1503</v>
      </c>
      <c r="I1403" s="271" t="str">
        <f t="shared" si="5"/>
        <v/>
      </c>
      <c r="J1403" s="230"/>
      <c r="K1403" s="329"/>
      <c r="L1403" s="295" t="s">
        <v>1503</v>
      </c>
      <c r="M1403" s="295"/>
      <c r="N1403" s="295"/>
      <c r="O1403" s="295"/>
      <c r="P1403" s="295"/>
      <c r="Q1403" s="295"/>
      <c r="R1403" s="295"/>
      <c r="S1403" s="295"/>
      <c r="T1403" s="295"/>
      <c r="U1403" s="295"/>
      <c r="V1403" s="295"/>
      <c r="W1403" s="295"/>
      <c r="X1403" s="295"/>
      <c r="Y1403" s="295"/>
      <c r="Z1403" s="295"/>
      <c r="AA1403" s="295"/>
    </row>
    <row r="1404">
      <c r="A1404" s="327"/>
      <c r="B1404" s="327"/>
      <c r="C1404" s="295"/>
      <c r="D1404" s="334"/>
      <c r="E1404" s="295"/>
      <c r="F1404" s="329"/>
      <c r="G1404" s="295" t="str">
        <f>IFERROR(__xludf.DUMMYFUNCTION("""COMPUTED_VALUE"""),"RODAPÉ DECK WPC CINZA 2,2*14,6*220CM")</f>
        <v>RODAPÉ DECK WPC CINZA 2,2*14,6*220CM</v>
      </c>
      <c r="H1404" s="333" t="s">
        <v>1504</v>
      </c>
      <c r="I1404" s="271" t="str">
        <f t="shared" si="5"/>
        <v/>
      </c>
      <c r="J1404" s="230"/>
      <c r="K1404" s="329"/>
      <c r="L1404" s="295" t="s">
        <v>1504</v>
      </c>
      <c r="M1404" s="295"/>
      <c r="N1404" s="295"/>
      <c r="O1404" s="295"/>
      <c r="P1404" s="295"/>
      <c r="Q1404" s="295"/>
      <c r="R1404" s="295"/>
      <c r="S1404" s="295"/>
      <c r="T1404" s="295"/>
      <c r="U1404" s="295"/>
      <c r="V1404" s="295"/>
      <c r="W1404" s="295"/>
      <c r="X1404" s="295"/>
      <c r="Y1404" s="295"/>
      <c r="Z1404" s="295"/>
      <c r="AA1404" s="295"/>
    </row>
    <row r="1405">
      <c r="A1405" s="327"/>
      <c r="B1405" s="327"/>
      <c r="C1405" s="295"/>
      <c r="D1405" s="334"/>
      <c r="E1405" s="295"/>
      <c r="F1405" s="329"/>
      <c r="G1405" s="295" t="str">
        <f>IFERROR(__xludf.DUMMYFUNCTION("""COMPUTED_VALUE"""),"RODAPÉ PEROBA RUSTICA DE DEMOLIÇÃO")</f>
        <v>RODAPÉ PEROBA RUSTICA DE DEMOLIÇÃO</v>
      </c>
      <c r="H1405" s="333" t="s">
        <v>1505</v>
      </c>
      <c r="I1405" s="271" t="str">
        <f t="shared" si="5"/>
        <v/>
      </c>
      <c r="J1405" s="230"/>
      <c r="K1405" s="329"/>
      <c r="L1405" s="295" t="s">
        <v>1505</v>
      </c>
      <c r="M1405" s="295"/>
      <c r="N1405" s="295"/>
      <c r="O1405" s="295"/>
      <c r="P1405" s="295"/>
      <c r="Q1405" s="295"/>
      <c r="R1405" s="295"/>
      <c r="S1405" s="295"/>
      <c r="T1405" s="295"/>
      <c r="U1405" s="295"/>
      <c r="V1405" s="295"/>
      <c r="W1405" s="295"/>
      <c r="X1405" s="295"/>
      <c r="Y1405" s="295"/>
      <c r="Z1405" s="295"/>
      <c r="AA1405" s="295"/>
    </row>
    <row r="1406">
      <c r="A1406" s="327"/>
      <c r="B1406" s="327"/>
      <c r="C1406" s="295"/>
      <c r="D1406" s="334"/>
      <c r="E1406" s="295"/>
      <c r="F1406" s="329"/>
      <c r="G1406" s="295" t="str">
        <f>IFERROR(__xludf.DUMMYFUNCTION("""COMPUTED_VALUE"""),"RODAPÉ CANELA RUSTICA DE DEMOLIÇÃO")</f>
        <v>RODAPÉ CANELA RUSTICA DE DEMOLIÇÃO</v>
      </c>
      <c r="H1406" s="333" t="s">
        <v>1506</v>
      </c>
      <c r="I1406" s="271" t="str">
        <f t="shared" si="5"/>
        <v/>
      </c>
      <c r="J1406" s="230"/>
      <c r="K1406" s="329"/>
      <c r="L1406" s="295" t="s">
        <v>1506</v>
      </c>
      <c r="M1406" s="295"/>
      <c r="N1406" s="295"/>
      <c r="O1406" s="295"/>
      <c r="P1406" s="295"/>
      <c r="Q1406" s="295"/>
      <c r="R1406" s="295"/>
      <c r="S1406" s="295"/>
      <c r="T1406" s="295"/>
      <c r="U1406" s="295"/>
      <c r="V1406" s="295"/>
      <c r="W1406" s="295"/>
      <c r="X1406" s="295"/>
      <c r="Y1406" s="295"/>
      <c r="Z1406" s="295"/>
      <c r="AA1406" s="295"/>
    </row>
    <row r="1407">
      <c r="A1407" s="327"/>
      <c r="B1407" s="327"/>
      <c r="C1407" s="295"/>
      <c r="D1407" s="334"/>
      <c r="E1407" s="295"/>
      <c r="F1407" s="329"/>
      <c r="H1407" s="333" t="s">
        <v>1507</v>
      </c>
      <c r="I1407" s="271" t="str">
        <f t="shared" ref="I1407:I1408" si="6">IFERROR(INDEX($D$3:$D$2001,MATCH(TRUE,ISNUMBER(FIND($B$3:$B$2001,G1409)),0)),"")</f>
        <v/>
      </c>
      <c r="J1407" s="230"/>
      <c r="K1407" s="329"/>
      <c r="L1407" s="295" t="s">
        <v>1507</v>
      </c>
      <c r="M1407" s="295"/>
      <c r="N1407" s="295"/>
      <c r="O1407" s="295"/>
      <c r="P1407" s="295"/>
      <c r="Q1407" s="295"/>
      <c r="R1407" s="295"/>
      <c r="S1407" s="295"/>
      <c r="T1407" s="295"/>
      <c r="U1407" s="295"/>
      <c r="V1407" s="295"/>
      <c r="W1407" s="295"/>
      <c r="X1407" s="295"/>
      <c r="Y1407" s="295"/>
      <c r="Z1407" s="295"/>
      <c r="AA1407" s="295"/>
    </row>
    <row r="1408">
      <c r="A1408" s="327"/>
      <c r="B1408" s="327"/>
      <c r="C1408" s="295"/>
      <c r="D1408" s="334"/>
      <c r="E1408" s="295"/>
      <c r="F1408" s="335"/>
      <c r="I1408" s="271" t="str">
        <f t="shared" si="6"/>
        <v/>
      </c>
      <c r="J1408" s="230"/>
      <c r="K1408" s="335"/>
      <c r="L1408" s="295"/>
      <c r="M1408" s="295"/>
      <c r="N1408" s="295"/>
      <c r="O1408" s="295"/>
      <c r="P1408" s="295"/>
      <c r="Q1408" s="295"/>
      <c r="R1408" s="295"/>
      <c r="S1408" s="295"/>
      <c r="T1408" s="295"/>
      <c r="U1408" s="295"/>
      <c r="V1408" s="295"/>
      <c r="W1408" s="295"/>
      <c r="X1408" s="295"/>
      <c r="Y1408" s="295"/>
      <c r="Z1408" s="295"/>
      <c r="AA1408" s="295"/>
    </row>
    <row r="1409">
      <c r="A1409" s="327"/>
      <c r="B1409" s="327"/>
      <c r="C1409" s="295"/>
      <c r="D1409" s="334"/>
      <c r="E1409" s="295"/>
      <c r="F1409" s="329"/>
      <c r="G1409" s="336" t="s">
        <v>2579</v>
      </c>
      <c r="I1409" s="295"/>
      <c r="J1409" s="230"/>
      <c r="K1409" s="329"/>
      <c r="L1409" s="295"/>
      <c r="M1409" s="295"/>
      <c r="N1409" s="295"/>
      <c r="O1409" s="295"/>
      <c r="P1409" s="295"/>
      <c r="Q1409" s="295"/>
      <c r="R1409" s="295"/>
      <c r="S1409" s="295"/>
      <c r="T1409" s="295"/>
      <c r="U1409" s="295"/>
      <c r="V1409" s="295"/>
      <c r="W1409" s="295"/>
      <c r="X1409" s="295"/>
      <c r="Y1409" s="295"/>
      <c r="Z1409" s="295"/>
      <c r="AA1409" s="295"/>
    </row>
    <row r="1410">
      <c r="A1410" s="327"/>
      <c r="B1410" s="327"/>
      <c r="C1410" s="295"/>
      <c r="D1410" s="334"/>
      <c r="E1410" s="295"/>
      <c r="F1410" s="292" t="s">
        <v>74</v>
      </c>
      <c r="G1410" s="336" t="s">
        <v>75</v>
      </c>
      <c r="H1410" s="313" t="s">
        <v>2580</v>
      </c>
      <c r="I1410" s="295"/>
      <c r="J1410" s="230"/>
      <c r="K1410" s="292" t="s">
        <v>74</v>
      </c>
      <c r="L1410" s="336" t="s">
        <v>2580</v>
      </c>
      <c r="M1410" s="295"/>
      <c r="N1410" s="295"/>
      <c r="O1410" s="295"/>
      <c r="P1410" s="295"/>
      <c r="Q1410" s="295"/>
      <c r="R1410" s="295"/>
      <c r="S1410" s="295"/>
      <c r="T1410" s="295"/>
      <c r="U1410" s="295"/>
      <c r="V1410" s="295"/>
      <c r="W1410" s="295"/>
      <c r="X1410" s="295"/>
      <c r="Y1410" s="295"/>
      <c r="Z1410" s="295"/>
      <c r="AA1410" s="295"/>
    </row>
    <row r="1411">
      <c r="A1411" s="327"/>
      <c r="B1411" s="327"/>
      <c r="C1411" s="295"/>
      <c r="D1411" s="334"/>
      <c r="E1411" s="295"/>
      <c r="F1411" s="329"/>
      <c r="G1411" s="295"/>
      <c r="I1411" s="295"/>
      <c r="J1411" s="230"/>
      <c r="K1411" s="329"/>
      <c r="L1411" s="295"/>
      <c r="M1411" s="295"/>
      <c r="N1411" s="295"/>
      <c r="O1411" s="295"/>
      <c r="P1411" s="295"/>
      <c r="Q1411" s="295"/>
      <c r="R1411" s="295"/>
      <c r="S1411" s="295"/>
      <c r="T1411" s="295"/>
      <c r="U1411" s="295"/>
      <c r="V1411" s="295"/>
      <c r="W1411" s="295"/>
      <c r="X1411" s="295"/>
      <c r="Y1411" s="295"/>
      <c r="Z1411" s="295"/>
      <c r="AA1411" s="295"/>
    </row>
    <row r="1412">
      <c r="A1412" s="327"/>
      <c r="B1412" s="327"/>
      <c r="C1412" s="295"/>
      <c r="D1412" s="334"/>
      <c r="E1412" s="295"/>
      <c r="F1412" s="329"/>
      <c r="G1412" s="295"/>
      <c r="I1412" s="295"/>
      <c r="J1412" s="230"/>
      <c r="K1412" s="329"/>
      <c r="L1412" s="295"/>
      <c r="M1412" s="295"/>
      <c r="N1412" s="295"/>
      <c r="O1412" s="295"/>
      <c r="P1412" s="295"/>
      <c r="Q1412" s="295"/>
      <c r="R1412" s="295"/>
      <c r="S1412" s="295"/>
      <c r="T1412" s="295"/>
      <c r="U1412" s="295"/>
      <c r="V1412" s="295"/>
      <c r="W1412" s="295"/>
      <c r="X1412" s="295"/>
      <c r="Y1412" s="295"/>
      <c r="Z1412" s="295"/>
      <c r="AA1412" s="295"/>
    </row>
    <row r="1413">
      <c r="A1413" s="327"/>
      <c r="B1413" s="327"/>
      <c r="C1413" s="295"/>
      <c r="D1413" s="334"/>
      <c r="E1413" s="295"/>
      <c r="F1413" s="329"/>
      <c r="G1413" s="295"/>
      <c r="I1413" s="295"/>
      <c r="J1413" s="230"/>
      <c r="K1413" s="329"/>
      <c r="L1413" s="295"/>
      <c r="M1413" s="295"/>
      <c r="N1413" s="295"/>
      <c r="O1413" s="295"/>
      <c r="P1413" s="295"/>
      <c r="Q1413" s="295"/>
      <c r="R1413" s="295"/>
      <c r="S1413" s="295"/>
      <c r="T1413" s="295"/>
      <c r="U1413" s="295"/>
      <c r="V1413" s="295"/>
      <c r="W1413" s="295"/>
      <c r="X1413" s="295"/>
      <c r="Y1413" s="295"/>
      <c r="Z1413" s="295"/>
      <c r="AA1413" s="295"/>
    </row>
    <row r="1414">
      <c r="A1414" s="327"/>
      <c r="B1414" s="327"/>
      <c r="C1414" s="295"/>
      <c r="D1414" s="334"/>
      <c r="E1414" s="295"/>
      <c r="F1414" s="329"/>
      <c r="G1414" s="295"/>
      <c r="I1414" s="295"/>
      <c r="J1414" s="230"/>
      <c r="K1414" s="329"/>
      <c r="L1414" s="295"/>
      <c r="M1414" s="295"/>
      <c r="N1414" s="295"/>
      <c r="O1414" s="295"/>
      <c r="P1414" s="295"/>
      <c r="Q1414" s="295"/>
      <c r="R1414" s="295"/>
      <c r="S1414" s="295"/>
      <c r="T1414" s="295"/>
      <c r="U1414" s="295"/>
      <c r="V1414" s="295"/>
      <c r="W1414" s="295"/>
      <c r="X1414" s="295"/>
      <c r="Y1414" s="295"/>
      <c r="Z1414" s="295"/>
      <c r="AA1414" s="295"/>
    </row>
    <row r="1415">
      <c r="A1415" s="327"/>
      <c r="B1415" s="327"/>
      <c r="C1415" s="295"/>
      <c r="D1415" s="334"/>
      <c r="E1415" s="295"/>
      <c r="F1415" s="329"/>
      <c r="G1415" s="295"/>
      <c r="I1415" s="295"/>
      <c r="J1415" s="230"/>
      <c r="K1415" s="329"/>
      <c r="L1415" s="295"/>
      <c r="M1415" s="295"/>
      <c r="N1415" s="295"/>
      <c r="O1415" s="295"/>
      <c r="P1415" s="295"/>
      <c r="Q1415" s="295"/>
      <c r="R1415" s="295"/>
      <c r="S1415" s="295"/>
      <c r="T1415" s="295"/>
      <c r="U1415" s="295"/>
      <c r="V1415" s="295"/>
      <c r="W1415" s="295"/>
      <c r="X1415" s="295"/>
      <c r="Y1415" s="295"/>
      <c r="Z1415" s="295"/>
      <c r="AA1415" s="295"/>
    </row>
    <row r="1416">
      <c r="A1416" s="327"/>
      <c r="B1416" s="327"/>
      <c r="C1416" s="295"/>
      <c r="D1416" s="334"/>
      <c r="E1416" s="295"/>
      <c r="F1416" s="329"/>
      <c r="G1416" s="295"/>
      <c r="I1416" s="295"/>
      <c r="J1416" s="230"/>
      <c r="K1416" s="329"/>
      <c r="L1416" s="295"/>
      <c r="M1416" s="295"/>
      <c r="N1416" s="295"/>
      <c r="O1416" s="295"/>
      <c r="P1416" s="295"/>
      <c r="Q1416" s="295"/>
      <c r="R1416" s="295"/>
      <c r="S1416" s="295"/>
      <c r="T1416" s="295"/>
      <c r="U1416" s="295"/>
      <c r="V1416" s="295"/>
      <c r="W1416" s="295"/>
      <c r="X1416" s="295"/>
      <c r="Y1416" s="295"/>
      <c r="Z1416" s="295"/>
      <c r="AA1416" s="295"/>
    </row>
    <row r="1417">
      <c r="A1417" s="327"/>
      <c r="B1417" s="327"/>
      <c r="C1417" s="295"/>
      <c r="D1417" s="334"/>
      <c r="E1417" s="295"/>
      <c r="F1417" s="329"/>
      <c r="G1417" s="295"/>
      <c r="I1417" s="295"/>
      <c r="J1417" s="230"/>
      <c r="K1417" s="329"/>
      <c r="L1417" s="295"/>
      <c r="M1417" s="295"/>
      <c r="N1417" s="295"/>
      <c r="O1417" s="295"/>
      <c r="P1417" s="295"/>
      <c r="Q1417" s="295"/>
      <c r="R1417" s="295"/>
      <c r="S1417" s="295"/>
      <c r="T1417" s="295"/>
      <c r="U1417" s="295"/>
      <c r="V1417" s="295"/>
      <c r="W1417" s="295"/>
      <c r="X1417" s="295"/>
      <c r="Y1417" s="295"/>
      <c r="Z1417" s="295"/>
      <c r="AA1417" s="295"/>
    </row>
    <row r="1418">
      <c r="A1418" s="327"/>
      <c r="B1418" s="327"/>
      <c r="C1418" s="295"/>
      <c r="D1418" s="334"/>
      <c r="E1418" s="295"/>
      <c r="F1418" s="329"/>
      <c r="G1418" s="295"/>
      <c r="I1418" s="295"/>
      <c r="J1418" s="230"/>
      <c r="K1418" s="329"/>
      <c r="L1418" s="295"/>
      <c r="M1418" s="295"/>
      <c r="N1418" s="295"/>
      <c r="O1418" s="295"/>
      <c r="P1418" s="295"/>
      <c r="Q1418" s="295"/>
      <c r="R1418" s="295"/>
      <c r="S1418" s="295"/>
      <c r="T1418" s="295"/>
      <c r="U1418" s="295"/>
      <c r="V1418" s="295"/>
      <c r="W1418" s="295"/>
      <c r="X1418" s="295"/>
      <c r="Y1418" s="295"/>
      <c r="Z1418" s="295"/>
      <c r="AA1418" s="295"/>
    </row>
    <row r="1419">
      <c r="A1419" s="327"/>
      <c r="B1419" s="327"/>
      <c r="C1419" s="295"/>
      <c r="D1419" s="334"/>
      <c r="E1419" s="295"/>
      <c r="F1419" s="329"/>
      <c r="G1419" s="295"/>
      <c r="I1419" s="295"/>
      <c r="J1419" s="230"/>
      <c r="K1419" s="329"/>
      <c r="L1419" s="295"/>
      <c r="M1419" s="295"/>
      <c r="N1419" s="295"/>
      <c r="O1419" s="295"/>
      <c r="P1419" s="295"/>
      <c r="Q1419" s="295"/>
      <c r="R1419" s="295"/>
      <c r="S1419" s="295"/>
      <c r="T1419" s="295"/>
      <c r="U1419" s="295"/>
      <c r="V1419" s="295"/>
      <c r="W1419" s="295"/>
      <c r="X1419" s="295"/>
      <c r="Y1419" s="295"/>
      <c r="Z1419" s="295"/>
      <c r="AA1419" s="295"/>
    </row>
    <row r="1420">
      <c r="A1420" s="327"/>
      <c r="B1420" s="327"/>
      <c r="C1420" s="295"/>
      <c r="D1420" s="334"/>
      <c r="E1420" s="295"/>
      <c r="F1420" s="329"/>
      <c r="G1420" s="295"/>
      <c r="I1420" s="295"/>
      <c r="J1420" s="230"/>
      <c r="K1420" s="329"/>
      <c r="L1420" s="295"/>
      <c r="M1420" s="295"/>
      <c r="N1420" s="295"/>
      <c r="O1420" s="295"/>
      <c r="P1420" s="295"/>
      <c r="Q1420" s="295"/>
      <c r="R1420" s="295"/>
      <c r="S1420" s="295"/>
      <c r="T1420" s="295"/>
      <c r="U1420" s="295"/>
      <c r="V1420" s="295"/>
      <c r="W1420" s="295"/>
      <c r="X1420" s="295"/>
      <c r="Y1420" s="295"/>
      <c r="Z1420" s="295"/>
      <c r="AA1420" s="295"/>
    </row>
    <row r="1421">
      <c r="A1421" s="327"/>
      <c r="B1421" s="327"/>
      <c r="C1421" s="295"/>
      <c r="D1421" s="334"/>
      <c r="E1421" s="295"/>
      <c r="F1421" s="329"/>
      <c r="G1421" s="295"/>
      <c r="I1421" s="295"/>
      <c r="J1421" s="230"/>
      <c r="K1421" s="329"/>
      <c r="L1421" s="295"/>
      <c r="M1421" s="295"/>
      <c r="N1421" s="295"/>
      <c r="O1421" s="295"/>
      <c r="P1421" s="295"/>
      <c r="Q1421" s="295"/>
      <c r="R1421" s="295"/>
      <c r="S1421" s="295"/>
      <c r="T1421" s="295"/>
      <c r="U1421" s="295"/>
      <c r="V1421" s="295"/>
      <c r="W1421" s="295"/>
      <c r="X1421" s="295"/>
      <c r="Y1421" s="295"/>
      <c r="Z1421" s="295"/>
      <c r="AA1421" s="295"/>
    </row>
    <row r="1422">
      <c r="A1422" s="327"/>
      <c r="B1422" s="327"/>
      <c r="C1422" s="295"/>
      <c r="D1422" s="334"/>
      <c r="E1422" s="295"/>
      <c r="F1422" s="329"/>
      <c r="G1422" s="295"/>
      <c r="I1422" s="295"/>
      <c r="J1422" s="230"/>
      <c r="K1422" s="329"/>
      <c r="L1422" s="295"/>
      <c r="M1422" s="295"/>
      <c r="N1422" s="295"/>
      <c r="O1422" s="295"/>
      <c r="P1422" s="295"/>
      <c r="Q1422" s="295"/>
      <c r="R1422" s="295"/>
      <c r="S1422" s="295"/>
      <c r="T1422" s="295"/>
      <c r="U1422" s="295"/>
      <c r="V1422" s="295"/>
      <c r="W1422" s="295"/>
      <c r="X1422" s="295"/>
      <c r="Y1422" s="295"/>
      <c r="Z1422" s="295"/>
      <c r="AA1422" s="295"/>
    </row>
    <row r="1423">
      <c r="A1423" s="327"/>
      <c r="B1423" s="327"/>
      <c r="C1423" s="295"/>
      <c r="D1423" s="334"/>
      <c r="E1423" s="295"/>
      <c r="F1423" s="329"/>
      <c r="G1423" s="295"/>
      <c r="I1423" s="295"/>
      <c r="J1423" s="230"/>
      <c r="K1423" s="329"/>
      <c r="L1423" s="295"/>
      <c r="M1423" s="295"/>
      <c r="N1423" s="295"/>
      <c r="O1423" s="295"/>
      <c r="P1423" s="295"/>
      <c r="Q1423" s="295"/>
      <c r="R1423" s="295"/>
      <c r="S1423" s="295"/>
      <c r="T1423" s="295"/>
      <c r="U1423" s="295"/>
      <c r="V1423" s="295"/>
      <c r="W1423" s="295"/>
      <c r="X1423" s="295"/>
      <c r="Y1423" s="295"/>
      <c r="Z1423" s="295"/>
      <c r="AA1423" s="295"/>
    </row>
    <row r="1424">
      <c r="A1424" s="327"/>
      <c r="B1424" s="327"/>
      <c r="C1424" s="295"/>
      <c r="D1424" s="334"/>
      <c r="E1424" s="295"/>
      <c r="F1424" s="329"/>
      <c r="G1424" s="295"/>
      <c r="I1424" s="295"/>
      <c r="J1424" s="230"/>
      <c r="K1424" s="329"/>
      <c r="L1424" s="295"/>
      <c r="M1424" s="295"/>
      <c r="N1424" s="295"/>
      <c r="O1424" s="295"/>
      <c r="P1424" s="295"/>
      <c r="Q1424" s="295"/>
      <c r="R1424" s="295"/>
      <c r="S1424" s="295"/>
      <c r="T1424" s="295"/>
      <c r="U1424" s="295"/>
      <c r="V1424" s="295"/>
      <c r="W1424" s="295"/>
      <c r="X1424" s="295"/>
      <c r="Y1424" s="295"/>
      <c r="Z1424" s="295"/>
      <c r="AA1424" s="295"/>
    </row>
    <row r="1425">
      <c r="A1425" s="327"/>
      <c r="B1425" s="327"/>
      <c r="C1425" s="295"/>
      <c r="D1425" s="334"/>
      <c r="E1425" s="295"/>
      <c r="F1425" s="329"/>
      <c r="G1425" s="295"/>
      <c r="I1425" s="295"/>
      <c r="J1425" s="230"/>
      <c r="K1425" s="329"/>
      <c r="L1425" s="295"/>
      <c r="M1425" s="295"/>
      <c r="N1425" s="295"/>
      <c r="O1425" s="295"/>
      <c r="P1425" s="295"/>
      <c r="Q1425" s="295"/>
      <c r="R1425" s="295"/>
      <c r="S1425" s="295"/>
      <c r="T1425" s="295"/>
      <c r="U1425" s="295"/>
      <c r="V1425" s="295"/>
      <c r="W1425" s="295"/>
      <c r="X1425" s="295"/>
      <c r="Y1425" s="295"/>
      <c r="Z1425" s="295"/>
      <c r="AA1425" s="295"/>
    </row>
    <row r="1426">
      <c r="A1426" s="327"/>
      <c r="B1426" s="327"/>
      <c r="C1426" s="295"/>
      <c r="D1426" s="334"/>
      <c r="E1426" s="295"/>
      <c r="F1426" s="329"/>
      <c r="G1426" s="295"/>
      <c r="I1426" s="295"/>
      <c r="J1426" s="230"/>
      <c r="K1426" s="329"/>
      <c r="L1426" s="295"/>
      <c r="M1426" s="295"/>
      <c r="N1426" s="295"/>
      <c r="O1426" s="295"/>
      <c r="P1426" s="295"/>
      <c r="Q1426" s="295"/>
      <c r="R1426" s="295"/>
      <c r="S1426" s="295"/>
      <c r="T1426" s="295"/>
      <c r="U1426" s="295"/>
      <c r="V1426" s="295"/>
      <c r="W1426" s="295"/>
      <c r="X1426" s="295"/>
      <c r="Y1426" s="295"/>
      <c r="Z1426" s="295"/>
      <c r="AA1426" s="295"/>
    </row>
    <row r="1427">
      <c r="A1427" s="327"/>
      <c r="B1427" s="327"/>
      <c r="C1427" s="295"/>
      <c r="D1427" s="334"/>
      <c r="E1427" s="295"/>
      <c r="F1427" s="329"/>
      <c r="G1427" s="295"/>
      <c r="I1427" s="295"/>
      <c r="J1427" s="230"/>
      <c r="K1427" s="329"/>
      <c r="L1427" s="295"/>
      <c r="M1427" s="295"/>
      <c r="N1427" s="295"/>
      <c r="O1427" s="295"/>
      <c r="P1427" s="295"/>
      <c r="Q1427" s="295"/>
      <c r="R1427" s="295"/>
      <c r="S1427" s="295"/>
      <c r="T1427" s="295"/>
      <c r="U1427" s="295"/>
      <c r="V1427" s="295"/>
      <c r="W1427" s="295"/>
      <c r="X1427" s="295"/>
      <c r="Y1427" s="295"/>
      <c r="Z1427" s="295"/>
      <c r="AA1427" s="295"/>
    </row>
    <row r="1428">
      <c r="A1428" s="327"/>
      <c r="B1428" s="327"/>
      <c r="C1428" s="295"/>
      <c r="D1428" s="334"/>
      <c r="E1428" s="295"/>
      <c r="F1428" s="329"/>
      <c r="G1428" s="295"/>
      <c r="I1428" s="295"/>
      <c r="J1428" s="230"/>
      <c r="K1428" s="329"/>
      <c r="L1428" s="295"/>
      <c r="M1428" s="295"/>
      <c r="N1428" s="295"/>
      <c r="O1428" s="295"/>
      <c r="P1428" s="295"/>
      <c r="Q1428" s="295"/>
      <c r="R1428" s="295"/>
      <c r="S1428" s="295"/>
      <c r="T1428" s="295"/>
      <c r="U1428" s="295"/>
      <c r="V1428" s="295"/>
      <c r="W1428" s="295"/>
      <c r="X1428" s="295"/>
      <c r="Y1428" s="295"/>
      <c r="Z1428" s="295"/>
      <c r="AA1428" s="295"/>
    </row>
    <row r="1429">
      <c r="A1429" s="327"/>
      <c r="B1429" s="327"/>
      <c r="C1429" s="295"/>
      <c r="D1429" s="334"/>
      <c r="E1429" s="295"/>
      <c r="F1429" s="329"/>
      <c r="G1429" s="295"/>
      <c r="I1429" s="295"/>
      <c r="J1429" s="230"/>
      <c r="K1429" s="329"/>
      <c r="L1429" s="295"/>
      <c r="M1429" s="295"/>
      <c r="N1429" s="295"/>
      <c r="O1429" s="295"/>
      <c r="P1429" s="295"/>
      <c r="Q1429" s="295"/>
      <c r="R1429" s="295"/>
      <c r="S1429" s="295"/>
      <c r="T1429" s="295"/>
      <c r="U1429" s="295"/>
      <c r="V1429" s="295"/>
      <c r="W1429" s="295"/>
      <c r="X1429" s="295"/>
      <c r="Y1429" s="295"/>
      <c r="Z1429" s="295"/>
      <c r="AA1429" s="295"/>
    </row>
    <row r="1430">
      <c r="A1430" s="327"/>
      <c r="B1430" s="327"/>
      <c r="C1430" s="295"/>
      <c r="D1430" s="334"/>
      <c r="E1430" s="295"/>
      <c r="F1430" s="329"/>
      <c r="G1430" s="295"/>
      <c r="I1430" s="295"/>
      <c r="J1430" s="230"/>
      <c r="K1430" s="329"/>
      <c r="L1430" s="295"/>
      <c r="M1430" s="295"/>
      <c r="N1430" s="295"/>
      <c r="O1430" s="295"/>
      <c r="P1430" s="295"/>
      <c r="Q1430" s="295"/>
      <c r="R1430" s="295"/>
      <c r="S1430" s="295"/>
      <c r="T1430" s="295"/>
      <c r="U1430" s="295"/>
      <c r="V1430" s="295"/>
      <c r="W1430" s="295"/>
      <c r="X1430" s="295"/>
      <c r="Y1430" s="295"/>
      <c r="Z1430" s="295"/>
      <c r="AA1430" s="295"/>
    </row>
    <row r="1431">
      <c r="A1431" s="327"/>
      <c r="B1431" s="327"/>
      <c r="C1431" s="295"/>
      <c r="D1431" s="334"/>
      <c r="E1431" s="295"/>
      <c r="F1431" s="329"/>
      <c r="G1431" s="295"/>
      <c r="I1431" s="295"/>
      <c r="J1431" s="230"/>
      <c r="K1431" s="329"/>
      <c r="L1431" s="295"/>
      <c r="M1431" s="295"/>
      <c r="N1431" s="295"/>
      <c r="O1431" s="295"/>
      <c r="P1431" s="295"/>
      <c r="Q1431" s="295"/>
      <c r="R1431" s="295"/>
      <c r="S1431" s="295"/>
      <c r="T1431" s="295"/>
      <c r="U1431" s="295"/>
      <c r="V1431" s="295"/>
      <c r="W1431" s="295"/>
      <c r="X1431" s="295"/>
      <c r="Y1431" s="295"/>
      <c r="Z1431" s="295"/>
      <c r="AA1431" s="295"/>
    </row>
    <row r="1432">
      <c r="A1432" s="327"/>
      <c r="B1432" s="327"/>
      <c r="C1432" s="295"/>
      <c r="D1432" s="334"/>
      <c r="E1432" s="295"/>
      <c r="F1432" s="329"/>
      <c r="G1432" s="295"/>
      <c r="I1432" s="295"/>
      <c r="J1432" s="230"/>
      <c r="K1432" s="329"/>
      <c r="L1432" s="295"/>
      <c r="M1432" s="295"/>
      <c r="N1432" s="295"/>
      <c r="O1432" s="295"/>
      <c r="P1432" s="295"/>
      <c r="Q1432" s="295"/>
      <c r="R1432" s="295"/>
      <c r="S1432" s="295"/>
      <c r="T1432" s="295"/>
      <c r="U1432" s="295"/>
      <c r="V1432" s="295"/>
      <c r="W1432" s="295"/>
      <c r="X1432" s="295"/>
      <c r="Y1432" s="295"/>
      <c r="Z1432" s="295"/>
      <c r="AA1432" s="295"/>
    </row>
    <row r="1433">
      <c r="A1433" s="327"/>
      <c r="B1433" s="327"/>
      <c r="C1433" s="295"/>
      <c r="D1433" s="334"/>
      <c r="E1433" s="295"/>
      <c r="F1433" s="329"/>
      <c r="G1433" s="295"/>
      <c r="I1433" s="295"/>
      <c r="J1433" s="230"/>
      <c r="K1433" s="329"/>
      <c r="L1433" s="295"/>
      <c r="M1433" s="295"/>
      <c r="N1433" s="295"/>
      <c r="O1433" s="295"/>
      <c r="P1433" s="295"/>
      <c r="Q1433" s="295"/>
      <c r="R1433" s="295"/>
      <c r="S1433" s="295"/>
      <c r="T1433" s="295"/>
      <c r="U1433" s="295"/>
      <c r="V1433" s="295"/>
      <c r="W1433" s="295"/>
      <c r="X1433" s="295"/>
      <c r="Y1433" s="295"/>
      <c r="Z1433" s="295"/>
      <c r="AA1433" s="295"/>
    </row>
    <row r="1434">
      <c r="A1434" s="327"/>
      <c r="B1434" s="327"/>
      <c r="C1434" s="295"/>
      <c r="D1434" s="334"/>
      <c r="E1434" s="295"/>
      <c r="F1434" s="329"/>
      <c r="G1434" s="295"/>
      <c r="I1434" s="295"/>
      <c r="J1434" s="230"/>
      <c r="K1434" s="329"/>
      <c r="L1434" s="295"/>
      <c r="M1434" s="295"/>
      <c r="N1434" s="295"/>
      <c r="O1434" s="295"/>
      <c r="P1434" s="295"/>
      <c r="Q1434" s="295"/>
      <c r="R1434" s="295"/>
      <c r="S1434" s="295"/>
      <c r="T1434" s="295"/>
      <c r="U1434" s="295"/>
      <c r="V1434" s="295"/>
      <c r="W1434" s="295"/>
      <c r="X1434" s="295"/>
      <c r="Y1434" s="295"/>
      <c r="Z1434" s="295"/>
      <c r="AA1434" s="295"/>
    </row>
    <row r="1435">
      <c r="A1435" s="327"/>
      <c r="B1435" s="327"/>
      <c r="C1435" s="295"/>
      <c r="D1435" s="334"/>
      <c r="E1435" s="295"/>
      <c r="F1435" s="329"/>
      <c r="G1435" s="295"/>
      <c r="I1435" s="295"/>
      <c r="J1435" s="230"/>
      <c r="K1435" s="329"/>
      <c r="L1435" s="295"/>
      <c r="M1435" s="295"/>
      <c r="N1435" s="295"/>
      <c r="O1435" s="295"/>
      <c r="P1435" s="295"/>
      <c r="Q1435" s="295"/>
      <c r="R1435" s="295"/>
      <c r="S1435" s="295"/>
      <c r="T1435" s="295"/>
      <c r="U1435" s="295"/>
      <c r="V1435" s="295"/>
      <c r="W1435" s="295"/>
      <c r="X1435" s="295"/>
      <c r="Y1435" s="295"/>
      <c r="Z1435" s="295"/>
      <c r="AA1435" s="295"/>
    </row>
    <row r="1436">
      <c r="A1436" s="327"/>
      <c r="B1436" s="327"/>
      <c r="C1436" s="295"/>
      <c r="D1436" s="334"/>
      <c r="E1436" s="295"/>
      <c r="F1436" s="329"/>
      <c r="G1436" s="295"/>
      <c r="I1436" s="295"/>
      <c r="J1436" s="230"/>
      <c r="K1436" s="329"/>
      <c r="L1436" s="295"/>
      <c r="M1436" s="295"/>
      <c r="N1436" s="295"/>
      <c r="O1436" s="295"/>
      <c r="P1436" s="295"/>
      <c r="Q1436" s="295"/>
      <c r="R1436" s="295"/>
      <c r="S1436" s="295"/>
      <c r="T1436" s="295"/>
      <c r="U1436" s="295"/>
      <c r="V1436" s="295"/>
      <c r="W1436" s="295"/>
      <c r="X1436" s="295"/>
      <c r="Y1436" s="295"/>
      <c r="Z1436" s="295"/>
      <c r="AA1436" s="295"/>
    </row>
    <row r="1437">
      <c r="A1437" s="327"/>
      <c r="B1437" s="327"/>
      <c r="C1437" s="295"/>
      <c r="D1437" s="334"/>
      <c r="E1437" s="295"/>
      <c r="F1437" s="329"/>
      <c r="G1437" s="295"/>
      <c r="I1437" s="295"/>
      <c r="J1437" s="230"/>
      <c r="K1437" s="329"/>
      <c r="L1437" s="295"/>
      <c r="M1437" s="295"/>
      <c r="N1437" s="295"/>
      <c r="O1437" s="295"/>
      <c r="P1437" s="295"/>
      <c r="Q1437" s="295"/>
      <c r="R1437" s="295"/>
      <c r="S1437" s="295"/>
      <c r="T1437" s="295"/>
      <c r="U1437" s="295"/>
      <c r="V1437" s="295"/>
      <c r="W1437" s="295"/>
      <c r="X1437" s="295"/>
      <c r="Y1437" s="295"/>
      <c r="Z1437" s="295"/>
      <c r="AA1437" s="295"/>
    </row>
    <row r="1438">
      <c r="A1438" s="327"/>
      <c r="B1438" s="327"/>
      <c r="C1438" s="295"/>
      <c r="D1438" s="334"/>
      <c r="E1438" s="295"/>
      <c r="F1438" s="329"/>
      <c r="G1438" s="295"/>
      <c r="I1438" s="295"/>
      <c r="J1438" s="230"/>
      <c r="K1438" s="329"/>
      <c r="L1438" s="295"/>
      <c r="M1438" s="295"/>
      <c r="N1438" s="295"/>
      <c r="O1438" s="295"/>
      <c r="P1438" s="295"/>
      <c r="Q1438" s="295"/>
      <c r="R1438" s="295"/>
      <c r="S1438" s="295"/>
      <c r="T1438" s="295"/>
      <c r="U1438" s="295"/>
      <c r="V1438" s="295"/>
      <c r="W1438" s="295"/>
      <c r="X1438" s="295"/>
      <c r="Y1438" s="295"/>
      <c r="Z1438" s="295"/>
      <c r="AA1438" s="295"/>
    </row>
    <row r="1439">
      <c r="A1439" s="327"/>
      <c r="B1439" s="327"/>
      <c r="C1439" s="295"/>
      <c r="D1439" s="334"/>
      <c r="E1439" s="295"/>
      <c r="F1439" s="329"/>
      <c r="G1439" s="295"/>
      <c r="I1439" s="295"/>
      <c r="J1439" s="230"/>
      <c r="K1439" s="329"/>
      <c r="L1439" s="295"/>
      <c r="M1439" s="295"/>
      <c r="N1439" s="295"/>
      <c r="O1439" s="295"/>
      <c r="P1439" s="295"/>
      <c r="Q1439" s="295"/>
      <c r="R1439" s="295"/>
      <c r="S1439" s="295"/>
      <c r="T1439" s="295"/>
      <c r="U1439" s="295"/>
      <c r="V1439" s="295"/>
      <c r="W1439" s="295"/>
      <c r="X1439" s="295"/>
      <c r="Y1439" s="295"/>
      <c r="Z1439" s="295"/>
      <c r="AA1439" s="295"/>
    </row>
    <row r="1440">
      <c r="A1440" s="327"/>
      <c r="B1440" s="327"/>
      <c r="C1440" s="295"/>
      <c r="D1440" s="334"/>
      <c r="E1440" s="295"/>
      <c r="F1440" s="329"/>
      <c r="G1440" s="295"/>
      <c r="I1440" s="295"/>
      <c r="J1440" s="230"/>
      <c r="K1440" s="329"/>
      <c r="L1440" s="295"/>
      <c r="M1440" s="295"/>
      <c r="N1440" s="295"/>
      <c r="O1440" s="295"/>
      <c r="P1440" s="295"/>
      <c r="Q1440" s="295"/>
      <c r="R1440" s="295"/>
      <c r="S1440" s="295"/>
      <c r="T1440" s="295"/>
      <c r="U1440" s="295"/>
      <c r="V1440" s="295"/>
      <c r="W1440" s="295"/>
      <c r="X1440" s="295"/>
      <c r="Y1440" s="295"/>
      <c r="Z1440" s="295"/>
      <c r="AA1440" s="295"/>
    </row>
    <row r="1441">
      <c r="A1441" s="327"/>
      <c r="B1441" s="327"/>
      <c r="C1441" s="295"/>
      <c r="D1441" s="334"/>
      <c r="E1441" s="295"/>
      <c r="F1441" s="329"/>
      <c r="G1441" s="295"/>
      <c r="I1441" s="295"/>
      <c r="J1441" s="230"/>
      <c r="K1441" s="329"/>
      <c r="L1441" s="295"/>
      <c r="M1441" s="295"/>
      <c r="N1441" s="295"/>
      <c r="O1441" s="295"/>
      <c r="P1441" s="295"/>
      <c r="Q1441" s="295"/>
      <c r="R1441" s="295"/>
      <c r="S1441" s="295"/>
      <c r="T1441" s="295"/>
      <c r="U1441" s="295"/>
      <c r="V1441" s="295"/>
      <c r="W1441" s="295"/>
      <c r="X1441" s="295"/>
      <c r="Y1441" s="295"/>
      <c r="Z1441" s="295"/>
      <c r="AA1441" s="295"/>
    </row>
    <row r="1442">
      <c r="A1442" s="327"/>
      <c r="B1442" s="327"/>
      <c r="C1442" s="295"/>
      <c r="D1442" s="334"/>
      <c r="E1442" s="295"/>
      <c r="F1442" s="329"/>
      <c r="G1442" s="295"/>
      <c r="I1442" s="295"/>
      <c r="J1442" s="230"/>
      <c r="K1442" s="329"/>
      <c r="L1442" s="295"/>
      <c r="M1442" s="295"/>
      <c r="N1442" s="295"/>
      <c r="O1442" s="295"/>
      <c r="P1442" s="295"/>
      <c r="Q1442" s="295"/>
      <c r="R1442" s="295"/>
      <c r="S1442" s="295"/>
      <c r="T1442" s="295"/>
      <c r="U1442" s="295"/>
      <c r="V1442" s="295"/>
      <c r="W1442" s="295"/>
      <c r="X1442" s="295"/>
      <c r="Y1442" s="295"/>
      <c r="Z1442" s="295"/>
      <c r="AA1442" s="295"/>
    </row>
    <row r="1443">
      <c r="A1443" s="327"/>
      <c r="B1443" s="327"/>
      <c r="C1443" s="295"/>
      <c r="D1443" s="334"/>
      <c r="E1443" s="295"/>
      <c r="F1443" s="329"/>
      <c r="G1443" s="295"/>
      <c r="I1443" s="295"/>
      <c r="J1443" s="230"/>
      <c r="K1443" s="329"/>
      <c r="L1443" s="295"/>
      <c r="M1443" s="295"/>
      <c r="N1443" s="295"/>
      <c r="O1443" s="295"/>
      <c r="P1443" s="295"/>
      <c r="Q1443" s="295"/>
      <c r="R1443" s="295"/>
      <c r="S1443" s="295"/>
      <c r="T1443" s="295"/>
      <c r="U1443" s="295"/>
      <c r="V1443" s="295"/>
      <c r="W1443" s="295"/>
      <c r="X1443" s="295"/>
      <c r="Y1443" s="295"/>
      <c r="Z1443" s="295"/>
      <c r="AA1443" s="295"/>
    </row>
    <row r="1444">
      <c r="A1444" s="327"/>
      <c r="B1444" s="327"/>
      <c r="C1444" s="295"/>
      <c r="D1444" s="334"/>
      <c r="E1444" s="295"/>
      <c r="F1444" s="329"/>
      <c r="G1444" s="295"/>
      <c r="I1444" s="295"/>
      <c r="J1444" s="230"/>
      <c r="K1444" s="329"/>
      <c r="L1444" s="295"/>
      <c r="M1444" s="295"/>
      <c r="N1444" s="295"/>
      <c r="O1444" s="295"/>
      <c r="P1444" s="295"/>
      <c r="Q1444" s="295"/>
      <c r="R1444" s="295"/>
      <c r="S1444" s="295"/>
      <c r="T1444" s="295"/>
      <c r="U1444" s="295"/>
      <c r="V1444" s="295"/>
      <c r="W1444" s="295"/>
      <c r="X1444" s="295"/>
      <c r="Y1444" s="295"/>
      <c r="Z1444" s="295"/>
      <c r="AA1444" s="295"/>
    </row>
    <row r="1445">
      <c r="A1445" s="327"/>
      <c r="B1445" s="327"/>
      <c r="C1445" s="295"/>
      <c r="D1445" s="334"/>
      <c r="E1445" s="295"/>
      <c r="F1445" s="329"/>
      <c r="G1445" s="295"/>
      <c r="I1445" s="295"/>
      <c r="J1445" s="230"/>
      <c r="K1445" s="329"/>
      <c r="L1445" s="295"/>
      <c r="M1445" s="295"/>
      <c r="N1445" s="295"/>
      <c r="O1445" s="295"/>
      <c r="P1445" s="295"/>
      <c r="Q1445" s="295"/>
      <c r="R1445" s="295"/>
      <c r="S1445" s="295"/>
      <c r="T1445" s="295"/>
      <c r="U1445" s="295"/>
      <c r="V1445" s="295"/>
      <c r="W1445" s="295"/>
      <c r="X1445" s="295"/>
      <c r="Y1445" s="295"/>
      <c r="Z1445" s="295"/>
      <c r="AA1445" s="295"/>
    </row>
    <row r="1446">
      <c r="A1446" s="327"/>
      <c r="B1446" s="327"/>
      <c r="C1446" s="295"/>
      <c r="D1446" s="334"/>
      <c r="E1446" s="295"/>
      <c r="F1446" s="329"/>
      <c r="G1446" s="295"/>
      <c r="I1446" s="295"/>
      <c r="J1446" s="230"/>
      <c r="K1446" s="329"/>
      <c r="L1446" s="295"/>
      <c r="M1446" s="295"/>
      <c r="N1446" s="295"/>
      <c r="O1446" s="295"/>
      <c r="P1446" s="295"/>
      <c r="Q1446" s="295"/>
      <c r="R1446" s="295"/>
      <c r="S1446" s="295"/>
      <c r="T1446" s="295"/>
      <c r="U1446" s="295"/>
      <c r="V1446" s="295"/>
      <c r="W1446" s="295"/>
      <c r="X1446" s="295"/>
      <c r="Y1446" s="295"/>
      <c r="Z1446" s="295"/>
      <c r="AA1446" s="295"/>
    </row>
    <row r="1447">
      <c r="A1447" s="327"/>
      <c r="B1447" s="327"/>
      <c r="C1447" s="295"/>
      <c r="D1447" s="334"/>
      <c r="E1447" s="295"/>
      <c r="F1447" s="329"/>
      <c r="G1447" s="295"/>
      <c r="I1447" s="295"/>
      <c r="J1447" s="230"/>
      <c r="K1447" s="329"/>
      <c r="L1447" s="295"/>
      <c r="M1447" s="295"/>
      <c r="N1447" s="295"/>
      <c r="O1447" s="295"/>
      <c r="P1447" s="295"/>
      <c r="Q1447" s="295"/>
      <c r="R1447" s="295"/>
      <c r="S1447" s="295"/>
      <c r="T1447" s="295"/>
      <c r="U1447" s="295"/>
      <c r="V1447" s="295"/>
      <c r="W1447" s="295"/>
      <c r="X1447" s="295"/>
      <c r="Y1447" s="295"/>
      <c r="Z1447" s="295"/>
      <c r="AA1447" s="295"/>
    </row>
    <row r="1448">
      <c r="A1448" s="327"/>
      <c r="B1448" s="327"/>
      <c r="C1448" s="295"/>
      <c r="D1448" s="334"/>
      <c r="E1448" s="295"/>
      <c r="F1448" s="329"/>
      <c r="G1448" s="295"/>
      <c r="I1448" s="295"/>
      <c r="J1448" s="230"/>
      <c r="K1448" s="329"/>
      <c r="L1448" s="295"/>
      <c r="M1448" s="295"/>
      <c r="N1448" s="295"/>
      <c r="O1448" s="295"/>
      <c r="P1448" s="295"/>
      <c r="Q1448" s="295"/>
      <c r="R1448" s="295"/>
      <c r="S1448" s="295"/>
      <c r="T1448" s="295"/>
      <c r="U1448" s="295"/>
      <c r="V1448" s="295"/>
      <c r="W1448" s="295"/>
      <c r="X1448" s="295"/>
      <c r="Y1448" s="295"/>
      <c r="Z1448" s="295"/>
      <c r="AA1448" s="295"/>
    </row>
    <row r="1449">
      <c r="A1449" s="327"/>
      <c r="B1449" s="327"/>
      <c r="C1449" s="295"/>
      <c r="D1449" s="334"/>
      <c r="E1449" s="295"/>
      <c r="F1449" s="329"/>
      <c r="G1449" s="295"/>
      <c r="I1449" s="295"/>
      <c r="J1449" s="230"/>
      <c r="K1449" s="329"/>
      <c r="L1449" s="295"/>
      <c r="M1449" s="295"/>
      <c r="N1449" s="295"/>
      <c r="O1449" s="295"/>
      <c r="P1449" s="295"/>
      <c r="Q1449" s="295"/>
      <c r="R1449" s="295"/>
      <c r="S1449" s="295"/>
      <c r="T1449" s="295"/>
      <c r="U1449" s="295"/>
      <c r="V1449" s="295"/>
      <c r="W1449" s="295"/>
      <c r="X1449" s="295"/>
      <c r="Y1449" s="295"/>
      <c r="Z1449" s="295"/>
      <c r="AA1449" s="295"/>
    </row>
    <row r="1450">
      <c r="A1450" s="327"/>
      <c r="B1450" s="327"/>
      <c r="C1450" s="295"/>
      <c r="D1450" s="334"/>
      <c r="E1450" s="295"/>
      <c r="F1450" s="329"/>
      <c r="G1450" s="295"/>
      <c r="I1450" s="295"/>
      <c r="J1450" s="230"/>
      <c r="K1450" s="329"/>
      <c r="L1450" s="295"/>
      <c r="M1450" s="295"/>
      <c r="N1450" s="295"/>
      <c r="O1450" s="295"/>
      <c r="P1450" s="295"/>
      <c r="Q1450" s="295"/>
      <c r="R1450" s="295"/>
      <c r="S1450" s="295"/>
      <c r="T1450" s="295"/>
      <c r="U1450" s="295"/>
      <c r="V1450" s="295"/>
      <c r="W1450" s="295"/>
      <c r="X1450" s="295"/>
      <c r="Y1450" s="295"/>
      <c r="Z1450" s="295"/>
      <c r="AA1450" s="295"/>
    </row>
    <row r="1451">
      <c r="A1451" s="327"/>
      <c r="B1451" s="327"/>
      <c r="C1451" s="295"/>
      <c r="D1451" s="334"/>
      <c r="E1451" s="295"/>
      <c r="F1451" s="329"/>
      <c r="G1451" s="295"/>
      <c r="I1451" s="295"/>
      <c r="J1451" s="230"/>
      <c r="K1451" s="329"/>
      <c r="L1451" s="295"/>
      <c r="M1451" s="295"/>
      <c r="N1451" s="295"/>
      <c r="O1451" s="295"/>
      <c r="P1451" s="295"/>
      <c r="Q1451" s="295"/>
      <c r="R1451" s="295"/>
      <c r="S1451" s="295"/>
      <c r="T1451" s="295"/>
      <c r="U1451" s="295"/>
      <c r="V1451" s="295"/>
      <c r="W1451" s="295"/>
      <c r="X1451" s="295"/>
      <c r="Y1451" s="295"/>
      <c r="Z1451" s="295"/>
      <c r="AA1451" s="295"/>
    </row>
    <row r="1452">
      <c r="A1452" s="327"/>
      <c r="B1452" s="327"/>
      <c r="C1452" s="295"/>
      <c r="D1452" s="334"/>
      <c r="E1452" s="295"/>
      <c r="F1452" s="329"/>
      <c r="G1452" s="295"/>
      <c r="I1452" s="295"/>
      <c r="J1452" s="230"/>
      <c r="K1452" s="329"/>
      <c r="L1452" s="295"/>
      <c r="M1452" s="295"/>
      <c r="N1452" s="295"/>
      <c r="O1452" s="295"/>
      <c r="P1452" s="295"/>
      <c r="Q1452" s="295"/>
      <c r="R1452" s="295"/>
      <c r="S1452" s="295"/>
      <c r="T1452" s="295"/>
      <c r="U1452" s="295"/>
      <c r="V1452" s="295"/>
      <c r="W1452" s="295"/>
      <c r="X1452" s="295"/>
      <c r="Y1452" s="295"/>
      <c r="Z1452" s="295"/>
      <c r="AA1452" s="295"/>
    </row>
    <row r="1453">
      <c r="A1453" s="327"/>
      <c r="B1453" s="327"/>
      <c r="C1453" s="295"/>
      <c r="D1453" s="334"/>
      <c r="E1453" s="295"/>
      <c r="F1453" s="329"/>
      <c r="G1453" s="295"/>
      <c r="I1453" s="295"/>
      <c r="J1453" s="230"/>
      <c r="K1453" s="329"/>
      <c r="L1453" s="295"/>
      <c r="M1453" s="295"/>
      <c r="N1453" s="295"/>
      <c r="O1453" s="295"/>
      <c r="P1453" s="295"/>
      <c r="Q1453" s="295"/>
      <c r="R1453" s="295"/>
      <c r="S1453" s="295"/>
      <c r="T1453" s="295"/>
      <c r="U1453" s="295"/>
      <c r="V1453" s="295"/>
      <c r="W1453" s="295"/>
      <c r="X1453" s="295"/>
      <c r="Y1453" s="295"/>
      <c r="Z1453" s="295"/>
      <c r="AA1453" s="295"/>
    </row>
    <row r="1454">
      <c r="A1454" s="327"/>
      <c r="B1454" s="327"/>
      <c r="C1454" s="295"/>
      <c r="D1454" s="334"/>
      <c r="E1454" s="295"/>
      <c r="F1454" s="329"/>
      <c r="G1454" s="295"/>
      <c r="I1454" s="295"/>
      <c r="J1454" s="230"/>
      <c r="K1454" s="329"/>
      <c r="L1454" s="295"/>
      <c r="M1454" s="295"/>
      <c r="N1454" s="295"/>
      <c r="O1454" s="295"/>
      <c r="P1454" s="295"/>
      <c r="Q1454" s="295"/>
      <c r="R1454" s="295"/>
      <c r="S1454" s="295"/>
      <c r="T1454" s="295"/>
      <c r="U1454" s="295"/>
      <c r="V1454" s="295"/>
      <c r="W1454" s="295"/>
      <c r="X1454" s="295"/>
      <c r="Y1454" s="295"/>
      <c r="Z1454" s="295"/>
      <c r="AA1454" s="295"/>
    </row>
    <row r="1455">
      <c r="A1455" s="327"/>
      <c r="B1455" s="327"/>
      <c r="C1455" s="295"/>
      <c r="D1455" s="334"/>
      <c r="E1455" s="295"/>
      <c r="F1455" s="329"/>
      <c r="G1455" s="295"/>
      <c r="I1455" s="295"/>
      <c r="J1455" s="230"/>
      <c r="K1455" s="329"/>
      <c r="L1455" s="295"/>
      <c r="M1455" s="295"/>
      <c r="N1455" s="295"/>
      <c r="O1455" s="295"/>
      <c r="P1455" s="295"/>
      <c r="Q1455" s="295"/>
      <c r="R1455" s="295"/>
      <c r="S1455" s="295"/>
      <c r="T1455" s="295"/>
      <c r="U1455" s="295"/>
      <c r="V1455" s="295"/>
      <c r="W1455" s="295"/>
      <c r="X1455" s="295"/>
      <c r="Y1455" s="295"/>
      <c r="Z1455" s="295"/>
      <c r="AA1455" s="295"/>
    </row>
    <row r="1456">
      <c r="A1456" s="327"/>
      <c r="B1456" s="327"/>
      <c r="C1456" s="295"/>
      <c r="D1456" s="334"/>
      <c r="E1456" s="295"/>
      <c r="F1456" s="329"/>
      <c r="G1456" s="295"/>
      <c r="I1456" s="295"/>
      <c r="J1456" s="230"/>
      <c r="K1456" s="329"/>
      <c r="L1456" s="295"/>
      <c r="M1456" s="295"/>
      <c r="N1456" s="295"/>
      <c r="O1456" s="295"/>
      <c r="P1456" s="295"/>
      <c r="Q1456" s="295"/>
      <c r="R1456" s="295"/>
      <c r="S1456" s="295"/>
      <c r="T1456" s="295"/>
      <c r="U1456" s="295"/>
      <c r="V1456" s="295"/>
      <c r="W1456" s="295"/>
      <c r="X1456" s="295"/>
      <c r="Y1456" s="295"/>
      <c r="Z1456" s="295"/>
      <c r="AA1456" s="295"/>
    </row>
    <row r="1457">
      <c r="A1457" s="327"/>
      <c r="B1457" s="327"/>
      <c r="C1457" s="295"/>
      <c r="D1457" s="334"/>
      <c r="E1457" s="295"/>
      <c r="F1457" s="329"/>
      <c r="G1457" s="295"/>
      <c r="I1457" s="295"/>
      <c r="J1457" s="230"/>
      <c r="K1457" s="329"/>
      <c r="L1457" s="295"/>
      <c r="M1457" s="295"/>
      <c r="N1457" s="295"/>
      <c r="O1457" s="295"/>
      <c r="P1457" s="295"/>
      <c r="Q1457" s="295"/>
      <c r="R1457" s="295"/>
      <c r="S1457" s="295"/>
      <c r="T1457" s="295"/>
      <c r="U1457" s="295"/>
      <c r="V1457" s="295"/>
      <c r="W1457" s="295"/>
      <c r="X1457" s="295"/>
      <c r="Y1457" s="295"/>
      <c r="Z1457" s="295"/>
      <c r="AA1457" s="295"/>
    </row>
    <row r="1458">
      <c r="A1458" s="327"/>
      <c r="B1458" s="327"/>
      <c r="C1458" s="295"/>
      <c r="D1458" s="334"/>
      <c r="E1458" s="295"/>
      <c r="F1458" s="329"/>
      <c r="G1458" s="295"/>
      <c r="I1458" s="295"/>
      <c r="J1458" s="230"/>
      <c r="K1458" s="329"/>
      <c r="L1458" s="295"/>
      <c r="M1458" s="295"/>
      <c r="N1458" s="295"/>
      <c r="O1458" s="295"/>
      <c r="P1458" s="295"/>
      <c r="Q1458" s="295"/>
      <c r="R1458" s="295"/>
      <c r="S1458" s="295"/>
      <c r="T1458" s="295"/>
      <c r="U1458" s="295"/>
      <c r="V1458" s="295"/>
      <c r="W1458" s="295"/>
      <c r="X1458" s="295"/>
      <c r="Y1458" s="295"/>
      <c r="Z1458" s="295"/>
      <c r="AA1458" s="295"/>
    </row>
    <row r="1459">
      <c r="A1459" s="327"/>
      <c r="B1459" s="327"/>
      <c r="C1459" s="295"/>
      <c r="D1459" s="334"/>
      <c r="E1459" s="295"/>
      <c r="F1459" s="329"/>
      <c r="G1459" s="295"/>
      <c r="I1459" s="295"/>
      <c r="J1459" s="230"/>
      <c r="K1459" s="329"/>
      <c r="L1459" s="295"/>
      <c r="M1459" s="295"/>
      <c r="N1459" s="295"/>
      <c r="O1459" s="295"/>
      <c r="P1459" s="295"/>
      <c r="Q1459" s="295"/>
      <c r="R1459" s="295"/>
      <c r="S1459" s="295"/>
      <c r="T1459" s="295"/>
      <c r="U1459" s="295"/>
      <c r="V1459" s="295"/>
      <c r="W1459" s="295"/>
      <c r="X1459" s="295"/>
      <c r="Y1459" s="295"/>
      <c r="Z1459" s="295"/>
      <c r="AA1459" s="295"/>
    </row>
    <row r="1460">
      <c r="A1460" s="327"/>
      <c r="B1460" s="327"/>
      <c r="C1460" s="295"/>
      <c r="D1460" s="334"/>
      <c r="E1460" s="295"/>
      <c r="F1460" s="329"/>
      <c r="G1460" s="295"/>
      <c r="I1460" s="295"/>
      <c r="J1460" s="230"/>
      <c r="K1460" s="329"/>
      <c r="L1460" s="295"/>
      <c r="M1460" s="295"/>
      <c r="N1460" s="295"/>
      <c r="O1460" s="295"/>
      <c r="P1460" s="295"/>
      <c r="Q1460" s="295"/>
      <c r="R1460" s="295"/>
      <c r="S1460" s="295"/>
      <c r="T1460" s="295"/>
      <c r="U1460" s="295"/>
      <c r="V1460" s="295"/>
      <c r="W1460" s="295"/>
      <c r="X1460" s="295"/>
      <c r="Y1460" s="295"/>
      <c r="Z1460" s="295"/>
      <c r="AA1460" s="295"/>
    </row>
    <row r="1461">
      <c r="A1461" s="327"/>
      <c r="B1461" s="327"/>
      <c r="C1461" s="295"/>
      <c r="D1461" s="334"/>
      <c r="E1461" s="295"/>
      <c r="F1461" s="329"/>
      <c r="G1461" s="295"/>
      <c r="I1461" s="295"/>
      <c r="J1461" s="230"/>
      <c r="K1461" s="329"/>
      <c r="L1461" s="295"/>
      <c r="M1461" s="295"/>
      <c r="N1461" s="295"/>
      <c r="O1461" s="295"/>
      <c r="P1461" s="295"/>
      <c r="Q1461" s="295"/>
      <c r="R1461" s="295"/>
      <c r="S1461" s="295"/>
      <c r="T1461" s="295"/>
      <c r="U1461" s="295"/>
      <c r="V1461" s="295"/>
      <c r="W1461" s="295"/>
      <c r="X1461" s="295"/>
      <c r="Y1461" s="295"/>
      <c r="Z1461" s="295"/>
      <c r="AA1461" s="295"/>
    </row>
    <row r="1462">
      <c r="A1462" s="327"/>
      <c r="B1462" s="327"/>
      <c r="C1462" s="295"/>
      <c r="D1462" s="334"/>
      <c r="E1462" s="295"/>
      <c r="F1462" s="329"/>
      <c r="G1462" s="295"/>
      <c r="I1462" s="295"/>
      <c r="J1462" s="230"/>
      <c r="K1462" s="329"/>
      <c r="L1462" s="295"/>
      <c r="M1462" s="295"/>
      <c r="N1462" s="295"/>
      <c r="O1462" s="295"/>
      <c r="P1462" s="295"/>
      <c r="Q1462" s="295"/>
      <c r="R1462" s="295"/>
      <c r="S1462" s="295"/>
      <c r="T1462" s="295"/>
      <c r="U1462" s="295"/>
      <c r="V1462" s="295"/>
      <c r="W1462" s="295"/>
      <c r="X1462" s="295"/>
      <c r="Y1462" s="295"/>
      <c r="Z1462" s="295"/>
      <c r="AA1462" s="295"/>
    </row>
    <row r="1463">
      <c r="A1463" s="327"/>
      <c r="B1463" s="327"/>
      <c r="C1463" s="295"/>
      <c r="D1463" s="334"/>
      <c r="E1463" s="295"/>
      <c r="F1463" s="329"/>
      <c r="G1463" s="295"/>
      <c r="I1463" s="295"/>
      <c r="J1463" s="230"/>
      <c r="K1463" s="329"/>
      <c r="L1463" s="295"/>
      <c r="M1463" s="295"/>
      <c r="N1463" s="295"/>
      <c r="O1463" s="295"/>
      <c r="P1463" s="295"/>
      <c r="Q1463" s="295"/>
      <c r="R1463" s="295"/>
      <c r="S1463" s="295"/>
      <c r="T1463" s="295"/>
      <c r="U1463" s="295"/>
      <c r="V1463" s="295"/>
      <c r="W1463" s="295"/>
      <c r="X1463" s="295"/>
      <c r="Y1463" s="295"/>
      <c r="Z1463" s="295"/>
      <c r="AA1463" s="295"/>
    </row>
    <row r="1464">
      <c r="A1464" s="327"/>
      <c r="B1464" s="327"/>
      <c r="C1464" s="295"/>
      <c r="D1464" s="334"/>
      <c r="E1464" s="295"/>
      <c r="F1464" s="329"/>
      <c r="G1464" s="295"/>
      <c r="I1464" s="295"/>
      <c r="J1464" s="230"/>
      <c r="K1464" s="329"/>
      <c r="L1464" s="295"/>
      <c r="M1464" s="295"/>
      <c r="N1464" s="295"/>
      <c r="O1464" s="295"/>
      <c r="P1464" s="295"/>
      <c r="Q1464" s="295"/>
      <c r="R1464" s="295"/>
      <c r="S1464" s="295"/>
      <c r="T1464" s="295"/>
      <c r="U1464" s="295"/>
      <c r="V1464" s="295"/>
      <c r="W1464" s="295"/>
      <c r="X1464" s="295"/>
      <c r="Y1464" s="295"/>
      <c r="Z1464" s="295"/>
      <c r="AA1464" s="295"/>
    </row>
    <row r="1465">
      <c r="A1465" s="327"/>
      <c r="B1465" s="327"/>
      <c r="C1465" s="295"/>
      <c r="D1465" s="334"/>
      <c r="E1465" s="295"/>
      <c r="F1465" s="329"/>
      <c r="G1465" s="295"/>
      <c r="I1465" s="295"/>
      <c r="J1465" s="230"/>
      <c r="K1465" s="329"/>
      <c r="L1465" s="295"/>
      <c r="M1465" s="295"/>
      <c r="N1465" s="295"/>
      <c r="O1465" s="295"/>
      <c r="P1465" s="295"/>
      <c r="Q1465" s="295"/>
      <c r="R1465" s="295"/>
      <c r="S1465" s="295"/>
      <c r="T1465" s="295"/>
      <c r="U1465" s="295"/>
      <c r="V1465" s="295"/>
      <c r="W1465" s="295"/>
      <c r="X1465" s="295"/>
      <c r="Y1465" s="295"/>
      <c r="Z1465" s="295"/>
      <c r="AA1465" s="295"/>
    </row>
    <row r="1466">
      <c r="A1466" s="327"/>
      <c r="B1466" s="327"/>
      <c r="C1466" s="295"/>
      <c r="D1466" s="334"/>
      <c r="E1466" s="295"/>
      <c r="F1466" s="329"/>
      <c r="G1466" s="295"/>
      <c r="I1466" s="295"/>
      <c r="J1466" s="230"/>
      <c r="K1466" s="329"/>
      <c r="L1466" s="295"/>
      <c r="M1466" s="295"/>
      <c r="N1466" s="295"/>
      <c r="O1466" s="295"/>
      <c r="P1466" s="295"/>
      <c r="Q1466" s="295"/>
      <c r="R1466" s="295"/>
      <c r="S1466" s="295"/>
      <c r="T1466" s="295"/>
      <c r="U1466" s="295"/>
      <c r="V1466" s="295"/>
      <c r="W1466" s="295"/>
      <c r="X1466" s="295"/>
      <c r="Y1466" s="295"/>
      <c r="Z1466" s="295"/>
      <c r="AA1466" s="295"/>
    </row>
    <row r="1467">
      <c r="A1467" s="327"/>
      <c r="B1467" s="327"/>
      <c r="C1467" s="295"/>
      <c r="D1467" s="334"/>
      <c r="E1467" s="295"/>
      <c r="F1467" s="329"/>
      <c r="G1467" s="295"/>
      <c r="I1467" s="295"/>
      <c r="J1467" s="230"/>
      <c r="K1467" s="329"/>
      <c r="L1467" s="295"/>
      <c r="M1467" s="295"/>
      <c r="N1467" s="295"/>
      <c r="O1467" s="295"/>
      <c r="P1467" s="295"/>
      <c r="Q1467" s="295"/>
      <c r="R1467" s="295"/>
      <c r="S1467" s="295"/>
      <c r="T1467" s="295"/>
      <c r="U1467" s="295"/>
      <c r="V1467" s="295"/>
      <c r="W1467" s="295"/>
      <c r="X1467" s="295"/>
      <c r="Y1467" s="295"/>
      <c r="Z1467" s="295"/>
      <c r="AA1467" s="295"/>
    </row>
    <row r="1468">
      <c r="A1468" s="327"/>
      <c r="B1468" s="327"/>
      <c r="C1468" s="295"/>
      <c r="D1468" s="334"/>
      <c r="E1468" s="295"/>
      <c r="F1468" s="329"/>
      <c r="G1468" s="295"/>
      <c r="I1468" s="295"/>
      <c r="J1468" s="230"/>
      <c r="K1468" s="329"/>
      <c r="L1468" s="295"/>
      <c r="M1468" s="295"/>
      <c r="N1468" s="295"/>
      <c r="O1468" s="295"/>
      <c r="P1468" s="295"/>
      <c r="Q1468" s="295"/>
      <c r="R1468" s="295"/>
      <c r="S1468" s="295"/>
      <c r="T1468" s="295"/>
      <c r="U1468" s="295"/>
      <c r="V1468" s="295"/>
      <c r="W1468" s="295"/>
      <c r="X1468" s="295"/>
      <c r="Y1468" s="295"/>
      <c r="Z1468" s="295"/>
      <c r="AA1468" s="295"/>
    </row>
    <row r="1469">
      <c r="A1469" s="327"/>
      <c r="B1469" s="327"/>
      <c r="C1469" s="295"/>
      <c r="D1469" s="334"/>
      <c r="E1469" s="295"/>
      <c r="F1469" s="329"/>
      <c r="G1469" s="295"/>
      <c r="I1469" s="295"/>
      <c r="J1469" s="230"/>
      <c r="K1469" s="329"/>
      <c r="L1469" s="295"/>
      <c r="M1469" s="295"/>
      <c r="N1469" s="295"/>
      <c r="O1469" s="295"/>
      <c r="P1469" s="295"/>
      <c r="Q1469" s="295"/>
      <c r="R1469" s="295"/>
      <c r="S1469" s="295"/>
      <c r="T1469" s="295"/>
      <c r="U1469" s="295"/>
      <c r="V1469" s="295"/>
      <c r="W1469" s="295"/>
      <c r="X1469" s="295"/>
      <c r="Y1469" s="295"/>
      <c r="Z1469" s="295"/>
      <c r="AA1469" s="295"/>
    </row>
    <row r="1470">
      <c r="A1470" s="327"/>
      <c r="B1470" s="327"/>
      <c r="C1470" s="295"/>
      <c r="D1470" s="334"/>
      <c r="E1470" s="295"/>
      <c r="F1470" s="329"/>
      <c r="G1470" s="295"/>
      <c r="I1470" s="295"/>
      <c r="J1470" s="230"/>
      <c r="K1470" s="329"/>
      <c r="L1470" s="295"/>
      <c r="M1470" s="295"/>
      <c r="N1470" s="295"/>
      <c r="O1470" s="295"/>
      <c r="P1470" s="295"/>
      <c r="Q1470" s="295"/>
      <c r="R1470" s="295"/>
      <c r="S1470" s="295"/>
      <c r="T1470" s="295"/>
      <c r="U1470" s="295"/>
      <c r="V1470" s="295"/>
      <c r="W1470" s="295"/>
      <c r="X1470" s="295"/>
      <c r="Y1470" s="295"/>
      <c r="Z1470" s="295"/>
      <c r="AA1470" s="295"/>
    </row>
    <row r="1471">
      <c r="A1471" s="327"/>
      <c r="B1471" s="327"/>
      <c r="C1471" s="295"/>
      <c r="D1471" s="334"/>
      <c r="E1471" s="295"/>
      <c r="F1471" s="329"/>
      <c r="G1471" s="295"/>
      <c r="I1471" s="295"/>
      <c r="J1471" s="230"/>
      <c r="K1471" s="329"/>
      <c r="L1471" s="295"/>
      <c r="M1471" s="295"/>
      <c r="N1471" s="295"/>
      <c r="O1471" s="295"/>
      <c r="P1471" s="295"/>
      <c r="Q1471" s="295"/>
      <c r="R1471" s="295"/>
      <c r="S1471" s="295"/>
      <c r="T1471" s="295"/>
      <c r="U1471" s="295"/>
      <c r="V1471" s="295"/>
      <c r="W1471" s="295"/>
      <c r="X1471" s="295"/>
      <c r="Y1471" s="295"/>
      <c r="Z1471" s="295"/>
      <c r="AA1471" s="295"/>
    </row>
    <row r="1472">
      <c r="A1472" s="327"/>
      <c r="B1472" s="327"/>
      <c r="C1472" s="295"/>
      <c r="D1472" s="334"/>
      <c r="E1472" s="295"/>
      <c r="F1472" s="329"/>
      <c r="G1472" s="295"/>
      <c r="I1472" s="295"/>
      <c r="J1472" s="230"/>
      <c r="K1472" s="329"/>
      <c r="L1472" s="295"/>
      <c r="M1472" s="295"/>
      <c r="N1472" s="295"/>
      <c r="O1472" s="295"/>
      <c r="P1472" s="295"/>
      <c r="Q1472" s="295"/>
      <c r="R1472" s="295"/>
      <c r="S1472" s="295"/>
      <c r="T1472" s="295"/>
      <c r="U1472" s="295"/>
      <c r="V1472" s="295"/>
      <c r="W1472" s="295"/>
      <c r="X1472" s="295"/>
      <c r="Y1472" s="295"/>
      <c r="Z1472" s="295"/>
      <c r="AA1472" s="295"/>
    </row>
    <row r="1473">
      <c r="A1473" s="327"/>
      <c r="B1473" s="327"/>
      <c r="C1473" s="295"/>
      <c r="D1473" s="334"/>
      <c r="E1473" s="295"/>
      <c r="F1473" s="329"/>
      <c r="G1473" s="295"/>
      <c r="I1473" s="295"/>
      <c r="J1473" s="230"/>
      <c r="K1473" s="329"/>
      <c r="L1473" s="295"/>
      <c r="M1473" s="295"/>
      <c r="N1473" s="295"/>
      <c r="O1473" s="295"/>
      <c r="P1473" s="295"/>
      <c r="Q1473" s="295"/>
      <c r="R1473" s="295"/>
      <c r="S1473" s="295"/>
      <c r="T1473" s="295"/>
      <c r="U1473" s="295"/>
      <c r="V1473" s="295"/>
      <c r="W1473" s="295"/>
      <c r="X1473" s="295"/>
      <c r="Y1473" s="295"/>
      <c r="Z1473" s="295"/>
      <c r="AA1473" s="295"/>
    </row>
    <row r="1474">
      <c r="A1474" s="327"/>
      <c r="B1474" s="327"/>
      <c r="C1474" s="295"/>
      <c r="D1474" s="334"/>
      <c r="E1474" s="295"/>
      <c r="F1474" s="329"/>
      <c r="G1474" s="295"/>
      <c r="I1474" s="295"/>
      <c r="J1474" s="230"/>
      <c r="K1474" s="329"/>
      <c r="L1474" s="295"/>
      <c r="M1474" s="295"/>
      <c r="N1474" s="295"/>
      <c r="O1474" s="295"/>
      <c r="P1474" s="295"/>
      <c r="Q1474" s="295"/>
      <c r="R1474" s="295"/>
      <c r="S1474" s="295"/>
      <c r="T1474" s="295"/>
      <c r="U1474" s="295"/>
      <c r="V1474" s="295"/>
      <c r="W1474" s="295"/>
      <c r="X1474" s="295"/>
      <c r="Y1474" s="295"/>
      <c r="Z1474" s="295"/>
      <c r="AA1474" s="295"/>
    </row>
    <row r="1475">
      <c r="A1475" s="327"/>
      <c r="B1475" s="327"/>
      <c r="C1475" s="295"/>
      <c r="D1475" s="334"/>
      <c r="E1475" s="295"/>
      <c r="F1475" s="329"/>
      <c r="G1475" s="295"/>
      <c r="I1475" s="295"/>
      <c r="J1475" s="230"/>
      <c r="K1475" s="329"/>
      <c r="L1475" s="295"/>
      <c r="M1475" s="295"/>
      <c r="N1475" s="295"/>
      <c r="O1475" s="295"/>
      <c r="P1475" s="295"/>
      <c r="Q1475" s="295"/>
      <c r="R1475" s="295"/>
      <c r="S1475" s="295"/>
      <c r="T1475" s="295"/>
      <c r="U1475" s="295"/>
      <c r="V1475" s="295"/>
      <c r="W1475" s="295"/>
      <c r="X1475" s="295"/>
      <c r="Y1475" s="295"/>
      <c r="Z1475" s="295"/>
      <c r="AA1475" s="295"/>
    </row>
    <row r="1476">
      <c r="A1476" s="327"/>
      <c r="B1476" s="327"/>
      <c r="C1476" s="295"/>
      <c r="D1476" s="334"/>
      <c r="E1476" s="295"/>
      <c r="F1476" s="329"/>
      <c r="G1476" s="295"/>
      <c r="I1476" s="295"/>
      <c r="J1476" s="230"/>
      <c r="K1476" s="329"/>
      <c r="L1476" s="295"/>
      <c r="M1476" s="295"/>
      <c r="N1476" s="295"/>
      <c r="O1476" s="295"/>
      <c r="P1476" s="295"/>
      <c r="Q1476" s="295"/>
      <c r="R1476" s="295"/>
      <c r="S1476" s="295"/>
      <c r="T1476" s="295"/>
      <c r="U1476" s="295"/>
      <c r="V1476" s="295"/>
      <c r="W1476" s="295"/>
      <c r="X1476" s="295"/>
      <c r="Y1476" s="295"/>
      <c r="Z1476" s="295"/>
      <c r="AA1476" s="295"/>
    </row>
    <row r="1477">
      <c r="A1477" s="327"/>
      <c r="B1477" s="327"/>
      <c r="C1477" s="295"/>
      <c r="D1477" s="334"/>
      <c r="E1477" s="295"/>
      <c r="F1477" s="329"/>
      <c r="G1477" s="295"/>
      <c r="I1477" s="295"/>
      <c r="J1477" s="230"/>
      <c r="K1477" s="329"/>
      <c r="L1477" s="295"/>
      <c r="M1477" s="295"/>
      <c r="N1477" s="295"/>
      <c r="O1477" s="295"/>
      <c r="P1477" s="295"/>
      <c r="Q1477" s="295"/>
      <c r="R1477" s="295"/>
      <c r="S1477" s="295"/>
      <c r="T1477" s="295"/>
      <c r="U1477" s="295"/>
      <c r="V1477" s="295"/>
      <c r="W1477" s="295"/>
      <c r="X1477" s="295"/>
      <c r="Y1477" s="295"/>
      <c r="Z1477" s="295"/>
      <c r="AA1477" s="295"/>
    </row>
    <row r="1478">
      <c r="A1478" s="327"/>
      <c r="B1478" s="327"/>
      <c r="C1478" s="295"/>
      <c r="D1478" s="334"/>
      <c r="E1478" s="295"/>
      <c r="F1478" s="329"/>
      <c r="G1478" s="295"/>
      <c r="I1478" s="295"/>
      <c r="J1478" s="230"/>
      <c r="K1478" s="329"/>
      <c r="L1478" s="295"/>
      <c r="M1478" s="295"/>
      <c r="N1478" s="295"/>
      <c r="O1478" s="295"/>
      <c r="P1478" s="295"/>
      <c r="Q1478" s="295"/>
      <c r="R1478" s="295"/>
      <c r="S1478" s="295"/>
      <c r="T1478" s="295"/>
      <c r="U1478" s="295"/>
      <c r="V1478" s="295"/>
      <c r="W1478" s="295"/>
      <c r="X1478" s="295"/>
      <c r="Y1478" s="295"/>
      <c r="Z1478" s="295"/>
      <c r="AA1478" s="295"/>
    </row>
    <row r="1479">
      <c r="A1479" s="327"/>
      <c r="B1479" s="327"/>
      <c r="C1479" s="295"/>
      <c r="D1479" s="334"/>
      <c r="E1479" s="295"/>
      <c r="F1479" s="329"/>
      <c r="G1479" s="295"/>
      <c r="I1479" s="295"/>
      <c r="J1479" s="230"/>
      <c r="K1479" s="329"/>
      <c r="L1479" s="295"/>
      <c r="M1479" s="295"/>
      <c r="N1479" s="295"/>
      <c r="O1479" s="295"/>
      <c r="P1479" s="295"/>
      <c r="Q1479" s="295"/>
      <c r="R1479" s="295"/>
      <c r="S1479" s="295"/>
      <c r="T1479" s="295"/>
      <c r="U1479" s="295"/>
      <c r="V1479" s="295"/>
      <c r="W1479" s="295"/>
      <c r="X1479" s="295"/>
      <c r="Y1479" s="295"/>
      <c r="Z1479" s="295"/>
      <c r="AA1479" s="295"/>
    </row>
    <row r="1480">
      <c r="A1480" s="327"/>
      <c r="B1480" s="327"/>
      <c r="C1480" s="295"/>
      <c r="D1480" s="334"/>
      <c r="E1480" s="295"/>
      <c r="F1480" s="329"/>
      <c r="G1480" s="295"/>
      <c r="I1480" s="295"/>
      <c r="J1480" s="230"/>
      <c r="K1480" s="329"/>
      <c r="L1480" s="295"/>
      <c r="M1480" s="295"/>
      <c r="N1480" s="295"/>
      <c r="O1480" s="295"/>
      <c r="P1480" s="295"/>
      <c r="Q1480" s="295"/>
      <c r="R1480" s="295"/>
      <c r="S1480" s="295"/>
      <c r="T1480" s="295"/>
      <c r="U1480" s="295"/>
      <c r="V1480" s="295"/>
      <c r="W1480" s="295"/>
      <c r="X1480" s="295"/>
      <c r="Y1480" s="295"/>
      <c r="Z1480" s="295"/>
      <c r="AA1480" s="295"/>
    </row>
    <row r="1481">
      <c r="A1481" s="327"/>
      <c r="B1481" s="327"/>
      <c r="C1481" s="295"/>
      <c r="D1481" s="334"/>
      <c r="E1481" s="295"/>
      <c r="F1481" s="329"/>
      <c r="G1481" s="295"/>
      <c r="I1481" s="295"/>
      <c r="J1481" s="230"/>
      <c r="K1481" s="329"/>
      <c r="L1481" s="295"/>
      <c r="M1481" s="295"/>
      <c r="N1481" s="295"/>
      <c r="O1481" s="295"/>
      <c r="P1481" s="295"/>
      <c r="Q1481" s="295"/>
      <c r="R1481" s="295"/>
      <c r="S1481" s="295"/>
      <c r="T1481" s="295"/>
      <c r="U1481" s="295"/>
      <c r="V1481" s="295"/>
      <c r="W1481" s="295"/>
      <c r="X1481" s="295"/>
      <c r="Y1481" s="295"/>
      <c r="Z1481" s="295"/>
      <c r="AA1481" s="295"/>
    </row>
    <row r="1482">
      <c r="A1482" s="327"/>
      <c r="B1482" s="327"/>
      <c r="C1482" s="295"/>
      <c r="D1482" s="334"/>
      <c r="E1482" s="295"/>
      <c r="F1482" s="329"/>
      <c r="G1482" s="295"/>
      <c r="I1482" s="295"/>
      <c r="J1482" s="230"/>
      <c r="K1482" s="329"/>
      <c r="L1482" s="295"/>
      <c r="M1482" s="295"/>
      <c r="N1482" s="295"/>
      <c r="O1482" s="295"/>
      <c r="P1482" s="295"/>
      <c r="Q1482" s="295"/>
      <c r="R1482" s="295"/>
      <c r="S1482" s="295"/>
      <c r="T1482" s="295"/>
      <c r="U1482" s="295"/>
      <c r="V1482" s="295"/>
      <c r="W1482" s="295"/>
      <c r="X1482" s="295"/>
      <c r="Y1482" s="295"/>
      <c r="Z1482" s="295"/>
      <c r="AA1482" s="295"/>
    </row>
    <row r="1483">
      <c r="A1483" s="327"/>
      <c r="B1483" s="327"/>
      <c r="C1483" s="295"/>
      <c r="D1483" s="334"/>
      <c r="E1483" s="295"/>
      <c r="F1483" s="329"/>
      <c r="G1483" s="295"/>
      <c r="I1483" s="295"/>
      <c r="J1483" s="230"/>
      <c r="K1483" s="329"/>
      <c r="L1483" s="295"/>
      <c r="M1483" s="295"/>
      <c r="N1483" s="295"/>
      <c r="O1483" s="295"/>
      <c r="P1483" s="295"/>
      <c r="Q1483" s="295"/>
      <c r="R1483" s="295"/>
      <c r="S1483" s="295"/>
      <c r="T1483" s="295"/>
      <c r="U1483" s="295"/>
      <c r="V1483" s="295"/>
      <c r="W1483" s="295"/>
      <c r="X1483" s="295"/>
      <c r="Y1483" s="295"/>
      <c r="Z1483" s="295"/>
      <c r="AA1483" s="295"/>
    </row>
    <row r="1484">
      <c r="A1484" s="327"/>
      <c r="B1484" s="327"/>
      <c r="C1484" s="295"/>
      <c r="D1484" s="334"/>
      <c r="E1484" s="295"/>
      <c r="F1484" s="329"/>
      <c r="G1484" s="295"/>
      <c r="I1484" s="295"/>
      <c r="J1484" s="230"/>
      <c r="K1484" s="329"/>
      <c r="L1484" s="295"/>
      <c r="M1484" s="295"/>
      <c r="N1484" s="295"/>
      <c r="O1484" s="295"/>
      <c r="P1484" s="295"/>
      <c r="Q1484" s="295"/>
      <c r="R1484" s="295"/>
      <c r="S1484" s="295"/>
      <c r="T1484" s="295"/>
      <c r="U1484" s="295"/>
      <c r="V1484" s="295"/>
      <c r="W1484" s="295"/>
      <c r="X1484" s="295"/>
      <c r="Y1484" s="295"/>
      <c r="Z1484" s="295"/>
      <c r="AA1484" s="295"/>
    </row>
    <row r="1485">
      <c r="A1485" s="327"/>
      <c r="B1485" s="327"/>
      <c r="C1485" s="295"/>
      <c r="D1485" s="334"/>
      <c r="E1485" s="295"/>
      <c r="F1485" s="329"/>
      <c r="G1485" s="295"/>
      <c r="I1485" s="295"/>
      <c r="J1485" s="230"/>
      <c r="K1485" s="329"/>
      <c r="L1485" s="295"/>
      <c r="M1485" s="295"/>
      <c r="N1485" s="295"/>
      <c r="O1485" s="295"/>
      <c r="P1485" s="295"/>
      <c r="Q1485" s="295"/>
      <c r="R1485" s="295"/>
      <c r="S1485" s="295"/>
      <c r="T1485" s="295"/>
      <c r="U1485" s="295"/>
      <c r="V1485" s="295"/>
      <c r="W1485" s="295"/>
      <c r="X1485" s="295"/>
      <c r="Y1485" s="295"/>
      <c r="Z1485" s="295"/>
      <c r="AA1485" s="295"/>
    </row>
    <row r="1486">
      <c r="A1486" s="327"/>
      <c r="B1486" s="327"/>
      <c r="C1486" s="295"/>
      <c r="D1486" s="334"/>
      <c r="E1486" s="295"/>
      <c r="F1486" s="329"/>
      <c r="G1486" s="295"/>
      <c r="I1486" s="295"/>
      <c r="J1486" s="230"/>
      <c r="K1486" s="329"/>
      <c r="L1486" s="295"/>
      <c r="M1486" s="295"/>
      <c r="N1486" s="295"/>
      <c r="O1486" s="295"/>
      <c r="P1486" s="295"/>
      <c r="Q1486" s="295"/>
      <c r="R1486" s="295"/>
      <c r="S1486" s="295"/>
      <c r="T1486" s="295"/>
      <c r="U1486" s="295"/>
      <c r="V1486" s="295"/>
      <c r="W1486" s="295"/>
      <c r="X1486" s="295"/>
      <c r="Y1486" s="295"/>
      <c r="Z1486" s="295"/>
      <c r="AA1486" s="295"/>
    </row>
    <row r="1487">
      <c r="A1487" s="327"/>
      <c r="B1487" s="327"/>
      <c r="C1487" s="295"/>
      <c r="D1487" s="334"/>
      <c r="E1487" s="295"/>
      <c r="F1487" s="329"/>
      <c r="G1487" s="295"/>
      <c r="I1487" s="295"/>
      <c r="J1487" s="230"/>
      <c r="K1487" s="329"/>
      <c r="L1487" s="295"/>
      <c r="M1487" s="295"/>
      <c r="N1487" s="295"/>
      <c r="O1487" s="295"/>
      <c r="P1487" s="295"/>
      <c r="Q1487" s="295"/>
      <c r="R1487" s="295"/>
      <c r="S1487" s="295"/>
      <c r="T1487" s="295"/>
      <c r="U1487" s="295"/>
      <c r="V1487" s="295"/>
      <c r="W1487" s="295"/>
      <c r="X1487" s="295"/>
      <c r="Y1487" s="295"/>
      <c r="Z1487" s="295"/>
      <c r="AA1487" s="295"/>
    </row>
    <row r="1488">
      <c r="A1488" s="327"/>
      <c r="B1488" s="327"/>
      <c r="C1488" s="295"/>
      <c r="D1488" s="334"/>
      <c r="E1488" s="295"/>
      <c r="F1488" s="329"/>
      <c r="G1488" s="295"/>
      <c r="I1488" s="295"/>
      <c r="J1488" s="230"/>
      <c r="K1488" s="329"/>
      <c r="L1488" s="295"/>
      <c r="M1488" s="295"/>
      <c r="N1488" s="295"/>
      <c r="O1488" s="295"/>
      <c r="P1488" s="295"/>
      <c r="Q1488" s="295"/>
      <c r="R1488" s="295"/>
      <c r="S1488" s="295"/>
      <c r="T1488" s="295"/>
      <c r="U1488" s="295"/>
      <c r="V1488" s="295"/>
      <c r="W1488" s="295"/>
      <c r="X1488" s="295"/>
      <c r="Y1488" s="295"/>
      <c r="Z1488" s="295"/>
      <c r="AA1488" s="295"/>
    </row>
    <row r="1489">
      <c r="A1489" s="327"/>
      <c r="B1489" s="327"/>
      <c r="C1489" s="295"/>
      <c r="D1489" s="334"/>
      <c r="E1489" s="295"/>
      <c r="F1489" s="329"/>
      <c r="G1489" s="295"/>
      <c r="I1489" s="295"/>
      <c r="J1489" s="230"/>
      <c r="K1489" s="329"/>
      <c r="L1489" s="295"/>
      <c r="M1489" s="295"/>
      <c r="N1489" s="295"/>
      <c r="O1489" s="295"/>
      <c r="P1489" s="295"/>
      <c r="Q1489" s="295"/>
      <c r="R1489" s="295"/>
      <c r="S1489" s="295"/>
      <c r="T1489" s="295"/>
      <c r="U1489" s="295"/>
      <c r="V1489" s="295"/>
      <c r="W1489" s="295"/>
      <c r="X1489" s="295"/>
      <c r="Y1489" s="295"/>
      <c r="Z1489" s="295"/>
      <c r="AA1489" s="295"/>
    </row>
    <row r="1490">
      <c r="A1490" s="327"/>
      <c r="B1490" s="327"/>
      <c r="C1490" s="295"/>
      <c r="D1490" s="334"/>
      <c r="E1490" s="295"/>
      <c r="F1490" s="329"/>
      <c r="G1490" s="295"/>
      <c r="I1490" s="295"/>
      <c r="J1490" s="230"/>
      <c r="K1490" s="329"/>
      <c r="L1490" s="295"/>
      <c r="M1490" s="295"/>
      <c r="N1490" s="295"/>
      <c r="O1490" s="295"/>
      <c r="P1490" s="295"/>
      <c r="Q1490" s="295"/>
      <c r="R1490" s="295"/>
      <c r="S1490" s="295"/>
      <c r="T1490" s="295"/>
      <c r="U1490" s="295"/>
      <c r="V1490" s="295"/>
      <c r="W1490" s="295"/>
      <c r="X1490" s="295"/>
      <c r="Y1490" s="295"/>
      <c r="Z1490" s="295"/>
      <c r="AA1490" s="295"/>
    </row>
    <row r="1491">
      <c r="A1491" s="327"/>
      <c r="B1491" s="327"/>
      <c r="C1491" s="295"/>
      <c r="D1491" s="334"/>
      <c r="E1491" s="295"/>
      <c r="F1491" s="329"/>
      <c r="G1491" s="295"/>
      <c r="I1491" s="295"/>
      <c r="J1491" s="230"/>
      <c r="K1491" s="329"/>
      <c r="L1491" s="295"/>
      <c r="M1491" s="295"/>
      <c r="N1491" s="295"/>
      <c r="O1491" s="295"/>
      <c r="P1491" s="295"/>
      <c r="Q1491" s="295"/>
      <c r="R1491" s="295"/>
      <c r="S1491" s="295"/>
      <c r="T1491" s="295"/>
      <c r="U1491" s="295"/>
      <c r="V1491" s="295"/>
      <c r="W1491" s="295"/>
      <c r="X1491" s="295"/>
      <c r="Y1491" s="295"/>
      <c r="Z1491" s="295"/>
      <c r="AA1491" s="295"/>
    </row>
    <row r="1492">
      <c r="A1492" s="327"/>
      <c r="B1492" s="327"/>
      <c r="C1492" s="295"/>
      <c r="D1492" s="334"/>
      <c r="E1492" s="295"/>
      <c r="F1492" s="329"/>
      <c r="G1492" s="295"/>
      <c r="I1492" s="295"/>
      <c r="J1492" s="230"/>
      <c r="K1492" s="329"/>
      <c r="L1492" s="295"/>
      <c r="M1492" s="295"/>
      <c r="N1492" s="295"/>
      <c r="O1492" s="295"/>
      <c r="P1492" s="295"/>
      <c r="Q1492" s="295"/>
      <c r="R1492" s="295"/>
      <c r="S1492" s="295"/>
      <c r="T1492" s="295"/>
      <c r="U1492" s="295"/>
      <c r="V1492" s="295"/>
      <c r="W1492" s="295"/>
      <c r="X1492" s="295"/>
      <c r="Y1492" s="295"/>
      <c r="Z1492" s="295"/>
      <c r="AA1492" s="295"/>
    </row>
    <row r="1493">
      <c r="A1493" s="327"/>
      <c r="B1493" s="327"/>
      <c r="C1493" s="295"/>
      <c r="D1493" s="334"/>
      <c r="E1493" s="295"/>
      <c r="F1493" s="329"/>
      <c r="G1493" s="295"/>
      <c r="I1493" s="295"/>
      <c r="J1493" s="230"/>
      <c r="K1493" s="329"/>
      <c r="L1493" s="295"/>
      <c r="M1493" s="295"/>
      <c r="N1493" s="295"/>
      <c r="O1493" s="295"/>
      <c r="P1493" s="295"/>
      <c r="Q1493" s="295"/>
      <c r="R1493" s="295"/>
      <c r="S1493" s="295"/>
      <c r="T1493" s="295"/>
      <c r="U1493" s="295"/>
      <c r="V1493" s="295"/>
      <c r="W1493" s="295"/>
      <c r="X1493" s="295"/>
      <c r="Y1493" s="295"/>
      <c r="Z1493" s="295"/>
      <c r="AA1493" s="295"/>
    </row>
    <row r="1494">
      <c r="A1494" s="327"/>
      <c r="B1494" s="327"/>
      <c r="C1494" s="295"/>
      <c r="D1494" s="334"/>
      <c r="E1494" s="295"/>
      <c r="F1494" s="329"/>
      <c r="G1494" s="295"/>
      <c r="I1494" s="295"/>
      <c r="J1494" s="230"/>
      <c r="K1494" s="329"/>
      <c r="L1494" s="295"/>
      <c r="M1494" s="295"/>
      <c r="N1494" s="295"/>
      <c r="O1494" s="295"/>
      <c r="P1494" s="295"/>
      <c r="Q1494" s="295"/>
      <c r="R1494" s="295"/>
      <c r="S1494" s="295"/>
      <c r="T1494" s="295"/>
      <c r="U1494" s="295"/>
      <c r="V1494" s="295"/>
      <c r="W1494" s="295"/>
      <c r="X1494" s="295"/>
      <c r="Y1494" s="295"/>
      <c r="Z1494" s="295"/>
      <c r="AA1494" s="295"/>
    </row>
    <row r="1495">
      <c r="A1495" s="327"/>
      <c r="B1495" s="327"/>
      <c r="C1495" s="295"/>
      <c r="D1495" s="334"/>
      <c r="E1495" s="295"/>
      <c r="F1495" s="329"/>
      <c r="G1495" s="295"/>
      <c r="I1495" s="295"/>
      <c r="J1495" s="230"/>
      <c r="K1495" s="329"/>
      <c r="L1495" s="295"/>
      <c r="M1495" s="295"/>
      <c r="N1495" s="295"/>
      <c r="O1495" s="295"/>
      <c r="P1495" s="295"/>
      <c r="Q1495" s="295"/>
      <c r="R1495" s="295"/>
      <c r="S1495" s="295"/>
      <c r="T1495" s="295"/>
      <c r="U1495" s="295"/>
      <c r="V1495" s="295"/>
      <c r="W1495" s="295"/>
      <c r="X1495" s="295"/>
      <c r="Y1495" s="295"/>
      <c r="Z1495" s="295"/>
      <c r="AA1495" s="295"/>
    </row>
    <row r="1496">
      <c r="A1496" s="327"/>
      <c r="B1496" s="327"/>
      <c r="C1496" s="295"/>
      <c r="D1496" s="334"/>
      <c r="E1496" s="295"/>
      <c r="F1496" s="329"/>
      <c r="G1496" s="295"/>
      <c r="I1496" s="295"/>
      <c r="J1496" s="230"/>
      <c r="K1496" s="329"/>
      <c r="L1496" s="295"/>
      <c r="M1496" s="295"/>
      <c r="N1496" s="295"/>
      <c r="O1496" s="295"/>
      <c r="P1496" s="295"/>
      <c r="Q1496" s="295"/>
      <c r="R1496" s="295"/>
      <c r="S1496" s="295"/>
      <c r="T1496" s="295"/>
      <c r="U1496" s="295"/>
      <c r="V1496" s="295"/>
      <c r="W1496" s="295"/>
      <c r="X1496" s="295"/>
      <c r="Y1496" s="295"/>
      <c r="Z1496" s="295"/>
      <c r="AA1496" s="295"/>
    </row>
    <row r="1497">
      <c r="A1497" s="327"/>
      <c r="B1497" s="327"/>
      <c r="C1497" s="295"/>
      <c r="D1497" s="334"/>
      <c r="E1497" s="295"/>
      <c r="F1497" s="329"/>
      <c r="G1497" s="295"/>
      <c r="I1497" s="295"/>
      <c r="J1497" s="230"/>
      <c r="K1497" s="329"/>
      <c r="L1497" s="295"/>
      <c r="M1497" s="295"/>
      <c r="N1497" s="295"/>
      <c r="O1497" s="295"/>
      <c r="P1497" s="295"/>
      <c r="Q1497" s="295"/>
      <c r="R1497" s="295"/>
      <c r="S1497" s="295"/>
      <c r="T1497" s="295"/>
      <c r="U1497" s="295"/>
      <c r="V1497" s="295"/>
      <c r="W1497" s="295"/>
      <c r="X1497" s="295"/>
      <c r="Y1497" s="295"/>
      <c r="Z1497" s="295"/>
      <c r="AA1497" s="295"/>
    </row>
    <row r="1498">
      <c r="A1498" s="327"/>
      <c r="B1498" s="327"/>
      <c r="C1498" s="295"/>
      <c r="D1498" s="334"/>
      <c r="E1498" s="295"/>
      <c r="F1498" s="329"/>
      <c r="G1498" s="295"/>
      <c r="I1498" s="295"/>
      <c r="J1498" s="230"/>
      <c r="K1498" s="329"/>
      <c r="L1498" s="295"/>
      <c r="M1498" s="295"/>
      <c r="N1498" s="295"/>
      <c r="O1498" s="295"/>
      <c r="P1498" s="295"/>
      <c r="Q1498" s="295"/>
      <c r="R1498" s="295"/>
      <c r="S1498" s="295"/>
      <c r="T1498" s="295"/>
      <c r="U1498" s="295"/>
      <c r="V1498" s="295"/>
      <c r="W1498" s="295"/>
      <c r="X1498" s="295"/>
      <c r="Y1498" s="295"/>
      <c r="Z1498" s="295"/>
      <c r="AA1498" s="295"/>
    </row>
    <row r="1499">
      <c r="A1499" s="327"/>
      <c r="B1499" s="327"/>
      <c r="C1499" s="295"/>
      <c r="D1499" s="334"/>
      <c r="E1499" s="295"/>
      <c r="F1499" s="329"/>
      <c r="G1499" s="295"/>
      <c r="I1499" s="295"/>
      <c r="J1499" s="230"/>
      <c r="K1499" s="329"/>
      <c r="L1499" s="295"/>
      <c r="M1499" s="295"/>
      <c r="N1499" s="295"/>
      <c r="O1499" s="295"/>
      <c r="P1499" s="295"/>
      <c r="Q1499" s="295"/>
      <c r="R1499" s="295"/>
      <c r="S1499" s="295"/>
      <c r="T1499" s="295"/>
      <c r="U1499" s="295"/>
      <c r="V1499" s="295"/>
      <c r="W1499" s="295"/>
      <c r="X1499" s="295"/>
      <c r="Y1499" s="295"/>
      <c r="Z1499" s="295"/>
      <c r="AA1499" s="295"/>
    </row>
    <row r="1500">
      <c r="A1500" s="327"/>
      <c r="B1500" s="327"/>
      <c r="C1500" s="295"/>
      <c r="D1500" s="334"/>
      <c r="E1500" s="295"/>
      <c r="F1500" s="329"/>
      <c r="G1500" s="295"/>
      <c r="I1500" s="295"/>
      <c r="J1500" s="230"/>
      <c r="K1500" s="329"/>
      <c r="L1500" s="295"/>
      <c r="M1500" s="295"/>
      <c r="N1500" s="295"/>
      <c r="O1500" s="295"/>
      <c r="P1500" s="295"/>
      <c r="Q1500" s="295"/>
      <c r="R1500" s="295"/>
      <c r="S1500" s="295"/>
      <c r="T1500" s="295"/>
      <c r="U1500" s="295"/>
      <c r="V1500" s="295"/>
      <c r="W1500" s="295"/>
      <c r="X1500" s="295"/>
      <c r="Y1500" s="295"/>
      <c r="Z1500" s="295"/>
      <c r="AA1500" s="295"/>
    </row>
    <row r="1501">
      <c r="A1501" s="327"/>
      <c r="B1501" s="327"/>
      <c r="C1501" s="295"/>
      <c r="D1501" s="334"/>
      <c r="E1501" s="295"/>
      <c r="F1501" s="329"/>
      <c r="G1501" s="295"/>
      <c r="I1501" s="295"/>
      <c r="J1501" s="230"/>
      <c r="K1501" s="329"/>
      <c r="L1501" s="295"/>
      <c r="M1501" s="295"/>
      <c r="N1501" s="295"/>
      <c r="O1501" s="295"/>
      <c r="P1501" s="295"/>
      <c r="Q1501" s="295"/>
      <c r="R1501" s="295"/>
      <c r="S1501" s="295"/>
      <c r="T1501" s="295"/>
      <c r="U1501" s="295"/>
      <c r="V1501" s="295"/>
      <c r="W1501" s="295"/>
      <c r="X1501" s="295"/>
      <c r="Y1501" s="295"/>
      <c r="Z1501" s="295"/>
      <c r="AA1501" s="295"/>
    </row>
    <row r="1502">
      <c r="A1502" s="327"/>
      <c r="B1502" s="327"/>
      <c r="C1502" s="295"/>
      <c r="D1502" s="334"/>
      <c r="E1502" s="295"/>
      <c r="F1502" s="329"/>
      <c r="G1502" s="295"/>
      <c r="I1502" s="295"/>
      <c r="J1502" s="230"/>
      <c r="K1502" s="329"/>
      <c r="L1502" s="295"/>
      <c r="M1502" s="295"/>
      <c r="N1502" s="295"/>
      <c r="O1502" s="295"/>
      <c r="P1502" s="295"/>
      <c r="Q1502" s="295"/>
      <c r="R1502" s="295"/>
      <c r="S1502" s="295"/>
      <c r="T1502" s="295"/>
      <c r="U1502" s="295"/>
      <c r="V1502" s="295"/>
      <c r="W1502" s="295"/>
      <c r="X1502" s="295"/>
      <c r="Y1502" s="295"/>
      <c r="Z1502" s="295"/>
      <c r="AA1502" s="295"/>
    </row>
    <row r="1503">
      <c r="A1503" s="327"/>
      <c r="B1503" s="327"/>
      <c r="C1503" s="295"/>
      <c r="D1503" s="334"/>
      <c r="E1503" s="295"/>
      <c r="F1503" s="329"/>
      <c r="G1503" s="295"/>
      <c r="I1503" s="295"/>
      <c r="J1503" s="230"/>
      <c r="K1503" s="329"/>
      <c r="L1503" s="295"/>
      <c r="M1503" s="295"/>
      <c r="N1503" s="295"/>
      <c r="O1503" s="295"/>
      <c r="P1503" s="295"/>
      <c r="Q1503" s="295"/>
      <c r="R1503" s="295"/>
      <c r="S1503" s="295"/>
      <c r="T1503" s="295"/>
      <c r="U1503" s="295"/>
      <c r="V1503" s="295"/>
      <c r="W1503" s="295"/>
      <c r="X1503" s="295"/>
      <c r="Y1503" s="295"/>
      <c r="Z1503" s="295"/>
      <c r="AA1503" s="295"/>
    </row>
    <row r="1504">
      <c r="A1504" s="327"/>
      <c r="B1504" s="327"/>
      <c r="C1504" s="295"/>
      <c r="D1504" s="334"/>
      <c r="E1504" s="295"/>
      <c r="F1504" s="329"/>
      <c r="G1504" s="295"/>
      <c r="I1504" s="295"/>
      <c r="J1504" s="230"/>
      <c r="K1504" s="329"/>
      <c r="L1504" s="295"/>
      <c r="M1504" s="295"/>
      <c r="N1504" s="295"/>
      <c r="O1504" s="295"/>
      <c r="P1504" s="295"/>
      <c r="Q1504" s="295"/>
      <c r="R1504" s="295"/>
      <c r="S1504" s="295"/>
      <c r="T1504" s="295"/>
      <c r="U1504" s="295"/>
      <c r="V1504" s="295"/>
      <c r="W1504" s="295"/>
      <c r="X1504" s="295"/>
      <c r="Y1504" s="295"/>
      <c r="Z1504" s="295"/>
      <c r="AA1504" s="295"/>
    </row>
    <row r="1505">
      <c r="A1505" s="327"/>
      <c r="B1505" s="327"/>
      <c r="C1505" s="295"/>
      <c r="D1505" s="334"/>
      <c r="E1505" s="295"/>
      <c r="F1505" s="329"/>
      <c r="G1505" s="295"/>
      <c r="I1505" s="295"/>
      <c r="J1505" s="230"/>
      <c r="K1505" s="329"/>
      <c r="L1505" s="295"/>
      <c r="M1505" s="295"/>
      <c r="N1505" s="295"/>
      <c r="O1505" s="295"/>
      <c r="P1505" s="295"/>
      <c r="Q1505" s="295"/>
      <c r="R1505" s="295"/>
      <c r="S1505" s="295"/>
      <c r="T1505" s="295"/>
      <c r="U1505" s="295"/>
      <c r="V1505" s="295"/>
      <c r="W1505" s="295"/>
      <c r="X1505" s="295"/>
      <c r="Y1505" s="295"/>
      <c r="Z1505" s="295"/>
      <c r="AA1505" s="295"/>
    </row>
    <row r="1506">
      <c r="A1506" s="327"/>
      <c r="B1506" s="327"/>
      <c r="C1506" s="295"/>
      <c r="D1506" s="334"/>
      <c r="E1506" s="295"/>
      <c r="F1506" s="329"/>
      <c r="G1506" s="295"/>
      <c r="I1506" s="295"/>
      <c r="J1506" s="230"/>
      <c r="K1506" s="329"/>
      <c r="L1506" s="295"/>
      <c r="M1506" s="295"/>
      <c r="N1506" s="295"/>
      <c r="O1506" s="295"/>
      <c r="P1506" s="295"/>
      <c r="Q1506" s="295"/>
      <c r="R1506" s="295"/>
      <c r="S1506" s="295"/>
      <c r="T1506" s="295"/>
      <c r="U1506" s="295"/>
      <c r="V1506" s="295"/>
      <c r="W1506" s="295"/>
      <c r="X1506" s="295"/>
      <c r="Y1506" s="295"/>
      <c r="Z1506" s="295"/>
      <c r="AA1506" s="295"/>
    </row>
    <row r="1507">
      <c r="A1507" s="327"/>
      <c r="B1507" s="327"/>
      <c r="C1507" s="295"/>
      <c r="D1507" s="334"/>
      <c r="E1507" s="295"/>
      <c r="F1507" s="329"/>
      <c r="G1507" s="295"/>
      <c r="I1507" s="295"/>
      <c r="J1507" s="230"/>
      <c r="K1507" s="329"/>
      <c r="L1507" s="295"/>
      <c r="M1507" s="295"/>
      <c r="N1507" s="295"/>
      <c r="O1507" s="295"/>
      <c r="P1507" s="295"/>
      <c r="Q1507" s="295"/>
      <c r="R1507" s="295"/>
      <c r="S1507" s="295"/>
      <c r="T1507" s="295"/>
      <c r="U1507" s="295"/>
      <c r="V1507" s="295"/>
      <c r="W1507" s="295"/>
      <c r="X1507" s="295"/>
      <c r="Y1507" s="295"/>
      <c r="Z1507" s="295"/>
      <c r="AA1507" s="295"/>
    </row>
    <row r="1508">
      <c r="A1508" s="327"/>
      <c r="B1508" s="327"/>
      <c r="C1508" s="295"/>
      <c r="D1508" s="334"/>
      <c r="E1508" s="295"/>
      <c r="F1508" s="329"/>
      <c r="G1508" s="295"/>
      <c r="I1508" s="295"/>
      <c r="J1508" s="230"/>
      <c r="K1508" s="329"/>
      <c r="L1508" s="295"/>
      <c r="M1508" s="295"/>
      <c r="N1508" s="295"/>
      <c r="O1508" s="295"/>
      <c r="P1508" s="295"/>
      <c r="Q1508" s="295"/>
      <c r="R1508" s="295"/>
      <c r="S1508" s="295"/>
      <c r="T1508" s="295"/>
      <c r="U1508" s="295"/>
      <c r="V1508" s="295"/>
      <c r="W1508" s="295"/>
      <c r="X1508" s="295"/>
      <c r="Y1508" s="295"/>
      <c r="Z1508" s="295"/>
      <c r="AA1508" s="295"/>
    </row>
    <row r="1509">
      <c r="A1509" s="327"/>
      <c r="B1509" s="327"/>
      <c r="C1509" s="295"/>
      <c r="D1509" s="334"/>
      <c r="E1509" s="295"/>
      <c r="F1509" s="329"/>
      <c r="G1509" s="295"/>
      <c r="I1509" s="295"/>
      <c r="J1509" s="230"/>
      <c r="K1509" s="329"/>
      <c r="L1509" s="295"/>
      <c r="M1509" s="295"/>
      <c r="N1509" s="295"/>
      <c r="O1509" s="295"/>
      <c r="P1509" s="295"/>
      <c r="Q1509" s="295"/>
      <c r="R1509" s="295"/>
      <c r="S1509" s="295"/>
      <c r="T1509" s="295"/>
      <c r="U1509" s="295"/>
      <c r="V1509" s="295"/>
      <c r="W1509" s="295"/>
      <c r="X1509" s="295"/>
      <c r="Y1509" s="295"/>
      <c r="Z1509" s="295"/>
      <c r="AA1509" s="295"/>
    </row>
    <row r="1510">
      <c r="A1510" s="327"/>
      <c r="B1510" s="327"/>
      <c r="C1510" s="295"/>
      <c r="D1510" s="334"/>
      <c r="E1510" s="295"/>
      <c r="F1510" s="329"/>
      <c r="G1510" s="295"/>
      <c r="I1510" s="295"/>
      <c r="J1510" s="230"/>
      <c r="K1510" s="329"/>
      <c r="L1510" s="295"/>
      <c r="M1510" s="295"/>
      <c r="N1510" s="295"/>
      <c r="O1510" s="295"/>
      <c r="P1510" s="295"/>
      <c r="Q1510" s="295"/>
      <c r="R1510" s="295"/>
      <c r="S1510" s="295"/>
      <c r="T1510" s="295"/>
      <c r="U1510" s="295"/>
      <c r="V1510" s="295"/>
      <c r="W1510" s="295"/>
      <c r="X1510" s="295"/>
      <c r="Y1510" s="295"/>
      <c r="Z1510" s="295"/>
      <c r="AA1510" s="295"/>
    </row>
    <row r="1511">
      <c r="A1511" s="327"/>
      <c r="B1511" s="327"/>
      <c r="C1511" s="295"/>
      <c r="D1511" s="334"/>
      <c r="E1511" s="295"/>
      <c r="F1511" s="329"/>
      <c r="G1511" s="295"/>
      <c r="I1511" s="295"/>
      <c r="J1511" s="230"/>
      <c r="K1511" s="329"/>
      <c r="L1511" s="295"/>
      <c r="M1511" s="295"/>
      <c r="N1511" s="295"/>
      <c r="O1511" s="295"/>
      <c r="P1511" s="295"/>
      <c r="Q1511" s="295"/>
      <c r="R1511" s="295"/>
      <c r="S1511" s="295"/>
      <c r="T1511" s="295"/>
      <c r="U1511" s="295"/>
      <c r="V1511" s="295"/>
      <c r="W1511" s="295"/>
      <c r="X1511" s="295"/>
      <c r="Y1511" s="295"/>
      <c r="Z1511" s="295"/>
      <c r="AA1511" s="295"/>
    </row>
    <row r="1512">
      <c r="A1512" s="327"/>
      <c r="B1512" s="327"/>
      <c r="C1512" s="295"/>
      <c r="D1512" s="334"/>
      <c r="E1512" s="295"/>
      <c r="F1512" s="329"/>
      <c r="G1512" s="295"/>
      <c r="I1512" s="295"/>
      <c r="J1512" s="230"/>
      <c r="K1512" s="329"/>
      <c r="L1512" s="295"/>
      <c r="M1512" s="295"/>
      <c r="N1512" s="295"/>
      <c r="O1512" s="295"/>
      <c r="P1512" s="295"/>
      <c r="Q1512" s="295"/>
      <c r="R1512" s="295"/>
      <c r="S1512" s="295"/>
      <c r="T1512" s="295"/>
      <c r="U1512" s="295"/>
      <c r="V1512" s="295"/>
      <c r="W1512" s="295"/>
      <c r="X1512" s="295"/>
      <c r="Y1512" s="295"/>
      <c r="Z1512" s="295"/>
      <c r="AA1512" s="295"/>
    </row>
    <row r="1513">
      <c r="A1513" s="327"/>
      <c r="B1513" s="327"/>
      <c r="C1513" s="295"/>
      <c r="D1513" s="334"/>
      <c r="E1513" s="295"/>
      <c r="F1513" s="329"/>
      <c r="G1513" s="295"/>
      <c r="I1513" s="295"/>
      <c r="J1513" s="230"/>
      <c r="K1513" s="329"/>
      <c r="L1513" s="295"/>
      <c r="M1513" s="295"/>
      <c r="N1513" s="295"/>
      <c r="O1513" s="295"/>
      <c r="P1513" s="295"/>
      <c r="Q1513" s="295"/>
      <c r="R1513" s="295"/>
      <c r="S1513" s="295"/>
      <c r="T1513" s="295"/>
      <c r="U1513" s="295"/>
      <c r="V1513" s="295"/>
      <c r="W1513" s="295"/>
      <c r="X1513" s="295"/>
      <c r="Y1513" s="295"/>
      <c r="Z1513" s="295"/>
      <c r="AA1513" s="295"/>
    </row>
    <row r="1514">
      <c r="A1514" s="327"/>
      <c r="B1514" s="327"/>
      <c r="C1514" s="295"/>
      <c r="D1514" s="334"/>
      <c r="E1514" s="295"/>
      <c r="F1514" s="329"/>
      <c r="G1514" s="295"/>
      <c r="I1514" s="295"/>
      <c r="J1514" s="230"/>
      <c r="K1514" s="329"/>
      <c r="L1514" s="295"/>
      <c r="M1514" s="295"/>
      <c r="N1514" s="295"/>
      <c r="O1514" s="295"/>
      <c r="P1514" s="295"/>
      <c r="Q1514" s="295"/>
      <c r="R1514" s="295"/>
      <c r="S1514" s="295"/>
      <c r="T1514" s="295"/>
      <c r="U1514" s="295"/>
      <c r="V1514" s="295"/>
      <c r="W1514" s="295"/>
      <c r="X1514" s="295"/>
      <c r="Y1514" s="295"/>
      <c r="Z1514" s="295"/>
      <c r="AA1514" s="295"/>
    </row>
    <row r="1515">
      <c r="A1515" s="327"/>
      <c r="B1515" s="327"/>
      <c r="C1515" s="295"/>
      <c r="D1515" s="334"/>
      <c r="E1515" s="295"/>
      <c r="F1515" s="329"/>
      <c r="G1515" s="295"/>
      <c r="I1515" s="295"/>
      <c r="J1515" s="230"/>
      <c r="K1515" s="329"/>
      <c r="L1515" s="295"/>
      <c r="M1515" s="295"/>
      <c r="N1515" s="295"/>
      <c r="O1515" s="295"/>
      <c r="P1515" s="295"/>
      <c r="Q1515" s="295"/>
      <c r="R1515" s="295"/>
      <c r="S1515" s="295"/>
      <c r="T1515" s="295"/>
      <c r="U1515" s="295"/>
      <c r="V1515" s="295"/>
      <c r="W1515" s="295"/>
      <c r="X1515" s="295"/>
      <c r="Y1515" s="295"/>
      <c r="Z1515" s="295"/>
      <c r="AA1515" s="295"/>
    </row>
    <row r="1516">
      <c r="A1516" s="327"/>
      <c r="B1516" s="327"/>
      <c r="C1516" s="295"/>
      <c r="D1516" s="334"/>
      <c r="E1516" s="295"/>
      <c r="F1516" s="329"/>
      <c r="G1516" s="295"/>
      <c r="I1516" s="295"/>
      <c r="J1516" s="230"/>
      <c r="K1516" s="329"/>
      <c r="L1516" s="295"/>
      <c r="M1516" s="295"/>
      <c r="N1516" s="295"/>
      <c r="O1516" s="295"/>
      <c r="P1516" s="295"/>
      <c r="Q1516" s="295"/>
      <c r="R1516" s="295"/>
      <c r="S1516" s="295"/>
      <c r="T1516" s="295"/>
      <c r="U1516" s="295"/>
      <c r="V1516" s="295"/>
      <c r="W1516" s="295"/>
      <c r="X1516" s="295"/>
      <c r="Y1516" s="295"/>
      <c r="Z1516" s="295"/>
      <c r="AA1516" s="295"/>
    </row>
    <row r="1517">
      <c r="A1517" s="327"/>
      <c r="B1517" s="327"/>
      <c r="C1517" s="295"/>
      <c r="D1517" s="334"/>
      <c r="E1517" s="295"/>
      <c r="F1517" s="329"/>
      <c r="G1517" s="295"/>
      <c r="I1517" s="295"/>
      <c r="J1517" s="230"/>
      <c r="K1517" s="329"/>
      <c r="L1517" s="295"/>
      <c r="M1517" s="295"/>
      <c r="N1517" s="295"/>
      <c r="O1517" s="295"/>
      <c r="P1517" s="295"/>
      <c r="Q1517" s="295"/>
      <c r="R1517" s="295"/>
      <c r="S1517" s="295"/>
      <c r="T1517" s="295"/>
      <c r="U1517" s="295"/>
      <c r="V1517" s="295"/>
      <c r="W1517" s="295"/>
      <c r="X1517" s="295"/>
      <c r="Y1517" s="295"/>
      <c r="Z1517" s="295"/>
      <c r="AA1517" s="295"/>
    </row>
    <row r="1518">
      <c r="A1518" s="327"/>
      <c r="B1518" s="327"/>
      <c r="C1518" s="295"/>
      <c r="D1518" s="334"/>
      <c r="E1518" s="295"/>
      <c r="F1518" s="329"/>
      <c r="G1518" s="295"/>
      <c r="I1518" s="295"/>
      <c r="J1518" s="230"/>
      <c r="K1518" s="329"/>
      <c r="L1518" s="295"/>
      <c r="M1518" s="295"/>
      <c r="N1518" s="295"/>
      <c r="O1518" s="295"/>
      <c r="P1518" s="295"/>
      <c r="Q1518" s="295"/>
      <c r="R1518" s="295"/>
      <c r="S1518" s="295"/>
      <c r="T1518" s="295"/>
      <c r="U1518" s="295"/>
      <c r="V1518" s="295"/>
      <c r="W1518" s="295"/>
      <c r="X1518" s="295"/>
      <c r="Y1518" s="295"/>
      <c r="Z1518" s="295"/>
      <c r="AA1518" s="295"/>
    </row>
    <row r="1519">
      <c r="A1519" s="327"/>
      <c r="B1519" s="327"/>
      <c r="C1519" s="295"/>
      <c r="D1519" s="334"/>
      <c r="E1519" s="295"/>
      <c r="F1519" s="329"/>
      <c r="G1519" s="295"/>
      <c r="I1519" s="295"/>
      <c r="J1519" s="230"/>
      <c r="K1519" s="329"/>
      <c r="L1519" s="295"/>
      <c r="M1519" s="295"/>
      <c r="N1519" s="295"/>
      <c r="O1519" s="295"/>
      <c r="P1519" s="295"/>
      <c r="Q1519" s="295"/>
      <c r="R1519" s="295"/>
      <c r="S1519" s="295"/>
      <c r="T1519" s="295"/>
      <c r="U1519" s="295"/>
      <c r="V1519" s="295"/>
      <c r="W1519" s="295"/>
      <c r="X1519" s="295"/>
      <c r="Y1519" s="295"/>
      <c r="Z1519" s="295"/>
      <c r="AA1519" s="295"/>
    </row>
    <row r="1520">
      <c r="A1520" s="327"/>
      <c r="B1520" s="327"/>
      <c r="C1520" s="295"/>
      <c r="D1520" s="334"/>
      <c r="E1520" s="295"/>
      <c r="F1520" s="329"/>
      <c r="G1520" s="295"/>
      <c r="I1520" s="295"/>
      <c r="J1520" s="230"/>
      <c r="K1520" s="329"/>
      <c r="L1520" s="295"/>
      <c r="M1520" s="295"/>
      <c r="N1520" s="295"/>
      <c r="O1520" s="295"/>
      <c r="P1520" s="295"/>
      <c r="Q1520" s="295"/>
      <c r="R1520" s="295"/>
      <c r="S1520" s="295"/>
      <c r="T1520" s="295"/>
      <c r="U1520" s="295"/>
      <c r="V1520" s="295"/>
      <c r="W1520" s="295"/>
      <c r="X1520" s="295"/>
      <c r="Y1520" s="295"/>
      <c r="Z1520" s="295"/>
      <c r="AA1520" s="295"/>
    </row>
    <row r="1521">
      <c r="A1521" s="327"/>
      <c r="B1521" s="327"/>
      <c r="C1521" s="295"/>
      <c r="D1521" s="334"/>
      <c r="E1521" s="295"/>
      <c r="F1521" s="329"/>
      <c r="G1521" s="295"/>
      <c r="I1521" s="295"/>
      <c r="J1521" s="230"/>
      <c r="K1521" s="329"/>
      <c r="L1521" s="295"/>
      <c r="M1521" s="295"/>
      <c r="N1521" s="295"/>
      <c r="O1521" s="295"/>
      <c r="P1521" s="295"/>
      <c r="Q1521" s="295"/>
      <c r="R1521" s="295"/>
      <c r="S1521" s="295"/>
      <c r="T1521" s="295"/>
      <c r="U1521" s="295"/>
      <c r="V1521" s="295"/>
      <c r="W1521" s="295"/>
      <c r="X1521" s="295"/>
      <c r="Y1521" s="295"/>
      <c r="Z1521" s="295"/>
      <c r="AA1521" s="295"/>
    </row>
    <row r="1522">
      <c r="A1522" s="327"/>
      <c r="B1522" s="327"/>
      <c r="C1522" s="295"/>
      <c r="D1522" s="334"/>
      <c r="E1522" s="295"/>
      <c r="F1522" s="329"/>
      <c r="G1522" s="295"/>
      <c r="I1522" s="295"/>
      <c r="J1522" s="230"/>
      <c r="K1522" s="329"/>
      <c r="L1522" s="295"/>
      <c r="M1522" s="295"/>
      <c r="N1522" s="295"/>
      <c r="O1522" s="295"/>
      <c r="P1522" s="295"/>
      <c r="Q1522" s="295"/>
      <c r="R1522" s="295"/>
      <c r="S1522" s="295"/>
      <c r="T1522" s="295"/>
      <c r="U1522" s="295"/>
      <c r="V1522" s="295"/>
      <c r="W1522" s="295"/>
      <c r="X1522" s="295"/>
      <c r="Y1522" s="295"/>
      <c r="Z1522" s="295"/>
      <c r="AA1522" s="295"/>
    </row>
    <row r="1523">
      <c r="A1523" s="327"/>
      <c r="B1523" s="327"/>
      <c r="C1523" s="295"/>
      <c r="D1523" s="334"/>
      <c r="E1523" s="295"/>
      <c r="F1523" s="329"/>
      <c r="G1523" s="295"/>
      <c r="I1523" s="295"/>
      <c r="J1523" s="230"/>
      <c r="K1523" s="329"/>
      <c r="L1523" s="295"/>
      <c r="M1523" s="295"/>
      <c r="N1523" s="295"/>
      <c r="O1523" s="295"/>
      <c r="P1523" s="295"/>
      <c r="Q1523" s="295"/>
      <c r="R1523" s="295"/>
      <c r="S1523" s="295"/>
      <c r="T1523" s="295"/>
      <c r="U1523" s="295"/>
      <c r="V1523" s="295"/>
      <c r="W1523" s="295"/>
      <c r="X1523" s="295"/>
      <c r="Y1523" s="295"/>
      <c r="Z1523" s="295"/>
      <c r="AA1523" s="295"/>
    </row>
    <row r="1524">
      <c r="A1524" s="327"/>
      <c r="B1524" s="327"/>
      <c r="C1524" s="295"/>
      <c r="D1524" s="334"/>
      <c r="E1524" s="295"/>
      <c r="F1524" s="329"/>
      <c r="G1524" s="295"/>
      <c r="I1524" s="295"/>
      <c r="J1524" s="230"/>
      <c r="K1524" s="329"/>
      <c r="L1524" s="295"/>
      <c r="M1524" s="295"/>
      <c r="N1524" s="295"/>
      <c r="O1524" s="295"/>
      <c r="P1524" s="295"/>
      <c r="Q1524" s="295"/>
      <c r="R1524" s="295"/>
      <c r="S1524" s="295"/>
      <c r="T1524" s="295"/>
      <c r="U1524" s="295"/>
      <c r="V1524" s="295"/>
      <c r="W1524" s="295"/>
      <c r="X1524" s="295"/>
      <c r="Y1524" s="295"/>
      <c r="Z1524" s="295"/>
      <c r="AA1524" s="295"/>
    </row>
    <row r="1525">
      <c r="A1525" s="327"/>
      <c r="B1525" s="327"/>
      <c r="C1525" s="295"/>
      <c r="D1525" s="334"/>
      <c r="E1525" s="295"/>
      <c r="F1525" s="329"/>
      <c r="G1525" s="295"/>
      <c r="I1525" s="295"/>
      <c r="J1525" s="230"/>
      <c r="K1525" s="329"/>
      <c r="L1525" s="295"/>
      <c r="M1525" s="295"/>
      <c r="N1525" s="295"/>
      <c r="O1525" s="295"/>
      <c r="P1525" s="295"/>
      <c r="Q1525" s="295"/>
      <c r="R1525" s="295"/>
      <c r="S1525" s="295"/>
      <c r="T1525" s="295"/>
      <c r="U1525" s="295"/>
      <c r="V1525" s="295"/>
      <c r="W1525" s="295"/>
      <c r="X1525" s="295"/>
      <c r="Y1525" s="295"/>
      <c r="Z1525" s="295"/>
      <c r="AA1525" s="295"/>
    </row>
    <row r="1526">
      <c r="A1526" s="327"/>
      <c r="B1526" s="327"/>
      <c r="C1526" s="295"/>
      <c r="D1526" s="334"/>
      <c r="E1526" s="295"/>
      <c r="F1526" s="329"/>
      <c r="G1526" s="295"/>
      <c r="I1526" s="295"/>
      <c r="J1526" s="230"/>
      <c r="K1526" s="329"/>
      <c r="L1526" s="295"/>
      <c r="M1526" s="295"/>
      <c r="N1526" s="295"/>
      <c r="O1526" s="295"/>
      <c r="P1526" s="295"/>
      <c r="Q1526" s="295"/>
      <c r="R1526" s="295"/>
      <c r="S1526" s="295"/>
      <c r="T1526" s="295"/>
      <c r="U1526" s="295"/>
      <c r="V1526" s="295"/>
      <c r="W1526" s="295"/>
      <c r="X1526" s="295"/>
      <c r="Y1526" s="295"/>
      <c r="Z1526" s="295"/>
      <c r="AA1526" s="295"/>
    </row>
    <row r="1527">
      <c r="A1527" s="327"/>
      <c r="B1527" s="327"/>
      <c r="C1527" s="295"/>
      <c r="D1527" s="334"/>
      <c r="E1527" s="295"/>
      <c r="F1527" s="329"/>
      <c r="G1527" s="295"/>
      <c r="I1527" s="295"/>
      <c r="J1527" s="230"/>
      <c r="K1527" s="329"/>
      <c r="L1527" s="295"/>
      <c r="M1527" s="295"/>
      <c r="N1527" s="295"/>
      <c r="O1527" s="295"/>
      <c r="P1527" s="295"/>
      <c r="Q1527" s="295"/>
      <c r="R1527" s="295"/>
      <c r="S1527" s="295"/>
      <c r="T1527" s="295"/>
      <c r="U1527" s="295"/>
      <c r="V1527" s="295"/>
      <c r="W1527" s="295"/>
      <c r="X1527" s="295"/>
      <c r="Y1527" s="295"/>
      <c r="Z1527" s="295"/>
      <c r="AA1527" s="295"/>
    </row>
    <row r="1528">
      <c r="A1528" s="327"/>
      <c r="B1528" s="327"/>
      <c r="C1528" s="295"/>
      <c r="D1528" s="334"/>
      <c r="E1528" s="295"/>
      <c r="F1528" s="329"/>
      <c r="G1528" s="295"/>
      <c r="I1528" s="295"/>
      <c r="J1528" s="230"/>
      <c r="K1528" s="329"/>
      <c r="L1528" s="295"/>
      <c r="M1528" s="295"/>
      <c r="N1528" s="295"/>
      <c r="O1528" s="295"/>
      <c r="P1528" s="295"/>
      <c r="Q1528" s="295"/>
      <c r="R1528" s="295"/>
      <c r="S1528" s="295"/>
      <c r="T1528" s="295"/>
      <c r="U1528" s="295"/>
      <c r="V1528" s="295"/>
      <c r="W1528" s="295"/>
      <c r="X1528" s="295"/>
      <c r="Y1528" s="295"/>
      <c r="Z1528" s="295"/>
      <c r="AA1528" s="295"/>
    </row>
    <row r="1529">
      <c r="A1529" s="327"/>
      <c r="B1529" s="327"/>
      <c r="C1529" s="295"/>
      <c r="D1529" s="334"/>
      <c r="E1529" s="295"/>
      <c r="F1529" s="329"/>
      <c r="G1529" s="295"/>
      <c r="I1529" s="295"/>
      <c r="J1529" s="230"/>
      <c r="K1529" s="329"/>
      <c r="L1529" s="295"/>
      <c r="M1529" s="295"/>
      <c r="N1529" s="295"/>
      <c r="O1529" s="295"/>
      <c r="P1529" s="295"/>
      <c r="Q1529" s="295"/>
      <c r="R1529" s="295"/>
      <c r="S1529" s="295"/>
      <c r="T1529" s="295"/>
      <c r="U1529" s="295"/>
      <c r="V1529" s="295"/>
      <c r="W1529" s="295"/>
      <c r="X1529" s="295"/>
      <c r="Y1529" s="295"/>
      <c r="Z1529" s="295"/>
      <c r="AA1529" s="295"/>
    </row>
    <row r="1530">
      <c r="A1530" s="327"/>
      <c r="B1530" s="327"/>
      <c r="C1530" s="295"/>
      <c r="D1530" s="334"/>
      <c r="E1530" s="295"/>
      <c r="F1530" s="329"/>
      <c r="G1530" s="295"/>
      <c r="I1530" s="295"/>
      <c r="J1530" s="230"/>
      <c r="K1530" s="329"/>
      <c r="L1530" s="295"/>
      <c r="M1530" s="295"/>
      <c r="N1530" s="295"/>
      <c r="O1530" s="295"/>
      <c r="P1530" s="295"/>
      <c r="Q1530" s="295"/>
      <c r="R1530" s="295"/>
      <c r="S1530" s="295"/>
      <c r="T1530" s="295"/>
      <c r="U1530" s="295"/>
      <c r="V1530" s="295"/>
      <c r="W1530" s="295"/>
      <c r="X1530" s="295"/>
      <c r="Y1530" s="295"/>
      <c r="Z1530" s="295"/>
      <c r="AA1530" s="295"/>
    </row>
    <row r="1531">
      <c r="A1531" s="327"/>
      <c r="B1531" s="327"/>
      <c r="C1531" s="295"/>
      <c r="D1531" s="334"/>
      <c r="E1531" s="295"/>
      <c r="F1531" s="329"/>
      <c r="G1531" s="295"/>
      <c r="I1531" s="295"/>
      <c r="J1531" s="230"/>
      <c r="K1531" s="329"/>
      <c r="L1531" s="295"/>
      <c r="M1531" s="295"/>
      <c r="N1531" s="295"/>
      <c r="O1531" s="295"/>
      <c r="P1531" s="295"/>
      <c r="Q1531" s="295"/>
      <c r="R1531" s="295"/>
      <c r="S1531" s="295"/>
      <c r="T1531" s="295"/>
      <c r="U1531" s="295"/>
      <c r="V1531" s="295"/>
      <c r="W1531" s="295"/>
      <c r="X1531" s="295"/>
      <c r="Y1531" s="295"/>
      <c r="Z1531" s="295"/>
      <c r="AA1531" s="295"/>
    </row>
    <row r="1532">
      <c r="A1532" s="327"/>
      <c r="B1532" s="327"/>
      <c r="C1532" s="295"/>
      <c r="D1532" s="334"/>
      <c r="E1532" s="295"/>
      <c r="F1532" s="329"/>
      <c r="G1532" s="295"/>
      <c r="I1532" s="295"/>
      <c r="J1532" s="230"/>
      <c r="K1532" s="329"/>
      <c r="L1532" s="295"/>
      <c r="M1532" s="295"/>
      <c r="N1532" s="295"/>
      <c r="O1532" s="295"/>
      <c r="P1532" s="295"/>
      <c r="Q1532" s="295"/>
      <c r="R1532" s="295"/>
      <c r="S1532" s="295"/>
      <c r="T1532" s="295"/>
      <c r="U1532" s="295"/>
      <c r="V1532" s="295"/>
      <c r="W1532" s="295"/>
      <c r="X1532" s="295"/>
      <c r="Y1532" s="295"/>
      <c r="Z1532" s="295"/>
      <c r="AA1532" s="295"/>
    </row>
    <row r="1533">
      <c r="A1533" s="327"/>
      <c r="B1533" s="327"/>
      <c r="C1533" s="295"/>
      <c r="D1533" s="334"/>
      <c r="E1533" s="295"/>
      <c r="F1533" s="329"/>
      <c r="G1533" s="295"/>
      <c r="I1533" s="295"/>
      <c r="J1533" s="230"/>
      <c r="K1533" s="329"/>
      <c r="L1533" s="295"/>
      <c r="M1533" s="295"/>
      <c r="N1533" s="295"/>
      <c r="O1533" s="295"/>
      <c r="P1533" s="295"/>
      <c r="Q1533" s="295"/>
      <c r="R1533" s="295"/>
      <c r="S1533" s="295"/>
      <c r="T1533" s="295"/>
      <c r="U1533" s="295"/>
      <c r="V1533" s="295"/>
      <c r="W1533" s="295"/>
      <c r="X1533" s="295"/>
      <c r="Y1533" s="295"/>
      <c r="Z1533" s="295"/>
      <c r="AA1533" s="295"/>
    </row>
    <row r="1534">
      <c r="A1534" s="327"/>
      <c r="B1534" s="327"/>
      <c r="C1534" s="295"/>
      <c r="D1534" s="334"/>
      <c r="E1534" s="295"/>
      <c r="F1534" s="329"/>
      <c r="G1534" s="295"/>
      <c r="I1534" s="295"/>
      <c r="J1534" s="230"/>
      <c r="K1534" s="329"/>
      <c r="L1534" s="295"/>
      <c r="M1534" s="295"/>
      <c r="N1534" s="295"/>
      <c r="O1534" s="295"/>
      <c r="P1534" s="295"/>
      <c r="Q1534" s="295"/>
      <c r="R1534" s="295"/>
      <c r="S1534" s="295"/>
      <c r="T1534" s="295"/>
      <c r="U1534" s="295"/>
      <c r="V1534" s="295"/>
      <c r="W1534" s="295"/>
      <c r="X1534" s="295"/>
      <c r="Y1534" s="295"/>
      <c r="Z1534" s="295"/>
      <c r="AA1534" s="295"/>
    </row>
    <row r="1535">
      <c r="A1535" s="327"/>
      <c r="B1535" s="327"/>
      <c r="C1535" s="295"/>
      <c r="D1535" s="334"/>
      <c r="E1535" s="295"/>
      <c r="F1535" s="329"/>
      <c r="G1535" s="295"/>
      <c r="I1535" s="295"/>
      <c r="J1535" s="230"/>
      <c r="K1535" s="329"/>
      <c r="L1535" s="295"/>
      <c r="M1535" s="295"/>
      <c r="N1535" s="295"/>
      <c r="O1535" s="295"/>
      <c r="P1535" s="295"/>
      <c r="Q1535" s="295"/>
      <c r="R1535" s="295"/>
      <c r="S1535" s="295"/>
      <c r="T1535" s="295"/>
      <c r="U1535" s="295"/>
      <c r="V1535" s="295"/>
      <c r="W1535" s="295"/>
      <c r="X1535" s="295"/>
      <c r="Y1535" s="295"/>
      <c r="Z1535" s="295"/>
      <c r="AA1535" s="295"/>
    </row>
    <row r="1536">
      <c r="A1536" s="327"/>
      <c r="B1536" s="327"/>
      <c r="C1536" s="295"/>
      <c r="D1536" s="334"/>
      <c r="E1536" s="295"/>
      <c r="F1536" s="329"/>
      <c r="G1536" s="295"/>
      <c r="I1536" s="295"/>
      <c r="J1536" s="230"/>
      <c r="K1536" s="329"/>
      <c r="L1536" s="295"/>
      <c r="M1536" s="295"/>
      <c r="N1536" s="295"/>
      <c r="O1536" s="295"/>
      <c r="P1536" s="295"/>
      <c r="Q1536" s="295"/>
      <c r="R1536" s="295"/>
      <c r="S1536" s="295"/>
      <c r="T1536" s="295"/>
      <c r="U1536" s="295"/>
      <c r="V1536" s="295"/>
      <c r="W1536" s="295"/>
      <c r="X1536" s="295"/>
      <c r="Y1536" s="295"/>
      <c r="Z1536" s="295"/>
      <c r="AA1536" s="295"/>
    </row>
    <row r="1537">
      <c r="A1537" s="327"/>
      <c r="B1537" s="327"/>
      <c r="C1537" s="295"/>
      <c r="D1537" s="334"/>
      <c r="E1537" s="295"/>
      <c r="F1537" s="329"/>
      <c r="G1537" s="295"/>
      <c r="I1537" s="295"/>
      <c r="J1537" s="230"/>
      <c r="K1537" s="329"/>
      <c r="L1537" s="295"/>
      <c r="M1537" s="295"/>
      <c r="N1537" s="295"/>
      <c r="O1537" s="295"/>
      <c r="P1537" s="295"/>
      <c r="Q1537" s="295"/>
      <c r="R1537" s="295"/>
      <c r="S1537" s="295"/>
      <c r="T1537" s="295"/>
      <c r="U1537" s="295"/>
      <c r="V1537" s="295"/>
      <c r="W1537" s="295"/>
      <c r="X1537" s="295"/>
      <c r="Y1537" s="295"/>
      <c r="Z1537" s="295"/>
      <c r="AA1537" s="295"/>
    </row>
    <row r="1538">
      <c r="A1538" s="327"/>
      <c r="B1538" s="327"/>
      <c r="C1538" s="295"/>
      <c r="D1538" s="334"/>
      <c r="E1538" s="295"/>
      <c r="F1538" s="329"/>
      <c r="G1538" s="295"/>
      <c r="I1538" s="295"/>
      <c r="J1538" s="230"/>
      <c r="K1538" s="329"/>
      <c r="L1538" s="295"/>
      <c r="M1538" s="295"/>
      <c r="N1538" s="295"/>
      <c r="O1538" s="295"/>
      <c r="P1538" s="295"/>
      <c r="Q1538" s="295"/>
      <c r="R1538" s="295"/>
      <c r="S1538" s="295"/>
      <c r="T1538" s="295"/>
      <c r="U1538" s="295"/>
      <c r="V1538" s="295"/>
      <c r="W1538" s="295"/>
      <c r="X1538" s="295"/>
      <c r="Y1538" s="295"/>
      <c r="Z1538" s="295"/>
      <c r="AA1538" s="295"/>
    </row>
    <row r="1539">
      <c r="A1539" s="327"/>
      <c r="B1539" s="327"/>
      <c r="C1539" s="295"/>
      <c r="D1539" s="334"/>
      <c r="E1539" s="295"/>
      <c r="F1539" s="329"/>
      <c r="G1539" s="295"/>
      <c r="I1539" s="295"/>
      <c r="J1539" s="230"/>
      <c r="K1539" s="329"/>
      <c r="L1539" s="295"/>
      <c r="M1539" s="295"/>
      <c r="N1539" s="295"/>
      <c r="O1539" s="295"/>
      <c r="P1539" s="295"/>
      <c r="Q1539" s="295"/>
      <c r="R1539" s="295"/>
      <c r="S1539" s="295"/>
      <c r="T1539" s="295"/>
      <c r="U1539" s="295"/>
      <c r="V1539" s="295"/>
      <c r="W1539" s="295"/>
      <c r="X1539" s="295"/>
      <c r="Y1539" s="295"/>
      <c r="Z1539" s="295"/>
      <c r="AA1539" s="295"/>
    </row>
    <row r="1540">
      <c r="A1540" s="327"/>
      <c r="B1540" s="327"/>
      <c r="C1540" s="295"/>
      <c r="D1540" s="334"/>
      <c r="E1540" s="295"/>
      <c r="F1540" s="329"/>
      <c r="G1540" s="295"/>
      <c r="I1540" s="295"/>
      <c r="J1540" s="230"/>
      <c r="K1540" s="329"/>
      <c r="L1540" s="295"/>
      <c r="M1540" s="295"/>
      <c r="N1540" s="295"/>
      <c r="O1540" s="295"/>
      <c r="P1540" s="295"/>
      <c r="Q1540" s="295"/>
      <c r="R1540" s="295"/>
      <c r="S1540" s="295"/>
      <c r="T1540" s="295"/>
      <c r="U1540" s="295"/>
      <c r="V1540" s="295"/>
      <c r="W1540" s="295"/>
      <c r="X1540" s="295"/>
      <c r="Y1540" s="295"/>
      <c r="Z1540" s="295"/>
      <c r="AA1540" s="295"/>
    </row>
    <row r="1541">
      <c r="A1541" s="327"/>
      <c r="B1541" s="327"/>
      <c r="C1541" s="295"/>
      <c r="D1541" s="334"/>
      <c r="E1541" s="295"/>
      <c r="F1541" s="329"/>
      <c r="G1541" s="295"/>
      <c r="I1541" s="295"/>
      <c r="J1541" s="230"/>
      <c r="K1541" s="329"/>
      <c r="L1541" s="295"/>
      <c r="M1541" s="295"/>
      <c r="N1541" s="295"/>
      <c r="O1541" s="295"/>
      <c r="P1541" s="295"/>
      <c r="Q1541" s="295"/>
      <c r="R1541" s="295"/>
      <c r="S1541" s="295"/>
      <c r="T1541" s="295"/>
      <c r="U1541" s="295"/>
      <c r="V1541" s="295"/>
      <c r="W1541" s="295"/>
      <c r="X1541" s="295"/>
      <c r="Y1541" s="295"/>
      <c r="Z1541" s="295"/>
      <c r="AA1541" s="295"/>
    </row>
    <row r="1542">
      <c r="A1542" s="327"/>
      <c r="B1542" s="327"/>
      <c r="C1542" s="295"/>
      <c r="D1542" s="334"/>
      <c r="E1542" s="295"/>
      <c r="F1542" s="329"/>
      <c r="G1542" s="295"/>
      <c r="I1542" s="295"/>
      <c r="J1542" s="230"/>
      <c r="K1542" s="329"/>
      <c r="L1542" s="295"/>
      <c r="M1542" s="295"/>
      <c r="N1542" s="295"/>
      <c r="O1542" s="295"/>
      <c r="P1542" s="295"/>
      <c r="Q1542" s="295"/>
      <c r="R1542" s="295"/>
      <c r="S1542" s="295"/>
      <c r="T1542" s="295"/>
      <c r="U1542" s="295"/>
      <c r="V1542" s="295"/>
      <c r="W1542" s="295"/>
      <c r="X1542" s="295"/>
      <c r="Y1542" s="295"/>
      <c r="Z1542" s="295"/>
      <c r="AA1542" s="295"/>
    </row>
    <row r="1543">
      <c r="A1543" s="327"/>
      <c r="B1543" s="327"/>
      <c r="C1543" s="295"/>
      <c r="D1543" s="334"/>
      <c r="E1543" s="295"/>
      <c r="F1543" s="329"/>
      <c r="G1543" s="295"/>
      <c r="I1543" s="295"/>
      <c r="J1543" s="230"/>
      <c r="K1543" s="329"/>
      <c r="L1543" s="295"/>
      <c r="M1543" s="295"/>
      <c r="N1543" s="295"/>
      <c r="O1543" s="295"/>
      <c r="P1543" s="295"/>
      <c r="Q1543" s="295"/>
      <c r="R1543" s="295"/>
      <c r="S1543" s="295"/>
      <c r="T1543" s="295"/>
      <c r="U1543" s="295"/>
      <c r="V1543" s="295"/>
      <c r="W1543" s="295"/>
      <c r="X1543" s="295"/>
      <c r="Y1543" s="295"/>
      <c r="Z1543" s="295"/>
      <c r="AA1543" s="295"/>
    </row>
    <row r="1544">
      <c r="A1544" s="327"/>
      <c r="B1544" s="327"/>
      <c r="C1544" s="295"/>
      <c r="D1544" s="334"/>
      <c r="E1544" s="295"/>
      <c r="F1544" s="329"/>
      <c r="G1544" s="295"/>
      <c r="I1544" s="295"/>
      <c r="J1544" s="230"/>
      <c r="K1544" s="329"/>
      <c r="L1544" s="295"/>
      <c r="M1544" s="295"/>
      <c r="N1544" s="295"/>
      <c r="O1544" s="295"/>
      <c r="P1544" s="295"/>
      <c r="Q1544" s="295"/>
      <c r="R1544" s="295"/>
      <c r="S1544" s="295"/>
      <c r="T1544" s="295"/>
      <c r="U1544" s="295"/>
      <c r="V1544" s="295"/>
      <c r="W1544" s="295"/>
      <c r="X1544" s="295"/>
      <c r="Y1544" s="295"/>
      <c r="Z1544" s="295"/>
      <c r="AA1544" s="295"/>
    </row>
    <row r="1545">
      <c r="A1545" s="327"/>
      <c r="B1545" s="327"/>
      <c r="C1545" s="295"/>
      <c r="D1545" s="334"/>
      <c r="E1545" s="295"/>
      <c r="F1545" s="329"/>
      <c r="G1545" s="295"/>
      <c r="I1545" s="295"/>
      <c r="J1545" s="230"/>
      <c r="K1545" s="329"/>
      <c r="L1545" s="295"/>
      <c r="M1545" s="295"/>
      <c r="N1545" s="295"/>
      <c r="O1545" s="295"/>
      <c r="P1545" s="295"/>
      <c r="Q1545" s="295"/>
      <c r="R1545" s="295"/>
      <c r="S1545" s="295"/>
      <c r="T1545" s="295"/>
      <c r="U1545" s="295"/>
      <c r="V1545" s="295"/>
      <c r="W1545" s="295"/>
      <c r="X1545" s="295"/>
      <c r="Y1545" s="295"/>
      <c r="Z1545" s="295"/>
      <c r="AA1545" s="295"/>
    </row>
    <row r="1546">
      <c r="A1546" s="327"/>
      <c r="B1546" s="327"/>
      <c r="C1546" s="295"/>
      <c r="D1546" s="334"/>
      <c r="E1546" s="295"/>
      <c r="F1546" s="329"/>
      <c r="G1546" s="295"/>
      <c r="I1546" s="295"/>
      <c r="J1546" s="230"/>
      <c r="K1546" s="329"/>
      <c r="L1546" s="295"/>
      <c r="M1546" s="295"/>
      <c r="N1546" s="295"/>
      <c r="O1546" s="295"/>
      <c r="P1546" s="295"/>
      <c r="Q1546" s="295"/>
      <c r="R1546" s="295"/>
      <c r="S1546" s="295"/>
      <c r="T1546" s="295"/>
      <c r="U1546" s="295"/>
      <c r="V1546" s="295"/>
      <c r="W1546" s="295"/>
      <c r="X1546" s="295"/>
      <c r="Y1546" s="295"/>
      <c r="Z1546" s="295"/>
      <c r="AA1546" s="295"/>
    </row>
    <row r="1547">
      <c r="A1547" s="327"/>
      <c r="B1547" s="327"/>
      <c r="C1547" s="295"/>
      <c r="D1547" s="334"/>
      <c r="E1547" s="295"/>
      <c r="F1547" s="329"/>
      <c r="G1547" s="295"/>
      <c r="I1547" s="295"/>
      <c r="J1547" s="230"/>
      <c r="K1547" s="329"/>
      <c r="L1547" s="295"/>
      <c r="M1547" s="295"/>
      <c r="N1547" s="295"/>
      <c r="O1547" s="295"/>
      <c r="P1547" s="295"/>
      <c r="Q1547" s="295"/>
      <c r="R1547" s="295"/>
      <c r="S1547" s="295"/>
      <c r="T1547" s="295"/>
      <c r="U1547" s="295"/>
      <c r="V1547" s="295"/>
      <c r="W1547" s="295"/>
      <c r="X1547" s="295"/>
      <c r="Y1547" s="295"/>
      <c r="Z1547" s="295"/>
      <c r="AA1547" s="295"/>
    </row>
    <row r="1548">
      <c r="A1548" s="327"/>
      <c r="B1548" s="327"/>
      <c r="C1548" s="295"/>
      <c r="D1548" s="334"/>
      <c r="E1548" s="295"/>
      <c r="F1548" s="329"/>
      <c r="G1548" s="295"/>
      <c r="I1548" s="295"/>
      <c r="J1548" s="230"/>
      <c r="K1548" s="329"/>
      <c r="L1548" s="295"/>
      <c r="M1548" s="295"/>
      <c r="N1548" s="295"/>
      <c r="O1548" s="295"/>
      <c r="P1548" s="295"/>
      <c r="Q1548" s="295"/>
      <c r="R1548" s="295"/>
      <c r="S1548" s="295"/>
      <c r="T1548" s="295"/>
      <c r="U1548" s="295"/>
      <c r="V1548" s="295"/>
      <c r="W1548" s="295"/>
      <c r="X1548" s="295"/>
      <c r="Y1548" s="295"/>
      <c r="Z1548" s="295"/>
      <c r="AA1548" s="295"/>
    </row>
    <row r="1549">
      <c r="A1549" s="327"/>
      <c r="B1549" s="327"/>
      <c r="C1549" s="295"/>
      <c r="D1549" s="334"/>
      <c r="E1549" s="295"/>
      <c r="F1549" s="329"/>
      <c r="G1549" s="295"/>
      <c r="I1549" s="295"/>
      <c r="J1549" s="230"/>
      <c r="K1549" s="329"/>
      <c r="L1549" s="295"/>
      <c r="M1549" s="295"/>
      <c r="N1549" s="295"/>
      <c r="O1549" s="295"/>
      <c r="P1549" s="295"/>
      <c r="Q1549" s="295"/>
      <c r="R1549" s="295"/>
      <c r="S1549" s="295"/>
      <c r="T1549" s="295"/>
      <c r="U1549" s="295"/>
      <c r="V1549" s="295"/>
      <c r="W1549" s="295"/>
      <c r="X1549" s="295"/>
      <c r="Y1549" s="295"/>
      <c r="Z1549" s="295"/>
      <c r="AA1549" s="295"/>
    </row>
    <row r="1550">
      <c r="A1550" s="327"/>
      <c r="B1550" s="327"/>
      <c r="C1550" s="295"/>
      <c r="D1550" s="334"/>
      <c r="E1550" s="295"/>
      <c r="F1550" s="329"/>
      <c r="G1550" s="295"/>
      <c r="I1550" s="295"/>
      <c r="J1550" s="230"/>
      <c r="K1550" s="329"/>
      <c r="L1550" s="295"/>
      <c r="M1550" s="295"/>
      <c r="N1550" s="295"/>
      <c r="O1550" s="295"/>
      <c r="P1550" s="295"/>
      <c r="Q1550" s="295"/>
      <c r="R1550" s="295"/>
      <c r="S1550" s="295"/>
      <c r="T1550" s="295"/>
      <c r="U1550" s="295"/>
      <c r="V1550" s="295"/>
      <c r="W1550" s="295"/>
      <c r="X1550" s="295"/>
      <c r="Y1550" s="295"/>
      <c r="Z1550" s="295"/>
      <c r="AA1550" s="295"/>
    </row>
    <row r="1551">
      <c r="A1551" s="327"/>
      <c r="B1551" s="327"/>
      <c r="C1551" s="295"/>
      <c r="D1551" s="334"/>
      <c r="E1551" s="295"/>
      <c r="F1551" s="329"/>
      <c r="G1551" s="295"/>
      <c r="I1551" s="295"/>
      <c r="J1551" s="230"/>
      <c r="K1551" s="329"/>
      <c r="L1551" s="295"/>
      <c r="M1551" s="295"/>
      <c r="N1551" s="295"/>
      <c r="O1551" s="295"/>
      <c r="P1551" s="295"/>
      <c r="Q1551" s="295"/>
      <c r="R1551" s="295"/>
      <c r="S1551" s="295"/>
      <c r="T1551" s="295"/>
      <c r="U1551" s="295"/>
      <c r="V1551" s="295"/>
      <c r="W1551" s="295"/>
      <c r="X1551" s="295"/>
      <c r="Y1551" s="295"/>
      <c r="Z1551" s="295"/>
      <c r="AA1551" s="295"/>
    </row>
    <row r="1552">
      <c r="A1552" s="327"/>
      <c r="B1552" s="327"/>
      <c r="C1552" s="295"/>
      <c r="D1552" s="334"/>
      <c r="E1552" s="295"/>
      <c r="F1552" s="329"/>
      <c r="G1552" s="295"/>
      <c r="I1552" s="295"/>
      <c r="J1552" s="230"/>
      <c r="K1552" s="329"/>
      <c r="L1552" s="295"/>
      <c r="M1552" s="295"/>
      <c r="N1552" s="295"/>
      <c r="O1552" s="295"/>
      <c r="P1552" s="295"/>
      <c r="Q1552" s="295"/>
      <c r="R1552" s="295"/>
      <c r="S1552" s="295"/>
      <c r="T1552" s="295"/>
      <c r="U1552" s="295"/>
      <c r="V1552" s="295"/>
      <c r="W1552" s="295"/>
      <c r="X1552" s="295"/>
      <c r="Y1552" s="295"/>
      <c r="Z1552" s="295"/>
      <c r="AA1552" s="295"/>
    </row>
    <row r="1553">
      <c r="A1553" s="327"/>
      <c r="B1553" s="327"/>
      <c r="C1553" s="295"/>
      <c r="D1553" s="334"/>
      <c r="E1553" s="295"/>
      <c r="F1553" s="329"/>
      <c r="G1553" s="295"/>
      <c r="I1553" s="295"/>
      <c r="J1553" s="230"/>
      <c r="K1553" s="329"/>
      <c r="L1553" s="295"/>
      <c r="M1553" s="295"/>
      <c r="N1553" s="295"/>
      <c r="O1553" s="295"/>
      <c r="P1553" s="295"/>
      <c r="Q1553" s="295"/>
      <c r="R1553" s="295"/>
      <c r="S1553" s="295"/>
      <c r="T1553" s="295"/>
      <c r="U1553" s="295"/>
      <c r="V1553" s="295"/>
      <c r="W1553" s="295"/>
      <c r="X1553" s="295"/>
      <c r="Y1553" s="295"/>
      <c r="Z1553" s="295"/>
      <c r="AA1553" s="295"/>
    </row>
    <row r="1554">
      <c r="A1554" s="327"/>
      <c r="B1554" s="327"/>
      <c r="C1554" s="295"/>
      <c r="D1554" s="334"/>
      <c r="E1554" s="295"/>
      <c r="F1554" s="329"/>
      <c r="G1554" s="295"/>
      <c r="I1554" s="295"/>
      <c r="J1554" s="230"/>
      <c r="K1554" s="329"/>
      <c r="L1554" s="295"/>
      <c r="M1554" s="295"/>
      <c r="N1554" s="295"/>
      <c r="O1554" s="295"/>
      <c r="P1554" s="295"/>
      <c r="Q1554" s="295"/>
      <c r="R1554" s="295"/>
      <c r="S1554" s="295"/>
      <c r="T1554" s="295"/>
      <c r="U1554" s="295"/>
      <c r="V1554" s="295"/>
      <c r="W1554" s="295"/>
      <c r="X1554" s="295"/>
      <c r="Y1554" s="295"/>
      <c r="Z1554" s="295"/>
      <c r="AA1554" s="295"/>
    </row>
    <row r="1555">
      <c r="A1555" s="327"/>
      <c r="B1555" s="327"/>
      <c r="C1555" s="295"/>
      <c r="D1555" s="334"/>
      <c r="E1555" s="295"/>
      <c r="F1555" s="329"/>
      <c r="G1555" s="295"/>
      <c r="I1555" s="295"/>
      <c r="J1555" s="230"/>
      <c r="K1555" s="329"/>
      <c r="L1555" s="295"/>
      <c r="M1555" s="295"/>
      <c r="N1555" s="295"/>
      <c r="O1555" s="295"/>
      <c r="P1555" s="295"/>
      <c r="Q1555" s="295"/>
      <c r="R1555" s="295"/>
      <c r="S1555" s="295"/>
      <c r="T1555" s="295"/>
      <c r="U1555" s="295"/>
      <c r="V1555" s="295"/>
      <c r="W1555" s="295"/>
      <c r="X1555" s="295"/>
      <c r="Y1555" s="295"/>
      <c r="Z1555" s="295"/>
      <c r="AA1555" s="295"/>
    </row>
    <row r="1556">
      <c r="A1556" s="327"/>
      <c r="B1556" s="327"/>
      <c r="C1556" s="295"/>
      <c r="D1556" s="334"/>
      <c r="E1556" s="295"/>
      <c r="F1556" s="329"/>
      <c r="G1556" s="295"/>
      <c r="I1556" s="295"/>
      <c r="J1556" s="230"/>
      <c r="K1556" s="329"/>
      <c r="L1556" s="295"/>
      <c r="M1556" s="295"/>
      <c r="N1556" s="295"/>
      <c r="O1556" s="295"/>
      <c r="P1556" s="295"/>
      <c r="Q1556" s="295"/>
      <c r="R1556" s="295"/>
      <c r="S1556" s="295"/>
      <c r="T1556" s="295"/>
      <c r="U1556" s="295"/>
      <c r="V1556" s="295"/>
      <c r="W1556" s="295"/>
      <c r="X1556" s="295"/>
      <c r="Y1556" s="295"/>
      <c r="Z1556" s="295"/>
      <c r="AA1556" s="295"/>
    </row>
    <row r="1557">
      <c r="A1557" s="327"/>
      <c r="B1557" s="327"/>
      <c r="C1557" s="295"/>
      <c r="D1557" s="334"/>
      <c r="E1557" s="295"/>
      <c r="F1557" s="329"/>
      <c r="G1557" s="295"/>
      <c r="I1557" s="295"/>
      <c r="J1557" s="230"/>
      <c r="K1557" s="329"/>
      <c r="L1557" s="295"/>
      <c r="M1557" s="295"/>
      <c r="N1557" s="295"/>
      <c r="O1557" s="295"/>
      <c r="P1557" s="295"/>
      <c r="Q1557" s="295"/>
      <c r="R1557" s="295"/>
      <c r="S1557" s="295"/>
      <c r="T1557" s="295"/>
      <c r="U1557" s="295"/>
      <c r="V1557" s="295"/>
      <c r="W1557" s="295"/>
      <c r="X1557" s="295"/>
      <c r="Y1557" s="295"/>
      <c r="Z1557" s="295"/>
      <c r="AA1557" s="295"/>
    </row>
    <row r="1558">
      <c r="A1558" s="327"/>
      <c r="B1558" s="327"/>
      <c r="C1558" s="295"/>
      <c r="D1558" s="334"/>
      <c r="E1558" s="295"/>
      <c r="F1558" s="329"/>
      <c r="G1558" s="295"/>
      <c r="I1558" s="295"/>
      <c r="J1558" s="230"/>
      <c r="K1558" s="329"/>
      <c r="L1558" s="295"/>
      <c r="M1558" s="295"/>
      <c r="N1558" s="295"/>
      <c r="O1558" s="295"/>
      <c r="P1558" s="295"/>
      <c r="Q1558" s="295"/>
      <c r="R1558" s="295"/>
      <c r="S1558" s="295"/>
      <c r="T1558" s="295"/>
      <c r="U1558" s="295"/>
      <c r="V1558" s="295"/>
      <c r="W1558" s="295"/>
      <c r="X1558" s="295"/>
      <c r="Y1558" s="295"/>
      <c r="Z1558" s="295"/>
      <c r="AA1558" s="295"/>
    </row>
    <row r="1559">
      <c r="A1559" s="327"/>
      <c r="B1559" s="327"/>
      <c r="C1559" s="295"/>
      <c r="D1559" s="334"/>
      <c r="E1559" s="295"/>
      <c r="F1559" s="329"/>
      <c r="G1559" s="295"/>
      <c r="I1559" s="295"/>
      <c r="J1559" s="230"/>
      <c r="K1559" s="329"/>
      <c r="L1559" s="295"/>
      <c r="M1559" s="295"/>
      <c r="N1559" s="295"/>
      <c r="O1559" s="295"/>
      <c r="P1559" s="295"/>
      <c r="Q1559" s="295"/>
      <c r="R1559" s="295"/>
      <c r="S1559" s="295"/>
      <c r="T1559" s="295"/>
      <c r="U1559" s="295"/>
      <c r="V1559" s="295"/>
      <c r="W1559" s="295"/>
      <c r="X1559" s="295"/>
      <c r="Y1559" s="295"/>
      <c r="Z1559" s="295"/>
      <c r="AA1559" s="295"/>
    </row>
    <row r="1560">
      <c r="A1560" s="327"/>
      <c r="B1560" s="327"/>
      <c r="C1560" s="295"/>
      <c r="D1560" s="334"/>
      <c r="E1560" s="295"/>
      <c r="F1560" s="329"/>
      <c r="G1560" s="295"/>
      <c r="I1560" s="295"/>
      <c r="J1560" s="230"/>
      <c r="K1560" s="329"/>
      <c r="L1560" s="295"/>
      <c r="M1560" s="295"/>
      <c r="N1560" s="295"/>
      <c r="O1560" s="295"/>
      <c r="P1560" s="295"/>
      <c r="Q1560" s="295"/>
      <c r="R1560" s="295"/>
      <c r="S1560" s="295"/>
      <c r="T1560" s="295"/>
      <c r="U1560" s="295"/>
      <c r="V1560" s="295"/>
      <c r="W1560" s="295"/>
      <c r="X1560" s="295"/>
      <c r="Y1560" s="295"/>
      <c r="Z1560" s="295"/>
      <c r="AA1560" s="295"/>
    </row>
    <row r="1561">
      <c r="A1561" s="327"/>
      <c r="B1561" s="327"/>
      <c r="C1561" s="295"/>
      <c r="D1561" s="334"/>
      <c r="E1561" s="295"/>
      <c r="F1561" s="329"/>
      <c r="G1561" s="295"/>
      <c r="I1561" s="295"/>
      <c r="J1561" s="230"/>
      <c r="K1561" s="329"/>
      <c r="L1561" s="295"/>
      <c r="M1561" s="295"/>
      <c r="N1561" s="295"/>
      <c r="O1561" s="295"/>
      <c r="P1561" s="295"/>
      <c r="Q1561" s="295"/>
      <c r="R1561" s="295"/>
      <c r="S1561" s="295"/>
      <c r="T1561" s="295"/>
      <c r="U1561" s="295"/>
      <c r="V1561" s="295"/>
      <c r="W1561" s="295"/>
      <c r="X1561" s="295"/>
      <c r="Y1561" s="295"/>
      <c r="Z1561" s="295"/>
      <c r="AA1561" s="295"/>
    </row>
    <row r="1562">
      <c r="A1562" s="327"/>
      <c r="B1562" s="327"/>
      <c r="C1562" s="295"/>
      <c r="D1562" s="334"/>
      <c r="E1562" s="295"/>
      <c r="F1562" s="329"/>
      <c r="G1562" s="295"/>
      <c r="I1562" s="295"/>
      <c r="J1562" s="230"/>
      <c r="K1562" s="329"/>
      <c r="L1562" s="295"/>
      <c r="M1562" s="295"/>
      <c r="N1562" s="295"/>
      <c r="O1562" s="295"/>
      <c r="P1562" s="295"/>
      <c r="Q1562" s="295"/>
      <c r="R1562" s="295"/>
      <c r="S1562" s="295"/>
      <c r="T1562" s="295"/>
      <c r="U1562" s="295"/>
      <c r="V1562" s="295"/>
      <c r="W1562" s="295"/>
      <c r="X1562" s="295"/>
      <c r="Y1562" s="295"/>
      <c r="Z1562" s="295"/>
      <c r="AA1562" s="295"/>
    </row>
    <row r="1563">
      <c r="A1563" s="327"/>
      <c r="B1563" s="327"/>
      <c r="C1563" s="295"/>
      <c r="D1563" s="334"/>
      <c r="E1563" s="295"/>
      <c r="F1563" s="329"/>
      <c r="G1563" s="295"/>
      <c r="I1563" s="295"/>
      <c r="J1563" s="230"/>
      <c r="K1563" s="329"/>
      <c r="L1563" s="295"/>
      <c r="M1563" s="295"/>
      <c r="N1563" s="295"/>
      <c r="O1563" s="295"/>
      <c r="P1563" s="295"/>
      <c r="Q1563" s="295"/>
      <c r="R1563" s="295"/>
      <c r="S1563" s="295"/>
      <c r="T1563" s="295"/>
      <c r="U1563" s="295"/>
      <c r="V1563" s="295"/>
      <c r="W1563" s="295"/>
      <c r="X1563" s="295"/>
      <c r="Y1563" s="295"/>
      <c r="Z1563" s="295"/>
      <c r="AA1563" s="295"/>
    </row>
    <row r="1564">
      <c r="A1564" s="327"/>
      <c r="B1564" s="327"/>
      <c r="C1564" s="295"/>
      <c r="D1564" s="334"/>
      <c r="E1564" s="295"/>
      <c r="F1564" s="329"/>
      <c r="G1564" s="295"/>
      <c r="I1564" s="295"/>
      <c r="J1564" s="230"/>
      <c r="K1564" s="329"/>
      <c r="L1564" s="295"/>
      <c r="M1564" s="295"/>
      <c r="N1564" s="295"/>
      <c r="O1564" s="295"/>
      <c r="P1564" s="295"/>
      <c r="Q1564" s="295"/>
      <c r="R1564" s="295"/>
      <c r="S1564" s="295"/>
      <c r="T1564" s="295"/>
      <c r="U1564" s="295"/>
      <c r="V1564" s="295"/>
      <c r="W1564" s="295"/>
      <c r="X1564" s="295"/>
      <c r="Y1564" s="295"/>
      <c r="Z1564" s="295"/>
      <c r="AA1564" s="295"/>
    </row>
    <row r="1565">
      <c r="A1565" s="327"/>
      <c r="B1565" s="327"/>
      <c r="C1565" s="295"/>
      <c r="D1565" s="334"/>
      <c r="E1565" s="295"/>
      <c r="F1565" s="329"/>
      <c r="G1565" s="295"/>
      <c r="I1565" s="295"/>
      <c r="J1565" s="230"/>
      <c r="K1565" s="329"/>
      <c r="L1565" s="295"/>
      <c r="M1565" s="295"/>
      <c r="N1565" s="295"/>
      <c r="O1565" s="295"/>
      <c r="P1565" s="295"/>
      <c r="Q1565" s="295"/>
      <c r="R1565" s="295"/>
      <c r="S1565" s="295"/>
      <c r="T1565" s="295"/>
      <c r="U1565" s="295"/>
      <c r="V1565" s="295"/>
      <c r="W1565" s="295"/>
      <c r="X1565" s="295"/>
      <c r="Y1565" s="295"/>
      <c r="Z1565" s="295"/>
      <c r="AA1565" s="295"/>
    </row>
    <row r="1566">
      <c r="A1566" s="327"/>
      <c r="B1566" s="327"/>
      <c r="C1566" s="295"/>
      <c r="D1566" s="334"/>
      <c r="E1566" s="295"/>
      <c r="F1566" s="329"/>
      <c r="G1566" s="295"/>
      <c r="I1566" s="295"/>
      <c r="J1566" s="230"/>
      <c r="K1566" s="329"/>
      <c r="L1566" s="295"/>
      <c r="M1566" s="295"/>
      <c r="N1566" s="295"/>
      <c r="O1566" s="295"/>
      <c r="P1566" s="295"/>
      <c r="Q1566" s="295"/>
      <c r="R1566" s="295"/>
      <c r="S1566" s="295"/>
      <c r="T1566" s="295"/>
      <c r="U1566" s="295"/>
      <c r="V1566" s="295"/>
      <c r="W1566" s="295"/>
      <c r="X1566" s="295"/>
      <c r="Y1566" s="295"/>
      <c r="Z1566" s="295"/>
      <c r="AA1566" s="295"/>
    </row>
    <row r="1567">
      <c r="A1567" s="327"/>
      <c r="B1567" s="327"/>
      <c r="C1567" s="295"/>
      <c r="D1567" s="334"/>
      <c r="E1567" s="295"/>
      <c r="F1567" s="329"/>
      <c r="G1567" s="295"/>
      <c r="I1567" s="295"/>
      <c r="J1567" s="230"/>
      <c r="K1567" s="329"/>
      <c r="L1567" s="295"/>
      <c r="M1567" s="295"/>
      <c r="N1567" s="295"/>
      <c r="O1567" s="295"/>
      <c r="P1567" s="295"/>
      <c r="Q1567" s="295"/>
      <c r="R1567" s="295"/>
      <c r="S1567" s="295"/>
      <c r="T1567" s="295"/>
      <c r="U1567" s="295"/>
      <c r="V1567" s="295"/>
      <c r="W1567" s="295"/>
      <c r="X1567" s="295"/>
      <c r="Y1567" s="295"/>
      <c r="Z1567" s="295"/>
      <c r="AA1567" s="295"/>
    </row>
    <row r="1568">
      <c r="A1568" s="327"/>
      <c r="B1568" s="327"/>
      <c r="C1568" s="295"/>
      <c r="D1568" s="334"/>
      <c r="E1568" s="295"/>
      <c r="F1568" s="329"/>
      <c r="G1568" s="295"/>
      <c r="I1568" s="295"/>
      <c r="J1568" s="230"/>
      <c r="K1568" s="329"/>
      <c r="L1568" s="295"/>
      <c r="M1568" s="295"/>
      <c r="N1568" s="295"/>
      <c r="O1568" s="295"/>
      <c r="P1568" s="295"/>
      <c r="Q1568" s="295"/>
      <c r="R1568" s="295"/>
      <c r="S1568" s="295"/>
      <c r="T1568" s="295"/>
      <c r="U1568" s="295"/>
      <c r="V1568" s="295"/>
      <c r="W1568" s="295"/>
      <c r="X1568" s="295"/>
      <c r="Y1568" s="295"/>
      <c r="Z1568" s="295"/>
      <c r="AA1568" s="295"/>
    </row>
    <row r="1569">
      <c r="A1569" s="327"/>
      <c r="B1569" s="327"/>
      <c r="C1569" s="295"/>
      <c r="D1569" s="334"/>
      <c r="E1569" s="295"/>
      <c r="F1569" s="329"/>
      <c r="G1569" s="295"/>
      <c r="I1569" s="295"/>
      <c r="J1569" s="230"/>
      <c r="K1569" s="329"/>
      <c r="L1569" s="295"/>
      <c r="M1569" s="295"/>
      <c r="N1569" s="295"/>
      <c r="O1569" s="295"/>
      <c r="P1569" s="295"/>
      <c r="Q1569" s="295"/>
      <c r="R1569" s="295"/>
      <c r="S1569" s="295"/>
      <c r="T1569" s="295"/>
      <c r="U1569" s="295"/>
      <c r="V1569" s="295"/>
      <c r="W1569" s="295"/>
      <c r="X1569" s="295"/>
      <c r="Y1569" s="295"/>
      <c r="Z1569" s="295"/>
      <c r="AA1569" s="295"/>
    </row>
    <row r="1570">
      <c r="A1570" s="327"/>
      <c r="B1570" s="327"/>
      <c r="C1570" s="295"/>
      <c r="D1570" s="334"/>
      <c r="E1570" s="295"/>
      <c r="F1570" s="329"/>
      <c r="G1570" s="295"/>
      <c r="I1570" s="295"/>
      <c r="J1570" s="230"/>
      <c r="K1570" s="329"/>
      <c r="L1570" s="295"/>
      <c r="M1570" s="295"/>
      <c r="N1570" s="295"/>
      <c r="O1570" s="295"/>
      <c r="P1570" s="295"/>
      <c r="Q1570" s="295"/>
      <c r="R1570" s="295"/>
      <c r="S1570" s="295"/>
      <c r="T1570" s="295"/>
      <c r="U1570" s="295"/>
      <c r="V1570" s="295"/>
      <c r="W1570" s="295"/>
      <c r="X1570" s="295"/>
      <c r="Y1570" s="295"/>
      <c r="Z1570" s="295"/>
      <c r="AA1570" s="295"/>
    </row>
    <row r="1571">
      <c r="A1571" s="327"/>
      <c r="B1571" s="327"/>
      <c r="C1571" s="295"/>
      <c r="D1571" s="334"/>
      <c r="E1571" s="295"/>
      <c r="F1571" s="329"/>
      <c r="G1571" s="295"/>
      <c r="I1571" s="295"/>
      <c r="J1571" s="230"/>
      <c r="K1571" s="329"/>
      <c r="L1571" s="295"/>
      <c r="M1571" s="295"/>
      <c r="N1571" s="295"/>
      <c r="O1571" s="295"/>
      <c r="P1571" s="295"/>
      <c r="Q1571" s="295"/>
      <c r="R1571" s="295"/>
      <c r="S1571" s="295"/>
      <c r="T1571" s="295"/>
      <c r="U1571" s="295"/>
      <c r="V1571" s="295"/>
      <c r="W1571" s="295"/>
      <c r="X1571" s="295"/>
      <c r="Y1571" s="295"/>
      <c r="Z1571" s="295"/>
      <c r="AA1571" s="295"/>
    </row>
    <row r="1572">
      <c r="A1572" s="327"/>
      <c r="B1572" s="327"/>
      <c r="C1572" s="295"/>
      <c r="D1572" s="334"/>
      <c r="E1572" s="295"/>
      <c r="F1572" s="329"/>
      <c r="G1572" s="295"/>
      <c r="I1572" s="295"/>
      <c r="J1572" s="230"/>
      <c r="K1572" s="329"/>
      <c r="L1572" s="295"/>
      <c r="M1572" s="295"/>
      <c r="N1572" s="295"/>
      <c r="O1572" s="295"/>
      <c r="P1572" s="295"/>
      <c r="Q1572" s="295"/>
      <c r="R1572" s="295"/>
      <c r="S1572" s="295"/>
      <c r="T1572" s="295"/>
      <c r="U1572" s="295"/>
      <c r="V1572" s="295"/>
      <c r="W1572" s="295"/>
      <c r="X1572" s="295"/>
      <c r="Y1572" s="295"/>
      <c r="Z1572" s="295"/>
      <c r="AA1572" s="295"/>
    </row>
    <row r="1573">
      <c r="A1573" s="327"/>
      <c r="B1573" s="327"/>
      <c r="C1573" s="295"/>
      <c r="D1573" s="334"/>
      <c r="E1573" s="295"/>
      <c r="F1573" s="329"/>
      <c r="G1573" s="295"/>
      <c r="I1573" s="295"/>
      <c r="J1573" s="230"/>
      <c r="K1573" s="329"/>
      <c r="L1573" s="295"/>
      <c r="M1573" s="295"/>
      <c r="N1573" s="295"/>
      <c r="O1573" s="295"/>
      <c r="P1573" s="295"/>
      <c r="Q1573" s="295"/>
      <c r="R1573" s="295"/>
      <c r="S1573" s="295"/>
      <c r="T1573" s="295"/>
      <c r="U1573" s="295"/>
      <c r="V1573" s="295"/>
      <c r="W1573" s="295"/>
      <c r="X1573" s="295"/>
      <c r="Y1573" s="295"/>
      <c r="Z1573" s="295"/>
      <c r="AA1573" s="295"/>
    </row>
    <row r="1574">
      <c r="A1574" s="327"/>
      <c r="B1574" s="327"/>
      <c r="C1574" s="295"/>
      <c r="D1574" s="334"/>
      <c r="E1574" s="295"/>
      <c r="F1574" s="329"/>
      <c r="G1574" s="295"/>
      <c r="I1574" s="295"/>
      <c r="J1574" s="230"/>
      <c r="K1574" s="329"/>
      <c r="L1574" s="295"/>
      <c r="M1574" s="295"/>
      <c r="N1574" s="295"/>
      <c r="O1574" s="295"/>
      <c r="P1574" s="295"/>
      <c r="Q1574" s="295"/>
      <c r="R1574" s="295"/>
      <c r="S1574" s="295"/>
      <c r="T1574" s="295"/>
      <c r="U1574" s="295"/>
      <c r="V1574" s="295"/>
      <c r="W1574" s="295"/>
      <c r="X1574" s="295"/>
      <c r="Y1574" s="295"/>
      <c r="Z1574" s="295"/>
      <c r="AA1574" s="295"/>
    </row>
    <row r="1575">
      <c r="A1575" s="327"/>
      <c r="B1575" s="327"/>
      <c r="C1575" s="295"/>
      <c r="D1575" s="334"/>
      <c r="E1575" s="295"/>
      <c r="F1575" s="329"/>
      <c r="G1575" s="295"/>
      <c r="I1575" s="295"/>
      <c r="J1575" s="230"/>
      <c r="K1575" s="329"/>
      <c r="L1575" s="295"/>
      <c r="M1575" s="295"/>
      <c r="N1575" s="295"/>
      <c r="O1575" s="295"/>
      <c r="P1575" s="295"/>
      <c r="Q1575" s="295"/>
      <c r="R1575" s="295"/>
      <c r="S1575" s="295"/>
      <c r="T1575" s="295"/>
      <c r="U1575" s="295"/>
      <c r="V1575" s="295"/>
      <c r="W1575" s="295"/>
      <c r="X1575" s="295"/>
      <c r="Y1575" s="295"/>
      <c r="Z1575" s="295"/>
      <c r="AA1575" s="295"/>
    </row>
    <row r="1576">
      <c r="A1576" s="327"/>
      <c r="B1576" s="327"/>
      <c r="C1576" s="295"/>
      <c r="D1576" s="334"/>
      <c r="E1576" s="295"/>
      <c r="F1576" s="329"/>
      <c r="G1576" s="295"/>
      <c r="I1576" s="295"/>
      <c r="J1576" s="230"/>
      <c r="K1576" s="329"/>
      <c r="L1576" s="295"/>
      <c r="M1576" s="295"/>
      <c r="N1576" s="295"/>
      <c r="O1576" s="295"/>
      <c r="P1576" s="295"/>
      <c r="Q1576" s="295"/>
      <c r="R1576" s="295"/>
      <c r="S1576" s="295"/>
      <c r="T1576" s="295"/>
      <c r="U1576" s="295"/>
      <c r="V1576" s="295"/>
      <c r="W1576" s="295"/>
      <c r="X1576" s="295"/>
      <c r="Y1576" s="295"/>
      <c r="Z1576" s="295"/>
      <c r="AA1576" s="295"/>
    </row>
    <row r="1577">
      <c r="A1577" s="327"/>
      <c r="B1577" s="327"/>
      <c r="C1577" s="295"/>
      <c r="D1577" s="334"/>
      <c r="E1577" s="295"/>
      <c r="F1577" s="329"/>
      <c r="G1577" s="295"/>
      <c r="I1577" s="295"/>
      <c r="J1577" s="230"/>
      <c r="K1577" s="329"/>
      <c r="L1577" s="295"/>
      <c r="M1577" s="295"/>
      <c r="N1577" s="295"/>
      <c r="O1577" s="295"/>
      <c r="P1577" s="295"/>
      <c r="Q1577" s="295"/>
      <c r="R1577" s="295"/>
      <c r="S1577" s="295"/>
      <c r="T1577" s="295"/>
      <c r="U1577" s="295"/>
      <c r="V1577" s="295"/>
      <c r="W1577" s="295"/>
      <c r="X1577" s="295"/>
      <c r="Y1577" s="295"/>
      <c r="Z1577" s="295"/>
      <c r="AA1577" s="295"/>
    </row>
    <row r="1578">
      <c r="A1578" s="327"/>
      <c r="B1578" s="327"/>
      <c r="C1578" s="295"/>
      <c r="D1578" s="334"/>
      <c r="E1578" s="295"/>
      <c r="F1578" s="329"/>
      <c r="G1578" s="295"/>
      <c r="I1578" s="295"/>
      <c r="J1578" s="230"/>
      <c r="K1578" s="329"/>
      <c r="L1578" s="295"/>
      <c r="M1578" s="295"/>
      <c r="N1578" s="295"/>
      <c r="O1578" s="295"/>
      <c r="P1578" s="295"/>
      <c r="Q1578" s="295"/>
      <c r="R1578" s="295"/>
      <c r="S1578" s="295"/>
      <c r="T1578" s="295"/>
      <c r="U1578" s="295"/>
      <c r="V1578" s="295"/>
      <c r="W1578" s="295"/>
      <c r="X1578" s="295"/>
      <c r="Y1578" s="295"/>
      <c r="Z1578" s="295"/>
      <c r="AA1578" s="295"/>
    </row>
    <row r="1579">
      <c r="A1579" s="327"/>
      <c r="B1579" s="327"/>
      <c r="C1579" s="295"/>
      <c r="D1579" s="334"/>
      <c r="E1579" s="295"/>
      <c r="F1579" s="329"/>
      <c r="G1579" s="295"/>
      <c r="I1579" s="295"/>
      <c r="J1579" s="230"/>
      <c r="K1579" s="329"/>
      <c r="L1579" s="295"/>
      <c r="M1579" s="295"/>
      <c r="N1579" s="295"/>
      <c r="O1579" s="295"/>
      <c r="P1579" s="295"/>
      <c r="Q1579" s="295"/>
      <c r="R1579" s="295"/>
      <c r="S1579" s="295"/>
      <c r="T1579" s="295"/>
      <c r="U1579" s="295"/>
      <c r="V1579" s="295"/>
      <c r="W1579" s="295"/>
      <c r="X1579" s="295"/>
      <c r="Y1579" s="295"/>
      <c r="Z1579" s="295"/>
      <c r="AA1579" s="295"/>
    </row>
    <row r="1580">
      <c r="A1580" s="327"/>
      <c r="B1580" s="327"/>
      <c r="C1580" s="295"/>
      <c r="D1580" s="334"/>
      <c r="E1580" s="295"/>
      <c r="F1580" s="329"/>
      <c r="G1580" s="295"/>
      <c r="I1580" s="295"/>
      <c r="J1580" s="230"/>
      <c r="K1580" s="329"/>
      <c r="L1580" s="295"/>
      <c r="M1580" s="295"/>
      <c r="N1580" s="295"/>
      <c r="O1580" s="295"/>
      <c r="P1580" s="295"/>
      <c r="Q1580" s="295"/>
      <c r="R1580" s="295"/>
      <c r="S1580" s="295"/>
      <c r="T1580" s="295"/>
      <c r="U1580" s="295"/>
      <c r="V1580" s="295"/>
      <c r="W1580" s="295"/>
      <c r="X1580" s="295"/>
      <c r="Y1580" s="295"/>
      <c r="Z1580" s="295"/>
      <c r="AA1580" s="295"/>
    </row>
    <row r="1581">
      <c r="A1581" s="327"/>
      <c r="B1581" s="327"/>
      <c r="C1581" s="295"/>
      <c r="D1581" s="334"/>
      <c r="E1581" s="295"/>
      <c r="F1581" s="329"/>
      <c r="G1581" s="295"/>
      <c r="I1581" s="295"/>
      <c r="J1581" s="230"/>
      <c r="K1581" s="329"/>
      <c r="L1581" s="295"/>
      <c r="M1581" s="295"/>
      <c r="N1581" s="295"/>
      <c r="O1581" s="295"/>
      <c r="P1581" s="295"/>
      <c r="Q1581" s="295"/>
      <c r="R1581" s="295"/>
      <c r="S1581" s="295"/>
      <c r="T1581" s="295"/>
      <c r="U1581" s="295"/>
      <c r="V1581" s="295"/>
      <c r="W1581" s="295"/>
      <c r="X1581" s="295"/>
      <c r="Y1581" s="295"/>
      <c r="Z1581" s="295"/>
      <c r="AA1581" s="295"/>
    </row>
    <row r="1582">
      <c r="A1582" s="327"/>
      <c r="B1582" s="327"/>
      <c r="C1582" s="295"/>
      <c r="D1582" s="334"/>
      <c r="E1582" s="295"/>
      <c r="F1582" s="329"/>
      <c r="G1582" s="295"/>
      <c r="I1582" s="295"/>
      <c r="J1582" s="230"/>
      <c r="K1582" s="329"/>
      <c r="L1582" s="295"/>
      <c r="M1582" s="295"/>
      <c r="N1582" s="295"/>
      <c r="O1582" s="295"/>
      <c r="P1582" s="295"/>
      <c r="Q1582" s="295"/>
      <c r="R1582" s="295"/>
      <c r="S1582" s="295"/>
      <c r="T1582" s="295"/>
      <c r="U1582" s="295"/>
      <c r="V1582" s="295"/>
      <c r="W1582" s="295"/>
      <c r="X1582" s="295"/>
      <c r="Y1582" s="295"/>
      <c r="Z1582" s="295"/>
      <c r="AA1582" s="295"/>
    </row>
    <row r="1583">
      <c r="A1583" s="327"/>
      <c r="B1583" s="327"/>
      <c r="C1583" s="295"/>
      <c r="D1583" s="334"/>
      <c r="E1583" s="295"/>
      <c r="F1583" s="329"/>
      <c r="G1583" s="295"/>
      <c r="I1583" s="295"/>
      <c r="J1583" s="230"/>
      <c r="K1583" s="329"/>
      <c r="L1583" s="295"/>
      <c r="M1583" s="295"/>
      <c r="N1583" s="295"/>
      <c r="O1583" s="295"/>
      <c r="P1583" s="295"/>
      <c r="Q1583" s="295"/>
      <c r="R1583" s="295"/>
      <c r="S1583" s="295"/>
      <c r="T1583" s="295"/>
      <c r="U1583" s="295"/>
      <c r="V1583" s="295"/>
      <c r="W1583" s="295"/>
      <c r="X1583" s="295"/>
      <c r="Y1583" s="295"/>
      <c r="Z1583" s="295"/>
      <c r="AA1583" s="295"/>
    </row>
    <row r="1584">
      <c r="A1584" s="327"/>
      <c r="B1584" s="327"/>
      <c r="C1584" s="295"/>
      <c r="D1584" s="334"/>
      <c r="E1584" s="295"/>
      <c r="F1584" s="329"/>
      <c r="G1584" s="295"/>
      <c r="I1584" s="295"/>
      <c r="J1584" s="230"/>
      <c r="K1584" s="329"/>
      <c r="L1584" s="295"/>
      <c r="M1584" s="295"/>
      <c r="N1584" s="295"/>
      <c r="O1584" s="295"/>
      <c r="P1584" s="295"/>
      <c r="Q1584" s="295"/>
      <c r="R1584" s="295"/>
      <c r="S1584" s="295"/>
      <c r="T1584" s="295"/>
      <c r="U1584" s="295"/>
      <c r="V1584" s="295"/>
      <c r="W1584" s="295"/>
      <c r="X1584" s="295"/>
      <c r="Y1584" s="295"/>
      <c r="Z1584" s="295"/>
      <c r="AA1584" s="295"/>
    </row>
    <row r="1585">
      <c r="A1585" s="327"/>
      <c r="B1585" s="327"/>
      <c r="C1585" s="295"/>
      <c r="D1585" s="334"/>
      <c r="E1585" s="295"/>
      <c r="F1585" s="329"/>
      <c r="G1585" s="295"/>
      <c r="I1585" s="295"/>
      <c r="J1585" s="230"/>
      <c r="K1585" s="329"/>
      <c r="L1585" s="295"/>
      <c r="M1585" s="295"/>
      <c r="N1585" s="295"/>
      <c r="O1585" s="295"/>
      <c r="P1585" s="295"/>
      <c r="Q1585" s="295"/>
      <c r="R1585" s="295"/>
      <c r="S1585" s="295"/>
      <c r="T1585" s="295"/>
      <c r="U1585" s="295"/>
      <c r="V1585" s="295"/>
      <c r="W1585" s="295"/>
      <c r="X1585" s="295"/>
      <c r="Y1585" s="295"/>
      <c r="Z1585" s="295"/>
      <c r="AA1585" s="295"/>
    </row>
    <row r="1586">
      <c r="A1586" s="327"/>
      <c r="B1586" s="327"/>
      <c r="C1586" s="295"/>
      <c r="D1586" s="334"/>
      <c r="E1586" s="295"/>
      <c r="F1586" s="329"/>
      <c r="G1586" s="295"/>
      <c r="I1586" s="295"/>
      <c r="J1586" s="230"/>
      <c r="K1586" s="329"/>
      <c r="L1586" s="295"/>
      <c r="M1586" s="295"/>
      <c r="N1586" s="295"/>
      <c r="O1586" s="295"/>
      <c r="P1586" s="295"/>
      <c r="Q1586" s="295"/>
      <c r="R1586" s="295"/>
      <c r="S1586" s="295"/>
      <c r="T1586" s="295"/>
      <c r="U1586" s="295"/>
      <c r="V1586" s="295"/>
      <c r="W1586" s="295"/>
      <c r="X1586" s="295"/>
      <c r="Y1586" s="295"/>
      <c r="Z1586" s="295"/>
      <c r="AA1586" s="295"/>
    </row>
    <row r="1587">
      <c r="A1587" s="327"/>
      <c r="B1587" s="327"/>
      <c r="C1587" s="295"/>
      <c r="D1587" s="334"/>
      <c r="E1587" s="295"/>
      <c r="F1587" s="329"/>
      <c r="G1587" s="295"/>
      <c r="I1587" s="295"/>
      <c r="J1587" s="230"/>
      <c r="K1587" s="329"/>
      <c r="L1587" s="295"/>
      <c r="M1587" s="295"/>
      <c r="N1587" s="295"/>
      <c r="O1587" s="295"/>
      <c r="P1587" s="295"/>
      <c r="Q1587" s="295"/>
      <c r="R1587" s="295"/>
      <c r="S1587" s="295"/>
      <c r="T1587" s="295"/>
      <c r="U1587" s="295"/>
      <c r="V1587" s="295"/>
      <c r="W1587" s="295"/>
      <c r="X1587" s="295"/>
      <c r="Y1587" s="295"/>
      <c r="Z1587" s="295"/>
      <c r="AA1587" s="295"/>
    </row>
    <row r="1588">
      <c r="A1588" s="327"/>
      <c r="B1588" s="327"/>
      <c r="C1588" s="295"/>
      <c r="D1588" s="334"/>
      <c r="E1588" s="295"/>
      <c r="F1588" s="329"/>
      <c r="G1588" s="295"/>
      <c r="I1588" s="295"/>
      <c r="J1588" s="230"/>
      <c r="K1588" s="329"/>
      <c r="L1588" s="295"/>
      <c r="M1588" s="295"/>
      <c r="N1588" s="295"/>
      <c r="O1588" s="295"/>
      <c r="P1588" s="295"/>
      <c r="Q1588" s="295"/>
      <c r="R1588" s="295"/>
      <c r="S1588" s="295"/>
      <c r="T1588" s="295"/>
      <c r="U1588" s="295"/>
      <c r="V1588" s="295"/>
      <c r="W1588" s="295"/>
      <c r="X1588" s="295"/>
      <c r="Y1588" s="295"/>
      <c r="Z1588" s="295"/>
      <c r="AA1588" s="295"/>
    </row>
    <row r="1589">
      <c r="A1589" s="327"/>
      <c r="B1589" s="327"/>
      <c r="C1589" s="295"/>
      <c r="D1589" s="334"/>
      <c r="E1589" s="295"/>
      <c r="F1589" s="329"/>
      <c r="G1589" s="295"/>
      <c r="I1589" s="295"/>
      <c r="J1589" s="230"/>
      <c r="K1589" s="329"/>
      <c r="L1589" s="295"/>
      <c r="M1589" s="295"/>
      <c r="N1589" s="295"/>
      <c r="O1589" s="295"/>
      <c r="P1589" s="295"/>
      <c r="Q1589" s="295"/>
      <c r="R1589" s="295"/>
      <c r="S1589" s="295"/>
      <c r="T1589" s="295"/>
      <c r="U1589" s="295"/>
      <c r="V1589" s="295"/>
      <c r="W1589" s="295"/>
      <c r="X1589" s="295"/>
      <c r="Y1589" s="295"/>
      <c r="Z1589" s="295"/>
      <c r="AA1589" s="295"/>
    </row>
    <row r="1590">
      <c r="A1590" s="327"/>
      <c r="B1590" s="327"/>
      <c r="C1590" s="295"/>
      <c r="D1590" s="334"/>
      <c r="E1590" s="295"/>
      <c r="F1590" s="329"/>
      <c r="G1590" s="295"/>
      <c r="I1590" s="295"/>
      <c r="J1590" s="230"/>
      <c r="K1590" s="329"/>
      <c r="L1590" s="295"/>
      <c r="M1590" s="295"/>
      <c r="N1590" s="295"/>
      <c r="O1590" s="295"/>
      <c r="P1590" s="295"/>
      <c r="Q1590" s="295"/>
      <c r="R1590" s="295"/>
      <c r="S1590" s="295"/>
      <c r="T1590" s="295"/>
      <c r="U1590" s="295"/>
      <c r="V1590" s="295"/>
      <c r="W1590" s="295"/>
      <c r="X1590" s="295"/>
      <c r="Y1590" s="295"/>
      <c r="Z1590" s="295"/>
      <c r="AA1590" s="295"/>
    </row>
    <row r="1591">
      <c r="A1591" s="327"/>
      <c r="B1591" s="327"/>
      <c r="C1591" s="295"/>
      <c r="D1591" s="334"/>
      <c r="E1591" s="295"/>
      <c r="F1591" s="329"/>
      <c r="G1591" s="295"/>
      <c r="I1591" s="295"/>
      <c r="J1591" s="230"/>
      <c r="K1591" s="329"/>
      <c r="L1591" s="295"/>
      <c r="M1591" s="295"/>
      <c r="N1591" s="295"/>
      <c r="O1591" s="295"/>
      <c r="P1591" s="295"/>
      <c r="Q1591" s="295"/>
      <c r="R1591" s="295"/>
      <c r="S1591" s="295"/>
      <c r="T1591" s="295"/>
      <c r="U1591" s="295"/>
      <c r="V1591" s="295"/>
      <c r="W1591" s="295"/>
      <c r="X1591" s="295"/>
      <c r="Y1591" s="295"/>
      <c r="Z1591" s="295"/>
      <c r="AA1591" s="295"/>
    </row>
    <row r="1592">
      <c r="A1592" s="327"/>
      <c r="B1592" s="327"/>
      <c r="C1592" s="295"/>
      <c r="D1592" s="334"/>
      <c r="E1592" s="295"/>
      <c r="F1592" s="329"/>
      <c r="G1592" s="295"/>
      <c r="I1592" s="295"/>
      <c r="J1592" s="230"/>
      <c r="K1592" s="329"/>
      <c r="L1592" s="295"/>
      <c r="M1592" s="295"/>
      <c r="N1592" s="295"/>
      <c r="O1592" s="295"/>
      <c r="P1592" s="295"/>
      <c r="Q1592" s="295"/>
      <c r="R1592" s="295"/>
      <c r="S1592" s="295"/>
      <c r="T1592" s="295"/>
      <c r="U1592" s="295"/>
      <c r="V1592" s="295"/>
      <c r="W1592" s="295"/>
      <c r="X1592" s="295"/>
      <c r="Y1592" s="295"/>
      <c r="Z1592" s="295"/>
      <c r="AA1592" s="295"/>
    </row>
    <row r="1593">
      <c r="A1593" s="327"/>
      <c r="B1593" s="327"/>
      <c r="C1593" s="295"/>
      <c r="D1593" s="334"/>
      <c r="E1593" s="295"/>
      <c r="F1593" s="329"/>
      <c r="G1593" s="295"/>
      <c r="I1593" s="295"/>
      <c r="J1593" s="230"/>
      <c r="K1593" s="329"/>
      <c r="L1593" s="295"/>
      <c r="M1593" s="295"/>
      <c r="N1593" s="295"/>
      <c r="O1593" s="295"/>
      <c r="P1593" s="295"/>
      <c r="Q1593" s="295"/>
      <c r="R1593" s="295"/>
      <c r="S1593" s="295"/>
      <c r="T1593" s="295"/>
      <c r="U1593" s="295"/>
      <c r="V1593" s="295"/>
      <c r="W1593" s="295"/>
      <c r="X1593" s="295"/>
      <c r="Y1593" s="295"/>
      <c r="Z1593" s="295"/>
      <c r="AA1593" s="295"/>
    </row>
    <row r="1594">
      <c r="A1594" s="327"/>
      <c r="B1594" s="327"/>
      <c r="C1594" s="295"/>
      <c r="D1594" s="334"/>
      <c r="E1594" s="295"/>
      <c r="F1594" s="329"/>
      <c r="G1594" s="295"/>
      <c r="I1594" s="295"/>
      <c r="J1594" s="230"/>
      <c r="K1594" s="329"/>
      <c r="L1594" s="295"/>
      <c r="M1594" s="295"/>
      <c r="N1594" s="295"/>
      <c r="O1594" s="295"/>
      <c r="P1594" s="295"/>
      <c r="Q1594" s="295"/>
      <c r="R1594" s="295"/>
      <c r="S1594" s="295"/>
      <c r="T1594" s="295"/>
      <c r="U1594" s="295"/>
      <c r="V1594" s="295"/>
      <c r="W1594" s="295"/>
      <c r="X1594" s="295"/>
      <c r="Y1594" s="295"/>
      <c r="Z1594" s="295"/>
      <c r="AA1594" s="295"/>
    </row>
    <row r="1595">
      <c r="A1595" s="327"/>
      <c r="B1595" s="327"/>
      <c r="C1595" s="295"/>
      <c r="D1595" s="334"/>
      <c r="E1595" s="295"/>
      <c r="F1595" s="329"/>
      <c r="G1595" s="295"/>
      <c r="I1595" s="295"/>
      <c r="J1595" s="230"/>
      <c r="K1595" s="329"/>
      <c r="L1595" s="295"/>
      <c r="M1595" s="295"/>
      <c r="N1595" s="295"/>
      <c r="O1595" s="295"/>
      <c r="P1595" s="295"/>
      <c r="Q1595" s="295"/>
      <c r="R1595" s="295"/>
      <c r="S1595" s="295"/>
      <c r="T1595" s="295"/>
      <c r="U1595" s="295"/>
      <c r="V1595" s="295"/>
      <c r="W1595" s="295"/>
      <c r="X1595" s="295"/>
      <c r="Y1595" s="295"/>
      <c r="Z1595" s="295"/>
      <c r="AA1595" s="295"/>
    </row>
    <row r="1596">
      <c r="A1596" s="327"/>
      <c r="B1596" s="327"/>
      <c r="C1596" s="295"/>
      <c r="D1596" s="334"/>
      <c r="E1596" s="295"/>
      <c r="F1596" s="329"/>
      <c r="G1596" s="295"/>
      <c r="I1596" s="295"/>
      <c r="J1596" s="230"/>
      <c r="K1596" s="329"/>
      <c r="L1596" s="295"/>
      <c r="M1596" s="295"/>
      <c r="N1596" s="295"/>
      <c r="O1596" s="295"/>
      <c r="P1596" s="295"/>
      <c r="Q1596" s="295"/>
      <c r="R1596" s="295"/>
      <c r="S1596" s="295"/>
      <c r="T1596" s="295"/>
      <c r="U1596" s="295"/>
      <c r="V1596" s="295"/>
      <c r="W1596" s="295"/>
      <c r="X1596" s="295"/>
      <c r="Y1596" s="295"/>
      <c r="Z1596" s="295"/>
      <c r="AA1596" s="295"/>
    </row>
    <row r="1597">
      <c r="A1597" s="327"/>
      <c r="B1597" s="327"/>
      <c r="C1597" s="295"/>
      <c r="D1597" s="334"/>
      <c r="E1597" s="295"/>
      <c r="F1597" s="329"/>
      <c r="G1597" s="295"/>
      <c r="I1597" s="295"/>
      <c r="J1597" s="230"/>
      <c r="K1597" s="329"/>
      <c r="L1597" s="295"/>
      <c r="M1597" s="295"/>
      <c r="N1597" s="295"/>
      <c r="O1597" s="295"/>
      <c r="P1597" s="295"/>
      <c r="Q1597" s="295"/>
      <c r="R1597" s="295"/>
      <c r="S1597" s="295"/>
      <c r="T1597" s="295"/>
      <c r="U1597" s="295"/>
      <c r="V1597" s="295"/>
      <c r="W1597" s="295"/>
      <c r="X1597" s="295"/>
      <c r="Y1597" s="295"/>
      <c r="Z1597" s="295"/>
      <c r="AA1597" s="295"/>
    </row>
    <row r="1598">
      <c r="A1598" s="327"/>
      <c r="B1598" s="327"/>
      <c r="C1598" s="295"/>
      <c r="D1598" s="334"/>
      <c r="E1598" s="295"/>
      <c r="F1598" s="329"/>
      <c r="G1598" s="295"/>
      <c r="I1598" s="295"/>
      <c r="J1598" s="230"/>
      <c r="K1598" s="329"/>
      <c r="L1598" s="295"/>
      <c r="M1598" s="295"/>
      <c r="N1598" s="295"/>
      <c r="O1598" s="295"/>
      <c r="P1598" s="295"/>
      <c r="Q1598" s="295"/>
      <c r="R1598" s="295"/>
      <c r="S1598" s="295"/>
      <c r="T1598" s="295"/>
      <c r="U1598" s="295"/>
      <c r="V1598" s="295"/>
      <c r="W1598" s="295"/>
      <c r="X1598" s="295"/>
      <c r="Y1598" s="295"/>
      <c r="Z1598" s="295"/>
      <c r="AA1598" s="295"/>
    </row>
    <row r="1599">
      <c r="A1599" s="327"/>
      <c r="B1599" s="327"/>
      <c r="C1599" s="295"/>
      <c r="D1599" s="334"/>
      <c r="E1599" s="295"/>
      <c r="F1599" s="329"/>
      <c r="G1599" s="295"/>
      <c r="I1599" s="295"/>
      <c r="J1599" s="230"/>
      <c r="K1599" s="329"/>
      <c r="L1599" s="295"/>
      <c r="M1599" s="295"/>
      <c r="N1599" s="295"/>
      <c r="O1599" s="295"/>
      <c r="P1599" s="295"/>
      <c r="Q1599" s="295"/>
      <c r="R1599" s="295"/>
      <c r="S1599" s="295"/>
      <c r="T1599" s="295"/>
      <c r="U1599" s="295"/>
      <c r="V1599" s="295"/>
      <c r="W1599" s="295"/>
      <c r="X1599" s="295"/>
      <c r="Y1599" s="295"/>
      <c r="Z1599" s="295"/>
      <c r="AA1599" s="295"/>
    </row>
    <row r="1600">
      <c r="A1600" s="327"/>
      <c r="B1600" s="327"/>
      <c r="C1600" s="295"/>
      <c r="D1600" s="334"/>
      <c r="E1600" s="295"/>
      <c r="F1600" s="329"/>
      <c r="G1600" s="295"/>
      <c r="I1600" s="295"/>
      <c r="J1600" s="230"/>
      <c r="K1600" s="329"/>
      <c r="L1600" s="295"/>
      <c r="M1600" s="295"/>
      <c r="N1600" s="295"/>
      <c r="O1600" s="295"/>
      <c r="P1600" s="295"/>
      <c r="Q1600" s="295"/>
      <c r="R1600" s="295"/>
      <c r="S1600" s="295"/>
      <c r="T1600" s="295"/>
      <c r="U1600" s="295"/>
      <c r="V1600" s="295"/>
      <c r="W1600" s="295"/>
      <c r="X1600" s="295"/>
      <c r="Y1600" s="295"/>
      <c r="Z1600" s="295"/>
      <c r="AA1600" s="295"/>
    </row>
    <row r="1601">
      <c r="A1601" s="327"/>
      <c r="B1601" s="327"/>
      <c r="C1601" s="295"/>
      <c r="D1601" s="334"/>
      <c r="E1601" s="295"/>
      <c r="F1601" s="329"/>
      <c r="G1601" s="295"/>
      <c r="I1601" s="295"/>
      <c r="J1601" s="230"/>
      <c r="K1601" s="329"/>
      <c r="L1601" s="295"/>
      <c r="M1601" s="295"/>
      <c r="N1601" s="295"/>
      <c r="O1601" s="295"/>
      <c r="P1601" s="295"/>
      <c r="Q1601" s="295"/>
      <c r="R1601" s="295"/>
      <c r="S1601" s="295"/>
      <c r="T1601" s="295"/>
      <c r="U1601" s="295"/>
      <c r="V1601" s="295"/>
      <c r="W1601" s="295"/>
      <c r="X1601" s="295"/>
      <c r="Y1601" s="295"/>
      <c r="Z1601" s="295"/>
      <c r="AA1601" s="295"/>
    </row>
    <row r="1602">
      <c r="A1602" s="327"/>
      <c r="B1602" s="327"/>
      <c r="C1602" s="295"/>
      <c r="D1602" s="334"/>
      <c r="E1602" s="295"/>
      <c r="F1602" s="329"/>
      <c r="G1602" s="295"/>
      <c r="I1602" s="295"/>
      <c r="J1602" s="230"/>
      <c r="K1602" s="329"/>
      <c r="L1602" s="295"/>
      <c r="M1602" s="295"/>
      <c r="N1602" s="295"/>
      <c r="O1602" s="295"/>
      <c r="P1602" s="295"/>
      <c r="Q1602" s="295"/>
      <c r="R1602" s="295"/>
      <c r="S1602" s="295"/>
      <c r="T1602" s="295"/>
      <c r="U1602" s="295"/>
      <c r="V1602" s="295"/>
      <c r="W1602" s="295"/>
      <c r="X1602" s="295"/>
      <c r="Y1602" s="295"/>
      <c r="Z1602" s="295"/>
      <c r="AA1602" s="295"/>
    </row>
    <row r="1603">
      <c r="A1603" s="327"/>
      <c r="B1603" s="327"/>
      <c r="C1603" s="295"/>
      <c r="D1603" s="334"/>
      <c r="E1603" s="295"/>
      <c r="F1603" s="329"/>
      <c r="G1603" s="295"/>
      <c r="I1603" s="295"/>
      <c r="J1603" s="230"/>
      <c r="K1603" s="329"/>
      <c r="L1603" s="295"/>
      <c r="M1603" s="295"/>
      <c r="N1603" s="295"/>
      <c r="O1603" s="295"/>
      <c r="P1603" s="295"/>
      <c r="Q1603" s="295"/>
      <c r="R1603" s="295"/>
      <c r="S1603" s="295"/>
      <c r="T1603" s="295"/>
      <c r="U1603" s="295"/>
      <c r="V1603" s="295"/>
      <c r="W1603" s="295"/>
      <c r="X1603" s="295"/>
      <c r="Y1603" s="295"/>
      <c r="Z1603" s="295"/>
      <c r="AA1603" s="295"/>
    </row>
    <row r="1604">
      <c r="A1604" s="327"/>
      <c r="B1604" s="327"/>
      <c r="C1604" s="295"/>
      <c r="D1604" s="334"/>
      <c r="E1604" s="295"/>
      <c r="F1604" s="329"/>
      <c r="G1604" s="295"/>
      <c r="I1604" s="295"/>
      <c r="J1604" s="230"/>
      <c r="K1604" s="329"/>
      <c r="L1604" s="295"/>
      <c r="M1604" s="295"/>
      <c r="N1604" s="295"/>
      <c r="O1604" s="295"/>
      <c r="P1604" s="295"/>
      <c r="Q1604" s="295"/>
      <c r="R1604" s="295"/>
      <c r="S1604" s="295"/>
      <c r="T1604" s="295"/>
      <c r="U1604" s="295"/>
      <c r="V1604" s="295"/>
      <c r="W1604" s="295"/>
      <c r="X1604" s="295"/>
      <c r="Y1604" s="295"/>
      <c r="Z1604" s="295"/>
      <c r="AA1604" s="295"/>
    </row>
    <row r="1605">
      <c r="A1605" s="327"/>
      <c r="B1605" s="327"/>
      <c r="C1605" s="295"/>
      <c r="D1605" s="334"/>
      <c r="E1605" s="295"/>
      <c r="F1605" s="329"/>
      <c r="G1605" s="295"/>
      <c r="I1605" s="295"/>
      <c r="J1605" s="230"/>
      <c r="K1605" s="329"/>
      <c r="L1605" s="295"/>
      <c r="M1605" s="295"/>
      <c r="N1605" s="295"/>
      <c r="O1605" s="295"/>
      <c r="P1605" s="295"/>
      <c r="Q1605" s="295"/>
      <c r="R1605" s="295"/>
      <c r="S1605" s="295"/>
      <c r="T1605" s="295"/>
      <c r="U1605" s="295"/>
      <c r="V1605" s="295"/>
      <c r="W1605" s="295"/>
      <c r="X1605" s="295"/>
      <c r="Y1605" s="295"/>
      <c r="Z1605" s="295"/>
      <c r="AA1605" s="295"/>
    </row>
    <row r="1606">
      <c r="A1606" s="327"/>
      <c r="B1606" s="327"/>
      <c r="C1606" s="295"/>
      <c r="D1606" s="334"/>
      <c r="E1606" s="295"/>
      <c r="F1606" s="329"/>
      <c r="G1606" s="295"/>
      <c r="I1606" s="295"/>
      <c r="J1606" s="230"/>
      <c r="K1606" s="329"/>
      <c r="L1606" s="295"/>
      <c r="M1606" s="295"/>
      <c r="N1606" s="295"/>
      <c r="O1606" s="295"/>
      <c r="P1606" s="295"/>
      <c r="Q1606" s="295"/>
      <c r="R1606" s="295"/>
      <c r="S1606" s="295"/>
      <c r="T1606" s="295"/>
      <c r="U1606" s="295"/>
      <c r="V1606" s="295"/>
      <c r="W1606" s="295"/>
      <c r="X1606" s="295"/>
      <c r="Y1606" s="295"/>
      <c r="Z1606" s="295"/>
      <c r="AA1606" s="295"/>
    </row>
    <row r="1607">
      <c r="A1607" s="327"/>
      <c r="B1607" s="327"/>
      <c r="C1607" s="295"/>
      <c r="D1607" s="334"/>
      <c r="E1607" s="295"/>
      <c r="F1607" s="329"/>
      <c r="G1607" s="295"/>
      <c r="I1607" s="295"/>
      <c r="J1607" s="230"/>
      <c r="K1607" s="329"/>
      <c r="L1607" s="295"/>
      <c r="M1607" s="295"/>
      <c r="N1607" s="295"/>
      <c r="O1607" s="295"/>
      <c r="P1607" s="295"/>
      <c r="Q1607" s="295"/>
      <c r="R1607" s="295"/>
      <c r="S1607" s="295"/>
      <c r="T1607" s="295"/>
      <c r="U1607" s="295"/>
      <c r="V1607" s="295"/>
      <c r="W1607" s="295"/>
      <c r="X1607" s="295"/>
      <c r="Y1607" s="295"/>
      <c r="Z1607" s="295"/>
      <c r="AA1607" s="295"/>
    </row>
    <row r="1608">
      <c r="A1608" s="327"/>
      <c r="B1608" s="327"/>
      <c r="C1608" s="295"/>
      <c r="D1608" s="334"/>
      <c r="E1608" s="295"/>
      <c r="F1608" s="329"/>
      <c r="G1608" s="295"/>
      <c r="I1608" s="295"/>
      <c r="J1608" s="230"/>
      <c r="K1608" s="329"/>
      <c r="L1608" s="295"/>
      <c r="M1608" s="295"/>
      <c r="N1608" s="295"/>
      <c r="O1608" s="295"/>
      <c r="P1608" s="295"/>
      <c r="Q1608" s="295"/>
      <c r="R1608" s="295"/>
      <c r="S1608" s="295"/>
      <c r="T1608" s="295"/>
      <c r="U1608" s="295"/>
      <c r="V1608" s="295"/>
      <c r="W1608" s="295"/>
      <c r="X1608" s="295"/>
      <c r="Y1608" s="295"/>
      <c r="Z1608" s="295"/>
      <c r="AA1608" s="295"/>
    </row>
    <row r="1609">
      <c r="A1609" s="327"/>
      <c r="B1609" s="327"/>
      <c r="C1609" s="295"/>
      <c r="D1609" s="334"/>
      <c r="E1609" s="295"/>
      <c r="F1609" s="329"/>
      <c r="G1609" s="295"/>
      <c r="I1609" s="295"/>
      <c r="J1609" s="230"/>
      <c r="K1609" s="329"/>
      <c r="L1609" s="295"/>
      <c r="M1609" s="295"/>
      <c r="N1609" s="295"/>
      <c r="O1609" s="295"/>
      <c r="P1609" s="295"/>
      <c r="Q1609" s="295"/>
      <c r="R1609" s="295"/>
      <c r="S1609" s="295"/>
      <c r="T1609" s="295"/>
      <c r="U1609" s="295"/>
      <c r="V1609" s="295"/>
      <c r="W1609" s="295"/>
      <c r="X1609" s="295"/>
      <c r="Y1609" s="295"/>
      <c r="Z1609" s="295"/>
      <c r="AA1609" s="295"/>
    </row>
    <row r="1610">
      <c r="A1610" s="327"/>
      <c r="B1610" s="327"/>
      <c r="C1610" s="295"/>
      <c r="D1610" s="334"/>
      <c r="E1610" s="295"/>
      <c r="F1610" s="329"/>
      <c r="G1610" s="295"/>
      <c r="I1610" s="295"/>
      <c r="J1610" s="230"/>
      <c r="K1610" s="329"/>
      <c r="L1610" s="295"/>
      <c r="M1610" s="295"/>
      <c r="N1610" s="295"/>
      <c r="O1610" s="295"/>
      <c r="P1610" s="295"/>
      <c r="Q1610" s="295"/>
      <c r="R1610" s="295"/>
      <c r="S1610" s="295"/>
      <c r="T1610" s="295"/>
      <c r="U1610" s="295"/>
      <c r="V1610" s="295"/>
      <c r="W1610" s="295"/>
      <c r="X1610" s="295"/>
      <c r="Y1610" s="295"/>
      <c r="Z1610" s="295"/>
      <c r="AA1610" s="295"/>
    </row>
    <row r="1611">
      <c r="A1611" s="327"/>
      <c r="B1611" s="327"/>
      <c r="C1611" s="295"/>
      <c r="D1611" s="334"/>
      <c r="E1611" s="295"/>
      <c r="F1611" s="329"/>
      <c r="G1611" s="295"/>
      <c r="I1611" s="295"/>
      <c r="J1611" s="230"/>
      <c r="K1611" s="329"/>
      <c r="L1611" s="295"/>
      <c r="M1611" s="295"/>
      <c r="N1611" s="295"/>
      <c r="O1611" s="295"/>
      <c r="P1611" s="295"/>
      <c r="Q1611" s="295"/>
      <c r="R1611" s="295"/>
      <c r="S1611" s="295"/>
      <c r="T1611" s="295"/>
      <c r="U1611" s="295"/>
      <c r="V1611" s="295"/>
      <c r="W1611" s="295"/>
      <c r="X1611" s="295"/>
      <c r="Y1611" s="295"/>
      <c r="Z1611" s="295"/>
      <c r="AA1611" s="295"/>
    </row>
    <row r="1612">
      <c r="A1612" s="327"/>
      <c r="B1612" s="327"/>
      <c r="C1612" s="295"/>
      <c r="D1612" s="334"/>
      <c r="E1612" s="295"/>
      <c r="F1612" s="329"/>
      <c r="G1612" s="295"/>
      <c r="I1612" s="295"/>
      <c r="J1612" s="230"/>
      <c r="K1612" s="329"/>
      <c r="L1612" s="295"/>
      <c r="M1612" s="295"/>
      <c r="N1612" s="295"/>
      <c r="O1612" s="295"/>
      <c r="P1612" s="295"/>
      <c r="Q1612" s="295"/>
      <c r="R1612" s="295"/>
      <c r="S1612" s="295"/>
      <c r="T1612" s="295"/>
      <c r="U1612" s="295"/>
      <c r="V1612" s="295"/>
      <c r="W1612" s="295"/>
      <c r="X1612" s="295"/>
      <c r="Y1612" s="295"/>
      <c r="Z1612" s="295"/>
      <c r="AA1612" s="295"/>
    </row>
    <row r="1613">
      <c r="A1613" s="327"/>
      <c r="B1613" s="327"/>
      <c r="C1613" s="295"/>
      <c r="D1613" s="334"/>
      <c r="E1613" s="295"/>
      <c r="F1613" s="329"/>
      <c r="G1613" s="295"/>
      <c r="I1613" s="295"/>
      <c r="J1613" s="230"/>
      <c r="K1613" s="329"/>
      <c r="L1613" s="295"/>
      <c r="M1613" s="295"/>
      <c r="N1613" s="295"/>
      <c r="O1613" s="295"/>
      <c r="P1613" s="295"/>
      <c r="Q1613" s="295"/>
      <c r="R1613" s="295"/>
      <c r="S1613" s="295"/>
      <c r="T1613" s="295"/>
      <c r="U1613" s="295"/>
      <c r="V1613" s="295"/>
      <c r="W1613" s="295"/>
      <c r="X1613" s="295"/>
      <c r="Y1613" s="295"/>
      <c r="Z1613" s="295"/>
      <c r="AA1613" s="295"/>
    </row>
    <row r="1614">
      <c r="A1614" s="327"/>
      <c r="B1614" s="327"/>
      <c r="C1614" s="295"/>
      <c r="D1614" s="334"/>
      <c r="E1614" s="295"/>
      <c r="F1614" s="329"/>
      <c r="G1614" s="295"/>
      <c r="I1614" s="295"/>
      <c r="J1614" s="230"/>
      <c r="K1614" s="329"/>
      <c r="L1614" s="295"/>
      <c r="M1614" s="295"/>
      <c r="N1614" s="295"/>
      <c r="O1614" s="295"/>
      <c r="P1614" s="295"/>
      <c r="Q1614" s="295"/>
      <c r="R1614" s="295"/>
      <c r="S1614" s="295"/>
      <c r="T1614" s="295"/>
      <c r="U1614" s="295"/>
      <c r="V1614" s="295"/>
      <c r="W1614" s="295"/>
      <c r="X1614" s="295"/>
      <c r="Y1614" s="295"/>
      <c r="Z1614" s="295"/>
      <c r="AA1614" s="295"/>
    </row>
    <row r="1615">
      <c r="A1615" s="327"/>
      <c r="B1615" s="327"/>
      <c r="C1615" s="295"/>
      <c r="D1615" s="334"/>
      <c r="E1615" s="295"/>
      <c r="F1615" s="329"/>
      <c r="G1615" s="295"/>
      <c r="I1615" s="295"/>
      <c r="J1615" s="230"/>
      <c r="K1615" s="329"/>
      <c r="L1615" s="295"/>
      <c r="M1615" s="295"/>
      <c r="N1615" s="295"/>
      <c r="O1615" s="295"/>
      <c r="P1615" s="295"/>
      <c r="Q1615" s="295"/>
      <c r="R1615" s="295"/>
      <c r="S1615" s="295"/>
      <c r="T1615" s="295"/>
      <c r="U1615" s="295"/>
      <c r="V1615" s="295"/>
      <c r="W1615" s="295"/>
      <c r="X1615" s="295"/>
      <c r="Y1615" s="295"/>
      <c r="Z1615" s="295"/>
      <c r="AA1615" s="295"/>
    </row>
    <row r="1616">
      <c r="A1616" s="327"/>
      <c r="B1616" s="327"/>
      <c r="C1616" s="295"/>
      <c r="D1616" s="334"/>
      <c r="E1616" s="295"/>
      <c r="F1616" s="329"/>
      <c r="G1616" s="295"/>
      <c r="I1616" s="295"/>
      <c r="J1616" s="230"/>
      <c r="K1616" s="329"/>
      <c r="L1616" s="295"/>
      <c r="M1616" s="295"/>
      <c r="N1616" s="295"/>
      <c r="O1616" s="295"/>
      <c r="P1616" s="295"/>
      <c r="Q1616" s="295"/>
      <c r="R1616" s="295"/>
      <c r="S1616" s="295"/>
      <c r="T1616" s="295"/>
      <c r="U1616" s="295"/>
      <c r="V1616" s="295"/>
      <c r="W1616" s="295"/>
      <c r="X1616" s="295"/>
      <c r="Y1616" s="295"/>
      <c r="Z1616" s="295"/>
      <c r="AA1616" s="295"/>
    </row>
    <row r="1617">
      <c r="A1617" s="327"/>
      <c r="B1617" s="327"/>
      <c r="C1617" s="295"/>
      <c r="D1617" s="334"/>
      <c r="E1617" s="295"/>
      <c r="F1617" s="329"/>
      <c r="G1617" s="295"/>
      <c r="I1617" s="295"/>
      <c r="J1617" s="230"/>
      <c r="K1617" s="329"/>
      <c r="L1617" s="295"/>
      <c r="M1617" s="295"/>
      <c r="N1617" s="295"/>
      <c r="O1617" s="295"/>
      <c r="P1617" s="295"/>
      <c r="Q1617" s="295"/>
      <c r="R1617" s="295"/>
      <c r="S1617" s="295"/>
      <c r="T1617" s="295"/>
      <c r="U1617" s="295"/>
      <c r="V1617" s="295"/>
      <c r="W1617" s="295"/>
      <c r="X1617" s="295"/>
      <c r="Y1617" s="295"/>
      <c r="Z1617" s="295"/>
      <c r="AA1617" s="295"/>
    </row>
    <row r="1618">
      <c r="A1618" s="327"/>
      <c r="B1618" s="327"/>
      <c r="C1618" s="295"/>
      <c r="D1618" s="334"/>
      <c r="E1618" s="295"/>
      <c r="F1618" s="329"/>
      <c r="G1618" s="295"/>
      <c r="I1618" s="295"/>
      <c r="J1618" s="230"/>
      <c r="K1618" s="329"/>
      <c r="L1618" s="295"/>
      <c r="M1618" s="295"/>
      <c r="N1618" s="295"/>
      <c r="O1618" s="295"/>
      <c r="P1618" s="295"/>
      <c r="Q1618" s="295"/>
      <c r="R1618" s="295"/>
      <c r="S1618" s="295"/>
      <c r="T1618" s="295"/>
      <c r="U1618" s="295"/>
      <c r="V1618" s="295"/>
      <c r="W1618" s="295"/>
      <c r="X1618" s="295"/>
      <c r="Y1618" s="295"/>
      <c r="Z1618" s="295"/>
      <c r="AA1618" s="295"/>
    </row>
    <row r="1619">
      <c r="A1619" s="327"/>
      <c r="B1619" s="327"/>
      <c r="C1619" s="295"/>
      <c r="D1619" s="334"/>
      <c r="E1619" s="295"/>
      <c r="F1619" s="329"/>
      <c r="G1619" s="295"/>
      <c r="I1619" s="295"/>
      <c r="J1619" s="230"/>
      <c r="K1619" s="329"/>
      <c r="L1619" s="295"/>
      <c r="M1619" s="295"/>
      <c r="N1619" s="295"/>
      <c r="O1619" s="295"/>
      <c r="P1619" s="295"/>
      <c r="Q1619" s="295"/>
      <c r="R1619" s="295"/>
      <c r="S1619" s="295"/>
      <c r="T1619" s="295"/>
      <c r="U1619" s="295"/>
      <c r="V1619" s="295"/>
      <c r="W1619" s="295"/>
      <c r="X1619" s="295"/>
      <c r="Y1619" s="295"/>
      <c r="Z1619" s="295"/>
      <c r="AA1619" s="295"/>
    </row>
    <row r="1620">
      <c r="A1620" s="327"/>
      <c r="B1620" s="327"/>
      <c r="C1620" s="295"/>
      <c r="D1620" s="334"/>
      <c r="E1620" s="295"/>
      <c r="F1620" s="329"/>
      <c r="G1620" s="295"/>
      <c r="I1620" s="295"/>
      <c r="J1620" s="230"/>
      <c r="K1620" s="329"/>
      <c r="L1620" s="295"/>
      <c r="M1620" s="295"/>
      <c r="N1620" s="295"/>
      <c r="O1620" s="295"/>
      <c r="P1620" s="295"/>
      <c r="Q1620" s="295"/>
      <c r="R1620" s="295"/>
      <c r="S1620" s="295"/>
      <c r="T1620" s="295"/>
      <c r="U1620" s="295"/>
      <c r="V1620" s="295"/>
      <c r="W1620" s="295"/>
      <c r="X1620" s="295"/>
      <c r="Y1620" s="295"/>
      <c r="Z1620" s="295"/>
      <c r="AA1620" s="295"/>
    </row>
    <row r="1621">
      <c r="A1621" s="327"/>
      <c r="B1621" s="327"/>
      <c r="C1621" s="295"/>
      <c r="D1621" s="334"/>
      <c r="E1621" s="295"/>
      <c r="F1621" s="329"/>
      <c r="G1621" s="295"/>
      <c r="I1621" s="295"/>
      <c r="J1621" s="230"/>
      <c r="K1621" s="329"/>
      <c r="L1621" s="295"/>
      <c r="M1621" s="295"/>
      <c r="N1621" s="295"/>
      <c r="O1621" s="295"/>
      <c r="P1621" s="295"/>
      <c r="Q1621" s="295"/>
      <c r="R1621" s="295"/>
      <c r="S1621" s="295"/>
      <c r="T1621" s="295"/>
      <c r="U1621" s="295"/>
      <c r="V1621" s="295"/>
      <c r="W1621" s="295"/>
      <c r="X1621" s="295"/>
      <c r="Y1621" s="295"/>
      <c r="Z1621" s="295"/>
      <c r="AA1621" s="295"/>
    </row>
    <row r="1622">
      <c r="A1622" s="327"/>
      <c r="B1622" s="327"/>
      <c r="C1622" s="295"/>
      <c r="D1622" s="334"/>
      <c r="E1622" s="295"/>
      <c r="F1622" s="329"/>
      <c r="G1622" s="295"/>
      <c r="I1622" s="295"/>
      <c r="J1622" s="230"/>
      <c r="K1622" s="329"/>
      <c r="L1622" s="295"/>
      <c r="M1622" s="295"/>
      <c r="N1622" s="295"/>
      <c r="O1622" s="295"/>
      <c r="P1622" s="295"/>
      <c r="Q1622" s="295"/>
      <c r="R1622" s="295"/>
      <c r="S1622" s="295"/>
      <c r="T1622" s="295"/>
      <c r="U1622" s="295"/>
      <c r="V1622" s="295"/>
      <c r="W1622" s="295"/>
      <c r="X1622" s="295"/>
      <c r="Y1622" s="295"/>
      <c r="Z1622" s="295"/>
      <c r="AA1622" s="295"/>
    </row>
    <row r="1623">
      <c r="A1623" s="327"/>
      <c r="B1623" s="327"/>
      <c r="C1623" s="295"/>
      <c r="D1623" s="334"/>
      <c r="E1623" s="295"/>
      <c r="F1623" s="329"/>
      <c r="G1623" s="295"/>
      <c r="I1623" s="295"/>
      <c r="J1623" s="230"/>
      <c r="K1623" s="329"/>
      <c r="L1623" s="295"/>
      <c r="M1623" s="295"/>
      <c r="N1623" s="295"/>
      <c r="O1623" s="295"/>
      <c r="P1623" s="295"/>
      <c r="Q1623" s="295"/>
      <c r="R1623" s="295"/>
      <c r="S1623" s="295"/>
      <c r="T1623" s="295"/>
      <c r="U1623" s="295"/>
      <c r="V1623" s="295"/>
      <c r="W1623" s="295"/>
      <c r="X1623" s="295"/>
      <c r="Y1623" s="295"/>
      <c r="Z1623" s="295"/>
      <c r="AA1623" s="295"/>
    </row>
    <row r="1624">
      <c r="A1624" s="327"/>
      <c r="B1624" s="327"/>
      <c r="C1624" s="295"/>
      <c r="D1624" s="334"/>
      <c r="E1624" s="295"/>
      <c r="F1624" s="329"/>
      <c r="G1624" s="295"/>
      <c r="I1624" s="295"/>
      <c r="J1624" s="230"/>
      <c r="K1624" s="329"/>
      <c r="L1624" s="295"/>
      <c r="M1624" s="295"/>
      <c r="N1624" s="295"/>
      <c r="O1624" s="295"/>
      <c r="P1624" s="295"/>
      <c r="Q1624" s="295"/>
      <c r="R1624" s="295"/>
      <c r="S1624" s="295"/>
      <c r="T1624" s="295"/>
      <c r="U1624" s="295"/>
      <c r="V1624" s="295"/>
      <c r="W1624" s="295"/>
      <c r="X1624" s="295"/>
      <c r="Y1624" s="295"/>
      <c r="Z1624" s="295"/>
      <c r="AA1624" s="295"/>
    </row>
    <row r="1625">
      <c r="A1625" s="327"/>
      <c r="B1625" s="327"/>
      <c r="C1625" s="295"/>
      <c r="D1625" s="334"/>
      <c r="E1625" s="295"/>
      <c r="F1625" s="329"/>
      <c r="G1625" s="295"/>
      <c r="I1625" s="295"/>
      <c r="J1625" s="230"/>
      <c r="K1625" s="329"/>
      <c r="L1625" s="295"/>
      <c r="M1625" s="295"/>
      <c r="N1625" s="295"/>
      <c r="O1625" s="295"/>
      <c r="P1625" s="295"/>
      <c r="Q1625" s="295"/>
      <c r="R1625" s="295"/>
      <c r="S1625" s="295"/>
      <c r="T1625" s="295"/>
      <c r="U1625" s="295"/>
      <c r="V1625" s="295"/>
      <c r="W1625" s="295"/>
      <c r="X1625" s="295"/>
      <c r="Y1625" s="295"/>
      <c r="Z1625" s="295"/>
      <c r="AA1625" s="295"/>
    </row>
    <row r="1626">
      <c r="A1626" s="327"/>
      <c r="B1626" s="327"/>
      <c r="C1626" s="295"/>
      <c r="D1626" s="334"/>
      <c r="E1626" s="295"/>
      <c r="F1626" s="329"/>
      <c r="G1626" s="295"/>
      <c r="I1626" s="295"/>
      <c r="J1626" s="230"/>
      <c r="K1626" s="329"/>
      <c r="L1626" s="295"/>
      <c r="M1626" s="295"/>
      <c r="N1626" s="295"/>
      <c r="O1626" s="295"/>
      <c r="P1626" s="295"/>
      <c r="Q1626" s="295"/>
      <c r="R1626" s="295"/>
      <c r="S1626" s="295"/>
      <c r="T1626" s="295"/>
      <c r="U1626" s="295"/>
      <c r="V1626" s="295"/>
      <c r="W1626" s="295"/>
      <c r="X1626" s="295"/>
      <c r="Y1626" s="295"/>
      <c r="Z1626" s="295"/>
      <c r="AA1626" s="295"/>
    </row>
    <row r="1627">
      <c r="A1627" s="327"/>
      <c r="B1627" s="327"/>
      <c r="C1627" s="295"/>
      <c r="D1627" s="334"/>
      <c r="E1627" s="295"/>
      <c r="F1627" s="329"/>
      <c r="G1627" s="295"/>
      <c r="I1627" s="295"/>
      <c r="J1627" s="230"/>
      <c r="K1627" s="329"/>
      <c r="L1627" s="295"/>
      <c r="M1627" s="295"/>
      <c r="N1627" s="295"/>
      <c r="O1627" s="295"/>
      <c r="P1627" s="295"/>
      <c r="Q1627" s="295"/>
      <c r="R1627" s="295"/>
      <c r="S1627" s="295"/>
      <c r="T1627" s="295"/>
      <c r="U1627" s="295"/>
      <c r="V1627" s="295"/>
      <c r="W1627" s="295"/>
      <c r="X1627" s="295"/>
      <c r="Y1627" s="295"/>
      <c r="Z1627" s="295"/>
      <c r="AA1627" s="295"/>
    </row>
    <row r="1628">
      <c r="A1628" s="327"/>
      <c r="B1628" s="327"/>
      <c r="C1628" s="295"/>
      <c r="D1628" s="334"/>
      <c r="E1628" s="295"/>
      <c r="F1628" s="329"/>
      <c r="G1628" s="295"/>
      <c r="I1628" s="295"/>
      <c r="J1628" s="230"/>
      <c r="K1628" s="329"/>
      <c r="L1628" s="295"/>
      <c r="M1628" s="295"/>
      <c r="N1628" s="295"/>
      <c r="O1628" s="295"/>
      <c r="P1628" s="295"/>
      <c r="Q1628" s="295"/>
      <c r="R1628" s="295"/>
      <c r="S1628" s="295"/>
      <c r="T1628" s="295"/>
      <c r="U1628" s="295"/>
      <c r="V1628" s="295"/>
      <c r="W1628" s="295"/>
      <c r="X1628" s="295"/>
      <c r="Y1628" s="295"/>
      <c r="Z1628" s="295"/>
      <c r="AA1628" s="295"/>
    </row>
    <row r="1629">
      <c r="A1629" s="327"/>
      <c r="B1629" s="327"/>
      <c r="C1629" s="295"/>
      <c r="D1629" s="334"/>
      <c r="E1629" s="295"/>
      <c r="F1629" s="329"/>
      <c r="G1629" s="295"/>
      <c r="I1629" s="295"/>
      <c r="J1629" s="230"/>
      <c r="K1629" s="329"/>
      <c r="L1629" s="295"/>
      <c r="M1629" s="295"/>
      <c r="N1629" s="295"/>
      <c r="O1629" s="295"/>
      <c r="P1629" s="295"/>
      <c r="Q1629" s="295"/>
      <c r="R1629" s="295"/>
      <c r="S1629" s="295"/>
      <c r="T1629" s="295"/>
      <c r="U1629" s="295"/>
      <c r="V1629" s="295"/>
      <c r="W1629" s="295"/>
      <c r="X1629" s="295"/>
      <c r="Y1629" s="295"/>
      <c r="Z1629" s="295"/>
      <c r="AA1629" s="295"/>
    </row>
    <row r="1630">
      <c r="A1630" s="327"/>
      <c r="B1630" s="327"/>
      <c r="C1630" s="295"/>
      <c r="D1630" s="334"/>
      <c r="E1630" s="295"/>
      <c r="F1630" s="329"/>
      <c r="G1630" s="295"/>
      <c r="I1630" s="295"/>
      <c r="J1630" s="230"/>
      <c r="K1630" s="329"/>
      <c r="L1630" s="295"/>
      <c r="M1630" s="295"/>
      <c r="N1630" s="295"/>
      <c r="O1630" s="295"/>
      <c r="P1630" s="295"/>
      <c r="Q1630" s="295"/>
      <c r="R1630" s="295"/>
      <c r="S1630" s="295"/>
      <c r="T1630" s="295"/>
      <c r="U1630" s="295"/>
      <c r="V1630" s="295"/>
      <c r="W1630" s="295"/>
      <c r="X1630" s="295"/>
      <c r="Y1630" s="295"/>
      <c r="Z1630" s="295"/>
      <c r="AA1630" s="295"/>
    </row>
    <row r="1631">
      <c r="A1631" s="327"/>
      <c r="B1631" s="327"/>
      <c r="C1631" s="295"/>
      <c r="D1631" s="334"/>
      <c r="E1631" s="295"/>
      <c r="F1631" s="329"/>
      <c r="G1631" s="295"/>
      <c r="I1631" s="295"/>
      <c r="J1631" s="230"/>
      <c r="K1631" s="329"/>
      <c r="L1631" s="295"/>
      <c r="M1631" s="295"/>
      <c r="N1631" s="295"/>
      <c r="O1631" s="295"/>
      <c r="P1631" s="295"/>
      <c r="Q1631" s="295"/>
      <c r="R1631" s="295"/>
      <c r="S1631" s="295"/>
      <c r="T1631" s="295"/>
      <c r="U1631" s="295"/>
      <c r="V1631" s="295"/>
      <c r="W1631" s="295"/>
      <c r="X1631" s="295"/>
      <c r="Y1631" s="295"/>
      <c r="Z1631" s="295"/>
      <c r="AA1631" s="295"/>
    </row>
    <row r="1632">
      <c r="A1632" s="327"/>
      <c r="B1632" s="327"/>
      <c r="C1632" s="295"/>
      <c r="D1632" s="334"/>
      <c r="E1632" s="295"/>
      <c r="F1632" s="329"/>
      <c r="G1632" s="295"/>
      <c r="I1632" s="295"/>
      <c r="J1632" s="230"/>
      <c r="K1632" s="329"/>
      <c r="L1632" s="295"/>
      <c r="M1632" s="295"/>
      <c r="N1632" s="295"/>
      <c r="O1632" s="295"/>
      <c r="P1632" s="295"/>
      <c r="Q1632" s="295"/>
      <c r="R1632" s="295"/>
      <c r="S1632" s="295"/>
      <c r="T1632" s="295"/>
      <c r="U1632" s="295"/>
      <c r="V1632" s="295"/>
      <c r="W1632" s="295"/>
      <c r="X1632" s="295"/>
      <c r="Y1632" s="295"/>
      <c r="Z1632" s="295"/>
      <c r="AA1632" s="295"/>
    </row>
    <row r="1633">
      <c r="A1633" s="327"/>
      <c r="B1633" s="327"/>
      <c r="C1633" s="295"/>
      <c r="D1633" s="334"/>
      <c r="E1633" s="295"/>
      <c r="F1633" s="329"/>
      <c r="G1633" s="295"/>
      <c r="I1633" s="295"/>
      <c r="J1633" s="230"/>
      <c r="K1633" s="329"/>
      <c r="L1633" s="295"/>
      <c r="M1633" s="295"/>
      <c r="N1633" s="295"/>
      <c r="O1633" s="295"/>
      <c r="P1633" s="295"/>
      <c r="Q1633" s="295"/>
      <c r="R1633" s="295"/>
      <c r="S1633" s="295"/>
      <c r="T1633" s="295"/>
      <c r="U1633" s="295"/>
      <c r="V1633" s="295"/>
      <c r="W1633" s="295"/>
      <c r="X1633" s="295"/>
      <c r="Y1633" s="295"/>
      <c r="Z1633" s="295"/>
      <c r="AA1633" s="295"/>
    </row>
    <row r="1634">
      <c r="A1634" s="327"/>
      <c r="B1634" s="327"/>
      <c r="C1634" s="295"/>
      <c r="D1634" s="334"/>
      <c r="E1634" s="295"/>
      <c r="F1634" s="329"/>
      <c r="G1634" s="295"/>
      <c r="I1634" s="295"/>
      <c r="J1634" s="230"/>
      <c r="K1634" s="329"/>
      <c r="L1634" s="295"/>
      <c r="M1634" s="295"/>
      <c r="N1634" s="295"/>
      <c r="O1634" s="295"/>
      <c r="P1634" s="295"/>
      <c r="Q1634" s="295"/>
      <c r="R1634" s="295"/>
      <c r="S1634" s="295"/>
      <c r="T1634" s="295"/>
      <c r="U1634" s="295"/>
      <c r="V1634" s="295"/>
      <c r="W1634" s="295"/>
      <c r="X1634" s="295"/>
      <c r="Y1634" s="295"/>
      <c r="Z1634" s="295"/>
      <c r="AA1634" s="295"/>
    </row>
    <row r="1635">
      <c r="A1635" s="327"/>
      <c r="B1635" s="327"/>
      <c r="C1635" s="295"/>
      <c r="D1635" s="334"/>
      <c r="E1635" s="295"/>
      <c r="F1635" s="329"/>
      <c r="G1635" s="295"/>
      <c r="I1635" s="295"/>
      <c r="J1635" s="230"/>
      <c r="K1635" s="329"/>
      <c r="L1635" s="295"/>
      <c r="M1635" s="295"/>
      <c r="N1635" s="295"/>
      <c r="O1635" s="295"/>
      <c r="P1635" s="295"/>
      <c r="Q1635" s="295"/>
      <c r="R1635" s="295"/>
      <c r="S1635" s="295"/>
      <c r="T1635" s="295"/>
      <c r="U1635" s="295"/>
      <c r="V1635" s="295"/>
      <c r="W1635" s="295"/>
      <c r="X1635" s="295"/>
      <c r="Y1635" s="295"/>
      <c r="Z1635" s="295"/>
      <c r="AA1635" s="295"/>
    </row>
    <row r="1636">
      <c r="A1636" s="327"/>
      <c r="B1636" s="327"/>
      <c r="C1636" s="295"/>
      <c r="D1636" s="334"/>
      <c r="E1636" s="295"/>
      <c r="F1636" s="329"/>
      <c r="G1636" s="295"/>
      <c r="I1636" s="295"/>
      <c r="J1636" s="230"/>
      <c r="K1636" s="329"/>
      <c r="L1636" s="295"/>
      <c r="M1636" s="295"/>
      <c r="N1636" s="295"/>
      <c r="O1636" s="295"/>
      <c r="P1636" s="295"/>
      <c r="Q1636" s="295"/>
      <c r="R1636" s="295"/>
      <c r="S1636" s="295"/>
      <c r="T1636" s="295"/>
      <c r="U1636" s="295"/>
      <c r="V1636" s="295"/>
      <c r="W1636" s="295"/>
      <c r="X1636" s="295"/>
      <c r="Y1636" s="295"/>
      <c r="Z1636" s="295"/>
      <c r="AA1636" s="295"/>
    </row>
    <row r="1637">
      <c r="A1637" s="327"/>
      <c r="B1637" s="327"/>
      <c r="C1637" s="295"/>
      <c r="D1637" s="334"/>
      <c r="E1637" s="295"/>
      <c r="F1637" s="329"/>
      <c r="G1637" s="295"/>
      <c r="I1637" s="295"/>
      <c r="J1637" s="230"/>
      <c r="K1637" s="329"/>
      <c r="L1637" s="295"/>
      <c r="M1637" s="295"/>
      <c r="N1637" s="295"/>
      <c r="O1637" s="295"/>
      <c r="P1637" s="295"/>
      <c r="Q1637" s="295"/>
      <c r="R1637" s="295"/>
      <c r="S1637" s="295"/>
      <c r="T1637" s="295"/>
      <c r="U1637" s="295"/>
      <c r="V1637" s="295"/>
      <c r="W1637" s="295"/>
      <c r="X1637" s="295"/>
      <c r="Y1637" s="295"/>
      <c r="Z1637" s="295"/>
      <c r="AA1637" s="295"/>
    </row>
    <row r="1638">
      <c r="A1638" s="327"/>
      <c r="B1638" s="327"/>
      <c r="C1638" s="295"/>
      <c r="D1638" s="334"/>
      <c r="E1638" s="295"/>
      <c r="F1638" s="329"/>
      <c r="G1638" s="295"/>
      <c r="I1638" s="295"/>
      <c r="J1638" s="230"/>
      <c r="K1638" s="329"/>
      <c r="L1638" s="295"/>
      <c r="M1638" s="295"/>
      <c r="N1638" s="295"/>
      <c r="O1638" s="295"/>
      <c r="P1638" s="295"/>
      <c r="Q1638" s="295"/>
      <c r="R1638" s="295"/>
      <c r="S1638" s="295"/>
      <c r="T1638" s="295"/>
      <c r="U1638" s="295"/>
      <c r="V1638" s="295"/>
      <c r="W1638" s="295"/>
      <c r="X1638" s="295"/>
      <c r="Y1638" s="295"/>
      <c r="Z1638" s="295"/>
      <c r="AA1638" s="295"/>
    </row>
    <row r="1639">
      <c r="A1639" s="327"/>
      <c r="B1639" s="327"/>
      <c r="C1639" s="295"/>
      <c r="D1639" s="334"/>
      <c r="E1639" s="295"/>
      <c r="F1639" s="329"/>
      <c r="G1639" s="295"/>
      <c r="I1639" s="295"/>
      <c r="J1639" s="230"/>
      <c r="K1639" s="329"/>
      <c r="L1639" s="295"/>
      <c r="M1639" s="295"/>
      <c r="N1639" s="295"/>
      <c r="O1639" s="295"/>
      <c r="P1639" s="295"/>
      <c r="Q1639" s="295"/>
      <c r="R1639" s="295"/>
      <c r="S1639" s="295"/>
      <c r="T1639" s="295"/>
      <c r="U1639" s="295"/>
      <c r="V1639" s="295"/>
      <c r="W1639" s="295"/>
      <c r="X1639" s="295"/>
      <c r="Y1639" s="295"/>
      <c r="Z1639" s="295"/>
      <c r="AA1639" s="295"/>
    </row>
    <row r="1640">
      <c r="A1640" s="327"/>
      <c r="B1640" s="327"/>
      <c r="C1640" s="295"/>
      <c r="D1640" s="334"/>
      <c r="E1640" s="295"/>
      <c r="F1640" s="329"/>
      <c r="G1640" s="295"/>
      <c r="I1640" s="295"/>
      <c r="J1640" s="230"/>
      <c r="K1640" s="329"/>
      <c r="L1640" s="295"/>
      <c r="M1640" s="295"/>
      <c r="N1640" s="295"/>
      <c r="O1640" s="295"/>
      <c r="P1640" s="295"/>
      <c r="Q1640" s="295"/>
      <c r="R1640" s="295"/>
      <c r="S1640" s="295"/>
      <c r="T1640" s="295"/>
      <c r="U1640" s="295"/>
      <c r="V1640" s="295"/>
      <c r="W1640" s="295"/>
      <c r="X1640" s="295"/>
      <c r="Y1640" s="295"/>
      <c r="Z1640" s="295"/>
      <c r="AA1640" s="295"/>
    </row>
    <row r="1641">
      <c r="A1641" s="327"/>
      <c r="B1641" s="327"/>
      <c r="C1641" s="295"/>
      <c r="D1641" s="334"/>
      <c r="E1641" s="295"/>
      <c r="F1641" s="329"/>
      <c r="G1641" s="295"/>
      <c r="I1641" s="295"/>
      <c r="J1641" s="230"/>
      <c r="K1641" s="329"/>
      <c r="L1641" s="295"/>
      <c r="M1641" s="295"/>
      <c r="N1641" s="295"/>
      <c r="O1641" s="295"/>
      <c r="P1641" s="295"/>
      <c r="Q1641" s="295"/>
      <c r="R1641" s="295"/>
      <c r="S1641" s="295"/>
      <c r="T1641" s="295"/>
      <c r="U1641" s="295"/>
      <c r="V1641" s="295"/>
      <c r="W1641" s="295"/>
      <c r="X1641" s="295"/>
      <c r="Y1641" s="295"/>
      <c r="Z1641" s="295"/>
      <c r="AA1641" s="295"/>
    </row>
    <row r="1642">
      <c r="A1642" s="327"/>
      <c r="B1642" s="327"/>
      <c r="C1642" s="295"/>
      <c r="D1642" s="334"/>
      <c r="E1642" s="295"/>
      <c r="F1642" s="329"/>
      <c r="G1642" s="295"/>
      <c r="I1642" s="295"/>
      <c r="J1642" s="230"/>
      <c r="K1642" s="329"/>
      <c r="L1642" s="295"/>
      <c r="M1642" s="295"/>
      <c r="N1642" s="295"/>
      <c r="O1642" s="295"/>
      <c r="P1642" s="295"/>
      <c r="Q1642" s="295"/>
      <c r="R1642" s="295"/>
      <c r="S1642" s="295"/>
      <c r="T1642" s="295"/>
      <c r="U1642" s="295"/>
      <c r="V1642" s="295"/>
      <c r="W1642" s="295"/>
      <c r="X1642" s="295"/>
      <c r="Y1642" s="295"/>
      <c r="Z1642" s="295"/>
      <c r="AA1642" s="295"/>
    </row>
    <row r="1643">
      <c r="A1643" s="327"/>
      <c r="B1643" s="327"/>
      <c r="C1643" s="295"/>
      <c r="D1643" s="334"/>
      <c r="E1643" s="295"/>
      <c r="F1643" s="329"/>
      <c r="G1643" s="295"/>
      <c r="I1643" s="295"/>
      <c r="J1643" s="230"/>
      <c r="K1643" s="329"/>
      <c r="L1643" s="295"/>
      <c r="M1643" s="295"/>
      <c r="N1643" s="295"/>
      <c r="O1643" s="295"/>
      <c r="P1643" s="295"/>
      <c r="Q1643" s="295"/>
      <c r="R1643" s="295"/>
      <c r="S1643" s="295"/>
      <c r="T1643" s="295"/>
      <c r="U1643" s="295"/>
      <c r="V1643" s="295"/>
      <c r="W1643" s="295"/>
      <c r="X1643" s="295"/>
      <c r="Y1643" s="295"/>
      <c r="Z1643" s="295"/>
      <c r="AA1643" s="295"/>
    </row>
    <row r="1644">
      <c r="A1644" s="327"/>
      <c r="B1644" s="327"/>
      <c r="C1644" s="295"/>
      <c r="D1644" s="334"/>
      <c r="E1644" s="295"/>
      <c r="F1644" s="329"/>
      <c r="G1644" s="295"/>
      <c r="I1644" s="295"/>
      <c r="J1644" s="230"/>
      <c r="K1644" s="329"/>
      <c r="L1644" s="295"/>
      <c r="M1644" s="295"/>
      <c r="N1644" s="295"/>
      <c r="O1644" s="295"/>
      <c r="P1644" s="295"/>
      <c r="Q1644" s="295"/>
      <c r="R1644" s="295"/>
      <c r="S1644" s="295"/>
      <c r="T1644" s="295"/>
      <c r="U1644" s="295"/>
      <c r="V1644" s="295"/>
      <c r="W1644" s="295"/>
      <c r="X1644" s="295"/>
      <c r="Y1644" s="295"/>
      <c r="Z1644" s="295"/>
      <c r="AA1644" s="295"/>
    </row>
    <row r="1645">
      <c r="A1645" s="327"/>
      <c r="B1645" s="327"/>
      <c r="C1645" s="295"/>
      <c r="D1645" s="334"/>
      <c r="E1645" s="295"/>
      <c r="F1645" s="329"/>
      <c r="G1645" s="295"/>
      <c r="I1645" s="295"/>
      <c r="J1645" s="230"/>
      <c r="K1645" s="329"/>
      <c r="L1645" s="295"/>
      <c r="M1645" s="295"/>
      <c r="N1645" s="295"/>
      <c r="O1645" s="295"/>
      <c r="P1645" s="295"/>
      <c r="Q1645" s="295"/>
      <c r="R1645" s="295"/>
      <c r="S1645" s="295"/>
      <c r="T1645" s="295"/>
      <c r="U1645" s="295"/>
      <c r="V1645" s="295"/>
      <c r="W1645" s="295"/>
      <c r="X1645" s="295"/>
      <c r="Y1645" s="295"/>
      <c r="Z1645" s="295"/>
      <c r="AA1645" s="295"/>
    </row>
    <row r="1646">
      <c r="A1646" s="327"/>
      <c r="B1646" s="327"/>
      <c r="C1646" s="295"/>
      <c r="D1646" s="334"/>
      <c r="E1646" s="295"/>
      <c r="F1646" s="329"/>
      <c r="G1646" s="295"/>
      <c r="I1646" s="295"/>
      <c r="J1646" s="230"/>
      <c r="K1646" s="329"/>
      <c r="L1646" s="295"/>
      <c r="M1646" s="295"/>
      <c r="N1646" s="295"/>
      <c r="O1646" s="295"/>
      <c r="P1646" s="295"/>
      <c r="Q1646" s="295"/>
      <c r="R1646" s="295"/>
      <c r="S1646" s="295"/>
      <c r="T1646" s="295"/>
      <c r="U1646" s="295"/>
      <c r="V1646" s="295"/>
      <c r="W1646" s="295"/>
      <c r="X1646" s="295"/>
      <c r="Y1646" s="295"/>
      <c r="Z1646" s="295"/>
      <c r="AA1646" s="295"/>
    </row>
    <row r="1647">
      <c r="A1647" s="327"/>
      <c r="B1647" s="327"/>
      <c r="C1647" s="295"/>
      <c r="D1647" s="334"/>
      <c r="E1647" s="295"/>
      <c r="F1647" s="329"/>
      <c r="G1647" s="295"/>
      <c r="I1647" s="295"/>
      <c r="J1647" s="230"/>
      <c r="K1647" s="329"/>
      <c r="L1647" s="295"/>
      <c r="M1647" s="295"/>
      <c r="N1647" s="295"/>
      <c r="O1647" s="295"/>
      <c r="P1647" s="295"/>
      <c r="Q1647" s="295"/>
      <c r="R1647" s="295"/>
      <c r="S1647" s="295"/>
      <c r="T1647" s="295"/>
      <c r="U1647" s="295"/>
      <c r="V1647" s="295"/>
      <c r="W1647" s="295"/>
      <c r="X1647" s="295"/>
      <c r="Y1647" s="295"/>
      <c r="Z1647" s="295"/>
      <c r="AA1647" s="295"/>
    </row>
    <row r="1648">
      <c r="A1648" s="327"/>
      <c r="B1648" s="327"/>
      <c r="C1648" s="295"/>
      <c r="D1648" s="334"/>
      <c r="E1648" s="295"/>
      <c r="F1648" s="329"/>
      <c r="G1648" s="295"/>
      <c r="I1648" s="295"/>
      <c r="J1648" s="230"/>
      <c r="K1648" s="329"/>
      <c r="L1648" s="295"/>
      <c r="M1648" s="295"/>
      <c r="N1648" s="295"/>
      <c r="O1648" s="295"/>
      <c r="P1648" s="295"/>
      <c r="Q1648" s="295"/>
      <c r="R1648" s="295"/>
      <c r="S1648" s="295"/>
      <c r="T1648" s="295"/>
      <c r="U1648" s="295"/>
      <c r="V1648" s="295"/>
      <c r="W1648" s="295"/>
      <c r="X1648" s="295"/>
      <c r="Y1648" s="295"/>
      <c r="Z1648" s="295"/>
      <c r="AA1648" s="295"/>
    </row>
    <row r="1649">
      <c r="A1649" s="327"/>
      <c r="B1649" s="327"/>
      <c r="C1649" s="295"/>
      <c r="D1649" s="334"/>
      <c r="E1649" s="295"/>
      <c r="F1649" s="329"/>
      <c r="G1649" s="295"/>
      <c r="I1649" s="295"/>
      <c r="J1649" s="230"/>
      <c r="K1649" s="329"/>
      <c r="L1649" s="295"/>
      <c r="M1649" s="295"/>
      <c r="N1649" s="295"/>
      <c r="O1649" s="295"/>
      <c r="P1649" s="295"/>
      <c r="Q1649" s="295"/>
      <c r="R1649" s="295"/>
      <c r="S1649" s="295"/>
      <c r="T1649" s="295"/>
      <c r="U1649" s="295"/>
      <c r="V1649" s="295"/>
      <c r="W1649" s="295"/>
      <c r="X1649" s="295"/>
      <c r="Y1649" s="295"/>
      <c r="Z1649" s="295"/>
      <c r="AA1649" s="295"/>
    </row>
    <row r="1650">
      <c r="A1650" s="327"/>
      <c r="B1650" s="327"/>
      <c r="C1650" s="295"/>
      <c r="D1650" s="334"/>
      <c r="E1650" s="295"/>
      <c r="F1650" s="329"/>
      <c r="G1650" s="295"/>
      <c r="I1650" s="295"/>
      <c r="J1650" s="230"/>
      <c r="K1650" s="329"/>
      <c r="L1650" s="295"/>
      <c r="M1650" s="295"/>
      <c r="N1650" s="295"/>
      <c r="O1650" s="295"/>
      <c r="P1650" s="295"/>
      <c r="Q1650" s="295"/>
      <c r="R1650" s="295"/>
      <c r="S1650" s="295"/>
      <c r="T1650" s="295"/>
      <c r="U1650" s="295"/>
      <c r="V1650" s="295"/>
      <c r="W1650" s="295"/>
      <c r="X1650" s="295"/>
      <c r="Y1650" s="295"/>
      <c r="Z1650" s="295"/>
      <c r="AA1650" s="295"/>
    </row>
    <row r="1651">
      <c r="A1651" s="327"/>
      <c r="B1651" s="327"/>
      <c r="C1651" s="295"/>
      <c r="D1651" s="334"/>
      <c r="E1651" s="295"/>
      <c r="F1651" s="329"/>
      <c r="G1651" s="295"/>
      <c r="I1651" s="295"/>
      <c r="J1651" s="230"/>
      <c r="K1651" s="329"/>
      <c r="L1651" s="295"/>
      <c r="M1651" s="295"/>
      <c r="N1651" s="295"/>
      <c r="O1651" s="295"/>
      <c r="P1651" s="295"/>
      <c r="Q1651" s="295"/>
      <c r="R1651" s="295"/>
      <c r="S1651" s="295"/>
      <c r="T1651" s="295"/>
      <c r="U1651" s="295"/>
      <c r="V1651" s="295"/>
      <c r="W1651" s="295"/>
      <c r="X1651" s="295"/>
      <c r="Y1651" s="295"/>
      <c r="Z1651" s="295"/>
      <c r="AA1651" s="295"/>
    </row>
    <row r="1652">
      <c r="A1652" s="327"/>
      <c r="B1652" s="327"/>
      <c r="C1652" s="295"/>
      <c r="D1652" s="334"/>
      <c r="E1652" s="295"/>
      <c r="F1652" s="329"/>
      <c r="G1652" s="295"/>
      <c r="I1652" s="295"/>
      <c r="J1652" s="230"/>
      <c r="K1652" s="329"/>
      <c r="L1652" s="295"/>
      <c r="M1652" s="295"/>
      <c r="N1652" s="295"/>
      <c r="O1652" s="295"/>
      <c r="P1652" s="295"/>
      <c r="Q1652" s="295"/>
      <c r="R1652" s="295"/>
      <c r="S1652" s="295"/>
      <c r="T1652" s="295"/>
      <c r="U1652" s="295"/>
      <c r="V1652" s="295"/>
      <c r="W1652" s="295"/>
      <c r="X1652" s="295"/>
      <c r="Y1652" s="295"/>
      <c r="Z1652" s="295"/>
      <c r="AA1652" s="295"/>
    </row>
    <row r="1653">
      <c r="A1653" s="327"/>
      <c r="B1653" s="327"/>
      <c r="C1653" s="295"/>
      <c r="D1653" s="334"/>
      <c r="E1653" s="295"/>
      <c r="F1653" s="329"/>
      <c r="G1653" s="295"/>
      <c r="I1653" s="295"/>
      <c r="J1653" s="230"/>
      <c r="K1653" s="329"/>
      <c r="L1653" s="295"/>
      <c r="M1653" s="295"/>
      <c r="N1653" s="295"/>
      <c r="O1653" s="295"/>
      <c r="P1653" s="295"/>
      <c r="Q1653" s="295"/>
      <c r="R1653" s="295"/>
      <c r="S1653" s="295"/>
      <c r="T1653" s="295"/>
      <c r="U1653" s="295"/>
      <c r="V1653" s="295"/>
      <c r="W1653" s="295"/>
      <c r="X1653" s="295"/>
      <c r="Y1653" s="295"/>
      <c r="Z1653" s="295"/>
      <c r="AA1653" s="295"/>
    </row>
    <row r="1654">
      <c r="A1654" s="327"/>
      <c r="B1654" s="327"/>
      <c r="C1654" s="295"/>
      <c r="D1654" s="334"/>
      <c r="E1654" s="295"/>
      <c r="F1654" s="329"/>
      <c r="G1654" s="295"/>
      <c r="I1654" s="295"/>
      <c r="J1654" s="230"/>
      <c r="K1654" s="329"/>
      <c r="L1654" s="295"/>
      <c r="M1654" s="295"/>
      <c r="N1654" s="295"/>
      <c r="O1654" s="295"/>
      <c r="P1654" s="295"/>
      <c r="Q1654" s="295"/>
      <c r="R1654" s="295"/>
      <c r="S1654" s="295"/>
      <c r="T1654" s="295"/>
      <c r="U1654" s="295"/>
      <c r="V1654" s="295"/>
      <c r="W1654" s="295"/>
      <c r="X1654" s="295"/>
      <c r="Y1654" s="295"/>
      <c r="Z1654" s="295"/>
      <c r="AA1654" s="295"/>
    </row>
    <row r="1655">
      <c r="A1655" s="327"/>
      <c r="B1655" s="327"/>
      <c r="C1655" s="295"/>
      <c r="D1655" s="334"/>
      <c r="E1655" s="295"/>
      <c r="F1655" s="329"/>
      <c r="G1655" s="295"/>
      <c r="I1655" s="295"/>
      <c r="J1655" s="230"/>
      <c r="K1655" s="329"/>
      <c r="L1655" s="295"/>
      <c r="M1655" s="295"/>
      <c r="N1655" s="295"/>
      <c r="O1655" s="295"/>
      <c r="P1655" s="295"/>
      <c r="Q1655" s="295"/>
      <c r="R1655" s="295"/>
      <c r="S1655" s="295"/>
      <c r="T1655" s="295"/>
      <c r="U1655" s="295"/>
      <c r="V1655" s="295"/>
      <c r="W1655" s="295"/>
      <c r="X1655" s="295"/>
      <c r="Y1655" s="295"/>
      <c r="Z1655" s="295"/>
      <c r="AA1655" s="295"/>
    </row>
    <row r="1656">
      <c r="A1656" s="327"/>
      <c r="B1656" s="327"/>
      <c r="C1656" s="295"/>
      <c r="D1656" s="334"/>
      <c r="E1656" s="295"/>
      <c r="F1656" s="329"/>
      <c r="G1656" s="295"/>
      <c r="I1656" s="295"/>
      <c r="J1656" s="230"/>
      <c r="K1656" s="329"/>
      <c r="L1656" s="295"/>
      <c r="M1656" s="295"/>
      <c r="N1656" s="295"/>
      <c r="O1656" s="295"/>
      <c r="P1656" s="295"/>
      <c r="Q1656" s="295"/>
      <c r="R1656" s="295"/>
      <c r="S1656" s="295"/>
      <c r="T1656" s="295"/>
      <c r="U1656" s="295"/>
      <c r="V1656" s="295"/>
      <c r="W1656" s="295"/>
      <c r="X1656" s="295"/>
      <c r="Y1656" s="295"/>
      <c r="Z1656" s="295"/>
      <c r="AA1656" s="295"/>
    </row>
    <row r="1657">
      <c r="A1657" s="327"/>
      <c r="B1657" s="327"/>
      <c r="C1657" s="295"/>
      <c r="D1657" s="334"/>
      <c r="E1657" s="295"/>
      <c r="F1657" s="329"/>
      <c r="G1657" s="295"/>
      <c r="I1657" s="295"/>
      <c r="J1657" s="230"/>
      <c r="K1657" s="329"/>
      <c r="L1657" s="295"/>
      <c r="M1657" s="295"/>
      <c r="N1657" s="295"/>
      <c r="O1657" s="295"/>
      <c r="P1657" s="295"/>
      <c r="Q1657" s="295"/>
      <c r="R1657" s="295"/>
      <c r="S1657" s="295"/>
      <c r="T1657" s="295"/>
      <c r="U1657" s="295"/>
      <c r="V1657" s="295"/>
      <c r="W1657" s="295"/>
      <c r="X1657" s="295"/>
      <c r="Y1657" s="295"/>
      <c r="Z1657" s="295"/>
      <c r="AA1657" s="295"/>
    </row>
    <row r="1658">
      <c r="A1658" s="327"/>
      <c r="B1658" s="327"/>
      <c r="C1658" s="295"/>
      <c r="D1658" s="334"/>
      <c r="E1658" s="295"/>
      <c r="F1658" s="329"/>
      <c r="G1658" s="295"/>
      <c r="I1658" s="295"/>
      <c r="J1658" s="230"/>
      <c r="K1658" s="329"/>
      <c r="L1658" s="295"/>
      <c r="M1658" s="295"/>
      <c r="N1658" s="295"/>
      <c r="O1658" s="295"/>
      <c r="P1658" s="295"/>
      <c r="Q1658" s="295"/>
      <c r="R1658" s="295"/>
      <c r="S1658" s="295"/>
      <c r="T1658" s="295"/>
      <c r="U1658" s="295"/>
      <c r="V1658" s="295"/>
      <c r="W1658" s="295"/>
      <c r="X1658" s="295"/>
      <c r="Y1658" s="295"/>
      <c r="Z1658" s="295"/>
      <c r="AA1658" s="295"/>
    </row>
    <row r="1659">
      <c r="A1659" s="327"/>
      <c r="B1659" s="327"/>
      <c r="C1659" s="295"/>
      <c r="D1659" s="334"/>
      <c r="E1659" s="295"/>
      <c r="F1659" s="329"/>
      <c r="G1659" s="295"/>
      <c r="I1659" s="295"/>
      <c r="J1659" s="230"/>
      <c r="K1659" s="329"/>
      <c r="L1659" s="295"/>
      <c r="M1659" s="295"/>
      <c r="N1659" s="295"/>
      <c r="O1659" s="295"/>
      <c r="P1659" s="295"/>
      <c r="Q1659" s="295"/>
      <c r="R1659" s="295"/>
      <c r="S1659" s="295"/>
      <c r="T1659" s="295"/>
      <c r="U1659" s="295"/>
      <c r="V1659" s="295"/>
      <c r="W1659" s="295"/>
      <c r="X1659" s="295"/>
      <c r="Y1659" s="295"/>
      <c r="Z1659" s="295"/>
      <c r="AA1659" s="295"/>
    </row>
    <row r="1660">
      <c r="A1660" s="327"/>
      <c r="B1660" s="327"/>
      <c r="C1660" s="295"/>
      <c r="D1660" s="334"/>
      <c r="E1660" s="295"/>
      <c r="F1660" s="329"/>
      <c r="G1660" s="295"/>
      <c r="I1660" s="295"/>
      <c r="J1660" s="230"/>
      <c r="K1660" s="329"/>
      <c r="L1660" s="295"/>
      <c r="M1660" s="295"/>
      <c r="N1660" s="295"/>
      <c r="O1660" s="295"/>
      <c r="P1660" s="295"/>
      <c r="Q1660" s="295"/>
      <c r="R1660" s="295"/>
      <c r="S1660" s="295"/>
      <c r="T1660" s="295"/>
      <c r="U1660" s="295"/>
      <c r="V1660" s="295"/>
      <c r="W1660" s="295"/>
      <c r="X1660" s="295"/>
      <c r="Y1660" s="295"/>
      <c r="Z1660" s="295"/>
      <c r="AA1660" s="295"/>
    </row>
    <row r="1661">
      <c r="A1661" s="327"/>
      <c r="B1661" s="327"/>
      <c r="C1661" s="295"/>
      <c r="D1661" s="334"/>
      <c r="E1661" s="295"/>
      <c r="F1661" s="329"/>
      <c r="G1661" s="295"/>
      <c r="I1661" s="295"/>
      <c r="J1661" s="230"/>
      <c r="K1661" s="329"/>
      <c r="L1661" s="295"/>
      <c r="M1661" s="295"/>
      <c r="N1661" s="295"/>
      <c r="O1661" s="295"/>
      <c r="P1661" s="295"/>
      <c r="Q1661" s="295"/>
      <c r="R1661" s="295"/>
      <c r="S1661" s="295"/>
      <c r="T1661" s="295"/>
      <c r="U1661" s="295"/>
      <c r="V1661" s="295"/>
      <c r="W1661" s="295"/>
      <c r="X1661" s="295"/>
      <c r="Y1661" s="295"/>
      <c r="Z1661" s="295"/>
      <c r="AA1661" s="295"/>
    </row>
    <row r="1662">
      <c r="A1662" s="327"/>
      <c r="B1662" s="327"/>
      <c r="C1662" s="295"/>
      <c r="D1662" s="334"/>
      <c r="E1662" s="295"/>
      <c r="F1662" s="329"/>
      <c r="G1662" s="295"/>
      <c r="I1662" s="295"/>
      <c r="J1662" s="230"/>
      <c r="K1662" s="329"/>
      <c r="L1662" s="295"/>
      <c r="M1662" s="295"/>
      <c r="N1662" s="295"/>
      <c r="O1662" s="295"/>
      <c r="P1662" s="295"/>
      <c r="Q1662" s="295"/>
      <c r="R1662" s="295"/>
      <c r="S1662" s="295"/>
      <c r="T1662" s="295"/>
      <c r="U1662" s="295"/>
      <c r="V1662" s="295"/>
      <c r="W1662" s="295"/>
      <c r="X1662" s="295"/>
      <c r="Y1662" s="295"/>
      <c r="Z1662" s="295"/>
      <c r="AA1662" s="295"/>
    </row>
    <row r="1663">
      <c r="A1663" s="327"/>
      <c r="B1663" s="327"/>
      <c r="C1663" s="295"/>
      <c r="D1663" s="334"/>
      <c r="E1663" s="295"/>
      <c r="F1663" s="329"/>
      <c r="G1663" s="295"/>
      <c r="I1663" s="295"/>
      <c r="J1663" s="230"/>
      <c r="K1663" s="329"/>
      <c r="L1663" s="295"/>
      <c r="M1663" s="295"/>
      <c r="N1663" s="295"/>
      <c r="O1663" s="295"/>
      <c r="P1663" s="295"/>
      <c r="Q1663" s="295"/>
      <c r="R1663" s="295"/>
      <c r="S1663" s="295"/>
      <c r="T1663" s="295"/>
      <c r="U1663" s="295"/>
      <c r="V1663" s="295"/>
      <c r="W1663" s="295"/>
      <c r="X1663" s="295"/>
      <c r="Y1663" s="295"/>
      <c r="Z1663" s="295"/>
      <c r="AA1663" s="295"/>
    </row>
    <row r="1664">
      <c r="A1664" s="327"/>
      <c r="B1664" s="327"/>
      <c r="C1664" s="295"/>
      <c r="D1664" s="334"/>
      <c r="E1664" s="295"/>
      <c r="F1664" s="329"/>
      <c r="G1664" s="295"/>
      <c r="I1664" s="295"/>
      <c r="J1664" s="230"/>
      <c r="K1664" s="329"/>
      <c r="L1664" s="295"/>
      <c r="M1664" s="295"/>
      <c r="N1664" s="295"/>
      <c r="O1664" s="295"/>
      <c r="P1664" s="295"/>
      <c r="Q1664" s="295"/>
      <c r="R1664" s="295"/>
      <c r="S1664" s="295"/>
      <c r="T1664" s="295"/>
      <c r="U1664" s="295"/>
      <c r="V1664" s="295"/>
      <c r="W1664" s="295"/>
      <c r="X1664" s="295"/>
      <c r="Y1664" s="295"/>
      <c r="Z1664" s="295"/>
      <c r="AA1664" s="295"/>
    </row>
    <row r="1665">
      <c r="A1665" s="327"/>
      <c r="B1665" s="327"/>
      <c r="C1665" s="295"/>
      <c r="D1665" s="334"/>
      <c r="E1665" s="295"/>
      <c r="F1665" s="329"/>
      <c r="G1665" s="295"/>
      <c r="I1665" s="295"/>
      <c r="J1665" s="230"/>
      <c r="K1665" s="329"/>
      <c r="L1665" s="295"/>
      <c r="M1665" s="295"/>
      <c r="N1665" s="295"/>
      <c r="O1665" s="295"/>
      <c r="P1665" s="295"/>
      <c r="Q1665" s="295"/>
      <c r="R1665" s="295"/>
      <c r="S1665" s="295"/>
      <c r="T1665" s="295"/>
      <c r="U1665" s="295"/>
      <c r="V1665" s="295"/>
      <c r="W1665" s="295"/>
      <c r="X1665" s="295"/>
      <c r="Y1665" s="295"/>
      <c r="Z1665" s="295"/>
      <c r="AA1665" s="295"/>
    </row>
    <row r="1666">
      <c r="A1666" s="327"/>
      <c r="B1666" s="327"/>
      <c r="C1666" s="295"/>
      <c r="D1666" s="334"/>
      <c r="E1666" s="295"/>
      <c r="F1666" s="329"/>
      <c r="G1666" s="295"/>
      <c r="I1666" s="295"/>
      <c r="J1666" s="230"/>
      <c r="K1666" s="329"/>
      <c r="L1666" s="295"/>
      <c r="M1666" s="295"/>
      <c r="N1666" s="295"/>
      <c r="O1666" s="295"/>
      <c r="P1666" s="295"/>
      <c r="Q1666" s="295"/>
      <c r="R1666" s="295"/>
      <c r="S1666" s="295"/>
      <c r="T1666" s="295"/>
      <c r="U1666" s="295"/>
      <c r="V1666" s="295"/>
      <c r="W1666" s="295"/>
      <c r="X1666" s="295"/>
      <c r="Y1666" s="295"/>
      <c r="Z1666" s="295"/>
      <c r="AA1666" s="295"/>
    </row>
    <row r="1667">
      <c r="A1667" s="327"/>
      <c r="B1667" s="327"/>
      <c r="C1667" s="295"/>
      <c r="D1667" s="334"/>
      <c r="E1667" s="295"/>
      <c r="F1667" s="329"/>
      <c r="G1667" s="295"/>
      <c r="I1667" s="295"/>
      <c r="J1667" s="230"/>
      <c r="K1667" s="329"/>
      <c r="L1667" s="295"/>
      <c r="M1667" s="295"/>
      <c r="N1667" s="295"/>
      <c r="O1667" s="295"/>
      <c r="P1667" s="295"/>
      <c r="Q1667" s="295"/>
      <c r="R1667" s="295"/>
      <c r="S1667" s="295"/>
      <c r="T1667" s="295"/>
      <c r="U1667" s="295"/>
      <c r="V1667" s="295"/>
      <c r="W1667" s="295"/>
      <c r="X1667" s="295"/>
      <c r="Y1667" s="295"/>
      <c r="Z1667" s="295"/>
      <c r="AA1667" s="295"/>
    </row>
    <row r="1668">
      <c r="A1668" s="327"/>
      <c r="B1668" s="327"/>
      <c r="C1668" s="295"/>
      <c r="D1668" s="334"/>
      <c r="E1668" s="295"/>
      <c r="F1668" s="329"/>
      <c r="G1668" s="295"/>
      <c r="I1668" s="295"/>
      <c r="J1668" s="230"/>
      <c r="K1668" s="329"/>
      <c r="L1668" s="295"/>
      <c r="M1668" s="295"/>
      <c r="N1668" s="295"/>
      <c r="O1668" s="295"/>
      <c r="P1668" s="295"/>
      <c r="Q1668" s="295"/>
      <c r="R1668" s="295"/>
      <c r="S1668" s="295"/>
      <c r="T1668" s="295"/>
      <c r="U1668" s="295"/>
      <c r="V1668" s="295"/>
      <c r="W1668" s="295"/>
      <c r="X1668" s="295"/>
      <c r="Y1668" s="295"/>
      <c r="Z1668" s="295"/>
      <c r="AA1668" s="295"/>
    </row>
    <row r="1669">
      <c r="A1669" s="327"/>
      <c r="B1669" s="327"/>
      <c r="C1669" s="295"/>
      <c r="D1669" s="334"/>
      <c r="E1669" s="295"/>
      <c r="F1669" s="329"/>
      <c r="G1669" s="295"/>
      <c r="I1669" s="295"/>
      <c r="J1669" s="230"/>
      <c r="K1669" s="329"/>
      <c r="L1669" s="295"/>
      <c r="M1669" s="295"/>
      <c r="N1669" s="295"/>
      <c r="O1669" s="295"/>
      <c r="P1669" s="295"/>
      <c r="Q1669" s="295"/>
      <c r="R1669" s="295"/>
      <c r="S1669" s="295"/>
      <c r="T1669" s="295"/>
      <c r="U1669" s="295"/>
      <c r="V1669" s="295"/>
      <c r="W1669" s="295"/>
      <c r="X1669" s="295"/>
      <c r="Y1669" s="295"/>
      <c r="Z1669" s="295"/>
      <c r="AA1669" s="295"/>
    </row>
    <row r="1670">
      <c r="A1670" s="327"/>
      <c r="B1670" s="327"/>
      <c r="C1670" s="295"/>
      <c r="D1670" s="334"/>
      <c r="E1670" s="295"/>
      <c r="F1670" s="329"/>
      <c r="G1670" s="295"/>
      <c r="I1670" s="295"/>
      <c r="J1670" s="230"/>
      <c r="K1670" s="329"/>
      <c r="L1670" s="295"/>
      <c r="M1670" s="295"/>
      <c r="N1670" s="295"/>
      <c r="O1670" s="295"/>
      <c r="P1670" s="295"/>
      <c r="Q1670" s="295"/>
      <c r="R1670" s="295"/>
      <c r="S1670" s="295"/>
      <c r="T1670" s="295"/>
      <c r="U1670" s="295"/>
      <c r="V1670" s="295"/>
      <c r="W1670" s="295"/>
      <c r="X1670" s="295"/>
      <c r="Y1670" s="295"/>
      <c r="Z1670" s="295"/>
      <c r="AA1670" s="295"/>
    </row>
    <row r="1671">
      <c r="A1671" s="327"/>
      <c r="B1671" s="327"/>
      <c r="C1671" s="295"/>
      <c r="D1671" s="334"/>
      <c r="E1671" s="295"/>
      <c r="F1671" s="329"/>
      <c r="G1671" s="295"/>
      <c r="I1671" s="295"/>
      <c r="J1671" s="230"/>
      <c r="K1671" s="329"/>
      <c r="L1671" s="295"/>
      <c r="M1671" s="295"/>
      <c r="N1671" s="295"/>
      <c r="O1671" s="295"/>
      <c r="P1671" s="295"/>
      <c r="Q1671" s="295"/>
      <c r="R1671" s="295"/>
      <c r="S1671" s="295"/>
      <c r="T1671" s="295"/>
      <c r="U1671" s="295"/>
      <c r="V1671" s="295"/>
      <c r="W1671" s="295"/>
      <c r="X1671" s="295"/>
      <c r="Y1671" s="295"/>
      <c r="Z1671" s="295"/>
      <c r="AA1671" s="295"/>
    </row>
    <row r="1672">
      <c r="A1672" s="327"/>
      <c r="B1672" s="327"/>
      <c r="C1672" s="295"/>
      <c r="D1672" s="334"/>
      <c r="E1672" s="295"/>
      <c r="F1672" s="329"/>
      <c r="G1672" s="295"/>
      <c r="I1672" s="295"/>
      <c r="J1672" s="230"/>
      <c r="K1672" s="329"/>
      <c r="L1672" s="295"/>
      <c r="M1672" s="295"/>
      <c r="N1672" s="295"/>
      <c r="O1672" s="295"/>
      <c r="P1672" s="295"/>
      <c r="Q1672" s="295"/>
      <c r="R1672" s="295"/>
      <c r="S1672" s="295"/>
      <c r="T1672" s="295"/>
      <c r="U1672" s="295"/>
      <c r="V1672" s="295"/>
      <c r="W1672" s="295"/>
      <c r="X1672" s="295"/>
      <c r="Y1672" s="295"/>
      <c r="Z1672" s="295"/>
      <c r="AA1672" s="295"/>
    </row>
    <row r="1673">
      <c r="A1673" s="327"/>
      <c r="B1673" s="327"/>
      <c r="C1673" s="295"/>
      <c r="D1673" s="334"/>
      <c r="E1673" s="295"/>
      <c r="F1673" s="329"/>
      <c r="G1673" s="295"/>
      <c r="I1673" s="295"/>
      <c r="J1673" s="230"/>
      <c r="K1673" s="329"/>
      <c r="L1673" s="295"/>
      <c r="M1673" s="295"/>
      <c r="N1673" s="295"/>
      <c r="O1673" s="295"/>
      <c r="P1673" s="295"/>
      <c r="Q1673" s="295"/>
      <c r="R1673" s="295"/>
      <c r="S1673" s="295"/>
      <c r="T1673" s="295"/>
      <c r="U1673" s="295"/>
      <c r="V1673" s="295"/>
      <c r="W1673" s="295"/>
      <c r="X1673" s="295"/>
      <c r="Y1673" s="295"/>
      <c r="Z1673" s="295"/>
      <c r="AA1673" s="295"/>
    </row>
    <row r="1674">
      <c r="A1674" s="327"/>
      <c r="B1674" s="327"/>
      <c r="C1674" s="295"/>
      <c r="D1674" s="334"/>
      <c r="E1674" s="295"/>
      <c r="F1674" s="329"/>
      <c r="G1674" s="295"/>
      <c r="I1674" s="295"/>
      <c r="J1674" s="230"/>
      <c r="K1674" s="329"/>
      <c r="L1674" s="295"/>
      <c r="M1674" s="295"/>
      <c r="N1674" s="295"/>
      <c r="O1674" s="295"/>
      <c r="P1674" s="295"/>
      <c r="Q1674" s="295"/>
      <c r="R1674" s="295"/>
      <c r="S1674" s="295"/>
      <c r="T1674" s="295"/>
      <c r="U1674" s="295"/>
      <c r="V1674" s="295"/>
      <c r="W1674" s="295"/>
      <c r="X1674" s="295"/>
      <c r="Y1674" s="295"/>
      <c r="Z1674" s="295"/>
      <c r="AA1674" s="295"/>
    </row>
    <row r="1675">
      <c r="A1675" s="327"/>
      <c r="B1675" s="327"/>
      <c r="C1675" s="295"/>
      <c r="D1675" s="334"/>
      <c r="E1675" s="295"/>
      <c r="F1675" s="329"/>
      <c r="G1675" s="295"/>
      <c r="I1675" s="295"/>
      <c r="J1675" s="230"/>
      <c r="K1675" s="329"/>
      <c r="L1675" s="295"/>
      <c r="M1675" s="295"/>
      <c r="N1675" s="295"/>
      <c r="O1675" s="295"/>
      <c r="P1675" s="295"/>
      <c r="Q1675" s="295"/>
      <c r="R1675" s="295"/>
      <c r="S1675" s="295"/>
      <c r="T1675" s="295"/>
      <c r="U1675" s="295"/>
      <c r="V1675" s="295"/>
      <c r="W1675" s="295"/>
      <c r="X1675" s="295"/>
      <c r="Y1675" s="295"/>
      <c r="Z1675" s="295"/>
      <c r="AA1675" s="295"/>
    </row>
    <row r="1676">
      <c r="A1676" s="327"/>
      <c r="B1676" s="327"/>
      <c r="C1676" s="295"/>
      <c r="D1676" s="334"/>
      <c r="E1676" s="295"/>
      <c r="F1676" s="329"/>
      <c r="G1676" s="295"/>
      <c r="I1676" s="295"/>
      <c r="J1676" s="230"/>
      <c r="K1676" s="329"/>
      <c r="L1676" s="295"/>
      <c r="M1676" s="295"/>
      <c r="N1676" s="295"/>
      <c r="O1676" s="295"/>
      <c r="P1676" s="295"/>
      <c r="Q1676" s="295"/>
      <c r="R1676" s="295"/>
      <c r="S1676" s="295"/>
      <c r="T1676" s="295"/>
      <c r="U1676" s="295"/>
      <c r="V1676" s="295"/>
      <c r="W1676" s="295"/>
      <c r="X1676" s="295"/>
      <c r="Y1676" s="295"/>
      <c r="Z1676" s="295"/>
      <c r="AA1676" s="295"/>
    </row>
    <row r="1677">
      <c r="A1677" s="327"/>
      <c r="B1677" s="327"/>
      <c r="C1677" s="295"/>
      <c r="D1677" s="334"/>
      <c r="E1677" s="295"/>
      <c r="F1677" s="329"/>
      <c r="G1677" s="295"/>
      <c r="I1677" s="295"/>
      <c r="J1677" s="230"/>
      <c r="K1677" s="329"/>
      <c r="L1677" s="295"/>
      <c r="M1677" s="295"/>
      <c r="N1677" s="295"/>
      <c r="O1677" s="295"/>
      <c r="P1677" s="295"/>
      <c r="Q1677" s="295"/>
      <c r="R1677" s="295"/>
      <c r="S1677" s="295"/>
      <c r="T1677" s="295"/>
      <c r="U1677" s="295"/>
      <c r="V1677" s="295"/>
      <c r="W1677" s="295"/>
      <c r="X1677" s="295"/>
      <c r="Y1677" s="295"/>
      <c r="Z1677" s="295"/>
      <c r="AA1677" s="295"/>
    </row>
    <row r="1678">
      <c r="A1678" s="327"/>
      <c r="B1678" s="327"/>
      <c r="C1678" s="295"/>
      <c r="D1678" s="334"/>
      <c r="E1678" s="295"/>
      <c r="F1678" s="329"/>
      <c r="G1678" s="295"/>
      <c r="I1678" s="295"/>
      <c r="J1678" s="230"/>
      <c r="K1678" s="329"/>
      <c r="L1678" s="295"/>
      <c r="M1678" s="295"/>
      <c r="N1678" s="295"/>
      <c r="O1678" s="295"/>
      <c r="P1678" s="295"/>
      <c r="Q1678" s="295"/>
      <c r="R1678" s="295"/>
      <c r="S1678" s="295"/>
      <c r="T1678" s="295"/>
      <c r="U1678" s="295"/>
      <c r="V1678" s="295"/>
      <c r="W1678" s="295"/>
      <c r="X1678" s="295"/>
      <c r="Y1678" s="295"/>
      <c r="Z1678" s="295"/>
      <c r="AA1678" s="295"/>
    </row>
    <row r="1679">
      <c r="A1679" s="327"/>
      <c r="B1679" s="327"/>
      <c r="C1679" s="295"/>
      <c r="D1679" s="334"/>
      <c r="E1679" s="295"/>
      <c r="F1679" s="329"/>
      <c r="G1679" s="295"/>
      <c r="I1679" s="295"/>
      <c r="J1679" s="230"/>
      <c r="K1679" s="329"/>
      <c r="L1679" s="295"/>
      <c r="M1679" s="295"/>
      <c r="N1679" s="295"/>
      <c r="O1679" s="295"/>
      <c r="P1679" s="295"/>
      <c r="Q1679" s="295"/>
      <c r="R1679" s="295"/>
      <c r="S1679" s="295"/>
      <c r="T1679" s="295"/>
      <c r="U1679" s="295"/>
      <c r="V1679" s="295"/>
      <c r="W1679" s="295"/>
      <c r="X1679" s="295"/>
      <c r="Y1679" s="295"/>
      <c r="Z1679" s="295"/>
      <c r="AA1679" s="295"/>
    </row>
    <row r="1680">
      <c r="A1680" s="327"/>
      <c r="B1680" s="327"/>
      <c r="C1680" s="295"/>
      <c r="D1680" s="334"/>
      <c r="E1680" s="295"/>
      <c r="F1680" s="329"/>
      <c r="G1680" s="295"/>
      <c r="I1680" s="295"/>
      <c r="J1680" s="230"/>
      <c r="K1680" s="329"/>
      <c r="L1680" s="295"/>
      <c r="M1680" s="295"/>
      <c r="N1680" s="295"/>
      <c r="O1680" s="295"/>
      <c r="P1680" s="295"/>
      <c r="Q1680" s="295"/>
      <c r="R1680" s="295"/>
      <c r="S1680" s="295"/>
      <c r="T1680" s="295"/>
      <c r="U1680" s="295"/>
      <c r="V1680" s="295"/>
      <c r="W1680" s="295"/>
      <c r="X1680" s="295"/>
      <c r="Y1680" s="295"/>
      <c r="Z1680" s="295"/>
      <c r="AA1680" s="295"/>
    </row>
    <row r="1681">
      <c r="A1681" s="327"/>
      <c r="B1681" s="327"/>
      <c r="C1681" s="295"/>
      <c r="D1681" s="334"/>
      <c r="E1681" s="295"/>
      <c r="F1681" s="329"/>
      <c r="G1681" s="295"/>
      <c r="I1681" s="295"/>
      <c r="J1681" s="230"/>
      <c r="K1681" s="329"/>
      <c r="L1681" s="295"/>
      <c r="M1681" s="295"/>
      <c r="N1681" s="295"/>
      <c r="O1681" s="295"/>
      <c r="P1681" s="295"/>
      <c r="Q1681" s="295"/>
      <c r="R1681" s="295"/>
      <c r="S1681" s="295"/>
      <c r="T1681" s="295"/>
      <c r="U1681" s="295"/>
      <c r="V1681" s="295"/>
      <c r="W1681" s="295"/>
      <c r="X1681" s="295"/>
      <c r="Y1681" s="295"/>
      <c r="Z1681" s="295"/>
      <c r="AA1681" s="295"/>
    </row>
    <row r="1682">
      <c r="A1682" s="327"/>
      <c r="B1682" s="327"/>
      <c r="C1682" s="295"/>
      <c r="D1682" s="334"/>
      <c r="E1682" s="295"/>
      <c r="F1682" s="329"/>
      <c r="G1682" s="295"/>
      <c r="I1682" s="295"/>
      <c r="J1682" s="230"/>
      <c r="K1682" s="329"/>
      <c r="L1682" s="295"/>
      <c r="M1682" s="295"/>
      <c r="N1682" s="295"/>
      <c r="O1682" s="295"/>
      <c r="P1682" s="295"/>
      <c r="Q1682" s="295"/>
      <c r="R1682" s="295"/>
      <c r="S1682" s="295"/>
      <c r="T1682" s="295"/>
      <c r="U1682" s="295"/>
      <c r="V1682" s="295"/>
      <c r="W1682" s="295"/>
      <c r="X1682" s="295"/>
      <c r="Y1682" s="295"/>
      <c r="Z1682" s="295"/>
      <c r="AA1682" s="295"/>
    </row>
    <row r="1683">
      <c r="A1683" s="327"/>
      <c r="B1683" s="327"/>
      <c r="C1683" s="295"/>
      <c r="D1683" s="334"/>
      <c r="E1683" s="295"/>
      <c r="F1683" s="329"/>
      <c r="G1683" s="295"/>
      <c r="I1683" s="295"/>
      <c r="J1683" s="230"/>
      <c r="K1683" s="329"/>
      <c r="L1683" s="295"/>
      <c r="M1683" s="295"/>
      <c r="N1683" s="295"/>
      <c r="O1683" s="295"/>
      <c r="P1683" s="295"/>
      <c r="Q1683" s="295"/>
      <c r="R1683" s="295"/>
      <c r="S1683" s="295"/>
      <c r="T1683" s="295"/>
      <c r="U1683" s="295"/>
      <c r="V1683" s="295"/>
      <c r="W1683" s="295"/>
      <c r="X1683" s="295"/>
      <c r="Y1683" s="295"/>
      <c r="Z1683" s="295"/>
      <c r="AA1683" s="295"/>
    </row>
    <row r="1684">
      <c r="A1684" s="327"/>
      <c r="B1684" s="327"/>
      <c r="C1684" s="295"/>
      <c r="D1684" s="334"/>
      <c r="E1684" s="295"/>
      <c r="F1684" s="329"/>
      <c r="G1684" s="295"/>
      <c r="I1684" s="295"/>
      <c r="J1684" s="230"/>
      <c r="K1684" s="329"/>
      <c r="L1684" s="295"/>
      <c r="M1684" s="295"/>
      <c r="N1684" s="295"/>
      <c r="O1684" s="295"/>
      <c r="P1684" s="295"/>
      <c r="Q1684" s="295"/>
      <c r="R1684" s="295"/>
      <c r="S1684" s="295"/>
      <c r="T1684" s="295"/>
      <c r="U1684" s="295"/>
      <c r="V1684" s="295"/>
      <c r="W1684" s="295"/>
      <c r="X1684" s="295"/>
      <c r="Y1684" s="295"/>
      <c r="Z1684" s="295"/>
      <c r="AA1684" s="295"/>
    </row>
    <row r="1685">
      <c r="A1685" s="327"/>
      <c r="B1685" s="327"/>
      <c r="C1685" s="295"/>
      <c r="D1685" s="334"/>
      <c r="E1685" s="295"/>
      <c r="F1685" s="329"/>
      <c r="G1685" s="295"/>
      <c r="I1685" s="295"/>
      <c r="J1685" s="230"/>
      <c r="K1685" s="329"/>
      <c r="L1685" s="295"/>
      <c r="M1685" s="295"/>
      <c r="N1685" s="295"/>
      <c r="O1685" s="295"/>
      <c r="P1685" s="295"/>
      <c r="Q1685" s="295"/>
      <c r="R1685" s="295"/>
      <c r="S1685" s="295"/>
      <c r="T1685" s="295"/>
      <c r="U1685" s="295"/>
      <c r="V1685" s="295"/>
      <c r="W1685" s="295"/>
      <c r="X1685" s="295"/>
      <c r="Y1685" s="295"/>
      <c r="Z1685" s="295"/>
      <c r="AA1685" s="295"/>
    </row>
    <row r="1686">
      <c r="A1686" s="327"/>
      <c r="B1686" s="327"/>
      <c r="C1686" s="295"/>
      <c r="D1686" s="334"/>
      <c r="E1686" s="295"/>
      <c r="F1686" s="329"/>
      <c r="G1686" s="295"/>
      <c r="I1686" s="295"/>
      <c r="J1686" s="230"/>
      <c r="K1686" s="329"/>
      <c r="L1686" s="295"/>
      <c r="M1686" s="295"/>
      <c r="N1686" s="295"/>
      <c r="O1686" s="295"/>
      <c r="P1686" s="295"/>
      <c r="Q1686" s="295"/>
      <c r="R1686" s="295"/>
      <c r="S1686" s="295"/>
      <c r="T1686" s="295"/>
      <c r="U1686" s="295"/>
      <c r="V1686" s="295"/>
      <c r="W1686" s="295"/>
      <c r="X1686" s="295"/>
      <c r="Y1686" s="295"/>
      <c r="Z1686" s="295"/>
      <c r="AA1686" s="295"/>
    </row>
    <row r="1687">
      <c r="A1687" s="327"/>
      <c r="B1687" s="327"/>
      <c r="C1687" s="295"/>
      <c r="D1687" s="334"/>
      <c r="E1687" s="295"/>
      <c r="F1687" s="329"/>
      <c r="G1687" s="295"/>
      <c r="I1687" s="295"/>
      <c r="J1687" s="230"/>
      <c r="K1687" s="329"/>
      <c r="L1687" s="295"/>
      <c r="M1687" s="295"/>
      <c r="N1687" s="295"/>
      <c r="O1687" s="295"/>
      <c r="P1687" s="295"/>
      <c r="Q1687" s="295"/>
      <c r="R1687" s="295"/>
      <c r="S1687" s="295"/>
      <c r="T1687" s="295"/>
      <c r="U1687" s="295"/>
      <c r="V1687" s="295"/>
      <c r="W1687" s="295"/>
      <c r="X1687" s="295"/>
      <c r="Y1687" s="295"/>
      <c r="Z1687" s="295"/>
      <c r="AA1687" s="295"/>
    </row>
    <row r="1688">
      <c r="A1688" s="327"/>
      <c r="B1688" s="327"/>
      <c r="C1688" s="295"/>
      <c r="D1688" s="334"/>
      <c r="E1688" s="295"/>
      <c r="F1688" s="329"/>
      <c r="G1688" s="295"/>
      <c r="I1688" s="295"/>
      <c r="J1688" s="230"/>
      <c r="K1688" s="329"/>
      <c r="L1688" s="295"/>
      <c r="M1688" s="295"/>
      <c r="N1688" s="295"/>
      <c r="O1688" s="295"/>
      <c r="P1688" s="295"/>
      <c r="Q1688" s="295"/>
      <c r="R1688" s="295"/>
      <c r="S1688" s="295"/>
      <c r="T1688" s="295"/>
      <c r="U1688" s="295"/>
      <c r="V1688" s="295"/>
      <c r="W1688" s="295"/>
      <c r="X1688" s="295"/>
      <c r="Y1688" s="295"/>
      <c r="Z1688" s="295"/>
      <c r="AA1688" s="295"/>
    </row>
    <row r="1689">
      <c r="A1689" s="327"/>
      <c r="B1689" s="327"/>
      <c r="C1689" s="295"/>
      <c r="D1689" s="334"/>
      <c r="E1689" s="295"/>
      <c r="F1689" s="329"/>
      <c r="G1689" s="295"/>
      <c r="I1689" s="295"/>
      <c r="J1689" s="230"/>
      <c r="K1689" s="329"/>
      <c r="L1689" s="295"/>
      <c r="M1689" s="295"/>
      <c r="N1689" s="295"/>
      <c r="O1689" s="295"/>
      <c r="P1689" s="295"/>
      <c r="Q1689" s="295"/>
      <c r="R1689" s="295"/>
      <c r="S1689" s="295"/>
      <c r="T1689" s="295"/>
      <c r="U1689" s="295"/>
      <c r="V1689" s="295"/>
      <c r="W1689" s="295"/>
      <c r="X1689" s="295"/>
      <c r="Y1689" s="295"/>
      <c r="Z1689" s="295"/>
      <c r="AA1689" s="295"/>
    </row>
    <row r="1690">
      <c r="A1690" s="327"/>
      <c r="B1690" s="327"/>
      <c r="C1690" s="295"/>
      <c r="D1690" s="334"/>
      <c r="E1690" s="295"/>
      <c r="F1690" s="329"/>
      <c r="G1690" s="295"/>
      <c r="I1690" s="295"/>
      <c r="J1690" s="230"/>
      <c r="K1690" s="329"/>
      <c r="L1690" s="295"/>
      <c r="M1690" s="295"/>
      <c r="N1690" s="295"/>
      <c r="O1690" s="295"/>
      <c r="P1690" s="295"/>
      <c r="Q1690" s="295"/>
      <c r="R1690" s="295"/>
      <c r="S1690" s="295"/>
      <c r="T1690" s="295"/>
      <c r="U1690" s="295"/>
      <c r="V1690" s="295"/>
      <c r="W1690" s="295"/>
      <c r="X1690" s="295"/>
      <c r="Y1690" s="295"/>
      <c r="Z1690" s="295"/>
      <c r="AA1690" s="295"/>
    </row>
    <row r="1691">
      <c r="A1691" s="327"/>
      <c r="B1691" s="327"/>
      <c r="C1691" s="295"/>
      <c r="D1691" s="334"/>
      <c r="E1691" s="295"/>
      <c r="F1691" s="329"/>
      <c r="G1691" s="295"/>
      <c r="I1691" s="295"/>
      <c r="J1691" s="230"/>
      <c r="K1691" s="329"/>
      <c r="L1691" s="295"/>
      <c r="M1691" s="295"/>
      <c r="N1691" s="295"/>
      <c r="O1691" s="295"/>
      <c r="P1691" s="295"/>
      <c r="Q1691" s="295"/>
      <c r="R1691" s="295"/>
      <c r="S1691" s="295"/>
      <c r="T1691" s="295"/>
      <c r="U1691" s="295"/>
      <c r="V1691" s="295"/>
      <c r="W1691" s="295"/>
      <c r="X1691" s="295"/>
      <c r="Y1691" s="295"/>
      <c r="Z1691" s="295"/>
      <c r="AA1691" s="295"/>
    </row>
    <row r="1692">
      <c r="A1692" s="327"/>
      <c r="B1692" s="327"/>
      <c r="C1692" s="295"/>
      <c r="D1692" s="334"/>
      <c r="E1692" s="295"/>
      <c r="F1692" s="329"/>
      <c r="G1692" s="295"/>
      <c r="I1692" s="295"/>
      <c r="J1692" s="230"/>
      <c r="K1692" s="329"/>
      <c r="L1692" s="295"/>
      <c r="M1692" s="295"/>
      <c r="N1692" s="295"/>
      <c r="O1692" s="295"/>
      <c r="P1692" s="295"/>
      <c r="Q1692" s="295"/>
      <c r="R1692" s="295"/>
      <c r="S1692" s="295"/>
      <c r="T1692" s="295"/>
      <c r="U1692" s="295"/>
      <c r="V1692" s="295"/>
      <c r="W1692" s="295"/>
      <c r="X1692" s="295"/>
      <c r="Y1692" s="295"/>
      <c r="Z1692" s="295"/>
      <c r="AA1692" s="295"/>
    </row>
    <row r="1693">
      <c r="A1693" s="327"/>
      <c r="B1693" s="327"/>
      <c r="C1693" s="295"/>
      <c r="D1693" s="334"/>
      <c r="E1693" s="295"/>
      <c r="F1693" s="329"/>
      <c r="G1693" s="295"/>
      <c r="I1693" s="295"/>
      <c r="J1693" s="230"/>
      <c r="K1693" s="329"/>
      <c r="L1693" s="295"/>
      <c r="M1693" s="295"/>
      <c r="N1693" s="295"/>
      <c r="O1693" s="295"/>
      <c r="P1693" s="295"/>
      <c r="Q1693" s="295"/>
      <c r="R1693" s="295"/>
      <c r="S1693" s="295"/>
      <c r="T1693" s="295"/>
      <c r="U1693" s="295"/>
      <c r="V1693" s="295"/>
      <c r="W1693" s="295"/>
      <c r="X1693" s="295"/>
      <c r="Y1693" s="295"/>
      <c r="Z1693" s="295"/>
      <c r="AA1693" s="295"/>
    </row>
    <row r="1694">
      <c r="A1694" s="327"/>
      <c r="B1694" s="327"/>
      <c r="C1694" s="295"/>
      <c r="D1694" s="334"/>
      <c r="E1694" s="295"/>
      <c r="F1694" s="329"/>
      <c r="G1694" s="295"/>
      <c r="I1694" s="295"/>
      <c r="J1694" s="230"/>
      <c r="K1694" s="329"/>
      <c r="L1694" s="295"/>
      <c r="M1694" s="295"/>
      <c r="N1694" s="295"/>
      <c r="O1694" s="295"/>
      <c r="P1694" s="295"/>
      <c r="Q1694" s="295"/>
      <c r="R1694" s="295"/>
      <c r="S1694" s="295"/>
      <c r="T1694" s="295"/>
      <c r="U1694" s="295"/>
      <c r="V1694" s="295"/>
      <c r="W1694" s="295"/>
      <c r="X1694" s="295"/>
      <c r="Y1694" s="295"/>
      <c r="Z1694" s="295"/>
      <c r="AA1694" s="295"/>
    </row>
    <row r="1695">
      <c r="A1695" s="327"/>
      <c r="B1695" s="327"/>
      <c r="C1695" s="295"/>
      <c r="D1695" s="334"/>
      <c r="E1695" s="295"/>
      <c r="F1695" s="329"/>
      <c r="G1695" s="295"/>
      <c r="I1695" s="295"/>
      <c r="J1695" s="230"/>
      <c r="K1695" s="329"/>
      <c r="L1695" s="295"/>
      <c r="M1695" s="295"/>
      <c r="N1695" s="295"/>
      <c r="O1695" s="295"/>
      <c r="P1695" s="295"/>
      <c r="Q1695" s="295"/>
      <c r="R1695" s="295"/>
      <c r="S1695" s="295"/>
      <c r="T1695" s="295"/>
      <c r="U1695" s="295"/>
      <c r="V1695" s="295"/>
      <c r="W1695" s="295"/>
      <c r="X1695" s="295"/>
      <c r="Y1695" s="295"/>
      <c r="Z1695" s="295"/>
      <c r="AA1695" s="295"/>
    </row>
    <row r="1696">
      <c r="A1696" s="327"/>
      <c r="B1696" s="327"/>
      <c r="C1696" s="295"/>
      <c r="D1696" s="334"/>
      <c r="E1696" s="295"/>
      <c r="F1696" s="329"/>
      <c r="G1696" s="295"/>
      <c r="I1696" s="295"/>
      <c r="J1696" s="230"/>
      <c r="K1696" s="329"/>
      <c r="L1696" s="295"/>
      <c r="M1696" s="295"/>
      <c r="N1696" s="295"/>
      <c r="O1696" s="295"/>
      <c r="P1696" s="295"/>
      <c r="Q1696" s="295"/>
      <c r="R1696" s="295"/>
      <c r="S1696" s="295"/>
      <c r="T1696" s="295"/>
      <c r="U1696" s="295"/>
      <c r="V1696" s="295"/>
      <c r="W1696" s="295"/>
      <c r="X1696" s="295"/>
      <c r="Y1696" s="295"/>
      <c r="Z1696" s="295"/>
      <c r="AA1696" s="295"/>
    </row>
    <row r="1697">
      <c r="A1697" s="327"/>
      <c r="B1697" s="327"/>
      <c r="C1697" s="295"/>
      <c r="D1697" s="334"/>
      <c r="E1697" s="295"/>
      <c r="F1697" s="329"/>
      <c r="G1697" s="295"/>
      <c r="I1697" s="295"/>
      <c r="J1697" s="230"/>
      <c r="K1697" s="329"/>
      <c r="L1697" s="295"/>
      <c r="M1697" s="295"/>
      <c r="N1697" s="295"/>
      <c r="O1697" s="295"/>
      <c r="P1697" s="295"/>
      <c r="Q1697" s="295"/>
      <c r="R1697" s="295"/>
      <c r="S1697" s="295"/>
      <c r="T1697" s="295"/>
      <c r="U1697" s="295"/>
      <c r="V1697" s="295"/>
      <c r="W1697" s="295"/>
      <c r="X1697" s="295"/>
      <c r="Y1697" s="295"/>
      <c r="Z1697" s="295"/>
      <c r="AA1697" s="295"/>
    </row>
    <row r="1698">
      <c r="A1698" s="327"/>
      <c r="B1698" s="327"/>
      <c r="C1698" s="295"/>
      <c r="D1698" s="334"/>
      <c r="E1698" s="295"/>
      <c r="F1698" s="329"/>
      <c r="G1698" s="295"/>
      <c r="I1698" s="295"/>
      <c r="J1698" s="230"/>
      <c r="K1698" s="329"/>
      <c r="L1698" s="295"/>
      <c r="M1698" s="295"/>
      <c r="N1698" s="295"/>
      <c r="O1698" s="295"/>
      <c r="P1698" s="295"/>
      <c r="Q1698" s="295"/>
      <c r="R1698" s="295"/>
      <c r="S1698" s="295"/>
      <c r="T1698" s="295"/>
      <c r="U1698" s="295"/>
      <c r="V1698" s="295"/>
      <c r="W1698" s="295"/>
      <c r="X1698" s="295"/>
      <c r="Y1698" s="295"/>
      <c r="Z1698" s="295"/>
      <c r="AA1698" s="295"/>
    </row>
    <row r="1699">
      <c r="A1699" s="327"/>
      <c r="B1699" s="327"/>
      <c r="C1699" s="295"/>
      <c r="D1699" s="334"/>
      <c r="E1699" s="295"/>
      <c r="F1699" s="329"/>
      <c r="G1699" s="295"/>
      <c r="I1699" s="295"/>
      <c r="J1699" s="230"/>
      <c r="K1699" s="329"/>
      <c r="L1699" s="295"/>
      <c r="M1699" s="295"/>
      <c r="N1699" s="295"/>
      <c r="O1699" s="295"/>
      <c r="P1699" s="295"/>
      <c r="Q1699" s="295"/>
      <c r="R1699" s="295"/>
      <c r="S1699" s="295"/>
      <c r="T1699" s="295"/>
      <c r="U1699" s="295"/>
      <c r="V1699" s="295"/>
      <c r="W1699" s="295"/>
      <c r="X1699" s="295"/>
      <c r="Y1699" s="295"/>
      <c r="Z1699" s="295"/>
      <c r="AA1699" s="295"/>
    </row>
    <row r="1700">
      <c r="A1700" s="327"/>
      <c r="B1700" s="327"/>
      <c r="C1700" s="295"/>
      <c r="D1700" s="334"/>
      <c r="E1700" s="295"/>
      <c r="F1700" s="329"/>
      <c r="G1700" s="295"/>
      <c r="I1700" s="295"/>
      <c r="J1700" s="230"/>
      <c r="K1700" s="329"/>
      <c r="L1700" s="295"/>
      <c r="M1700" s="295"/>
      <c r="N1700" s="295"/>
      <c r="O1700" s="295"/>
      <c r="P1700" s="295"/>
      <c r="Q1700" s="295"/>
      <c r="R1700" s="295"/>
      <c r="S1700" s="295"/>
      <c r="T1700" s="295"/>
      <c r="U1700" s="295"/>
      <c r="V1700" s="295"/>
      <c r="W1700" s="295"/>
      <c r="X1700" s="295"/>
      <c r="Y1700" s="295"/>
      <c r="Z1700" s="295"/>
      <c r="AA1700" s="295"/>
    </row>
    <row r="1701">
      <c r="A1701" s="327"/>
      <c r="B1701" s="327"/>
      <c r="C1701" s="295"/>
      <c r="D1701" s="334"/>
      <c r="E1701" s="295"/>
      <c r="F1701" s="329"/>
      <c r="G1701" s="295"/>
      <c r="I1701" s="295"/>
      <c r="J1701" s="230"/>
      <c r="K1701" s="329"/>
      <c r="L1701" s="295"/>
      <c r="M1701" s="295"/>
      <c r="N1701" s="295"/>
      <c r="O1701" s="295"/>
      <c r="P1701" s="295"/>
      <c r="Q1701" s="295"/>
      <c r="R1701" s="295"/>
      <c r="S1701" s="295"/>
      <c r="T1701" s="295"/>
      <c r="U1701" s="295"/>
      <c r="V1701" s="295"/>
      <c r="W1701" s="295"/>
      <c r="X1701" s="295"/>
      <c r="Y1701" s="295"/>
      <c r="Z1701" s="295"/>
      <c r="AA1701" s="295"/>
    </row>
    <row r="1702">
      <c r="A1702" s="327"/>
      <c r="B1702" s="327"/>
      <c r="C1702" s="295"/>
      <c r="D1702" s="334"/>
      <c r="E1702" s="295"/>
      <c r="F1702" s="329"/>
      <c r="G1702" s="295"/>
      <c r="I1702" s="295"/>
      <c r="J1702" s="230"/>
      <c r="K1702" s="329"/>
      <c r="L1702" s="295"/>
      <c r="M1702" s="295"/>
      <c r="N1702" s="295"/>
      <c r="O1702" s="295"/>
      <c r="P1702" s="295"/>
      <c r="Q1702" s="295"/>
      <c r="R1702" s="295"/>
      <c r="S1702" s="295"/>
      <c r="T1702" s="295"/>
      <c r="U1702" s="295"/>
      <c r="V1702" s="295"/>
      <c r="W1702" s="295"/>
      <c r="X1702" s="295"/>
      <c r="Y1702" s="295"/>
      <c r="Z1702" s="295"/>
      <c r="AA1702" s="295"/>
    </row>
    <row r="1703">
      <c r="A1703" s="327"/>
      <c r="B1703" s="327"/>
      <c r="C1703" s="295"/>
      <c r="D1703" s="334"/>
      <c r="E1703" s="295"/>
      <c r="F1703" s="329"/>
      <c r="G1703" s="295"/>
      <c r="I1703" s="295"/>
      <c r="J1703" s="230"/>
      <c r="K1703" s="329"/>
      <c r="L1703" s="295"/>
      <c r="M1703" s="295"/>
      <c r="N1703" s="295"/>
      <c r="O1703" s="295"/>
      <c r="P1703" s="295"/>
      <c r="Q1703" s="295"/>
      <c r="R1703" s="295"/>
      <c r="S1703" s="295"/>
      <c r="T1703" s="295"/>
      <c r="U1703" s="295"/>
      <c r="V1703" s="295"/>
      <c r="W1703" s="295"/>
      <c r="X1703" s="295"/>
      <c r="Y1703" s="295"/>
      <c r="Z1703" s="295"/>
      <c r="AA1703" s="295"/>
    </row>
    <row r="1704">
      <c r="A1704" s="327"/>
      <c r="B1704" s="327"/>
      <c r="C1704" s="295"/>
      <c r="D1704" s="334"/>
      <c r="E1704" s="295"/>
      <c r="F1704" s="329"/>
      <c r="G1704" s="295"/>
      <c r="I1704" s="295"/>
      <c r="J1704" s="230"/>
      <c r="K1704" s="329"/>
      <c r="L1704" s="295"/>
      <c r="M1704" s="295"/>
      <c r="N1704" s="295"/>
      <c r="O1704" s="295"/>
      <c r="P1704" s="295"/>
      <c r="Q1704" s="295"/>
      <c r="R1704" s="295"/>
      <c r="S1704" s="295"/>
      <c r="T1704" s="295"/>
      <c r="U1704" s="295"/>
      <c r="V1704" s="295"/>
      <c r="W1704" s="295"/>
      <c r="X1704" s="295"/>
      <c r="Y1704" s="295"/>
      <c r="Z1704" s="295"/>
      <c r="AA1704" s="295"/>
    </row>
    <row r="1705">
      <c r="A1705" s="327"/>
      <c r="B1705" s="327"/>
      <c r="C1705" s="295"/>
      <c r="D1705" s="334"/>
      <c r="E1705" s="295"/>
      <c r="F1705" s="329"/>
      <c r="G1705" s="295"/>
      <c r="I1705" s="295"/>
      <c r="J1705" s="230"/>
      <c r="K1705" s="329"/>
      <c r="L1705" s="295"/>
      <c r="M1705" s="295"/>
      <c r="N1705" s="295"/>
      <c r="O1705" s="295"/>
      <c r="P1705" s="295"/>
      <c r="Q1705" s="295"/>
      <c r="R1705" s="295"/>
      <c r="S1705" s="295"/>
      <c r="T1705" s="295"/>
      <c r="U1705" s="295"/>
      <c r="V1705" s="295"/>
      <c r="W1705" s="295"/>
      <c r="X1705" s="295"/>
      <c r="Y1705" s="295"/>
      <c r="Z1705" s="295"/>
      <c r="AA1705" s="295"/>
    </row>
    <row r="1706">
      <c r="A1706" s="327"/>
      <c r="B1706" s="327"/>
      <c r="C1706" s="295"/>
      <c r="D1706" s="334"/>
      <c r="E1706" s="295"/>
      <c r="F1706" s="329"/>
      <c r="G1706" s="295"/>
      <c r="I1706" s="295"/>
      <c r="J1706" s="230"/>
      <c r="K1706" s="329"/>
      <c r="L1706" s="295"/>
      <c r="M1706" s="295"/>
      <c r="N1706" s="295"/>
      <c r="O1706" s="295"/>
      <c r="P1706" s="295"/>
      <c r="Q1706" s="295"/>
      <c r="R1706" s="295"/>
      <c r="S1706" s="295"/>
      <c r="T1706" s="295"/>
      <c r="U1706" s="295"/>
      <c r="V1706" s="295"/>
      <c r="W1706" s="295"/>
      <c r="X1706" s="295"/>
      <c r="Y1706" s="295"/>
      <c r="Z1706" s="295"/>
      <c r="AA1706" s="295"/>
    </row>
    <row r="1707">
      <c r="A1707" s="327"/>
      <c r="B1707" s="327"/>
      <c r="C1707" s="295"/>
      <c r="D1707" s="334"/>
      <c r="E1707" s="295"/>
      <c r="F1707" s="329"/>
      <c r="G1707" s="295"/>
      <c r="I1707" s="295"/>
      <c r="J1707" s="230"/>
      <c r="K1707" s="329"/>
      <c r="L1707" s="295"/>
      <c r="M1707" s="295"/>
      <c r="N1707" s="295"/>
      <c r="O1707" s="295"/>
      <c r="P1707" s="295"/>
      <c r="Q1707" s="295"/>
      <c r="R1707" s="295"/>
      <c r="S1707" s="295"/>
      <c r="T1707" s="295"/>
      <c r="U1707" s="295"/>
      <c r="V1707" s="295"/>
      <c r="W1707" s="295"/>
      <c r="X1707" s="295"/>
      <c r="Y1707" s="295"/>
      <c r="Z1707" s="295"/>
      <c r="AA1707" s="295"/>
    </row>
    <row r="1708">
      <c r="A1708" s="327"/>
      <c r="B1708" s="327"/>
      <c r="C1708" s="295"/>
      <c r="D1708" s="334"/>
      <c r="E1708" s="295"/>
      <c r="F1708" s="329"/>
      <c r="G1708" s="295"/>
      <c r="I1708" s="295"/>
      <c r="J1708" s="230"/>
      <c r="K1708" s="329"/>
      <c r="L1708" s="295"/>
      <c r="M1708" s="295"/>
      <c r="N1708" s="295"/>
      <c r="O1708" s="295"/>
      <c r="P1708" s="295"/>
      <c r="Q1708" s="295"/>
      <c r="R1708" s="295"/>
      <c r="S1708" s="295"/>
      <c r="T1708" s="295"/>
      <c r="U1708" s="295"/>
      <c r="V1708" s="295"/>
      <c r="W1708" s="295"/>
      <c r="X1708" s="295"/>
      <c r="Y1708" s="295"/>
      <c r="Z1708" s="295"/>
      <c r="AA1708" s="295"/>
    </row>
    <row r="1709">
      <c r="A1709" s="327"/>
      <c r="B1709" s="327"/>
      <c r="C1709" s="295"/>
      <c r="D1709" s="334"/>
      <c r="E1709" s="295"/>
      <c r="F1709" s="329"/>
      <c r="G1709" s="295"/>
      <c r="I1709" s="295"/>
      <c r="J1709" s="230"/>
      <c r="K1709" s="329"/>
      <c r="L1709" s="295"/>
      <c r="M1709" s="295"/>
      <c r="N1709" s="295"/>
      <c r="O1709" s="295"/>
      <c r="P1709" s="295"/>
      <c r="Q1709" s="295"/>
      <c r="R1709" s="295"/>
      <c r="S1709" s="295"/>
      <c r="T1709" s="295"/>
      <c r="U1709" s="295"/>
      <c r="V1709" s="295"/>
      <c r="W1709" s="295"/>
      <c r="X1709" s="295"/>
      <c r="Y1709" s="295"/>
      <c r="Z1709" s="295"/>
      <c r="AA1709" s="295"/>
    </row>
    <row r="1710">
      <c r="A1710" s="327"/>
      <c r="B1710" s="327"/>
      <c r="C1710" s="295"/>
      <c r="D1710" s="334"/>
      <c r="E1710" s="295"/>
      <c r="F1710" s="329"/>
      <c r="G1710" s="295"/>
      <c r="I1710" s="295"/>
      <c r="J1710" s="230"/>
      <c r="K1710" s="329"/>
      <c r="L1710" s="295"/>
      <c r="M1710" s="295"/>
      <c r="N1710" s="295"/>
      <c r="O1710" s="295"/>
      <c r="P1710" s="295"/>
      <c r="Q1710" s="295"/>
      <c r="R1710" s="295"/>
      <c r="S1710" s="295"/>
      <c r="T1710" s="295"/>
      <c r="U1710" s="295"/>
      <c r="V1710" s="295"/>
      <c r="W1710" s="295"/>
      <c r="X1710" s="295"/>
      <c r="Y1710" s="295"/>
      <c r="Z1710" s="295"/>
      <c r="AA1710" s="295"/>
    </row>
    <row r="1711">
      <c r="A1711" s="327"/>
      <c r="B1711" s="327"/>
      <c r="C1711" s="295"/>
      <c r="D1711" s="334"/>
      <c r="E1711" s="295"/>
      <c r="F1711" s="329"/>
      <c r="G1711" s="295"/>
      <c r="I1711" s="295"/>
      <c r="J1711" s="230"/>
      <c r="K1711" s="329"/>
      <c r="L1711" s="295"/>
      <c r="M1711" s="295"/>
      <c r="N1711" s="295"/>
      <c r="O1711" s="295"/>
      <c r="P1711" s="295"/>
      <c r="Q1711" s="295"/>
      <c r="R1711" s="295"/>
      <c r="S1711" s="295"/>
      <c r="T1711" s="295"/>
      <c r="U1711" s="295"/>
      <c r="V1711" s="295"/>
      <c r="W1711" s="295"/>
      <c r="X1711" s="295"/>
      <c r="Y1711" s="295"/>
      <c r="Z1711" s="295"/>
      <c r="AA1711" s="295"/>
    </row>
    <row r="1712">
      <c r="A1712" s="327"/>
      <c r="B1712" s="327"/>
      <c r="C1712" s="295"/>
      <c r="D1712" s="334"/>
      <c r="E1712" s="295"/>
      <c r="F1712" s="329"/>
      <c r="G1712" s="295"/>
      <c r="I1712" s="295"/>
      <c r="J1712" s="230"/>
      <c r="K1712" s="329"/>
      <c r="L1712" s="295"/>
      <c r="M1712" s="295"/>
      <c r="N1712" s="295"/>
      <c r="O1712" s="295"/>
      <c r="P1712" s="295"/>
      <c r="Q1712" s="295"/>
      <c r="R1712" s="295"/>
      <c r="S1712" s="295"/>
      <c r="T1712" s="295"/>
      <c r="U1712" s="295"/>
      <c r="V1712" s="295"/>
      <c r="W1712" s="295"/>
      <c r="X1712" s="295"/>
      <c r="Y1712" s="295"/>
      <c r="Z1712" s="295"/>
      <c r="AA1712" s="295"/>
    </row>
    <row r="1713">
      <c r="A1713" s="327"/>
      <c r="B1713" s="327"/>
      <c r="C1713" s="295"/>
      <c r="D1713" s="334"/>
      <c r="E1713" s="295"/>
      <c r="F1713" s="329"/>
      <c r="G1713" s="295"/>
      <c r="I1713" s="295"/>
      <c r="J1713" s="230"/>
      <c r="K1713" s="329"/>
      <c r="L1713" s="295"/>
      <c r="M1713" s="295"/>
      <c r="N1713" s="295"/>
      <c r="O1713" s="295"/>
      <c r="P1713" s="295"/>
      <c r="Q1713" s="295"/>
      <c r="R1713" s="295"/>
      <c r="S1713" s="295"/>
      <c r="T1713" s="295"/>
      <c r="U1713" s="295"/>
      <c r="V1713" s="295"/>
      <c r="W1713" s="295"/>
      <c r="X1713" s="295"/>
      <c r="Y1713" s="295"/>
      <c r="Z1713" s="295"/>
      <c r="AA1713" s="295"/>
    </row>
    <row r="1714">
      <c r="A1714" s="327"/>
      <c r="B1714" s="327"/>
      <c r="C1714" s="295"/>
      <c r="D1714" s="334"/>
      <c r="E1714" s="295"/>
      <c r="F1714" s="329"/>
      <c r="G1714" s="295"/>
      <c r="I1714" s="295"/>
      <c r="J1714" s="230"/>
      <c r="K1714" s="329"/>
      <c r="L1714" s="295"/>
      <c r="M1714" s="295"/>
      <c r="N1714" s="295"/>
      <c r="O1714" s="295"/>
      <c r="P1714" s="295"/>
      <c r="Q1714" s="295"/>
      <c r="R1714" s="295"/>
      <c r="S1714" s="295"/>
      <c r="T1714" s="295"/>
      <c r="U1714" s="295"/>
      <c r="V1714" s="295"/>
      <c r="W1714" s="295"/>
      <c r="X1714" s="295"/>
      <c r="Y1714" s="295"/>
      <c r="Z1714" s="295"/>
      <c r="AA1714" s="295"/>
    </row>
    <row r="1715">
      <c r="A1715" s="327"/>
      <c r="B1715" s="327"/>
      <c r="C1715" s="295"/>
      <c r="D1715" s="334"/>
      <c r="E1715" s="295"/>
      <c r="F1715" s="329"/>
      <c r="G1715" s="295"/>
      <c r="I1715" s="295"/>
      <c r="J1715" s="230"/>
      <c r="K1715" s="329"/>
      <c r="L1715" s="295"/>
      <c r="M1715" s="295"/>
      <c r="N1715" s="295"/>
      <c r="O1715" s="295"/>
      <c r="P1715" s="295"/>
      <c r="Q1715" s="295"/>
      <c r="R1715" s="295"/>
      <c r="S1715" s="295"/>
      <c r="T1715" s="295"/>
      <c r="U1715" s="295"/>
      <c r="V1715" s="295"/>
      <c r="W1715" s="295"/>
      <c r="X1715" s="295"/>
      <c r="Y1715" s="295"/>
      <c r="Z1715" s="295"/>
      <c r="AA1715" s="295"/>
    </row>
    <row r="1716">
      <c r="A1716" s="327"/>
      <c r="B1716" s="327"/>
      <c r="C1716" s="295"/>
      <c r="D1716" s="334"/>
      <c r="E1716" s="295"/>
      <c r="F1716" s="329"/>
      <c r="G1716" s="295"/>
      <c r="I1716" s="295"/>
      <c r="J1716" s="230"/>
      <c r="K1716" s="329"/>
      <c r="L1716" s="295"/>
      <c r="M1716" s="295"/>
      <c r="N1716" s="295"/>
      <c r="O1716" s="295"/>
      <c r="P1716" s="295"/>
      <c r="Q1716" s="295"/>
      <c r="R1716" s="295"/>
      <c r="S1716" s="295"/>
      <c r="T1716" s="295"/>
      <c r="U1716" s="295"/>
      <c r="V1716" s="295"/>
      <c r="W1716" s="295"/>
      <c r="X1716" s="295"/>
      <c r="Y1716" s="295"/>
      <c r="Z1716" s="295"/>
      <c r="AA1716" s="295"/>
    </row>
    <row r="1717">
      <c r="A1717" s="327"/>
      <c r="B1717" s="327"/>
      <c r="C1717" s="295"/>
      <c r="D1717" s="334"/>
      <c r="E1717" s="295"/>
      <c r="F1717" s="329"/>
      <c r="G1717" s="295"/>
      <c r="I1717" s="295"/>
      <c r="J1717" s="230"/>
      <c r="K1717" s="329"/>
      <c r="L1717" s="295"/>
      <c r="M1717" s="295"/>
      <c r="N1717" s="295"/>
      <c r="O1717" s="295"/>
      <c r="P1717" s="295"/>
      <c r="Q1717" s="295"/>
      <c r="R1717" s="295"/>
      <c r="S1717" s="295"/>
      <c r="T1717" s="295"/>
      <c r="U1717" s="295"/>
      <c r="V1717" s="295"/>
      <c r="W1717" s="295"/>
      <c r="X1717" s="295"/>
      <c r="Y1717" s="295"/>
      <c r="Z1717" s="295"/>
      <c r="AA1717" s="295"/>
    </row>
    <row r="1718">
      <c r="A1718" s="327"/>
      <c r="B1718" s="327"/>
      <c r="C1718" s="295"/>
      <c r="D1718" s="334"/>
      <c r="E1718" s="295"/>
      <c r="F1718" s="329"/>
      <c r="G1718" s="295"/>
      <c r="I1718" s="295"/>
      <c r="J1718" s="230"/>
      <c r="K1718" s="329"/>
      <c r="L1718" s="295"/>
      <c r="M1718" s="295"/>
      <c r="N1718" s="295"/>
      <c r="O1718" s="295"/>
      <c r="P1718" s="295"/>
      <c r="Q1718" s="295"/>
      <c r="R1718" s="295"/>
      <c r="S1718" s="295"/>
      <c r="T1718" s="295"/>
      <c r="U1718" s="295"/>
      <c r="V1718" s="295"/>
      <c r="W1718" s="295"/>
      <c r="X1718" s="295"/>
      <c r="Y1718" s="295"/>
      <c r="Z1718" s="295"/>
      <c r="AA1718" s="295"/>
    </row>
    <row r="1719">
      <c r="A1719" s="327"/>
      <c r="B1719" s="327"/>
      <c r="C1719" s="295"/>
      <c r="D1719" s="334"/>
      <c r="E1719" s="295"/>
      <c r="F1719" s="329"/>
      <c r="G1719" s="295"/>
      <c r="I1719" s="295"/>
      <c r="J1719" s="230"/>
      <c r="K1719" s="329"/>
      <c r="L1719" s="295"/>
      <c r="M1719" s="295"/>
      <c r="N1719" s="295"/>
      <c r="O1719" s="295"/>
      <c r="P1719" s="295"/>
      <c r="Q1719" s="295"/>
      <c r="R1719" s="295"/>
      <c r="S1719" s="295"/>
      <c r="T1719" s="295"/>
      <c r="U1719" s="295"/>
      <c r="V1719" s="295"/>
      <c r="W1719" s="295"/>
      <c r="X1719" s="295"/>
      <c r="Y1719" s="295"/>
      <c r="Z1719" s="295"/>
      <c r="AA1719" s="295"/>
    </row>
    <row r="1720">
      <c r="A1720" s="327"/>
      <c r="B1720" s="327"/>
      <c r="C1720" s="295"/>
      <c r="D1720" s="334"/>
      <c r="E1720" s="295"/>
      <c r="F1720" s="329"/>
      <c r="G1720" s="295"/>
      <c r="I1720" s="295"/>
      <c r="J1720" s="230"/>
      <c r="K1720" s="329"/>
      <c r="L1720" s="295"/>
      <c r="M1720" s="295"/>
      <c r="N1720" s="295"/>
      <c r="O1720" s="295"/>
      <c r="P1720" s="295"/>
      <c r="Q1720" s="295"/>
      <c r="R1720" s="295"/>
      <c r="S1720" s="295"/>
      <c r="T1720" s="295"/>
      <c r="U1720" s="295"/>
      <c r="V1720" s="295"/>
      <c r="W1720" s="295"/>
      <c r="X1720" s="295"/>
      <c r="Y1720" s="295"/>
      <c r="Z1720" s="295"/>
      <c r="AA1720" s="295"/>
    </row>
    <row r="1721">
      <c r="A1721" s="327"/>
      <c r="B1721" s="327"/>
      <c r="C1721" s="295"/>
      <c r="D1721" s="334"/>
      <c r="E1721" s="295"/>
      <c r="F1721" s="329"/>
      <c r="G1721" s="295"/>
      <c r="I1721" s="295"/>
      <c r="J1721" s="230"/>
      <c r="K1721" s="329"/>
      <c r="L1721" s="295"/>
      <c r="M1721" s="295"/>
      <c r="N1721" s="295"/>
      <c r="O1721" s="295"/>
      <c r="P1721" s="295"/>
      <c r="Q1721" s="295"/>
      <c r="R1721" s="295"/>
      <c r="S1721" s="295"/>
      <c r="T1721" s="295"/>
      <c r="U1721" s="295"/>
      <c r="V1721" s="295"/>
      <c r="W1721" s="295"/>
      <c r="X1721" s="295"/>
      <c r="Y1721" s="295"/>
      <c r="Z1721" s="295"/>
      <c r="AA1721" s="295"/>
    </row>
    <row r="1722">
      <c r="A1722" s="327"/>
      <c r="B1722" s="327"/>
      <c r="C1722" s="295"/>
      <c r="D1722" s="334"/>
      <c r="E1722" s="295"/>
      <c r="F1722" s="329"/>
      <c r="G1722" s="295"/>
      <c r="I1722" s="295"/>
      <c r="J1722" s="230"/>
      <c r="K1722" s="329"/>
      <c r="L1722" s="295"/>
      <c r="M1722" s="295"/>
      <c r="N1722" s="295"/>
      <c r="O1722" s="295"/>
      <c r="P1722" s="295"/>
      <c r="Q1722" s="295"/>
      <c r="R1722" s="295"/>
      <c r="S1722" s="295"/>
      <c r="T1722" s="295"/>
      <c r="U1722" s="295"/>
      <c r="V1722" s="295"/>
      <c r="W1722" s="295"/>
      <c r="X1722" s="295"/>
      <c r="Y1722" s="295"/>
      <c r="Z1722" s="295"/>
      <c r="AA1722" s="295"/>
    </row>
    <row r="1723">
      <c r="A1723" s="327"/>
      <c r="B1723" s="327"/>
      <c r="C1723" s="295"/>
      <c r="D1723" s="334"/>
      <c r="E1723" s="295"/>
      <c r="F1723" s="329"/>
      <c r="G1723" s="295"/>
      <c r="I1723" s="295"/>
      <c r="J1723" s="230"/>
      <c r="K1723" s="329"/>
      <c r="L1723" s="295"/>
      <c r="M1723" s="295"/>
      <c r="N1723" s="295"/>
      <c r="O1723" s="295"/>
      <c r="P1723" s="295"/>
      <c r="Q1723" s="295"/>
      <c r="R1723" s="295"/>
      <c r="S1723" s="295"/>
      <c r="T1723" s="295"/>
      <c r="U1723" s="295"/>
      <c r="V1723" s="295"/>
      <c r="W1723" s="295"/>
      <c r="X1723" s="295"/>
      <c r="Y1723" s="295"/>
      <c r="Z1723" s="295"/>
      <c r="AA1723" s="295"/>
    </row>
    <row r="1724">
      <c r="A1724" s="327"/>
      <c r="B1724" s="327"/>
      <c r="C1724" s="295"/>
      <c r="D1724" s="334"/>
      <c r="E1724" s="295"/>
      <c r="F1724" s="329"/>
      <c r="G1724" s="295"/>
      <c r="I1724" s="295"/>
      <c r="J1724" s="230"/>
      <c r="K1724" s="329"/>
      <c r="L1724" s="295"/>
      <c r="M1724" s="295"/>
      <c r="N1724" s="295"/>
      <c r="O1724" s="295"/>
      <c r="P1724" s="295"/>
      <c r="Q1724" s="295"/>
      <c r="R1724" s="295"/>
      <c r="S1724" s="295"/>
      <c r="T1724" s="295"/>
      <c r="U1724" s="295"/>
      <c r="V1724" s="295"/>
      <c r="W1724" s="295"/>
      <c r="X1724" s="295"/>
      <c r="Y1724" s="295"/>
      <c r="Z1724" s="295"/>
      <c r="AA1724" s="295"/>
    </row>
    <row r="1725">
      <c r="A1725" s="327"/>
      <c r="B1725" s="327"/>
      <c r="C1725" s="295"/>
      <c r="D1725" s="334"/>
      <c r="E1725" s="295"/>
      <c r="F1725" s="329"/>
      <c r="G1725" s="295"/>
      <c r="I1725" s="295"/>
      <c r="J1725" s="230"/>
      <c r="K1725" s="329"/>
      <c r="L1725" s="295"/>
      <c r="M1725" s="295"/>
      <c r="N1725" s="295"/>
      <c r="O1725" s="295"/>
      <c r="P1725" s="295"/>
      <c r="Q1725" s="295"/>
      <c r="R1725" s="295"/>
      <c r="S1725" s="295"/>
      <c r="T1725" s="295"/>
      <c r="U1725" s="295"/>
      <c r="V1725" s="295"/>
      <c r="W1725" s="295"/>
      <c r="X1725" s="295"/>
      <c r="Y1725" s="295"/>
      <c r="Z1725" s="295"/>
      <c r="AA1725" s="295"/>
    </row>
    <row r="1726">
      <c r="A1726" s="327"/>
      <c r="B1726" s="327"/>
      <c r="C1726" s="295"/>
      <c r="D1726" s="334"/>
      <c r="E1726" s="295"/>
      <c r="F1726" s="329"/>
      <c r="G1726" s="295"/>
      <c r="I1726" s="295"/>
      <c r="J1726" s="230"/>
      <c r="K1726" s="329"/>
      <c r="L1726" s="295"/>
      <c r="M1726" s="295"/>
      <c r="N1726" s="295"/>
      <c r="O1726" s="295"/>
      <c r="P1726" s="295"/>
      <c r="Q1726" s="295"/>
      <c r="R1726" s="295"/>
      <c r="S1726" s="295"/>
      <c r="T1726" s="295"/>
      <c r="U1726" s="295"/>
      <c r="V1726" s="295"/>
      <c r="W1726" s="295"/>
      <c r="X1726" s="295"/>
      <c r="Y1726" s="295"/>
      <c r="Z1726" s="295"/>
      <c r="AA1726" s="295"/>
    </row>
    <row r="1727">
      <c r="A1727" s="327"/>
      <c r="B1727" s="327"/>
      <c r="C1727" s="295"/>
      <c r="D1727" s="334"/>
      <c r="E1727" s="295"/>
      <c r="F1727" s="329"/>
      <c r="G1727" s="295"/>
      <c r="I1727" s="295"/>
      <c r="J1727" s="230"/>
      <c r="K1727" s="329"/>
      <c r="L1727" s="295"/>
      <c r="M1727" s="295"/>
      <c r="N1727" s="295"/>
      <c r="O1727" s="295"/>
      <c r="P1727" s="295"/>
      <c r="Q1727" s="295"/>
      <c r="R1727" s="295"/>
      <c r="S1727" s="295"/>
      <c r="T1727" s="295"/>
      <c r="U1727" s="295"/>
      <c r="V1727" s="295"/>
      <c r="W1727" s="295"/>
      <c r="X1727" s="295"/>
      <c r="Y1727" s="295"/>
      <c r="Z1727" s="295"/>
      <c r="AA1727" s="295"/>
    </row>
    <row r="1728">
      <c r="A1728" s="327"/>
      <c r="B1728" s="327"/>
      <c r="C1728" s="295"/>
      <c r="D1728" s="334"/>
      <c r="E1728" s="295"/>
      <c r="F1728" s="329"/>
      <c r="G1728" s="295"/>
      <c r="I1728" s="295"/>
      <c r="J1728" s="230"/>
      <c r="K1728" s="329"/>
      <c r="L1728" s="295"/>
      <c r="M1728" s="295"/>
      <c r="N1728" s="295"/>
      <c r="O1728" s="295"/>
      <c r="P1728" s="295"/>
      <c r="Q1728" s="295"/>
      <c r="R1728" s="295"/>
      <c r="S1728" s="295"/>
      <c r="T1728" s="295"/>
      <c r="U1728" s="295"/>
      <c r="V1728" s="295"/>
      <c r="W1728" s="295"/>
      <c r="X1728" s="295"/>
      <c r="Y1728" s="295"/>
      <c r="Z1728" s="295"/>
      <c r="AA1728" s="295"/>
    </row>
    <row r="1729">
      <c r="A1729" s="327"/>
      <c r="B1729" s="327"/>
      <c r="C1729" s="295"/>
      <c r="D1729" s="334"/>
      <c r="E1729" s="295"/>
      <c r="F1729" s="329"/>
      <c r="G1729" s="295"/>
      <c r="I1729" s="295"/>
      <c r="J1729" s="230"/>
      <c r="K1729" s="329"/>
      <c r="L1729" s="295"/>
      <c r="M1729" s="295"/>
      <c r="N1729" s="295"/>
      <c r="O1729" s="295"/>
      <c r="P1729" s="295"/>
      <c r="Q1729" s="295"/>
      <c r="R1729" s="295"/>
      <c r="S1729" s="295"/>
      <c r="T1729" s="295"/>
      <c r="U1729" s="295"/>
      <c r="V1729" s="295"/>
      <c r="W1729" s="295"/>
      <c r="X1729" s="295"/>
      <c r="Y1729" s="295"/>
      <c r="Z1729" s="295"/>
      <c r="AA1729" s="295"/>
    </row>
    <row r="1730">
      <c r="A1730" s="327"/>
      <c r="B1730" s="327"/>
      <c r="C1730" s="295"/>
      <c r="D1730" s="334"/>
      <c r="E1730" s="295"/>
      <c r="F1730" s="329"/>
      <c r="G1730" s="295"/>
      <c r="I1730" s="295"/>
      <c r="J1730" s="230"/>
      <c r="K1730" s="329"/>
      <c r="L1730" s="295"/>
      <c r="M1730" s="295"/>
      <c r="N1730" s="295"/>
      <c r="O1730" s="295"/>
      <c r="P1730" s="295"/>
      <c r="Q1730" s="295"/>
      <c r="R1730" s="295"/>
      <c r="S1730" s="295"/>
      <c r="T1730" s="295"/>
      <c r="U1730" s="295"/>
      <c r="V1730" s="295"/>
      <c r="W1730" s="295"/>
      <c r="X1730" s="295"/>
      <c r="Y1730" s="295"/>
      <c r="Z1730" s="295"/>
      <c r="AA1730" s="295"/>
    </row>
    <row r="1731">
      <c r="A1731" s="327"/>
      <c r="B1731" s="327"/>
      <c r="C1731" s="295"/>
      <c r="D1731" s="334"/>
      <c r="E1731" s="295"/>
      <c r="F1731" s="329"/>
      <c r="G1731" s="295"/>
      <c r="I1731" s="295"/>
      <c r="J1731" s="230"/>
      <c r="K1731" s="329"/>
      <c r="L1731" s="295"/>
      <c r="M1731" s="295"/>
      <c r="N1731" s="295"/>
      <c r="O1731" s="295"/>
      <c r="P1731" s="295"/>
      <c r="Q1731" s="295"/>
      <c r="R1731" s="295"/>
      <c r="S1731" s="295"/>
      <c r="T1731" s="295"/>
      <c r="U1731" s="295"/>
      <c r="V1731" s="295"/>
      <c r="W1731" s="295"/>
      <c r="X1731" s="295"/>
      <c r="Y1731" s="295"/>
      <c r="Z1731" s="295"/>
      <c r="AA1731" s="295"/>
    </row>
    <row r="1732">
      <c r="A1732" s="327"/>
      <c r="B1732" s="327"/>
      <c r="C1732" s="295"/>
      <c r="D1732" s="334"/>
      <c r="E1732" s="295"/>
      <c r="F1732" s="329"/>
      <c r="G1732" s="295"/>
      <c r="I1732" s="295"/>
      <c r="J1732" s="230"/>
      <c r="K1732" s="329"/>
      <c r="L1732" s="295"/>
      <c r="M1732" s="295"/>
      <c r="N1732" s="295"/>
      <c r="O1732" s="295"/>
      <c r="P1732" s="295"/>
      <c r="Q1732" s="295"/>
      <c r="R1732" s="295"/>
      <c r="S1732" s="295"/>
      <c r="T1732" s="295"/>
      <c r="U1732" s="295"/>
      <c r="V1732" s="295"/>
      <c r="W1732" s="295"/>
      <c r="X1732" s="295"/>
      <c r="Y1732" s="295"/>
      <c r="Z1732" s="295"/>
      <c r="AA1732" s="295"/>
    </row>
    <row r="1733">
      <c r="A1733" s="327"/>
      <c r="B1733" s="327"/>
      <c r="C1733" s="295"/>
      <c r="D1733" s="334"/>
      <c r="E1733" s="295"/>
      <c r="F1733" s="329"/>
      <c r="G1733" s="295"/>
      <c r="I1733" s="295"/>
      <c r="J1733" s="230"/>
      <c r="K1733" s="329"/>
      <c r="L1733" s="295"/>
      <c r="M1733" s="295"/>
      <c r="N1733" s="295"/>
      <c r="O1733" s="295"/>
      <c r="P1733" s="295"/>
      <c r="Q1733" s="295"/>
      <c r="R1733" s="295"/>
      <c r="S1733" s="295"/>
      <c r="T1733" s="295"/>
      <c r="U1733" s="295"/>
      <c r="V1733" s="295"/>
      <c r="W1733" s="295"/>
      <c r="X1733" s="295"/>
      <c r="Y1733" s="295"/>
      <c r="Z1733" s="295"/>
      <c r="AA1733" s="295"/>
    </row>
    <row r="1734">
      <c r="A1734" s="327"/>
      <c r="B1734" s="327"/>
      <c r="C1734" s="295"/>
      <c r="D1734" s="334"/>
      <c r="E1734" s="295"/>
      <c r="F1734" s="329"/>
      <c r="G1734" s="295"/>
      <c r="I1734" s="295"/>
      <c r="J1734" s="230"/>
      <c r="K1734" s="329"/>
      <c r="L1734" s="295"/>
      <c r="M1734" s="295"/>
      <c r="N1734" s="295"/>
      <c r="O1734" s="295"/>
      <c r="P1734" s="295"/>
      <c r="Q1734" s="295"/>
      <c r="R1734" s="295"/>
      <c r="S1734" s="295"/>
      <c r="T1734" s="295"/>
      <c r="U1734" s="295"/>
      <c r="V1734" s="295"/>
      <c r="W1734" s="295"/>
      <c r="X1734" s="295"/>
      <c r="Y1734" s="295"/>
      <c r="Z1734" s="295"/>
      <c r="AA1734" s="295"/>
    </row>
    <row r="1735">
      <c r="A1735" s="327"/>
      <c r="B1735" s="327"/>
      <c r="C1735" s="295"/>
      <c r="D1735" s="334"/>
      <c r="E1735" s="295"/>
      <c r="F1735" s="329"/>
      <c r="G1735" s="295"/>
      <c r="I1735" s="295"/>
      <c r="J1735" s="230"/>
      <c r="K1735" s="329"/>
      <c r="L1735" s="295"/>
      <c r="M1735" s="295"/>
      <c r="N1735" s="295"/>
      <c r="O1735" s="295"/>
      <c r="P1735" s="295"/>
      <c r="Q1735" s="295"/>
      <c r="R1735" s="295"/>
      <c r="S1735" s="295"/>
      <c r="T1735" s="295"/>
      <c r="U1735" s="295"/>
      <c r="V1735" s="295"/>
      <c r="W1735" s="295"/>
      <c r="X1735" s="295"/>
      <c r="Y1735" s="295"/>
      <c r="Z1735" s="295"/>
      <c r="AA1735" s="295"/>
    </row>
    <row r="1736">
      <c r="A1736" s="327"/>
      <c r="B1736" s="327"/>
      <c r="C1736" s="295"/>
      <c r="D1736" s="334"/>
      <c r="E1736" s="295"/>
      <c r="F1736" s="329"/>
      <c r="G1736" s="295"/>
      <c r="I1736" s="295"/>
      <c r="J1736" s="230"/>
      <c r="K1736" s="329"/>
      <c r="L1736" s="295"/>
      <c r="M1736" s="295"/>
      <c r="N1736" s="295"/>
      <c r="O1736" s="295"/>
      <c r="P1736" s="295"/>
      <c r="Q1736" s="295"/>
      <c r="R1736" s="295"/>
      <c r="S1736" s="295"/>
      <c r="T1736" s="295"/>
      <c r="U1736" s="295"/>
      <c r="V1736" s="295"/>
      <c r="W1736" s="295"/>
      <c r="X1736" s="295"/>
      <c r="Y1736" s="295"/>
      <c r="Z1736" s="295"/>
      <c r="AA1736" s="295"/>
    </row>
    <row r="1737">
      <c r="A1737" s="327"/>
      <c r="B1737" s="327"/>
      <c r="C1737" s="295"/>
      <c r="D1737" s="334"/>
      <c r="E1737" s="295"/>
      <c r="F1737" s="329"/>
      <c r="G1737" s="295"/>
      <c r="I1737" s="295"/>
      <c r="J1737" s="230"/>
      <c r="K1737" s="329"/>
      <c r="L1737" s="295"/>
      <c r="M1737" s="295"/>
      <c r="N1737" s="295"/>
      <c r="O1737" s="295"/>
      <c r="P1737" s="295"/>
      <c r="Q1737" s="295"/>
      <c r="R1737" s="295"/>
      <c r="S1737" s="295"/>
      <c r="T1737" s="295"/>
      <c r="U1737" s="295"/>
      <c r="V1737" s="295"/>
      <c r="W1737" s="295"/>
      <c r="X1737" s="295"/>
      <c r="Y1737" s="295"/>
      <c r="Z1737" s="295"/>
      <c r="AA1737" s="295"/>
    </row>
    <row r="1738">
      <c r="A1738" s="327"/>
      <c r="B1738" s="327"/>
      <c r="C1738" s="295"/>
      <c r="D1738" s="334"/>
      <c r="E1738" s="295"/>
      <c r="F1738" s="329"/>
      <c r="G1738" s="295"/>
      <c r="I1738" s="295"/>
      <c r="J1738" s="230"/>
      <c r="K1738" s="329"/>
      <c r="L1738" s="295"/>
      <c r="M1738" s="295"/>
      <c r="N1738" s="295"/>
      <c r="O1738" s="295"/>
      <c r="P1738" s="295"/>
      <c r="Q1738" s="295"/>
      <c r="R1738" s="295"/>
      <c r="S1738" s="295"/>
      <c r="T1738" s="295"/>
      <c r="U1738" s="295"/>
      <c r="V1738" s="295"/>
      <c r="W1738" s="295"/>
      <c r="X1738" s="295"/>
      <c r="Y1738" s="295"/>
      <c r="Z1738" s="295"/>
      <c r="AA1738" s="295"/>
    </row>
    <row r="1739">
      <c r="A1739" s="327"/>
      <c r="B1739" s="327"/>
      <c r="C1739" s="295"/>
      <c r="D1739" s="334"/>
      <c r="E1739" s="295"/>
      <c r="F1739" s="329"/>
      <c r="G1739" s="295"/>
      <c r="I1739" s="295"/>
      <c r="J1739" s="230"/>
      <c r="K1739" s="329"/>
      <c r="L1739" s="295"/>
      <c r="M1739" s="295"/>
      <c r="N1739" s="295"/>
      <c r="O1739" s="295"/>
      <c r="P1739" s="295"/>
      <c r="Q1739" s="295"/>
      <c r="R1739" s="295"/>
      <c r="S1739" s="295"/>
      <c r="T1739" s="295"/>
      <c r="U1739" s="295"/>
      <c r="V1739" s="295"/>
      <c r="W1739" s="295"/>
      <c r="X1739" s="295"/>
      <c r="Y1739" s="295"/>
      <c r="Z1739" s="295"/>
      <c r="AA1739" s="295"/>
    </row>
    <row r="1740">
      <c r="A1740" s="327"/>
      <c r="B1740" s="327"/>
      <c r="C1740" s="295"/>
      <c r="D1740" s="334"/>
      <c r="E1740" s="295"/>
      <c r="F1740" s="329"/>
      <c r="G1740" s="295"/>
      <c r="I1740" s="295"/>
      <c r="J1740" s="230"/>
      <c r="K1740" s="329"/>
      <c r="L1740" s="295"/>
      <c r="M1740" s="295"/>
      <c r="N1740" s="295"/>
      <c r="O1740" s="295"/>
      <c r="P1740" s="295"/>
      <c r="Q1740" s="295"/>
      <c r="R1740" s="295"/>
      <c r="S1740" s="295"/>
      <c r="T1740" s="295"/>
      <c r="U1740" s="295"/>
      <c r="V1740" s="295"/>
      <c r="W1740" s="295"/>
      <c r="X1740" s="295"/>
      <c r="Y1740" s="295"/>
      <c r="Z1740" s="295"/>
      <c r="AA1740" s="295"/>
    </row>
    <row r="1741">
      <c r="A1741" s="327"/>
      <c r="B1741" s="327"/>
      <c r="C1741" s="295"/>
      <c r="D1741" s="334"/>
      <c r="E1741" s="295"/>
      <c r="F1741" s="329"/>
      <c r="G1741" s="295"/>
      <c r="I1741" s="295"/>
      <c r="J1741" s="230"/>
      <c r="K1741" s="329"/>
      <c r="L1741" s="295"/>
      <c r="M1741" s="295"/>
      <c r="N1741" s="295"/>
      <c r="O1741" s="295"/>
      <c r="P1741" s="295"/>
      <c r="Q1741" s="295"/>
      <c r="R1741" s="295"/>
      <c r="S1741" s="295"/>
      <c r="T1741" s="295"/>
      <c r="U1741" s="295"/>
      <c r="V1741" s="295"/>
      <c r="W1741" s="295"/>
      <c r="X1741" s="295"/>
      <c r="Y1741" s="295"/>
      <c r="Z1741" s="295"/>
      <c r="AA1741" s="295"/>
    </row>
    <row r="1742">
      <c r="A1742" s="327"/>
      <c r="B1742" s="327"/>
      <c r="C1742" s="295"/>
      <c r="D1742" s="334"/>
      <c r="E1742" s="295"/>
      <c r="F1742" s="329"/>
      <c r="G1742" s="295"/>
      <c r="I1742" s="295"/>
      <c r="J1742" s="230"/>
      <c r="K1742" s="329"/>
      <c r="L1742" s="295"/>
      <c r="M1742" s="295"/>
      <c r="N1742" s="295"/>
      <c r="O1742" s="295"/>
      <c r="P1742" s="295"/>
      <c r="Q1742" s="295"/>
      <c r="R1742" s="295"/>
      <c r="S1742" s="295"/>
      <c r="T1742" s="295"/>
      <c r="U1742" s="295"/>
      <c r="V1742" s="295"/>
      <c r="W1742" s="295"/>
      <c r="X1742" s="295"/>
      <c r="Y1742" s="295"/>
      <c r="Z1742" s="295"/>
      <c r="AA1742" s="295"/>
    </row>
    <row r="1743">
      <c r="A1743" s="327"/>
      <c r="B1743" s="327"/>
      <c r="C1743" s="295"/>
      <c r="D1743" s="334"/>
      <c r="E1743" s="295"/>
      <c r="F1743" s="329"/>
      <c r="G1743" s="295"/>
      <c r="I1743" s="295"/>
      <c r="J1743" s="230"/>
      <c r="K1743" s="329"/>
      <c r="L1743" s="295"/>
      <c r="M1743" s="295"/>
      <c r="N1743" s="295"/>
      <c r="O1743" s="295"/>
      <c r="P1743" s="295"/>
      <c r="Q1743" s="295"/>
      <c r="R1743" s="295"/>
      <c r="S1743" s="295"/>
      <c r="T1743" s="295"/>
      <c r="U1743" s="295"/>
      <c r="V1743" s="295"/>
      <c r="W1743" s="295"/>
      <c r="X1743" s="295"/>
      <c r="Y1743" s="295"/>
      <c r="Z1743" s="295"/>
      <c r="AA1743" s="295"/>
    </row>
    <row r="1744">
      <c r="A1744" s="327"/>
      <c r="B1744" s="327"/>
      <c r="C1744" s="295"/>
      <c r="D1744" s="334"/>
      <c r="E1744" s="295"/>
      <c r="F1744" s="329"/>
      <c r="G1744" s="295"/>
      <c r="I1744" s="295"/>
      <c r="J1744" s="230"/>
      <c r="K1744" s="329"/>
      <c r="L1744" s="295"/>
      <c r="M1744" s="295"/>
      <c r="N1744" s="295"/>
      <c r="O1744" s="295"/>
      <c r="P1744" s="295"/>
      <c r="Q1744" s="295"/>
      <c r="R1744" s="295"/>
      <c r="S1744" s="295"/>
      <c r="T1744" s="295"/>
      <c r="U1744" s="295"/>
      <c r="V1744" s="295"/>
      <c r="W1744" s="295"/>
      <c r="X1744" s="295"/>
      <c r="Y1744" s="295"/>
      <c r="Z1744" s="295"/>
      <c r="AA1744" s="295"/>
    </row>
    <row r="1745">
      <c r="A1745" s="327"/>
      <c r="B1745" s="327"/>
      <c r="C1745" s="295"/>
      <c r="D1745" s="334"/>
      <c r="E1745" s="295"/>
      <c r="F1745" s="329"/>
      <c r="G1745" s="295"/>
      <c r="I1745" s="295"/>
      <c r="J1745" s="230"/>
      <c r="K1745" s="329"/>
      <c r="L1745" s="295"/>
      <c r="M1745" s="295"/>
      <c r="N1745" s="295"/>
      <c r="O1745" s="295"/>
      <c r="P1745" s="295"/>
      <c r="Q1745" s="295"/>
      <c r="R1745" s="295"/>
      <c r="S1745" s="295"/>
      <c r="T1745" s="295"/>
      <c r="U1745" s="295"/>
      <c r="V1745" s="295"/>
      <c r="W1745" s="295"/>
      <c r="X1745" s="295"/>
      <c r="Y1745" s="295"/>
      <c r="Z1745" s="295"/>
      <c r="AA1745" s="295"/>
    </row>
    <row r="1746">
      <c r="A1746" s="327"/>
      <c r="B1746" s="327"/>
      <c r="C1746" s="295"/>
      <c r="D1746" s="334"/>
      <c r="E1746" s="295"/>
      <c r="F1746" s="329"/>
      <c r="G1746" s="295"/>
      <c r="I1746" s="295"/>
      <c r="J1746" s="230"/>
      <c r="K1746" s="329"/>
      <c r="L1746" s="295"/>
      <c r="M1746" s="295"/>
      <c r="N1746" s="295"/>
      <c r="O1746" s="295"/>
      <c r="P1746" s="295"/>
      <c r="Q1746" s="295"/>
      <c r="R1746" s="295"/>
      <c r="S1746" s="295"/>
      <c r="T1746" s="295"/>
      <c r="U1746" s="295"/>
      <c r="V1746" s="295"/>
      <c r="W1746" s="295"/>
      <c r="X1746" s="295"/>
      <c r="Y1746" s="295"/>
      <c r="Z1746" s="295"/>
      <c r="AA1746" s="295"/>
    </row>
    <row r="1747">
      <c r="A1747" s="327"/>
      <c r="B1747" s="327"/>
      <c r="C1747" s="295"/>
      <c r="D1747" s="334"/>
      <c r="E1747" s="295"/>
      <c r="F1747" s="329"/>
      <c r="G1747" s="295"/>
      <c r="I1747" s="295"/>
      <c r="J1747" s="230"/>
      <c r="K1747" s="329"/>
      <c r="L1747" s="295"/>
      <c r="M1747" s="295"/>
      <c r="N1747" s="295"/>
      <c r="O1747" s="295"/>
      <c r="P1747" s="295"/>
      <c r="Q1747" s="295"/>
      <c r="R1747" s="295"/>
      <c r="S1747" s="295"/>
      <c r="T1747" s="295"/>
      <c r="U1747" s="295"/>
      <c r="V1747" s="295"/>
      <c r="W1747" s="295"/>
      <c r="X1747" s="295"/>
      <c r="Y1747" s="295"/>
      <c r="Z1747" s="295"/>
      <c r="AA1747" s="295"/>
    </row>
    <row r="1748">
      <c r="A1748" s="327"/>
      <c r="B1748" s="327"/>
      <c r="C1748" s="295"/>
      <c r="D1748" s="334"/>
      <c r="E1748" s="295"/>
      <c r="F1748" s="329"/>
      <c r="G1748" s="295"/>
      <c r="I1748" s="295"/>
      <c r="J1748" s="230"/>
      <c r="K1748" s="329"/>
      <c r="L1748" s="295"/>
      <c r="M1748" s="295"/>
      <c r="N1748" s="295"/>
      <c r="O1748" s="295"/>
      <c r="P1748" s="295"/>
      <c r="Q1748" s="295"/>
      <c r="R1748" s="295"/>
      <c r="S1748" s="295"/>
      <c r="T1748" s="295"/>
      <c r="U1748" s="295"/>
      <c r="V1748" s="295"/>
      <c r="W1748" s="295"/>
      <c r="X1748" s="295"/>
      <c r="Y1748" s="295"/>
      <c r="Z1748" s="295"/>
      <c r="AA1748" s="295"/>
    </row>
    <row r="1749">
      <c r="A1749" s="327"/>
      <c r="B1749" s="327"/>
      <c r="C1749" s="295"/>
      <c r="D1749" s="334"/>
      <c r="E1749" s="295"/>
      <c r="F1749" s="329"/>
      <c r="G1749" s="295"/>
      <c r="I1749" s="295"/>
      <c r="J1749" s="230"/>
      <c r="K1749" s="329"/>
      <c r="L1749" s="295"/>
      <c r="M1749" s="295"/>
      <c r="N1749" s="295"/>
      <c r="O1749" s="295"/>
      <c r="P1749" s="295"/>
      <c r="Q1749" s="295"/>
      <c r="R1749" s="295"/>
      <c r="S1749" s="295"/>
      <c r="T1749" s="295"/>
      <c r="U1749" s="295"/>
      <c r="V1749" s="295"/>
      <c r="W1749" s="295"/>
      <c r="X1749" s="295"/>
      <c r="Y1749" s="295"/>
      <c r="Z1749" s="295"/>
      <c r="AA1749" s="295"/>
    </row>
    <row r="1750">
      <c r="A1750" s="327"/>
      <c r="B1750" s="327"/>
      <c r="C1750" s="295"/>
      <c r="D1750" s="334"/>
      <c r="E1750" s="295"/>
      <c r="F1750" s="329"/>
      <c r="G1750" s="295"/>
      <c r="I1750" s="295"/>
      <c r="J1750" s="230"/>
      <c r="K1750" s="329"/>
      <c r="L1750" s="295"/>
      <c r="M1750" s="295"/>
      <c r="N1750" s="295"/>
      <c r="O1750" s="295"/>
      <c r="P1750" s="295"/>
      <c r="Q1750" s="295"/>
      <c r="R1750" s="295"/>
      <c r="S1750" s="295"/>
      <c r="T1750" s="295"/>
      <c r="U1750" s="295"/>
      <c r="V1750" s="295"/>
      <c r="W1750" s="295"/>
      <c r="X1750" s="295"/>
      <c r="Y1750" s="295"/>
      <c r="Z1750" s="295"/>
      <c r="AA1750" s="295"/>
    </row>
    <row r="1751">
      <c r="A1751" s="327"/>
      <c r="B1751" s="327"/>
      <c r="C1751" s="295"/>
      <c r="D1751" s="334"/>
      <c r="E1751" s="295"/>
      <c r="F1751" s="329"/>
      <c r="G1751" s="295"/>
      <c r="I1751" s="295"/>
      <c r="J1751" s="230"/>
      <c r="K1751" s="329"/>
      <c r="L1751" s="295"/>
      <c r="M1751" s="295"/>
      <c r="N1751" s="295"/>
      <c r="O1751" s="295"/>
      <c r="P1751" s="295"/>
      <c r="Q1751" s="295"/>
      <c r="R1751" s="295"/>
      <c r="S1751" s="295"/>
      <c r="T1751" s="295"/>
      <c r="U1751" s="295"/>
      <c r="V1751" s="295"/>
      <c r="W1751" s="295"/>
      <c r="X1751" s="295"/>
      <c r="Y1751" s="295"/>
      <c r="Z1751" s="295"/>
      <c r="AA1751" s="295"/>
    </row>
    <row r="1752">
      <c r="A1752" s="327"/>
      <c r="B1752" s="327"/>
      <c r="C1752" s="295"/>
      <c r="D1752" s="334"/>
      <c r="E1752" s="295"/>
      <c r="F1752" s="329"/>
      <c r="G1752" s="295"/>
      <c r="I1752" s="295"/>
      <c r="J1752" s="230"/>
      <c r="K1752" s="329"/>
      <c r="L1752" s="295"/>
      <c r="M1752" s="295"/>
      <c r="N1752" s="295"/>
      <c r="O1752" s="295"/>
      <c r="P1752" s="295"/>
      <c r="Q1752" s="295"/>
      <c r="R1752" s="295"/>
      <c r="S1752" s="295"/>
      <c r="T1752" s="295"/>
      <c r="U1752" s="295"/>
      <c r="V1752" s="295"/>
      <c r="W1752" s="295"/>
      <c r="X1752" s="295"/>
      <c r="Y1752" s="295"/>
      <c r="Z1752" s="295"/>
      <c r="AA1752" s="295"/>
    </row>
    <row r="1753">
      <c r="A1753" s="327"/>
      <c r="B1753" s="327"/>
      <c r="C1753" s="295"/>
      <c r="D1753" s="334"/>
      <c r="E1753" s="295"/>
      <c r="F1753" s="329"/>
      <c r="G1753" s="295"/>
      <c r="I1753" s="295"/>
      <c r="J1753" s="230"/>
      <c r="K1753" s="329"/>
      <c r="L1753" s="295"/>
      <c r="M1753" s="295"/>
      <c r="N1753" s="295"/>
      <c r="O1753" s="295"/>
      <c r="P1753" s="295"/>
      <c r="Q1753" s="295"/>
      <c r="R1753" s="295"/>
      <c r="S1753" s="295"/>
      <c r="T1753" s="295"/>
      <c r="U1753" s="295"/>
      <c r="V1753" s="295"/>
      <c r="W1753" s="295"/>
      <c r="X1753" s="295"/>
      <c r="Y1753" s="295"/>
      <c r="Z1753" s="295"/>
      <c r="AA1753" s="295"/>
    </row>
    <row r="1754">
      <c r="A1754" s="327"/>
      <c r="B1754" s="327"/>
      <c r="C1754" s="295"/>
      <c r="D1754" s="334"/>
      <c r="E1754" s="295"/>
      <c r="F1754" s="329"/>
      <c r="G1754" s="295"/>
      <c r="I1754" s="295"/>
      <c r="J1754" s="230"/>
      <c r="K1754" s="329"/>
      <c r="L1754" s="295"/>
      <c r="M1754" s="295"/>
      <c r="N1754" s="295"/>
      <c r="O1754" s="295"/>
      <c r="P1754" s="295"/>
      <c r="Q1754" s="295"/>
      <c r="R1754" s="295"/>
      <c r="S1754" s="295"/>
      <c r="T1754" s="295"/>
      <c r="U1754" s="295"/>
      <c r="V1754" s="295"/>
      <c r="W1754" s="295"/>
      <c r="X1754" s="295"/>
      <c r="Y1754" s="295"/>
      <c r="Z1754" s="295"/>
      <c r="AA1754" s="295"/>
    </row>
    <row r="1755">
      <c r="A1755" s="327"/>
      <c r="B1755" s="327"/>
      <c r="C1755" s="295"/>
      <c r="D1755" s="334"/>
      <c r="E1755" s="295"/>
      <c r="F1755" s="329"/>
      <c r="G1755" s="295"/>
      <c r="I1755" s="295"/>
      <c r="J1755" s="230"/>
      <c r="K1755" s="329"/>
      <c r="L1755" s="295"/>
      <c r="M1755" s="295"/>
      <c r="N1755" s="295"/>
      <c r="O1755" s="295"/>
      <c r="P1755" s="295"/>
      <c r="Q1755" s="295"/>
      <c r="R1755" s="295"/>
      <c r="S1755" s="295"/>
      <c r="T1755" s="295"/>
      <c r="U1755" s="295"/>
      <c r="V1755" s="295"/>
      <c r="W1755" s="295"/>
      <c r="X1755" s="295"/>
      <c r="Y1755" s="295"/>
      <c r="Z1755" s="295"/>
      <c r="AA1755" s="295"/>
    </row>
    <row r="1756">
      <c r="A1756" s="327"/>
      <c r="B1756" s="327"/>
      <c r="C1756" s="295"/>
      <c r="D1756" s="334"/>
      <c r="E1756" s="295"/>
      <c r="F1756" s="329"/>
      <c r="G1756" s="295"/>
      <c r="I1756" s="295"/>
      <c r="J1756" s="230"/>
      <c r="K1756" s="329"/>
      <c r="L1756" s="295"/>
      <c r="M1756" s="295"/>
      <c r="N1756" s="295"/>
      <c r="O1756" s="295"/>
      <c r="P1756" s="295"/>
      <c r="Q1756" s="295"/>
      <c r="R1756" s="295"/>
      <c r="S1756" s="295"/>
      <c r="T1756" s="295"/>
      <c r="U1756" s="295"/>
      <c r="V1756" s="295"/>
      <c r="W1756" s="295"/>
      <c r="X1756" s="295"/>
      <c r="Y1756" s="295"/>
      <c r="Z1756" s="295"/>
      <c r="AA1756" s="295"/>
    </row>
    <row r="1757">
      <c r="A1757" s="327"/>
      <c r="B1757" s="327"/>
      <c r="C1757" s="295"/>
      <c r="D1757" s="334"/>
      <c r="E1757" s="295"/>
      <c r="F1757" s="329"/>
      <c r="G1757" s="295"/>
      <c r="I1757" s="295"/>
      <c r="J1757" s="230"/>
      <c r="K1757" s="329"/>
      <c r="L1757" s="295"/>
      <c r="M1757" s="295"/>
      <c r="N1757" s="295"/>
      <c r="O1757" s="295"/>
      <c r="P1757" s="295"/>
      <c r="Q1757" s="295"/>
      <c r="R1757" s="295"/>
      <c r="S1757" s="295"/>
      <c r="T1757" s="295"/>
      <c r="U1757" s="295"/>
      <c r="V1757" s="295"/>
      <c r="W1757" s="295"/>
      <c r="X1757" s="295"/>
      <c r="Y1757" s="295"/>
      <c r="Z1757" s="295"/>
      <c r="AA1757" s="295"/>
    </row>
    <row r="1758">
      <c r="A1758" s="327"/>
      <c r="B1758" s="327"/>
      <c r="C1758" s="295"/>
      <c r="D1758" s="334"/>
      <c r="E1758" s="295"/>
      <c r="F1758" s="329"/>
      <c r="G1758" s="295"/>
      <c r="I1758" s="295"/>
      <c r="J1758" s="230"/>
      <c r="K1758" s="329"/>
      <c r="L1758" s="295"/>
      <c r="M1758" s="295"/>
      <c r="N1758" s="295"/>
      <c r="O1758" s="295"/>
      <c r="P1758" s="295"/>
      <c r="Q1758" s="295"/>
      <c r="R1758" s="295"/>
      <c r="S1758" s="295"/>
      <c r="T1758" s="295"/>
      <c r="U1758" s="295"/>
      <c r="V1758" s="295"/>
      <c r="W1758" s="295"/>
      <c r="X1758" s="295"/>
      <c r="Y1758" s="295"/>
      <c r="Z1758" s="295"/>
      <c r="AA1758" s="295"/>
    </row>
    <row r="1759">
      <c r="A1759" s="327"/>
      <c r="B1759" s="327"/>
      <c r="C1759" s="295"/>
      <c r="D1759" s="334"/>
      <c r="E1759" s="295"/>
      <c r="F1759" s="329"/>
      <c r="G1759" s="295"/>
      <c r="I1759" s="295"/>
      <c r="J1759" s="230"/>
      <c r="K1759" s="329"/>
      <c r="L1759" s="295"/>
      <c r="M1759" s="295"/>
      <c r="N1759" s="295"/>
      <c r="O1759" s="295"/>
      <c r="P1759" s="295"/>
      <c r="Q1759" s="295"/>
      <c r="R1759" s="295"/>
      <c r="S1759" s="295"/>
      <c r="T1759" s="295"/>
      <c r="U1759" s="295"/>
      <c r="V1759" s="295"/>
      <c r="W1759" s="295"/>
      <c r="X1759" s="295"/>
      <c r="Y1759" s="295"/>
      <c r="Z1759" s="295"/>
      <c r="AA1759" s="295"/>
    </row>
    <row r="1760">
      <c r="A1760" s="327"/>
      <c r="B1760" s="327"/>
      <c r="C1760" s="295"/>
      <c r="D1760" s="334"/>
      <c r="E1760" s="295"/>
      <c r="F1760" s="329"/>
      <c r="G1760" s="295"/>
      <c r="I1760" s="295"/>
      <c r="J1760" s="230"/>
      <c r="K1760" s="329"/>
      <c r="L1760" s="295"/>
      <c r="M1760" s="295"/>
      <c r="N1760" s="295"/>
      <c r="O1760" s="295"/>
      <c r="P1760" s="295"/>
      <c r="Q1760" s="295"/>
      <c r="R1760" s="295"/>
      <c r="S1760" s="295"/>
      <c r="T1760" s="295"/>
      <c r="U1760" s="295"/>
      <c r="V1760" s="295"/>
      <c r="W1760" s="295"/>
      <c r="X1760" s="295"/>
      <c r="Y1760" s="295"/>
      <c r="Z1760" s="295"/>
      <c r="AA1760" s="295"/>
    </row>
    <row r="1761">
      <c r="A1761" s="327"/>
      <c r="B1761" s="327"/>
      <c r="C1761" s="295"/>
      <c r="D1761" s="334"/>
      <c r="E1761" s="295"/>
      <c r="F1761" s="329"/>
      <c r="G1761" s="295"/>
      <c r="I1761" s="295"/>
      <c r="J1761" s="230"/>
      <c r="K1761" s="329"/>
      <c r="L1761" s="295"/>
      <c r="M1761" s="295"/>
      <c r="N1761" s="295"/>
      <c r="O1761" s="295"/>
      <c r="P1761" s="295"/>
      <c r="Q1761" s="295"/>
      <c r="R1761" s="295"/>
      <c r="S1761" s="295"/>
      <c r="T1761" s="295"/>
      <c r="U1761" s="295"/>
      <c r="V1761" s="295"/>
      <c r="W1761" s="295"/>
      <c r="X1761" s="295"/>
      <c r="Y1761" s="295"/>
      <c r="Z1761" s="295"/>
      <c r="AA1761" s="295"/>
    </row>
    <row r="1762">
      <c r="A1762" s="327"/>
      <c r="B1762" s="327"/>
      <c r="C1762" s="295"/>
      <c r="D1762" s="334"/>
      <c r="E1762" s="295"/>
      <c r="F1762" s="329"/>
      <c r="G1762" s="295"/>
      <c r="I1762" s="295"/>
      <c r="J1762" s="230"/>
      <c r="K1762" s="329"/>
      <c r="L1762" s="295"/>
      <c r="M1762" s="295"/>
      <c r="N1762" s="295"/>
      <c r="O1762" s="295"/>
      <c r="P1762" s="295"/>
      <c r="Q1762" s="295"/>
      <c r="R1762" s="295"/>
      <c r="S1762" s="295"/>
      <c r="T1762" s="295"/>
      <c r="U1762" s="295"/>
      <c r="V1762" s="295"/>
      <c r="W1762" s="295"/>
      <c r="X1762" s="295"/>
      <c r="Y1762" s="295"/>
      <c r="Z1762" s="295"/>
      <c r="AA1762" s="295"/>
    </row>
    <row r="1763">
      <c r="A1763" s="327"/>
      <c r="B1763" s="327"/>
      <c r="C1763" s="295"/>
      <c r="D1763" s="334"/>
      <c r="E1763" s="295"/>
      <c r="F1763" s="329"/>
      <c r="G1763" s="295"/>
      <c r="I1763" s="295"/>
      <c r="J1763" s="230"/>
      <c r="K1763" s="329"/>
      <c r="L1763" s="295"/>
      <c r="M1763" s="295"/>
      <c r="N1763" s="295"/>
      <c r="O1763" s="295"/>
      <c r="P1763" s="295"/>
      <c r="Q1763" s="295"/>
      <c r="R1763" s="295"/>
      <c r="S1763" s="295"/>
      <c r="T1763" s="295"/>
      <c r="U1763" s="295"/>
      <c r="V1763" s="295"/>
      <c r="W1763" s="295"/>
      <c r="X1763" s="295"/>
      <c r="Y1763" s="295"/>
      <c r="Z1763" s="295"/>
      <c r="AA1763" s="295"/>
    </row>
    <row r="1764">
      <c r="A1764" s="327"/>
      <c r="B1764" s="327"/>
      <c r="C1764" s="295"/>
      <c r="D1764" s="334"/>
      <c r="E1764" s="295"/>
      <c r="F1764" s="329"/>
      <c r="G1764" s="295"/>
      <c r="I1764" s="295"/>
      <c r="J1764" s="230"/>
      <c r="K1764" s="329"/>
      <c r="L1764" s="295"/>
      <c r="M1764" s="295"/>
      <c r="N1764" s="295"/>
      <c r="O1764" s="295"/>
      <c r="P1764" s="295"/>
      <c r="Q1764" s="295"/>
      <c r="R1764" s="295"/>
      <c r="S1764" s="295"/>
      <c r="T1764" s="295"/>
      <c r="U1764" s="295"/>
      <c r="V1764" s="295"/>
      <c r="W1764" s="295"/>
      <c r="X1764" s="295"/>
      <c r="Y1764" s="295"/>
      <c r="Z1764" s="295"/>
      <c r="AA1764" s="295"/>
    </row>
    <row r="1765">
      <c r="A1765" s="327"/>
      <c r="B1765" s="327"/>
      <c r="C1765" s="295"/>
      <c r="D1765" s="334"/>
      <c r="E1765" s="295"/>
      <c r="F1765" s="329"/>
      <c r="G1765" s="295"/>
      <c r="I1765" s="295"/>
      <c r="J1765" s="230"/>
      <c r="K1765" s="329"/>
      <c r="L1765" s="295"/>
      <c r="M1765" s="295"/>
      <c r="N1765" s="295"/>
      <c r="O1765" s="295"/>
      <c r="P1765" s="295"/>
      <c r="Q1765" s="295"/>
      <c r="R1765" s="295"/>
      <c r="S1765" s="295"/>
      <c r="T1765" s="295"/>
      <c r="U1765" s="295"/>
      <c r="V1765" s="295"/>
      <c r="W1765" s="295"/>
      <c r="X1765" s="295"/>
      <c r="Y1765" s="295"/>
      <c r="Z1765" s="295"/>
      <c r="AA1765" s="295"/>
    </row>
    <row r="1766">
      <c r="A1766" s="327"/>
      <c r="B1766" s="327"/>
      <c r="C1766" s="295"/>
      <c r="D1766" s="334"/>
      <c r="E1766" s="295"/>
      <c r="F1766" s="329"/>
      <c r="G1766" s="295"/>
      <c r="I1766" s="295"/>
      <c r="J1766" s="230"/>
      <c r="K1766" s="329"/>
      <c r="L1766" s="295"/>
      <c r="M1766" s="295"/>
      <c r="N1766" s="295"/>
      <c r="O1766" s="295"/>
      <c r="P1766" s="295"/>
      <c r="Q1766" s="295"/>
      <c r="R1766" s="295"/>
      <c r="S1766" s="295"/>
      <c r="T1766" s="295"/>
      <c r="U1766" s="295"/>
      <c r="V1766" s="295"/>
      <c r="W1766" s="295"/>
      <c r="X1766" s="295"/>
      <c r="Y1766" s="295"/>
      <c r="Z1766" s="295"/>
      <c r="AA1766" s="295"/>
    </row>
    <row r="1767">
      <c r="A1767" s="327"/>
      <c r="B1767" s="327"/>
      <c r="C1767" s="295"/>
      <c r="D1767" s="334"/>
      <c r="E1767" s="295"/>
      <c r="F1767" s="329"/>
      <c r="G1767" s="295"/>
      <c r="I1767" s="295"/>
      <c r="J1767" s="230"/>
      <c r="K1767" s="329"/>
      <c r="L1767" s="295"/>
      <c r="M1767" s="295"/>
      <c r="N1767" s="295"/>
      <c r="O1767" s="295"/>
      <c r="P1767" s="295"/>
      <c r="Q1767" s="295"/>
      <c r="R1767" s="295"/>
      <c r="S1767" s="295"/>
      <c r="T1767" s="295"/>
      <c r="U1767" s="295"/>
      <c r="V1767" s="295"/>
      <c r="W1767" s="295"/>
      <c r="X1767" s="295"/>
      <c r="Y1767" s="295"/>
      <c r="Z1767" s="295"/>
      <c r="AA1767" s="295"/>
    </row>
    <row r="1768">
      <c r="A1768" s="327"/>
      <c r="B1768" s="327"/>
      <c r="C1768" s="295"/>
      <c r="D1768" s="334"/>
      <c r="E1768" s="295"/>
      <c r="F1768" s="329"/>
      <c r="G1768" s="295"/>
      <c r="I1768" s="295"/>
      <c r="J1768" s="230"/>
      <c r="K1768" s="329"/>
      <c r="L1768" s="295"/>
      <c r="M1768" s="295"/>
      <c r="N1768" s="295"/>
      <c r="O1768" s="295"/>
      <c r="P1768" s="295"/>
      <c r="Q1768" s="295"/>
      <c r="R1768" s="295"/>
      <c r="S1768" s="295"/>
      <c r="T1768" s="295"/>
      <c r="U1768" s="295"/>
      <c r="V1768" s="295"/>
      <c r="W1768" s="295"/>
      <c r="X1768" s="295"/>
      <c r="Y1768" s="295"/>
      <c r="Z1768" s="295"/>
      <c r="AA1768" s="295"/>
    </row>
    <row r="1769">
      <c r="A1769" s="327"/>
      <c r="B1769" s="327"/>
      <c r="C1769" s="295"/>
      <c r="D1769" s="334"/>
      <c r="E1769" s="295"/>
      <c r="F1769" s="329"/>
      <c r="G1769" s="295"/>
      <c r="I1769" s="295"/>
      <c r="J1769" s="230"/>
      <c r="K1769" s="329"/>
      <c r="L1769" s="295"/>
      <c r="M1769" s="295"/>
      <c r="N1769" s="295"/>
      <c r="O1769" s="295"/>
      <c r="P1769" s="295"/>
      <c r="Q1769" s="295"/>
      <c r="R1769" s="295"/>
      <c r="S1769" s="295"/>
      <c r="T1769" s="295"/>
      <c r="U1769" s="295"/>
      <c r="V1769" s="295"/>
      <c r="W1769" s="295"/>
      <c r="X1769" s="295"/>
      <c r="Y1769" s="295"/>
      <c r="Z1769" s="295"/>
      <c r="AA1769" s="295"/>
    </row>
    <row r="1770">
      <c r="A1770" s="327"/>
      <c r="B1770" s="327"/>
      <c r="C1770" s="295"/>
      <c r="D1770" s="334"/>
      <c r="E1770" s="295"/>
      <c r="F1770" s="329"/>
      <c r="G1770" s="295"/>
      <c r="I1770" s="295"/>
      <c r="J1770" s="230"/>
      <c r="K1770" s="329"/>
      <c r="L1770" s="295"/>
      <c r="M1770" s="295"/>
      <c r="N1770" s="295"/>
      <c r="O1770" s="295"/>
      <c r="P1770" s="295"/>
      <c r="Q1770" s="295"/>
      <c r="R1770" s="295"/>
      <c r="S1770" s="295"/>
      <c r="T1770" s="295"/>
      <c r="U1770" s="295"/>
      <c r="V1770" s="295"/>
      <c r="W1770" s="295"/>
      <c r="X1770" s="295"/>
      <c r="Y1770" s="295"/>
      <c r="Z1770" s="295"/>
      <c r="AA1770" s="295"/>
    </row>
    <row r="1771">
      <c r="A1771" s="327"/>
      <c r="B1771" s="327"/>
      <c r="C1771" s="295"/>
      <c r="D1771" s="334"/>
      <c r="E1771" s="295"/>
      <c r="F1771" s="329"/>
      <c r="G1771" s="295"/>
      <c r="I1771" s="295"/>
      <c r="J1771" s="230"/>
      <c r="K1771" s="329"/>
      <c r="L1771" s="295"/>
      <c r="M1771" s="295"/>
      <c r="N1771" s="295"/>
      <c r="O1771" s="295"/>
      <c r="P1771" s="295"/>
      <c r="Q1771" s="295"/>
      <c r="R1771" s="295"/>
      <c r="S1771" s="295"/>
      <c r="T1771" s="295"/>
      <c r="U1771" s="295"/>
      <c r="V1771" s="295"/>
      <c r="W1771" s="295"/>
      <c r="X1771" s="295"/>
      <c r="Y1771" s="295"/>
      <c r="Z1771" s="295"/>
      <c r="AA1771" s="295"/>
    </row>
    <row r="1772">
      <c r="A1772" s="327"/>
      <c r="B1772" s="327"/>
      <c r="C1772" s="295"/>
      <c r="D1772" s="334"/>
      <c r="E1772" s="295"/>
      <c r="F1772" s="329"/>
      <c r="G1772" s="295"/>
      <c r="I1772" s="295"/>
      <c r="J1772" s="230"/>
      <c r="K1772" s="329"/>
      <c r="L1772" s="295"/>
      <c r="M1772" s="295"/>
      <c r="N1772" s="295"/>
      <c r="O1772" s="295"/>
      <c r="P1772" s="295"/>
      <c r="Q1772" s="295"/>
      <c r="R1772" s="295"/>
      <c r="S1772" s="295"/>
      <c r="T1772" s="295"/>
      <c r="U1772" s="295"/>
      <c r="V1772" s="295"/>
      <c r="W1772" s="295"/>
      <c r="X1772" s="295"/>
      <c r="Y1772" s="295"/>
      <c r="Z1772" s="295"/>
      <c r="AA1772" s="295"/>
    </row>
    <row r="1773">
      <c r="A1773" s="327"/>
      <c r="B1773" s="327"/>
      <c r="C1773" s="295"/>
      <c r="D1773" s="334"/>
      <c r="E1773" s="295"/>
      <c r="F1773" s="329"/>
      <c r="G1773" s="295"/>
      <c r="I1773" s="295"/>
      <c r="J1773" s="230"/>
      <c r="K1773" s="329"/>
      <c r="L1773" s="295"/>
      <c r="M1773" s="295"/>
      <c r="N1773" s="295"/>
      <c r="O1773" s="295"/>
      <c r="P1773" s="295"/>
      <c r="Q1773" s="295"/>
      <c r="R1773" s="295"/>
      <c r="S1773" s="295"/>
      <c r="T1773" s="295"/>
      <c r="U1773" s="295"/>
      <c r="V1773" s="295"/>
      <c r="W1773" s="295"/>
      <c r="X1773" s="295"/>
      <c r="Y1773" s="295"/>
      <c r="Z1773" s="295"/>
      <c r="AA1773" s="295"/>
    </row>
    <row r="1774">
      <c r="A1774" s="327"/>
      <c r="B1774" s="327"/>
      <c r="C1774" s="295"/>
      <c r="D1774" s="334"/>
      <c r="E1774" s="295"/>
      <c r="F1774" s="329"/>
      <c r="G1774" s="295"/>
      <c r="I1774" s="295"/>
      <c r="J1774" s="230"/>
      <c r="K1774" s="329"/>
      <c r="L1774" s="295"/>
      <c r="M1774" s="295"/>
      <c r="N1774" s="295"/>
      <c r="O1774" s="295"/>
      <c r="P1774" s="295"/>
      <c r="Q1774" s="295"/>
      <c r="R1774" s="295"/>
      <c r="S1774" s="295"/>
      <c r="T1774" s="295"/>
      <c r="U1774" s="295"/>
      <c r="V1774" s="295"/>
      <c r="W1774" s="295"/>
      <c r="X1774" s="295"/>
      <c r="Y1774" s="295"/>
      <c r="Z1774" s="295"/>
      <c r="AA1774" s="295"/>
    </row>
    <row r="1775">
      <c r="A1775" s="327"/>
      <c r="B1775" s="327"/>
      <c r="C1775" s="295"/>
      <c r="D1775" s="334"/>
      <c r="E1775" s="295"/>
      <c r="F1775" s="329"/>
      <c r="G1775" s="295"/>
      <c r="I1775" s="295"/>
      <c r="J1775" s="230"/>
      <c r="K1775" s="329"/>
      <c r="L1775" s="295"/>
      <c r="M1775" s="295"/>
      <c r="N1775" s="295"/>
      <c r="O1775" s="295"/>
      <c r="P1775" s="295"/>
      <c r="Q1775" s="295"/>
      <c r="R1775" s="295"/>
      <c r="S1775" s="295"/>
      <c r="T1775" s="295"/>
      <c r="U1775" s="295"/>
      <c r="V1775" s="295"/>
      <c r="W1775" s="295"/>
      <c r="X1775" s="295"/>
      <c r="Y1775" s="295"/>
      <c r="Z1775" s="295"/>
      <c r="AA1775" s="295"/>
    </row>
    <row r="1776">
      <c r="A1776" s="327"/>
      <c r="B1776" s="327"/>
      <c r="C1776" s="295"/>
      <c r="D1776" s="334"/>
      <c r="E1776" s="295"/>
      <c r="F1776" s="329"/>
      <c r="G1776" s="295"/>
      <c r="I1776" s="295"/>
      <c r="J1776" s="230"/>
      <c r="K1776" s="329"/>
      <c r="L1776" s="295"/>
      <c r="M1776" s="295"/>
      <c r="N1776" s="295"/>
      <c r="O1776" s="295"/>
      <c r="P1776" s="295"/>
      <c r="Q1776" s="295"/>
      <c r="R1776" s="295"/>
      <c r="S1776" s="295"/>
      <c r="T1776" s="295"/>
      <c r="U1776" s="295"/>
      <c r="V1776" s="295"/>
      <c r="W1776" s="295"/>
      <c r="X1776" s="295"/>
      <c r="Y1776" s="295"/>
      <c r="Z1776" s="295"/>
      <c r="AA1776" s="295"/>
    </row>
    <row r="1777">
      <c r="A1777" s="327"/>
      <c r="B1777" s="327"/>
      <c r="C1777" s="295"/>
      <c r="D1777" s="334"/>
      <c r="E1777" s="295"/>
      <c r="F1777" s="329"/>
      <c r="G1777" s="295"/>
      <c r="I1777" s="295"/>
      <c r="J1777" s="230"/>
      <c r="K1777" s="329"/>
      <c r="L1777" s="295"/>
      <c r="M1777" s="295"/>
      <c r="N1777" s="295"/>
      <c r="O1777" s="295"/>
      <c r="P1777" s="295"/>
      <c r="Q1777" s="295"/>
      <c r="R1777" s="295"/>
      <c r="S1777" s="295"/>
      <c r="T1777" s="295"/>
      <c r="U1777" s="295"/>
      <c r="V1777" s="295"/>
      <c r="W1777" s="295"/>
      <c r="X1777" s="295"/>
      <c r="Y1777" s="295"/>
      <c r="Z1777" s="295"/>
      <c r="AA1777" s="295"/>
    </row>
    <row r="1778">
      <c r="A1778" s="327"/>
      <c r="B1778" s="327"/>
      <c r="C1778" s="295"/>
      <c r="D1778" s="334"/>
      <c r="E1778" s="295"/>
      <c r="F1778" s="329"/>
      <c r="G1778" s="295"/>
      <c r="I1778" s="295"/>
      <c r="J1778" s="230"/>
      <c r="K1778" s="329"/>
      <c r="L1778" s="295"/>
      <c r="M1778" s="295"/>
      <c r="N1778" s="295"/>
      <c r="O1778" s="295"/>
      <c r="P1778" s="295"/>
      <c r="Q1778" s="295"/>
      <c r="R1778" s="295"/>
      <c r="S1778" s="295"/>
      <c r="T1778" s="295"/>
      <c r="U1778" s="295"/>
      <c r="V1778" s="295"/>
      <c r="W1778" s="295"/>
      <c r="X1778" s="295"/>
      <c r="Y1778" s="295"/>
      <c r="Z1778" s="295"/>
      <c r="AA1778" s="295"/>
    </row>
    <row r="1779">
      <c r="A1779" s="327"/>
      <c r="B1779" s="327"/>
      <c r="C1779" s="295"/>
      <c r="D1779" s="334"/>
      <c r="E1779" s="295"/>
      <c r="F1779" s="329"/>
      <c r="G1779" s="295"/>
      <c r="I1779" s="295"/>
      <c r="J1779" s="230"/>
      <c r="K1779" s="329"/>
      <c r="L1779" s="295"/>
      <c r="M1779" s="295"/>
      <c r="N1779" s="295"/>
      <c r="O1779" s="295"/>
      <c r="P1779" s="295"/>
      <c r="Q1779" s="295"/>
      <c r="R1779" s="295"/>
      <c r="S1779" s="295"/>
      <c r="T1779" s="295"/>
      <c r="U1779" s="295"/>
      <c r="V1779" s="295"/>
      <c r="W1779" s="295"/>
      <c r="X1779" s="295"/>
      <c r="Y1779" s="295"/>
      <c r="Z1779" s="295"/>
      <c r="AA1779" s="295"/>
    </row>
    <row r="1780">
      <c r="A1780" s="327"/>
      <c r="B1780" s="327"/>
      <c r="C1780" s="295"/>
      <c r="D1780" s="334"/>
      <c r="E1780" s="295"/>
      <c r="F1780" s="329"/>
      <c r="G1780" s="295"/>
      <c r="I1780" s="295"/>
      <c r="J1780" s="230"/>
      <c r="K1780" s="329"/>
      <c r="L1780" s="295"/>
      <c r="M1780" s="295"/>
      <c r="N1780" s="295"/>
      <c r="O1780" s="295"/>
      <c r="P1780" s="295"/>
      <c r="Q1780" s="295"/>
      <c r="R1780" s="295"/>
      <c r="S1780" s="295"/>
      <c r="T1780" s="295"/>
      <c r="U1780" s="295"/>
      <c r="V1780" s="295"/>
      <c r="W1780" s="295"/>
      <c r="X1780" s="295"/>
      <c r="Y1780" s="295"/>
      <c r="Z1780" s="295"/>
      <c r="AA1780" s="295"/>
    </row>
    <row r="1781">
      <c r="A1781" s="327"/>
      <c r="B1781" s="327"/>
      <c r="C1781" s="295"/>
      <c r="D1781" s="334"/>
      <c r="E1781" s="295"/>
      <c r="F1781" s="329"/>
      <c r="G1781" s="295"/>
      <c r="I1781" s="295"/>
      <c r="J1781" s="230"/>
      <c r="K1781" s="329"/>
      <c r="L1781" s="295"/>
      <c r="M1781" s="295"/>
      <c r="N1781" s="295"/>
      <c r="O1781" s="295"/>
      <c r="P1781" s="295"/>
      <c r="Q1781" s="295"/>
      <c r="R1781" s="295"/>
      <c r="S1781" s="295"/>
      <c r="T1781" s="295"/>
      <c r="U1781" s="295"/>
      <c r="V1781" s="295"/>
      <c r="W1781" s="295"/>
      <c r="X1781" s="295"/>
      <c r="Y1781" s="295"/>
      <c r="Z1781" s="295"/>
      <c r="AA1781" s="295"/>
    </row>
    <row r="1782">
      <c r="A1782" s="327"/>
      <c r="B1782" s="327"/>
      <c r="C1782" s="295"/>
      <c r="D1782" s="334"/>
      <c r="E1782" s="295"/>
      <c r="F1782" s="329"/>
      <c r="G1782" s="295"/>
      <c r="I1782" s="295"/>
      <c r="J1782" s="230"/>
      <c r="K1782" s="329"/>
      <c r="L1782" s="295"/>
      <c r="M1782" s="295"/>
      <c r="N1782" s="295"/>
      <c r="O1782" s="295"/>
      <c r="P1782" s="295"/>
      <c r="Q1782" s="295"/>
      <c r="R1782" s="295"/>
      <c r="S1782" s="295"/>
      <c r="T1782" s="295"/>
      <c r="U1782" s="295"/>
      <c r="V1782" s="295"/>
      <c r="W1782" s="295"/>
      <c r="X1782" s="295"/>
      <c r="Y1782" s="295"/>
      <c r="Z1782" s="295"/>
      <c r="AA1782" s="295"/>
    </row>
    <row r="1783">
      <c r="A1783" s="327"/>
      <c r="B1783" s="327"/>
      <c r="C1783" s="295"/>
      <c r="D1783" s="334"/>
      <c r="E1783" s="295"/>
      <c r="F1783" s="329"/>
      <c r="G1783" s="295"/>
      <c r="I1783" s="295"/>
      <c r="J1783" s="230"/>
      <c r="K1783" s="329"/>
      <c r="L1783" s="295"/>
      <c r="M1783" s="295"/>
      <c r="N1783" s="295"/>
      <c r="O1783" s="295"/>
      <c r="P1783" s="295"/>
      <c r="Q1783" s="295"/>
      <c r="R1783" s="295"/>
      <c r="S1783" s="295"/>
      <c r="T1783" s="295"/>
      <c r="U1783" s="295"/>
      <c r="V1783" s="295"/>
      <c r="W1783" s="295"/>
      <c r="X1783" s="295"/>
      <c r="Y1783" s="295"/>
      <c r="Z1783" s="295"/>
      <c r="AA1783" s="295"/>
    </row>
    <row r="1784">
      <c r="A1784" s="327"/>
      <c r="B1784" s="327"/>
      <c r="C1784" s="295"/>
      <c r="D1784" s="334"/>
      <c r="E1784" s="295"/>
      <c r="F1784" s="329"/>
      <c r="G1784" s="295"/>
      <c r="I1784" s="295"/>
      <c r="J1784" s="230"/>
      <c r="K1784" s="329"/>
      <c r="L1784" s="295"/>
      <c r="M1784" s="295"/>
      <c r="N1784" s="295"/>
      <c r="O1784" s="295"/>
      <c r="P1784" s="295"/>
      <c r="Q1784" s="295"/>
      <c r="R1784" s="295"/>
      <c r="S1784" s="295"/>
      <c r="T1784" s="295"/>
      <c r="U1784" s="295"/>
      <c r="V1784" s="295"/>
      <c r="W1784" s="295"/>
      <c r="X1784" s="295"/>
      <c r="Y1784" s="295"/>
      <c r="Z1784" s="295"/>
      <c r="AA1784" s="295"/>
    </row>
    <row r="1785">
      <c r="A1785" s="327"/>
      <c r="B1785" s="327"/>
      <c r="C1785" s="295"/>
      <c r="D1785" s="334"/>
      <c r="E1785" s="295"/>
      <c r="F1785" s="329"/>
      <c r="G1785" s="295"/>
      <c r="I1785" s="295"/>
      <c r="J1785" s="230"/>
      <c r="K1785" s="329"/>
      <c r="L1785" s="295"/>
      <c r="M1785" s="295"/>
      <c r="N1785" s="295"/>
      <c r="O1785" s="295"/>
      <c r="P1785" s="295"/>
      <c r="Q1785" s="295"/>
      <c r="R1785" s="295"/>
      <c r="S1785" s="295"/>
      <c r="T1785" s="295"/>
      <c r="U1785" s="295"/>
      <c r="V1785" s="295"/>
      <c r="W1785" s="295"/>
      <c r="X1785" s="295"/>
      <c r="Y1785" s="295"/>
      <c r="Z1785" s="295"/>
      <c r="AA1785" s="295"/>
    </row>
    <row r="1786">
      <c r="A1786" s="327"/>
      <c r="B1786" s="327"/>
      <c r="C1786" s="295"/>
      <c r="D1786" s="334"/>
      <c r="E1786" s="295"/>
      <c r="F1786" s="329"/>
      <c r="G1786" s="295"/>
      <c r="I1786" s="295"/>
      <c r="J1786" s="230"/>
      <c r="K1786" s="329"/>
      <c r="L1786" s="295"/>
      <c r="M1786" s="295"/>
      <c r="N1786" s="295"/>
      <c r="O1786" s="295"/>
      <c r="P1786" s="295"/>
      <c r="Q1786" s="295"/>
      <c r="R1786" s="295"/>
      <c r="S1786" s="295"/>
      <c r="T1786" s="295"/>
      <c r="U1786" s="295"/>
      <c r="V1786" s="295"/>
      <c r="W1786" s="295"/>
      <c r="X1786" s="295"/>
      <c r="Y1786" s="295"/>
      <c r="Z1786" s="295"/>
      <c r="AA1786" s="295"/>
    </row>
    <row r="1787">
      <c r="A1787" s="327"/>
      <c r="B1787" s="327"/>
      <c r="C1787" s="295"/>
      <c r="D1787" s="334"/>
      <c r="E1787" s="295"/>
      <c r="F1787" s="329"/>
      <c r="G1787" s="295"/>
      <c r="I1787" s="295"/>
      <c r="J1787" s="230"/>
      <c r="K1787" s="329"/>
      <c r="L1787" s="295"/>
      <c r="M1787" s="295"/>
      <c r="N1787" s="295"/>
      <c r="O1787" s="295"/>
      <c r="P1787" s="295"/>
      <c r="Q1787" s="295"/>
      <c r="R1787" s="295"/>
      <c r="S1787" s="295"/>
      <c r="T1787" s="295"/>
      <c r="U1787" s="295"/>
      <c r="V1787" s="295"/>
      <c r="W1787" s="295"/>
      <c r="X1787" s="295"/>
      <c r="Y1787" s="295"/>
      <c r="Z1787" s="295"/>
      <c r="AA1787" s="295"/>
    </row>
    <row r="1788">
      <c r="A1788" s="327"/>
      <c r="B1788" s="327"/>
      <c r="C1788" s="295"/>
      <c r="D1788" s="334"/>
      <c r="E1788" s="295"/>
      <c r="F1788" s="329"/>
      <c r="G1788" s="295"/>
      <c r="I1788" s="295"/>
      <c r="J1788" s="230"/>
      <c r="K1788" s="329"/>
      <c r="L1788" s="295"/>
      <c r="M1788" s="295"/>
      <c r="N1788" s="295"/>
      <c r="O1788" s="295"/>
      <c r="P1788" s="295"/>
      <c r="Q1788" s="295"/>
      <c r="R1788" s="295"/>
      <c r="S1788" s="295"/>
      <c r="T1788" s="295"/>
      <c r="U1788" s="295"/>
      <c r="V1788" s="295"/>
      <c r="W1788" s="295"/>
      <c r="X1788" s="295"/>
      <c r="Y1788" s="295"/>
      <c r="Z1788" s="295"/>
      <c r="AA1788" s="295"/>
    </row>
    <row r="1789">
      <c r="A1789" s="327"/>
      <c r="B1789" s="327"/>
      <c r="C1789" s="295"/>
      <c r="D1789" s="334"/>
      <c r="E1789" s="295"/>
      <c r="F1789" s="329"/>
      <c r="G1789" s="295"/>
      <c r="I1789" s="295"/>
      <c r="J1789" s="230"/>
      <c r="K1789" s="329"/>
      <c r="L1789" s="295"/>
      <c r="M1789" s="295"/>
      <c r="N1789" s="295"/>
      <c r="O1789" s="295"/>
      <c r="P1789" s="295"/>
      <c r="Q1789" s="295"/>
      <c r="R1789" s="295"/>
      <c r="S1789" s="295"/>
      <c r="T1789" s="295"/>
      <c r="U1789" s="295"/>
      <c r="V1789" s="295"/>
      <c r="W1789" s="295"/>
      <c r="X1789" s="295"/>
      <c r="Y1789" s="295"/>
      <c r="Z1789" s="295"/>
      <c r="AA1789" s="295"/>
    </row>
    <row r="1790">
      <c r="A1790" s="327"/>
      <c r="B1790" s="327"/>
      <c r="C1790" s="295"/>
      <c r="D1790" s="334"/>
      <c r="E1790" s="295"/>
      <c r="F1790" s="329"/>
      <c r="G1790" s="295"/>
      <c r="I1790" s="295"/>
      <c r="J1790" s="230"/>
      <c r="K1790" s="329"/>
      <c r="L1790" s="295"/>
      <c r="M1790" s="295"/>
      <c r="N1790" s="295"/>
      <c r="O1790" s="295"/>
      <c r="P1790" s="295"/>
      <c r="Q1790" s="295"/>
      <c r="R1790" s="295"/>
      <c r="S1790" s="295"/>
      <c r="T1790" s="295"/>
      <c r="U1790" s="295"/>
      <c r="V1790" s="295"/>
      <c r="W1790" s="295"/>
      <c r="X1790" s="295"/>
      <c r="Y1790" s="295"/>
      <c r="Z1790" s="295"/>
      <c r="AA1790" s="295"/>
    </row>
    <row r="1791">
      <c r="A1791" s="327"/>
      <c r="B1791" s="327"/>
      <c r="C1791" s="295"/>
      <c r="D1791" s="334"/>
      <c r="E1791" s="295"/>
      <c r="F1791" s="329"/>
      <c r="G1791" s="295"/>
      <c r="I1791" s="295"/>
      <c r="J1791" s="230"/>
      <c r="K1791" s="329"/>
      <c r="L1791" s="295"/>
      <c r="M1791" s="295"/>
      <c r="N1791" s="295"/>
      <c r="O1791" s="295"/>
      <c r="P1791" s="295"/>
      <c r="Q1791" s="295"/>
      <c r="R1791" s="295"/>
      <c r="S1791" s="295"/>
      <c r="T1791" s="295"/>
      <c r="U1791" s="295"/>
      <c r="V1791" s="295"/>
      <c r="W1791" s="295"/>
      <c r="X1791" s="295"/>
      <c r="Y1791" s="295"/>
      <c r="Z1791" s="295"/>
      <c r="AA1791" s="295"/>
    </row>
    <row r="1792">
      <c r="A1792" s="327"/>
      <c r="B1792" s="327"/>
      <c r="C1792" s="295"/>
      <c r="D1792" s="334"/>
      <c r="E1792" s="295"/>
      <c r="F1792" s="329"/>
      <c r="G1792" s="295"/>
      <c r="I1792" s="295"/>
      <c r="J1792" s="230"/>
      <c r="K1792" s="329"/>
      <c r="L1792" s="295"/>
      <c r="M1792" s="295"/>
      <c r="N1792" s="295"/>
      <c r="O1792" s="295"/>
      <c r="P1792" s="295"/>
      <c r="Q1792" s="295"/>
      <c r="R1792" s="295"/>
      <c r="S1792" s="295"/>
      <c r="T1792" s="295"/>
      <c r="U1792" s="295"/>
      <c r="V1792" s="295"/>
      <c r="W1792" s="295"/>
      <c r="X1792" s="295"/>
      <c r="Y1792" s="295"/>
      <c r="Z1792" s="295"/>
      <c r="AA1792" s="295"/>
    </row>
    <row r="1793">
      <c r="A1793" s="327"/>
      <c r="B1793" s="327"/>
      <c r="C1793" s="295"/>
      <c r="D1793" s="334"/>
      <c r="E1793" s="295"/>
      <c r="F1793" s="329"/>
      <c r="G1793" s="295"/>
      <c r="I1793" s="295"/>
      <c r="J1793" s="230"/>
      <c r="K1793" s="329"/>
      <c r="L1793" s="295"/>
      <c r="M1793" s="295"/>
      <c r="N1793" s="295"/>
      <c r="O1793" s="295"/>
      <c r="P1793" s="295"/>
      <c r="Q1793" s="295"/>
      <c r="R1793" s="295"/>
      <c r="S1793" s="295"/>
      <c r="T1793" s="295"/>
      <c r="U1793" s="295"/>
      <c r="V1793" s="295"/>
      <c r="W1793" s="295"/>
      <c r="X1793" s="295"/>
      <c r="Y1793" s="295"/>
      <c r="Z1793" s="295"/>
      <c r="AA1793" s="295"/>
    </row>
    <row r="1794">
      <c r="A1794" s="327"/>
      <c r="B1794" s="327"/>
      <c r="C1794" s="295"/>
      <c r="D1794" s="334"/>
      <c r="E1794" s="295"/>
      <c r="F1794" s="329"/>
      <c r="G1794" s="295"/>
      <c r="I1794" s="295"/>
      <c r="J1794" s="230"/>
      <c r="K1794" s="329"/>
      <c r="L1794" s="295"/>
      <c r="M1794" s="295"/>
      <c r="N1794" s="295"/>
      <c r="O1794" s="295"/>
      <c r="P1794" s="295"/>
      <c r="Q1794" s="295"/>
      <c r="R1794" s="295"/>
      <c r="S1794" s="295"/>
      <c r="T1794" s="295"/>
      <c r="U1794" s="295"/>
      <c r="V1794" s="295"/>
      <c r="W1794" s="295"/>
      <c r="X1794" s="295"/>
      <c r="Y1794" s="295"/>
      <c r="Z1794" s="295"/>
      <c r="AA1794" s="295"/>
    </row>
    <row r="1795">
      <c r="A1795" s="327"/>
      <c r="B1795" s="327"/>
      <c r="C1795" s="295"/>
      <c r="D1795" s="334"/>
      <c r="E1795" s="295"/>
      <c r="F1795" s="329"/>
      <c r="G1795" s="295"/>
      <c r="I1795" s="295"/>
      <c r="J1795" s="230"/>
      <c r="K1795" s="329"/>
      <c r="L1795" s="295"/>
      <c r="M1795" s="295"/>
      <c r="N1795" s="295"/>
      <c r="O1795" s="295"/>
      <c r="P1795" s="295"/>
      <c r="Q1795" s="295"/>
      <c r="R1795" s="295"/>
      <c r="S1795" s="295"/>
      <c r="T1795" s="295"/>
      <c r="U1795" s="295"/>
      <c r="V1795" s="295"/>
      <c r="W1795" s="295"/>
      <c r="X1795" s="295"/>
      <c r="Y1795" s="295"/>
      <c r="Z1795" s="295"/>
      <c r="AA1795" s="295"/>
    </row>
    <row r="1796">
      <c r="A1796" s="327"/>
      <c r="B1796" s="327"/>
      <c r="C1796" s="295"/>
      <c r="D1796" s="334"/>
      <c r="E1796" s="295"/>
      <c r="F1796" s="329"/>
      <c r="G1796" s="295"/>
      <c r="I1796" s="295"/>
      <c r="J1796" s="230"/>
      <c r="K1796" s="329"/>
      <c r="L1796" s="295"/>
      <c r="M1796" s="295"/>
      <c r="N1796" s="295"/>
      <c r="O1796" s="295"/>
      <c r="P1796" s="295"/>
      <c r="Q1796" s="295"/>
      <c r="R1796" s="295"/>
      <c r="S1796" s="295"/>
      <c r="T1796" s="295"/>
      <c r="U1796" s="295"/>
      <c r="V1796" s="295"/>
      <c r="W1796" s="295"/>
      <c r="X1796" s="295"/>
      <c r="Y1796" s="295"/>
      <c r="Z1796" s="295"/>
      <c r="AA1796" s="295"/>
    </row>
    <row r="1797">
      <c r="A1797" s="327"/>
      <c r="B1797" s="327"/>
      <c r="C1797" s="295"/>
      <c r="D1797" s="334"/>
      <c r="E1797" s="295"/>
      <c r="F1797" s="329"/>
      <c r="G1797" s="295"/>
      <c r="I1797" s="295"/>
      <c r="J1797" s="230"/>
      <c r="K1797" s="329"/>
      <c r="L1797" s="295"/>
      <c r="M1797" s="295"/>
      <c r="N1797" s="295"/>
      <c r="O1797" s="295"/>
      <c r="P1797" s="295"/>
      <c r="Q1797" s="295"/>
      <c r="R1797" s="295"/>
      <c r="S1797" s="295"/>
      <c r="T1797" s="295"/>
      <c r="U1797" s="295"/>
      <c r="V1797" s="295"/>
      <c r="W1797" s="295"/>
      <c r="X1797" s="295"/>
      <c r="Y1797" s="295"/>
      <c r="Z1797" s="295"/>
      <c r="AA1797" s="295"/>
    </row>
    <row r="1798">
      <c r="A1798" s="327"/>
      <c r="B1798" s="327"/>
      <c r="C1798" s="295"/>
      <c r="D1798" s="334"/>
      <c r="E1798" s="295"/>
      <c r="F1798" s="329"/>
      <c r="G1798" s="295"/>
      <c r="I1798" s="295"/>
      <c r="J1798" s="230"/>
      <c r="K1798" s="329"/>
      <c r="L1798" s="295"/>
      <c r="M1798" s="295"/>
      <c r="N1798" s="295"/>
      <c r="O1798" s="295"/>
      <c r="P1798" s="295"/>
      <c r="Q1798" s="295"/>
      <c r="R1798" s="295"/>
      <c r="S1798" s="295"/>
      <c r="T1798" s="295"/>
      <c r="U1798" s="295"/>
      <c r="V1798" s="295"/>
      <c r="W1798" s="295"/>
      <c r="X1798" s="295"/>
      <c r="Y1798" s="295"/>
      <c r="Z1798" s="295"/>
      <c r="AA1798" s="295"/>
    </row>
    <row r="1799">
      <c r="A1799" s="327"/>
      <c r="B1799" s="327"/>
      <c r="C1799" s="295"/>
      <c r="D1799" s="334"/>
      <c r="E1799" s="295"/>
      <c r="F1799" s="329"/>
      <c r="G1799" s="295"/>
      <c r="I1799" s="295"/>
      <c r="J1799" s="230"/>
      <c r="K1799" s="329"/>
      <c r="L1799" s="295"/>
      <c r="M1799" s="295"/>
      <c r="N1799" s="295"/>
      <c r="O1799" s="295"/>
      <c r="P1799" s="295"/>
      <c r="Q1799" s="295"/>
      <c r="R1799" s="295"/>
      <c r="S1799" s="295"/>
      <c r="T1799" s="295"/>
      <c r="U1799" s="295"/>
      <c r="V1799" s="295"/>
      <c r="W1799" s="295"/>
      <c r="X1799" s="295"/>
      <c r="Y1799" s="295"/>
      <c r="Z1799" s="295"/>
      <c r="AA1799" s="295"/>
    </row>
    <row r="1800">
      <c r="A1800" s="327"/>
      <c r="B1800" s="327"/>
      <c r="C1800" s="295"/>
      <c r="D1800" s="334"/>
      <c r="E1800" s="295"/>
      <c r="F1800" s="329"/>
      <c r="G1800" s="295"/>
      <c r="I1800" s="295"/>
      <c r="J1800" s="230"/>
      <c r="K1800" s="329"/>
      <c r="L1800" s="295"/>
      <c r="M1800" s="295"/>
      <c r="N1800" s="295"/>
      <c r="O1800" s="295"/>
      <c r="P1800" s="295"/>
      <c r="Q1800" s="295"/>
      <c r="R1800" s="295"/>
      <c r="S1800" s="295"/>
      <c r="T1800" s="295"/>
      <c r="U1800" s="295"/>
      <c r="V1800" s="295"/>
      <c r="W1800" s="295"/>
      <c r="X1800" s="295"/>
      <c r="Y1800" s="295"/>
      <c r="Z1800" s="295"/>
      <c r="AA1800" s="295"/>
    </row>
    <row r="1801">
      <c r="A1801" s="327"/>
      <c r="B1801" s="327"/>
      <c r="C1801" s="295"/>
      <c r="D1801" s="334"/>
      <c r="E1801" s="295"/>
      <c r="F1801" s="329"/>
      <c r="G1801" s="295"/>
      <c r="I1801" s="295"/>
      <c r="J1801" s="230"/>
      <c r="K1801" s="329"/>
      <c r="L1801" s="295"/>
      <c r="M1801" s="295"/>
      <c r="N1801" s="295"/>
      <c r="O1801" s="295"/>
      <c r="P1801" s="295"/>
      <c r="Q1801" s="295"/>
      <c r="R1801" s="295"/>
      <c r="S1801" s="295"/>
      <c r="T1801" s="295"/>
      <c r="U1801" s="295"/>
      <c r="V1801" s="295"/>
      <c r="W1801" s="295"/>
      <c r="X1801" s="295"/>
      <c r="Y1801" s="295"/>
      <c r="Z1801" s="295"/>
      <c r="AA1801" s="295"/>
    </row>
    <row r="1802">
      <c r="A1802" s="327"/>
      <c r="B1802" s="327"/>
      <c r="C1802" s="295"/>
      <c r="D1802" s="334"/>
      <c r="E1802" s="295"/>
      <c r="F1802" s="329"/>
      <c r="G1802" s="295"/>
      <c r="I1802" s="295"/>
      <c r="J1802" s="230"/>
      <c r="K1802" s="329"/>
      <c r="L1802" s="295"/>
      <c r="M1802" s="295"/>
      <c r="N1802" s="295"/>
      <c r="O1802" s="295"/>
      <c r="P1802" s="295"/>
      <c r="Q1802" s="295"/>
      <c r="R1802" s="295"/>
      <c r="S1802" s="295"/>
      <c r="T1802" s="295"/>
      <c r="U1802" s="295"/>
      <c r="V1802" s="295"/>
      <c r="W1802" s="295"/>
      <c r="X1802" s="295"/>
      <c r="Y1802" s="295"/>
      <c r="Z1802" s="295"/>
      <c r="AA1802" s="295"/>
    </row>
    <row r="1803">
      <c r="A1803" s="327"/>
      <c r="B1803" s="327"/>
      <c r="C1803" s="295"/>
      <c r="D1803" s="334"/>
      <c r="E1803" s="295"/>
      <c r="F1803" s="329"/>
      <c r="G1803" s="295"/>
      <c r="I1803" s="295"/>
      <c r="J1803" s="230"/>
      <c r="K1803" s="329"/>
      <c r="L1803" s="295"/>
      <c r="M1803" s="295"/>
      <c r="N1803" s="295"/>
      <c r="O1803" s="295"/>
      <c r="P1803" s="295"/>
      <c r="Q1803" s="295"/>
      <c r="R1803" s="295"/>
      <c r="S1803" s="295"/>
      <c r="T1803" s="295"/>
      <c r="U1803" s="295"/>
      <c r="V1803" s="295"/>
      <c r="W1803" s="295"/>
      <c r="X1803" s="295"/>
      <c r="Y1803" s="295"/>
      <c r="Z1803" s="295"/>
      <c r="AA1803" s="295"/>
    </row>
    <row r="1804">
      <c r="A1804" s="327"/>
      <c r="B1804" s="327"/>
      <c r="C1804" s="295"/>
      <c r="D1804" s="334"/>
      <c r="E1804" s="295"/>
      <c r="F1804" s="329"/>
      <c r="G1804" s="295"/>
      <c r="I1804" s="295"/>
      <c r="J1804" s="230"/>
      <c r="K1804" s="329"/>
      <c r="L1804" s="295"/>
      <c r="M1804" s="295"/>
      <c r="N1804" s="295"/>
      <c r="O1804" s="295"/>
      <c r="P1804" s="295"/>
      <c r="Q1804" s="295"/>
      <c r="R1804" s="295"/>
      <c r="S1804" s="295"/>
      <c r="T1804" s="295"/>
      <c r="U1804" s="295"/>
      <c r="V1804" s="295"/>
      <c r="W1804" s="295"/>
      <c r="X1804" s="295"/>
      <c r="Y1804" s="295"/>
      <c r="Z1804" s="295"/>
      <c r="AA1804" s="295"/>
    </row>
    <row r="1805">
      <c r="A1805" s="327"/>
      <c r="B1805" s="327"/>
      <c r="C1805" s="295"/>
      <c r="D1805" s="334"/>
      <c r="E1805" s="295"/>
      <c r="F1805" s="329"/>
      <c r="G1805" s="295"/>
      <c r="I1805" s="295"/>
      <c r="J1805" s="230"/>
      <c r="K1805" s="329"/>
      <c r="L1805" s="295"/>
      <c r="M1805" s="295"/>
      <c r="N1805" s="295"/>
      <c r="O1805" s="295"/>
      <c r="P1805" s="295"/>
      <c r="Q1805" s="295"/>
      <c r="R1805" s="295"/>
      <c r="S1805" s="295"/>
      <c r="T1805" s="295"/>
      <c r="U1805" s="295"/>
      <c r="V1805" s="295"/>
      <c r="W1805" s="295"/>
      <c r="X1805" s="295"/>
      <c r="Y1805" s="295"/>
      <c r="Z1805" s="295"/>
      <c r="AA1805" s="295"/>
    </row>
    <row r="1806">
      <c r="A1806" s="327"/>
      <c r="B1806" s="327"/>
      <c r="C1806" s="295"/>
      <c r="D1806" s="334"/>
      <c r="E1806" s="295"/>
      <c r="F1806" s="329"/>
      <c r="G1806" s="295"/>
      <c r="I1806" s="295"/>
      <c r="J1806" s="230"/>
      <c r="K1806" s="329"/>
      <c r="L1806" s="295"/>
      <c r="M1806" s="295"/>
      <c r="N1806" s="295"/>
      <c r="O1806" s="295"/>
      <c r="P1806" s="295"/>
      <c r="Q1806" s="295"/>
      <c r="R1806" s="295"/>
      <c r="S1806" s="295"/>
      <c r="T1806" s="295"/>
      <c r="U1806" s="295"/>
      <c r="V1806" s="295"/>
      <c r="W1806" s="295"/>
      <c r="X1806" s="295"/>
      <c r="Y1806" s="295"/>
      <c r="Z1806" s="295"/>
      <c r="AA1806" s="295"/>
    </row>
    <row r="1807">
      <c r="A1807" s="327"/>
      <c r="B1807" s="327"/>
      <c r="C1807" s="295"/>
      <c r="D1807" s="334"/>
      <c r="E1807" s="295"/>
      <c r="F1807" s="329"/>
      <c r="G1807" s="295"/>
      <c r="I1807" s="295"/>
      <c r="J1807" s="230"/>
      <c r="K1807" s="329"/>
      <c r="L1807" s="295"/>
      <c r="M1807" s="295"/>
      <c r="N1807" s="295"/>
      <c r="O1807" s="295"/>
      <c r="P1807" s="295"/>
      <c r="Q1807" s="295"/>
      <c r="R1807" s="295"/>
      <c r="S1807" s="295"/>
      <c r="T1807" s="295"/>
      <c r="U1807" s="295"/>
      <c r="V1807" s="295"/>
      <c r="W1807" s="295"/>
      <c r="X1807" s="295"/>
      <c r="Y1807" s="295"/>
      <c r="Z1807" s="295"/>
      <c r="AA1807" s="295"/>
    </row>
    <row r="1808">
      <c r="A1808" s="327"/>
      <c r="B1808" s="327"/>
      <c r="C1808" s="295"/>
      <c r="D1808" s="334"/>
      <c r="E1808" s="295"/>
      <c r="F1808" s="329"/>
      <c r="G1808" s="295"/>
      <c r="I1808" s="295"/>
      <c r="J1808" s="230"/>
      <c r="K1808" s="329"/>
      <c r="L1808" s="295"/>
      <c r="M1808" s="295"/>
      <c r="N1808" s="295"/>
      <c r="O1808" s="295"/>
      <c r="P1808" s="295"/>
      <c r="Q1808" s="295"/>
      <c r="R1808" s="295"/>
      <c r="S1808" s="295"/>
      <c r="T1808" s="295"/>
      <c r="U1808" s="295"/>
      <c r="V1808" s="295"/>
      <c r="W1808" s="295"/>
      <c r="X1808" s="295"/>
      <c r="Y1808" s="295"/>
      <c r="Z1808" s="295"/>
      <c r="AA1808" s="295"/>
    </row>
    <row r="1809">
      <c r="A1809" s="327"/>
      <c r="B1809" s="327"/>
      <c r="C1809" s="295"/>
      <c r="D1809" s="334"/>
      <c r="E1809" s="295"/>
      <c r="F1809" s="329"/>
      <c r="G1809" s="295"/>
      <c r="I1809" s="295"/>
      <c r="J1809" s="230"/>
      <c r="K1809" s="329"/>
      <c r="L1809" s="295"/>
      <c r="M1809" s="295"/>
      <c r="N1809" s="295"/>
      <c r="O1809" s="295"/>
      <c r="P1809" s="295"/>
      <c r="Q1809" s="295"/>
      <c r="R1809" s="295"/>
      <c r="S1809" s="295"/>
      <c r="T1809" s="295"/>
      <c r="U1809" s="295"/>
      <c r="V1809" s="295"/>
      <c r="W1809" s="295"/>
      <c r="X1809" s="295"/>
      <c r="Y1809" s="295"/>
      <c r="Z1809" s="295"/>
      <c r="AA1809" s="295"/>
    </row>
    <row r="1810">
      <c r="A1810" s="327"/>
      <c r="B1810" s="327"/>
      <c r="C1810" s="295"/>
      <c r="D1810" s="334"/>
      <c r="E1810" s="295"/>
      <c r="F1810" s="329"/>
      <c r="G1810" s="295"/>
      <c r="I1810" s="295"/>
      <c r="J1810" s="230"/>
      <c r="K1810" s="329"/>
      <c r="L1810" s="295"/>
      <c r="M1810" s="295"/>
      <c r="N1810" s="295"/>
      <c r="O1810" s="295"/>
      <c r="P1810" s="295"/>
      <c r="Q1810" s="295"/>
      <c r="R1810" s="295"/>
      <c r="S1810" s="295"/>
      <c r="T1810" s="295"/>
      <c r="U1810" s="295"/>
      <c r="V1810" s="295"/>
      <c r="W1810" s="295"/>
      <c r="X1810" s="295"/>
      <c r="Y1810" s="295"/>
      <c r="Z1810" s="295"/>
      <c r="AA1810" s="295"/>
    </row>
    <row r="1811">
      <c r="A1811" s="327"/>
      <c r="B1811" s="327"/>
      <c r="C1811" s="295"/>
      <c r="D1811" s="334"/>
      <c r="E1811" s="295"/>
      <c r="F1811" s="329"/>
      <c r="G1811" s="295"/>
      <c r="I1811" s="295"/>
      <c r="J1811" s="230"/>
      <c r="K1811" s="329"/>
      <c r="L1811" s="295"/>
      <c r="M1811" s="295"/>
      <c r="N1811" s="295"/>
      <c r="O1811" s="295"/>
      <c r="P1811" s="295"/>
      <c r="Q1811" s="295"/>
      <c r="R1811" s="295"/>
      <c r="S1811" s="295"/>
      <c r="T1811" s="295"/>
      <c r="U1811" s="295"/>
      <c r="V1811" s="295"/>
      <c r="W1811" s="295"/>
      <c r="X1811" s="295"/>
      <c r="Y1811" s="295"/>
      <c r="Z1811" s="295"/>
      <c r="AA1811" s="295"/>
    </row>
    <row r="1812">
      <c r="A1812" s="327"/>
      <c r="B1812" s="327"/>
      <c r="C1812" s="295"/>
      <c r="D1812" s="334"/>
      <c r="E1812" s="295"/>
      <c r="F1812" s="329"/>
      <c r="G1812" s="295"/>
      <c r="I1812" s="295"/>
      <c r="J1812" s="230"/>
      <c r="K1812" s="329"/>
      <c r="L1812" s="295"/>
      <c r="M1812" s="295"/>
      <c r="N1812" s="295"/>
      <c r="O1812" s="295"/>
      <c r="P1812" s="295"/>
      <c r="Q1812" s="295"/>
      <c r="R1812" s="295"/>
      <c r="S1812" s="295"/>
      <c r="T1812" s="295"/>
      <c r="U1812" s="295"/>
      <c r="V1812" s="295"/>
      <c r="W1812" s="295"/>
      <c r="X1812" s="295"/>
      <c r="Y1812" s="295"/>
      <c r="Z1812" s="295"/>
      <c r="AA1812" s="295"/>
    </row>
    <row r="1813">
      <c r="A1813" s="327"/>
      <c r="B1813" s="327"/>
      <c r="C1813" s="295"/>
      <c r="D1813" s="334"/>
      <c r="E1813" s="295"/>
      <c r="F1813" s="329"/>
      <c r="G1813" s="295"/>
      <c r="I1813" s="295"/>
      <c r="J1813" s="230"/>
      <c r="K1813" s="329"/>
      <c r="L1813" s="295"/>
      <c r="M1813" s="295"/>
      <c r="N1813" s="295"/>
      <c r="O1813" s="295"/>
      <c r="P1813" s="295"/>
      <c r="Q1813" s="295"/>
      <c r="R1813" s="295"/>
      <c r="S1813" s="295"/>
      <c r="T1813" s="295"/>
      <c r="U1813" s="295"/>
      <c r="V1813" s="295"/>
      <c r="W1813" s="295"/>
      <c r="X1813" s="295"/>
      <c r="Y1813" s="295"/>
      <c r="Z1813" s="295"/>
      <c r="AA1813" s="295"/>
    </row>
    <row r="1814">
      <c r="A1814" s="327"/>
      <c r="B1814" s="327"/>
      <c r="C1814" s="295"/>
      <c r="D1814" s="334"/>
      <c r="E1814" s="295"/>
      <c r="F1814" s="329"/>
      <c r="G1814" s="295"/>
      <c r="I1814" s="295"/>
      <c r="J1814" s="230"/>
      <c r="K1814" s="329"/>
      <c r="L1814" s="295"/>
      <c r="M1814" s="295"/>
      <c r="N1814" s="295"/>
      <c r="O1814" s="295"/>
      <c r="P1814" s="295"/>
      <c r="Q1814" s="295"/>
      <c r="R1814" s="295"/>
      <c r="S1814" s="295"/>
      <c r="T1814" s="295"/>
      <c r="U1814" s="295"/>
      <c r="V1814" s="295"/>
      <c r="W1814" s="295"/>
      <c r="X1814" s="295"/>
      <c r="Y1814" s="295"/>
      <c r="Z1814" s="295"/>
      <c r="AA1814" s="295"/>
    </row>
    <row r="1815">
      <c r="A1815" s="327"/>
      <c r="B1815" s="327"/>
      <c r="C1815" s="295"/>
      <c r="D1815" s="334"/>
      <c r="E1815" s="295"/>
      <c r="F1815" s="329"/>
      <c r="G1815" s="295"/>
      <c r="I1815" s="295"/>
      <c r="J1815" s="230"/>
      <c r="K1815" s="329"/>
      <c r="L1815" s="295"/>
      <c r="M1815" s="295"/>
      <c r="N1815" s="295"/>
      <c r="O1815" s="295"/>
      <c r="P1815" s="295"/>
      <c r="Q1815" s="295"/>
      <c r="R1815" s="295"/>
      <c r="S1815" s="295"/>
      <c r="T1815" s="295"/>
      <c r="U1815" s="295"/>
      <c r="V1815" s="295"/>
      <c r="W1815" s="295"/>
      <c r="X1815" s="295"/>
      <c r="Y1815" s="295"/>
      <c r="Z1815" s="295"/>
      <c r="AA1815" s="295"/>
    </row>
    <row r="1816">
      <c r="A1816" s="327"/>
      <c r="B1816" s="327"/>
      <c r="C1816" s="295"/>
      <c r="D1816" s="334"/>
      <c r="E1816" s="295"/>
      <c r="F1816" s="329"/>
      <c r="G1816" s="295"/>
      <c r="I1816" s="295"/>
      <c r="J1816" s="230"/>
      <c r="K1816" s="329"/>
      <c r="L1816" s="295"/>
      <c r="M1816" s="295"/>
      <c r="N1816" s="295"/>
      <c r="O1816" s="295"/>
      <c r="P1816" s="295"/>
      <c r="Q1816" s="295"/>
      <c r="R1816" s="295"/>
      <c r="S1816" s="295"/>
      <c r="T1816" s="295"/>
      <c r="U1816" s="295"/>
      <c r="V1816" s="295"/>
      <c r="W1816" s="295"/>
      <c r="X1816" s="295"/>
      <c r="Y1816" s="295"/>
      <c r="Z1816" s="295"/>
      <c r="AA1816" s="295"/>
    </row>
    <row r="1817">
      <c r="A1817" s="327"/>
      <c r="B1817" s="327"/>
      <c r="C1817" s="295"/>
      <c r="D1817" s="334"/>
      <c r="E1817" s="295"/>
      <c r="F1817" s="329"/>
      <c r="G1817" s="295"/>
      <c r="I1817" s="295"/>
      <c r="J1817" s="230"/>
      <c r="K1817" s="329"/>
      <c r="L1817" s="295"/>
      <c r="M1817" s="295"/>
      <c r="N1817" s="295"/>
      <c r="O1817" s="295"/>
      <c r="P1817" s="295"/>
      <c r="Q1817" s="295"/>
      <c r="R1817" s="295"/>
      <c r="S1817" s="295"/>
      <c r="T1817" s="295"/>
      <c r="U1817" s="295"/>
      <c r="V1817" s="295"/>
      <c r="W1817" s="295"/>
      <c r="X1817" s="295"/>
      <c r="Y1817" s="295"/>
      <c r="Z1817" s="295"/>
      <c r="AA1817" s="295"/>
    </row>
    <row r="1818">
      <c r="A1818" s="327"/>
      <c r="B1818" s="327"/>
      <c r="C1818" s="295"/>
      <c r="D1818" s="334"/>
      <c r="E1818" s="295"/>
      <c r="F1818" s="329"/>
      <c r="G1818" s="295"/>
      <c r="I1818" s="295"/>
      <c r="J1818" s="230"/>
      <c r="K1818" s="329"/>
      <c r="L1818" s="295"/>
      <c r="M1818" s="295"/>
      <c r="N1818" s="295"/>
      <c r="O1818" s="295"/>
      <c r="P1818" s="295"/>
      <c r="Q1818" s="295"/>
      <c r="R1818" s="295"/>
      <c r="S1818" s="295"/>
      <c r="T1818" s="295"/>
      <c r="U1818" s="295"/>
      <c r="V1818" s="295"/>
      <c r="W1818" s="295"/>
      <c r="X1818" s="295"/>
      <c r="Y1818" s="295"/>
      <c r="Z1818" s="295"/>
      <c r="AA1818" s="295"/>
    </row>
    <row r="1819">
      <c r="A1819" s="327"/>
      <c r="B1819" s="327"/>
      <c r="C1819" s="295"/>
      <c r="D1819" s="334"/>
      <c r="E1819" s="295"/>
      <c r="F1819" s="329"/>
      <c r="G1819" s="295"/>
      <c r="I1819" s="295"/>
      <c r="J1819" s="230"/>
      <c r="K1819" s="329"/>
      <c r="L1819" s="295"/>
      <c r="M1819" s="295"/>
      <c r="N1819" s="295"/>
      <c r="O1819" s="295"/>
      <c r="P1819" s="295"/>
      <c r="Q1819" s="295"/>
      <c r="R1819" s="295"/>
      <c r="S1819" s="295"/>
      <c r="T1819" s="295"/>
      <c r="U1819" s="295"/>
      <c r="V1819" s="295"/>
      <c r="W1819" s="295"/>
      <c r="X1819" s="295"/>
      <c r="Y1819" s="295"/>
      <c r="Z1819" s="295"/>
      <c r="AA1819" s="295"/>
    </row>
    <row r="1820">
      <c r="A1820" s="327"/>
      <c r="B1820" s="327"/>
      <c r="C1820" s="295"/>
      <c r="D1820" s="334"/>
      <c r="E1820" s="295"/>
      <c r="F1820" s="329"/>
      <c r="G1820" s="295"/>
      <c r="I1820" s="295"/>
      <c r="J1820" s="230"/>
      <c r="K1820" s="329"/>
      <c r="L1820" s="295"/>
      <c r="M1820" s="295"/>
      <c r="N1820" s="295"/>
      <c r="O1820" s="295"/>
      <c r="P1820" s="295"/>
      <c r="Q1820" s="295"/>
      <c r="R1820" s="295"/>
      <c r="S1820" s="295"/>
      <c r="T1820" s="295"/>
      <c r="U1820" s="295"/>
      <c r="V1820" s="295"/>
      <c r="W1820" s="295"/>
      <c r="X1820" s="295"/>
      <c r="Y1820" s="295"/>
      <c r="Z1820" s="295"/>
      <c r="AA1820" s="295"/>
    </row>
    <row r="1821">
      <c r="A1821" s="327"/>
      <c r="B1821" s="327"/>
      <c r="C1821" s="295"/>
      <c r="D1821" s="334"/>
      <c r="E1821" s="295"/>
      <c r="F1821" s="329"/>
      <c r="G1821" s="295"/>
      <c r="I1821" s="295"/>
      <c r="J1821" s="230"/>
      <c r="K1821" s="329"/>
      <c r="L1821" s="295"/>
      <c r="M1821" s="295"/>
      <c r="N1821" s="295"/>
      <c r="O1821" s="295"/>
      <c r="P1821" s="295"/>
      <c r="Q1821" s="295"/>
      <c r="R1821" s="295"/>
      <c r="S1821" s="295"/>
      <c r="T1821" s="295"/>
      <c r="U1821" s="295"/>
      <c r="V1821" s="295"/>
      <c r="W1821" s="295"/>
      <c r="X1821" s="295"/>
      <c r="Y1821" s="295"/>
      <c r="Z1821" s="295"/>
      <c r="AA1821" s="295"/>
    </row>
    <row r="1822">
      <c r="A1822" s="327"/>
      <c r="B1822" s="327"/>
      <c r="C1822" s="295"/>
      <c r="D1822" s="334"/>
      <c r="E1822" s="295"/>
      <c r="F1822" s="329"/>
      <c r="G1822" s="295"/>
      <c r="I1822" s="295"/>
      <c r="J1822" s="230"/>
      <c r="K1822" s="329"/>
      <c r="L1822" s="295"/>
      <c r="M1822" s="295"/>
      <c r="N1822" s="295"/>
      <c r="O1822" s="295"/>
      <c r="P1822" s="295"/>
      <c r="Q1822" s="295"/>
      <c r="R1822" s="295"/>
      <c r="S1822" s="295"/>
      <c r="T1822" s="295"/>
      <c r="U1822" s="295"/>
      <c r="V1822" s="295"/>
      <c r="W1822" s="295"/>
      <c r="X1822" s="295"/>
      <c r="Y1822" s="295"/>
      <c r="Z1822" s="295"/>
      <c r="AA1822" s="295"/>
    </row>
    <row r="1823">
      <c r="A1823" s="327"/>
      <c r="B1823" s="327"/>
      <c r="C1823" s="295"/>
      <c r="D1823" s="334"/>
      <c r="E1823" s="295"/>
      <c r="F1823" s="329"/>
      <c r="G1823" s="295"/>
      <c r="I1823" s="295"/>
      <c r="J1823" s="230"/>
      <c r="K1823" s="329"/>
      <c r="L1823" s="295"/>
      <c r="M1823" s="295"/>
      <c r="N1823" s="295"/>
      <c r="O1823" s="295"/>
      <c r="P1823" s="295"/>
      <c r="Q1823" s="295"/>
      <c r="R1823" s="295"/>
      <c r="S1823" s="295"/>
      <c r="T1823" s="295"/>
      <c r="U1823" s="295"/>
      <c r="V1823" s="295"/>
      <c r="W1823" s="295"/>
      <c r="X1823" s="295"/>
      <c r="Y1823" s="295"/>
      <c r="Z1823" s="295"/>
      <c r="AA1823" s="295"/>
    </row>
    <row r="1824">
      <c r="A1824" s="327"/>
      <c r="B1824" s="327"/>
      <c r="C1824" s="295"/>
      <c r="D1824" s="334"/>
      <c r="E1824" s="295"/>
      <c r="F1824" s="329"/>
      <c r="G1824" s="295"/>
      <c r="I1824" s="295"/>
      <c r="J1824" s="230"/>
      <c r="K1824" s="329"/>
      <c r="L1824" s="295"/>
      <c r="M1824" s="295"/>
      <c r="N1824" s="295"/>
      <c r="O1824" s="295"/>
      <c r="P1824" s="295"/>
      <c r="Q1824" s="295"/>
      <c r="R1824" s="295"/>
      <c r="S1824" s="295"/>
      <c r="T1824" s="295"/>
      <c r="U1824" s="295"/>
      <c r="V1824" s="295"/>
      <c r="W1824" s="295"/>
      <c r="X1824" s="295"/>
      <c r="Y1824" s="295"/>
      <c r="Z1824" s="295"/>
      <c r="AA1824" s="295"/>
    </row>
    <row r="1825">
      <c r="A1825" s="327"/>
      <c r="B1825" s="327"/>
      <c r="C1825" s="295"/>
      <c r="D1825" s="334"/>
      <c r="E1825" s="295"/>
      <c r="F1825" s="329"/>
      <c r="G1825" s="295"/>
      <c r="I1825" s="295"/>
      <c r="J1825" s="230"/>
      <c r="K1825" s="329"/>
      <c r="L1825" s="295"/>
      <c r="M1825" s="295"/>
      <c r="N1825" s="295"/>
      <c r="O1825" s="295"/>
      <c r="P1825" s="295"/>
      <c r="Q1825" s="295"/>
      <c r="R1825" s="295"/>
      <c r="S1825" s="295"/>
      <c r="T1825" s="295"/>
      <c r="U1825" s="295"/>
      <c r="V1825" s="295"/>
      <c r="W1825" s="295"/>
      <c r="X1825" s="295"/>
      <c r="Y1825" s="295"/>
      <c r="Z1825" s="295"/>
      <c r="AA1825" s="295"/>
    </row>
    <row r="1826">
      <c r="A1826" s="327"/>
      <c r="B1826" s="327"/>
      <c r="C1826" s="295"/>
      <c r="D1826" s="334"/>
      <c r="E1826" s="295"/>
      <c r="F1826" s="329"/>
      <c r="G1826" s="295"/>
      <c r="I1826" s="295"/>
      <c r="J1826" s="230"/>
      <c r="K1826" s="329"/>
      <c r="L1826" s="295"/>
      <c r="M1826" s="295"/>
      <c r="N1826" s="295"/>
      <c r="O1826" s="295"/>
      <c r="P1826" s="295"/>
      <c r="Q1826" s="295"/>
      <c r="R1826" s="295"/>
      <c r="S1826" s="295"/>
      <c r="T1826" s="295"/>
      <c r="U1826" s="295"/>
      <c r="V1826" s="295"/>
      <c r="W1826" s="295"/>
      <c r="X1826" s="295"/>
      <c r="Y1826" s="295"/>
      <c r="Z1826" s="295"/>
      <c r="AA1826" s="295"/>
    </row>
    <row r="1827">
      <c r="A1827" s="327"/>
      <c r="B1827" s="327"/>
      <c r="C1827" s="295"/>
      <c r="D1827" s="334"/>
      <c r="E1827" s="295"/>
      <c r="F1827" s="329"/>
      <c r="G1827" s="295"/>
      <c r="I1827" s="295"/>
      <c r="J1827" s="230"/>
      <c r="K1827" s="329"/>
      <c r="L1827" s="295"/>
      <c r="M1827" s="295"/>
      <c r="N1827" s="295"/>
      <c r="O1827" s="295"/>
      <c r="P1827" s="295"/>
      <c r="Q1827" s="295"/>
      <c r="R1827" s="295"/>
      <c r="S1827" s="295"/>
      <c r="T1827" s="295"/>
      <c r="U1827" s="295"/>
      <c r="V1827" s="295"/>
      <c r="W1827" s="295"/>
      <c r="X1827" s="295"/>
      <c r="Y1827" s="295"/>
      <c r="Z1827" s="295"/>
      <c r="AA1827" s="295"/>
    </row>
    <row r="1828">
      <c r="A1828" s="327"/>
      <c r="B1828" s="327"/>
      <c r="C1828" s="295"/>
      <c r="D1828" s="334"/>
      <c r="E1828" s="295"/>
      <c r="F1828" s="329"/>
      <c r="G1828" s="295"/>
      <c r="I1828" s="295"/>
      <c r="J1828" s="230"/>
      <c r="K1828" s="329"/>
      <c r="L1828" s="295"/>
      <c r="M1828" s="295"/>
      <c r="N1828" s="295"/>
      <c r="O1828" s="295"/>
      <c r="P1828" s="295"/>
      <c r="Q1828" s="295"/>
      <c r="R1828" s="295"/>
      <c r="S1828" s="295"/>
      <c r="T1828" s="295"/>
      <c r="U1828" s="295"/>
      <c r="V1828" s="295"/>
      <c r="W1828" s="295"/>
      <c r="X1828" s="295"/>
      <c r="Y1828" s="295"/>
      <c r="Z1828" s="295"/>
      <c r="AA1828" s="295"/>
    </row>
    <row r="1829">
      <c r="A1829" s="327"/>
      <c r="B1829" s="327"/>
      <c r="C1829" s="295"/>
      <c r="D1829" s="334"/>
      <c r="E1829" s="295"/>
      <c r="F1829" s="329"/>
      <c r="G1829" s="295"/>
      <c r="I1829" s="295"/>
      <c r="J1829" s="230"/>
      <c r="K1829" s="329"/>
      <c r="L1829" s="295"/>
      <c r="M1829" s="295"/>
      <c r="N1829" s="295"/>
      <c r="O1829" s="295"/>
      <c r="P1829" s="295"/>
      <c r="Q1829" s="295"/>
      <c r="R1829" s="295"/>
      <c r="S1829" s="295"/>
      <c r="T1829" s="295"/>
      <c r="U1829" s="295"/>
      <c r="V1829" s="295"/>
      <c r="W1829" s="295"/>
      <c r="X1829" s="295"/>
      <c r="Y1829" s="295"/>
      <c r="Z1829" s="295"/>
      <c r="AA1829" s="295"/>
    </row>
    <row r="1830">
      <c r="A1830" s="327"/>
      <c r="B1830" s="327"/>
      <c r="C1830" s="295"/>
      <c r="D1830" s="334"/>
      <c r="E1830" s="295"/>
      <c r="F1830" s="329"/>
      <c r="G1830" s="295"/>
      <c r="I1830" s="295"/>
      <c r="J1830" s="230"/>
      <c r="K1830" s="329"/>
      <c r="L1830" s="295"/>
      <c r="M1830" s="295"/>
      <c r="N1830" s="295"/>
      <c r="O1830" s="295"/>
      <c r="P1830" s="295"/>
      <c r="Q1830" s="295"/>
      <c r="R1830" s="295"/>
      <c r="S1830" s="295"/>
      <c r="T1830" s="295"/>
      <c r="U1830" s="295"/>
      <c r="V1830" s="295"/>
      <c r="W1830" s="295"/>
      <c r="X1830" s="295"/>
      <c r="Y1830" s="295"/>
      <c r="Z1830" s="295"/>
      <c r="AA1830" s="295"/>
    </row>
    <row r="1831">
      <c r="A1831" s="327"/>
      <c r="B1831" s="327"/>
      <c r="C1831" s="295"/>
      <c r="D1831" s="334"/>
      <c r="E1831" s="295"/>
      <c r="F1831" s="329"/>
      <c r="G1831" s="295"/>
      <c r="I1831" s="295"/>
      <c r="J1831" s="230"/>
      <c r="K1831" s="329"/>
      <c r="L1831" s="295"/>
      <c r="M1831" s="295"/>
      <c r="N1831" s="295"/>
      <c r="O1831" s="295"/>
      <c r="P1831" s="295"/>
      <c r="Q1831" s="295"/>
      <c r="R1831" s="295"/>
      <c r="S1831" s="295"/>
      <c r="T1831" s="295"/>
      <c r="U1831" s="295"/>
      <c r="V1831" s="295"/>
      <c r="W1831" s="295"/>
      <c r="X1831" s="295"/>
      <c r="Y1831" s="295"/>
      <c r="Z1831" s="295"/>
      <c r="AA1831" s="295"/>
    </row>
    <row r="1832">
      <c r="A1832" s="327"/>
      <c r="B1832" s="327"/>
      <c r="C1832" s="295"/>
      <c r="D1832" s="334"/>
      <c r="E1832" s="295"/>
      <c r="F1832" s="329"/>
      <c r="G1832" s="295"/>
      <c r="I1832" s="295"/>
      <c r="J1832" s="230"/>
      <c r="K1832" s="329"/>
      <c r="L1832" s="295"/>
      <c r="M1832" s="295"/>
      <c r="N1832" s="295"/>
      <c r="O1832" s="295"/>
      <c r="P1832" s="295"/>
      <c r="Q1832" s="295"/>
      <c r="R1832" s="295"/>
      <c r="S1832" s="295"/>
      <c r="T1832" s="295"/>
      <c r="U1832" s="295"/>
      <c r="V1832" s="295"/>
      <c r="W1832" s="295"/>
      <c r="X1832" s="295"/>
      <c r="Y1832" s="295"/>
      <c r="Z1832" s="295"/>
      <c r="AA1832" s="295"/>
    </row>
    <row r="1833">
      <c r="A1833" s="327"/>
      <c r="B1833" s="327"/>
      <c r="C1833" s="295"/>
      <c r="D1833" s="334"/>
      <c r="E1833" s="295"/>
      <c r="F1833" s="329"/>
      <c r="G1833" s="295"/>
      <c r="I1833" s="295"/>
      <c r="J1833" s="230"/>
      <c r="K1833" s="329"/>
      <c r="L1833" s="295"/>
      <c r="M1833" s="295"/>
      <c r="N1833" s="295"/>
      <c r="O1833" s="295"/>
      <c r="P1833" s="295"/>
      <c r="Q1833" s="295"/>
      <c r="R1833" s="295"/>
      <c r="S1833" s="295"/>
      <c r="T1833" s="295"/>
      <c r="U1833" s="295"/>
      <c r="V1833" s="295"/>
      <c r="W1833" s="295"/>
      <c r="X1833" s="295"/>
      <c r="Y1833" s="295"/>
      <c r="Z1833" s="295"/>
      <c r="AA1833" s="295"/>
    </row>
    <row r="1834">
      <c r="A1834" s="327"/>
      <c r="B1834" s="327"/>
      <c r="C1834" s="295"/>
      <c r="D1834" s="334"/>
      <c r="E1834" s="295"/>
      <c r="F1834" s="329"/>
      <c r="G1834" s="295"/>
      <c r="I1834" s="295"/>
      <c r="J1834" s="230"/>
      <c r="K1834" s="329"/>
      <c r="L1834" s="295"/>
      <c r="M1834" s="295"/>
      <c r="N1834" s="295"/>
      <c r="O1834" s="295"/>
      <c r="P1834" s="295"/>
      <c r="Q1834" s="295"/>
      <c r="R1834" s="295"/>
      <c r="S1834" s="295"/>
      <c r="T1834" s="295"/>
      <c r="U1834" s="295"/>
      <c r="V1834" s="295"/>
      <c r="W1834" s="295"/>
      <c r="X1834" s="295"/>
      <c r="Y1834" s="295"/>
      <c r="Z1834" s="295"/>
      <c r="AA1834" s="295"/>
    </row>
    <row r="1835">
      <c r="A1835" s="327"/>
      <c r="B1835" s="327"/>
      <c r="C1835" s="295"/>
      <c r="D1835" s="334"/>
      <c r="E1835" s="295"/>
      <c r="F1835" s="329"/>
      <c r="G1835" s="295"/>
      <c r="I1835" s="295"/>
      <c r="J1835" s="230"/>
      <c r="K1835" s="329"/>
      <c r="L1835" s="295"/>
      <c r="M1835" s="295"/>
      <c r="N1835" s="295"/>
      <c r="O1835" s="295"/>
      <c r="P1835" s="295"/>
      <c r="Q1835" s="295"/>
      <c r="R1835" s="295"/>
      <c r="S1835" s="295"/>
      <c r="T1835" s="295"/>
      <c r="U1835" s="295"/>
      <c r="V1835" s="295"/>
      <c r="W1835" s="295"/>
      <c r="X1835" s="295"/>
      <c r="Y1835" s="295"/>
      <c r="Z1835" s="295"/>
      <c r="AA1835" s="295"/>
    </row>
    <row r="1836">
      <c r="A1836" s="327"/>
      <c r="B1836" s="327"/>
      <c r="C1836" s="295"/>
      <c r="D1836" s="334"/>
      <c r="E1836" s="295"/>
      <c r="F1836" s="329"/>
      <c r="G1836" s="295"/>
      <c r="I1836" s="295"/>
      <c r="J1836" s="230"/>
      <c r="K1836" s="329"/>
      <c r="L1836" s="295"/>
      <c r="M1836" s="295"/>
      <c r="N1836" s="295"/>
      <c r="O1836" s="295"/>
      <c r="P1836" s="295"/>
      <c r="Q1836" s="295"/>
      <c r="R1836" s="295"/>
      <c r="S1836" s="295"/>
      <c r="T1836" s="295"/>
      <c r="U1836" s="295"/>
      <c r="V1836" s="295"/>
      <c r="W1836" s="295"/>
      <c r="X1836" s="295"/>
      <c r="Y1836" s="295"/>
      <c r="Z1836" s="295"/>
      <c r="AA1836" s="295"/>
    </row>
    <row r="1837">
      <c r="A1837" s="327"/>
      <c r="B1837" s="327"/>
      <c r="C1837" s="295"/>
      <c r="D1837" s="334"/>
      <c r="E1837" s="295"/>
      <c r="F1837" s="329"/>
      <c r="G1837" s="295"/>
      <c r="I1837" s="295"/>
      <c r="J1837" s="230"/>
      <c r="K1837" s="329"/>
      <c r="L1837" s="295"/>
      <c r="M1837" s="295"/>
      <c r="N1837" s="295"/>
      <c r="O1837" s="295"/>
      <c r="P1837" s="295"/>
      <c r="Q1837" s="295"/>
      <c r="R1837" s="295"/>
      <c r="S1837" s="295"/>
      <c r="T1837" s="295"/>
      <c r="U1837" s="295"/>
      <c r="V1837" s="295"/>
      <c r="W1837" s="295"/>
      <c r="X1837" s="295"/>
      <c r="Y1837" s="295"/>
      <c r="Z1837" s="295"/>
      <c r="AA1837" s="295"/>
    </row>
    <row r="1838">
      <c r="A1838" s="327"/>
      <c r="B1838" s="327"/>
      <c r="C1838" s="295"/>
      <c r="D1838" s="334"/>
      <c r="E1838" s="295"/>
      <c r="F1838" s="329"/>
      <c r="G1838" s="295"/>
      <c r="I1838" s="295"/>
      <c r="J1838" s="230"/>
      <c r="K1838" s="329"/>
      <c r="L1838" s="295"/>
      <c r="M1838" s="295"/>
      <c r="N1838" s="295"/>
      <c r="O1838" s="295"/>
      <c r="P1838" s="295"/>
      <c r="Q1838" s="295"/>
      <c r="R1838" s="295"/>
      <c r="S1838" s="295"/>
      <c r="T1838" s="295"/>
      <c r="U1838" s="295"/>
      <c r="V1838" s="295"/>
      <c r="W1838" s="295"/>
      <c r="X1838" s="295"/>
      <c r="Y1838" s="295"/>
      <c r="Z1838" s="295"/>
      <c r="AA1838" s="295"/>
    </row>
    <row r="1839">
      <c r="A1839" s="327"/>
      <c r="B1839" s="327"/>
      <c r="C1839" s="295"/>
      <c r="D1839" s="334"/>
      <c r="E1839" s="295"/>
      <c r="F1839" s="329"/>
      <c r="G1839" s="295"/>
      <c r="I1839" s="295"/>
      <c r="J1839" s="230"/>
      <c r="K1839" s="329"/>
      <c r="L1839" s="295"/>
      <c r="M1839" s="295"/>
      <c r="N1839" s="295"/>
      <c r="O1839" s="295"/>
      <c r="P1839" s="295"/>
      <c r="Q1839" s="295"/>
      <c r="R1839" s="295"/>
      <c r="S1839" s="295"/>
      <c r="T1839" s="295"/>
      <c r="U1839" s="295"/>
      <c r="V1839" s="295"/>
      <c r="W1839" s="295"/>
      <c r="X1839" s="295"/>
      <c r="Y1839" s="295"/>
      <c r="Z1839" s="295"/>
      <c r="AA1839" s="295"/>
    </row>
    <row r="1840">
      <c r="A1840" s="327"/>
      <c r="B1840" s="327"/>
      <c r="C1840" s="295"/>
      <c r="D1840" s="334"/>
      <c r="E1840" s="295"/>
      <c r="F1840" s="329"/>
      <c r="G1840" s="295"/>
      <c r="I1840" s="295"/>
      <c r="J1840" s="230"/>
      <c r="K1840" s="329"/>
      <c r="L1840" s="295"/>
      <c r="M1840" s="295"/>
      <c r="N1840" s="295"/>
      <c r="O1840" s="295"/>
      <c r="P1840" s="295"/>
      <c r="Q1840" s="295"/>
      <c r="R1840" s="295"/>
      <c r="S1840" s="295"/>
      <c r="T1840" s="295"/>
      <c r="U1840" s="295"/>
      <c r="V1840" s="295"/>
      <c r="W1840" s="295"/>
      <c r="X1840" s="295"/>
      <c r="Y1840" s="295"/>
      <c r="Z1840" s="295"/>
      <c r="AA1840" s="295"/>
    </row>
    <row r="1841">
      <c r="A1841" s="327"/>
      <c r="B1841" s="327"/>
      <c r="C1841" s="295"/>
      <c r="D1841" s="334"/>
      <c r="E1841" s="295"/>
      <c r="F1841" s="329"/>
      <c r="G1841" s="295"/>
      <c r="I1841" s="295"/>
      <c r="J1841" s="230"/>
      <c r="K1841" s="329"/>
      <c r="L1841" s="295"/>
      <c r="M1841" s="295"/>
      <c r="N1841" s="295"/>
      <c r="O1841" s="295"/>
      <c r="P1841" s="295"/>
      <c r="Q1841" s="295"/>
      <c r="R1841" s="295"/>
      <c r="S1841" s="295"/>
      <c r="T1841" s="295"/>
      <c r="U1841" s="295"/>
      <c r="V1841" s="295"/>
      <c r="W1841" s="295"/>
      <c r="X1841" s="295"/>
      <c r="Y1841" s="295"/>
      <c r="Z1841" s="295"/>
      <c r="AA1841" s="295"/>
    </row>
    <row r="1842">
      <c r="A1842" s="327"/>
      <c r="B1842" s="327"/>
      <c r="C1842" s="295"/>
      <c r="D1842" s="334"/>
      <c r="E1842" s="295"/>
      <c r="F1842" s="329"/>
      <c r="G1842" s="295"/>
      <c r="I1842" s="295"/>
      <c r="J1842" s="230"/>
      <c r="K1842" s="329"/>
      <c r="L1842" s="295"/>
      <c r="M1842" s="295"/>
      <c r="N1842" s="295"/>
      <c r="O1842" s="295"/>
      <c r="P1842" s="295"/>
      <c r="Q1842" s="295"/>
      <c r="R1842" s="295"/>
      <c r="S1842" s="295"/>
      <c r="T1842" s="295"/>
      <c r="U1842" s="295"/>
      <c r="V1842" s="295"/>
      <c r="W1842" s="295"/>
      <c r="X1842" s="295"/>
      <c r="Y1842" s="295"/>
      <c r="Z1842" s="295"/>
      <c r="AA1842" s="295"/>
    </row>
    <row r="1843">
      <c r="A1843" s="327"/>
      <c r="B1843" s="327"/>
      <c r="C1843" s="295"/>
      <c r="D1843" s="334"/>
      <c r="E1843" s="295"/>
      <c r="F1843" s="329"/>
      <c r="G1843" s="295"/>
      <c r="I1843" s="295"/>
      <c r="J1843" s="230"/>
      <c r="K1843" s="329"/>
      <c r="L1843" s="295"/>
      <c r="M1843" s="295"/>
      <c r="N1843" s="295"/>
      <c r="O1843" s="295"/>
      <c r="P1843" s="295"/>
      <c r="Q1843" s="295"/>
      <c r="R1843" s="295"/>
      <c r="S1843" s="295"/>
      <c r="T1843" s="295"/>
      <c r="U1843" s="295"/>
      <c r="V1843" s="295"/>
      <c r="W1843" s="295"/>
      <c r="X1843" s="295"/>
      <c r="Y1843" s="295"/>
      <c r="Z1843" s="295"/>
      <c r="AA1843" s="295"/>
    </row>
    <row r="1844">
      <c r="A1844" s="327"/>
      <c r="B1844" s="327"/>
      <c r="C1844" s="295"/>
      <c r="D1844" s="334"/>
      <c r="E1844" s="295"/>
      <c r="F1844" s="329"/>
      <c r="G1844" s="295"/>
      <c r="I1844" s="295"/>
      <c r="J1844" s="230"/>
      <c r="K1844" s="329"/>
      <c r="L1844" s="295"/>
      <c r="M1844" s="295"/>
      <c r="N1844" s="295"/>
      <c r="O1844" s="295"/>
      <c r="P1844" s="295"/>
      <c r="Q1844" s="295"/>
      <c r="R1844" s="295"/>
      <c r="S1844" s="295"/>
      <c r="T1844" s="295"/>
      <c r="U1844" s="295"/>
      <c r="V1844" s="295"/>
      <c r="W1844" s="295"/>
      <c r="X1844" s="295"/>
      <c r="Y1844" s="295"/>
      <c r="Z1844" s="295"/>
      <c r="AA1844" s="295"/>
    </row>
    <row r="1845">
      <c r="A1845" s="327"/>
      <c r="B1845" s="327"/>
      <c r="C1845" s="295"/>
      <c r="D1845" s="334"/>
      <c r="E1845" s="295"/>
      <c r="F1845" s="329"/>
      <c r="G1845" s="295"/>
      <c r="I1845" s="295"/>
      <c r="J1845" s="230"/>
      <c r="K1845" s="329"/>
      <c r="L1845" s="295"/>
      <c r="M1845" s="295"/>
      <c r="N1845" s="295"/>
      <c r="O1845" s="295"/>
      <c r="P1845" s="295"/>
      <c r="Q1845" s="295"/>
      <c r="R1845" s="295"/>
      <c r="S1845" s="295"/>
      <c r="T1845" s="295"/>
      <c r="U1845" s="295"/>
      <c r="V1845" s="295"/>
      <c r="W1845" s="295"/>
      <c r="X1845" s="295"/>
      <c r="Y1845" s="295"/>
      <c r="Z1845" s="295"/>
      <c r="AA1845" s="295"/>
    </row>
    <row r="1846">
      <c r="A1846" s="327"/>
      <c r="B1846" s="327"/>
      <c r="C1846" s="295"/>
      <c r="D1846" s="334"/>
      <c r="E1846" s="295"/>
      <c r="F1846" s="329"/>
      <c r="G1846" s="295"/>
      <c r="I1846" s="295"/>
      <c r="J1846" s="230"/>
      <c r="K1846" s="329"/>
      <c r="L1846" s="295"/>
      <c r="M1846" s="295"/>
      <c r="N1846" s="295"/>
      <c r="O1846" s="295"/>
      <c r="P1846" s="295"/>
      <c r="Q1846" s="295"/>
      <c r="R1846" s="295"/>
      <c r="S1846" s="295"/>
      <c r="T1846" s="295"/>
      <c r="U1846" s="295"/>
      <c r="V1846" s="295"/>
      <c r="W1846" s="295"/>
      <c r="X1846" s="295"/>
      <c r="Y1846" s="295"/>
      <c r="Z1846" s="295"/>
      <c r="AA1846" s="295"/>
    </row>
    <row r="1847">
      <c r="A1847" s="327"/>
      <c r="B1847" s="327"/>
      <c r="C1847" s="295"/>
      <c r="D1847" s="334"/>
      <c r="E1847" s="295"/>
      <c r="F1847" s="329"/>
      <c r="G1847" s="295"/>
      <c r="I1847" s="295"/>
      <c r="J1847" s="230"/>
      <c r="K1847" s="329"/>
      <c r="L1847" s="295"/>
      <c r="M1847" s="295"/>
      <c r="N1847" s="295"/>
      <c r="O1847" s="295"/>
      <c r="P1847" s="295"/>
      <c r="Q1847" s="295"/>
      <c r="R1847" s="295"/>
      <c r="S1847" s="295"/>
      <c r="T1847" s="295"/>
      <c r="U1847" s="295"/>
      <c r="V1847" s="295"/>
      <c r="W1847" s="295"/>
      <c r="X1847" s="295"/>
      <c r="Y1847" s="295"/>
      <c r="Z1847" s="295"/>
      <c r="AA1847" s="295"/>
    </row>
    <row r="1848">
      <c r="A1848" s="327"/>
      <c r="B1848" s="327"/>
      <c r="C1848" s="295"/>
      <c r="D1848" s="334"/>
      <c r="E1848" s="295"/>
      <c r="F1848" s="329"/>
      <c r="G1848" s="295"/>
      <c r="I1848" s="295"/>
      <c r="J1848" s="230"/>
      <c r="K1848" s="329"/>
      <c r="L1848" s="295"/>
      <c r="M1848" s="295"/>
      <c r="N1848" s="295"/>
      <c r="O1848" s="295"/>
      <c r="P1848" s="295"/>
      <c r="Q1848" s="295"/>
      <c r="R1848" s="295"/>
      <c r="S1848" s="295"/>
      <c r="T1848" s="295"/>
      <c r="U1848" s="295"/>
      <c r="V1848" s="295"/>
      <c r="W1848" s="295"/>
      <c r="X1848" s="295"/>
      <c r="Y1848" s="295"/>
      <c r="Z1848" s="295"/>
      <c r="AA1848" s="295"/>
    </row>
    <row r="1849">
      <c r="A1849" s="327"/>
      <c r="B1849" s="327"/>
      <c r="C1849" s="295"/>
      <c r="D1849" s="334"/>
      <c r="E1849" s="295"/>
      <c r="F1849" s="329"/>
      <c r="G1849" s="295"/>
      <c r="I1849" s="295"/>
      <c r="J1849" s="230"/>
      <c r="K1849" s="329"/>
      <c r="L1849" s="295"/>
      <c r="M1849" s="295"/>
      <c r="N1849" s="295"/>
      <c r="O1849" s="295"/>
      <c r="P1849" s="295"/>
      <c r="Q1849" s="295"/>
      <c r="R1849" s="295"/>
      <c r="S1849" s="295"/>
      <c r="T1849" s="295"/>
      <c r="U1849" s="295"/>
      <c r="V1849" s="295"/>
      <c r="W1849" s="295"/>
      <c r="X1849" s="295"/>
      <c r="Y1849" s="295"/>
      <c r="Z1849" s="295"/>
      <c r="AA1849" s="295"/>
    </row>
    <row r="1850">
      <c r="A1850" s="327"/>
      <c r="B1850" s="327"/>
      <c r="C1850" s="295"/>
      <c r="D1850" s="334"/>
      <c r="E1850" s="295"/>
      <c r="F1850" s="329"/>
      <c r="G1850" s="295"/>
      <c r="I1850" s="295"/>
      <c r="J1850" s="230"/>
      <c r="K1850" s="329"/>
      <c r="L1850" s="295"/>
      <c r="M1850" s="295"/>
      <c r="N1850" s="295"/>
      <c r="O1850" s="295"/>
      <c r="P1850" s="295"/>
      <c r="Q1850" s="295"/>
      <c r="R1850" s="295"/>
      <c r="S1850" s="295"/>
      <c r="T1850" s="295"/>
      <c r="U1850" s="295"/>
      <c r="V1850" s="295"/>
      <c r="W1850" s="295"/>
      <c r="X1850" s="295"/>
      <c r="Y1850" s="295"/>
      <c r="Z1850" s="295"/>
      <c r="AA1850" s="295"/>
    </row>
    <row r="1851">
      <c r="A1851" s="327"/>
      <c r="B1851" s="327"/>
      <c r="C1851" s="295"/>
      <c r="D1851" s="334"/>
      <c r="E1851" s="295"/>
      <c r="F1851" s="329"/>
      <c r="G1851" s="295"/>
      <c r="I1851" s="295"/>
      <c r="J1851" s="230"/>
      <c r="K1851" s="329"/>
      <c r="L1851" s="295"/>
      <c r="M1851" s="295"/>
      <c r="N1851" s="295"/>
      <c r="O1851" s="295"/>
      <c r="P1851" s="295"/>
      <c r="Q1851" s="295"/>
      <c r="R1851" s="295"/>
      <c r="S1851" s="295"/>
      <c r="T1851" s="295"/>
      <c r="U1851" s="295"/>
      <c r="V1851" s="295"/>
      <c r="W1851" s="295"/>
      <c r="X1851" s="295"/>
      <c r="Y1851" s="295"/>
      <c r="Z1851" s="295"/>
      <c r="AA1851" s="295"/>
    </row>
    <row r="1852">
      <c r="A1852" s="327"/>
      <c r="B1852" s="327"/>
      <c r="C1852" s="295"/>
      <c r="D1852" s="334"/>
      <c r="E1852" s="295"/>
      <c r="F1852" s="329"/>
      <c r="G1852" s="295"/>
      <c r="I1852" s="295"/>
      <c r="J1852" s="230"/>
      <c r="K1852" s="329"/>
      <c r="L1852" s="295"/>
      <c r="M1852" s="295"/>
      <c r="N1852" s="295"/>
      <c r="O1852" s="295"/>
      <c r="P1852" s="295"/>
      <c r="Q1852" s="295"/>
      <c r="R1852" s="295"/>
      <c r="S1852" s="295"/>
      <c r="T1852" s="295"/>
      <c r="U1852" s="295"/>
      <c r="V1852" s="295"/>
      <c r="W1852" s="295"/>
      <c r="X1852" s="295"/>
      <c r="Y1852" s="295"/>
      <c r="Z1852" s="295"/>
      <c r="AA1852" s="295"/>
    </row>
    <row r="1853">
      <c r="A1853" s="327"/>
      <c r="B1853" s="327"/>
      <c r="C1853" s="295"/>
      <c r="D1853" s="334"/>
      <c r="E1853" s="295"/>
      <c r="F1853" s="329"/>
      <c r="G1853" s="295"/>
      <c r="I1853" s="295"/>
      <c r="J1853" s="230"/>
      <c r="K1853" s="329"/>
      <c r="L1853" s="295"/>
      <c r="M1853" s="295"/>
      <c r="N1853" s="295"/>
      <c r="O1853" s="295"/>
      <c r="P1853" s="295"/>
      <c r="Q1853" s="295"/>
      <c r="R1853" s="295"/>
      <c r="S1853" s="295"/>
      <c r="T1853" s="295"/>
      <c r="U1853" s="295"/>
      <c r="V1853" s="295"/>
      <c r="W1853" s="295"/>
      <c r="X1853" s="295"/>
      <c r="Y1853" s="295"/>
      <c r="Z1853" s="295"/>
      <c r="AA1853" s="295"/>
    </row>
    <row r="1854">
      <c r="A1854" s="327"/>
      <c r="B1854" s="327"/>
      <c r="C1854" s="295"/>
      <c r="D1854" s="334"/>
      <c r="E1854" s="295"/>
      <c r="F1854" s="329"/>
      <c r="G1854" s="295"/>
      <c r="I1854" s="295"/>
      <c r="J1854" s="230"/>
      <c r="K1854" s="329"/>
      <c r="L1854" s="295"/>
      <c r="M1854" s="295"/>
      <c r="N1854" s="295"/>
      <c r="O1854" s="295"/>
      <c r="P1854" s="295"/>
      <c r="Q1854" s="295"/>
      <c r="R1854" s="295"/>
      <c r="S1854" s="295"/>
      <c r="T1854" s="295"/>
      <c r="U1854" s="295"/>
      <c r="V1854" s="295"/>
      <c r="W1854" s="295"/>
      <c r="X1854" s="295"/>
      <c r="Y1854" s="295"/>
      <c r="Z1854" s="295"/>
      <c r="AA1854" s="295"/>
    </row>
    <row r="1855">
      <c r="A1855" s="327"/>
      <c r="B1855" s="327"/>
      <c r="C1855" s="295"/>
      <c r="D1855" s="334"/>
      <c r="E1855" s="295"/>
      <c r="F1855" s="329"/>
      <c r="G1855" s="295"/>
      <c r="I1855" s="295"/>
      <c r="J1855" s="230"/>
      <c r="K1855" s="329"/>
      <c r="L1855" s="295"/>
      <c r="M1855" s="295"/>
      <c r="N1855" s="295"/>
      <c r="O1855" s="295"/>
      <c r="P1855" s="295"/>
      <c r="Q1855" s="295"/>
      <c r="R1855" s="295"/>
      <c r="S1855" s="295"/>
      <c r="T1855" s="295"/>
      <c r="U1855" s="295"/>
      <c r="V1855" s="295"/>
      <c r="W1855" s="295"/>
      <c r="X1855" s="295"/>
      <c r="Y1855" s="295"/>
      <c r="Z1855" s="295"/>
      <c r="AA1855" s="295"/>
    </row>
    <row r="1856">
      <c r="A1856" s="327"/>
      <c r="B1856" s="327"/>
      <c r="C1856" s="295"/>
      <c r="D1856" s="334"/>
      <c r="E1856" s="295"/>
      <c r="F1856" s="329"/>
      <c r="G1856" s="295"/>
      <c r="I1856" s="295"/>
      <c r="J1856" s="230"/>
      <c r="K1856" s="329"/>
      <c r="L1856" s="295"/>
      <c r="M1856" s="295"/>
      <c r="N1856" s="295"/>
      <c r="O1856" s="295"/>
      <c r="P1856" s="295"/>
      <c r="Q1856" s="295"/>
      <c r="R1856" s="295"/>
      <c r="S1856" s="295"/>
      <c r="T1856" s="295"/>
      <c r="U1856" s="295"/>
      <c r="V1856" s="295"/>
      <c r="W1856" s="295"/>
      <c r="X1856" s="295"/>
      <c r="Y1856" s="295"/>
      <c r="Z1856" s="295"/>
      <c r="AA1856" s="295"/>
    </row>
    <row r="1857">
      <c r="A1857" s="327"/>
      <c r="B1857" s="327"/>
      <c r="C1857" s="295"/>
      <c r="D1857" s="334"/>
      <c r="E1857" s="295"/>
      <c r="F1857" s="329"/>
      <c r="G1857" s="295"/>
      <c r="I1857" s="295"/>
      <c r="J1857" s="230"/>
      <c r="K1857" s="329"/>
      <c r="L1857" s="295"/>
      <c r="M1857" s="295"/>
      <c r="N1857" s="295"/>
      <c r="O1857" s="295"/>
      <c r="P1857" s="295"/>
      <c r="Q1857" s="295"/>
      <c r="R1857" s="295"/>
      <c r="S1857" s="295"/>
      <c r="T1857" s="295"/>
      <c r="U1857" s="295"/>
      <c r="V1857" s="295"/>
      <c r="W1857" s="295"/>
      <c r="X1857" s="295"/>
      <c r="Y1857" s="295"/>
      <c r="Z1857" s="295"/>
      <c r="AA1857" s="295"/>
    </row>
    <row r="1858">
      <c r="A1858" s="327"/>
      <c r="B1858" s="327"/>
      <c r="C1858" s="295"/>
      <c r="D1858" s="334"/>
      <c r="E1858" s="295"/>
      <c r="F1858" s="329"/>
      <c r="G1858" s="295"/>
      <c r="I1858" s="295"/>
      <c r="J1858" s="230"/>
      <c r="K1858" s="329"/>
      <c r="L1858" s="295"/>
      <c r="M1858" s="295"/>
      <c r="N1858" s="295"/>
      <c r="O1858" s="295"/>
      <c r="P1858" s="295"/>
      <c r="Q1858" s="295"/>
      <c r="R1858" s="295"/>
      <c r="S1858" s="295"/>
      <c r="T1858" s="295"/>
      <c r="U1858" s="295"/>
      <c r="V1858" s="295"/>
      <c r="W1858" s="295"/>
      <c r="X1858" s="295"/>
      <c r="Y1858" s="295"/>
      <c r="Z1858" s="295"/>
      <c r="AA1858" s="295"/>
    </row>
    <row r="1859">
      <c r="A1859" s="327"/>
      <c r="B1859" s="327"/>
      <c r="C1859" s="295"/>
      <c r="D1859" s="334"/>
      <c r="E1859" s="295"/>
      <c r="F1859" s="329"/>
      <c r="G1859" s="295"/>
      <c r="I1859" s="295"/>
      <c r="J1859" s="230"/>
      <c r="K1859" s="329"/>
      <c r="L1859" s="295"/>
      <c r="M1859" s="295"/>
      <c r="N1859" s="295"/>
      <c r="O1859" s="295"/>
      <c r="P1859" s="295"/>
      <c r="Q1859" s="295"/>
      <c r="R1859" s="295"/>
      <c r="S1859" s="295"/>
      <c r="T1859" s="295"/>
      <c r="U1859" s="295"/>
      <c r="V1859" s="295"/>
      <c r="W1859" s="295"/>
      <c r="X1859" s="295"/>
      <c r="Y1859" s="295"/>
      <c r="Z1859" s="295"/>
      <c r="AA1859" s="295"/>
    </row>
    <row r="1860">
      <c r="A1860" s="327"/>
      <c r="B1860" s="327"/>
      <c r="C1860" s="295"/>
      <c r="D1860" s="334"/>
      <c r="E1860" s="295"/>
      <c r="F1860" s="329"/>
      <c r="G1860" s="295"/>
      <c r="I1860" s="295"/>
      <c r="J1860" s="230"/>
      <c r="K1860" s="329"/>
      <c r="L1860" s="295"/>
      <c r="M1860" s="295"/>
      <c r="N1860" s="295"/>
      <c r="O1860" s="295"/>
      <c r="P1860" s="295"/>
      <c r="Q1860" s="295"/>
      <c r="R1860" s="295"/>
      <c r="S1860" s="295"/>
      <c r="T1860" s="295"/>
      <c r="U1860" s="295"/>
      <c r="V1860" s="295"/>
      <c r="W1860" s="295"/>
      <c r="X1860" s="295"/>
      <c r="Y1860" s="295"/>
      <c r="Z1860" s="295"/>
      <c r="AA1860" s="295"/>
    </row>
    <row r="1861">
      <c r="A1861" s="327"/>
      <c r="B1861" s="327"/>
      <c r="C1861" s="295"/>
      <c r="D1861" s="334"/>
      <c r="E1861" s="295"/>
      <c r="F1861" s="329"/>
      <c r="G1861" s="295"/>
      <c r="I1861" s="295"/>
      <c r="J1861" s="230"/>
      <c r="K1861" s="329"/>
      <c r="L1861" s="295"/>
      <c r="M1861" s="295"/>
      <c r="N1861" s="295"/>
      <c r="O1861" s="295"/>
      <c r="P1861" s="295"/>
      <c r="Q1861" s="295"/>
      <c r="R1861" s="295"/>
      <c r="S1861" s="295"/>
      <c r="T1861" s="295"/>
      <c r="U1861" s="295"/>
      <c r="V1861" s="295"/>
      <c r="W1861" s="295"/>
      <c r="X1861" s="295"/>
      <c r="Y1861" s="295"/>
      <c r="Z1861" s="295"/>
      <c r="AA1861" s="295"/>
    </row>
    <row r="1862">
      <c r="A1862" s="327"/>
      <c r="B1862" s="327"/>
      <c r="C1862" s="295"/>
      <c r="D1862" s="334"/>
      <c r="E1862" s="295"/>
      <c r="F1862" s="329"/>
      <c r="G1862" s="295"/>
      <c r="I1862" s="295"/>
      <c r="J1862" s="230"/>
      <c r="K1862" s="329"/>
      <c r="L1862" s="295"/>
      <c r="M1862" s="295"/>
      <c r="N1862" s="295"/>
      <c r="O1862" s="295"/>
      <c r="P1862" s="295"/>
      <c r="Q1862" s="295"/>
      <c r="R1862" s="295"/>
      <c r="S1862" s="295"/>
      <c r="T1862" s="295"/>
      <c r="U1862" s="295"/>
      <c r="V1862" s="295"/>
      <c r="W1862" s="295"/>
      <c r="X1862" s="295"/>
      <c r="Y1862" s="295"/>
      <c r="Z1862" s="295"/>
      <c r="AA1862" s="295"/>
    </row>
    <row r="1863">
      <c r="A1863" s="327"/>
      <c r="B1863" s="327"/>
      <c r="C1863" s="295"/>
      <c r="D1863" s="334"/>
      <c r="E1863" s="295"/>
      <c r="F1863" s="329"/>
      <c r="G1863" s="295"/>
      <c r="I1863" s="295"/>
      <c r="J1863" s="230"/>
      <c r="K1863" s="329"/>
      <c r="L1863" s="295"/>
      <c r="M1863" s="295"/>
      <c r="N1863" s="295"/>
      <c r="O1863" s="295"/>
      <c r="P1863" s="295"/>
      <c r="Q1863" s="295"/>
      <c r="R1863" s="295"/>
      <c r="S1863" s="295"/>
      <c r="T1863" s="295"/>
      <c r="U1863" s="295"/>
      <c r="V1863" s="295"/>
      <c r="W1863" s="295"/>
      <c r="X1863" s="295"/>
      <c r="Y1863" s="295"/>
      <c r="Z1863" s="295"/>
      <c r="AA1863" s="295"/>
    </row>
    <row r="1864">
      <c r="A1864" s="327"/>
      <c r="B1864" s="327"/>
      <c r="C1864" s="295"/>
      <c r="D1864" s="334"/>
      <c r="E1864" s="295"/>
      <c r="F1864" s="329"/>
      <c r="G1864" s="295"/>
      <c r="I1864" s="295"/>
      <c r="J1864" s="230"/>
      <c r="K1864" s="329"/>
      <c r="L1864" s="295"/>
      <c r="M1864" s="295"/>
      <c r="N1864" s="295"/>
      <c r="O1864" s="295"/>
      <c r="P1864" s="295"/>
      <c r="Q1864" s="295"/>
      <c r="R1864" s="295"/>
      <c r="S1864" s="295"/>
      <c r="T1864" s="295"/>
      <c r="U1864" s="295"/>
      <c r="V1864" s="295"/>
      <c r="W1864" s="295"/>
      <c r="X1864" s="295"/>
      <c r="Y1864" s="295"/>
      <c r="Z1864" s="295"/>
      <c r="AA1864" s="295"/>
    </row>
    <row r="1865">
      <c r="A1865" s="327"/>
      <c r="B1865" s="327"/>
      <c r="C1865" s="295"/>
      <c r="D1865" s="334"/>
      <c r="E1865" s="295"/>
      <c r="F1865" s="329"/>
      <c r="G1865" s="295"/>
      <c r="I1865" s="295"/>
      <c r="J1865" s="230"/>
      <c r="K1865" s="329"/>
      <c r="L1865" s="295"/>
      <c r="M1865" s="295"/>
      <c r="N1865" s="295"/>
      <c r="O1865" s="295"/>
      <c r="P1865" s="295"/>
      <c r="Q1865" s="295"/>
      <c r="R1865" s="295"/>
      <c r="S1865" s="295"/>
      <c r="T1865" s="295"/>
      <c r="U1865" s="295"/>
      <c r="V1865" s="295"/>
      <c r="W1865" s="295"/>
      <c r="X1865" s="295"/>
      <c r="Y1865" s="295"/>
      <c r="Z1865" s="295"/>
      <c r="AA1865" s="295"/>
    </row>
    <row r="1866">
      <c r="A1866" s="327"/>
      <c r="B1866" s="327"/>
      <c r="C1866" s="295"/>
      <c r="D1866" s="334"/>
      <c r="E1866" s="295"/>
      <c r="F1866" s="329"/>
      <c r="G1866" s="295"/>
      <c r="I1866" s="295"/>
      <c r="J1866" s="230"/>
      <c r="K1866" s="329"/>
      <c r="L1866" s="295"/>
      <c r="M1866" s="295"/>
      <c r="N1866" s="295"/>
      <c r="O1866" s="295"/>
      <c r="P1866" s="295"/>
      <c r="Q1866" s="295"/>
      <c r="R1866" s="295"/>
      <c r="S1866" s="295"/>
      <c r="T1866" s="295"/>
      <c r="U1866" s="295"/>
      <c r="V1866" s="295"/>
      <c r="W1866" s="295"/>
      <c r="X1866" s="295"/>
      <c r="Y1866" s="295"/>
      <c r="Z1866" s="295"/>
      <c r="AA1866" s="295"/>
    </row>
    <row r="1867">
      <c r="A1867" s="327"/>
      <c r="B1867" s="327"/>
      <c r="C1867" s="295"/>
      <c r="D1867" s="334"/>
      <c r="E1867" s="295"/>
      <c r="F1867" s="329"/>
      <c r="G1867" s="295"/>
      <c r="I1867" s="295"/>
      <c r="J1867" s="230"/>
      <c r="K1867" s="329"/>
      <c r="L1867" s="295"/>
      <c r="M1867" s="295"/>
      <c r="N1867" s="295"/>
      <c r="O1867" s="295"/>
      <c r="P1867" s="295"/>
      <c r="Q1867" s="295"/>
      <c r="R1867" s="295"/>
      <c r="S1867" s="295"/>
      <c r="T1867" s="295"/>
      <c r="U1867" s="295"/>
      <c r="V1867" s="295"/>
      <c r="W1867" s="295"/>
      <c r="X1867" s="295"/>
      <c r="Y1867" s="295"/>
      <c r="Z1867" s="295"/>
      <c r="AA1867" s="295"/>
    </row>
    <row r="1868">
      <c r="A1868" s="327"/>
      <c r="B1868" s="327"/>
      <c r="C1868" s="295"/>
      <c r="D1868" s="334"/>
      <c r="E1868" s="295"/>
      <c r="F1868" s="329"/>
      <c r="G1868" s="295"/>
      <c r="I1868" s="295"/>
      <c r="J1868" s="230"/>
      <c r="K1868" s="329"/>
      <c r="L1868" s="295"/>
      <c r="M1868" s="295"/>
      <c r="N1868" s="295"/>
      <c r="O1868" s="295"/>
      <c r="P1868" s="295"/>
      <c r="Q1868" s="295"/>
      <c r="R1868" s="295"/>
      <c r="S1868" s="295"/>
      <c r="T1868" s="295"/>
      <c r="U1868" s="295"/>
      <c r="V1868" s="295"/>
      <c r="W1868" s="295"/>
      <c r="X1868" s="295"/>
      <c r="Y1868" s="295"/>
      <c r="Z1868" s="295"/>
      <c r="AA1868" s="295"/>
    </row>
    <row r="1869">
      <c r="A1869" s="327"/>
      <c r="B1869" s="327"/>
      <c r="C1869" s="295"/>
      <c r="D1869" s="334"/>
      <c r="E1869" s="295"/>
      <c r="F1869" s="329"/>
      <c r="G1869" s="295"/>
      <c r="I1869" s="295"/>
      <c r="J1869" s="230"/>
      <c r="K1869" s="329"/>
      <c r="L1869" s="295"/>
      <c r="M1869" s="295"/>
      <c r="N1869" s="295"/>
      <c r="O1869" s="295"/>
      <c r="P1869" s="295"/>
      <c r="Q1869" s="295"/>
      <c r="R1869" s="295"/>
      <c r="S1869" s="295"/>
      <c r="T1869" s="295"/>
      <c r="U1869" s="295"/>
      <c r="V1869" s="295"/>
      <c r="W1869" s="295"/>
      <c r="X1869" s="295"/>
      <c r="Y1869" s="295"/>
      <c r="Z1869" s="295"/>
      <c r="AA1869" s="295"/>
    </row>
    <row r="1870">
      <c r="A1870" s="327"/>
      <c r="B1870" s="327"/>
      <c r="C1870" s="295"/>
      <c r="D1870" s="334"/>
      <c r="E1870" s="295"/>
      <c r="F1870" s="329"/>
      <c r="G1870" s="295"/>
      <c r="I1870" s="295"/>
      <c r="J1870" s="230"/>
      <c r="K1870" s="329"/>
      <c r="L1870" s="295"/>
      <c r="M1870" s="295"/>
      <c r="N1870" s="295"/>
      <c r="O1870" s="295"/>
      <c r="P1870" s="295"/>
      <c r="Q1870" s="295"/>
      <c r="R1870" s="295"/>
      <c r="S1870" s="295"/>
      <c r="T1870" s="295"/>
      <c r="U1870" s="295"/>
      <c r="V1870" s="295"/>
      <c r="W1870" s="295"/>
      <c r="X1870" s="295"/>
      <c r="Y1870" s="295"/>
      <c r="Z1870" s="295"/>
      <c r="AA1870" s="295"/>
    </row>
    <row r="1871">
      <c r="A1871" s="327"/>
      <c r="B1871" s="327"/>
      <c r="C1871" s="295"/>
      <c r="D1871" s="334"/>
      <c r="E1871" s="295"/>
      <c r="F1871" s="329"/>
      <c r="G1871" s="295"/>
      <c r="I1871" s="295"/>
      <c r="J1871" s="230"/>
      <c r="K1871" s="329"/>
      <c r="L1871" s="295"/>
      <c r="M1871" s="295"/>
      <c r="N1871" s="295"/>
      <c r="O1871" s="295"/>
      <c r="P1871" s="295"/>
      <c r="Q1871" s="295"/>
      <c r="R1871" s="295"/>
      <c r="S1871" s="295"/>
      <c r="T1871" s="295"/>
      <c r="U1871" s="295"/>
      <c r="V1871" s="295"/>
      <c r="W1871" s="295"/>
      <c r="X1871" s="295"/>
      <c r="Y1871" s="295"/>
      <c r="Z1871" s="295"/>
      <c r="AA1871" s="295"/>
    </row>
    <row r="1872">
      <c r="A1872" s="327"/>
      <c r="B1872" s="327"/>
      <c r="C1872" s="295"/>
      <c r="D1872" s="334"/>
      <c r="E1872" s="295"/>
      <c r="F1872" s="329"/>
      <c r="G1872" s="295"/>
      <c r="I1872" s="295"/>
      <c r="J1872" s="230"/>
      <c r="K1872" s="329"/>
      <c r="L1872" s="295"/>
      <c r="M1872" s="295"/>
      <c r="N1872" s="295"/>
      <c r="O1872" s="295"/>
      <c r="P1872" s="295"/>
      <c r="Q1872" s="295"/>
      <c r="R1872" s="295"/>
      <c r="S1872" s="295"/>
      <c r="T1872" s="295"/>
      <c r="U1872" s="295"/>
      <c r="V1872" s="295"/>
      <c r="W1872" s="295"/>
      <c r="X1872" s="295"/>
      <c r="Y1872" s="295"/>
      <c r="Z1872" s="295"/>
      <c r="AA1872" s="295"/>
    </row>
    <row r="1873">
      <c r="A1873" s="327"/>
      <c r="B1873" s="327"/>
      <c r="C1873" s="295"/>
      <c r="D1873" s="334"/>
      <c r="E1873" s="295"/>
      <c r="F1873" s="329"/>
      <c r="G1873" s="295"/>
      <c r="I1873" s="295"/>
      <c r="J1873" s="230"/>
      <c r="K1873" s="329"/>
      <c r="L1873" s="295"/>
      <c r="M1873" s="295"/>
      <c r="N1873" s="295"/>
      <c r="O1873" s="295"/>
      <c r="P1873" s="295"/>
      <c r="Q1873" s="295"/>
      <c r="R1873" s="295"/>
      <c r="S1873" s="295"/>
      <c r="T1873" s="295"/>
      <c r="U1873" s="295"/>
      <c r="V1873" s="295"/>
      <c r="W1873" s="295"/>
      <c r="X1873" s="295"/>
      <c r="Y1873" s="295"/>
      <c r="Z1873" s="295"/>
      <c r="AA1873" s="295"/>
    </row>
    <row r="1874">
      <c r="A1874" s="327"/>
      <c r="B1874" s="327"/>
      <c r="C1874" s="295"/>
      <c r="D1874" s="334"/>
      <c r="E1874" s="295"/>
      <c r="F1874" s="329"/>
      <c r="G1874" s="295"/>
      <c r="I1874" s="295"/>
      <c r="J1874" s="230"/>
      <c r="K1874" s="329"/>
      <c r="L1874" s="295"/>
      <c r="M1874" s="295"/>
      <c r="N1874" s="295"/>
      <c r="O1874" s="295"/>
      <c r="P1874" s="295"/>
      <c r="Q1874" s="295"/>
      <c r="R1874" s="295"/>
      <c r="S1874" s="295"/>
      <c r="T1874" s="295"/>
      <c r="U1874" s="295"/>
      <c r="V1874" s="295"/>
      <c r="W1874" s="295"/>
      <c r="X1874" s="295"/>
      <c r="Y1874" s="295"/>
      <c r="Z1874" s="295"/>
      <c r="AA1874" s="295"/>
    </row>
    <row r="1875">
      <c r="A1875" s="327"/>
      <c r="B1875" s="327"/>
      <c r="C1875" s="295"/>
      <c r="D1875" s="334"/>
      <c r="E1875" s="295"/>
      <c r="F1875" s="329"/>
      <c r="G1875" s="295"/>
      <c r="I1875" s="295"/>
      <c r="J1875" s="230"/>
      <c r="K1875" s="329"/>
      <c r="L1875" s="295"/>
      <c r="M1875" s="295"/>
      <c r="N1875" s="295"/>
      <c r="O1875" s="295"/>
      <c r="P1875" s="295"/>
      <c r="Q1875" s="295"/>
      <c r="R1875" s="295"/>
      <c r="S1875" s="295"/>
      <c r="T1875" s="295"/>
      <c r="U1875" s="295"/>
      <c r="V1875" s="295"/>
      <c r="W1875" s="295"/>
      <c r="X1875" s="295"/>
      <c r="Y1875" s="295"/>
      <c r="Z1875" s="295"/>
      <c r="AA1875" s="295"/>
    </row>
    <row r="1876">
      <c r="A1876" s="327"/>
      <c r="B1876" s="327"/>
      <c r="C1876" s="295"/>
      <c r="D1876" s="334"/>
      <c r="E1876" s="295"/>
      <c r="F1876" s="329"/>
      <c r="G1876" s="295"/>
      <c r="I1876" s="295"/>
      <c r="J1876" s="230"/>
      <c r="K1876" s="329"/>
      <c r="L1876" s="295"/>
      <c r="M1876" s="295"/>
      <c r="N1876" s="295"/>
      <c r="O1876" s="295"/>
      <c r="P1876" s="295"/>
      <c r="Q1876" s="295"/>
      <c r="R1876" s="295"/>
      <c r="S1876" s="295"/>
      <c r="T1876" s="295"/>
      <c r="U1876" s="295"/>
      <c r="V1876" s="295"/>
      <c r="W1876" s="295"/>
      <c r="X1876" s="295"/>
      <c r="Y1876" s="295"/>
      <c r="Z1876" s="295"/>
      <c r="AA1876" s="295"/>
    </row>
    <row r="1877">
      <c r="A1877" s="327"/>
      <c r="B1877" s="327"/>
      <c r="C1877" s="295"/>
      <c r="D1877" s="334"/>
      <c r="E1877" s="295"/>
      <c r="F1877" s="329"/>
      <c r="G1877" s="295"/>
      <c r="I1877" s="295"/>
      <c r="J1877" s="230"/>
      <c r="K1877" s="329"/>
      <c r="L1877" s="295"/>
      <c r="M1877" s="295"/>
      <c r="N1877" s="295"/>
      <c r="O1877" s="295"/>
      <c r="P1877" s="295"/>
      <c r="Q1877" s="295"/>
      <c r="R1877" s="295"/>
      <c r="S1877" s="295"/>
      <c r="T1877" s="295"/>
      <c r="U1877" s="295"/>
      <c r="V1877" s="295"/>
      <c r="W1877" s="295"/>
      <c r="X1877" s="295"/>
      <c r="Y1877" s="295"/>
      <c r="Z1877" s="295"/>
      <c r="AA1877" s="295"/>
    </row>
    <row r="1878">
      <c r="A1878" s="327"/>
      <c r="B1878" s="327"/>
      <c r="C1878" s="295"/>
      <c r="D1878" s="334"/>
      <c r="E1878" s="295"/>
      <c r="F1878" s="329"/>
      <c r="G1878" s="295"/>
      <c r="I1878" s="295"/>
      <c r="J1878" s="230"/>
      <c r="K1878" s="329"/>
      <c r="L1878" s="295"/>
      <c r="M1878" s="295"/>
      <c r="N1878" s="295"/>
      <c r="O1878" s="295"/>
      <c r="P1878" s="295"/>
      <c r="Q1878" s="295"/>
      <c r="R1878" s="295"/>
      <c r="S1878" s="295"/>
      <c r="T1878" s="295"/>
      <c r="U1878" s="295"/>
      <c r="V1878" s="295"/>
      <c r="W1878" s="295"/>
      <c r="X1878" s="295"/>
      <c r="Y1878" s="295"/>
      <c r="Z1878" s="295"/>
      <c r="AA1878" s="295"/>
    </row>
    <row r="1879">
      <c r="A1879" s="327"/>
      <c r="B1879" s="327"/>
      <c r="C1879" s="295"/>
      <c r="D1879" s="334"/>
      <c r="E1879" s="295"/>
      <c r="F1879" s="329"/>
      <c r="G1879" s="295"/>
      <c r="I1879" s="295"/>
      <c r="J1879" s="230"/>
      <c r="K1879" s="329"/>
      <c r="L1879" s="295"/>
      <c r="M1879" s="295"/>
      <c r="N1879" s="295"/>
      <c r="O1879" s="295"/>
      <c r="P1879" s="295"/>
      <c r="Q1879" s="295"/>
      <c r="R1879" s="295"/>
      <c r="S1879" s="295"/>
      <c r="T1879" s="295"/>
      <c r="U1879" s="295"/>
      <c r="V1879" s="295"/>
      <c r="W1879" s="295"/>
      <c r="X1879" s="295"/>
      <c r="Y1879" s="295"/>
      <c r="Z1879" s="295"/>
      <c r="AA1879" s="295"/>
    </row>
    <row r="1880">
      <c r="A1880" s="327"/>
      <c r="B1880" s="327"/>
      <c r="C1880" s="295"/>
      <c r="D1880" s="334"/>
      <c r="E1880" s="295"/>
      <c r="F1880" s="329"/>
      <c r="G1880" s="295"/>
      <c r="I1880" s="295"/>
      <c r="J1880" s="230"/>
      <c r="K1880" s="329"/>
      <c r="L1880" s="295"/>
      <c r="M1880" s="295"/>
      <c r="N1880" s="295"/>
      <c r="O1880" s="295"/>
      <c r="P1880" s="295"/>
      <c r="Q1880" s="295"/>
      <c r="R1880" s="295"/>
      <c r="S1880" s="295"/>
      <c r="T1880" s="295"/>
      <c r="U1880" s="295"/>
      <c r="V1880" s="295"/>
      <c r="W1880" s="295"/>
      <c r="X1880" s="295"/>
      <c r="Y1880" s="295"/>
      <c r="Z1880" s="295"/>
      <c r="AA1880" s="295"/>
    </row>
    <row r="1881">
      <c r="A1881" s="327"/>
      <c r="B1881" s="327"/>
      <c r="C1881" s="295"/>
      <c r="D1881" s="334"/>
      <c r="E1881" s="295"/>
      <c r="F1881" s="329"/>
      <c r="G1881" s="295"/>
      <c r="I1881" s="295"/>
      <c r="J1881" s="230"/>
      <c r="K1881" s="329"/>
      <c r="L1881" s="295"/>
      <c r="M1881" s="295"/>
      <c r="N1881" s="295"/>
      <c r="O1881" s="295"/>
      <c r="P1881" s="295"/>
      <c r="Q1881" s="295"/>
      <c r="R1881" s="295"/>
      <c r="S1881" s="295"/>
      <c r="T1881" s="295"/>
      <c r="U1881" s="295"/>
      <c r="V1881" s="295"/>
      <c r="W1881" s="295"/>
      <c r="X1881" s="295"/>
      <c r="Y1881" s="295"/>
      <c r="Z1881" s="295"/>
      <c r="AA1881" s="295"/>
    </row>
    <row r="1882">
      <c r="A1882" s="327"/>
      <c r="B1882" s="327"/>
      <c r="C1882" s="295"/>
      <c r="D1882" s="334"/>
      <c r="E1882" s="295"/>
      <c r="F1882" s="329"/>
      <c r="G1882" s="295"/>
      <c r="I1882" s="295"/>
      <c r="J1882" s="230"/>
      <c r="K1882" s="329"/>
      <c r="L1882" s="295"/>
      <c r="M1882" s="295"/>
      <c r="N1882" s="295"/>
      <c r="O1882" s="295"/>
      <c r="P1882" s="295"/>
      <c r="Q1882" s="295"/>
      <c r="R1882" s="295"/>
      <c r="S1882" s="295"/>
      <c r="T1882" s="295"/>
      <c r="U1882" s="295"/>
      <c r="V1882" s="295"/>
      <c r="W1882" s="295"/>
      <c r="X1882" s="295"/>
      <c r="Y1882" s="295"/>
      <c r="Z1882" s="295"/>
      <c r="AA1882" s="295"/>
    </row>
    <row r="1883">
      <c r="A1883" s="327"/>
      <c r="B1883" s="327"/>
      <c r="C1883" s="295"/>
      <c r="D1883" s="334"/>
      <c r="E1883" s="295"/>
      <c r="F1883" s="329"/>
      <c r="G1883" s="295"/>
      <c r="I1883" s="295"/>
      <c r="J1883" s="230"/>
      <c r="K1883" s="329"/>
      <c r="L1883" s="295"/>
      <c r="M1883" s="295"/>
      <c r="N1883" s="295"/>
      <c r="O1883" s="295"/>
      <c r="P1883" s="295"/>
      <c r="Q1883" s="295"/>
      <c r="R1883" s="295"/>
      <c r="S1883" s="295"/>
      <c r="T1883" s="295"/>
      <c r="U1883" s="295"/>
      <c r="V1883" s="295"/>
      <c r="W1883" s="295"/>
      <c r="X1883" s="295"/>
      <c r="Y1883" s="295"/>
      <c r="Z1883" s="295"/>
      <c r="AA1883" s="295"/>
    </row>
    <row r="1884">
      <c r="A1884" s="327"/>
      <c r="B1884" s="327"/>
      <c r="C1884" s="295"/>
      <c r="D1884" s="334"/>
      <c r="E1884" s="295"/>
      <c r="F1884" s="329"/>
      <c r="G1884" s="295"/>
      <c r="I1884" s="295"/>
      <c r="J1884" s="230"/>
      <c r="K1884" s="329"/>
      <c r="L1884" s="295"/>
      <c r="M1884" s="295"/>
      <c r="N1884" s="295"/>
      <c r="O1884" s="295"/>
      <c r="P1884" s="295"/>
      <c r="Q1884" s="295"/>
      <c r="R1884" s="295"/>
      <c r="S1884" s="295"/>
      <c r="T1884" s="295"/>
      <c r="U1884" s="295"/>
      <c r="V1884" s="295"/>
      <c r="W1884" s="295"/>
      <c r="X1884" s="295"/>
      <c r="Y1884" s="295"/>
      <c r="Z1884" s="295"/>
      <c r="AA1884" s="295"/>
    </row>
    <row r="1885">
      <c r="A1885" s="327"/>
      <c r="B1885" s="327"/>
      <c r="C1885" s="295"/>
      <c r="D1885" s="334"/>
      <c r="E1885" s="295"/>
      <c r="F1885" s="329"/>
      <c r="G1885" s="295"/>
      <c r="I1885" s="295"/>
      <c r="J1885" s="230"/>
      <c r="K1885" s="329"/>
      <c r="L1885" s="295"/>
      <c r="M1885" s="295"/>
      <c r="N1885" s="295"/>
      <c r="O1885" s="295"/>
      <c r="P1885" s="295"/>
      <c r="Q1885" s="295"/>
      <c r="R1885" s="295"/>
      <c r="S1885" s="295"/>
      <c r="T1885" s="295"/>
      <c r="U1885" s="295"/>
      <c r="V1885" s="295"/>
      <c r="W1885" s="295"/>
      <c r="X1885" s="295"/>
      <c r="Y1885" s="295"/>
      <c r="Z1885" s="295"/>
      <c r="AA1885" s="295"/>
    </row>
    <row r="1886">
      <c r="A1886" s="327"/>
      <c r="B1886" s="327"/>
      <c r="C1886" s="295"/>
      <c r="D1886" s="334"/>
      <c r="E1886" s="295"/>
      <c r="F1886" s="329"/>
      <c r="G1886" s="295"/>
      <c r="I1886" s="295"/>
      <c r="J1886" s="230"/>
      <c r="K1886" s="329"/>
      <c r="L1886" s="295"/>
      <c r="M1886" s="295"/>
      <c r="N1886" s="295"/>
      <c r="O1886" s="295"/>
      <c r="P1886" s="295"/>
      <c r="Q1886" s="295"/>
      <c r="R1886" s="295"/>
      <c r="S1886" s="295"/>
      <c r="T1886" s="295"/>
      <c r="U1886" s="295"/>
      <c r="V1886" s="295"/>
      <c r="W1886" s="295"/>
      <c r="X1886" s="295"/>
      <c r="Y1886" s="295"/>
      <c r="Z1886" s="295"/>
      <c r="AA1886" s="295"/>
    </row>
    <row r="1887">
      <c r="A1887" s="327"/>
      <c r="B1887" s="327"/>
      <c r="C1887" s="295"/>
      <c r="D1887" s="334"/>
      <c r="E1887" s="295"/>
      <c r="F1887" s="329"/>
      <c r="G1887" s="295"/>
      <c r="I1887" s="295"/>
      <c r="J1887" s="230"/>
      <c r="K1887" s="329"/>
      <c r="L1887" s="295"/>
      <c r="M1887" s="295"/>
      <c r="N1887" s="295"/>
      <c r="O1887" s="295"/>
      <c r="P1887" s="295"/>
      <c r="Q1887" s="295"/>
      <c r="R1887" s="295"/>
      <c r="S1887" s="295"/>
      <c r="T1887" s="295"/>
      <c r="U1887" s="295"/>
      <c r="V1887" s="295"/>
      <c r="W1887" s="295"/>
      <c r="X1887" s="295"/>
      <c r="Y1887" s="295"/>
      <c r="Z1887" s="295"/>
      <c r="AA1887" s="295"/>
    </row>
    <row r="1888">
      <c r="A1888" s="327"/>
      <c r="B1888" s="327"/>
      <c r="C1888" s="295"/>
      <c r="D1888" s="334"/>
      <c r="E1888" s="295"/>
      <c r="F1888" s="329"/>
      <c r="G1888" s="295"/>
      <c r="I1888" s="295"/>
      <c r="J1888" s="230"/>
      <c r="K1888" s="329"/>
      <c r="L1888" s="295"/>
      <c r="M1888" s="295"/>
      <c r="N1888" s="295"/>
      <c r="O1888" s="295"/>
      <c r="P1888" s="295"/>
      <c r="Q1888" s="295"/>
      <c r="R1888" s="295"/>
      <c r="S1888" s="295"/>
      <c r="T1888" s="295"/>
      <c r="U1888" s="295"/>
      <c r="V1888" s="295"/>
      <c r="W1888" s="295"/>
      <c r="X1888" s="295"/>
      <c r="Y1888" s="295"/>
      <c r="Z1888" s="295"/>
      <c r="AA1888" s="295"/>
    </row>
    <row r="1889">
      <c r="A1889" s="327"/>
      <c r="B1889" s="327"/>
      <c r="C1889" s="295"/>
      <c r="D1889" s="334"/>
      <c r="E1889" s="295"/>
      <c r="F1889" s="329"/>
      <c r="G1889" s="295"/>
      <c r="I1889" s="295"/>
      <c r="J1889" s="230"/>
      <c r="K1889" s="329"/>
      <c r="L1889" s="295"/>
      <c r="M1889" s="295"/>
      <c r="N1889" s="295"/>
      <c r="O1889" s="295"/>
      <c r="P1889" s="295"/>
      <c r="Q1889" s="295"/>
      <c r="R1889" s="295"/>
      <c r="S1889" s="295"/>
      <c r="T1889" s="295"/>
      <c r="U1889" s="295"/>
      <c r="V1889" s="295"/>
      <c r="W1889" s="295"/>
      <c r="X1889" s="295"/>
      <c r="Y1889" s="295"/>
      <c r="Z1889" s="295"/>
      <c r="AA1889" s="295"/>
    </row>
    <row r="1890">
      <c r="A1890" s="327"/>
      <c r="B1890" s="327"/>
      <c r="C1890" s="295"/>
      <c r="D1890" s="334"/>
      <c r="E1890" s="295"/>
      <c r="F1890" s="329"/>
      <c r="G1890" s="295"/>
      <c r="I1890" s="295"/>
      <c r="J1890" s="230"/>
      <c r="K1890" s="329"/>
      <c r="L1890" s="295"/>
      <c r="M1890" s="295"/>
      <c r="N1890" s="295"/>
      <c r="O1890" s="295"/>
      <c r="P1890" s="295"/>
      <c r="Q1890" s="295"/>
      <c r="R1890" s="295"/>
      <c r="S1890" s="295"/>
      <c r="T1890" s="295"/>
      <c r="U1890" s="295"/>
      <c r="V1890" s="295"/>
      <c r="W1890" s="295"/>
      <c r="X1890" s="295"/>
      <c r="Y1890" s="295"/>
      <c r="Z1890" s="295"/>
      <c r="AA1890" s="295"/>
    </row>
    <row r="1891">
      <c r="A1891" s="327"/>
      <c r="B1891" s="327"/>
      <c r="C1891" s="295"/>
      <c r="D1891" s="334"/>
      <c r="E1891" s="295"/>
      <c r="F1891" s="329"/>
      <c r="G1891" s="295"/>
      <c r="I1891" s="295"/>
      <c r="J1891" s="230"/>
      <c r="K1891" s="329"/>
      <c r="L1891" s="295"/>
      <c r="M1891" s="295"/>
      <c r="N1891" s="295"/>
      <c r="O1891" s="295"/>
      <c r="P1891" s="295"/>
      <c r="Q1891" s="295"/>
      <c r="R1891" s="295"/>
      <c r="S1891" s="295"/>
      <c r="T1891" s="295"/>
      <c r="U1891" s="295"/>
      <c r="V1891" s="295"/>
      <c r="W1891" s="295"/>
      <c r="X1891" s="295"/>
      <c r="Y1891" s="295"/>
      <c r="Z1891" s="295"/>
      <c r="AA1891" s="295"/>
    </row>
    <row r="1892">
      <c r="A1892" s="327"/>
      <c r="B1892" s="327"/>
      <c r="C1892" s="295"/>
      <c r="D1892" s="334"/>
      <c r="E1892" s="295"/>
      <c r="F1892" s="329"/>
      <c r="G1892" s="295"/>
      <c r="I1892" s="295"/>
      <c r="J1892" s="230"/>
      <c r="K1892" s="329"/>
      <c r="L1892" s="295"/>
      <c r="M1892" s="295"/>
      <c r="N1892" s="295"/>
      <c r="O1892" s="295"/>
      <c r="P1892" s="295"/>
      <c r="Q1892" s="295"/>
      <c r="R1892" s="295"/>
      <c r="S1892" s="295"/>
      <c r="T1892" s="295"/>
      <c r="U1892" s="295"/>
      <c r="V1892" s="295"/>
      <c r="W1892" s="295"/>
      <c r="X1892" s="295"/>
      <c r="Y1892" s="295"/>
      <c r="Z1892" s="295"/>
      <c r="AA1892" s="295"/>
    </row>
    <row r="1893">
      <c r="A1893" s="327"/>
      <c r="B1893" s="327"/>
      <c r="C1893" s="295"/>
      <c r="D1893" s="334"/>
      <c r="E1893" s="295"/>
      <c r="F1893" s="329"/>
      <c r="G1893" s="295"/>
      <c r="I1893" s="295"/>
      <c r="J1893" s="230"/>
      <c r="K1893" s="329"/>
      <c r="L1893" s="295"/>
      <c r="M1893" s="295"/>
      <c r="N1893" s="295"/>
      <c r="O1893" s="295"/>
      <c r="P1893" s="295"/>
      <c r="Q1893" s="295"/>
      <c r="R1893" s="295"/>
      <c r="S1893" s="295"/>
      <c r="T1893" s="295"/>
      <c r="U1893" s="295"/>
      <c r="V1893" s="295"/>
      <c r="W1893" s="295"/>
      <c r="X1893" s="295"/>
      <c r="Y1893" s="295"/>
      <c r="Z1893" s="295"/>
      <c r="AA1893" s="295"/>
    </row>
    <row r="1894">
      <c r="A1894" s="327"/>
      <c r="B1894" s="327"/>
      <c r="C1894" s="295"/>
      <c r="D1894" s="334"/>
      <c r="E1894" s="295"/>
      <c r="F1894" s="329"/>
      <c r="G1894" s="295"/>
      <c r="I1894" s="295"/>
      <c r="J1894" s="230"/>
      <c r="K1894" s="329"/>
      <c r="L1894" s="295"/>
      <c r="M1894" s="295"/>
      <c r="N1894" s="295"/>
      <c r="O1894" s="295"/>
      <c r="P1894" s="295"/>
      <c r="Q1894" s="295"/>
      <c r="R1894" s="295"/>
      <c r="S1894" s="295"/>
      <c r="T1894" s="295"/>
      <c r="U1894" s="295"/>
      <c r="V1894" s="295"/>
      <c r="W1894" s="295"/>
      <c r="X1894" s="295"/>
      <c r="Y1894" s="295"/>
      <c r="Z1894" s="295"/>
      <c r="AA1894" s="295"/>
    </row>
    <row r="1895">
      <c r="A1895" s="327"/>
      <c r="B1895" s="327"/>
      <c r="C1895" s="295"/>
      <c r="D1895" s="334"/>
      <c r="E1895" s="295"/>
      <c r="F1895" s="329"/>
      <c r="G1895" s="295"/>
      <c r="I1895" s="295"/>
      <c r="J1895" s="230"/>
      <c r="K1895" s="329"/>
      <c r="L1895" s="295"/>
      <c r="M1895" s="295"/>
      <c r="N1895" s="295"/>
      <c r="O1895" s="295"/>
      <c r="P1895" s="295"/>
      <c r="Q1895" s="295"/>
      <c r="R1895" s="295"/>
      <c r="S1895" s="295"/>
      <c r="T1895" s="295"/>
      <c r="U1895" s="295"/>
      <c r="V1895" s="295"/>
      <c r="W1895" s="295"/>
      <c r="X1895" s="295"/>
      <c r="Y1895" s="295"/>
      <c r="Z1895" s="295"/>
      <c r="AA1895" s="295"/>
    </row>
    <row r="1896">
      <c r="A1896" s="327"/>
      <c r="B1896" s="327"/>
      <c r="C1896" s="295"/>
      <c r="D1896" s="334"/>
      <c r="E1896" s="295"/>
      <c r="F1896" s="329"/>
      <c r="G1896" s="295"/>
      <c r="I1896" s="295"/>
      <c r="J1896" s="230"/>
      <c r="K1896" s="329"/>
      <c r="L1896" s="295"/>
      <c r="M1896" s="295"/>
      <c r="N1896" s="295"/>
      <c r="O1896" s="295"/>
      <c r="P1896" s="295"/>
      <c r="Q1896" s="295"/>
      <c r="R1896" s="295"/>
      <c r="S1896" s="295"/>
      <c r="T1896" s="295"/>
      <c r="U1896" s="295"/>
      <c r="V1896" s="295"/>
      <c r="W1896" s="295"/>
      <c r="X1896" s="295"/>
      <c r="Y1896" s="295"/>
      <c r="Z1896" s="295"/>
      <c r="AA1896" s="295"/>
    </row>
    <row r="1897">
      <c r="A1897" s="327"/>
      <c r="B1897" s="327"/>
      <c r="C1897" s="295"/>
      <c r="D1897" s="334"/>
      <c r="E1897" s="295"/>
      <c r="F1897" s="329"/>
      <c r="G1897" s="295"/>
      <c r="I1897" s="295"/>
      <c r="J1897" s="230"/>
      <c r="K1897" s="329"/>
      <c r="L1897" s="295"/>
      <c r="M1897" s="295"/>
      <c r="N1897" s="295"/>
      <c r="O1897" s="295"/>
      <c r="P1897" s="295"/>
      <c r="Q1897" s="295"/>
      <c r="R1897" s="295"/>
      <c r="S1897" s="295"/>
      <c r="T1897" s="295"/>
      <c r="U1897" s="295"/>
      <c r="V1897" s="295"/>
      <c r="W1897" s="295"/>
      <c r="X1897" s="295"/>
      <c r="Y1897" s="295"/>
      <c r="Z1897" s="295"/>
      <c r="AA1897" s="295"/>
    </row>
    <row r="1898">
      <c r="A1898" s="327"/>
      <c r="B1898" s="327"/>
      <c r="C1898" s="295"/>
      <c r="D1898" s="334"/>
      <c r="E1898" s="295"/>
      <c r="F1898" s="329"/>
      <c r="G1898" s="295"/>
      <c r="I1898" s="295"/>
      <c r="J1898" s="230"/>
      <c r="K1898" s="329"/>
      <c r="L1898" s="295"/>
      <c r="M1898" s="295"/>
      <c r="N1898" s="295"/>
      <c r="O1898" s="295"/>
      <c r="P1898" s="295"/>
      <c r="Q1898" s="295"/>
      <c r="R1898" s="295"/>
      <c r="S1898" s="295"/>
      <c r="T1898" s="295"/>
      <c r="U1898" s="295"/>
      <c r="V1898" s="295"/>
      <c r="W1898" s="295"/>
      <c r="X1898" s="295"/>
      <c r="Y1898" s="295"/>
      <c r="Z1898" s="295"/>
      <c r="AA1898" s="295"/>
    </row>
    <row r="1899">
      <c r="A1899" s="327"/>
      <c r="B1899" s="327"/>
      <c r="C1899" s="295"/>
      <c r="D1899" s="334"/>
      <c r="E1899" s="295"/>
      <c r="F1899" s="329"/>
      <c r="G1899" s="295"/>
      <c r="I1899" s="295"/>
      <c r="J1899" s="230"/>
      <c r="K1899" s="329"/>
      <c r="L1899" s="295"/>
      <c r="M1899" s="295"/>
      <c r="N1899" s="295"/>
      <c r="O1899" s="295"/>
      <c r="P1899" s="295"/>
      <c r="Q1899" s="295"/>
      <c r="R1899" s="295"/>
      <c r="S1899" s="295"/>
      <c r="T1899" s="295"/>
      <c r="U1899" s="295"/>
      <c r="V1899" s="295"/>
      <c r="W1899" s="295"/>
      <c r="X1899" s="295"/>
      <c r="Y1899" s="295"/>
      <c r="Z1899" s="295"/>
      <c r="AA1899" s="295"/>
    </row>
    <row r="1900">
      <c r="A1900" s="327"/>
      <c r="B1900" s="327"/>
      <c r="C1900" s="295"/>
      <c r="D1900" s="334"/>
      <c r="E1900" s="295"/>
      <c r="F1900" s="329"/>
      <c r="G1900" s="295"/>
      <c r="I1900" s="295"/>
      <c r="J1900" s="230"/>
      <c r="K1900" s="329"/>
      <c r="L1900" s="295"/>
      <c r="M1900" s="295"/>
      <c r="N1900" s="295"/>
      <c r="O1900" s="295"/>
      <c r="P1900" s="295"/>
      <c r="Q1900" s="295"/>
      <c r="R1900" s="295"/>
      <c r="S1900" s="295"/>
      <c r="T1900" s="295"/>
      <c r="U1900" s="295"/>
      <c r="V1900" s="295"/>
      <c r="W1900" s="295"/>
      <c r="X1900" s="295"/>
      <c r="Y1900" s="295"/>
      <c r="Z1900" s="295"/>
      <c r="AA1900" s="295"/>
    </row>
    <row r="1901">
      <c r="A1901" s="327"/>
      <c r="B1901" s="327"/>
      <c r="C1901" s="295"/>
      <c r="D1901" s="334"/>
      <c r="E1901" s="295"/>
      <c r="F1901" s="329"/>
      <c r="G1901" s="295"/>
      <c r="I1901" s="295"/>
      <c r="J1901" s="230"/>
      <c r="K1901" s="329"/>
      <c r="L1901" s="295"/>
      <c r="M1901" s="295"/>
      <c r="N1901" s="295"/>
      <c r="O1901" s="295"/>
      <c r="P1901" s="295"/>
      <c r="Q1901" s="295"/>
      <c r="R1901" s="295"/>
      <c r="S1901" s="295"/>
      <c r="T1901" s="295"/>
      <c r="U1901" s="295"/>
      <c r="V1901" s="295"/>
      <c r="W1901" s="295"/>
      <c r="X1901" s="295"/>
      <c r="Y1901" s="295"/>
      <c r="Z1901" s="295"/>
      <c r="AA1901" s="295"/>
    </row>
    <row r="1902">
      <c r="A1902" s="327"/>
      <c r="B1902" s="327"/>
      <c r="C1902" s="295"/>
      <c r="D1902" s="334"/>
      <c r="E1902" s="295"/>
      <c r="F1902" s="329"/>
      <c r="G1902" s="295"/>
      <c r="I1902" s="295"/>
      <c r="J1902" s="230"/>
      <c r="K1902" s="329"/>
      <c r="L1902" s="295"/>
      <c r="M1902" s="295"/>
      <c r="N1902" s="295"/>
      <c r="O1902" s="295"/>
      <c r="P1902" s="295"/>
      <c r="Q1902" s="295"/>
      <c r="R1902" s="295"/>
      <c r="S1902" s="295"/>
      <c r="T1902" s="295"/>
      <c r="U1902" s="295"/>
      <c r="V1902" s="295"/>
      <c r="W1902" s="295"/>
      <c r="X1902" s="295"/>
      <c r="Y1902" s="295"/>
      <c r="Z1902" s="295"/>
      <c r="AA1902" s="295"/>
    </row>
    <row r="1903">
      <c r="A1903" s="327"/>
      <c r="B1903" s="327"/>
      <c r="C1903" s="295"/>
      <c r="D1903" s="334"/>
      <c r="E1903" s="295"/>
      <c r="F1903" s="329"/>
      <c r="G1903" s="295"/>
      <c r="I1903" s="295"/>
      <c r="J1903" s="230"/>
      <c r="K1903" s="329"/>
      <c r="L1903" s="295"/>
      <c r="M1903" s="295"/>
      <c r="N1903" s="295"/>
      <c r="O1903" s="295"/>
      <c r="P1903" s="295"/>
      <c r="Q1903" s="295"/>
      <c r="R1903" s="295"/>
      <c r="S1903" s="295"/>
      <c r="T1903" s="295"/>
      <c r="U1903" s="295"/>
      <c r="V1903" s="295"/>
      <c r="W1903" s="295"/>
      <c r="X1903" s="295"/>
      <c r="Y1903" s="295"/>
      <c r="Z1903" s="295"/>
      <c r="AA1903" s="295"/>
    </row>
    <row r="1904">
      <c r="A1904" s="327"/>
      <c r="B1904" s="327"/>
      <c r="C1904" s="295"/>
      <c r="D1904" s="334"/>
      <c r="E1904" s="295"/>
      <c r="F1904" s="329"/>
      <c r="G1904" s="295"/>
      <c r="I1904" s="295"/>
      <c r="J1904" s="230"/>
      <c r="K1904" s="329"/>
      <c r="L1904" s="295"/>
      <c r="M1904" s="295"/>
      <c r="N1904" s="295"/>
      <c r="O1904" s="295"/>
      <c r="P1904" s="295"/>
      <c r="Q1904" s="295"/>
      <c r="R1904" s="295"/>
      <c r="S1904" s="295"/>
      <c r="T1904" s="295"/>
      <c r="U1904" s="295"/>
      <c r="V1904" s="295"/>
      <c r="W1904" s="295"/>
      <c r="X1904" s="295"/>
      <c r="Y1904" s="295"/>
      <c r="Z1904" s="295"/>
      <c r="AA1904" s="295"/>
    </row>
    <row r="1905">
      <c r="A1905" s="327"/>
      <c r="B1905" s="327"/>
      <c r="C1905" s="295"/>
      <c r="D1905" s="334"/>
      <c r="E1905" s="295"/>
      <c r="F1905" s="329"/>
      <c r="G1905" s="295"/>
      <c r="I1905" s="295"/>
      <c r="J1905" s="230"/>
      <c r="K1905" s="329"/>
      <c r="L1905" s="295"/>
      <c r="M1905" s="295"/>
      <c r="N1905" s="295"/>
      <c r="O1905" s="295"/>
      <c r="P1905" s="295"/>
      <c r="Q1905" s="295"/>
      <c r="R1905" s="295"/>
      <c r="S1905" s="295"/>
      <c r="T1905" s="295"/>
      <c r="U1905" s="295"/>
      <c r="V1905" s="295"/>
      <c r="W1905" s="295"/>
      <c r="X1905" s="295"/>
      <c r="Y1905" s="295"/>
      <c r="Z1905" s="295"/>
      <c r="AA1905" s="295"/>
    </row>
    <row r="1906">
      <c r="A1906" s="327"/>
      <c r="B1906" s="327"/>
      <c r="C1906" s="295"/>
      <c r="D1906" s="334"/>
      <c r="E1906" s="295"/>
      <c r="F1906" s="329"/>
      <c r="G1906" s="295"/>
      <c r="I1906" s="295"/>
      <c r="J1906" s="230"/>
      <c r="K1906" s="329"/>
      <c r="L1906" s="295"/>
      <c r="M1906" s="295"/>
      <c r="N1906" s="295"/>
      <c r="O1906" s="295"/>
      <c r="P1906" s="295"/>
      <c r="Q1906" s="295"/>
      <c r="R1906" s="295"/>
      <c r="S1906" s="295"/>
      <c r="T1906" s="295"/>
      <c r="U1906" s="295"/>
      <c r="V1906" s="295"/>
      <c r="W1906" s="295"/>
      <c r="X1906" s="295"/>
      <c r="Y1906" s="295"/>
      <c r="Z1906" s="295"/>
      <c r="AA1906" s="295"/>
    </row>
    <row r="1907">
      <c r="A1907" s="327"/>
      <c r="B1907" s="327"/>
      <c r="C1907" s="295"/>
      <c r="D1907" s="334"/>
      <c r="E1907" s="295"/>
      <c r="F1907" s="329"/>
      <c r="G1907" s="295"/>
      <c r="I1907" s="295"/>
      <c r="J1907" s="230"/>
      <c r="K1907" s="329"/>
      <c r="L1907" s="295"/>
      <c r="M1907" s="295"/>
      <c r="N1907" s="295"/>
      <c r="O1907" s="295"/>
      <c r="P1907" s="295"/>
      <c r="Q1907" s="295"/>
      <c r="R1907" s="295"/>
      <c r="S1907" s="295"/>
      <c r="T1907" s="295"/>
      <c r="U1907" s="295"/>
      <c r="V1907" s="295"/>
      <c r="W1907" s="295"/>
      <c r="X1907" s="295"/>
      <c r="Y1907" s="295"/>
      <c r="Z1907" s="295"/>
      <c r="AA1907" s="295"/>
    </row>
  </sheetData>
  <autoFilter ref="$A$1:$J$1407"/>
  <printOptions gridLines="1" horizontalCentered="1" verticalCentered="1"/>
  <pageMargins bottom="0.75" footer="0.0" header="0.0" left="0.7" right="0.7" top="0.75"/>
  <pageSetup paperSize="9" scale="50" cellComments="atEnd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16.86"/>
    <col customWidth="1" min="3" max="3" width="72.57"/>
    <col customWidth="1" min="4" max="4" width="6.71"/>
    <col customWidth="1" min="5" max="5" width="8.57"/>
    <col customWidth="1" min="6" max="6" width="11.57"/>
    <col customWidth="1" min="7" max="7" width="9.14"/>
    <col customWidth="1" min="8" max="8" width="11.14"/>
    <col customWidth="1" min="9" max="9" width="12.57"/>
    <col customWidth="1" min="10" max="10" width="14.14"/>
    <col customWidth="1" min="11" max="11" width="7.43"/>
    <col customWidth="1" min="12" max="12" width="68.71"/>
    <col customWidth="1" min="13" max="13" width="3.29"/>
    <col customWidth="1" min="14" max="14" width="10.29"/>
    <col customWidth="1" min="15" max="15" width="38.86"/>
    <col customWidth="1" min="16" max="16" width="25.57"/>
  </cols>
  <sheetData>
    <row r="1">
      <c r="A1" s="337" t="s">
        <v>2581</v>
      </c>
      <c r="B1" s="337"/>
      <c r="C1" s="338"/>
      <c r="D1" s="338"/>
      <c r="E1" s="339"/>
      <c r="F1" s="338"/>
      <c r="G1" s="338"/>
      <c r="H1" s="340"/>
      <c r="I1" s="340"/>
      <c r="J1" s="337"/>
      <c r="K1" s="337"/>
      <c r="L1" s="337"/>
      <c r="M1" s="337"/>
      <c r="N1" s="341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</row>
    <row r="2">
      <c r="A2" s="337"/>
      <c r="B2" s="343" t="s">
        <v>119</v>
      </c>
      <c r="C2" s="344" t="s">
        <v>2582</v>
      </c>
      <c r="D2" s="345"/>
      <c r="E2" s="345"/>
      <c r="F2" s="345"/>
      <c r="G2" s="346"/>
      <c r="H2" s="347" t="s">
        <v>2583</v>
      </c>
      <c r="I2" s="347" t="s">
        <v>2584</v>
      </c>
      <c r="J2" s="343" t="s">
        <v>2585</v>
      </c>
      <c r="K2" s="348"/>
      <c r="L2" s="349" t="s">
        <v>2586</v>
      </c>
      <c r="M2" s="346"/>
      <c r="N2" s="341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2"/>
      <c r="AE2" s="342"/>
      <c r="AF2" s="342"/>
    </row>
    <row r="3">
      <c r="A3" s="337"/>
      <c r="B3" s="350"/>
      <c r="C3" s="351"/>
      <c r="D3" s="352"/>
      <c r="E3" s="352"/>
      <c r="F3" s="352"/>
      <c r="G3" s="353"/>
      <c r="H3" s="350"/>
      <c r="I3" s="350"/>
      <c r="J3" s="350"/>
      <c r="K3" s="354"/>
      <c r="L3" s="351"/>
      <c r="M3" s="353"/>
      <c r="O3" s="355" t="s">
        <v>2587</v>
      </c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356"/>
      <c r="AA3" s="356"/>
      <c r="AB3" s="356"/>
      <c r="AC3" s="356"/>
      <c r="AD3" s="356"/>
      <c r="AE3" s="356"/>
      <c r="AF3" s="356"/>
    </row>
    <row r="4">
      <c r="A4" s="337"/>
      <c r="B4" s="357"/>
      <c r="C4" s="358"/>
      <c r="D4" s="358"/>
      <c r="E4" s="358"/>
      <c r="F4" s="358"/>
      <c r="G4" s="358"/>
      <c r="H4" s="358"/>
      <c r="I4" s="358"/>
      <c r="J4" s="359"/>
      <c r="K4" s="360"/>
      <c r="L4" s="361"/>
      <c r="M4" s="359"/>
      <c r="O4" s="356"/>
      <c r="P4" s="356"/>
      <c r="Q4" s="356"/>
      <c r="R4" s="356"/>
      <c r="S4" s="356"/>
      <c r="T4" s="356"/>
      <c r="U4" s="356"/>
      <c r="V4" s="356"/>
      <c r="W4" s="356"/>
      <c r="X4" s="356"/>
      <c r="Y4" s="356"/>
      <c r="Z4" s="356"/>
      <c r="AA4" s="356"/>
      <c r="AB4" s="356"/>
      <c r="AC4" s="356"/>
      <c r="AD4" s="356"/>
      <c r="AE4" s="356"/>
      <c r="AF4" s="356"/>
    </row>
    <row r="5">
      <c r="A5" s="337"/>
      <c r="B5" s="362"/>
      <c r="C5" s="363" t="s">
        <v>2588</v>
      </c>
      <c r="H5" s="364"/>
      <c r="I5" s="364"/>
      <c r="J5" s="365"/>
      <c r="K5" s="366"/>
      <c r="L5" s="367" t="s">
        <v>2589</v>
      </c>
      <c r="M5" s="346"/>
      <c r="O5" s="356"/>
      <c r="P5" s="356"/>
      <c r="Q5" s="356"/>
      <c r="R5" s="356"/>
      <c r="S5" s="356"/>
      <c r="T5" s="356"/>
      <c r="U5" s="356"/>
      <c r="V5" s="356"/>
      <c r="W5" s="356"/>
      <c r="X5" s="356"/>
      <c r="Y5" s="356"/>
      <c r="Z5" s="356"/>
      <c r="AA5" s="356"/>
      <c r="AB5" s="356"/>
      <c r="AC5" s="356"/>
      <c r="AD5" s="356"/>
      <c r="AE5" s="356"/>
      <c r="AF5" s="356"/>
    </row>
    <row r="6">
      <c r="A6" s="368"/>
      <c r="B6" s="369"/>
      <c r="C6" s="370" t="s">
        <v>2590</v>
      </c>
      <c r="D6" s="371" t="s">
        <v>2591</v>
      </c>
      <c r="E6" s="372" t="s">
        <v>2592</v>
      </c>
      <c r="F6" s="371" t="s">
        <v>2593</v>
      </c>
      <c r="G6" s="371" t="s">
        <v>2594</v>
      </c>
      <c r="H6" s="373" t="s">
        <v>2583</v>
      </c>
      <c r="I6" s="373" t="s">
        <v>2584</v>
      </c>
      <c r="J6" s="373" t="s">
        <v>2595</v>
      </c>
      <c r="K6" s="374"/>
      <c r="L6" s="352"/>
      <c r="M6" s="353"/>
      <c r="O6" s="356"/>
      <c r="P6" s="356"/>
      <c r="Q6" s="356"/>
      <c r="R6" s="356"/>
      <c r="S6" s="356"/>
      <c r="T6" s="356"/>
      <c r="U6" s="356"/>
      <c r="V6" s="356"/>
      <c r="W6" s="356"/>
      <c r="X6" s="356"/>
      <c r="Y6" s="356"/>
      <c r="Z6" s="356"/>
      <c r="AA6" s="356"/>
      <c r="AB6" s="356"/>
      <c r="AC6" s="356"/>
      <c r="AD6" s="356"/>
      <c r="AE6" s="356"/>
      <c r="AF6" s="356"/>
    </row>
    <row r="7">
      <c r="A7" s="375"/>
      <c r="B7" s="376" t="s">
        <v>45</v>
      </c>
      <c r="C7" s="377" t="s">
        <v>46</v>
      </c>
      <c r="D7" s="378" t="s">
        <v>47</v>
      </c>
      <c r="E7" s="379">
        <v>1.0</v>
      </c>
      <c r="F7" s="378">
        <v>1.66</v>
      </c>
      <c r="G7" s="378">
        <f>(E7*F7)</f>
        <v>1.66</v>
      </c>
      <c r="H7" s="380">
        <v>15.0</v>
      </c>
      <c r="I7" s="381">
        <f t="shared" ref="I7:I9" si="1">SUM(F7*H7)</f>
        <v>24.9</v>
      </c>
      <c r="J7" s="382">
        <f>SUM(E7*I7)</f>
        <v>24.9</v>
      </c>
      <c r="K7" s="383"/>
      <c r="L7" s="384" t="s">
        <v>2596</v>
      </c>
      <c r="M7" s="359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</row>
    <row r="8">
      <c r="A8" s="375"/>
      <c r="B8" s="376" t="s">
        <v>15</v>
      </c>
      <c r="C8" s="377" t="s">
        <v>16</v>
      </c>
      <c r="D8" s="385" t="s">
        <v>3</v>
      </c>
      <c r="F8" s="385">
        <v>5.0</v>
      </c>
      <c r="G8" s="378">
        <f>(E7*F8)</f>
        <v>5</v>
      </c>
      <c r="H8" s="380">
        <v>2.59</v>
      </c>
      <c r="I8" s="381">
        <f t="shared" si="1"/>
        <v>12.95</v>
      </c>
      <c r="J8" s="381">
        <f t="shared" ref="J8:J9" si="2">SUM(H8*F8)</f>
        <v>12.95</v>
      </c>
      <c r="K8" s="386"/>
      <c r="L8" s="384" t="s">
        <v>2597</v>
      </c>
      <c r="M8" s="359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</row>
    <row r="9">
      <c r="A9" s="375"/>
      <c r="B9" s="376" t="s">
        <v>48</v>
      </c>
      <c r="C9" s="377" t="s">
        <v>49</v>
      </c>
      <c r="D9" s="378" t="s">
        <v>3</v>
      </c>
      <c r="F9" s="385">
        <v>3.0</v>
      </c>
      <c r="G9" s="378">
        <f>(E7*F9)</f>
        <v>3</v>
      </c>
      <c r="H9" s="380">
        <v>3.9</v>
      </c>
      <c r="I9" s="381">
        <f t="shared" si="1"/>
        <v>11.7</v>
      </c>
      <c r="J9" s="381">
        <f t="shared" si="2"/>
        <v>11.7</v>
      </c>
      <c r="K9" s="383"/>
      <c r="L9" s="384" t="s">
        <v>2598</v>
      </c>
      <c r="M9" s="359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  <c r="Z9" s="356"/>
      <c r="AA9" s="356"/>
      <c r="AB9" s="356"/>
      <c r="AC9" s="356"/>
      <c r="AD9" s="356"/>
      <c r="AE9" s="356"/>
      <c r="AF9" s="356"/>
    </row>
    <row r="10">
      <c r="A10" s="341"/>
      <c r="B10" s="387"/>
      <c r="C10" s="388"/>
      <c r="D10" s="389"/>
      <c r="E10" s="390"/>
      <c r="F10" s="389"/>
      <c r="G10" s="391" t="s">
        <v>2599</v>
      </c>
      <c r="H10" s="381">
        <f t="shared" ref="H10:J10" si="3">SUM(H7:H9)</f>
        <v>21.49</v>
      </c>
      <c r="I10" s="381">
        <f t="shared" si="3"/>
        <v>49.55</v>
      </c>
      <c r="J10" s="382">
        <f t="shared" si="3"/>
        <v>49.55</v>
      </c>
      <c r="K10" s="374"/>
      <c r="L10" s="392"/>
      <c r="M10" s="359"/>
      <c r="O10" s="356"/>
      <c r="P10" s="356"/>
      <c r="Q10" s="356"/>
      <c r="R10" s="356"/>
      <c r="S10" s="356"/>
      <c r="T10" s="356"/>
      <c r="U10" s="356"/>
      <c r="V10" s="356"/>
      <c r="W10" s="356"/>
      <c r="X10" s="356"/>
      <c r="Y10" s="356"/>
      <c r="Z10" s="356"/>
      <c r="AA10" s="356"/>
      <c r="AB10" s="356"/>
      <c r="AC10" s="356"/>
      <c r="AD10" s="356"/>
      <c r="AE10" s="356"/>
      <c r="AF10" s="356"/>
    </row>
    <row r="11">
      <c r="A11" s="393"/>
      <c r="B11" s="394" t="s">
        <v>2600</v>
      </c>
      <c r="C11" s="395" t="s">
        <v>2601</v>
      </c>
      <c r="H11" s="396"/>
      <c r="I11" s="396"/>
      <c r="J11" s="396"/>
      <c r="K11" s="386"/>
      <c r="L11" s="367" t="s">
        <v>2602</v>
      </c>
      <c r="M11" s="346"/>
      <c r="O11" s="356"/>
      <c r="P11" s="356"/>
      <c r="Q11" s="356"/>
      <c r="R11" s="356"/>
      <c r="S11" s="356"/>
      <c r="T11" s="356"/>
      <c r="U11" s="356"/>
      <c r="V11" s="356"/>
      <c r="W11" s="356"/>
      <c r="X11" s="356"/>
      <c r="Y11" s="356"/>
      <c r="Z11" s="356"/>
      <c r="AA11" s="356"/>
      <c r="AB11" s="356"/>
      <c r="AC11" s="356"/>
      <c r="AD11" s="356"/>
      <c r="AE11" s="356"/>
      <c r="AF11" s="356"/>
    </row>
    <row r="12">
      <c r="A12" s="368"/>
      <c r="B12" s="369"/>
      <c r="C12" s="397" t="s">
        <v>2603</v>
      </c>
      <c r="D12" s="371" t="s">
        <v>2591</v>
      </c>
      <c r="E12" s="372" t="s">
        <v>2592</v>
      </c>
      <c r="F12" s="371" t="s">
        <v>2593</v>
      </c>
      <c r="G12" s="371" t="s">
        <v>2594</v>
      </c>
      <c r="H12" s="373" t="s">
        <v>2583</v>
      </c>
      <c r="I12" s="373" t="s">
        <v>2584</v>
      </c>
      <c r="J12" s="373" t="s">
        <v>2595</v>
      </c>
      <c r="K12" s="386"/>
      <c r="L12" s="352"/>
      <c r="M12" s="353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56"/>
      <c r="Z12" s="356"/>
      <c r="AA12" s="356"/>
      <c r="AB12" s="356"/>
      <c r="AC12" s="356"/>
      <c r="AD12" s="356"/>
      <c r="AE12" s="356"/>
      <c r="AF12" s="356"/>
    </row>
    <row r="13">
      <c r="A13" s="375"/>
      <c r="B13" s="376" t="s">
        <v>45</v>
      </c>
      <c r="C13" s="398" t="s">
        <v>46</v>
      </c>
      <c r="D13" s="389" t="s">
        <v>47</v>
      </c>
      <c r="E13" s="379">
        <v>1.0</v>
      </c>
      <c r="F13" s="389">
        <v>2.0</v>
      </c>
      <c r="G13" s="389"/>
      <c r="H13" s="381">
        <v>15.0</v>
      </c>
      <c r="I13" s="381">
        <f t="shared" ref="I13:I15" si="4">SUM(F13*H13)</f>
        <v>30</v>
      </c>
      <c r="J13" s="399">
        <f>SUM(E13*I13)</f>
        <v>30</v>
      </c>
      <c r="K13" s="383"/>
      <c r="L13" s="384" t="s">
        <v>14</v>
      </c>
      <c r="M13" s="359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356"/>
      <c r="Z13" s="356"/>
      <c r="AA13" s="356"/>
      <c r="AB13" s="356"/>
      <c r="AC13" s="356"/>
      <c r="AD13" s="356"/>
      <c r="AE13" s="356"/>
      <c r="AF13" s="356"/>
    </row>
    <row r="14">
      <c r="A14" s="375"/>
      <c r="B14" s="376" t="s">
        <v>15</v>
      </c>
      <c r="C14" s="398" t="s">
        <v>16</v>
      </c>
      <c r="D14" s="389" t="s">
        <v>3</v>
      </c>
      <c r="F14" s="391">
        <v>5.0</v>
      </c>
      <c r="G14" s="391"/>
      <c r="H14" s="381">
        <v>2.59</v>
      </c>
      <c r="I14" s="381">
        <f t="shared" si="4"/>
        <v>12.95</v>
      </c>
      <c r="J14" s="381">
        <f t="shared" ref="J14:J15" si="5">SUM(H14*F14)</f>
        <v>12.95</v>
      </c>
      <c r="K14" s="386"/>
      <c r="L14" s="384" t="s">
        <v>2597</v>
      </c>
      <c r="M14" s="359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  <c r="Z14" s="356"/>
      <c r="AA14" s="356"/>
      <c r="AB14" s="356"/>
      <c r="AC14" s="356"/>
      <c r="AD14" s="356"/>
      <c r="AE14" s="356"/>
      <c r="AF14" s="356"/>
    </row>
    <row r="15">
      <c r="A15" s="375"/>
      <c r="B15" s="376" t="s">
        <v>48</v>
      </c>
      <c r="C15" s="398" t="s">
        <v>49</v>
      </c>
      <c r="D15" s="389" t="s">
        <v>3</v>
      </c>
      <c r="F15" s="391">
        <v>3.0</v>
      </c>
      <c r="G15" s="391"/>
      <c r="H15" s="381">
        <v>3.9</v>
      </c>
      <c r="I15" s="381">
        <f t="shared" si="4"/>
        <v>11.7</v>
      </c>
      <c r="J15" s="381">
        <f t="shared" si="5"/>
        <v>11.7</v>
      </c>
      <c r="K15" s="383"/>
      <c r="L15" s="384" t="s">
        <v>2598</v>
      </c>
      <c r="M15" s="359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6"/>
    </row>
    <row r="16">
      <c r="A16" s="341"/>
      <c r="B16" s="387"/>
      <c r="C16" s="388"/>
      <c r="D16" s="389"/>
      <c r="E16" s="390"/>
      <c r="F16" s="389"/>
      <c r="G16" s="391" t="s">
        <v>2599</v>
      </c>
      <c r="H16" s="400">
        <f t="shared" ref="H16:I16" si="6">SUM(H13:H15)</f>
        <v>21.49</v>
      </c>
      <c r="I16" s="400">
        <f t="shared" si="6"/>
        <v>54.65</v>
      </c>
      <c r="J16" s="401">
        <f>SUM(J5:J15)</f>
        <v>153.75</v>
      </c>
      <c r="K16" s="374"/>
      <c r="L16" s="402"/>
      <c r="M16" s="346"/>
      <c r="O16" s="356"/>
      <c r="P16" s="356"/>
      <c r="Q16" s="356"/>
      <c r="R16" s="356"/>
      <c r="S16" s="356"/>
      <c r="T16" s="356"/>
      <c r="U16" s="356"/>
      <c r="V16" s="356"/>
      <c r="W16" s="356"/>
      <c r="X16" s="356"/>
      <c r="Y16" s="356"/>
      <c r="Z16" s="356"/>
      <c r="AA16" s="356"/>
      <c r="AB16" s="356"/>
      <c r="AC16" s="356"/>
      <c r="AD16" s="356"/>
      <c r="AE16" s="356"/>
      <c r="AF16" s="356"/>
    </row>
    <row r="17">
      <c r="A17" s="368"/>
      <c r="B17" s="403"/>
      <c r="C17" s="404" t="s">
        <v>2604</v>
      </c>
      <c r="D17" s="358"/>
      <c r="E17" s="358"/>
      <c r="F17" s="358"/>
      <c r="G17" s="358"/>
      <c r="H17" s="405"/>
      <c r="I17" s="405"/>
      <c r="J17" s="405"/>
      <c r="K17" s="374"/>
      <c r="M17" s="40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356"/>
      <c r="AA17" s="356"/>
      <c r="AB17" s="356"/>
      <c r="AC17" s="356"/>
      <c r="AD17" s="356"/>
      <c r="AE17" s="356"/>
      <c r="AF17" s="356"/>
    </row>
    <row r="18">
      <c r="A18" s="393"/>
      <c r="B18" s="394" t="s">
        <v>2600</v>
      </c>
      <c r="C18" s="397" t="s">
        <v>2603</v>
      </c>
      <c r="D18" s="371" t="s">
        <v>2591</v>
      </c>
      <c r="E18" s="372" t="s">
        <v>2605</v>
      </c>
      <c r="F18" s="371" t="s">
        <v>2606</v>
      </c>
      <c r="G18" s="371" t="s">
        <v>2594</v>
      </c>
      <c r="H18" s="373" t="s">
        <v>2583</v>
      </c>
      <c r="I18" s="373" t="s">
        <v>2584</v>
      </c>
      <c r="J18" s="340" t="s">
        <v>2595</v>
      </c>
      <c r="K18" s="374"/>
      <c r="L18" s="352"/>
      <c r="M18" s="353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  <c r="AC18" s="356"/>
      <c r="AD18" s="356"/>
      <c r="AE18" s="356"/>
      <c r="AF18" s="356"/>
    </row>
    <row r="19">
      <c r="A19" s="375"/>
      <c r="B19" s="376" t="s">
        <v>15</v>
      </c>
      <c r="C19" s="398" t="s">
        <v>16</v>
      </c>
      <c r="D19" s="389" t="s">
        <v>3</v>
      </c>
      <c r="E19" s="379">
        <v>1.0</v>
      </c>
      <c r="F19" s="391">
        <v>5.0</v>
      </c>
      <c r="G19" s="389"/>
      <c r="H19" s="381">
        <v>2.59</v>
      </c>
      <c r="I19" s="381">
        <f t="shared" ref="I19:I20" si="7">SUM(F19*H19)</f>
        <v>12.95</v>
      </c>
      <c r="J19" s="381">
        <f>SUM(H19*F19)</f>
        <v>12.95</v>
      </c>
      <c r="K19" s="386"/>
      <c r="L19" s="384" t="s">
        <v>2597</v>
      </c>
      <c r="M19" s="359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</row>
    <row r="20">
      <c r="A20" s="375"/>
      <c r="B20" s="407" t="s">
        <v>117</v>
      </c>
      <c r="C20" s="388" t="s">
        <v>118</v>
      </c>
      <c r="D20" s="391" t="s">
        <v>3</v>
      </c>
      <c r="F20" s="391">
        <v>3.0</v>
      </c>
      <c r="G20" s="389"/>
      <c r="H20" s="381">
        <v>0.01</v>
      </c>
      <c r="I20" s="381">
        <f t="shared" si="7"/>
        <v>0.03</v>
      </c>
      <c r="J20" s="399">
        <f>SUM(E19*I20)</f>
        <v>0.03</v>
      </c>
      <c r="K20" s="383"/>
      <c r="L20" s="384" t="s">
        <v>14</v>
      </c>
      <c r="M20" s="359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356"/>
      <c r="AB20" s="356"/>
      <c r="AC20" s="356"/>
      <c r="AD20" s="356"/>
      <c r="AE20" s="356"/>
      <c r="AF20" s="356"/>
    </row>
    <row r="21">
      <c r="A21" s="341"/>
      <c r="B21" s="387"/>
      <c r="C21" s="388"/>
      <c r="D21" s="389"/>
      <c r="E21" s="390"/>
      <c r="F21" s="389"/>
      <c r="G21" s="389"/>
      <c r="H21" s="400"/>
      <c r="I21" s="400"/>
      <c r="J21" s="408"/>
      <c r="K21" s="374"/>
      <c r="L21" s="402"/>
      <c r="M21" s="34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356"/>
      <c r="AB21" s="356"/>
      <c r="AC21" s="356"/>
      <c r="AD21" s="356"/>
      <c r="AE21" s="356"/>
      <c r="AF21" s="356"/>
    </row>
    <row r="22">
      <c r="A22" s="341"/>
      <c r="B22" s="387"/>
      <c r="C22" s="388"/>
      <c r="D22" s="389"/>
      <c r="E22" s="390"/>
      <c r="F22" s="389"/>
      <c r="G22" s="391" t="s">
        <v>2599</v>
      </c>
      <c r="H22" s="400">
        <f t="shared" ref="H22:I22" si="8">SUM(H19:H21)</f>
        <v>2.6</v>
      </c>
      <c r="I22" s="381">
        <f t="shared" si="8"/>
        <v>12.98</v>
      </c>
      <c r="J22" s="399">
        <f>SUM(J19:J20)</f>
        <v>12.98</v>
      </c>
      <c r="K22" s="374"/>
      <c r="L22" s="352"/>
      <c r="M22" s="353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356"/>
      <c r="AF22" s="356"/>
    </row>
    <row r="23">
      <c r="A23" s="393"/>
      <c r="B23" s="409"/>
      <c r="C23" s="410" t="s">
        <v>2607</v>
      </c>
      <c r="D23" s="358"/>
      <c r="E23" s="358"/>
      <c r="F23" s="358"/>
      <c r="G23" s="358"/>
      <c r="H23" s="411"/>
      <c r="I23" s="411"/>
      <c r="J23" s="411"/>
      <c r="K23" s="386"/>
      <c r="L23" s="367" t="s">
        <v>2608</v>
      </c>
      <c r="M23" s="34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</row>
    <row r="24">
      <c r="A24" s="393"/>
      <c r="B24" s="394" t="s">
        <v>2600</v>
      </c>
      <c r="C24" s="397" t="s">
        <v>2603</v>
      </c>
      <c r="D24" s="371" t="s">
        <v>2591</v>
      </c>
      <c r="E24" s="372" t="s">
        <v>2592</v>
      </c>
      <c r="F24" s="371" t="s">
        <v>2609</v>
      </c>
      <c r="G24" s="371" t="s">
        <v>2594</v>
      </c>
      <c r="H24" s="373" t="s">
        <v>2583</v>
      </c>
      <c r="I24" s="373" t="s">
        <v>2584</v>
      </c>
      <c r="J24" s="373" t="s">
        <v>2595</v>
      </c>
      <c r="K24" s="386"/>
      <c r="L24" s="352"/>
      <c r="M24" s="353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</row>
    <row r="25">
      <c r="A25" s="375"/>
      <c r="B25" s="376" t="s">
        <v>15</v>
      </c>
      <c r="C25" s="398" t="s">
        <v>16</v>
      </c>
      <c r="D25" s="389" t="s">
        <v>3</v>
      </c>
      <c r="E25" s="379">
        <v>1.0</v>
      </c>
      <c r="F25" s="391">
        <v>0.0</v>
      </c>
      <c r="G25" s="389">
        <f>SUM(E25*F31)</f>
        <v>0.3</v>
      </c>
      <c r="H25" s="381">
        <v>2.59</v>
      </c>
      <c r="I25" s="381">
        <f t="shared" ref="I25:I31" si="9">SUM(F25*H25)</f>
        <v>0</v>
      </c>
      <c r="J25" s="399">
        <f>SUM(E25*I25)</f>
        <v>0</v>
      </c>
      <c r="K25" s="386"/>
      <c r="L25" s="384" t="s">
        <v>2597</v>
      </c>
      <c r="M25" s="359"/>
      <c r="O25" s="356"/>
      <c r="P25" s="356"/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</row>
    <row r="26">
      <c r="A26" s="375"/>
      <c r="B26" s="376" t="s">
        <v>17</v>
      </c>
      <c r="C26" s="388" t="s">
        <v>2610</v>
      </c>
      <c r="D26" s="389" t="s">
        <v>19</v>
      </c>
      <c r="F26" s="389">
        <v>6.0</v>
      </c>
      <c r="G26" s="389"/>
      <c r="H26" s="381">
        <v>7.4</v>
      </c>
      <c r="I26" s="381">
        <f t="shared" si="9"/>
        <v>44.4</v>
      </c>
      <c r="J26" s="399">
        <f>SUM(E25*I26)</f>
        <v>44.4</v>
      </c>
      <c r="K26" s="383"/>
      <c r="L26" s="384" t="s">
        <v>14</v>
      </c>
      <c r="M26" s="359"/>
      <c r="O26" s="412"/>
      <c r="P26" s="356"/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</row>
    <row r="27">
      <c r="A27" s="413"/>
      <c r="B27" s="407" t="s">
        <v>2611</v>
      </c>
      <c r="C27" s="388" t="s">
        <v>2612</v>
      </c>
      <c r="D27" s="389" t="s">
        <v>3</v>
      </c>
      <c r="F27" s="391">
        <v>6.0</v>
      </c>
      <c r="G27" s="389"/>
      <c r="H27" s="381">
        <v>0.28</v>
      </c>
      <c r="I27" s="381">
        <f t="shared" si="9"/>
        <v>1.68</v>
      </c>
      <c r="J27" s="399">
        <f>SUM(E25*I27)</f>
        <v>1.68</v>
      </c>
      <c r="K27" s="383"/>
      <c r="L27" s="384" t="s">
        <v>14</v>
      </c>
      <c r="M27" s="359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</row>
    <row r="28">
      <c r="A28" s="413"/>
      <c r="B28" s="407" t="s">
        <v>2613</v>
      </c>
      <c r="C28" s="388" t="s">
        <v>2614</v>
      </c>
      <c r="D28" s="389" t="s">
        <v>3</v>
      </c>
      <c r="F28" s="391">
        <v>8.0</v>
      </c>
      <c r="G28" s="389"/>
      <c r="H28" s="381">
        <v>0.32</v>
      </c>
      <c r="I28" s="381">
        <f t="shared" si="9"/>
        <v>2.56</v>
      </c>
      <c r="J28" s="399">
        <f>SUM(E25*I28)</f>
        <v>2.56</v>
      </c>
      <c r="K28" s="383"/>
      <c r="L28" s="384" t="s">
        <v>14</v>
      </c>
      <c r="M28" s="359"/>
      <c r="O28" s="356"/>
      <c r="P28" s="356"/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</row>
    <row r="29">
      <c r="A29" s="413"/>
      <c r="B29" s="407" t="s">
        <v>2615</v>
      </c>
      <c r="C29" s="398" t="s">
        <v>2616</v>
      </c>
      <c r="D29" s="389" t="s">
        <v>3</v>
      </c>
      <c r="F29" s="389">
        <v>150.0</v>
      </c>
      <c r="G29" s="389"/>
      <c r="H29" s="381">
        <v>0.0065</v>
      </c>
      <c r="I29" s="381">
        <f t="shared" si="9"/>
        <v>0.975</v>
      </c>
      <c r="J29" s="399">
        <f>SUM(E25*I29)</f>
        <v>0.975</v>
      </c>
      <c r="K29" s="383"/>
      <c r="L29" s="384" t="s">
        <v>14</v>
      </c>
      <c r="M29" s="359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</row>
    <row r="30">
      <c r="A30" s="413"/>
      <c r="B30" s="407" t="s">
        <v>117</v>
      </c>
      <c r="C30" s="388" t="s">
        <v>118</v>
      </c>
      <c r="D30" s="389" t="s">
        <v>3</v>
      </c>
      <c r="F30" s="389">
        <v>150.0</v>
      </c>
      <c r="G30" s="389"/>
      <c r="H30" s="381">
        <v>0.0075</v>
      </c>
      <c r="I30" s="381">
        <f t="shared" si="9"/>
        <v>1.125</v>
      </c>
      <c r="J30" s="399">
        <f>SUM(E25*I30)</f>
        <v>1.125</v>
      </c>
      <c r="K30" s="383"/>
      <c r="L30" s="384" t="s">
        <v>14</v>
      </c>
      <c r="M30" s="359"/>
      <c r="O30" s="356"/>
      <c r="P30" s="356"/>
      <c r="Q30" s="356"/>
      <c r="R30" s="356"/>
      <c r="S30" s="356"/>
      <c r="T30" s="356"/>
      <c r="U30" s="356"/>
      <c r="V30" s="356"/>
      <c r="W30" s="356"/>
      <c r="X30" s="356"/>
      <c r="Y30" s="356"/>
      <c r="Z30" s="356"/>
      <c r="AA30" s="356"/>
      <c r="AB30" s="356"/>
      <c r="AC30" s="356"/>
      <c r="AD30" s="356"/>
      <c r="AE30" s="356"/>
      <c r="AF30" s="356"/>
    </row>
    <row r="31">
      <c r="A31" s="413"/>
      <c r="B31" s="407" t="s">
        <v>2617</v>
      </c>
      <c r="C31" s="398" t="s">
        <v>2618</v>
      </c>
      <c r="D31" s="391" t="s">
        <v>3</v>
      </c>
      <c r="F31" s="391">
        <v>0.3</v>
      </c>
      <c r="G31" s="389">
        <f>SUM(E25*F31)</f>
        <v>0.3</v>
      </c>
      <c r="H31" s="381">
        <v>3.18</v>
      </c>
      <c r="I31" s="381">
        <f t="shared" si="9"/>
        <v>0.954</v>
      </c>
      <c r="J31" s="399">
        <f>SUM(E25*I31)</f>
        <v>0.954</v>
      </c>
      <c r="K31" s="386"/>
      <c r="L31" s="384" t="s">
        <v>2619</v>
      </c>
      <c r="M31" s="359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  <c r="AC31" s="356"/>
      <c r="AD31" s="356"/>
      <c r="AE31" s="356"/>
      <c r="AF31" s="356"/>
    </row>
    <row r="32">
      <c r="A32" s="413"/>
      <c r="B32" s="407" t="s">
        <v>36</v>
      </c>
      <c r="C32" s="398" t="s">
        <v>2620</v>
      </c>
      <c r="D32" s="391" t="s">
        <v>3</v>
      </c>
      <c r="F32" s="391">
        <v>0.1</v>
      </c>
      <c r="G32" s="391"/>
      <c r="H32" s="381">
        <v>0.0</v>
      </c>
      <c r="I32" s="381">
        <v>0.0</v>
      </c>
      <c r="J32" s="399">
        <f>SUM(E25*I32)</f>
        <v>0</v>
      </c>
      <c r="K32" s="386"/>
      <c r="L32" s="384" t="s">
        <v>2621</v>
      </c>
      <c r="M32" s="359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356"/>
      <c r="AB32" s="356"/>
      <c r="AC32" s="356"/>
      <c r="AD32" s="356"/>
      <c r="AE32" s="356"/>
      <c r="AF32" s="356"/>
    </row>
    <row r="33">
      <c r="A33" s="413"/>
      <c r="B33" s="407" t="s">
        <v>2622</v>
      </c>
      <c r="C33" s="388" t="s">
        <v>2623</v>
      </c>
      <c r="D33" s="389" t="s">
        <v>3</v>
      </c>
      <c r="F33" s="389">
        <v>6.0</v>
      </c>
      <c r="G33" s="389"/>
      <c r="H33" s="381">
        <v>1.63</v>
      </c>
      <c r="I33" s="381">
        <f t="shared" ref="I33:I37" si="10">SUM(F33*H33)</f>
        <v>9.78</v>
      </c>
      <c r="J33" s="399">
        <f>SUM(E25*I33)</f>
        <v>9.78</v>
      </c>
      <c r="K33" s="383"/>
      <c r="L33" s="384" t="s">
        <v>14</v>
      </c>
      <c r="M33" s="359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356"/>
      <c r="AB33" s="356"/>
      <c r="AC33" s="356"/>
      <c r="AD33" s="356"/>
      <c r="AE33" s="356"/>
      <c r="AF33" s="356"/>
    </row>
    <row r="34">
      <c r="A34" s="413"/>
      <c r="B34" s="407" t="s">
        <v>2624</v>
      </c>
      <c r="C34" s="388" t="s">
        <v>2625</v>
      </c>
      <c r="D34" s="389" t="s">
        <v>3</v>
      </c>
      <c r="F34" s="389">
        <v>6.0</v>
      </c>
      <c r="G34" s="389"/>
      <c r="H34" s="381">
        <v>0.19</v>
      </c>
      <c r="I34" s="381">
        <f t="shared" si="10"/>
        <v>1.14</v>
      </c>
      <c r="J34" s="399">
        <f>SUM(E25*I34)</f>
        <v>1.14</v>
      </c>
      <c r="K34" s="383"/>
      <c r="L34" s="384" t="s">
        <v>14</v>
      </c>
      <c r="M34" s="359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6"/>
      <c r="Z34" s="356"/>
      <c r="AA34" s="356"/>
      <c r="AB34" s="356"/>
      <c r="AC34" s="356"/>
      <c r="AD34" s="356"/>
      <c r="AE34" s="356"/>
      <c r="AF34" s="356"/>
    </row>
    <row r="35">
      <c r="A35" s="375"/>
      <c r="B35" s="376" t="s">
        <v>2626</v>
      </c>
      <c r="C35" s="388" t="s">
        <v>2627</v>
      </c>
      <c r="D35" s="389" t="s">
        <v>3</v>
      </c>
      <c r="F35" s="389">
        <v>8.0</v>
      </c>
      <c r="G35" s="389"/>
      <c r="H35" s="381">
        <v>0.14</v>
      </c>
      <c r="I35" s="381">
        <f t="shared" si="10"/>
        <v>1.12</v>
      </c>
      <c r="J35" s="399">
        <f>SUM(E25*I35)</f>
        <v>1.12</v>
      </c>
      <c r="K35" s="383"/>
      <c r="L35" s="384" t="s">
        <v>14</v>
      </c>
      <c r="M35" s="359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356"/>
      <c r="AA35" s="356"/>
      <c r="AB35" s="356"/>
      <c r="AC35" s="356"/>
      <c r="AD35" s="356"/>
      <c r="AE35" s="356"/>
      <c r="AF35" s="356"/>
    </row>
    <row r="36">
      <c r="A36" s="413"/>
      <c r="B36" s="407" t="s">
        <v>2628</v>
      </c>
      <c r="C36" s="388" t="s">
        <v>2629</v>
      </c>
      <c r="D36" s="389" t="s">
        <v>3</v>
      </c>
      <c r="F36" s="389">
        <v>6.0</v>
      </c>
      <c r="G36" s="389"/>
      <c r="H36" s="381">
        <v>0.1</v>
      </c>
      <c r="I36" s="381">
        <f t="shared" si="10"/>
        <v>0.6</v>
      </c>
      <c r="J36" s="399">
        <f>SUM(E25*I36)</f>
        <v>0.6</v>
      </c>
      <c r="K36" s="383"/>
      <c r="L36" s="384" t="s">
        <v>14</v>
      </c>
      <c r="M36" s="359"/>
      <c r="O36" s="356"/>
      <c r="P36" s="356"/>
      <c r="Q36" s="356"/>
      <c r="R36" s="356"/>
      <c r="S36" s="356"/>
      <c r="T36" s="356"/>
      <c r="U36" s="356"/>
      <c r="V36" s="356"/>
      <c r="W36" s="356"/>
      <c r="X36" s="356"/>
      <c r="Y36" s="356"/>
      <c r="Z36" s="356"/>
      <c r="AA36" s="356"/>
      <c r="AB36" s="356"/>
      <c r="AC36" s="356"/>
      <c r="AD36" s="356"/>
      <c r="AE36" s="356"/>
      <c r="AF36" s="356"/>
    </row>
    <row r="37" ht="24.0" customHeight="1">
      <c r="A37" s="413"/>
      <c r="B37" s="407" t="s">
        <v>2630</v>
      </c>
      <c r="C37" s="398" t="s">
        <v>2631</v>
      </c>
      <c r="D37" s="389" t="s">
        <v>3</v>
      </c>
      <c r="F37" s="391">
        <v>0.04</v>
      </c>
      <c r="G37" s="389"/>
      <c r="H37" s="381">
        <v>43.9</v>
      </c>
      <c r="I37" s="381">
        <f t="shared" si="10"/>
        <v>1.756</v>
      </c>
      <c r="J37" s="399">
        <f>SUM(E25*I37)</f>
        <v>1.756</v>
      </c>
      <c r="K37" s="386"/>
      <c r="L37" s="384" t="s">
        <v>2632</v>
      </c>
      <c r="M37" s="359"/>
      <c r="O37" s="355" t="s">
        <v>2633</v>
      </c>
      <c r="P37" s="355" t="s">
        <v>2634</v>
      </c>
      <c r="Q37" s="356"/>
      <c r="R37" s="356"/>
      <c r="S37" s="356"/>
      <c r="T37" s="356"/>
      <c r="U37" s="356"/>
      <c r="V37" s="356"/>
      <c r="W37" s="356"/>
      <c r="X37" s="356"/>
      <c r="Y37" s="356"/>
      <c r="Z37" s="356"/>
      <c r="AA37" s="356"/>
      <c r="AB37" s="356"/>
      <c r="AC37" s="356"/>
      <c r="AD37" s="356"/>
      <c r="AE37" s="356"/>
      <c r="AF37" s="356"/>
    </row>
    <row r="38">
      <c r="A38" s="341"/>
      <c r="B38" s="387"/>
      <c r="C38" s="388"/>
      <c r="D38" s="389"/>
      <c r="E38" s="390"/>
      <c r="F38" s="389"/>
      <c r="G38" s="391" t="s">
        <v>2599</v>
      </c>
      <c r="H38" s="400">
        <f>SUM(H23:H37)</f>
        <v>59.744</v>
      </c>
      <c r="I38" s="400">
        <f t="shared" ref="I38:J38" si="11">SUM(I25:I37)</f>
        <v>66.09</v>
      </c>
      <c r="J38" s="399">
        <f t="shared" si="11"/>
        <v>66.09</v>
      </c>
      <c r="K38" s="374"/>
      <c r="L38" s="392"/>
      <c r="M38" s="359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  <c r="AF38" s="356"/>
    </row>
    <row r="39">
      <c r="A39" s="368"/>
      <c r="B39" s="414"/>
      <c r="C39" s="415" t="s">
        <v>2635</v>
      </c>
      <c r="D39" s="358"/>
      <c r="E39" s="358"/>
      <c r="F39" s="358"/>
      <c r="G39" s="358"/>
      <c r="H39" s="416"/>
      <c r="I39" s="416"/>
      <c r="J39" s="416"/>
      <c r="K39" s="386"/>
      <c r="L39" s="367" t="s">
        <v>2636</v>
      </c>
      <c r="M39" s="34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</row>
    <row r="40">
      <c r="A40" s="393"/>
      <c r="B40" s="394" t="s">
        <v>2600</v>
      </c>
      <c r="C40" s="397" t="s">
        <v>2603</v>
      </c>
      <c r="D40" s="371" t="s">
        <v>2591</v>
      </c>
      <c r="E40" s="372" t="s">
        <v>2592</v>
      </c>
      <c r="F40" s="371" t="s">
        <v>2609</v>
      </c>
      <c r="G40" s="371" t="s">
        <v>2594</v>
      </c>
      <c r="H40" s="373" t="s">
        <v>2583</v>
      </c>
      <c r="I40" s="373" t="s">
        <v>2584</v>
      </c>
      <c r="J40" s="373" t="s">
        <v>2595</v>
      </c>
      <c r="K40" s="386"/>
      <c r="L40" s="352"/>
      <c r="M40" s="353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356"/>
      <c r="AB40" s="356"/>
      <c r="AC40" s="356"/>
      <c r="AD40" s="356"/>
      <c r="AE40" s="356"/>
      <c r="AF40" s="356"/>
    </row>
    <row r="41">
      <c r="A41" s="375"/>
      <c r="B41" s="376" t="s">
        <v>15</v>
      </c>
      <c r="C41" s="398" t="s">
        <v>16</v>
      </c>
      <c r="D41" s="389" t="s">
        <v>3</v>
      </c>
      <c r="E41" s="379">
        <v>1.0</v>
      </c>
      <c r="F41" s="391">
        <v>0.0</v>
      </c>
      <c r="G41" s="389"/>
      <c r="H41" s="381">
        <v>2.59</v>
      </c>
      <c r="I41" s="381">
        <f t="shared" ref="I41:I49" si="12">SUM(F41*H41)</f>
        <v>0</v>
      </c>
      <c r="J41" s="399">
        <f>SUM(F41*I41)</f>
        <v>0</v>
      </c>
      <c r="K41" s="386"/>
      <c r="L41" s="384" t="s">
        <v>2637</v>
      </c>
      <c r="M41" s="359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56"/>
      <c r="Z41" s="356"/>
      <c r="AA41" s="356"/>
      <c r="AB41" s="356"/>
      <c r="AC41" s="356"/>
      <c r="AD41" s="356"/>
      <c r="AE41" s="356"/>
      <c r="AF41" s="356"/>
    </row>
    <row r="42">
      <c r="A42" s="375"/>
      <c r="B42" s="376" t="s">
        <v>17</v>
      </c>
      <c r="C42" s="388" t="s">
        <v>2610</v>
      </c>
      <c r="D42" s="389" t="s">
        <v>19</v>
      </c>
      <c r="F42" s="389">
        <v>6.0</v>
      </c>
      <c r="G42" s="389"/>
      <c r="H42" s="381">
        <v>7.4</v>
      </c>
      <c r="I42" s="381">
        <f t="shared" si="12"/>
        <v>44.4</v>
      </c>
      <c r="J42" s="399">
        <f>SUM(E41*I42)</f>
        <v>44.4</v>
      </c>
      <c r="K42" s="383"/>
      <c r="L42" s="384" t="s">
        <v>14</v>
      </c>
      <c r="M42" s="359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</row>
    <row r="43">
      <c r="A43" s="413"/>
      <c r="B43" s="407" t="s">
        <v>117</v>
      </c>
      <c r="C43" s="388" t="s">
        <v>2638</v>
      </c>
      <c r="D43" s="389" t="s">
        <v>3</v>
      </c>
      <c r="F43" s="389">
        <v>150.0</v>
      </c>
      <c r="G43" s="389"/>
      <c r="H43" s="381">
        <v>0.0065</v>
      </c>
      <c r="I43" s="381">
        <f t="shared" si="12"/>
        <v>0.975</v>
      </c>
      <c r="J43" s="399">
        <f>SUM(E41*I43)</f>
        <v>0.975</v>
      </c>
      <c r="K43" s="383"/>
      <c r="L43" s="384" t="s">
        <v>14</v>
      </c>
      <c r="M43" s="359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</row>
    <row r="44">
      <c r="A44" s="413"/>
      <c r="B44" s="407" t="s">
        <v>2615</v>
      </c>
      <c r="C44" s="388" t="s">
        <v>2639</v>
      </c>
      <c r="D44" s="389" t="s">
        <v>3</v>
      </c>
      <c r="F44" s="389">
        <v>150.0</v>
      </c>
      <c r="G44" s="389"/>
      <c r="H44" s="381">
        <v>0.0075</v>
      </c>
      <c r="I44" s="381">
        <f t="shared" si="12"/>
        <v>1.125</v>
      </c>
      <c r="J44" s="399">
        <f>SUM(E41*I44)</f>
        <v>1.125</v>
      </c>
      <c r="K44" s="383"/>
      <c r="L44" s="384" t="s">
        <v>14</v>
      </c>
      <c r="M44" s="359"/>
      <c r="O44" s="356"/>
      <c r="P44" s="356"/>
      <c r="Q44" s="356"/>
      <c r="R44" s="356"/>
      <c r="S44" s="356"/>
      <c r="T44" s="356"/>
      <c r="U44" s="356"/>
      <c r="V44" s="356"/>
      <c r="W44" s="356"/>
      <c r="X44" s="356"/>
      <c r="Y44" s="356"/>
      <c r="Z44" s="356"/>
      <c r="AA44" s="356"/>
      <c r="AB44" s="356"/>
      <c r="AC44" s="356"/>
      <c r="AD44" s="356"/>
      <c r="AE44" s="356"/>
      <c r="AF44" s="356"/>
    </row>
    <row r="45">
      <c r="A45" s="375"/>
      <c r="B45" s="376" t="s">
        <v>2640</v>
      </c>
      <c r="C45" s="388" t="s">
        <v>2641</v>
      </c>
      <c r="D45" s="389" t="s">
        <v>3</v>
      </c>
      <c r="F45" s="389">
        <v>10.0</v>
      </c>
      <c r="G45" s="389"/>
      <c r="H45" s="381">
        <v>0.24</v>
      </c>
      <c r="I45" s="381">
        <f t="shared" si="12"/>
        <v>2.4</v>
      </c>
      <c r="J45" s="399">
        <f>SUM(E41*I45)</f>
        <v>2.4</v>
      </c>
      <c r="K45" s="383"/>
      <c r="L45" s="384" t="s">
        <v>14</v>
      </c>
      <c r="M45" s="359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356"/>
      <c r="AB45" s="356"/>
      <c r="AC45" s="356"/>
      <c r="AD45" s="356"/>
      <c r="AE45" s="356"/>
      <c r="AF45" s="356"/>
    </row>
    <row r="46">
      <c r="A46" s="413"/>
      <c r="B46" s="407" t="s">
        <v>2624</v>
      </c>
      <c r="C46" s="388" t="s">
        <v>2625</v>
      </c>
      <c r="D46" s="389" t="s">
        <v>3</v>
      </c>
      <c r="F46" s="391">
        <v>6.0</v>
      </c>
      <c r="G46" s="389"/>
      <c r="H46" s="381">
        <v>0.19</v>
      </c>
      <c r="I46" s="381">
        <f t="shared" si="12"/>
        <v>1.14</v>
      </c>
      <c r="J46" s="399">
        <f>SUM(E41*I46)</f>
        <v>1.14</v>
      </c>
      <c r="K46" s="383"/>
      <c r="L46" s="384" t="s">
        <v>14</v>
      </c>
      <c r="M46" s="359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356"/>
      <c r="AB46" s="356"/>
      <c r="AC46" s="356"/>
      <c r="AD46" s="356"/>
      <c r="AE46" s="356"/>
      <c r="AF46" s="356"/>
    </row>
    <row r="47">
      <c r="A47" s="413"/>
      <c r="B47" s="407" t="s">
        <v>36</v>
      </c>
      <c r="C47" s="388" t="s">
        <v>37</v>
      </c>
      <c r="D47" s="389" t="s">
        <v>3</v>
      </c>
      <c r="F47" s="391">
        <v>0.1</v>
      </c>
      <c r="G47" s="389"/>
      <c r="H47" s="381">
        <v>12.9</v>
      </c>
      <c r="I47" s="381">
        <f t="shared" si="12"/>
        <v>1.29</v>
      </c>
      <c r="J47" s="399">
        <f>SUM(E41*I47)</f>
        <v>1.29</v>
      </c>
      <c r="K47" s="386"/>
      <c r="L47" s="384" t="s">
        <v>2642</v>
      </c>
      <c r="M47" s="359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</row>
    <row r="48">
      <c r="A48" s="375"/>
      <c r="B48" s="376" t="s">
        <v>22</v>
      </c>
      <c r="C48" s="388" t="s">
        <v>2643</v>
      </c>
      <c r="D48" s="389" t="s">
        <v>3</v>
      </c>
      <c r="F48" s="389">
        <v>10.0</v>
      </c>
      <c r="G48" s="389"/>
      <c r="H48" s="381">
        <v>0.3</v>
      </c>
      <c r="I48" s="381">
        <f t="shared" si="12"/>
        <v>3</v>
      </c>
      <c r="J48" s="399">
        <f>SUM(E41*I48)</f>
        <v>3</v>
      </c>
      <c r="K48" s="383"/>
      <c r="L48" s="384" t="s">
        <v>14</v>
      </c>
      <c r="M48" s="359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</row>
    <row r="49">
      <c r="A49" s="413"/>
      <c r="B49" s="407" t="s">
        <v>2630</v>
      </c>
      <c r="C49" s="388" t="s">
        <v>2644</v>
      </c>
      <c r="D49" s="389" t="s">
        <v>3</v>
      </c>
      <c r="F49" s="391">
        <v>0.04</v>
      </c>
      <c r="G49" s="389"/>
      <c r="H49" s="381">
        <v>43.9</v>
      </c>
      <c r="I49" s="381">
        <f t="shared" si="12"/>
        <v>1.756</v>
      </c>
      <c r="J49" s="399">
        <f>SUM(E41*I49)</f>
        <v>1.756</v>
      </c>
      <c r="K49" s="383"/>
      <c r="L49" s="384" t="s">
        <v>14</v>
      </c>
      <c r="M49" s="359"/>
      <c r="O49" s="356"/>
      <c r="P49" s="356"/>
      <c r="Q49" s="356"/>
      <c r="R49" s="356"/>
      <c r="S49" s="356"/>
      <c r="T49" s="356"/>
      <c r="U49" s="356"/>
      <c r="V49" s="356"/>
      <c r="W49" s="356"/>
      <c r="X49" s="356"/>
      <c r="Y49" s="356"/>
      <c r="Z49" s="356"/>
      <c r="AA49" s="356"/>
      <c r="AB49" s="356"/>
      <c r="AC49" s="356"/>
      <c r="AD49" s="356"/>
      <c r="AE49" s="356"/>
      <c r="AF49" s="356"/>
    </row>
    <row r="50">
      <c r="A50" s="341"/>
      <c r="B50" s="387"/>
      <c r="C50" s="388"/>
      <c r="D50" s="389"/>
      <c r="E50" s="390"/>
      <c r="F50" s="389"/>
      <c r="G50" s="391" t="s">
        <v>2599</v>
      </c>
      <c r="H50" s="400">
        <f t="shared" ref="H50:J50" si="13">SUM(H41:H49)</f>
        <v>67.534</v>
      </c>
      <c r="I50" s="400">
        <f t="shared" si="13"/>
        <v>56.086</v>
      </c>
      <c r="J50" s="399">
        <f t="shared" si="13"/>
        <v>56.086</v>
      </c>
      <c r="K50" s="383"/>
      <c r="L50" s="384" t="s">
        <v>14</v>
      </c>
      <c r="M50" s="359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</row>
    <row r="51">
      <c r="A51" s="368"/>
      <c r="B51" s="417"/>
      <c r="C51" s="418" t="s">
        <v>2645</v>
      </c>
      <c r="D51" s="358"/>
      <c r="E51" s="358"/>
      <c r="F51" s="358"/>
      <c r="G51" s="358"/>
      <c r="H51" s="419"/>
      <c r="I51" s="419"/>
      <c r="J51" s="419"/>
      <c r="K51" s="383"/>
      <c r="L51" s="384"/>
      <c r="M51" s="359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</row>
    <row r="52">
      <c r="A52" s="393"/>
      <c r="B52" s="394" t="s">
        <v>2600</v>
      </c>
      <c r="C52" s="397" t="s">
        <v>2603</v>
      </c>
      <c r="D52" s="371" t="s">
        <v>2591</v>
      </c>
      <c r="E52" s="372" t="s">
        <v>2592</v>
      </c>
      <c r="F52" s="371" t="s">
        <v>2609</v>
      </c>
      <c r="G52" s="371" t="s">
        <v>2594</v>
      </c>
      <c r="H52" s="373" t="s">
        <v>2583</v>
      </c>
      <c r="I52" s="373" t="s">
        <v>2584</v>
      </c>
      <c r="J52" s="373" t="s">
        <v>2595</v>
      </c>
      <c r="K52" s="374"/>
      <c r="L52" s="392"/>
      <c r="M52" s="359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356"/>
      <c r="AB52" s="356"/>
      <c r="AC52" s="356"/>
      <c r="AD52" s="356"/>
      <c r="AE52" s="356"/>
      <c r="AF52" s="356"/>
    </row>
    <row r="53">
      <c r="A53" s="375"/>
      <c r="B53" s="376" t="s">
        <v>15</v>
      </c>
      <c r="C53" s="398" t="s">
        <v>16</v>
      </c>
      <c r="D53" s="389" t="s">
        <v>3</v>
      </c>
      <c r="E53" s="379">
        <v>1.0</v>
      </c>
      <c r="F53" s="391">
        <v>0.0</v>
      </c>
      <c r="G53" s="389"/>
      <c r="H53" s="381">
        <v>2.59</v>
      </c>
      <c r="I53" s="381">
        <f t="shared" ref="I53:I59" si="14">SUM(F53*H53)</f>
        <v>0</v>
      </c>
      <c r="J53" s="399">
        <f>SUM(F53*H53)</f>
        <v>0</v>
      </c>
      <c r="K53" s="386"/>
      <c r="L53" s="384" t="s">
        <v>2597</v>
      </c>
      <c r="M53" s="359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356"/>
      <c r="AB53" s="356"/>
      <c r="AC53" s="356"/>
      <c r="AD53" s="356"/>
      <c r="AE53" s="356"/>
      <c r="AF53" s="356"/>
    </row>
    <row r="54">
      <c r="A54" s="375"/>
      <c r="B54" s="376" t="s">
        <v>17</v>
      </c>
      <c r="C54" s="388" t="s">
        <v>2646</v>
      </c>
      <c r="D54" s="391" t="s">
        <v>19</v>
      </c>
      <c r="F54" s="389">
        <v>4.0</v>
      </c>
      <c r="G54" s="389"/>
      <c r="H54" s="381">
        <v>7.4</v>
      </c>
      <c r="I54" s="381">
        <f t="shared" si="14"/>
        <v>29.6</v>
      </c>
      <c r="J54" s="399">
        <f>SUM(E53*I54)</f>
        <v>29.6</v>
      </c>
      <c r="K54" s="386"/>
      <c r="L54" s="384" t="s">
        <v>14</v>
      </c>
      <c r="M54" s="359"/>
      <c r="O54" s="356"/>
      <c r="P54" s="356"/>
      <c r="Q54" s="356"/>
      <c r="R54" s="356"/>
      <c r="S54" s="356"/>
      <c r="T54" s="356"/>
      <c r="U54" s="356"/>
      <c r="V54" s="356"/>
      <c r="W54" s="356"/>
      <c r="X54" s="356"/>
      <c r="Y54" s="356"/>
      <c r="Z54" s="356"/>
      <c r="AA54" s="356"/>
      <c r="AB54" s="356"/>
      <c r="AC54" s="356"/>
      <c r="AD54" s="356"/>
      <c r="AE54" s="356"/>
      <c r="AF54" s="356"/>
    </row>
    <row r="55">
      <c r="A55" s="375"/>
      <c r="B55" s="376" t="s">
        <v>2647</v>
      </c>
      <c r="C55" s="388" t="s">
        <v>21</v>
      </c>
      <c r="D55" s="389" t="s">
        <v>3</v>
      </c>
      <c r="F55" s="389">
        <v>10.0</v>
      </c>
      <c r="G55" s="389"/>
      <c r="H55" s="381">
        <v>0.19</v>
      </c>
      <c r="I55" s="381">
        <f t="shared" si="14"/>
        <v>1.9</v>
      </c>
      <c r="J55" s="399">
        <f>SUM(E53*I55)</f>
        <v>1.9</v>
      </c>
      <c r="K55" s="383"/>
      <c r="L55" s="384" t="s">
        <v>14</v>
      </c>
      <c r="M55" s="359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</row>
    <row r="56">
      <c r="A56" s="375"/>
      <c r="B56" s="376" t="s">
        <v>22</v>
      </c>
      <c r="C56" s="388" t="s">
        <v>23</v>
      </c>
      <c r="D56" s="389" t="s">
        <v>3</v>
      </c>
      <c r="F56" s="389">
        <v>10.0</v>
      </c>
      <c r="G56" s="389"/>
      <c r="H56" s="381">
        <v>0.3</v>
      </c>
      <c r="I56" s="381">
        <f t="shared" si="14"/>
        <v>3</v>
      </c>
      <c r="J56" s="399">
        <f>SUM(E53*I56)</f>
        <v>3</v>
      </c>
      <c r="K56" s="383"/>
      <c r="L56" s="384" t="s">
        <v>14</v>
      </c>
      <c r="M56" s="359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  <c r="Z56" s="356"/>
      <c r="AA56" s="356"/>
      <c r="AB56" s="356"/>
      <c r="AC56" s="356"/>
      <c r="AD56" s="356"/>
      <c r="AE56" s="356"/>
      <c r="AF56" s="356"/>
    </row>
    <row r="57">
      <c r="A57" s="413"/>
      <c r="B57" s="407" t="s">
        <v>2630</v>
      </c>
      <c r="C57" s="388" t="s">
        <v>2644</v>
      </c>
      <c r="D57" s="389" t="s">
        <v>3</v>
      </c>
      <c r="F57" s="391">
        <v>0.04</v>
      </c>
      <c r="G57" s="389"/>
      <c r="H57" s="381">
        <v>43.9</v>
      </c>
      <c r="I57" s="381">
        <f t="shared" si="14"/>
        <v>1.756</v>
      </c>
      <c r="J57" s="399">
        <f>SUM(E53*I57)</f>
        <v>1.756</v>
      </c>
      <c r="K57" s="386"/>
      <c r="L57" s="384" t="s">
        <v>2648</v>
      </c>
      <c r="M57" s="359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  <c r="Z57" s="356"/>
      <c r="AA57" s="356"/>
      <c r="AB57" s="356"/>
      <c r="AC57" s="356"/>
      <c r="AD57" s="356"/>
      <c r="AE57" s="356"/>
      <c r="AF57" s="356"/>
    </row>
    <row r="58">
      <c r="A58" s="413"/>
      <c r="B58" s="407" t="s">
        <v>36</v>
      </c>
      <c r="C58" s="388" t="s">
        <v>37</v>
      </c>
      <c r="D58" s="389" t="s">
        <v>3</v>
      </c>
      <c r="F58" s="391">
        <v>0.1</v>
      </c>
      <c r="G58" s="389"/>
      <c r="H58" s="381">
        <v>12.9</v>
      </c>
      <c r="I58" s="381">
        <f t="shared" si="14"/>
        <v>1.29</v>
      </c>
      <c r="J58" s="399">
        <f>SUM(E53*I58)</f>
        <v>1.29</v>
      </c>
      <c r="K58" s="386"/>
      <c r="L58" s="384" t="s">
        <v>2649</v>
      </c>
      <c r="M58" s="359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</row>
    <row r="59">
      <c r="A59" s="413"/>
      <c r="B59" s="407" t="s">
        <v>117</v>
      </c>
      <c r="C59" s="388" t="s">
        <v>2638</v>
      </c>
      <c r="D59" s="389" t="s">
        <v>3</v>
      </c>
      <c r="F59" s="389">
        <v>150.0</v>
      </c>
      <c r="G59" s="389"/>
      <c r="H59" s="381">
        <v>0.0065</v>
      </c>
      <c r="I59" s="381">
        <f t="shared" si="14"/>
        <v>0.975</v>
      </c>
      <c r="J59" s="399">
        <f>SUM(E53*I59)</f>
        <v>0.975</v>
      </c>
      <c r="K59" s="383"/>
      <c r="L59" s="384" t="s">
        <v>14</v>
      </c>
      <c r="M59" s="359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</row>
    <row r="60">
      <c r="A60" s="341"/>
      <c r="B60" s="420"/>
      <c r="C60" s="388"/>
      <c r="D60" s="389"/>
      <c r="E60" s="390"/>
      <c r="F60" s="389"/>
      <c r="G60" s="391" t="s">
        <v>2599</v>
      </c>
      <c r="H60" s="400">
        <f t="shared" ref="H60:J60" si="15">SUM(H53:H59)</f>
        <v>67.2865</v>
      </c>
      <c r="I60" s="381">
        <f t="shared" si="15"/>
        <v>38.521</v>
      </c>
      <c r="J60" s="399">
        <f t="shared" si="15"/>
        <v>38.521</v>
      </c>
      <c r="K60" s="383"/>
      <c r="L60" s="384" t="s">
        <v>14</v>
      </c>
      <c r="M60" s="359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</row>
    <row r="61">
      <c r="A61" s="368"/>
      <c r="B61" s="421"/>
      <c r="C61" s="422" t="s">
        <v>2650</v>
      </c>
      <c r="D61" s="358"/>
      <c r="E61" s="358"/>
      <c r="F61" s="358"/>
      <c r="G61" s="358"/>
      <c r="H61" s="423"/>
      <c r="I61" s="423"/>
      <c r="J61" s="423"/>
      <c r="K61" s="386"/>
      <c r="L61" s="367" t="s">
        <v>2651</v>
      </c>
      <c r="M61" s="34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</row>
    <row r="62">
      <c r="A62" s="393"/>
      <c r="B62" s="394" t="s">
        <v>2600</v>
      </c>
      <c r="C62" s="397" t="s">
        <v>2603</v>
      </c>
      <c r="D62" s="371" t="s">
        <v>2591</v>
      </c>
      <c r="E62" s="372" t="s">
        <v>2592</v>
      </c>
      <c r="F62" s="371" t="s">
        <v>2609</v>
      </c>
      <c r="G62" s="371" t="s">
        <v>2594</v>
      </c>
      <c r="H62" s="373" t="s">
        <v>2583</v>
      </c>
      <c r="I62" s="373" t="s">
        <v>2584</v>
      </c>
      <c r="J62" s="373" t="s">
        <v>2595</v>
      </c>
      <c r="K62" s="386"/>
      <c r="L62" s="352"/>
      <c r="M62" s="353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</row>
    <row r="63">
      <c r="A63" s="375"/>
      <c r="B63" s="376" t="s">
        <v>15</v>
      </c>
      <c r="C63" s="398" t="s">
        <v>16</v>
      </c>
      <c r="D63" s="389" t="s">
        <v>3</v>
      </c>
      <c r="E63" s="379">
        <v>1.0</v>
      </c>
      <c r="F63" s="391">
        <v>0.0</v>
      </c>
      <c r="G63" s="389"/>
      <c r="H63" s="381">
        <v>2.59</v>
      </c>
      <c r="I63" s="381">
        <f t="shared" ref="I63:I69" si="16">SUM(F63*H63)</f>
        <v>0</v>
      </c>
      <c r="J63" s="399">
        <f>SUM(F63*H63)</f>
        <v>0</v>
      </c>
      <c r="K63" s="386"/>
      <c r="L63" s="384" t="s">
        <v>2597</v>
      </c>
      <c r="M63" s="359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</row>
    <row r="64">
      <c r="A64" s="375"/>
      <c r="B64" s="376" t="s">
        <v>17</v>
      </c>
      <c r="C64" s="388" t="s">
        <v>2610</v>
      </c>
      <c r="D64" s="389" t="s">
        <v>19</v>
      </c>
      <c r="F64" s="389">
        <v>6.0</v>
      </c>
      <c r="G64" s="389"/>
      <c r="H64" s="381">
        <v>7.4</v>
      </c>
      <c r="I64" s="381">
        <f t="shared" si="16"/>
        <v>44.4</v>
      </c>
      <c r="J64" s="399">
        <f>SUM(E63*I64)</f>
        <v>44.4</v>
      </c>
      <c r="K64" s="383"/>
      <c r="L64" s="384" t="s">
        <v>14</v>
      </c>
      <c r="M64" s="359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</row>
    <row r="65">
      <c r="A65" s="413"/>
      <c r="B65" s="407" t="s">
        <v>2615</v>
      </c>
      <c r="C65" s="388" t="s">
        <v>2639</v>
      </c>
      <c r="D65" s="389" t="s">
        <v>3</v>
      </c>
      <c r="F65" s="389">
        <v>150.0</v>
      </c>
      <c r="G65" s="389"/>
      <c r="H65" s="381">
        <v>0.0075</v>
      </c>
      <c r="I65" s="381">
        <f t="shared" si="16"/>
        <v>1.125</v>
      </c>
      <c r="J65" s="399">
        <f>SUM(E63*I65)</f>
        <v>1.125</v>
      </c>
      <c r="K65" s="383"/>
      <c r="L65" s="384" t="s">
        <v>14</v>
      </c>
      <c r="M65" s="359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356"/>
      <c r="AB65" s="356"/>
      <c r="AC65" s="356"/>
      <c r="AD65" s="356"/>
      <c r="AE65" s="356"/>
      <c r="AF65" s="356"/>
    </row>
    <row r="66">
      <c r="A66" s="413"/>
      <c r="B66" s="407" t="s">
        <v>117</v>
      </c>
      <c r="C66" s="388" t="s">
        <v>118</v>
      </c>
      <c r="D66" s="389" t="s">
        <v>3</v>
      </c>
      <c r="F66" s="389">
        <v>150.0</v>
      </c>
      <c r="G66" s="389"/>
      <c r="H66" s="381">
        <v>0.0065</v>
      </c>
      <c r="I66" s="381">
        <f t="shared" si="16"/>
        <v>0.975</v>
      </c>
      <c r="J66" s="399">
        <f>SUM(E63*I66)</f>
        <v>0.975</v>
      </c>
      <c r="K66" s="383"/>
      <c r="L66" s="384" t="s">
        <v>14</v>
      </c>
      <c r="M66" s="359"/>
      <c r="O66" s="356"/>
      <c r="P66" s="356"/>
      <c r="Q66" s="356"/>
      <c r="R66" s="356"/>
      <c r="S66" s="356"/>
      <c r="T66" s="356"/>
      <c r="U66" s="356"/>
      <c r="V66" s="356"/>
      <c r="W66" s="356"/>
      <c r="X66" s="356"/>
      <c r="Y66" s="356"/>
      <c r="Z66" s="356"/>
      <c r="AA66" s="356"/>
      <c r="AB66" s="356"/>
      <c r="AC66" s="356"/>
      <c r="AD66" s="356"/>
      <c r="AE66" s="356"/>
      <c r="AF66" s="356"/>
    </row>
    <row r="67">
      <c r="A67" s="424"/>
      <c r="B67" s="425" t="s">
        <v>2652</v>
      </c>
      <c r="C67" s="398" t="s">
        <v>2653</v>
      </c>
      <c r="D67" s="389" t="s">
        <v>3</v>
      </c>
      <c r="F67" s="389">
        <v>10.0</v>
      </c>
      <c r="G67" s="389"/>
      <c r="H67" s="381">
        <v>0.32</v>
      </c>
      <c r="I67" s="381">
        <f t="shared" si="16"/>
        <v>3.2</v>
      </c>
      <c r="J67" s="399">
        <f>SUM(E63*I67)</f>
        <v>3.2</v>
      </c>
      <c r="K67" s="383"/>
      <c r="L67" s="384" t="s">
        <v>14</v>
      </c>
      <c r="M67" s="359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</row>
    <row r="68">
      <c r="A68" s="413"/>
      <c r="B68" s="407" t="s">
        <v>2624</v>
      </c>
      <c r="C68" s="388" t="s">
        <v>2625</v>
      </c>
      <c r="D68" s="389" t="s">
        <v>3</v>
      </c>
      <c r="F68" s="391">
        <v>6.0</v>
      </c>
      <c r="G68" s="389"/>
      <c r="H68" s="381">
        <v>0.19</v>
      </c>
      <c r="I68" s="381">
        <f t="shared" si="16"/>
        <v>1.14</v>
      </c>
      <c r="J68" s="399">
        <f>SUM(E63*I68)</f>
        <v>1.14</v>
      </c>
      <c r="K68" s="383"/>
      <c r="L68" s="384" t="s">
        <v>14</v>
      </c>
      <c r="M68" s="359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  <c r="Z68" s="356"/>
      <c r="AA68" s="356"/>
      <c r="AB68" s="356"/>
      <c r="AC68" s="356"/>
      <c r="AD68" s="356"/>
      <c r="AE68" s="356"/>
      <c r="AF68" s="356"/>
    </row>
    <row r="69">
      <c r="A69" s="413"/>
      <c r="B69" s="407" t="s">
        <v>2630</v>
      </c>
      <c r="C69" s="388" t="s">
        <v>2644</v>
      </c>
      <c r="D69" s="389" t="s">
        <v>3</v>
      </c>
      <c r="F69" s="391">
        <v>0.04</v>
      </c>
      <c r="G69" s="389"/>
      <c r="H69" s="381">
        <v>43.9</v>
      </c>
      <c r="I69" s="381">
        <f t="shared" si="16"/>
        <v>1.756</v>
      </c>
      <c r="J69" s="399">
        <f>SUM(E63*I69)</f>
        <v>1.756</v>
      </c>
      <c r="K69" s="383"/>
      <c r="L69" s="384" t="s">
        <v>14</v>
      </c>
      <c r="M69" s="359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356"/>
      <c r="AB69" s="356"/>
      <c r="AC69" s="356"/>
      <c r="AD69" s="356"/>
      <c r="AE69" s="356"/>
      <c r="AF69" s="356"/>
    </row>
    <row r="70">
      <c r="A70" s="341"/>
      <c r="B70" s="426"/>
      <c r="C70" s="388"/>
      <c r="D70" s="389"/>
      <c r="E70" s="390"/>
      <c r="F70" s="389"/>
      <c r="G70" s="391" t="s">
        <v>2599</v>
      </c>
      <c r="H70" s="400">
        <f t="shared" ref="H70:J70" si="17">SUM(H63:H69)</f>
        <v>54.414</v>
      </c>
      <c r="I70" s="381">
        <f t="shared" si="17"/>
        <v>52.596</v>
      </c>
      <c r="J70" s="399">
        <f t="shared" si="17"/>
        <v>52.596</v>
      </c>
      <c r="K70" s="374"/>
      <c r="L70" s="392"/>
      <c r="M70" s="359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6"/>
      <c r="Z70" s="356"/>
      <c r="AA70" s="356"/>
      <c r="AB70" s="356"/>
      <c r="AC70" s="356"/>
      <c r="AD70" s="356"/>
      <c r="AE70" s="356"/>
      <c r="AF70" s="356"/>
    </row>
    <row r="71">
      <c r="A71" s="368"/>
      <c r="B71" s="403"/>
      <c r="C71" s="427" t="s">
        <v>2654</v>
      </c>
      <c r="D71" s="358"/>
      <c r="E71" s="358"/>
      <c r="F71" s="358"/>
      <c r="G71" s="358"/>
      <c r="H71" s="405"/>
      <c r="I71" s="405"/>
      <c r="J71" s="405"/>
      <c r="K71" s="386"/>
      <c r="L71" s="367" t="s">
        <v>2655</v>
      </c>
      <c r="M71" s="34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</row>
    <row r="72">
      <c r="A72" s="393"/>
      <c r="B72" s="394" t="s">
        <v>2600</v>
      </c>
      <c r="C72" s="397" t="s">
        <v>2603</v>
      </c>
      <c r="D72" s="371" t="s">
        <v>2591</v>
      </c>
      <c r="E72" s="372" t="s">
        <v>2592</v>
      </c>
      <c r="F72" s="371" t="s">
        <v>2609</v>
      </c>
      <c r="G72" s="371" t="s">
        <v>2594</v>
      </c>
      <c r="H72" s="373" t="s">
        <v>2583</v>
      </c>
      <c r="I72" s="373" t="s">
        <v>2584</v>
      </c>
      <c r="J72" s="373" t="s">
        <v>2595</v>
      </c>
      <c r="K72" s="386"/>
      <c r="L72" s="352"/>
      <c r="M72" s="353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</row>
    <row r="73">
      <c r="A73" s="375"/>
      <c r="B73" s="376" t="s">
        <v>15</v>
      </c>
      <c r="C73" s="398" t="s">
        <v>16</v>
      </c>
      <c r="D73" s="389" t="s">
        <v>3</v>
      </c>
      <c r="E73" s="379">
        <v>1.0</v>
      </c>
      <c r="F73" s="391">
        <v>0.0</v>
      </c>
      <c r="G73" s="389"/>
      <c r="H73" s="381">
        <v>2.59</v>
      </c>
      <c r="I73" s="381">
        <f t="shared" ref="I73:I81" si="18">SUM(F73*H73)</f>
        <v>0</v>
      </c>
      <c r="J73" s="399">
        <f>SUM(F73*H73)</f>
        <v>0</v>
      </c>
      <c r="K73" s="386"/>
      <c r="L73" s="384" t="s">
        <v>2597</v>
      </c>
      <c r="M73" s="359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  <c r="AB73" s="356"/>
      <c r="AC73" s="356"/>
      <c r="AD73" s="356"/>
      <c r="AE73" s="356"/>
      <c r="AF73" s="356"/>
    </row>
    <row r="74">
      <c r="A74" s="375"/>
      <c r="B74" s="376" t="s">
        <v>17</v>
      </c>
      <c r="C74" s="388" t="s">
        <v>2610</v>
      </c>
      <c r="D74" s="389" t="s">
        <v>19</v>
      </c>
      <c r="F74" s="389">
        <v>6.0</v>
      </c>
      <c r="G74" s="391"/>
      <c r="H74" s="381">
        <v>7.4</v>
      </c>
      <c r="I74" s="381">
        <f t="shared" si="18"/>
        <v>44.4</v>
      </c>
      <c r="J74" s="399">
        <f>SUM(E73*I74)</f>
        <v>44.4</v>
      </c>
      <c r="K74" s="383"/>
      <c r="L74" s="384" t="s">
        <v>14</v>
      </c>
      <c r="M74" s="359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</row>
    <row r="75">
      <c r="A75" s="413"/>
      <c r="B75" s="407" t="s">
        <v>2656</v>
      </c>
      <c r="C75" s="388" t="s">
        <v>2657</v>
      </c>
      <c r="D75" s="389" t="s">
        <v>3</v>
      </c>
      <c r="F75" s="389">
        <v>150.0</v>
      </c>
      <c r="G75" s="391"/>
      <c r="H75" s="381">
        <v>0.05</v>
      </c>
      <c r="I75" s="381">
        <f t="shared" si="18"/>
        <v>7.5</v>
      </c>
      <c r="J75" s="399">
        <f>SUM(E73*I75)</f>
        <v>7.5</v>
      </c>
      <c r="K75" s="383"/>
      <c r="L75" s="384" t="s">
        <v>14</v>
      </c>
      <c r="M75" s="359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</row>
    <row r="76">
      <c r="A76" s="413"/>
      <c r="B76" s="407" t="s">
        <v>2658</v>
      </c>
      <c r="C76" s="398" t="s">
        <v>2659</v>
      </c>
      <c r="D76" s="391" t="s">
        <v>3</v>
      </c>
      <c r="F76" s="391">
        <v>150.0</v>
      </c>
      <c r="G76" s="391"/>
      <c r="H76" s="381">
        <v>0.05</v>
      </c>
      <c r="I76" s="381">
        <f t="shared" si="18"/>
        <v>7.5</v>
      </c>
      <c r="J76" s="399">
        <f>SUM(E73*I76)</f>
        <v>7.5</v>
      </c>
      <c r="K76" s="383"/>
      <c r="L76" s="384" t="s">
        <v>14</v>
      </c>
      <c r="M76" s="359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</row>
    <row r="77">
      <c r="A77" s="413"/>
      <c r="B77" s="407" t="s">
        <v>2660</v>
      </c>
      <c r="C77" s="388" t="s">
        <v>2661</v>
      </c>
      <c r="D77" s="389" t="s">
        <v>3</v>
      </c>
      <c r="F77" s="389">
        <v>10.0</v>
      </c>
      <c r="G77" s="389"/>
      <c r="H77" s="381">
        <v>0.45</v>
      </c>
      <c r="I77" s="381">
        <f t="shared" si="18"/>
        <v>4.5</v>
      </c>
      <c r="J77" s="399">
        <f>SUM(E73*I77)</f>
        <v>4.5</v>
      </c>
      <c r="K77" s="383"/>
      <c r="L77" s="384" t="s">
        <v>14</v>
      </c>
      <c r="M77" s="359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</row>
    <row r="78">
      <c r="A78" s="375"/>
      <c r="B78" s="376" t="s">
        <v>2662</v>
      </c>
      <c r="C78" s="388" t="s">
        <v>2663</v>
      </c>
      <c r="D78" s="389" t="s">
        <v>3</v>
      </c>
      <c r="F78" s="391">
        <v>6.0</v>
      </c>
      <c r="G78" s="389"/>
      <c r="H78" s="381">
        <v>0.35</v>
      </c>
      <c r="I78" s="381">
        <f t="shared" si="18"/>
        <v>2.1</v>
      </c>
      <c r="J78" s="399">
        <f>SUM(E73*I78)</f>
        <v>2.1</v>
      </c>
      <c r="K78" s="383"/>
      <c r="L78" s="384" t="s">
        <v>14</v>
      </c>
      <c r="M78" s="359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</row>
    <row r="79">
      <c r="A79" s="413"/>
      <c r="B79" s="407" t="s">
        <v>36</v>
      </c>
      <c r="C79" s="388" t="s">
        <v>37</v>
      </c>
      <c r="D79" s="389" t="s">
        <v>3</v>
      </c>
      <c r="F79" s="391">
        <v>0.1</v>
      </c>
      <c r="G79" s="389"/>
      <c r="H79" s="381">
        <v>12.9</v>
      </c>
      <c r="I79" s="381">
        <f t="shared" si="18"/>
        <v>1.29</v>
      </c>
      <c r="J79" s="399">
        <f>SUM(E73*I79)</f>
        <v>1.29</v>
      </c>
      <c r="K79" s="386"/>
      <c r="L79" s="384" t="s">
        <v>2642</v>
      </c>
      <c r="M79" s="359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</row>
    <row r="80">
      <c r="A80" s="375"/>
      <c r="B80" s="376" t="s">
        <v>22</v>
      </c>
      <c r="C80" s="388" t="s">
        <v>2643</v>
      </c>
      <c r="D80" s="389" t="s">
        <v>3</v>
      </c>
      <c r="F80" s="389">
        <v>10.0</v>
      </c>
      <c r="G80" s="391"/>
      <c r="H80" s="381">
        <v>0.3</v>
      </c>
      <c r="I80" s="381">
        <f t="shared" si="18"/>
        <v>3</v>
      </c>
      <c r="J80" s="399">
        <f>SUM(E73*I80)</f>
        <v>3</v>
      </c>
      <c r="K80" s="383"/>
      <c r="L80" s="384" t="s">
        <v>14</v>
      </c>
      <c r="M80" s="359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356"/>
      <c r="AB80" s="356"/>
      <c r="AC80" s="356"/>
      <c r="AD80" s="356"/>
      <c r="AE80" s="356"/>
      <c r="AF80" s="356"/>
    </row>
    <row r="81">
      <c r="A81" s="413"/>
      <c r="B81" s="407" t="s">
        <v>2630</v>
      </c>
      <c r="C81" s="388" t="s">
        <v>2644</v>
      </c>
      <c r="D81" s="389" t="s">
        <v>3</v>
      </c>
      <c r="F81" s="391">
        <v>0.04</v>
      </c>
      <c r="G81" s="389"/>
      <c r="H81" s="381">
        <v>43.9</v>
      </c>
      <c r="I81" s="381">
        <f t="shared" si="18"/>
        <v>1.756</v>
      </c>
      <c r="J81" s="399">
        <f>SUM(E73*I81)</f>
        <v>1.756</v>
      </c>
      <c r="K81" s="383"/>
      <c r="L81" s="384" t="s">
        <v>14</v>
      </c>
      <c r="M81" s="359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</row>
    <row r="82">
      <c r="A82" s="341"/>
      <c r="B82" s="426"/>
      <c r="C82" s="388"/>
      <c r="D82" s="389"/>
      <c r="E82" s="390"/>
      <c r="F82" s="389"/>
      <c r="G82" s="391" t="s">
        <v>2599</v>
      </c>
      <c r="H82" s="400">
        <f>SUM(H73:H81)</f>
        <v>67.99</v>
      </c>
      <c r="I82" s="381">
        <f>SUM(I72:I81)</f>
        <v>72.046</v>
      </c>
      <c r="J82" s="399">
        <f>SUM(J73:J81)</f>
        <v>72.046</v>
      </c>
      <c r="K82" s="374"/>
      <c r="L82" s="392"/>
      <c r="M82" s="359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356"/>
      <c r="AB82" s="356"/>
      <c r="AC82" s="356"/>
      <c r="AD82" s="356"/>
      <c r="AE82" s="356"/>
      <c r="AF82" s="356"/>
    </row>
    <row r="83">
      <c r="A83" s="368"/>
      <c r="B83" s="428"/>
      <c r="C83" s="429" t="s">
        <v>2664</v>
      </c>
      <c r="D83" s="358"/>
      <c r="E83" s="358"/>
      <c r="F83" s="358"/>
      <c r="G83" s="358"/>
      <c r="H83" s="430"/>
      <c r="I83" s="430"/>
      <c r="J83" s="430"/>
      <c r="K83" s="386"/>
      <c r="L83" s="367" t="s">
        <v>2665</v>
      </c>
      <c r="M83" s="34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</row>
    <row r="84">
      <c r="A84" s="393"/>
      <c r="B84" s="394" t="s">
        <v>2600</v>
      </c>
      <c r="C84" s="397" t="s">
        <v>2603</v>
      </c>
      <c r="D84" s="371" t="s">
        <v>2591</v>
      </c>
      <c r="E84" s="372" t="s">
        <v>2592</v>
      </c>
      <c r="F84" s="371" t="s">
        <v>2609</v>
      </c>
      <c r="G84" s="371" t="s">
        <v>2594</v>
      </c>
      <c r="H84" s="373" t="s">
        <v>2583</v>
      </c>
      <c r="I84" s="373" t="s">
        <v>2584</v>
      </c>
      <c r="J84" s="373" t="s">
        <v>2595</v>
      </c>
      <c r="K84" s="386"/>
      <c r="L84" s="352"/>
      <c r="M84" s="353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  <c r="Z84" s="356"/>
      <c r="AA84" s="356"/>
      <c r="AB84" s="356"/>
      <c r="AC84" s="356"/>
      <c r="AD84" s="356"/>
      <c r="AE84" s="356"/>
      <c r="AF84" s="356"/>
    </row>
    <row r="85">
      <c r="A85" s="375"/>
      <c r="B85" s="376" t="s">
        <v>15</v>
      </c>
      <c r="C85" s="398" t="s">
        <v>16</v>
      </c>
      <c r="D85" s="389" t="s">
        <v>3</v>
      </c>
      <c r="E85" s="379">
        <v>1.0</v>
      </c>
      <c r="F85" s="391">
        <v>0.0</v>
      </c>
      <c r="G85" s="389"/>
      <c r="H85" s="381">
        <v>2.59</v>
      </c>
      <c r="I85" s="381">
        <f t="shared" ref="I85:I95" si="19">SUM(F85*H85)</f>
        <v>0</v>
      </c>
      <c r="J85" s="399">
        <f>SUM(F85*H85)</f>
        <v>0</v>
      </c>
      <c r="K85" s="386"/>
      <c r="L85" s="384" t="s">
        <v>2597</v>
      </c>
      <c r="M85" s="359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</row>
    <row r="86">
      <c r="A86" s="375"/>
      <c r="B86" s="376" t="s">
        <v>17</v>
      </c>
      <c r="C86" s="388" t="s">
        <v>18</v>
      </c>
      <c r="D86" s="389" t="s">
        <v>19</v>
      </c>
      <c r="F86" s="389">
        <v>4.0</v>
      </c>
      <c r="G86" s="389"/>
      <c r="H86" s="381">
        <v>13.6</v>
      </c>
      <c r="I86" s="381">
        <f t="shared" si="19"/>
        <v>54.4</v>
      </c>
      <c r="J86" s="399">
        <f>SUM(E85*I86)</f>
        <v>54.4</v>
      </c>
      <c r="K86" s="383"/>
      <c r="L86" s="384" t="s">
        <v>14</v>
      </c>
      <c r="M86" s="359"/>
      <c r="O86" s="355" t="s">
        <v>2666</v>
      </c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356"/>
      <c r="AB86" s="356"/>
      <c r="AC86" s="356"/>
      <c r="AD86" s="356"/>
      <c r="AE86" s="356"/>
      <c r="AF86" s="356"/>
    </row>
    <row r="87">
      <c r="A87" s="375"/>
      <c r="B87" s="376" t="s">
        <v>20</v>
      </c>
      <c r="C87" s="388" t="s">
        <v>21</v>
      </c>
      <c r="D87" s="389" t="s">
        <v>3</v>
      </c>
      <c r="F87" s="389">
        <v>10.0</v>
      </c>
      <c r="G87" s="389"/>
      <c r="H87" s="381">
        <v>0.19</v>
      </c>
      <c r="I87" s="381">
        <f t="shared" si="19"/>
        <v>1.9</v>
      </c>
      <c r="J87" s="399">
        <f>SUM(E85*I87)</f>
        <v>1.9</v>
      </c>
      <c r="K87" s="383"/>
      <c r="L87" s="384" t="s">
        <v>14</v>
      </c>
      <c r="M87" s="359"/>
      <c r="O87" s="355" t="s">
        <v>2667</v>
      </c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</row>
    <row r="88">
      <c r="A88" s="375"/>
      <c r="B88" s="376" t="s">
        <v>22</v>
      </c>
      <c r="C88" s="388" t="s">
        <v>23</v>
      </c>
      <c r="D88" s="389" t="s">
        <v>3</v>
      </c>
      <c r="F88" s="389">
        <v>10.0</v>
      </c>
      <c r="G88" s="389"/>
      <c r="H88" s="381">
        <v>0.3</v>
      </c>
      <c r="I88" s="381">
        <f t="shared" si="19"/>
        <v>3</v>
      </c>
      <c r="J88" s="399">
        <f>SUM(E85*I88)</f>
        <v>3</v>
      </c>
      <c r="K88" s="383"/>
      <c r="L88" s="384" t="s">
        <v>14</v>
      </c>
      <c r="M88" s="359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  <c r="Z88" s="356"/>
      <c r="AA88" s="356"/>
      <c r="AB88" s="356"/>
      <c r="AC88" s="356"/>
      <c r="AD88" s="356"/>
      <c r="AE88" s="356"/>
      <c r="AF88" s="356"/>
    </row>
    <row r="89">
      <c r="A89" s="375"/>
      <c r="B89" s="376" t="s">
        <v>24</v>
      </c>
      <c r="C89" s="388" t="s">
        <v>25</v>
      </c>
      <c r="D89" s="389" t="s">
        <v>3</v>
      </c>
      <c r="F89" s="391">
        <v>1.0</v>
      </c>
      <c r="G89" s="389"/>
      <c r="H89" s="381">
        <v>0.15</v>
      </c>
      <c r="I89" s="381">
        <f t="shared" si="19"/>
        <v>0.15</v>
      </c>
      <c r="J89" s="399">
        <f>SUM(H89*F89)</f>
        <v>0.15</v>
      </c>
      <c r="K89" s="386"/>
      <c r="L89" s="384" t="s">
        <v>2668</v>
      </c>
      <c r="M89" s="359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56"/>
      <c r="Z89" s="356"/>
      <c r="AA89" s="356"/>
      <c r="AB89" s="356"/>
      <c r="AC89" s="356"/>
      <c r="AD89" s="356"/>
      <c r="AE89" s="356"/>
      <c r="AF89" s="356"/>
    </row>
    <row r="90">
      <c r="A90" s="375"/>
      <c r="B90" s="376" t="s">
        <v>26</v>
      </c>
      <c r="C90" s="388" t="s">
        <v>27</v>
      </c>
      <c r="D90" s="389" t="s">
        <v>3</v>
      </c>
      <c r="F90" s="391">
        <v>40.0</v>
      </c>
      <c r="G90" s="389"/>
      <c r="H90" s="381">
        <v>1.3</v>
      </c>
      <c r="I90" s="381">
        <f t="shared" si="19"/>
        <v>52</v>
      </c>
      <c r="J90" s="399">
        <f>SUM(E85*I90)</f>
        <v>52</v>
      </c>
      <c r="K90" s="383"/>
      <c r="L90" s="384" t="s">
        <v>14</v>
      </c>
      <c r="M90" s="359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  <c r="Z90" s="356"/>
      <c r="AA90" s="356"/>
      <c r="AB90" s="356"/>
      <c r="AC90" s="356"/>
      <c r="AD90" s="356"/>
      <c r="AE90" s="356"/>
      <c r="AF90" s="356"/>
    </row>
    <row r="91">
      <c r="A91" s="375"/>
      <c r="B91" s="376" t="s">
        <v>28</v>
      </c>
      <c r="C91" s="388" t="s">
        <v>29</v>
      </c>
      <c r="D91" s="389" t="s">
        <v>3</v>
      </c>
      <c r="F91" s="391">
        <v>40.0</v>
      </c>
      <c r="G91" s="389"/>
      <c r="H91" s="381">
        <v>0.14</v>
      </c>
      <c r="I91" s="381">
        <f t="shared" si="19"/>
        <v>5.6</v>
      </c>
      <c r="J91" s="399">
        <f>SUM(E85*I91)</f>
        <v>5.6</v>
      </c>
      <c r="K91" s="383"/>
      <c r="L91" s="384" t="s">
        <v>14</v>
      </c>
      <c r="M91" s="359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</row>
    <row r="92">
      <c r="A92" s="375"/>
      <c r="B92" s="376" t="s">
        <v>30</v>
      </c>
      <c r="C92" s="388" t="s">
        <v>31</v>
      </c>
      <c r="D92" s="389" t="s">
        <v>3</v>
      </c>
      <c r="F92" s="391">
        <v>0.0</v>
      </c>
      <c r="G92" s="389"/>
      <c r="H92" s="381">
        <v>23.9</v>
      </c>
      <c r="I92" s="381">
        <f t="shared" si="19"/>
        <v>0</v>
      </c>
      <c r="J92" s="399">
        <f>SUM(E85*I92)</f>
        <v>0</v>
      </c>
      <c r="K92" s="386"/>
      <c r="L92" s="384" t="s">
        <v>2669</v>
      </c>
      <c r="M92" s="359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356"/>
      <c r="AB92" s="356"/>
      <c r="AC92" s="356"/>
      <c r="AD92" s="356"/>
      <c r="AE92" s="356"/>
      <c r="AF92" s="356"/>
    </row>
    <row r="93">
      <c r="A93" s="375"/>
      <c r="B93" s="376" t="s">
        <v>32</v>
      </c>
      <c r="C93" s="388" t="s">
        <v>33</v>
      </c>
      <c r="D93" s="389" t="s">
        <v>3</v>
      </c>
      <c r="F93" s="391">
        <v>1.0</v>
      </c>
      <c r="G93" s="389"/>
      <c r="H93" s="381">
        <v>2.5</v>
      </c>
      <c r="I93" s="381">
        <f t="shared" si="19"/>
        <v>2.5</v>
      </c>
      <c r="J93" s="399">
        <f>SUM(E85*I93)</f>
        <v>2.5</v>
      </c>
      <c r="K93" s="386"/>
      <c r="L93" s="384" t="s">
        <v>2670</v>
      </c>
      <c r="M93" s="359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356"/>
      <c r="AB93" s="356"/>
      <c r="AC93" s="356"/>
      <c r="AD93" s="356"/>
      <c r="AE93" s="356"/>
      <c r="AF93" s="356"/>
    </row>
    <row r="94">
      <c r="A94" s="375"/>
      <c r="B94" s="376" t="s">
        <v>34</v>
      </c>
      <c r="C94" s="388" t="s">
        <v>35</v>
      </c>
      <c r="D94" s="391" t="s">
        <v>3</v>
      </c>
      <c r="F94" s="391">
        <v>0.0</v>
      </c>
      <c r="G94" s="389"/>
      <c r="H94" s="381">
        <v>2.0</v>
      </c>
      <c r="I94" s="381">
        <f t="shared" si="19"/>
        <v>0</v>
      </c>
      <c r="J94" s="399">
        <f>SUM(F94*H94)</f>
        <v>0</v>
      </c>
      <c r="K94" s="386"/>
      <c r="L94" s="384" t="s">
        <v>2671</v>
      </c>
      <c r="M94" s="359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56"/>
      <c r="Z94" s="356"/>
      <c r="AA94" s="356"/>
      <c r="AB94" s="356"/>
      <c r="AC94" s="356"/>
      <c r="AD94" s="356"/>
      <c r="AE94" s="356"/>
      <c r="AF94" s="356"/>
    </row>
    <row r="95">
      <c r="A95" s="413"/>
      <c r="B95" s="407" t="s">
        <v>36</v>
      </c>
      <c r="C95" s="388" t="s">
        <v>37</v>
      </c>
      <c r="D95" s="389" t="s">
        <v>3</v>
      </c>
      <c r="F95" s="391">
        <v>0.1</v>
      </c>
      <c r="G95" s="389"/>
      <c r="H95" s="381">
        <v>12.9</v>
      </c>
      <c r="I95" s="381">
        <f t="shared" si="19"/>
        <v>1.29</v>
      </c>
      <c r="J95" s="399">
        <f>SUM(E85*I95)</f>
        <v>1.29</v>
      </c>
      <c r="K95" s="386"/>
      <c r="L95" s="384" t="s">
        <v>2642</v>
      </c>
      <c r="M95" s="359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56"/>
      <c r="Z95" s="356"/>
      <c r="AA95" s="356"/>
      <c r="AB95" s="356"/>
      <c r="AC95" s="356"/>
      <c r="AD95" s="356"/>
      <c r="AE95" s="356"/>
      <c r="AF95" s="356"/>
    </row>
    <row r="96">
      <c r="A96" s="368"/>
      <c r="B96" s="431"/>
      <c r="C96" s="388"/>
      <c r="D96" s="432"/>
      <c r="E96" s="433"/>
      <c r="F96" s="432"/>
      <c r="G96" s="398" t="s">
        <v>2599</v>
      </c>
      <c r="H96" s="381">
        <f t="shared" ref="H96:J96" si="20">SUM(H85:H95)</f>
        <v>59.57</v>
      </c>
      <c r="I96" s="381">
        <f t="shared" si="20"/>
        <v>120.84</v>
      </c>
      <c r="J96" s="399">
        <f t="shared" si="20"/>
        <v>120.84</v>
      </c>
      <c r="K96" s="386"/>
      <c r="L96" s="384"/>
      <c r="M96" s="35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</row>
    <row r="97">
      <c r="A97" s="368"/>
      <c r="B97" s="434"/>
      <c r="C97" s="435" t="s">
        <v>2672</v>
      </c>
      <c r="D97" s="358"/>
      <c r="E97" s="358"/>
      <c r="F97" s="358"/>
      <c r="G97" s="358"/>
      <c r="H97" s="436"/>
      <c r="I97" s="436"/>
      <c r="J97" s="436"/>
      <c r="K97" s="386"/>
      <c r="L97" s="367" t="s">
        <v>2673</v>
      </c>
      <c r="M97" s="34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356"/>
      <c r="AB97" s="356"/>
      <c r="AC97" s="356"/>
      <c r="AD97" s="356"/>
      <c r="AE97" s="356"/>
      <c r="AF97" s="356"/>
    </row>
    <row r="98">
      <c r="A98" s="393"/>
      <c r="B98" s="394" t="s">
        <v>2600</v>
      </c>
      <c r="C98" s="397" t="s">
        <v>2603</v>
      </c>
      <c r="D98" s="371" t="s">
        <v>2591</v>
      </c>
      <c r="E98" s="372" t="s">
        <v>2592</v>
      </c>
      <c r="F98" s="371" t="s">
        <v>2609</v>
      </c>
      <c r="G98" s="371" t="s">
        <v>2594</v>
      </c>
      <c r="H98" s="373" t="s">
        <v>2583</v>
      </c>
      <c r="I98" s="373" t="s">
        <v>2584</v>
      </c>
      <c r="J98" s="373" t="s">
        <v>2595</v>
      </c>
      <c r="K98" s="386"/>
      <c r="L98" s="352"/>
      <c r="M98" s="353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  <c r="Z98" s="356"/>
      <c r="AA98" s="356"/>
      <c r="AB98" s="356"/>
      <c r="AC98" s="356"/>
      <c r="AD98" s="356"/>
      <c r="AE98" s="356"/>
      <c r="AF98" s="356"/>
    </row>
    <row r="99">
      <c r="A99" s="375"/>
      <c r="B99" s="376" t="s">
        <v>15</v>
      </c>
      <c r="C99" s="398" t="s">
        <v>16</v>
      </c>
      <c r="D99" s="389" t="s">
        <v>3</v>
      </c>
      <c r="E99" s="379">
        <v>1.0</v>
      </c>
      <c r="F99" s="391">
        <v>0.0</v>
      </c>
      <c r="G99" s="389"/>
      <c r="H99" s="381">
        <v>2.59</v>
      </c>
      <c r="I99" s="381">
        <f t="shared" ref="I99:I107" si="21">SUM(F99*H99)</f>
        <v>0</v>
      </c>
      <c r="J99" s="399">
        <f>SUM(F99*H99)</f>
        <v>0</v>
      </c>
      <c r="K99" s="386"/>
      <c r="L99" s="384" t="s">
        <v>2597</v>
      </c>
      <c r="M99" s="359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</row>
    <row r="100">
      <c r="A100" s="375"/>
      <c r="B100" s="376" t="s">
        <v>17</v>
      </c>
      <c r="C100" s="388" t="s">
        <v>18</v>
      </c>
      <c r="D100" s="389" t="s">
        <v>19</v>
      </c>
      <c r="F100" s="389">
        <v>4.0</v>
      </c>
      <c r="G100" s="389">
        <v>4.0</v>
      </c>
      <c r="H100" s="381">
        <v>13.6</v>
      </c>
      <c r="I100" s="381">
        <f t="shared" si="21"/>
        <v>54.4</v>
      </c>
      <c r="J100" s="399">
        <f>SUM(E99*I100)</f>
        <v>54.4</v>
      </c>
      <c r="K100" s="383"/>
      <c r="L100" s="384" t="s">
        <v>14</v>
      </c>
      <c r="M100" s="359"/>
      <c r="O100" s="356"/>
      <c r="P100" s="356"/>
      <c r="Q100" s="356"/>
      <c r="R100" s="356"/>
      <c r="S100" s="356"/>
      <c r="T100" s="356"/>
      <c r="U100" s="356"/>
      <c r="V100" s="356"/>
      <c r="W100" s="356"/>
      <c r="X100" s="356"/>
      <c r="Y100" s="356"/>
      <c r="Z100" s="356"/>
      <c r="AA100" s="356"/>
      <c r="AB100" s="356"/>
      <c r="AC100" s="356"/>
      <c r="AD100" s="356"/>
      <c r="AE100" s="356"/>
      <c r="AF100" s="356"/>
    </row>
    <row r="101">
      <c r="A101" s="375"/>
      <c r="B101" s="376" t="s">
        <v>20</v>
      </c>
      <c r="C101" s="388" t="s">
        <v>21</v>
      </c>
      <c r="D101" s="389" t="s">
        <v>3</v>
      </c>
      <c r="F101" s="389">
        <v>10.0</v>
      </c>
      <c r="G101" s="389">
        <v>0.0</v>
      </c>
      <c r="H101" s="381">
        <v>0.19</v>
      </c>
      <c r="I101" s="381">
        <f t="shared" si="21"/>
        <v>1.9</v>
      </c>
      <c r="J101" s="399">
        <f>SUM(E99*I101)</f>
        <v>1.9</v>
      </c>
      <c r="K101" s="383"/>
      <c r="L101" s="384" t="s">
        <v>14</v>
      </c>
      <c r="M101" s="359"/>
      <c r="O101" s="356"/>
      <c r="P101" s="356"/>
      <c r="Q101" s="356"/>
      <c r="R101" s="356"/>
      <c r="S101" s="356"/>
      <c r="T101" s="356"/>
      <c r="U101" s="356"/>
      <c r="V101" s="356"/>
      <c r="W101" s="356"/>
      <c r="X101" s="356"/>
      <c r="Y101" s="356"/>
      <c r="Z101" s="356"/>
      <c r="AA101" s="356"/>
      <c r="AB101" s="356"/>
      <c r="AC101" s="356"/>
      <c r="AD101" s="356"/>
      <c r="AE101" s="356"/>
      <c r="AF101" s="356"/>
    </row>
    <row r="102">
      <c r="A102" s="375"/>
      <c r="B102" s="376" t="s">
        <v>22</v>
      </c>
      <c r="C102" s="388" t="s">
        <v>23</v>
      </c>
      <c r="D102" s="389" t="s">
        <v>3</v>
      </c>
      <c r="F102" s="389">
        <v>10.0</v>
      </c>
      <c r="G102" s="389">
        <v>0.0</v>
      </c>
      <c r="H102" s="381">
        <v>0.3</v>
      </c>
      <c r="I102" s="381">
        <f t="shared" si="21"/>
        <v>3</v>
      </c>
      <c r="J102" s="399">
        <f>SUM(E99*I102)</f>
        <v>3</v>
      </c>
      <c r="K102" s="383"/>
      <c r="L102" s="384" t="s">
        <v>14</v>
      </c>
      <c r="M102" s="359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356"/>
      <c r="AB102" s="356"/>
      <c r="AC102" s="356"/>
      <c r="AD102" s="356"/>
      <c r="AE102" s="356"/>
      <c r="AF102" s="356"/>
    </row>
    <row r="103">
      <c r="A103" s="375"/>
      <c r="B103" s="376" t="s">
        <v>30</v>
      </c>
      <c r="C103" s="388" t="s">
        <v>31</v>
      </c>
      <c r="D103" s="389" t="s">
        <v>3</v>
      </c>
      <c r="F103" s="391">
        <v>1.0</v>
      </c>
      <c r="G103" s="389">
        <v>0.0</v>
      </c>
      <c r="H103" s="381">
        <v>23.9</v>
      </c>
      <c r="I103" s="381">
        <f t="shared" si="21"/>
        <v>23.9</v>
      </c>
      <c r="J103" s="399">
        <f>SUM(E99*I103)</f>
        <v>23.9</v>
      </c>
      <c r="K103" s="383"/>
      <c r="L103" s="384" t="s">
        <v>14</v>
      </c>
      <c r="M103" s="359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</row>
    <row r="104">
      <c r="A104" s="375"/>
      <c r="B104" s="376" t="s">
        <v>2674</v>
      </c>
      <c r="C104" s="388" t="s">
        <v>2675</v>
      </c>
      <c r="D104" s="389" t="s">
        <v>3</v>
      </c>
      <c r="F104" s="389">
        <v>50.0</v>
      </c>
      <c r="G104" s="389">
        <v>0.0</v>
      </c>
      <c r="H104" s="381">
        <v>0.8</v>
      </c>
      <c r="I104" s="381">
        <f t="shared" si="21"/>
        <v>40</v>
      </c>
      <c r="J104" s="399">
        <f>SUM(E99*I104)</f>
        <v>40</v>
      </c>
      <c r="K104" s="383"/>
      <c r="L104" s="384" t="s">
        <v>14</v>
      </c>
      <c r="M104" s="359"/>
      <c r="O104" s="356"/>
      <c r="P104" s="356"/>
      <c r="Q104" s="356"/>
      <c r="R104" s="356"/>
      <c r="S104" s="356"/>
      <c r="T104" s="356"/>
      <c r="U104" s="356"/>
      <c r="V104" s="356"/>
      <c r="W104" s="356"/>
      <c r="X104" s="356"/>
      <c r="Y104" s="356"/>
      <c r="Z104" s="356"/>
      <c r="AA104" s="356"/>
      <c r="AB104" s="356"/>
      <c r="AC104" s="356"/>
      <c r="AD104" s="356"/>
      <c r="AE104" s="356"/>
      <c r="AF104" s="356"/>
    </row>
    <row r="105">
      <c r="A105" s="375"/>
      <c r="B105" s="376" t="s">
        <v>2676</v>
      </c>
      <c r="C105" s="388" t="s">
        <v>2677</v>
      </c>
      <c r="D105" s="389" t="s">
        <v>3</v>
      </c>
      <c r="F105" s="389">
        <v>50.0</v>
      </c>
      <c r="G105" s="389">
        <v>0.0</v>
      </c>
      <c r="H105" s="381">
        <v>0.15</v>
      </c>
      <c r="I105" s="381">
        <f t="shared" si="21"/>
        <v>7.5</v>
      </c>
      <c r="J105" s="399">
        <f>SUM(E99*I105)</f>
        <v>7.5</v>
      </c>
      <c r="K105" s="383"/>
      <c r="L105" s="384" t="s">
        <v>14</v>
      </c>
      <c r="M105" s="359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  <c r="Z105" s="356"/>
      <c r="AA105" s="356"/>
      <c r="AB105" s="356"/>
      <c r="AC105" s="356"/>
      <c r="AD105" s="356"/>
      <c r="AE105" s="356"/>
      <c r="AF105" s="356"/>
    </row>
    <row r="106">
      <c r="A106" s="375"/>
      <c r="B106" s="376" t="s">
        <v>32</v>
      </c>
      <c r="C106" s="388" t="s">
        <v>33</v>
      </c>
      <c r="D106" s="389" t="s">
        <v>3</v>
      </c>
      <c r="F106" s="391">
        <v>1.0</v>
      </c>
      <c r="G106" s="389">
        <v>0.0</v>
      </c>
      <c r="H106" s="381">
        <v>2.5</v>
      </c>
      <c r="I106" s="381">
        <f t="shared" si="21"/>
        <v>2.5</v>
      </c>
      <c r="J106" s="399">
        <f>SUM(E99*I106)</f>
        <v>2.5</v>
      </c>
      <c r="K106" s="383"/>
      <c r="L106" s="384" t="s">
        <v>14</v>
      </c>
      <c r="M106" s="359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  <c r="AB106" s="356"/>
      <c r="AC106" s="356"/>
      <c r="AD106" s="356"/>
      <c r="AE106" s="356"/>
      <c r="AF106" s="356"/>
    </row>
    <row r="107">
      <c r="A107" s="375"/>
      <c r="B107" s="376" t="s">
        <v>34</v>
      </c>
      <c r="C107" s="388" t="s">
        <v>35</v>
      </c>
      <c r="D107" s="389" t="s">
        <v>3</v>
      </c>
      <c r="F107" s="391">
        <v>0.0</v>
      </c>
      <c r="G107" s="389"/>
      <c r="H107" s="381">
        <v>2.0</v>
      </c>
      <c r="I107" s="437">
        <f t="shared" si="21"/>
        <v>0</v>
      </c>
      <c r="J107" s="399">
        <f>SUM(F107*H107)</f>
        <v>0</v>
      </c>
      <c r="K107" s="386"/>
      <c r="L107" s="384" t="s">
        <v>2671</v>
      </c>
      <c r="M107" s="359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</row>
    <row r="108">
      <c r="A108" s="438"/>
      <c r="B108" s="439"/>
      <c r="C108" s="388"/>
      <c r="D108" s="389"/>
      <c r="E108" s="390"/>
      <c r="F108" s="389"/>
      <c r="G108" s="391" t="s">
        <v>2599</v>
      </c>
      <c r="H108" s="400">
        <f>SUM(H99:H107)</f>
        <v>46.03</v>
      </c>
      <c r="I108" s="381">
        <f>SUM(I98:I107)</f>
        <v>133.2</v>
      </c>
      <c r="J108" s="399">
        <f>SUM(J99:J107)</f>
        <v>133.2</v>
      </c>
      <c r="K108" s="374"/>
      <c r="L108" s="392"/>
      <c r="M108" s="359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356"/>
      <c r="AB108" s="356"/>
      <c r="AC108" s="356"/>
      <c r="AD108" s="356"/>
      <c r="AE108" s="356"/>
      <c r="AF108" s="356"/>
    </row>
    <row r="109">
      <c r="A109" s="368"/>
      <c r="B109" s="428"/>
      <c r="C109" s="429" t="s">
        <v>2678</v>
      </c>
      <c r="D109" s="358"/>
      <c r="E109" s="358"/>
      <c r="F109" s="358"/>
      <c r="G109" s="358"/>
      <c r="H109" s="430"/>
      <c r="I109" s="430"/>
      <c r="J109" s="430"/>
      <c r="K109" s="386"/>
      <c r="L109" s="367" t="s">
        <v>2665</v>
      </c>
      <c r="M109" s="34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356"/>
      <c r="AB109" s="356"/>
      <c r="AC109" s="356"/>
      <c r="AD109" s="356"/>
      <c r="AE109" s="356"/>
      <c r="AF109" s="356"/>
    </row>
    <row r="110">
      <c r="A110" s="393"/>
      <c r="B110" s="394" t="s">
        <v>2600</v>
      </c>
      <c r="C110" s="397" t="s">
        <v>2603</v>
      </c>
      <c r="D110" s="371" t="s">
        <v>2591</v>
      </c>
      <c r="E110" s="440" t="s">
        <v>2592</v>
      </c>
      <c r="F110" s="371" t="s">
        <v>2609</v>
      </c>
      <c r="G110" s="371" t="s">
        <v>2594</v>
      </c>
      <c r="H110" s="373" t="s">
        <v>2583</v>
      </c>
      <c r="I110" s="373" t="s">
        <v>2584</v>
      </c>
      <c r="J110" s="373" t="s">
        <v>2595</v>
      </c>
      <c r="K110" s="386"/>
      <c r="L110" s="352"/>
      <c r="M110" s="353"/>
      <c r="O110" s="356"/>
      <c r="P110" s="356"/>
      <c r="Q110" s="356"/>
      <c r="R110" s="356"/>
      <c r="S110" s="356"/>
      <c r="T110" s="356"/>
      <c r="U110" s="356"/>
      <c r="V110" s="356"/>
      <c r="W110" s="356"/>
      <c r="X110" s="356"/>
      <c r="Y110" s="356"/>
      <c r="Z110" s="356"/>
      <c r="AA110" s="356"/>
      <c r="AB110" s="356"/>
      <c r="AC110" s="356"/>
      <c r="AD110" s="356"/>
      <c r="AE110" s="356"/>
      <c r="AF110" s="356"/>
    </row>
    <row r="111">
      <c r="A111" s="375"/>
      <c r="B111" s="376" t="s">
        <v>15</v>
      </c>
      <c r="C111" s="398" t="s">
        <v>16</v>
      </c>
      <c r="D111" s="389" t="s">
        <v>3</v>
      </c>
      <c r="E111" s="379">
        <v>1.0</v>
      </c>
      <c r="F111" s="391">
        <v>0.0</v>
      </c>
      <c r="G111" s="389"/>
      <c r="H111" s="381">
        <v>2.59</v>
      </c>
      <c r="I111" s="381">
        <f t="shared" ref="I111:I119" si="22">SUM(F111*H111)</f>
        <v>0</v>
      </c>
      <c r="J111" s="441">
        <f>SUM(F111*H111)</f>
        <v>0</v>
      </c>
      <c r="K111" s="386"/>
      <c r="L111" s="384" t="s">
        <v>2597</v>
      </c>
      <c r="M111" s="359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</row>
    <row r="112">
      <c r="A112" s="375"/>
      <c r="B112" s="376" t="s">
        <v>17</v>
      </c>
      <c r="C112" s="388" t="s">
        <v>18</v>
      </c>
      <c r="D112" s="389" t="s">
        <v>19</v>
      </c>
      <c r="F112" s="389">
        <v>4.0</v>
      </c>
      <c r="G112" s="389"/>
      <c r="H112" s="381">
        <v>13.6</v>
      </c>
      <c r="I112" s="381">
        <f t="shared" si="22"/>
        <v>54.4</v>
      </c>
      <c r="J112" s="399">
        <f>SUM(E111*I112)</f>
        <v>54.4</v>
      </c>
      <c r="K112" s="383"/>
      <c r="L112" s="384" t="s">
        <v>14</v>
      </c>
      <c r="M112" s="359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6"/>
      <c r="AB112" s="356"/>
      <c r="AC112" s="356"/>
      <c r="AD112" s="356"/>
      <c r="AE112" s="356"/>
      <c r="AF112" s="356"/>
    </row>
    <row r="113">
      <c r="A113" s="375"/>
      <c r="B113" s="376" t="s">
        <v>20</v>
      </c>
      <c r="C113" s="388" t="s">
        <v>21</v>
      </c>
      <c r="D113" s="389" t="s">
        <v>3</v>
      </c>
      <c r="F113" s="389">
        <v>10.0</v>
      </c>
      <c r="G113" s="389"/>
      <c r="H113" s="381">
        <v>0.19</v>
      </c>
      <c r="I113" s="381">
        <f t="shared" si="22"/>
        <v>1.9</v>
      </c>
      <c r="J113" s="399">
        <f>SUM(E111*I113)</f>
        <v>1.9</v>
      </c>
      <c r="K113" s="383"/>
      <c r="L113" s="384" t="s">
        <v>14</v>
      </c>
      <c r="M113" s="359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356"/>
      <c r="AB113" s="356"/>
      <c r="AC113" s="356"/>
      <c r="AD113" s="356"/>
      <c r="AE113" s="356"/>
      <c r="AF113" s="356"/>
    </row>
    <row r="114">
      <c r="A114" s="375"/>
      <c r="B114" s="376" t="s">
        <v>22</v>
      </c>
      <c r="C114" s="388" t="s">
        <v>23</v>
      </c>
      <c r="D114" s="389" t="s">
        <v>3</v>
      </c>
      <c r="F114" s="389">
        <v>10.0</v>
      </c>
      <c r="G114" s="389"/>
      <c r="H114" s="381">
        <v>0.3</v>
      </c>
      <c r="I114" s="381">
        <f t="shared" si="22"/>
        <v>3</v>
      </c>
      <c r="J114" s="399">
        <f>SUM(E111*I114)</f>
        <v>3</v>
      </c>
      <c r="K114" s="383"/>
      <c r="L114" s="384" t="s">
        <v>14</v>
      </c>
      <c r="M114" s="359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356"/>
      <c r="AB114" s="356"/>
      <c r="AC114" s="356"/>
      <c r="AD114" s="356"/>
      <c r="AE114" s="356"/>
      <c r="AF114" s="356"/>
    </row>
    <row r="115">
      <c r="A115" s="375"/>
      <c r="B115" s="376" t="s">
        <v>24</v>
      </c>
      <c r="C115" s="388" t="s">
        <v>25</v>
      </c>
      <c r="D115" s="389" t="s">
        <v>3</v>
      </c>
      <c r="F115" s="391">
        <v>1.0</v>
      </c>
      <c r="G115" s="389"/>
      <c r="H115" s="381">
        <v>0.15</v>
      </c>
      <c r="I115" s="381">
        <f t="shared" si="22"/>
        <v>0.15</v>
      </c>
      <c r="J115" s="399">
        <f>SUM(H115*F115)</f>
        <v>0.15</v>
      </c>
      <c r="K115" s="383"/>
      <c r="L115" s="384" t="s">
        <v>2679</v>
      </c>
      <c r="M115" s="359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  <c r="Z115" s="356"/>
      <c r="AA115" s="356"/>
      <c r="AB115" s="356"/>
      <c r="AC115" s="356"/>
      <c r="AD115" s="356"/>
      <c r="AE115" s="356"/>
      <c r="AF115" s="356"/>
    </row>
    <row r="116">
      <c r="A116" s="375"/>
      <c r="B116" s="376" t="s">
        <v>26</v>
      </c>
      <c r="C116" s="388" t="s">
        <v>27</v>
      </c>
      <c r="D116" s="389" t="s">
        <v>3</v>
      </c>
      <c r="F116" s="391">
        <v>80.0</v>
      </c>
      <c r="G116" s="389"/>
      <c r="H116" s="381">
        <v>1.3</v>
      </c>
      <c r="I116" s="381">
        <f t="shared" si="22"/>
        <v>104</v>
      </c>
      <c r="J116" s="399">
        <f>SUM(E111*I116)</f>
        <v>104</v>
      </c>
      <c r="K116" s="383"/>
      <c r="L116" s="384" t="s">
        <v>14</v>
      </c>
      <c r="M116" s="359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6"/>
      <c r="AB116" s="356"/>
      <c r="AC116" s="356"/>
      <c r="AD116" s="356"/>
      <c r="AE116" s="356"/>
      <c r="AF116" s="356"/>
    </row>
    <row r="117">
      <c r="A117" s="375"/>
      <c r="B117" s="376" t="s">
        <v>28</v>
      </c>
      <c r="C117" s="388" t="s">
        <v>29</v>
      </c>
      <c r="D117" s="389" t="s">
        <v>3</v>
      </c>
      <c r="F117" s="391">
        <v>80.0</v>
      </c>
      <c r="G117" s="389"/>
      <c r="H117" s="381">
        <v>0.14</v>
      </c>
      <c r="I117" s="381">
        <f t="shared" si="22"/>
        <v>11.2</v>
      </c>
      <c r="J117" s="399">
        <f>SUM(E111*I117)</f>
        <v>11.2</v>
      </c>
      <c r="K117" s="383"/>
      <c r="L117" s="384" t="s">
        <v>14</v>
      </c>
      <c r="M117" s="359"/>
      <c r="O117" s="356"/>
      <c r="P117" s="356"/>
      <c r="Q117" s="356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6"/>
      <c r="AB117" s="356"/>
      <c r="AC117" s="356"/>
      <c r="AD117" s="356"/>
      <c r="AE117" s="356"/>
      <c r="AF117" s="356"/>
    </row>
    <row r="118">
      <c r="A118" s="375"/>
      <c r="B118" s="376" t="s">
        <v>30</v>
      </c>
      <c r="C118" s="388" t="s">
        <v>31</v>
      </c>
      <c r="D118" s="389" t="s">
        <v>3</v>
      </c>
      <c r="F118" s="391">
        <v>0.0</v>
      </c>
      <c r="G118" s="389"/>
      <c r="H118" s="381">
        <v>23.9</v>
      </c>
      <c r="I118" s="381">
        <f t="shared" si="22"/>
        <v>0</v>
      </c>
      <c r="J118" s="399">
        <f>SUM(E111*I118)</f>
        <v>0</v>
      </c>
      <c r="K118" s="383"/>
      <c r="L118" s="384" t="s">
        <v>14</v>
      </c>
      <c r="M118" s="359"/>
      <c r="O118" s="356"/>
      <c r="P118" s="356"/>
      <c r="Q118" s="356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6"/>
      <c r="AB118" s="356"/>
      <c r="AC118" s="356"/>
      <c r="AD118" s="356"/>
      <c r="AE118" s="356"/>
      <c r="AF118" s="356"/>
    </row>
    <row r="119">
      <c r="A119" s="375"/>
      <c r="B119" s="376" t="s">
        <v>32</v>
      </c>
      <c r="C119" s="388" t="s">
        <v>33</v>
      </c>
      <c r="D119" s="389" t="s">
        <v>3</v>
      </c>
      <c r="F119" s="391">
        <v>1.0</v>
      </c>
      <c r="G119" s="389"/>
      <c r="H119" s="381">
        <v>2.5</v>
      </c>
      <c r="I119" s="381">
        <f t="shared" si="22"/>
        <v>2.5</v>
      </c>
      <c r="J119" s="399">
        <f>SUM(E111*I119)</f>
        <v>2.5</v>
      </c>
      <c r="K119" s="383"/>
      <c r="L119" s="384" t="s">
        <v>14</v>
      </c>
      <c r="M119" s="359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</row>
    <row r="120">
      <c r="A120" s="375"/>
      <c r="B120" s="376" t="s">
        <v>34</v>
      </c>
      <c r="C120" s="388" t="s">
        <v>35</v>
      </c>
      <c r="D120" s="389" t="s">
        <v>3</v>
      </c>
      <c r="F120" s="391">
        <v>0.0</v>
      </c>
      <c r="G120" s="389"/>
      <c r="H120" s="381">
        <v>2.0</v>
      </c>
      <c r="I120" s="381">
        <v>2.0</v>
      </c>
      <c r="J120" s="399">
        <f>SUM(E111*I121)</f>
        <v>1.29</v>
      </c>
      <c r="K120" s="442"/>
      <c r="L120" s="384" t="s">
        <v>2671</v>
      </c>
      <c r="M120" s="359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356"/>
      <c r="AB120" s="356"/>
      <c r="AC120" s="356"/>
      <c r="AD120" s="356"/>
      <c r="AE120" s="356"/>
      <c r="AF120" s="356"/>
    </row>
    <row r="121">
      <c r="A121" s="413"/>
      <c r="B121" s="407" t="s">
        <v>36</v>
      </c>
      <c r="C121" s="388" t="s">
        <v>37</v>
      </c>
      <c r="D121" s="389" t="s">
        <v>3</v>
      </c>
      <c r="F121" s="391">
        <v>0.1</v>
      </c>
      <c r="G121" s="389"/>
      <c r="H121" s="381">
        <v>12.9</v>
      </c>
      <c r="I121" s="381">
        <f>SUM(F121*H121)</f>
        <v>1.29</v>
      </c>
      <c r="J121" s="399">
        <f>SUM(E112*I121)</f>
        <v>0</v>
      </c>
      <c r="K121" s="386"/>
      <c r="L121" s="384" t="s">
        <v>2649</v>
      </c>
      <c r="M121" s="359"/>
      <c r="O121" s="356"/>
      <c r="P121" s="356"/>
      <c r="Q121" s="356"/>
      <c r="R121" s="356"/>
      <c r="S121" s="356"/>
      <c r="T121" s="356"/>
      <c r="U121" s="356"/>
      <c r="V121" s="356"/>
      <c r="W121" s="356"/>
      <c r="X121" s="356"/>
      <c r="Y121" s="356"/>
      <c r="Z121" s="356"/>
      <c r="AA121" s="356"/>
      <c r="AB121" s="356"/>
      <c r="AC121" s="356"/>
      <c r="AD121" s="356"/>
      <c r="AE121" s="356"/>
      <c r="AF121" s="356"/>
    </row>
    <row r="122">
      <c r="A122" s="341"/>
      <c r="B122" s="443"/>
      <c r="C122" s="444"/>
      <c r="D122" s="444"/>
      <c r="F122" s="445">
        <v>1.0</v>
      </c>
      <c r="G122" s="445" t="s">
        <v>2599</v>
      </c>
      <c r="H122" s="446">
        <f t="shared" ref="H122:J122" si="23">SUM(H111:H121)</f>
        <v>59.57</v>
      </c>
      <c r="I122" s="447">
        <f t="shared" si="23"/>
        <v>180.44</v>
      </c>
      <c r="J122" s="448">
        <f t="shared" si="23"/>
        <v>178.44</v>
      </c>
      <c r="K122" s="449"/>
      <c r="L122" s="392"/>
      <c r="M122" s="359"/>
      <c r="O122" s="356"/>
      <c r="P122" s="356"/>
      <c r="Q122" s="356"/>
      <c r="R122" s="356"/>
      <c r="S122" s="356"/>
      <c r="T122" s="356"/>
      <c r="U122" s="356"/>
      <c r="V122" s="356"/>
      <c r="W122" s="356"/>
      <c r="X122" s="356"/>
      <c r="Y122" s="356"/>
      <c r="Z122" s="356"/>
      <c r="AA122" s="356"/>
      <c r="AB122" s="356"/>
      <c r="AC122" s="356"/>
      <c r="AD122" s="356"/>
      <c r="AE122" s="356"/>
      <c r="AF122" s="356"/>
    </row>
    <row r="123">
      <c r="A123" s="341"/>
      <c r="B123" s="450"/>
      <c r="C123" s="345"/>
      <c r="D123" s="345"/>
      <c r="E123" s="345"/>
      <c r="F123" s="345"/>
      <c r="G123" s="345"/>
      <c r="H123" s="345"/>
      <c r="I123" s="345"/>
      <c r="J123" s="345"/>
      <c r="K123" s="345"/>
      <c r="L123" s="345"/>
      <c r="M123" s="34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</row>
    <row r="124">
      <c r="A124" s="341"/>
      <c r="B124" s="451"/>
      <c r="M124" s="406"/>
      <c r="O124" s="356"/>
    </row>
    <row r="125">
      <c r="A125" s="341"/>
      <c r="B125" s="451"/>
      <c r="M125" s="406"/>
      <c r="O125" s="356"/>
    </row>
    <row r="126">
      <c r="A126" s="341"/>
      <c r="B126" s="451"/>
      <c r="M126" s="40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  <c r="Z126" s="356"/>
      <c r="AA126" s="356"/>
      <c r="AB126" s="356"/>
      <c r="AC126" s="356"/>
      <c r="AD126" s="356"/>
      <c r="AE126" s="356"/>
      <c r="AF126" s="356"/>
    </row>
    <row r="127">
      <c r="A127" s="341"/>
      <c r="B127" s="351"/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3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  <c r="AC127" s="356"/>
      <c r="AD127" s="356"/>
      <c r="AE127" s="356"/>
      <c r="AF127" s="356"/>
    </row>
    <row r="128">
      <c r="A128" s="413"/>
      <c r="B128" s="355"/>
      <c r="C128" s="355" t="s">
        <v>2634</v>
      </c>
      <c r="D128" s="356"/>
      <c r="E128" s="452"/>
      <c r="F128" s="356"/>
      <c r="G128" s="356"/>
      <c r="H128" s="453"/>
      <c r="I128" s="453"/>
      <c r="J128" s="454"/>
      <c r="K128" s="454"/>
      <c r="L128" s="454"/>
      <c r="M128" s="342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356"/>
      <c r="AB128" s="356"/>
      <c r="AC128" s="356"/>
      <c r="AD128" s="356"/>
      <c r="AE128" s="356"/>
      <c r="AF128" s="356"/>
    </row>
    <row r="129">
      <c r="A129" s="413"/>
      <c r="B129" s="355"/>
      <c r="C129" s="355" t="s">
        <v>2667</v>
      </c>
      <c r="D129" s="356"/>
      <c r="E129" s="452"/>
      <c r="F129" s="356"/>
      <c r="G129" s="356"/>
      <c r="H129" s="453"/>
      <c r="I129" s="453"/>
      <c r="J129" s="454"/>
      <c r="L129" s="454"/>
      <c r="M129" s="342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356"/>
      <c r="AB129" s="356"/>
      <c r="AC129" s="356"/>
      <c r="AD129" s="356"/>
      <c r="AE129" s="356"/>
      <c r="AF129" s="356"/>
    </row>
    <row r="130">
      <c r="A130" s="413"/>
      <c r="B130" s="355"/>
      <c r="C130" s="355" t="s">
        <v>2633</v>
      </c>
      <c r="D130" s="356"/>
      <c r="E130" s="452"/>
      <c r="F130" s="356"/>
      <c r="G130" s="356"/>
      <c r="H130" s="453"/>
      <c r="I130" s="453"/>
      <c r="J130" s="454"/>
      <c r="L130" s="454"/>
      <c r="M130" s="342"/>
      <c r="O130" s="356"/>
      <c r="P130" s="356"/>
      <c r="Q130" s="356"/>
      <c r="R130" s="356"/>
      <c r="S130" s="356"/>
      <c r="T130" s="356"/>
      <c r="U130" s="356"/>
      <c r="V130" s="356"/>
      <c r="W130" s="356"/>
      <c r="X130" s="356"/>
      <c r="Y130" s="356"/>
      <c r="Z130" s="356"/>
      <c r="AA130" s="356"/>
      <c r="AB130" s="356"/>
      <c r="AC130" s="356"/>
      <c r="AD130" s="356"/>
      <c r="AE130" s="356"/>
      <c r="AF130" s="356"/>
    </row>
    <row r="131">
      <c r="A131" s="341"/>
      <c r="B131" s="356"/>
      <c r="C131" s="355" t="s">
        <v>2666</v>
      </c>
      <c r="D131" s="356"/>
      <c r="E131" s="452"/>
      <c r="F131" s="356"/>
      <c r="G131" s="356"/>
      <c r="H131" s="453"/>
      <c r="I131" s="453"/>
      <c r="J131" s="454"/>
      <c r="L131" s="454"/>
      <c r="M131" s="342"/>
      <c r="O131" s="356"/>
      <c r="P131" s="356"/>
      <c r="Q131" s="356"/>
      <c r="R131" s="356"/>
      <c r="S131" s="356"/>
      <c r="T131" s="356"/>
      <c r="U131" s="356"/>
      <c r="V131" s="356"/>
      <c r="W131" s="356"/>
      <c r="X131" s="356"/>
      <c r="Y131" s="356"/>
      <c r="Z131" s="356"/>
      <c r="AA131" s="356"/>
      <c r="AB131" s="356"/>
      <c r="AC131" s="356"/>
      <c r="AD131" s="356"/>
      <c r="AE131" s="356"/>
      <c r="AF131" s="356"/>
    </row>
    <row r="132">
      <c r="A132" s="341"/>
      <c r="B132" s="356"/>
      <c r="C132" s="355" t="s">
        <v>2587</v>
      </c>
      <c r="D132" s="356"/>
      <c r="E132" s="452"/>
      <c r="F132" s="356"/>
      <c r="G132" s="356"/>
      <c r="H132" s="453"/>
      <c r="I132" s="453"/>
      <c r="J132" s="454"/>
      <c r="L132" s="454"/>
      <c r="M132" s="342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  <c r="Z132" s="356"/>
      <c r="AA132" s="356"/>
      <c r="AB132" s="356"/>
      <c r="AC132" s="356"/>
      <c r="AD132" s="356"/>
      <c r="AE132" s="356"/>
      <c r="AF132" s="356"/>
    </row>
    <row r="133">
      <c r="A133" s="341"/>
      <c r="B133" s="356"/>
      <c r="C133" s="455" t="s">
        <v>2680</v>
      </c>
      <c r="D133" s="356"/>
      <c r="E133" s="452"/>
      <c r="F133" s="356"/>
      <c r="G133" s="356"/>
      <c r="H133" s="453"/>
      <c r="I133" s="453"/>
      <c r="J133" s="454"/>
      <c r="L133" s="454"/>
      <c r="M133" s="342"/>
      <c r="O133" s="356"/>
      <c r="P133" s="356"/>
      <c r="Q133" s="356"/>
      <c r="R133" s="356"/>
      <c r="S133" s="356"/>
      <c r="T133" s="356"/>
      <c r="U133" s="356"/>
      <c r="V133" s="356"/>
      <c r="W133" s="356"/>
      <c r="X133" s="356"/>
      <c r="Y133" s="356"/>
      <c r="Z133" s="356"/>
      <c r="AA133" s="356"/>
      <c r="AB133" s="356"/>
      <c r="AC133" s="356"/>
      <c r="AD133" s="356"/>
      <c r="AE133" s="356"/>
      <c r="AF133" s="356"/>
    </row>
    <row r="134">
      <c r="A134" s="341"/>
      <c r="B134" s="356"/>
      <c r="C134" s="456"/>
      <c r="D134" s="356"/>
      <c r="E134" s="452"/>
      <c r="F134" s="356"/>
      <c r="G134" s="356"/>
      <c r="H134" s="453"/>
      <c r="I134" s="453"/>
      <c r="J134" s="454"/>
      <c r="L134" s="454"/>
      <c r="M134" s="342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56"/>
      <c r="AA134" s="356"/>
      <c r="AB134" s="356"/>
      <c r="AC134" s="356"/>
      <c r="AD134" s="356"/>
      <c r="AE134" s="356"/>
      <c r="AF134" s="356"/>
    </row>
    <row r="135">
      <c r="A135" s="341"/>
      <c r="B135" s="356"/>
      <c r="C135" s="456"/>
      <c r="D135" s="356"/>
      <c r="E135" s="452"/>
      <c r="F135" s="356"/>
      <c r="G135" s="356"/>
      <c r="H135" s="453"/>
      <c r="I135" s="453"/>
      <c r="J135" s="454"/>
      <c r="L135" s="454"/>
      <c r="M135" s="342"/>
      <c r="O135" s="356"/>
      <c r="P135" s="356"/>
      <c r="Q135" s="356"/>
      <c r="R135" s="356"/>
      <c r="S135" s="356"/>
      <c r="T135" s="356"/>
      <c r="U135" s="356"/>
      <c r="V135" s="356"/>
      <c r="W135" s="356"/>
      <c r="X135" s="356"/>
      <c r="Y135" s="356"/>
      <c r="Z135" s="356"/>
      <c r="AA135" s="356"/>
      <c r="AB135" s="356"/>
      <c r="AC135" s="356"/>
      <c r="AD135" s="356"/>
      <c r="AE135" s="356"/>
      <c r="AF135" s="356"/>
    </row>
    <row r="136">
      <c r="A136" s="341"/>
      <c r="B136" s="356"/>
      <c r="C136" s="456"/>
      <c r="D136" s="356"/>
      <c r="E136" s="452"/>
      <c r="F136" s="356"/>
      <c r="G136" s="356"/>
      <c r="H136" s="453"/>
      <c r="I136" s="453"/>
      <c r="J136" s="454"/>
      <c r="L136" s="454"/>
      <c r="M136" s="342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356"/>
      <c r="AB136" s="356"/>
      <c r="AC136" s="356"/>
      <c r="AD136" s="356"/>
      <c r="AE136" s="356"/>
      <c r="AF136" s="356"/>
    </row>
    <row r="137">
      <c r="A137" s="341"/>
      <c r="B137" s="356"/>
      <c r="C137" s="456"/>
      <c r="D137" s="356"/>
      <c r="E137" s="452"/>
      <c r="F137" s="356"/>
      <c r="G137" s="356"/>
      <c r="H137" s="453"/>
      <c r="I137" s="453"/>
      <c r="J137" s="454"/>
      <c r="L137" s="454"/>
      <c r="M137" s="342"/>
      <c r="O137" s="356"/>
      <c r="P137" s="356"/>
      <c r="Q137" s="356"/>
      <c r="R137" s="356"/>
      <c r="S137" s="356"/>
      <c r="T137" s="356"/>
      <c r="U137" s="356"/>
      <c r="V137" s="356"/>
      <c r="W137" s="356"/>
      <c r="X137" s="356"/>
      <c r="Y137" s="356"/>
      <c r="Z137" s="356"/>
      <c r="AA137" s="356"/>
      <c r="AB137" s="356"/>
      <c r="AC137" s="356"/>
      <c r="AD137" s="356"/>
      <c r="AE137" s="356"/>
      <c r="AF137" s="356"/>
    </row>
    <row r="138">
      <c r="A138" s="341"/>
      <c r="B138" s="356"/>
      <c r="C138" s="456"/>
      <c r="D138" s="356"/>
      <c r="E138" s="452"/>
      <c r="F138" s="356"/>
      <c r="G138" s="356"/>
      <c r="H138" s="453"/>
      <c r="I138" s="453"/>
      <c r="J138" s="454"/>
      <c r="L138" s="454"/>
      <c r="M138" s="342"/>
      <c r="O138" s="356"/>
      <c r="P138" s="356"/>
      <c r="Q138" s="356"/>
      <c r="R138" s="356"/>
      <c r="S138" s="356"/>
      <c r="T138" s="356"/>
      <c r="U138" s="356"/>
      <c r="V138" s="356"/>
      <c r="W138" s="356"/>
      <c r="X138" s="356"/>
      <c r="Y138" s="356"/>
      <c r="Z138" s="356"/>
      <c r="AA138" s="356"/>
      <c r="AB138" s="356"/>
      <c r="AC138" s="356"/>
      <c r="AD138" s="356"/>
      <c r="AE138" s="356"/>
      <c r="AF138" s="356"/>
    </row>
    <row r="139">
      <c r="A139" s="341"/>
      <c r="B139" s="356"/>
      <c r="C139" s="456"/>
      <c r="D139" s="356"/>
      <c r="E139" s="452"/>
      <c r="F139" s="356"/>
      <c r="G139" s="356"/>
      <c r="H139" s="453"/>
      <c r="I139" s="453"/>
      <c r="J139" s="454"/>
      <c r="L139" s="454"/>
      <c r="M139" s="342"/>
      <c r="O139" s="356"/>
      <c r="P139" s="356"/>
      <c r="Q139" s="356"/>
      <c r="R139" s="356"/>
      <c r="S139" s="356"/>
      <c r="T139" s="356"/>
      <c r="U139" s="356"/>
      <c r="V139" s="356"/>
      <c r="W139" s="356"/>
      <c r="X139" s="356"/>
      <c r="Y139" s="356"/>
      <c r="Z139" s="356"/>
      <c r="AA139" s="356"/>
      <c r="AB139" s="356"/>
      <c r="AC139" s="356"/>
      <c r="AD139" s="356"/>
      <c r="AE139" s="356"/>
      <c r="AF139" s="356"/>
    </row>
    <row r="140">
      <c r="A140" s="341"/>
      <c r="B140" s="356"/>
      <c r="C140" s="456"/>
      <c r="D140" s="356"/>
      <c r="E140" s="452"/>
      <c r="F140" s="356"/>
      <c r="G140" s="356"/>
      <c r="H140" s="453"/>
      <c r="I140" s="453"/>
      <c r="J140" s="454"/>
      <c r="L140" s="454"/>
      <c r="M140" s="342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356"/>
      <c r="AB140" s="356"/>
      <c r="AC140" s="356"/>
      <c r="AD140" s="356"/>
      <c r="AE140" s="356"/>
      <c r="AF140" s="356"/>
    </row>
    <row r="141">
      <c r="A141" s="341"/>
      <c r="B141" s="356"/>
      <c r="C141" s="456"/>
      <c r="D141" s="356"/>
      <c r="E141" s="452"/>
      <c r="F141" s="356"/>
      <c r="G141" s="356"/>
      <c r="H141" s="453"/>
      <c r="I141" s="453"/>
      <c r="J141" s="454"/>
      <c r="L141" s="454"/>
      <c r="M141" s="342"/>
      <c r="O141" s="356"/>
      <c r="P141" s="356"/>
      <c r="Q141" s="356"/>
      <c r="R141" s="356"/>
      <c r="S141" s="356"/>
      <c r="T141" s="356"/>
      <c r="U141" s="356"/>
      <c r="V141" s="356"/>
      <c r="W141" s="356"/>
      <c r="X141" s="356"/>
      <c r="Y141" s="356"/>
      <c r="Z141" s="356"/>
      <c r="AA141" s="356"/>
      <c r="AB141" s="356"/>
      <c r="AC141" s="356"/>
      <c r="AD141" s="356"/>
      <c r="AE141" s="356"/>
      <c r="AF141" s="356"/>
    </row>
    <row r="142">
      <c r="A142" s="341"/>
      <c r="B142" s="356"/>
      <c r="C142" s="456"/>
      <c r="D142" s="356"/>
      <c r="E142" s="452"/>
      <c r="F142" s="356"/>
      <c r="G142" s="356"/>
      <c r="H142" s="453"/>
      <c r="I142" s="453"/>
      <c r="J142" s="454"/>
      <c r="L142" s="454"/>
      <c r="M142" s="342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356"/>
      <c r="AB142" s="356"/>
      <c r="AC142" s="356"/>
      <c r="AD142" s="356"/>
      <c r="AE142" s="356"/>
      <c r="AF142" s="356"/>
    </row>
    <row r="143">
      <c r="A143" s="341"/>
      <c r="B143" s="356"/>
      <c r="C143" s="456"/>
      <c r="D143" s="356"/>
      <c r="E143" s="452"/>
      <c r="F143" s="356"/>
      <c r="G143" s="356"/>
      <c r="H143" s="453"/>
      <c r="I143" s="453"/>
      <c r="J143" s="454"/>
      <c r="L143" s="454"/>
      <c r="M143" s="342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356"/>
      <c r="AB143" s="356"/>
      <c r="AC143" s="356"/>
      <c r="AD143" s="356"/>
      <c r="AE143" s="356"/>
      <c r="AF143" s="356"/>
    </row>
    <row r="144">
      <c r="A144" s="341"/>
      <c r="B144" s="356"/>
      <c r="C144" s="456"/>
      <c r="D144" s="356"/>
      <c r="E144" s="452"/>
      <c r="F144" s="356"/>
      <c r="G144" s="356"/>
      <c r="H144" s="453"/>
      <c r="I144" s="453"/>
      <c r="J144" s="454"/>
      <c r="L144" s="454"/>
      <c r="M144" s="342"/>
      <c r="O144" s="356"/>
      <c r="P144" s="356"/>
      <c r="Q144" s="356"/>
      <c r="R144" s="356"/>
      <c r="S144" s="356"/>
      <c r="T144" s="356"/>
      <c r="U144" s="356"/>
      <c r="V144" s="356"/>
      <c r="W144" s="356"/>
      <c r="X144" s="356"/>
      <c r="Y144" s="356"/>
      <c r="Z144" s="356"/>
      <c r="AA144" s="356"/>
      <c r="AB144" s="356"/>
      <c r="AC144" s="356"/>
      <c r="AD144" s="356"/>
      <c r="AE144" s="356"/>
      <c r="AF144" s="356"/>
    </row>
    <row r="145">
      <c r="A145" s="341"/>
      <c r="B145" s="356"/>
      <c r="C145" s="456"/>
      <c r="D145" s="356"/>
      <c r="E145" s="452"/>
      <c r="F145" s="356"/>
      <c r="G145" s="356"/>
      <c r="H145" s="453"/>
      <c r="I145" s="453"/>
      <c r="J145" s="454"/>
      <c r="L145" s="454"/>
      <c r="M145" s="342"/>
      <c r="O145" s="356"/>
      <c r="P145" s="356"/>
      <c r="Q145" s="356"/>
      <c r="R145" s="356"/>
      <c r="S145" s="356"/>
      <c r="T145" s="356"/>
      <c r="U145" s="356"/>
      <c r="V145" s="356"/>
      <c r="W145" s="356"/>
      <c r="X145" s="356"/>
      <c r="Y145" s="356"/>
      <c r="Z145" s="356"/>
      <c r="AA145" s="356"/>
      <c r="AB145" s="356"/>
      <c r="AC145" s="356"/>
      <c r="AD145" s="356"/>
      <c r="AE145" s="356"/>
      <c r="AF145" s="356"/>
    </row>
    <row r="146">
      <c r="A146" s="341"/>
      <c r="B146" s="356"/>
      <c r="C146" s="456"/>
      <c r="D146" s="356"/>
      <c r="E146" s="452"/>
      <c r="F146" s="356"/>
      <c r="G146" s="356"/>
      <c r="H146" s="453"/>
      <c r="I146" s="453"/>
      <c r="J146" s="454"/>
      <c r="L146" s="454"/>
      <c r="M146" s="342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  <c r="Z146" s="356"/>
      <c r="AA146" s="356"/>
      <c r="AB146" s="356"/>
      <c r="AC146" s="356"/>
      <c r="AD146" s="356"/>
      <c r="AE146" s="356"/>
      <c r="AF146" s="356"/>
    </row>
    <row r="147">
      <c r="A147" s="341"/>
      <c r="B147" s="356"/>
      <c r="C147" s="456"/>
      <c r="D147" s="356"/>
      <c r="E147" s="452"/>
      <c r="F147" s="356"/>
      <c r="G147" s="356"/>
      <c r="H147" s="453"/>
      <c r="I147" s="453"/>
      <c r="J147" s="454"/>
      <c r="L147" s="454"/>
      <c r="M147" s="342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356"/>
      <c r="AB147" s="356"/>
      <c r="AC147" s="356"/>
      <c r="AD147" s="356"/>
      <c r="AE147" s="356"/>
      <c r="AF147" s="356"/>
    </row>
    <row r="148">
      <c r="A148" s="341"/>
      <c r="B148" s="356"/>
      <c r="C148" s="456"/>
      <c r="D148" s="356"/>
      <c r="E148" s="452"/>
      <c r="F148" s="356"/>
      <c r="G148" s="356"/>
      <c r="H148" s="453"/>
      <c r="I148" s="453"/>
      <c r="J148" s="454"/>
      <c r="L148" s="454"/>
      <c r="M148" s="342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356"/>
      <c r="AB148" s="356"/>
      <c r="AC148" s="356"/>
      <c r="AD148" s="356"/>
      <c r="AE148" s="356"/>
      <c r="AF148" s="356"/>
    </row>
    <row r="149">
      <c r="A149" s="341"/>
      <c r="B149" s="356"/>
      <c r="C149" s="456"/>
      <c r="D149" s="356"/>
      <c r="E149" s="452"/>
      <c r="F149" s="356"/>
      <c r="G149" s="356"/>
      <c r="H149" s="453"/>
      <c r="I149" s="453"/>
      <c r="J149" s="454"/>
      <c r="L149" s="454"/>
      <c r="M149" s="342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356"/>
      <c r="AB149" s="356"/>
      <c r="AC149" s="356"/>
      <c r="AD149" s="356"/>
      <c r="AE149" s="356"/>
      <c r="AF149" s="356"/>
    </row>
    <row r="150">
      <c r="A150" s="341"/>
      <c r="B150" s="356"/>
      <c r="C150" s="456"/>
      <c r="D150" s="356"/>
      <c r="E150" s="452"/>
      <c r="F150" s="356"/>
      <c r="G150" s="356"/>
      <c r="H150" s="453"/>
      <c r="I150" s="453"/>
      <c r="J150" s="454"/>
      <c r="L150" s="454"/>
      <c r="M150" s="342"/>
      <c r="O150" s="356"/>
      <c r="P150" s="356"/>
      <c r="Q150" s="356"/>
      <c r="R150" s="356"/>
      <c r="S150" s="356"/>
      <c r="T150" s="356"/>
      <c r="U150" s="356"/>
      <c r="V150" s="356"/>
      <c r="W150" s="356"/>
      <c r="X150" s="356"/>
      <c r="Y150" s="356"/>
      <c r="Z150" s="356"/>
      <c r="AA150" s="356"/>
      <c r="AB150" s="356"/>
      <c r="AC150" s="356"/>
      <c r="AD150" s="356"/>
      <c r="AE150" s="356"/>
      <c r="AF150" s="356"/>
    </row>
    <row r="151">
      <c r="A151" s="341"/>
      <c r="B151" s="356"/>
      <c r="C151" s="456"/>
      <c r="D151" s="356"/>
      <c r="E151" s="452"/>
      <c r="F151" s="356"/>
      <c r="G151" s="356"/>
      <c r="H151" s="453"/>
      <c r="I151" s="453"/>
      <c r="J151" s="454"/>
      <c r="L151" s="454"/>
      <c r="M151" s="342"/>
      <c r="O151" s="356"/>
      <c r="P151" s="356"/>
      <c r="Q151" s="356"/>
      <c r="R151" s="356"/>
      <c r="S151" s="356"/>
      <c r="T151" s="356"/>
      <c r="U151" s="356"/>
      <c r="V151" s="356"/>
      <c r="W151" s="356"/>
      <c r="X151" s="356"/>
      <c r="Y151" s="356"/>
      <c r="Z151" s="356"/>
      <c r="AA151" s="356"/>
      <c r="AB151" s="356"/>
      <c r="AC151" s="356"/>
      <c r="AD151" s="356"/>
      <c r="AE151" s="356"/>
      <c r="AF151" s="356"/>
    </row>
    <row r="152">
      <c r="A152" s="341"/>
      <c r="B152" s="356"/>
      <c r="C152" s="456"/>
      <c r="D152" s="356"/>
      <c r="E152" s="452"/>
      <c r="F152" s="356"/>
      <c r="G152" s="356"/>
      <c r="H152" s="453"/>
      <c r="I152" s="453"/>
      <c r="J152" s="454"/>
      <c r="L152" s="454"/>
      <c r="M152" s="342"/>
      <c r="O152" s="356"/>
      <c r="P152" s="356"/>
      <c r="Q152" s="356"/>
      <c r="R152" s="356"/>
      <c r="S152" s="356"/>
      <c r="T152" s="356"/>
      <c r="U152" s="356"/>
      <c r="V152" s="356"/>
      <c r="W152" s="356"/>
      <c r="X152" s="356"/>
      <c r="Y152" s="356"/>
      <c r="Z152" s="356"/>
      <c r="AA152" s="356"/>
      <c r="AB152" s="356"/>
      <c r="AC152" s="356"/>
      <c r="AD152" s="356"/>
      <c r="AE152" s="356"/>
      <c r="AF152" s="356"/>
    </row>
    <row r="153">
      <c r="A153" s="341"/>
      <c r="B153" s="356"/>
      <c r="C153" s="456"/>
      <c r="D153" s="356"/>
      <c r="E153" s="452"/>
      <c r="F153" s="356"/>
      <c r="G153" s="356"/>
      <c r="H153" s="453"/>
      <c r="I153" s="453"/>
      <c r="J153" s="454"/>
      <c r="L153" s="454"/>
      <c r="M153" s="342"/>
      <c r="O153" s="356"/>
      <c r="P153" s="356"/>
      <c r="Q153" s="356"/>
      <c r="R153" s="356"/>
      <c r="S153" s="356"/>
      <c r="T153" s="356"/>
      <c r="U153" s="356"/>
      <c r="V153" s="356"/>
      <c r="W153" s="356"/>
      <c r="X153" s="356"/>
      <c r="Y153" s="356"/>
      <c r="Z153" s="356"/>
      <c r="AA153" s="356"/>
      <c r="AB153" s="356"/>
      <c r="AC153" s="356"/>
      <c r="AD153" s="356"/>
      <c r="AE153" s="356"/>
      <c r="AF153" s="356"/>
    </row>
    <row r="154">
      <c r="A154" s="341"/>
      <c r="B154" s="356"/>
      <c r="C154" s="456"/>
      <c r="D154" s="356"/>
      <c r="E154" s="452"/>
      <c r="F154" s="356"/>
      <c r="G154" s="356"/>
      <c r="H154" s="453"/>
      <c r="I154" s="453"/>
      <c r="J154" s="454"/>
      <c r="L154" s="454"/>
      <c r="M154" s="342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356"/>
      <c r="AB154" s="356"/>
      <c r="AC154" s="356"/>
      <c r="AD154" s="356"/>
      <c r="AE154" s="356"/>
      <c r="AF154" s="356"/>
    </row>
    <row r="155">
      <c r="A155" s="341"/>
      <c r="B155" s="356"/>
      <c r="C155" s="456"/>
      <c r="D155" s="356"/>
      <c r="E155" s="452"/>
      <c r="F155" s="356"/>
      <c r="G155" s="356"/>
      <c r="H155" s="453"/>
      <c r="I155" s="453"/>
      <c r="J155" s="454"/>
      <c r="L155" s="454"/>
      <c r="M155" s="342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  <c r="Z155" s="356"/>
      <c r="AA155" s="356"/>
      <c r="AB155" s="356"/>
      <c r="AC155" s="356"/>
      <c r="AD155" s="356"/>
      <c r="AE155" s="356"/>
      <c r="AF155" s="356"/>
    </row>
    <row r="156">
      <c r="A156" s="341"/>
      <c r="B156" s="356"/>
      <c r="C156" s="456"/>
      <c r="D156" s="356"/>
      <c r="E156" s="452"/>
      <c r="F156" s="356"/>
      <c r="G156" s="356"/>
      <c r="H156" s="453"/>
      <c r="I156" s="453"/>
      <c r="J156" s="454"/>
      <c r="L156" s="454"/>
      <c r="M156" s="342"/>
      <c r="O156" s="356"/>
      <c r="P156" s="356"/>
      <c r="Q156" s="356"/>
      <c r="R156" s="356"/>
      <c r="S156" s="356"/>
      <c r="T156" s="356"/>
      <c r="U156" s="356"/>
      <c r="V156" s="356"/>
      <c r="W156" s="356"/>
      <c r="X156" s="356"/>
      <c r="Y156" s="356"/>
      <c r="Z156" s="356"/>
      <c r="AA156" s="356"/>
      <c r="AB156" s="356"/>
      <c r="AC156" s="356"/>
      <c r="AD156" s="356"/>
      <c r="AE156" s="356"/>
      <c r="AF156" s="356"/>
    </row>
    <row r="157">
      <c r="A157" s="341"/>
      <c r="B157" s="356"/>
      <c r="C157" s="456"/>
      <c r="D157" s="356"/>
      <c r="E157" s="452"/>
      <c r="F157" s="356"/>
      <c r="G157" s="356"/>
      <c r="H157" s="453"/>
      <c r="I157" s="453"/>
      <c r="J157" s="454"/>
      <c r="L157" s="454"/>
      <c r="M157" s="342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356"/>
      <c r="AB157" s="356"/>
      <c r="AC157" s="356"/>
      <c r="AD157" s="356"/>
      <c r="AE157" s="356"/>
      <c r="AF157" s="356"/>
    </row>
    <row r="158">
      <c r="A158" s="341"/>
      <c r="B158" s="356"/>
      <c r="C158" s="456"/>
      <c r="D158" s="356"/>
      <c r="E158" s="452"/>
      <c r="F158" s="356"/>
      <c r="G158" s="356"/>
      <c r="H158" s="453"/>
      <c r="I158" s="453"/>
      <c r="J158" s="454"/>
      <c r="L158" s="454"/>
      <c r="M158" s="342"/>
      <c r="O158" s="356"/>
      <c r="P158" s="356"/>
      <c r="Q158" s="356"/>
      <c r="R158" s="356"/>
      <c r="S158" s="356"/>
      <c r="T158" s="356"/>
      <c r="U158" s="356"/>
      <c r="V158" s="356"/>
      <c r="W158" s="356"/>
      <c r="X158" s="356"/>
      <c r="Y158" s="356"/>
      <c r="Z158" s="356"/>
      <c r="AA158" s="356"/>
      <c r="AB158" s="356"/>
      <c r="AC158" s="356"/>
      <c r="AD158" s="356"/>
      <c r="AE158" s="356"/>
      <c r="AF158" s="356"/>
    </row>
    <row r="159">
      <c r="A159" s="341"/>
      <c r="B159" s="356"/>
      <c r="C159" s="456"/>
      <c r="D159" s="356"/>
      <c r="E159" s="452"/>
      <c r="F159" s="356"/>
      <c r="G159" s="356"/>
      <c r="H159" s="453"/>
      <c r="I159" s="453"/>
      <c r="J159" s="454"/>
      <c r="L159" s="454"/>
      <c r="M159" s="342"/>
      <c r="O159" s="356"/>
      <c r="P159" s="356"/>
      <c r="Q159" s="356"/>
      <c r="R159" s="356"/>
      <c r="S159" s="356"/>
      <c r="T159" s="356"/>
      <c r="U159" s="356"/>
      <c r="V159" s="356"/>
      <c r="W159" s="356"/>
      <c r="X159" s="356"/>
      <c r="Y159" s="356"/>
      <c r="Z159" s="356"/>
      <c r="AA159" s="356"/>
      <c r="AB159" s="356"/>
      <c r="AC159" s="356"/>
      <c r="AD159" s="356"/>
      <c r="AE159" s="356"/>
      <c r="AF159" s="356"/>
    </row>
    <row r="160">
      <c r="A160" s="341"/>
      <c r="B160" s="356"/>
      <c r="C160" s="456"/>
      <c r="D160" s="356"/>
      <c r="E160" s="452"/>
      <c r="F160" s="356"/>
      <c r="G160" s="356"/>
      <c r="H160" s="453"/>
      <c r="I160" s="453"/>
      <c r="J160" s="454"/>
      <c r="L160" s="454"/>
      <c r="M160" s="342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356"/>
      <c r="AB160" s="356"/>
      <c r="AC160" s="356"/>
      <c r="AD160" s="356"/>
      <c r="AE160" s="356"/>
      <c r="AF160" s="356"/>
    </row>
    <row r="161">
      <c r="A161" s="341"/>
      <c r="B161" s="356"/>
      <c r="C161" s="456"/>
      <c r="D161" s="356"/>
      <c r="E161" s="452"/>
      <c r="F161" s="356"/>
      <c r="G161" s="356"/>
      <c r="H161" s="453"/>
      <c r="I161" s="453"/>
      <c r="J161" s="454"/>
      <c r="L161" s="454"/>
      <c r="M161" s="342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  <c r="Z161" s="356"/>
      <c r="AA161" s="356"/>
      <c r="AB161" s="356"/>
      <c r="AC161" s="356"/>
      <c r="AD161" s="356"/>
      <c r="AE161" s="356"/>
      <c r="AF161" s="356"/>
    </row>
    <row r="162">
      <c r="A162" s="341"/>
      <c r="B162" s="356"/>
      <c r="C162" s="456"/>
      <c r="D162" s="356"/>
      <c r="E162" s="452"/>
      <c r="F162" s="356"/>
      <c r="G162" s="356"/>
      <c r="H162" s="453"/>
      <c r="I162" s="453"/>
      <c r="J162" s="454"/>
      <c r="L162" s="454"/>
      <c r="M162" s="342"/>
      <c r="O162" s="356"/>
      <c r="P162" s="356"/>
      <c r="Q162" s="356"/>
      <c r="R162" s="356"/>
      <c r="S162" s="356"/>
      <c r="T162" s="356"/>
      <c r="U162" s="356"/>
      <c r="V162" s="356"/>
      <c r="W162" s="356"/>
      <c r="X162" s="356"/>
      <c r="Y162" s="356"/>
      <c r="Z162" s="356"/>
      <c r="AA162" s="356"/>
      <c r="AB162" s="356"/>
      <c r="AC162" s="356"/>
      <c r="AD162" s="356"/>
      <c r="AE162" s="356"/>
      <c r="AF162" s="356"/>
    </row>
    <row r="163">
      <c r="A163" s="341"/>
      <c r="B163" s="356"/>
      <c r="C163" s="456"/>
      <c r="D163" s="356"/>
      <c r="E163" s="452"/>
      <c r="F163" s="356"/>
      <c r="G163" s="356"/>
      <c r="H163" s="453"/>
      <c r="I163" s="453"/>
      <c r="J163" s="454"/>
      <c r="L163" s="454"/>
      <c r="M163" s="342"/>
      <c r="O163" s="356"/>
      <c r="P163" s="356"/>
      <c r="Q163" s="356"/>
      <c r="R163" s="356"/>
      <c r="S163" s="356"/>
      <c r="T163" s="356"/>
      <c r="U163" s="356"/>
      <c r="V163" s="356"/>
      <c r="W163" s="356"/>
      <c r="X163" s="356"/>
      <c r="Y163" s="356"/>
      <c r="Z163" s="356"/>
      <c r="AA163" s="356"/>
      <c r="AB163" s="356"/>
      <c r="AC163" s="356"/>
      <c r="AD163" s="356"/>
      <c r="AE163" s="356"/>
      <c r="AF163" s="356"/>
    </row>
    <row r="164">
      <c r="A164" s="341"/>
      <c r="B164" s="356"/>
      <c r="C164" s="456"/>
      <c r="D164" s="356"/>
      <c r="E164" s="452"/>
      <c r="F164" s="356"/>
      <c r="G164" s="356"/>
      <c r="H164" s="453"/>
      <c r="I164" s="453"/>
      <c r="J164" s="454"/>
      <c r="L164" s="454"/>
      <c r="M164" s="342"/>
      <c r="O164" s="356"/>
      <c r="P164" s="356"/>
      <c r="Q164" s="356"/>
      <c r="R164" s="356"/>
      <c r="S164" s="356"/>
      <c r="T164" s="356"/>
      <c r="U164" s="356"/>
      <c r="V164" s="356"/>
      <c r="W164" s="356"/>
      <c r="X164" s="356"/>
      <c r="Y164" s="356"/>
      <c r="Z164" s="356"/>
      <c r="AA164" s="356"/>
      <c r="AB164" s="356"/>
      <c r="AC164" s="356"/>
      <c r="AD164" s="356"/>
      <c r="AE164" s="356"/>
      <c r="AF164" s="356"/>
    </row>
    <row r="165">
      <c r="A165" s="341"/>
      <c r="B165" s="356"/>
      <c r="C165" s="456"/>
      <c r="D165" s="356"/>
      <c r="E165" s="452"/>
      <c r="F165" s="356"/>
      <c r="G165" s="356"/>
      <c r="H165" s="453"/>
      <c r="I165" s="453"/>
      <c r="J165" s="454"/>
      <c r="L165" s="454"/>
      <c r="M165" s="342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356"/>
      <c r="AB165" s="356"/>
      <c r="AC165" s="356"/>
      <c r="AD165" s="356"/>
      <c r="AE165" s="356"/>
      <c r="AF165" s="356"/>
    </row>
    <row r="166">
      <c r="A166" s="341"/>
      <c r="B166" s="356"/>
      <c r="C166" s="456"/>
      <c r="D166" s="356"/>
      <c r="E166" s="452"/>
      <c r="F166" s="356"/>
      <c r="G166" s="356"/>
      <c r="H166" s="453"/>
      <c r="I166" s="453"/>
      <c r="J166" s="454"/>
      <c r="L166" s="454"/>
      <c r="M166" s="342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356"/>
      <c r="AB166" s="356"/>
      <c r="AC166" s="356"/>
      <c r="AD166" s="356"/>
      <c r="AE166" s="356"/>
      <c r="AF166" s="356"/>
    </row>
    <row r="167">
      <c r="A167" s="341"/>
      <c r="B167" s="356"/>
      <c r="C167" s="456"/>
      <c r="D167" s="356"/>
      <c r="E167" s="452"/>
      <c r="F167" s="356"/>
      <c r="G167" s="356"/>
      <c r="H167" s="453"/>
      <c r="I167" s="453"/>
      <c r="J167" s="454"/>
      <c r="L167" s="454"/>
      <c r="M167" s="342"/>
      <c r="O167" s="356"/>
      <c r="P167" s="356"/>
      <c r="Q167" s="356"/>
      <c r="R167" s="356"/>
      <c r="S167" s="356"/>
      <c r="T167" s="356"/>
      <c r="U167" s="356"/>
      <c r="V167" s="356"/>
      <c r="W167" s="356"/>
      <c r="X167" s="356"/>
      <c r="Y167" s="356"/>
      <c r="Z167" s="356"/>
      <c r="AA167" s="356"/>
      <c r="AB167" s="356"/>
      <c r="AC167" s="356"/>
      <c r="AD167" s="356"/>
      <c r="AE167" s="356"/>
      <c r="AF167" s="356"/>
    </row>
    <row r="168">
      <c r="A168" s="341"/>
      <c r="B168" s="356"/>
      <c r="C168" s="456"/>
      <c r="D168" s="356"/>
      <c r="E168" s="452"/>
      <c r="F168" s="356"/>
      <c r="G168" s="356"/>
      <c r="H168" s="453"/>
      <c r="I168" s="453"/>
      <c r="J168" s="454"/>
      <c r="L168" s="454"/>
      <c r="M168" s="342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  <c r="Z168" s="356"/>
      <c r="AA168" s="356"/>
      <c r="AB168" s="356"/>
      <c r="AC168" s="356"/>
      <c r="AD168" s="356"/>
      <c r="AE168" s="356"/>
      <c r="AF168" s="356"/>
    </row>
    <row r="169">
      <c r="A169" s="341"/>
      <c r="B169" s="356"/>
      <c r="C169" s="456"/>
      <c r="D169" s="356"/>
      <c r="E169" s="452"/>
      <c r="F169" s="356"/>
      <c r="G169" s="356"/>
      <c r="H169" s="453"/>
      <c r="I169" s="453"/>
      <c r="J169" s="454"/>
      <c r="L169" s="454"/>
      <c r="M169" s="342"/>
      <c r="O169" s="356"/>
      <c r="P169" s="356"/>
      <c r="Q169" s="356"/>
      <c r="R169" s="356"/>
      <c r="S169" s="356"/>
      <c r="T169" s="356"/>
      <c r="U169" s="356"/>
      <c r="V169" s="356"/>
      <c r="W169" s="356"/>
      <c r="X169" s="356"/>
      <c r="Y169" s="356"/>
      <c r="Z169" s="356"/>
      <c r="AA169" s="356"/>
      <c r="AB169" s="356"/>
      <c r="AC169" s="356"/>
      <c r="AD169" s="356"/>
      <c r="AE169" s="356"/>
      <c r="AF169" s="356"/>
    </row>
    <row r="170">
      <c r="A170" s="341"/>
      <c r="B170" s="356"/>
      <c r="C170" s="456"/>
      <c r="D170" s="356"/>
      <c r="E170" s="452"/>
      <c r="F170" s="356"/>
      <c r="G170" s="356"/>
      <c r="H170" s="453"/>
      <c r="I170" s="453"/>
      <c r="J170" s="454"/>
      <c r="L170" s="454"/>
      <c r="M170" s="342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356"/>
      <c r="AB170" s="356"/>
      <c r="AC170" s="356"/>
      <c r="AD170" s="356"/>
      <c r="AE170" s="356"/>
      <c r="AF170" s="356"/>
    </row>
    <row r="171">
      <c r="A171" s="341"/>
      <c r="B171" s="356"/>
      <c r="C171" s="456"/>
      <c r="D171" s="356"/>
      <c r="E171" s="452"/>
      <c r="F171" s="356"/>
      <c r="G171" s="356"/>
      <c r="H171" s="453"/>
      <c r="I171" s="453"/>
      <c r="J171" s="454"/>
      <c r="L171" s="454"/>
      <c r="M171" s="342"/>
      <c r="O171" s="356"/>
      <c r="P171" s="356"/>
      <c r="Q171" s="356"/>
      <c r="R171" s="356"/>
      <c r="S171" s="356"/>
      <c r="T171" s="356"/>
      <c r="U171" s="356"/>
      <c r="V171" s="356"/>
      <c r="W171" s="356"/>
      <c r="X171" s="356"/>
      <c r="Y171" s="356"/>
      <c r="Z171" s="356"/>
      <c r="AA171" s="356"/>
      <c r="AB171" s="356"/>
      <c r="AC171" s="356"/>
      <c r="AD171" s="356"/>
      <c r="AE171" s="356"/>
      <c r="AF171" s="356"/>
    </row>
    <row r="172">
      <c r="A172" s="341"/>
      <c r="B172" s="356"/>
      <c r="C172" s="456"/>
      <c r="D172" s="356"/>
      <c r="E172" s="452"/>
      <c r="F172" s="356"/>
      <c r="G172" s="356"/>
      <c r="H172" s="453"/>
      <c r="I172" s="453"/>
      <c r="J172" s="454"/>
      <c r="L172" s="454"/>
      <c r="M172" s="342"/>
      <c r="O172" s="356"/>
      <c r="P172" s="356"/>
      <c r="Q172" s="356"/>
      <c r="R172" s="356"/>
      <c r="S172" s="356"/>
      <c r="T172" s="356"/>
      <c r="U172" s="356"/>
      <c r="V172" s="356"/>
      <c r="W172" s="356"/>
      <c r="X172" s="356"/>
      <c r="Y172" s="356"/>
      <c r="Z172" s="356"/>
      <c r="AA172" s="356"/>
      <c r="AB172" s="356"/>
      <c r="AC172" s="356"/>
      <c r="AD172" s="356"/>
      <c r="AE172" s="356"/>
      <c r="AF172" s="356"/>
    </row>
    <row r="173">
      <c r="A173" s="341"/>
      <c r="B173" s="356"/>
      <c r="C173" s="456"/>
      <c r="D173" s="356"/>
      <c r="E173" s="452"/>
      <c r="F173" s="356"/>
      <c r="G173" s="356"/>
      <c r="H173" s="453"/>
      <c r="I173" s="453"/>
      <c r="J173" s="454"/>
      <c r="L173" s="454"/>
      <c r="M173" s="342"/>
      <c r="O173" s="356"/>
      <c r="P173" s="356"/>
      <c r="Q173" s="356"/>
      <c r="R173" s="356"/>
      <c r="S173" s="356"/>
      <c r="T173" s="356"/>
      <c r="U173" s="356"/>
      <c r="V173" s="356"/>
      <c r="W173" s="356"/>
      <c r="X173" s="356"/>
      <c r="Y173" s="356"/>
      <c r="Z173" s="356"/>
      <c r="AA173" s="356"/>
      <c r="AB173" s="356"/>
      <c r="AC173" s="356"/>
      <c r="AD173" s="356"/>
      <c r="AE173" s="356"/>
      <c r="AF173" s="356"/>
    </row>
    <row r="174">
      <c r="A174" s="341"/>
      <c r="B174" s="356"/>
      <c r="C174" s="456"/>
      <c r="D174" s="356"/>
      <c r="E174" s="452"/>
      <c r="F174" s="356"/>
      <c r="G174" s="356"/>
      <c r="H174" s="453"/>
      <c r="I174" s="453"/>
      <c r="J174" s="454"/>
      <c r="L174" s="454"/>
      <c r="M174" s="342"/>
      <c r="O174" s="356"/>
      <c r="P174" s="356"/>
      <c r="Q174" s="356"/>
      <c r="R174" s="356"/>
      <c r="S174" s="356"/>
      <c r="T174" s="356"/>
      <c r="U174" s="356"/>
      <c r="V174" s="356"/>
      <c r="W174" s="356"/>
      <c r="X174" s="356"/>
      <c r="Y174" s="356"/>
      <c r="Z174" s="356"/>
      <c r="AA174" s="356"/>
      <c r="AB174" s="356"/>
      <c r="AC174" s="356"/>
      <c r="AD174" s="356"/>
      <c r="AE174" s="356"/>
      <c r="AF174" s="356"/>
    </row>
    <row r="175">
      <c r="A175" s="341"/>
      <c r="B175" s="356"/>
      <c r="C175" s="456"/>
      <c r="D175" s="356"/>
      <c r="E175" s="452"/>
      <c r="F175" s="356"/>
      <c r="G175" s="356"/>
      <c r="H175" s="453"/>
      <c r="I175" s="453"/>
      <c r="J175" s="454"/>
      <c r="L175" s="454"/>
      <c r="M175" s="342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356"/>
      <c r="AB175" s="356"/>
      <c r="AC175" s="356"/>
      <c r="AD175" s="356"/>
      <c r="AE175" s="356"/>
      <c r="AF175" s="356"/>
    </row>
    <row r="176">
      <c r="A176" s="341"/>
      <c r="B176" s="356"/>
      <c r="C176" s="456"/>
      <c r="D176" s="356"/>
      <c r="E176" s="452"/>
      <c r="F176" s="356"/>
      <c r="G176" s="356"/>
      <c r="H176" s="453"/>
      <c r="I176" s="453"/>
      <c r="J176" s="454"/>
      <c r="L176" s="454"/>
      <c r="M176" s="342"/>
      <c r="O176" s="356"/>
      <c r="P176" s="356"/>
      <c r="Q176" s="356"/>
      <c r="R176" s="356"/>
      <c r="S176" s="356"/>
      <c r="T176" s="356"/>
      <c r="U176" s="356"/>
      <c r="V176" s="356"/>
      <c r="W176" s="356"/>
      <c r="X176" s="356"/>
      <c r="Y176" s="356"/>
      <c r="Z176" s="356"/>
      <c r="AA176" s="356"/>
      <c r="AB176" s="356"/>
      <c r="AC176" s="356"/>
      <c r="AD176" s="356"/>
      <c r="AE176" s="356"/>
      <c r="AF176" s="356"/>
    </row>
    <row r="177">
      <c r="A177" s="341"/>
      <c r="B177" s="356"/>
      <c r="C177" s="456"/>
      <c r="D177" s="356"/>
      <c r="E177" s="452"/>
      <c r="F177" s="356"/>
      <c r="G177" s="356"/>
      <c r="H177" s="453"/>
      <c r="I177" s="453"/>
      <c r="J177" s="454"/>
      <c r="L177" s="454"/>
      <c r="M177" s="342"/>
      <c r="O177" s="356"/>
      <c r="P177" s="356"/>
      <c r="Q177" s="356"/>
      <c r="R177" s="356"/>
      <c r="S177" s="356"/>
      <c r="T177" s="356"/>
      <c r="U177" s="356"/>
      <c r="V177" s="356"/>
      <c r="W177" s="356"/>
      <c r="X177" s="356"/>
      <c r="Y177" s="356"/>
      <c r="Z177" s="356"/>
      <c r="AA177" s="356"/>
      <c r="AB177" s="356"/>
      <c r="AC177" s="356"/>
      <c r="AD177" s="356"/>
      <c r="AE177" s="356"/>
      <c r="AF177" s="356"/>
    </row>
    <row r="178">
      <c r="A178" s="341"/>
      <c r="B178" s="356"/>
      <c r="C178" s="456"/>
      <c r="D178" s="356"/>
      <c r="E178" s="452"/>
      <c r="F178" s="356"/>
      <c r="G178" s="356"/>
      <c r="H178" s="453"/>
      <c r="I178" s="453"/>
      <c r="J178" s="454"/>
      <c r="L178" s="454"/>
      <c r="M178" s="342"/>
      <c r="O178" s="356"/>
      <c r="P178" s="356"/>
      <c r="Q178" s="356"/>
      <c r="R178" s="356"/>
      <c r="S178" s="356"/>
      <c r="T178" s="356"/>
      <c r="U178" s="356"/>
      <c r="V178" s="356"/>
      <c r="W178" s="356"/>
      <c r="X178" s="356"/>
      <c r="Y178" s="356"/>
      <c r="Z178" s="356"/>
      <c r="AA178" s="356"/>
      <c r="AB178" s="356"/>
      <c r="AC178" s="356"/>
      <c r="AD178" s="356"/>
      <c r="AE178" s="356"/>
      <c r="AF178" s="356"/>
    </row>
    <row r="179">
      <c r="A179" s="341"/>
      <c r="B179" s="356"/>
      <c r="C179" s="456"/>
      <c r="D179" s="356"/>
      <c r="E179" s="452"/>
      <c r="F179" s="356"/>
      <c r="G179" s="356"/>
      <c r="H179" s="453"/>
      <c r="I179" s="453"/>
      <c r="J179" s="454"/>
      <c r="L179" s="454"/>
      <c r="M179" s="342"/>
      <c r="O179" s="356"/>
      <c r="P179" s="356"/>
      <c r="Q179" s="356"/>
      <c r="R179" s="356"/>
      <c r="S179" s="356"/>
      <c r="T179" s="356"/>
      <c r="U179" s="356"/>
      <c r="V179" s="356"/>
      <c r="W179" s="356"/>
      <c r="X179" s="356"/>
      <c r="Y179" s="356"/>
      <c r="Z179" s="356"/>
      <c r="AA179" s="356"/>
      <c r="AB179" s="356"/>
      <c r="AC179" s="356"/>
      <c r="AD179" s="356"/>
      <c r="AE179" s="356"/>
      <c r="AF179" s="356"/>
    </row>
    <row r="180">
      <c r="A180" s="341"/>
      <c r="B180" s="356"/>
      <c r="C180" s="456"/>
      <c r="D180" s="356"/>
      <c r="E180" s="452"/>
      <c r="F180" s="356"/>
      <c r="G180" s="356"/>
      <c r="H180" s="453"/>
      <c r="I180" s="453"/>
      <c r="J180" s="454"/>
      <c r="L180" s="454"/>
      <c r="M180" s="342"/>
      <c r="O180" s="356"/>
      <c r="P180" s="356"/>
      <c r="Q180" s="356"/>
      <c r="R180" s="356"/>
      <c r="S180" s="356"/>
      <c r="T180" s="356"/>
      <c r="U180" s="356"/>
      <c r="V180" s="356"/>
      <c r="W180" s="356"/>
      <c r="X180" s="356"/>
      <c r="Y180" s="356"/>
      <c r="Z180" s="356"/>
      <c r="AA180" s="356"/>
      <c r="AB180" s="356"/>
      <c r="AC180" s="356"/>
      <c r="AD180" s="356"/>
      <c r="AE180" s="356"/>
      <c r="AF180" s="356"/>
    </row>
    <row r="181">
      <c r="A181" s="341"/>
      <c r="B181" s="356"/>
      <c r="C181" s="456"/>
      <c r="D181" s="356"/>
      <c r="E181" s="452"/>
      <c r="F181" s="356"/>
      <c r="G181" s="356"/>
      <c r="H181" s="453"/>
      <c r="I181" s="453"/>
      <c r="J181" s="454"/>
      <c r="L181" s="454"/>
      <c r="M181" s="342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  <c r="Z181" s="356"/>
      <c r="AA181" s="356"/>
      <c r="AB181" s="356"/>
      <c r="AC181" s="356"/>
      <c r="AD181" s="356"/>
      <c r="AE181" s="356"/>
      <c r="AF181" s="356"/>
    </row>
    <row r="182">
      <c r="A182" s="341"/>
      <c r="B182" s="356"/>
      <c r="C182" s="456"/>
      <c r="D182" s="356"/>
      <c r="E182" s="452"/>
      <c r="F182" s="356"/>
      <c r="G182" s="356"/>
      <c r="H182" s="453"/>
      <c r="I182" s="453"/>
      <c r="J182" s="454"/>
      <c r="L182" s="454"/>
      <c r="M182" s="342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356"/>
      <c r="AB182" s="356"/>
      <c r="AC182" s="356"/>
      <c r="AD182" s="356"/>
      <c r="AE182" s="356"/>
      <c r="AF182" s="356"/>
    </row>
    <row r="183">
      <c r="A183" s="341"/>
      <c r="B183" s="356"/>
      <c r="C183" s="456"/>
      <c r="D183" s="356"/>
      <c r="E183" s="452"/>
      <c r="F183" s="356"/>
      <c r="G183" s="356"/>
      <c r="H183" s="453"/>
      <c r="I183" s="453"/>
      <c r="J183" s="454"/>
      <c r="L183" s="454"/>
      <c r="M183" s="342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  <c r="AC183" s="356"/>
      <c r="AD183" s="356"/>
      <c r="AE183" s="356"/>
      <c r="AF183" s="356"/>
    </row>
    <row r="184">
      <c r="A184" s="341"/>
      <c r="B184" s="356"/>
      <c r="C184" s="456"/>
      <c r="D184" s="356"/>
      <c r="E184" s="452"/>
      <c r="F184" s="356"/>
      <c r="G184" s="356"/>
      <c r="H184" s="453"/>
      <c r="I184" s="453"/>
      <c r="J184" s="454"/>
      <c r="L184" s="454"/>
      <c r="M184" s="342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  <c r="Z184" s="356"/>
      <c r="AA184" s="356"/>
      <c r="AB184" s="356"/>
      <c r="AC184" s="356"/>
      <c r="AD184" s="356"/>
      <c r="AE184" s="356"/>
      <c r="AF184" s="356"/>
    </row>
    <row r="185">
      <c r="A185" s="341"/>
      <c r="B185" s="356"/>
      <c r="C185" s="456"/>
      <c r="D185" s="356"/>
      <c r="E185" s="452"/>
      <c r="F185" s="356"/>
      <c r="G185" s="356"/>
      <c r="H185" s="453"/>
      <c r="I185" s="453"/>
      <c r="J185" s="454"/>
      <c r="L185" s="454"/>
      <c r="M185" s="342"/>
      <c r="O185" s="356"/>
      <c r="P185" s="356"/>
      <c r="Q185" s="356"/>
      <c r="R185" s="356"/>
      <c r="S185" s="356"/>
      <c r="T185" s="356"/>
      <c r="U185" s="356"/>
      <c r="V185" s="356"/>
      <c r="W185" s="356"/>
      <c r="X185" s="356"/>
      <c r="Y185" s="356"/>
      <c r="Z185" s="356"/>
      <c r="AA185" s="356"/>
      <c r="AB185" s="356"/>
      <c r="AC185" s="356"/>
      <c r="AD185" s="356"/>
      <c r="AE185" s="356"/>
      <c r="AF185" s="356"/>
    </row>
    <row r="186">
      <c r="A186" s="341"/>
      <c r="B186" s="356"/>
      <c r="C186" s="456"/>
      <c r="D186" s="356"/>
      <c r="E186" s="452"/>
      <c r="F186" s="356"/>
      <c r="G186" s="356"/>
      <c r="H186" s="453"/>
      <c r="I186" s="453"/>
      <c r="J186" s="454"/>
      <c r="L186" s="454"/>
      <c r="M186" s="342"/>
      <c r="O186" s="356"/>
      <c r="P186" s="356"/>
      <c r="Q186" s="356"/>
      <c r="R186" s="356"/>
      <c r="S186" s="356"/>
      <c r="T186" s="356"/>
      <c r="U186" s="356"/>
      <c r="V186" s="356"/>
      <c r="W186" s="356"/>
      <c r="X186" s="356"/>
      <c r="Y186" s="356"/>
      <c r="Z186" s="356"/>
      <c r="AA186" s="356"/>
      <c r="AB186" s="356"/>
      <c r="AC186" s="356"/>
      <c r="AD186" s="356"/>
      <c r="AE186" s="356"/>
      <c r="AF186" s="356"/>
    </row>
    <row r="187">
      <c r="A187" s="341"/>
      <c r="B187" s="356"/>
      <c r="C187" s="456"/>
      <c r="D187" s="356"/>
      <c r="E187" s="452"/>
      <c r="F187" s="356"/>
      <c r="G187" s="356"/>
      <c r="H187" s="453"/>
      <c r="I187" s="453"/>
      <c r="J187" s="454"/>
      <c r="L187" s="454"/>
      <c r="M187" s="342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356"/>
      <c r="AB187" s="356"/>
      <c r="AC187" s="356"/>
      <c r="AD187" s="356"/>
      <c r="AE187" s="356"/>
      <c r="AF187" s="356"/>
    </row>
    <row r="188">
      <c r="A188" s="341"/>
      <c r="B188" s="356"/>
      <c r="C188" s="456"/>
      <c r="D188" s="356"/>
      <c r="E188" s="452"/>
      <c r="F188" s="356"/>
      <c r="G188" s="356"/>
      <c r="H188" s="453"/>
      <c r="I188" s="453"/>
      <c r="J188" s="454"/>
      <c r="L188" s="454"/>
      <c r="M188" s="342"/>
      <c r="O188" s="356"/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  <c r="Z188" s="356"/>
      <c r="AA188" s="356"/>
      <c r="AB188" s="356"/>
      <c r="AC188" s="356"/>
      <c r="AD188" s="356"/>
      <c r="AE188" s="356"/>
      <c r="AF188" s="356"/>
    </row>
    <row r="189">
      <c r="A189" s="341"/>
      <c r="B189" s="356"/>
      <c r="C189" s="456"/>
      <c r="D189" s="356"/>
      <c r="E189" s="452"/>
      <c r="F189" s="356"/>
      <c r="G189" s="356"/>
      <c r="H189" s="453"/>
      <c r="I189" s="453"/>
      <c r="J189" s="454"/>
      <c r="L189" s="454"/>
      <c r="M189" s="342"/>
      <c r="O189" s="356"/>
      <c r="P189" s="356"/>
      <c r="Q189" s="356"/>
      <c r="R189" s="356"/>
      <c r="S189" s="356"/>
      <c r="T189" s="356"/>
      <c r="U189" s="356"/>
      <c r="V189" s="356"/>
      <c r="W189" s="356"/>
      <c r="X189" s="356"/>
      <c r="Y189" s="356"/>
      <c r="Z189" s="356"/>
      <c r="AA189" s="356"/>
      <c r="AB189" s="356"/>
      <c r="AC189" s="356"/>
      <c r="AD189" s="356"/>
      <c r="AE189" s="356"/>
      <c r="AF189" s="356"/>
    </row>
    <row r="190">
      <c r="A190" s="341"/>
      <c r="B190" s="356"/>
      <c r="C190" s="456"/>
      <c r="D190" s="356"/>
      <c r="E190" s="452"/>
      <c r="F190" s="356"/>
      <c r="G190" s="356"/>
      <c r="H190" s="453"/>
      <c r="I190" s="453"/>
      <c r="J190" s="454"/>
      <c r="L190" s="454"/>
      <c r="M190" s="342"/>
      <c r="O190" s="356"/>
      <c r="P190" s="356"/>
      <c r="Q190" s="356"/>
      <c r="R190" s="356"/>
      <c r="S190" s="356"/>
      <c r="T190" s="356"/>
      <c r="U190" s="356"/>
      <c r="V190" s="356"/>
      <c r="W190" s="356"/>
      <c r="X190" s="356"/>
      <c r="Y190" s="356"/>
      <c r="Z190" s="356"/>
      <c r="AA190" s="356"/>
      <c r="AB190" s="356"/>
      <c r="AC190" s="356"/>
      <c r="AD190" s="356"/>
      <c r="AE190" s="356"/>
      <c r="AF190" s="356"/>
    </row>
    <row r="191">
      <c r="A191" s="341"/>
      <c r="B191" s="356"/>
      <c r="C191" s="456"/>
      <c r="D191" s="356"/>
      <c r="E191" s="452"/>
      <c r="F191" s="356"/>
      <c r="G191" s="356"/>
      <c r="H191" s="453"/>
      <c r="I191" s="453"/>
      <c r="J191" s="454"/>
      <c r="L191" s="454"/>
      <c r="M191" s="342"/>
      <c r="O191" s="356"/>
      <c r="P191" s="356"/>
      <c r="Q191" s="356"/>
      <c r="R191" s="356"/>
      <c r="S191" s="356"/>
      <c r="T191" s="356"/>
      <c r="U191" s="356"/>
      <c r="V191" s="356"/>
      <c r="W191" s="356"/>
      <c r="X191" s="356"/>
      <c r="Y191" s="356"/>
      <c r="Z191" s="356"/>
      <c r="AA191" s="356"/>
      <c r="AB191" s="356"/>
      <c r="AC191" s="356"/>
      <c r="AD191" s="356"/>
      <c r="AE191" s="356"/>
      <c r="AF191" s="356"/>
    </row>
    <row r="192">
      <c r="A192" s="341"/>
      <c r="B192" s="356"/>
      <c r="C192" s="456"/>
      <c r="D192" s="356"/>
      <c r="E192" s="452"/>
      <c r="F192" s="356"/>
      <c r="G192" s="356"/>
      <c r="H192" s="453"/>
      <c r="I192" s="453"/>
      <c r="J192" s="454"/>
      <c r="L192" s="454"/>
      <c r="M192" s="342"/>
      <c r="O192" s="356"/>
      <c r="P192" s="356"/>
      <c r="Q192" s="356"/>
      <c r="R192" s="356"/>
      <c r="S192" s="356"/>
      <c r="T192" s="356"/>
      <c r="U192" s="356"/>
      <c r="V192" s="356"/>
      <c r="W192" s="356"/>
      <c r="X192" s="356"/>
      <c r="Y192" s="356"/>
      <c r="Z192" s="356"/>
      <c r="AA192" s="356"/>
      <c r="AB192" s="356"/>
      <c r="AC192" s="356"/>
      <c r="AD192" s="356"/>
      <c r="AE192" s="356"/>
      <c r="AF192" s="356"/>
    </row>
    <row r="193">
      <c r="A193" s="341"/>
      <c r="B193" s="356"/>
      <c r="C193" s="456"/>
      <c r="D193" s="356"/>
      <c r="E193" s="452"/>
      <c r="F193" s="356"/>
      <c r="G193" s="356"/>
      <c r="H193" s="453"/>
      <c r="I193" s="453"/>
      <c r="J193" s="454"/>
      <c r="L193" s="454"/>
      <c r="M193" s="342"/>
      <c r="O193" s="356"/>
      <c r="P193" s="356"/>
      <c r="Q193" s="356"/>
      <c r="R193" s="356"/>
      <c r="S193" s="356"/>
      <c r="T193" s="356"/>
      <c r="U193" s="356"/>
      <c r="V193" s="356"/>
      <c r="W193" s="356"/>
      <c r="X193" s="356"/>
      <c r="Y193" s="356"/>
      <c r="Z193" s="356"/>
      <c r="AA193" s="356"/>
      <c r="AB193" s="356"/>
      <c r="AC193" s="356"/>
      <c r="AD193" s="356"/>
      <c r="AE193" s="356"/>
      <c r="AF193" s="356"/>
    </row>
    <row r="194">
      <c r="A194" s="341"/>
      <c r="B194" s="356"/>
      <c r="C194" s="456"/>
      <c r="D194" s="356"/>
      <c r="E194" s="452"/>
      <c r="F194" s="356"/>
      <c r="G194" s="356"/>
      <c r="H194" s="453"/>
      <c r="I194" s="453"/>
      <c r="J194" s="454"/>
      <c r="L194" s="454"/>
      <c r="M194" s="342"/>
      <c r="O194" s="356"/>
      <c r="P194" s="356"/>
      <c r="Q194" s="356"/>
      <c r="R194" s="356"/>
      <c r="S194" s="356"/>
      <c r="T194" s="356"/>
      <c r="U194" s="356"/>
      <c r="V194" s="356"/>
      <c r="W194" s="356"/>
      <c r="X194" s="356"/>
      <c r="Y194" s="356"/>
      <c r="Z194" s="356"/>
      <c r="AA194" s="356"/>
      <c r="AB194" s="356"/>
      <c r="AC194" s="356"/>
      <c r="AD194" s="356"/>
      <c r="AE194" s="356"/>
      <c r="AF194" s="356"/>
    </row>
    <row r="195">
      <c r="A195" s="341"/>
      <c r="B195" s="356"/>
      <c r="C195" s="456"/>
      <c r="D195" s="356"/>
      <c r="E195" s="452"/>
      <c r="F195" s="356"/>
      <c r="G195" s="356"/>
      <c r="H195" s="453"/>
      <c r="I195" s="453"/>
      <c r="J195" s="454"/>
      <c r="L195" s="454"/>
      <c r="M195" s="342"/>
      <c r="O195" s="356"/>
      <c r="P195" s="356"/>
      <c r="Q195" s="356"/>
      <c r="R195" s="356"/>
      <c r="S195" s="356"/>
      <c r="T195" s="356"/>
      <c r="U195" s="356"/>
      <c r="V195" s="356"/>
      <c r="W195" s="356"/>
      <c r="X195" s="356"/>
      <c r="Y195" s="356"/>
      <c r="Z195" s="356"/>
      <c r="AA195" s="356"/>
      <c r="AB195" s="356"/>
      <c r="AC195" s="356"/>
      <c r="AD195" s="356"/>
      <c r="AE195" s="356"/>
      <c r="AF195" s="356"/>
    </row>
    <row r="196">
      <c r="A196" s="341"/>
      <c r="B196" s="356"/>
      <c r="C196" s="456"/>
      <c r="D196" s="356"/>
      <c r="E196" s="452"/>
      <c r="F196" s="356"/>
      <c r="G196" s="356"/>
      <c r="H196" s="453"/>
      <c r="I196" s="453"/>
      <c r="J196" s="454"/>
      <c r="L196" s="454"/>
      <c r="M196" s="342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356"/>
      <c r="AB196" s="356"/>
      <c r="AC196" s="356"/>
      <c r="AD196" s="356"/>
      <c r="AE196" s="356"/>
      <c r="AF196" s="356"/>
    </row>
    <row r="197">
      <c r="A197" s="341"/>
      <c r="B197" s="356"/>
      <c r="C197" s="456"/>
      <c r="D197" s="356"/>
      <c r="E197" s="452"/>
      <c r="F197" s="356"/>
      <c r="G197" s="356"/>
      <c r="H197" s="453"/>
      <c r="I197" s="453"/>
      <c r="J197" s="454"/>
      <c r="L197" s="454"/>
      <c r="M197" s="342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  <c r="Z197" s="356"/>
      <c r="AA197" s="356"/>
      <c r="AB197" s="356"/>
      <c r="AC197" s="356"/>
      <c r="AD197" s="356"/>
      <c r="AE197" s="356"/>
      <c r="AF197" s="356"/>
    </row>
    <row r="198">
      <c r="A198" s="341"/>
      <c r="B198" s="356"/>
      <c r="C198" s="456"/>
      <c r="D198" s="356"/>
      <c r="E198" s="452"/>
      <c r="F198" s="356"/>
      <c r="G198" s="356"/>
      <c r="H198" s="453"/>
      <c r="I198" s="453"/>
      <c r="J198" s="454"/>
      <c r="L198" s="454"/>
      <c r="M198" s="342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  <c r="Z198" s="356"/>
      <c r="AA198" s="356"/>
      <c r="AB198" s="356"/>
      <c r="AC198" s="356"/>
      <c r="AD198" s="356"/>
      <c r="AE198" s="356"/>
      <c r="AF198" s="356"/>
    </row>
    <row r="199">
      <c r="A199" s="341"/>
      <c r="B199" s="356"/>
      <c r="C199" s="456"/>
      <c r="D199" s="356"/>
      <c r="E199" s="452"/>
      <c r="F199" s="356"/>
      <c r="G199" s="356"/>
      <c r="H199" s="453"/>
      <c r="I199" s="453"/>
      <c r="J199" s="454"/>
      <c r="L199" s="454"/>
      <c r="M199" s="342"/>
      <c r="O199" s="356"/>
      <c r="P199" s="356"/>
      <c r="Q199" s="356"/>
      <c r="R199" s="356"/>
      <c r="S199" s="356"/>
      <c r="T199" s="356"/>
      <c r="U199" s="356"/>
      <c r="V199" s="356"/>
      <c r="W199" s="356"/>
      <c r="X199" s="356"/>
      <c r="Y199" s="356"/>
      <c r="Z199" s="356"/>
      <c r="AA199" s="356"/>
      <c r="AB199" s="356"/>
      <c r="AC199" s="356"/>
      <c r="AD199" s="356"/>
      <c r="AE199" s="356"/>
      <c r="AF199" s="356"/>
    </row>
    <row r="200">
      <c r="A200" s="341"/>
      <c r="B200" s="356"/>
      <c r="C200" s="456"/>
      <c r="D200" s="356"/>
      <c r="E200" s="452"/>
      <c r="F200" s="356"/>
      <c r="G200" s="356"/>
      <c r="H200" s="453"/>
      <c r="I200" s="453"/>
      <c r="J200" s="454"/>
      <c r="L200" s="454"/>
      <c r="M200" s="342"/>
      <c r="O200" s="356"/>
      <c r="P200" s="356"/>
      <c r="Q200" s="356"/>
      <c r="R200" s="356"/>
      <c r="S200" s="356"/>
      <c r="T200" s="356"/>
      <c r="U200" s="356"/>
      <c r="V200" s="356"/>
      <c r="W200" s="356"/>
      <c r="X200" s="356"/>
      <c r="Y200" s="356"/>
      <c r="Z200" s="356"/>
      <c r="AA200" s="356"/>
      <c r="AB200" s="356"/>
      <c r="AC200" s="356"/>
      <c r="AD200" s="356"/>
      <c r="AE200" s="356"/>
      <c r="AF200" s="356"/>
    </row>
    <row r="201">
      <c r="A201" s="341"/>
      <c r="B201" s="356"/>
      <c r="C201" s="456"/>
      <c r="D201" s="356"/>
      <c r="E201" s="452"/>
      <c r="F201" s="356"/>
      <c r="G201" s="356"/>
      <c r="H201" s="453"/>
      <c r="I201" s="453"/>
      <c r="J201" s="454"/>
      <c r="L201" s="454"/>
      <c r="M201" s="342"/>
      <c r="O201" s="356"/>
      <c r="P201" s="356"/>
      <c r="Q201" s="356"/>
      <c r="R201" s="356"/>
      <c r="S201" s="356"/>
      <c r="T201" s="356"/>
      <c r="U201" s="356"/>
      <c r="V201" s="356"/>
      <c r="W201" s="356"/>
      <c r="X201" s="356"/>
      <c r="Y201" s="356"/>
      <c r="Z201" s="356"/>
      <c r="AA201" s="356"/>
      <c r="AB201" s="356"/>
      <c r="AC201" s="356"/>
      <c r="AD201" s="356"/>
      <c r="AE201" s="356"/>
      <c r="AF201" s="356"/>
    </row>
    <row r="202">
      <c r="A202" s="341"/>
      <c r="B202" s="356"/>
      <c r="C202" s="456"/>
      <c r="D202" s="356"/>
      <c r="E202" s="452"/>
      <c r="F202" s="356"/>
      <c r="G202" s="356"/>
      <c r="H202" s="453"/>
      <c r="I202" s="453"/>
      <c r="J202" s="454"/>
      <c r="L202" s="454"/>
      <c r="M202" s="342"/>
      <c r="O202" s="356"/>
      <c r="P202" s="356"/>
      <c r="Q202" s="356"/>
      <c r="R202" s="356"/>
      <c r="S202" s="356"/>
      <c r="T202" s="356"/>
      <c r="U202" s="356"/>
      <c r="V202" s="356"/>
      <c r="W202" s="356"/>
      <c r="X202" s="356"/>
      <c r="Y202" s="356"/>
      <c r="Z202" s="356"/>
      <c r="AA202" s="356"/>
      <c r="AB202" s="356"/>
      <c r="AC202" s="356"/>
      <c r="AD202" s="356"/>
      <c r="AE202" s="356"/>
      <c r="AF202" s="356"/>
    </row>
    <row r="203">
      <c r="A203" s="341"/>
      <c r="B203" s="356"/>
      <c r="C203" s="456"/>
      <c r="D203" s="356"/>
      <c r="E203" s="452"/>
      <c r="F203" s="356"/>
      <c r="G203" s="356"/>
      <c r="H203" s="453"/>
      <c r="I203" s="453"/>
      <c r="J203" s="454"/>
      <c r="L203" s="454"/>
      <c r="M203" s="342"/>
      <c r="O203" s="356"/>
      <c r="P203" s="356"/>
      <c r="Q203" s="356"/>
      <c r="R203" s="356"/>
      <c r="S203" s="356"/>
      <c r="T203" s="356"/>
      <c r="U203" s="356"/>
      <c r="V203" s="356"/>
      <c r="W203" s="356"/>
      <c r="X203" s="356"/>
      <c r="Y203" s="356"/>
      <c r="Z203" s="356"/>
      <c r="AA203" s="356"/>
      <c r="AB203" s="356"/>
      <c r="AC203" s="356"/>
      <c r="AD203" s="356"/>
      <c r="AE203" s="356"/>
      <c r="AF203" s="356"/>
    </row>
    <row r="204">
      <c r="A204" s="341"/>
      <c r="B204" s="356"/>
      <c r="C204" s="456"/>
      <c r="D204" s="356"/>
      <c r="E204" s="452"/>
      <c r="F204" s="356"/>
      <c r="G204" s="356"/>
      <c r="H204" s="453"/>
      <c r="I204" s="453"/>
      <c r="J204" s="454"/>
      <c r="L204" s="454"/>
      <c r="M204" s="342"/>
      <c r="O204" s="356"/>
      <c r="P204" s="356"/>
      <c r="Q204" s="356"/>
      <c r="R204" s="356"/>
      <c r="S204" s="356"/>
      <c r="T204" s="356"/>
      <c r="U204" s="356"/>
      <c r="V204" s="356"/>
      <c r="W204" s="356"/>
      <c r="X204" s="356"/>
      <c r="Y204" s="356"/>
      <c r="Z204" s="356"/>
      <c r="AA204" s="356"/>
      <c r="AB204" s="356"/>
      <c r="AC204" s="356"/>
      <c r="AD204" s="356"/>
      <c r="AE204" s="356"/>
      <c r="AF204" s="356"/>
    </row>
    <row r="205">
      <c r="A205" s="341"/>
      <c r="B205" s="356"/>
      <c r="C205" s="456"/>
      <c r="D205" s="356"/>
      <c r="E205" s="452"/>
      <c r="F205" s="356"/>
      <c r="G205" s="356"/>
      <c r="H205" s="453"/>
      <c r="I205" s="453"/>
      <c r="J205" s="454"/>
      <c r="L205" s="454"/>
      <c r="M205" s="342"/>
      <c r="O205" s="356"/>
      <c r="P205" s="356"/>
      <c r="Q205" s="356"/>
      <c r="R205" s="356"/>
      <c r="S205" s="356"/>
      <c r="T205" s="356"/>
      <c r="U205" s="356"/>
      <c r="V205" s="356"/>
      <c r="W205" s="356"/>
      <c r="X205" s="356"/>
      <c r="Y205" s="356"/>
      <c r="Z205" s="356"/>
      <c r="AA205" s="356"/>
      <c r="AB205" s="356"/>
      <c r="AC205" s="356"/>
      <c r="AD205" s="356"/>
      <c r="AE205" s="356"/>
      <c r="AF205" s="356"/>
    </row>
    <row r="206">
      <c r="A206" s="341"/>
      <c r="B206" s="356"/>
      <c r="C206" s="456"/>
      <c r="D206" s="356"/>
      <c r="E206" s="452"/>
      <c r="F206" s="356"/>
      <c r="G206" s="356"/>
      <c r="H206" s="453"/>
      <c r="I206" s="453"/>
      <c r="J206" s="454"/>
      <c r="L206" s="454"/>
      <c r="M206" s="342"/>
      <c r="O206" s="356"/>
      <c r="P206" s="356"/>
      <c r="Q206" s="356"/>
      <c r="R206" s="356"/>
      <c r="S206" s="356"/>
      <c r="T206" s="356"/>
      <c r="U206" s="356"/>
      <c r="V206" s="356"/>
      <c r="W206" s="356"/>
      <c r="X206" s="356"/>
      <c r="Y206" s="356"/>
      <c r="Z206" s="356"/>
      <c r="AA206" s="356"/>
      <c r="AB206" s="356"/>
      <c r="AC206" s="356"/>
      <c r="AD206" s="356"/>
      <c r="AE206" s="356"/>
      <c r="AF206" s="356"/>
    </row>
    <row r="207">
      <c r="A207" s="341"/>
      <c r="B207" s="356"/>
      <c r="C207" s="456"/>
      <c r="D207" s="356"/>
      <c r="E207" s="452"/>
      <c r="F207" s="356"/>
      <c r="G207" s="356"/>
      <c r="H207" s="453"/>
      <c r="I207" s="453"/>
      <c r="J207" s="454"/>
      <c r="L207" s="454"/>
      <c r="M207" s="342"/>
      <c r="O207" s="356"/>
      <c r="P207" s="356"/>
      <c r="Q207" s="356"/>
      <c r="R207" s="356"/>
      <c r="S207" s="356"/>
      <c r="T207" s="356"/>
      <c r="U207" s="356"/>
      <c r="V207" s="356"/>
      <c r="W207" s="356"/>
      <c r="X207" s="356"/>
      <c r="Y207" s="356"/>
      <c r="Z207" s="356"/>
      <c r="AA207" s="356"/>
      <c r="AB207" s="356"/>
      <c r="AC207" s="356"/>
      <c r="AD207" s="356"/>
      <c r="AE207" s="356"/>
      <c r="AF207" s="356"/>
    </row>
    <row r="208">
      <c r="A208" s="341"/>
      <c r="B208" s="356"/>
      <c r="C208" s="456"/>
      <c r="D208" s="356"/>
      <c r="E208" s="452"/>
      <c r="F208" s="356"/>
      <c r="G208" s="356"/>
      <c r="H208" s="453"/>
      <c r="I208" s="453"/>
      <c r="J208" s="454"/>
      <c r="L208" s="454"/>
      <c r="M208" s="342"/>
      <c r="O208" s="356"/>
      <c r="P208" s="356"/>
      <c r="Q208" s="356"/>
      <c r="R208" s="356"/>
      <c r="S208" s="356"/>
      <c r="T208" s="356"/>
      <c r="U208" s="356"/>
      <c r="V208" s="356"/>
      <c r="W208" s="356"/>
      <c r="X208" s="356"/>
      <c r="Y208" s="356"/>
      <c r="Z208" s="356"/>
      <c r="AA208" s="356"/>
      <c r="AB208" s="356"/>
      <c r="AC208" s="356"/>
      <c r="AD208" s="356"/>
      <c r="AE208" s="356"/>
      <c r="AF208" s="356"/>
    </row>
    <row r="209">
      <c r="A209" s="341"/>
      <c r="B209" s="356"/>
      <c r="C209" s="456"/>
      <c r="D209" s="356"/>
      <c r="E209" s="452"/>
      <c r="F209" s="356"/>
      <c r="G209" s="356"/>
      <c r="H209" s="453"/>
      <c r="I209" s="453"/>
      <c r="J209" s="454"/>
      <c r="L209" s="454"/>
      <c r="M209" s="342"/>
      <c r="O209" s="356"/>
      <c r="P209" s="356"/>
      <c r="Q209" s="356"/>
      <c r="R209" s="356"/>
      <c r="S209" s="356"/>
      <c r="T209" s="356"/>
      <c r="U209" s="356"/>
      <c r="V209" s="356"/>
      <c r="W209" s="356"/>
      <c r="X209" s="356"/>
      <c r="Y209" s="356"/>
      <c r="Z209" s="356"/>
      <c r="AA209" s="356"/>
      <c r="AB209" s="356"/>
      <c r="AC209" s="356"/>
      <c r="AD209" s="356"/>
      <c r="AE209" s="356"/>
      <c r="AF209" s="356"/>
    </row>
    <row r="210">
      <c r="A210" s="341"/>
      <c r="B210" s="356"/>
      <c r="C210" s="456"/>
      <c r="D210" s="356"/>
      <c r="E210" s="452"/>
      <c r="F210" s="356"/>
      <c r="G210" s="356"/>
      <c r="H210" s="453"/>
      <c r="I210" s="453"/>
      <c r="J210" s="454"/>
      <c r="L210" s="454"/>
      <c r="M210" s="342"/>
      <c r="O210" s="356"/>
      <c r="P210" s="356"/>
      <c r="Q210" s="356"/>
      <c r="R210" s="356"/>
      <c r="S210" s="356"/>
      <c r="T210" s="356"/>
      <c r="U210" s="356"/>
      <c r="V210" s="356"/>
      <c r="W210" s="356"/>
      <c r="X210" s="356"/>
      <c r="Y210" s="356"/>
      <c r="Z210" s="356"/>
      <c r="AA210" s="356"/>
      <c r="AB210" s="356"/>
      <c r="AC210" s="356"/>
      <c r="AD210" s="356"/>
      <c r="AE210" s="356"/>
      <c r="AF210" s="356"/>
    </row>
    <row r="211">
      <c r="A211" s="341"/>
      <c r="B211" s="356"/>
      <c r="C211" s="456"/>
      <c r="D211" s="356"/>
      <c r="E211" s="452"/>
      <c r="F211" s="356"/>
      <c r="G211" s="356"/>
      <c r="H211" s="453"/>
      <c r="I211" s="453"/>
      <c r="J211" s="454"/>
      <c r="L211" s="454"/>
      <c r="M211" s="342"/>
      <c r="O211" s="356"/>
      <c r="P211" s="356"/>
      <c r="Q211" s="356"/>
      <c r="R211" s="356"/>
      <c r="S211" s="356"/>
      <c r="T211" s="356"/>
      <c r="U211" s="356"/>
      <c r="V211" s="356"/>
      <c r="W211" s="356"/>
      <c r="X211" s="356"/>
      <c r="Y211" s="356"/>
      <c r="Z211" s="356"/>
      <c r="AA211" s="356"/>
      <c r="AB211" s="356"/>
      <c r="AC211" s="356"/>
      <c r="AD211" s="356"/>
      <c r="AE211" s="356"/>
      <c r="AF211" s="356"/>
    </row>
    <row r="212">
      <c r="A212" s="341"/>
      <c r="B212" s="356"/>
      <c r="C212" s="456"/>
      <c r="D212" s="356"/>
      <c r="E212" s="452"/>
      <c r="F212" s="356"/>
      <c r="G212" s="356"/>
      <c r="H212" s="453"/>
      <c r="I212" s="453"/>
      <c r="J212" s="454"/>
      <c r="L212" s="454"/>
      <c r="M212" s="342"/>
      <c r="O212" s="356"/>
      <c r="P212" s="356"/>
      <c r="Q212" s="356"/>
      <c r="R212" s="356"/>
      <c r="S212" s="356"/>
      <c r="T212" s="356"/>
      <c r="U212" s="356"/>
      <c r="V212" s="356"/>
      <c r="W212" s="356"/>
      <c r="X212" s="356"/>
      <c r="Y212" s="356"/>
      <c r="Z212" s="356"/>
      <c r="AA212" s="356"/>
      <c r="AB212" s="356"/>
      <c r="AC212" s="356"/>
      <c r="AD212" s="356"/>
      <c r="AE212" s="356"/>
      <c r="AF212" s="356"/>
    </row>
    <row r="213">
      <c r="A213" s="341"/>
      <c r="B213" s="356"/>
      <c r="C213" s="456"/>
      <c r="D213" s="356"/>
      <c r="E213" s="452"/>
      <c r="F213" s="356"/>
      <c r="G213" s="356"/>
      <c r="H213" s="453"/>
      <c r="I213" s="453"/>
      <c r="J213" s="454"/>
      <c r="L213" s="454"/>
      <c r="M213" s="342"/>
      <c r="O213" s="356"/>
      <c r="P213" s="356"/>
      <c r="Q213" s="356"/>
      <c r="R213" s="356"/>
      <c r="S213" s="356"/>
      <c r="T213" s="356"/>
      <c r="U213" s="356"/>
      <c r="V213" s="356"/>
      <c r="W213" s="356"/>
      <c r="X213" s="356"/>
      <c r="Y213" s="356"/>
      <c r="Z213" s="356"/>
      <c r="AA213" s="356"/>
      <c r="AB213" s="356"/>
      <c r="AC213" s="356"/>
      <c r="AD213" s="356"/>
      <c r="AE213" s="356"/>
      <c r="AF213" s="356"/>
    </row>
    <row r="214">
      <c r="A214" s="341"/>
      <c r="B214" s="356"/>
      <c r="C214" s="456"/>
      <c r="D214" s="356"/>
      <c r="E214" s="452"/>
      <c r="F214" s="356"/>
      <c r="G214" s="356"/>
      <c r="H214" s="453"/>
      <c r="I214" s="453"/>
      <c r="J214" s="454"/>
      <c r="L214" s="454"/>
      <c r="M214" s="342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  <c r="Z214" s="356"/>
      <c r="AA214" s="356"/>
      <c r="AB214" s="356"/>
      <c r="AC214" s="356"/>
      <c r="AD214" s="356"/>
      <c r="AE214" s="356"/>
      <c r="AF214" s="356"/>
    </row>
    <row r="215">
      <c r="A215" s="341"/>
      <c r="B215" s="356"/>
      <c r="C215" s="456"/>
      <c r="D215" s="356"/>
      <c r="E215" s="452"/>
      <c r="F215" s="356"/>
      <c r="G215" s="356"/>
      <c r="H215" s="453"/>
      <c r="I215" s="453"/>
      <c r="J215" s="454"/>
      <c r="L215" s="454"/>
      <c r="M215" s="342"/>
      <c r="O215" s="356"/>
      <c r="P215" s="356"/>
      <c r="Q215" s="356"/>
      <c r="R215" s="356"/>
      <c r="S215" s="356"/>
      <c r="T215" s="356"/>
      <c r="U215" s="356"/>
      <c r="V215" s="356"/>
      <c r="W215" s="356"/>
      <c r="X215" s="356"/>
      <c r="Y215" s="356"/>
      <c r="Z215" s="356"/>
      <c r="AA215" s="356"/>
      <c r="AB215" s="356"/>
      <c r="AC215" s="356"/>
      <c r="AD215" s="356"/>
      <c r="AE215" s="356"/>
      <c r="AF215" s="356"/>
    </row>
    <row r="216">
      <c r="A216" s="341"/>
      <c r="B216" s="356"/>
      <c r="C216" s="456"/>
      <c r="D216" s="356"/>
      <c r="E216" s="452"/>
      <c r="F216" s="356"/>
      <c r="G216" s="356"/>
      <c r="H216" s="453"/>
      <c r="I216" s="453"/>
      <c r="J216" s="454"/>
      <c r="L216" s="454"/>
      <c r="M216" s="342"/>
      <c r="O216" s="356"/>
      <c r="P216" s="356"/>
      <c r="Q216" s="356"/>
      <c r="R216" s="356"/>
      <c r="S216" s="356"/>
      <c r="T216" s="356"/>
      <c r="U216" s="356"/>
      <c r="V216" s="356"/>
      <c r="W216" s="356"/>
      <c r="X216" s="356"/>
      <c r="Y216" s="356"/>
      <c r="Z216" s="356"/>
      <c r="AA216" s="356"/>
      <c r="AB216" s="356"/>
      <c r="AC216" s="356"/>
      <c r="AD216" s="356"/>
      <c r="AE216" s="356"/>
      <c r="AF216" s="356"/>
    </row>
    <row r="217">
      <c r="A217" s="341"/>
      <c r="B217" s="356"/>
      <c r="C217" s="456"/>
      <c r="D217" s="356"/>
      <c r="E217" s="452"/>
      <c r="F217" s="356"/>
      <c r="G217" s="356"/>
      <c r="H217" s="453"/>
      <c r="I217" s="453"/>
      <c r="J217" s="454"/>
      <c r="L217" s="454"/>
      <c r="M217" s="342"/>
      <c r="O217" s="356"/>
      <c r="P217" s="356"/>
      <c r="Q217" s="356"/>
      <c r="R217" s="356"/>
      <c r="S217" s="356"/>
      <c r="T217" s="356"/>
      <c r="U217" s="356"/>
      <c r="V217" s="356"/>
      <c r="W217" s="356"/>
      <c r="X217" s="356"/>
      <c r="Y217" s="356"/>
      <c r="Z217" s="356"/>
      <c r="AA217" s="356"/>
      <c r="AB217" s="356"/>
      <c r="AC217" s="356"/>
      <c r="AD217" s="356"/>
      <c r="AE217" s="356"/>
      <c r="AF217" s="356"/>
    </row>
    <row r="218">
      <c r="A218" s="341"/>
      <c r="B218" s="356"/>
      <c r="C218" s="456"/>
      <c r="D218" s="356"/>
      <c r="E218" s="452"/>
      <c r="F218" s="356"/>
      <c r="G218" s="356"/>
      <c r="H218" s="453"/>
      <c r="I218" s="453"/>
      <c r="J218" s="454"/>
      <c r="L218" s="454"/>
      <c r="M218" s="342"/>
      <c r="O218" s="356"/>
      <c r="P218" s="356"/>
      <c r="Q218" s="356"/>
      <c r="R218" s="356"/>
      <c r="S218" s="356"/>
      <c r="T218" s="356"/>
      <c r="U218" s="356"/>
      <c r="V218" s="356"/>
      <c r="W218" s="356"/>
      <c r="X218" s="356"/>
      <c r="Y218" s="356"/>
      <c r="Z218" s="356"/>
      <c r="AA218" s="356"/>
      <c r="AB218" s="356"/>
      <c r="AC218" s="356"/>
      <c r="AD218" s="356"/>
      <c r="AE218" s="356"/>
      <c r="AF218" s="356"/>
    </row>
    <row r="219">
      <c r="A219" s="341"/>
      <c r="B219" s="356"/>
      <c r="C219" s="456"/>
      <c r="D219" s="356"/>
      <c r="E219" s="452"/>
      <c r="F219" s="356"/>
      <c r="G219" s="356"/>
      <c r="H219" s="453"/>
      <c r="I219" s="453"/>
      <c r="J219" s="454"/>
      <c r="L219" s="454"/>
      <c r="M219" s="342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356"/>
      <c r="AB219" s="356"/>
      <c r="AC219" s="356"/>
      <c r="AD219" s="356"/>
      <c r="AE219" s="356"/>
      <c r="AF219" s="356"/>
    </row>
    <row r="220">
      <c r="A220" s="341"/>
      <c r="B220" s="356"/>
      <c r="C220" s="456"/>
      <c r="D220" s="356"/>
      <c r="E220" s="452"/>
      <c r="F220" s="356"/>
      <c r="G220" s="356"/>
      <c r="H220" s="453"/>
      <c r="I220" s="453"/>
      <c r="J220" s="454"/>
      <c r="L220" s="454"/>
      <c r="M220" s="342"/>
      <c r="O220" s="356"/>
      <c r="P220" s="356"/>
      <c r="Q220" s="356"/>
      <c r="R220" s="356"/>
      <c r="S220" s="356"/>
      <c r="T220" s="356"/>
      <c r="U220" s="356"/>
      <c r="V220" s="356"/>
      <c r="W220" s="356"/>
      <c r="X220" s="356"/>
      <c r="Y220" s="356"/>
      <c r="Z220" s="356"/>
      <c r="AA220" s="356"/>
      <c r="AB220" s="356"/>
      <c r="AC220" s="356"/>
      <c r="AD220" s="356"/>
      <c r="AE220" s="356"/>
      <c r="AF220" s="356"/>
    </row>
    <row r="221">
      <c r="A221" s="341"/>
      <c r="B221" s="356"/>
      <c r="C221" s="456"/>
      <c r="D221" s="356"/>
      <c r="E221" s="452"/>
      <c r="F221" s="356"/>
      <c r="G221" s="356"/>
      <c r="H221" s="453"/>
      <c r="I221" s="453"/>
      <c r="J221" s="454"/>
      <c r="L221" s="454"/>
      <c r="M221" s="342"/>
      <c r="O221" s="356"/>
      <c r="P221" s="356"/>
      <c r="Q221" s="356"/>
      <c r="R221" s="356"/>
      <c r="S221" s="356"/>
      <c r="T221" s="356"/>
      <c r="U221" s="356"/>
      <c r="V221" s="356"/>
      <c r="W221" s="356"/>
      <c r="X221" s="356"/>
      <c r="Y221" s="356"/>
      <c r="Z221" s="356"/>
      <c r="AA221" s="356"/>
      <c r="AB221" s="356"/>
      <c r="AC221" s="356"/>
      <c r="AD221" s="356"/>
      <c r="AE221" s="356"/>
      <c r="AF221" s="356"/>
    </row>
    <row r="222">
      <c r="A222" s="341"/>
      <c r="B222" s="356"/>
      <c r="C222" s="456"/>
      <c r="D222" s="356"/>
      <c r="E222" s="452"/>
      <c r="F222" s="356"/>
      <c r="G222" s="356"/>
      <c r="H222" s="453"/>
      <c r="I222" s="453"/>
      <c r="J222" s="454"/>
      <c r="L222" s="454"/>
      <c r="M222" s="342"/>
      <c r="O222" s="356"/>
      <c r="P222" s="356"/>
      <c r="Q222" s="356"/>
      <c r="R222" s="356"/>
      <c r="S222" s="356"/>
      <c r="T222" s="356"/>
      <c r="U222" s="356"/>
      <c r="V222" s="356"/>
      <c r="W222" s="356"/>
      <c r="X222" s="356"/>
      <c r="Y222" s="356"/>
      <c r="Z222" s="356"/>
      <c r="AA222" s="356"/>
      <c r="AB222" s="356"/>
      <c r="AC222" s="356"/>
      <c r="AD222" s="356"/>
      <c r="AE222" s="356"/>
      <c r="AF222" s="356"/>
    </row>
    <row r="223">
      <c r="A223" s="341"/>
      <c r="B223" s="356"/>
      <c r="C223" s="456"/>
      <c r="D223" s="356"/>
      <c r="E223" s="452"/>
      <c r="F223" s="356"/>
      <c r="G223" s="356"/>
      <c r="H223" s="453"/>
      <c r="I223" s="453"/>
      <c r="J223" s="454"/>
      <c r="L223" s="454"/>
      <c r="M223" s="342"/>
      <c r="O223" s="356"/>
      <c r="P223" s="356"/>
      <c r="Q223" s="356"/>
      <c r="R223" s="356"/>
      <c r="S223" s="356"/>
      <c r="T223" s="356"/>
      <c r="U223" s="356"/>
      <c r="V223" s="356"/>
      <c r="W223" s="356"/>
      <c r="X223" s="356"/>
      <c r="Y223" s="356"/>
      <c r="Z223" s="356"/>
      <c r="AA223" s="356"/>
      <c r="AB223" s="356"/>
      <c r="AC223" s="356"/>
      <c r="AD223" s="356"/>
      <c r="AE223" s="356"/>
      <c r="AF223" s="356"/>
    </row>
    <row r="224">
      <c r="A224" s="341"/>
      <c r="B224" s="356"/>
      <c r="C224" s="456"/>
      <c r="D224" s="356"/>
      <c r="E224" s="452"/>
      <c r="F224" s="356"/>
      <c r="G224" s="356"/>
      <c r="H224" s="453"/>
      <c r="I224" s="453"/>
      <c r="J224" s="454"/>
      <c r="L224" s="454"/>
      <c r="M224" s="342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356"/>
      <c r="AB224" s="356"/>
      <c r="AC224" s="356"/>
      <c r="AD224" s="356"/>
      <c r="AE224" s="356"/>
      <c r="AF224" s="356"/>
    </row>
    <row r="225">
      <c r="A225" s="341"/>
      <c r="B225" s="356"/>
      <c r="C225" s="456"/>
      <c r="D225" s="356"/>
      <c r="E225" s="452"/>
      <c r="F225" s="356"/>
      <c r="G225" s="356"/>
      <c r="H225" s="453"/>
      <c r="I225" s="453"/>
      <c r="J225" s="454"/>
      <c r="L225" s="454"/>
      <c r="M225" s="342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  <c r="Z225" s="356"/>
      <c r="AA225" s="356"/>
      <c r="AB225" s="356"/>
      <c r="AC225" s="356"/>
      <c r="AD225" s="356"/>
      <c r="AE225" s="356"/>
      <c r="AF225" s="356"/>
    </row>
    <row r="226">
      <c r="A226" s="341"/>
      <c r="B226" s="356"/>
      <c r="C226" s="456"/>
      <c r="D226" s="356"/>
      <c r="E226" s="452"/>
      <c r="F226" s="356"/>
      <c r="G226" s="356"/>
      <c r="H226" s="453"/>
      <c r="I226" s="453"/>
      <c r="J226" s="454"/>
      <c r="L226" s="454"/>
      <c r="M226" s="342"/>
      <c r="O226" s="356"/>
      <c r="P226" s="356"/>
      <c r="Q226" s="356"/>
      <c r="R226" s="356"/>
      <c r="S226" s="356"/>
      <c r="T226" s="356"/>
      <c r="U226" s="356"/>
      <c r="V226" s="356"/>
      <c r="W226" s="356"/>
      <c r="X226" s="356"/>
      <c r="Y226" s="356"/>
      <c r="Z226" s="356"/>
      <c r="AA226" s="356"/>
      <c r="AB226" s="356"/>
      <c r="AC226" s="356"/>
      <c r="AD226" s="356"/>
      <c r="AE226" s="356"/>
      <c r="AF226" s="356"/>
    </row>
    <row r="227">
      <c r="A227" s="341"/>
      <c r="B227" s="356"/>
      <c r="C227" s="456"/>
      <c r="D227" s="356"/>
      <c r="E227" s="452"/>
      <c r="F227" s="356"/>
      <c r="G227" s="356"/>
      <c r="H227" s="453"/>
      <c r="I227" s="453"/>
      <c r="J227" s="454"/>
      <c r="L227" s="454"/>
      <c r="M227" s="342"/>
      <c r="O227" s="356"/>
      <c r="P227" s="356"/>
      <c r="Q227" s="356"/>
      <c r="R227" s="356"/>
      <c r="S227" s="356"/>
      <c r="T227" s="356"/>
      <c r="U227" s="356"/>
      <c r="V227" s="356"/>
      <c r="W227" s="356"/>
      <c r="X227" s="356"/>
      <c r="Y227" s="356"/>
      <c r="Z227" s="356"/>
      <c r="AA227" s="356"/>
      <c r="AB227" s="356"/>
      <c r="AC227" s="356"/>
      <c r="AD227" s="356"/>
      <c r="AE227" s="356"/>
      <c r="AF227" s="356"/>
    </row>
    <row r="228">
      <c r="A228" s="341"/>
      <c r="B228" s="356"/>
      <c r="C228" s="456"/>
      <c r="D228" s="356"/>
      <c r="E228" s="452"/>
      <c r="F228" s="356"/>
      <c r="G228" s="356"/>
      <c r="H228" s="453"/>
      <c r="I228" s="453"/>
      <c r="J228" s="454"/>
      <c r="L228" s="454"/>
      <c r="M228" s="342"/>
      <c r="O228" s="356"/>
      <c r="P228" s="356"/>
      <c r="Q228" s="356"/>
      <c r="R228" s="356"/>
      <c r="S228" s="356"/>
      <c r="T228" s="356"/>
      <c r="U228" s="356"/>
      <c r="V228" s="356"/>
      <c r="W228" s="356"/>
      <c r="X228" s="356"/>
      <c r="Y228" s="356"/>
      <c r="Z228" s="356"/>
      <c r="AA228" s="356"/>
      <c r="AB228" s="356"/>
      <c r="AC228" s="356"/>
      <c r="AD228" s="356"/>
      <c r="AE228" s="356"/>
      <c r="AF228" s="356"/>
    </row>
    <row r="229">
      <c r="A229" s="341"/>
      <c r="B229" s="356"/>
      <c r="C229" s="456"/>
      <c r="D229" s="356"/>
      <c r="E229" s="452"/>
      <c r="F229" s="356"/>
      <c r="G229" s="356"/>
      <c r="H229" s="453"/>
      <c r="I229" s="453"/>
      <c r="J229" s="454"/>
      <c r="L229" s="454"/>
      <c r="M229" s="342"/>
      <c r="O229" s="356"/>
      <c r="P229" s="356"/>
      <c r="Q229" s="356"/>
      <c r="R229" s="356"/>
      <c r="S229" s="356"/>
      <c r="T229" s="356"/>
      <c r="U229" s="356"/>
      <c r="V229" s="356"/>
      <c r="W229" s="356"/>
      <c r="X229" s="356"/>
      <c r="Y229" s="356"/>
      <c r="Z229" s="356"/>
      <c r="AA229" s="356"/>
      <c r="AB229" s="356"/>
      <c r="AC229" s="356"/>
      <c r="AD229" s="356"/>
      <c r="AE229" s="356"/>
      <c r="AF229" s="356"/>
    </row>
    <row r="230">
      <c r="A230" s="341"/>
      <c r="B230" s="356"/>
      <c r="C230" s="456"/>
      <c r="D230" s="356"/>
      <c r="E230" s="452"/>
      <c r="F230" s="356"/>
      <c r="G230" s="356"/>
      <c r="H230" s="453"/>
      <c r="I230" s="453"/>
      <c r="J230" s="454"/>
      <c r="L230" s="454"/>
      <c r="M230" s="342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356"/>
      <c r="AB230" s="356"/>
      <c r="AC230" s="356"/>
      <c r="AD230" s="356"/>
      <c r="AE230" s="356"/>
      <c r="AF230" s="356"/>
    </row>
    <row r="231">
      <c r="A231" s="341"/>
      <c r="B231" s="356"/>
      <c r="C231" s="456"/>
      <c r="D231" s="356"/>
      <c r="E231" s="452"/>
      <c r="F231" s="356"/>
      <c r="G231" s="356"/>
      <c r="H231" s="453"/>
      <c r="I231" s="453"/>
      <c r="J231" s="454"/>
      <c r="L231" s="454"/>
      <c r="M231" s="342"/>
      <c r="O231" s="356"/>
      <c r="P231" s="356"/>
      <c r="Q231" s="356"/>
      <c r="R231" s="356"/>
      <c r="S231" s="356"/>
      <c r="T231" s="356"/>
      <c r="U231" s="356"/>
      <c r="V231" s="356"/>
      <c r="W231" s="356"/>
      <c r="X231" s="356"/>
      <c r="Y231" s="356"/>
      <c r="Z231" s="356"/>
      <c r="AA231" s="356"/>
      <c r="AB231" s="356"/>
      <c r="AC231" s="356"/>
      <c r="AD231" s="356"/>
      <c r="AE231" s="356"/>
      <c r="AF231" s="356"/>
    </row>
    <row r="232">
      <c r="A232" s="341"/>
      <c r="B232" s="356"/>
      <c r="C232" s="456"/>
      <c r="D232" s="356"/>
      <c r="E232" s="452"/>
      <c r="F232" s="356"/>
      <c r="G232" s="356"/>
      <c r="H232" s="453"/>
      <c r="I232" s="453"/>
      <c r="J232" s="454"/>
      <c r="L232" s="454"/>
      <c r="M232" s="342"/>
      <c r="O232" s="356"/>
      <c r="P232" s="356"/>
      <c r="Q232" s="356"/>
      <c r="R232" s="356"/>
      <c r="S232" s="356"/>
      <c r="T232" s="356"/>
      <c r="U232" s="356"/>
      <c r="V232" s="356"/>
      <c r="W232" s="356"/>
      <c r="X232" s="356"/>
      <c r="Y232" s="356"/>
      <c r="Z232" s="356"/>
      <c r="AA232" s="356"/>
      <c r="AB232" s="356"/>
      <c r="AC232" s="356"/>
      <c r="AD232" s="356"/>
      <c r="AE232" s="356"/>
      <c r="AF232" s="356"/>
    </row>
    <row r="233">
      <c r="A233" s="341"/>
      <c r="B233" s="356"/>
      <c r="C233" s="456"/>
      <c r="D233" s="356"/>
      <c r="E233" s="452"/>
      <c r="F233" s="356"/>
      <c r="G233" s="356"/>
      <c r="H233" s="453"/>
      <c r="I233" s="453"/>
      <c r="J233" s="454"/>
      <c r="L233" s="454"/>
      <c r="M233" s="342"/>
      <c r="O233" s="356"/>
      <c r="P233" s="356"/>
      <c r="Q233" s="356"/>
      <c r="R233" s="356"/>
      <c r="S233" s="356"/>
      <c r="T233" s="356"/>
      <c r="U233" s="356"/>
      <c r="V233" s="356"/>
      <c r="W233" s="356"/>
      <c r="X233" s="356"/>
      <c r="Y233" s="356"/>
      <c r="Z233" s="356"/>
      <c r="AA233" s="356"/>
      <c r="AB233" s="356"/>
      <c r="AC233" s="356"/>
      <c r="AD233" s="356"/>
      <c r="AE233" s="356"/>
      <c r="AF233" s="356"/>
    </row>
    <row r="234">
      <c r="A234" s="341"/>
      <c r="B234" s="356"/>
      <c r="C234" s="456"/>
      <c r="D234" s="356"/>
      <c r="E234" s="452"/>
      <c r="F234" s="356"/>
      <c r="G234" s="356"/>
      <c r="H234" s="453"/>
      <c r="I234" s="453"/>
      <c r="J234" s="454"/>
      <c r="L234" s="454"/>
      <c r="M234" s="342"/>
      <c r="O234" s="356"/>
      <c r="P234" s="356"/>
      <c r="Q234" s="356"/>
      <c r="R234" s="356"/>
      <c r="S234" s="356"/>
      <c r="T234" s="356"/>
      <c r="U234" s="356"/>
      <c r="V234" s="356"/>
      <c r="W234" s="356"/>
      <c r="X234" s="356"/>
      <c r="Y234" s="356"/>
      <c r="Z234" s="356"/>
      <c r="AA234" s="356"/>
      <c r="AB234" s="356"/>
      <c r="AC234" s="356"/>
      <c r="AD234" s="356"/>
      <c r="AE234" s="356"/>
      <c r="AF234" s="356"/>
    </row>
    <row r="235">
      <c r="A235" s="341"/>
      <c r="B235" s="356"/>
      <c r="C235" s="456"/>
      <c r="D235" s="356"/>
      <c r="E235" s="452"/>
      <c r="F235" s="356"/>
      <c r="G235" s="356"/>
      <c r="H235" s="453"/>
      <c r="I235" s="453"/>
      <c r="J235" s="454"/>
      <c r="L235" s="454"/>
      <c r="M235" s="342"/>
      <c r="O235" s="356"/>
      <c r="P235" s="356"/>
      <c r="Q235" s="356"/>
      <c r="R235" s="356"/>
      <c r="S235" s="356"/>
      <c r="T235" s="356"/>
      <c r="U235" s="356"/>
      <c r="V235" s="356"/>
      <c r="W235" s="356"/>
      <c r="X235" s="356"/>
      <c r="Y235" s="356"/>
      <c r="Z235" s="356"/>
      <c r="AA235" s="356"/>
      <c r="AB235" s="356"/>
      <c r="AC235" s="356"/>
      <c r="AD235" s="356"/>
      <c r="AE235" s="356"/>
      <c r="AF235" s="356"/>
    </row>
    <row r="236">
      <c r="A236" s="341"/>
      <c r="B236" s="356"/>
      <c r="C236" s="456"/>
      <c r="D236" s="356"/>
      <c r="E236" s="452"/>
      <c r="F236" s="356"/>
      <c r="G236" s="356"/>
      <c r="H236" s="453"/>
      <c r="I236" s="453"/>
      <c r="J236" s="454"/>
      <c r="L236" s="454"/>
      <c r="M236" s="342"/>
      <c r="O236" s="356"/>
      <c r="P236" s="356"/>
      <c r="Q236" s="356"/>
      <c r="R236" s="356"/>
      <c r="S236" s="356"/>
      <c r="T236" s="356"/>
      <c r="U236" s="356"/>
      <c r="V236" s="356"/>
      <c r="W236" s="356"/>
      <c r="X236" s="356"/>
      <c r="Y236" s="356"/>
      <c r="Z236" s="356"/>
      <c r="AA236" s="356"/>
      <c r="AB236" s="356"/>
      <c r="AC236" s="356"/>
      <c r="AD236" s="356"/>
      <c r="AE236" s="356"/>
      <c r="AF236" s="356"/>
    </row>
    <row r="237">
      <c r="A237" s="341"/>
      <c r="B237" s="356"/>
      <c r="C237" s="456"/>
      <c r="D237" s="356"/>
      <c r="E237" s="452"/>
      <c r="F237" s="356"/>
      <c r="G237" s="356"/>
      <c r="H237" s="453"/>
      <c r="I237" s="453"/>
      <c r="J237" s="454"/>
      <c r="L237" s="454"/>
      <c r="M237" s="342"/>
      <c r="O237" s="356"/>
      <c r="P237" s="356"/>
      <c r="Q237" s="356"/>
      <c r="R237" s="356"/>
      <c r="S237" s="356"/>
      <c r="T237" s="356"/>
      <c r="U237" s="356"/>
      <c r="V237" s="356"/>
      <c r="W237" s="356"/>
      <c r="X237" s="356"/>
      <c r="Y237" s="356"/>
      <c r="Z237" s="356"/>
      <c r="AA237" s="356"/>
      <c r="AB237" s="356"/>
      <c r="AC237" s="356"/>
      <c r="AD237" s="356"/>
      <c r="AE237" s="356"/>
      <c r="AF237" s="356"/>
    </row>
    <row r="238">
      <c r="A238" s="341"/>
      <c r="B238" s="356"/>
      <c r="C238" s="456"/>
      <c r="D238" s="356"/>
      <c r="E238" s="452"/>
      <c r="F238" s="356"/>
      <c r="G238" s="356"/>
      <c r="H238" s="453"/>
      <c r="I238" s="453"/>
      <c r="J238" s="454"/>
      <c r="L238" s="454"/>
      <c r="M238" s="342"/>
      <c r="O238" s="356"/>
      <c r="P238" s="356"/>
      <c r="Q238" s="356"/>
      <c r="R238" s="356"/>
      <c r="S238" s="356"/>
      <c r="T238" s="356"/>
      <c r="U238" s="356"/>
      <c r="V238" s="356"/>
      <c r="W238" s="356"/>
      <c r="X238" s="356"/>
      <c r="Y238" s="356"/>
      <c r="Z238" s="356"/>
      <c r="AA238" s="356"/>
      <c r="AB238" s="356"/>
      <c r="AC238" s="356"/>
      <c r="AD238" s="356"/>
      <c r="AE238" s="356"/>
      <c r="AF238" s="356"/>
    </row>
    <row r="239">
      <c r="A239" s="341"/>
      <c r="B239" s="356"/>
      <c r="C239" s="456"/>
      <c r="D239" s="356"/>
      <c r="E239" s="452"/>
      <c r="F239" s="356"/>
      <c r="G239" s="356"/>
      <c r="H239" s="453"/>
      <c r="I239" s="453"/>
      <c r="J239" s="454"/>
      <c r="L239" s="454"/>
      <c r="M239" s="342"/>
      <c r="O239" s="356"/>
      <c r="P239" s="356"/>
      <c r="Q239" s="356"/>
      <c r="R239" s="356"/>
      <c r="S239" s="356"/>
      <c r="T239" s="356"/>
      <c r="U239" s="356"/>
      <c r="V239" s="356"/>
      <c r="W239" s="356"/>
      <c r="X239" s="356"/>
      <c r="Y239" s="356"/>
      <c r="Z239" s="356"/>
      <c r="AA239" s="356"/>
      <c r="AB239" s="356"/>
      <c r="AC239" s="356"/>
      <c r="AD239" s="356"/>
      <c r="AE239" s="356"/>
      <c r="AF239" s="356"/>
    </row>
    <row r="240">
      <c r="A240" s="341"/>
      <c r="B240" s="356"/>
      <c r="C240" s="456"/>
      <c r="D240" s="356"/>
      <c r="E240" s="452"/>
      <c r="F240" s="356"/>
      <c r="G240" s="356"/>
      <c r="H240" s="453"/>
      <c r="I240" s="453"/>
      <c r="J240" s="454"/>
      <c r="L240" s="454"/>
      <c r="M240" s="342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356"/>
      <c r="AB240" s="356"/>
      <c r="AC240" s="356"/>
      <c r="AD240" s="356"/>
      <c r="AE240" s="356"/>
      <c r="AF240" s="356"/>
    </row>
    <row r="241">
      <c r="A241" s="341"/>
      <c r="B241" s="356"/>
      <c r="C241" s="456"/>
      <c r="D241" s="356"/>
      <c r="E241" s="452"/>
      <c r="F241" s="356"/>
      <c r="G241" s="356"/>
      <c r="H241" s="453"/>
      <c r="I241" s="453"/>
      <c r="J241" s="454"/>
      <c r="L241" s="454"/>
      <c r="M241" s="342"/>
      <c r="O241" s="356"/>
      <c r="P241" s="356"/>
      <c r="Q241" s="356"/>
      <c r="R241" s="356"/>
      <c r="S241" s="356"/>
      <c r="T241" s="356"/>
      <c r="U241" s="356"/>
      <c r="V241" s="356"/>
      <c r="W241" s="356"/>
      <c r="X241" s="356"/>
      <c r="Y241" s="356"/>
      <c r="Z241" s="356"/>
      <c r="AA241" s="356"/>
      <c r="AB241" s="356"/>
      <c r="AC241" s="356"/>
      <c r="AD241" s="356"/>
      <c r="AE241" s="356"/>
      <c r="AF241" s="356"/>
    </row>
    <row r="242">
      <c r="A242" s="341"/>
      <c r="B242" s="356"/>
      <c r="C242" s="456"/>
      <c r="D242" s="356"/>
      <c r="E242" s="452"/>
      <c r="F242" s="356"/>
      <c r="G242" s="356"/>
      <c r="H242" s="453"/>
      <c r="I242" s="453"/>
      <c r="J242" s="454"/>
      <c r="L242" s="454"/>
      <c r="M242" s="342"/>
      <c r="O242" s="356"/>
      <c r="P242" s="356"/>
      <c r="Q242" s="356"/>
      <c r="R242" s="356"/>
      <c r="S242" s="356"/>
      <c r="T242" s="356"/>
      <c r="U242" s="356"/>
      <c r="V242" s="356"/>
      <c r="W242" s="356"/>
      <c r="X242" s="356"/>
      <c r="Y242" s="356"/>
      <c r="Z242" s="356"/>
      <c r="AA242" s="356"/>
      <c r="AB242" s="356"/>
      <c r="AC242" s="356"/>
      <c r="AD242" s="356"/>
      <c r="AE242" s="356"/>
      <c r="AF242" s="356"/>
    </row>
    <row r="243">
      <c r="A243" s="341"/>
      <c r="B243" s="356"/>
      <c r="C243" s="456"/>
      <c r="D243" s="356"/>
      <c r="E243" s="452"/>
      <c r="F243" s="356"/>
      <c r="G243" s="356"/>
      <c r="H243" s="453"/>
      <c r="I243" s="453"/>
      <c r="J243" s="454"/>
      <c r="L243" s="454"/>
      <c r="M243" s="342"/>
      <c r="O243" s="356"/>
      <c r="P243" s="356"/>
      <c r="Q243" s="356"/>
      <c r="R243" s="356"/>
      <c r="S243" s="356"/>
      <c r="T243" s="356"/>
      <c r="U243" s="356"/>
      <c r="V243" s="356"/>
      <c r="W243" s="356"/>
      <c r="X243" s="356"/>
      <c r="Y243" s="356"/>
      <c r="Z243" s="356"/>
      <c r="AA243" s="356"/>
      <c r="AB243" s="356"/>
      <c r="AC243" s="356"/>
      <c r="AD243" s="356"/>
      <c r="AE243" s="356"/>
      <c r="AF243" s="356"/>
    </row>
    <row r="244">
      <c r="A244" s="341"/>
      <c r="B244" s="356"/>
      <c r="C244" s="456"/>
      <c r="D244" s="356"/>
      <c r="E244" s="452"/>
      <c r="F244" s="356"/>
      <c r="G244" s="356"/>
      <c r="H244" s="453"/>
      <c r="I244" s="453"/>
      <c r="J244" s="454"/>
      <c r="L244" s="454"/>
      <c r="M244" s="342"/>
      <c r="O244" s="356"/>
      <c r="P244" s="356"/>
      <c r="Q244" s="356"/>
      <c r="R244" s="356"/>
      <c r="S244" s="356"/>
      <c r="T244" s="356"/>
      <c r="U244" s="356"/>
      <c r="V244" s="356"/>
      <c r="W244" s="356"/>
      <c r="X244" s="356"/>
      <c r="Y244" s="356"/>
      <c r="Z244" s="356"/>
      <c r="AA244" s="356"/>
      <c r="AB244" s="356"/>
      <c r="AC244" s="356"/>
      <c r="AD244" s="356"/>
      <c r="AE244" s="356"/>
      <c r="AF244" s="356"/>
    </row>
    <row r="245">
      <c r="A245" s="341"/>
      <c r="B245" s="356"/>
      <c r="C245" s="456"/>
      <c r="D245" s="356"/>
      <c r="E245" s="452"/>
      <c r="F245" s="356"/>
      <c r="G245" s="356"/>
      <c r="H245" s="453"/>
      <c r="I245" s="453"/>
      <c r="J245" s="454"/>
      <c r="L245" s="454"/>
      <c r="M245" s="342"/>
      <c r="O245" s="356"/>
      <c r="P245" s="356"/>
      <c r="Q245" s="356"/>
      <c r="R245" s="356"/>
      <c r="S245" s="356"/>
      <c r="T245" s="356"/>
      <c r="U245" s="356"/>
      <c r="V245" s="356"/>
      <c r="W245" s="356"/>
      <c r="X245" s="356"/>
      <c r="Y245" s="356"/>
      <c r="Z245" s="356"/>
      <c r="AA245" s="356"/>
      <c r="AB245" s="356"/>
      <c r="AC245" s="356"/>
      <c r="AD245" s="356"/>
      <c r="AE245" s="356"/>
      <c r="AF245" s="356"/>
    </row>
    <row r="246">
      <c r="A246" s="341"/>
      <c r="B246" s="356"/>
      <c r="C246" s="456"/>
      <c r="D246" s="356"/>
      <c r="E246" s="452"/>
      <c r="F246" s="356"/>
      <c r="G246" s="356"/>
      <c r="H246" s="453"/>
      <c r="I246" s="453"/>
      <c r="J246" s="454"/>
      <c r="L246" s="454"/>
      <c r="M246" s="342"/>
      <c r="O246" s="356"/>
      <c r="P246" s="356"/>
      <c r="Q246" s="356"/>
      <c r="R246" s="356"/>
      <c r="S246" s="356"/>
      <c r="T246" s="356"/>
      <c r="U246" s="356"/>
      <c r="V246" s="356"/>
      <c r="W246" s="356"/>
      <c r="X246" s="356"/>
      <c r="Y246" s="356"/>
      <c r="Z246" s="356"/>
      <c r="AA246" s="356"/>
      <c r="AB246" s="356"/>
      <c r="AC246" s="356"/>
      <c r="AD246" s="356"/>
      <c r="AE246" s="356"/>
      <c r="AF246" s="356"/>
    </row>
    <row r="247">
      <c r="A247" s="341"/>
      <c r="B247" s="356"/>
      <c r="C247" s="456"/>
      <c r="D247" s="356"/>
      <c r="E247" s="452"/>
      <c r="F247" s="356"/>
      <c r="G247" s="356"/>
      <c r="H247" s="453"/>
      <c r="I247" s="453"/>
      <c r="J247" s="454"/>
      <c r="L247" s="454"/>
      <c r="M247" s="342"/>
      <c r="O247" s="356"/>
      <c r="P247" s="356"/>
      <c r="Q247" s="356"/>
      <c r="R247" s="356"/>
      <c r="S247" s="356"/>
      <c r="T247" s="356"/>
      <c r="U247" s="356"/>
      <c r="V247" s="356"/>
      <c r="W247" s="356"/>
      <c r="X247" s="356"/>
      <c r="Y247" s="356"/>
      <c r="Z247" s="356"/>
      <c r="AA247" s="356"/>
      <c r="AB247" s="356"/>
      <c r="AC247" s="356"/>
      <c r="AD247" s="356"/>
      <c r="AE247" s="356"/>
      <c r="AF247" s="356"/>
    </row>
    <row r="248">
      <c r="A248" s="341"/>
      <c r="B248" s="356"/>
      <c r="C248" s="456"/>
      <c r="D248" s="356"/>
      <c r="E248" s="452"/>
      <c r="F248" s="356"/>
      <c r="G248" s="356"/>
      <c r="H248" s="453"/>
      <c r="I248" s="453"/>
      <c r="J248" s="454"/>
      <c r="L248" s="454"/>
      <c r="M248" s="342"/>
      <c r="O248" s="356"/>
      <c r="P248" s="356"/>
      <c r="Q248" s="356"/>
      <c r="R248" s="356"/>
      <c r="S248" s="356"/>
      <c r="T248" s="356"/>
      <c r="U248" s="356"/>
      <c r="V248" s="356"/>
      <c r="W248" s="356"/>
      <c r="X248" s="356"/>
      <c r="Y248" s="356"/>
      <c r="Z248" s="356"/>
      <c r="AA248" s="356"/>
      <c r="AB248" s="356"/>
      <c r="AC248" s="356"/>
      <c r="AD248" s="356"/>
      <c r="AE248" s="356"/>
      <c r="AF248" s="356"/>
    </row>
    <row r="249">
      <c r="A249" s="341"/>
      <c r="B249" s="356"/>
      <c r="C249" s="456"/>
      <c r="D249" s="356"/>
      <c r="E249" s="452"/>
      <c r="F249" s="356"/>
      <c r="G249" s="356"/>
      <c r="H249" s="453"/>
      <c r="I249" s="453"/>
      <c r="J249" s="454"/>
      <c r="L249" s="454"/>
      <c r="M249" s="342"/>
      <c r="O249" s="356"/>
      <c r="P249" s="356"/>
      <c r="Q249" s="356"/>
      <c r="R249" s="356"/>
      <c r="S249" s="356"/>
      <c r="T249" s="356"/>
      <c r="U249" s="356"/>
      <c r="V249" s="356"/>
      <c r="W249" s="356"/>
      <c r="X249" s="356"/>
      <c r="Y249" s="356"/>
      <c r="Z249" s="356"/>
      <c r="AA249" s="356"/>
      <c r="AB249" s="356"/>
      <c r="AC249" s="356"/>
      <c r="AD249" s="356"/>
      <c r="AE249" s="356"/>
      <c r="AF249" s="356"/>
    </row>
    <row r="250">
      <c r="A250" s="341"/>
      <c r="B250" s="356"/>
      <c r="C250" s="456"/>
      <c r="D250" s="356"/>
      <c r="E250" s="452"/>
      <c r="F250" s="356"/>
      <c r="G250" s="356"/>
      <c r="H250" s="453"/>
      <c r="I250" s="453"/>
      <c r="J250" s="454"/>
      <c r="L250" s="454"/>
      <c r="M250" s="342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356"/>
      <c r="AB250" s="356"/>
      <c r="AC250" s="356"/>
      <c r="AD250" s="356"/>
      <c r="AE250" s="356"/>
      <c r="AF250" s="356"/>
    </row>
    <row r="251">
      <c r="A251" s="341"/>
      <c r="B251" s="356"/>
      <c r="C251" s="456"/>
      <c r="D251" s="356"/>
      <c r="E251" s="452"/>
      <c r="F251" s="356"/>
      <c r="G251" s="356"/>
      <c r="H251" s="453"/>
      <c r="I251" s="453"/>
      <c r="J251" s="454"/>
      <c r="L251" s="454"/>
      <c r="M251" s="342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356"/>
      <c r="AB251" s="356"/>
      <c r="AC251" s="356"/>
      <c r="AD251" s="356"/>
      <c r="AE251" s="356"/>
      <c r="AF251" s="356"/>
    </row>
    <row r="252">
      <c r="A252" s="341"/>
      <c r="B252" s="356"/>
      <c r="C252" s="456"/>
      <c r="D252" s="356"/>
      <c r="E252" s="452"/>
      <c r="F252" s="356"/>
      <c r="G252" s="356"/>
      <c r="H252" s="453"/>
      <c r="I252" s="453"/>
      <c r="J252" s="454"/>
      <c r="L252" s="454"/>
      <c r="M252" s="342"/>
      <c r="O252" s="356"/>
      <c r="P252" s="356"/>
      <c r="Q252" s="356"/>
      <c r="R252" s="356"/>
      <c r="S252" s="356"/>
      <c r="T252" s="356"/>
      <c r="U252" s="356"/>
      <c r="V252" s="356"/>
      <c r="W252" s="356"/>
      <c r="X252" s="356"/>
      <c r="Y252" s="356"/>
      <c r="Z252" s="356"/>
      <c r="AA252" s="356"/>
      <c r="AB252" s="356"/>
      <c r="AC252" s="356"/>
      <c r="AD252" s="356"/>
      <c r="AE252" s="356"/>
      <c r="AF252" s="356"/>
    </row>
    <row r="253">
      <c r="A253" s="341"/>
      <c r="B253" s="356"/>
      <c r="C253" s="456"/>
      <c r="D253" s="356"/>
      <c r="E253" s="452"/>
      <c r="F253" s="356"/>
      <c r="G253" s="356"/>
      <c r="H253" s="453"/>
      <c r="I253" s="453"/>
      <c r="J253" s="454"/>
      <c r="L253" s="454"/>
      <c r="M253" s="342"/>
      <c r="O253" s="356"/>
      <c r="P253" s="356"/>
      <c r="Q253" s="356"/>
      <c r="R253" s="356"/>
      <c r="S253" s="356"/>
      <c r="T253" s="356"/>
      <c r="U253" s="356"/>
      <c r="V253" s="356"/>
      <c r="W253" s="356"/>
      <c r="X253" s="356"/>
      <c r="Y253" s="356"/>
      <c r="Z253" s="356"/>
      <c r="AA253" s="356"/>
      <c r="AB253" s="356"/>
      <c r="AC253" s="356"/>
      <c r="AD253" s="356"/>
      <c r="AE253" s="356"/>
      <c r="AF253" s="356"/>
    </row>
    <row r="254">
      <c r="A254" s="341"/>
      <c r="B254" s="356"/>
      <c r="C254" s="456"/>
      <c r="D254" s="356"/>
      <c r="E254" s="452"/>
      <c r="F254" s="356"/>
      <c r="G254" s="356"/>
      <c r="H254" s="453"/>
      <c r="I254" s="453"/>
      <c r="J254" s="454"/>
      <c r="L254" s="454"/>
      <c r="M254" s="342"/>
      <c r="O254" s="356"/>
      <c r="P254" s="356"/>
      <c r="Q254" s="356"/>
      <c r="R254" s="356"/>
      <c r="S254" s="356"/>
      <c r="T254" s="356"/>
      <c r="U254" s="356"/>
      <c r="V254" s="356"/>
      <c r="W254" s="356"/>
      <c r="X254" s="356"/>
      <c r="Y254" s="356"/>
      <c r="Z254" s="356"/>
      <c r="AA254" s="356"/>
      <c r="AB254" s="356"/>
      <c r="AC254" s="356"/>
      <c r="AD254" s="356"/>
      <c r="AE254" s="356"/>
      <c r="AF254" s="356"/>
    </row>
    <row r="255">
      <c r="A255" s="341"/>
      <c r="B255" s="356"/>
      <c r="C255" s="456"/>
      <c r="D255" s="356"/>
      <c r="E255" s="452"/>
      <c r="F255" s="356"/>
      <c r="G255" s="356"/>
      <c r="H255" s="453"/>
      <c r="I255" s="453"/>
      <c r="J255" s="454"/>
      <c r="L255" s="454"/>
      <c r="M255" s="342"/>
      <c r="O255" s="356"/>
      <c r="P255" s="356"/>
      <c r="Q255" s="356"/>
      <c r="R255" s="356"/>
      <c r="S255" s="356"/>
      <c r="T255" s="356"/>
      <c r="U255" s="356"/>
      <c r="V255" s="356"/>
      <c r="W255" s="356"/>
      <c r="X255" s="356"/>
      <c r="Y255" s="356"/>
      <c r="Z255" s="356"/>
      <c r="AA255" s="356"/>
      <c r="AB255" s="356"/>
      <c r="AC255" s="356"/>
      <c r="AD255" s="356"/>
      <c r="AE255" s="356"/>
      <c r="AF255" s="356"/>
    </row>
    <row r="256">
      <c r="A256" s="341"/>
      <c r="B256" s="356"/>
      <c r="C256" s="456"/>
      <c r="D256" s="356"/>
      <c r="E256" s="452"/>
      <c r="F256" s="356"/>
      <c r="G256" s="356"/>
      <c r="H256" s="453"/>
      <c r="I256" s="453"/>
      <c r="J256" s="454"/>
      <c r="L256" s="454"/>
      <c r="M256" s="342"/>
      <c r="O256" s="356"/>
      <c r="P256" s="356"/>
      <c r="Q256" s="356"/>
      <c r="R256" s="356"/>
      <c r="S256" s="356"/>
      <c r="T256" s="356"/>
      <c r="U256" s="356"/>
      <c r="V256" s="356"/>
      <c r="W256" s="356"/>
      <c r="X256" s="356"/>
      <c r="Y256" s="356"/>
      <c r="Z256" s="356"/>
      <c r="AA256" s="356"/>
      <c r="AB256" s="356"/>
      <c r="AC256" s="356"/>
      <c r="AD256" s="356"/>
      <c r="AE256" s="356"/>
      <c r="AF256" s="356"/>
    </row>
    <row r="257">
      <c r="A257" s="341"/>
      <c r="B257" s="356"/>
      <c r="C257" s="456"/>
      <c r="D257" s="356"/>
      <c r="E257" s="452"/>
      <c r="F257" s="356"/>
      <c r="G257" s="356"/>
      <c r="H257" s="453"/>
      <c r="I257" s="453"/>
      <c r="J257" s="454"/>
      <c r="L257" s="454"/>
      <c r="M257" s="342"/>
      <c r="O257" s="356"/>
      <c r="P257" s="356"/>
      <c r="Q257" s="356"/>
      <c r="R257" s="356"/>
      <c r="S257" s="356"/>
      <c r="T257" s="356"/>
      <c r="U257" s="356"/>
      <c r="V257" s="356"/>
      <c r="W257" s="356"/>
      <c r="X257" s="356"/>
      <c r="Y257" s="356"/>
      <c r="Z257" s="356"/>
      <c r="AA257" s="356"/>
      <c r="AB257" s="356"/>
      <c r="AC257" s="356"/>
      <c r="AD257" s="356"/>
      <c r="AE257" s="356"/>
      <c r="AF257" s="356"/>
    </row>
    <row r="258">
      <c r="A258" s="341"/>
      <c r="B258" s="356"/>
      <c r="C258" s="456"/>
      <c r="D258" s="356"/>
      <c r="E258" s="452"/>
      <c r="F258" s="356"/>
      <c r="G258" s="356"/>
      <c r="H258" s="453"/>
      <c r="I258" s="453"/>
      <c r="J258" s="454"/>
      <c r="L258" s="454"/>
      <c r="M258" s="342"/>
      <c r="O258" s="356"/>
      <c r="P258" s="356"/>
      <c r="Q258" s="356"/>
      <c r="R258" s="356"/>
      <c r="S258" s="356"/>
      <c r="T258" s="356"/>
      <c r="U258" s="356"/>
      <c r="V258" s="356"/>
      <c r="W258" s="356"/>
      <c r="X258" s="356"/>
      <c r="Y258" s="356"/>
      <c r="Z258" s="356"/>
      <c r="AA258" s="356"/>
      <c r="AB258" s="356"/>
      <c r="AC258" s="356"/>
      <c r="AD258" s="356"/>
      <c r="AE258" s="356"/>
      <c r="AF258" s="356"/>
    </row>
    <row r="259">
      <c r="A259" s="341"/>
      <c r="B259" s="356"/>
      <c r="C259" s="456"/>
      <c r="D259" s="356"/>
      <c r="E259" s="452"/>
      <c r="F259" s="356"/>
      <c r="G259" s="356"/>
      <c r="H259" s="453"/>
      <c r="I259" s="453"/>
      <c r="J259" s="454"/>
      <c r="L259" s="454"/>
      <c r="M259" s="342"/>
      <c r="O259" s="356"/>
      <c r="P259" s="356"/>
      <c r="Q259" s="356"/>
      <c r="R259" s="356"/>
      <c r="S259" s="356"/>
      <c r="T259" s="356"/>
      <c r="U259" s="356"/>
      <c r="V259" s="356"/>
      <c r="W259" s="356"/>
      <c r="X259" s="356"/>
      <c r="Y259" s="356"/>
      <c r="Z259" s="356"/>
      <c r="AA259" s="356"/>
      <c r="AB259" s="356"/>
      <c r="AC259" s="356"/>
      <c r="AD259" s="356"/>
      <c r="AE259" s="356"/>
      <c r="AF259" s="356"/>
    </row>
    <row r="260">
      <c r="A260" s="341"/>
      <c r="B260" s="356"/>
      <c r="C260" s="456"/>
      <c r="D260" s="356"/>
      <c r="E260" s="452"/>
      <c r="F260" s="356"/>
      <c r="G260" s="356"/>
      <c r="H260" s="453"/>
      <c r="I260" s="453"/>
      <c r="J260" s="454"/>
      <c r="L260" s="454"/>
      <c r="M260" s="342"/>
      <c r="O260" s="356"/>
      <c r="P260" s="356"/>
      <c r="Q260" s="356"/>
      <c r="R260" s="356"/>
      <c r="S260" s="356"/>
      <c r="T260" s="356"/>
      <c r="U260" s="356"/>
      <c r="V260" s="356"/>
      <c r="W260" s="356"/>
      <c r="X260" s="356"/>
      <c r="Y260" s="356"/>
      <c r="Z260" s="356"/>
      <c r="AA260" s="356"/>
      <c r="AB260" s="356"/>
      <c r="AC260" s="356"/>
      <c r="AD260" s="356"/>
      <c r="AE260" s="356"/>
      <c r="AF260" s="356"/>
    </row>
    <row r="261">
      <c r="A261" s="341"/>
      <c r="B261" s="356"/>
      <c r="C261" s="456"/>
      <c r="D261" s="356"/>
      <c r="E261" s="452"/>
      <c r="F261" s="356"/>
      <c r="G261" s="356"/>
      <c r="H261" s="453"/>
      <c r="I261" s="453"/>
      <c r="J261" s="454"/>
      <c r="L261" s="454"/>
      <c r="M261" s="342"/>
      <c r="O261" s="356"/>
      <c r="P261" s="356"/>
      <c r="Q261" s="356"/>
      <c r="R261" s="356"/>
      <c r="S261" s="356"/>
      <c r="T261" s="356"/>
      <c r="U261" s="356"/>
      <c r="V261" s="356"/>
      <c r="W261" s="356"/>
      <c r="X261" s="356"/>
      <c r="Y261" s="356"/>
      <c r="Z261" s="356"/>
      <c r="AA261" s="356"/>
      <c r="AB261" s="356"/>
      <c r="AC261" s="356"/>
      <c r="AD261" s="356"/>
      <c r="AE261" s="356"/>
      <c r="AF261" s="356"/>
    </row>
    <row r="262">
      <c r="A262" s="341"/>
      <c r="B262" s="356"/>
      <c r="C262" s="456"/>
      <c r="D262" s="356"/>
      <c r="E262" s="452"/>
      <c r="F262" s="356"/>
      <c r="G262" s="356"/>
      <c r="H262" s="453"/>
      <c r="I262" s="453"/>
      <c r="J262" s="454"/>
      <c r="L262" s="454"/>
      <c r="M262" s="342"/>
      <c r="O262" s="356"/>
      <c r="P262" s="356"/>
      <c r="Q262" s="356"/>
      <c r="R262" s="356"/>
      <c r="S262" s="356"/>
      <c r="T262" s="356"/>
      <c r="U262" s="356"/>
      <c r="V262" s="356"/>
      <c r="W262" s="356"/>
      <c r="X262" s="356"/>
      <c r="Y262" s="356"/>
      <c r="Z262" s="356"/>
      <c r="AA262" s="356"/>
      <c r="AB262" s="356"/>
      <c r="AC262" s="356"/>
      <c r="AD262" s="356"/>
      <c r="AE262" s="356"/>
      <c r="AF262" s="356"/>
    </row>
    <row r="263">
      <c r="A263" s="341"/>
      <c r="B263" s="356"/>
      <c r="C263" s="456"/>
      <c r="D263" s="356"/>
      <c r="E263" s="452"/>
      <c r="F263" s="356"/>
      <c r="G263" s="356"/>
      <c r="H263" s="453"/>
      <c r="I263" s="453"/>
      <c r="J263" s="454"/>
      <c r="L263" s="454"/>
      <c r="M263" s="342"/>
      <c r="O263" s="356"/>
      <c r="P263" s="356"/>
      <c r="Q263" s="356"/>
      <c r="R263" s="356"/>
      <c r="S263" s="356"/>
      <c r="T263" s="356"/>
      <c r="U263" s="356"/>
      <c r="V263" s="356"/>
      <c r="W263" s="356"/>
      <c r="X263" s="356"/>
      <c r="Y263" s="356"/>
      <c r="Z263" s="356"/>
      <c r="AA263" s="356"/>
      <c r="AB263" s="356"/>
      <c r="AC263" s="356"/>
      <c r="AD263" s="356"/>
      <c r="AE263" s="356"/>
      <c r="AF263" s="356"/>
    </row>
    <row r="264">
      <c r="A264" s="341"/>
      <c r="B264" s="356"/>
      <c r="C264" s="456"/>
      <c r="D264" s="356"/>
      <c r="E264" s="452"/>
      <c r="F264" s="356"/>
      <c r="G264" s="356"/>
      <c r="H264" s="453"/>
      <c r="I264" s="453"/>
      <c r="J264" s="454"/>
      <c r="L264" s="454"/>
      <c r="M264" s="342"/>
      <c r="O264" s="356"/>
      <c r="P264" s="356"/>
      <c r="Q264" s="356"/>
      <c r="R264" s="356"/>
      <c r="S264" s="356"/>
      <c r="T264" s="356"/>
      <c r="U264" s="356"/>
      <c r="V264" s="356"/>
      <c r="W264" s="356"/>
      <c r="X264" s="356"/>
      <c r="Y264" s="356"/>
      <c r="Z264" s="356"/>
      <c r="AA264" s="356"/>
      <c r="AB264" s="356"/>
      <c r="AC264" s="356"/>
      <c r="AD264" s="356"/>
      <c r="AE264" s="356"/>
      <c r="AF264" s="356"/>
    </row>
    <row r="265">
      <c r="A265" s="341"/>
      <c r="B265" s="356"/>
      <c r="C265" s="456"/>
      <c r="D265" s="356"/>
      <c r="E265" s="452"/>
      <c r="F265" s="356"/>
      <c r="G265" s="356"/>
      <c r="H265" s="453"/>
      <c r="I265" s="453"/>
      <c r="J265" s="454"/>
      <c r="L265" s="454"/>
      <c r="M265" s="342"/>
      <c r="O265" s="356"/>
      <c r="P265" s="356"/>
      <c r="Q265" s="356"/>
      <c r="R265" s="356"/>
      <c r="S265" s="356"/>
      <c r="T265" s="356"/>
      <c r="U265" s="356"/>
      <c r="V265" s="356"/>
      <c r="W265" s="356"/>
      <c r="X265" s="356"/>
      <c r="Y265" s="356"/>
      <c r="Z265" s="356"/>
      <c r="AA265" s="356"/>
      <c r="AB265" s="356"/>
      <c r="AC265" s="356"/>
      <c r="AD265" s="356"/>
      <c r="AE265" s="356"/>
      <c r="AF265" s="356"/>
    </row>
    <row r="266">
      <c r="A266" s="341"/>
      <c r="B266" s="356"/>
      <c r="C266" s="456"/>
      <c r="D266" s="356"/>
      <c r="E266" s="452"/>
      <c r="F266" s="356"/>
      <c r="G266" s="356"/>
      <c r="H266" s="453"/>
      <c r="I266" s="453"/>
      <c r="J266" s="454"/>
      <c r="L266" s="454"/>
      <c r="M266" s="342"/>
      <c r="O266" s="356"/>
      <c r="P266" s="356"/>
      <c r="Q266" s="356"/>
      <c r="R266" s="356"/>
      <c r="S266" s="356"/>
      <c r="T266" s="356"/>
      <c r="U266" s="356"/>
      <c r="V266" s="356"/>
      <c r="W266" s="356"/>
      <c r="X266" s="356"/>
      <c r="Y266" s="356"/>
      <c r="Z266" s="356"/>
      <c r="AA266" s="356"/>
      <c r="AB266" s="356"/>
      <c r="AC266" s="356"/>
      <c r="AD266" s="356"/>
      <c r="AE266" s="356"/>
      <c r="AF266" s="356"/>
    </row>
    <row r="267">
      <c r="A267" s="341"/>
      <c r="B267" s="356"/>
      <c r="C267" s="456"/>
      <c r="D267" s="356"/>
      <c r="E267" s="452"/>
      <c r="F267" s="356"/>
      <c r="G267" s="356"/>
      <c r="H267" s="453"/>
      <c r="I267" s="453"/>
      <c r="J267" s="454"/>
      <c r="L267" s="454"/>
      <c r="M267" s="342"/>
      <c r="O267" s="356"/>
      <c r="P267" s="356"/>
      <c r="Q267" s="356"/>
      <c r="R267" s="356"/>
      <c r="S267" s="356"/>
      <c r="T267" s="356"/>
      <c r="U267" s="356"/>
      <c r="V267" s="356"/>
      <c r="W267" s="356"/>
      <c r="X267" s="356"/>
      <c r="Y267" s="356"/>
      <c r="Z267" s="356"/>
      <c r="AA267" s="356"/>
      <c r="AB267" s="356"/>
      <c r="AC267" s="356"/>
      <c r="AD267" s="356"/>
      <c r="AE267" s="356"/>
      <c r="AF267" s="356"/>
    </row>
    <row r="268">
      <c r="A268" s="341"/>
      <c r="B268" s="356"/>
      <c r="C268" s="456"/>
      <c r="D268" s="356"/>
      <c r="E268" s="452"/>
      <c r="F268" s="356"/>
      <c r="G268" s="356"/>
      <c r="H268" s="453"/>
      <c r="I268" s="453"/>
      <c r="J268" s="454"/>
      <c r="L268" s="454"/>
      <c r="M268" s="342"/>
      <c r="O268" s="356"/>
      <c r="P268" s="356"/>
      <c r="Q268" s="356"/>
      <c r="R268" s="356"/>
      <c r="S268" s="356"/>
      <c r="T268" s="356"/>
      <c r="U268" s="356"/>
      <c r="V268" s="356"/>
      <c r="W268" s="356"/>
      <c r="X268" s="356"/>
      <c r="Y268" s="356"/>
      <c r="Z268" s="356"/>
      <c r="AA268" s="356"/>
      <c r="AB268" s="356"/>
      <c r="AC268" s="356"/>
      <c r="AD268" s="356"/>
      <c r="AE268" s="356"/>
      <c r="AF268" s="356"/>
    </row>
    <row r="269">
      <c r="A269" s="341"/>
      <c r="B269" s="356"/>
      <c r="C269" s="456"/>
      <c r="D269" s="356"/>
      <c r="E269" s="452"/>
      <c r="F269" s="356"/>
      <c r="G269" s="356"/>
      <c r="H269" s="453"/>
      <c r="I269" s="453"/>
      <c r="J269" s="454"/>
      <c r="L269" s="454"/>
      <c r="M269" s="342"/>
      <c r="O269" s="356"/>
      <c r="P269" s="356"/>
      <c r="Q269" s="356"/>
      <c r="R269" s="356"/>
      <c r="S269" s="356"/>
      <c r="T269" s="356"/>
      <c r="U269" s="356"/>
      <c r="V269" s="356"/>
      <c r="W269" s="356"/>
      <c r="X269" s="356"/>
      <c r="Y269" s="356"/>
      <c r="Z269" s="356"/>
      <c r="AA269" s="356"/>
      <c r="AB269" s="356"/>
      <c r="AC269" s="356"/>
      <c r="AD269" s="356"/>
      <c r="AE269" s="356"/>
      <c r="AF269" s="356"/>
    </row>
    <row r="270">
      <c r="A270" s="341"/>
      <c r="B270" s="356"/>
      <c r="C270" s="456"/>
      <c r="D270" s="356"/>
      <c r="E270" s="452"/>
      <c r="F270" s="356"/>
      <c r="G270" s="356"/>
      <c r="H270" s="453"/>
      <c r="I270" s="453"/>
      <c r="J270" s="454"/>
      <c r="L270" s="454"/>
      <c r="M270" s="342"/>
      <c r="O270" s="356"/>
      <c r="P270" s="356"/>
      <c r="Q270" s="356"/>
      <c r="R270" s="356"/>
      <c r="S270" s="356"/>
      <c r="T270" s="356"/>
      <c r="U270" s="356"/>
      <c r="V270" s="356"/>
      <c r="W270" s="356"/>
      <c r="X270" s="356"/>
      <c r="Y270" s="356"/>
      <c r="Z270" s="356"/>
      <c r="AA270" s="356"/>
      <c r="AB270" s="356"/>
      <c r="AC270" s="356"/>
      <c r="AD270" s="356"/>
      <c r="AE270" s="356"/>
      <c r="AF270" s="356"/>
    </row>
    <row r="271">
      <c r="A271" s="341"/>
      <c r="B271" s="356"/>
      <c r="C271" s="456"/>
      <c r="D271" s="356"/>
      <c r="E271" s="452"/>
      <c r="F271" s="356"/>
      <c r="G271" s="356"/>
      <c r="H271" s="453"/>
      <c r="I271" s="453"/>
      <c r="J271" s="454"/>
      <c r="L271" s="454"/>
      <c r="M271" s="342"/>
      <c r="O271" s="356"/>
      <c r="P271" s="356"/>
      <c r="Q271" s="356"/>
      <c r="R271" s="356"/>
      <c r="S271" s="356"/>
      <c r="T271" s="356"/>
      <c r="U271" s="356"/>
      <c r="V271" s="356"/>
      <c r="W271" s="356"/>
      <c r="X271" s="356"/>
      <c r="Y271" s="356"/>
      <c r="Z271" s="356"/>
      <c r="AA271" s="356"/>
      <c r="AB271" s="356"/>
      <c r="AC271" s="356"/>
      <c r="AD271" s="356"/>
      <c r="AE271" s="356"/>
      <c r="AF271" s="356"/>
    </row>
    <row r="272">
      <c r="A272" s="341"/>
      <c r="B272" s="356"/>
      <c r="C272" s="456"/>
      <c r="D272" s="356"/>
      <c r="E272" s="452"/>
      <c r="F272" s="356"/>
      <c r="G272" s="356"/>
      <c r="H272" s="453"/>
      <c r="I272" s="453"/>
      <c r="J272" s="454"/>
      <c r="L272" s="454"/>
      <c r="M272" s="342"/>
      <c r="O272" s="356"/>
      <c r="P272" s="356"/>
      <c r="Q272" s="356"/>
      <c r="R272" s="356"/>
      <c r="S272" s="356"/>
      <c r="T272" s="356"/>
      <c r="U272" s="356"/>
      <c r="V272" s="356"/>
      <c r="W272" s="356"/>
      <c r="X272" s="356"/>
      <c r="Y272" s="356"/>
      <c r="Z272" s="356"/>
      <c r="AA272" s="356"/>
      <c r="AB272" s="356"/>
      <c r="AC272" s="356"/>
      <c r="AD272" s="356"/>
      <c r="AE272" s="356"/>
      <c r="AF272" s="356"/>
    </row>
    <row r="273">
      <c r="A273" s="341"/>
      <c r="B273" s="356"/>
      <c r="C273" s="456"/>
      <c r="D273" s="356"/>
      <c r="E273" s="452"/>
      <c r="F273" s="356"/>
      <c r="G273" s="356"/>
      <c r="H273" s="453"/>
      <c r="I273" s="453"/>
      <c r="J273" s="454"/>
      <c r="L273" s="454"/>
      <c r="M273" s="342"/>
      <c r="O273" s="356"/>
      <c r="P273" s="356"/>
      <c r="Q273" s="356"/>
      <c r="R273" s="356"/>
      <c r="S273" s="356"/>
      <c r="T273" s="356"/>
      <c r="U273" s="356"/>
      <c r="V273" s="356"/>
      <c r="W273" s="356"/>
      <c r="X273" s="356"/>
      <c r="Y273" s="356"/>
      <c r="Z273" s="356"/>
      <c r="AA273" s="356"/>
      <c r="AB273" s="356"/>
      <c r="AC273" s="356"/>
      <c r="AD273" s="356"/>
      <c r="AE273" s="356"/>
      <c r="AF273" s="356"/>
    </row>
    <row r="274">
      <c r="A274" s="341"/>
      <c r="B274" s="356"/>
      <c r="C274" s="456"/>
      <c r="D274" s="356"/>
      <c r="E274" s="452"/>
      <c r="F274" s="356"/>
      <c r="G274" s="356"/>
      <c r="H274" s="453"/>
      <c r="I274" s="453"/>
      <c r="J274" s="454"/>
      <c r="L274" s="454"/>
      <c r="M274" s="342"/>
      <c r="O274" s="356"/>
      <c r="P274" s="356"/>
      <c r="Q274" s="356"/>
      <c r="R274" s="356"/>
      <c r="S274" s="356"/>
      <c r="T274" s="356"/>
      <c r="U274" s="356"/>
      <c r="V274" s="356"/>
      <c r="W274" s="356"/>
      <c r="X274" s="356"/>
      <c r="Y274" s="356"/>
      <c r="Z274" s="356"/>
      <c r="AA274" s="356"/>
      <c r="AB274" s="356"/>
      <c r="AC274" s="356"/>
      <c r="AD274" s="356"/>
      <c r="AE274" s="356"/>
      <c r="AF274" s="356"/>
    </row>
    <row r="275">
      <c r="A275" s="341"/>
      <c r="B275" s="356"/>
      <c r="C275" s="456"/>
      <c r="D275" s="356"/>
      <c r="E275" s="452"/>
      <c r="F275" s="356"/>
      <c r="G275" s="356"/>
      <c r="H275" s="453"/>
      <c r="I275" s="453"/>
      <c r="J275" s="454"/>
      <c r="L275" s="454"/>
      <c r="M275" s="342"/>
      <c r="O275" s="356"/>
      <c r="P275" s="356"/>
      <c r="Q275" s="356"/>
      <c r="R275" s="356"/>
      <c r="S275" s="356"/>
      <c r="T275" s="356"/>
      <c r="U275" s="356"/>
      <c r="V275" s="356"/>
      <c r="W275" s="356"/>
      <c r="X275" s="356"/>
      <c r="Y275" s="356"/>
      <c r="Z275" s="356"/>
      <c r="AA275" s="356"/>
      <c r="AB275" s="356"/>
      <c r="AC275" s="356"/>
      <c r="AD275" s="356"/>
      <c r="AE275" s="356"/>
      <c r="AF275" s="356"/>
    </row>
    <row r="276">
      <c r="A276" s="341"/>
      <c r="B276" s="356"/>
      <c r="C276" s="456"/>
      <c r="D276" s="356"/>
      <c r="E276" s="452"/>
      <c r="F276" s="356"/>
      <c r="G276" s="356"/>
      <c r="H276" s="453"/>
      <c r="I276" s="453"/>
      <c r="J276" s="454"/>
      <c r="L276" s="454"/>
      <c r="M276" s="342"/>
      <c r="O276" s="356"/>
      <c r="P276" s="356"/>
      <c r="Q276" s="356"/>
      <c r="R276" s="356"/>
      <c r="S276" s="356"/>
      <c r="T276" s="356"/>
      <c r="U276" s="356"/>
      <c r="V276" s="356"/>
      <c r="W276" s="356"/>
      <c r="X276" s="356"/>
      <c r="Y276" s="356"/>
      <c r="Z276" s="356"/>
      <c r="AA276" s="356"/>
      <c r="AB276" s="356"/>
      <c r="AC276" s="356"/>
      <c r="AD276" s="356"/>
      <c r="AE276" s="356"/>
      <c r="AF276" s="356"/>
    </row>
    <row r="277">
      <c r="A277" s="341"/>
      <c r="B277" s="356"/>
      <c r="C277" s="456"/>
      <c r="D277" s="356"/>
      <c r="E277" s="452"/>
      <c r="F277" s="356"/>
      <c r="G277" s="356"/>
      <c r="H277" s="453"/>
      <c r="I277" s="453"/>
      <c r="J277" s="454"/>
      <c r="L277" s="454"/>
      <c r="M277" s="342"/>
      <c r="O277" s="356"/>
      <c r="P277" s="356"/>
      <c r="Q277" s="356"/>
      <c r="R277" s="356"/>
      <c r="S277" s="356"/>
      <c r="T277" s="356"/>
      <c r="U277" s="356"/>
      <c r="V277" s="356"/>
      <c r="W277" s="356"/>
      <c r="X277" s="356"/>
      <c r="Y277" s="356"/>
      <c r="Z277" s="356"/>
      <c r="AA277" s="356"/>
      <c r="AB277" s="356"/>
      <c r="AC277" s="356"/>
      <c r="AD277" s="356"/>
      <c r="AE277" s="356"/>
      <c r="AF277" s="356"/>
    </row>
    <row r="278">
      <c r="A278" s="341"/>
      <c r="B278" s="356"/>
      <c r="C278" s="456"/>
      <c r="D278" s="356"/>
      <c r="E278" s="452"/>
      <c r="F278" s="356"/>
      <c r="G278" s="356"/>
      <c r="H278" s="453"/>
      <c r="I278" s="453"/>
      <c r="J278" s="454"/>
      <c r="L278" s="454"/>
      <c r="M278" s="342"/>
      <c r="O278" s="356"/>
      <c r="P278" s="356"/>
      <c r="Q278" s="356"/>
      <c r="R278" s="356"/>
      <c r="S278" s="356"/>
      <c r="T278" s="356"/>
      <c r="U278" s="356"/>
      <c r="V278" s="356"/>
      <c r="W278" s="356"/>
      <c r="X278" s="356"/>
      <c r="Y278" s="356"/>
      <c r="Z278" s="356"/>
      <c r="AA278" s="356"/>
      <c r="AB278" s="356"/>
      <c r="AC278" s="356"/>
      <c r="AD278" s="356"/>
      <c r="AE278" s="356"/>
      <c r="AF278" s="356"/>
    </row>
    <row r="279">
      <c r="A279" s="341"/>
      <c r="B279" s="356"/>
      <c r="C279" s="456"/>
      <c r="D279" s="356"/>
      <c r="E279" s="452"/>
      <c r="F279" s="356"/>
      <c r="G279" s="356"/>
      <c r="H279" s="453"/>
      <c r="I279" s="453"/>
      <c r="J279" s="454"/>
      <c r="L279" s="454"/>
      <c r="M279" s="342"/>
      <c r="O279" s="356"/>
      <c r="P279" s="356"/>
      <c r="Q279" s="356"/>
      <c r="R279" s="356"/>
      <c r="S279" s="356"/>
      <c r="T279" s="356"/>
      <c r="U279" s="356"/>
      <c r="V279" s="356"/>
      <c r="W279" s="356"/>
      <c r="X279" s="356"/>
      <c r="Y279" s="356"/>
      <c r="Z279" s="356"/>
      <c r="AA279" s="356"/>
      <c r="AB279" s="356"/>
      <c r="AC279" s="356"/>
      <c r="AD279" s="356"/>
      <c r="AE279" s="356"/>
      <c r="AF279" s="356"/>
    </row>
    <row r="280">
      <c r="A280" s="341"/>
      <c r="B280" s="356"/>
      <c r="C280" s="456"/>
      <c r="D280" s="356"/>
      <c r="E280" s="452"/>
      <c r="F280" s="356"/>
      <c r="G280" s="356"/>
      <c r="H280" s="453"/>
      <c r="I280" s="453"/>
      <c r="J280" s="454"/>
      <c r="L280" s="454"/>
      <c r="M280" s="342"/>
      <c r="O280" s="356"/>
      <c r="P280" s="356"/>
      <c r="Q280" s="356"/>
      <c r="R280" s="356"/>
      <c r="S280" s="356"/>
      <c r="T280" s="356"/>
      <c r="U280" s="356"/>
      <c r="V280" s="356"/>
      <c r="W280" s="356"/>
      <c r="X280" s="356"/>
      <c r="Y280" s="356"/>
      <c r="Z280" s="356"/>
      <c r="AA280" s="356"/>
      <c r="AB280" s="356"/>
      <c r="AC280" s="356"/>
      <c r="AD280" s="356"/>
      <c r="AE280" s="356"/>
      <c r="AF280" s="356"/>
    </row>
    <row r="281">
      <c r="A281" s="341"/>
      <c r="B281" s="356"/>
      <c r="C281" s="456"/>
      <c r="D281" s="356"/>
      <c r="E281" s="452"/>
      <c r="F281" s="356"/>
      <c r="G281" s="356"/>
      <c r="H281" s="453"/>
      <c r="I281" s="453"/>
      <c r="J281" s="454"/>
      <c r="L281" s="454"/>
      <c r="M281" s="342"/>
      <c r="O281" s="356"/>
      <c r="P281" s="356"/>
      <c r="Q281" s="356"/>
      <c r="R281" s="356"/>
      <c r="S281" s="356"/>
      <c r="T281" s="356"/>
      <c r="U281" s="356"/>
      <c r="V281" s="356"/>
      <c r="W281" s="356"/>
      <c r="X281" s="356"/>
      <c r="Y281" s="356"/>
      <c r="Z281" s="356"/>
      <c r="AA281" s="356"/>
      <c r="AB281" s="356"/>
      <c r="AC281" s="356"/>
      <c r="AD281" s="356"/>
      <c r="AE281" s="356"/>
      <c r="AF281" s="356"/>
    </row>
    <row r="282">
      <c r="A282" s="341"/>
      <c r="B282" s="356"/>
      <c r="C282" s="456"/>
      <c r="D282" s="356"/>
      <c r="E282" s="452"/>
      <c r="F282" s="356"/>
      <c r="G282" s="356"/>
      <c r="H282" s="453"/>
      <c r="I282" s="453"/>
      <c r="J282" s="454"/>
      <c r="L282" s="454"/>
      <c r="M282" s="342"/>
      <c r="O282" s="356"/>
      <c r="P282" s="356"/>
      <c r="Q282" s="356"/>
      <c r="R282" s="356"/>
      <c r="S282" s="356"/>
      <c r="T282" s="356"/>
      <c r="U282" s="356"/>
      <c r="V282" s="356"/>
      <c r="W282" s="356"/>
      <c r="X282" s="356"/>
      <c r="Y282" s="356"/>
      <c r="Z282" s="356"/>
      <c r="AA282" s="356"/>
      <c r="AB282" s="356"/>
      <c r="AC282" s="356"/>
      <c r="AD282" s="356"/>
      <c r="AE282" s="356"/>
      <c r="AF282" s="356"/>
    </row>
    <row r="283">
      <c r="A283" s="341"/>
      <c r="B283" s="356"/>
      <c r="C283" s="456"/>
      <c r="D283" s="356"/>
      <c r="E283" s="452"/>
      <c r="F283" s="356"/>
      <c r="G283" s="356"/>
      <c r="H283" s="453"/>
      <c r="I283" s="453"/>
      <c r="J283" s="454"/>
      <c r="L283" s="454"/>
      <c r="M283" s="342"/>
      <c r="O283" s="356"/>
      <c r="P283" s="356"/>
      <c r="Q283" s="356"/>
      <c r="R283" s="356"/>
      <c r="S283" s="356"/>
      <c r="T283" s="356"/>
      <c r="U283" s="356"/>
      <c r="V283" s="356"/>
      <c r="W283" s="356"/>
      <c r="X283" s="356"/>
      <c r="Y283" s="356"/>
      <c r="Z283" s="356"/>
      <c r="AA283" s="356"/>
      <c r="AB283" s="356"/>
      <c r="AC283" s="356"/>
      <c r="AD283" s="356"/>
      <c r="AE283" s="356"/>
      <c r="AF283" s="356"/>
    </row>
    <row r="284">
      <c r="A284" s="341"/>
      <c r="B284" s="356"/>
      <c r="C284" s="456"/>
      <c r="D284" s="356"/>
      <c r="E284" s="452"/>
      <c r="F284" s="356"/>
      <c r="G284" s="356"/>
      <c r="H284" s="453"/>
      <c r="I284" s="453"/>
      <c r="J284" s="454"/>
      <c r="L284" s="454"/>
      <c r="M284" s="342"/>
      <c r="O284" s="356"/>
      <c r="P284" s="356"/>
      <c r="Q284" s="356"/>
      <c r="R284" s="356"/>
      <c r="S284" s="356"/>
      <c r="T284" s="356"/>
      <c r="U284" s="356"/>
      <c r="V284" s="356"/>
      <c r="W284" s="356"/>
      <c r="X284" s="356"/>
      <c r="Y284" s="356"/>
      <c r="Z284" s="356"/>
      <c r="AA284" s="356"/>
      <c r="AB284" s="356"/>
      <c r="AC284" s="356"/>
      <c r="AD284" s="356"/>
      <c r="AE284" s="356"/>
      <c r="AF284" s="356"/>
    </row>
    <row r="285">
      <c r="A285" s="341"/>
      <c r="B285" s="356"/>
      <c r="C285" s="456"/>
      <c r="D285" s="356"/>
      <c r="E285" s="452"/>
      <c r="F285" s="356"/>
      <c r="G285" s="356"/>
      <c r="H285" s="453"/>
      <c r="I285" s="453"/>
      <c r="J285" s="454"/>
      <c r="L285" s="454"/>
      <c r="M285" s="342"/>
      <c r="O285" s="356"/>
      <c r="P285" s="356"/>
      <c r="Q285" s="356"/>
      <c r="R285" s="356"/>
      <c r="S285" s="356"/>
      <c r="T285" s="356"/>
      <c r="U285" s="356"/>
      <c r="V285" s="356"/>
      <c r="W285" s="356"/>
      <c r="X285" s="356"/>
      <c r="Y285" s="356"/>
      <c r="Z285" s="356"/>
      <c r="AA285" s="356"/>
      <c r="AB285" s="356"/>
      <c r="AC285" s="356"/>
      <c r="AD285" s="356"/>
      <c r="AE285" s="356"/>
      <c r="AF285" s="356"/>
    </row>
    <row r="286">
      <c r="A286" s="341"/>
      <c r="B286" s="356"/>
      <c r="C286" s="456"/>
      <c r="D286" s="356"/>
      <c r="E286" s="452"/>
      <c r="F286" s="356"/>
      <c r="G286" s="356"/>
      <c r="H286" s="453"/>
      <c r="I286" s="453"/>
      <c r="J286" s="454"/>
      <c r="L286" s="454"/>
      <c r="M286" s="342"/>
      <c r="O286" s="356"/>
      <c r="P286" s="356"/>
      <c r="Q286" s="356"/>
      <c r="R286" s="356"/>
      <c r="S286" s="356"/>
      <c r="T286" s="356"/>
      <c r="U286" s="356"/>
      <c r="V286" s="356"/>
      <c r="W286" s="356"/>
      <c r="X286" s="356"/>
      <c r="Y286" s="356"/>
      <c r="Z286" s="356"/>
      <c r="AA286" s="356"/>
      <c r="AB286" s="356"/>
      <c r="AC286" s="356"/>
      <c r="AD286" s="356"/>
      <c r="AE286" s="356"/>
      <c r="AF286" s="356"/>
    </row>
    <row r="287">
      <c r="A287" s="341"/>
      <c r="B287" s="356"/>
      <c r="C287" s="456"/>
      <c r="D287" s="356"/>
      <c r="E287" s="452"/>
      <c r="F287" s="356"/>
      <c r="G287" s="356"/>
      <c r="H287" s="453"/>
      <c r="I287" s="453"/>
      <c r="J287" s="454"/>
      <c r="L287" s="454"/>
      <c r="M287" s="342"/>
      <c r="O287" s="356"/>
      <c r="P287" s="356"/>
      <c r="Q287" s="356"/>
      <c r="R287" s="356"/>
      <c r="S287" s="356"/>
      <c r="T287" s="356"/>
      <c r="U287" s="356"/>
      <c r="V287" s="356"/>
      <c r="W287" s="356"/>
      <c r="X287" s="356"/>
      <c r="Y287" s="356"/>
      <c r="Z287" s="356"/>
      <c r="AA287" s="356"/>
      <c r="AB287" s="356"/>
      <c r="AC287" s="356"/>
      <c r="AD287" s="356"/>
      <c r="AE287" s="356"/>
      <c r="AF287" s="356"/>
    </row>
    <row r="288">
      <c r="A288" s="341"/>
      <c r="B288" s="356"/>
      <c r="C288" s="456"/>
      <c r="D288" s="356"/>
      <c r="E288" s="452"/>
      <c r="F288" s="356"/>
      <c r="G288" s="356"/>
      <c r="H288" s="453"/>
      <c r="I288" s="453"/>
      <c r="J288" s="454"/>
      <c r="L288" s="454"/>
      <c r="M288" s="342"/>
      <c r="O288" s="356"/>
      <c r="P288" s="356"/>
      <c r="Q288" s="356"/>
      <c r="R288" s="356"/>
      <c r="S288" s="356"/>
      <c r="T288" s="356"/>
      <c r="U288" s="356"/>
      <c r="V288" s="356"/>
      <c r="W288" s="356"/>
      <c r="X288" s="356"/>
      <c r="Y288" s="356"/>
      <c r="Z288" s="356"/>
      <c r="AA288" s="356"/>
      <c r="AB288" s="356"/>
      <c r="AC288" s="356"/>
      <c r="AD288" s="356"/>
      <c r="AE288" s="356"/>
      <c r="AF288" s="356"/>
    </row>
    <row r="289">
      <c r="A289" s="341"/>
      <c r="B289" s="356"/>
      <c r="C289" s="456"/>
      <c r="D289" s="356"/>
      <c r="E289" s="452"/>
      <c r="F289" s="356"/>
      <c r="G289" s="356"/>
      <c r="H289" s="453"/>
      <c r="I289" s="453"/>
      <c r="J289" s="454"/>
      <c r="L289" s="454"/>
      <c r="M289" s="342"/>
      <c r="O289" s="356"/>
      <c r="P289" s="356"/>
      <c r="Q289" s="356"/>
      <c r="R289" s="356"/>
      <c r="S289" s="356"/>
      <c r="T289" s="356"/>
      <c r="U289" s="356"/>
      <c r="V289" s="356"/>
      <c r="W289" s="356"/>
      <c r="X289" s="356"/>
      <c r="Y289" s="356"/>
      <c r="Z289" s="356"/>
      <c r="AA289" s="356"/>
      <c r="AB289" s="356"/>
      <c r="AC289" s="356"/>
      <c r="AD289" s="356"/>
      <c r="AE289" s="356"/>
      <c r="AF289" s="356"/>
    </row>
    <row r="290">
      <c r="A290" s="341"/>
      <c r="B290" s="356"/>
      <c r="C290" s="456"/>
      <c r="D290" s="356"/>
      <c r="E290" s="452"/>
      <c r="F290" s="356"/>
      <c r="G290" s="356"/>
      <c r="H290" s="453"/>
      <c r="I290" s="453"/>
      <c r="J290" s="454"/>
      <c r="L290" s="454"/>
      <c r="M290" s="342"/>
      <c r="O290" s="356"/>
      <c r="P290" s="356"/>
      <c r="Q290" s="356"/>
      <c r="R290" s="356"/>
      <c r="S290" s="356"/>
      <c r="T290" s="356"/>
      <c r="U290" s="356"/>
      <c r="V290" s="356"/>
      <c r="W290" s="356"/>
      <c r="X290" s="356"/>
      <c r="Y290" s="356"/>
      <c r="Z290" s="356"/>
      <c r="AA290" s="356"/>
      <c r="AB290" s="356"/>
      <c r="AC290" s="356"/>
      <c r="AD290" s="356"/>
      <c r="AE290" s="356"/>
      <c r="AF290" s="356"/>
    </row>
    <row r="291">
      <c r="A291" s="341"/>
      <c r="B291" s="356"/>
      <c r="C291" s="456"/>
      <c r="D291" s="356"/>
      <c r="E291" s="452"/>
      <c r="F291" s="356"/>
      <c r="G291" s="356"/>
      <c r="H291" s="453"/>
      <c r="I291" s="453"/>
      <c r="J291" s="454"/>
      <c r="L291" s="454"/>
      <c r="M291" s="342"/>
      <c r="O291" s="356"/>
      <c r="P291" s="356"/>
      <c r="Q291" s="356"/>
      <c r="R291" s="356"/>
      <c r="S291" s="356"/>
      <c r="T291" s="356"/>
      <c r="U291" s="356"/>
      <c r="V291" s="356"/>
      <c r="W291" s="356"/>
      <c r="X291" s="356"/>
      <c r="Y291" s="356"/>
      <c r="Z291" s="356"/>
      <c r="AA291" s="356"/>
      <c r="AB291" s="356"/>
      <c r="AC291" s="356"/>
      <c r="AD291" s="356"/>
      <c r="AE291" s="356"/>
      <c r="AF291" s="356"/>
    </row>
    <row r="292">
      <c r="A292" s="341"/>
      <c r="B292" s="356"/>
      <c r="C292" s="456"/>
      <c r="D292" s="356"/>
      <c r="E292" s="452"/>
      <c r="F292" s="356"/>
      <c r="G292" s="356"/>
      <c r="H292" s="453"/>
      <c r="I292" s="453"/>
      <c r="J292" s="454"/>
      <c r="L292" s="454"/>
      <c r="M292" s="342"/>
      <c r="O292" s="356"/>
      <c r="P292" s="356"/>
      <c r="Q292" s="356"/>
      <c r="R292" s="356"/>
      <c r="S292" s="356"/>
      <c r="T292" s="356"/>
      <c r="U292" s="356"/>
      <c r="V292" s="356"/>
      <c r="W292" s="356"/>
      <c r="X292" s="356"/>
      <c r="Y292" s="356"/>
      <c r="Z292" s="356"/>
      <c r="AA292" s="356"/>
      <c r="AB292" s="356"/>
      <c r="AC292" s="356"/>
      <c r="AD292" s="356"/>
      <c r="AE292" s="356"/>
      <c r="AF292" s="356"/>
    </row>
    <row r="293">
      <c r="A293" s="341"/>
      <c r="B293" s="356"/>
      <c r="C293" s="456"/>
      <c r="D293" s="356"/>
      <c r="E293" s="452"/>
      <c r="F293" s="356"/>
      <c r="G293" s="356"/>
      <c r="H293" s="453"/>
      <c r="I293" s="453"/>
      <c r="J293" s="454"/>
      <c r="L293" s="454"/>
      <c r="M293" s="342"/>
      <c r="O293" s="356"/>
      <c r="P293" s="356"/>
      <c r="Q293" s="356"/>
      <c r="R293" s="356"/>
      <c r="S293" s="356"/>
      <c r="T293" s="356"/>
      <c r="U293" s="356"/>
      <c r="V293" s="356"/>
      <c r="W293" s="356"/>
      <c r="X293" s="356"/>
      <c r="Y293" s="356"/>
      <c r="Z293" s="356"/>
      <c r="AA293" s="356"/>
      <c r="AB293" s="356"/>
      <c r="AC293" s="356"/>
      <c r="AD293" s="356"/>
      <c r="AE293" s="356"/>
      <c r="AF293" s="356"/>
    </row>
    <row r="294">
      <c r="A294" s="341"/>
      <c r="B294" s="356"/>
      <c r="C294" s="456"/>
      <c r="D294" s="356"/>
      <c r="E294" s="452"/>
      <c r="F294" s="356"/>
      <c r="G294" s="356"/>
      <c r="H294" s="453"/>
      <c r="I294" s="453"/>
      <c r="J294" s="454"/>
      <c r="L294" s="454"/>
      <c r="M294" s="342"/>
      <c r="O294" s="356"/>
      <c r="P294" s="356"/>
      <c r="Q294" s="356"/>
      <c r="R294" s="356"/>
      <c r="S294" s="356"/>
      <c r="T294" s="356"/>
      <c r="U294" s="356"/>
      <c r="V294" s="356"/>
      <c r="W294" s="356"/>
      <c r="X294" s="356"/>
      <c r="Y294" s="356"/>
      <c r="Z294" s="356"/>
      <c r="AA294" s="356"/>
      <c r="AB294" s="356"/>
      <c r="AC294" s="356"/>
      <c r="AD294" s="356"/>
      <c r="AE294" s="356"/>
      <c r="AF294" s="356"/>
    </row>
    <row r="295">
      <c r="A295" s="341"/>
      <c r="B295" s="356"/>
      <c r="C295" s="456"/>
      <c r="D295" s="356"/>
      <c r="E295" s="452"/>
      <c r="F295" s="356"/>
      <c r="G295" s="356"/>
      <c r="H295" s="453"/>
      <c r="I295" s="453"/>
      <c r="J295" s="454"/>
      <c r="L295" s="454"/>
      <c r="M295" s="342"/>
      <c r="O295" s="356"/>
      <c r="P295" s="356"/>
      <c r="Q295" s="356"/>
      <c r="R295" s="356"/>
      <c r="S295" s="356"/>
      <c r="T295" s="356"/>
      <c r="U295" s="356"/>
      <c r="V295" s="356"/>
      <c r="W295" s="356"/>
      <c r="X295" s="356"/>
      <c r="Y295" s="356"/>
      <c r="Z295" s="356"/>
      <c r="AA295" s="356"/>
      <c r="AB295" s="356"/>
      <c r="AC295" s="356"/>
      <c r="AD295" s="356"/>
      <c r="AE295" s="356"/>
      <c r="AF295" s="356"/>
    </row>
    <row r="296">
      <c r="A296" s="341"/>
      <c r="B296" s="356"/>
      <c r="C296" s="456"/>
      <c r="D296" s="356"/>
      <c r="E296" s="452"/>
      <c r="F296" s="356"/>
      <c r="G296" s="356"/>
      <c r="H296" s="453"/>
      <c r="I296" s="453"/>
      <c r="J296" s="454"/>
      <c r="L296" s="454"/>
      <c r="M296" s="342"/>
      <c r="O296" s="356"/>
      <c r="P296" s="356"/>
      <c r="Q296" s="356"/>
      <c r="R296" s="356"/>
      <c r="S296" s="356"/>
      <c r="T296" s="356"/>
      <c r="U296" s="356"/>
      <c r="V296" s="356"/>
      <c r="W296" s="356"/>
      <c r="X296" s="356"/>
      <c r="Y296" s="356"/>
      <c r="Z296" s="356"/>
      <c r="AA296" s="356"/>
      <c r="AB296" s="356"/>
      <c r="AC296" s="356"/>
      <c r="AD296" s="356"/>
      <c r="AE296" s="356"/>
      <c r="AF296" s="356"/>
    </row>
    <row r="297">
      <c r="A297" s="341"/>
      <c r="B297" s="356"/>
      <c r="C297" s="456"/>
      <c r="D297" s="356"/>
      <c r="E297" s="452"/>
      <c r="F297" s="356"/>
      <c r="G297" s="356"/>
      <c r="H297" s="453"/>
      <c r="I297" s="453"/>
      <c r="J297" s="454"/>
      <c r="L297" s="454"/>
      <c r="M297" s="342"/>
      <c r="O297" s="356"/>
      <c r="P297" s="356"/>
      <c r="Q297" s="356"/>
      <c r="R297" s="356"/>
      <c r="S297" s="356"/>
      <c r="T297" s="356"/>
      <c r="U297" s="356"/>
      <c r="V297" s="356"/>
      <c r="W297" s="356"/>
      <c r="X297" s="356"/>
      <c r="Y297" s="356"/>
      <c r="Z297" s="356"/>
      <c r="AA297" s="356"/>
      <c r="AB297" s="356"/>
      <c r="AC297" s="356"/>
      <c r="AD297" s="356"/>
      <c r="AE297" s="356"/>
      <c r="AF297" s="356"/>
    </row>
    <row r="298">
      <c r="A298" s="341"/>
      <c r="B298" s="356"/>
      <c r="C298" s="456"/>
      <c r="D298" s="356"/>
      <c r="E298" s="452"/>
      <c r="F298" s="356"/>
      <c r="G298" s="356"/>
      <c r="H298" s="453"/>
      <c r="I298" s="453"/>
      <c r="J298" s="454"/>
      <c r="L298" s="454"/>
      <c r="M298" s="342"/>
      <c r="O298" s="356"/>
      <c r="P298" s="356"/>
      <c r="Q298" s="356"/>
      <c r="R298" s="356"/>
      <c r="S298" s="356"/>
      <c r="T298" s="356"/>
      <c r="U298" s="356"/>
      <c r="V298" s="356"/>
      <c r="W298" s="356"/>
      <c r="X298" s="356"/>
      <c r="Y298" s="356"/>
      <c r="Z298" s="356"/>
      <c r="AA298" s="356"/>
      <c r="AB298" s="356"/>
      <c r="AC298" s="356"/>
      <c r="AD298" s="356"/>
      <c r="AE298" s="356"/>
      <c r="AF298" s="356"/>
    </row>
    <row r="299">
      <c r="A299" s="341"/>
      <c r="B299" s="356"/>
      <c r="C299" s="456"/>
      <c r="D299" s="356"/>
      <c r="E299" s="452"/>
      <c r="F299" s="356"/>
      <c r="G299" s="356"/>
      <c r="H299" s="453"/>
      <c r="I299" s="453"/>
      <c r="J299" s="454"/>
      <c r="L299" s="454"/>
      <c r="M299" s="342"/>
      <c r="O299" s="356"/>
      <c r="P299" s="356"/>
      <c r="Q299" s="356"/>
      <c r="R299" s="356"/>
      <c r="S299" s="356"/>
      <c r="T299" s="356"/>
      <c r="U299" s="356"/>
      <c r="V299" s="356"/>
      <c r="W299" s="356"/>
      <c r="X299" s="356"/>
      <c r="Y299" s="356"/>
      <c r="Z299" s="356"/>
      <c r="AA299" s="356"/>
      <c r="AB299" s="356"/>
      <c r="AC299" s="356"/>
      <c r="AD299" s="356"/>
      <c r="AE299" s="356"/>
      <c r="AF299" s="356"/>
    </row>
    <row r="300">
      <c r="A300" s="341"/>
      <c r="B300" s="356"/>
      <c r="C300" s="456"/>
      <c r="D300" s="356"/>
      <c r="E300" s="452"/>
      <c r="F300" s="356"/>
      <c r="G300" s="356"/>
      <c r="H300" s="453"/>
      <c r="I300" s="453"/>
      <c r="J300" s="454"/>
      <c r="L300" s="454"/>
      <c r="M300" s="342"/>
      <c r="O300" s="356"/>
      <c r="P300" s="356"/>
      <c r="Q300" s="356"/>
      <c r="R300" s="356"/>
      <c r="S300" s="356"/>
      <c r="T300" s="356"/>
      <c r="U300" s="356"/>
      <c r="V300" s="356"/>
      <c r="W300" s="356"/>
      <c r="X300" s="356"/>
      <c r="Y300" s="356"/>
      <c r="Z300" s="356"/>
      <c r="AA300" s="356"/>
      <c r="AB300" s="356"/>
      <c r="AC300" s="356"/>
      <c r="AD300" s="356"/>
      <c r="AE300" s="356"/>
      <c r="AF300" s="356"/>
    </row>
    <row r="301">
      <c r="A301" s="341"/>
      <c r="B301" s="356"/>
      <c r="C301" s="456"/>
      <c r="D301" s="356"/>
      <c r="E301" s="452"/>
      <c r="F301" s="356"/>
      <c r="G301" s="356"/>
      <c r="H301" s="453"/>
      <c r="I301" s="453"/>
      <c r="J301" s="454"/>
      <c r="L301" s="454"/>
      <c r="M301" s="342"/>
      <c r="O301" s="356"/>
      <c r="P301" s="356"/>
      <c r="Q301" s="356"/>
      <c r="R301" s="356"/>
      <c r="S301" s="356"/>
      <c r="T301" s="356"/>
      <c r="U301" s="356"/>
      <c r="V301" s="356"/>
      <c r="W301" s="356"/>
      <c r="X301" s="356"/>
      <c r="Y301" s="356"/>
      <c r="Z301" s="356"/>
      <c r="AA301" s="356"/>
      <c r="AB301" s="356"/>
      <c r="AC301" s="356"/>
      <c r="AD301" s="356"/>
      <c r="AE301" s="356"/>
      <c r="AF301" s="356"/>
    </row>
    <row r="302">
      <c r="A302" s="341"/>
      <c r="B302" s="356"/>
      <c r="C302" s="456"/>
      <c r="D302" s="356"/>
      <c r="E302" s="452"/>
      <c r="F302" s="356"/>
      <c r="G302" s="356"/>
      <c r="H302" s="453"/>
      <c r="I302" s="453"/>
      <c r="J302" s="454"/>
      <c r="L302" s="454"/>
      <c r="M302" s="342"/>
      <c r="O302" s="356"/>
      <c r="P302" s="356"/>
      <c r="Q302" s="356"/>
      <c r="R302" s="356"/>
      <c r="S302" s="356"/>
      <c r="T302" s="356"/>
      <c r="U302" s="356"/>
      <c r="V302" s="356"/>
      <c r="W302" s="356"/>
      <c r="X302" s="356"/>
      <c r="Y302" s="356"/>
      <c r="Z302" s="356"/>
      <c r="AA302" s="356"/>
      <c r="AB302" s="356"/>
      <c r="AC302" s="356"/>
      <c r="AD302" s="356"/>
      <c r="AE302" s="356"/>
      <c r="AF302" s="356"/>
    </row>
    <row r="303">
      <c r="A303" s="341"/>
      <c r="B303" s="356"/>
      <c r="C303" s="456"/>
      <c r="D303" s="356"/>
      <c r="E303" s="452"/>
      <c r="F303" s="356"/>
      <c r="G303" s="356"/>
      <c r="H303" s="453"/>
      <c r="I303" s="453"/>
      <c r="J303" s="454"/>
      <c r="L303" s="454"/>
      <c r="M303" s="342"/>
      <c r="O303" s="356"/>
      <c r="P303" s="356"/>
      <c r="Q303" s="356"/>
      <c r="R303" s="356"/>
      <c r="S303" s="356"/>
      <c r="T303" s="356"/>
      <c r="U303" s="356"/>
      <c r="V303" s="356"/>
      <c r="W303" s="356"/>
      <c r="X303" s="356"/>
      <c r="Y303" s="356"/>
      <c r="Z303" s="356"/>
      <c r="AA303" s="356"/>
      <c r="AB303" s="356"/>
      <c r="AC303" s="356"/>
      <c r="AD303" s="356"/>
      <c r="AE303" s="356"/>
      <c r="AF303" s="356"/>
    </row>
    <row r="304">
      <c r="A304" s="341"/>
      <c r="B304" s="356"/>
      <c r="C304" s="456"/>
      <c r="D304" s="356"/>
      <c r="E304" s="452"/>
      <c r="F304" s="356"/>
      <c r="G304" s="356"/>
      <c r="H304" s="453"/>
      <c r="I304" s="453"/>
      <c r="J304" s="454"/>
      <c r="L304" s="454"/>
      <c r="M304" s="342"/>
      <c r="O304" s="356"/>
      <c r="P304" s="356"/>
      <c r="Q304" s="356"/>
      <c r="R304" s="356"/>
      <c r="S304" s="356"/>
      <c r="T304" s="356"/>
      <c r="U304" s="356"/>
      <c r="V304" s="356"/>
      <c r="W304" s="356"/>
      <c r="X304" s="356"/>
      <c r="Y304" s="356"/>
      <c r="Z304" s="356"/>
      <c r="AA304" s="356"/>
      <c r="AB304" s="356"/>
      <c r="AC304" s="356"/>
      <c r="AD304" s="356"/>
      <c r="AE304" s="356"/>
      <c r="AF304" s="356"/>
    </row>
    <row r="305">
      <c r="A305" s="341"/>
      <c r="B305" s="356"/>
      <c r="C305" s="456"/>
      <c r="D305" s="356"/>
      <c r="E305" s="452"/>
      <c r="F305" s="356"/>
      <c r="G305" s="356"/>
      <c r="H305" s="453"/>
      <c r="I305" s="453"/>
      <c r="J305" s="454"/>
      <c r="L305" s="454"/>
      <c r="M305" s="342"/>
      <c r="O305" s="356"/>
      <c r="P305" s="356"/>
      <c r="Q305" s="356"/>
      <c r="R305" s="356"/>
      <c r="S305" s="356"/>
      <c r="T305" s="356"/>
      <c r="U305" s="356"/>
      <c r="V305" s="356"/>
      <c r="W305" s="356"/>
      <c r="X305" s="356"/>
      <c r="Y305" s="356"/>
      <c r="Z305" s="356"/>
      <c r="AA305" s="356"/>
      <c r="AB305" s="356"/>
      <c r="AC305" s="356"/>
      <c r="AD305" s="356"/>
      <c r="AE305" s="356"/>
      <c r="AF305" s="356"/>
    </row>
    <row r="306">
      <c r="A306" s="341"/>
      <c r="B306" s="356"/>
      <c r="C306" s="456"/>
      <c r="D306" s="356"/>
      <c r="E306" s="452"/>
      <c r="F306" s="356"/>
      <c r="G306" s="356"/>
      <c r="H306" s="453"/>
      <c r="I306" s="453"/>
      <c r="J306" s="454"/>
      <c r="L306" s="454"/>
      <c r="M306" s="342"/>
      <c r="O306" s="356"/>
      <c r="P306" s="356"/>
      <c r="Q306" s="356"/>
      <c r="R306" s="356"/>
      <c r="S306" s="356"/>
      <c r="T306" s="356"/>
      <c r="U306" s="356"/>
      <c r="V306" s="356"/>
      <c r="W306" s="356"/>
      <c r="X306" s="356"/>
      <c r="Y306" s="356"/>
      <c r="Z306" s="356"/>
      <c r="AA306" s="356"/>
      <c r="AB306" s="356"/>
      <c r="AC306" s="356"/>
      <c r="AD306" s="356"/>
      <c r="AE306" s="356"/>
      <c r="AF306" s="356"/>
    </row>
    <row r="307">
      <c r="A307" s="341"/>
      <c r="B307" s="356"/>
      <c r="C307" s="456"/>
      <c r="D307" s="356"/>
      <c r="E307" s="452"/>
      <c r="F307" s="356"/>
      <c r="G307" s="356"/>
      <c r="H307" s="453"/>
      <c r="I307" s="453"/>
      <c r="J307" s="454"/>
      <c r="L307" s="454"/>
      <c r="M307" s="342"/>
      <c r="O307" s="356"/>
      <c r="P307" s="356"/>
      <c r="Q307" s="356"/>
      <c r="R307" s="356"/>
      <c r="S307" s="356"/>
      <c r="T307" s="356"/>
      <c r="U307" s="356"/>
      <c r="V307" s="356"/>
      <c r="W307" s="356"/>
      <c r="X307" s="356"/>
      <c r="Y307" s="356"/>
      <c r="Z307" s="356"/>
      <c r="AA307" s="356"/>
      <c r="AB307" s="356"/>
      <c r="AC307" s="356"/>
      <c r="AD307" s="356"/>
      <c r="AE307" s="356"/>
      <c r="AF307" s="356"/>
    </row>
    <row r="308">
      <c r="A308" s="341"/>
      <c r="B308" s="356"/>
      <c r="C308" s="456"/>
      <c r="D308" s="356"/>
      <c r="E308" s="452"/>
      <c r="F308" s="356"/>
      <c r="G308" s="356"/>
      <c r="H308" s="453"/>
      <c r="I308" s="453"/>
      <c r="J308" s="454"/>
      <c r="L308" s="454"/>
      <c r="M308" s="342"/>
      <c r="O308" s="356"/>
      <c r="P308" s="356"/>
      <c r="Q308" s="356"/>
      <c r="R308" s="356"/>
      <c r="S308" s="356"/>
      <c r="T308" s="356"/>
      <c r="U308" s="356"/>
      <c r="V308" s="356"/>
      <c r="W308" s="356"/>
      <c r="X308" s="356"/>
      <c r="Y308" s="356"/>
      <c r="Z308" s="356"/>
      <c r="AA308" s="356"/>
      <c r="AB308" s="356"/>
      <c r="AC308" s="356"/>
      <c r="AD308" s="356"/>
      <c r="AE308" s="356"/>
      <c r="AF308" s="356"/>
    </row>
    <row r="309">
      <c r="A309" s="341"/>
      <c r="B309" s="356"/>
      <c r="C309" s="456"/>
      <c r="D309" s="356"/>
      <c r="E309" s="452"/>
      <c r="F309" s="356"/>
      <c r="G309" s="356"/>
      <c r="H309" s="453"/>
      <c r="I309" s="453"/>
      <c r="J309" s="454"/>
      <c r="L309" s="454"/>
      <c r="M309" s="342"/>
      <c r="O309" s="356"/>
      <c r="P309" s="356"/>
      <c r="Q309" s="356"/>
      <c r="R309" s="356"/>
      <c r="S309" s="356"/>
      <c r="T309" s="356"/>
      <c r="U309" s="356"/>
      <c r="V309" s="356"/>
      <c r="W309" s="356"/>
      <c r="X309" s="356"/>
      <c r="Y309" s="356"/>
      <c r="Z309" s="356"/>
      <c r="AA309" s="356"/>
      <c r="AB309" s="356"/>
      <c r="AC309" s="356"/>
      <c r="AD309" s="356"/>
      <c r="AE309" s="356"/>
      <c r="AF309" s="356"/>
    </row>
    <row r="310">
      <c r="A310" s="341"/>
      <c r="B310" s="356"/>
      <c r="C310" s="456"/>
      <c r="D310" s="356"/>
      <c r="E310" s="452"/>
      <c r="F310" s="356"/>
      <c r="G310" s="356"/>
      <c r="H310" s="453"/>
      <c r="I310" s="453"/>
      <c r="J310" s="454"/>
      <c r="L310" s="454"/>
      <c r="M310" s="342"/>
      <c r="O310" s="356"/>
      <c r="P310" s="356"/>
      <c r="Q310" s="356"/>
      <c r="R310" s="356"/>
      <c r="S310" s="356"/>
      <c r="T310" s="356"/>
      <c r="U310" s="356"/>
      <c r="V310" s="356"/>
      <c r="W310" s="356"/>
      <c r="X310" s="356"/>
      <c r="Y310" s="356"/>
      <c r="Z310" s="356"/>
      <c r="AA310" s="356"/>
      <c r="AB310" s="356"/>
      <c r="AC310" s="356"/>
      <c r="AD310" s="356"/>
      <c r="AE310" s="356"/>
      <c r="AF310" s="356"/>
    </row>
    <row r="311">
      <c r="A311" s="341"/>
      <c r="B311" s="356"/>
      <c r="C311" s="456"/>
      <c r="D311" s="356"/>
      <c r="E311" s="452"/>
      <c r="F311" s="356"/>
      <c r="G311" s="356"/>
      <c r="H311" s="453"/>
      <c r="I311" s="453"/>
      <c r="J311" s="454"/>
      <c r="L311" s="454"/>
      <c r="M311" s="342"/>
      <c r="O311" s="356"/>
      <c r="P311" s="356"/>
      <c r="Q311" s="356"/>
      <c r="R311" s="356"/>
      <c r="S311" s="356"/>
      <c r="T311" s="356"/>
      <c r="U311" s="356"/>
      <c r="V311" s="356"/>
      <c r="W311" s="356"/>
      <c r="X311" s="356"/>
      <c r="Y311" s="356"/>
      <c r="Z311" s="356"/>
      <c r="AA311" s="356"/>
      <c r="AB311" s="356"/>
      <c r="AC311" s="356"/>
      <c r="AD311" s="356"/>
      <c r="AE311" s="356"/>
      <c r="AF311" s="356"/>
    </row>
    <row r="312">
      <c r="A312" s="341"/>
      <c r="B312" s="356"/>
      <c r="C312" s="456"/>
      <c r="D312" s="356"/>
      <c r="E312" s="452"/>
      <c r="F312" s="356"/>
      <c r="G312" s="356"/>
      <c r="H312" s="453"/>
      <c r="I312" s="453"/>
      <c r="J312" s="454"/>
      <c r="L312" s="454"/>
      <c r="M312" s="342"/>
      <c r="O312" s="356"/>
      <c r="P312" s="356"/>
      <c r="Q312" s="356"/>
      <c r="R312" s="356"/>
      <c r="S312" s="356"/>
      <c r="T312" s="356"/>
      <c r="U312" s="356"/>
      <c r="V312" s="356"/>
      <c r="W312" s="356"/>
      <c r="X312" s="356"/>
      <c r="Y312" s="356"/>
      <c r="Z312" s="356"/>
      <c r="AA312" s="356"/>
      <c r="AB312" s="356"/>
      <c r="AC312" s="356"/>
      <c r="AD312" s="356"/>
      <c r="AE312" s="356"/>
      <c r="AF312" s="356"/>
    </row>
    <row r="313">
      <c r="A313" s="341"/>
      <c r="B313" s="356"/>
      <c r="C313" s="456"/>
      <c r="D313" s="356"/>
      <c r="E313" s="452"/>
      <c r="F313" s="356"/>
      <c r="G313" s="356"/>
      <c r="H313" s="453"/>
      <c r="I313" s="453"/>
      <c r="J313" s="454"/>
      <c r="L313" s="454"/>
      <c r="M313" s="342"/>
      <c r="O313" s="356"/>
      <c r="P313" s="356"/>
      <c r="Q313" s="356"/>
      <c r="R313" s="356"/>
      <c r="S313" s="356"/>
      <c r="T313" s="356"/>
      <c r="U313" s="356"/>
      <c r="V313" s="356"/>
      <c r="W313" s="356"/>
      <c r="X313" s="356"/>
      <c r="Y313" s="356"/>
      <c r="Z313" s="356"/>
      <c r="AA313" s="356"/>
      <c r="AB313" s="356"/>
      <c r="AC313" s="356"/>
      <c r="AD313" s="356"/>
      <c r="AE313" s="356"/>
      <c r="AF313" s="356"/>
    </row>
    <row r="314">
      <c r="A314" s="341"/>
      <c r="B314" s="356"/>
      <c r="C314" s="456"/>
      <c r="D314" s="356"/>
      <c r="E314" s="452"/>
      <c r="F314" s="356"/>
      <c r="G314" s="356"/>
      <c r="H314" s="453"/>
      <c r="I314" s="453"/>
      <c r="J314" s="454"/>
      <c r="L314" s="454"/>
      <c r="M314" s="342"/>
      <c r="O314" s="356"/>
      <c r="P314" s="356"/>
      <c r="Q314" s="356"/>
      <c r="R314" s="356"/>
      <c r="S314" s="356"/>
      <c r="T314" s="356"/>
      <c r="U314" s="356"/>
      <c r="V314" s="356"/>
      <c r="W314" s="356"/>
      <c r="X314" s="356"/>
      <c r="Y314" s="356"/>
      <c r="Z314" s="356"/>
      <c r="AA314" s="356"/>
      <c r="AB314" s="356"/>
      <c r="AC314" s="356"/>
      <c r="AD314" s="356"/>
      <c r="AE314" s="356"/>
      <c r="AF314" s="356"/>
    </row>
    <row r="315">
      <c r="A315" s="341"/>
      <c r="B315" s="356"/>
      <c r="C315" s="456"/>
      <c r="D315" s="356"/>
      <c r="E315" s="452"/>
      <c r="F315" s="356"/>
      <c r="G315" s="356"/>
      <c r="H315" s="453"/>
      <c r="I315" s="453"/>
      <c r="J315" s="454"/>
      <c r="L315" s="454"/>
      <c r="M315" s="342"/>
      <c r="O315" s="356"/>
      <c r="P315" s="356"/>
      <c r="Q315" s="356"/>
      <c r="R315" s="356"/>
      <c r="S315" s="356"/>
      <c r="T315" s="356"/>
      <c r="U315" s="356"/>
      <c r="V315" s="356"/>
      <c r="W315" s="356"/>
      <c r="X315" s="356"/>
      <c r="Y315" s="356"/>
      <c r="Z315" s="356"/>
      <c r="AA315" s="356"/>
      <c r="AB315" s="356"/>
      <c r="AC315" s="356"/>
      <c r="AD315" s="356"/>
      <c r="AE315" s="356"/>
      <c r="AF315" s="356"/>
    </row>
    <row r="316">
      <c r="A316" s="341"/>
      <c r="B316" s="356"/>
      <c r="C316" s="456"/>
      <c r="D316" s="356"/>
      <c r="E316" s="452"/>
      <c r="F316" s="356"/>
      <c r="G316" s="356"/>
      <c r="H316" s="453"/>
      <c r="I316" s="453"/>
      <c r="J316" s="454"/>
      <c r="L316" s="454"/>
      <c r="M316" s="342"/>
      <c r="O316" s="356"/>
      <c r="P316" s="356"/>
      <c r="Q316" s="356"/>
      <c r="R316" s="356"/>
      <c r="S316" s="356"/>
      <c r="T316" s="356"/>
      <c r="U316" s="356"/>
      <c r="V316" s="356"/>
      <c r="W316" s="356"/>
      <c r="X316" s="356"/>
      <c r="Y316" s="356"/>
      <c r="Z316" s="356"/>
      <c r="AA316" s="356"/>
      <c r="AB316" s="356"/>
      <c r="AC316" s="356"/>
      <c r="AD316" s="356"/>
      <c r="AE316" s="356"/>
      <c r="AF316" s="356"/>
    </row>
    <row r="317">
      <c r="A317" s="341"/>
      <c r="B317" s="356"/>
      <c r="C317" s="456"/>
      <c r="D317" s="356"/>
      <c r="E317" s="452"/>
      <c r="F317" s="356"/>
      <c r="G317" s="356"/>
      <c r="H317" s="453"/>
      <c r="I317" s="453"/>
      <c r="J317" s="454"/>
      <c r="L317" s="454"/>
      <c r="M317" s="342"/>
      <c r="O317" s="356"/>
      <c r="P317" s="356"/>
      <c r="Q317" s="356"/>
      <c r="R317" s="356"/>
      <c r="S317" s="356"/>
      <c r="T317" s="356"/>
      <c r="U317" s="356"/>
      <c r="V317" s="356"/>
      <c r="W317" s="356"/>
      <c r="X317" s="356"/>
      <c r="Y317" s="356"/>
      <c r="Z317" s="356"/>
      <c r="AA317" s="356"/>
      <c r="AB317" s="356"/>
      <c r="AC317" s="356"/>
      <c r="AD317" s="356"/>
      <c r="AE317" s="356"/>
      <c r="AF317" s="356"/>
    </row>
    <row r="318">
      <c r="A318" s="341"/>
      <c r="B318" s="356"/>
      <c r="C318" s="456"/>
      <c r="D318" s="356"/>
      <c r="E318" s="452"/>
      <c r="F318" s="356"/>
      <c r="G318" s="356"/>
      <c r="H318" s="453"/>
      <c r="I318" s="453"/>
      <c r="J318" s="454"/>
      <c r="L318" s="454"/>
      <c r="M318" s="342"/>
      <c r="O318" s="356"/>
      <c r="P318" s="356"/>
      <c r="Q318" s="356"/>
      <c r="R318" s="356"/>
      <c r="S318" s="356"/>
      <c r="T318" s="356"/>
      <c r="U318" s="356"/>
      <c r="V318" s="356"/>
      <c r="W318" s="356"/>
      <c r="X318" s="356"/>
      <c r="Y318" s="356"/>
      <c r="Z318" s="356"/>
      <c r="AA318" s="356"/>
      <c r="AB318" s="356"/>
      <c r="AC318" s="356"/>
      <c r="AD318" s="356"/>
      <c r="AE318" s="356"/>
      <c r="AF318" s="356"/>
    </row>
    <row r="319">
      <c r="A319" s="341"/>
      <c r="B319" s="356"/>
      <c r="C319" s="456"/>
      <c r="D319" s="356"/>
      <c r="E319" s="452"/>
      <c r="F319" s="356"/>
      <c r="G319" s="356"/>
      <c r="H319" s="453"/>
      <c r="I319" s="453"/>
      <c r="J319" s="454"/>
      <c r="L319" s="454"/>
      <c r="M319" s="342"/>
      <c r="O319" s="356"/>
      <c r="P319" s="356"/>
      <c r="Q319" s="356"/>
      <c r="R319" s="356"/>
      <c r="S319" s="356"/>
      <c r="T319" s="356"/>
      <c r="U319" s="356"/>
      <c r="V319" s="356"/>
      <c r="W319" s="356"/>
      <c r="X319" s="356"/>
      <c r="Y319" s="356"/>
      <c r="Z319" s="356"/>
      <c r="AA319" s="356"/>
      <c r="AB319" s="356"/>
      <c r="AC319" s="356"/>
      <c r="AD319" s="356"/>
      <c r="AE319" s="356"/>
      <c r="AF319" s="356"/>
    </row>
    <row r="320">
      <c r="A320" s="341"/>
      <c r="B320" s="356"/>
      <c r="C320" s="456"/>
      <c r="D320" s="356"/>
      <c r="E320" s="452"/>
      <c r="F320" s="356"/>
      <c r="G320" s="356"/>
      <c r="H320" s="453"/>
      <c r="I320" s="453"/>
      <c r="J320" s="454"/>
      <c r="L320" s="454"/>
      <c r="M320" s="342"/>
      <c r="O320" s="356"/>
      <c r="P320" s="356"/>
      <c r="Q320" s="356"/>
      <c r="R320" s="356"/>
      <c r="S320" s="356"/>
      <c r="T320" s="356"/>
      <c r="U320" s="356"/>
      <c r="V320" s="356"/>
      <c r="W320" s="356"/>
      <c r="X320" s="356"/>
      <c r="Y320" s="356"/>
      <c r="Z320" s="356"/>
      <c r="AA320" s="356"/>
      <c r="AB320" s="356"/>
      <c r="AC320" s="356"/>
      <c r="AD320" s="356"/>
      <c r="AE320" s="356"/>
      <c r="AF320" s="356"/>
    </row>
    <row r="321">
      <c r="A321" s="341"/>
      <c r="B321" s="356"/>
      <c r="C321" s="456"/>
      <c r="D321" s="356"/>
      <c r="E321" s="452"/>
      <c r="F321" s="356"/>
      <c r="G321" s="356"/>
      <c r="H321" s="453"/>
      <c r="I321" s="453"/>
      <c r="J321" s="454"/>
      <c r="L321" s="454"/>
      <c r="M321" s="342"/>
      <c r="O321" s="356"/>
      <c r="P321" s="356"/>
      <c r="Q321" s="356"/>
      <c r="R321" s="356"/>
      <c r="S321" s="356"/>
      <c r="T321" s="356"/>
      <c r="U321" s="356"/>
      <c r="V321" s="356"/>
      <c r="W321" s="356"/>
      <c r="X321" s="356"/>
      <c r="Y321" s="356"/>
      <c r="Z321" s="356"/>
      <c r="AA321" s="356"/>
      <c r="AB321" s="356"/>
      <c r="AC321" s="356"/>
      <c r="AD321" s="356"/>
      <c r="AE321" s="356"/>
      <c r="AF321" s="356"/>
    </row>
    <row r="322">
      <c r="A322" s="341"/>
      <c r="B322" s="356"/>
      <c r="C322" s="456"/>
      <c r="D322" s="356"/>
      <c r="E322" s="452"/>
      <c r="F322" s="356"/>
      <c r="G322" s="356"/>
      <c r="H322" s="453"/>
      <c r="I322" s="453"/>
      <c r="J322" s="454"/>
      <c r="L322" s="454"/>
      <c r="M322" s="342"/>
      <c r="O322" s="356"/>
      <c r="P322" s="356"/>
      <c r="Q322" s="356"/>
      <c r="R322" s="356"/>
      <c r="S322" s="356"/>
      <c r="T322" s="356"/>
      <c r="U322" s="356"/>
      <c r="V322" s="356"/>
      <c r="W322" s="356"/>
      <c r="X322" s="356"/>
      <c r="Y322" s="356"/>
      <c r="Z322" s="356"/>
      <c r="AA322" s="356"/>
      <c r="AB322" s="356"/>
      <c r="AC322" s="356"/>
      <c r="AD322" s="356"/>
      <c r="AE322" s="356"/>
      <c r="AF322" s="356"/>
    </row>
    <row r="323">
      <c r="A323" s="341"/>
      <c r="B323" s="356"/>
      <c r="C323" s="456"/>
      <c r="D323" s="356"/>
      <c r="E323" s="452"/>
      <c r="F323" s="356"/>
      <c r="G323" s="356"/>
      <c r="H323" s="453"/>
      <c r="I323" s="453"/>
      <c r="J323" s="454"/>
      <c r="L323" s="454"/>
      <c r="M323" s="342"/>
      <c r="O323" s="356"/>
      <c r="P323" s="356"/>
      <c r="Q323" s="356"/>
      <c r="R323" s="356"/>
      <c r="S323" s="356"/>
      <c r="T323" s="356"/>
      <c r="U323" s="356"/>
      <c r="V323" s="356"/>
      <c r="W323" s="356"/>
      <c r="X323" s="356"/>
      <c r="Y323" s="356"/>
      <c r="Z323" s="356"/>
      <c r="AA323" s="356"/>
      <c r="AB323" s="356"/>
      <c r="AC323" s="356"/>
      <c r="AD323" s="356"/>
      <c r="AE323" s="356"/>
      <c r="AF323" s="356"/>
    </row>
    <row r="324">
      <c r="A324" s="341"/>
      <c r="B324" s="356"/>
      <c r="C324" s="456"/>
      <c r="D324" s="356"/>
      <c r="E324" s="452"/>
      <c r="F324" s="356"/>
      <c r="G324" s="356"/>
      <c r="H324" s="453"/>
      <c r="I324" s="453"/>
      <c r="J324" s="454"/>
      <c r="L324" s="454"/>
      <c r="M324" s="342"/>
      <c r="O324" s="356"/>
      <c r="P324" s="356"/>
      <c r="Q324" s="356"/>
      <c r="R324" s="356"/>
      <c r="S324" s="356"/>
      <c r="T324" s="356"/>
      <c r="U324" s="356"/>
      <c r="V324" s="356"/>
      <c r="W324" s="356"/>
      <c r="X324" s="356"/>
      <c r="Y324" s="356"/>
      <c r="Z324" s="356"/>
      <c r="AA324" s="356"/>
      <c r="AB324" s="356"/>
      <c r="AC324" s="356"/>
      <c r="AD324" s="356"/>
      <c r="AE324" s="356"/>
      <c r="AF324" s="356"/>
    </row>
    <row r="325">
      <c r="A325" s="341"/>
      <c r="B325" s="356"/>
      <c r="C325" s="456"/>
      <c r="D325" s="356"/>
      <c r="E325" s="452"/>
      <c r="F325" s="356"/>
      <c r="G325" s="356"/>
      <c r="H325" s="453"/>
      <c r="I325" s="453"/>
      <c r="J325" s="454"/>
      <c r="L325" s="454"/>
      <c r="M325" s="342"/>
      <c r="O325" s="356"/>
      <c r="P325" s="356"/>
      <c r="Q325" s="356"/>
      <c r="R325" s="356"/>
      <c r="S325" s="356"/>
      <c r="T325" s="356"/>
      <c r="U325" s="356"/>
      <c r="V325" s="356"/>
      <c r="W325" s="356"/>
      <c r="X325" s="356"/>
      <c r="Y325" s="356"/>
      <c r="Z325" s="356"/>
      <c r="AA325" s="356"/>
      <c r="AB325" s="356"/>
      <c r="AC325" s="356"/>
      <c r="AD325" s="356"/>
      <c r="AE325" s="356"/>
      <c r="AF325" s="356"/>
    </row>
    <row r="326">
      <c r="A326" s="341"/>
      <c r="B326" s="356"/>
      <c r="C326" s="456"/>
      <c r="D326" s="356"/>
      <c r="E326" s="452"/>
      <c r="F326" s="356"/>
      <c r="G326" s="356"/>
      <c r="H326" s="453"/>
      <c r="I326" s="453"/>
      <c r="J326" s="454"/>
      <c r="L326" s="454"/>
      <c r="M326" s="342"/>
      <c r="O326" s="356"/>
      <c r="P326" s="356"/>
      <c r="Q326" s="356"/>
      <c r="R326" s="356"/>
      <c r="S326" s="356"/>
      <c r="T326" s="356"/>
      <c r="U326" s="356"/>
      <c r="V326" s="356"/>
      <c r="W326" s="356"/>
      <c r="X326" s="356"/>
      <c r="Y326" s="356"/>
      <c r="Z326" s="356"/>
      <c r="AA326" s="356"/>
      <c r="AB326" s="356"/>
      <c r="AC326" s="356"/>
      <c r="AD326" s="356"/>
      <c r="AE326" s="356"/>
      <c r="AF326" s="356"/>
    </row>
    <row r="327">
      <c r="A327" s="341"/>
      <c r="B327" s="356"/>
      <c r="C327" s="456"/>
      <c r="D327" s="356"/>
      <c r="E327" s="452"/>
      <c r="F327" s="356"/>
      <c r="G327" s="356"/>
      <c r="H327" s="453"/>
      <c r="I327" s="453"/>
      <c r="J327" s="454"/>
      <c r="L327" s="454"/>
      <c r="M327" s="342"/>
      <c r="O327" s="356"/>
      <c r="P327" s="356"/>
      <c r="Q327" s="356"/>
      <c r="R327" s="356"/>
      <c r="S327" s="356"/>
      <c r="T327" s="356"/>
      <c r="U327" s="356"/>
      <c r="V327" s="356"/>
      <c r="W327" s="356"/>
      <c r="X327" s="356"/>
      <c r="Y327" s="356"/>
      <c r="Z327" s="356"/>
      <c r="AA327" s="356"/>
      <c r="AB327" s="356"/>
      <c r="AC327" s="356"/>
      <c r="AD327" s="356"/>
      <c r="AE327" s="356"/>
      <c r="AF327" s="356"/>
    </row>
    <row r="328">
      <c r="A328" s="341"/>
      <c r="B328" s="356"/>
      <c r="C328" s="456"/>
      <c r="D328" s="356"/>
      <c r="E328" s="452"/>
      <c r="F328" s="356"/>
      <c r="G328" s="356"/>
      <c r="H328" s="453"/>
      <c r="I328" s="453"/>
      <c r="J328" s="454"/>
      <c r="L328" s="454"/>
      <c r="M328" s="342"/>
      <c r="O328" s="356"/>
      <c r="P328" s="356"/>
      <c r="Q328" s="356"/>
      <c r="R328" s="356"/>
      <c r="S328" s="356"/>
      <c r="T328" s="356"/>
      <c r="U328" s="356"/>
      <c r="V328" s="356"/>
      <c r="W328" s="356"/>
      <c r="X328" s="356"/>
      <c r="Y328" s="356"/>
      <c r="Z328" s="356"/>
      <c r="AA328" s="356"/>
      <c r="AB328" s="356"/>
      <c r="AC328" s="356"/>
      <c r="AD328" s="356"/>
      <c r="AE328" s="356"/>
      <c r="AF328" s="356"/>
    </row>
    <row r="329">
      <c r="A329" s="341"/>
      <c r="B329" s="356"/>
      <c r="C329" s="456"/>
      <c r="D329" s="356"/>
      <c r="E329" s="452"/>
      <c r="F329" s="356"/>
      <c r="G329" s="356"/>
      <c r="H329" s="453"/>
      <c r="I329" s="453"/>
      <c r="J329" s="454"/>
      <c r="L329" s="454"/>
      <c r="M329" s="342"/>
      <c r="O329" s="356"/>
      <c r="P329" s="356"/>
      <c r="Q329" s="356"/>
      <c r="R329" s="356"/>
      <c r="S329" s="356"/>
      <c r="T329" s="356"/>
      <c r="U329" s="356"/>
      <c r="V329" s="356"/>
      <c r="W329" s="356"/>
      <c r="X329" s="356"/>
      <c r="Y329" s="356"/>
      <c r="Z329" s="356"/>
      <c r="AA329" s="356"/>
      <c r="AB329" s="356"/>
      <c r="AC329" s="356"/>
      <c r="AD329" s="356"/>
      <c r="AE329" s="356"/>
      <c r="AF329" s="356"/>
    </row>
    <row r="330">
      <c r="A330" s="341"/>
      <c r="B330" s="356"/>
      <c r="C330" s="456"/>
      <c r="D330" s="356"/>
      <c r="E330" s="452"/>
      <c r="F330" s="356"/>
      <c r="G330" s="356"/>
      <c r="H330" s="453"/>
      <c r="I330" s="453"/>
      <c r="J330" s="454"/>
      <c r="L330" s="454"/>
      <c r="M330" s="342"/>
      <c r="O330" s="356"/>
      <c r="P330" s="356"/>
      <c r="Q330" s="356"/>
      <c r="R330" s="356"/>
      <c r="S330" s="356"/>
      <c r="T330" s="356"/>
      <c r="U330" s="356"/>
      <c r="V330" s="356"/>
      <c r="W330" s="356"/>
      <c r="X330" s="356"/>
      <c r="Y330" s="356"/>
      <c r="Z330" s="356"/>
      <c r="AA330" s="356"/>
      <c r="AB330" s="356"/>
      <c r="AC330" s="356"/>
      <c r="AD330" s="356"/>
      <c r="AE330" s="356"/>
      <c r="AF330" s="356"/>
    </row>
    <row r="331">
      <c r="A331" s="341"/>
      <c r="B331" s="356"/>
      <c r="C331" s="456"/>
      <c r="D331" s="356"/>
      <c r="E331" s="452"/>
      <c r="F331" s="356"/>
      <c r="G331" s="356"/>
      <c r="H331" s="453"/>
      <c r="I331" s="453"/>
      <c r="J331" s="454"/>
      <c r="L331" s="454"/>
      <c r="M331" s="342"/>
      <c r="O331" s="356"/>
      <c r="P331" s="356"/>
      <c r="Q331" s="356"/>
      <c r="R331" s="356"/>
      <c r="S331" s="356"/>
      <c r="T331" s="356"/>
      <c r="U331" s="356"/>
      <c r="V331" s="356"/>
      <c r="W331" s="356"/>
      <c r="X331" s="356"/>
      <c r="Y331" s="356"/>
      <c r="Z331" s="356"/>
      <c r="AA331" s="356"/>
      <c r="AB331" s="356"/>
      <c r="AC331" s="356"/>
      <c r="AD331" s="356"/>
      <c r="AE331" s="356"/>
      <c r="AF331" s="356"/>
    </row>
    <row r="332">
      <c r="A332" s="341"/>
      <c r="B332" s="356"/>
      <c r="C332" s="456"/>
      <c r="D332" s="356"/>
      <c r="E332" s="452"/>
      <c r="F332" s="356"/>
      <c r="G332" s="356"/>
      <c r="H332" s="453"/>
      <c r="I332" s="453"/>
      <c r="J332" s="454"/>
      <c r="L332" s="454"/>
      <c r="M332" s="342"/>
      <c r="O332" s="356"/>
      <c r="P332" s="356"/>
      <c r="Q332" s="356"/>
      <c r="R332" s="356"/>
      <c r="S332" s="356"/>
      <c r="T332" s="356"/>
      <c r="U332" s="356"/>
      <c r="V332" s="356"/>
      <c r="W332" s="356"/>
      <c r="X332" s="356"/>
      <c r="Y332" s="356"/>
      <c r="Z332" s="356"/>
      <c r="AA332" s="356"/>
      <c r="AB332" s="356"/>
      <c r="AC332" s="356"/>
      <c r="AD332" s="356"/>
      <c r="AE332" s="356"/>
      <c r="AF332" s="356"/>
    </row>
    <row r="333">
      <c r="A333" s="341"/>
      <c r="B333" s="356"/>
      <c r="C333" s="456"/>
      <c r="D333" s="356"/>
      <c r="E333" s="452"/>
      <c r="F333" s="356"/>
      <c r="G333" s="356"/>
      <c r="H333" s="453"/>
      <c r="I333" s="453"/>
      <c r="J333" s="454"/>
      <c r="L333" s="454"/>
      <c r="M333" s="342"/>
      <c r="O333" s="356"/>
      <c r="P333" s="356"/>
      <c r="Q333" s="356"/>
      <c r="R333" s="356"/>
      <c r="S333" s="356"/>
      <c r="T333" s="356"/>
      <c r="U333" s="356"/>
      <c r="V333" s="356"/>
      <c r="W333" s="356"/>
      <c r="X333" s="356"/>
      <c r="Y333" s="356"/>
      <c r="Z333" s="356"/>
      <c r="AA333" s="356"/>
      <c r="AB333" s="356"/>
      <c r="AC333" s="356"/>
      <c r="AD333" s="356"/>
      <c r="AE333" s="356"/>
      <c r="AF333" s="356"/>
    </row>
    <row r="334">
      <c r="A334" s="341"/>
      <c r="B334" s="356"/>
      <c r="C334" s="456"/>
      <c r="D334" s="356"/>
      <c r="E334" s="452"/>
      <c r="F334" s="356"/>
      <c r="G334" s="356"/>
      <c r="H334" s="453"/>
      <c r="I334" s="453"/>
      <c r="J334" s="454"/>
      <c r="L334" s="454"/>
      <c r="M334" s="342"/>
      <c r="O334" s="356"/>
      <c r="P334" s="356"/>
      <c r="Q334" s="356"/>
      <c r="R334" s="356"/>
      <c r="S334" s="356"/>
      <c r="T334" s="356"/>
      <c r="U334" s="356"/>
      <c r="V334" s="356"/>
      <c r="W334" s="356"/>
      <c r="X334" s="356"/>
      <c r="Y334" s="356"/>
      <c r="Z334" s="356"/>
      <c r="AA334" s="356"/>
      <c r="AB334" s="356"/>
      <c r="AC334" s="356"/>
      <c r="AD334" s="356"/>
      <c r="AE334" s="356"/>
      <c r="AF334" s="356"/>
    </row>
    <row r="335">
      <c r="A335" s="341"/>
      <c r="B335" s="356"/>
      <c r="C335" s="456"/>
      <c r="D335" s="356"/>
      <c r="E335" s="452"/>
      <c r="F335" s="356"/>
      <c r="G335" s="356"/>
      <c r="H335" s="453"/>
      <c r="I335" s="453"/>
      <c r="J335" s="454"/>
      <c r="L335" s="454"/>
      <c r="M335" s="342"/>
      <c r="O335" s="356"/>
      <c r="P335" s="356"/>
      <c r="Q335" s="356"/>
      <c r="R335" s="356"/>
      <c r="S335" s="356"/>
      <c r="T335" s="356"/>
      <c r="U335" s="356"/>
      <c r="V335" s="356"/>
      <c r="W335" s="356"/>
      <c r="X335" s="356"/>
      <c r="Y335" s="356"/>
      <c r="Z335" s="356"/>
      <c r="AA335" s="356"/>
      <c r="AB335" s="356"/>
      <c r="AC335" s="356"/>
      <c r="AD335" s="356"/>
      <c r="AE335" s="356"/>
      <c r="AF335" s="356"/>
    </row>
    <row r="336">
      <c r="A336" s="341"/>
      <c r="B336" s="356"/>
      <c r="C336" s="456"/>
      <c r="D336" s="356"/>
      <c r="E336" s="452"/>
      <c r="F336" s="356"/>
      <c r="G336" s="356"/>
      <c r="H336" s="453"/>
      <c r="I336" s="453"/>
      <c r="J336" s="454"/>
      <c r="L336" s="454"/>
      <c r="M336" s="342"/>
      <c r="O336" s="356"/>
      <c r="P336" s="356"/>
      <c r="Q336" s="356"/>
      <c r="R336" s="356"/>
      <c r="S336" s="356"/>
      <c r="T336" s="356"/>
      <c r="U336" s="356"/>
      <c r="V336" s="356"/>
      <c r="W336" s="356"/>
      <c r="X336" s="356"/>
      <c r="Y336" s="356"/>
      <c r="Z336" s="356"/>
      <c r="AA336" s="356"/>
      <c r="AB336" s="356"/>
      <c r="AC336" s="356"/>
      <c r="AD336" s="356"/>
      <c r="AE336" s="356"/>
      <c r="AF336" s="356"/>
    </row>
    <row r="337">
      <c r="A337" s="341"/>
      <c r="B337" s="356"/>
      <c r="C337" s="456"/>
      <c r="D337" s="356"/>
      <c r="E337" s="452"/>
      <c r="F337" s="356"/>
      <c r="G337" s="356"/>
      <c r="H337" s="453"/>
      <c r="I337" s="453"/>
      <c r="J337" s="454"/>
      <c r="L337" s="454"/>
      <c r="M337" s="342"/>
      <c r="O337" s="356"/>
      <c r="P337" s="356"/>
      <c r="Q337" s="356"/>
      <c r="R337" s="356"/>
      <c r="S337" s="356"/>
      <c r="T337" s="356"/>
      <c r="U337" s="356"/>
      <c r="V337" s="356"/>
      <c r="W337" s="356"/>
      <c r="X337" s="356"/>
      <c r="Y337" s="356"/>
      <c r="Z337" s="356"/>
      <c r="AA337" s="356"/>
      <c r="AB337" s="356"/>
      <c r="AC337" s="356"/>
      <c r="AD337" s="356"/>
      <c r="AE337" s="356"/>
      <c r="AF337" s="356"/>
    </row>
    <row r="338">
      <c r="A338" s="341"/>
      <c r="B338" s="356"/>
      <c r="C338" s="456"/>
      <c r="D338" s="356"/>
      <c r="E338" s="452"/>
      <c r="F338" s="356"/>
      <c r="G338" s="356"/>
      <c r="H338" s="453"/>
      <c r="I338" s="453"/>
      <c r="J338" s="454"/>
      <c r="L338" s="454"/>
      <c r="M338" s="342"/>
      <c r="O338" s="356"/>
      <c r="P338" s="356"/>
      <c r="Q338" s="356"/>
      <c r="R338" s="356"/>
      <c r="S338" s="356"/>
      <c r="T338" s="356"/>
      <c r="U338" s="356"/>
      <c r="V338" s="356"/>
      <c r="W338" s="356"/>
      <c r="X338" s="356"/>
      <c r="Y338" s="356"/>
      <c r="Z338" s="356"/>
      <c r="AA338" s="356"/>
      <c r="AB338" s="356"/>
      <c r="AC338" s="356"/>
      <c r="AD338" s="356"/>
      <c r="AE338" s="356"/>
      <c r="AF338" s="356"/>
    </row>
    <row r="339">
      <c r="A339" s="341"/>
      <c r="B339" s="356"/>
      <c r="C339" s="456"/>
      <c r="D339" s="356"/>
      <c r="E339" s="452"/>
      <c r="F339" s="356"/>
      <c r="G339" s="356"/>
      <c r="H339" s="453"/>
      <c r="I339" s="453"/>
      <c r="J339" s="454"/>
      <c r="L339" s="454"/>
      <c r="M339" s="342"/>
      <c r="O339" s="356"/>
      <c r="P339" s="356"/>
      <c r="Q339" s="356"/>
      <c r="R339" s="356"/>
      <c r="S339" s="356"/>
      <c r="T339" s="356"/>
      <c r="U339" s="356"/>
      <c r="V339" s="356"/>
      <c r="W339" s="356"/>
      <c r="X339" s="356"/>
      <c r="Y339" s="356"/>
      <c r="Z339" s="356"/>
      <c r="AA339" s="356"/>
      <c r="AB339" s="356"/>
      <c r="AC339" s="356"/>
      <c r="AD339" s="356"/>
      <c r="AE339" s="356"/>
      <c r="AF339" s="356"/>
    </row>
    <row r="340">
      <c r="A340" s="341"/>
      <c r="B340" s="356"/>
      <c r="C340" s="456"/>
      <c r="D340" s="356"/>
      <c r="E340" s="452"/>
      <c r="F340" s="356"/>
      <c r="G340" s="356"/>
      <c r="H340" s="453"/>
      <c r="I340" s="453"/>
      <c r="J340" s="454"/>
      <c r="L340" s="454"/>
      <c r="M340" s="342"/>
      <c r="O340" s="356"/>
      <c r="P340" s="356"/>
      <c r="Q340" s="356"/>
      <c r="R340" s="356"/>
      <c r="S340" s="356"/>
      <c r="T340" s="356"/>
      <c r="U340" s="356"/>
      <c r="V340" s="356"/>
      <c r="W340" s="356"/>
      <c r="X340" s="356"/>
      <c r="Y340" s="356"/>
      <c r="Z340" s="356"/>
      <c r="AA340" s="356"/>
      <c r="AB340" s="356"/>
      <c r="AC340" s="356"/>
      <c r="AD340" s="356"/>
      <c r="AE340" s="356"/>
      <c r="AF340" s="356"/>
    </row>
    <row r="341">
      <c r="A341" s="341"/>
      <c r="B341" s="356"/>
      <c r="C341" s="456"/>
      <c r="D341" s="356"/>
      <c r="E341" s="452"/>
      <c r="F341" s="356"/>
      <c r="G341" s="356"/>
      <c r="H341" s="453"/>
      <c r="I341" s="453"/>
      <c r="J341" s="454"/>
      <c r="L341" s="454"/>
      <c r="M341" s="342"/>
      <c r="O341" s="356"/>
      <c r="P341" s="356"/>
      <c r="Q341" s="356"/>
      <c r="R341" s="356"/>
      <c r="S341" s="356"/>
      <c r="T341" s="356"/>
      <c r="U341" s="356"/>
      <c r="V341" s="356"/>
      <c r="W341" s="356"/>
      <c r="X341" s="356"/>
      <c r="Y341" s="356"/>
      <c r="Z341" s="356"/>
      <c r="AA341" s="356"/>
      <c r="AB341" s="356"/>
      <c r="AC341" s="356"/>
      <c r="AD341" s="356"/>
      <c r="AE341" s="356"/>
      <c r="AF341" s="356"/>
    </row>
    <row r="342">
      <c r="A342" s="341"/>
      <c r="B342" s="356"/>
      <c r="C342" s="456"/>
      <c r="D342" s="356"/>
      <c r="E342" s="452"/>
      <c r="F342" s="356"/>
      <c r="G342" s="356"/>
      <c r="H342" s="453"/>
      <c r="I342" s="453"/>
      <c r="J342" s="454"/>
      <c r="L342" s="454"/>
      <c r="M342" s="342"/>
      <c r="O342" s="356"/>
      <c r="P342" s="356"/>
      <c r="Q342" s="356"/>
      <c r="R342" s="356"/>
      <c r="S342" s="356"/>
      <c r="T342" s="356"/>
      <c r="U342" s="356"/>
      <c r="V342" s="356"/>
      <c r="W342" s="356"/>
      <c r="X342" s="356"/>
      <c r="Y342" s="356"/>
      <c r="Z342" s="356"/>
      <c r="AA342" s="356"/>
      <c r="AB342" s="356"/>
      <c r="AC342" s="356"/>
      <c r="AD342" s="356"/>
      <c r="AE342" s="356"/>
      <c r="AF342" s="356"/>
    </row>
    <row r="343">
      <c r="A343" s="341"/>
      <c r="B343" s="356"/>
      <c r="C343" s="456"/>
      <c r="D343" s="356"/>
      <c r="E343" s="452"/>
      <c r="F343" s="356"/>
      <c r="G343" s="356"/>
      <c r="H343" s="453"/>
      <c r="I343" s="453"/>
      <c r="J343" s="454"/>
      <c r="L343" s="454"/>
      <c r="M343" s="342"/>
      <c r="O343" s="356"/>
      <c r="P343" s="356"/>
      <c r="Q343" s="356"/>
      <c r="R343" s="356"/>
      <c r="S343" s="356"/>
      <c r="T343" s="356"/>
      <c r="U343" s="356"/>
      <c r="V343" s="356"/>
      <c r="W343" s="356"/>
      <c r="X343" s="356"/>
      <c r="Y343" s="356"/>
      <c r="Z343" s="356"/>
      <c r="AA343" s="356"/>
      <c r="AB343" s="356"/>
      <c r="AC343" s="356"/>
      <c r="AD343" s="356"/>
      <c r="AE343" s="356"/>
      <c r="AF343" s="356"/>
    </row>
    <row r="344">
      <c r="A344" s="341"/>
      <c r="B344" s="356"/>
      <c r="C344" s="456"/>
      <c r="D344" s="356"/>
      <c r="E344" s="452"/>
      <c r="F344" s="356"/>
      <c r="G344" s="356"/>
      <c r="H344" s="453"/>
      <c r="I344" s="453"/>
      <c r="J344" s="454"/>
      <c r="L344" s="454"/>
      <c r="M344" s="342"/>
      <c r="O344" s="356"/>
      <c r="P344" s="356"/>
      <c r="Q344" s="356"/>
      <c r="R344" s="356"/>
      <c r="S344" s="356"/>
      <c r="T344" s="356"/>
      <c r="U344" s="356"/>
      <c r="V344" s="356"/>
      <c r="W344" s="356"/>
      <c r="X344" s="356"/>
      <c r="Y344" s="356"/>
      <c r="Z344" s="356"/>
      <c r="AA344" s="356"/>
      <c r="AB344" s="356"/>
      <c r="AC344" s="356"/>
      <c r="AD344" s="356"/>
      <c r="AE344" s="356"/>
      <c r="AF344" s="356"/>
    </row>
    <row r="345">
      <c r="A345" s="341"/>
      <c r="B345" s="356"/>
      <c r="C345" s="456"/>
      <c r="D345" s="356"/>
      <c r="E345" s="452"/>
      <c r="F345" s="356"/>
      <c r="G345" s="356"/>
      <c r="H345" s="453"/>
      <c r="I345" s="453"/>
      <c r="J345" s="454"/>
      <c r="L345" s="454"/>
      <c r="M345" s="342"/>
      <c r="O345" s="356"/>
      <c r="P345" s="356"/>
      <c r="Q345" s="356"/>
      <c r="R345" s="356"/>
      <c r="S345" s="356"/>
      <c r="T345" s="356"/>
      <c r="U345" s="356"/>
      <c r="V345" s="356"/>
      <c r="W345" s="356"/>
      <c r="X345" s="356"/>
      <c r="Y345" s="356"/>
      <c r="Z345" s="356"/>
      <c r="AA345" s="356"/>
      <c r="AB345" s="356"/>
      <c r="AC345" s="356"/>
      <c r="AD345" s="356"/>
      <c r="AE345" s="356"/>
      <c r="AF345" s="356"/>
    </row>
    <row r="346">
      <c r="A346" s="341"/>
      <c r="B346" s="356"/>
      <c r="C346" s="456"/>
      <c r="D346" s="356"/>
      <c r="E346" s="452"/>
      <c r="F346" s="356"/>
      <c r="G346" s="356"/>
      <c r="H346" s="453"/>
      <c r="I346" s="453"/>
      <c r="J346" s="454"/>
      <c r="L346" s="454"/>
      <c r="M346" s="342"/>
      <c r="O346" s="356"/>
      <c r="P346" s="356"/>
      <c r="Q346" s="356"/>
      <c r="R346" s="356"/>
      <c r="S346" s="356"/>
      <c r="T346" s="356"/>
      <c r="U346" s="356"/>
      <c r="V346" s="356"/>
      <c r="W346" s="356"/>
      <c r="X346" s="356"/>
      <c r="Y346" s="356"/>
      <c r="Z346" s="356"/>
      <c r="AA346" s="356"/>
      <c r="AB346" s="356"/>
      <c r="AC346" s="356"/>
      <c r="AD346" s="356"/>
      <c r="AE346" s="356"/>
      <c r="AF346" s="356"/>
    </row>
    <row r="347">
      <c r="A347" s="341"/>
      <c r="B347" s="356"/>
      <c r="C347" s="456"/>
      <c r="D347" s="356"/>
      <c r="E347" s="452"/>
      <c r="F347" s="356"/>
      <c r="G347" s="356"/>
      <c r="H347" s="453"/>
      <c r="I347" s="453"/>
      <c r="J347" s="454"/>
      <c r="L347" s="454"/>
      <c r="M347" s="342"/>
      <c r="O347" s="356"/>
      <c r="P347" s="356"/>
      <c r="Q347" s="356"/>
      <c r="R347" s="356"/>
      <c r="S347" s="356"/>
      <c r="T347" s="356"/>
      <c r="U347" s="356"/>
      <c r="V347" s="356"/>
      <c r="W347" s="356"/>
      <c r="X347" s="356"/>
      <c r="Y347" s="356"/>
      <c r="Z347" s="356"/>
      <c r="AA347" s="356"/>
      <c r="AB347" s="356"/>
      <c r="AC347" s="356"/>
      <c r="AD347" s="356"/>
      <c r="AE347" s="356"/>
      <c r="AF347" s="356"/>
    </row>
    <row r="348">
      <c r="A348" s="341"/>
      <c r="B348" s="356"/>
      <c r="C348" s="456"/>
      <c r="D348" s="356"/>
      <c r="E348" s="452"/>
      <c r="F348" s="356"/>
      <c r="G348" s="356"/>
      <c r="H348" s="453"/>
      <c r="I348" s="453"/>
      <c r="J348" s="454"/>
      <c r="L348" s="454"/>
      <c r="M348" s="342"/>
      <c r="O348" s="356"/>
      <c r="P348" s="356"/>
      <c r="Q348" s="356"/>
      <c r="R348" s="356"/>
      <c r="S348" s="356"/>
      <c r="T348" s="356"/>
      <c r="U348" s="356"/>
      <c r="V348" s="356"/>
      <c r="W348" s="356"/>
      <c r="X348" s="356"/>
      <c r="Y348" s="356"/>
      <c r="Z348" s="356"/>
      <c r="AA348" s="356"/>
      <c r="AB348" s="356"/>
      <c r="AC348" s="356"/>
      <c r="AD348" s="356"/>
      <c r="AE348" s="356"/>
      <c r="AF348" s="356"/>
    </row>
    <row r="349">
      <c r="A349" s="341"/>
      <c r="B349" s="356"/>
      <c r="C349" s="456"/>
      <c r="D349" s="356"/>
      <c r="E349" s="452"/>
      <c r="F349" s="356"/>
      <c r="G349" s="356"/>
      <c r="H349" s="453"/>
      <c r="I349" s="453"/>
      <c r="J349" s="454"/>
      <c r="L349" s="454"/>
      <c r="M349" s="342"/>
      <c r="O349" s="356"/>
      <c r="P349" s="356"/>
      <c r="Q349" s="356"/>
      <c r="R349" s="356"/>
      <c r="S349" s="356"/>
      <c r="T349" s="356"/>
      <c r="U349" s="356"/>
      <c r="V349" s="356"/>
      <c r="W349" s="356"/>
      <c r="X349" s="356"/>
      <c r="Y349" s="356"/>
      <c r="Z349" s="356"/>
      <c r="AA349" s="356"/>
      <c r="AB349" s="356"/>
      <c r="AC349" s="356"/>
      <c r="AD349" s="356"/>
      <c r="AE349" s="356"/>
      <c r="AF349" s="356"/>
    </row>
    <row r="350">
      <c r="A350" s="341"/>
      <c r="B350" s="356"/>
      <c r="C350" s="456"/>
      <c r="D350" s="356"/>
      <c r="E350" s="452"/>
      <c r="F350" s="356"/>
      <c r="G350" s="356"/>
      <c r="H350" s="453"/>
      <c r="I350" s="453"/>
      <c r="J350" s="454"/>
      <c r="L350" s="454"/>
      <c r="M350" s="342"/>
      <c r="O350" s="356"/>
      <c r="P350" s="356"/>
      <c r="Q350" s="356"/>
      <c r="R350" s="356"/>
      <c r="S350" s="356"/>
      <c r="T350" s="356"/>
      <c r="U350" s="356"/>
      <c r="V350" s="356"/>
      <c r="W350" s="356"/>
      <c r="X350" s="356"/>
      <c r="Y350" s="356"/>
      <c r="Z350" s="356"/>
      <c r="AA350" s="356"/>
      <c r="AB350" s="356"/>
      <c r="AC350" s="356"/>
      <c r="AD350" s="356"/>
      <c r="AE350" s="356"/>
      <c r="AF350" s="356"/>
    </row>
    <row r="351">
      <c r="A351" s="341"/>
      <c r="B351" s="356"/>
      <c r="C351" s="456"/>
      <c r="D351" s="356"/>
      <c r="E351" s="452"/>
      <c r="F351" s="356"/>
      <c r="G351" s="356"/>
      <c r="H351" s="453"/>
      <c r="I351" s="453"/>
      <c r="J351" s="454"/>
      <c r="L351" s="454"/>
      <c r="M351" s="342"/>
      <c r="O351" s="356"/>
      <c r="P351" s="356"/>
      <c r="Q351" s="356"/>
      <c r="R351" s="356"/>
      <c r="S351" s="356"/>
      <c r="T351" s="356"/>
      <c r="U351" s="356"/>
      <c r="V351" s="356"/>
      <c r="W351" s="356"/>
      <c r="X351" s="356"/>
      <c r="Y351" s="356"/>
      <c r="Z351" s="356"/>
      <c r="AA351" s="356"/>
      <c r="AB351" s="356"/>
      <c r="AC351" s="356"/>
      <c r="AD351" s="356"/>
      <c r="AE351" s="356"/>
      <c r="AF351" s="356"/>
    </row>
    <row r="352">
      <c r="A352" s="341"/>
      <c r="B352" s="356"/>
      <c r="C352" s="456"/>
      <c r="D352" s="356"/>
      <c r="E352" s="452"/>
      <c r="F352" s="356"/>
      <c r="G352" s="356"/>
      <c r="H352" s="453"/>
      <c r="I352" s="453"/>
      <c r="J352" s="454"/>
      <c r="L352" s="454"/>
      <c r="M352" s="342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</row>
    <row r="353">
      <c r="A353" s="341"/>
      <c r="B353" s="356"/>
      <c r="C353" s="456"/>
      <c r="D353" s="356"/>
      <c r="E353" s="452"/>
      <c r="F353" s="356"/>
      <c r="G353" s="356"/>
      <c r="H353" s="453"/>
      <c r="I353" s="453"/>
      <c r="J353" s="454"/>
      <c r="L353" s="454"/>
      <c r="M353" s="342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</row>
    <row r="354">
      <c r="A354" s="341"/>
      <c r="B354" s="356"/>
      <c r="C354" s="456"/>
      <c r="D354" s="356"/>
      <c r="E354" s="452"/>
      <c r="F354" s="356"/>
      <c r="G354" s="356"/>
      <c r="H354" s="453"/>
      <c r="I354" s="453"/>
      <c r="J354" s="454"/>
      <c r="L354" s="454"/>
      <c r="M354" s="342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</row>
    <row r="355">
      <c r="A355" s="341"/>
      <c r="B355" s="356"/>
      <c r="C355" s="456"/>
      <c r="D355" s="356"/>
      <c r="E355" s="452"/>
      <c r="F355" s="356"/>
      <c r="G355" s="356"/>
      <c r="H355" s="453"/>
      <c r="I355" s="453"/>
      <c r="J355" s="454"/>
      <c r="L355" s="454"/>
      <c r="M355" s="342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</row>
    <row r="356">
      <c r="A356" s="341"/>
      <c r="B356" s="356"/>
      <c r="C356" s="456"/>
      <c r="D356" s="356"/>
      <c r="E356" s="452"/>
      <c r="F356" s="356"/>
      <c r="G356" s="356"/>
      <c r="H356" s="453"/>
      <c r="I356" s="453"/>
      <c r="J356" s="454"/>
      <c r="L356" s="454"/>
      <c r="M356" s="342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</row>
    <row r="357">
      <c r="A357" s="341"/>
      <c r="B357" s="356"/>
      <c r="C357" s="456"/>
      <c r="D357" s="356"/>
      <c r="E357" s="452"/>
      <c r="F357" s="356"/>
      <c r="G357" s="356"/>
      <c r="H357" s="453"/>
      <c r="I357" s="453"/>
      <c r="J357" s="454"/>
      <c r="L357" s="454"/>
      <c r="M357" s="342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</row>
    <row r="358">
      <c r="A358" s="341"/>
      <c r="B358" s="356"/>
      <c r="C358" s="456"/>
      <c r="D358" s="356"/>
      <c r="E358" s="452"/>
      <c r="F358" s="356"/>
      <c r="G358" s="356"/>
      <c r="H358" s="453"/>
      <c r="I358" s="453"/>
      <c r="J358" s="454"/>
      <c r="L358" s="454"/>
      <c r="M358" s="342"/>
      <c r="O358" s="356"/>
      <c r="P358" s="356"/>
      <c r="Q358" s="356"/>
      <c r="R358" s="356"/>
      <c r="S358" s="356"/>
      <c r="T358" s="356"/>
      <c r="U358" s="356"/>
      <c r="V358" s="356"/>
      <c r="W358" s="356"/>
      <c r="X358" s="356"/>
      <c r="Y358" s="356"/>
      <c r="Z358" s="356"/>
      <c r="AA358" s="356"/>
      <c r="AB358" s="356"/>
      <c r="AC358" s="356"/>
      <c r="AD358" s="356"/>
      <c r="AE358" s="356"/>
      <c r="AF358" s="356"/>
    </row>
    <row r="359">
      <c r="A359" s="341"/>
      <c r="B359" s="356"/>
      <c r="C359" s="456"/>
      <c r="D359" s="356"/>
      <c r="E359" s="452"/>
      <c r="F359" s="356"/>
      <c r="G359" s="356"/>
      <c r="H359" s="453"/>
      <c r="I359" s="453"/>
      <c r="J359" s="454"/>
      <c r="L359" s="454"/>
      <c r="M359" s="342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</row>
    <row r="360">
      <c r="A360" s="341"/>
      <c r="B360" s="356"/>
      <c r="C360" s="456"/>
      <c r="D360" s="356"/>
      <c r="E360" s="452"/>
      <c r="F360" s="356"/>
      <c r="G360" s="356"/>
      <c r="H360" s="453"/>
      <c r="I360" s="453"/>
      <c r="J360" s="454"/>
      <c r="L360" s="454"/>
      <c r="M360" s="342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</row>
    <row r="361">
      <c r="A361" s="341"/>
      <c r="B361" s="356"/>
      <c r="C361" s="456"/>
      <c r="D361" s="356"/>
      <c r="E361" s="452"/>
      <c r="F361" s="356"/>
      <c r="G361" s="356"/>
      <c r="H361" s="453"/>
      <c r="I361" s="453"/>
      <c r="J361" s="454"/>
      <c r="L361" s="454"/>
      <c r="M361" s="342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</row>
    <row r="362">
      <c r="A362" s="341"/>
      <c r="B362" s="356"/>
      <c r="C362" s="456"/>
      <c r="D362" s="356"/>
      <c r="E362" s="452"/>
      <c r="F362" s="356"/>
      <c r="G362" s="356"/>
      <c r="H362" s="453"/>
      <c r="I362" s="453"/>
      <c r="J362" s="454"/>
      <c r="L362" s="454"/>
      <c r="M362" s="342"/>
      <c r="O362" s="356"/>
      <c r="P362" s="356"/>
      <c r="Q362" s="356"/>
      <c r="R362" s="356"/>
      <c r="S362" s="356"/>
      <c r="T362" s="356"/>
      <c r="U362" s="356"/>
      <c r="V362" s="356"/>
      <c r="W362" s="356"/>
      <c r="X362" s="356"/>
      <c r="Y362" s="356"/>
      <c r="Z362" s="356"/>
      <c r="AA362" s="356"/>
      <c r="AB362" s="356"/>
      <c r="AC362" s="356"/>
      <c r="AD362" s="356"/>
      <c r="AE362" s="356"/>
      <c r="AF362" s="356"/>
    </row>
    <row r="363">
      <c r="A363" s="341"/>
      <c r="B363" s="356"/>
      <c r="C363" s="456"/>
      <c r="D363" s="356"/>
      <c r="E363" s="452"/>
      <c r="F363" s="356"/>
      <c r="G363" s="356"/>
      <c r="H363" s="453"/>
      <c r="I363" s="453"/>
      <c r="J363" s="454"/>
      <c r="L363" s="454"/>
      <c r="M363" s="342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</row>
    <row r="364">
      <c r="A364" s="341"/>
      <c r="B364" s="356"/>
      <c r="C364" s="456"/>
      <c r="D364" s="356"/>
      <c r="E364" s="452"/>
      <c r="F364" s="356"/>
      <c r="G364" s="356"/>
      <c r="H364" s="453"/>
      <c r="I364" s="453"/>
      <c r="J364" s="454"/>
      <c r="L364" s="454"/>
      <c r="M364" s="342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</row>
    <row r="365">
      <c r="A365" s="341"/>
      <c r="B365" s="356"/>
      <c r="C365" s="456"/>
      <c r="D365" s="356"/>
      <c r="E365" s="452"/>
      <c r="F365" s="356"/>
      <c r="G365" s="356"/>
      <c r="H365" s="453"/>
      <c r="I365" s="453"/>
      <c r="J365" s="454"/>
      <c r="L365" s="454"/>
      <c r="M365" s="342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</row>
    <row r="366">
      <c r="A366" s="341"/>
      <c r="B366" s="356"/>
      <c r="C366" s="456"/>
      <c r="D366" s="356"/>
      <c r="E366" s="452"/>
      <c r="F366" s="356"/>
      <c r="G366" s="356"/>
      <c r="H366" s="453"/>
      <c r="I366" s="453"/>
      <c r="J366" s="454"/>
      <c r="L366" s="454"/>
      <c r="M366" s="342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</row>
    <row r="367">
      <c r="A367" s="341"/>
      <c r="B367" s="356"/>
      <c r="C367" s="456"/>
      <c r="D367" s="356"/>
      <c r="E367" s="452"/>
      <c r="F367" s="356"/>
      <c r="G367" s="356"/>
      <c r="H367" s="453"/>
      <c r="I367" s="453"/>
      <c r="J367" s="454"/>
      <c r="L367" s="454"/>
      <c r="M367" s="342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</row>
    <row r="368">
      <c r="A368" s="341"/>
      <c r="B368" s="356"/>
      <c r="C368" s="456"/>
      <c r="D368" s="356"/>
      <c r="E368" s="452"/>
      <c r="F368" s="356"/>
      <c r="G368" s="356"/>
      <c r="H368" s="453"/>
      <c r="I368" s="453"/>
      <c r="J368" s="454"/>
      <c r="L368" s="454"/>
      <c r="M368" s="342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</row>
    <row r="369">
      <c r="A369" s="341"/>
      <c r="B369" s="356"/>
      <c r="C369" s="456"/>
      <c r="D369" s="356"/>
      <c r="E369" s="452"/>
      <c r="F369" s="356"/>
      <c r="G369" s="356"/>
      <c r="H369" s="453"/>
      <c r="I369" s="453"/>
      <c r="J369" s="454"/>
      <c r="L369" s="454"/>
      <c r="M369" s="342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</row>
    <row r="370">
      <c r="A370" s="341"/>
      <c r="B370" s="356"/>
      <c r="C370" s="456"/>
      <c r="D370" s="356"/>
      <c r="E370" s="452"/>
      <c r="F370" s="356"/>
      <c r="G370" s="356"/>
      <c r="H370" s="453"/>
      <c r="I370" s="453"/>
      <c r="J370" s="454"/>
      <c r="L370" s="454"/>
      <c r="M370" s="342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</row>
    <row r="371">
      <c r="A371" s="341"/>
      <c r="B371" s="356"/>
      <c r="C371" s="456"/>
      <c r="D371" s="356"/>
      <c r="E371" s="452"/>
      <c r="F371" s="356"/>
      <c r="G371" s="356"/>
      <c r="H371" s="453"/>
      <c r="I371" s="453"/>
      <c r="J371" s="454"/>
      <c r="L371" s="454"/>
      <c r="M371" s="342"/>
      <c r="O371" s="356"/>
      <c r="P371" s="356"/>
      <c r="Q371" s="356"/>
      <c r="R371" s="356"/>
      <c r="S371" s="356"/>
      <c r="T371" s="356"/>
      <c r="U371" s="356"/>
      <c r="V371" s="356"/>
      <c r="W371" s="356"/>
      <c r="X371" s="356"/>
      <c r="Y371" s="356"/>
      <c r="Z371" s="356"/>
      <c r="AA371" s="356"/>
      <c r="AB371" s="356"/>
      <c r="AC371" s="356"/>
      <c r="AD371" s="356"/>
      <c r="AE371" s="356"/>
      <c r="AF371" s="356"/>
    </row>
    <row r="372">
      <c r="A372" s="341"/>
      <c r="B372" s="356"/>
      <c r="C372" s="456"/>
      <c r="D372" s="356"/>
      <c r="E372" s="452"/>
      <c r="F372" s="356"/>
      <c r="G372" s="356"/>
      <c r="H372" s="453"/>
      <c r="I372" s="453"/>
      <c r="J372" s="454"/>
      <c r="L372" s="454"/>
      <c r="M372" s="342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</row>
    <row r="373">
      <c r="A373" s="341"/>
      <c r="B373" s="356"/>
      <c r="C373" s="456"/>
      <c r="D373" s="356"/>
      <c r="E373" s="452"/>
      <c r="F373" s="356"/>
      <c r="G373" s="356"/>
      <c r="H373" s="453"/>
      <c r="I373" s="453"/>
      <c r="J373" s="454"/>
      <c r="L373" s="454"/>
      <c r="M373" s="342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</row>
    <row r="374">
      <c r="A374" s="341"/>
      <c r="B374" s="356"/>
      <c r="C374" s="456"/>
      <c r="D374" s="356"/>
      <c r="E374" s="452"/>
      <c r="F374" s="356"/>
      <c r="G374" s="356"/>
      <c r="H374" s="453"/>
      <c r="I374" s="453"/>
      <c r="J374" s="454"/>
      <c r="L374" s="454"/>
      <c r="M374" s="342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</row>
    <row r="375">
      <c r="A375" s="341"/>
      <c r="B375" s="356"/>
      <c r="C375" s="456"/>
      <c r="D375" s="356"/>
      <c r="E375" s="452"/>
      <c r="F375" s="356"/>
      <c r="G375" s="356"/>
      <c r="H375" s="453"/>
      <c r="I375" s="453"/>
      <c r="J375" s="454"/>
      <c r="L375" s="454"/>
      <c r="M375" s="342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</row>
    <row r="376">
      <c r="A376" s="341"/>
      <c r="B376" s="356"/>
      <c r="C376" s="456"/>
      <c r="D376" s="356"/>
      <c r="E376" s="452"/>
      <c r="F376" s="356"/>
      <c r="G376" s="356"/>
      <c r="H376" s="453"/>
      <c r="I376" s="453"/>
      <c r="J376" s="454"/>
      <c r="L376" s="454"/>
      <c r="M376" s="342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</row>
    <row r="377">
      <c r="A377" s="341"/>
      <c r="B377" s="356"/>
      <c r="C377" s="456"/>
      <c r="D377" s="356"/>
      <c r="E377" s="452"/>
      <c r="F377" s="356"/>
      <c r="G377" s="356"/>
      <c r="H377" s="453"/>
      <c r="I377" s="453"/>
      <c r="J377" s="454"/>
      <c r="L377" s="454"/>
      <c r="M377" s="342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</row>
    <row r="378">
      <c r="A378" s="341"/>
      <c r="B378" s="356"/>
      <c r="C378" s="456"/>
      <c r="D378" s="356"/>
      <c r="E378" s="452"/>
      <c r="F378" s="356"/>
      <c r="G378" s="356"/>
      <c r="H378" s="453"/>
      <c r="I378" s="453"/>
      <c r="J378" s="454"/>
      <c r="L378" s="454"/>
      <c r="M378" s="342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</row>
    <row r="379">
      <c r="A379" s="341"/>
      <c r="B379" s="356"/>
      <c r="C379" s="456"/>
      <c r="D379" s="356"/>
      <c r="E379" s="452"/>
      <c r="F379" s="356"/>
      <c r="G379" s="356"/>
      <c r="H379" s="453"/>
      <c r="I379" s="453"/>
      <c r="J379" s="454"/>
      <c r="L379" s="454"/>
      <c r="M379" s="342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</row>
    <row r="380">
      <c r="A380" s="341"/>
      <c r="B380" s="356"/>
      <c r="C380" s="456"/>
      <c r="D380" s="356"/>
      <c r="E380" s="452"/>
      <c r="F380" s="356"/>
      <c r="G380" s="356"/>
      <c r="H380" s="453"/>
      <c r="I380" s="453"/>
      <c r="J380" s="454"/>
      <c r="L380" s="454"/>
      <c r="M380" s="342"/>
      <c r="O380" s="356"/>
      <c r="P380" s="356"/>
      <c r="Q380" s="356"/>
      <c r="R380" s="356"/>
      <c r="S380" s="356"/>
      <c r="T380" s="356"/>
      <c r="U380" s="356"/>
      <c r="V380" s="356"/>
      <c r="W380" s="356"/>
      <c r="X380" s="356"/>
      <c r="Y380" s="356"/>
      <c r="Z380" s="356"/>
      <c r="AA380" s="356"/>
      <c r="AB380" s="356"/>
      <c r="AC380" s="356"/>
      <c r="AD380" s="356"/>
      <c r="AE380" s="356"/>
      <c r="AF380" s="356"/>
    </row>
    <row r="381">
      <c r="A381" s="341"/>
      <c r="B381" s="356"/>
      <c r="C381" s="456"/>
      <c r="D381" s="356"/>
      <c r="E381" s="452"/>
      <c r="F381" s="356"/>
      <c r="G381" s="356"/>
      <c r="H381" s="453"/>
      <c r="I381" s="453"/>
      <c r="J381" s="454"/>
      <c r="L381" s="454"/>
      <c r="M381" s="342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</row>
    <row r="382">
      <c r="A382" s="341"/>
      <c r="B382" s="356"/>
      <c r="C382" s="456"/>
      <c r="D382" s="356"/>
      <c r="E382" s="452"/>
      <c r="F382" s="356"/>
      <c r="G382" s="356"/>
      <c r="H382" s="453"/>
      <c r="I382" s="453"/>
      <c r="J382" s="454"/>
      <c r="L382" s="454"/>
      <c r="M382" s="342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</row>
    <row r="383">
      <c r="A383" s="341"/>
      <c r="B383" s="356"/>
      <c r="C383" s="456"/>
      <c r="D383" s="356"/>
      <c r="E383" s="452"/>
      <c r="F383" s="356"/>
      <c r="G383" s="356"/>
      <c r="H383" s="453"/>
      <c r="I383" s="453"/>
      <c r="J383" s="454"/>
      <c r="L383" s="454"/>
      <c r="M383" s="342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</row>
    <row r="384">
      <c r="A384" s="341"/>
      <c r="B384" s="356"/>
      <c r="C384" s="456"/>
      <c r="D384" s="356"/>
      <c r="E384" s="452"/>
      <c r="F384" s="356"/>
      <c r="G384" s="356"/>
      <c r="H384" s="453"/>
      <c r="I384" s="453"/>
      <c r="J384" s="454"/>
      <c r="L384" s="454"/>
      <c r="M384" s="342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</row>
    <row r="385">
      <c r="A385" s="341"/>
      <c r="B385" s="356"/>
      <c r="C385" s="456"/>
      <c r="D385" s="356"/>
      <c r="E385" s="452"/>
      <c r="F385" s="356"/>
      <c r="G385" s="356"/>
      <c r="H385" s="453"/>
      <c r="I385" s="453"/>
      <c r="J385" s="454"/>
      <c r="L385" s="454"/>
      <c r="M385" s="342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</row>
    <row r="386">
      <c r="A386" s="341"/>
      <c r="B386" s="356"/>
      <c r="C386" s="456"/>
      <c r="D386" s="356"/>
      <c r="E386" s="452"/>
      <c r="F386" s="356"/>
      <c r="G386" s="356"/>
      <c r="H386" s="453"/>
      <c r="I386" s="453"/>
      <c r="J386" s="454"/>
      <c r="L386" s="454"/>
      <c r="M386" s="342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</row>
    <row r="387">
      <c r="A387" s="341"/>
      <c r="B387" s="356"/>
      <c r="C387" s="456"/>
      <c r="D387" s="356"/>
      <c r="E387" s="452"/>
      <c r="F387" s="356"/>
      <c r="G387" s="356"/>
      <c r="H387" s="453"/>
      <c r="I387" s="453"/>
      <c r="J387" s="454"/>
      <c r="L387" s="454"/>
      <c r="M387" s="342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</row>
    <row r="388">
      <c r="A388" s="341"/>
      <c r="B388" s="356"/>
      <c r="C388" s="456"/>
      <c r="D388" s="356"/>
      <c r="E388" s="452"/>
      <c r="F388" s="356"/>
      <c r="G388" s="356"/>
      <c r="H388" s="453"/>
      <c r="I388" s="453"/>
      <c r="J388" s="454"/>
      <c r="L388" s="454"/>
      <c r="M388" s="342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</row>
    <row r="389">
      <c r="A389" s="341"/>
      <c r="B389" s="356"/>
      <c r="C389" s="456"/>
      <c r="D389" s="356"/>
      <c r="E389" s="452"/>
      <c r="F389" s="356"/>
      <c r="G389" s="356"/>
      <c r="H389" s="453"/>
      <c r="I389" s="453"/>
      <c r="J389" s="454"/>
      <c r="L389" s="454"/>
      <c r="M389" s="342"/>
      <c r="O389" s="356"/>
      <c r="P389" s="356"/>
      <c r="Q389" s="356"/>
      <c r="R389" s="356"/>
      <c r="S389" s="356"/>
      <c r="T389" s="356"/>
      <c r="U389" s="356"/>
      <c r="V389" s="356"/>
      <c r="W389" s="356"/>
      <c r="X389" s="356"/>
      <c r="Y389" s="356"/>
      <c r="Z389" s="356"/>
      <c r="AA389" s="356"/>
      <c r="AB389" s="356"/>
      <c r="AC389" s="356"/>
      <c r="AD389" s="356"/>
      <c r="AE389" s="356"/>
      <c r="AF389" s="356"/>
    </row>
    <row r="390">
      <c r="A390" s="341"/>
      <c r="B390" s="356"/>
      <c r="C390" s="456"/>
      <c r="D390" s="356"/>
      <c r="E390" s="452"/>
      <c r="F390" s="356"/>
      <c r="G390" s="356"/>
      <c r="H390" s="453"/>
      <c r="I390" s="453"/>
      <c r="J390" s="454"/>
      <c r="L390" s="454"/>
      <c r="M390" s="342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</row>
    <row r="391">
      <c r="A391" s="341"/>
      <c r="B391" s="356"/>
      <c r="C391" s="456"/>
      <c r="D391" s="356"/>
      <c r="E391" s="452"/>
      <c r="F391" s="356"/>
      <c r="G391" s="356"/>
      <c r="H391" s="453"/>
      <c r="I391" s="453"/>
      <c r="J391" s="454"/>
      <c r="L391" s="454"/>
      <c r="M391" s="342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</row>
    <row r="392">
      <c r="A392" s="341"/>
      <c r="B392" s="356"/>
      <c r="C392" s="456"/>
      <c r="D392" s="356"/>
      <c r="E392" s="452"/>
      <c r="F392" s="356"/>
      <c r="G392" s="356"/>
      <c r="H392" s="453"/>
      <c r="I392" s="453"/>
      <c r="J392" s="454"/>
      <c r="L392" s="454"/>
      <c r="M392" s="342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</row>
    <row r="393">
      <c r="A393" s="341"/>
      <c r="B393" s="356"/>
      <c r="C393" s="456"/>
      <c r="D393" s="356"/>
      <c r="E393" s="452"/>
      <c r="F393" s="356"/>
      <c r="G393" s="356"/>
      <c r="H393" s="453"/>
      <c r="I393" s="453"/>
      <c r="J393" s="454"/>
      <c r="L393" s="454"/>
      <c r="M393" s="342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</row>
    <row r="394">
      <c r="A394" s="341"/>
      <c r="B394" s="356"/>
      <c r="C394" s="456"/>
      <c r="D394" s="356"/>
      <c r="E394" s="452"/>
      <c r="F394" s="356"/>
      <c r="G394" s="356"/>
      <c r="H394" s="453"/>
      <c r="I394" s="453"/>
      <c r="J394" s="454"/>
      <c r="L394" s="454"/>
      <c r="M394" s="342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</row>
    <row r="395">
      <c r="A395" s="341"/>
      <c r="B395" s="356"/>
      <c r="C395" s="456"/>
      <c r="D395" s="356"/>
      <c r="E395" s="452"/>
      <c r="F395" s="356"/>
      <c r="G395" s="356"/>
      <c r="H395" s="453"/>
      <c r="I395" s="453"/>
      <c r="J395" s="454"/>
      <c r="L395" s="454"/>
      <c r="M395" s="342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</row>
    <row r="396">
      <c r="A396" s="341"/>
      <c r="B396" s="356"/>
      <c r="C396" s="456"/>
      <c r="D396" s="356"/>
      <c r="E396" s="452"/>
      <c r="F396" s="356"/>
      <c r="G396" s="356"/>
      <c r="H396" s="453"/>
      <c r="I396" s="453"/>
      <c r="J396" s="454"/>
      <c r="L396" s="454"/>
      <c r="M396" s="342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</row>
    <row r="397">
      <c r="A397" s="341"/>
      <c r="B397" s="356"/>
      <c r="C397" s="456"/>
      <c r="D397" s="356"/>
      <c r="E397" s="452"/>
      <c r="F397" s="356"/>
      <c r="G397" s="356"/>
      <c r="H397" s="453"/>
      <c r="I397" s="453"/>
      <c r="J397" s="454"/>
      <c r="L397" s="454"/>
      <c r="M397" s="342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  <c r="Z397" s="356"/>
      <c r="AA397" s="356"/>
      <c r="AB397" s="356"/>
      <c r="AC397" s="356"/>
      <c r="AD397" s="356"/>
      <c r="AE397" s="356"/>
      <c r="AF397" s="356"/>
    </row>
    <row r="398">
      <c r="A398" s="341"/>
      <c r="B398" s="356"/>
      <c r="C398" s="456"/>
      <c r="D398" s="356"/>
      <c r="E398" s="452"/>
      <c r="F398" s="356"/>
      <c r="G398" s="356"/>
      <c r="H398" s="453"/>
      <c r="I398" s="453"/>
      <c r="J398" s="454"/>
      <c r="L398" s="454"/>
      <c r="M398" s="342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  <c r="Z398" s="356"/>
      <c r="AA398" s="356"/>
      <c r="AB398" s="356"/>
      <c r="AC398" s="356"/>
      <c r="AD398" s="356"/>
      <c r="AE398" s="356"/>
      <c r="AF398" s="356"/>
    </row>
    <row r="399">
      <c r="A399" s="341"/>
      <c r="B399" s="356"/>
      <c r="C399" s="456"/>
      <c r="D399" s="356"/>
      <c r="E399" s="452"/>
      <c r="F399" s="356"/>
      <c r="G399" s="356"/>
      <c r="H399" s="453"/>
      <c r="I399" s="453"/>
      <c r="J399" s="454"/>
      <c r="L399" s="454"/>
      <c r="M399" s="342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</row>
    <row r="400">
      <c r="A400" s="341"/>
      <c r="B400" s="356"/>
      <c r="C400" s="456"/>
      <c r="D400" s="356"/>
      <c r="E400" s="452"/>
      <c r="F400" s="356"/>
      <c r="G400" s="356"/>
      <c r="H400" s="453"/>
      <c r="I400" s="453"/>
      <c r="J400" s="454"/>
      <c r="L400" s="454"/>
      <c r="M400" s="342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</row>
    <row r="401">
      <c r="A401" s="341"/>
      <c r="B401" s="356"/>
      <c r="C401" s="456"/>
      <c r="D401" s="356"/>
      <c r="E401" s="452"/>
      <c r="F401" s="356"/>
      <c r="G401" s="356"/>
      <c r="H401" s="453"/>
      <c r="I401" s="453"/>
      <c r="J401" s="454"/>
      <c r="L401" s="454"/>
      <c r="M401" s="342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</row>
    <row r="402">
      <c r="A402" s="341"/>
      <c r="B402" s="356"/>
      <c r="C402" s="456"/>
      <c r="D402" s="356"/>
      <c r="E402" s="452"/>
      <c r="F402" s="356"/>
      <c r="G402" s="356"/>
      <c r="H402" s="453"/>
      <c r="I402" s="453"/>
      <c r="J402" s="454"/>
      <c r="L402" s="454"/>
      <c r="M402" s="342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</row>
    <row r="403">
      <c r="A403" s="341"/>
      <c r="B403" s="356"/>
      <c r="C403" s="456"/>
      <c r="D403" s="356"/>
      <c r="E403" s="452"/>
      <c r="F403" s="356"/>
      <c r="G403" s="356"/>
      <c r="H403" s="453"/>
      <c r="I403" s="453"/>
      <c r="J403" s="454"/>
      <c r="L403" s="454"/>
      <c r="M403" s="342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</row>
    <row r="404">
      <c r="A404" s="341"/>
      <c r="B404" s="356"/>
      <c r="C404" s="456"/>
      <c r="D404" s="356"/>
      <c r="E404" s="452"/>
      <c r="F404" s="356"/>
      <c r="G404" s="356"/>
      <c r="H404" s="453"/>
      <c r="I404" s="453"/>
      <c r="J404" s="454"/>
      <c r="L404" s="454"/>
      <c r="M404" s="342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</row>
    <row r="405">
      <c r="A405" s="341"/>
      <c r="B405" s="356"/>
      <c r="C405" s="456"/>
      <c r="D405" s="356"/>
      <c r="E405" s="452"/>
      <c r="F405" s="356"/>
      <c r="G405" s="356"/>
      <c r="H405" s="453"/>
      <c r="I405" s="453"/>
      <c r="J405" s="454"/>
      <c r="L405" s="454"/>
      <c r="M405" s="342"/>
      <c r="O405" s="356"/>
      <c r="P405" s="356"/>
      <c r="Q405" s="356"/>
      <c r="R405" s="356"/>
      <c r="S405" s="356"/>
      <c r="T405" s="356"/>
      <c r="U405" s="356"/>
      <c r="V405" s="356"/>
      <c r="W405" s="356"/>
      <c r="X405" s="356"/>
      <c r="Y405" s="356"/>
      <c r="Z405" s="356"/>
      <c r="AA405" s="356"/>
      <c r="AB405" s="356"/>
      <c r="AC405" s="356"/>
      <c r="AD405" s="356"/>
      <c r="AE405" s="356"/>
      <c r="AF405" s="356"/>
    </row>
    <row r="406">
      <c r="A406" s="341"/>
      <c r="B406" s="356"/>
      <c r="C406" s="456"/>
      <c r="D406" s="356"/>
      <c r="E406" s="452"/>
      <c r="F406" s="356"/>
      <c r="G406" s="356"/>
      <c r="H406" s="453"/>
      <c r="I406" s="453"/>
      <c r="J406" s="454"/>
      <c r="L406" s="454"/>
      <c r="M406" s="342"/>
      <c r="O406" s="356"/>
      <c r="P406" s="356"/>
      <c r="Q406" s="356"/>
      <c r="R406" s="356"/>
      <c r="S406" s="356"/>
      <c r="T406" s="356"/>
      <c r="U406" s="356"/>
      <c r="V406" s="356"/>
      <c r="W406" s="356"/>
      <c r="X406" s="356"/>
      <c r="Y406" s="356"/>
      <c r="Z406" s="356"/>
      <c r="AA406" s="356"/>
      <c r="AB406" s="356"/>
      <c r="AC406" s="356"/>
      <c r="AD406" s="356"/>
      <c r="AE406" s="356"/>
      <c r="AF406" s="356"/>
    </row>
    <row r="407">
      <c r="A407" s="341"/>
      <c r="B407" s="356"/>
      <c r="C407" s="456"/>
      <c r="D407" s="356"/>
      <c r="E407" s="452"/>
      <c r="F407" s="356"/>
      <c r="G407" s="356"/>
      <c r="H407" s="453"/>
      <c r="I407" s="453"/>
      <c r="J407" s="454"/>
      <c r="L407" s="454"/>
      <c r="M407" s="342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</row>
    <row r="408">
      <c r="A408" s="341"/>
      <c r="B408" s="356"/>
      <c r="C408" s="456"/>
      <c r="D408" s="356"/>
      <c r="E408" s="452"/>
      <c r="F408" s="356"/>
      <c r="G408" s="356"/>
      <c r="H408" s="453"/>
      <c r="I408" s="453"/>
      <c r="J408" s="454"/>
      <c r="L408" s="454"/>
      <c r="M408" s="342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</row>
    <row r="409">
      <c r="A409" s="341"/>
      <c r="B409" s="356"/>
      <c r="C409" s="456"/>
      <c r="D409" s="356"/>
      <c r="E409" s="452"/>
      <c r="F409" s="356"/>
      <c r="G409" s="356"/>
      <c r="H409" s="453"/>
      <c r="I409" s="453"/>
      <c r="J409" s="454"/>
      <c r="L409" s="454"/>
      <c r="M409" s="342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</row>
    <row r="410">
      <c r="A410" s="341"/>
      <c r="B410" s="356"/>
      <c r="C410" s="456"/>
      <c r="D410" s="356"/>
      <c r="E410" s="452"/>
      <c r="F410" s="356"/>
      <c r="G410" s="356"/>
      <c r="H410" s="453"/>
      <c r="I410" s="453"/>
      <c r="J410" s="454"/>
      <c r="L410" s="454"/>
      <c r="M410" s="342"/>
      <c r="O410" s="356"/>
      <c r="P410" s="356"/>
      <c r="Q410" s="356"/>
      <c r="R410" s="356"/>
      <c r="S410" s="356"/>
      <c r="T410" s="356"/>
      <c r="U410" s="356"/>
      <c r="V410" s="356"/>
      <c r="W410" s="356"/>
      <c r="X410" s="356"/>
      <c r="Y410" s="356"/>
      <c r="Z410" s="356"/>
      <c r="AA410" s="356"/>
      <c r="AB410" s="356"/>
      <c r="AC410" s="356"/>
      <c r="AD410" s="356"/>
      <c r="AE410" s="356"/>
      <c r="AF410" s="356"/>
    </row>
    <row r="411">
      <c r="A411" s="341"/>
      <c r="B411" s="356"/>
      <c r="C411" s="456"/>
      <c r="D411" s="356"/>
      <c r="E411" s="452"/>
      <c r="F411" s="356"/>
      <c r="G411" s="356"/>
      <c r="H411" s="453"/>
      <c r="I411" s="453"/>
      <c r="J411" s="454"/>
      <c r="L411" s="454"/>
      <c r="M411" s="342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</row>
    <row r="412">
      <c r="A412" s="341"/>
      <c r="B412" s="356"/>
      <c r="C412" s="456"/>
      <c r="D412" s="356"/>
      <c r="E412" s="452"/>
      <c r="F412" s="356"/>
      <c r="G412" s="356"/>
      <c r="H412" s="453"/>
      <c r="I412" s="453"/>
      <c r="J412" s="454"/>
      <c r="L412" s="454"/>
      <c r="M412" s="342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</row>
    <row r="413">
      <c r="A413" s="341"/>
      <c r="B413" s="356"/>
      <c r="C413" s="456"/>
      <c r="D413" s="356"/>
      <c r="E413" s="452"/>
      <c r="F413" s="356"/>
      <c r="G413" s="356"/>
      <c r="H413" s="453"/>
      <c r="I413" s="453"/>
      <c r="J413" s="454"/>
      <c r="L413" s="454"/>
      <c r="M413" s="342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</row>
    <row r="414">
      <c r="A414" s="341"/>
      <c r="B414" s="356"/>
      <c r="C414" s="456"/>
      <c r="D414" s="356"/>
      <c r="E414" s="452"/>
      <c r="F414" s="356"/>
      <c r="G414" s="356"/>
      <c r="H414" s="453"/>
      <c r="I414" s="453"/>
      <c r="J414" s="454"/>
      <c r="L414" s="454"/>
      <c r="M414" s="342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</row>
    <row r="415">
      <c r="A415" s="341"/>
      <c r="B415" s="356"/>
      <c r="C415" s="456"/>
      <c r="D415" s="356"/>
      <c r="E415" s="452"/>
      <c r="F415" s="356"/>
      <c r="G415" s="356"/>
      <c r="H415" s="453"/>
      <c r="I415" s="453"/>
      <c r="J415" s="454"/>
      <c r="L415" s="454"/>
      <c r="M415" s="342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</row>
    <row r="416">
      <c r="A416" s="341"/>
      <c r="B416" s="356"/>
      <c r="C416" s="456"/>
      <c r="D416" s="356"/>
      <c r="E416" s="452"/>
      <c r="F416" s="356"/>
      <c r="G416" s="356"/>
      <c r="H416" s="453"/>
      <c r="I416" s="453"/>
      <c r="J416" s="454"/>
      <c r="L416" s="454"/>
      <c r="M416" s="342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</row>
    <row r="417">
      <c r="A417" s="341"/>
      <c r="B417" s="356"/>
      <c r="C417" s="456"/>
      <c r="D417" s="356"/>
      <c r="E417" s="452"/>
      <c r="F417" s="356"/>
      <c r="G417" s="356"/>
      <c r="H417" s="453"/>
      <c r="I417" s="453"/>
      <c r="J417" s="454"/>
      <c r="L417" s="454"/>
      <c r="M417" s="342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</row>
    <row r="418">
      <c r="A418" s="341"/>
      <c r="B418" s="356"/>
      <c r="C418" s="456"/>
      <c r="D418" s="356"/>
      <c r="E418" s="452"/>
      <c r="F418" s="356"/>
      <c r="G418" s="356"/>
      <c r="H418" s="453"/>
      <c r="I418" s="453"/>
      <c r="J418" s="454"/>
      <c r="L418" s="454"/>
      <c r="M418" s="342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</row>
    <row r="419">
      <c r="A419" s="341"/>
      <c r="B419" s="356"/>
      <c r="C419" s="456"/>
      <c r="D419" s="356"/>
      <c r="E419" s="452"/>
      <c r="F419" s="356"/>
      <c r="G419" s="356"/>
      <c r="H419" s="453"/>
      <c r="I419" s="453"/>
      <c r="J419" s="454"/>
      <c r="L419" s="454"/>
      <c r="M419" s="342"/>
      <c r="O419" s="356"/>
      <c r="P419" s="356"/>
      <c r="Q419" s="356"/>
      <c r="R419" s="356"/>
      <c r="S419" s="356"/>
      <c r="T419" s="356"/>
      <c r="U419" s="356"/>
      <c r="V419" s="356"/>
      <c r="W419" s="356"/>
      <c r="X419" s="356"/>
      <c r="Y419" s="356"/>
      <c r="Z419" s="356"/>
      <c r="AA419" s="356"/>
      <c r="AB419" s="356"/>
      <c r="AC419" s="356"/>
      <c r="AD419" s="356"/>
      <c r="AE419" s="356"/>
      <c r="AF419" s="356"/>
    </row>
    <row r="420">
      <c r="A420" s="341"/>
      <c r="B420" s="356"/>
      <c r="C420" s="456"/>
      <c r="D420" s="356"/>
      <c r="E420" s="452"/>
      <c r="F420" s="356"/>
      <c r="G420" s="356"/>
      <c r="H420" s="453"/>
      <c r="I420" s="453"/>
      <c r="J420" s="454"/>
      <c r="L420" s="454"/>
      <c r="M420" s="342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</row>
    <row r="421">
      <c r="A421" s="341"/>
      <c r="B421" s="356"/>
      <c r="C421" s="456"/>
      <c r="D421" s="356"/>
      <c r="E421" s="452"/>
      <c r="F421" s="356"/>
      <c r="G421" s="356"/>
      <c r="H421" s="453"/>
      <c r="I421" s="453"/>
      <c r="J421" s="454"/>
      <c r="L421" s="454"/>
      <c r="M421" s="342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</row>
    <row r="422">
      <c r="A422" s="341"/>
      <c r="B422" s="356"/>
      <c r="C422" s="456"/>
      <c r="D422" s="356"/>
      <c r="E422" s="452"/>
      <c r="F422" s="356"/>
      <c r="G422" s="356"/>
      <c r="H422" s="453"/>
      <c r="I422" s="453"/>
      <c r="J422" s="454"/>
      <c r="L422" s="454"/>
      <c r="M422" s="342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</row>
    <row r="423">
      <c r="A423" s="341"/>
      <c r="B423" s="356"/>
      <c r="C423" s="456"/>
      <c r="D423" s="356"/>
      <c r="E423" s="452"/>
      <c r="F423" s="356"/>
      <c r="G423" s="356"/>
      <c r="H423" s="453"/>
      <c r="I423" s="453"/>
      <c r="J423" s="454"/>
      <c r="L423" s="454"/>
      <c r="M423" s="342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</row>
    <row r="424">
      <c r="A424" s="341"/>
      <c r="B424" s="356"/>
      <c r="C424" s="456"/>
      <c r="D424" s="356"/>
      <c r="E424" s="452"/>
      <c r="F424" s="356"/>
      <c r="G424" s="356"/>
      <c r="H424" s="453"/>
      <c r="I424" s="453"/>
      <c r="J424" s="454"/>
      <c r="L424" s="454"/>
      <c r="M424" s="342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</row>
    <row r="425">
      <c r="A425" s="341"/>
      <c r="B425" s="356"/>
      <c r="C425" s="456"/>
      <c r="D425" s="356"/>
      <c r="E425" s="452"/>
      <c r="F425" s="356"/>
      <c r="G425" s="356"/>
      <c r="H425" s="453"/>
      <c r="I425" s="453"/>
      <c r="J425" s="454"/>
      <c r="L425" s="454"/>
      <c r="M425" s="342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</row>
    <row r="426">
      <c r="A426" s="341"/>
      <c r="B426" s="356"/>
      <c r="C426" s="456"/>
      <c r="D426" s="356"/>
      <c r="E426" s="452"/>
      <c r="F426" s="356"/>
      <c r="G426" s="356"/>
      <c r="H426" s="453"/>
      <c r="I426" s="453"/>
      <c r="J426" s="454"/>
      <c r="L426" s="454"/>
      <c r="M426" s="342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</row>
    <row r="427">
      <c r="A427" s="341"/>
      <c r="B427" s="356"/>
      <c r="C427" s="456"/>
      <c r="D427" s="356"/>
      <c r="E427" s="452"/>
      <c r="F427" s="356"/>
      <c r="G427" s="356"/>
      <c r="H427" s="453"/>
      <c r="I427" s="453"/>
      <c r="J427" s="454"/>
      <c r="L427" s="454"/>
      <c r="M427" s="342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</row>
    <row r="428">
      <c r="A428" s="341"/>
      <c r="B428" s="356"/>
      <c r="C428" s="456"/>
      <c r="D428" s="356"/>
      <c r="E428" s="452"/>
      <c r="F428" s="356"/>
      <c r="G428" s="356"/>
      <c r="H428" s="453"/>
      <c r="I428" s="453"/>
      <c r="J428" s="454"/>
      <c r="L428" s="454"/>
      <c r="M428" s="342"/>
      <c r="O428" s="356"/>
      <c r="P428" s="356"/>
      <c r="Q428" s="356"/>
      <c r="R428" s="356"/>
      <c r="S428" s="356"/>
      <c r="T428" s="356"/>
      <c r="U428" s="356"/>
      <c r="V428" s="356"/>
      <c r="W428" s="356"/>
      <c r="X428" s="356"/>
      <c r="Y428" s="356"/>
      <c r="Z428" s="356"/>
      <c r="AA428" s="356"/>
      <c r="AB428" s="356"/>
      <c r="AC428" s="356"/>
      <c r="AD428" s="356"/>
      <c r="AE428" s="356"/>
      <c r="AF428" s="356"/>
    </row>
    <row r="429">
      <c r="A429" s="341"/>
      <c r="B429" s="356"/>
      <c r="C429" s="456"/>
      <c r="D429" s="356"/>
      <c r="E429" s="452"/>
      <c r="F429" s="356"/>
      <c r="G429" s="356"/>
      <c r="H429" s="453"/>
      <c r="I429" s="453"/>
      <c r="J429" s="454"/>
      <c r="L429" s="454"/>
      <c r="M429" s="342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</row>
    <row r="430">
      <c r="A430" s="341"/>
      <c r="B430" s="356"/>
      <c r="C430" s="456"/>
      <c r="D430" s="356"/>
      <c r="E430" s="452"/>
      <c r="F430" s="356"/>
      <c r="G430" s="356"/>
      <c r="H430" s="453"/>
      <c r="I430" s="453"/>
      <c r="J430" s="454"/>
      <c r="L430" s="454"/>
      <c r="M430" s="342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</row>
    <row r="431">
      <c r="A431" s="341"/>
      <c r="B431" s="356"/>
      <c r="C431" s="456"/>
      <c r="D431" s="356"/>
      <c r="E431" s="452"/>
      <c r="F431" s="356"/>
      <c r="G431" s="356"/>
      <c r="H431" s="453"/>
      <c r="I431" s="453"/>
      <c r="J431" s="454"/>
      <c r="L431" s="454"/>
      <c r="M431" s="342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</row>
    <row r="432">
      <c r="A432" s="341"/>
      <c r="B432" s="356"/>
      <c r="C432" s="456"/>
      <c r="D432" s="356"/>
      <c r="E432" s="452"/>
      <c r="F432" s="356"/>
      <c r="G432" s="356"/>
      <c r="H432" s="453"/>
      <c r="I432" s="453"/>
      <c r="J432" s="454"/>
      <c r="L432" s="454"/>
      <c r="M432" s="342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</row>
    <row r="433">
      <c r="A433" s="341"/>
      <c r="B433" s="356"/>
      <c r="C433" s="456"/>
      <c r="D433" s="356"/>
      <c r="E433" s="452"/>
      <c r="F433" s="356"/>
      <c r="G433" s="356"/>
      <c r="H433" s="453"/>
      <c r="I433" s="453"/>
      <c r="J433" s="454"/>
      <c r="L433" s="454"/>
      <c r="M433" s="342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</row>
    <row r="434">
      <c r="A434" s="341"/>
      <c r="B434" s="356"/>
      <c r="C434" s="456"/>
      <c r="D434" s="356"/>
      <c r="E434" s="452"/>
      <c r="F434" s="356"/>
      <c r="G434" s="356"/>
      <c r="H434" s="453"/>
      <c r="I434" s="453"/>
      <c r="J434" s="454"/>
      <c r="L434" s="454"/>
      <c r="M434" s="342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</row>
    <row r="435">
      <c r="A435" s="341"/>
      <c r="B435" s="356"/>
      <c r="C435" s="456"/>
      <c r="D435" s="356"/>
      <c r="E435" s="452"/>
      <c r="F435" s="356"/>
      <c r="G435" s="356"/>
      <c r="H435" s="453"/>
      <c r="I435" s="453"/>
      <c r="J435" s="454"/>
      <c r="L435" s="454"/>
      <c r="M435" s="342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</row>
    <row r="436">
      <c r="A436" s="341"/>
      <c r="B436" s="356"/>
      <c r="C436" s="456"/>
      <c r="D436" s="356"/>
      <c r="E436" s="452"/>
      <c r="F436" s="356"/>
      <c r="G436" s="356"/>
      <c r="H436" s="453"/>
      <c r="I436" s="453"/>
      <c r="J436" s="454"/>
      <c r="L436" s="454"/>
      <c r="M436" s="342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</row>
    <row r="437">
      <c r="A437" s="341"/>
      <c r="B437" s="356"/>
      <c r="C437" s="456"/>
      <c r="D437" s="356"/>
      <c r="E437" s="452"/>
      <c r="F437" s="356"/>
      <c r="G437" s="356"/>
      <c r="H437" s="453"/>
      <c r="I437" s="453"/>
      <c r="J437" s="454"/>
      <c r="L437" s="454"/>
      <c r="M437" s="342"/>
      <c r="O437" s="356"/>
      <c r="P437" s="356"/>
      <c r="Q437" s="356"/>
      <c r="R437" s="356"/>
      <c r="S437" s="356"/>
      <c r="T437" s="356"/>
      <c r="U437" s="356"/>
      <c r="V437" s="356"/>
      <c r="W437" s="356"/>
      <c r="X437" s="356"/>
      <c r="Y437" s="356"/>
      <c r="Z437" s="356"/>
      <c r="AA437" s="356"/>
      <c r="AB437" s="356"/>
      <c r="AC437" s="356"/>
      <c r="AD437" s="356"/>
      <c r="AE437" s="356"/>
      <c r="AF437" s="356"/>
    </row>
    <row r="438">
      <c r="A438" s="341"/>
      <c r="B438" s="356"/>
      <c r="C438" s="456"/>
      <c r="D438" s="356"/>
      <c r="E438" s="452"/>
      <c r="F438" s="356"/>
      <c r="G438" s="356"/>
      <c r="H438" s="453"/>
      <c r="I438" s="453"/>
      <c r="J438" s="454"/>
      <c r="L438" s="454"/>
      <c r="M438" s="342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</row>
    <row r="439">
      <c r="A439" s="341"/>
      <c r="B439" s="356"/>
      <c r="C439" s="456"/>
      <c r="D439" s="356"/>
      <c r="E439" s="452"/>
      <c r="F439" s="356"/>
      <c r="G439" s="356"/>
      <c r="H439" s="453"/>
      <c r="I439" s="453"/>
      <c r="J439" s="454"/>
      <c r="L439" s="454"/>
      <c r="M439" s="342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</row>
    <row r="440">
      <c r="A440" s="341"/>
      <c r="B440" s="356"/>
      <c r="C440" s="456"/>
      <c r="D440" s="356"/>
      <c r="E440" s="452"/>
      <c r="F440" s="356"/>
      <c r="G440" s="356"/>
      <c r="H440" s="453"/>
      <c r="I440" s="453"/>
      <c r="J440" s="454"/>
      <c r="L440" s="454"/>
      <c r="M440" s="342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</row>
    <row r="441">
      <c r="A441" s="341"/>
      <c r="B441" s="356"/>
      <c r="C441" s="456"/>
      <c r="D441" s="356"/>
      <c r="E441" s="452"/>
      <c r="F441" s="356"/>
      <c r="G441" s="356"/>
      <c r="H441" s="453"/>
      <c r="I441" s="453"/>
      <c r="J441" s="454"/>
      <c r="L441" s="454"/>
      <c r="M441" s="342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</row>
    <row r="442">
      <c r="A442" s="341"/>
      <c r="B442" s="356"/>
      <c r="C442" s="456"/>
      <c r="D442" s="356"/>
      <c r="E442" s="452"/>
      <c r="F442" s="356"/>
      <c r="G442" s="356"/>
      <c r="H442" s="453"/>
      <c r="I442" s="453"/>
      <c r="J442" s="454"/>
      <c r="L442" s="454"/>
      <c r="M442" s="342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</row>
    <row r="443">
      <c r="A443" s="341"/>
      <c r="B443" s="356"/>
      <c r="C443" s="456"/>
      <c r="D443" s="356"/>
      <c r="E443" s="452"/>
      <c r="F443" s="356"/>
      <c r="G443" s="356"/>
      <c r="H443" s="453"/>
      <c r="I443" s="453"/>
      <c r="J443" s="454"/>
      <c r="L443" s="454"/>
      <c r="M443" s="342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</row>
    <row r="444">
      <c r="A444" s="341"/>
      <c r="B444" s="356"/>
      <c r="C444" s="456"/>
      <c r="D444" s="356"/>
      <c r="E444" s="452"/>
      <c r="F444" s="356"/>
      <c r="G444" s="356"/>
      <c r="H444" s="453"/>
      <c r="I444" s="453"/>
      <c r="J444" s="454"/>
      <c r="L444" s="454"/>
      <c r="M444" s="342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</row>
    <row r="445">
      <c r="A445" s="341"/>
      <c r="B445" s="356"/>
      <c r="C445" s="456"/>
      <c r="D445" s="356"/>
      <c r="E445" s="452"/>
      <c r="F445" s="356"/>
      <c r="G445" s="356"/>
      <c r="H445" s="453"/>
      <c r="I445" s="453"/>
      <c r="J445" s="454"/>
      <c r="L445" s="454"/>
      <c r="M445" s="342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</row>
    <row r="446">
      <c r="A446" s="341"/>
      <c r="B446" s="356"/>
      <c r="C446" s="456"/>
      <c r="D446" s="356"/>
      <c r="E446" s="452"/>
      <c r="F446" s="356"/>
      <c r="G446" s="356"/>
      <c r="H446" s="453"/>
      <c r="I446" s="453"/>
      <c r="J446" s="454"/>
      <c r="L446" s="454"/>
      <c r="M446" s="342"/>
      <c r="O446" s="356"/>
      <c r="P446" s="356"/>
      <c r="Q446" s="356"/>
      <c r="R446" s="356"/>
      <c r="S446" s="356"/>
      <c r="T446" s="356"/>
      <c r="U446" s="356"/>
      <c r="V446" s="356"/>
      <c r="W446" s="356"/>
      <c r="X446" s="356"/>
      <c r="Y446" s="356"/>
      <c r="Z446" s="356"/>
      <c r="AA446" s="356"/>
      <c r="AB446" s="356"/>
      <c r="AC446" s="356"/>
      <c r="AD446" s="356"/>
      <c r="AE446" s="356"/>
      <c r="AF446" s="356"/>
    </row>
    <row r="447">
      <c r="A447" s="341"/>
      <c r="B447" s="356"/>
      <c r="C447" s="456"/>
      <c r="D447" s="356"/>
      <c r="E447" s="452"/>
      <c r="F447" s="356"/>
      <c r="G447" s="356"/>
      <c r="H447" s="453"/>
      <c r="I447" s="453"/>
      <c r="J447" s="454"/>
      <c r="L447" s="454"/>
      <c r="M447" s="342"/>
      <c r="O447" s="356"/>
      <c r="P447" s="356"/>
      <c r="Q447" s="356"/>
      <c r="R447" s="356"/>
      <c r="S447" s="356"/>
      <c r="T447" s="356"/>
      <c r="U447" s="356"/>
      <c r="V447" s="356"/>
      <c r="W447" s="356"/>
      <c r="X447" s="356"/>
      <c r="Y447" s="356"/>
      <c r="Z447" s="356"/>
      <c r="AA447" s="356"/>
      <c r="AB447" s="356"/>
      <c r="AC447" s="356"/>
      <c r="AD447" s="356"/>
      <c r="AE447" s="356"/>
      <c r="AF447" s="356"/>
    </row>
    <row r="448">
      <c r="A448" s="341"/>
      <c r="B448" s="356"/>
      <c r="C448" s="456"/>
      <c r="D448" s="356"/>
      <c r="E448" s="452"/>
      <c r="F448" s="356"/>
      <c r="G448" s="356"/>
      <c r="H448" s="453"/>
      <c r="I448" s="453"/>
      <c r="J448" s="454"/>
      <c r="L448" s="454"/>
      <c r="M448" s="342"/>
      <c r="O448" s="356"/>
      <c r="P448" s="356"/>
      <c r="Q448" s="356"/>
      <c r="R448" s="356"/>
      <c r="S448" s="356"/>
      <c r="T448" s="356"/>
      <c r="U448" s="356"/>
      <c r="V448" s="356"/>
      <c r="W448" s="356"/>
      <c r="X448" s="356"/>
      <c r="Y448" s="356"/>
      <c r="Z448" s="356"/>
      <c r="AA448" s="356"/>
      <c r="AB448" s="356"/>
      <c r="AC448" s="356"/>
      <c r="AD448" s="356"/>
      <c r="AE448" s="356"/>
      <c r="AF448" s="356"/>
    </row>
    <row r="449">
      <c r="A449" s="341"/>
      <c r="B449" s="356"/>
      <c r="C449" s="456"/>
      <c r="D449" s="356"/>
      <c r="E449" s="452"/>
      <c r="F449" s="356"/>
      <c r="G449" s="356"/>
      <c r="H449" s="453"/>
      <c r="I449" s="453"/>
      <c r="J449" s="454"/>
      <c r="L449" s="454"/>
      <c r="M449" s="342"/>
      <c r="O449" s="356"/>
      <c r="P449" s="356"/>
      <c r="Q449" s="356"/>
      <c r="R449" s="356"/>
      <c r="S449" s="356"/>
      <c r="T449" s="356"/>
      <c r="U449" s="356"/>
      <c r="V449" s="356"/>
      <c r="W449" s="356"/>
      <c r="X449" s="356"/>
      <c r="Y449" s="356"/>
      <c r="Z449" s="356"/>
      <c r="AA449" s="356"/>
      <c r="AB449" s="356"/>
      <c r="AC449" s="356"/>
      <c r="AD449" s="356"/>
      <c r="AE449" s="356"/>
      <c r="AF449" s="356"/>
    </row>
    <row r="450">
      <c r="A450" s="341"/>
      <c r="B450" s="356"/>
      <c r="C450" s="456"/>
      <c r="D450" s="356"/>
      <c r="E450" s="452"/>
      <c r="F450" s="356"/>
      <c r="G450" s="356"/>
      <c r="H450" s="453"/>
      <c r="I450" s="453"/>
      <c r="J450" s="454"/>
      <c r="L450" s="454"/>
      <c r="M450" s="342"/>
      <c r="O450" s="356"/>
      <c r="P450" s="356"/>
      <c r="Q450" s="356"/>
      <c r="R450" s="356"/>
      <c r="S450" s="356"/>
      <c r="T450" s="356"/>
      <c r="U450" s="356"/>
      <c r="V450" s="356"/>
      <c r="W450" s="356"/>
      <c r="X450" s="356"/>
      <c r="Y450" s="356"/>
      <c r="Z450" s="356"/>
      <c r="AA450" s="356"/>
      <c r="AB450" s="356"/>
      <c r="AC450" s="356"/>
      <c r="AD450" s="356"/>
      <c r="AE450" s="356"/>
      <c r="AF450" s="356"/>
    </row>
    <row r="451">
      <c r="A451" s="341"/>
      <c r="B451" s="356"/>
      <c r="C451" s="456"/>
      <c r="D451" s="356"/>
      <c r="E451" s="452"/>
      <c r="F451" s="356"/>
      <c r="G451" s="356"/>
      <c r="H451" s="453"/>
      <c r="I451" s="453"/>
      <c r="J451" s="454"/>
      <c r="L451" s="454"/>
      <c r="M451" s="342"/>
      <c r="O451" s="356"/>
      <c r="P451" s="356"/>
      <c r="Q451" s="356"/>
      <c r="R451" s="356"/>
      <c r="S451" s="356"/>
      <c r="T451" s="356"/>
      <c r="U451" s="356"/>
      <c r="V451" s="356"/>
      <c r="W451" s="356"/>
      <c r="X451" s="356"/>
      <c r="Y451" s="356"/>
      <c r="Z451" s="356"/>
      <c r="AA451" s="356"/>
      <c r="AB451" s="356"/>
      <c r="AC451" s="356"/>
      <c r="AD451" s="356"/>
      <c r="AE451" s="356"/>
      <c r="AF451" s="356"/>
    </row>
    <row r="452">
      <c r="A452" s="341"/>
      <c r="B452" s="356"/>
      <c r="C452" s="456"/>
      <c r="D452" s="356"/>
      <c r="E452" s="452"/>
      <c r="F452" s="356"/>
      <c r="G452" s="356"/>
      <c r="H452" s="453"/>
      <c r="I452" s="453"/>
      <c r="J452" s="454"/>
      <c r="L452" s="454"/>
      <c r="M452" s="342"/>
      <c r="O452" s="356"/>
      <c r="P452" s="356"/>
      <c r="Q452" s="356"/>
      <c r="R452" s="356"/>
      <c r="S452" s="356"/>
      <c r="T452" s="356"/>
      <c r="U452" s="356"/>
      <c r="V452" s="356"/>
      <c r="W452" s="356"/>
      <c r="X452" s="356"/>
      <c r="Y452" s="356"/>
      <c r="Z452" s="356"/>
      <c r="AA452" s="356"/>
      <c r="AB452" s="356"/>
      <c r="AC452" s="356"/>
      <c r="AD452" s="356"/>
      <c r="AE452" s="356"/>
      <c r="AF452" s="356"/>
    </row>
    <row r="453">
      <c r="A453" s="341"/>
      <c r="B453" s="356"/>
      <c r="C453" s="456"/>
      <c r="D453" s="356"/>
      <c r="E453" s="452"/>
      <c r="F453" s="356"/>
      <c r="G453" s="356"/>
      <c r="H453" s="453"/>
      <c r="I453" s="453"/>
      <c r="J453" s="454"/>
      <c r="L453" s="454"/>
      <c r="M453" s="342"/>
      <c r="O453" s="356"/>
      <c r="P453" s="356"/>
      <c r="Q453" s="356"/>
      <c r="R453" s="356"/>
      <c r="S453" s="356"/>
      <c r="T453" s="356"/>
      <c r="U453" s="356"/>
      <c r="V453" s="356"/>
      <c r="W453" s="356"/>
      <c r="X453" s="356"/>
      <c r="Y453" s="356"/>
      <c r="Z453" s="356"/>
      <c r="AA453" s="356"/>
      <c r="AB453" s="356"/>
      <c r="AC453" s="356"/>
      <c r="AD453" s="356"/>
      <c r="AE453" s="356"/>
      <c r="AF453" s="356"/>
    </row>
    <row r="454">
      <c r="A454" s="341"/>
      <c r="B454" s="356"/>
      <c r="C454" s="456"/>
      <c r="D454" s="356"/>
      <c r="E454" s="452"/>
      <c r="F454" s="356"/>
      <c r="G454" s="356"/>
      <c r="H454" s="453"/>
      <c r="I454" s="453"/>
      <c r="J454" s="454"/>
      <c r="L454" s="454"/>
      <c r="M454" s="342"/>
      <c r="O454" s="356"/>
      <c r="P454" s="356"/>
      <c r="Q454" s="356"/>
      <c r="R454" s="356"/>
      <c r="S454" s="356"/>
      <c r="T454" s="356"/>
      <c r="U454" s="356"/>
      <c r="V454" s="356"/>
      <c r="W454" s="356"/>
      <c r="X454" s="356"/>
      <c r="Y454" s="356"/>
      <c r="Z454" s="356"/>
      <c r="AA454" s="356"/>
      <c r="AB454" s="356"/>
      <c r="AC454" s="356"/>
      <c r="AD454" s="356"/>
      <c r="AE454" s="356"/>
      <c r="AF454" s="356"/>
    </row>
    <row r="455">
      <c r="A455" s="341"/>
      <c r="B455" s="356"/>
      <c r="C455" s="456"/>
      <c r="D455" s="356"/>
      <c r="E455" s="452"/>
      <c r="F455" s="356"/>
      <c r="G455" s="356"/>
      <c r="H455" s="453"/>
      <c r="I455" s="453"/>
      <c r="J455" s="454"/>
      <c r="L455" s="454"/>
      <c r="M455" s="342"/>
      <c r="O455" s="356"/>
      <c r="P455" s="356"/>
      <c r="Q455" s="356"/>
      <c r="R455" s="356"/>
      <c r="S455" s="356"/>
      <c r="T455" s="356"/>
      <c r="U455" s="356"/>
      <c r="V455" s="356"/>
      <c r="W455" s="356"/>
      <c r="X455" s="356"/>
      <c r="Y455" s="356"/>
      <c r="Z455" s="356"/>
      <c r="AA455" s="356"/>
      <c r="AB455" s="356"/>
      <c r="AC455" s="356"/>
      <c r="AD455" s="356"/>
      <c r="AE455" s="356"/>
      <c r="AF455" s="356"/>
    </row>
    <row r="456">
      <c r="A456" s="341"/>
      <c r="B456" s="356"/>
      <c r="C456" s="456"/>
      <c r="D456" s="356"/>
      <c r="E456" s="452"/>
      <c r="F456" s="356"/>
      <c r="G456" s="356"/>
      <c r="H456" s="453"/>
      <c r="I456" s="453"/>
      <c r="J456" s="454"/>
      <c r="L456" s="454"/>
      <c r="M456" s="342"/>
      <c r="O456" s="356"/>
      <c r="P456" s="356"/>
      <c r="Q456" s="356"/>
      <c r="R456" s="356"/>
      <c r="S456" s="356"/>
      <c r="T456" s="356"/>
      <c r="U456" s="356"/>
      <c r="V456" s="356"/>
      <c r="W456" s="356"/>
      <c r="X456" s="356"/>
      <c r="Y456" s="356"/>
      <c r="Z456" s="356"/>
      <c r="AA456" s="356"/>
      <c r="AB456" s="356"/>
      <c r="AC456" s="356"/>
      <c r="AD456" s="356"/>
      <c r="AE456" s="356"/>
      <c r="AF456" s="356"/>
    </row>
    <row r="457">
      <c r="A457" s="341"/>
      <c r="B457" s="356"/>
      <c r="C457" s="456"/>
      <c r="D457" s="356"/>
      <c r="E457" s="452"/>
      <c r="F457" s="356"/>
      <c r="G457" s="356"/>
      <c r="H457" s="453"/>
      <c r="I457" s="453"/>
      <c r="J457" s="454"/>
      <c r="L457" s="454"/>
      <c r="M457" s="342"/>
      <c r="O457" s="356"/>
      <c r="P457" s="356"/>
      <c r="Q457" s="356"/>
      <c r="R457" s="356"/>
      <c r="S457" s="356"/>
      <c r="T457" s="356"/>
      <c r="U457" s="356"/>
      <c r="V457" s="356"/>
      <c r="W457" s="356"/>
      <c r="X457" s="356"/>
      <c r="Y457" s="356"/>
      <c r="Z457" s="356"/>
      <c r="AA457" s="356"/>
      <c r="AB457" s="356"/>
      <c r="AC457" s="356"/>
      <c r="AD457" s="356"/>
      <c r="AE457" s="356"/>
      <c r="AF457" s="356"/>
    </row>
    <row r="458">
      <c r="A458" s="341"/>
      <c r="B458" s="356"/>
      <c r="C458" s="456"/>
      <c r="D458" s="356"/>
      <c r="E458" s="452"/>
      <c r="F458" s="356"/>
      <c r="G458" s="356"/>
      <c r="H458" s="453"/>
      <c r="I458" s="453"/>
      <c r="J458" s="454"/>
      <c r="L458" s="454"/>
      <c r="M458" s="342"/>
      <c r="O458" s="356"/>
      <c r="P458" s="356"/>
      <c r="Q458" s="356"/>
      <c r="R458" s="356"/>
      <c r="S458" s="356"/>
      <c r="T458" s="356"/>
      <c r="U458" s="356"/>
      <c r="V458" s="356"/>
      <c r="W458" s="356"/>
      <c r="X458" s="356"/>
      <c r="Y458" s="356"/>
      <c r="Z458" s="356"/>
      <c r="AA458" s="356"/>
      <c r="AB458" s="356"/>
      <c r="AC458" s="356"/>
      <c r="AD458" s="356"/>
      <c r="AE458" s="356"/>
      <c r="AF458" s="356"/>
    </row>
    <row r="459">
      <c r="A459" s="341"/>
      <c r="B459" s="356"/>
      <c r="C459" s="456"/>
      <c r="D459" s="356"/>
      <c r="E459" s="452"/>
      <c r="F459" s="356"/>
      <c r="G459" s="356"/>
      <c r="H459" s="453"/>
      <c r="I459" s="453"/>
      <c r="J459" s="454"/>
      <c r="L459" s="454"/>
      <c r="M459" s="342"/>
      <c r="O459" s="356"/>
      <c r="P459" s="356"/>
      <c r="Q459" s="356"/>
      <c r="R459" s="356"/>
      <c r="S459" s="356"/>
      <c r="T459" s="356"/>
      <c r="U459" s="356"/>
      <c r="V459" s="356"/>
      <c r="W459" s="356"/>
      <c r="X459" s="356"/>
      <c r="Y459" s="356"/>
      <c r="Z459" s="356"/>
      <c r="AA459" s="356"/>
      <c r="AB459" s="356"/>
      <c r="AC459" s="356"/>
      <c r="AD459" s="356"/>
      <c r="AE459" s="356"/>
      <c r="AF459" s="356"/>
    </row>
    <row r="460">
      <c r="A460" s="341"/>
      <c r="B460" s="356"/>
      <c r="C460" s="456"/>
      <c r="D460" s="356"/>
      <c r="E460" s="452"/>
      <c r="F460" s="356"/>
      <c r="G460" s="356"/>
      <c r="H460" s="453"/>
      <c r="I460" s="453"/>
      <c r="J460" s="454"/>
      <c r="L460" s="454"/>
      <c r="M460" s="342"/>
      <c r="O460" s="356"/>
      <c r="P460" s="356"/>
      <c r="Q460" s="356"/>
      <c r="R460" s="356"/>
      <c r="S460" s="356"/>
      <c r="T460" s="356"/>
      <c r="U460" s="356"/>
      <c r="V460" s="356"/>
      <c r="W460" s="356"/>
      <c r="X460" s="356"/>
      <c r="Y460" s="356"/>
      <c r="Z460" s="356"/>
      <c r="AA460" s="356"/>
      <c r="AB460" s="356"/>
      <c r="AC460" s="356"/>
      <c r="AD460" s="356"/>
      <c r="AE460" s="356"/>
      <c r="AF460" s="356"/>
    </row>
    <row r="461">
      <c r="A461" s="341"/>
      <c r="B461" s="356"/>
      <c r="C461" s="456"/>
      <c r="D461" s="356"/>
      <c r="E461" s="452"/>
      <c r="F461" s="356"/>
      <c r="G461" s="356"/>
      <c r="H461" s="453"/>
      <c r="I461" s="453"/>
      <c r="J461" s="454"/>
      <c r="L461" s="454"/>
      <c r="M461" s="342"/>
      <c r="O461" s="356"/>
      <c r="P461" s="356"/>
      <c r="Q461" s="356"/>
      <c r="R461" s="356"/>
      <c r="S461" s="356"/>
      <c r="T461" s="356"/>
      <c r="U461" s="356"/>
      <c r="V461" s="356"/>
      <c r="W461" s="356"/>
      <c r="X461" s="356"/>
      <c r="Y461" s="356"/>
      <c r="Z461" s="356"/>
      <c r="AA461" s="356"/>
      <c r="AB461" s="356"/>
      <c r="AC461" s="356"/>
      <c r="AD461" s="356"/>
      <c r="AE461" s="356"/>
      <c r="AF461" s="356"/>
    </row>
    <row r="462">
      <c r="A462" s="341"/>
      <c r="B462" s="356"/>
      <c r="C462" s="456"/>
      <c r="D462" s="356"/>
      <c r="E462" s="452"/>
      <c r="F462" s="356"/>
      <c r="G462" s="356"/>
      <c r="H462" s="453"/>
      <c r="I462" s="453"/>
      <c r="J462" s="454"/>
      <c r="L462" s="454"/>
      <c r="M462" s="342"/>
      <c r="O462" s="356"/>
      <c r="P462" s="356"/>
      <c r="Q462" s="356"/>
      <c r="R462" s="356"/>
      <c r="S462" s="356"/>
      <c r="T462" s="356"/>
      <c r="U462" s="356"/>
      <c r="V462" s="356"/>
      <c r="W462" s="356"/>
      <c r="X462" s="356"/>
      <c r="Y462" s="356"/>
      <c r="Z462" s="356"/>
      <c r="AA462" s="356"/>
      <c r="AB462" s="356"/>
      <c r="AC462" s="356"/>
      <c r="AD462" s="356"/>
      <c r="AE462" s="356"/>
      <c r="AF462" s="356"/>
    </row>
    <row r="463">
      <c r="A463" s="341"/>
      <c r="B463" s="356"/>
      <c r="C463" s="456"/>
      <c r="D463" s="356"/>
      <c r="E463" s="452"/>
      <c r="F463" s="356"/>
      <c r="G463" s="356"/>
      <c r="H463" s="453"/>
      <c r="I463" s="453"/>
      <c r="J463" s="454"/>
      <c r="L463" s="454"/>
      <c r="M463" s="342"/>
      <c r="O463" s="356"/>
      <c r="P463" s="356"/>
      <c r="Q463" s="356"/>
      <c r="R463" s="356"/>
      <c r="S463" s="356"/>
      <c r="T463" s="356"/>
      <c r="U463" s="356"/>
      <c r="V463" s="356"/>
      <c r="W463" s="356"/>
      <c r="X463" s="356"/>
      <c r="Y463" s="356"/>
      <c r="Z463" s="356"/>
      <c r="AA463" s="356"/>
      <c r="AB463" s="356"/>
      <c r="AC463" s="356"/>
      <c r="AD463" s="356"/>
      <c r="AE463" s="356"/>
      <c r="AF463" s="356"/>
    </row>
    <row r="464">
      <c r="A464" s="341"/>
      <c r="B464" s="356"/>
      <c r="C464" s="456"/>
      <c r="D464" s="356"/>
      <c r="E464" s="452"/>
      <c r="F464" s="356"/>
      <c r="G464" s="356"/>
      <c r="H464" s="453"/>
      <c r="I464" s="453"/>
      <c r="J464" s="454"/>
      <c r="L464" s="454"/>
      <c r="M464" s="342"/>
      <c r="O464" s="356"/>
      <c r="P464" s="356"/>
      <c r="Q464" s="356"/>
      <c r="R464" s="356"/>
      <c r="S464" s="356"/>
      <c r="T464" s="356"/>
      <c r="U464" s="356"/>
      <c r="V464" s="356"/>
      <c r="W464" s="356"/>
      <c r="X464" s="356"/>
      <c r="Y464" s="356"/>
      <c r="Z464" s="356"/>
      <c r="AA464" s="356"/>
      <c r="AB464" s="356"/>
      <c r="AC464" s="356"/>
      <c r="AD464" s="356"/>
      <c r="AE464" s="356"/>
      <c r="AF464" s="356"/>
    </row>
    <row r="465">
      <c r="A465" s="341"/>
      <c r="B465" s="356"/>
      <c r="C465" s="456"/>
      <c r="D465" s="356"/>
      <c r="E465" s="452"/>
      <c r="F465" s="356"/>
      <c r="G465" s="356"/>
      <c r="H465" s="453"/>
      <c r="I465" s="453"/>
      <c r="J465" s="454"/>
      <c r="L465" s="454"/>
      <c r="M465" s="342"/>
      <c r="O465" s="356"/>
      <c r="P465" s="356"/>
      <c r="Q465" s="356"/>
      <c r="R465" s="356"/>
      <c r="S465" s="356"/>
      <c r="T465" s="356"/>
      <c r="U465" s="356"/>
      <c r="V465" s="356"/>
      <c r="W465" s="356"/>
      <c r="X465" s="356"/>
      <c r="Y465" s="356"/>
      <c r="Z465" s="356"/>
      <c r="AA465" s="356"/>
      <c r="AB465" s="356"/>
      <c r="AC465" s="356"/>
      <c r="AD465" s="356"/>
      <c r="AE465" s="356"/>
      <c r="AF465" s="356"/>
    </row>
    <row r="466">
      <c r="A466" s="341"/>
      <c r="B466" s="356"/>
      <c r="C466" s="456"/>
      <c r="D466" s="356"/>
      <c r="E466" s="452"/>
      <c r="F466" s="356"/>
      <c r="G466" s="356"/>
      <c r="H466" s="453"/>
      <c r="I466" s="453"/>
      <c r="J466" s="454"/>
      <c r="L466" s="454"/>
      <c r="M466" s="342"/>
      <c r="O466" s="356"/>
      <c r="P466" s="356"/>
      <c r="Q466" s="356"/>
      <c r="R466" s="356"/>
      <c r="S466" s="356"/>
      <c r="T466" s="356"/>
      <c r="U466" s="356"/>
      <c r="V466" s="356"/>
      <c r="W466" s="356"/>
      <c r="X466" s="356"/>
      <c r="Y466" s="356"/>
      <c r="Z466" s="356"/>
      <c r="AA466" s="356"/>
      <c r="AB466" s="356"/>
      <c r="AC466" s="356"/>
      <c r="AD466" s="356"/>
      <c r="AE466" s="356"/>
      <c r="AF466" s="356"/>
    </row>
    <row r="467">
      <c r="A467" s="341"/>
      <c r="B467" s="356"/>
      <c r="C467" s="456"/>
      <c r="D467" s="356"/>
      <c r="E467" s="452"/>
      <c r="F467" s="356"/>
      <c r="G467" s="356"/>
      <c r="H467" s="453"/>
      <c r="I467" s="453"/>
      <c r="J467" s="454"/>
      <c r="L467" s="454"/>
      <c r="M467" s="342"/>
      <c r="O467" s="356"/>
      <c r="P467" s="356"/>
      <c r="Q467" s="356"/>
      <c r="R467" s="356"/>
      <c r="S467" s="356"/>
      <c r="T467" s="356"/>
      <c r="U467" s="356"/>
      <c r="V467" s="356"/>
      <c r="W467" s="356"/>
      <c r="X467" s="356"/>
      <c r="Y467" s="356"/>
      <c r="Z467" s="356"/>
      <c r="AA467" s="356"/>
      <c r="AB467" s="356"/>
      <c r="AC467" s="356"/>
      <c r="AD467" s="356"/>
      <c r="AE467" s="356"/>
      <c r="AF467" s="356"/>
    </row>
    <row r="468">
      <c r="A468" s="341"/>
      <c r="B468" s="356"/>
      <c r="C468" s="456"/>
      <c r="D468" s="356"/>
      <c r="E468" s="452"/>
      <c r="F468" s="356"/>
      <c r="G468" s="356"/>
      <c r="H468" s="453"/>
      <c r="I468" s="453"/>
      <c r="J468" s="454"/>
      <c r="L468" s="454"/>
      <c r="M468" s="342"/>
      <c r="O468" s="356"/>
      <c r="P468" s="356"/>
      <c r="Q468" s="356"/>
      <c r="R468" s="356"/>
      <c r="S468" s="356"/>
      <c r="T468" s="356"/>
      <c r="U468" s="356"/>
      <c r="V468" s="356"/>
      <c r="W468" s="356"/>
      <c r="X468" s="356"/>
      <c r="Y468" s="356"/>
      <c r="Z468" s="356"/>
      <c r="AA468" s="356"/>
      <c r="AB468" s="356"/>
      <c r="AC468" s="356"/>
      <c r="AD468" s="356"/>
      <c r="AE468" s="356"/>
      <c r="AF468" s="356"/>
    </row>
    <row r="469">
      <c r="A469" s="341"/>
      <c r="B469" s="356"/>
      <c r="C469" s="456"/>
      <c r="D469" s="356"/>
      <c r="E469" s="452"/>
      <c r="F469" s="356"/>
      <c r="G469" s="356"/>
      <c r="H469" s="453"/>
      <c r="I469" s="453"/>
      <c r="J469" s="454"/>
      <c r="L469" s="454"/>
      <c r="M469" s="342"/>
      <c r="O469" s="356"/>
      <c r="P469" s="356"/>
      <c r="Q469" s="356"/>
      <c r="R469" s="356"/>
      <c r="S469" s="356"/>
      <c r="T469" s="356"/>
      <c r="U469" s="356"/>
      <c r="V469" s="356"/>
      <c r="W469" s="356"/>
      <c r="X469" s="356"/>
      <c r="Y469" s="356"/>
      <c r="Z469" s="356"/>
      <c r="AA469" s="356"/>
      <c r="AB469" s="356"/>
      <c r="AC469" s="356"/>
      <c r="AD469" s="356"/>
      <c r="AE469" s="356"/>
      <c r="AF469" s="356"/>
    </row>
    <row r="470">
      <c r="A470" s="341"/>
      <c r="B470" s="356"/>
      <c r="C470" s="456"/>
      <c r="D470" s="356"/>
      <c r="E470" s="452"/>
      <c r="F470" s="356"/>
      <c r="G470" s="356"/>
      <c r="H470" s="453"/>
      <c r="I470" s="453"/>
      <c r="J470" s="454"/>
      <c r="L470" s="454"/>
      <c r="M470" s="342"/>
      <c r="O470" s="356"/>
      <c r="P470" s="356"/>
      <c r="Q470" s="356"/>
      <c r="R470" s="356"/>
      <c r="S470" s="356"/>
      <c r="T470" s="356"/>
      <c r="U470" s="356"/>
      <c r="V470" s="356"/>
      <c r="W470" s="356"/>
      <c r="X470" s="356"/>
      <c r="Y470" s="356"/>
      <c r="Z470" s="356"/>
      <c r="AA470" s="356"/>
      <c r="AB470" s="356"/>
      <c r="AC470" s="356"/>
      <c r="AD470" s="356"/>
      <c r="AE470" s="356"/>
      <c r="AF470" s="356"/>
    </row>
    <row r="471">
      <c r="A471" s="341"/>
      <c r="B471" s="356"/>
      <c r="C471" s="456"/>
      <c r="D471" s="356"/>
      <c r="E471" s="452"/>
      <c r="F471" s="356"/>
      <c r="G471" s="356"/>
      <c r="H471" s="453"/>
      <c r="I471" s="453"/>
      <c r="J471" s="454"/>
      <c r="L471" s="454"/>
      <c r="M471" s="342"/>
      <c r="O471" s="356"/>
      <c r="P471" s="356"/>
      <c r="Q471" s="356"/>
      <c r="R471" s="356"/>
      <c r="S471" s="356"/>
      <c r="T471" s="356"/>
      <c r="U471" s="356"/>
      <c r="V471" s="356"/>
      <c r="W471" s="356"/>
      <c r="X471" s="356"/>
      <c r="Y471" s="356"/>
      <c r="Z471" s="356"/>
      <c r="AA471" s="356"/>
      <c r="AB471" s="356"/>
      <c r="AC471" s="356"/>
      <c r="AD471" s="356"/>
      <c r="AE471" s="356"/>
      <c r="AF471" s="356"/>
    </row>
    <row r="472">
      <c r="A472" s="341"/>
      <c r="B472" s="356"/>
      <c r="C472" s="456"/>
      <c r="D472" s="356"/>
      <c r="E472" s="452"/>
      <c r="F472" s="356"/>
      <c r="G472" s="356"/>
      <c r="H472" s="453"/>
      <c r="I472" s="453"/>
      <c r="J472" s="454"/>
      <c r="L472" s="454"/>
      <c r="M472" s="342"/>
      <c r="O472" s="356"/>
      <c r="P472" s="356"/>
      <c r="Q472" s="356"/>
      <c r="R472" s="356"/>
      <c r="S472" s="356"/>
      <c r="T472" s="356"/>
      <c r="U472" s="356"/>
      <c r="V472" s="356"/>
      <c r="W472" s="356"/>
      <c r="X472" s="356"/>
      <c r="Y472" s="356"/>
      <c r="Z472" s="356"/>
      <c r="AA472" s="356"/>
      <c r="AB472" s="356"/>
      <c r="AC472" s="356"/>
      <c r="AD472" s="356"/>
      <c r="AE472" s="356"/>
      <c r="AF472" s="356"/>
    </row>
    <row r="473">
      <c r="A473" s="341"/>
      <c r="B473" s="356"/>
      <c r="C473" s="456"/>
      <c r="D473" s="356"/>
      <c r="E473" s="452"/>
      <c r="F473" s="356"/>
      <c r="G473" s="356"/>
      <c r="H473" s="453"/>
      <c r="I473" s="453"/>
      <c r="J473" s="454"/>
      <c r="L473" s="454"/>
      <c r="M473" s="342"/>
      <c r="O473" s="356"/>
      <c r="P473" s="356"/>
      <c r="Q473" s="356"/>
      <c r="R473" s="356"/>
      <c r="S473" s="356"/>
      <c r="T473" s="356"/>
      <c r="U473" s="356"/>
      <c r="V473" s="356"/>
      <c r="W473" s="356"/>
      <c r="X473" s="356"/>
      <c r="Y473" s="356"/>
      <c r="Z473" s="356"/>
      <c r="AA473" s="356"/>
      <c r="AB473" s="356"/>
      <c r="AC473" s="356"/>
      <c r="AD473" s="356"/>
      <c r="AE473" s="356"/>
      <c r="AF473" s="356"/>
    </row>
    <row r="474">
      <c r="A474" s="341"/>
      <c r="B474" s="356"/>
      <c r="C474" s="456"/>
      <c r="D474" s="356"/>
      <c r="E474" s="452"/>
      <c r="F474" s="356"/>
      <c r="G474" s="356"/>
      <c r="H474" s="453"/>
      <c r="I474" s="453"/>
      <c r="J474" s="454"/>
      <c r="L474" s="454"/>
      <c r="M474" s="342"/>
      <c r="O474" s="356"/>
      <c r="P474" s="356"/>
      <c r="Q474" s="356"/>
      <c r="R474" s="356"/>
      <c r="S474" s="356"/>
      <c r="T474" s="356"/>
      <c r="U474" s="356"/>
      <c r="V474" s="356"/>
      <c r="W474" s="356"/>
      <c r="X474" s="356"/>
      <c r="Y474" s="356"/>
      <c r="Z474" s="356"/>
      <c r="AA474" s="356"/>
      <c r="AB474" s="356"/>
      <c r="AC474" s="356"/>
      <c r="AD474" s="356"/>
      <c r="AE474" s="356"/>
      <c r="AF474" s="356"/>
    </row>
    <row r="475">
      <c r="A475" s="341"/>
      <c r="B475" s="356"/>
      <c r="C475" s="456"/>
      <c r="D475" s="356"/>
      <c r="E475" s="452"/>
      <c r="F475" s="356"/>
      <c r="G475" s="356"/>
      <c r="H475" s="453"/>
      <c r="I475" s="453"/>
      <c r="J475" s="454"/>
      <c r="L475" s="454"/>
      <c r="M475" s="342"/>
      <c r="O475" s="356"/>
      <c r="P475" s="356"/>
      <c r="Q475" s="356"/>
      <c r="R475" s="356"/>
      <c r="S475" s="356"/>
      <c r="T475" s="356"/>
      <c r="U475" s="356"/>
      <c r="V475" s="356"/>
      <c r="W475" s="356"/>
      <c r="X475" s="356"/>
      <c r="Y475" s="356"/>
      <c r="Z475" s="356"/>
      <c r="AA475" s="356"/>
      <c r="AB475" s="356"/>
      <c r="AC475" s="356"/>
      <c r="AD475" s="356"/>
      <c r="AE475" s="356"/>
      <c r="AF475" s="356"/>
    </row>
    <row r="476">
      <c r="A476" s="341"/>
      <c r="B476" s="356"/>
      <c r="C476" s="456"/>
      <c r="D476" s="356"/>
      <c r="E476" s="452"/>
      <c r="F476" s="356"/>
      <c r="G476" s="356"/>
      <c r="H476" s="453"/>
      <c r="I476" s="453"/>
      <c r="J476" s="454"/>
      <c r="L476" s="454"/>
      <c r="M476" s="342"/>
      <c r="O476" s="356"/>
      <c r="P476" s="356"/>
      <c r="Q476" s="356"/>
      <c r="R476" s="356"/>
      <c r="S476" s="356"/>
      <c r="T476" s="356"/>
      <c r="U476" s="356"/>
      <c r="V476" s="356"/>
      <c r="W476" s="356"/>
      <c r="X476" s="356"/>
      <c r="Y476" s="356"/>
      <c r="Z476" s="356"/>
      <c r="AA476" s="356"/>
      <c r="AB476" s="356"/>
      <c r="AC476" s="356"/>
      <c r="AD476" s="356"/>
      <c r="AE476" s="356"/>
      <c r="AF476" s="356"/>
    </row>
    <row r="477">
      <c r="A477" s="341"/>
      <c r="B477" s="356"/>
      <c r="C477" s="456"/>
      <c r="D477" s="356"/>
      <c r="E477" s="452"/>
      <c r="F477" s="356"/>
      <c r="G477" s="356"/>
      <c r="H477" s="453"/>
      <c r="I477" s="453"/>
      <c r="J477" s="454"/>
      <c r="L477" s="454"/>
      <c r="M477" s="342"/>
      <c r="O477" s="356"/>
      <c r="P477" s="356"/>
      <c r="Q477" s="356"/>
      <c r="R477" s="356"/>
      <c r="S477" s="356"/>
      <c r="T477" s="356"/>
      <c r="U477" s="356"/>
      <c r="V477" s="356"/>
      <c r="W477" s="356"/>
      <c r="X477" s="356"/>
      <c r="Y477" s="356"/>
      <c r="Z477" s="356"/>
      <c r="AA477" s="356"/>
      <c r="AB477" s="356"/>
      <c r="AC477" s="356"/>
      <c r="AD477" s="356"/>
      <c r="AE477" s="356"/>
      <c r="AF477" s="356"/>
    </row>
    <row r="478">
      <c r="A478" s="341"/>
      <c r="B478" s="356"/>
      <c r="C478" s="456"/>
      <c r="D478" s="356"/>
      <c r="E478" s="452"/>
      <c r="F478" s="356"/>
      <c r="G478" s="356"/>
      <c r="H478" s="453"/>
      <c r="I478" s="453"/>
      <c r="J478" s="454"/>
      <c r="L478" s="454"/>
      <c r="M478" s="342"/>
      <c r="O478" s="356"/>
      <c r="P478" s="356"/>
      <c r="Q478" s="356"/>
      <c r="R478" s="356"/>
      <c r="S478" s="356"/>
      <c r="T478" s="356"/>
      <c r="U478" s="356"/>
      <c r="V478" s="356"/>
      <c r="W478" s="356"/>
      <c r="X478" s="356"/>
      <c r="Y478" s="356"/>
      <c r="Z478" s="356"/>
      <c r="AA478" s="356"/>
      <c r="AB478" s="356"/>
      <c r="AC478" s="356"/>
      <c r="AD478" s="356"/>
      <c r="AE478" s="356"/>
      <c r="AF478" s="356"/>
    </row>
    <row r="479">
      <c r="A479" s="341"/>
      <c r="B479" s="356"/>
      <c r="C479" s="456"/>
      <c r="D479" s="356"/>
      <c r="E479" s="452"/>
      <c r="F479" s="356"/>
      <c r="G479" s="356"/>
      <c r="H479" s="453"/>
      <c r="I479" s="453"/>
      <c r="J479" s="454"/>
      <c r="L479" s="454"/>
      <c r="M479" s="342"/>
      <c r="O479" s="356"/>
      <c r="P479" s="356"/>
      <c r="Q479" s="356"/>
      <c r="R479" s="356"/>
      <c r="S479" s="356"/>
      <c r="T479" s="356"/>
      <c r="U479" s="356"/>
      <c r="V479" s="356"/>
      <c r="W479" s="356"/>
      <c r="X479" s="356"/>
      <c r="Y479" s="356"/>
      <c r="Z479" s="356"/>
      <c r="AA479" s="356"/>
      <c r="AB479" s="356"/>
      <c r="AC479" s="356"/>
      <c r="AD479" s="356"/>
      <c r="AE479" s="356"/>
      <c r="AF479" s="356"/>
    </row>
    <row r="480">
      <c r="A480" s="341"/>
      <c r="B480" s="356"/>
      <c r="C480" s="456"/>
      <c r="D480" s="356"/>
      <c r="E480" s="452"/>
      <c r="F480" s="356"/>
      <c r="G480" s="356"/>
      <c r="H480" s="453"/>
      <c r="I480" s="453"/>
      <c r="J480" s="454"/>
      <c r="L480" s="454"/>
      <c r="M480" s="342"/>
      <c r="O480" s="356"/>
      <c r="P480" s="356"/>
      <c r="Q480" s="356"/>
      <c r="R480" s="356"/>
      <c r="S480" s="356"/>
      <c r="T480" s="356"/>
      <c r="U480" s="356"/>
      <c r="V480" s="356"/>
      <c r="W480" s="356"/>
      <c r="X480" s="356"/>
      <c r="Y480" s="356"/>
      <c r="Z480" s="356"/>
      <c r="AA480" s="356"/>
      <c r="AB480" s="356"/>
      <c r="AC480" s="356"/>
      <c r="AD480" s="356"/>
      <c r="AE480" s="356"/>
      <c r="AF480" s="356"/>
    </row>
    <row r="481">
      <c r="A481" s="341"/>
      <c r="B481" s="356"/>
      <c r="C481" s="456"/>
      <c r="D481" s="356"/>
      <c r="E481" s="452"/>
      <c r="F481" s="356"/>
      <c r="G481" s="356"/>
      <c r="H481" s="453"/>
      <c r="I481" s="453"/>
      <c r="J481" s="454"/>
      <c r="L481" s="454"/>
      <c r="M481" s="342"/>
      <c r="O481" s="356"/>
      <c r="P481" s="356"/>
      <c r="Q481" s="356"/>
      <c r="R481" s="356"/>
      <c r="S481" s="356"/>
      <c r="T481" s="356"/>
      <c r="U481" s="356"/>
      <c r="V481" s="356"/>
      <c r="W481" s="356"/>
      <c r="X481" s="356"/>
      <c r="Y481" s="356"/>
      <c r="Z481" s="356"/>
      <c r="AA481" s="356"/>
      <c r="AB481" s="356"/>
      <c r="AC481" s="356"/>
      <c r="AD481" s="356"/>
      <c r="AE481" s="356"/>
      <c r="AF481" s="356"/>
    </row>
    <row r="482">
      <c r="A482" s="341"/>
      <c r="B482" s="356"/>
      <c r="C482" s="456"/>
      <c r="D482" s="356"/>
      <c r="E482" s="452"/>
      <c r="F482" s="356"/>
      <c r="G482" s="356"/>
      <c r="H482" s="453"/>
      <c r="I482" s="453"/>
      <c r="J482" s="454"/>
      <c r="L482" s="454"/>
      <c r="M482" s="342"/>
      <c r="O482" s="356"/>
      <c r="P482" s="356"/>
      <c r="Q482" s="356"/>
      <c r="R482" s="356"/>
      <c r="S482" s="356"/>
      <c r="T482" s="356"/>
      <c r="U482" s="356"/>
      <c r="V482" s="356"/>
      <c r="W482" s="356"/>
      <c r="X482" s="356"/>
      <c r="Y482" s="356"/>
      <c r="Z482" s="356"/>
      <c r="AA482" s="356"/>
      <c r="AB482" s="356"/>
      <c r="AC482" s="356"/>
      <c r="AD482" s="356"/>
      <c r="AE482" s="356"/>
      <c r="AF482" s="356"/>
    </row>
    <row r="483">
      <c r="A483" s="341"/>
      <c r="B483" s="356"/>
      <c r="C483" s="456"/>
      <c r="D483" s="356"/>
      <c r="E483" s="452"/>
      <c r="F483" s="356"/>
      <c r="G483" s="356"/>
      <c r="H483" s="453"/>
      <c r="I483" s="453"/>
      <c r="J483" s="454"/>
      <c r="L483" s="454"/>
      <c r="M483" s="342"/>
      <c r="O483" s="356"/>
      <c r="P483" s="356"/>
      <c r="Q483" s="356"/>
      <c r="R483" s="356"/>
      <c r="S483" s="356"/>
      <c r="T483" s="356"/>
      <c r="U483" s="356"/>
      <c r="V483" s="356"/>
      <c r="W483" s="356"/>
      <c r="X483" s="356"/>
      <c r="Y483" s="356"/>
      <c r="Z483" s="356"/>
      <c r="AA483" s="356"/>
      <c r="AB483" s="356"/>
      <c r="AC483" s="356"/>
      <c r="AD483" s="356"/>
      <c r="AE483" s="356"/>
      <c r="AF483" s="356"/>
    </row>
    <row r="484">
      <c r="A484" s="341"/>
      <c r="B484" s="356"/>
      <c r="C484" s="456"/>
      <c r="D484" s="356"/>
      <c r="E484" s="452"/>
      <c r="F484" s="356"/>
      <c r="G484" s="356"/>
      <c r="H484" s="453"/>
      <c r="I484" s="453"/>
      <c r="J484" s="454"/>
      <c r="L484" s="454"/>
      <c r="M484" s="342"/>
      <c r="O484" s="356"/>
      <c r="P484" s="356"/>
      <c r="Q484" s="356"/>
      <c r="R484" s="356"/>
      <c r="S484" s="356"/>
      <c r="T484" s="356"/>
      <c r="U484" s="356"/>
      <c r="V484" s="356"/>
      <c r="W484" s="356"/>
      <c r="X484" s="356"/>
      <c r="Y484" s="356"/>
      <c r="Z484" s="356"/>
      <c r="AA484" s="356"/>
      <c r="AB484" s="356"/>
      <c r="AC484" s="356"/>
      <c r="AD484" s="356"/>
      <c r="AE484" s="356"/>
      <c r="AF484" s="356"/>
    </row>
    <row r="485">
      <c r="A485" s="341"/>
      <c r="B485" s="356"/>
      <c r="C485" s="456"/>
      <c r="D485" s="356"/>
      <c r="E485" s="452"/>
      <c r="F485" s="356"/>
      <c r="G485" s="356"/>
      <c r="H485" s="453"/>
      <c r="I485" s="453"/>
      <c r="J485" s="454"/>
      <c r="L485" s="454"/>
      <c r="M485" s="342"/>
      <c r="O485" s="356"/>
      <c r="P485" s="356"/>
      <c r="Q485" s="356"/>
      <c r="R485" s="356"/>
      <c r="S485" s="356"/>
      <c r="T485" s="356"/>
      <c r="U485" s="356"/>
      <c r="V485" s="356"/>
      <c r="W485" s="356"/>
      <c r="X485" s="356"/>
      <c r="Y485" s="356"/>
      <c r="Z485" s="356"/>
      <c r="AA485" s="356"/>
      <c r="AB485" s="356"/>
      <c r="AC485" s="356"/>
      <c r="AD485" s="356"/>
      <c r="AE485" s="356"/>
      <c r="AF485" s="356"/>
    </row>
    <row r="486">
      <c r="A486" s="341"/>
      <c r="B486" s="356"/>
      <c r="C486" s="456"/>
      <c r="D486" s="356"/>
      <c r="E486" s="452"/>
      <c r="F486" s="356"/>
      <c r="G486" s="356"/>
      <c r="H486" s="453"/>
      <c r="I486" s="453"/>
      <c r="J486" s="454"/>
      <c r="L486" s="454"/>
      <c r="M486" s="342"/>
      <c r="O486" s="356"/>
      <c r="P486" s="356"/>
      <c r="Q486" s="356"/>
      <c r="R486" s="356"/>
      <c r="S486" s="356"/>
      <c r="T486" s="356"/>
      <c r="U486" s="356"/>
      <c r="V486" s="356"/>
      <c r="W486" s="356"/>
      <c r="X486" s="356"/>
      <c r="Y486" s="356"/>
      <c r="Z486" s="356"/>
      <c r="AA486" s="356"/>
      <c r="AB486" s="356"/>
      <c r="AC486" s="356"/>
      <c r="AD486" s="356"/>
      <c r="AE486" s="356"/>
      <c r="AF486" s="356"/>
    </row>
    <row r="487">
      <c r="A487" s="341"/>
      <c r="B487" s="356"/>
      <c r="C487" s="456"/>
      <c r="D487" s="356"/>
      <c r="E487" s="452"/>
      <c r="F487" s="356"/>
      <c r="G487" s="356"/>
      <c r="H487" s="453"/>
      <c r="I487" s="453"/>
      <c r="J487" s="454"/>
      <c r="L487" s="454"/>
      <c r="M487" s="342"/>
      <c r="O487" s="356"/>
      <c r="P487" s="356"/>
      <c r="Q487" s="356"/>
      <c r="R487" s="356"/>
      <c r="S487" s="356"/>
      <c r="T487" s="356"/>
      <c r="U487" s="356"/>
      <c r="V487" s="356"/>
      <c r="W487" s="356"/>
      <c r="X487" s="356"/>
      <c r="Y487" s="356"/>
      <c r="Z487" s="356"/>
      <c r="AA487" s="356"/>
      <c r="AB487" s="356"/>
      <c r="AC487" s="356"/>
      <c r="AD487" s="356"/>
      <c r="AE487" s="356"/>
      <c r="AF487" s="356"/>
    </row>
    <row r="488">
      <c r="A488" s="341"/>
      <c r="B488" s="356"/>
      <c r="C488" s="456"/>
      <c r="D488" s="356"/>
      <c r="E488" s="452"/>
      <c r="F488" s="356"/>
      <c r="G488" s="356"/>
      <c r="H488" s="453"/>
      <c r="I488" s="453"/>
      <c r="J488" s="454"/>
      <c r="L488" s="454"/>
      <c r="M488" s="342"/>
      <c r="O488" s="356"/>
      <c r="P488" s="356"/>
      <c r="Q488" s="356"/>
      <c r="R488" s="356"/>
      <c r="S488" s="356"/>
      <c r="T488" s="356"/>
      <c r="U488" s="356"/>
      <c r="V488" s="356"/>
      <c r="W488" s="356"/>
      <c r="X488" s="356"/>
      <c r="Y488" s="356"/>
      <c r="Z488" s="356"/>
      <c r="AA488" s="356"/>
      <c r="AB488" s="356"/>
      <c r="AC488" s="356"/>
      <c r="AD488" s="356"/>
      <c r="AE488" s="356"/>
      <c r="AF488" s="356"/>
    </row>
    <row r="489">
      <c r="A489" s="341"/>
      <c r="B489" s="356"/>
      <c r="C489" s="456"/>
      <c r="D489" s="356"/>
      <c r="E489" s="452"/>
      <c r="F489" s="356"/>
      <c r="G489" s="356"/>
      <c r="H489" s="453"/>
      <c r="I489" s="453"/>
      <c r="J489" s="454"/>
      <c r="L489" s="454"/>
      <c r="M489" s="342"/>
      <c r="O489" s="356"/>
      <c r="P489" s="356"/>
      <c r="Q489" s="356"/>
      <c r="R489" s="356"/>
      <c r="S489" s="356"/>
      <c r="T489" s="356"/>
      <c r="U489" s="356"/>
      <c r="V489" s="356"/>
      <c r="W489" s="356"/>
      <c r="X489" s="356"/>
      <c r="Y489" s="356"/>
      <c r="Z489" s="356"/>
      <c r="AA489" s="356"/>
      <c r="AB489" s="356"/>
      <c r="AC489" s="356"/>
      <c r="AD489" s="356"/>
      <c r="AE489" s="356"/>
      <c r="AF489" s="356"/>
    </row>
    <row r="490">
      <c r="A490" s="341"/>
      <c r="B490" s="356"/>
      <c r="C490" s="456"/>
      <c r="D490" s="356"/>
      <c r="E490" s="452"/>
      <c r="F490" s="356"/>
      <c r="G490" s="356"/>
      <c r="H490" s="453"/>
      <c r="I490" s="453"/>
      <c r="J490" s="454"/>
      <c r="L490" s="454"/>
      <c r="M490" s="342"/>
      <c r="O490" s="356"/>
      <c r="P490" s="356"/>
      <c r="Q490" s="356"/>
      <c r="R490" s="356"/>
      <c r="S490" s="356"/>
      <c r="T490" s="356"/>
      <c r="U490" s="356"/>
      <c r="V490" s="356"/>
      <c r="W490" s="356"/>
      <c r="X490" s="356"/>
      <c r="Y490" s="356"/>
      <c r="Z490" s="356"/>
      <c r="AA490" s="356"/>
      <c r="AB490" s="356"/>
      <c r="AC490" s="356"/>
      <c r="AD490" s="356"/>
      <c r="AE490" s="356"/>
      <c r="AF490" s="356"/>
    </row>
    <row r="491">
      <c r="A491" s="341"/>
      <c r="B491" s="356"/>
      <c r="C491" s="456"/>
      <c r="D491" s="356"/>
      <c r="E491" s="452"/>
      <c r="F491" s="356"/>
      <c r="G491" s="356"/>
      <c r="H491" s="453"/>
      <c r="I491" s="453"/>
      <c r="J491" s="454"/>
      <c r="L491" s="454"/>
      <c r="M491" s="342"/>
      <c r="O491" s="356"/>
      <c r="P491" s="356"/>
      <c r="Q491" s="356"/>
      <c r="R491" s="356"/>
      <c r="S491" s="356"/>
      <c r="T491" s="356"/>
      <c r="U491" s="356"/>
      <c r="V491" s="356"/>
      <c r="W491" s="356"/>
      <c r="X491" s="356"/>
      <c r="Y491" s="356"/>
      <c r="Z491" s="356"/>
      <c r="AA491" s="356"/>
      <c r="AB491" s="356"/>
      <c r="AC491" s="356"/>
      <c r="AD491" s="356"/>
      <c r="AE491" s="356"/>
      <c r="AF491" s="356"/>
    </row>
    <row r="492">
      <c r="A492" s="341"/>
      <c r="B492" s="356"/>
      <c r="C492" s="456"/>
      <c r="D492" s="356"/>
      <c r="E492" s="452"/>
      <c r="F492" s="356"/>
      <c r="G492" s="356"/>
      <c r="H492" s="453"/>
      <c r="I492" s="453"/>
      <c r="J492" s="454"/>
      <c r="L492" s="454"/>
      <c r="M492" s="342"/>
      <c r="O492" s="356"/>
      <c r="P492" s="356"/>
      <c r="Q492" s="356"/>
      <c r="R492" s="356"/>
      <c r="S492" s="356"/>
      <c r="T492" s="356"/>
      <c r="U492" s="356"/>
      <c r="V492" s="356"/>
      <c r="W492" s="356"/>
      <c r="X492" s="356"/>
      <c r="Y492" s="356"/>
      <c r="Z492" s="356"/>
      <c r="AA492" s="356"/>
      <c r="AB492" s="356"/>
      <c r="AC492" s="356"/>
      <c r="AD492" s="356"/>
      <c r="AE492" s="356"/>
      <c r="AF492" s="356"/>
    </row>
    <row r="493">
      <c r="A493" s="341"/>
      <c r="B493" s="356"/>
      <c r="C493" s="456"/>
      <c r="D493" s="356"/>
      <c r="E493" s="452"/>
      <c r="F493" s="356"/>
      <c r="G493" s="356"/>
      <c r="H493" s="453"/>
      <c r="I493" s="453"/>
      <c r="J493" s="454"/>
      <c r="L493" s="454"/>
      <c r="M493" s="342"/>
      <c r="O493" s="356"/>
      <c r="P493" s="356"/>
      <c r="Q493" s="356"/>
      <c r="R493" s="356"/>
      <c r="S493" s="356"/>
      <c r="T493" s="356"/>
      <c r="U493" s="356"/>
      <c r="V493" s="356"/>
      <c r="W493" s="356"/>
      <c r="X493" s="356"/>
      <c r="Y493" s="356"/>
      <c r="Z493" s="356"/>
      <c r="AA493" s="356"/>
      <c r="AB493" s="356"/>
      <c r="AC493" s="356"/>
      <c r="AD493" s="356"/>
      <c r="AE493" s="356"/>
      <c r="AF493" s="356"/>
    </row>
    <row r="494">
      <c r="A494" s="341"/>
      <c r="B494" s="356"/>
      <c r="C494" s="456"/>
      <c r="D494" s="356"/>
      <c r="E494" s="452"/>
      <c r="F494" s="356"/>
      <c r="G494" s="356"/>
      <c r="H494" s="453"/>
      <c r="I494" s="453"/>
      <c r="J494" s="454"/>
      <c r="L494" s="454"/>
      <c r="M494" s="342"/>
      <c r="O494" s="356"/>
      <c r="P494" s="356"/>
      <c r="Q494" s="356"/>
      <c r="R494" s="356"/>
      <c r="S494" s="356"/>
      <c r="T494" s="356"/>
      <c r="U494" s="356"/>
      <c r="V494" s="356"/>
      <c r="W494" s="356"/>
      <c r="X494" s="356"/>
      <c r="Y494" s="356"/>
      <c r="Z494" s="356"/>
      <c r="AA494" s="356"/>
      <c r="AB494" s="356"/>
      <c r="AC494" s="356"/>
      <c r="AD494" s="356"/>
      <c r="AE494" s="356"/>
      <c r="AF494" s="356"/>
    </row>
    <row r="495">
      <c r="A495" s="341"/>
      <c r="B495" s="356"/>
      <c r="C495" s="456"/>
      <c r="D495" s="356"/>
      <c r="E495" s="452"/>
      <c r="F495" s="356"/>
      <c r="G495" s="356"/>
      <c r="H495" s="453"/>
      <c r="I495" s="453"/>
      <c r="J495" s="454"/>
      <c r="L495" s="454"/>
      <c r="M495" s="342"/>
      <c r="O495" s="356"/>
      <c r="P495" s="356"/>
      <c r="Q495" s="356"/>
      <c r="R495" s="356"/>
      <c r="S495" s="356"/>
      <c r="T495" s="356"/>
      <c r="U495" s="356"/>
      <c r="V495" s="356"/>
      <c r="W495" s="356"/>
      <c r="X495" s="356"/>
      <c r="Y495" s="356"/>
      <c r="Z495" s="356"/>
      <c r="AA495" s="356"/>
      <c r="AB495" s="356"/>
      <c r="AC495" s="356"/>
      <c r="AD495" s="356"/>
      <c r="AE495" s="356"/>
      <c r="AF495" s="356"/>
    </row>
    <row r="496">
      <c r="A496" s="341"/>
      <c r="B496" s="356"/>
      <c r="C496" s="456"/>
      <c r="D496" s="356"/>
      <c r="E496" s="452"/>
      <c r="F496" s="356"/>
      <c r="G496" s="356"/>
      <c r="H496" s="453"/>
      <c r="I496" s="453"/>
      <c r="J496" s="454"/>
      <c r="L496" s="454"/>
      <c r="M496" s="342"/>
      <c r="O496" s="356"/>
      <c r="P496" s="356"/>
      <c r="Q496" s="356"/>
      <c r="R496" s="356"/>
      <c r="S496" s="356"/>
      <c r="T496" s="356"/>
      <c r="U496" s="356"/>
      <c r="V496" s="356"/>
      <c r="W496" s="356"/>
      <c r="X496" s="356"/>
      <c r="Y496" s="356"/>
      <c r="Z496" s="356"/>
      <c r="AA496" s="356"/>
      <c r="AB496" s="356"/>
      <c r="AC496" s="356"/>
      <c r="AD496" s="356"/>
      <c r="AE496" s="356"/>
      <c r="AF496" s="356"/>
    </row>
    <row r="497">
      <c r="A497" s="341"/>
      <c r="B497" s="356"/>
      <c r="C497" s="456"/>
      <c r="D497" s="356"/>
      <c r="E497" s="452"/>
      <c r="F497" s="356"/>
      <c r="G497" s="356"/>
      <c r="H497" s="453"/>
      <c r="I497" s="453"/>
      <c r="J497" s="454"/>
      <c r="L497" s="454"/>
      <c r="M497" s="342"/>
      <c r="O497" s="356"/>
      <c r="P497" s="356"/>
      <c r="Q497" s="356"/>
      <c r="R497" s="356"/>
      <c r="S497" s="356"/>
      <c r="T497" s="356"/>
      <c r="U497" s="356"/>
      <c r="V497" s="356"/>
      <c r="W497" s="356"/>
      <c r="X497" s="356"/>
      <c r="Y497" s="356"/>
      <c r="Z497" s="356"/>
      <c r="AA497" s="356"/>
      <c r="AB497" s="356"/>
      <c r="AC497" s="356"/>
      <c r="AD497" s="356"/>
      <c r="AE497" s="356"/>
      <c r="AF497" s="356"/>
    </row>
    <row r="498">
      <c r="A498" s="341"/>
      <c r="B498" s="356"/>
      <c r="C498" s="456"/>
      <c r="D498" s="356"/>
      <c r="E498" s="452"/>
      <c r="F498" s="356"/>
      <c r="G498" s="356"/>
      <c r="H498" s="453"/>
      <c r="I498" s="453"/>
      <c r="J498" s="454"/>
      <c r="L498" s="454"/>
      <c r="M498" s="342"/>
      <c r="O498" s="356"/>
      <c r="P498" s="356"/>
      <c r="Q498" s="356"/>
      <c r="R498" s="356"/>
      <c r="S498" s="356"/>
      <c r="T498" s="356"/>
      <c r="U498" s="356"/>
      <c r="V498" s="356"/>
      <c r="W498" s="356"/>
      <c r="X498" s="356"/>
      <c r="Y498" s="356"/>
      <c r="Z498" s="356"/>
      <c r="AA498" s="356"/>
      <c r="AB498" s="356"/>
      <c r="AC498" s="356"/>
      <c r="AD498" s="356"/>
      <c r="AE498" s="356"/>
      <c r="AF498" s="356"/>
    </row>
    <row r="499">
      <c r="A499" s="341"/>
      <c r="B499" s="356"/>
      <c r="C499" s="456"/>
      <c r="D499" s="356"/>
      <c r="E499" s="452"/>
      <c r="F499" s="356"/>
      <c r="G499" s="356"/>
      <c r="H499" s="453"/>
      <c r="I499" s="453"/>
      <c r="J499" s="454"/>
      <c r="L499" s="454"/>
      <c r="M499" s="342"/>
      <c r="O499" s="356"/>
      <c r="P499" s="356"/>
      <c r="Q499" s="356"/>
      <c r="R499" s="356"/>
      <c r="S499" s="356"/>
      <c r="T499" s="356"/>
      <c r="U499" s="356"/>
      <c r="V499" s="356"/>
      <c r="W499" s="356"/>
      <c r="X499" s="356"/>
      <c r="Y499" s="356"/>
      <c r="Z499" s="356"/>
      <c r="AA499" s="356"/>
      <c r="AB499" s="356"/>
      <c r="AC499" s="356"/>
      <c r="AD499" s="356"/>
      <c r="AE499" s="356"/>
      <c r="AF499" s="356"/>
    </row>
    <row r="500">
      <c r="A500" s="341"/>
      <c r="B500" s="356"/>
      <c r="C500" s="456"/>
      <c r="D500" s="356"/>
      <c r="E500" s="452"/>
      <c r="F500" s="356"/>
      <c r="G500" s="356"/>
      <c r="H500" s="453"/>
      <c r="I500" s="453"/>
      <c r="J500" s="454"/>
      <c r="L500" s="454"/>
      <c r="M500" s="342"/>
      <c r="O500" s="356"/>
      <c r="P500" s="356"/>
      <c r="Q500" s="356"/>
      <c r="R500" s="356"/>
      <c r="S500" s="356"/>
      <c r="T500" s="356"/>
      <c r="U500" s="356"/>
      <c r="V500" s="356"/>
      <c r="W500" s="356"/>
      <c r="X500" s="356"/>
      <c r="Y500" s="356"/>
      <c r="Z500" s="356"/>
      <c r="AA500" s="356"/>
      <c r="AB500" s="356"/>
      <c r="AC500" s="356"/>
      <c r="AD500" s="356"/>
      <c r="AE500" s="356"/>
      <c r="AF500" s="356"/>
    </row>
    <row r="501">
      <c r="A501" s="341"/>
      <c r="B501" s="356"/>
      <c r="C501" s="456"/>
      <c r="D501" s="356"/>
      <c r="E501" s="452"/>
      <c r="F501" s="356"/>
      <c r="G501" s="356"/>
      <c r="H501" s="453"/>
      <c r="I501" s="453"/>
      <c r="J501" s="454"/>
      <c r="L501" s="454"/>
      <c r="M501" s="342"/>
      <c r="O501" s="356"/>
      <c r="P501" s="356"/>
      <c r="Q501" s="356"/>
      <c r="R501" s="356"/>
      <c r="S501" s="356"/>
      <c r="T501" s="356"/>
      <c r="U501" s="356"/>
      <c r="V501" s="356"/>
      <c r="W501" s="356"/>
      <c r="X501" s="356"/>
      <c r="Y501" s="356"/>
      <c r="Z501" s="356"/>
      <c r="AA501" s="356"/>
      <c r="AB501" s="356"/>
      <c r="AC501" s="356"/>
      <c r="AD501" s="356"/>
      <c r="AE501" s="356"/>
      <c r="AF501" s="356"/>
    </row>
    <row r="502">
      <c r="A502" s="341"/>
      <c r="B502" s="356"/>
      <c r="C502" s="456"/>
      <c r="D502" s="356"/>
      <c r="E502" s="452"/>
      <c r="F502" s="356"/>
      <c r="G502" s="356"/>
      <c r="H502" s="453"/>
      <c r="I502" s="453"/>
      <c r="J502" s="454"/>
      <c r="L502" s="454"/>
      <c r="M502" s="342"/>
      <c r="O502" s="356"/>
      <c r="P502" s="356"/>
      <c r="Q502" s="356"/>
      <c r="R502" s="356"/>
      <c r="S502" s="356"/>
      <c r="T502" s="356"/>
      <c r="U502" s="356"/>
      <c r="V502" s="356"/>
      <c r="W502" s="356"/>
      <c r="X502" s="356"/>
      <c r="Y502" s="356"/>
      <c r="Z502" s="356"/>
      <c r="AA502" s="356"/>
      <c r="AB502" s="356"/>
      <c r="AC502" s="356"/>
      <c r="AD502" s="356"/>
      <c r="AE502" s="356"/>
      <c r="AF502" s="356"/>
    </row>
    <row r="503">
      <c r="A503" s="341"/>
      <c r="B503" s="356"/>
      <c r="C503" s="456"/>
      <c r="D503" s="356"/>
      <c r="E503" s="452"/>
      <c r="F503" s="356"/>
      <c r="G503" s="356"/>
      <c r="H503" s="453"/>
      <c r="I503" s="453"/>
      <c r="J503" s="454"/>
      <c r="L503" s="454"/>
      <c r="M503" s="342"/>
      <c r="O503" s="356"/>
      <c r="P503" s="356"/>
      <c r="Q503" s="356"/>
      <c r="R503" s="356"/>
      <c r="S503" s="356"/>
      <c r="T503" s="356"/>
      <c r="U503" s="356"/>
      <c r="V503" s="356"/>
      <c r="W503" s="356"/>
      <c r="X503" s="356"/>
      <c r="Y503" s="356"/>
      <c r="Z503" s="356"/>
      <c r="AA503" s="356"/>
      <c r="AB503" s="356"/>
      <c r="AC503" s="356"/>
      <c r="AD503" s="356"/>
      <c r="AE503" s="356"/>
      <c r="AF503" s="356"/>
    </row>
    <row r="504">
      <c r="A504" s="341"/>
      <c r="B504" s="356"/>
      <c r="C504" s="456"/>
      <c r="D504" s="356"/>
      <c r="E504" s="452"/>
      <c r="F504" s="356"/>
      <c r="G504" s="356"/>
      <c r="H504" s="453"/>
      <c r="I504" s="453"/>
      <c r="J504" s="454"/>
      <c r="L504" s="454"/>
      <c r="M504" s="342"/>
      <c r="O504" s="356"/>
      <c r="P504" s="356"/>
      <c r="Q504" s="356"/>
      <c r="R504" s="356"/>
      <c r="S504" s="356"/>
      <c r="T504" s="356"/>
      <c r="U504" s="356"/>
      <c r="V504" s="356"/>
      <c r="W504" s="356"/>
      <c r="X504" s="356"/>
      <c r="Y504" s="356"/>
      <c r="Z504" s="356"/>
      <c r="AA504" s="356"/>
      <c r="AB504" s="356"/>
      <c r="AC504" s="356"/>
      <c r="AD504" s="356"/>
      <c r="AE504" s="356"/>
      <c r="AF504" s="356"/>
    </row>
    <row r="505">
      <c r="A505" s="341"/>
      <c r="B505" s="356"/>
      <c r="C505" s="456"/>
      <c r="D505" s="356"/>
      <c r="E505" s="452"/>
      <c r="F505" s="356"/>
      <c r="G505" s="356"/>
      <c r="H505" s="453"/>
      <c r="I505" s="453"/>
      <c r="J505" s="454"/>
      <c r="L505" s="454"/>
      <c r="M505" s="342"/>
      <c r="O505" s="356"/>
      <c r="P505" s="356"/>
      <c r="Q505" s="356"/>
      <c r="R505" s="356"/>
      <c r="S505" s="356"/>
      <c r="T505" s="356"/>
      <c r="U505" s="356"/>
      <c r="V505" s="356"/>
      <c r="W505" s="356"/>
      <c r="X505" s="356"/>
      <c r="Y505" s="356"/>
      <c r="Z505" s="356"/>
      <c r="AA505" s="356"/>
      <c r="AB505" s="356"/>
      <c r="AC505" s="356"/>
      <c r="AD505" s="356"/>
      <c r="AE505" s="356"/>
      <c r="AF505" s="356"/>
    </row>
    <row r="506">
      <c r="A506" s="341"/>
      <c r="B506" s="356"/>
      <c r="C506" s="456"/>
      <c r="D506" s="356"/>
      <c r="E506" s="452"/>
      <c r="F506" s="356"/>
      <c r="G506" s="356"/>
      <c r="H506" s="453"/>
      <c r="I506" s="453"/>
      <c r="J506" s="454"/>
      <c r="L506" s="454"/>
      <c r="M506" s="342"/>
      <c r="O506" s="356"/>
      <c r="P506" s="356"/>
      <c r="Q506" s="356"/>
      <c r="R506" s="356"/>
      <c r="S506" s="356"/>
      <c r="T506" s="356"/>
      <c r="U506" s="356"/>
      <c r="V506" s="356"/>
      <c r="W506" s="356"/>
      <c r="X506" s="356"/>
      <c r="Y506" s="356"/>
      <c r="Z506" s="356"/>
      <c r="AA506" s="356"/>
      <c r="AB506" s="356"/>
      <c r="AC506" s="356"/>
      <c r="AD506" s="356"/>
      <c r="AE506" s="356"/>
      <c r="AF506" s="356"/>
    </row>
    <row r="507">
      <c r="A507" s="341"/>
      <c r="B507" s="356"/>
      <c r="C507" s="456"/>
      <c r="D507" s="356"/>
      <c r="E507" s="452"/>
      <c r="F507" s="356"/>
      <c r="G507" s="356"/>
      <c r="H507" s="453"/>
      <c r="I507" s="453"/>
      <c r="J507" s="454"/>
      <c r="L507" s="454"/>
      <c r="M507" s="342"/>
      <c r="O507" s="356"/>
      <c r="P507" s="356"/>
      <c r="Q507" s="356"/>
      <c r="R507" s="356"/>
      <c r="S507" s="356"/>
      <c r="T507" s="356"/>
      <c r="U507" s="356"/>
      <c r="V507" s="356"/>
      <c r="W507" s="356"/>
      <c r="X507" s="356"/>
      <c r="Y507" s="356"/>
      <c r="Z507" s="356"/>
      <c r="AA507" s="356"/>
      <c r="AB507" s="356"/>
      <c r="AC507" s="356"/>
      <c r="AD507" s="356"/>
      <c r="AE507" s="356"/>
      <c r="AF507" s="356"/>
    </row>
    <row r="508">
      <c r="A508" s="341"/>
      <c r="B508" s="356"/>
      <c r="C508" s="456"/>
      <c r="D508" s="356"/>
      <c r="E508" s="452"/>
      <c r="F508" s="356"/>
      <c r="G508" s="356"/>
      <c r="H508" s="453"/>
      <c r="I508" s="453"/>
      <c r="J508" s="454"/>
      <c r="L508" s="454"/>
      <c r="M508" s="342"/>
      <c r="O508" s="356"/>
      <c r="P508" s="356"/>
      <c r="Q508" s="356"/>
      <c r="R508" s="356"/>
      <c r="S508" s="356"/>
      <c r="T508" s="356"/>
      <c r="U508" s="356"/>
      <c r="V508" s="356"/>
      <c r="W508" s="356"/>
      <c r="X508" s="356"/>
      <c r="Y508" s="356"/>
      <c r="Z508" s="356"/>
      <c r="AA508" s="356"/>
      <c r="AB508" s="356"/>
      <c r="AC508" s="356"/>
      <c r="AD508" s="356"/>
      <c r="AE508" s="356"/>
      <c r="AF508" s="356"/>
    </row>
    <row r="509">
      <c r="A509" s="341"/>
      <c r="B509" s="356"/>
      <c r="C509" s="456"/>
      <c r="D509" s="356"/>
      <c r="E509" s="452"/>
      <c r="F509" s="356"/>
      <c r="G509" s="356"/>
      <c r="H509" s="453"/>
      <c r="I509" s="453"/>
      <c r="J509" s="454"/>
      <c r="L509" s="454"/>
      <c r="M509" s="342"/>
      <c r="O509" s="356"/>
      <c r="P509" s="356"/>
      <c r="Q509" s="356"/>
      <c r="R509" s="356"/>
      <c r="S509" s="356"/>
      <c r="T509" s="356"/>
      <c r="U509" s="356"/>
      <c r="V509" s="356"/>
      <c r="W509" s="356"/>
      <c r="X509" s="356"/>
      <c r="Y509" s="356"/>
      <c r="Z509" s="356"/>
      <c r="AA509" s="356"/>
      <c r="AB509" s="356"/>
      <c r="AC509" s="356"/>
      <c r="AD509" s="356"/>
      <c r="AE509" s="356"/>
      <c r="AF509" s="356"/>
    </row>
    <row r="510">
      <c r="A510" s="341"/>
      <c r="B510" s="356"/>
      <c r="C510" s="456"/>
      <c r="D510" s="356"/>
      <c r="E510" s="452"/>
      <c r="F510" s="356"/>
      <c r="G510" s="356"/>
      <c r="H510" s="453"/>
      <c r="I510" s="453"/>
      <c r="J510" s="454"/>
      <c r="L510" s="454"/>
      <c r="M510" s="342"/>
      <c r="O510" s="356"/>
      <c r="P510" s="356"/>
      <c r="Q510" s="356"/>
      <c r="R510" s="356"/>
      <c r="S510" s="356"/>
      <c r="T510" s="356"/>
      <c r="U510" s="356"/>
      <c r="V510" s="356"/>
      <c r="W510" s="356"/>
      <c r="X510" s="356"/>
      <c r="Y510" s="356"/>
      <c r="Z510" s="356"/>
      <c r="AA510" s="356"/>
      <c r="AB510" s="356"/>
      <c r="AC510" s="356"/>
      <c r="AD510" s="356"/>
      <c r="AE510" s="356"/>
      <c r="AF510" s="356"/>
    </row>
    <row r="511">
      <c r="A511" s="341"/>
      <c r="B511" s="356"/>
      <c r="C511" s="456"/>
      <c r="D511" s="356"/>
      <c r="E511" s="452"/>
      <c r="F511" s="356"/>
      <c r="G511" s="356"/>
      <c r="H511" s="453"/>
      <c r="I511" s="453"/>
      <c r="J511" s="454"/>
      <c r="L511" s="454"/>
      <c r="M511" s="342"/>
      <c r="O511" s="356"/>
      <c r="P511" s="356"/>
      <c r="Q511" s="356"/>
      <c r="R511" s="356"/>
      <c r="S511" s="356"/>
      <c r="T511" s="356"/>
      <c r="U511" s="356"/>
      <c r="V511" s="356"/>
      <c r="W511" s="356"/>
      <c r="X511" s="356"/>
      <c r="Y511" s="356"/>
      <c r="Z511" s="356"/>
      <c r="AA511" s="356"/>
      <c r="AB511" s="356"/>
      <c r="AC511" s="356"/>
      <c r="AD511" s="356"/>
      <c r="AE511" s="356"/>
      <c r="AF511" s="356"/>
    </row>
    <row r="512">
      <c r="A512" s="341"/>
      <c r="B512" s="356"/>
      <c r="C512" s="456"/>
      <c r="D512" s="356"/>
      <c r="E512" s="452"/>
      <c r="F512" s="356"/>
      <c r="G512" s="356"/>
      <c r="H512" s="453"/>
      <c r="I512" s="453"/>
      <c r="J512" s="454"/>
      <c r="L512" s="454"/>
      <c r="M512" s="342"/>
      <c r="O512" s="356"/>
      <c r="P512" s="356"/>
      <c r="Q512" s="356"/>
      <c r="R512" s="356"/>
      <c r="S512" s="356"/>
      <c r="T512" s="356"/>
      <c r="U512" s="356"/>
      <c r="V512" s="356"/>
      <c r="W512" s="356"/>
      <c r="X512" s="356"/>
      <c r="Y512" s="356"/>
      <c r="Z512" s="356"/>
      <c r="AA512" s="356"/>
      <c r="AB512" s="356"/>
      <c r="AC512" s="356"/>
      <c r="AD512" s="356"/>
      <c r="AE512" s="356"/>
      <c r="AF512" s="356"/>
    </row>
    <row r="513">
      <c r="A513" s="341"/>
      <c r="B513" s="356"/>
      <c r="C513" s="456"/>
      <c r="D513" s="356"/>
      <c r="E513" s="452"/>
      <c r="F513" s="356"/>
      <c r="G513" s="356"/>
      <c r="H513" s="453"/>
      <c r="I513" s="453"/>
      <c r="J513" s="454"/>
      <c r="L513" s="454"/>
      <c r="M513" s="342"/>
      <c r="O513" s="356"/>
      <c r="P513" s="356"/>
      <c r="Q513" s="356"/>
      <c r="R513" s="356"/>
      <c r="S513" s="356"/>
      <c r="T513" s="356"/>
      <c r="U513" s="356"/>
      <c r="V513" s="356"/>
      <c r="W513" s="356"/>
      <c r="X513" s="356"/>
      <c r="Y513" s="356"/>
      <c r="Z513" s="356"/>
      <c r="AA513" s="356"/>
      <c r="AB513" s="356"/>
      <c r="AC513" s="356"/>
      <c r="AD513" s="356"/>
      <c r="AE513" s="356"/>
      <c r="AF513" s="356"/>
    </row>
    <row r="514">
      <c r="A514" s="341"/>
      <c r="B514" s="356"/>
      <c r="C514" s="456"/>
      <c r="D514" s="356"/>
      <c r="E514" s="452"/>
      <c r="F514" s="356"/>
      <c r="G514" s="356"/>
      <c r="H514" s="453"/>
      <c r="I514" s="453"/>
      <c r="J514" s="454"/>
      <c r="L514" s="454"/>
      <c r="M514" s="342"/>
      <c r="O514" s="356"/>
      <c r="P514" s="356"/>
      <c r="Q514" s="356"/>
      <c r="R514" s="356"/>
      <c r="S514" s="356"/>
      <c r="T514" s="356"/>
      <c r="U514" s="356"/>
      <c r="V514" s="356"/>
      <c r="W514" s="356"/>
      <c r="X514" s="356"/>
      <c r="Y514" s="356"/>
      <c r="Z514" s="356"/>
      <c r="AA514" s="356"/>
      <c r="AB514" s="356"/>
      <c r="AC514" s="356"/>
      <c r="AD514" s="356"/>
      <c r="AE514" s="356"/>
      <c r="AF514" s="356"/>
    </row>
    <row r="515">
      <c r="A515" s="341"/>
      <c r="B515" s="356"/>
      <c r="C515" s="456"/>
      <c r="D515" s="356"/>
      <c r="E515" s="452"/>
      <c r="F515" s="356"/>
      <c r="G515" s="356"/>
      <c r="H515" s="453"/>
      <c r="I515" s="453"/>
      <c r="J515" s="454"/>
      <c r="L515" s="454"/>
      <c r="M515" s="342"/>
      <c r="O515" s="356"/>
      <c r="P515" s="356"/>
      <c r="Q515" s="356"/>
      <c r="R515" s="356"/>
      <c r="S515" s="356"/>
      <c r="T515" s="356"/>
      <c r="U515" s="356"/>
      <c r="V515" s="356"/>
      <c r="W515" s="356"/>
      <c r="X515" s="356"/>
      <c r="Y515" s="356"/>
      <c r="Z515" s="356"/>
      <c r="AA515" s="356"/>
      <c r="AB515" s="356"/>
      <c r="AC515" s="356"/>
      <c r="AD515" s="356"/>
      <c r="AE515" s="356"/>
      <c r="AF515" s="356"/>
    </row>
    <row r="516">
      <c r="A516" s="341"/>
      <c r="B516" s="356"/>
      <c r="C516" s="456"/>
      <c r="D516" s="356"/>
      <c r="E516" s="452"/>
      <c r="F516" s="356"/>
      <c r="G516" s="356"/>
      <c r="H516" s="453"/>
      <c r="I516" s="453"/>
      <c r="J516" s="454"/>
      <c r="L516" s="454"/>
      <c r="M516" s="342"/>
      <c r="O516" s="356"/>
      <c r="P516" s="356"/>
      <c r="Q516" s="356"/>
      <c r="R516" s="356"/>
      <c r="S516" s="356"/>
      <c r="T516" s="356"/>
      <c r="U516" s="356"/>
      <c r="V516" s="356"/>
      <c r="W516" s="356"/>
      <c r="X516" s="356"/>
      <c r="Y516" s="356"/>
      <c r="Z516" s="356"/>
      <c r="AA516" s="356"/>
      <c r="AB516" s="356"/>
      <c r="AC516" s="356"/>
      <c r="AD516" s="356"/>
      <c r="AE516" s="356"/>
      <c r="AF516" s="356"/>
    </row>
    <row r="517">
      <c r="A517" s="341"/>
      <c r="B517" s="356"/>
      <c r="C517" s="456"/>
      <c r="D517" s="356"/>
      <c r="E517" s="452"/>
      <c r="F517" s="356"/>
      <c r="G517" s="356"/>
      <c r="H517" s="453"/>
      <c r="I517" s="453"/>
      <c r="J517" s="454"/>
      <c r="L517" s="454"/>
      <c r="M517" s="342"/>
      <c r="O517" s="356"/>
      <c r="P517" s="356"/>
      <c r="Q517" s="356"/>
      <c r="R517" s="356"/>
      <c r="S517" s="356"/>
      <c r="T517" s="356"/>
      <c r="U517" s="356"/>
      <c r="V517" s="356"/>
      <c r="W517" s="356"/>
      <c r="X517" s="356"/>
      <c r="Y517" s="356"/>
      <c r="Z517" s="356"/>
      <c r="AA517" s="356"/>
      <c r="AB517" s="356"/>
      <c r="AC517" s="356"/>
      <c r="AD517" s="356"/>
      <c r="AE517" s="356"/>
      <c r="AF517" s="356"/>
    </row>
    <row r="518">
      <c r="A518" s="341"/>
      <c r="B518" s="356"/>
      <c r="C518" s="456"/>
      <c r="D518" s="356"/>
      <c r="E518" s="452"/>
      <c r="F518" s="356"/>
      <c r="G518" s="356"/>
      <c r="H518" s="453"/>
      <c r="I518" s="453"/>
      <c r="J518" s="454"/>
      <c r="L518" s="454"/>
      <c r="M518" s="342"/>
      <c r="O518" s="356"/>
      <c r="P518" s="356"/>
      <c r="Q518" s="356"/>
      <c r="R518" s="356"/>
      <c r="S518" s="356"/>
      <c r="T518" s="356"/>
      <c r="U518" s="356"/>
      <c r="V518" s="356"/>
      <c r="W518" s="356"/>
      <c r="X518" s="356"/>
      <c r="Y518" s="356"/>
      <c r="Z518" s="356"/>
      <c r="AA518" s="356"/>
      <c r="AB518" s="356"/>
      <c r="AC518" s="356"/>
      <c r="AD518" s="356"/>
      <c r="AE518" s="356"/>
      <c r="AF518" s="356"/>
    </row>
    <row r="519">
      <c r="A519" s="341"/>
      <c r="B519" s="356"/>
      <c r="C519" s="456"/>
      <c r="D519" s="356"/>
      <c r="E519" s="452"/>
      <c r="F519" s="356"/>
      <c r="G519" s="356"/>
      <c r="H519" s="453"/>
      <c r="I519" s="453"/>
      <c r="J519" s="454"/>
      <c r="L519" s="454"/>
      <c r="M519" s="342"/>
      <c r="O519" s="356"/>
      <c r="P519" s="356"/>
      <c r="Q519" s="356"/>
      <c r="R519" s="356"/>
      <c r="S519" s="356"/>
      <c r="T519" s="356"/>
      <c r="U519" s="356"/>
      <c r="V519" s="356"/>
      <c r="W519" s="356"/>
      <c r="X519" s="356"/>
      <c r="Y519" s="356"/>
      <c r="Z519" s="356"/>
      <c r="AA519" s="356"/>
      <c r="AB519" s="356"/>
      <c r="AC519" s="356"/>
      <c r="AD519" s="356"/>
      <c r="AE519" s="356"/>
      <c r="AF519" s="356"/>
    </row>
    <row r="520">
      <c r="A520" s="341"/>
      <c r="B520" s="356"/>
      <c r="C520" s="456"/>
      <c r="D520" s="356"/>
      <c r="E520" s="452"/>
      <c r="F520" s="356"/>
      <c r="G520" s="356"/>
      <c r="H520" s="453"/>
      <c r="I520" s="453"/>
      <c r="J520" s="454"/>
      <c r="L520" s="454"/>
      <c r="M520" s="342"/>
      <c r="O520" s="356"/>
      <c r="P520" s="356"/>
      <c r="Q520" s="356"/>
      <c r="R520" s="356"/>
      <c r="S520" s="356"/>
      <c r="T520" s="356"/>
      <c r="U520" s="356"/>
      <c r="V520" s="356"/>
      <c r="W520" s="356"/>
      <c r="X520" s="356"/>
      <c r="Y520" s="356"/>
      <c r="Z520" s="356"/>
      <c r="AA520" s="356"/>
      <c r="AB520" s="356"/>
      <c r="AC520" s="356"/>
      <c r="AD520" s="356"/>
      <c r="AE520" s="356"/>
      <c r="AF520" s="356"/>
    </row>
    <row r="521">
      <c r="A521" s="341"/>
      <c r="B521" s="356"/>
      <c r="C521" s="456"/>
      <c r="D521" s="356"/>
      <c r="E521" s="452"/>
      <c r="F521" s="356"/>
      <c r="G521" s="356"/>
      <c r="H521" s="453"/>
      <c r="I521" s="453"/>
      <c r="J521" s="454"/>
      <c r="L521" s="454"/>
      <c r="M521" s="342"/>
      <c r="O521" s="356"/>
      <c r="P521" s="356"/>
      <c r="Q521" s="356"/>
      <c r="R521" s="356"/>
      <c r="S521" s="356"/>
      <c r="T521" s="356"/>
      <c r="U521" s="356"/>
      <c r="V521" s="356"/>
      <c r="W521" s="356"/>
      <c r="X521" s="356"/>
      <c r="Y521" s="356"/>
      <c r="Z521" s="356"/>
      <c r="AA521" s="356"/>
      <c r="AB521" s="356"/>
      <c r="AC521" s="356"/>
      <c r="AD521" s="356"/>
      <c r="AE521" s="356"/>
      <c r="AF521" s="356"/>
    </row>
    <row r="522">
      <c r="A522" s="341"/>
      <c r="B522" s="356"/>
      <c r="C522" s="456"/>
      <c r="D522" s="356"/>
      <c r="E522" s="452"/>
      <c r="F522" s="356"/>
      <c r="G522" s="356"/>
      <c r="H522" s="453"/>
      <c r="I522" s="453"/>
      <c r="J522" s="454"/>
      <c r="L522" s="454"/>
      <c r="M522" s="342"/>
      <c r="O522" s="356"/>
      <c r="P522" s="356"/>
      <c r="Q522" s="356"/>
      <c r="R522" s="356"/>
      <c r="S522" s="356"/>
      <c r="T522" s="356"/>
      <c r="U522" s="356"/>
      <c r="V522" s="356"/>
      <c r="W522" s="356"/>
      <c r="X522" s="356"/>
      <c r="Y522" s="356"/>
      <c r="Z522" s="356"/>
      <c r="AA522" s="356"/>
      <c r="AB522" s="356"/>
      <c r="AC522" s="356"/>
      <c r="AD522" s="356"/>
      <c r="AE522" s="356"/>
      <c r="AF522" s="356"/>
    </row>
    <row r="523">
      <c r="A523" s="341"/>
      <c r="B523" s="356"/>
      <c r="C523" s="456"/>
      <c r="D523" s="356"/>
      <c r="E523" s="452"/>
      <c r="F523" s="356"/>
      <c r="G523" s="356"/>
      <c r="H523" s="453"/>
      <c r="I523" s="453"/>
      <c r="J523" s="454"/>
      <c r="L523" s="454"/>
      <c r="M523" s="342"/>
      <c r="O523" s="356"/>
      <c r="P523" s="356"/>
      <c r="Q523" s="356"/>
      <c r="R523" s="356"/>
      <c r="S523" s="356"/>
      <c r="T523" s="356"/>
      <c r="U523" s="356"/>
      <c r="V523" s="356"/>
      <c r="W523" s="356"/>
      <c r="X523" s="356"/>
      <c r="Y523" s="356"/>
      <c r="Z523" s="356"/>
      <c r="AA523" s="356"/>
      <c r="AB523" s="356"/>
      <c r="AC523" s="356"/>
      <c r="AD523" s="356"/>
      <c r="AE523" s="356"/>
      <c r="AF523" s="356"/>
    </row>
    <row r="524">
      <c r="A524" s="341"/>
      <c r="B524" s="356"/>
      <c r="C524" s="456"/>
      <c r="D524" s="356"/>
      <c r="E524" s="452"/>
      <c r="F524" s="356"/>
      <c r="G524" s="356"/>
      <c r="H524" s="453"/>
      <c r="I524" s="453"/>
      <c r="J524" s="454"/>
      <c r="L524" s="454"/>
      <c r="M524" s="342"/>
      <c r="O524" s="356"/>
      <c r="P524" s="356"/>
      <c r="Q524" s="356"/>
      <c r="R524" s="356"/>
      <c r="S524" s="356"/>
      <c r="T524" s="356"/>
      <c r="U524" s="356"/>
      <c r="V524" s="356"/>
      <c r="W524" s="356"/>
      <c r="X524" s="356"/>
      <c r="Y524" s="356"/>
      <c r="Z524" s="356"/>
      <c r="AA524" s="356"/>
      <c r="AB524" s="356"/>
      <c r="AC524" s="356"/>
      <c r="AD524" s="356"/>
      <c r="AE524" s="356"/>
      <c r="AF524" s="356"/>
    </row>
    <row r="525">
      <c r="A525" s="341"/>
      <c r="B525" s="356"/>
      <c r="C525" s="456"/>
      <c r="D525" s="356"/>
      <c r="E525" s="452"/>
      <c r="F525" s="356"/>
      <c r="G525" s="356"/>
      <c r="H525" s="453"/>
      <c r="I525" s="453"/>
      <c r="J525" s="454"/>
      <c r="L525" s="454"/>
      <c r="M525" s="342"/>
      <c r="O525" s="356"/>
      <c r="P525" s="356"/>
      <c r="Q525" s="356"/>
      <c r="R525" s="356"/>
      <c r="S525" s="356"/>
      <c r="T525" s="356"/>
      <c r="U525" s="356"/>
      <c r="V525" s="356"/>
      <c r="W525" s="356"/>
      <c r="X525" s="356"/>
      <c r="Y525" s="356"/>
      <c r="Z525" s="356"/>
      <c r="AA525" s="356"/>
      <c r="AB525" s="356"/>
      <c r="AC525" s="356"/>
      <c r="AD525" s="356"/>
      <c r="AE525" s="356"/>
      <c r="AF525" s="356"/>
    </row>
    <row r="526">
      <c r="A526" s="341"/>
      <c r="B526" s="356"/>
      <c r="C526" s="456"/>
      <c r="D526" s="356"/>
      <c r="E526" s="452"/>
      <c r="F526" s="356"/>
      <c r="G526" s="356"/>
      <c r="H526" s="453"/>
      <c r="I526" s="453"/>
      <c r="J526" s="454"/>
      <c r="L526" s="454"/>
      <c r="M526" s="342"/>
      <c r="O526" s="356"/>
      <c r="P526" s="356"/>
      <c r="Q526" s="356"/>
      <c r="R526" s="356"/>
      <c r="S526" s="356"/>
      <c r="T526" s="356"/>
      <c r="U526" s="356"/>
      <c r="V526" s="356"/>
      <c r="W526" s="356"/>
      <c r="X526" s="356"/>
      <c r="Y526" s="356"/>
      <c r="Z526" s="356"/>
      <c r="AA526" s="356"/>
      <c r="AB526" s="356"/>
      <c r="AC526" s="356"/>
      <c r="AD526" s="356"/>
      <c r="AE526" s="356"/>
      <c r="AF526" s="356"/>
    </row>
    <row r="527">
      <c r="A527" s="341"/>
      <c r="B527" s="356"/>
      <c r="C527" s="456"/>
      <c r="D527" s="356"/>
      <c r="E527" s="452"/>
      <c r="F527" s="356"/>
      <c r="G527" s="356"/>
      <c r="H527" s="453"/>
      <c r="I527" s="453"/>
      <c r="J527" s="454"/>
      <c r="L527" s="454"/>
      <c r="M527" s="342"/>
      <c r="O527" s="356"/>
      <c r="P527" s="356"/>
      <c r="Q527" s="356"/>
      <c r="R527" s="356"/>
      <c r="S527" s="356"/>
      <c r="T527" s="356"/>
      <c r="U527" s="356"/>
      <c r="V527" s="356"/>
      <c r="W527" s="356"/>
      <c r="X527" s="356"/>
      <c r="Y527" s="356"/>
      <c r="Z527" s="356"/>
      <c r="AA527" s="356"/>
      <c r="AB527" s="356"/>
      <c r="AC527" s="356"/>
      <c r="AD527" s="356"/>
      <c r="AE527" s="356"/>
      <c r="AF527" s="356"/>
    </row>
    <row r="528">
      <c r="A528" s="341"/>
      <c r="B528" s="356"/>
      <c r="C528" s="456"/>
      <c r="D528" s="356"/>
      <c r="E528" s="452"/>
      <c r="F528" s="356"/>
      <c r="G528" s="356"/>
      <c r="H528" s="453"/>
      <c r="I528" s="453"/>
      <c r="J528" s="454"/>
      <c r="L528" s="454"/>
      <c r="M528" s="342"/>
      <c r="O528" s="356"/>
      <c r="P528" s="356"/>
      <c r="Q528" s="356"/>
      <c r="R528" s="356"/>
      <c r="S528" s="356"/>
      <c r="T528" s="356"/>
      <c r="U528" s="356"/>
      <c r="V528" s="356"/>
      <c r="W528" s="356"/>
      <c r="X528" s="356"/>
      <c r="Y528" s="356"/>
      <c r="Z528" s="356"/>
      <c r="AA528" s="356"/>
      <c r="AB528" s="356"/>
      <c r="AC528" s="356"/>
      <c r="AD528" s="356"/>
      <c r="AE528" s="356"/>
      <c r="AF528" s="356"/>
    </row>
    <row r="529">
      <c r="A529" s="341"/>
      <c r="B529" s="356"/>
      <c r="C529" s="456"/>
      <c r="D529" s="356"/>
      <c r="E529" s="452"/>
      <c r="F529" s="356"/>
      <c r="G529" s="356"/>
      <c r="H529" s="453"/>
      <c r="I529" s="453"/>
      <c r="J529" s="454"/>
      <c r="L529" s="454"/>
      <c r="M529" s="342"/>
      <c r="O529" s="356"/>
      <c r="P529" s="356"/>
      <c r="Q529" s="356"/>
      <c r="R529" s="356"/>
      <c r="S529" s="356"/>
      <c r="T529" s="356"/>
      <c r="U529" s="356"/>
      <c r="V529" s="356"/>
      <c r="W529" s="356"/>
      <c r="X529" s="356"/>
      <c r="Y529" s="356"/>
      <c r="Z529" s="356"/>
      <c r="AA529" s="356"/>
      <c r="AB529" s="356"/>
      <c r="AC529" s="356"/>
      <c r="AD529" s="356"/>
      <c r="AE529" s="356"/>
      <c r="AF529" s="356"/>
    </row>
    <row r="530">
      <c r="A530" s="341"/>
      <c r="B530" s="356"/>
      <c r="C530" s="456"/>
      <c r="D530" s="356"/>
      <c r="E530" s="452"/>
      <c r="F530" s="356"/>
      <c r="G530" s="356"/>
      <c r="H530" s="453"/>
      <c r="I530" s="453"/>
      <c r="J530" s="454"/>
      <c r="L530" s="454"/>
      <c r="M530" s="342"/>
      <c r="O530" s="356"/>
      <c r="P530" s="356"/>
      <c r="Q530" s="356"/>
      <c r="R530" s="356"/>
      <c r="S530" s="356"/>
      <c r="T530" s="356"/>
      <c r="U530" s="356"/>
      <c r="V530" s="356"/>
      <c r="W530" s="356"/>
      <c r="X530" s="356"/>
      <c r="Y530" s="356"/>
      <c r="Z530" s="356"/>
      <c r="AA530" s="356"/>
      <c r="AB530" s="356"/>
      <c r="AC530" s="356"/>
      <c r="AD530" s="356"/>
      <c r="AE530" s="356"/>
      <c r="AF530" s="356"/>
    </row>
    <row r="531">
      <c r="A531" s="341"/>
      <c r="B531" s="356"/>
      <c r="C531" s="456"/>
      <c r="D531" s="356"/>
      <c r="E531" s="452"/>
      <c r="F531" s="356"/>
      <c r="G531" s="356"/>
      <c r="H531" s="453"/>
      <c r="I531" s="453"/>
      <c r="J531" s="454"/>
      <c r="L531" s="454"/>
      <c r="M531" s="342"/>
      <c r="O531" s="356"/>
      <c r="P531" s="356"/>
      <c r="Q531" s="356"/>
      <c r="R531" s="356"/>
      <c r="S531" s="356"/>
      <c r="T531" s="356"/>
      <c r="U531" s="356"/>
      <c r="V531" s="356"/>
      <c r="W531" s="356"/>
      <c r="X531" s="356"/>
      <c r="Y531" s="356"/>
      <c r="Z531" s="356"/>
      <c r="AA531" s="356"/>
      <c r="AB531" s="356"/>
      <c r="AC531" s="356"/>
      <c r="AD531" s="356"/>
      <c r="AE531" s="356"/>
      <c r="AF531" s="356"/>
    </row>
    <row r="532">
      <c r="A532" s="341"/>
      <c r="B532" s="356"/>
      <c r="C532" s="456"/>
      <c r="D532" s="356"/>
      <c r="E532" s="452"/>
      <c r="F532" s="356"/>
      <c r="G532" s="356"/>
      <c r="H532" s="453"/>
      <c r="I532" s="453"/>
      <c r="J532" s="454"/>
      <c r="L532" s="454"/>
      <c r="M532" s="342"/>
      <c r="O532" s="356"/>
      <c r="P532" s="356"/>
      <c r="Q532" s="356"/>
      <c r="R532" s="356"/>
      <c r="S532" s="356"/>
      <c r="T532" s="356"/>
      <c r="U532" s="356"/>
      <c r="V532" s="356"/>
      <c r="W532" s="356"/>
      <c r="X532" s="356"/>
      <c r="Y532" s="356"/>
      <c r="Z532" s="356"/>
      <c r="AA532" s="356"/>
      <c r="AB532" s="356"/>
      <c r="AC532" s="356"/>
      <c r="AD532" s="356"/>
      <c r="AE532" s="356"/>
      <c r="AF532" s="356"/>
    </row>
    <row r="533">
      <c r="A533" s="341"/>
      <c r="B533" s="356"/>
      <c r="C533" s="456"/>
      <c r="D533" s="356"/>
      <c r="E533" s="452"/>
      <c r="F533" s="356"/>
      <c r="G533" s="356"/>
      <c r="H533" s="453"/>
      <c r="I533" s="453"/>
      <c r="J533" s="454"/>
      <c r="L533" s="454"/>
      <c r="M533" s="342"/>
      <c r="O533" s="356"/>
      <c r="P533" s="356"/>
      <c r="Q533" s="356"/>
      <c r="R533" s="356"/>
      <c r="S533" s="356"/>
      <c r="T533" s="356"/>
      <c r="U533" s="356"/>
      <c r="V533" s="356"/>
      <c r="W533" s="356"/>
      <c r="X533" s="356"/>
      <c r="Y533" s="356"/>
      <c r="Z533" s="356"/>
      <c r="AA533" s="356"/>
      <c r="AB533" s="356"/>
      <c r="AC533" s="356"/>
      <c r="AD533" s="356"/>
      <c r="AE533" s="356"/>
      <c r="AF533" s="356"/>
    </row>
    <row r="534">
      <c r="A534" s="341"/>
      <c r="B534" s="356"/>
      <c r="C534" s="456"/>
      <c r="D534" s="356"/>
      <c r="E534" s="452"/>
      <c r="F534" s="356"/>
      <c r="G534" s="356"/>
      <c r="H534" s="453"/>
      <c r="I534" s="453"/>
      <c r="J534" s="454"/>
      <c r="L534" s="454"/>
      <c r="M534" s="342"/>
      <c r="O534" s="356"/>
      <c r="P534" s="356"/>
      <c r="Q534" s="356"/>
      <c r="R534" s="356"/>
      <c r="S534" s="356"/>
      <c r="T534" s="356"/>
      <c r="U534" s="356"/>
      <c r="V534" s="356"/>
      <c r="W534" s="356"/>
      <c r="X534" s="356"/>
      <c r="Y534" s="356"/>
      <c r="Z534" s="356"/>
      <c r="AA534" s="356"/>
      <c r="AB534" s="356"/>
      <c r="AC534" s="356"/>
      <c r="AD534" s="356"/>
      <c r="AE534" s="356"/>
      <c r="AF534" s="356"/>
    </row>
    <row r="535">
      <c r="A535" s="341"/>
      <c r="B535" s="356"/>
      <c r="C535" s="456"/>
      <c r="D535" s="356"/>
      <c r="E535" s="452"/>
      <c r="F535" s="356"/>
      <c r="G535" s="356"/>
      <c r="H535" s="453"/>
      <c r="I535" s="453"/>
      <c r="J535" s="454"/>
      <c r="L535" s="454"/>
      <c r="M535" s="342"/>
      <c r="O535" s="356"/>
      <c r="P535" s="356"/>
      <c r="Q535" s="356"/>
      <c r="R535" s="356"/>
      <c r="S535" s="356"/>
      <c r="T535" s="356"/>
      <c r="U535" s="356"/>
      <c r="V535" s="356"/>
      <c r="W535" s="356"/>
      <c r="X535" s="356"/>
      <c r="Y535" s="356"/>
      <c r="Z535" s="356"/>
      <c r="AA535" s="356"/>
      <c r="AB535" s="356"/>
      <c r="AC535" s="356"/>
      <c r="AD535" s="356"/>
      <c r="AE535" s="356"/>
      <c r="AF535" s="356"/>
    </row>
    <row r="536">
      <c r="A536" s="341"/>
      <c r="B536" s="356"/>
      <c r="C536" s="456"/>
      <c r="D536" s="356"/>
      <c r="E536" s="452"/>
      <c r="F536" s="356"/>
      <c r="G536" s="356"/>
      <c r="H536" s="453"/>
      <c r="I536" s="453"/>
      <c r="J536" s="454"/>
      <c r="L536" s="454"/>
      <c r="M536" s="342"/>
      <c r="O536" s="356"/>
      <c r="P536" s="356"/>
      <c r="Q536" s="356"/>
      <c r="R536" s="356"/>
      <c r="S536" s="356"/>
      <c r="T536" s="356"/>
      <c r="U536" s="356"/>
      <c r="V536" s="356"/>
      <c r="W536" s="356"/>
      <c r="X536" s="356"/>
      <c r="Y536" s="356"/>
      <c r="Z536" s="356"/>
      <c r="AA536" s="356"/>
      <c r="AB536" s="356"/>
      <c r="AC536" s="356"/>
      <c r="AD536" s="356"/>
      <c r="AE536" s="356"/>
      <c r="AF536" s="356"/>
    </row>
    <row r="537">
      <c r="A537" s="341"/>
      <c r="B537" s="356"/>
      <c r="C537" s="456"/>
      <c r="D537" s="356"/>
      <c r="E537" s="452"/>
      <c r="F537" s="356"/>
      <c r="G537" s="356"/>
      <c r="H537" s="453"/>
      <c r="I537" s="453"/>
      <c r="J537" s="454"/>
      <c r="L537" s="454"/>
      <c r="M537" s="342"/>
      <c r="O537" s="356"/>
      <c r="P537" s="356"/>
      <c r="Q537" s="356"/>
      <c r="R537" s="356"/>
      <c r="S537" s="356"/>
      <c r="T537" s="356"/>
      <c r="U537" s="356"/>
      <c r="V537" s="356"/>
      <c r="W537" s="356"/>
      <c r="X537" s="356"/>
      <c r="Y537" s="356"/>
      <c r="Z537" s="356"/>
      <c r="AA537" s="356"/>
      <c r="AB537" s="356"/>
      <c r="AC537" s="356"/>
      <c r="AD537" s="356"/>
      <c r="AE537" s="356"/>
      <c r="AF537" s="356"/>
    </row>
    <row r="538">
      <c r="A538" s="341"/>
      <c r="B538" s="356"/>
      <c r="C538" s="456"/>
      <c r="D538" s="356"/>
      <c r="E538" s="452"/>
      <c r="F538" s="356"/>
      <c r="G538" s="356"/>
      <c r="H538" s="453"/>
      <c r="I538" s="453"/>
      <c r="J538" s="454"/>
      <c r="L538" s="454"/>
      <c r="M538" s="342"/>
      <c r="O538" s="356"/>
      <c r="P538" s="356"/>
      <c r="Q538" s="356"/>
      <c r="R538" s="356"/>
      <c r="S538" s="356"/>
      <c r="T538" s="356"/>
      <c r="U538" s="356"/>
      <c r="V538" s="356"/>
      <c r="W538" s="356"/>
      <c r="X538" s="356"/>
      <c r="Y538" s="356"/>
      <c r="Z538" s="356"/>
      <c r="AA538" s="356"/>
      <c r="AB538" s="356"/>
      <c r="AC538" s="356"/>
      <c r="AD538" s="356"/>
      <c r="AE538" s="356"/>
      <c r="AF538" s="356"/>
    </row>
    <row r="539">
      <c r="A539" s="341"/>
      <c r="B539" s="356"/>
      <c r="C539" s="456"/>
      <c r="D539" s="356"/>
      <c r="E539" s="452"/>
      <c r="F539" s="356"/>
      <c r="G539" s="356"/>
      <c r="H539" s="453"/>
      <c r="I539" s="453"/>
      <c r="J539" s="454"/>
      <c r="L539" s="454"/>
      <c r="M539" s="342"/>
      <c r="O539" s="356"/>
      <c r="P539" s="356"/>
      <c r="Q539" s="356"/>
      <c r="R539" s="356"/>
      <c r="S539" s="356"/>
      <c r="T539" s="356"/>
      <c r="U539" s="356"/>
      <c r="V539" s="356"/>
      <c r="W539" s="356"/>
      <c r="X539" s="356"/>
      <c r="Y539" s="356"/>
      <c r="Z539" s="356"/>
      <c r="AA539" s="356"/>
      <c r="AB539" s="356"/>
      <c r="AC539" s="356"/>
      <c r="AD539" s="356"/>
      <c r="AE539" s="356"/>
      <c r="AF539" s="356"/>
    </row>
    <row r="540">
      <c r="A540" s="341"/>
      <c r="B540" s="356"/>
      <c r="C540" s="456"/>
      <c r="D540" s="356"/>
      <c r="E540" s="452"/>
      <c r="F540" s="356"/>
      <c r="G540" s="356"/>
      <c r="H540" s="453"/>
      <c r="I540" s="453"/>
      <c r="J540" s="454"/>
      <c r="L540" s="454"/>
      <c r="M540" s="342"/>
      <c r="O540" s="356"/>
      <c r="P540" s="356"/>
      <c r="Q540" s="356"/>
      <c r="R540" s="356"/>
      <c r="S540" s="356"/>
      <c r="T540" s="356"/>
      <c r="U540" s="356"/>
      <c r="V540" s="356"/>
      <c r="W540" s="356"/>
      <c r="X540" s="356"/>
      <c r="Y540" s="356"/>
      <c r="Z540" s="356"/>
      <c r="AA540" s="356"/>
      <c r="AB540" s="356"/>
      <c r="AC540" s="356"/>
      <c r="AD540" s="356"/>
      <c r="AE540" s="356"/>
      <c r="AF540" s="356"/>
    </row>
    <row r="541">
      <c r="A541" s="341"/>
      <c r="B541" s="356"/>
      <c r="C541" s="456"/>
      <c r="D541" s="356"/>
      <c r="E541" s="452"/>
      <c r="F541" s="356"/>
      <c r="G541" s="356"/>
      <c r="H541" s="453"/>
      <c r="I541" s="453"/>
      <c r="J541" s="454"/>
      <c r="L541" s="454"/>
      <c r="M541" s="342"/>
      <c r="O541" s="356"/>
      <c r="P541" s="356"/>
      <c r="Q541" s="356"/>
      <c r="R541" s="356"/>
      <c r="S541" s="356"/>
      <c r="T541" s="356"/>
      <c r="U541" s="356"/>
      <c r="V541" s="356"/>
      <c r="W541" s="356"/>
      <c r="X541" s="356"/>
      <c r="Y541" s="356"/>
      <c r="Z541" s="356"/>
      <c r="AA541" s="356"/>
      <c r="AB541" s="356"/>
      <c r="AC541" s="356"/>
      <c r="AD541" s="356"/>
      <c r="AE541" s="356"/>
      <c r="AF541" s="356"/>
    </row>
    <row r="542">
      <c r="A542" s="341"/>
      <c r="B542" s="356"/>
      <c r="C542" s="456"/>
      <c r="D542" s="356"/>
      <c r="E542" s="452"/>
      <c r="F542" s="356"/>
      <c r="G542" s="356"/>
      <c r="H542" s="453"/>
      <c r="I542" s="453"/>
      <c r="J542" s="454"/>
      <c r="L542" s="454"/>
      <c r="M542" s="342"/>
      <c r="O542" s="356"/>
      <c r="P542" s="356"/>
      <c r="Q542" s="356"/>
      <c r="R542" s="356"/>
      <c r="S542" s="356"/>
      <c r="T542" s="356"/>
      <c r="U542" s="356"/>
      <c r="V542" s="356"/>
      <c r="W542" s="356"/>
      <c r="X542" s="356"/>
      <c r="Y542" s="356"/>
      <c r="Z542" s="356"/>
      <c r="AA542" s="356"/>
      <c r="AB542" s="356"/>
      <c r="AC542" s="356"/>
      <c r="AD542" s="356"/>
      <c r="AE542" s="356"/>
      <c r="AF542" s="356"/>
    </row>
    <row r="543">
      <c r="A543" s="341"/>
      <c r="B543" s="356"/>
      <c r="C543" s="456"/>
      <c r="D543" s="356"/>
      <c r="E543" s="452"/>
      <c r="F543" s="356"/>
      <c r="G543" s="356"/>
      <c r="H543" s="453"/>
      <c r="I543" s="453"/>
      <c r="J543" s="454"/>
      <c r="L543" s="454"/>
      <c r="M543" s="342"/>
      <c r="O543" s="356"/>
      <c r="P543" s="356"/>
      <c r="Q543" s="356"/>
      <c r="R543" s="356"/>
      <c r="S543" s="356"/>
      <c r="T543" s="356"/>
      <c r="U543" s="356"/>
      <c r="V543" s="356"/>
      <c r="W543" s="356"/>
      <c r="X543" s="356"/>
      <c r="Y543" s="356"/>
      <c r="Z543" s="356"/>
      <c r="AA543" s="356"/>
      <c r="AB543" s="356"/>
      <c r="AC543" s="356"/>
      <c r="AD543" s="356"/>
      <c r="AE543" s="356"/>
      <c r="AF543" s="356"/>
    </row>
    <row r="544">
      <c r="A544" s="341"/>
      <c r="B544" s="356"/>
      <c r="C544" s="456"/>
      <c r="D544" s="356"/>
      <c r="E544" s="452"/>
      <c r="F544" s="356"/>
      <c r="G544" s="356"/>
      <c r="H544" s="453"/>
      <c r="I544" s="453"/>
      <c r="J544" s="454"/>
      <c r="L544" s="454"/>
      <c r="M544" s="342"/>
      <c r="O544" s="356"/>
      <c r="P544" s="356"/>
      <c r="Q544" s="356"/>
      <c r="R544" s="356"/>
      <c r="S544" s="356"/>
      <c r="T544" s="356"/>
      <c r="U544" s="356"/>
      <c r="V544" s="356"/>
      <c r="W544" s="356"/>
      <c r="X544" s="356"/>
      <c r="Y544" s="356"/>
      <c r="Z544" s="356"/>
      <c r="AA544" s="356"/>
      <c r="AB544" s="356"/>
      <c r="AC544" s="356"/>
      <c r="AD544" s="356"/>
      <c r="AE544" s="356"/>
      <c r="AF544" s="356"/>
    </row>
    <row r="545">
      <c r="A545" s="341"/>
      <c r="B545" s="356"/>
      <c r="C545" s="456"/>
      <c r="D545" s="356"/>
      <c r="E545" s="452"/>
      <c r="F545" s="356"/>
      <c r="G545" s="356"/>
      <c r="H545" s="453"/>
      <c r="I545" s="453"/>
      <c r="J545" s="454"/>
      <c r="L545" s="454"/>
      <c r="M545" s="342"/>
      <c r="O545" s="356"/>
      <c r="P545" s="356"/>
      <c r="Q545" s="356"/>
      <c r="R545" s="356"/>
      <c r="S545" s="356"/>
      <c r="T545" s="356"/>
      <c r="U545" s="356"/>
      <c r="V545" s="356"/>
      <c r="W545" s="356"/>
      <c r="X545" s="356"/>
      <c r="Y545" s="356"/>
      <c r="Z545" s="356"/>
      <c r="AA545" s="356"/>
      <c r="AB545" s="356"/>
      <c r="AC545" s="356"/>
      <c r="AD545" s="356"/>
      <c r="AE545" s="356"/>
      <c r="AF545" s="356"/>
    </row>
    <row r="546">
      <c r="A546" s="341"/>
      <c r="B546" s="356"/>
      <c r="C546" s="456"/>
      <c r="D546" s="356"/>
      <c r="E546" s="452"/>
      <c r="F546" s="356"/>
      <c r="G546" s="356"/>
      <c r="H546" s="453"/>
      <c r="I546" s="453"/>
      <c r="J546" s="454"/>
      <c r="L546" s="454"/>
      <c r="M546" s="342"/>
      <c r="O546" s="356"/>
      <c r="P546" s="356"/>
      <c r="Q546" s="356"/>
      <c r="R546" s="356"/>
      <c r="S546" s="356"/>
      <c r="T546" s="356"/>
      <c r="U546" s="356"/>
      <c r="V546" s="356"/>
      <c r="W546" s="356"/>
      <c r="X546" s="356"/>
      <c r="Y546" s="356"/>
      <c r="Z546" s="356"/>
      <c r="AA546" s="356"/>
      <c r="AB546" s="356"/>
      <c r="AC546" s="356"/>
      <c r="AD546" s="356"/>
      <c r="AE546" s="356"/>
      <c r="AF546" s="356"/>
    </row>
    <row r="547">
      <c r="A547" s="341"/>
      <c r="B547" s="356"/>
      <c r="C547" s="456"/>
      <c r="D547" s="356"/>
      <c r="E547" s="452"/>
      <c r="F547" s="356"/>
      <c r="G547" s="356"/>
      <c r="H547" s="453"/>
      <c r="I547" s="453"/>
      <c r="J547" s="454"/>
      <c r="L547" s="454"/>
      <c r="M547" s="342"/>
      <c r="O547" s="356"/>
      <c r="P547" s="356"/>
      <c r="Q547" s="356"/>
      <c r="R547" s="356"/>
      <c r="S547" s="356"/>
      <c r="T547" s="356"/>
      <c r="U547" s="356"/>
      <c r="V547" s="356"/>
      <c r="W547" s="356"/>
      <c r="X547" s="356"/>
      <c r="Y547" s="356"/>
      <c r="Z547" s="356"/>
      <c r="AA547" s="356"/>
      <c r="AB547" s="356"/>
      <c r="AC547" s="356"/>
      <c r="AD547" s="356"/>
      <c r="AE547" s="356"/>
      <c r="AF547" s="356"/>
    </row>
    <row r="548">
      <c r="A548" s="341"/>
      <c r="B548" s="356"/>
      <c r="C548" s="456"/>
      <c r="D548" s="356"/>
      <c r="E548" s="452"/>
      <c r="F548" s="356"/>
      <c r="G548" s="356"/>
      <c r="H548" s="453"/>
      <c r="I548" s="453"/>
      <c r="J548" s="454"/>
      <c r="L548" s="454"/>
      <c r="M548" s="342"/>
      <c r="O548" s="356"/>
      <c r="P548" s="356"/>
      <c r="Q548" s="356"/>
      <c r="R548" s="356"/>
      <c r="S548" s="356"/>
      <c r="T548" s="356"/>
      <c r="U548" s="356"/>
      <c r="V548" s="356"/>
      <c r="W548" s="356"/>
      <c r="X548" s="356"/>
      <c r="Y548" s="356"/>
      <c r="Z548" s="356"/>
      <c r="AA548" s="356"/>
      <c r="AB548" s="356"/>
      <c r="AC548" s="356"/>
      <c r="AD548" s="356"/>
      <c r="AE548" s="356"/>
      <c r="AF548" s="356"/>
    </row>
    <row r="549">
      <c r="A549" s="341"/>
      <c r="B549" s="356"/>
      <c r="C549" s="456"/>
      <c r="D549" s="356"/>
      <c r="E549" s="452"/>
      <c r="F549" s="356"/>
      <c r="G549" s="356"/>
      <c r="H549" s="453"/>
      <c r="I549" s="453"/>
      <c r="J549" s="454"/>
      <c r="L549" s="454"/>
      <c r="M549" s="342"/>
      <c r="O549" s="356"/>
      <c r="P549" s="356"/>
      <c r="Q549" s="356"/>
      <c r="R549" s="356"/>
      <c r="S549" s="356"/>
      <c r="T549" s="356"/>
      <c r="U549" s="356"/>
      <c r="V549" s="356"/>
      <c r="W549" s="356"/>
      <c r="X549" s="356"/>
      <c r="Y549" s="356"/>
      <c r="Z549" s="356"/>
      <c r="AA549" s="356"/>
      <c r="AB549" s="356"/>
      <c r="AC549" s="356"/>
      <c r="AD549" s="356"/>
      <c r="AE549" s="356"/>
      <c r="AF549" s="356"/>
    </row>
    <row r="550">
      <c r="A550" s="341"/>
      <c r="B550" s="356"/>
      <c r="C550" s="456"/>
      <c r="D550" s="356"/>
      <c r="E550" s="452"/>
      <c r="F550" s="356"/>
      <c r="G550" s="356"/>
      <c r="H550" s="453"/>
      <c r="I550" s="453"/>
      <c r="J550" s="454"/>
      <c r="L550" s="454"/>
      <c r="M550" s="342"/>
      <c r="O550" s="356"/>
      <c r="P550" s="356"/>
      <c r="Q550" s="356"/>
      <c r="R550" s="356"/>
      <c r="S550" s="356"/>
      <c r="T550" s="356"/>
      <c r="U550" s="356"/>
      <c r="V550" s="356"/>
      <c r="W550" s="356"/>
      <c r="X550" s="356"/>
      <c r="Y550" s="356"/>
      <c r="Z550" s="356"/>
      <c r="AA550" s="356"/>
      <c r="AB550" s="356"/>
      <c r="AC550" s="356"/>
      <c r="AD550" s="356"/>
      <c r="AE550" s="356"/>
      <c r="AF550" s="356"/>
    </row>
    <row r="551">
      <c r="A551" s="341"/>
      <c r="B551" s="356"/>
      <c r="C551" s="456"/>
      <c r="D551" s="356"/>
      <c r="E551" s="452"/>
      <c r="F551" s="356"/>
      <c r="G551" s="356"/>
      <c r="H551" s="453"/>
      <c r="I551" s="453"/>
      <c r="J551" s="454"/>
      <c r="L551" s="454"/>
      <c r="M551" s="342"/>
      <c r="O551" s="356"/>
      <c r="P551" s="356"/>
      <c r="Q551" s="356"/>
      <c r="R551" s="356"/>
      <c r="S551" s="356"/>
      <c r="T551" s="356"/>
      <c r="U551" s="356"/>
      <c r="V551" s="356"/>
      <c r="W551" s="356"/>
      <c r="X551" s="356"/>
      <c r="Y551" s="356"/>
      <c r="Z551" s="356"/>
      <c r="AA551" s="356"/>
      <c r="AB551" s="356"/>
      <c r="AC551" s="356"/>
      <c r="AD551" s="356"/>
      <c r="AE551" s="356"/>
      <c r="AF551" s="356"/>
    </row>
    <row r="552">
      <c r="A552" s="341"/>
      <c r="B552" s="356"/>
      <c r="C552" s="456"/>
      <c r="D552" s="356"/>
      <c r="E552" s="452"/>
      <c r="F552" s="356"/>
      <c r="G552" s="356"/>
      <c r="H552" s="453"/>
      <c r="I552" s="453"/>
      <c r="J552" s="454"/>
      <c r="L552" s="454"/>
      <c r="M552" s="342"/>
      <c r="O552" s="356"/>
      <c r="P552" s="356"/>
      <c r="Q552" s="356"/>
      <c r="R552" s="356"/>
      <c r="S552" s="356"/>
      <c r="T552" s="356"/>
      <c r="U552" s="356"/>
      <c r="V552" s="356"/>
      <c r="W552" s="356"/>
      <c r="X552" s="356"/>
      <c r="Y552" s="356"/>
      <c r="Z552" s="356"/>
      <c r="AA552" s="356"/>
      <c r="AB552" s="356"/>
      <c r="AC552" s="356"/>
      <c r="AD552" s="356"/>
      <c r="AE552" s="356"/>
      <c r="AF552" s="356"/>
    </row>
    <row r="553">
      <c r="A553" s="341"/>
      <c r="B553" s="356"/>
      <c r="C553" s="456"/>
      <c r="D553" s="356"/>
      <c r="E553" s="452"/>
      <c r="F553" s="356"/>
      <c r="G553" s="356"/>
      <c r="H553" s="453"/>
      <c r="I553" s="453"/>
      <c r="J553" s="454"/>
      <c r="L553" s="454"/>
      <c r="M553" s="342"/>
      <c r="O553" s="356"/>
      <c r="P553" s="356"/>
      <c r="Q553" s="356"/>
      <c r="R553" s="356"/>
      <c r="S553" s="356"/>
      <c r="T553" s="356"/>
      <c r="U553" s="356"/>
      <c r="V553" s="356"/>
      <c r="W553" s="356"/>
      <c r="X553" s="356"/>
      <c r="Y553" s="356"/>
      <c r="Z553" s="356"/>
      <c r="AA553" s="356"/>
      <c r="AB553" s="356"/>
      <c r="AC553" s="356"/>
      <c r="AD553" s="356"/>
      <c r="AE553" s="356"/>
      <c r="AF553" s="356"/>
    </row>
    <row r="554">
      <c r="A554" s="341"/>
      <c r="B554" s="356"/>
      <c r="C554" s="456"/>
      <c r="D554" s="356"/>
      <c r="E554" s="452"/>
      <c r="F554" s="356"/>
      <c r="G554" s="356"/>
      <c r="H554" s="453"/>
      <c r="I554" s="453"/>
      <c r="J554" s="454"/>
      <c r="L554" s="454"/>
      <c r="M554" s="342"/>
      <c r="O554" s="356"/>
      <c r="P554" s="356"/>
      <c r="Q554" s="356"/>
      <c r="R554" s="356"/>
      <c r="S554" s="356"/>
      <c r="T554" s="356"/>
      <c r="U554" s="356"/>
      <c r="V554" s="356"/>
      <c r="W554" s="356"/>
      <c r="X554" s="356"/>
      <c r="Y554" s="356"/>
      <c r="Z554" s="356"/>
      <c r="AA554" s="356"/>
      <c r="AB554" s="356"/>
      <c r="AC554" s="356"/>
      <c r="AD554" s="356"/>
      <c r="AE554" s="356"/>
      <c r="AF554" s="356"/>
    </row>
    <row r="555">
      <c r="A555" s="341"/>
      <c r="B555" s="356"/>
      <c r="C555" s="456"/>
      <c r="D555" s="356"/>
      <c r="E555" s="452"/>
      <c r="F555" s="356"/>
      <c r="G555" s="356"/>
      <c r="H555" s="453"/>
      <c r="I555" s="453"/>
      <c r="J555" s="454"/>
      <c r="L555" s="454"/>
      <c r="M555" s="342"/>
      <c r="O555" s="356"/>
      <c r="P555" s="356"/>
      <c r="Q555" s="356"/>
      <c r="R555" s="356"/>
      <c r="S555" s="356"/>
      <c r="T555" s="356"/>
      <c r="U555" s="356"/>
      <c r="V555" s="356"/>
      <c r="W555" s="356"/>
      <c r="X555" s="356"/>
      <c r="Y555" s="356"/>
      <c r="Z555" s="356"/>
      <c r="AA555" s="356"/>
      <c r="AB555" s="356"/>
      <c r="AC555" s="356"/>
      <c r="AD555" s="356"/>
      <c r="AE555" s="356"/>
      <c r="AF555" s="356"/>
    </row>
    <row r="556">
      <c r="A556" s="341"/>
      <c r="B556" s="356"/>
      <c r="C556" s="456"/>
      <c r="D556" s="356"/>
      <c r="E556" s="452"/>
      <c r="F556" s="356"/>
      <c r="G556" s="356"/>
      <c r="H556" s="453"/>
      <c r="I556" s="453"/>
      <c r="J556" s="454"/>
      <c r="L556" s="454"/>
      <c r="M556" s="342"/>
      <c r="O556" s="356"/>
      <c r="P556" s="356"/>
      <c r="Q556" s="356"/>
      <c r="R556" s="356"/>
      <c r="S556" s="356"/>
      <c r="T556" s="356"/>
      <c r="U556" s="356"/>
      <c r="V556" s="356"/>
      <c r="W556" s="356"/>
      <c r="X556" s="356"/>
      <c r="Y556" s="356"/>
      <c r="Z556" s="356"/>
      <c r="AA556" s="356"/>
      <c r="AB556" s="356"/>
      <c r="AC556" s="356"/>
      <c r="AD556" s="356"/>
      <c r="AE556" s="356"/>
      <c r="AF556" s="356"/>
    </row>
    <row r="557">
      <c r="A557" s="341"/>
      <c r="B557" s="356"/>
      <c r="C557" s="456"/>
      <c r="D557" s="356"/>
      <c r="E557" s="452"/>
      <c r="F557" s="356"/>
      <c r="G557" s="356"/>
      <c r="H557" s="453"/>
      <c r="I557" s="453"/>
      <c r="J557" s="454"/>
      <c r="L557" s="454"/>
      <c r="M557" s="342"/>
      <c r="O557" s="356"/>
      <c r="P557" s="356"/>
      <c r="Q557" s="356"/>
      <c r="R557" s="356"/>
      <c r="S557" s="356"/>
      <c r="T557" s="356"/>
      <c r="U557" s="356"/>
      <c r="V557" s="356"/>
      <c r="W557" s="356"/>
      <c r="X557" s="356"/>
      <c r="Y557" s="356"/>
      <c r="Z557" s="356"/>
      <c r="AA557" s="356"/>
      <c r="AB557" s="356"/>
      <c r="AC557" s="356"/>
      <c r="AD557" s="356"/>
      <c r="AE557" s="356"/>
      <c r="AF557" s="356"/>
    </row>
    <row r="558">
      <c r="A558" s="341"/>
      <c r="B558" s="356"/>
      <c r="C558" s="456"/>
      <c r="D558" s="356"/>
      <c r="E558" s="452"/>
      <c r="F558" s="356"/>
      <c r="G558" s="356"/>
      <c r="H558" s="453"/>
      <c r="I558" s="453"/>
      <c r="J558" s="454"/>
      <c r="L558" s="454"/>
      <c r="M558" s="342"/>
      <c r="O558" s="356"/>
      <c r="P558" s="356"/>
      <c r="Q558" s="356"/>
      <c r="R558" s="356"/>
      <c r="S558" s="356"/>
      <c r="T558" s="356"/>
      <c r="U558" s="356"/>
      <c r="V558" s="356"/>
      <c r="W558" s="356"/>
      <c r="X558" s="356"/>
      <c r="Y558" s="356"/>
      <c r="Z558" s="356"/>
      <c r="AA558" s="356"/>
      <c r="AB558" s="356"/>
      <c r="AC558" s="356"/>
      <c r="AD558" s="356"/>
      <c r="AE558" s="356"/>
      <c r="AF558" s="356"/>
    </row>
    <row r="559">
      <c r="A559" s="341"/>
      <c r="B559" s="356"/>
      <c r="C559" s="456"/>
      <c r="D559" s="356"/>
      <c r="E559" s="452"/>
      <c r="F559" s="356"/>
      <c r="G559" s="356"/>
      <c r="H559" s="453"/>
      <c r="I559" s="453"/>
      <c r="J559" s="454"/>
      <c r="L559" s="454"/>
      <c r="M559" s="342"/>
      <c r="O559" s="356"/>
      <c r="P559" s="356"/>
      <c r="Q559" s="356"/>
      <c r="R559" s="356"/>
      <c r="S559" s="356"/>
      <c r="T559" s="356"/>
      <c r="U559" s="356"/>
      <c r="V559" s="356"/>
      <c r="W559" s="356"/>
      <c r="X559" s="356"/>
      <c r="Y559" s="356"/>
      <c r="Z559" s="356"/>
      <c r="AA559" s="356"/>
      <c r="AB559" s="356"/>
      <c r="AC559" s="356"/>
      <c r="AD559" s="356"/>
      <c r="AE559" s="356"/>
      <c r="AF559" s="356"/>
    </row>
    <row r="560">
      <c r="A560" s="341"/>
      <c r="B560" s="356"/>
      <c r="C560" s="456"/>
      <c r="D560" s="356"/>
      <c r="E560" s="452"/>
      <c r="F560" s="356"/>
      <c r="G560" s="356"/>
      <c r="H560" s="453"/>
      <c r="I560" s="453"/>
      <c r="J560" s="454"/>
      <c r="L560" s="454"/>
      <c r="M560" s="342"/>
      <c r="O560" s="356"/>
      <c r="P560" s="356"/>
      <c r="Q560" s="356"/>
      <c r="R560" s="356"/>
      <c r="S560" s="356"/>
      <c r="T560" s="356"/>
      <c r="U560" s="356"/>
      <c r="V560" s="356"/>
      <c r="W560" s="356"/>
      <c r="X560" s="356"/>
      <c r="Y560" s="356"/>
      <c r="Z560" s="356"/>
      <c r="AA560" s="356"/>
      <c r="AB560" s="356"/>
      <c r="AC560" s="356"/>
      <c r="AD560" s="356"/>
      <c r="AE560" s="356"/>
      <c r="AF560" s="356"/>
    </row>
    <row r="561">
      <c r="A561" s="341"/>
      <c r="B561" s="356"/>
      <c r="C561" s="456"/>
      <c r="D561" s="356"/>
      <c r="E561" s="452"/>
      <c r="F561" s="356"/>
      <c r="G561" s="356"/>
      <c r="H561" s="453"/>
      <c r="I561" s="453"/>
      <c r="J561" s="454"/>
      <c r="L561" s="454"/>
      <c r="M561" s="342"/>
      <c r="O561" s="356"/>
      <c r="P561" s="356"/>
      <c r="Q561" s="356"/>
      <c r="R561" s="356"/>
      <c r="S561" s="356"/>
      <c r="T561" s="356"/>
      <c r="U561" s="356"/>
      <c r="V561" s="356"/>
      <c r="W561" s="356"/>
      <c r="X561" s="356"/>
      <c r="Y561" s="356"/>
      <c r="Z561" s="356"/>
      <c r="AA561" s="356"/>
      <c r="AB561" s="356"/>
      <c r="AC561" s="356"/>
      <c r="AD561" s="356"/>
      <c r="AE561" s="356"/>
      <c r="AF561" s="356"/>
    </row>
    <row r="562">
      <c r="A562" s="341"/>
      <c r="B562" s="356"/>
      <c r="C562" s="456"/>
      <c r="D562" s="356"/>
      <c r="E562" s="452"/>
      <c r="F562" s="356"/>
      <c r="G562" s="356"/>
      <c r="H562" s="453"/>
      <c r="I562" s="453"/>
      <c r="J562" s="454"/>
      <c r="L562" s="454"/>
      <c r="M562" s="342"/>
      <c r="O562" s="356"/>
      <c r="P562" s="356"/>
      <c r="Q562" s="356"/>
      <c r="R562" s="356"/>
      <c r="S562" s="356"/>
      <c r="T562" s="356"/>
      <c r="U562" s="356"/>
      <c r="V562" s="356"/>
      <c r="W562" s="356"/>
      <c r="X562" s="356"/>
      <c r="Y562" s="356"/>
      <c r="Z562" s="356"/>
      <c r="AA562" s="356"/>
      <c r="AB562" s="356"/>
      <c r="AC562" s="356"/>
      <c r="AD562" s="356"/>
      <c r="AE562" s="356"/>
      <c r="AF562" s="356"/>
    </row>
    <row r="563">
      <c r="A563" s="341"/>
      <c r="B563" s="356"/>
      <c r="C563" s="456"/>
      <c r="D563" s="356"/>
      <c r="E563" s="452"/>
      <c r="F563" s="356"/>
      <c r="G563" s="356"/>
      <c r="H563" s="453"/>
      <c r="I563" s="453"/>
      <c r="J563" s="454"/>
      <c r="L563" s="454"/>
      <c r="M563" s="342"/>
      <c r="O563" s="356"/>
      <c r="P563" s="356"/>
      <c r="Q563" s="356"/>
      <c r="R563" s="356"/>
      <c r="S563" s="356"/>
      <c r="T563" s="356"/>
      <c r="U563" s="356"/>
      <c r="V563" s="356"/>
      <c r="W563" s="356"/>
      <c r="X563" s="356"/>
      <c r="Y563" s="356"/>
      <c r="Z563" s="356"/>
      <c r="AA563" s="356"/>
      <c r="AB563" s="356"/>
      <c r="AC563" s="356"/>
      <c r="AD563" s="356"/>
      <c r="AE563" s="356"/>
      <c r="AF563" s="356"/>
    </row>
    <row r="564">
      <c r="A564" s="341"/>
      <c r="B564" s="356"/>
      <c r="C564" s="456"/>
      <c r="D564" s="356"/>
      <c r="E564" s="452"/>
      <c r="F564" s="356"/>
      <c r="G564" s="356"/>
      <c r="H564" s="453"/>
      <c r="I564" s="453"/>
      <c r="J564" s="454"/>
      <c r="L564" s="454"/>
      <c r="M564" s="342"/>
      <c r="O564" s="356"/>
      <c r="P564" s="356"/>
      <c r="Q564" s="356"/>
      <c r="R564" s="356"/>
      <c r="S564" s="356"/>
      <c r="T564" s="356"/>
      <c r="U564" s="356"/>
      <c r="V564" s="356"/>
      <c r="W564" s="356"/>
      <c r="X564" s="356"/>
      <c r="Y564" s="356"/>
      <c r="Z564" s="356"/>
      <c r="AA564" s="356"/>
      <c r="AB564" s="356"/>
      <c r="AC564" s="356"/>
      <c r="AD564" s="356"/>
      <c r="AE564" s="356"/>
      <c r="AF564" s="356"/>
    </row>
    <row r="565">
      <c r="A565" s="341"/>
      <c r="B565" s="356"/>
      <c r="C565" s="456"/>
      <c r="D565" s="356"/>
      <c r="E565" s="452"/>
      <c r="F565" s="356"/>
      <c r="G565" s="356"/>
      <c r="H565" s="453"/>
      <c r="I565" s="453"/>
      <c r="J565" s="454"/>
      <c r="L565" s="454"/>
      <c r="M565" s="342"/>
      <c r="O565" s="356"/>
      <c r="P565" s="356"/>
      <c r="Q565" s="356"/>
      <c r="R565" s="356"/>
      <c r="S565" s="356"/>
      <c r="T565" s="356"/>
      <c r="U565" s="356"/>
      <c r="V565" s="356"/>
      <c r="W565" s="356"/>
      <c r="X565" s="356"/>
      <c r="Y565" s="356"/>
      <c r="Z565" s="356"/>
      <c r="AA565" s="356"/>
      <c r="AB565" s="356"/>
      <c r="AC565" s="356"/>
      <c r="AD565" s="356"/>
      <c r="AE565" s="356"/>
      <c r="AF565" s="356"/>
    </row>
    <row r="566">
      <c r="A566" s="341"/>
      <c r="B566" s="356"/>
      <c r="C566" s="456"/>
      <c r="D566" s="356"/>
      <c r="E566" s="452"/>
      <c r="F566" s="356"/>
      <c r="G566" s="356"/>
      <c r="H566" s="453"/>
      <c r="I566" s="453"/>
      <c r="J566" s="454"/>
      <c r="L566" s="454"/>
      <c r="M566" s="342"/>
      <c r="O566" s="356"/>
      <c r="P566" s="356"/>
      <c r="Q566" s="356"/>
      <c r="R566" s="356"/>
      <c r="S566" s="356"/>
      <c r="T566" s="356"/>
      <c r="U566" s="356"/>
      <c r="V566" s="356"/>
      <c r="W566" s="356"/>
      <c r="X566" s="356"/>
      <c r="Y566" s="356"/>
      <c r="Z566" s="356"/>
      <c r="AA566" s="356"/>
      <c r="AB566" s="356"/>
      <c r="AC566" s="356"/>
      <c r="AD566" s="356"/>
      <c r="AE566" s="356"/>
      <c r="AF566" s="356"/>
    </row>
    <row r="567">
      <c r="A567" s="341"/>
      <c r="B567" s="356"/>
      <c r="C567" s="456"/>
      <c r="D567" s="356"/>
      <c r="E567" s="452"/>
      <c r="F567" s="356"/>
      <c r="G567" s="356"/>
      <c r="H567" s="453"/>
      <c r="I567" s="453"/>
      <c r="J567" s="454"/>
      <c r="L567" s="454"/>
      <c r="M567" s="342"/>
      <c r="O567" s="356"/>
      <c r="P567" s="356"/>
      <c r="Q567" s="356"/>
      <c r="R567" s="356"/>
      <c r="S567" s="356"/>
      <c r="T567" s="356"/>
      <c r="U567" s="356"/>
      <c r="V567" s="356"/>
      <c r="W567" s="356"/>
      <c r="X567" s="356"/>
      <c r="Y567" s="356"/>
      <c r="Z567" s="356"/>
      <c r="AA567" s="356"/>
      <c r="AB567" s="356"/>
      <c r="AC567" s="356"/>
      <c r="AD567" s="356"/>
      <c r="AE567" s="356"/>
      <c r="AF567" s="356"/>
    </row>
    <row r="568">
      <c r="A568" s="341"/>
      <c r="B568" s="356"/>
      <c r="C568" s="456"/>
      <c r="D568" s="356"/>
      <c r="E568" s="452"/>
      <c r="F568" s="356"/>
      <c r="G568" s="356"/>
      <c r="H568" s="453"/>
      <c r="I568" s="453"/>
      <c r="J568" s="454"/>
      <c r="L568" s="454"/>
      <c r="M568" s="342"/>
      <c r="O568" s="356"/>
      <c r="P568" s="356"/>
      <c r="Q568" s="356"/>
      <c r="R568" s="356"/>
      <c r="S568" s="356"/>
      <c r="T568" s="356"/>
      <c r="U568" s="356"/>
      <c r="V568" s="356"/>
      <c r="W568" s="356"/>
      <c r="X568" s="356"/>
      <c r="Y568" s="356"/>
      <c r="Z568" s="356"/>
      <c r="AA568" s="356"/>
      <c r="AB568" s="356"/>
      <c r="AC568" s="356"/>
      <c r="AD568" s="356"/>
      <c r="AE568" s="356"/>
      <c r="AF568" s="356"/>
    </row>
    <row r="569">
      <c r="A569" s="341"/>
      <c r="B569" s="356"/>
      <c r="C569" s="456"/>
      <c r="D569" s="356"/>
      <c r="E569" s="452"/>
      <c r="F569" s="356"/>
      <c r="G569" s="356"/>
      <c r="H569" s="453"/>
      <c r="I569" s="453"/>
      <c r="J569" s="454"/>
      <c r="L569" s="454"/>
      <c r="M569" s="342"/>
      <c r="O569" s="356"/>
      <c r="P569" s="356"/>
      <c r="Q569" s="356"/>
      <c r="R569" s="356"/>
      <c r="S569" s="356"/>
      <c r="T569" s="356"/>
      <c r="U569" s="356"/>
      <c r="V569" s="356"/>
      <c r="W569" s="356"/>
      <c r="X569" s="356"/>
      <c r="Y569" s="356"/>
      <c r="Z569" s="356"/>
      <c r="AA569" s="356"/>
      <c r="AB569" s="356"/>
      <c r="AC569" s="356"/>
      <c r="AD569" s="356"/>
      <c r="AE569" s="356"/>
      <c r="AF569" s="356"/>
    </row>
    <row r="570">
      <c r="A570" s="341"/>
      <c r="B570" s="356"/>
      <c r="C570" s="456"/>
      <c r="D570" s="356"/>
      <c r="E570" s="452"/>
      <c r="F570" s="356"/>
      <c r="G570" s="356"/>
      <c r="H570" s="453"/>
      <c r="I570" s="453"/>
      <c r="J570" s="454"/>
      <c r="L570" s="454"/>
      <c r="M570" s="342"/>
      <c r="O570" s="356"/>
      <c r="P570" s="356"/>
      <c r="Q570" s="356"/>
      <c r="R570" s="356"/>
      <c r="S570" s="356"/>
      <c r="T570" s="356"/>
      <c r="U570" s="356"/>
      <c r="V570" s="356"/>
      <c r="W570" s="356"/>
      <c r="X570" s="356"/>
      <c r="Y570" s="356"/>
      <c r="Z570" s="356"/>
      <c r="AA570" s="356"/>
      <c r="AB570" s="356"/>
      <c r="AC570" s="356"/>
      <c r="AD570" s="356"/>
      <c r="AE570" s="356"/>
      <c r="AF570" s="356"/>
    </row>
    <row r="571">
      <c r="A571" s="341"/>
      <c r="B571" s="356"/>
      <c r="C571" s="456"/>
      <c r="D571" s="356"/>
      <c r="E571" s="452"/>
      <c r="F571" s="356"/>
      <c r="G571" s="356"/>
      <c r="H571" s="453"/>
      <c r="I571" s="453"/>
      <c r="J571" s="454"/>
      <c r="L571" s="454"/>
      <c r="M571" s="342"/>
      <c r="O571" s="356"/>
      <c r="P571" s="356"/>
      <c r="Q571" s="356"/>
      <c r="R571" s="356"/>
      <c r="S571" s="356"/>
      <c r="T571" s="356"/>
      <c r="U571" s="356"/>
      <c r="V571" s="356"/>
      <c r="W571" s="356"/>
      <c r="X571" s="356"/>
      <c r="Y571" s="356"/>
      <c r="Z571" s="356"/>
      <c r="AA571" s="356"/>
      <c r="AB571" s="356"/>
      <c r="AC571" s="356"/>
      <c r="AD571" s="356"/>
      <c r="AE571" s="356"/>
      <c r="AF571" s="356"/>
    </row>
    <row r="572">
      <c r="A572" s="341"/>
      <c r="B572" s="356"/>
      <c r="C572" s="456"/>
      <c r="D572" s="356"/>
      <c r="E572" s="452"/>
      <c r="F572" s="356"/>
      <c r="G572" s="356"/>
      <c r="H572" s="453"/>
      <c r="I572" s="453"/>
      <c r="J572" s="454"/>
      <c r="L572" s="454"/>
      <c r="M572" s="342"/>
      <c r="O572" s="356"/>
      <c r="P572" s="356"/>
      <c r="Q572" s="356"/>
      <c r="R572" s="356"/>
      <c r="S572" s="356"/>
      <c r="T572" s="356"/>
      <c r="U572" s="356"/>
      <c r="V572" s="356"/>
      <c r="W572" s="356"/>
      <c r="X572" s="356"/>
      <c r="Y572" s="356"/>
      <c r="Z572" s="356"/>
      <c r="AA572" s="356"/>
      <c r="AB572" s="356"/>
      <c r="AC572" s="356"/>
      <c r="AD572" s="356"/>
      <c r="AE572" s="356"/>
      <c r="AF572" s="356"/>
    </row>
    <row r="573">
      <c r="A573" s="341"/>
      <c r="B573" s="356"/>
      <c r="C573" s="456"/>
      <c r="D573" s="356"/>
      <c r="E573" s="452"/>
      <c r="F573" s="356"/>
      <c r="G573" s="356"/>
      <c r="H573" s="453"/>
      <c r="I573" s="453"/>
      <c r="J573" s="454"/>
      <c r="L573" s="454"/>
      <c r="M573" s="342"/>
      <c r="O573" s="356"/>
      <c r="P573" s="356"/>
      <c r="Q573" s="356"/>
      <c r="R573" s="356"/>
      <c r="S573" s="356"/>
      <c r="T573" s="356"/>
      <c r="U573" s="356"/>
      <c r="V573" s="356"/>
      <c r="W573" s="356"/>
      <c r="X573" s="356"/>
      <c r="Y573" s="356"/>
      <c r="Z573" s="356"/>
      <c r="AA573" s="356"/>
      <c r="AB573" s="356"/>
      <c r="AC573" s="356"/>
      <c r="AD573" s="356"/>
      <c r="AE573" s="356"/>
      <c r="AF573" s="356"/>
    </row>
    <row r="574">
      <c r="A574" s="341"/>
      <c r="B574" s="356"/>
      <c r="C574" s="456"/>
      <c r="D574" s="356"/>
      <c r="E574" s="452"/>
      <c r="F574" s="356"/>
      <c r="G574" s="356"/>
      <c r="H574" s="453"/>
      <c r="I574" s="453"/>
      <c r="J574" s="454"/>
      <c r="L574" s="454"/>
      <c r="M574" s="342"/>
      <c r="O574" s="356"/>
      <c r="P574" s="356"/>
      <c r="Q574" s="356"/>
      <c r="R574" s="356"/>
      <c r="S574" s="356"/>
      <c r="T574" s="356"/>
      <c r="U574" s="356"/>
      <c r="V574" s="356"/>
      <c r="W574" s="356"/>
      <c r="X574" s="356"/>
      <c r="Y574" s="356"/>
      <c r="Z574" s="356"/>
      <c r="AA574" s="356"/>
      <c r="AB574" s="356"/>
      <c r="AC574" s="356"/>
      <c r="AD574" s="356"/>
      <c r="AE574" s="356"/>
      <c r="AF574" s="356"/>
    </row>
    <row r="575">
      <c r="A575" s="341"/>
      <c r="B575" s="356"/>
      <c r="C575" s="456"/>
      <c r="D575" s="356"/>
      <c r="E575" s="452"/>
      <c r="F575" s="356"/>
      <c r="G575" s="356"/>
      <c r="H575" s="453"/>
      <c r="I575" s="453"/>
      <c r="J575" s="454"/>
      <c r="L575" s="454"/>
      <c r="M575" s="342"/>
      <c r="O575" s="356"/>
      <c r="P575" s="356"/>
      <c r="Q575" s="356"/>
      <c r="R575" s="356"/>
      <c r="S575" s="356"/>
      <c r="T575" s="356"/>
      <c r="U575" s="356"/>
      <c r="V575" s="356"/>
      <c r="W575" s="356"/>
      <c r="X575" s="356"/>
      <c r="Y575" s="356"/>
      <c r="Z575" s="356"/>
      <c r="AA575" s="356"/>
      <c r="AB575" s="356"/>
      <c r="AC575" s="356"/>
      <c r="AD575" s="356"/>
      <c r="AE575" s="356"/>
      <c r="AF575" s="356"/>
    </row>
    <row r="576">
      <c r="A576" s="341"/>
      <c r="B576" s="356"/>
      <c r="C576" s="456"/>
      <c r="D576" s="356"/>
      <c r="E576" s="452"/>
      <c r="F576" s="356"/>
      <c r="G576" s="356"/>
      <c r="H576" s="453"/>
      <c r="I576" s="453"/>
      <c r="J576" s="454"/>
      <c r="L576" s="454"/>
      <c r="M576" s="342"/>
      <c r="O576" s="356"/>
      <c r="P576" s="356"/>
      <c r="Q576" s="356"/>
      <c r="R576" s="356"/>
      <c r="S576" s="356"/>
      <c r="T576" s="356"/>
      <c r="U576" s="356"/>
      <c r="V576" s="356"/>
      <c r="W576" s="356"/>
      <c r="X576" s="356"/>
      <c r="Y576" s="356"/>
      <c r="Z576" s="356"/>
      <c r="AA576" s="356"/>
      <c r="AB576" s="356"/>
      <c r="AC576" s="356"/>
      <c r="AD576" s="356"/>
      <c r="AE576" s="356"/>
      <c r="AF576" s="356"/>
    </row>
    <row r="577">
      <c r="A577" s="341"/>
      <c r="B577" s="356"/>
      <c r="C577" s="456"/>
      <c r="D577" s="356"/>
      <c r="E577" s="452"/>
      <c r="F577" s="356"/>
      <c r="G577" s="356"/>
      <c r="H577" s="453"/>
      <c r="I577" s="453"/>
      <c r="J577" s="454"/>
      <c r="L577" s="454"/>
      <c r="M577" s="342"/>
      <c r="O577" s="356"/>
      <c r="P577" s="356"/>
      <c r="Q577" s="356"/>
      <c r="R577" s="356"/>
      <c r="S577" s="356"/>
      <c r="T577" s="356"/>
      <c r="U577" s="356"/>
      <c r="V577" s="356"/>
      <c r="W577" s="356"/>
      <c r="X577" s="356"/>
      <c r="Y577" s="356"/>
      <c r="Z577" s="356"/>
      <c r="AA577" s="356"/>
      <c r="AB577" s="356"/>
      <c r="AC577" s="356"/>
      <c r="AD577" s="356"/>
      <c r="AE577" s="356"/>
      <c r="AF577" s="356"/>
    </row>
    <row r="578">
      <c r="A578" s="341"/>
      <c r="B578" s="356"/>
      <c r="C578" s="456"/>
      <c r="D578" s="356"/>
      <c r="E578" s="452"/>
      <c r="F578" s="356"/>
      <c r="G578" s="356"/>
      <c r="H578" s="453"/>
      <c r="I578" s="453"/>
      <c r="J578" s="454"/>
      <c r="L578" s="454"/>
      <c r="M578" s="342"/>
      <c r="O578" s="356"/>
      <c r="P578" s="356"/>
      <c r="Q578" s="356"/>
      <c r="R578" s="356"/>
      <c r="S578" s="356"/>
      <c r="T578" s="356"/>
      <c r="U578" s="356"/>
      <c r="V578" s="356"/>
      <c r="W578" s="356"/>
      <c r="X578" s="356"/>
      <c r="Y578" s="356"/>
      <c r="Z578" s="356"/>
      <c r="AA578" s="356"/>
      <c r="AB578" s="356"/>
      <c r="AC578" s="356"/>
      <c r="AD578" s="356"/>
      <c r="AE578" s="356"/>
      <c r="AF578" s="356"/>
    </row>
    <row r="579">
      <c r="A579" s="341"/>
      <c r="B579" s="356"/>
      <c r="C579" s="456"/>
      <c r="D579" s="356"/>
      <c r="E579" s="452"/>
      <c r="F579" s="356"/>
      <c r="G579" s="356"/>
      <c r="H579" s="453"/>
      <c r="I579" s="453"/>
      <c r="J579" s="454"/>
      <c r="L579" s="454"/>
      <c r="M579" s="342"/>
      <c r="O579" s="356"/>
      <c r="P579" s="356"/>
      <c r="Q579" s="356"/>
      <c r="R579" s="356"/>
      <c r="S579" s="356"/>
      <c r="T579" s="356"/>
      <c r="U579" s="356"/>
      <c r="V579" s="356"/>
      <c r="W579" s="356"/>
      <c r="X579" s="356"/>
      <c r="Y579" s="356"/>
      <c r="Z579" s="356"/>
      <c r="AA579" s="356"/>
      <c r="AB579" s="356"/>
      <c r="AC579" s="356"/>
      <c r="AD579" s="356"/>
      <c r="AE579" s="356"/>
      <c r="AF579" s="356"/>
    </row>
    <row r="580">
      <c r="A580" s="341"/>
      <c r="B580" s="356"/>
      <c r="C580" s="456"/>
      <c r="D580" s="356"/>
      <c r="E580" s="452"/>
      <c r="F580" s="356"/>
      <c r="G580" s="356"/>
      <c r="H580" s="453"/>
      <c r="I580" s="453"/>
      <c r="J580" s="454"/>
      <c r="L580" s="454"/>
      <c r="M580" s="342"/>
      <c r="O580" s="356"/>
      <c r="P580" s="356"/>
      <c r="Q580" s="356"/>
      <c r="R580" s="356"/>
      <c r="S580" s="356"/>
      <c r="T580" s="356"/>
      <c r="U580" s="356"/>
      <c r="V580" s="356"/>
      <c r="W580" s="356"/>
      <c r="X580" s="356"/>
      <c r="Y580" s="356"/>
      <c r="Z580" s="356"/>
      <c r="AA580" s="356"/>
      <c r="AB580" s="356"/>
      <c r="AC580" s="356"/>
      <c r="AD580" s="356"/>
      <c r="AE580" s="356"/>
      <c r="AF580" s="356"/>
    </row>
    <row r="581">
      <c r="A581" s="341"/>
      <c r="B581" s="356"/>
      <c r="C581" s="456"/>
      <c r="D581" s="356"/>
      <c r="E581" s="452"/>
      <c r="F581" s="356"/>
      <c r="G581" s="356"/>
      <c r="H581" s="453"/>
      <c r="I581" s="453"/>
      <c r="J581" s="454"/>
      <c r="L581" s="454"/>
      <c r="M581" s="342"/>
      <c r="O581" s="356"/>
      <c r="P581" s="356"/>
      <c r="Q581" s="356"/>
      <c r="R581" s="356"/>
      <c r="S581" s="356"/>
      <c r="T581" s="356"/>
      <c r="U581" s="356"/>
      <c r="V581" s="356"/>
      <c r="W581" s="356"/>
      <c r="X581" s="356"/>
      <c r="Y581" s="356"/>
      <c r="Z581" s="356"/>
      <c r="AA581" s="356"/>
      <c r="AB581" s="356"/>
      <c r="AC581" s="356"/>
      <c r="AD581" s="356"/>
      <c r="AE581" s="356"/>
      <c r="AF581" s="356"/>
    </row>
    <row r="582">
      <c r="A582" s="341"/>
      <c r="B582" s="356"/>
      <c r="C582" s="456"/>
      <c r="D582" s="356"/>
      <c r="E582" s="452"/>
      <c r="F582" s="356"/>
      <c r="G582" s="356"/>
      <c r="H582" s="453"/>
      <c r="I582" s="453"/>
      <c r="J582" s="454"/>
      <c r="L582" s="454"/>
      <c r="M582" s="342"/>
      <c r="O582" s="356"/>
      <c r="P582" s="356"/>
      <c r="Q582" s="356"/>
      <c r="R582" s="356"/>
      <c r="S582" s="356"/>
      <c r="T582" s="356"/>
      <c r="U582" s="356"/>
      <c r="V582" s="356"/>
      <c r="W582" s="356"/>
      <c r="X582" s="356"/>
      <c r="Y582" s="356"/>
      <c r="Z582" s="356"/>
      <c r="AA582" s="356"/>
      <c r="AB582" s="356"/>
      <c r="AC582" s="356"/>
      <c r="AD582" s="356"/>
      <c r="AE582" s="356"/>
      <c r="AF582" s="356"/>
    </row>
    <row r="583">
      <c r="A583" s="341"/>
      <c r="B583" s="356"/>
      <c r="C583" s="456"/>
      <c r="D583" s="356"/>
      <c r="E583" s="452"/>
      <c r="F583" s="356"/>
      <c r="G583" s="356"/>
      <c r="H583" s="453"/>
      <c r="I583" s="453"/>
      <c r="J583" s="454"/>
      <c r="L583" s="454"/>
      <c r="M583" s="342"/>
      <c r="O583" s="356"/>
      <c r="P583" s="356"/>
      <c r="Q583" s="356"/>
      <c r="R583" s="356"/>
      <c r="S583" s="356"/>
      <c r="T583" s="356"/>
      <c r="U583" s="356"/>
      <c r="V583" s="356"/>
      <c r="W583" s="356"/>
      <c r="X583" s="356"/>
      <c r="Y583" s="356"/>
      <c r="Z583" s="356"/>
      <c r="AA583" s="356"/>
      <c r="AB583" s="356"/>
      <c r="AC583" s="356"/>
      <c r="AD583" s="356"/>
      <c r="AE583" s="356"/>
      <c r="AF583" s="356"/>
    </row>
    <row r="584">
      <c r="A584" s="341"/>
      <c r="B584" s="356"/>
      <c r="C584" s="456"/>
      <c r="D584" s="356"/>
      <c r="E584" s="452"/>
      <c r="F584" s="356"/>
      <c r="G584" s="356"/>
      <c r="H584" s="453"/>
      <c r="I584" s="453"/>
      <c r="J584" s="454"/>
      <c r="L584" s="454"/>
      <c r="M584" s="342"/>
      <c r="O584" s="356"/>
      <c r="P584" s="356"/>
      <c r="Q584" s="356"/>
      <c r="R584" s="356"/>
      <c r="S584" s="356"/>
      <c r="T584" s="356"/>
      <c r="U584" s="356"/>
      <c r="V584" s="356"/>
      <c r="W584" s="356"/>
      <c r="X584" s="356"/>
      <c r="Y584" s="356"/>
      <c r="Z584" s="356"/>
      <c r="AA584" s="356"/>
      <c r="AB584" s="356"/>
      <c r="AC584" s="356"/>
      <c r="AD584" s="356"/>
      <c r="AE584" s="356"/>
      <c r="AF584" s="356"/>
    </row>
    <row r="585">
      <c r="A585" s="341"/>
      <c r="B585" s="356"/>
      <c r="C585" s="456"/>
      <c r="D585" s="356"/>
      <c r="E585" s="452"/>
      <c r="F585" s="356"/>
      <c r="G585" s="356"/>
      <c r="H585" s="453"/>
      <c r="I585" s="453"/>
      <c r="J585" s="454"/>
      <c r="L585" s="454"/>
      <c r="M585" s="342"/>
      <c r="O585" s="356"/>
      <c r="P585" s="356"/>
      <c r="Q585" s="356"/>
      <c r="R585" s="356"/>
      <c r="S585" s="356"/>
      <c r="T585" s="356"/>
      <c r="U585" s="356"/>
      <c r="V585" s="356"/>
      <c r="W585" s="356"/>
      <c r="X585" s="356"/>
      <c r="Y585" s="356"/>
      <c r="Z585" s="356"/>
      <c r="AA585" s="356"/>
      <c r="AB585" s="356"/>
      <c r="AC585" s="356"/>
      <c r="AD585" s="356"/>
      <c r="AE585" s="356"/>
      <c r="AF585" s="356"/>
    </row>
    <row r="586">
      <c r="A586" s="341"/>
      <c r="B586" s="356"/>
      <c r="C586" s="456"/>
      <c r="D586" s="356"/>
      <c r="E586" s="452"/>
      <c r="F586" s="356"/>
      <c r="G586" s="356"/>
      <c r="H586" s="453"/>
      <c r="I586" s="453"/>
      <c r="J586" s="454"/>
      <c r="L586" s="454"/>
      <c r="M586" s="342"/>
      <c r="O586" s="356"/>
      <c r="P586" s="356"/>
      <c r="Q586" s="356"/>
      <c r="R586" s="356"/>
      <c r="S586" s="356"/>
      <c r="T586" s="356"/>
      <c r="U586" s="356"/>
      <c r="V586" s="356"/>
      <c r="W586" s="356"/>
      <c r="X586" s="356"/>
      <c r="Y586" s="356"/>
      <c r="Z586" s="356"/>
      <c r="AA586" s="356"/>
      <c r="AB586" s="356"/>
      <c r="AC586" s="356"/>
      <c r="AD586" s="356"/>
      <c r="AE586" s="356"/>
      <c r="AF586" s="356"/>
    </row>
    <row r="587">
      <c r="A587" s="341"/>
      <c r="B587" s="356"/>
      <c r="C587" s="456"/>
      <c r="D587" s="356"/>
      <c r="E587" s="452"/>
      <c r="F587" s="356"/>
      <c r="G587" s="356"/>
      <c r="H587" s="453"/>
      <c r="I587" s="453"/>
      <c r="J587" s="454"/>
      <c r="L587" s="454"/>
      <c r="M587" s="342"/>
      <c r="O587" s="356"/>
      <c r="P587" s="356"/>
      <c r="Q587" s="356"/>
      <c r="R587" s="356"/>
      <c r="S587" s="356"/>
      <c r="T587" s="356"/>
      <c r="U587" s="356"/>
      <c r="V587" s="356"/>
      <c r="W587" s="356"/>
      <c r="X587" s="356"/>
      <c r="Y587" s="356"/>
      <c r="Z587" s="356"/>
      <c r="AA587" s="356"/>
      <c r="AB587" s="356"/>
      <c r="AC587" s="356"/>
      <c r="AD587" s="356"/>
      <c r="AE587" s="356"/>
      <c r="AF587" s="356"/>
    </row>
    <row r="588">
      <c r="A588" s="341"/>
      <c r="B588" s="356"/>
      <c r="C588" s="456"/>
      <c r="D588" s="356"/>
      <c r="E588" s="452"/>
      <c r="F588" s="356"/>
      <c r="G588" s="356"/>
      <c r="H588" s="453"/>
      <c r="I588" s="453"/>
      <c r="J588" s="454"/>
      <c r="L588" s="454"/>
      <c r="M588" s="342"/>
      <c r="O588" s="356"/>
      <c r="P588" s="356"/>
      <c r="Q588" s="356"/>
      <c r="R588" s="356"/>
      <c r="S588" s="356"/>
      <c r="T588" s="356"/>
      <c r="U588" s="356"/>
      <c r="V588" s="356"/>
      <c r="W588" s="356"/>
      <c r="X588" s="356"/>
      <c r="Y588" s="356"/>
      <c r="Z588" s="356"/>
      <c r="AA588" s="356"/>
      <c r="AB588" s="356"/>
      <c r="AC588" s="356"/>
      <c r="AD588" s="356"/>
      <c r="AE588" s="356"/>
      <c r="AF588" s="356"/>
    </row>
    <row r="589">
      <c r="A589" s="341"/>
      <c r="B589" s="356"/>
      <c r="C589" s="456"/>
      <c r="D589" s="356"/>
      <c r="E589" s="452"/>
      <c r="F589" s="356"/>
      <c r="G589" s="356"/>
      <c r="H589" s="453"/>
      <c r="I589" s="453"/>
      <c r="J589" s="454"/>
      <c r="L589" s="454"/>
      <c r="M589" s="342"/>
      <c r="O589" s="356"/>
      <c r="P589" s="356"/>
      <c r="Q589" s="356"/>
      <c r="R589" s="356"/>
      <c r="S589" s="356"/>
      <c r="T589" s="356"/>
      <c r="U589" s="356"/>
      <c r="V589" s="356"/>
      <c r="W589" s="356"/>
      <c r="X589" s="356"/>
      <c r="Y589" s="356"/>
      <c r="Z589" s="356"/>
      <c r="AA589" s="356"/>
      <c r="AB589" s="356"/>
      <c r="AC589" s="356"/>
      <c r="AD589" s="356"/>
      <c r="AE589" s="356"/>
      <c r="AF589" s="356"/>
    </row>
    <row r="590">
      <c r="A590" s="341"/>
      <c r="B590" s="356"/>
      <c r="C590" s="456"/>
      <c r="D590" s="356"/>
      <c r="E590" s="452"/>
      <c r="F590" s="356"/>
      <c r="G590" s="356"/>
      <c r="H590" s="453"/>
      <c r="I590" s="453"/>
      <c r="J590" s="454"/>
      <c r="L590" s="454"/>
      <c r="M590" s="342"/>
      <c r="O590" s="356"/>
      <c r="P590" s="356"/>
      <c r="Q590" s="356"/>
      <c r="R590" s="356"/>
      <c r="S590" s="356"/>
      <c r="T590" s="356"/>
      <c r="U590" s="356"/>
      <c r="V590" s="356"/>
      <c r="W590" s="356"/>
      <c r="X590" s="356"/>
      <c r="Y590" s="356"/>
      <c r="Z590" s="356"/>
      <c r="AA590" s="356"/>
      <c r="AB590" s="356"/>
      <c r="AC590" s="356"/>
      <c r="AD590" s="356"/>
      <c r="AE590" s="356"/>
      <c r="AF590" s="356"/>
    </row>
    <row r="591">
      <c r="A591" s="341"/>
      <c r="B591" s="356"/>
      <c r="C591" s="456"/>
      <c r="D591" s="356"/>
      <c r="E591" s="452"/>
      <c r="F591" s="356"/>
      <c r="G591" s="356"/>
      <c r="H591" s="453"/>
      <c r="I591" s="453"/>
      <c r="J591" s="454"/>
      <c r="L591" s="454"/>
      <c r="M591" s="342"/>
      <c r="O591" s="356"/>
      <c r="P591" s="356"/>
      <c r="Q591" s="356"/>
      <c r="R591" s="356"/>
      <c r="S591" s="356"/>
      <c r="T591" s="356"/>
      <c r="U591" s="356"/>
      <c r="V591" s="356"/>
      <c r="W591" s="356"/>
      <c r="X591" s="356"/>
      <c r="Y591" s="356"/>
      <c r="Z591" s="356"/>
      <c r="AA591" s="356"/>
      <c r="AB591" s="356"/>
      <c r="AC591" s="356"/>
      <c r="AD591" s="356"/>
      <c r="AE591" s="356"/>
      <c r="AF591" s="356"/>
    </row>
    <row r="592">
      <c r="A592" s="341"/>
      <c r="B592" s="356"/>
      <c r="C592" s="456"/>
      <c r="D592" s="356"/>
      <c r="E592" s="452"/>
      <c r="F592" s="356"/>
      <c r="G592" s="356"/>
      <c r="H592" s="453"/>
      <c r="I592" s="453"/>
      <c r="J592" s="454"/>
      <c r="L592" s="454"/>
      <c r="M592" s="342"/>
      <c r="O592" s="356"/>
      <c r="P592" s="356"/>
      <c r="Q592" s="356"/>
      <c r="R592" s="356"/>
      <c r="S592" s="356"/>
      <c r="T592" s="356"/>
      <c r="U592" s="356"/>
      <c r="V592" s="356"/>
      <c r="W592" s="356"/>
      <c r="X592" s="356"/>
      <c r="Y592" s="356"/>
      <c r="Z592" s="356"/>
      <c r="AA592" s="356"/>
      <c r="AB592" s="356"/>
      <c r="AC592" s="356"/>
      <c r="AD592" s="356"/>
      <c r="AE592" s="356"/>
      <c r="AF592" s="356"/>
    </row>
    <row r="593">
      <c r="A593" s="341"/>
      <c r="B593" s="356"/>
      <c r="C593" s="456"/>
      <c r="D593" s="356"/>
      <c r="E593" s="452"/>
      <c r="F593" s="356"/>
      <c r="G593" s="356"/>
      <c r="H593" s="453"/>
      <c r="I593" s="453"/>
      <c r="J593" s="454"/>
      <c r="L593" s="454"/>
      <c r="M593" s="342"/>
      <c r="O593" s="356"/>
      <c r="P593" s="356"/>
      <c r="Q593" s="356"/>
      <c r="R593" s="356"/>
      <c r="S593" s="356"/>
      <c r="T593" s="356"/>
      <c r="U593" s="356"/>
      <c r="V593" s="356"/>
      <c r="W593" s="356"/>
      <c r="X593" s="356"/>
      <c r="Y593" s="356"/>
      <c r="Z593" s="356"/>
      <c r="AA593" s="356"/>
      <c r="AB593" s="356"/>
      <c r="AC593" s="356"/>
      <c r="AD593" s="356"/>
      <c r="AE593" s="356"/>
      <c r="AF593" s="356"/>
    </row>
    <row r="594">
      <c r="A594" s="341"/>
      <c r="B594" s="356"/>
      <c r="C594" s="456"/>
      <c r="D594" s="356"/>
      <c r="E594" s="452"/>
      <c r="F594" s="356"/>
      <c r="G594" s="356"/>
      <c r="H594" s="453"/>
      <c r="I594" s="453"/>
      <c r="J594" s="454"/>
      <c r="L594" s="454"/>
      <c r="M594" s="342"/>
      <c r="O594" s="356"/>
      <c r="P594" s="356"/>
      <c r="Q594" s="356"/>
      <c r="R594" s="356"/>
      <c r="S594" s="356"/>
      <c r="T594" s="356"/>
      <c r="U594" s="356"/>
      <c r="V594" s="356"/>
      <c r="W594" s="356"/>
      <c r="X594" s="356"/>
      <c r="Y594" s="356"/>
      <c r="Z594" s="356"/>
      <c r="AA594" s="356"/>
      <c r="AB594" s="356"/>
      <c r="AC594" s="356"/>
      <c r="AD594" s="356"/>
      <c r="AE594" s="356"/>
      <c r="AF594" s="356"/>
    </row>
    <row r="595">
      <c r="A595" s="341"/>
      <c r="B595" s="356"/>
      <c r="C595" s="456"/>
      <c r="D595" s="356"/>
      <c r="E595" s="452"/>
      <c r="F595" s="356"/>
      <c r="G595" s="356"/>
      <c r="H595" s="453"/>
      <c r="I595" s="453"/>
      <c r="J595" s="454"/>
      <c r="L595" s="454"/>
      <c r="M595" s="342"/>
      <c r="O595" s="356"/>
      <c r="P595" s="356"/>
      <c r="Q595" s="356"/>
      <c r="R595" s="356"/>
      <c r="S595" s="356"/>
      <c r="T595" s="356"/>
      <c r="U595" s="356"/>
      <c r="V595" s="356"/>
      <c r="W595" s="356"/>
      <c r="X595" s="356"/>
      <c r="Y595" s="356"/>
      <c r="Z595" s="356"/>
      <c r="AA595" s="356"/>
      <c r="AB595" s="356"/>
      <c r="AC595" s="356"/>
      <c r="AD595" s="356"/>
      <c r="AE595" s="356"/>
      <c r="AF595" s="356"/>
    </row>
    <row r="596">
      <c r="A596" s="341"/>
      <c r="B596" s="356"/>
      <c r="C596" s="456"/>
      <c r="D596" s="356"/>
      <c r="E596" s="452"/>
      <c r="F596" s="356"/>
      <c r="G596" s="356"/>
      <c r="H596" s="453"/>
      <c r="I596" s="453"/>
      <c r="J596" s="454"/>
      <c r="L596" s="454"/>
      <c r="M596" s="342"/>
      <c r="O596" s="356"/>
      <c r="P596" s="356"/>
      <c r="Q596" s="356"/>
      <c r="R596" s="356"/>
      <c r="S596" s="356"/>
      <c r="T596" s="356"/>
      <c r="U596" s="356"/>
      <c r="V596" s="356"/>
      <c r="W596" s="356"/>
      <c r="X596" s="356"/>
      <c r="Y596" s="356"/>
      <c r="Z596" s="356"/>
      <c r="AA596" s="356"/>
      <c r="AB596" s="356"/>
      <c r="AC596" s="356"/>
      <c r="AD596" s="356"/>
      <c r="AE596" s="356"/>
      <c r="AF596" s="356"/>
    </row>
    <row r="597">
      <c r="A597" s="341"/>
      <c r="B597" s="356"/>
      <c r="C597" s="456"/>
      <c r="D597" s="356"/>
      <c r="E597" s="452"/>
      <c r="F597" s="356"/>
      <c r="G597" s="356"/>
      <c r="H597" s="453"/>
      <c r="I597" s="453"/>
      <c r="J597" s="454"/>
      <c r="L597" s="454"/>
      <c r="M597" s="342"/>
      <c r="O597" s="356"/>
      <c r="P597" s="356"/>
      <c r="Q597" s="356"/>
      <c r="R597" s="356"/>
      <c r="S597" s="356"/>
      <c r="T597" s="356"/>
      <c r="U597" s="356"/>
      <c r="V597" s="356"/>
      <c r="W597" s="356"/>
      <c r="X597" s="356"/>
      <c r="Y597" s="356"/>
      <c r="Z597" s="356"/>
      <c r="AA597" s="356"/>
      <c r="AB597" s="356"/>
      <c r="AC597" s="356"/>
      <c r="AD597" s="356"/>
      <c r="AE597" s="356"/>
      <c r="AF597" s="356"/>
    </row>
    <row r="598">
      <c r="A598" s="341"/>
      <c r="B598" s="356"/>
      <c r="C598" s="456"/>
      <c r="D598" s="356"/>
      <c r="E598" s="452"/>
      <c r="F598" s="356"/>
      <c r="G598" s="356"/>
      <c r="H598" s="453"/>
      <c r="I598" s="453"/>
      <c r="J598" s="454"/>
      <c r="L598" s="454"/>
      <c r="M598" s="342"/>
      <c r="O598" s="356"/>
      <c r="P598" s="356"/>
      <c r="Q598" s="356"/>
      <c r="R598" s="356"/>
      <c r="S598" s="356"/>
      <c r="T598" s="356"/>
      <c r="U598" s="356"/>
      <c r="V598" s="356"/>
      <c r="W598" s="356"/>
      <c r="X598" s="356"/>
      <c r="Y598" s="356"/>
      <c r="Z598" s="356"/>
      <c r="AA598" s="356"/>
      <c r="AB598" s="356"/>
      <c r="AC598" s="356"/>
      <c r="AD598" s="356"/>
      <c r="AE598" s="356"/>
      <c r="AF598" s="356"/>
    </row>
    <row r="599">
      <c r="A599" s="341"/>
      <c r="B599" s="356"/>
      <c r="C599" s="456"/>
      <c r="D599" s="356"/>
      <c r="E599" s="452"/>
      <c r="F599" s="356"/>
      <c r="G599" s="356"/>
      <c r="H599" s="453"/>
      <c r="I599" s="453"/>
      <c r="J599" s="454"/>
      <c r="L599" s="454"/>
      <c r="M599" s="342"/>
      <c r="O599" s="356"/>
      <c r="P599" s="356"/>
      <c r="Q599" s="356"/>
      <c r="R599" s="356"/>
      <c r="S599" s="356"/>
      <c r="T599" s="356"/>
      <c r="U599" s="356"/>
      <c r="V599" s="356"/>
      <c r="W599" s="356"/>
      <c r="X599" s="356"/>
      <c r="Y599" s="356"/>
      <c r="Z599" s="356"/>
      <c r="AA599" s="356"/>
      <c r="AB599" s="356"/>
      <c r="AC599" s="356"/>
      <c r="AD599" s="356"/>
      <c r="AE599" s="356"/>
      <c r="AF599" s="356"/>
    </row>
    <row r="600">
      <c r="A600" s="341"/>
      <c r="B600" s="356"/>
      <c r="C600" s="456"/>
      <c r="D600" s="356"/>
      <c r="E600" s="452"/>
      <c r="F600" s="356"/>
      <c r="G600" s="356"/>
      <c r="H600" s="453"/>
      <c r="I600" s="453"/>
      <c r="J600" s="454"/>
      <c r="L600" s="454"/>
      <c r="M600" s="342"/>
      <c r="O600" s="356"/>
      <c r="P600" s="356"/>
      <c r="Q600" s="356"/>
      <c r="R600" s="356"/>
      <c r="S600" s="356"/>
      <c r="T600" s="356"/>
      <c r="U600" s="356"/>
      <c r="V600" s="356"/>
      <c r="W600" s="356"/>
      <c r="X600" s="356"/>
      <c r="Y600" s="356"/>
      <c r="Z600" s="356"/>
      <c r="AA600" s="356"/>
      <c r="AB600" s="356"/>
      <c r="AC600" s="356"/>
      <c r="AD600" s="356"/>
      <c r="AE600" s="356"/>
      <c r="AF600" s="356"/>
    </row>
    <row r="601">
      <c r="A601" s="341"/>
      <c r="B601" s="356"/>
      <c r="C601" s="456"/>
      <c r="D601" s="356"/>
      <c r="E601" s="452"/>
      <c r="F601" s="356"/>
      <c r="G601" s="356"/>
      <c r="H601" s="453"/>
      <c r="I601" s="453"/>
      <c r="J601" s="454"/>
      <c r="L601" s="454"/>
      <c r="M601" s="342"/>
      <c r="O601" s="356"/>
      <c r="P601" s="356"/>
      <c r="Q601" s="356"/>
      <c r="R601" s="356"/>
      <c r="S601" s="356"/>
      <c r="T601" s="356"/>
      <c r="U601" s="356"/>
      <c r="V601" s="356"/>
      <c r="W601" s="356"/>
      <c r="X601" s="356"/>
      <c r="Y601" s="356"/>
      <c r="Z601" s="356"/>
      <c r="AA601" s="356"/>
      <c r="AB601" s="356"/>
      <c r="AC601" s="356"/>
      <c r="AD601" s="356"/>
      <c r="AE601" s="356"/>
      <c r="AF601" s="356"/>
    </row>
    <row r="602">
      <c r="A602" s="341"/>
      <c r="B602" s="356"/>
      <c r="C602" s="456"/>
      <c r="D602" s="356"/>
      <c r="E602" s="452"/>
      <c r="F602" s="356"/>
      <c r="G602" s="356"/>
      <c r="H602" s="453"/>
      <c r="I602" s="453"/>
      <c r="J602" s="454"/>
      <c r="L602" s="454"/>
      <c r="M602" s="342"/>
      <c r="O602" s="356"/>
      <c r="P602" s="356"/>
      <c r="Q602" s="356"/>
      <c r="R602" s="356"/>
      <c r="S602" s="356"/>
      <c r="T602" s="356"/>
      <c r="U602" s="356"/>
      <c r="V602" s="356"/>
      <c r="W602" s="356"/>
      <c r="X602" s="356"/>
      <c r="Y602" s="356"/>
      <c r="Z602" s="356"/>
      <c r="AA602" s="356"/>
      <c r="AB602" s="356"/>
      <c r="AC602" s="356"/>
      <c r="AD602" s="356"/>
      <c r="AE602" s="356"/>
      <c r="AF602" s="356"/>
    </row>
    <row r="603">
      <c r="A603" s="341"/>
      <c r="B603" s="356"/>
      <c r="C603" s="456"/>
      <c r="D603" s="356"/>
      <c r="E603" s="452"/>
      <c r="F603" s="356"/>
      <c r="G603" s="356"/>
      <c r="H603" s="453"/>
      <c r="I603" s="453"/>
      <c r="J603" s="454"/>
      <c r="L603" s="454"/>
      <c r="M603" s="342"/>
      <c r="O603" s="356"/>
      <c r="P603" s="356"/>
      <c r="Q603" s="356"/>
      <c r="R603" s="356"/>
      <c r="S603" s="356"/>
      <c r="T603" s="356"/>
      <c r="U603" s="356"/>
      <c r="V603" s="356"/>
      <c r="W603" s="356"/>
      <c r="X603" s="356"/>
      <c r="Y603" s="356"/>
      <c r="Z603" s="356"/>
      <c r="AA603" s="356"/>
      <c r="AB603" s="356"/>
      <c r="AC603" s="356"/>
      <c r="AD603" s="356"/>
      <c r="AE603" s="356"/>
      <c r="AF603" s="356"/>
    </row>
    <row r="604">
      <c r="A604" s="341"/>
      <c r="B604" s="356"/>
      <c r="C604" s="456"/>
      <c r="D604" s="356"/>
      <c r="E604" s="452"/>
      <c r="F604" s="356"/>
      <c r="G604" s="356"/>
      <c r="H604" s="453"/>
      <c r="I604" s="453"/>
      <c r="J604" s="454"/>
      <c r="L604" s="454"/>
      <c r="M604" s="342"/>
      <c r="O604" s="356"/>
      <c r="P604" s="356"/>
      <c r="Q604" s="356"/>
      <c r="R604" s="356"/>
      <c r="S604" s="356"/>
      <c r="T604" s="356"/>
      <c r="U604" s="356"/>
      <c r="V604" s="356"/>
      <c r="W604" s="356"/>
      <c r="X604" s="356"/>
      <c r="Y604" s="356"/>
      <c r="Z604" s="356"/>
      <c r="AA604" s="356"/>
      <c r="AB604" s="356"/>
      <c r="AC604" s="356"/>
      <c r="AD604" s="356"/>
      <c r="AE604" s="356"/>
      <c r="AF604" s="356"/>
    </row>
    <row r="605">
      <c r="A605" s="341"/>
      <c r="B605" s="356"/>
      <c r="C605" s="456"/>
      <c r="D605" s="356"/>
      <c r="E605" s="452"/>
      <c r="F605" s="356"/>
      <c r="G605" s="356"/>
      <c r="H605" s="453"/>
      <c r="I605" s="453"/>
      <c r="J605" s="454"/>
      <c r="L605" s="454"/>
      <c r="M605" s="342"/>
      <c r="O605" s="356"/>
      <c r="P605" s="356"/>
      <c r="Q605" s="356"/>
      <c r="R605" s="356"/>
      <c r="S605" s="356"/>
      <c r="T605" s="356"/>
      <c r="U605" s="356"/>
      <c r="V605" s="356"/>
      <c r="W605" s="356"/>
      <c r="X605" s="356"/>
      <c r="Y605" s="356"/>
      <c r="Z605" s="356"/>
      <c r="AA605" s="356"/>
      <c r="AB605" s="356"/>
      <c r="AC605" s="356"/>
      <c r="AD605" s="356"/>
      <c r="AE605" s="356"/>
      <c r="AF605" s="356"/>
    </row>
    <row r="606">
      <c r="A606" s="341"/>
      <c r="B606" s="356"/>
      <c r="C606" s="456"/>
      <c r="D606" s="356"/>
      <c r="E606" s="452"/>
      <c r="F606" s="356"/>
      <c r="G606" s="356"/>
      <c r="H606" s="453"/>
      <c r="I606" s="453"/>
      <c r="J606" s="454"/>
      <c r="L606" s="454"/>
      <c r="M606" s="342"/>
      <c r="O606" s="356"/>
      <c r="P606" s="356"/>
      <c r="Q606" s="356"/>
      <c r="R606" s="356"/>
      <c r="S606" s="356"/>
      <c r="T606" s="356"/>
      <c r="U606" s="356"/>
      <c r="V606" s="356"/>
      <c r="W606" s="356"/>
      <c r="X606" s="356"/>
      <c r="Y606" s="356"/>
      <c r="Z606" s="356"/>
      <c r="AA606" s="356"/>
      <c r="AB606" s="356"/>
      <c r="AC606" s="356"/>
      <c r="AD606" s="356"/>
      <c r="AE606" s="356"/>
      <c r="AF606" s="356"/>
    </row>
    <row r="607">
      <c r="A607" s="341"/>
      <c r="B607" s="356"/>
      <c r="C607" s="456"/>
      <c r="D607" s="356"/>
      <c r="E607" s="452"/>
      <c r="F607" s="356"/>
      <c r="G607" s="356"/>
      <c r="H607" s="453"/>
      <c r="I607" s="453"/>
      <c r="J607" s="454"/>
      <c r="L607" s="454"/>
      <c r="M607" s="342"/>
      <c r="O607" s="356"/>
      <c r="P607" s="356"/>
      <c r="Q607" s="356"/>
      <c r="R607" s="356"/>
      <c r="S607" s="356"/>
      <c r="T607" s="356"/>
      <c r="U607" s="356"/>
      <c r="V607" s="356"/>
      <c r="W607" s="356"/>
      <c r="X607" s="356"/>
      <c r="Y607" s="356"/>
      <c r="Z607" s="356"/>
      <c r="AA607" s="356"/>
      <c r="AB607" s="356"/>
      <c r="AC607" s="356"/>
      <c r="AD607" s="356"/>
      <c r="AE607" s="356"/>
      <c r="AF607" s="356"/>
    </row>
    <row r="608">
      <c r="A608" s="341"/>
      <c r="B608" s="356"/>
      <c r="C608" s="456"/>
      <c r="D608" s="356"/>
      <c r="E608" s="452"/>
      <c r="F608" s="356"/>
      <c r="G608" s="356"/>
      <c r="H608" s="453"/>
      <c r="I608" s="453"/>
      <c r="J608" s="454"/>
      <c r="L608" s="454"/>
      <c r="M608" s="342"/>
      <c r="O608" s="356"/>
      <c r="P608" s="356"/>
      <c r="Q608" s="356"/>
      <c r="R608" s="356"/>
      <c r="S608" s="356"/>
      <c r="T608" s="356"/>
      <c r="U608" s="356"/>
      <c r="V608" s="356"/>
      <c r="W608" s="356"/>
      <c r="X608" s="356"/>
      <c r="Y608" s="356"/>
      <c r="Z608" s="356"/>
      <c r="AA608" s="356"/>
      <c r="AB608" s="356"/>
      <c r="AC608" s="356"/>
      <c r="AD608" s="356"/>
      <c r="AE608" s="356"/>
      <c r="AF608" s="356"/>
    </row>
    <row r="609">
      <c r="A609" s="341"/>
      <c r="B609" s="356"/>
      <c r="C609" s="456"/>
      <c r="D609" s="356"/>
      <c r="E609" s="452"/>
      <c r="F609" s="356"/>
      <c r="G609" s="356"/>
      <c r="H609" s="453"/>
      <c r="I609" s="453"/>
      <c r="J609" s="454"/>
      <c r="L609" s="454"/>
      <c r="M609" s="342"/>
      <c r="O609" s="356"/>
      <c r="P609" s="356"/>
      <c r="Q609" s="356"/>
      <c r="R609" s="356"/>
      <c r="S609" s="356"/>
      <c r="T609" s="356"/>
      <c r="U609" s="356"/>
      <c r="V609" s="356"/>
      <c r="W609" s="356"/>
      <c r="X609" s="356"/>
      <c r="Y609" s="356"/>
      <c r="Z609" s="356"/>
      <c r="AA609" s="356"/>
      <c r="AB609" s="356"/>
      <c r="AC609" s="356"/>
      <c r="AD609" s="356"/>
      <c r="AE609" s="356"/>
      <c r="AF609" s="356"/>
    </row>
    <row r="610">
      <c r="A610" s="341"/>
      <c r="B610" s="356"/>
      <c r="C610" s="456"/>
      <c r="D610" s="356"/>
      <c r="E610" s="452"/>
      <c r="F610" s="356"/>
      <c r="G610" s="356"/>
      <c r="H610" s="453"/>
      <c r="I610" s="453"/>
      <c r="J610" s="454"/>
      <c r="L610" s="454"/>
      <c r="M610" s="342"/>
      <c r="O610" s="356"/>
      <c r="P610" s="356"/>
      <c r="Q610" s="356"/>
      <c r="R610" s="356"/>
      <c r="S610" s="356"/>
      <c r="T610" s="356"/>
      <c r="U610" s="356"/>
      <c r="V610" s="356"/>
      <c r="W610" s="356"/>
      <c r="X610" s="356"/>
      <c r="Y610" s="356"/>
      <c r="Z610" s="356"/>
      <c r="AA610" s="356"/>
      <c r="AB610" s="356"/>
      <c r="AC610" s="356"/>
      <c r="AD610" s="356"/>
      <c r="AE610" s="356"/>
      <c r="AF610" s="356"/>
    </row>
    <row r="611">
      <c r="A611" s="341"/>
      <c r="B611" s="356"/>
      <c r="C611" s="456"/>
      <c r="D611" s="356"/>
      <c r="E611" s="452"/>
      <c r="F611" s="356"/>
      <c r="G611" s="356"/>
      <c r="H611" s="453"/>
      <c r="I611" s="453"/>
      <c r="J611" s="454"/>
      <c r="L611" s="454"/>
      <c r="M611" s="342"/>
      <c r="O611" s="356"/>
      <c r="P611" s="356"/>
      <c r="Q611" s="356"/>
      <c r="R611" s="356"/>
      <c r="S611" s="356"/>
      <c r="T611" s="356"/>
      <c r="U611" s="356"/>
      <c r="V611" s="356"/>
      <c r="W611" s="356"/>
      <c r="X611" s="356"/>
      <c r="Y611" s="356"/>
      <c r="Z611" s="356"/>
      <c r="AA611" s="356"/>
      <c r="AB611" s="356"/>
      <c r="AC611" s="356"/>
      <c r="AD611" s="356"/>
      <c r="AE611" s="356"/>
      <c r="AF611" s="356"/>
    </row>
    <row r="612">
      <c r="A612" s="341"/>
      <c r="B612" s="356"/>
      <c r="C612" s="456"/>
      <c r="D612" s="356"/>
      <c r="E612" s="452"/>
      <c r="F612" s="356"/>
      <c r="G612" s="356"/>
      <c r="H612" s="453"/>
      <c r="I612" s="453"/>
      <c r="J612" s="454"/>
      <c r="L612" s="454"/>
      <c r="M612" s="342"/>
      <c r="O612" s="356"/>
      <c r="P612" s="356"/>
      <c r="Q612" s="356"/>
      <c r="R612" s="356"/>
      <c r="S612" s="356"/>
      <c r="T612" s="356"/>
      <c r="U612" s="356"/>
      <c r="V612" s="356"/>
      <c r="W612" s="356"/>
      <c r="X612" s="356"/>
      <c r="Y612" s="356"/>
      <c r="Z612" s="356"/>
      <c r="AA612" s="356"/>
      <c r="AB612" s="356"/>
      <c r="AC612" s="356"/>
      <c r="AD612" s="356"/>
      <c r="AE612" s="356"/>
      <c r="AF612" s="356"/>
    </row>
    <row r="613">
      <c r="A613" s="341"/>
      <c r="B613" s="356"/>
      <c r="C613" s="456"/>
      <c r="D613" s="356"/>
      <c r="E613" s="452"/>
      <c r="F613" s="356"/>
      <c r="G613" s="356"/>
      <c r="H613" s="453"/>
      <c r="I613" s="453"/>
      <c r="J613" s="454"/>
      <c r="L613" s="454"/>
      <c r="M613" s="342"/>
      <c r="O613" s="356"/>
      <c r="P613" s="356"/>
      <c r="Q613" s="356"/>
      <c r="R613" s="356"/>
      <c r="S613" s="356"/>
      <c r="T613" s="356"/>
      <c r="U613" s="356"/>
      <c r="V613" s="356"/>
      <c r="W613" s="356"/>
      <c r="X613" s="356"/>
      <c r="Y613" s="356"/>
      <c r="Z613" s="356"/>
      <c r="AA613" s="356"/>
      <c r="AB613" s="356"/>
      <c r="AC613" s="356"/>
      <c r="AD613" s="356"/>
      <c r="AE613" s="356"/>
      <c r="AF613" s="356"/>
    </row>
    <row r="614">
      <c r="A614" s="341"/>
      <c r="B614" s="356"/>
      <c r="C614" s="456"/>
      <c r="D614" s="356"/>
      <c r="E614" s="452"/>
      <c r="F614" s="356"/>
      <c r="G614" s="356"/>
      <c r="H614" s="453"/>
      <c r="I614" s="453"/>
      <c r="J614" s="454"/>
      <c r="L614" s="454"/>
      <c r="M614" s="342"/>
      <c r="O614" s="356"/>
      <c r="P614" s="356"/>
      <c r="Q614" s="356"/>
      <c r="R614" s="356"/>
      <c r="S614" s="356"/>
      <c r="T614" s="356"/>
      <c r="U614" s="356"/>
      <c r="V614" s="356"/>
      <c r="W614" s="356"/>
      <c r="X614" s="356"/>
      <c r="Y614" s="356"/>
      <c r="Z614" s="356"/>
      <c r="AA614" s="356"/>
      <c r="AB614" s="356"/>
      <c r="AC614" s="356"/>
      <c r="AD614" s="356"/>
      <c r="AE614" s="356"/>
      <c r="AF614" s="356"/>
    </row>
    <row r="615">
      <c r="A615" s="341"/>
      <c r="B615" s="356"/>
      <c r="C615" s="456"/>
      <c r="D615" s="356"/>
      <c r="E615" s="452"/>
      <c r="F615" s="356"/>
      <c r="G615" s="356"/>
      <c r="H615" s="453"/>
      <c r="I615" s="453"/>
      <c r="J615" s="454"/>
      <c r="L615" s="454"/>
      <c r="M615" s="342"/>
      <c r="O615" s="356"/>
      <c r="P615" s="356"/>
      <c r="Q615" s="356"/>
      <c r="R615" s="356"/>
      <c r="S615" s="356"/>
      <c r="T615" s="356"/>
      <c r="U615" s="356"/>
      <c r="V615" s="356"/>
      <c r="W615" s="356"/>
      <c r="X615" s="356"/>
      <c r="Y615" s="356"/>
      <c r="Z615" s="356"/>
      <c r="AA615" s="356"/>
      <c r="AB615" s="356"/>
      <c r="AC615" s="356"/>
      <c r="AD615" s="356"/>
      <c r="AE615" s="356"/>
      <c r="AF615" s="356"/>
    </row>
    <row r="616">
      <c r="A616" s="341"/>
      <c r="B616" s="356"/>
      <c r="C616" s="456"/>
      <c r="D616" s="356"/>
      <c r="E616" s="452"/>
      <c r="F616" s="356"/>
      <c r="G616" s="356"/>
      <c r="H616" s="453"/>
      <c r="I616" s="453"/>
      <c r="J616" s="454"/>
      <c r="L616" s="454"/>
      <c r="M616" s="342"/>
      <c r="O616" s="356"/>
      <c r="P616" s="356"/>
      <c r="Q616" s="356"/>
      <c r="R616" s="356"/>
      <c r="S616" s="356"/>
      <c r="T616" s="356"/>
      <c r="U616" s="356"/>
      <c r="V616" s="356"/>
      <c r="W616" s="356"/>
      <c r="X616" s="356"/>
      <c r="Y616" s="356"/>
      <c r="Z616" s="356"/>
      <c r="AA616" s="356"/>
      <c r="AB616" s="356"/>
      <c r="AC616" s="356"/>
      <c r="AD616" s="356"/>
      <c r="AE616" s="356"/>
      <c r="AF616" s="356"/>
    </row>
    <row r="617">
      <c r="A617" s="341"/>
      <c r="B617" s="356"/>
      <c r="C617" s="456"/>
      <c r="D617" s="356"/>
      <c r="E617" s="452"/>
      <c r="F617" s="356"/>
      <c r="G617" s="356"/>
      <c r="H617" s="453"/>
      <c r="I617" s="453"/>
      <c r="J617" s="454"/>
      <c r="L617" s="454"/>
      <c r="M617" s="342"/>
      <c r="O617" s="356"/>
      <c r="P617" s="356"/>
      <c r="Q617" s="356"/>
      <c r="R617" s="356"/>
      <c r="S617" s="356"/>
      <c r="T617" s="356"/>
      <c r="U617" s="356"/>
      <c r="V617" s="356"/>
      <c r="W617" s="356"/>
      <c r="X617" s="356"/>
      <c r="Y617" s="356"/>
      <c r="Z617" s="356"/>
      <c r="AA617" s="356"/>
      <c r="AB617" s="356"/>
      <c r="AC617" s="356"/>
      <c r="AD617" s="356"/>
      <c r="AE617" s="356"/>
      <c r="AF617" s="356"/>
    </row>
    <row r="618">
      <c r="A618" s="341"/>
      <c r="B618" s="356"/>
      <c r="C618" s="456"/>
      <c r="D618" s="356"/>
      <c r="E618" s="452"/>
      <c r="F618" s="356"/>
      <c r="G618" s="356"/>
      <c r="H618" s="453"/>
      <c r="I618" s="453"/>
      <c r="J618" s="454"/>
      <c r="L618" s="454"/>
      <c r="M618" s="342"/>
      <c r="O618" s="356"/>
      <c r="P618" s="356"/>
      <c r="Q618" s="356"/>
      <c r="R618" s="356"/>
      <c r="S618" s="356"/>
      <c r="T618" s="356"/>
      <c r="U618" s="356"/>
      <c r="V618" s="356"/>
      <c r="W618" s="356"/>
      <c r="X618" s="356"/>
      <c r="Y618" s="356"/>
      <c r="Z618" s="356"/>
      <c r="AA618" s="356"/>
      <c r="AB618" s="356"/>
      <c r="AC618" s="356"/>
      <c r="AD618" s="356"/>
      <c r="AE618" s="356"/>
      <c r="AF618" s="356"/>
    </row>
    <row r="619">
      <c r="A619" s="341"/>
      <c r="B619" s="356"/>
      <c r="C619" s="456"/>
      <c r="D619" s="356"/>
      <c r="E619" s="452"/>
      <c r="F619" s="356"/>
      <c r="G619" s="356"/>
      <c r="H619" s="453"/>
      <c r="I619" s="453"/>
      <c r="J619" s="454"/>
      <c r="L619" s="454"/>
      <c r="M619" s="342"/>
      <c r="O619" s="356"/>
      <c r="P619" s="356"/>
      <c r="Q619" s="356"/>
      <c r="R619" s="356"/>
      <c r="S619" s="356"/>
      <c r="T619" s="356"/>
      <c r="U619" s="356"/>
      <c r="V619" s="356"/>
      <c r="W619" s="356"/>
      <c r="X619" s="356"/>
      <c r="Y619" s="356"/>
      <c r="Z619" s="356"/>
      <c r="AA619" s="356"/>
      <c r="AB619" s="356"/>
      <c r="AC619" s="356"/>
      <c r="AD619" s="356"/>
      <c r="AE619" s="356"/>
      <c r="AF619" s="356"/>
    </row>
    <row r="620">
      <c r="A620" s="341"/>
      <c r="B620" s="356"/>
      <c r="C620" s="456"/>
      <c r="D620" s="356"/>
      <c r="E620" s="452"/>
      <c r="F620" s="356"/>
      <c r="G620" s="356"/>
      <c r="H620" s="453"/>
      <c r="I620" s="453"/>
      <c r="J620" s="454"/>
      <c r="L620" s="454"/>
      <c r="M620" s="342"/>
      <c r="O620" s="356"/>
      <c r="P620" s="356"/>
      <c r="Q620" s="356"/>
      <c r="R620" s="356"/>
      <c r="S620" s="356"/>
      <c r="T620" s="356"/>
      <c r="U620" s="356"/>
      <c r="V620" s="356"/>
      <c r="W620" s="356"/>
      <c r="X620" s="356"/>
      <c r="Y620" s="356"/>
      <c r="Z620" s="356"/>
      <c r="AA620" s="356"/>
      <c r="AB620" s="356"/>
      <c r="AC620" s="356"/>
      <c r="AD620" s="356"/>
      <c r="AE620" s="356"/>
      <c r="AF620" s="356"/>
    </row>
    <row r="621">
      <c r="A621" s="341"/>
      <c r="B621" s="356"/>
      <c r="C621" s="456"/>
      <c r="D621" s="356"/>
      <c r="E621" s="452"/>
      <c r="F621" s="356"/>
      <c r="G621" s="356"/>
      <c r="H621" s="453"/>
      <c r="I621" s="453"/>
      <c r="J621" s="454"/>
      <c r="L621" s="454"/>
      <c r="M621" s="342"/>
      <c r="O621" s="356"/>
      <c r="P621" s="356"/>
      <c r="Q621" s="356"/>
      <c r="R621" s="356"/>
      <c r="S621" s="356"/>
      <c r="T621" s="356"/>
      <c r="U621" s="356"/>
      <c r="V621" s="356"/>
      <c r="W621" s="356"/>
      <c r="X621" s="356"/>
      <c r="Y621" s="356"/>
      <c r="Z621" s="356"/>
      <c r="AA621" s="356"/>
      <c r="AB621" s="356"/>
      <c r="AC621" s="356"/>
      <c r="AD621" s="356"/>
      <c r="AE621" s="356"/>
      <c r="AF621" s="356"/>
    </row>
    <row r="622">
      <c r="A622" s="341"/>
      <c r="B622" s="356"/>
      <c r="C622" s="456"/>
      <c r="D622" s="356"/>
      <c r="E622" s="452"/>
      <c r="F622" s="356"/>
      <c r="G622" s="356"/>
      <c r="H622" s="453"/>
      <c r="I622" s="453"/>
      <c r="J622" s="454"/>
      <c r="L622" s="454"/>
      <c r="M622" s="342"/>
      <c r="O622" s="356"/>
      <c r="P622" s="356"/>
      <c r="Q622" s="356"/>
      <c r="R622" s="356"/>
      <c r="S622" s="356"/>
      <c r="T622" s="356"/>
      <c r="U622" s="356"/>
      <c r="V622" s="356"/>
      <c r="W622" s="356"/>
      <c r="X622" s="356"/>
      <c r="Y622" s="356"/>
      <c r="Z622" s="356"/>
      <c r="AA622" s="356"/>
      <c r="AB622" s="356"/>
      <c r="AC622" s="356"/>
      <c r="AD622" s="356"/>
      <c r="AE622" s="356"/>
      <c r="AF622" s="356"/>
    </row>
    <row r="623">
      <c r="A623" s="341"/>
      <c r="B623" s="356"/>
      <c r="C623" s="456"/>
      <c r="D623" s="356"/>
      <c r="E623" s="452"/>
      <c r="F623" s="356"/>
      <c r="G623" s="356"/>
      <c r="H623" s="453"/>
      <c r="I623" s="453"/>
      <c r="J623" s="454"/>
      <c r="L623" s="454"/>
      <c r="M623" s="342"/>
      <c r="O623" s="356"/>
      <c r="P623" s="356"/>
      <c r="Q623" s="356"/>
      <c r="R623" s="356"/>
      <c r="S623" s="356"/>
      <c r="T623" s="356"/>
      <c r="U623" s="356"/>
      <c r="V623" s="356"/>
      <c r="W623" s="356"/>
      <c r="X623" s="356"/>
      <c r="Y623" s="356"/>
      <c r="Z623" s="356"/>
      <c r="AA623" s="356"/>
      <c r="AB623" s="356"/>
      <c r="AC623" s="356"/>
      <c r="AD623" s="356"/>
      <c r="AE623" s="356"/>
      <c r="AF623" s="356"/>
    </row>
    <row r="624">
      <c r="A624" s="341"/>
      <c r="B624" s="356"/>
      <c r="C624" s="456"/>
      <c r="D624" s="356"/>
      <c r="E624" s="452"/>
      <c r="F624" s="356"/>
      <c r="G624" s="356"/>
      <c r="H624" s="453"/>
      <c r="I624" s="453"/>
      <c r="J624" s="454"/>
      <c r="L624" s="454"/>
      <c r="M624" s="342"/>
      <c r="O624" s="356"/>
      <c r="P624" s="356"/>
      <c r="Q624" s="356"/>
      <c r="R624" s="356"/>
      <c r="S624" s="356"/>
      <c r="T624" s="356"/>
      <c r="U624" s="356"/>
      <c r="V624" s="356"/>
      <c r="W624" s="356"/>
      <c r="X624" s="356"/>
      <c r="Y624" s="356"/>
      <c r="Z624" s="356"/>
      <c r="AA624" s="356"/>
      <c r="AB624" s="356"/>
      <c r="AC624" s="356"/>
      <c r="AD624" s="356"/>
      <c r="AE624" s="356"/>
      <c r="AF624" s="356"/>
    </row>
    <row r="625">
      <c r="A625" s="341"/>
      <c r="B625" s="356"/>
      <c r="C625" s="456"/>
      <c r="D625" s="356"/>
      <c r="E625" s="452"/>
      <c r="F625" s="356"/>
      <c r="G625" s="356"/>
      <c r="H625" s="453"/>
      <c r="I625" s="453"/>
      <c r="J625" s="454"/>
      <c r="L625" s="454"/>
      <c r="M625" s="342"/>
      <c r="O625" s="356"/>
      <c r="P625" s="356"/>
      <c r="Q625" s="356"/>
      <c r="R625" s="356"/>
      <c r="S625" s="356"/>
      <c r="T625" s="356"/>
      <c r="U625" s="356"/>
      <c r="V625" s="356"/>
      <c r="W625" s="356"/>
      <c r="X625" s="356"/>
      <c r="Y625" s="356"/>
      <c r="Z625" s="356"/>
      <c r="AA625" s="356"/>
      <c r="AB625" s="356"/>
      <c r="AC625" s="356"/>
      <c r="AD625" s="356"/>
      <c r="AE625" s="356"/>
      <c r="AF625" s="356"/>
    </row>
    <row r="626">
      <c r="A626" s="341"/>
      <c r="B626" s="356"/>
      <c r="C626" s="456"/>
      <c r="D626" s="356"/>
      <c r="E626" s="452"/>
      <c r="F626" s="356"/>
      <c r="G626" s="356"/>
      <c r="H626" s="453"/>
      <c r="I626" s="453"/>
      <c r="J626" s="454"/>
      <c r="L626" s="454"/>
      <c r="M626" s="342"/>
      <c r="O626" s="356"/>
      <c r="P626" s="356"/>
      <c r="Q626" s="356"/>
      <c r="R626" s="356"/>
      <c r="S626" s="356"/>
      <c r="T626" s="356"/>
      <c r="U626" s="356"/>
      <c r="V626" s="356"/>
      <c r="W626" s="356"/>
      <c r="X626" s="356"/>
      <c r="Y626" s="356"/>
      <c r="Z626" s="356"/>
      <c r="AA626" s="356"/>
      <c r="AB626" s="356"/>
      <c r="AC626" s="356"/>
      <c r="AD626" s="356"/>
      <c r="AE626" s="356"/>
      <c r="AF626" s="356"/>
    </row>
    <row r="627">
      <c r="A627" s="341"/>
      <c r="B627" s="356"/>
      <c r="C627" s="456"/>
      <c r="D627" s="356"/>
      <c r="E627" s="452"/>
      <c r="F627" s="356"/>
      <c r="G627" s="356"/>
      <c r="H627" s="453"/>
      <c r="I627" s="453"/>
      <c r="J627" s="454"/>
      <c r="L627" s="454"/>
      <c r="M627" s="342"/>
      <c r="O627" s="356"/>
      <c r="P627" s="356"/>
      <c r="Q627" s="356"/>
      <c r="R627" s="356"/>
      <c r="S627" s="356"/>
      <c r="T627" s="356"/>
      <c r="U627" s="356"/>
      <c r="V627" s="356"/>
      <c r="W627" s="356"/>
      <c r="X627" s="356"/>
      <c r="Y627" s="356"/>
      <c r="Z627" s="356"/>
      <c r="AA627" s="356"/>
      <c r="AB627" s="356"/>
      <c r="AC627" s="356"/>
      <c r="AD627" s="356"/>
      <c r="AE627" s="356"/>
      <c r="AF627" s="356"/>
    </row>
    <row r="628">
      <c r="A628" s="341"/>
      <c r="B628" s="356"/>
      <c r="C628" s="456"/>
      <c r="D628" s="356"/>
      <c r="E628" s="452"/>
      <c r="F628" s="356"/>
      <c r="G628" s="356"/>
      <c r="H628" s="453"/>
      <c r="I628" s="453"/>
      <c r="J628" s="454"/>
      <c r="L628" s="454"/>
      <c r="M628" s="342"/>
      <c r="O628" s="356"/>
      <c r="P628" s="356"/>
      <c r="Q628" s="356"/>
      <c r="R628" s="356"/>
      <c r="S628" s="356"/>
      <c r="T628" s="356"/>
      <c r="U628" s="356"/>
      <c r="V628" s="356"/>
      <c r="W628" s="356"/>
      <c r="X628" s="356"/>
      <c r="Y628" s="356"/>
      <c r="Z628" s="356"/>
      <c r="AA628" s="356"/>
      <c r="AB628" s="356"/>
      <c r="AC628" s="356"/>
      <c r="AD628" s="356"/>
      <c r="AE628" s="356"/>
      <c r="AF628" s="356"/>
    </row>
    <row r="629">
      <c r="A629" s="341"/>
      <c r="B629" s="356"/>
      <c r="C629" s="456"/>
      <c r="D629" s="356"/>
      <c r="E629" s="452"/>
      <c r="F629" s="356"/>
      <c r="G629" s="356"/>
      <c r="H629" s="453"/>
      <c r="I629" s="453"/>
      <c r="J629" s="454"/>
      <c r="L629" s="454"/>
      <c r="M629" s="342"/>
      <c r="O629" s="356"/>
      <c r="P629" s="356"/>
      <c r="Q629" s="356"/>
      <c r="R629" s="356"/>
      <c r="S629" s="356"/>
      <c r="T629" s="356"/>
      <c r="U629" s="356"/>
      <c r="V629" s="356"/>
      <c r="W629" s="356"/>
      <c r="X629" s="356"/>
      <c r="Y629" s="356"/>
      <c r="Z629" s="356"/>
      <c r="AA629" s="356"/>
      <c r="AB629" s="356"/>
      <c r="AC629" s="356"/>
      <c r="AD629" s="356"/>
      <c r="AE629" s="356"/>
      <c r="AF629" s="356"/>
    </row>
    <row r="630">
      <c r="A630" s="341"/>
      <c r="B630" s="356"/>
      <c r="C630" s="456"/>
      <c r="D630" s="356"/>
      <c r="E630" s="452"/>
      <c r="F630" s="356"/>
      <c r="G630" s="356"/>
      <c r="H630" s="453"/>
      <c r="I630" s="453"/>
      <c r="J630" s="454"/>
      <c r="L630" s="454"/>
      <c r="M630" s="342"/>
      <c r="O630" s="356"/>
      <c r="P630" s="356"/>
      <c r="Q630" s="356"/>
      <c r="R630" s="356"/>
      <c r="S630" s="356"/>
      <c r="T630" s="356"/>
      <c r="U630" s="356"/>
      <c r="V630" s="356"/>
      <c r="W630" s="356"/>
      <c r="X630" s="356"/>
      <c r="Y630" s="356"/>
      <c r="Z630" s="356"/>
      <c r="AA630" s="356"/>
      <c r="AB630" s="356"/>
      <c r="AC630" s="356"/>
      <c r="AD630" s="356"/>
      <c r="AE630" s="356"/>
      <c r="AF630" s="356"/>
    </row>
    <row r="631">
      <c r="A631" s="341"/>
      <c r="B631" s="356"/>
      <c r="C631" s="456"/>
      <c r="D631" s="356"/>
      <c r="E631" s="452"/>
      <c r="F631" s="356"/>
      <c r="G631" s="356"/>
      <c r="H631" s="453"/>
      <c r="I631" s="453"/>
      <c r="J631" s="454"/>
      <c r="L631" s="454"/>
      <c r="M631" s="342"/>
      <c r="O631" s="356"/>
      <c r="P631" s="356"/>
      <c r="Q631" s="356"/>
      <c r="R631" s="356"/>
      <c r="S631" s="356"/>
      <c r="T631" s="356"/>
      <c r="U631" s="356"/>
      <c r="V631" s="356"/>
      <c r="W631" s="356"/>
      <c r="X631" s="356"/>
      <c r="Y631" s="356"/>
      <c r="Z631" s="356"/>
      <c r="AA631" s="356"/>
      <c r="AB631" s="356"/>
      <c r="AC631" s="356"/>
      <c r="AD631" s="356"/>
      <c r="AE631" s="356"/>
      <c r="AF631" s="356"/>
    </row>
    <row r="632">
      <c r="A632" s="341"/>
      <c r="B632" s="356"/>
      <c r="C632" s="456"/>
      <c r="D632" s="356"/>
      <c r="E632" s="452"/>
      <c r="F632" s="356"/>
      <c r="G632" s="356"/>
      <c r="H632" s="453"/>
      <c r="I632" s="453"/>
      <c r="J632" s="454"/>
      <c r="L632" s="454"/>
      <c r="M632" s="342"/>
      <c r="O632" s="356"/>
      <c r="P632" s="356"/>
      <c r="Q632" s="356"/>
      <c r="R632" s="356"/>
      <c r="S632" s="356"/>
      <c r="T632" s="356"/>
      <c r="U632" s="356"/>
      <c r="V632" s="356"/>
      <c r="W632" s="356"/>
      <c r="X632" s="356"/>
      <c r="Y632" s="356"/>
      <c r="Z632" s="356"/>
      <c r="AA632" s="356"/>
      <c r="AB632" s="356"/>
      <c r="AC632" s="356"/>
      <c r="AD632" s="356"/>
      <c r="AE632" s="356"/>
      <c r="AF632" s="356"/>
    </row>
    <row r="633">
      <c r="A633" s="341"/>
      <c r="B633" s="356"/>
      <c r="C633" s="456"/>
      <c r="D633" s="356"/>
      <c r="E633" s="452"/>
      <c r="F633" s="356"/>
      <c r="G633" s="356"/>
      <c r="H633" s="453"/>
      <c r="I633" s="453"/>
      <c r="J633" s="454"/>
      <c r="L633" s="454"/>
      <c r="M633" s="342"/>
      <c r="O633" s="356"/>
      <c r="P633" s="356"/>
      <c r="Q633" s="356"/>
      <c r="R633" s="356"/>
      <c r="S633" s="356"/>
      <c r="T633" s="356"/>
      <c r="U633" s="356"/>
      <c r="V633" s="356"/>
      <c r="W633" s="356"/>
      <c r="X633" s="356"/>
      <c r="Y633" s="356"/>
      <c r="Z633" s="356"/>
      <c r="AA633" s="356"/>
      <c r="AB633" s="356"/>
      <c r="AC633" s="356"/>
      <c r="AD633" s="356"/>
      <c r="AE633" s="356"/>
      <c r="AF633" s="356"/>
    </row>
    <row r="634">
      <c r="A634" s="341"/>
      <c r="B634" s="356"/>
      <c r="C634" s="456"/>
      <c r="D634" s="356"/>
      <c r="E634" s="452"/>
      <c r="F634" s="356"/>
      <c r="G634" s="356"/>
      <c r="H634" s="453"/>
      <c r="I634" s="453"/>
      <c r="J634" s="454"/>
      <c r="L634" s="454"/>
      <c r="M634" s="342"/>
      <c r="O634" s="356"/>
      <c r="P634" s="356"/>
      <c r="Q634" s="356"/>
      <c r="R634" s="356"/>
      <c r="S634" s="356"/>
      <c r="T634" s="356"/>
      <c r="U634" s="356"/>
      <c r="V634" s="356"/>
      <c r="W634" s="356"/>
      <c r="X634" s="356"/>
      <c r="Y634" s="356"/>
      <c r="Z634" s="356"/>
      <c r="AA634" s="356"/>
      <c r="AB634" s="356"/>
      <c r="AC634" s="356"/>
      <c r="AD634" s="356"/>
      <c r="AE634" s="356"/>
      <c r="AF634" s="356"/>
    </row>
    <row r="635">
      <c r="A635" s="341"/>
      <c r="B635" s="356"/>
      <c r="C635" s="456"/>
      <c r="D635" s="356"/>
      <c r="E635" s="452"/>
      <c r="F635" s="356"/>
      <c r="G635" s="356"/>
      <c r="H635" s="453"/>
      <c r="I635" s="453"/>
      <c r="J635" s="454"/>
      <c r="L635" s="454"/>
      <c r="M635" s="342"/>
      <c r="O635" s="356"/>
      <c r="P635" s="356"/>
      <c r="Q635" s="356"/>
      <c r="R635" s="356"/>
      <c r="S635" s="356"/>
      <c r="T635" s="356"/>
      <c r="U635" s="356"/>
      <c r="V635" s="356"/>
      <c r="W635" s="356"/>
      <c r="X635" s="356"/>
      <c r="Y635" s="356"/>
      <c r="Z635" s="356"/>
      <c r="AA635" s="356"/>
      <c r="AB635" s="356"/>
      <c r="AC635" s="356"/>
      <c r="AD635" s="356"/>
      <c r="AE635" s="356"/>
      <c r="AF635" s="356"/>
    </row>
    <row r="636">
      <c r="A636" s="341"/>
      <c r="B636" s="356"/>
      <c r="C636" s="456"/>
      <c r="D636" s="356"/>
      <c r="E636" s="452"/>
      <c r="F636" s="356"/>
      <c r="G636" s="356"/>
      <c r="H636" s="453"/>
      <c r="I636" s="453"/>
      <c r="J636" s="454"/>
      <c r="L636" s="454"/>
      <c r="M636" s="342"/>
      <c r="O636" s="356"/>
      <c r="P636" s="356"/>
      <c r="Q636" s="356"/>
      <c r="R636" s="356"/>
      <c r="S636" s="356"/>
      <c r="T636" s="356"/>
      <c r="U636" s="356"/>
      <c r="V636" s="356"/>
      <c r="W636" s="356"/>
      <c r="X636" s="356"/>
      <c r="Y636" s="356"/>
      <c r="Z636" s="356"/>
      <c r="AA636" s="356"/>
      <c r="AB636" s="356"/>
      <c r="AC636" s="356"/>
      <c r="AD636" s="356"/>
      <c r="AE636" s="356"/>
      <c r="AF636" s="356"/>
    </row>
    <row r="637">
      <c r="A637" s="341"/>
      <c r="B637" s="356"/>
      <c r="C637" s="456"/>
      <c r="D637" s="356"/>
      <c r="E637" s="452"/>
      <c r="F637" s="356"/>
      <c r="G637" s="356"/>
      <c r="H637" s="453"/>
      <c r="I637" s="453"/>
      <c r="J637" s="454"/>
      <c r="L637" s="454"/>
      <c r="M637" s="342"/>
      <c r="O637" s="356"/>
      <c r="P637" s="356"/>
      <c r="Q637" s="356"/>
      <c r="R637" s="356"/>
      <c r="S637" s="356"/>
      <c r="T637" s="356"/>
      <c r="U637" s="356"/>
      <c r="V637" s="356"/>
      <c r="W637" s="356"/>
      <c r="X637" s="356"/>
      <c r="Y637" s="356"/>
      <c r="Z637" s="356"/>
      <c r="AA637" s="356"/>
      <c r="AB637" s="356"/>
      <c r="AC637" s="356"/>
      <c r="AD637" s="356"/>
      <c r="AE637" s="356"/>
      <c r="AF637" s="356"/>
    </row>
    <row r="638">
      <c r="A638" s="341"/>
      <c r="B638" s="356"/>
      <c r="C638" s="456"/>
      <c r="D638" s="356"/>
      <c r="E638" s="452"/>
      <c r="F638" s="356"/>
      <c r="G638" s="356"/>
      <c r="H638" s="453"/>
      <c r="I638" s="453"/>
      <c r="J638" s="454"/>
      <c r="L638" s="454"/>
      <c r="M638" s="342"/>
      <c r="O638" s="356"/>
      <c r="P638" s="356"/>
      <c r="Q638" s="356"/>
      <c r="R638" s="356"/>
      <c r="S638" s="356"/>
      <c r="T638" s="356"/>
      <c r="U638" s="356"/>
      <c r="V638" s="356"/>
      <c r="W638" s="356"/>
      <c r="X638" s="356"/>
      <c r="Y638" s="356"/>
      <c r="Z638" s="356"/>
      <c r="AA638" s="356"/>
      <c r="AB638" s="356"/>
      <c r="AC638" s="356"/>
      <c r="AD638" s="356"/>
      <c r="AE638" s="356"/>
      <c r="AF638" s="356"/>
    </row>
    <row r="639">
      <c r="A639" s="341"/>
      <c r="B639" s="356"/>
      <c r="C639" s="456"/>
      <c r="D639" s="356"/>
      <c r="E639" s="452"/>
      <c r="F639" s="356"/>
      <c r="G639" s="356"/>
      <c r="H639" s="453"/>
      <c r="I639" s="453"/>
      <c r="J639" s="454"/>
      <c r="L639" s="454"/>
      <c r="M639" s="342"/>
      <c r="O639" s="356"/>
      <c r="P639" s="356"/>
      <c r="Q639" s="356"/>
      <c r="R639" s="356"/>
      <c r="S639" s="356"/>
      <c r="T639" s="356"/>
      <c r="U639" s="356"/>
      <c r="V639" s="356"/>
      <c r="W639" s="356"/>
      <c r="X639" s="356"/>
      <c r="Y639" s="356"/>
      <c r="Z639" s="356"/>
      <c r="AA639" s="356"/>
      <c r="AB639" s="356"/>
      <c r="AC639" s="356"/>
      <c r="AD639" s="356"/>
      <c r="AE639" s="356"/>
      <c r="AF639" s="356"/>
    </row>
    <row r="640">
      <c r="A640" s="341"/>
      <c r="B640" s="356"/>
      <c r="C640" s="456"/>
      <c r="D640" s="356"/>
      <c r="E640" s="452"/>
      <c r="F640" s="356"/>
      <c r="G640" s="356"/>
      <c r="H640" s="453"/>
      <c r="I640" s="453"/>
      <c r="J640" s="454"/>
      <c r="L640" s="454"/>
      <c r="M640" s="342"/>
      <c r="O640" s="356"/>
      <c r="P640" s="356"/>
      <c r="Q640" s="356"/>
      <c r="R640" s="356"/>
      <c r="S640" s="356"/>
      <c r="T640" s="356"/>
      <c r="U640" s="356"/>
      <c r="V640" s="356"/>
      <c r="W640" s="356"/>
      <c r="X640" s="356"/>
      <c r="Y640" s="356"/>
      <c r="Z640" s="356"/>
      <c r="AA640" s="356"/>
      <c r="AB640" s="356"/>
      <c r="AC640" s="356"/>
      <c r="AD640" s="356"/>
      <c r="AE640" s="356"/>
      <c r="AF640" s="356"/>
    </row>
    <row r="641">
      <c r="A641" s="341"/>
      <c r="B641" s="356"/>
      <c r="C641" s="456"/>
      <c r="D641" s="356"/>
      <c r="E641" s="452"/>
      <c r="F641" s="356"/>
      <c r="G641" s="356"/>
      <c r="H641" s="453"/>
      <c r="I641" s="453"/>
      <c r="J641" s="454"/>
      <c r="L641" s="454"/>
      <c r="M641" s="342"/>
      <c r="O641" s="356"/>
      <c r="P641" s="356"/>
      <c r="Q641" s="356"/>
      <c r="R641" s="356"/>
      <c r="S641" s="356"/>
      <c r="T641" s="356"/>
      <c r="U641" s="356"/>
      <c r="V641" s="356"/>
      <c r="W641" s="356"/>
      <c r="X641" s="356"/>
      <c r="Y641" s="356"/>
      <c r="Z641" s="356"/>
      <c r="AA641" s="356"/>
      <c r="AB641" s="356"/>
      <c r="AC641" s="356"/>
      <c r="AD641" s="356"/>
      <c r="AE641" s="356"/>
      <c r="AF641" s="356"/>
    </row>
    <row r="642">
      <c r="A642" s="341"/>
      <c r="B642" s="356"/>
      <c r="C642" s="456"/>
      <c r="D642" s="356"/>
      <c r="E642" s="452"/>
      <c r="F642" s="356"/>
      <c r="G642" s="356"/>
      <c r="H642" s="453"/>
      <c r="I642" s="453"/>
      <c r="J642" s="454"/>
      <c r="L642" s="454"/>
      <c r="M642" s="342"/>
      <c r="O642" s="356"/>
      <c r="P642" s="356"/>
      <c r="Q642" s="356"/>
      <c r="R642" s="356"/>
      <c r="S642" s="356"/>
      <c r="T642" s="356"/>
      <c r="U642" s="356"/>
      <c r="V642" s="356"/>
      <c r="W642" s="356"/>
      <c r="X642" s="356"/>
      <c r="Y642" s="356"/>
      <c r="Z642" s="356"/>
      <c r="AA642" s="356"/>
      <c r="AB642" s="356"/>
      <c r="AC642" s="356"/>
      <c r="AD642" s="356"/>
      <c r="AE642" s="356"/>
      <c r="AF642" s="356"/>
    </row>
    <row r="643">
      <c r="A643" s="341"/>
      <c r="B643" s="356"/>
      <c r="C643" s="456"/>
      <c r="D643" s="356"/>
      <c r="E643" s="452"/>
      <c r="F643" s="356"/>
      <c r="G643" s="356"/>
      <c r="H643" s="453"/>
      <c r="I643" s="453"/>
      <c r="J643" s="454"/>
      <c r="L643" s="454"/>
      <c r="M643" s="342"/>
      <c r="O643" s="356"/>
      <c r="P643" s="356"/>
      <c r="Q643" s="356"/>
      <c r="R643" s="356"/>
      <c r="S643" s="356"/>
      <c r="T643" s="356"/>
      <c r="U643" s="356"/>
      <c r="V643" s="356"/>
      <c r="W643" s="356"/>
      <c r="X643" s="356"/>
      <c r="Y643" s="356"/>
      <c r="Z643" s="356"/>
      <c r="AA643" s="356"/>
      <c r="AB643" s="356"/>
      <c r="AC643" s="356"/>
      <c r="AD643" s="356"/>
      <c r="AE643" s="356"/>
      <c r="AF643" s="356"/>
    </row>
    <row r="644">
      <c r="A644" s="341"/>
      <c r="B644" s="356"/>
      <c r="C644" s="456"/>
      <c r="D644" s="356"/>
      <c r="E644" s="452"/>
      <c r="F644" s="356"/>
      <c r="G644" s="356"/>
      <c r="H644" s="453"/>
      <c r="I644" s="453"/>
      <c r="J644" s="454"/>
      <c r="L644" s="454"/>
      <c r="M644" s="342"/>
      <c r="O644" s="356"/>
      <c r="P644" s="356"/>
      <c r="Q644" s="356"/>
      <c r="R644" s="356"/>
      <c r="S644" s="356"/>
      <c r="T644" s="356"/>
      <c r="U644" s="356"/>
      <c r="V644" s="356"/>
      <c r="W644" s="356"/>
      <c r="X644" s="356"/>
      <c r="Y644" s="356"/>
      <c r="Z644" s="356"/>
      <c r="AA644" s="356"/>
      <c r="AB644" s="356"/>
      <c r="AC644" s="356"/>
      <c r="AD644" s="356"/>
      <c r="AE644" s="356"/>
      <c r="AF644" s="356"/>
    </row>
    <row r="645">
      <c r="A645" s="341"/>
      <c r="B645" s="356"/>
      <c r="C645" s="456"/>
      <c r="D645" s="356"/>
      <c r="E645" s="452"/>
      <c r="F645" s="356"/>
      <c r="G645" s="356"/>
      <c r="H645" s="453"/>
      <c r="I645" s="453"/>
      <c r="J645" s="454"/>
      <c r="L645" s="454"/>
      <c r="M645" s="342"/>
      <c r="O645" s="356"/>
      <c r="P645" s="356"/>
      <c r="Q645" s="356"/>
      <c r="R645" s="356"/>
      <c r="S645" s="356"/>
      <c r="T645" s="356"/>
      <c r="U645" s="356"/>
      <c r="V645" s="356"/>
      <c r="W645" s="356"/>
      <c r="X645" s="356"/>
      <c r="Y645" s="356"/>
      <c r="Z645" s="356"/>
      <c r="AA645" s="356"/>
      <c r="AB645" s="356"/>
      <c r="AC645" s="356"/>
      <c r="AD645" s="356"/>
      <c r="AE645" s="356"/>
      <c r="AF645" s="356"/>
    </row>
    <row r="646">
      <c r="A646" s="341"/>
      <c r="B646" s="356"/>
      <c r="C646" s="456"/>
      <c r="D646" s="356"/>
      <c r="E646" s="452"/>
      <c r="F646" s="356"/>
      <c r="G646" s="356"/>
      <c r="H646" s="453"/>
      <c r="I646" s="453"/>
      <c r="J646" s="454"/>
      <c r="L646" s="454"/>
      <c r="M646" s="342"/>
      <c r="O646" s="356"/>
      <c r="P646" s="356"/>
      <c r="Q646" s="356"/>
      <c r="R646" s="356"/>
      <c r="S646" s="356"/>
      <c r="T646" s="356"/>
      <c r="U646" s="356"/>
      <c r="V646" s="356"/>
      <c r="W646" s="356"/>
      <c r="X646" s="356"/>
      <c r="Y646" s="356"/>
      <c r="Z646" s="356"/>
      <c r="AA646" s="356"/>
      <c r="AB646" s="356"/>
      <c r="AC646" s="356"/>
      <c r="AD646" s="356"/>
      <c r="AE646" s="356"/>
      <c r="AF646" s="356"/>
    </row>
    <row r="647">
      <c r="A647" s="341"/>
      <c r="B647" s="356"/>
      <c r="C647" s="456"/>
      <c r="D647" s="356"/>
      <c r="E647" s="452"/>
      <c r="F647" s="356"/>
      <c r="G647" s="356"/>
      <c r="H647" s="453"/>
      <c r="I647" s="453"/>
      <c r="J647" s="454"/>
      <c r="L647" s="454"/>
      <c r="M647" s="342"/>
      <c r="O647" s="356"/>
      <c r="P647" s="356"/>
      <c r="Q647" s="356"/>
      <c r="R647" s="356"/>
      <c r="S647" s="356"/>
      <c r="T647" s="356"/>
      <c r="U647" s="356"/>
      <c r="V647" s="356"/>
      <c r="W647" s="356"/>
      <c r="X647" s="356"/>
      <c r="Y647" s="356"/>
      <c r="Z647" s="356"/>
      <c r="AA647" s="356"/>
      <c r="AB647" s="356"/>
      <c r="AC647" s="356"/>
      <c r="AD647" s="356"/>
      <c r="AE647" s="356"/>
      <c r="AF647" s="356"/>
    </row>
    <row r="648">
      <c r="A648" s="341"/>
      <c r="B648" s="356"/>
      <c r="C648" s="456"/>
      <c r="D648" s="356"/>
      <c r="E648" s="452"/>
      <c r="F648" s="356"/>
      <c r="G648" s="356"/>
      <c r="H648" s="453"/>
      <c r="I648" s="453"/>
      <c r="J648" s="454"/>
      <c r="L648" s="454"/>
      <c r="M648" s="342"/>
      <c r="O648" s="356"/>
      <c r="P648" s="356"/>
      <c r="Q648" s="356"/>
      <c r="R648" s="356"/>
      <c r="S648" s="356"/>
      <c r="T648" s="356"/>
      <c r="U648" s="356"/>
      <c r="V648" s="356"/>
      <c r="W648" s="356"/>
      <c r="X648" s="356"/>
      <c r="Y648" s="356"/>
      <c r="Z648" s="356"/>
      <c r="AA648" s="356"/>
      <c r="AB648" s="356"/>
      <c r="AC648" s="356"/>
      <c r="AD648" s="356"/>
      <c r="AE648" s="356"/>
      <c r="AF648" s="356"/>
    </row>
    <row r="649">
      <c r="A649" s="341"/>
      <c r="B649" s="356"/>
      <c r="C649" s="456"/>
      <c r="D649" s="356"/>
      <c r="E649" s="452"/>
      <c r="F649" s="356"/>
      <c r="G649" s="356"/>
      <c r="H649" s="453"/>
      <c r="I649" s="453"/>
      <c r="J649" s="454"/>
      <c r="L649" s="454"/>
      <c r="M649" s="342"/>
      <c r="O649" s="356"/>
      <c r="P649" s="356"/>
      <c r="Q649" s="356"/>
      <c r="R649" s="356"/>
      <c r="S649" s="356"/>
      <c r="T649" s="356"/>
      <c r="U649" s="356"/>
      <c r="V649" s="356"/>
      <c r="W649" s="356"/>
      <c r="X649" s="356"/>
      <c r="Y649" s="356"/>
      <c r="Z649" s="356"/>
      <c r="AA649" s="356"/>
      <c r="AB649" s="356"/>
      <c r="AC649" s="356"/>
      <c r="AD649" s="356"/>
      <c r="AE649" s="356"/>
      <c r="AF649" s="356"/>
    </row>
    <row r="650">
      <c r="A650" s="341"/>
      <c r="B650" s="356"/>
      <c r="C650" s="456"/>
      <c r="D650" s="356"/>
      <c r="E650" s="452"/>
      <c r="F650" s="356"/>
      <c r="G650" s="356"/>
      <c r="H650" s="453"/>
      <c r="I650" s="453"/>
      <c r="J650" s="454"/>
      <c r="L650" s="454"/>
      <c r="M650" s="342"/>
      <c r="O650" s="356"/>
      <c r="P650" s="356"/>
      <c r="Q650" s="356"/>
      <c r="R650" s="356"/>
      <c r="S650" s="356"/>
      <c r="T650" s="356"/>
      <c r="U650" s="356"/>
      <c r="V650" s="356"/>
      <c r="W650" s="356"/>
      <c r="X650" s="356"/>
      <c r="Y650" s="356"/>
      <c r="Z650" s="356"/>
      <c r="AA650" s="356"/>
      <c r="AB650" s="356"/>
      <c r="AC650" s="356"/>
      <c r="AD650" s="356"/>
      <c r="AE650" s="356"/>
      <c r="AF650" s="356"/>
    </row>
    <row r="651">
      <c r="A651" s="341"/>
      <c r="B651" s="356"/>
      <c r="C651" s="456"/>
      <c r="D651" s="356"/>
      <c r="E651" s="452"/>
      <c r="F651" s="356"/>
      <c r="G651" s="356"/>
      <c r="H651" s="453"/>
      <c r="I651" s="453"/>
      <c r="J651" s="454"/>
      <c r="L651" s="454"/>
      <c r="M651" s="342"/>
      <c r="O651" s="356"/>
      <c r="P651" s="356"/>
      <c r="Q651" s="356"/>
      <c r="R651" s="356"/>
      <c r="S651" s="356"/>
      <c r="T651" s="356"/>
      <c r="U651" s="356"/>
      <c r="V651" s="356"/>
      <c r="W651" s="356"/>
      <c r="X651" s="356"/>
      <c r="Y651" s="356"/>
      <c r="Z651" s="356"/>
      <c r="AA651" s="356"/>
      <c r="AB651" s="356"/>
      <c r="AC651" s="356"/>
      <c r="AD651" s="356"/>
      <c r="AE651" s="356"/>
      <c r="AF651" s="356"/>
    </row>
    <row r="652">
      <c r="A652" s="341"/>
      <c r="B652" s="356"/>
      <c r="C652" s="456"/>
      <c r="D652" s="356"/>
      <c r="E652" s="452"/>
      <c r="F652" s="356"/>
      <c r="G652" s="356"/>
      <c r="H652" s="453"/>
      <c r="I652" s="453"/>
      <c r="J652" s="454"/>
      <c r="L652" s="454"/>
      <c r="M652" s="342"/>
      <c r="O652" s="356"/>
      <c r="P652" s="356"/>
      <c r="Q652" s="356"/>
      <c r="R652" s="356"/>
      <c r="S652" s="356"/>
      <c r="T652" s="356"/>
      <c r="U652" s="356"/>
      <c r="V652" s="356"/>
      <c r="W652" s="356"/>
      <c r="X652" s="356"/>
      <c r="Y652" s="356"/>
      <c r="Z652" s="356"/>
      <c r="AA652" s="356"/>
      <c r="AB652" s="356"/>
      <c r="AC652" s="356"/>
      <c r="AD652" s="356"/>
      <c r="AE652" s="356"/>
      <c r="AF652" s="356"/>
    </row>
    <row r="653">
      <c r="A653" s="341"/>
      <c r="B653" s="356"/>
      <c r="C653" s="456"/>
      <c r="D653" s="356"/>
      <c r="E653" s="452"/>
      <c r="F653" s="356"/>
      <c r="G653" s="356"/>
      <c r="H653" s="453"/>
      <c r="I653" s="453"/>
      <c r="J653" s="454"/>
      <c r="L653" s="454"/>
      <c r="M653" s="342"/>
      <c r="O653" s="356"/>
      <c r="P653" s="356"/>
      <c r="Q653" s="356"/>
      <c r="R653" s="356"/>
      <c r="S653" s="356"/>
      <c r="T653" s="356"/>
      <c r="U653" s="356"/>
      <c r="V653" s="356"/>
      <c r="W653" s="356"/>
      <c r="X653" s="356"/>
      <c r="Y653" s="356"/>
      <c r="Z653" s="356"/>
      <c r="AA653" s="356"/>
      <c r="AB653" s="356"/>
      <c r="AC653" s="356"/>
      <c r="AD653" s="356"/>
      <c r="AE653" s="356"/>
      <c r="AF653" s="356"/>
    </row>
    <row r="654">
      <c r="A654" s="341"/>
      <c r="B654" s="356"/>
      <c r="C654" s="456"/>
      <c r="D654" s="356"/>
      <c r="E654" s="452"/>
      <c r="F654" s="356"/>
      <c r="G654" s="356"/>
      <c r="H654" s="453"/>
      <c r="I654" s="453"/>
      <c r="J654" s="454"/>
      <c r="L654" s="454"/>
      <c r="M654" s="342"/>
      <c r="O654" s="356"/>
      <c r="P654" s="356"/>
      <c r="Q654" s="356"/>
      <c r="R654" s="356"/>
      <c r="S654" s="356"/>
      <c r="T654" s="356"/>
      <c r="U654" s="356"/>
      <c r="V654" s="356"/>
      <c r="W654" s="356"/>
      <c r="X654" s="356"/>
      <c r="Y654" s="356"/>
      <c r="Z654" s="356"/>
      <c r="AA654" s="356"/>
      <c r="AB654" s="356"/>
      <c r="AC654" s="356"/>
      <c r="AD654" s="356"/>
      <c r="AE654" s="356"/>
      <c r="AF654" s="356"/>
    </row>
    <row r="655">
      <c r="A655" s="341"/>
      <c r="B655" s="356"/>
      <c r="C655" s="456"/>
      <c r="D655" s="356"/>
      <c r="E655" s="452"/>
      <c r="F655" s="356"/>
      <c r="G655" s="356"/>
      <c r="H655" s="453"/>
      <c r="I655" s="453"/>
      <c r="J655" s="454"/>
      <c r="L655" s="454"/>
      <c r="M655" s="342"/>
      <c r="O655" s="356"/>
      <c r="P655" s="356"/>
      <c r="Q655" s="356"/>
      <c r="R655" s="356"/>
      <c r="S655" s="356"/>
      <c r="T655" s="356"/>
      <c r="U655" s="356"/>
      <c r="V655" s="356"/>
      <c r="W655" s="356"/>
      <c r="X655" s="356"/>
      <c r="Y655" s="356"/>
      <c r="Z655" s="356"/>
      <c r="AA655" s="356"/>
      <c r="AB655" s="356"/>
      <c r="AC655" s="356"/>
      <c r="AD655" s="356"/>
      <c r="AE655" s="356"/>
      <c r="AF655" s="356"/>
    </row>
    <row r="656">
      <c r="A656" s="341"/>
      <c r="B656" s="356"/>
      <c r="C656" s="456"/>
      <c r="D656" s="356"/>
      <c r="E656" s="452"/>
      <c r="F656" s="356"/>
      <c r="G656" s="356"/>
      <c r="H656" s="453"/>
      <c r="I656" s="453"/>
      <c r="J656" s="454"/>
      <c r="L656" s="454"/>
      <c r="M656" s="342"/>
      <c r="O656" s="356"/>
      <c r="P656" s="356"/>
      <c r="Q656" s="356"/>
      <c r="R656" s="356"/>
      <c r="S656" s="356"/>
      <c r="T656" s="356"/>
      <c r="U656" s="356"/>
      <c r="V656" s="356"/>
      <c r="W656" s="356"/>
      <c r="X656" s="356"/>
      <c r="Y656" s="356"/>
      <c r="Z656" s="356"/>
      <c r="AA656" s="356"/>
      <c r="AB656" s="356"/>
      <c r="AC656" s="356"/>
      <c r="AD656" s="356"/>
      <c r="AE656" s="356"/>
      <c r="AF656" s="356"/>
    </row>
    <row r="657">
      <c r="A657" s="341"/>
      <c r="B657" s="356"/>
      <c r="C657" s="456"/>
      <c r="D657" s="356"/>
      <c r="E657" s="452"/>
      <c r="F657" s="356"/>
      <c r="G657" s="356"/>
      <c r="H657" s="453"/>
      <c r="I657" s="453"/>
      <c r="J657" s="454"/>
      <c r="L657" s="454"/>
      <c r="M657" s="342"/>
      <c r="O657" s="356"/>
      <c r="P657" s="356"/>
      <c r="Q657" s="356"/>
      <c r="R657" s="356"/>
      <c r="S657" s="356"/>
      <c r="T657" s="356"/>
      <c r="U657" s="356"/>
      <c r="V657" s="356"/>
      <c r="W657" s="356"/>
      <c r="X657" s="356"/>
      <c r="Y657" s="356"/>
      <c r="Z657" s="356"/>
      <c r="AA657" s="356"/>
      <c r="AB657" s="356"/>
      <c r="AC657" s="356"/>
      <c r="AD657" s="356"/>
      <c r="AE657" s="356"/>
      <c r="AF657" s="356"/>
    </row>
    <row r="658">
      <c r="A658" s="341"/>
      <c r="B658" s="356"/>
      <c r="C658" s="456"/>
      <c r="D658" s="356"/>
      <c r="E658" s="452"/>
      <c r="F658" s="356"/>
      <c r="G658" s="356"/>
      <c r="H658" s="453"/>
      <c r="I658" s="453"/>
      <c r="J658" s="454"/>
      <c r="L658" s="454"/>
      <c r="M658" s="342"/>
      <c r="O658" s="356"/>
      <c r="P658" s="356"/>
      <c r="Q658" s="356"/>
      <c r="R658" s="356"/>
      <c r="S658" s="356"/>
      <c r="T658" s="356"/>
      <c r="U658" s="356"/>
      <c r="V658" s="356"/>
      <c r="W658" s="356"/>
      <c r="X658" s="356"/>
      <c r="Y658" s="356"/>
      <c r="Z658" s="356"/>
      <c r="AA658" s="356"/>
      <c r="AB658" s="356"/>
      <c r="AC658" s="356"/>
      <c r="AD658" s="356"/>
      <c r="AE658" s="356"/>
      <c r="AF658" s="356"/>
    </row>
    <row r="659">
      <c r="A659" s="341"/>
      <c r="B659" s="356"/>
      <c r="C659" s="456"/>
      <c r="D659" s="356"/>
      <c r="E659" s="452"/>
      <c r="F659" s="356"/>
      <c r="G659" s="356"/>
      <c r="H659" s="453"/>
      <c r="I659" s="453"/>
      <c r="J659" s="454"/>
      <c r="L659" s="454"/>
      <c r="M659" s="342"/>
      <c r="O659" s="356"/>
      <c r="P659" s="356"/>
      <c r="Q659" s="356"/>
      <c r="R659" s="356"/>
      <c r="S659" s="356"/>
      <c r="T659" s="356"/>
      <c r="U659" s="356"/>
      <c r="V659" s="356"/>
      <c r="W659" s="356"/>
      <c r="X659" s="356"/>
      <c r="Y659" s="356"/>
      <c r="Z659" s="356"/>
      <c r="AA659" s="356"/>
      <c r="AB659" s="356"/>
      <c r="AC659" s="356"/>
      <c r="AD659" s="356"/>
      <c r="AE659" s="356"/>
      <c r="AF659" s="356"/>
    </row>
    <row r="660">
      <c r="A660" s="341"/>
      <c r="B660" s="356"/>
      <c r="C660" s="456"/>
      <c r="D660" s="356"/>
      <c r="E660" s="452"/>
      <c r="F660" s="356"/>
      <c r="G660" s="356"/>
      <c r="H660" s="453"/>
      <c r="I660" s="453"/>
      <c r="J660" s="454"/>
      <c r="L660" s="454"/>
      <c r="M660" s="342"/>
      <c r="O660" s="356"/>
      <c r="P660" s="356"/>
      <c r="Q660" s="356"/>
      <c r="R660" s="356"/>
      <c r="S660" s="356"/>
      <c r="T660" s="356"/>
      <c r="U660" s="356"/>
      <c r="V660" s="356"/>
      <c r="W660" s="356"/>
      <c r="X660" s="356"/>
      <c r="Y660" s="356"/>
      <c r="Z660" s="356"/>
      <c r="AA660" s="356"/>
      <c r="AB660" s="356"/>
      <c r="AC660" s="356"/>
      <c r="AD660" s="356"/>
      <c r="AE660" s="356"/>
      <c r="AF660" s="356"/>
    </row>
    <row r="661">
      <c r="A661" s="341"/>
      <c r="B661" s="356"/>
      <c r="C661" s="456"/>
      <c r="D661" s="356"/>
      <c r="E661" s="452"/>
      <c r="F661" s="356"/>
      <c r="G661" s="356"/>
      <c r="H661" s="453"/>
      <c r="I661" s="453"/>
      <c r="J661" s="454"/>
      <c r="L661" s="454"/>
      <c r="M661" s="342"/>
      <c r="O661" s="356"/>
      <c r="P661" s="356"/>
      <c r="Q661" s="356"/>
      <c r="R661" s="356"/>
      <c r="S661" s="356"/>
      <c r="T661" s="356"/>
      <c r="U661" s="356"/>
      <c r="V661" s="356"/>
      <c r="W661" s="356"/>
      <c r="X661" s="356"/>
      <c r="Y661" s="356"/>
      <c r="Z661" s="356"/>
      <c r="AA661" s="356"/>
      <c r="AB661" s="356"/>
      <c r="AC661" s="356"/>
      <c r="AD661" s="356"/>
      <c r="AE661" s="356"/>
      <c r="AF661" s="356"/>
    </row>
    <row r="662">
      <c r="A662" s="341"/>
      <c r="B662" s="356"/>
      <c r="C662" s="456"/>
      <c r="D662" s="356"/>
      <c r="E662" s="452"/>
      <c r="F662" s="356"/>
      <c r="G662" s="356"/>
      <c r="H662" s="453"/>
      <c r="I662" s="453"/>
      <c r="J662" s="454"/>
      <c r="L662" s="454"/>
      <c r="M662" s="342"/>
      <c r="O662" s="356"/>
      <c r="P662" s="356"/>
      <c r="Q662" s="356"/>
      <c r="R662" s="356"/>
      <c r="S662" s="356"/>
      <c r="T662" s="356"/>
      <c r="U662" s="356"/>
      <c r="V662" s="356"/>
      <c r="W662" s="356"/>
      <c r="X662" s="356"/>
      <c r="Y662" s="356"/>
      <c r="Z662" s="356"/>
      <c r="AA662" s="356"/>
      <c r="AB662" s="356"/>
      <c r="AC662" s="356"/>
      <c r="AD662" s="356"/>
      <c r="AE662" s="356"/>
      <c r="AF662" s="356"/>
    </row>
    <row r="663">
      <c r="A663" s="341"/>
      <c r="B663" s="356"/>
      <c r="C663" s="456"/>
      <c r="D663" s="356"/>
      <c r="E663" s="452"/>
      <c r="F663" s="356"/>
      <c r="G663" s="356"/>
      <c r="H663" s="453"/>
      <c r="I663" s="453"/>
      <c r="J663" s="454"/>
      <c r="L663" s="454"/>
      <c r="M663" s="342"/>
      <c r="O663" s="356"/>
      <c r="P663" s="356"/>
      <c r="Q663" s="356"/>
      <c r="R663" s="356"/>
      <c r="S663" s="356"/>
      <c r="T663" s="356"/>
      <c r="U663" s="356"/>
      <c r="V663" s="356"/>
      <c r="W663" s="356"/>
      <c r="X663" s="356"/>
      <c r="Y663" s="356"/>
      <c r="Z663" s="356"/>
      <c r="AA663" s="356"/>
      <c r="AB663" s="356"/>
      <c r="AC663" s="356"/>
      <c r="AD663" s="356"/>
      <c r="AE663" s="356"/>
      <c r="AF663" s="356"/>
    </row>
    <row r="664">
      <c r="A664" s="341"/>
      <c r="B664" s="356"/>
      <c r="C664" s="456"/>
      <c r="D664" s="356"/>
      <c r="E664" s="452"/>
      <c r="F664" s="356"/>
      <c r="G664" s="356"/>
      <c r="H664" s="453"/>
      <c r="I664" s="453"/>
      <c r="J664" s="454"/>
      <c r="L664" s="454"/>
      <c r="M664" s="342"/>
      <c r="O664" s="356"/>
      <c r="P664" s="356"/>
      <c r="Q664" s="356"/>
      <c r="R664" s="356"/>
      <c r="S664" s="356"/>
      <c r="T664" s="356"/>
      <c r="U664" s="356"/>
      <c r="V664" s="356"/>
      <c r="W664" s="356"/>
      <c r="X664" s="356"/>
      <c r="Y664" s="356"/>
      <c r="Z664" s="356"/>
      <c r="AA664" s="356"/>
      <c r="AB664" s="356"/>
      <c r="AC664" s="356"/>
      <c r="AD664" s="356"/>
      <c r="AE664" s="356"/>
      <c r="AF664" s="356"/>
    </row>
    <row r="665">
      <c r="A665" s="341"/>
      <c r="B665" s="356"/>
      <c r="C665" s="456"/>
      <c r="D665" s="356"/>
      <c r="E665" s="452"/>
      <c r="F665" s="356"/>
      <c r="G665" s="356"/>
      <c r="H665" s="453"/>
      <c r="I665" s="453"/>
      <c r="J665" s="454"/>
      <c r="L665" s="454"/>
      <c r="M665" s="342"/>
      <c r="O665" s="356"/>
      <c r="P665" s="356"/>
      <c r="Q665" s="356"/>
      <c r="R665" s="356"/>
      <c r="S665" s="356"/>
      <c r="T665" s="356"/>
      <c r="U665" s="356"/>
      <c r="V665" s="356"/>
      <c r="W665" s="356"/>
      <c r="X665" s="356"/>
      <c r="Y665" s="356"/>
      <c r="Z665" s="356"/>
      <c r="AA665" s="356"/>
      <c r="AB665" s="356"/>
      <c r="AC665" s="356"/>
      <c r="AD665" s="356"/>
      <c r="AE665" s="356"/>
      <c r="AF665" s="356"/>
    </row>
    <row r="666">
      <c r="A666" s="341"/>
      <c r="B666" s="356"/>
      <c r="C666" s="456"/>
      <c r="D666" s="356"/>
      <c r="E666" s="452"/>
      <c r="F666" s="356"/>
      <c r="G666" s="356"/>
      <c r="H666" s="453"/>
      <c r="I666" s="453"/>
      <c r="J666" s="454"/>
      <c r="L666" s="454"/>
      <c r="M666" s="342"/>
      <c r="O666" s="356"/>
      <c r="P666" s="356"/>
      <c r="Q666" s="356"/>
      <c r="R666" s="356"/>
      <c r="S666" s="356"/>
      <c r="T666" s="356"/>
      <c r="U666" s="356"/>
      <c r="V666" s="356"/>
      <c r="W666" s="356"/>
      <c r="X666" s="356"/>
      <c r="Y666" s="356"/>
      <c r="Z666" s="356"/>
      <c r="AA666" s="356"/>
      <c r="AB666" s="356"/>
      <c r="AC666" s="356"/>
      <c r="AD666" s="356"/>
      <c r="AE666" s="356"/>
      <c r="AF666" s="356"/>
    </row>
    <row r="667">
      <c r="A667" s="341"/>
      <c r="B667" s="356"/>
      <c r="C667" s="456"/>
      <c r="D667" s="356"/>
      <c r="E667" s="452"/>
      <c r="F667" s="356"/>
      <c r="G667" s="356"/>
      <c r="H667" s="453"/>
      <c r="I667" s="453"/>
      <c r="J667" s="454"/>
      <c r="L667" s="454"/>
      <c r="M667" s="342"/>
      <c r="O667" s="356"/>
      <c r="P667" s="356"/>
      <c r="Q667" s="356"/>
      <c r="R667" s="356"/>
      <c r="S667" s="356"/>
      <c r="T667" s="356"/>
      <c r="U667" s="356"/>
      <c r="V667" s="356"/>
      <c r="W667" s="356"/>
      <c r="X667" s="356"/>
      <c r="Y667" s="356"/>
      <c r="Z667" s="356"/>
      <c r="AA667" s="356"/>
      <c r="AB667" s="356"/>
      <c r="AC667" s="356"/>
      <c r="AD667" s="356"/>
      <c r="AE667" s="356"/>
      <c r="AF667" s="356"/>
    </row>
    <row r="668">
      <c r="A668" s="341"/>
      <c r="B668" s="356"/>
      <c r="C668" s="456"/>
      <c r="D668" s="356"/>
      <c r="E668" s="452"/>
      <c r="F668" s="356"/>
      <c r="G668" s="356"/>
      <c r="H668" s="453"/>
      <c r="I668" s="453"/>
      <c r="J668" s="454"/>
      <c r="L668" s="454"/>
      <c r="M668" s="342"/>
      <c r="O668" s="356"/>
      <c r="P668" s="356"/>
      <c r="Q668" s="356"/>
      <c r="R668" s="356"/>
      <c r="S668" s="356"/>
      <c r="T668" s="356"/>
      <c r="U668" s="356"/>
      <c r="V668" s="356"/>
      <c r="W668" s="356"/>
      <c r="X668" s="356"/>
      <c r="Y668" s="356"/>
      <c r="Z668" s="356"/>
      <c r="AA668" s="356"/>
      <c r="AB668" s="356"/>
      <c r="AC668" s="356"/>
      <c r="AD668" s="356"/>
      <c r="AE668" s="356"/>
      <c r="AF668" s="356"/>
    </row>
    <row r="669">
      <c r="A669" s="341"/>
      <c r="B669" s="356"/>
      <c r="C669" s="456"/>
      <c r="D669" s="356"/>
      <c r="E669" s="452"/>
      <c r="F669" s="356"/>
      <c r="G669" s="356"/>
      <c r="H669" s="453"/>
      <c r="I669" s="453"/>
      <c r="J669" s="454"/>
      <c r="L669" s="454"/>
      <c r="M669" s="342"/>
      <c r="O669" s="356"/>
      <c r="P669" s="356"/>
      <c r="Q669" s="356"/>
      <c r="R669" s="356"/>
      <c r="S669" s="356"/>
      <c r="T669" s="356"/>
      <c r="U669" s="356"/>
      <c r="V669" s="356"/>
      <c r="W669" s="356"/>
      <c r="X669" s="356"/>
      <c r="Y669" s="356"/>
      <c r="Z669" s="356"/>
      <c r="AA669" s="356"/>
      <c r="AB669" s="356"/>
      <c r="AC669" s="356"/>
      <c r="AD669" s="356"/>
      <c r="AE669" s="356"/>
      <c r="AF669" s="356"/>
    </row>
    <row r="670">
      <c r="A670" s="341"/>
      <c r="B670" s="356"/>
      <c r="C670" s="456"/>
      <c r="D670" s="356"/>
      <c r="E670" s="452"/>
      <c r="F670" s="356"/>
      <c r="G670" s="356"/>
      <c r="H670" s="453"/>
      <c r="I670" s="453"/>
      <c r="J670" s="454"/>
      <c r="L670" s="454"/>
      <c r="M670" s="342"/>
      <c r="O670" s="356"/>
      <c r="P670" s="356"/>
      <c r="Q670" s="356"/>
      <c r="R670" s="356"/>
      <c r="S670" s="356"/>
      <c r="T670" s="356"/>
      <c r="U670" s="356"/>
      <c r="V670" s="356"/>
      <c r="W670" s="356"/>
      <c r="X670" s="356"/>
      <c r="Y670" s="356"/>
      <c r="Z670" s="356"/>
      <c r="AA670" s="356"/>
      <c r="AB670" s="356"/>
      <c r="AC670" s="356"/>
      <c r="AD670" s="356"/>
      <c r="AE670" s="356"/>
      <c r="AF670" s="356"/>
    </row>
    <row r="671">
      <c r="A671" s="341"/>
      <c r="B671" s="356"/>
      <c r="C671" s="456"/>
      <c r="D671" s="356"/>
      <c r="E671" s="452"/>
      <c r="F671" s="356"/>
      <c r="G671" s="356"/>
      <c r="H671" s="453"/>
      <c r="I671" s="453"/>
      <c r="J671" s="454"/>
      <c r="L671" s="454"/>
      <c r="M671" s="342"/>
      <c r="O671" s="356"/>
      <c r="P671" s="356"/>
      <c r="Q671" s="356"/>
      <c r="R671" s="356"/>
      <c r="S671" s="356"/>
      <c r="T671" s="356"/>
      <c r="U671" s="356"/>
      <c r="V671" s="356"/>
      <c r="W671" s="356"/>
      <c r="X671" s="356"/>
      <c r="Y671" s="356"/>
      <c r="Z671" s="356"/>
      <c r="AA671" s="356"/>
      <c r="AB671" s="356"/>
      <c r="AC671" s="356"/>
      <c r="AD671" s="356"/>
      <c r="AE671" s="356"/>
      <c r="AF671" s="356"/>
    </row>
    <row r="672">
      <c r="A672" s="341"/>
      <c r="B672" s="356"/>
      <c r="C672" s="456"/>
      <c r="D672" s="356"/>
      <c r="E672" s="452"/>
      <c r="F672" s="356"/>
      <c r="G672" s="356"/>
      <c r="H672" s="453"/>
      <c r="I672" s="453"/>
      <c r="J672" s="454"/>
      <c r="L672" s="454"/>
      <c r="M672" s="342"/>
      <c r="O672" s="356"/>
      <c r="P672" s="356"/>
      <c r="Q672" s="356"/>
      <c r="R672" s="356"/>
      <c r="S672" s="356"/>
      <c r="T672" s="356"/>
      <c r="U672" s="356"/>
      <c r="V672" s="356"/>
      <c r="W672" s="356"/>
      <c r="X672" s="356"/>
      <c r="Y672" s="356"/>
      <c r="Z672" s="356"/>
      <c r="AA672" s="356"/>
      <c r="AB672" s="356"/>
      <c r="AC672" s="356"/>
      <c r="AD672" s="356"/>
      <c r="AE672" s="356"/>
      <c r="AF672" s="356"/>
    </row>
    <row r="673">
      <c r="A673" s="341"/>
      <c r="B673" s="356"/>
      <c r="C673" s="456"/>
      <c r="D673" s="356"/>
      <c r="E673" s="452"/>
      <c r="F673" s="356"/>
      <c r="G673" s="356"/>
      <c r="H673" s="453"/>
      <c r="I673" s="453"/>
      <c r="J673" s="454"/>
      <c r="L673" s="454"/>
      <c r="M673" s="342"/>
      <c r="O673" s="356"/>
      <c r="P673" s="356"/>
      <c r="Q673" s="356"/>
      <c r="R673" s="356"/>
      <c r="S673" s="356"/>
      <c r="T673" s="356"/>
      <c r="U673" s="356"/>
      <c r="V673" s="356"/>
      <c r="W673" s="356"/>
      <c r="X673" s="356"/>
      <c r="Y673" s="356"/>
      <c r="Z673" s="356"/>
      <c r="AA673" s="356"/>
      <c r="AB673" s="356"/>
      <c r="AC673" s="356"/>
      <c r="AD673" s="356"/>
      <c r="AE673" s="356"/>
      <c r="AF673" s="356"/>
    </row>
    <row r="674">
      <c r="A674" s="341"/>
      <c r="B674" s="356"/>
      <c r="C674" s="456"/>
      <c r="D674" s="356"/>
      <c r="E674" s="452"/>
      <c r="F674" s="356"/>
      <c r="G674" s="356"/>
      <c r="H674" s="453"/>
      <c r="I674" s="453"/>
      <c r="J674" s="454"/>
      <c r="L674" s="454"/>
      <c r="M674" s="342"/>
      <c r="O674" s="356"/>
      <c r="P674" s="356"/>
      <c r="Q674" s="356"/>
      <c r="R674" s="356"/>
      <c r="S674" s="356"/>
      <c r="T674" s="356"/>
      <c r="U674" s="356"/>
      <c r="V674" s="356"/>
      <c r="W674" s="356"/>
      <c r="X674" s="356"/>
      <c r="Y674" s="356"/>
      <c r="Z674" s="356"/>
      <c r="AA674" s="356"/>
      <c r="AB674" s="356"/>
      <c r="AC674" s="356"/>
      <c r="AD674" s="356"/>
      <c r="AE674" s="356"/>
      <c r="AF674" s="356"/>
    </row>
    <row r="675">
      <c r="A675" s="341"/>
      <c r="B675" s="356"/>
      <c r="C675" s="456"/>
      <c r="D675" s="356"/>
      <c r="E675" s="452"/>
      <c r="F675" s="356"/>
      <c r="G675" s="356"/>
      <c r="H675" s="453"/>
      <c r="I675" s="453"/>
      <c r="J675" s="454"/>
      <c r="L675" s="454"/>
      <c r="M675" s="342"/>
      <c r="O675" s="356"/>
      <c r="P675" s="356"/>
      <c r="Q675" s="356"/>
      <c r="R675" s="356"/>
      <c r="S675" s="356"/>
      <c r="T675" s="356"/>
      <c r="U675" s="356"/>
      <c r="V675" s="356"/>
      <c r="W675" s="356"/>
      <c r="X675" s="356"/>
      <c r="Y675" s="356"/>
      <c r="Z675" s="356"/>
      <c r="AA675" s="356"/>
      <c r="AB675" s="356"/>
      <c r="AC675" s="356"/>
      <c r="AD675" s="356"/>
      <c r="AE675" s="356"/>
      <c r="AF675" s="356"/>
    </row>
    <row r="676">
      <c r="A676" s="341"/>
      <c r="B676" s="356"/>
      <c r="C676" s="456"/>
      <c r="D676" s="356"/>
      <c r="E676" s="452"/>
      <c r="F676" s="356"/>
      <c r="G676" s="356"/>
      <c r="H676" s="453"/>
      <c r="I676" s="453"/>
      <c r="J676" s="454"/>
      <c r="L676" s="454"/>
      <c r="M676" s="342"/>
      <c r="O676" s="356"/>
      <c r="P676" s="356"/>
      <c r="Q676" s="356"/>
      <c r="R676" s="356"/>
      <c r="S676" s="356"/>
      <c r="T676" s="356"/>
      <c r="U676" s="356"/>
      <c r="V676" s="356"/>
      <c r="W676" s="356"/>
      <c r="X676" s="356"/>
      <c r="Y676" s="356"/>
      <c r="Z676" s="356"/>
      <c r="AA676" s="356"/>
      <c r="AB676" s="356"/>
      <c r="AC676" s="356"/>
      <c r="AD676" s="356"/>
      <c r="AE676" s="356"/>
      <c r="AF676" s="356"/>
    </row>
    <row r="677">
      <c r="A677" s="341"/>
      <c r="B677" s="356"/>
      <c r="C677" s="456"/>
      <c r="D677" s="356"/>
      <c r="E677" s="452"/>
      <c r="F677" s="356"/>
      <c r="G677" s="356"/>
      <c r="H677" s="453"/>
      <c r="I677" s="453"/>
      <c r="J677" s="454"/>
      <c r="L677" s="454"/>
      <c r="M677" s="342"/>
      <c r="O677" s="356"/>
      <c r="P677" s="356"/>
      <c r="Q677" s="356"/>
      <c r="R677" s="356"/>
      <c r="S677" s="356"/>
      <c r="T677" s="356"/>
      <c r="U677" s="356"/>
      <c r="V677" s="356"/>
      <c r="W677" s="356"/>
      <c r="X677" s="356"/>
      <c r="Y677" s="356"/>
      <c r="Z677" s="356"/>
      <c r="AA677" s="356"/>
      <c r="AB677" s="356"/>
      <c r="AC677" s="356"/>
      <c r="AD677" s="356"/>
      <c r="AE677" s="356"/>
      <c r="AF677" s="356"/>
    </row>
    <row r="678">
      <c r="A678" s="341"/>
      <c r="B678" s="356"/>
      <c r="C678" s="456"/>
      <c r="D678" s="356"/>
      <c r="E678" s="452"/>
      <c r="F678" s="356"/>
      <c r="G678" s="356"/>
      <c r="H678" s="453"/>
      <c r="I678" s="453"/>
      <c r="J678" s="454"/>
      <c r="L678" s="454"/>
      <c r="M678" s="342"/>
      <c r="O678" s="356"/>
      <c r="P678" s="356"/>
      <c r="Q678" s="356"/>
      <c r="R678" s="356"/>
      <c r="S678" s="356"/>
      <c r="T678" s="356"/>
      <c r="U678" s="356"/>
      <c r="V678" s="356"/>
      <c r="W678" s="356"/>
      <c r="X678" s="356"/>
      <c r="Y678" s="356"/>
      <c r="Z678" s="356"/>
      <c r="AA678" s="356"/>
      <c r="AB678" s="356"/>
      <c r="AC678" s="356"/>
      <c r="AD678" s="356"/>
      <c r="AE678" s="356"/>
      <c r="AF678" s="356"/>
    </row>
    <row r="679">
      <c r="A679" s="341"/>
      <c r="B679" s="356"/>
      <c r="C679" s="456"/>
      <c r="D679" s="356"/>
      <c r="E679" s="452"/>
      <c r="F679" s="356"/>
      <c r="G679" s="356"/>
      <c r="H679" s="453"/>
      <c r="I679" s="453"/>
      <c r="J679" s="454"/>
      <c r="L679" s="454"/>
      <c r="M679" s="342"/>
      <c r="O679" s="356"/>
      <c r="P679" s="356"/>
      <c r="Q679" s="356"/>
      <c r="R679" s="356"/>
      <c r="S679" s="356"/>
      <c r="T679" s="356"/>
      <c r="U679" s="356"/>
      <c r="V679" s="356"/>
      <c r="W679" s="356"/>
      <c r="X679" s="356"/>
      <c r="Y679" s="356"/>
      <c r="Z679" s="356"/>
      <c r="AA679" s="356"/>
      <c r="AB679" s="356"/>
      <c r="AC679" s="356"/>
      <c r="AD679" s="356"/>
      <c r="AE679" s="356"/>
      <c r="AF679" s="356"/>
    </row>
    <row r="680">
      <c r="A680" s="341"/>
      <c r="B680" s="356"/>
      <c r="C680" s="456"/>
      <c r="D680" s="356"/>
      <c r="E680" s="452"/>
      <c r="F680" s="356"/>
      <c r="G680" s="356"/>
      <c r="H680" s="453"/>
      <c r="I680" s="453"/>
      <c r="J680" s="454"/>
      <c r="L680" s="454"/>
      <c r="M680" s="342"/>
      <c r="O680" s="356"/>
      <c r="P680" s="356"/>
      <c r="Q680" s="356"/>
      <c r="R680" s="356"/>
      <c r="S680" s="356"/>
      <c r="T680" s="356"/>
      <c r="U680" s="356"/>
      <c r="V680" s="356"/>
      <c r="W680" s="356"/>
      <c r="X680" s="356"/>
      <c r="Y680" s="356"/>
      <c r="Z680" s="356"/>
      <c r="AA680" s="356"/>
      <c r="AB680" s="356"/>
      <c r="AC680" s="356"/>
      <c r="AD680" s="356"/>
      <c r="AE680" s="356"/>
      <c r="AF680" s="356"/>
    </row>
    <row r="681">
      <c r="A681" s="341"/>
      <c r="B681" s="356"/>
      <c r="C681" s="456"/>
      <c r="D681" s="356"/>
      <c r="E681" s="452"/>
      <c r="F681" s="356"/>
      <c r="G681" s="356"/>
      <c r="H681" s="453"/>
      <c r="I681" s="453"/>
      <c r="J681" s="454"/>
      <c r="L681" s="454"/>
      <c r="M681" s="342"/>
      <c r="O681" s="356"/>
      <c r="P681" s="356"/>
      <c r="Q681" s="356"/>
      <c r="R681" s="356"/>
      <c r="S681" s="356"/>
      <c r="T681" s="356"/>
      <c r="U681" s="356"/>
      <c r="V681" s="356"/>
      <c r="W681" s="356"/>
      <c r="X681" s="356"/>
      <c r="Y681" s="356"/>
      <c r="Z681" s="356"/>
      <c r="AA681" s="356"/>
      <c r="AB681" s="356"/>
      <c r="AC681" s="356"/>
      <c r="AD681" s="356"/>
      <c r="AE681" s="356"/>
      <c r="AF681" s="356"/>
    </row>
    <row r="682">
      <c r="A682" s="341"/>
      <c r="B682" s="356"/>
      <c r="C682" s="456"/>
      <c r="D682" s="356"/>
      <c r="E682" s="452"/>
      <c r="F682" s="356"/>
      <c r="G682" s="356"/>
      <c r="H682" s="453"/>
      <c r="I682" s="453"/>
      <c r="J682" s="454"/>
      <c r="L682" s="454"/>
      <c r="M682" s="342"/>
      <c r="O682" s="356"/>
      <c r="P682" s="356"/>
      <c r="Q682" s="356"/>
      <c r="R682" s="356"/>
      <c r="S682" s="356"/>
      <c r="T682" s="356"/>
      <c r="U682" s="356"/>
      <c r="V682" s="356"/>
      <c r="W682" s="356"/>
      <c r="X682" s="356"/>
      <c r="Y682" s="356"/>
      <c r="Z682" s="356"/>
      <c r="AA682" s="356"/>
      <c r="AB682" s="356"/>
      <c r="AC682" s="356"/>
      <c r="AD682" s="356"/>
      <c r="AE682" s="356"/>
      <c r="AF682" s="356"/>
    </row>
    <row r="683">
      <c r="A683" s="341"/>
      <c r="B683" s="356"/>
      <c r="C683" s="456"/>
      <c r="D683" s="356"/>
      <c r="E683" s="452"/>
      <c r="F683" s="356"/>
      <c r="G683" s="356"/>
      <c r="H683" s="453"/>
      <c r="I683" s="453"/>
      <c r="J683" s="454"/>
      <c r="L683" s="454"/>
      <c r="M683" s="342"/>
      <c r="O683" s="356"/>
      <c r="P683" s="356"/>
      <c r="Q683" s="356"/>
      <c r="R683" s="356"/>
      <c r="S683" s="356"/>
      <c r="T683" s="356"/>
      <c r="U683" s="356"/>
      <c r="V683" s="356"/>
      <c r="W683" s="356"/>
      <c r="X683" s="356"/>
      <c r="Y683" s="356"/>
      <c r="Z683" s="356"/>
      <c r="AA683" s="356"/>
      <c r="AB683" s="356"/>
      <c r="AC683" s="356"/>
      <c r="AD683" s="356"/>
      <c r="AE683" s="356"/>
      <c r="AF683" s="356"/>
    </row>
    <row r="684">
      <c r="A684" s="341"/>
      <c r="B684" s="356"/>
      <c r="C684" s="456"/>
      <c r="D684" s="356"/>
      <c r="E684" s="452"/>
      <c r="F684" s="356"/>
      <c r="G684" s="356"/>
      <c r="H684" s="453"/>
      <c r="I684" s="453"/>
      <c r="J684" s="454"/>
      <c r="L684" s="454"/>
      <c r="M684" s="342"/>
      <c r="O684" s="356"/>
      <c r="P684" s="356"/>
      <c r="Q684" s="356"/>
      <c r="R684" s="356"/>
      <c r="S684" s="356"/>
      <c r="T684" s="356"/>
      <c r="U684" s="356"/>
      <c r="V684" s="356"/>
      <c r="W684" s="356"/>
      <c r="X684" s="356"/>
      <c r="Y684" s="356"/>
      <c r="Z684" s="356"/>
      <c r="AA684" s="356"/>
      <c r="AB684" s="356"/>
      <c r="AC684" s="356"/>
      <c r="AD684" s="356"/>
      <c r="AE684" s="356"/>
      <c r="AF684" s="356"/>
    </row>
    <row r="685">
      <c r="A685" s="341"/>
      <c r="B685" s="356"/>
      <c r="C685" s="456"/>
      <c r="D685" s="356"/>
      <c r="E685" s="452"/>
      <c r="F685" s="356"/>
      <c r="G685" s="356"/>
      <c r="H685" s="453"/>
      <c r="I685" s="453"/>
      <c r="J685" s="454"/>
      <c r="L685" s="454"/>
      <c r="M685" s="342"/>
      <c r="O685" s="356"/>
      <c r="P685" s="356"/>
      <c r="Q685" s="356"/>
      <c r="R685" s="356"/>
      <c r="S685" s="356"/>
      <c r="T685" s="356"/>
      <c r="U685" s="356"/>
      <c r="V685" s="356"/>
      <c r="W685" s="356"/>
      <c r="X685" s="356"/>
      <c r="Y685" s="356"/>
      <c r="Z685" s="356"/>
      <c r="AA685" s="356"/>
      <c r="AB685" s="356"/>
      <c r="AC685" s="356"/>
      <c r="AD685" s="356"/>
      <c r="AE685" s="356"/>
      <c r="AF685" s="356"/>
    </row>
    <row r="686">
      <c r="A686" s="341"/>
      <c r="B686" s="356"/>
      <c r="C686" s="456"/>
      <c r="D686" s="356"/>
      <c r="E686" s="452"/>
      <c r="F686" s="356"/>
      <c r="G686" s="356"/>
      <c r="H686" s="453"/>
      <c r="I686" s="453"/>
      <c r="J686" s="454"/>
      <c r="L686" s="454"/>
      <c r="M686" s="342"/>
      <c r="O686" s="356"/>
      <c r="P686" s="356"/>
      <c r="Q686" s="356"/>
      <c r="R686" s="356"/>
      <c r="S686" s="356"/>
      <c r="T686" s="356"/>
      <c r="U686" s="356"/>
      <c r="V686" s="356"/>
      <c r="W686" s="356"/>
      <c r="X686" s="356"/>
      <c r="Y686" s="356"/>
      <c r="Z686" s="356"/>
      <c r="AA686" s="356"/>
      <c r="AB686" s="356"/>
      <c r="AC686" s="356"/>
      <c r="AD686" s="356"/>
      <c r="AE686" s="356"/>
      <c r="AF686" s="356"/>
    </row>
    <row r="687">
      <c r="A687" s="341"/>
      <c r="B687" s="356"/>
      <c r="C687" s="456"/>
      <c r="D687" s="356"/>
      <c r="E687" s="452"/>
      <c r="F687" s="356"/>
      <c r="G687" s="356"/>
      <c r="H687" s="453"/>
      <c r="I687" s="453"/>
      <c r="J687" s="454"/>
      <c r="L687" s="454"/>
      <c r="M687" s="342"/>
      <c r="O687" s="356"/>
      <c r="P687" s="356"/>
      <c r="Q687" s="356"/>
      <c r="R687" s="356"/>
      <c r="S687" s="356"/>
      <c r="T687" s="356"/>
      <c r="U687" s="356"/>
      <c r="V687" s="356"/>
      <c r="W687" s="356"/>
      <c r="X687" s="356"/>
      <c r="Y687" s="356"/>
      <c r="Z687" s="356"/>
      <c r="AA687" s="356"/>
      <c r="AB687" s="356"/>
      <c r="AC687" s="356"/>
      <c r="AD687" s="356"/>
      <c r="AE687" s="356"/>
      <c r="AF687" s="356"/>
    </row>
    <row r="688">
      <c r="A688" s="341"/>
      <c r="B688" s="356"/>
      <c r="C688" s="456"/>
      <c r="D688" s="356"/>
      <c r="E688" s="452"/>
      <c r="F688" s="356"/>
      <c r="G688" s="356"/>
      <c r="H688" s="453"/>
      <c r="I688" s="453"/>
      <c r="J688" s="454"/>
      <c r="L688" s="454"/>
      <c r="M688" s="342"/>
      <c r="O688" s="356"/>
      <c r="P688" s="356"/>
      <c r="Q688" s="356"/>
      <c r="R688" s="356"/>
      <c r="S688" s="356"/>
      <c r="T688" s="356"/>
      <c r="U688" s="356"/>
      <c r="V688" s="356"/>
      <c r="W688" s="356"/>
      <c r="X688" s="356"/>
      <c r="Y688" s="356"/>
      <c r="Z688" s="356"/>
      <c r="AA688" s="356"/>
      <c r="AB688" s="356"/>
      <c r="AC688" s="356"/>
      <c r="AD688" s="356"/>
      <c r="AE688" s="356"/>
      <c r="AF688" s="356"/>
    </row>
    <row r="689">
      <c r="A689" s="341"/>
      <c r="B689" s="356"/>
      <c r="C689" s="456"/>
      <c r="D689" s="356"/>
      <c r="E689" s="452"/>
      <c r="F689" s="356"/>
      <c r="G689" s="356"/>
      <c r="H689" s="453"/>
      <c r="I689" s="453"/>
      <c r="J689" s="454"/>
      <c r="L689" s="454"/>
      <c r="M689" s="342"/>
      <c r="O689" s="356"/>
      <c r="P689" s="356"/>
      <c r="Q689" s="356"/>
      <c r="R689" s="356"/>
      <c r="S689" s="356"/>
      <c r="T689" s="356"/>
      <c r="U689" s="356"/>
      <c r="V689" s="356"/>
      <c r="W689" s="356"/>
      <c r="X689" s="356"/>
      <c r="Y689" s="356"/>
      <c r="Z689" s="356"/>
      <c r="AA689" s="356"/>
      <c r="AB689" s="356"/>
      <c r="AC689" s="356"/>
      <c r="AD689" s="356"/>
      <c r="AE689" s="356"/>
      <c r="AF689" s="356"/>
    </row>
    <row r="690">
      <c r="A690" s="341"/>
      <c r="B690" s="356"/>
      <c r="C690" s="456"/>
      <c r="D690" s="356"/>
      <c r="E690" s="452"/>
      <c r="F690" s="356"/>
      <c r="G690" s="356"/>
      <c r="H690" s="453"/>
      <c r="I690" s="453"/>
      <c r="J690" s="454"/>
      <c r="L690" s="454"/>
      <c r="M690" s="342"/>
      <c r="O690" s="356"/>
      <c r="P690" s="356"/>
      <c r="Q690" s="356"/>
      <c r="R690" s="356"/>
      <c r="S690" s="356"/>
      <c r="T690" s="356"/>
      <c r="U690" s="356"/>
      <c r="V690" s="356"/>
      <c r="W690" s="356"/>
      <c r="X690" s="356"/>
      <c r="Y690" s="356"/>
      <c r="Z690" s="356"/>
      <c r="AA690" s="356"/>
      <c r="AB690" s="356"/>
      <c r="AC690" s="356"/>
      <c r="AD690" s="356"/>
      <c r="AE690" s="356"/>
      <c r="AF690" s="356"/>
    </row>
    <row r="691">
      <c r="A691" s="341"/>
      <c r="B691" s="356"/>
      <c r="C691" s="456"/>
      <c r="D691" s="356"/>
      <c r="E691" s="452"/>
      <c r="F691" s="356"/>
      <c r="G691" s="356"/>
      <c r="H691" s="453"/>
      <c r="I691" s="453"/>
      <c r="J691" s="454"/>
      <c r="L691" s="454"/>
      <c r="M691" s="342"/>
      <c r="O691" s="356"/>
      <c r="P691" s="356"/>
      <c r="Q691" s="356"/>
      <c r="R691" s="356"/>
      <c r="S691" s="356"/>
      <c r="T691" s="356"/>
      <c r="U691" s="356"/>
      <c r="V691" s="356"/>
      <c r="W691" s="356"/>
      <c r="X691" s="356"/>
      <c r="Y691" s="356"/>
      <c r="Z691" s="356"/>
      <c r="AA691" s="356"/>
      <c r="AB691" s="356"/>
      <c r="AC691" s="356"/>
      <c r="AD691" s="356"/>
      <c r="AE691" s="356"/>
      <c r="AF691" s="356"/>
    </row>
    <row r="692">
      <c r="A692" s="341"/>
      <c r="B692" s="356"/>
      <c r="C692" s="456"/>
      <c r="D692" s="356"/>
      <c r="E692" s="452"/>
      <c r="F692" s="356"/>
      <c r="G692" s="356"/>
      <c r="H692" s="453"/>
      <c r="I692" s="453"/>
      <c r="J692" s="454"/>
      <c r="L692" s="454"/>
      <c r="M692" s="342"/>
      <c r="O692" s="356"/>
      <c r="P692" s="356"/>
      <c r="Q692" s="356"/>
      <c r="R692" s="356"/>
      <c r="S692" s="356"/>
      <c r="T692" s="356"/>
      <c r="U692" s="356"/>
      <c r="V692" s="356"/>
      <c r="W692" s="356"/>
      <c r="X692" s="356"/>
      <c r="Y692" s="356"/>
      <c r="Z692" s="356"/>
      <c r="AA692" s="356"/>
      <c r="AB692" s="356"/>
      <c r="AC692" s="356"/>
      <c r="AD692" s="356"/>
      <c r="AE692" s="356"/>
      <c r="AF692" s="356"/>
    </row>
    <row r="693">
      <c r="A693" s="341"/>
      <c r="B693" s="356"/>
      <c r="C693" s="456"/>
      <c r="D693" s="356"/>
      <c r="E693" s="452"/>
      <c r="F693" s="356"/>
      <c r="G693" s="356"/>
      <c r="H693" s="453"/>
      <c r="I693" s="453"/>
      <c r="J693" s="454"/>
      <c r="L693" s="454"/>
      <c r="M693" s="342"/>
      <c r="O693" s="356"/>
      <c r="P693" s="356"/>
      <c r="Q693" s="356"/>
      <c r="R693" s="356"/>
      <c r="S693" s="356"/>
      <c r="T693" s="356"/>
      <c r="U693" s="356"/>
      <c r="V693" s="356"/>
      <c r="W693" s="356"/>
      <c r="X693" s="356"/>
      <c r="Y693" s="356"/>
      <c r="Z693" s="356"/>
      <c r="AA693" s="356"/>
      <c r="AB693" s="356"/>
      <c r="AC693" s="356"/>
      <c r="AD693" s="356"/>
      <c r="AE693" s="356"/>
      <c r="AF693" s="356"/>
    </row>
    <row r="694">
      <c r="A694" s="341"/>
      <c r="B694" s="356"/>
      <c r="C694" s="456"/>
      <c r="D694" s="356"/>
      <c r="E694" s="452"/>
      <c r="F694" s="356"/>
      <c r="G694" s="356"/>
      <c r="H694" s="453"/>
      <c r="I694" s="453"/>
      <c r="J694" s="454"/>
      <c r="L694" s="454"/>
      <c r="M694" s="342"/>
      <c r="O694" s="356"/>
      <c r="P694" s="356"/>
      <c r="Q694" s="356"/>
      <c r="R694" s="356"/>
      <c r="S694" s="356"/>
      <c r="T694" s="356"/>
      <c r="U694" s="356"/>
      <c r="V694" s="356"/>
      <c r="W694" s="356"/>
      <c r="X694" s="356"/>
      <c r="Y694" s="356"/>
      <c r="Z694" s="356"/>
      <c r="AA694" s="356"/>
      <c r="AB694" s="356"/>
      <c r="AC694" s="356"/>
      <c r="AD694" s="356"/>
      <c r="AE694" s="356"/>
      <c r="AF694" s="356"/>
    </row>
    <row r="695">
      <c r="A695" s="341"/>
      <c r="B695" s="356"/>
      <c r="C695" s="456"/>
      <c r="D695" s="356"/>
      <c r="E695" s="452"/>
      <c r="F695" s="356"/>
      <c r="G695" s="356"/>
      <c r="H695" s="453"/>
      <c r="I695" s="453"/>
      <c r="J695" s="454"/>
      <c r="L695" s="454"/>
      <c r="M695" s="342"/>
      <c r="O695" s="356"/>
      <c r="P695" s="356"/>
      <c r="Q695" s="356"/>
      <c r="R695" s="356"/>
      <c r="S695" s="356"/>
      <c r="T695" s="356"/>
      <c r="U695" s="356"/>
      <c r="V695" s="356"/>
      <c r="W695" s="356"/>
      <c r="X695" s="356"/>
      <c r="Y695" s="356"/>
      <c r="Z695" s="356"/>
      <c r="AA695" s="356"/>
      <c r="AB695" s="356"/>
      <c r="AC695" s="356"/>
      <c r="AD695" s="356"/>
      <c r="AE695" s="356"/>
      <c r="AF695" s="356"/>
    </row>
    <row r="696">
      <c r="A696" s="341"/>
      <c r="B696" s="356"/>
      <c r="C696" s="456"/>
      <c r="D696" s="356"/>
      <c r="E696" s="452"/>
      <c r="F696" s="356"/>
      <c r="G696" s="356"/>
      <c r="H696" s="453"/>
      <c r="I696" s="453"/>
      <c r="J696" s="454"/>
      <c r="L696" s="454"/>
      <c r="M696" s="342"/>
      <c r="O696" s="356"/>
      <c r="P696" s="356"/>
      <c r="Q696" s="356"/>
      <c r="R696" s="356"/>
      <c r="S696" s="356"/>
      <c r="T696" s="356"/>
      <c r="U696" s="356"/>
      <c r="V696" s="356"/>
      <c r="W696" s="356"/>
      <c r="X696" s="356"/>
      <c r="Y696" s="356"/>
      <c r="Z696" s="356"/>
      <c r="AA696" s="356"/>
      <c r="AB696" s="356"/>
      <c r="AC696" s="356"/>
      <c r="AD696" s="356"/>
      <c r="AE696" s="356"/>
      <c r="AF696" s="356"/>
    </row>
    <row r="697">
      <c r="A697" s="341"/>
      <c r="B697" s="356"/>
      <c r="C697" s="456"/>
      <c r="D697" s="356"/>
      <c r="E697" s="452"/>
      <c r="F697" s="356"/>
      <c r="G697" s="356"/>
      <c r="H697" s="453"/>
      <c r="I697" s="453"/>
      <c r="J697" s="454"/>
      <c r="L697" s="454"/>
      <c r="M697" s="342"/>
      <c r="O697" s="356"/>
      <c r="P697" s="356"/>
      <c r="Q697" s="356"/>
      <c r="R697" s="356"/>
      <c r="S697" s="356"/>
      <c r="T697" s="356"/>
      <c r="U697" s="356"/>
      <c r="V697" s="356"/>
      <c r="W697" s="356"/>
      <c r="X697" s="356"/>
      <c r="Y697" s="356"/>
      <c r="Z697" s="356"/>
      <c r="AA697" s="356"/>
      <c r="AB697" s="356"/>
      <c r="AC697" s="356"/>
      <c r="AD697" s="356"/>
      <c r="AE697" s="356"/>
      <c r="AF697" s="356"/>
    </row>
    <row r="698">
      <c r="A698" s="341"/>
      <c r="B698" s="356"/>
      <c r="C698" s="456"/>
      <c r="D698" s="356"/>
      <c r="E698" s="452"/>
      <c r="F698" s="356"/>
      <c r="G698" s="356"/>
      <c r="H698" s="453"/>
      <c r="I698" s="453"/>
      <c r="J698" s="454"/>
      <c r="L698" s="454"/>
      <c r="M698" s="342"/>
      <c r="O698" s="356"/>
      <c r="P698" s="356"/>
      <c r="Q698" s="356"/>
      <c r="R698" s="356"/>
      <c r="S698" s="356"/>
      <c r="T698" s="356"/>
      <c r="U698" s="356"/>
      <c r="V698" s="356"/>
      <c r="W698" s="356"/>
      <c r="X698" s="356"/>
      <c r="Y698" s="356"/>
      <c r="Z698" s="356"/>
      <c r="AA698" s="356"/>
      <c r="AB698" s="356"/>
      <c r="AC698" s="356"/>
      <c r="AD698" s="356"/>
      <c r="AE698" s="356"/>
      <c r="AF698" s="356"/>
    </row>
    <row r="699">
      <c r="A699" s="341"/>
      <c r="B699" s="356"/>
      <c r="C699" s="456"/>
      <c r="D699" s="356"/>
      <c r="E699" s="452"/>
      <c r="F699" s="356"/>
      <c r="G699" s="356"/>
      <c r="H699" s="453"/>
      <c r="I699" s="453"/>
      <c r="J699" s="454"/>
      <c r="L699" s="454"/>
      <c r="M699" s="342"/>
      <c r="O699" s="356"/>
      <c r="P699" s="356"/>
      <c r="Q699" s="356"/>
      <c r="R699" s="356"/>
      <c r="S699" s="356"/>
      <c r="T699" s="356"/>
      <c r="U699" s="356"/>
      <c r="V699" s="356"/>
      <c r="W699" s="356"/>
      <c r="X699" s="356"/>
      <c r="Y699" s="356"/>
      <c r="Z699" s="356"/>
      <c r="AA699" s="356"/>
      <c r="AB699" s="356"/>
      <c r="AC699" s="356"/>
      <c r="AD699" s="356"/>
      <c r="AE699" s="356"/>
      <c r="AF699" s="356"/>
    </row>
    <row r="700">
      <c r="A700" s="341"/>
      <c r="B700" s="356"/>
      <c r="C700" s="456"/>
      <c r="D700" s="356"/>
      <c r="E700" s="452"/>
      <c r="F700" s="356"/>
      <c r="G700" s="356"/>
      <c r="H700" s="453"/>
      <c r="I700" s="453"/>
      <c r="J700" s="454"/>
      <c r="L700" s="454"/>
      <c r="M700" s="342"/>
      <c r="O700" s="356"/>
      <c r="P700" s="356"/>
      <c r="Q700" s="356"/>
      <c r="R700" s="356"/>
      <c r="S700" s="356"/>
      <c r="T700" s="356"/>
      <c r="U700" s="356"/>
      <c r="V700" s="356"/>
      <c r="W700" s="356"/>
      <c r="X700" s="356"/>
      <c r="Y700" s="356"/>
      <c r="Z700" s="356"/>
      <c r="AA700" s="356"/>
      <c r="AB700" s="356"/>
      <c r="AC700" s="356"/>
      <c r="AD700" s="356"/>
      <c r="AE700" s="356"/>
      <c r="AF700" s="356"/>
    </row>
    <row r="701">
      <c r="A701" s="341"/>
      <c r="B701" s="356"/>
      <c r="C701" s="456"/>
      <c r="D701" s="356"/>
      <c r="E701" s="452"/>
      <c r="F701" s="356"/>
      <c r="G701" s="356"/>
      <c r="H701" s="453"/>
      <c r="I701" s="453"/>
      <c r="J701" s="454"/>
      <c r="L701" s="454"/>
      <c r="M701" s="342"/>
      <c r="O701" s="356"/>
      <c r="P701" s="356"/>
      <c r="Q701" s="356"/>
      <c r="R701" s="356"/>
      <c r="S701" s="356"/>
      <c r="T701" s="356"/>
      <c r="U701" s="356"/>
      <c r="V701" s="356"/>
      <c r="W701" s="356"/>
      <c r="X701" s="356"/>
      <c r="Y701" s="356"/>
      <c r="Z701" s="356"/>
      <c r="AA701" s="356"/>
      <c r="AB701" s="356"/>
      <c r="AC701" s="356"/>
      <c r="AD701" s="356"/>
      <c r="AE701" s="356"/>
      <c r="AF701" s="356"/>
    </row>
    <row r="702">
      <c r="A702" s="341"/>
      <c r="B702" s="356"/>
      <c r="C702" s="456"/>
      <c r="D702" s="356"/>
      <c r="E702" s="452"/>
      <c r="F702" s="356"/>
      <c r="G702" s="356"/>
      <c r="H702" s="453"/>
      <c r="I702" s="453"/>
      <c r="J702" s="454"/>
      <c r="L702" s="454"/>
      <c r="M702" s="342"/>
      <c r="O702" s="356"/>
      <c r="P702" s="356"/>
      <c r="Q702" s="356"/>
      <c r="R702" s="356"/>
      <c r="S702" s="356"/>
      <c r="T702" s="356"/>
      <c r="U702" s="356"/>
      <c r="V702" s="356"/>
      <c r="W702" s="356"/>
      <c r="X702" s="356"/>
      <c r="Y702" s="356"/>
      <c r="Z702" s="356"/>
      <c r="AA702" s="356"/>
      <c r="AB702" s="356"/>
      <c r="AC702" s="356"/>
      <c r="AD702" s="356"/>
      <c r="AE702" s="356"/>
      <c r="AF702" s="356"/>
    </row>
    <row r="703">
      <c r="A703" s="341"/>
      <c r="B703" s="356"/>
      <c r="C703" s="456"/>
      <c r="D703" s="356"/>
      <c r="E703" s="452"/>
      <c r="F703" s="356"/>
      <c r="G703" s="356"/>
      <c r="H703" s="453"/>
      <c r="I703" s="453"/>
      <c r="J703" s="454"/>
      <c r="L703" s="454"/>
      <c r="M703" s="342"/>
      <c r="O703" s="356"/>
      <c r="P703" s="356"/>
      <c r="Q703" s="356"/>
      <c r="R703" s="356"/>
      <c r="S703" s="356"/>
      <c r="T703" s="356"/>
      <c r="U703" s="356"/>
      <c r="V703" s="356"/>
      <c r="W703" s="356"/>
      <c r="X703" s="356"/>
      <c r="Y703" s="356"/>
      <c r="Z703" s="356"/>
      <c r="AA703" s="356"/>
      <c r="AB703" s="356"/>
      <c r="AC703" s="356"/>
      <c r="AD703" s="356"/>
      <c r="AE703" s="356"/>
      <c r="AF703" s="356"/>
    </row>
    <row r="704">
      <c r="A704" s="341"/>
      <c r="B704" s="356"/>
      <c r="C704" s="456"/>
      <c r="D704" s="356"/>
      <c r="E704" s="452"/>
      <c r="F704" s="356"/>
      <c r="G704" s="356"/>
      <c r="H704" s="453"/>
      <c r="I704" s="453"/>
      <c r="J704" s="454"/>
      <c r="L704" s="454"/>
      <c r="M704" s="342"/>
      <c r="O704" s="356"/>
      <c r="P704" s="356"/>
      <c r="Q704" s="356"/>
      <c r="R704" s="356"/>
      <c r="S704" s="356"/>
      <c r="T704" s="356"/>
      <c r="U704" s="356"/>
      <c r="V704" s="356"/>
      <c r="W704" s="356"/>
      <c r="X704" s="356"/>
      <c r="Y704" s="356"/>
      <c r="Z704" s="356"/>
      <c r="AA704" s="356"/>
      <c r="AB704" s="356"/>
      <c r="AC704" s="356"/>
      <c r="AD704" s="356"/>
      <c r="AE704" s="356"/>
      <c r="AF704" s="356"/>
    </row>
    <row r="705">
      <c r="A705" s="341"/>
      <c r="B705" s="356"/>
      <c r="C705" s="456"/>
      <c r="D705" s="356"/>
      <c r="E705" s="452"/>
      <c r="F705" s="356"/>
      <c r="G705" s="356"/>
      <c r="H705" s="453"/>
      <c r="I705" s="453"/>
      <c r="J705" s="454"/>
      <c r="L705" s="454"/>
      <c r="M705" s="342"/>
      <c r="O705" s="356"/>
      <c r="P705" s="356"/>
      <c r="Q705" s="356"/>
      <c r="R705" s="356"/>
      <c r="S705" s="356"/>
      <c r="T705" s="356"/>
      <c r="U705" s="356"/>
      <c r="V705" s="356"/>
      <c r="W705" s="356"/>
      <c r="X705" s="356"/>
      <c r="Y705" s="356"/>
      <c r="Z705" s="356"/>
      <c r="AA705" s="356"/>
      <c r="AB705" s="356"/>
      <c r="AC705" s="356"/>
      <c r="AD705" s="356"/>
      <c r="AE705" s="356"/>
      <c r="AF705" s="356"/>
    </row>
    <row r="706">
      <c r="A706" s="341"/>
      <c r="B706" s="356"/>
      <c r="C706" s="456"/>
      <c r="D706" s="356"/>
      <c r="E706" s="452"/>
      <c r="F706" s="356"/>
      <c r="G706" s="356"/>
      <c r="H706" s="453"/>
      <c r="I706" s="453"/>
      <c r="J706" s="454"/>
      <c r="L706" s="454"/>
      <c r="M706" s="342"/>
      <c r="O706" s="356"/>
      <c r="P706" s="356"/>
      <c r="Q706" s="356"/>
      <c r="R706" s="356"/>
      <c r="S706" s="356"/>
      <c r="T706" s="356"/>
      <c r="U706" s="356"/>
      <c r="V706" s="356"/>
      <c r="W706" s="356"/>
      <c r="X706" s="356"/>
      <c r="Y706" s="356"/>
      <c r="Z706" s="356"/>
      <c r="AA706" s="356"/>
      <c r="AB706" s="356"/>
      <c r="AC706" s="356"/>
      <c r="AD706" s="356"/>
      <c r="AE706" s="356"/>
      <c r="AF706" s="356"/>
    </row>
    <row r="707">
      <c r="A707" s="341"/>
      <c r="B707" s="356"/>
      <c r="C707" s="456"/>
      <c r="D707" s="356"/>
      <c r="E707" s="452"/>
      <c r="F707" s="356"/>
      <c r="G707" s="356"/>
      <c r="H707" s="453"/>
      <c r="I707" s="453"/>
      <c r="J707" s="454"/>
      <c r="L707" s="454"/>
      <c r="M707" s="342"/>
      <c r="O707" s="356"/>
      <c r="P707" s="356"/>
      <c r="Q707" s="356"/>
      <c r="R707" s="356"/>
      <c r="S707" s="356"/>
      <c r="T707" s="356"/>
      <c r="U707" s="356"/>
      <c r="V707" s="356"/>
      <c r="W707" s="356"/>
      <c r="X707" s="356"/>
      <c r="Y707" s="356"/>
      <c r="Z707" s="356"/>
      <c r="AA707" s="356"/>
      <c r="AB707" s="356"/>
      <c r="AC707" s="356"/>
      <c r="AD707" s="356"/>
      <c r="AE707" s="356"/>
      <c r="AF707" s="356"/>
    </row>
    <row r="708">
      <c r="A708" s="341"/>
      <c r="B708" s="356"/>
      <c r="C708" s="456"/>
      <c r="D708" s="356"/>
      <c r="E708" s="452"/>
      <c r="F708" s="356"/>
      <c r="G708" s="356"/>
      <c r="H708" s="453"/>
      <c r="I708" s="453"/>
      <c r="J708" s="454"/>
      <c r="L708" s="454"/>
      <c r="M708" s="342"/>
      <c r="O708" s="356"/>
      <c r="P708" s="356"/>
      <c r="Q708" s="356"/>
      <c r="R708" s="356"/>
      <c r="S708" s="356"/>
      <c r="T708" s="356"/>
      <c r="U708" s="356"/>
      <c r="V708" s="356"/>
      <c r="W708" s="356"/>
      <c r="X708" s="356"/>
      <c r="Y708" s="356"/>
      <c r="Z708" s="356"/>
      <c r="AA708" s="356"/>
      <c r="AB708" s="356"/>
      <c r="AC708" s="356"/>
      <c r="AD708" s="356"/>
      <c r="AE708" s="356"/>
      <c r="AF708" s="356"/>
    </row>
    <row r="709">
      <c r="A709" s="341"/>
      <c r="B709" s="356"/>
      <c r="C709" s="456"/>
      <c r="D709" s="356"/>
      <c r="E709" s="452"/>
      <c r="F709" s="356"/>
      <c r="G709" s="356"/>
      <c r="H709" s="453"/>
      <c r="I709" s="453"/>
      <c r="J709" s="454"/>
      <c r="L709" s="454"/>
      <c r="M709" s="342"/>
      <c r="O709" s="356"/>
      <c r="P709" s="356"/>
      <c r="Q709" s="356"/>
      <c r="R709" s="356"/>
      <c r="S709" s="356"/>
      <c r="T709" s="356"/>
      <c r="U709" s="356"/>
      <c r="V709" s="356"/>
      <c r="W709" s="356"/>
      <c r="X709" s="356"/>
      <c r="Y709" s="356"/>
      <c r="Z709" s="356"/>
      <c r="AA709" s="356"/>
      <c r="AB709" s="356"/>
      <c r="AC709" s="356"/>
      <c r="AD709" s="356"/>
      <c r="AE709" s="356"/>
      <c r="AF709" s="356"/>
    </row>
    <row r="710">
      <c r="A710" s="341"/>
      <c r="B710" s="356"/>
      <c r="C710" s="456"/>
      <c r="D710" s="356"/>
      <c r="E710" s="452"/>
      <c r="F710" s="356"/>
      <c r="G710" s="356"/>
      <c r="H710" s="453"/>
      <c r="I710" s="453"/>
      <c r="J710" s="454"/>
      <c r="L710" s="454"/>
      <c r="M710" s="342"/>
      <c r="O710" s="356"/>
      <c r="P710" s="356"/>
      <c r="Q710" s="356"/>
      <c r="R710" s="356"/>
      <c r="S710" s="356"/>
      <c r="T710" s="356"/>
      <c r="U710" s="356"/>
      <c r="V710" s="356"/>
      <c r="W710" s="356"/>
      <c r="X710" s="356"/>
      <c r="Y710" s="356"/>
      <c r="Z710" s="356"/>
      <c r="AA710" s="356"/>
      <c r="AB710" s="356"/>
      <c r="AC710" s="356"/>
      <c r="AD710" s="356"/>
      <c r="AE710" s="356"/>
      <c r="AF710" s="356"/>
    </row>
    <row r="711">
      <c r="A711" s="341"/>
      <c r="B711" s="356"/>
      <c r="C711" s="456"/>
      <c r="D711" s="356"/>
      <c r="E711" s="452"/>
      <c r="F711" s="356"/>
      <c r="G711" s="356"/>
      <c r="H711" s="453"/>
      <c r="I711" s="453"/>
      <c r="J711" s="454"/>
      <c r="L711" s="454"/>
      <c r="M711" s="342"/>
      <c r="O711" s="356"/>
      <c r="P711" s="356"/>
      <c r="Q711" s="356"/>
      <c r="R711" s="356"/>
      <c r="S711" s="356"/>
      <c r="T711" s="356"/>
      <c r="U711" s="356"/>
      <c r="V711" s="356"/>
      <c r="W711" s="356"/>
      <c r="X711" s="356"/>
      <c r="Y711" s="356"/>
      <c r="Z711" s="356"/>
      <c r="AA711" s="356"/>
      <c r="AB711" s="356"/>
      <c r="AC711" s="356"/>
      <c r="AD711" s="356"/>
      <c r="AE711" s="356"/>
      <c r="AF711" s="356"/>
    </row>
    <row r="712">
      <c r="A712" s="341"/>
      <c r="B712" s="356"/>
      <c r="C712" s="456"/>
      <c r="D712" s="356"/>
      <c r="E712" s="452"/>
      <c r="F712" s="356"/>
      <c r="G712" s="356"/>
      <c r="H712" s="453"/>
      <c r="I712" s="453"/>
      <c r="J712" s="454"/>
      <c r="L712" s="454"/>
      <c r="M712" s="342"/>
      <c r="O712" s="356"/>
      <c r="P712" s="356"/>
      <c r="Q712" s="356"/>
      <c r="R712" s="356"/>
      <c r="S712" s="356"/>
      <c r="T712" s="356"/>
      <c r="U712" s="356"/>
      <c r="V712" s="356"/>
      <c r="W712" s="356"/>
      <c r="X712" s="356"/>
      <c r="Y712" s="356"/>
      <c r="Z712" s="356"/>
      <c r="AA712" s="356"/>
      <c r="AB712" s="356"/>
      <c r="AC712" s="356"/>
      <c r="AD712" s="356"/>
      <c r="AE712" s="356"/>
      <c r="AF712" s="356"/>
    </row>
    <row r="713">
      <c r="A713" s="341"/>
      <c r="B713" s="356"/>
      <c r="C713" s="456"/>
      <c r="D713" s="356"/>
      <c r="E713" s="452"/>
      <c r="F713" s="356"/>
      <c r="G713" s="356"/>
      <c r="H713" s="453"/>
      <c r="I713" s="453"/>
      <c r="J713" s="454"/>
      <c r="L713" s="454"/>
      <c r="M713" s="342"/>
      <c r="O713" s="356"/>
      <c r="P713" s="356"/>
      <c r="Q713" s="356"/>
      <c r="R713" s="356"/>
      <c r="S713" s="356"/>
      <c r="T713" s="356"/>
      <c r="U713" s="356"/>
      <c r="V713" s="356"/>
      <c r="W713" s="356"/>
      <c r="X713" s="356"/>
      <c r="Y713" s="356"/>
      <c r="Z713" s="356"/>
      <c r="AA713" s="356"/>
      <c r="AB713" s="356"/>
      <c r="AC713" s="356"/>
      <c r="AD713" s="356"/>
      <c r="AE713" s="356"/>
      <c r="AF713" s="356"/>
    </row>
    <row r="714">
      <c r="A714" s="341"/>
      <c r="B714" s="356"/>
      <c r="C714" s="456"/>
      <c r="D714" s="356"/>
      <c r="E714" s="452"/>
      <c r="F714" s="356"/>
      <c r="G714" s="356"/>
      <c r="H714" s="453"/>
      <c r="I714" s="453"/>
      <c r="J714" s="454"/>
      <c r="L714" s="454"/>
      <c r="M714" s="342"/>
      <c r="O714" s="356"/>
      <c r="P714" s="356"/>
      <c r="Q714" s="356"/>
      <c r="R714" s="356"/>
      <c r="S714" s="356"/>
      <c r="T714" s="356"/>
      <c r="U714" s="356"/>
      <c r="V714" s="356"/>
      <c r="W714" s="356"/>
      <c r="X714" s="356"/>
      <c r="Y714" s="356"/>
      <c r="Z714" s="356"/>
      <c r="AA714" s="356"/>
      <c r="AB714" s="356"/>
      <c r="AC714" s="356"/>
      <c r="AD714" s="356"/>
      <c r="AE714" s="356"/>
      <c r="AF714" s="356"/>
    </row>
    <row r="715">
      <c r="A715" s="341"/>
      <c r="B715" s="356"/>
      <c r="C715" s="456"/>
      <c r="D715" s="356"/>
      <c r="E715" s="452"/>
      <c r="F715" s="356"/>
      <c r="G715" s="356"/>
      <c r="H715" s="453"/>
      <c r="I715" s="453"/>
      <c r="J715" s="454"/>
      <c r="L715" s="454"/>
      <c r="M715" s="342"/>
      <c r="O715" s="356"/>
      <c r="P715" s="356"/>
      <c r="Q715" s="356"/>
      <c r="R715" s="356"/>
      <c r="S715" s="356"/>
      <c r="T715" s="356"/>
      <c r="U715" s="356"/>
      <c r="V715" s="356"/>
      <c r="W715" s="356"/>
      <c r="X715" s="356"/>
      <c r="Y715" s="356"/>
      <c r="Z715" s="356"/>
      <c r="AA715" s="356"/>
      <c r="AB715" s="356"/>
      <c r="AC715" s="356"/>
      <c r="AD715" s="356"/>
      <c r="AE715" s="356"/>
      <c r="AF715" s="356"/>
    </row>
    <row r="716">
      <c r="A716" s="341"/>
      <c r="B716" s="356"/>
      <c r="C716" s="456"/>
      <c r="D716" s="356"/>
      <c r="E716" s="452"/>
      <c r="F716" s="356"/>
      <c r="G716" s="356"/>
      <c r="H716" s="453"/>
      <c r="I716" s="453"/>
      <c r="J716" s="454"/>
      <c r="L716" s="454"/>
      <c r="M716" s="342"/>
      <c r="O716" s="356"/>
      <c r="P716" s="356"/>
      <c r="Q716" s="356"/>
      <c r="R716" s="356"/>
      <c r="S716" s="356"/>
      <c r="T716" s="356"/>
      <c r="U716" s="356"/>
      <c r="V716" s="356"/>
      <c r="W716" s="356"/>
      <c r="X716" s="356"/>
      <c r="Y716" s="356"/>
      <c r="Z716" s="356"/>
      <c r="AA716" s="356"/>
      <c r="AB716" s="356"/>
      <c r="AC716" s="356"/>
      <c r="AD716" s="356"/>
      <c r="AE716" s="356"/>
      <c r="AF716" s="356"/>
    </row>
    <row r="717">
      <c r="A717" s="341"/>
      <c r="B717" s="356"/>
      <c r="C717" s="456"/>
      <c r="D717" s="356"/>
      <c r="E717" s="452"/>
      <c r="F717" s="356"/>
      <c r="G717" s="356"/>
      <c r="H717" s="453"/>
      <c r="I717" s="453"/>
      <c r="J717" s="454"/>
      <c r="L717" s="454"/>
      <c r="M717" s="342"/>
      <c r="O717" s="356"/>
      <c r="P717" s="356"/>
      <c r="Q717" s="356"/>
      <c r="R717" s="356"/>
      <c r="S717" s="356"/>
      <c r="T717" s="356"/>
      <c r="U717" s="356"/>
      <c r="V717" s="356"/>
      <c r="W717" s="356"/>
      <c r="X717" s="356"/>
      <c r="Y717" s="356"/>
      <c r="Z717" s="356"/>
      <c r="AA717" s="356"/>
      <c r="AB717" s="356"/>
      <c r="AC717" s="356"/>
      <c r="AD717" s="356"/>
      <c r="AE717" s="356"/>
      <c r="AF717" s="356"/>
    </row>
    <row r="718">
      <c r="A718" s="341"/>
      <c r="B718" s="356"/>
      <c r="C718" s="456"/>
      <c r="D718" s="356"/>
      <c r="E718" s="452"/>
      <c r="F718" s="356"/>
      <c r="G718" s="356"/>
      <c r="H718" s="453"/>
      <c r="I718" s="453"/>
      <c r="J718" s="454"/>
      <c r="L718" s="454"/>
      <c r="M718" s="342"/>
      <c r="O718" s="356"/>
      <c r="P718" s="356"/>
      <c r="Q718" s="356"/>
      <c r="R718" s="356"/>
      <c r="S718" s="356"/>
      <c r="T718" s="356"/>
      <c r="U718" s="356"/>
      <c r="V718" s="356"/>
      <c r="W718" s="356"/>
      <c r="X718" s="356"/>
      <c r="Y718" s="356"/>
      <c r="Z718" s="356"/>
      <c r="AA718" s="356"/>
      <c r="AB718" s="356"/>
      <c r="AC718" s="356"/>
      <c r="AD718" s="356"/>
      <c r="AE718" s="356"/>
      <c r="AF718" s="356"/>
    </row>
    <row r="719">
      <c r="A719" s="341"/>
      <c r="B719" s="356"/>
      <c r="C719" s="456"/>
      <c r="D719" s="356"/>
      <c r="E719" s="452"/>
      <c r="F719" s="356"/>
      <c r="G719" s="356"/>
      <c r="H719" s="453"/>
      <c r="I719" s="453"/>
      <c r="J719" s="454"/>
      <c r="L719" s="454"/>
      <c r="M719" s="342"/>
      <c r="O719" s="356"/>
      <c r="P719" s="356"/>
      <c r="Q719" s="356"/>
      <c r="R719" s="356"/>
      <c r="S719" s="356"/>
      <c r="T719" s="356"/>
      <c r="U719" s="356"/>
      <c r="V719" s="356"/>
      <c r="W719" s="356"/>
      <c r="X719" s="356"/>
      <c r="Y719" s="356"/>
      <c r="Z719" s="356"/>
      <c r="AA719" s="356"/>
      <c r="AB719" s="356"/>
      <c r="AC719" s="356"/>
      <c r="AD719" s="356"/>
      <c r="AE719" s="356"/>
      <c r="AF719" s="356"/>
    </row>
    <row r="720">
      <c r="A720" s="341"/>
      <c r="B720" s="356"/>
      <c r="C720" s="456"/>
      <c r="D720" s="356"/>
      <c r="E720" s="452"/>
      <c r="F720" s="356"/>
      <c r="G720" s="356"/>
      <c r="H720" s="453"/>
      <c r="I720" s="453"/>
      <c r="J720" s="454"/>
      <c r="L720" s="454"/>
      <c r="M720" s="342"/>
      <c r="O720" s="356"/>
      <c r="P720" s="356"/>
      <c r="Q720" s="356"/>
      <c r="R720" s="356"/>
      <c r="S720" s="356"/>
      <c r="T720" s="356"/>
      <c r="U720" s="356"/>
      <c r="V720" s="356"/>
      <c r="W720" s="356"/>
      <c r="X720" s="356"/>
      <c r="Y720" s="356"/>
      <c r="Z720" s="356"/>
      <c r="AA720" s="356"/>
      <c r="AB720" s="356"/>
      <c r="AC720" s="356"/>
      <c r="AD720" s="356"/>
      <c r="AE720" s="356"/>
      <c r="AF720" s="356"/>
    </row>
    <row r="721">
      <c r="A721" s="341"/>
      <c r="B721" s="356"/>
      <c r="C721" s="456"/>
      <c r="D721" s="356"/>
      <c r="E721" s="452"/>
      <c r="F721" s="356"/>
      <c r="G721" s="356"/>
      <c r="H721" s="453"/>
      <c r="I721" s="453"/>
      <c r="J721" s="454"/>
      <c r="L721" s="454"/>
      <c r="M721" s="342"/>
      <c r="O721" s="356"/>
      <c r="P721" s="356"/>
      <c r="Q721" s="356"/>
      <c r="R721" s="356"/>
      <c r="S721" s="356"/>
      <c r="T721" s="356"/>
      <c r="U721" s="356"/>
      <c r="V721" s="356"/>
      <c r="W721" s="356"/>
      <c r="X721" s="356"/>
      <c r="Y721" s="356"/>
      <c r="Z721" s="356"/>
      <c r="AA721" s="356"/>
      <c r="AB721" s="356"/>
      <c r="AC721" s="356"/>
      <c r="AD721" s="356"/>
      <c r="AE721" s="356"/>
      <c r="AF721" s="356"/>
    </row>
    <row r="722">
      <c r="A722" s="341"/>
      <c r="B722" s="356"/>
      <c r="C722" s="456"/>
      <c r="D722" s="356"/>
      <c r="E722" s="452"/>
      <c r="F722" s="356"/>
      <c r="G722" s="356"/>
      <c r="H722" s="453"/>
      <c r="I722" s="453"/>
      <c r="J722" s="454"/>
      <c r="L722" s="454"/>
      <c r="M722" s="342"/>
      <c r="O722" s="356"/>
      <c r="P722" s="356"/>
      <c r="Q722" s="356"/>
      <c r="R722" s="356"/>
      <c r="S722" s="356"/>
      <c r="T722" s="356"/>
      <c r="U722" s="356"/>
      <c r="V722" s="356"/>
      <c r="W722" s="356"/>
      <c r="X722" s="356"/>
      <c r="Y722" s="356"/>
      <c r="Z722" s="356"/>
      <c r="AA722" s="356"/>
      <c r="AB722" s="356"/>
      <c r="AC722" s="356"/>
      <c r="AD722" s="356"/>
      <c r="AE722" s="356"/>
      <c r="AF722" s="356"/>
    </row>
    <row r="723">
      <c r="A723" s="341"/>
      <c r="B723" s="356"/>
      <c r="C723" s="456"/>
      <c r="D723" s="356"/>
      <c r="E723" s="452"/>
      <c r="F723" s="356"/>
      <c r="G723" s="356"/>
      <c r="H723" s="453"/>
      <c r="I723" s="453"/>
      <c r="J723" s="454"/>
      <c r="L723" s="454"/>
      <c r="M723" s="342"/>
      <c r="O723" s="356"/>
      <c r="P723" s="356"/>
      <c r="Q723" s="356"/>
      <c r="R723" s="356"/>
      <c r="S723" s="356"/>
      <c r="T723" s="356"/>
      <c r="U723" s="356"/>
      <c r="V723" s="356"/>
      <c r="W723" s="356"/>
      <c r="X723" s="356"/>
      <c r="Y723" s="356"/>
      <c r="Z723" s="356"/>
      <c r="AA723" s="356"/>
      <c r="AB723" s="356"/>
      <c r="AC723" s="356"/>
      <c r="AD723" s="356"/>
      <c r="AE723" s="356"/>
      <c r="AF723" s="356"/>
    </row>
    <row r="724">
      <c r="A724" s="341"/>
      <c r="B724" s="356"/>
      <c r="C724" s="456"/>
      <c r="D724" s="356"/>
      <c r="E724" s="452"/>
      <c r="F724" s="356"/>
      <c r="G724" s="356"/>
      <c r="H724" s="453"/>
      <c r="I724" s="453"/>
      <c r="J724" s="454"/>
      <c r="L724" s="454"/>
      <c r="M724" s="342"/>
      <c r="O724" s="356"/>
      <c r="P724" s="356"/>
      <c r="Q724" s="356"/>
      <c r="R724" s="356"/>
      <c r="S724" s="356"/>
      <c r="T724" s="356"/>
      <c r="U724" s="356"/>
      <c r="V724" s="356"/>
      <c r="W724" s="356"/>
      <c r="X724" s="356"/>
      <c r="Y724" s="356"/>
      <c r="Z724" s="356"/>
      <c r="AA724" s="356"/>
      <c r="AB724" s="356"/>
      <c r="AC724" s="356"/>
      <c r="AD724" s="356"/>
      <c r="AE724" s="356"/>
      <c r="AF724" s="356"/>
    </row>
    <row r="725">
      <c r="A725" s="341"/>
      <c r="B725" s="356"/>
      <c r="C725" s="456"/>
      <c r="D725" s="356"/>
      <c r="E725" s="452"/>
      <c r="F725" s="356"/>
      <c r="G725" s="356"/>
      <c r="H725" s="453"/>
      <c r="I725" s="453"/>
      <c r="J725" s="454"/>
      <c r="L725" s="454"/>
      <c r="M725" s="342"/>
      <c r="O725" s="356"/>
      <c r="P725" s="356"/>
      <c r="Q725" s="356"/>
      <c r="R725" s="356"/>
      <c r="S725" s="356"/>
      <c r="T725" s="356"/>
      <c r="U725" s="356"/>
      <c r="V725" s="356"/>
      <c r="W725" s="356"/>
      <c r="X725" s="356"/>
      <c r="Y725" s="356"/>
      <c r="Z725" s="356"/>
      <c r="AA725" s="356"/>
      <c r="AB725" s="356"/>
      <c r="AC725" s="356"/>
      <c r="AD725" s="356"/>
      <c r="AE725" s="356"/>
      <c r="AF725" s="356"/>
    </row>
    <row r="726">
      <c r="A726" s="341"/>
      <c r="B726" s="356"/>
      <c r="C726" s="456"/>
      <c r="D726" s="356"/>
      <c r="E726" s="452"/>
      <c r="F726" s="356"/>
      <c r="G726" s="356"/>
      <c r="H726" s="453"/>
      <c r="I726" s="453"/>
      <c r="J726" s="454"/>
      <c r="L726" s="454"/>
      <c r="M726" s="342"/>
      <c r="O726" s="356"/>
      <c r="P726" s="356"/>
      <c r="Q726" s="356"/>
      <c r="R726" s="356"/>
      <c r="S726" s="356"/>
      <c r="T726" s="356"/>
      <c r="U726" s="356"/>
      <c r="V726" s="356"/>
      <c r="W726" s="356"/>
      <c r="X726" s="356"/>
      <c r="Y726" s="356"/>
      <c r="Z726" s="356"/>
      <c r="AA726" s="356"/>
      <c r="AB726" s="356"/>
      <c r="AC726" s="356"/>
      <c r="AD726" s="356"/>
      <c r="AE726" s="356"/>
      <c r="AF726" s="356"/>
    </row>
    <row r="727">
      <c r="A727" s="341"/>
      <c r="B727" s="356"/>
      <c r="C727" s="456"/>
      <c r="D727" s="356"/>
      <c r="E727" s="452"/>
      <c r="F727" s="356"/>
      <c r="G727" s="356"/>
      <c r="H727" s="453"/>
      <c r="I727" s="453"/>
      <c r="J727" s="454"/>
      <c r="L727" s="454"/>
      <c r="M727" s="342"/>
      <c r="O727" s="356"/>
      <c r="P727" s="356"/>
      <c r="Q727" s="356"/>
      <c r="R727" s="356"/>
      <c r="S727" s="356"/>
      <c r="T727" s="356"/>
      <c r="U727" s="356"/>
      <c r="V727" s="356"/>
      <c r="W727" s="356"/>
      <c r="X727" s="356"/>
      <c r="Y727" s="356"/>
      <c r="Z727" s="356"/>
      <c r="AA727" s="356"/>
      <c r="AB727" s="356"/>
      <c r="AC727" s="356"/>
      <c r="AD727" s="356"/>
      <c r="AE727" s="356"/>
      <c r="AF727" s="356"/>
    </row>
    <row r="728">
      <c r="A728" s="341"/>
      <c r="B728" s="356"/>
      <c r="C728" s="456"/>
      <c r="D728" s="356"/>
      <c r="E728" s="452"/>
      <c r="F728" s="356"/>
      <c r="G728" s="356"/>
      <c r="H728" s="453"/>
      <c r="I728" s="453"/>
      <c r="J728" s="454"/>
      <c r="L728" s="454"/>
      <c r="M728" s="342"/>
      <c r="O728" s="356"/>
      <c r="P728" s="356"/>
      <c r="Q728" s="356"/>
      <c r="R728" s="356"/>
      <c r="S728" s="356"/>
      <c r="T728" s="356"/>
      <c r="U728" s="356"/>
      <c r="V728" s="356"/>
      <c r="W728" s="356"/>
      <c r="X728" s="356"/>
      <c r="Y728" s="356"/>
      <c r="Z728" s="356"/>
      <c r="AA728" s="356"/>
      <c r="AB728" s="356"/>
      <c r="AC728" s="356"/>
      <c r="AD728" s="356"/>
      <c r="AE728" s="356"/>
      <c r="AF728" s="356"/>
    </row>
    <row r="729">
      <c r="A729" s="341"/>
      <c r="B729" s="356"/>
      <c r="C729" s="456"/>
      <c r="D729" s="356"/>
      <c r="E729" s="452"/>
      <c r="F729" s="356"/>
      <c r="G729" s="356"/>
      <c r="H729" s="453"/>
      <c r="I729" s="453"/>
      <c r="J729" s="454"/>
      <c r="L729" s="454"/>
      <c r="M729" s="342"/>
      <c r="O729" s="356"/>
      <c r="P729" s="356"/>
      <c r="Q729" s="356"/>
      <c r="R729" s="356"/>
      <c r="S729" s="356"/>
      <c r="T729" s="356"/>
      <c r="U729" s="356"/>
      <c r="V729" s="356"/>
      <c r="W729" s="356"/>
      <c r="X729" s="356"/>
      <c r="Y729" s="356"/>
      <c r="Z729" s="356"/>
      <c r="AA729" s="356"/>
      <c r="AB729" s="356"/>
      <c r="AC729" s="356"/>
      <c r="AD729" s="356"/>
      <c r="AE729" s="356"/>
      <c r="AF729" s="356"/>
    </row>
    <row r="730">
      <c r="A730" s="341"/>
      <c r="B730" s="356"/>
      <c r="C730" s="456"/>
      <c r="D730" s="356"/>
      <c r="E730" s="452"/>
      <c r="F730" s="356"/>
      <c r="G730" s="356"/>
      <c r="H730" s="453"/>
      <c r="I730" s="453"/>
      <c r="J730" s="454"/>
      <c r="L730" s="454"/>
      <c r="M730" s="342"/>
      <c r="O730" s="356"/>
      <c r="P730" s="356"/>
      <c r="Q730" s="356"/>
      <c r="R730" s="356"/>
      <c r="S730" s="356"/>
      <c r="T730" s="356"/>
      <c r="U730" s="356"/>
      <c r="V730" s="356"/>
      <c r="W730" s="356"/>
      <c r="X730" s="356"/>
      <c r="Y730" s="356"/>
      <c r="Z730" s="356"/>
      <c r="AA730" s="356"/>
      <c r="AB730" s="356"/>
      <c r="AC730" s="356"/>
      <c r="AD730" s="356"/>
      <c r="AE730" s="356"/>
      <c r="AF730" s="356"/>
    </row>
    <row r="731">
      <c r="A731" s="341"/>
      <c r="B731" s="356"/>
      <c r="C731" s="456"/>
      <c r="D731" s="356"/>
      <c r="E731" s="452"/>
      <c r="F731" s="356"/>
      <c r="G731" s="356"/>
      <c r="H731" s="453"/>
      <c r="I731" s="453"/>
      <c r="J731" s="454"/>
      <c r="L731" s="454"/>
      <c r="M731" s="342"/>
      <c r="O731" s="356"/>
      <c r="P731" s="356"/>
      <c r="Q731" s="356"/>
      <c r="R731" s="356"/>
      <c r="S731" s="356"/>
      <c r="T731" s="356"/>
      <c r="U731" s="356"/>
      <c r="V731" s="356"/>
      <c r="W731" s="356"/>
      <c r="X731" s="356"/>
      <c r="Y731" s="356"/>
      <c r="Z731" s="356"/>
      <c r="AA731" s="356"/>
      <c r="AB731" s="356"/>
      <c r="AC731" s="356"/>
      <c r="AD731" s="356"/>
      <c r="AE731" s="356"/>
      <c r="AF731" s="356"/>
    </row>
    <row r="732">
      <c r="A732" s="341"/>
      <c r="B732" s="356"/>
      <c r="C732" s="456"/>
      <c r="D732" s="356"/>
      <c r="E732" s="452"/>
      <c r="F732" s="356"/>
      <c r="G732" s="356"/>
      <c r="H732" s="453"/>
      <c r="I732" s="453"/>
      <c r="J732" s="454"/>
      <c r="L732" s="454"/>
      <c r="M732" s="342"/>
      <c r="O732" s="356"/>
      <c r="P732" s="356"/>
      <c r="Q732" s="356"/>
      <c r="R732" s="356"/>
      <c r="S732" s="356"/>
      <c r="T732" s="356"/>
      <c r="U732" s="356"/>
      <c r="V732" s="356"/>
      <c r="W732" s="356"/>
      <c r="X732" s="356"/>
      <c r="Y732" s="356"/>
      <c r="Z732" s="356"/>
      <c r="AA732" s="356"/>
      <c r="AB732" s="356"/>
      <c r="AC732" s="356"/>
      <c r="AD732" s="356"/>
      <c r="AE732" s="356"/>
      <c r="AF732" s="356"/>
    </row>
    <row r="733">
      <c r="A733" s="341"/>
      <c r="B733" s="356"/>
      <c r="C733" s="456"/>
      <c r="D733" s="356"/>
      <c r="E733" s="452"/>
      <c r="F733" s="356"/>
      <c r="G733" s="356"/>
      <c r="H733" s="453"/>
      <c r="I733" s="453"/>
      <c r="J733" s="454"/>
      <c r="L733" s="454"/>
      <c r="M733" s="342"/>
      <c r="O733" s="356"/>
      <c r="P733" s="356"/>
      <c r="Q733" s="356"/>
      <c r="R733" s="356"/>
      <c r="S733" s="356"/>
      <c r="T733" s="356"/>
      <c r="U733" s="356"/>
      <c r="V733" s="356"/>
      <c r="W733" s="356"/>
      <c r="X733" s="356"/>
      <c r="Y733" s="356"/>
      <c r="Z733" s="356"/>
      <c r="AA733" s="356"/>
      <c r="AB733" s="356"/>
      <c r="AC733" s="356"/>
      <c r="AD733" s="356"/>
      <c r="AE733" s="356"/>
      <c r="AF733" s="356"/>
    </row>
    <row r="734">
      <c r="A734" s="341"/>
      <c r="B734" s="356"/>
      <c r="C734" s="456"/>
      <c r="D734" s="356"/>
      <c r="E734" s="452"/>
      <c r="F734" s="356"/>
      <c r="G734" s="356"/>
      <c r="H734" s="453"/>
      <c r="I734" s="453"/>
      <c r="J734" s="454"/>
      <c r="L734" s="454"/>
      <c r="M734" s="342"/>
      <c r="O734" s="356"/>
      <c r="P734" s="356"/>
      <c r="Q734" s="356"/>
      <c r="R734" s="356"/>
      <c r="S734" s="356"/>
      <c r="T734" s="356"/>
      <c r="U734" s="356"/>
      <c r="V734" s="356"/>
      <c r="W734" s="356"/>
      <c r="X734" s="356"/>
      <c r="Y734" s="356"/>
      <c r="Z734" s="356"/>
      <c r="AA734" s="356"/>
      <c r="AB734" s="356"/>
      <c r="AC734" s="356"/>
      <c r="AD734" s="356"/>
      <c r="AE734" s="356"/>
      <c r="AF734" s="356"/>
    </row>
    <row r="735">
      <c r="A735" s="341"/>
      <c r="B735" s="356"/>
      <c r="C735" s="456"/>
      <c r="D735" s="356"/>
      <c r="E735" s="452"/>
      <c r="F735" s="356"/>
      <c r="G735" s="356"/>
      <c r="H735" s="453"/>
      <c r="I735" s="453"/>
      <c r="J735" s="454"/>
      <c r="L735" s="454"/>
      <c r="M735" s="342"/>
      <c r="O735" s="356"/>
      <c r="P735" s="356"/>
      <c r="Q735" s="356"/>
      <c r="R735" s="356"/>
      <c r="S735" s="356"/>
      <c r="T735" s="356"/>
      <c r="U735" s="356"/>
      <c r="V735" s="356"/>
      <c r="W735" s="356"/>
      <c r="X735" s="356"/>
      <c r="Y735" s="356"/>
      <c r="Z735" s="356"/>
      <c r="AA735" s="356"/>
      <c r="AB735" s="356"/>
      <c r="AC735" s="356"/>
      <c r="AD735" s="356"/>
      <c r="AE735" s="356"/>
      <c r="AF735" s="356"/>
    </row>
    <row r="736">
      <c r="A736" s="341"/>
      <c r="B736" s="356"/>
      <c r="C736" s="456"/>
      <c r="D736" s="356"/>
      <c r="E736" s="452"/>
      <c r="F736" s="356"/>
      <c r="G736" s="356"/>
      <c r="H736" s="453"/>
      <c r="I736" s="453"/>
      <c r="J736" s="454"/>
      <c r="L736" s="454"/>
      <c r="M736" s="342"/>
      <c r="O736" s="356"/>
      <c r="P736" s="356"/>
      <c r="Q736" s="356"/>
      <c r="R736" s="356"/>
      <c r="S736" s="356"/>
      <c r="T736" s="356"/>
      <c r="U736" s="356"/>
      <c r="V736" s="356"/>
      <c r="W736" s="356"/>
      <c r="X736" s="356"/>
      <c r="Y736" s="356"/>
      <c r="Z736" s="356"/>
      <c r="AA736" s="356"/>
      <c r="AB736" s="356"/>
      <c r="AC736" s="356"/>
      <c r="AD736" s="356"/>
      <c r="AE736" s="356"/>
      <c r="AF736" s="356"/>
    </row>
    <row r="737">
      <c r="A737" s="341"/>
      <c r="B737" s="356"/>
      <c r="C737" s="456"/>
      <c r="D737" s="356"/>
      <c r="E737" s="452"/>
      <c r="F737" s="356"/>
      <c r="G737" s="356"/>
      <c r="H737" s="453"/>
      <c r="I737" s="453"/>
      <c r="J737" s="454"/>
      <c r="L737" s="454"/>
      <c r="M737" s="342"/>
      <c r="O737" s="356"/>
      <c r="P737" s="356"/>
      <c r="Q737" s="356"/>
      <c r="R737" s="356"/>
      <c r="S737" s="356"/>
      <c r="T737" s="356"/>
      <c r="U737" s="356"/>
      <c r="V737" s="356"/>
      <c r="W737" s="356"/>
      <c r="X737" s="356"/>
      <c r="Y737" s="356"/>
      <c r="Z737" s="356"/>
      <c r="AA737" s="356"/>
      <c r="AB737" s="356"/>
      <c r="AC737" s="356"/>
      <c r="AD737" s="356"/>
      <c r="AE737" s="356"/>
      <c r="AF737" s="356"/>
    </row>
    <row r="738">
      <c r="A738" s="341"/>
      <c r="B738" s="356"/>
      <c r="C738" s="456"/>
      <c r="D738" s="356"/>
      <c r="E738" s="452"/>
      <c r="F738" s="356"/>
      <c r="G738" s="356"/>
      <c r="H738" s="453"/>
      <c r="I738" s="453"/>
      <c r="J738" s="454"/>
      <c r="L738" s="454"/>
      <c r="M738" s="342"/>
      <c r="O738" s="356"/>
      <c r="P738" s="356"/>
      <c r="Q738" s="356"/>
      <c r="R738" s="356"/>
      <c r="S738" s="356"/>
      <c r="T738" s="356"/>
      <c r="U738" s="356"/>
      <c r="V738" s="356"/>
      <c r="W738" s="356"/>
      <c r="X738" s="356"/>
      <c r="Y738" s="356"/>
      <c r="Z738" s="356"/>
      <c r="AA738" s="356"/>
      <c r="AB738" s="356"/>
      <c r="AC738" s="356"/>
      <c r="AD738" s="356"/>
      <c r="AE738" s="356"/>
      <c r="AF738" s="356"/>
    </row>
    <row r="739">
      <c r="A739" s="341"/>
      <c r="B739" s="356"/>
      <c r="C739" s="456"/>
      <c r="D739" s="356"/>
      <c r="E739" s="452"/>
      <c r="F739" s="356"/>
      <c r="G739" s="356"/>
      <c r="H739" s="453"/>
      <c r="I739" s="453"/>
      <c r="J739" s="454"/>
      <c r="L739" s="454"/>
      <c r="M739" s="342"/>
      <c r="O739" s="356"/>
      <c r="P739" s="356"/>
      <c r="Q739" s="356"/>
      <c r="R739" s="356"/>
      <c r="S739" s="356"/>
      <c r="T739" s="356"/>
      <c r="U739" s="356"/>
      <c r="V739" s="356"/>
      <c r="W739" s="356"/>
      <c r="X739" s="356"/>
      <c r="Y739" s="356"/>
      <c r="Z739" s="356"/>
      <c r="AA739" s="356"/>
      <c r="AB739" s="356"/>
      <c r="AC739" s="356"/>
      <c r="AD739" s="356"/>
      <c r="AE739" s="356"/>
      <c r="AF739" s="356"/>
    </row>
    <row r="740">
      <c r="A740" s="341"/>
      <c r="B740" s="356"/>
      <c r="C740" s="456"/>
      <c r="D740" s="356"/>
      <c r="E740" s="452"/>
      <c r="F740" s="356"/>
      <c r="G740" s="356"/>
      <c r="H740" s="453"/>
      <c r="I740" s="453"/>
      <c r="J740" s="454"/>
      <c r="L740" s="454"/>
      <c r="M740" s="342"/>
      <c r="O740" s="356"/>
      <c r="P740" s="356"/>
      <c r="Q740" s="356"/>
      <c r="R740" s="356"/>
      <c r="S740" s="356"/>
      <c r="T740" s="356"/>
      <c r="U740" s="356"/>
      <c r="V740" s="356"/>
      <c r="W740" s="356"/>
      <c r="X740" s="356"/>
      <c r="Y740" s="356"/>
      <c r="Z740" s="356"/>
      <c r="AA740" s="356"/>
      <c r="AB740" s="356"/>
      <c r="AC740" s="356"/>
      <c r="AD740" s="356"/>
      <c r="AE740" s="356"/>
      <c r="AF740" s="356"/>
    </row>
    <row r="741">
      <c r="A741" s="341"/>
      <c r="B741" s="356"/>
      <c r="C741" s="456"/>
      <c r="D741" s="356"/>
      <c r="E741" s="452"/>
      <c r="F741" s="356"/>
      <c r="G741" s="356"/>
      <c r="H741" s="453"/>
      <c r="I741" s="453"/>
      <c r="J741" s="454"/>
      <c r="L741" s="454"/>
      <c r="M741" s="342"/>
      <c r="O741" s="356"/>
      <c r="P741" s="356"/>
      <c r="Q741" s="356"/>
      <c r="R741" s="356"/>
      <c r="S741" s="356"/>
      <c r="T741" s="356"/>
      <c r="U741" s="356"/>
      <c r="V741" s="356"/>
      <c r="W741" s="356"/>
      <c r="X741" s="356"/>
      <c r="Y741" s="356"/>
      <c r="Z741" s="356"/>
      <c r="AA741" s="356"/>
      <c r="AB741" s="356"/>
      <c r="AC741" s="356"/>
      <c r="AD741" s="356"/>
      <c r="AE741" s="356"/>
      <c r="AF741" s="356"/>
    </row>
    <row r="742">
      <c r="A742" s="341"/>
      <c r="B742" s="356"/>
      <c r="C742" s="456"/>
      <c r="D742" s="356"/>
      <c r="E742" s="452"/>
      <c r="F742" s="356"/>
      <c r="G742" s="356"/>
      <c r="H742" s="453"/>
      <c r="I742" s="453"/>
      <c r="J742" s="454"/>
      <c r="L742" s="454"/>
      <c r="M742" s="342"/>
      <c r="O742" s="356"/>
      <c r="P742" s="356"/>
      <c r="Q742" s="356"/>
      <c r="R742" s="356"/>
      <c r="S742" s="356"/>
      <c r="T742" s="356"/>
      <c r="U742" s="356"/>
      <c r="V742" s="356"/>
      <c r="W742" s="356"/>
      <c r="X742" s="356"/>
      <c r="Y742" s="356"/>
      <c r="Z742" s="356"/>
      <c r="AA742" s="356"/>
      <c r="AB742" s="356"/>
      <c r="AC742" s="356"/>
      <c r="AD742" s="356"/>
      <c r="AE742" s="356"/>
      <c r="AF742" s="356"/>
    </row>
    <row r="743">
      <c r="A743" s="341"/>
      <c r="B743" s="356"/>
      <c r="C743" s="456"/>
      <c r="D743" s="356"/>
      <c r="E743" s="452"/>
      <c r="F743" s="356"/>
      <c r="G743" s="356"/>
      <c r="H743" s="453"/>
      <c r="I743" s="453"/>
      <c r="J743" s="454"/>
      <c r="L743" s="454"/>
      <c r="M743" s="342"/>
      <c r="O743" s="356"/>
      <c r="P743" s="356"/>
      <c r="Q743" s="356"/>
      <c r="R743" s="356"/>
      <c r="S743" s="356"/>
      <c r="T743" s="356"/>
      <c r="U743" s="356"/>
      <c r="V743" s="356"/>
      <c r="W743" s="356"/>
      <c r="X743" s="356"/>
      <c r="Y743" s="356"/>
      <c r="Z743" s="356"/>
      <c r="AA743" s="356"/>
      <c r="AB743" s="356"/>
      <c r="AC743" s="356"/>
      <c r="AD743" s="356"/>
      <c r="AE743" s="356"/>
      <c r="AF743" s="356"/>
    </row>
    <row r="744">
      <c r="A744" s="341"/>
      <c r="B744" s="356"/>
      <c r="C744" s="456"/>
      <c r="D744" s="356"/>
      <c r="E744" s="452"/>
      <c r="F744" s="356"/>
      <c r="G744" s="356"/>
      <c r="H744" s="453"/>
      <c r="I744" s="453"/>
      <c r="J744" s="454"/>
      <c r="L744" s="454"/>
      <c r="M744" s="342"/>
      <c r="O744" s="356"/>
      <c r="P744" s="356"/>
      <c r="Q744" s="356"/>
      <c r="R744" s="356"/>
      <c r="S744" s="356"/>
      <c r="T744" s="356"/>
      <c r="U744" s="356"/>
      <c r="V744" s="356"/>
      <c r="W744" s="356"/>
      <c r="X744" s="356"/>
      <c r="Y744" s="356"/>
      <c r="Z744" s="356"/>
      <c r="AA744" s="356"/>
      <c r="AB744" s="356"/>
      <c r="AC744" s="356"/>
      <c r="AD744" s="356"/>
      <c r="AE744" s="356"/>
      <c r="AF744" s="356"/>
    </row>
    <row r="745">
      <c r="A745" s="341"/>
      <c r="B745" s="356"/>
      <c r="C745" s="456"/>
      <c r="D745" s="356"/>
      <c r="E745" s="452"/>
      <c r="F745" s="356"/>
      <c r="G745" s="356"/>
      <c r="H745" s="453"/>
      <c r="I745" s="453"/>
      <c r="J745" s="454"/>
      <c r="L745" s="454"/>
      <c r="M745" s="342"/>
      <c r="O745" s="356"/>
      <c r="P745" s="356"/>
      <c r="Q745" s="356"/>
      <c r="R745" s="356"/>
      <c r="S745" s="356"/>
      <c r="T745" s="356"/>
      <c r="U745" s="356"/>
      <c r="V745" s="356"/>
      <c r="W745" s="356"/>
      <c r="X745" s="356"/>
      <c r="Y745" s="356"/>
      <c r="Z745" s="356"/>
      <c r="AA745" s="356"/>
      <c r="AB745" s="356"/>
      <c r="AC745" s="356"/>
      <c r="AD745" s="356"/>
      <c r="AE745" s="356"/>
      <c r="AF745" s="356"/>
    </row>
    <row r="746">
      <c r="A746" s="341"/>
      <c r="B746" s="356"/>
      <c r="C746" s="456"/>
      <c r="D746" s="356"/>
      <c r="E746" s="452"/>
      <c r="F746" s="356"/>
      <c r="G746" s="356"/>
      <c r="H746" s="453"/>
      <c r="I746" s="453"/>
      <c r="J746" s="454"/>
      <c r="L746" s="454"/>
      <c r="M746" s="342"/>
      <c r="O746" s="356"/>
      <c r="P746" s="356"/>
      <c r="Q746" s="356"/>
      <c r="R746" s="356"/>
      <c r="S746" s="356"/>
      <c r="T746" s="356"/>
      <c r="U746" s="356"/>
      <c r="V746" s="356"/>
      <c r="W746" s="356"/>
      <c r="X746" s="356"/>
      <c r="Y746" s="356"/>
      <c r="Z746" s="356"/>
      <c r="AA746" s="356"/>
      <c r="AB746" s="356"/>
      <c r="AC746" s="356"/>
      <c r="AD746" s="356"/>
      <c r="AE746" s="356"/>
      <c r="AF746" s="356"/>
    </row>
    <row r="747">
      <c r="A747" s="341"/>
      <c r="B747" s="356"/>
      <c r="C747" s="456"/>
      <c r="D747" s="356"/>
      <c r="E747" s="452"/>
      <c r="F747" s="356"/>
      <c r="G747" s="356"/>
      <c r="H747" s="453"/>
      <c r="I747" s="453"/>
      <c r="J747" s="454"/>
      <c r="L747" s="454"/>
      <c r="M747" s="342"/>
      <c r="O747" s="356"/>
      <c r="P747" s="356"/>
      <c r="Q747" s="356"/>
      <c r="R747" s="356"/>
      <c r="S747" s="356"/>
      <c r="T747" s="356"/>
      <c r="U747" s="356"/>
      <c r="V747" s="356"/>
      <c r="W747" s="356"/>
      <c r="X747" s="356"/>
      <c r="Y747" s="356"/>
      <c r="Z747" s="356"/>
      <c r="AA747" s="356"/>
      <c r="AB747" s="356"/>
      <c r="AC747" s="356"/>
      <c r="AD747" s="356"/>
      <c r="AE747" s="356"/>
      <c r="AF747" s="356"/>
    </row>
    <row r="748">
      <c r="A748" s="341"/>
      <c r="B748" s="356"/>
      <c r="C748" s="456"/>
      <c r="D748" s="356"/>
      <c r="E748" s="452"/>
      <c r="F748" s="356"/>
      <c r="G748" s="356"/>
      <c r="H748" s="453"/>
      <c r="I748" s="453"/>
      <c r="J748" s="454"/>
      <c r="L748" s="454"/>
      <c r="M748" s="342"/>
      <c r="O748" s="356"/>
      <c r="P748" s="356"/>
      <c r="Q748" s="356"/>
      <c r="R748" s="356"/>
      <c r="S748" s="356"/>
      <c r="T748" s="356"/>
      <c r="U748" s="356"/>
      <c r="V748" s="356"/>
      <c r="W748" s="356"/>
      <c r="X748" s="356"/>
      <c r="Y748" s="356"/>
      <c r="Z748" s="356"/>
      <c r="AA748" s="356"/>
      <c r="AB748" s="356"/>
      <c r="AC748" s="356"/>
      <c r="AD748" s="356"/>
      <c r="AE748" s="356"/>
      <c r="AF748" s="356"/>
    </row>
    <row r="749">
      <c r="A749" s="341"/>
      <c r="B749" s="356"/>
      <c r="C749" s="456"/>
      <c r="D749" s="356"/>
      <c r="E749" s="452"/>
      <c r="F749" s="356"/>
      <c r="G749" s="356"/>
      <c r="H749" s="453"/>
      <c r="I749" s="453"/>
      <c r="J749" s="454"/>
      <c r="L749" s="454"/>
      <c r="M749" s="342"/>
      <c r="O749" s="356"/>
      <c r="P749" s="356"/>
      <c r="Q749" s="356"/>
      <c r="R749" s="356"/>
      <c r="S749" s="356"/>
      <c r="T749" s="356"/>
      <c r="U749" s="356"/>
      <c r="V749" s="356"/>
      <c r="W749" s="356"/>
      <c r="X749" s="356"/>
      <c r="Y749" s="356"/>
      <c r="Z749" s="356"/>
      <c r="AA749" s="356"/>
      <c r="AB749" s="356"/>
      <c r="AC749" s="356"/>
      <c r="AD749" s="356"/>
      <c r="AE749" s="356"/>
      <c r="AF749" s="356"/>
    </row>
    <row r="750">
      <c r="A750" s="341"/>
      <c r="B750" s="356"/>
      <c r="C750" s="456"/>
      <c r="D750" s="356"/>
      <c r="E750" s="452"/>
      <c r="F750" s="356"/>
      <c r="G750" s="356"/>
      <c r="H750" s="453"/>
      <c r="I750" s="453"/>
      <c r="J750" s="454"/>
      <c r="L750" s="454"/>
      <c r="M750" s="342"/>
      <c r="O750" s="356"/>
      <c r="P750" s="356"/>
      <c r="Q750" s="356"/>
      <c r="R750" s="356"/>
      <c r="S750" s="356"/>
      <c r="T750" s="356"/>
      <c r="U750" s="356"/>
      <c r="V750" s="356"/>
      <c r="W750" s="356"/>
      <c r="X750" s="356"/>
      <c r="Y750" s="356"/>
      <c r="Z750" s="356"/>
      <c r="AA750" s="356"/>
      <c r="AB750" s="356"/>
      <c r="AC750" s="356"/>
      <c r="AD750" s="356"/>
      <c r="AE750" s="356"/>
      <c r="AF750" s="356"/>
    </row>
    <row r="751">
      <c r="A751" s="341"/>
      <c r="B751" s="356"/>
      <c r="C751" s="456"/>
      <c r="D751" s="356"/>
      <c r="E751" s="452"/>
      <c r="F751" s="356"/>
      <c r="G751" s="356"/>
      <c r="H751" s="453"/>
      <c r="I751" s="453"/>
      <c r="J751" s="454"/>
      <c r="L751" s="454"/>
      <c r="M751" s="342"/>
      <c r="O751" s="356"/>
      <c r="P751" s="356"/>
      <c r="Q751" s="356"/>
      <c r="R751" s="356"/>
      <c r="S751" s="356"/>
      <c r="T751" s="356"/>
      <c r="U751" s="356"/>
      <c r="V751" s="356"/>
      <c r="W751" s="356"/>
      <c r="X751" s="356"/>
      <c r="Y751" s="356"/>
      <c r="Z751" s="356"/>
      <c r="AA751" s="356"/>
      <c r="AB751" s="356"/>
      <c r="AC751" s="356"/>
      <c r="AD751" s="356"/>
      <c r="AE751" s="356"/>
      <c r="AF751" s="356"/>
    </row>
    <row r="752">
      <c r="A752" s="341"/>
      <c r="B752" s="356"/>
      <c r="C752" s="456"/>
      <c r="D752" s="356"/>
      <c r="E752" s="452"/>
      <c r="F752" s="356"/>
      <c r="G752" s="356"/>
      <c r="H752" s="453"/>
      <c r="I752" s="453"/>
      <c r="J752" s="454"/>
      <c r="L752" s="454"/>
      <c r="M752" s="342"/>
      <c r="O752" s="356"/>
      <c r="P752" s="356"/>
      <c r="Q752" s="356"/>
      <c r="R752" s="356"/>
      <c r="S752" s="356"/>
      <c r="T752" s="356"/>
      <c r="U752" s="356"/>
      <c r="V752" s="356"/>
      <c r="W752" s="356"/>
      <c r="X752" s="356"/>
      <c r="Y752" s="356"/>
      <c r="Z752" s="356"/>
      <c r="AA752" s="356"/>
      <c r="AB752" s="356"/>
      <c r="AC752" s="356"/>
      <c r="AD752" s="356"/>
      <c r="AE752" s="356"/>
      <c r="AF752" s="356"/>
    </row>
    <row r="753">
      <c r="A753" s="341"/>
      <c r="B753" s="356"/>
      <c r="C753" s="456"/>
      <c r="D753" s="356"/>
      <c r="E753" s="452"/>
      <c r="F753" s="356"/>
      <c r="G753" s="356"/>
      <c r="H753" s="453"/>
      <c r="I753" s="453"/>
      <c r="J753" s="454"/>
      <c r="L753" s="454"/>
      <c r="M753" s="342"/>
      <c r="O753" s="356"/>
      <c r="P753" s="356"/>
      <c r="Q753" s="356"/>
      <c r="R753" s="356"/>
      <c r="S753" s="356"/>
      <c r="T753" s="356"/>
      <c r="U753" s="356"/>
      <c r="V753" s="356"/>
      <c r="W753" s="356"/>
      <c r="X753" s="356"/>
      <c r="Y753" s="356"/>
      <c r="Z753" s="356"/>
      <c r="AA753" s="356"/>
      <c r="AB753" s="356"/>
      <c r="AC753" s="356"/>
      <c r="AD753" s="356"/>
      <c r="AE753" s="356"/>
      <c r="AF753" s="356"/>
    </row>
    <row r="754">
      <c r="A754" s="341"/>
      <c r="B754" s="356"/>
      <c r="C754" s="456"/>
      <c r="D754" s="356"/>
      <c r="E754" s="452"/>
      <c r="F754" s="356"/>
      <c r="G754" s="356"/>
      <c r="H754" s="453"/>
      <c r="I754" s="453"/>
      <c r="J754" s="454"/>
      <c r="L754" s="454"/>
      <c r="M754" s="342"/>
      <c r="O754" s="356"/>
      <c r="P754" s="356"/>
      <c r="Q754" s="356"/>
      <c r="R754" s="356"/>
      <c r="S754" s="356"/>
      <c r="T754" s="356"/>
      <c r="U754" s="356"/>
      <c r="V754" s="356"/>
      <c r="W754" s="356"/>
      <c r="X754" s="356"/>
      <c r="Y754" s="356"/>
      <c r="Z754" s="356"/>
      <c r="AA754" s="356"/>
      <c r="AB754" s="356"/>
      <c r="AC754" s="356"/>
      <c r="AD754" s="356"/>
      <c r="AE754" s="356"/>
      <c r="AF754" s="356"/>
    </row>
    <row r="755">
      <c r="A755" s="341"/>
      <c r="B755" s="356"/>
      <c r="C755" s="456"/>
      <c r="D755" s="356"/>
      <c r="E755" s="452"/>
      <c r="F755" s="356"/>
      <c r="G755" s="356"/>
      <c r="H755" s="453"/>
      <c r="I755" s="453"/>
      <c r="J755" s="454"/>
      <c r="L755" s="454"/>
      <c r="M755" s="342"/>
      <c r="O755" s="356"/>
      <c r="P755" s="356"/>
      <c r="Q755" s="356"/>
      <c r="R755" s="356"/>
      <c r="S755" s="356"/>
      <c r="T755" s="356"/>
      <c r="U755" s="356"/>
      <c r="V755" s="356"/>
      <c r="W755" s="356"/>
      <c r="X755" s="356"/>
      <c r="Y755" s="356"/>
      <c r="Z755" s="356"/>
      <c r="AA755" s="356"/>
      <c r="AB755" s="356"/>
      <c r="AC755" s="356"/>
      <c r="AD755" s="356"/>
      <c r="AE755" s="356"/>
      <c r="AF755" s="356"/>
    </row>
    <row r="756">
      <c r="A756" s="341"/>
      <c r="B756" s="356"/>
      <c r="C756" s="456"/>
      <c r="D756" s="356"/>
      <c r="E756" s="452"/>
      <c r="F756" s="356"/>
      <c r="G756" s="356"/>
      <c r="H756" s="453"/>
      <c r="I756" s="453"/>
      <c r="J756" s="454"/>
      <c r="L756" s="454"/>
      <c r="M756" s="342"/>
      <c r="O756" s="356"/>
      <c r="P756" s="356"/>
      <c r="Q756" s="356"/>
      <c r="R756" s="356"/>
      <c r="S756" s="356"/>
      <c r="T756" s="356"/>
      <c r="U756" s="356"/>
      <c r="V756" s="356"/>
      <c r="W756" s="356"/>
      <c r="X756" s="356"/>
      <c r="Y756" s="356"/>
      <c r="Z756" s="356"/>
      <c r="AA756" s="356"/>
      <c r="AB756" s="356"/>
      <c r="AC756" s="356"/>
      <c r="AD756" s="356"/>
      <c r="AE756" s="356"/>
      <c r="AF756" s="356"/>
    </row>
    <row r="757">
      <c r="A757" s="341"/>
      <c r="B757" s="356"/>
      <c r="C757" s="456"/>
      <c r="D757" s="356"/>
      <c r="E757" s="452"/>
      <c r="F757" s="356"/>
      <c r="G757" s="356"/>
      <c r="H757" s="453"/>
      <c r="I757" s="453"/>
      <c r="J757" s="454"/>
      <c r="L757" s="454"/>
      <c r="M757" s="342"/>
      <c r="O757" s="356"/>
      <c r="P757" s="356"/>
      <c r="Q757" s="356"/>
      <c r="R757" s="356"/>
      <c r="S757" s="356"/>
      <c r="T757" s="356"/>
      <c r="U757" s="356"/>
      <c r="V757" s="356"/>
      <c r="W757" s="356"/>
      <c r="X757" s="356"/>
      <c r="Y757" s="356"/>
      <c r="Z757" s="356"/>
      <c r="AA757" s="356"/>
      <c r="AB757" s="356"/>
      <c r="AC757" s="356"/>
      <c r="AD757" s="356"/>
      <c r="AE757" s="356"/>
      <c r="AF757" s="356"/>
    </row>
    <row r="758">
      <c r="A758" s="341"/>
      <c r="B758" s="356"/>
      <c r="C758" s="456"/>
      <c r="D758" s="356"/>
      <c r="E758" s="452"/>
      <c r="F758" s="356"/>
      <c r="G758" s="356"/>
      <c r="H758" s="453"/>
      <c r="I758" s="453"/>
      <c r="J758" s="454"/>
      <c r="L758" s="454"/>
      <c r="M758" s="342"/>
      <c r="O758" s="356"/>
      <c r="P758" s="356"/>
      <c r="Q758" s="356"/>
      <c r="R758" s="356"/>
      <c r="S758" s="356"/>
      <c r="T758" s="356"/>
      <c r="U758" s="356"/>
      <c r="V758" s="356"/>
      <c r="W758" s="356"/>
      <c r="X758" s="356"/>
      <c r="Y758" s="356"/>
      <c r="Z758" s="356"/>
      <c r="AA758" s="356"/>
      <c r="AB758" s="356"/>
      <c r="AC758" s="356"/>
      <c r="AD758" s="356"/>
      <c r="AE758" s="356"/>
      <c r="AF758" s="356"/>
    </row>
    <row r="759">
      <c r="A759" s="341"/>
      <c r="B759" s="356"/>
      <c r="C759" s="456"/>
      <c r="D759" s="356"/>
      <c r="E759" s="452"/>
      <c r="F759" s="356"/>
      <c r="G759" s="356"/>
      <c r="H759" s="453"/>
      <c r="I759" s="453"/>
      <c r="J759" s="454"/>
      <c r="L759" s="454"/>
      <c r="M759" s="342"/>
      <c r="O759" s="356"/>
      <c r="P759" s="356"/>
      <c r="Q759" s="356"/>
      <c r="R759" s="356"/>
      <c r="S759" s="356"/>
      <c r="T759" s="356"/>
      <c r="U759" s="356"/>
      <c r="V759" s="356"/>
      <c r="W759" s="356"/>
      <c r="X759" s="356"/>
      <c r="Y759" s="356"/>
      <c r="Z759" s="356"/>
      <c r="AA759" s="356"/>
      <c r="AB759" s="356"/>
      <c r="AC759" s="356"/>
      <c r="AD759" s="356"/>
      <c r="AE759" s="356"/>
      <c r="AF759" s="356"/>
    </row>
    <row r="760">
      <c r="A760" s="341"/>
      <c r="B760" s="356"/>
      <c r="C760" s="456"/>
      <c r="D760" s="356"/>
      <c r="E760" s="452"/>
      <c r="F760" s="356"/>
      <c r="G760" s="356"/>
      <c r="H760" s="453"/>
      <c r="I760" s="453"/>
      <c r="J760" s="454"/>
      <c r="L760" s="454"/>
      <c r="M760" s="342"/>
      <c r="O760" s="356"/>
      <c r="P760" s="356"/>
      <c r="Q760" s="356"/>
      <c r="R760" s="356"/>
      <c r="S760" s="356"/>
      <c r="T760" s="356"/>
      <c r="U760" s="356"/>
      <c r="V760" s="356"/>
      <c r="W760" s="356"/>
      <c r="X760" s="356"/>
      <c r="Y760" s="356"/>
      <c r="Z760" s="356"/>
      <c r="AA760" s="356"/>
      <c r="AB760" s="356"/>
      <c r="AC760" s="356"/>
      <c r="AD760" s="356"/>
      <c r="AE760" s="356"/>
      <c r="AF760" s="356"/>
    </row>
    <row r="761">
      <c r="A761" s="341"/>
      <c r="B761" s="356"/>
      <c r="C761" s="456"/>
      <c r="D761" s="356"/>
      <c r="E761" s="452"/>
      <c r="F761" s="356"/>
      <c r="G761" s="356"/>
      <c r="H761" s="453"/>
      <c r="I761" s="453"/>
      <c r="J761" s="454"/>
      <c r="L761" s="454"/>
      <c r="M761" s="342"/>
      <c r="O761" s="356"/>
      <c r="P761" s="356"/>
      <c r="Q761" s="356"/>
      <c r="R761" s="356"/>
      <c r="S761" s="356"/>
      <c r="T761" s="356"/>
      <c r="U761" s="356"/>
      <c r="V761" s="356"/>
      <c r="W761" s="356"/>
      <c r="X761" s="356"/>
      <c r="Y761" s="356"/>
      <c r="Z761" s="356"/>
      <c r="AA761" s="356"/>
      <c r="AB761" s="356"/>
      <c r="AC761" s="356"/>
      <c r="AD761" s="356"/>
      <c r="AE761" s="356"/>
      <c r="AF761" s="356"/>
    </row>
    <row r="762">
      <c r="A762" s="341"/>
      <c r="B762" s="356"/>
      <c r="C762" s="456"/>
      <c r="D762" s="356"/>
      <c r="E762" s="452"/>
      <c r="F762" s="356"/>
      <c r="G762" s="356"/>
      <c r="H762" s="453"/>
      <c r="I762" s="453"/>
      <c r="J762" s="454"/>
      <c r="L762" s="454"/>
      <c r="M762" s="342"/>
      <c r="O762" s="356"/>
      <c r="P762" s="356"/>
      <c r="Q762" s="356"/>
      <c r="R762" s="356"/>
      <c r="S762" s="356"/>
      <c r="T762" s="356"/>
      <c r="U762" s="356"/>
      <c r="V762" s="356"/>
      <c r="W762" s="356"/>
      <c r="X762" s="356"/>
      <c r="Y762" s="356"/>
      <c r="Z762" s="356"/>
      <c r="AA762" s="356"/>
      <c r="AB762" s="356"/>
      <c r="AC762" s="356"/>
      <c r="AD762" s="356"/>
      <c r="AE762" s="356"/>
      <c r="AF762" s="356"/>
    </row>
    <row r="763">
      <c r="A763" s="341"/>
      <c r="B763" s="356"/>
      <c r="C763" s="456"/>
      <c r="D763" s="356"/>
      <c r="E763" s="452"/>
      <c r="F763" s="356"/>
      <c r="G763" s="356"/>
      <c r="H763" s="453"/>
      <c r="I763" s="453"/>
      <c r="J763" s="454"/>
      <c r="L763" s="454"/>
      <c r="M763" s="342"/>
      <c r="O763" s="356"/>
      <c r="P763" s="356"/>
      <c r="Q763" s="356"/>
      <c r="R763" s="356"/>
      <c r="S763" s="356"/>
      <c r="T763" s="356"/>
      <c r="U763" s="356"/>
      <c r="V763" s="356"/>
      <c r="W763" s="356"/>
      <c r="X763" s="356"/>
      <c r="Y763" s="356"/>
      <c r="Z763" s="356"/>
      <c r="AA763" s="356"/>
      <c r="AB763" s="356"/>
      <c r="AC763" s="356"/>
      <c r="AD763" s="356"/>
      <c r="AE763" s="356"/>
      <c r="AF763" s="356"/>
    </row>
    <row r="764">
      <c r="A764" s="341"/>
      <c r="B764" s="356"/>
      <c r="C764" s="456"/>
      <c r="D764" s="356"/>
      <c r="E764" s="452"/>
      <c r="F764" s="356"/>
      <c r="G764" s="356"/>
      <c r="H764" s="453"/>
      <c r="I764" s="453"/>
      <c r="J764" s="454"/>
      <c r="L764" s="454"/>
      <c r="M764" s="342"/>
      <c r="O764" s="356"/>
      <c r="P764" s="356"/>
      <c r="Q764" s="356"/>
      <c r="R764" s="356"/>
      <c r="S764" s="356"/>
      <c r="T764" s="356"/>
      <c r="U764" s="356"/>
      <c r="V764" s="356"/>
      <c r="W764" s="356"/>
      <c r="X764" s="356"/>
      <c r="Y764" s="356"/>
      <c r="Z764" s="356"/>
      <c r="AA764" s="356"/>
      <c r="AB764" s="356"/>
      <c r="AC764" s="356"/>
      <c r="AD764" s="356"/>
      <c r="AE764" s="356"/>
      <c r="AF764" s="356"/>
    </row>
    <row r="765">
      <c r="A765" s="341"/>
      <c r="B765" s="356"/>
      <c r="C765" s="456"/>
      <c r="D765" s="356"/>
      <c r="E765" s="452"/>
      <c r="F765" s="356"/>
      <c r="G765" s="356"/>
      <c r="H765" s="453"/>
      <c r="I765" s="453"/>
      <c r="J765" s="454"/>
      <c r="L765" s="454"/>
      <c r="M765" s="342"/>
      <c r="O765" s="356"/>
      <c r="P765" s="356"/>
      <c r="Q765" s="356"/>
      <c r="R765" s="356"/>
      <c r="S765" s="356"/>
      <c r="T765" s="356"/>
      <c r="U765" s="356"/>
      <c r="V765" s="356"/>
      <c r="W765" s="356"/>
      <c r="X765" s="356"/>
      <c r="Y765" s="356"/>
      <c r="Z765" s="356"/>
      <c r="AA765" s="356"/>
      <c r="AB765" s="356"/>
      <c r="AC765" s="356"/>
      <c r="AD765" s="356"/>
      <c r="AE765" s="356"/>
      <c r="AF765" s="356"/>
    </row>
    <row r="766">
      <c r="A766" s="341"/>
      <c r="B766" s="356"/>
      <c r="C766" s="456"/>
      <c r="D766" s="356"/>
      <c r="E766" s="452"/>
      <c r="F766" s="356"/>
      <c r="G766" s="356"/>
      <c r="H766" s="453"/>
      <c r="I766" s="453"/>
      <c r="J766" s="454"/>
      <c r="L766" s="454"/>
      <c r="M766" s="342"/>
      <c r="O766" s="356"/>
      <c r="P766" s="356"/>
      <c r="Q766" s="356"/>
      <c r="R766" s="356"/>
      <c r="S766" s="356"/>
      <c r="T766" s="356"/>
      <c r="U766" s="356"/>
      <c r="V766" s="356"/>
      <c r="W766" s="356"/>
      <c r="X766" s="356"/>
      <c r="Y766" s="356"/>
      <c r="Z766" s="356"/>
      <c r="AA766" s="356"/>
      <c r="AB766" s="356"/>
      <c r="AC766" s="356"/>
      <c r="AD766" s="356"/>
      <c r="AE766" s="356"/>
      <c r="AF766" s="356"/>
    </row>
    <row r="767">
      <c r="A767" s="341"/>
      <c r="B767" s="356"/>
      <c r="C767" s="456"/>
      <c r="D767" s="356"/>
      <c r="E767" s="452"/>
      <c r="F767" s="356"/>
      <c r="G767" s="356"/>
      <c r="H767" s="453"/>
      <c r="I767" s="453"/>
      <c r="J767" s="454"/>
      <c r="L767" s="454"/>
      <c r="M767" s="342"/>
      <c r="O767" s="356"/>
      <c r="P767" s="356"/>
      <c r="Q767" s="356"/>
      <c r="R767" s="356"/>
      <c r="S767" s="356"/>
      <c r="T767" s="356"/>
      <c r="U767" s="356"/>
      <c r="V767" s="356"/>
      <c r="W767" s="356"/>
      <c r="X767" s="356"/>
      <c r="Y767" s="356"/>
      <c r="Z767" s="356"/>
      <c r="AA767" s="356"/>
      <c r="AB767" s="356"/>
      <c r="AC767" s="356"/>
      <c r="AD767" s="356"/>
      <c r="AE767" s="356"/>
      <c r="AF767" s="356"/>
    </row>
    <row r="768">
      <c r="A768" s="341"/>
      <c r="B768" s="356"/>
      <c r="C768" s="456"/>
      <c r="D768" s="356"/>
      <c r="E768" s="452"/>
      <c r="F768" s="356"/>
      <c r="G768" s="356"/>
      <c r="H768" s="453"/>
      <c r="I768" s="453"/>
      <c r="J768" s="454"/>
      <c r="L768" s="454"/>
      <c r="M768" s="342"/>
      <c r="O768" s="356"/>
      <c r="P768" s="356"/>
      <c r="Q768" s="356"/>
      <c r="R768" s="356"/>
      <c r="S768" s="356"/>
      <c r="T768" s="356"/>
      <c r="U768" s="356"/>
      <c r="V768" s="356"/>
      <c r="W768" s="356"/>
      <c r="X768" s="356"/>
      <c r="Y768" s="356"/>
      <c r="Z768" s="356"/>
      <c r="AA768" s="356"/>
      <c r="AB768" s="356"/>
      <c r="AC768" s="356"/>
      <c r="AD768" s="356"/>
      <c r="AE768" s="356"/>
      <c r="AF768" s="356"/>
    </row>
    <row r="769">
      <c r="A769" s="341"/>
      <c r="B769" s="356"/>
      <c r="C769" s="456"/>
      <c r="D769" s="356"/>
      <c r="E769" s="452"/>
      <c r="F769" s="356"/>
      <c r="G769" s="356"/>
      <c r="H769" s="453"/>
      <c r="I769" s="453"/>
      <c r="J769" s="454"/>
      <c r="L769" s="454"/>
      <c r="M769" s="342"/>
      <c r="O769" s="356"/>
      <c r="P769" s="356"/>
      <c r="Q769" s="356"/>
      <c r="R769" s="356"/>
      <c r="S769" s="356"/>
      <c r="T769" s="356"/>
      <c r="U769" s="356"/>
      <c r="V769" s="356"/>
      <c r="W769" s="356"/>
      <c r="X769" s="356"/>
      <c r="Y769" s="356"/>
      <c r="Z769" s="356"/>
      <c r="AA769" s="356"/>
      <c r="AB769" s="356"/>
      <c r="AC769" s="356"/>
      <c r="AD769" s="356"/>
      <c r="AE769" s="356"/>
      <c r="AF769" s="356"/>
    </row>
    <row r="770">
      <c r="A770" s="341"/>
      <c r="B770" s="356"/>
      <c r="C770" s="456"/>
      <c r="D770" s="356"/>
      <c r="E770" s="452"/>
      <c r="F770" s="356"/>
      <c r="G770" s="356"/>
      <c r="H770" s="453"/>
      <c r="I770" s="453"/>
      <c r="J770" s="454"/>
      <c r="L770" s="454"/>
      <c r="M770" s="342"/>
      <c r="O770" s="356"/>
      <c r="P770" s="356"/>
      <c r="Q770" s="356"/>
      <c r="R770" s="356"/>
      <c r="S770" s="356"/>
      <c r="T770" s="356"/>
      <c r="U770" s="356"/>
      <c r="V770" s="356"/>
      <c r="W770" s="356"/>
      <c r="X770" s="356"/>
      <c r="Y770" s="356"/>
      <c r="Z770" s="356"/>
      <c r="AA770" s="356"/>
      <c r="AB770" s="356"/>
      <c r="AC770" s="356"/>
      <c r="AD770" s="356"/>
      <c r="AE770" s="356"/>
      <c r="AF770" s="356"/>
    </row>
    <row r="771">
      <c r="A771" s="341"/>
      <c r="B771" s="356"/>
      <c r="C771" s="456"/>
      <c r="D771" s="356"/>
      <c r="E771" s="452"/>
      <c r="F771" s="356"/>
      <c r="G771" s="356"/>
      <c r="H771" s="453"/>
      <c r="I771" s="453"/>
      <c r="J771" s="454"/>
      <c r="L771" s="454"/>
      <c r="M771" s="342"/>
      <c r="O771" s="356"/>
      <c r="P771" s="356"/>
      <c r="Q771" s="356"/>
      <c r="R771" s="356"/>
      <c r="S771" s="356"/>
      <c r="T771" s="356"/>
      <c r="U771" s="356"/>
      <c r="V771" s="356"/>
      <c r="W771" s="356"/>
      <c r="X771" s="356"/>
      <c r="Y771" s="356"/>
      <c r="Z771" s="356"/>
      <c r="AA771" s="356"/>
      <c r="AB771" s="356"/>
      <c r="AC771" s="356"/>
      <c r="AD771" s="356"/>
      <c r="AE771" s="356"/>
      <c r="AF771" s="356"/>
    </row>
    <row r="772">
      <c r="A772" s="341"/>
      <c r="B772" s="356"/>
      <c r="C772" s="456"/>
      <c r="D772" s="356"/>
      <c r="E772" s="452"/>
      <c r="F772" s="356"/>
      <c r="G772" s="356"/>
      <c r="H772" s="453"/>
      <c r="I772" s="453"/>
      <c r="J772" s="454"/>
      <c r="L772" s="454"/>
      <c r="M772" s="342"/>
      <c r="O772" s="356"/>
      <c r="P772" s="356"/>
      <c r="Q772" s="356"/>
      <c r="R772" s="356"/>
      <c r="S772" s="356"/>
      <c r="T772" s="356"/>
      <c r="U772" s="356"/>
      <c r="V772" s="356"/>
      <c r="W772" s="356"/>
      <c r="X772" s="356"/>
      <c r="Y772" s="356"/>
      <c r="Z772" s="356"/>
      <c r="AA772" s="356"/>
      <c r="AB772" s="356"/>
      <c r="AC772" s="356"/>
      <c r="AD772" s="356"/>
      <c r="AE772" s="356"/>
      <c r="AF772" s="356"/>
    </row>
    <row r="773">
      <c r="A773" s="341"/>
      <c r="B773" s="356"/>
      <c r="C773" s="456"/>
      <c r="D773" s="356"/>
      <c r="E773" s="452"/>
      <c r="F773" s="356"/>
      <c r="G773" s="356"/>
      <c r="H773" s="453"/>
      <c r="I773" s="453"/>
      <c r="J773" s="454"/>
      <c r="L773" s="454"/>
      <c r="M773" s="342"/>
      <c r="O773" s="356"/>
      <c r="P773" s="356"/>
      <c r="Q773" s="356"/>
      <c r="R773" s="356"/>
      <c r="S773" s="356"/>
      <c r="T773" s="356"/>
      <c r="U773" s="356"/>
      <c r="V773" s="356"/>
      <c r="W773" s="356"/>
      <c r="X773" s="356"/>
      <c r="Y773" s="356"/>
      <c r="Z773" s="356"/>
      <c r="AA773" s="356"/>
      <c r="AB773" s="356"/>
      <c r="AC773" s="356"/>
      <c r="AD773" s="356"/>
      <c r="AE773" s="356"/>
      <c r="AF773" s="356"/>
    </row>
    <row r="774">
      <c r="A774" s="341"/>
      <c r="B774" s="356"/>
      <c r="C774" s="456"/>
      <c r="D774" s="356"/>
      <c r="E774" s="452"/>
      <c r="F774" s="356"/>
      <c r="G774" s="356"/>
      <c r="H774" s="453"/>
      <c r="I774" s="453"/>
      <c r="J774" s="454"/>
      <c r="L774" s="454"/>
      <c r="M774" s="342"/>
      <c r="O774" s="356"/>
      <c r="P774" s="356"/>
      <c r="Q774" s="356"/>
      <c r="R774" s="356"/>
      <c r="S774" s="356"/>
      <c r="T774" s="356"/>
      <c r="U774" s="356"/>
      <c r="V774" s="356"/>
      <c r="W774" s="356"/>
      <c r="X774" s="356"/>
      <c r="Y774" s="356"/>
      <c r="Z774" s="356"/>
      <c r="AA774" s="356"/>
      <c r="AB774" s="356"/>
      <c r="AC774" s="356"/>
      <c r="AD774" s="356"/>
      <c r="AE774" s="356"/>
      <c r="AF774" s="356"/>
    </row>
    <row r="775">
      <c r="A775" s="341"/>
      <c r="B775" s="356"/>
      <c r="C775" s="456"/>
      <c r="D775" s="356"/>
      <c r="E775" s="452"/>
      <c r="F775" s="356"/>
      <c r="G775" s="356"/>
      <c r="H775" s="453"/>
      <c r="I775" s="453"/>
      <c r="J775" s="454"/>
      <c r="L775" s="454"/>
      <c r="M775" s="342"/>
      <c r="O775" s="356"/>
      <c r="P775" s="356"/>
      <c r="Q775" s="356"/>
      <c r="R775" s="356"/>
      <c r="S775" s="356"/>
      <c r="T775" s="356"/>
      <c r="U775" s="356"/>
      <c r="V775" s="356"/>
      <c r="W775" s="356"/>
      <c r="X775" s="356"/>
      <c r="Y775" s="356"/>
      <c r="Z775" s="356"/>
      <c r="AA775" s="356"/>
      <c r="AB775" s="356"/>
      <c r="AC775" s="356"/>
      <c r="AD775" s="356"/>
      <c r="AE775" s="356"/>
      <c r="AF775" s="356"/>
    </row>
    <row r="776">
      <c r="A776" s="341"/>
      <c r="B776" s="356"/>
      <c r="C776" s="456"/>
      <c r="D776" s="356"/>
      <c r="E776" s="452"/>
      <c r="F776" s="356"/>
      <c r="G776" s="356"/>
      <c r="H776" s="453"/>
      <c r="I776" s="453"/>
      <c r="J776" s="454"/>
      <c r="L776" s="454"/>
      <c r="M776" s="342"/>
      <c r="O776" s="356"/>
      <c r="P776" s="356"/>
      <c r="Q776" s="356"/>
      <c r="R776" s="356"/>
      <c r="S776" s="356"/>
      <c r="T776" s="356"/>
      <c r="U776" s="356"/>
      <c r="V776" s="356"/>
      <c r="W776" s="356"/>
      <c r="X776" s="356"/>
      <c r="Y776" s="356"/>
      <c r="Z776" s="356"/>
      <c r="AA776" s="356"/>
      <c r="AB776" s="356"/>
      <c r="AC776" s="356"/>
      <c r="AD776" s="356"/>
      <c r="AE776" s="356"/>
      <c r="AF776" s="356"/>
    </row>
    <row r="777">
      <c r="A777" s="341"/>
      <c r="B777" s="356"/>
      <c r="C777" s="456"/>
      <c r="D777" s="356"/>
      <c r="E777" s="452"/>
      <c r="F777" s="356"/>
      <c r="G777" s="356"/>
      <c r="H777" s="453"/>
      <c r="I777" s="453"/>
      <c r="J777" s="454"/>
      <c r="L777" s="454"/>
      <c r="M777" s="342"/>
      <c r="O777" s="356"/>
      <c r="P777" s="356"/>
      <c r="Q777" s="356"/>
      <c r="R777" s="356"/>
      <c r="S777" s="356"/>
      <c r="T777" s="356"/>
      <c r="U777" s="356"/>
      <c r="V777" s="356"/>
      <c r="W777" s="356"/>
      <c r="X777" s="356"/>
      <c r="Y777" s="356"/>
      <c r="Z777" s="356"/>
      <c r="AA777" s="356"/>
      <c r="AB777" s="356"/>
      <c r="AC777" s="356"/>
      <c r="AD777" s="356"/>
      <c r="AE777" s="356"/>
      <c r="AF777" s="356"/>
    </row>
    <row r="778">
      <c r="A778" s="341"/>
      <c r="B778" s="356"/>
      <c r="C778" s="456"/>
      <c r="D778" s="356"/>
      <c r="E778" s="452"/>
      <c r="F778" s="356"/>
      <c r="G778" s="356"/>
      <c r="H778" s="453"/>
      <c r="I778" s="453"/>
      <c r="J778" s="454"/>
      <c r="L778" s="454"/>
      <c r="M778" s="342"/>
      <c r="O778" s="356"/>
      <c r="P778" s="356"/>
      <c r="Q778" s="356"/>
      <c r="R778" s="356"/>
      <c r="S778" s="356"/>
      <c r="T778" s="356"/>
      <c r="U778" s="356"/>
      <c r="V778" s="356"/>
      <c r="W778" s="356"/>
      <c r="X778" s="356"/>
      <c r="Y778" s="356"/>
      <c r="Z778" s="356"/>
      <c r="AA778" s="356"/>
      <c r="AB778" s="356"/>
      <c r="AC778" s="356"/>
      <c r="AD778" s="356"/>
      <c r="AE778" s="356"/>
      <c r="AF778" s="356"/>
    </row>
    <row r="779">
      <c r="A779" s="341"/>
      <c r="B779" s="356"/>
      <c r="C779" s="456"/>
      <c r="D779" s="356"/>
      <c r="E779" s="452"/>
      <c r="F779" s="356"/>
      <c r="G779" s="356"/>
      <c r="H779" s="453"/>
      <c r="I779" s="453"/>
      <c r="J779" s="454"/>
      <c r="L779" s="454"/>
      <c r="M779" s="342"/>
      <c r="O779" s="356"/>
      <c r="P779" s="356"/>
      <c r="Q779" s="356"/>
      <c r="R779" s="356"/>
      <c r="S779" s="356"/>
      <c r="T779" s="356"/>
      <c r="U779" s="356"/>
      <c r="V779" s="356"/>
      <c r="W779" s="356"/>
      <c r="X779" s="356"/>
      <c r="Y779" s="356"/>
      <c r="Z779" s="356"/>
      <c r="AA779" s="356"/>
      <c r="AB779" s="356"/>
      <c r="AC779" s="356"/>
      <c r="AD779" s="356"/>
      <c r="AE779" s="356"/>
      <c r="AF779" s="356"/>
    </row>
    <row r="780">
      <c r="A780" s="341"/>
      <c r="B780" s="356"/>
      <c r="C780" s="456"/>
      <c r="D780" s="356"/>
      <c r="E780" s="452"/>
      <c r="F780" s="356"/>
      <c r="G780" s="356"/>
      <c r="H780" s="453"/>
      <c r="I780" s="453"/>
      <c r="J780" s="454"/>
      <c r="L780" s="454"/>
      <c r="M780" s="342"/>
      <c r="O780" s="356"/>
      <c r="P780" s="356"/>
      <c r="Q780" s="356"/>
      <c r="R780" s="356"/>
      <c r="S780" s="356"/>
      <c r="T780" s="356"/>
      <c r="U780" s="356"/>
      <c r="V780" s="356"/>
      <c r="W780" s="356"/>
      <c r="X780" s="356"/>
      <c r="Y780" s="356"/>
      <c r="Z780" s="356"/>
      <c r="AA780" s="356"/>
      <c r="AB780" s="356"/>
      <c r="AC780" s="356"/>
      <c r="AD780" s="356"/>
      <c r="AE780" s="356"/>
      <c r="AF780" s="356"/>
    </row>
    <row r="781">
      <c r="A781" s="341"/>
      <c r="B781" s="356"/>
      <c r="C781" s="456"/>
      <c r="D781" s="356"/>
      <c r="E781" s="452"/>
      <c r="F781" s="356"/>
      <c r="G781" s="356"/>
      <c r="H781" s="453"/>
      <c r="I781" s="453"/>
      <c r="J781" s="454"/>
      <c r="L781" s="454"/>
      <c r="M781" s="342"/>
      <c r="O781" s="356"/>
      <c r="P781" s="356"/>
      <c r="Q781" s="356"/>
      <c r="R781" s="356"/>
      <c r="S781" s="356"/>
      <c r="T781" s="356"/>
      <c r="U781" s="356"/>
      <c r="V781" s="356"/>
      <c r="W781" s="356"/>
      <c r="X781" s="356"/>
      <c r="Y781" s="356"/>
      <c r="Z781" s="356"/>
      <c r="AA781" s="356"/>
      <c r="AB781" s="356"/>
      <c r="AC781" s="356"/>
      <c r="AD781" s="356"/>
      <c r="AE781" s="356"/>
      <c r="AF781" s="356"/>
    </row>
    <row r="782">
      <c r="A782" s="341"/>
      <c r="B782" s="356"/>
      <c r="C782" s="456"/>
      <c r="D782" s="356"/>
      <c r="E782" s="452"/>
      <c r="F782" s="356"/>
      <c r="G782" s="356"/>
      <c r="H782" s="453"/>
      <c r="I782" s="453"/>
      <c r="J782" s="454"/>
      <c r="L782" s="454"/>
      <c r="M782" s="342"/>
      <c r="O782" s="356"/>
      <c r="P782" s="356"/>
      <c r="Q782" s="356"/>
      <c r="R782" s="356"/>
      <c r="S782" s="356"/>
      <c r="T782" s="356"/>
      <c r="U782" s="356"/>
      <c r="V782" s="356"/>
      <c r="W782" s="356"/>
      <c r="X782" s="356"/>
      <c r="Y782" s="356"/>
      <c r="Z782" s="356"/>
      <c r="AA782" s="356"/>
      <c r="AB782" s="356"/>
      <c r="AC782" s="356"/>
      <c r="AD782" s="356"/>
      <c r="AE782" s="356"/>
      <c r="AF782" s="356"/>
    </row>
    <row r="783">
      <c r="A783" s="341"/>
      <c r="B783" s="356"/>
      <c r="C783" s="456"/>
      <c r="D783" s="356"/>
      <c r="E783" s="452"/>
      <c r="F783" s="356"/>
      <c r="G783" s="356"/>
      <c r="H783" s="453"/>
      <c r="I783" s="453"/>
      <c r="J783" s="454"/>
      <c r="L783" s="454"/>
      <c r="M783" s="342"/>
      <c r="O783" s="356"/>
      <c r="P783" s="356"/>
      <c r="Q783" s="356"/>
      <c r="R783" s="356"/>
      <c r="S783" s="356"/>
      <c r="T783" s="356"/>
      <c r="U783" s="356"/>
      <c r="V783" s="356"/>
      <c r="W783" s="356"/>
      <c r="X783" s="356"/>
      <c r="Y783" s="356"/>
      <c r="Z783" s="356"/>
      <c r="AA783" s="356"/>
      <c r="AB783" s="356"/>
      <c r="AC783" s="356"/>
      <c r="AD783" s="356"/>
      <c r="AE783" s="356"/>
      <c r="AF783" s="356"/>
    </row>
    <row r="784">
      <c r="A784" s="341"/>
      <c r="B784" s="356"/>
      <c r="C784" s="456"/>
      <c r="D784" s="356"/>
      <c r="E784" s="452"/>
      <c r="F784" s="356"/>
      <c r="G784" s="356"/>
      <c r="H784" s="453"/>
      <c r="I784" s="453"/>
      <c r="J784" s="454"/>
      <c r="L784" s="454"/>
      <c r="M784" s="342"/>
      <c r="O784" s="356"/>
      <c r="P784" s="356"/>
      <c r="Q784" s="356"/>
      <c r="R784" s="356"/>
      <c r="S784" s="356"/>
      <c r="T784" s="356"/>
      <c r="U784" s="356"/>
      <c r="V784" s="356"/>
      <c r="W784" s="356"/>
      <c r="X784" s="356"/>
      <c r="Y784" s="356"/>
      <c r="Z784" s="356"/>
      <c r="AA784" s="356"/>
      <c r="AB784" s="356"/>
      <c r="AC784" s="356"/>
      <c r="AD784" s="356"/>
      <c r="AE784" s="356"/>
      <c r="AF784" s="356"/>
    </row>
    <row r="785">
      <c r="A785" s="341"/>
      <c r="B785" s="356"/>
      <c r="C785" s="456"/>
      <c r="D785" s="356"/>
      <c r="E785" s="452"/>
      <c r="F785" s="356"/>
      <c r="G785" s="356"/>
      <c r="H785" s="453"/>
      <c r="I785" s="453"/>
      <c r="J785" s="454"/>
      <c r="L785" s="454"/>
      <c r="M785" s="342"/>
      <c r="O785" s="356"/>
      <c r="P785" s="356"/>
      <c r="Q785" s="356"/>
      <c r="R785" s="356"/>
      <c r="S785" s="356"/>
      <c r="T785" s="356"/>
      <c r="U785" s="356"/>
      <c r="V785" s="356"/>
      <c r="W785" s="356"/>
      <c r="X785" s="356"/>
      <c r="Y785" s="356"/>
      <c r="Z785" s="356"/>
      <c r="AA785" s="356"/>
      <c r="AB785" s="356"/>
      <c r="AC785" s="356"/>
      <c r="AD785" s="356"/>
      <c r="AE785" s="356"/>
      <c r="AF785" s="356"/>
    </row>
    <row r="786">
      <c r="A786" s="341"/>
      <c r="B786" s="356"/>
      <c r="C786" s="456"/>
      <c r="D786" s="356"/>
      <c r="E786" s="452"/>
      <c r="F786" s="356"/>
      <c r="G786" s="356"/>
      <c r="H786" s="453"/>
      <c r="I786" s="453"/>
      <c r="J786" s="454"/>
      <c r="L786" s="454"/>
      <c r="M786" s="342"/>
      <c r="O786" s="356"/>
      <c r="P786" s="356"/>
      <c r="Q786" s="356"/>
      <c r="R786" s="356"/>
      <c r="S786" s="356"/>
      <c r="T786" s="356"/>
      <c r="U786" s="356"/>
      <c r="V786" s="356"/>
      <c r="W786" s="356"/>
      <c r="X786" s="356"/>
      <c r="Y786" s="356"/>
      <c r="Z786" s="356"/>
      <c r="AA786" s="356"/>
      <c r="AB786" s="356"/>
      <c r="AC786" s="356"/>
      <c r="AD786" s="356"/>
      <c r="AE786" s="356"/>
      <c r="AF786" s="356"/>
    </row>
    <row r="787">
      <c r="A787" s="341"/>
      <c r="B787" s="356"/>
      <c r="C787" s="456"/>
      <c r="D787" s="356"/>
      <c r="E787" s="452"/>
      <c r="F787" s="356"/>
      <c r="G787" s="356"/>
      <c r="H787" s="453"/>
      <c r="I787" s="453"/>
      <c r="J787" s="454"/>
      <c r="L787" s="454"/>
      <c r="M787" s="342"/>
      <c r="O787" s="356"/>
      <c r="P787" s="356"/>
      <c r="Q787" s="356"/>
      <c r="R787" s="356"/>
      <c r="S787" s="356"/>
      <c r="T787" s="356"/>
      <c r="U787" s="356"/>
      <c r="V787" s="356"/>
      <c r="W787" s="356"/>
      <c r="X787" s="356"/>
      <c r="Y787" s="356"/>
      <c r="Z787" s="356"/>
      <c r="AA787" s="356"/>
      <c r="AB787" s="356"/>
      <c r="AC787" s="356"/>
      <c r="AD787" s="356"/>
      <c r="AE787" s="356"/>
      <c r="AF787" s="356"/>
    </row>
    <row r="788">
      <c r="A788" s="341"/>
      <c r="B788" s="356"/>
      <c r="C788" s="456"/>
      <c r="D788" s="356"/>
      <c r="E788" s="452"/>
      <c r="F788" s="356"/>
      <c r="G788" s="356"/>
      <c r="H788" s="453"/>
      <c r="I788" s="453"/>
      <c r="J788" s="454"/>
      <c r="L788" s="454"/>
      <c r="M788" s="342"/>
      <c r="O788" s="356"/>
      <c r="P788" s="356"/>
      <c r="Q788" s="356"/>
      <c r="R788" s="356"/>
      <c r="S788" s="356"/>
      <c r="T788" s="356"/>
      <c r="U788" s="356"/>
      <c r="V788" s="356"/>
      <c r="W788" s="356"/>
      <c r="X788" s="356"/>
      <c r="Y788" s="356"/>
      <c r="Z788" s="356"/>
      <c r="AA788" s="356"/>
      <c r="AB788" s="356"/>
      <c r="AC788" s="356"/>
      <c r="AD788" s="356"/>
      <c r="AE788" s="356"/>
      <c r="AF788" s="356"/>
    </row>
    <row r="789">
      <c r="A789" s="341"/>
      <c r="B789" s="356"/>
      <c r="C789" s="456"/>
      <c r="D789" s="356"/>
      <c r="E789" s="452"/>
      <c r="F789" s="356"/>
      <c r="G789" s="356"/>
      <c r="H789" s="453"/>
      <c r="I789" s="453"/>
      <c r="J789" s="454"/>
      <c r="L789" s="454"/>
      <c r="M789" s="342"/>
      <c r="O789" s="356"/>
      <c r="P789" s="356"/>
      <c r="Q789" s="356"/>
      <c r="R789" s="356"/>
      <c r="S789" s="356"/>
      <c r="T789" s="356"/>
      <c r="U789" s="356"/>
      <c r="V789" s="356"/>
      <c r="W789" s="356"/>
      <c r="X789" s="356"/>
      <c r="Y789" s="356"/>
      <c r="Z789" s="356"/>
      <c r="AA789" s="356"/>
      <c r="AB789" s="356"/>
      <c r="AC789" s="356"/>
      <c r="AD789" s="356"/>
      <c r="AE789" s="356"/>
      <c r="AF789" s="356"/>
    </row>
    <row r="790">
      <c r="A790" s="341"/>
      <c r="B790" s="356"/>
      <c r="C790" s="456"/>
      <c r="D790" s="356"/>
      <c r="E790" s="452"/>
      <c r="F790" s="356"/>
      <c r="G790" s="356"/>
      <c r="H790" s="453"/>
      <c r="I790" s="453"/>
      <c r="J790" s="454"/>
      <c r="L790" s="454"/>
      <c r="M790" s="342"/>
      <c r="O790" s="356"/>
      <c r="P790" s="356"/>
      <c r="Q790" s="356"/>
      <c r="R790" s="356"/>
      <c r="S790" s="356"/>
      <c r="T790" s="356"/>
      <c r="U790" s="356"/>
      <c r="V790" s="356"/>
      <c r="W790" s="356"/>
      <c r="X790" s="356"/>
      <c r="Y790" s="356"/>
      <c r="Z790" s="356"/>
      <c r="AA790" s="356"/>
      <c r="AB790" s="356"/>
      <c r="AC790" s="356"/>
      <c r="AD790" s="356"/>
      <c r="AE790" s="356"/>
      <c r="AF790" s="356"/>
    </row>
    <row r="791">
      <c r="A791" s="341"/>
      <c r="B791" s="356"/>
      <c r="C791" s="456"/>
      <c r="D791" s="356"/>
      <c r="E791" s="452"/>
      <c r="F791" s="356"/>
      <c r="G791" s="356"/>
      <c r="H791" s="453"/>
      <c r="I791" s="453"/>
      <c r="J791" s="454"/>
      <c r="L791" s="454"/>
      <c r="M791" s="342"/>
      <c r="O791" s="356"/>
      <c r="P791" s="356"/>
      <c r="Q791" s="356"/>
      <c r="R791" s="356"/>
      <c r="S791" s="356"/>
      <c r="T791" s="356"/>
      <c r="U791" s="356"/>
      <c r="V791" s="356"/>
      <c r="W791" s="356"/>
      <c r="X791" s="356"/>
      <c r="Y791" s="356"/>
      <c r="Z791" s="356"/>
      <c r="AA791" s="356"/>
      <c r="AB791" s="356"/>
      <c r="AC791" s="356"/>
      <c r="AD791" s="356"/>
      <c r="AE791" s="356"/>
      <c r="AF791" s="356"/>
    </row>
    <row r="792">
      <c r="A792" s="341"/>
      <c r="B792" s="356"/>
      <c r="C792" s="456"/>
      <c r="D792" s="356"/>
      <c r="E792" s="452"/>
      <c r="F792" s="356"/>
      <c r="G792" s="356"/>
      <c r="H792" s="453"/>
      <c r="I792" s="453"/>
      <c r="J792" s="454"/>
      <c r="L792" s="454"/>
      <c r="M792" s="342"/>
      <c r="O792" s="356"/>
      <c r="P792" s="356"/>
      <c r="Q792" s="356"/>
      <c r="R792" s="356"/>
      <c r="S792" s="356"/>
      <c r="T792" s="356"/>
      <c r="U792" s="356"/>
      <c r="V792" s="356"/>
      <c r="W792" s="356"/>
      <c r="X792" s="356"/>
      <c r="Y792" s="356"/>
      <c r="Z792" s="356"/>
      <c r="AA792" s="356"/>
      <c r="AB792" s="356"/>
      <c r="AC792" s="356"/>
      <c r="AD792" s="356"/>
      <c r="AE792" s="356"/>
      <c r="AF792" s="356"/>
    </row>
    <row r="793">
      <c r="A793" s="341"/>
      <c r="B793" s="356"/>
      <c r="C793" s="456"/>
      <c r="D793" s="356"/>
      <c r="E793" s="452"/>
      <c r="F793" s="356"/>
      <c r="G793" s="356"/>
      <c r="H793" s="453"/>
      <c r="I793" s="453"/>
      <c r="J793" s="454"/>
      <c r="L793" s="454"/>
      <c r="M793" s="342"/>
      <c r="O793" s="356"/>
      <c r="P793" s="356"/>
      <c r="Q793" s="356"/>
      <c r="R793" s="356"/>
      <c r="S793" s="356"/>
      <c r="T793" s="356"/>
      <c r="U793" s="356"/>
      <c r="V793" s="356"/>
      <c r="W793" s="356"/>
      <c r="X793" s="356"/>
      <c r="Y793" s="356"/>
      <c r="Z793" s="356"/>
      <c r="AA793" s="356"/>
      <c r="AB793" s="356"/>
      <c r="AC793" s="356"/>
      <c r="AD793" s="356"/>
      <c r="AE793" s="356"/>
      <c r="AF793" s="356"/>
    </row>
    <row r="794">
      <c r="A794" s="341"/>
      <c r="B794" s="356"/>
      <c r="C794" s="456"/>
      <c r="D794" s="356"/>
      <c r="E794" s="452"/>
      <c r="F794" s="356"/>
      <c r="G794" s="356"/>
      <c r="H794" s="453"/>
      <c r="I794" s="453"/>
      <c r="J794" s="454"/>
      <c r="L794" s="454"/>
      <c r="M794" s="342"/>
      <c r="O794" s="356"/>
      <c r="P794" s="356"/>
      <c r="Q794" s="356"/>
      <c r="R794" s="356"/>
      <c r="S794" s="356"/>
      <c r="T794" s="356"/>
      <c r="U794" s="356"/>
      <c r="V794" s="356"/>
      <c r="W794" s="356"/>
      <c r="X794" s="356"/>
      <c r="Y794" s="356"/>
      <c r="Z794" s="356"/>
      <c r="AA794" s="356"/>
      <c r="AB794" s="356"/>
      <c r="AC794" s="356"/>
      <c r="AD794" s="356"/>
      <c r="AE794" s="356"/>
      <c r="AF794" s="356"/>
    </row>
    <row r="795">
      <c r="A795" s="341"/>
      <c r="B795" s="356"/>
      <c r="C795" s="456"/>
      <c r="D795" s="356"/>
      <c r="E795" s="452"/>
      <c r="F795" s="356"/>
      <c r="G795" s="356"/>
      <c r="H795" s="453"/>
      <c r="I795" s="453"/>
      <c r="J795" s="454"/>
      <c r="L795" s="454"/>
      <c r="M795" s="342"/>
      <c r="O795" s="356"/>
      <c r="P795" s="356"/>
      <c r="Q795" s="356"/>
      <c r="R795" s="356"/>
      <c r="S795" s="356"/>
      <c r="T795" s="356"/>
      <c r="U795" s="356"/>
      <c r="V795" s="356"/>
      <c r="W795" s="356"/>
      <c r="X795" s="356"/>
      <c r="Y795" s="356"/>
      <c r="Z795" s="356"/>
      <c r="AA795" s="356"/>
      <c r="AB795" s="356"/>
      <c r="AC795" s="356"/>
      <c r="AD795" s="356"/>
      <c r="AE795" s="356"/>
      <c r="AF795" s="356"/>
    </row>
    <row r="796">
      <c r="A796" s="341"/>
      <c r="B796" s="356"/>
      <c r="C796" s="456"/>
      <c r="D796" s="356"/>
      <c r="E796" s="452"/>
      <c r="F796" s="356"/>
      <c r="G796" s="356"/>
      <c r="H796" s="453"/>
      <c r="I796" s="453"/>
      <c r="J796" s="454"/>
      <c r="L796" s="454"/>
      <c r="M796" s="342"/>
      <c r="O796" s="356"/>
      <c r="P796" s="356"/>
      <c r="Q796" s="356"/>
      <c r="R796" s="356"/>
      <c r="S796" s="356"/>
      <c r="T796" s="356"/>
      <c r="U796" s="356"/>
      <c r="V796" s="356"/>
      <c r="W796" s="356"/>
      <c r="X796" s="356"/>
      <c r="Y796" s="356"/>
      <c r="Z796" s="356"/>
      <c r="AA796" s="356"/>
      <c r="AB796" s="356"/>
      <c r="AC796" s="356"/>
      <c r="AD796" s="356"/>
      <c r="AE796" s="356"/>
      <c r="AF796" s="356"/>
    </row>
    <row r="797">
      <c r="A797" s="341"/>
      <c r="B797" s="356"/>
      <c r="C797" s="456"/>
      <c r="D797" s="356"/>
      <c r="E797" s="452"/>
      <c r="F797" s="356"/>
      <c r="G797" s="356"/>
      <c r="H797" s="453"/>
      <c r="I797" s="453"/>
      <c r="J797" s="454"/>
      <c r="L797" s="454"/>
      <c r="M797" s="342"/>
      <c r="O797" s="356"/>
      <c r="P797" s="356"/>
      <c r="Q797" s="356"/>
      <c r="R797" s="356"/>
      <c r="S797" s="356"/>
      <c r="T797" s="356"/>
      <c r="U797" s="356"/>
      <c r="V797" s="356"/>
      <c r="W797" s="356"/>
      <c r="X797" s="356"/>
      <c r="Y797" s="356"/>
      <c r="Z797" s="356"/>
      <c r="AA797" s="356"/>
      <c r="AB797" s="356"/>
      <c r="AC797" s="356"/>
      <c r="AD797" s="356"/>
      <c r="AE797" s="356"/>
      <c r="AF797" s="356"/>
    </row>
    <row r="798">
      <c r="A798" s="341"/>
      <c r="B798" s="356"/>
      <c r="C798" s="456"/>
      <c r="D798" s="356"/>
      <c r="E798" s="452"/>
      <c r="F798" s="356"/>
      <c r="G798" s="356"/>
      <c r="H798" s="453"/>
      <c r="I798" s="453"/>
      <c r="J798" s="454"/>
      <c r="L798" s="454"/>
      <c r="M798" s="342"/>
      <c r="O798" s="356"/>
      <c r="P798" s="356"/>
      <c r="Q798" s="356"/>
      <c r="R798" s="356"/>
      <c r="S798" s="356"/>
      <c r="T798" s="356"/>
      <c r="U798" s="356"/>
      <c r="V798" s="356"/>
      <c r="W798" s="356"/>
      <c r="X798" s="356"/>
      <c r="Y798" s="356"/>
      <c r="Z798" s="356"/>
      <c r="AA798" s="356"/>
      <c r="AB798" s="356"/>
      <c r="AC798" s="356"/>
      <c r="AD798" s="356"/>
      <c r="AE798" s="356"/>
      <c r="AF798" s="356"/>
    </row>
    <row r="799">
      <c r="A799" s="341"/>
      <c r="B799" s="356"/>
      <c r="C799" s="456"/>
      <c r="D799" s="356"/>
      <c r="E799" s="452"/>
      <c r="F799" s="356"/>
      <c r="G799" s="356"/>
      <c r="H799" s="453"/>
      <c r="I799" s="453"/>
      <c r="J799" s="454"/>
      <c r="L799" s="454"/>
      <c r="M799" s="342"/>
      <c r="O799" s="356"/>
      <c r="P799" s="356"/>
      <c r="Q799" s="356"/>
      <c r="R799" s="356"/>
      <c r="S799" s="356"/>
      <c r="T799" s="356"/>
      <c r="U799" s="356"/>
      <c r="V799" s="356"/>
      <c r="W799" s="356"/>
      <c r="X799" s="356"/>
      <c r="Y799" s="356"/>
      <c r="Z799" s="356"/>
      <c r="AA799" s="356"/>
      <c r="AB799" s="356"/>
      <c r="AC799" s="356"/>
      <c r="AD799" s="356"/>
      <c r="AE799" s="356"/>
      <c r="AF799" s="356"/>
    </row>
    <row r="800">
      <c r="A800" s="341"/>
      <c r="B800" s="356"/>
      <c r="C800" s="456"/>
      <c r="D800" s="356"/>
      <c r="E800" s="452"/>
      <c r="F800" s="356"/>
      <c r="G800" s="356"/>
      <c r="H800" s="453"/>
      <c r="I800" s="453"/>
      <c r="J800" s="454"/>
      <c r="L800" s="454"/>
      <c r="M800" s="342"/>
      <c r="O800" s="356"/>
      <c r="P800" s="356"/>
      <c r="Q800" s="356"/>
      <c r="R800" s="356"/>
      <c r="S800" s="356"/>
      <c r="T800" s="356"/>
      <c r="U800" s="356"/>
      <c r="V800" s="356"/>
      <c r="W800" s="356"/>
      <c r="X800" s="356"/>
      <c r="Y800" s="356"/>
      <c r="Z800" s="356"/>
      <c r="AA800" s="356"/>
      <c r="AB800" s="356"/>
      <c r="AC800" s="356"/>
      <c r="AD800" s="356"/>
      <c r="AE800" s="356"/>
      <c r="AF800" s="356"/>
    </row>
    <row r="801">
      <c r="A801" s="341"/>
      <c r="B801" s="356"/>
      <c r="C801" s="456"/>
      <c r="D801" s="356"/>
      <c r="E801" s="452"/>
      <c r="F801" s="356"/>
      <c r="G801" s="356"/>
      <c r="H801" s="453"/>
      <c r="I801" s="453"/>
      <c r="J801" s="454"/>
      <c r="L801" s="454"/>
      <c r="M801" s="342"/>
      <c r="O801" s="356"/>
      <c r="P801" s="356"/>
      <c r="Q801" s="356"/>
      <c r="R801" s="356"/>
      <c r="S801" s="356"/>
      <c r="T801" s="356"/>
      <c r="U801" s="356"/>
      <c r="V801" s="356"/>
      <c r="W801" s="356"/>
      <c r="X801" s="356"/>
      <c r="Y801" s="356"/>
      <c r="Z801" s="356"/>
      <c r="AA801" s="356"/>
      <c r="AB801" s="356"/>
      <c r="AC801" s="356"/>
      <c r="AD801" s="356"/>
      <c r="AE801" s="356"/>
      <c r="AF801" s="356"/>
    </row>
    <row r="802">
      <c r="A802" s="341"/>
      <c r="B802" s="356"/>
      <c r="C802" s="456"/>
      <c r="D802" s="356"/>
      <c r="E802" s="452"/>
      <c r="F802" s="356"/>
      <c r="G802" s="356"/>
      <c r="H802" s="453"/>
      <c r="I802" s="453"/>
      <c r="J802" s="454"/>
      <c r="L802" s="454"/>
      <c r="M802" s="342"/>
      <c r="O802" s="356"/>
      <c r="P802" s="356"/>
      <c r="Q802" s="356"/>
      <c r="R802" s="356"/>
      <c r="S802" s="356"/>
      <c r="T802" s="356"/>
      <c r="U802" s="356"/>
      <c r="V802" s="356"/>
      <c r="W802" s="356"/>
      <c r="X802" s="356"/>
      <c r="Y802" s="356"/>
      <c r="Z802" s="356"/>
      <c r="AA802" s="356"/>
      <c r="AB802" s="356"/>
      <c r="AC802" s="356"/>
      <c r="AD802" s="356"/>
      <c r="AE802" s="356"/>
      <c r="AF802" s="356"/>
    </row>
    <row r="803">
      <c r="A803" s="341"/>
      <c r="B803" s="356"/>
      <c r="C803" s="456"/>
      <c r="D803" s="356"/>
      <c r="E803" s="452"/>
      <c r="F803" s="356"/>
      <c r="G803" s="356"/>
      <c r="H803" s="453"/>
      <c r="I803" s="453"/>
      <c r="J803" s="454"/>
      <c r="L803" s="454"/>
      <c r="M803" s="342"/>
      <c r="O803" s="356"/>
      <c r="P803" s="356"/>
      <c r="Q803" s="356"/>
      <c r="R803" s="356"/>
      <c r="S803" s="356"/>
      <c r="T803" s="356"/>
      <c r="U803" s="356"/>
      <c r="V803" s="356"/>
      <c r="W803" s="356"/>
      <c r="X803" s="356"/>
      <c r="Y803" s="356"/>
      <c r="Z803" s="356"/>
      <c r="AA803" s="356"/>
      <c r="AB803" s="356"/>
      <c r="AC803" s="356"/>
      <c r="AD803" s="356"/>
      <c r="AE803" s="356"/>
      <c r="AF803" s="356"/>
    </row>
    <row r="804">
      <c r="A804" s="341"/>
      <c r="B804" s="356"/>
      <c r="C804" s="456"/>
      <c r="D804" s="356"/>
      <c r="E804" s="452"/>
      <c r="F804" s="356"/>
      <c r="G804" s="356"/>
      <c r="H804" s="453"/>
      <c r="I804" s="453"/>
      <c r="J804" s="454"/>
      <c r="L804" s="454"/>
      <c r="M804" s="342"/>
      <c r="O804" s="356"/>
      <c r="P804" s="356"/>
      <c r="Q804" s="356"/>
      <c r="R804" s="356"/>
      <c r="S804" s="356"/>
      <c r="T804" s="356"/>
      <c r="U804" s="356"/>
      <c r="V804" s="356"/>
      <c r="W804" s="356"/>
      <c r="X804" s="356"/>
      <c r="Y804" s="356"/>
      <c r="Z804" s="356"/>
      <c r="AA804" s="356"/>
      <c r="AB804" s="356"/>
      <c r="AC804" s="356"/>
      <c r="AD804" s="356"/>
      <c r="AE804" s="356"/>
      <c r="AF804" s="356"/>
    </row>
    <row r="805">
      <c r="A805" s="341"/>
      <c r="B805" s="356"/>
      <c r="C805" s="456"/>
      <c r="D805" s="356"/>
      <c r="E805" s="452"/>
      <c r="F805" s="356"/>
      <c r="G805" s="356"/>
      <c r="H805" s="453"/>
      <c r="I805" s="453"/>
      <c r="J805" s="454"/>
      <c r="L805" s="454"/>
      <c r="M805" s="342"/>
      <c r="O805" s="356"/>
      <c r="P805" s="356"/>
      <c r="Q805" s="356"/>
      <c r="R805" s="356"/>
      <c r="S805" s="356"/>
      <c r="T805" s="356"/>
      <c r="U805" s="356"/>
      <c r="V805" s="356"/>
      <c r="W805" s="356"/>
      <c r="X805" s="356"/>
      <c r="Y805" s="356"/>
      <c r="Z805" s="356"/>
      <c r="AA805" s="356"/>
      <c r="AB805" s="356"/>
      <c r="AC805" s="356"/>
      <c r="AD805" s="356"/>
      <c r="AE805" s="356"/>
      <c r="AF805" s="356"/>
    </row>
    <row r="806">
      <c r="A806" s="341"/>
      <c r="B806" s="356"/>
      <c r="C806" s="456"/>
      <c r="D806" s="356"/>
      <c r="E806" s="452"/>
      <c r="F806" s="356"/>
      <c r="G806" s="356"/>
      <c r="H806" s="453"/>
      <c r="I806" s="453"/>
      <c r="J806" s="454"/>
      <c r="L806" s="454"/>
      <c r="M806" s="342"/>
      <c r="O806" s="356"/>
      <c r="P806" s="356"/>
      <c r="Q806" s="356"/>
      <c r="R806" s="356"/>
      <c r="S806" s="356"/>
      <c r="T806" s="356"/>
      <c r="U806" s="356"/>
      <c r="V806" s="356"/>
      <c r="W806" s="356"/>
      <c r="X806" s="356"/>
      <c r="Y806" s="356"/>
      <c r="Z806" s="356"/>
      <c r="AA806" s="356"/>
      <c r="AB806" s="356"/>
      <c r="AC806" s="356"/>
      <c r="AD806" s="356"/>
      <c r="AE806" s="356"/>
      <c r="AF806" s="356"/>
    </row>
    <row r="807">
      <c r="A807" s="341"/>
      <c r="B807" s="356"/>
      <c r="C807" s="456"/>
      <c r="D807" s="356"/>
      <c r="E807" s="452"/>
      <c r="F807" s="356"/>
      <c r="G807" s="356"/>
      <c r="H807" s="453"/>
      <c r="I807" s="453"/>
      <c r="J807" s="454"/>
      <c r="L807" s="454"/>
      <c r="M807" s="342"/>
      <c r="O807" s="356"/>
      <c r="P807" s="356"/>
      <c r="Q807" s="356"/>
      <c r="R807" s="356"/>
      <c r="S807" s="356"/>
      <c r="T807" s="356"/>
      <c r="U807" s="356"/>
      <c r="V807" s="356"/>
      <c r="W807" s="356"/>
      <c r="X807" s="356"/>
      <c r="Y807" s="356"/>
      <c r="Z807" s="356"/>
      <c r="AA807" s="356"/>
      <c r="AB807" s="356"/>
      <c r="AC807" s="356"/>
      <c r="AD807" s="356"/>
      <c r="AE807" s="356"/>
      <c r="AF807" s="356"/>
    </row>
    <row r="808">
      <c r="A808" s="341"/>
      <c r="B808" s="356"/>
      <c r="C808" s="456"/>
      <c r="D808" s="356"/>
      <c r="E808" s="452"/>
      <c r="F808" s="356"/>
      <c r="G808" s="356"/>
      <c r="H808" s="453"/>
      <c r="I808" s="453"/>
      <c r="J808" s="454"/>
      <c r="L808" s="454"/>
      <c r="M808" s="342"/>
      <c r="O808" s="356"/>
      <c r="P808" s="356"/>
      <c r="Q808" s="356"/>
      <c r="R808" s="356"/>
      <c r="S808" s="356"/>
      <c r="T808" s="356"/>
      <c r="U808" s="356"/>
      <c r="V808" s="356"/>
      <c r="W808" s="356"/>
      <c r="X808" s="356"/>
      <c r="Y808" s="356"/>
      <c r="Z808" s="356"/>
      <c r="AA808" s="356"/>
      <c r="AB808" s="356"/>
      <c r="AC808" s="356"/>
      <c r="AD808" s="356"/>
      <c r="AE808" s="356"/>
      <c r="AF808" s="356"/>
    </row>
    <row r="809">
      <c r="A809" s="341"/>
      <c r="B809" s="356"/>
      <c r="C809" s="456"/>
      <c r="D809" s="356"/>
      <c r="E809" s="452"/>
      <c r="F809" s="356"/>
      <c r="G809" s="356"/>
      <c r="H809" s="453"/>
      <c r="I809" s="453"/>
      <c r="J809" s="454"/>
      <c r="L809" s="454"/>
      <c r="M809" s="342"/>
      <c r="O809" s="356"/>
      <c r="P809" s="356"/>
      <c r="Q809" s="356"/>
      <c r="R809" s="356"/>
      <c r="S809" s="356"/>
      <c r="T809" s="356"/>
      <c r="U809" s="356"/>
      <c r="V809" s="356"/>
      <c r="W809" s="356"/>
      <c r="X809" s="356"/>
      <c r="Y809" s="356"/>
      <c r="Z809" s="356"/>
      <c r="AA809" s="356"/>
      <c r="AB809" s="356"/>
      <c r="AC809" s="356"/>
      <c r="AD809" s="356"/>
      <c r="AE809" s="356"/>
      <c r="AF809" s="356"/>
    </row>
    <row r="810">
      <c r="A810" s="341"/>
      <c r="B810" s="356"/>
      <c r="C810" s="456"/>
      <c r="D810" s="356"/>
      <c r="E810" s="452"/>
      <c r="F810" s="356"/>
      <c r="G810" s="356"/>
      <c r="H810" s="453"/>
      <c r="I810" s="453"/>
      <c r="J810" s="454"/>
      <c r="L810" s="454"/>
      <c r="M810" s="342"/>
      <c r="O810" s="356"/>
      <c r="P810" s="356"/>
      <c r="Q810" s="356"/>
      <c r="R810" s="356"/>
      <c r="S810" s="356"/>
      <c r="T810" s="356"/>
      <c r="U810" s="356"/>
      <c r="V810" s="356"/>
      <c r="W810" s="356"/>
      <c r="X810" s="356"/>
      <c r="Y810" s="356"/>
      <c r="Z810" s="356"/>
      <c r="AA810" s="356"/>
      <c r="AB810" s="356"/>
      <c r="AC810" s="356"/>
      <c r="AD810" s="356"/>
      <c r="AE810" s="356"/>
      <c r="AF810" s="356"/>
    </row>
    <row r="811">
      <c r="A811" s="341"/>
      <c r="B811" s="356"/>
      <c r="C811" s="456"/>
      <c r="D811" s="356"/>
      <c r="E811" s="452"/>
      <c r="F811" s="356"/>
      <c r="G811" s="356"/>
      <c r="H811" s="453"/>
      <c r="I811" s="453"/>
      <c r="J811" s="454"/>
      <c r="L811" s="454"/>
      <c r="M811" s="342"/>
      <c r="O811" s="356"/>
      <c r="P811" s="356"/>
      <c r="Q811" s="356"/>
      <c r="R811" s="356"/>
      <c r="S811" s="356"/>
      <c r="T811" s="356"/>
      <c r="U811" s="356"/>
      <c r="V811" s="356"/>
      <c r="W811" s="356"/>
      <c r="X811" s="356"/>
      <c r="Y811" s="356"/>
      <c r="Z811" s="356"/>
      <c r="AA811" s="356"/>
      <c r="AB811" s="356"/>
      <c r="AC811" s="356"/>
      <c r="AD811" s="356"/>
      <c r="AE811" s="356"/>
      <c r="AF811" s="356"/>
    </row>
    <row r="812">
      <c r="A812" s="341"/>
      <c r="B812" s="356"/>
      <c r="C812" s="456"/>
      <c r="D812" s="356"/>
      <c r="E812" s="452"/>
      <c r="F812" s="356"/>
      <c r="G812" s="356"/>
      <c r="H812" s="453"/>
      <c r="I812" s="453"/>
      <c r="J812" s="454"/>
      <c r="L812" s="454"/>
      <c r="M812" s="342"/>
      <c r="O812" s="356"/>
      <c r="P812" s="356"/>
      <c r="Q812" s="356"/>
      <c r="R812" s="356"/>
      <c r="S812" s="356"/>
      <c r="T812" s="356"/>
      <c r="U812" s="356"/>
      <c r="V812" s="356"/>
      <c r="W812" s="356"/>
      <c r="X812" s="356"/>
      <c r="Y812" s="356"/>
      <c r="Z812" s="356"/>
      <c r="AA812" s="356"/>
      <c r="AB812" s="356"/>
      <c r="AC812" s="356"/>
      <c r="AD812" s="356"/>
      <c r="AE812" s="356"/>
      <c r="AF812" s="356"/>
    </row>
    <row r="813">
      <c r="A813" s="341"/>
      <c r="B813" s="356"/>
      <c r="C813" s="456"/>
      <c r="D813" s="356"/>
      <c r="E813" s="452"/>
      <c r="F813" s="356"/>
      <c r="G813" s="356"/>
      <c r="H813" s="453"/>
      <c r="I813" s="453"/>
      <c r="J813" s="454"/>
      <c r="L813" s="454"/>
      <c r="M813" s="342"/>
      <c r="O813" s="356"/>
      <c r="P813" s="356"/>
      <c r="Q813" s="356"/>
      <c r="R813" s="356"/>
      <c r="S813" s="356"/>
      <c r="T813" s="356"/>
      <c r="U813" s="356"/>
      <c r="V813" s="356"/>
      <c r="W813" s="356"/>
      <c r="X813" s="356"/>
      <c r="Y813" s="356"/>
      <c r="Z813" s="356"/>
      <c r="AA813" s="356"/>
      <c r="AB813" s="356"/>
      <c r="AC813" s="356"/>
      <c r="AD813" s="356"/>
      <c r="AE813" s="356"/>
      <c r="AF813" s="356"/>
    </row>
    <row r="814">
      <c r="A814" s="341"/>
      <c r="B814" s="356"/>
      <c r="C814" s="456"/>
      <c r="D814" s="356"/>
      <c r="E814" s="452"/>
      <c r="F814" s="356"/>
      <c r="G814" s="356"/>
      <c r="H814" s="453"/>
      <c r="I814" s="453"/>
      <c r="J814" s="454"/>
      <c r="L814" s="454"/>
      <c r="M814" s="342"/>
      <c r="O814" s="356"/>
      <c r="P814" s="356"/>
      <c r="Q814" s="356"/>
      <c r="R814" s="356"/>
      <c r="S814" s="356"/>
      <c r="T814" s="356"/>
      <c r="U814" s="356"/>
      <c r="V814" s="356"/>
      <c r="W814" s="356"/>
      <c r="X814" s="356"/>
      <c r="Y814" s="356"/>
      <c r="Z814" s="356"/>
      <c r="AA814" s="356"/>
      <c r="AB814" s="356"/>
      <c r="AC814" s="356"/>
      <c r="AD814" s="356"/>
      <c r="AE814" s="356"/>
      <c r="AF814" s="356"/>
    </row>
    <row r="815">
      <c r="A815" s="341"/>
      <c r="B815" s="356"/>
      <c r="C815" s="456"/>
      <c r="D815" s="356"/>
      <c r="E815" s="452"/>
      <c r="F815" s="356"/>
      <c r="G815" s="356"/>
      <c r="H815" s="453"/>
      <c r="I815" s="453"/>
      <c r="J815" s="454"/>
      <c r="L815" s="454"/>
      <c r="M815" s="342"/>
      <c r="O815" s="356"/>
      <c r="P815" s="356"/>
      <c r="Q815" s="356"/>
      <c r="R815" s="356"/>
      <c r="S815" s="356"/>
      <c r="T815" s="356"/>
      <c r="U815" s="356"/>
      <c r="V815" s="356"/>
      <c r="W815" s="356"/>
      <c r="X815" s="356"/>
      <c r="Y815" s="356"/>
      <c r="Z815" s="356"/>
      <c r="AA815" s="356"/>
      <c r="AB815" s="356"/>
      <c r="AC815" s="356"/>
      <c r="AD815" s="356"/>
      <c r="AE815" s="356"/>
      <c r="AF815" s="356"/>
    </row>
    <row r="816">
      <c r="A816" s="341"/>
      <c r="B816" s="356"/>
      <c r="C816" s="456"/>
      <c r="D816" s="356"/>
      <c r="E816" s="452"/>
      <c r="F816" s="356"/>
      <c r="G816" s="356"/>
      <c r="H816" s="453"/>
      <c r="I816" s="453"/>
      <c r="J816" s="454"/>
      <c r="L816" s="454"/>
      <c r="M816" s="342"/>
      <c r="O816" s="356"/>
      <c r="P816" s="356"/>
      <c r="Q816" s="356"/>
      <c r="R816" s="356"/>
      <c r="S816" s="356"/>
      <c r="T816" s="356"/>
      <c r="U816" s="356"/>
      <c r="V816" s="356"/>
      <c r="W816" s="356"/>
      <c r="X816" s="356"/>
      <c r="Y816" s="356"/>
      <c r="Z816" s="356"/>
      <c r="AA816" s="356"/>
      <c r="AB816" s="356"/>
      <c r="AC816" s="356"/>
      <c r="AD816" s="356"/>
      <c r="AE816" s="356"/>
      <c r="AF816" s="356"/>
    </row>
    <row r="817">
      <c r="A817" s="341"/>
      <c r="B817" s="356"/>
      <c r="C817" s="456"/>
      <c r="D817" s="356"/>
      <c r="E817" s="452"/>
      <c r="F817" s="356"/>
      <c r="G817" s="356"/>
      <c r="H817" s="453"/>
      <c r="I817" s="453"/>
      <c r="J817" s="454"/>
      <c r="L817" s="454"/>
      <c r="M817" s="342"/>
      <c r="O817" s="356"/>
      <c r="P817" s="356"/>
      <c r="Q817" s="356"/>
      <c r="R817" s="356"/>
      <c r="S817" s="356"/>
      <c r="T817" s="356"/>
      <c r="U817" s="356"/>
      <c r="V817" s="356"/>
      <c r="W817" s="356"/>
      <c r="X817" s="356"/>
      <c r="Y817" s="356"/>
      <c r="Z817" s="356"/>
      <c r="AA817" s="356"/>
      <c r="AB817" s="356"/>
      <c r="AC817" s="356"/>
      <c r="AD817" s="356"/>
      <c r="AE817" s="356"/>
      <c r="AF817" s="356"/>
    </row>
    <row r="818">
      <c r="A818" s="341"/>
      <c r="B818" s="356"/>
      <c r="C818" s="456"/>
      <c r="D818" s="356"/>
      <c r="E818" s="452"/>
      <c r="F818" s="356"/>
      <c r="G818" s="356"/>
      <c r="H818" s="453"/>
      <c r="I818" s="453"/>
      <c r="J818" s="454"/>
      <c r="L818" s="454"/>
      <c r="M818" s="342"/>
      <c r="O818" s="356"/>
      <c r="P818" s="356"/>
      <c r="Q818" s="356"/>
      <c r="R818" s="356"/>
      <c r="S818" s="356"/>
      <c r="T818" s="356"/>
      <c r="U818" s="356"/>
      <c r="V818" s="356"/>
      <c r="W818" s="356"/>
      <c r="X818" s="356"/>
      <c r="Y818" s="356"/>
      <c r="Z818" s="356"/>
      <c r="AA818" s="356"/>
      <c r="AB818" s="356"/>
      <c r="AC818" s="356"/>
      <c r="AD818" s="356"/>
      <c r="AE818" s="356"/>
      <c r="AF818" s="356"/>
    </row>
    <row r="819">
      <c r="A819" s="341"/>
      <c r="B819" s="356"/>
      <c r="C819" s="456"/>
      <c r="D819" s="356"/>
      <c r="E819" s="452"/>
      <c r="F819" s="356"/>
      <c r="G819" s="356"/>
      <c r="H819" s="453"/>
      <c r="I819" s="453"/>
      <c r="J819" s="454"/>
      <c r="L819" s="454"/>
      <c r="M819" s="342"/>
      <c r="O819" s="356"/>
      <c r="P819" s="356"/>
      <c r="Q819" s="356"/>
      <c r="R819" s="356"/>
      <c r="S819" s="356"/>
      <c r="T819" s="356"/>
      <c r="U819" s="356"/>
      <c r="V819" s="356"/>
      <c r="W819" s="356"/>
      <c r="X819" s="356"/>
      <c r="Y819" s="356"/>
      <c r="Z819" s="356"/>
      <c r="AA819" s="356"/>
      <c r="AB819" s="356"/>
      <c r="AC819" s="356"/>
      <c r="AD819" s="356"/>
      <c r="AE819" s="356"/>
      <c r="AF819" s="356"/>
    </row>
    <row r="820">
      <c r="A820" s="341"/>
      <c r="B820" s="356"/>
      <c r="C820" s="456"/>
      <c r="D820" s="356"/>
      <c r="E820" s="452"/>
      <c r="F820" s="356"/>
      <c r="G820" s="356"/>
      <c r="H820" s="453"/>
      <c r="I820" s="453"/>
      <c r="J820" s="454"/>
      <c r="L820" s="454"/>
      <c r="M820" s="342"/>
      <c r="O820" s="356"/>
      <c r="P820" s="356"/>
      <c r="Q820" s="356"/>
      <c r="R820" s="356"/>
      <c r="S820" s="356"/>
      <c r="T820" s="356"/>
      <c r="U820" s="356"/>
      <c r="V820" s="356"/>
      <c r="W820" s="356"/>
      <c r="X820" s="356"/>
      <c r="Y820" s="356"/>
      <c r="Z820" s="356"/>
      <c r="AA820" s="356"/>
      <c r="AB820" s="356"/>
      <c r="AC820" s="356"/>
      <c r="AD820" s="356"/>
      <c r="AE820" s="356"/>
      <c r="AF820" s="356"/>
    </row>
    <row r="821">
      <c r="A821" s="341"/>
      <c r="B821" s="356"/>
      <c r="C821" s="456"/>
      <c r="D821" s="356"/>
      <c r="E821" s="452"/>
      <c r="F821" s="356"/>
      <c r="G821" s="356"/>
      <c r="H821" s="453"/>
      <c r="I821" s="453"/>
      <c r="J821" s="454"/>
      <c r="L821" s="454"/>
      <c r="M821" s="342"/>
      <c r="O821" s="356"/>
      <c r="P821" s="356"/>
      <c r="Q821" s="356"/>
      <c r="R821" s="356"/>
      <c r="S821" s="356"/>
      <c r="T821" s="356"/>
      <c r="U821" s="356"/>
      <c r="V821" s="356"/>
      <c r="W821" s="356"/>
      <c r="X821" s="356"/>
      <c r="Y821" s="356"/>
      <c r="Z821" s="356"/>
      <c r="AA821" s="356"/>
      <c r="AB821" s="356"/>
      <c r="AC821" s="356"/>
      <c r="AD821" s="356"/>
      <c r="AE821" s="356"/>
      <c r="AF821" s="356"/>
    </row>
    <row r="822">
      <c r="A822" s="341"/>
      <c r="B822" s="356"/>
      <c r="C822" s="456"/>
      <c r="D822" s="356"/>
      <c r="E822" s="452"/>
      <c r="F822" s="356"/>
      <c r="G822" s="356"/>
      <c r="H822" s="453"/>
      <c r="I822" s="453"/>
      <c r="J822" s="454"/>
      <c r="L822" s="454"/>
      <c r="M822" s="342"/>
      <c r="O822" s="356"/>
      <c r="P822" s="356"/>
      <c r="Q822" s="356"/>
      <c r="R822" s="356"/>
      <c r="S822" s="356"/>
      <c r="T822" s="356"/>
      <c r="U822" s="356"/>
      <c r="V822" s="356"/>
      <c r="W822" s="356"/>
      <c r="X822" s="356"/>
      <c r="Y822" s="356"/>
      <c r="Z822" s="356"/>
      <c r="AA822" s="356"/>
      <c r="AB822" s="356"/>
      <c r="AC822" s="356"/>
      <c r="AD822" s="356"/>
      <c r="AE822" s="356"/>
      <c r="AF822" s="356"/>
    </row>
    <row r="823">
      <c r="A823" s="341"/>
      <c r="B823" s="356"/>
      <c r="C823" s="456"/>
      <c r="D823" s="356"/>
      <c r="E823" s="452"/>
      <c r="F823" s="356"/>
      <c r="G823" s="356"/>
      <c r="H823" s="453"/>
      <c r="I823" s="453"/>
      <c r="J823" s="454"/>
      <c r="L823" s="454"/>
      <c r="M823" s="342"/>
      <c r="O823" s="356"/>
      <c r="P823" s="356"/>
      <c r="Q823" s="356"/>
      <c r="R823" s="356"/>
      <c r="S823" s="356"/>
      <c r="T823" s="356"/>
      <c r="U823" s="356"/>
      <c r="V823" s="356"/>
      <c r="W823" s="356"/>
      <c r="X823" s="356"/>
      <c r="Y823" s="356"/>
      <c r="Z823" s="356"/>
      <c r="AA823" s="356"/>
      <c r="AB823" s="356"/>
      <c r="AC823" s="356"/>
      <c r="AD823" s="356"/>
      <c r="AE823" s="356"/>
      <c r="AF823" s="356"/>
    </row>
    <row r="824">
      <c r="A824" s="341"/>
      <c r="B824" s="356"/>
      <c r="C824" s="456"/>
      <c r="D824" s="356"/>
      <c r="E824" s="452"/>
      <c r="F824" s="356"/>
      <c r="G824" s="356"/>
      <c r="H824" s="453"/>
      <c r="I824" s="453"/>
      <c r="J824" s="454"/>
      <c r="L824" s="454"/>
      <c r="M824" s="342"/>
      <c r="O824" s="356"/>
      <c r="P824" s="356"/>
      <c r="Q824" s="356"/>
      <c r="R824" s="356"/>
      <c r="S824" s="356"/>
      <c r="T824" s="356"/>
      <c r="U824" s="356"/>
      <c r="V824" s="356"/>
      <c r="W824" s="356"/>
      <c r="X824" s="356"/>
      <c r="Y824" s="356"/>
      <c r="Z824" s="356"/>
      <c r="AA824" s="356"/>
      <c r="AB824" s="356"/>
      <c r="AC824" s="356"/>
      <c r="AD824" s="356"/>
      <c r="AE824" s="356"/>
      <c r="AF824" s="356"/>
    </row>
    <row r="825">
      <c r="A825" s="341"/>
      <c r="B825" s="356"/>
      <c r="C825" s="456"/>
      <c r="D825" s="356"/>
      <c r="E825" s="452"/>
      <c r="F825" s="356"/>
      <c r="G825" s="356"/>
      <c r="H825" s="453"/>
      <c r="I825" s="453"/>
      <c r="J825" s="454"/>
      <c r="L825" s="454"/>
      <c r="M825" s="342"/>
      <c r="O825" s="356"/>
      <c r="P825" s="356"/>
      <c r="Q825" s="356"/>
      <c r="R825" s="356"/>
      <c r="S825" s="356"/>
      <c r="T825" s="356"/>
      <c r="U825" s="356"/>
      <c r="V825" s="356"/>
      <c r="W825" s="356"/>
      <c r="X825" s="356"/>
      <c r="Y825" s="356"/>
      <c r="Z825" s="356"/>
      <c r="AA825" s="356"/>
      <c r="AB825" s="356"/>
      <c r="AC825" s="356"/>
      <c r="AD825" s="356"/>
      <c r="AE825" s="356"/>
      <c r="AF825" s="356"/>
    </row>
    <row r="826">
      <c r="A826" s="341"/>
      <c r="B826" s="356"/>
      <c r="C826" s="456"/>
      <c r="D826" s="356"/>
      <c r="E826" s="452"/>
      <c r="F826" s="356"/>
      <c r="G826" s="356"/>
      <c r="H826" s="453"/>
      <c r="I826" s="453"/>
      <c r="J826" s="454"/>
      <c r="L826" s="454"/>
      <c r="M826" s="342"/>
      <c r="O826" s="356"/>
      <c r="P826" s="356"/>
      <c r="Q826" s="356"/>
      <c r="R826" s="356"/>
      <c r="S826" s="356"/>
      <c r="T826" s="356"/>
      <c r="U826" s="356"/>
      <c r="V826" s="356"/>
      <c r="W826" s="356"/>
      <c r="X826" s="356"/>
      <c r="Y826" s="356"/>
      <c r="Z826" s="356"/>
      <c r="AA826" s="356"/>
      <c r="AB826" s="356"/>
      <c r="AC826" s="356"/>
      <c r="AD826" s="356"/>
      <c r="AE826" s="356"/>
      <c r="AF826" s="356"/>
    </row>
    <row r="827">
      <c r="A827" s="341"/>
      <c r="B827" s="356"/>
      <c r="C827" s="456"/>
      <c r="D827" s="356"/>
      <c r="E827" s="452"/>
      <c r="F827" s="356"/>
      <c r="G827" s="356"/>
      <c r="H827" s="453"/>
      <c r="I827" s="453"/>
      <c r="J827" s="454"/>
      <c r="L827" s="454"/>
      <c r="M827" s="342"/>
      <c r="O827" s="356"/>
      <c r="P827" s="356"/>
      <c r="Q827" s="356"/>
      <c r="R827" s="356"/>
      <c r="S827" s="356"/>
      <c r="T827" s="356"/>
      <c r="U827" s="356"/>
      <c r="V827" s="356"/>
      <c r="W827" s="356"/>
      <c r="X827" s="356"/>
      <c r="Y827" s="356"/>
      <c r="Z827" s="356"/>
      <c r="AA827" s="356"/>
      <c r="AB827" s="356"/>
      <c r="AC827" s="356"/>
      <c r="AD827" s="356"/>
      <c r="AE827" s="356"/>
      <c r="AF827" s="356"/>
    </row>
    <row r="828">
      <c r="A828" s="341"/>
      <c r="B828" s="356"/>
      <c r="C828" s="456"/>
      <c r="D828" s="356"/>
      <c r="E828" s="452"/>
      <c r="F828" s="356"/>
      <c r="G828" s="356"/>
      <c r="H828" s="453"/>
      <c r="I828" s="453"/>
      <c r="J828" s="454"/>
      <c r="L828" s="454"/>
      <c r="M828" s="342"/>
      <c r="O828" s="356"/>
      <c r="P828" s="356"/>
      <c r="Q828" s="356"/>
      <c r="R828" s="356"/>
      <c r="S828" s="356"/>
      <c r="T828" s="356"/>
      <c r="U828" s="356"/>
      <c r="V828" s="356"/>
      <c r="W828" s="356"/>
      <c r="X828" s="356"/>
      <c r="Y828" s="356"/>
      <c r="Z828" s="356"/>
      <c r="AA828" s="356"/>
      <c r="AB828" s="356"/>
      <c r="AC828" s="356"/>
      <c r="AD828" s="356"/>
      <c r="AE828" s="356"/>
      <c r="AF828" s="356"/>
    </row>
    <row r="829">
      <c r="A829" s="341"/>
      <c r="B829" s="356"/>
      <c r="C829" s="456"/>
      <c r="D829" s="356"/>
      <c r="E829" s="452"/>
      <c r="F829" s="356"/>
      <c r="G829" s="356"/>
      <c r="H829" s="453"/>
      <c r="I829" s="453"/>
      <c r="J829" s="454"/>
      <c r="L829" s="454"/>
      <c r="M829" s="342"/>
      <c r="O829" s="356"/>
      <c r="P829" s="356"/>
      <c r="Q829" s="356"/>
      <c r="R829" s="356"/>
      <c r="S829" s="356"/>
      <c r="T829" s="356"/>
      <c r="U829" s="356"/>
      <c r="V829" s="356"/>
      <c r="W829" s="356"/>
      <c r="X829" s="356"/>
      <c r="Y829" s="356"/>
      <c r="Z829" s="356"/>
      <c r="AA829" s="356"/>
      <c r="AB829" s="356"/>
      <c r="AC829" s="356"/>
      <c r="AD829" s="356"/>
      <c r="AE829" s="356"/>
      <c r="AF829" s="356"/>
    </row>
    <row r="830">
      <c r="A830" s="341"/>
      <c r="B830" s="356"/>
      <c r="C830" s="456"/>
      <c r="D830" s="356"/>
      <c r="E830" s="452"/>
      <c r="F830" s="356"/>
      <c r="G830" s="356"/>
      <c r="H830" s="453"/>
      <c r="I830" s="453"/>
      <c r="J830" s="454"/>
      <c r="L830" s="454"/>
      <c r="M830" s="342"/>
      <c r="O830" s="356"/>
      <c r="P830" s="356"/>
      <c r="Q830" s="356"/>
      <c r="R830" s="356"/>
      <c r="S830" s="356"/>
      <c r="T830" s="356"/>
      <c r="U830" s="356"/>
      <c r="V830" s="356"/>
      <c r="W830" s="356"/>
      <c r="X830" s="356"/>
      <c r="Y830" s="356"/>
      <c r="Z830" s="356"/>
      <c r="AA830" s="356"/>
      <c r="AB830" s="356"/>
      <c r="AC830" s="356"/>
      <c r="AD830" s="356"/>
      <c r="AE830" s="356"/>
      <c r="AF830" s="356"/>
    </row>
    <row r="831">
      <c r="A831" s="341"/>
      <c r="B831" s="356"/>
      <c r="C831" s="456"/>
      <c r="D831" s="356"/>
      <c r="E831" s="452"/>
      <c r="F831" s="356"/>
      <c r="G831" s="356"/>
      <c r="H831" s="453"/>
      <c r="I831" s="453"/>
      <c r="J831" s="454"/>
      <c r="L831" s="454"/>
      <c r="M831" s="342"/>
      <c r="O831" s="356"/>
      <c r="P831" s="356"/>
      <c r="Q831" s="356"/>
      <c r="R831" s="356"/>
      <c r="S831" s="356"/>
      <c r="T831" s="356"/>
      <c r="U831" s="356"/>
      <c r="V831" s="356"/>
      <c r="W831" s="356"/>
      <c r="X831" s="356"/>
      <c r="Y831" s="356"/>
      <c r="Z831" s="356"/>
      <c r="AA831" s="356"/>
      <c r="AB831" s="356"/>
      <c r="AC831" s="356"/>
      <c r="AD831" s="356"/>
      <c r="AE831" s="356"/>
      <c r="AF831" s="356"/>
    </row>
    <row r="832">
      <c r="A832" s="341"/>
      <c r="B832" s="356"/>
      <c r="C832" s="456"/>
      <c r="D832" s="356"/>
      <c r="E832" s="452"/>
      <c r="F832" s="356"/>
      <c r="G832" s="356"/>
      <c r="H832" s="453"/>
      <c r="I832" s="453"/>
      <c r="J832" s="454"/>
      <c r="L832" s="454"/>
      <c r="M832" s="342"/>
      <c r="O832" s="356"/>
      <c r="P832" s="356"/>
      <c r="Q832" s="356"/>
      <c r="R832" s="356"/>
      <c r="S832" s="356"/>
      <c r="T832" s="356"/>
      <c r="U832" s="356"/>
      <c r="V832" s="356"/>
      <c r="W832" s="356"/>
      <c r="X832" s="356"/>
      <c r="Y832" s="356"/>
      <c r="Z832" s="356"/>
      <c r="AA832" s="356"/>
      <c r="AB832" s="356"/>
      <c r="AC832" s="356"/>
      <c r="AD832" s="356"/>
      <c r="AE832" s="356"/>
      <c r="AF832" s="356"/>
    </row>
    <row r="833">
      <c r="A833" s="341"/>
      <c r="B833" s="356"/>
      <c r="C833" s="456"/>
      <c r="D833" s="356"/>
      <c r="E833" s="452"/>
      <c r="F833" s="356"/>
      <c r="G833" s="356"/>
      <c r="H833" s="453"/>
      <c r="I833" s="453"/>
      <c r="J833" s="454"/>
      <c r="L833" s="454"/>
      <c r="M833" s="342"/>
      <c r="O833" s="356"/>
      <c r="P833" s="356"/>
      <c r="Q833" s="356"/>
      <c r="R833" s="356"/>
      <c r="S833" s="356"/>
      <c r="T833" s="356"/>
      <c r="U833" s="356"/>
      <c r="V833" s="356"/>
      <c r="W833" s="356"/>
      <c r="X833" s="356"/>
      <c r="Y833" s="356"/>
      <c r="Z833" s="356"/>
      <c r="AA833" s="356"/>
      <c r="AB833" s="356"/>
      <c r="AC833" s="356"/>
      <c r="AD833" s="356"/>
      <c r="AE833" s="356"/>
      <c r="AF833" s="356"/>
    </row>
    <row r="834">
      <c r="A834" s="341"/>
      <c r="B834" s="356"/>
      <c r="C834" s="456"/>
      <c r="D834" s="356"/>
      <c r="E834" s="452"/>
      <c r="F834" s="356"/>
      <c r="G834" s="356"/>
      <c r="H834" s="453"/>
      <c r="I834" s="453"/>
      <c r="J834" s="454"/>
      <c r="L834" s="454"/>
      <c r="M834" s="342"/>
      <c r="O834" s="356"/>
      <c r="P834" s="356"/>
      <c r="Q834" s="356"/>
      <c r="R834" s="356"/>
      <c r="S834" s="356"/>
      <c r="T834" s="356"/>
      <c r="U834" s="356"/>
      <c r="V834" s="356"/>
      <c r="W834" s="356"/>
      <c r="X834" s="356"/>
      <c r="Y834" s="356"/>
      <c r="Z834" s="356"/>
      <c r="AA834" s="356"/>
      <c r="AB834" s="356"/>
      <c r="AC834" s="356"/>
      <c r="AD834" s="356"/>
      <c r="AE834" s="356"/>
      <c r="AF834" s="356"/>
    </row>
    <row r="835">
      <c r="A835" s="341"/>
      <c r="B835" s="356"/>
      <c r="C835" s="456"/>
      <c r="D835" s="356"/>
      <c r="E835" s="452"/>
      <c r="F835" s="356"/>
      <c r="G835" s="356"/>
      <c r="H835" s="453"/>
      <c r="I835" s="453"/>
      <c r="J835" s="454"/>
      <c r="L835" s="454"/>
      <c r="M835" s="342"/>
      <c r="O835" s="356"/>
      <c r="P835" s="356"/>
      <c r="Q835" s="356"/>
      <c r="R835" s="356"/>
      <c r="S835" s="356"/>
      <c r="T835" s="356"/>
      <c r="U835" s="356"/>
      <c r="V835" s="356"/>
      <c r="W835" s="356"/>
      <c r="X835" s="356"/>
      <c r="Y835" s="356"/>
      <c r="Z835" s="356"/>
      <c r="AA835" s="356"/>
      <c r="AB835" s="356"/>
      <c r="AC835" s="356"/>
      <c r="AD835" s="356"/>
      <c r="AE835" s="356"/>
      <c r="AF835" s="356"/>
    </row>
    <row r="836">
      <c r="A836" s="341"/>
      <c r="B836" s="356"/>
      <c r="C836" s="456"/>
      <c r="D836" s="356"/>
      <c r="E836" s="452"/>
      <c r="F836" s="356"/>
      <c r="G836" s="356"/>
      <c r="H836" s="453"/>
      <c r="I836" s="453"/>
      <c r="J836" s="454"/>
      <c r="L836" s="454"/>
      <c r="M836" s="342"/>
      <c r="O836" s="356"/>
      <c r="P836" s="356"/>
      <c r="Q836" s="356"/>
      <c r="R836" s="356"/>
      <c r="S836" s="356"/>
      <c r="T836" s="356"/>
      <c r="U836" s="356"/>
      <c r="V836" s="356"/>
      <c r="W836" s="356"/>
      <c r="X836" s="356"/>
      <c r="Y836" s="356"/>
      <c r="Z836" s="356"/>
      <c r="AA836" s="356"/>
      <c r="AB836" s="356"/>
      <c r="AC836" s="356"/>
      <c r="AD836" s="356"/>
      <c r="AE836" s="356"/>
      <c r="AF836" s="356"/>
    </row>
    <row r="837">
      <c r="A837" s="341"/>
      <c r="B837" s="356"/>
      <c r="C837" s="456"/>
      <c r="D837" s="356"/>
      <c r="E837" s="452"/>
      <c r="F837" s="356"/>
      <c r="G837" s="356"/>
      <c r="H837" s="453"/>
      <c r="I837" s="453"/>
      <c r="J837" s="454"/>
      <c r="L837" s="454"/>
      <c r="M837" s="342"/>
      <c r="O837" s="356"/>
      <c r="P837" s="356"/>
      <c r="Q837" s="356"/>
      <c r="R837" s="356"/>
      <c r="S837" s="356"/>
      <c r="T837" s="356"/>
      <c r="U837" s="356"/>
      <c r="V837" s="356"/>
      <c r="W837" s="356"/>
      <c r="X837" s="356"/>
      <c r="Y837" s="356"/>
      <c r="Z837" s="356"/>
      <c r="AA837" s="356"/>
      <c r="AB837" s="356"/>
      <c r="AC837" s="356"/>
      <c r="AD837" s="356"/>
      <c r="AE837" s="356"/>
      <c r="AF837" s="356"/>
    </row>
    <row r="838">
      <c r="A838" s="341"/>
      <c r="B838" s="356"/>
      <c r="C838" s="456"/>
      <c r="D838" s="356"/>
      <c r="E838" s="452"/>
      <c r="F838" s="356"/>
      <c r="G838" s="356"/>
      <c r="H838" s="453"/>
      <c r="I838" s="453"/>
      <c r="J838" s="454"/>
      <c r="L838" s="454"/>
      <c r="M838" s="342"/>
      <c r="O838" s="356"/>
      <c r="P838" s="356"/>
      <c r="Q838" s="356"/>
      <c r="R838" s="356"/>
      <c r="S838" s="356"/>
      <c r="T838" s="356"/>
      <c r="U838" s="356"/>
      <c r="V838" s="356"/>
      <c r="W838" s="356"/>
      <c r="X838" s="356"/>
      <c r="Y838" s="356"/>
      <c r="Z838" s="356"/>
      <c r="AA838" s="356"/>
      <c r="AB838" s="356"/>
      <c r="AC838" s="356"/>
      <c r="AD838" s="356"/>
      <c r="AE838" s="356"/>
      <c r="AF838" s="356"/>
    </row>
    <row r="839">
      <c r="A839" s="341"/>
      <c r="B839" s="356"/>
      <c r="C839" s="456"/>
      <c r="D839" s="356"/>
      <c r="E839" s="452"/>
      <c r="F839" s="356"/>
      <c r="G839" s="356"/>
      <c r="H839" s="453"/>
      <c r="I839" s="453"/>
      <c r="J839" s="454"/>
      <c r="L839" s="454"/>
      <c r="M839" s="342"/>
      <c r="O839" s="356"/>
      <c r="P839" s="356"/>
      <c r="Q839" s="356"/>
      <c r="R839" s="356"/>
      <c r="S839" s="356"/>
      <c r="T839" s="356"/>
      <c r="U839" s="356"/>
      <c r="V839" s="356"/>
      <c r="W839" s="356"/>
      <c r="X839" s="356"/>
      <c r="Y839" s="356"/>
      <c r="Z839" s="356"/>
      <c r="AA839" s="356"/>
      <c r="AB839" s="356"/>
      <c r="AC839" s="356"/>
      <c r="AD839" s="356"/>
      <c r="AE839" s="356"/>
      <c r="AF839" s="356"/>
    </row>
    <row r="840">
      <c r="A840" s="341"/>
      <c r="B840" s="356"/>
      <c r="C840" s="456"/>
      <c r="D840" s="356"/>
      <c r="E840" s="452"/>
      <c r="F840" s="356"/>
      <c r="G840" s="356"/>
      <c r="H840" s="453"/>
      <c r="I840" s="453"/>
      <c r="J840" s="454"/>
      <c r="L840" s="454"/>
      <c r="M840" s="342"/>
      <c r="O840" s="356"/>
      <c r="P840" s="356"/>
      <c r="Q840" s="356"/>
      <c r="R840" s="356"/>
      <c r="S840" s="356"/>
      <c r="T840" s="356"/>
      <c r="U840" s="356"/>
      <c r="V840" s="356"/>
      <c r="W840" s="356"/>
      <c r="X840" s="356"/>
      <c r="Y840" s="356"/>
      <c r="Z840" s="356"/>
      <c r="AA840" s="356"/>
      <c r="AB840" s="356"/>
      <c r="AC840" s="356"/>
      <c r="AD840" s="356"/>
      <c r="AE840" s="356"/>
      <c r="AF840" s="356"/>
    </row>
    <row r="841">
      <c r="A841" s="341"/>
      <c r="B841" s="356"/>
      <c r="C841" s="456"/>
      <c r="D841" s="356"/>
      <c r="E841" s="452"/>
      <c r="F841" s="356"/>
      <c r="G841" s="356"/>
      <c r="H841" s="453"/>
      <c r="I841" s="453"/>
      <c r="J841" s="454"/>
      <c r="L841" s="454"/>
      <c r="M841" s="342"/>
      <c r="O841" s="356"/>
      <c r="P841" s="356"/>
      <c r="Q841" s="356"/>
      <c r="R841" s="356"/>
      <c r="S841" s="356"/>
      <c r="T841" s="356"/>
      <c r="U841" s="356"/>
      <c r="V841" s="356"/>
      <c r="W841" s="356"/>
      <c r="X841" s="356"/>
      <c r="Y841" s="356"/>
      <c r="Z841" s="356"/>
      <c r="AA841" s="356"/>
      <c r="AB841" s="356"/>
      <c r="AC841" s="356"/>
      <c r="AD841" s="356"/>
      <c r="AE841" s="356"/>
      <c r="AF841" s="356"/>
    </row>
    <row r="842">
      <c r="A842" s="341"/>
      <c r="B842" s="356"/>
      <c r="C842" s="456"/>
      <c r="D842" s="356"/>
      <c r="E842" s="452"/>
      <c r="F842" s="356"/>
      <c r="G842" s="356"/>
      <c r="H842" s="453"/>
      <c r="I842" s="453"/>
      <c r="J842" s="454"/>
      <c r="L842" s="454"/>
      <c r="M842" s="342"/>
      <c r="O842" s="356"/>
      <c r="P842" s="356"/>
      <c r="Q842" s="356"/>
      <c r="R842" s="356"/>
      <c r="S842" s="356"/>
      <c r="T842" s="356"/>
      <c r="U842" s="356"/>
      <c r="V842" s="356"/>
      <c r="W842" s="356"/>
      <c r="X842" s="356"/>
      <c r="Y842" s="356"/>
      <c r="Z842" s="356"/>
      <c r="AA842" s="356"/>
      <c r="AB842" s="356"/>
      <c r="AC842" s="356"/>
      <c r="AD842" s="356"/>
      <c r="AE842" s="356"/>
      <c r="AF842" s="356"/>
    </row>
    <row r="843">
      <c r="A843" s="341"/>
      <c r="B843" s="356"/>
      <c r="C843" s="456"/>
      <c r="D843" s="356"/>
      <c r="E843" s="452"/>
      <c r="F843" s="356"/>
      <c r="G843" s="356"/>
      <c r="H843" s="453"/>
      <c r="I843" s="453"/>
      <c r="J843" s="454"/>
      <c r="L843" s="454"/>
      <c r="M843" s="342"/>
      <c r="O843" s="356"/>
      <c r="P843" s="356"/>
      <c r="Q843" s="356"/>
      <c r="R843" s="356"/>
      <c r="S843" s="356"/>
      <c r="T843" s="356"/>
      <c r="U843" s="356"/>
      <c r="V843" s="356"/>
      <c r="W843" s="356"/>
      <c r="X843" s="356"/>
      <c r="Y843" s="356"/>
      <c r="Z843" s="356"/>
      <c r="AA843" s="356"/>
      <c r="AB843" s="356"/>
      <c r="AC843" s="356"/>
      <c r="AD843" s="356"/>
      <c r="AE843" s="356"/>
      <c r="AF843" s="356"/>
    </row>
    <row r="844">
      <c r="A844" s="341"/>
      <c r="B844" s="356"/>
      <c r="C844" s="456"/>
      <c r="D844" s="356"/>
      <c r="E844" s="452"/>
      <c r="F844" s="356"/>
      <c r="G844" s="356"/>
      <c r="H844" s="453"/>
      <c r="I844" s="453"/>
      <c r="J844" s="454"/>
      <c r="L844" s="454"/>
      <c r="M844" s="342"/>
      <c r="O844" s="356"/>
      <c r="P844" s="356"/>
      <c r="Q844" s="356"/>
      <c r="R844" s="356"/>
      <c r="S844" s="356"/>
      <c r="T844" s="356"/>
      <c r="U844" s="356"/>
      <c r="V844" s="356"/>
      <c r="W844" s="356"/>
      <c r="X844" s="356"/>
      <c r="Y844" s="356"/>
      <c r="Z844" s="356"/>
      <c r="AA844" s="356"/>
      <c r="AB844" s="356"/>
      <c r="AC844" s="356"/>
      <c r="AD844" s="356"/>
      <c r="AE844" s="356"/>
      <c r="AF844" s="356"/>
    </row>
    <row r="845">
      <c r="A845" s="341"/>
      <c r="B845" s="356"/>
      <c r="C845" s="456"/>
      <c r="D845" s="356"/>
      <c r="E845" s="452"/>
      <c r="F845" s="356"/>
      <c r="G845" s="356"/>
      <c r="H845" s="453"/>
      <c r="I845" s="453"/>
      <c r="J845" s="454"/>
      <c r="L845" s="454"/>
      <c r="M845" s="342"/>
      <c r="O845" s="356"/>
      <c r="P845" s="356"/>
      <c r="Q845" s="356"/>
      <c r="R845" s="356"/>
      <c r="S845" s="356"/>
      <c r="T845" s="356"/>
      <c r="U845" s="356"/>
      <c r="V845" s="356"/>
      <c r="W845" s="356"/>
      <c r="X845" s="356"/>
      <c r="Y845" s="356"/>
      <c r="Z845" s="356"/>
      <c r="AA845" s="356"/>
      <c r="AB845" s="356"/>
      <c r="AC845" s="356"/>
      <c r="AD845" s="356"/>
      <c r="AE845" s="356"/>
      <c r="AF845" s="356"/>
    </row>
    <row r="846">
      <c r="A846" s="341"/>
      <c r="B846" s="356"/>
      <c r="C846" s="456"/>
      <c r="D846" s="356"/>
      <c r="E846" s="452"/>
      <c r="F846" s="356"/>
      <c r="G846" s="356"/>
      <c r="H846" s="453"/>
      <c r="I846" s="453"/>
      <c r="J846" s="454"/>
      <c r="L846" s="454"/>
      <c r="M846" s="342"/>
      <c r="O846" s="356"/>
      <c r="P846" s="356"/>
      <c r="Q846" s="356"/>
      <c r="R846" s="356"/>
      <c r="S846" s="356"/>
      <c r="T846" s="356"/>
      <c r="U846" s="356"/>
      <c r="V846" s="356"/>
      <c r="W846" s="356"/>
      <c r="X846" s="356"/>
      <c r="Y846" s="356"/>
      <c r="Z846" s="356"/>
      <c r="AA846" s="356"/>
      <c r="AB846" s="356"/>
      <c r="AC846" s="356"/>
      <c r="AD846" s="356"/>
      <c r="AE846" s="356"/>
      <c r="AF846" s="356"/>
    </row>
    <row r="847">
      <c r="A847" s="341"/>
      <c r="B847" s="356"/>
      <c r="C847" s="456"/>
      <c r="D847" s="356"/>
      <c r="E847" s="452"/>
      <c r="F847" s="356"/>
      <c r="G847" s="356"/>
      <c r="H847" s="453"/>
      <c r="I847" s="453"/>
      <c r="J847" s="454"/>
      <c r="L847" s="454"/>
      <c r="M847" s="342"/>
      <c r="O847" s="356"/>
      <c r="P847" s="356"/>
      <c r="Q847" s="356"/>
      <c r="R847" s="356"/>
      <c r="S847" s="356"/>
      <c r="T847" s="356"/>
      <c r="U847" s="356"/>
      <c r="V847" s="356"/>
      <c r="W847" s="356"/>
      <c r="X847" s="356"/>
      <c r="Y847" s="356"/>
      <c r="Z847" s="356"/>
      <c r="AA847" s="356"/>
      <c r="AB847" s="356"/>
      <c r="AC847" s="356"/>
      <c r="AD847" s="356"/>
      <c r="AE847" s="356"/>
      <c r="AF847" s="356"/>
    </row>
    <row r="848">
      <c r="A848" s="341"/>
      <c r="B848" s="356"/>
      <c r="C848" s="456"/>
      <c r="D848" s="356"/>
      <c r="E848" s="452"/>
      <c r="F848" s="356"/>
      <c r="G848" s="356"/>
      <c r="H848" s="453"/>
      <c r="I848" s="453"/>
      <c r="J848" s="454"/>
      <c r="L848" s="454"/>
      <c r="M848" s="342"/>
      <c r="O848" s="356"/>
      <c r="P848" s="356"/>
      <c r="Q848" s="356"/>
      <c r="R848" s="356"/>
      <c r="S848" s="356"/>
      <c r="T848" s="356"/>
      <c r="U848" s="356"/>
      <c r="V848" s="356"/>
      <c r="W848" s="356"/>
      <c r="X848" s="356"/>
      <c r="Y848" s="356"/>
      <c r="Z848" s="356"/>
      <c r="AA848" s="356"/>
      <c r="AB848" s="356"/>
      <c r="AC848" s="356"/>
      <c r="AD848" s="356"/>
      <c r="AE848" s="356"/>
      <c r="AF848" s="356"/>
    </row>
    <row r="849">
      <c r="A849" s="341"/>
      <c r="B849" s="356"/>
      <c r="C849" s="456"/>
      <c r="D849" s="356"/>
      <c r="E849" s="452"/>
      <c r="F849" s="356"/>
      <c r="G849" s="356"/>
      <c r="H849" s="453"/>
      <c r="I849" s="453"/>
      <c r="J849" s="454"/>
      <c r="L849" s="454"/>
      <c r="M849" s="342"/>
      <c r="O849" s="356"/>
      <c r="P849" s="356"/>
      <c r="Q849" s="356"/>
      <c r="R849" s="356"/>
      <c r="S849" s="356"/>
      <c r="T849" s="356"/>
      <c r="U849" s="356"/>
      <c r="V849" s="356"/>
      <c r="W849" s="356"/>
      <c r="X849" s="356"/>
      <c r="Y849" s="356"/>
      <c r="Z849" s="356"/>
      <c r="AA849" s="356"/>
      <c r="AB849" s="356"/>
      <c r="AC849" s="356"/>
      <c r="AD849" s="356"/>
      <c r="AE849" s="356"/>
      <c r="AF849" s="356"/>
    </row>
    <row r="850">
      <c r="A850" s="341"/>
      <c r="B850" s="356"/>
      <c r="C850" s="456"/>
      <c r="D850" s="356"/>
      <c r="E850" s="452"/>
      <c r="F850" s="356"/>
      <c r="G850" s="356"/>
      <c r="H850" s="453"/>
      <c r="I850" s="453"/>
      <c r="J850" s="454"/>
      <c r="L850" s="454"/>
      <c r="M850" s="342"/>
      <c r="O850" s="356"/>
      <c r="P850" s="356"/>
      <c r="Q850" s="356"/>
      <c r="R850" s="356"/>
      <c r="S850" s="356"/>
      <c r="T850" s="356"/>
      <c r="U850" s="356"/>
      <c r="V850" s="356"/>
      <c r="W850" s="356"/>
      <c r="X850" s="356"/>
      <c r="Y850" s="356"/>
      <c r="Z850" s="356"/>
      <c r="AA850" s="356"/>
      <c r="AB850" s="356"/>
      <c r="AC850" s="356"/>
      <c r="AD850" s="356"/>
      <c r="AE850" s="356"/>
      <c r="AF850" s="356"/>
    </row>
    <row r="851">
      <c r="A851" s="341"/>
      <c r="B851" s="356"/>
      <c r="C851" s="456"/>
      <c r="D851" s="356"/>
      <c r="E851" s="452"/>
      <c r="F851" s="356"/>
      <c r="G851" s="356"/>
      <c r="H851" s="453"/>
      <c r="I851" s="453"/>
      <c r="J851" s="454"/>
      <c r="L851" s="454"/>
      <c r="M851" s="342"/>
      <c r="O851" s="356"/>
      <c r="P851" s="356"/>
      <c r="Q851" s="356"/>
      <c r="R851" s="356"/>
      <c r="S851" s="356"/>
      <c r="T851" s="356"/>
      <c r="U851" s="356"/>
      <c r="V851" s="356"/>
      <c r="W851" s="356"/>
      <c r="X851" s="356"/>
      <c r="Y851" s="356"/>
      <c r="Z851" s="356"/>
      <c r="AA851" s="356"/>
      <c r="AB851" s="356"/>
      <c r="AC851" s="356"/>
      <c r="AD851" s="356"/>
      <c r="AE851" s="356"/>
      <c r="AF851" s="356"/>
    </row>
    <row r="852">
      <c r="A852" s="341"/>
      <c r="B852" s="356"/>
      <c r="C852" s="456"/>
      <c r="D852" s="356"/>
      <c r="E852" s="452"/>
      <c r="F852" s="356"/>
      <c r="G852" s="356"/>
      <c r="H852" s="453"/>
      <c r="I852" s="453"/>
      <c r="J852" s="454"/>
      <c r="L852" s="454"/>
      <c r="M852" s="342"/>
      <c r="O852" s="356"/>
      <c r="P852" s="356"/>
      <c r="Q852" s="356"/>
      <c r="R852" s="356"/>
      <c r="S852" s="356"/>
      <c r="T852" s="356"/>
      <c r="U852" s="356"/>
      <c r="V852" s="356"/>
      <c r="W852" s="356"/>
      <c r="X852" s="356"/>
      <c r="Y852" s="356"/>
      <c r="Z852" s="356"/>
      <c r="AA852" s="356"/>
      <c r="AB852" s="356"/>
      <c r="AC852" s="356"/>
      <c r="AD852" s="356"/>
      <c r="AE852" s="356"/>
      <c r="AF852" s="356"/>
    </row>
    <row r="853">
      <c r="A853" s="341"/>
      <c r="B853" s="356"/>
      <c r="C853" s="456"/>
      <c r="D853" s="356"/>
      <c r="E853" s="452"/>
      <c r="F853" s="356"/>
      <c r="G853" s="356"/>
      <c r="H853" s="453"/>
      <c r="I853" s="453"/>
      <c r="J853" s="454"/>
      <c r="L853" s="454"/>
      <c r="M853" s="342"/>
      <c r="O853" s="356"/>
      <c r="P853" s="356"/>
      <c r="Q853" s="356"/>
      <c r="R853" s="356"/>
      <c r="S853" s="356"/>
      <c r="T853" s="356"/>
      <c r="U853" s="356"/>
      <c r="V853" s="356"/>
      <c r="W853" s="356"/>
      <c r="X853" s="356"/>
      <c r="Y853" s="356"/>
      <c r="Z853" s="356"/>
      <c r="AA853" s="356"/>
      <c r="AB853" s="356"/>
      <c r="AC853" s="356"/>
      <c r="AD853" s="356"/>
      <c r="AE853" s="356"/>
      <c r="AF853" s="356"/>
    </row>
    <row r="854">
      <c r="A854" s="341"/>
      <c r="B854" s="356"/>
      <c r="C854" s="456"/>
      <c r="D854" s="356"/>
      <c r="E854" s="452"/>
      <c r="F854" s="356"/>
      <c r="G854" s="356"/>
      <c r="H854" s="453"/>
      <c r="I854" s="453"/>
      <c r="J854" s="454"/>
      <c r="L854" s="454"/>
      <c r="M854" s="342"/>
      <c r="O854" s="356"/>
      <c r="P854" s="356"/>
      <c r="Q854" s="356"/>
      <c r="R854" s="356"/>
      <c r="S854" s="356"/>
      <c r="T854" s="356"/>
      <c r="U854" s="356"/>
      <c r="V854" s="356"/>
      <c r="W854" s="356"/>
      <c r="X854" s="356"/>
      <c r="Y854" s="356"/>
      <c r="Z854" s="356"/>
      <c r="AA854" s="356"/>
      <c r="AB854" s="356"/>
      <c r="AC854" s="356"/>
      <c r="AD854" s="356"/>
      <c r="AE854" s="356"/>
      <c r="AF854" s="356"/>
    </row>
    <row r="855">
      <c r="A855" s="341"/>
      <c r="B855" s="356"/>
      <c r="C855" s="456"/>
      <c r="D855" s="356"/>
      <c r="E855" s="452"/>
      <c r="F855" s="356"/>
      <c r="G855" s="356"/>
      <c r="H855" s="453"/>
      <c r="I855" s="453"/>
      <c r="J855" s="454"/>
      <c r="L855" s="454"/>
      <c r="M855" s="342"/>
      <c r="O855" s="356"/>
      <c r="P855" s="356"/>
      <c r="Q855" s="356"/>
      <c r="R855" s="356"/>
      <c r="S855" s="356"/>
      <c r="T855" s="356"/>
      <c r="U855" s="356"/>
      <c r="V855" s="356"/>
      <c r="W855" s="356"/>
      <c r="X855" s="356"/>
      <c r="Y855" s="356"/>
      <c r="Z855" s="356"/>
      <c r="AA855" s="356"/>
      <c r="AB855" s="356"/>
      <c r="AC855" s="356"/>
      <c r="AD855" s="356"/>
      <c r="AE855" s="356"/>
      <c r="AF855" s="356"/>
    </row>
    <row r="856">
      <c r="A856" s="341"/>
      <c r="B856" s="356"/>
      <c r="C856" s="456"/>
      <c r="D856" s="356"/>
      <c r="E856" s="452"/>
      <c r="F856" s="356"/>
      <c r="G856" s="356"/>
      <c r="H856" s="453"/>
      <c r="I856" s="453"/>
      <c r="J856" s="454"/>
      <c r="L856" s="454"/>
      <c r="M856" s="342"/>
      <c r="O856" s="356"/>
      <c r="P856" s="356"/>
      <c r="Q856" s="356"/>
      <c r="R856" s="356"/>
      <c r="S856" s="356"/>
      <c r="T856" s="356"/>
      <c r="U856" s="356"/>
      <c r="V856" s="356"/>
      <c r="W856" s="356"/>
      <c r="X856" s="356"/>
      <c r="Y856" s="356"/>
      <c r="Z856" s="356"/>
      <c r="AA856" s="356"/>
      <c r="AB856" s="356"/>
      <c r="AC856" s="356"/>
      <c r="AD856" s="356"/>
      <c r="AE856" s="356"/>
      <c r="AF856" s="356"/>
    </row>
    <row r="857">
      <c r="A857" s="341"/>
      <c r="B857" s="356"/>
      <c r="C857" s="456"/>
      <c r="D857" s="356"/>
      <c r="E857" s="452"/>
      <c r="F857" s="356"/>
      <c r="G857" s="356"/>
      <c r="H857" s="453"/>
      <c r="I857" s="453"/>
      <c r="J857" s="454"/>
      <c r="L857" s="454"/>
      <c r="M857" s="342"/>
      <c r="O857" s="356"/>
      <c r="P857" s="356"/>
      <c r="Q857" s="356"/>
      <c r="R857" s="356"/>
      <c r="S857" s="356"/>
      <c r="T857" s="356"/>
      <c r="U857" s="356"/>
      <c r="V857" s="356"/>
      <c r="W857" s="356"/>
      <c r="X857" s="356"/>
      <c r="Y857" s="356"/>
      <c r="Z857" s="356"/>
      <c r="AA857" s="356"/>
      <c r="AB857" s="356"/>
      <c r="AC857" s="356"/>
      <c r="AD857" s="356"/>
      <c r="AE857" s="356"/>
      <c r="AF857" s="356"/>
    </row>
    <row r="858">
      <c r="A858" s="341"/>
      <c r="B858" s="356"/>
      <c r="C858" s="456"/>
      <c r="D858" s="356"/>
      <c r="E858" s="452"/>
      <c r="F858" s="356"/>
      <c r="G858" s="356"/>
      <c r="H858" s="453"/>
      <c r="I858" s="453"/>
      <c r="J858" s="454"/>
      <c r="L858" s="454"/>
      <c r="M858" s="342"/>
      <c r="O858" s="356"/>
      <c r="P858" s="356"/>
      <c r="Q858" s="356"/>
      <c r="R858" s="356"/>
      <c r="S858" s="356"/>
      <c r="T858" s="356"/>
      <c r="U858" s="356"/>
      <c r="V858" s="356"/>
      <c r="W858" s="356"/>
      <c r="X858" s="356"/>
      <c r="Y858" s="356"/>
      <c r="Z858" s="356"/>
      <c r="AA858" s="356"/>
      <c r="AB858" s="356"/>
      <c r="AC858" s="356"/>
      <c r="AD858" s="356"/>
      <c r="AE858" s="356"/>
      <c r="AF858" s="356"/>
    </row>
    <row r="859">
      <c r="A859" s="341"/>
      <c r="B859" s="356"/>
      <c r="C859" s="456"/>
      <c r="D859" s="356"/>
      <c r="E859" s="452"/>
      <c r="F859" s="356"/>
      <c r="G859" s="356"/>
      <c r="H859" s="453"/>
      <c r="I859" s="453"/>
      <c r="J859" s="454"/>
      <c r="L859" s="454"/>
      <c r="M859" s="342"/>
      <c r="O859" s="356"/>
      <c r="P859" s="356"/>
      <c r="Q859" s="356"/>
      <c r="R859" s="356"/>
      <c r="S859" s="356"/>
      <c r="T859" s="356"/>
      <c r="U859" s="356"/>
      <c r="V859" s="356"/>
      <c r="W859" s="356"/>
      <c r="X859" s="356"/>
      <c r="Y859" s="356"/>
      <c r="Z859" s="356"/>
      <c r="AA859" s="356"/>
      <c r="AB859" s="356"/>
      <c r="AC859" s="356"/>
      <c r="AD859" s="356"/>
      <c r="AE859" s="356"/>
      <c r="AF859" s="356"/>
    </row>
    <row r="860">
      <c r="A860" s="341"/>
      <c r="B860" s="356"/>
      <c r="C860" s="456"/>
      <c r="D860" s="356"/>
      <c r="E860" s="452"/>
      <c r="F860" s="356"/>
      <c r="G860" s="356"/>
      <c r="H860" s="453"/>
      <c r="I860" s="453"/>
      <c r="J860" s="454"/>
      <c r="L860" s="454"/>
      <c r="M860" s="342"/>
      <c r="O860" s="356"/>
      <c r="P860" s="356"/>
      <c r="Q860" s="356"/>
      <c r="R860" s="356"/>
      <c r="S860" s="356"/>
      <c r="T860" s="356"/>
      <c r="U860" s="356"/>
      <c r="V860" s="356"/>
      <c r="W860" s="356"/>
      <c r="X860" s="356"/>
      <c r="Y860" s="356"/>
      <c r="Z860" s="356"/>
      <c r="AA860" s="356"/>
      <c r="AB860" s="356"/>
      <c r="AC860" s="356"/>
      <c r="AD860" s="356"/>
      <c r="AE860" s="356"/>
      <c r="AF860" s="356"/>
    </row>
    <row r="861">
      <c r="A861" s="341"/>
      <c r="B861" s="356"/>
      <c r="C861" s="456"/>
      <c r="D861" s="356"/>
      <c r="E861" s="452"/>
      <c r="F861" s="356"/>
      <c r="G861" s="356"/>
      <c r="H861" s="453"/>
      <c r="I861" s="453"/>
      <c r="J861" s="454"/>
      <c r="L861" s="454"/>
      <c r="M861" s="342"/>
      <c r="O861" s="356"/>
      <c r="P861" s="356"/>
      <c r="Q861" s="356"/>
      <c r="R861" s="356"/>
      <c r="S861" s="356"/>
      <c r="T861" s="356"/>
      <c r="U861" s="356"/>
      <c r="V861" s="356"/>
      <c r="W861" s="356"/>
      <c r="X861" s="356"/>
      <c r="Y861" s="356"/>
      <c r="Z861" s="356"/>
      <c r="AA861" s="356"/>
      <c r="AB861" s="356"/>
      <c r="AC861" s="356"/>
      <c r="AD861" s="356"/>
      <c r="AE861" s="356"/>
      <c r="AF861" s="356"/>
    </row>
    <row r="862">
      <c r="A862" s="341"/>
      <c r="B862" s="356"/>
      <c r="C862" s="456"/>
      <c r="D862" s="356"/>
      <c r="E862" s="452"/>
      <c r="F862" s="356"/>
      <c r="G862" s="356"/>
      <c r="H862" s="453"/>
      <c r="I862" s="453"/>
      <c r="J862" s="454"/>
      <c r="L862" s="454"/>
      <c r="M862" s="342"/>
      <c r="O862" s="356"/>
      <c r="P862" s="356"/>
      <c r="Q862" s="356"/>
      <c r="R862" s="356"/>
      <c r="S862" s="356"/>
      <c r="T862" s="356"/>
      <c r="U862" s="356"/>
      <c r="V862" s="356"/>
      <c r="W862" s="356"/>
      <c r="X862" s="356"/>
      <c r="Y862" s="356"/>
      <c r="Z862" s="356"/>
      <c r="AA862" s="356"/>
      <c r="AB862" s="356"/>
      <c r="AC862" s="356"/>
      <c r="AD862" s="356"/>
      <c r="AE862" s="356"/>
      <c r="AF862" s="356"/>
    </row>
    <row r="863">
      <c r="A863" s="341"/>
      <c r="B863" s="356"/>
      <c r="C863" s="456"/>
      <c r="D863" s="356"/>
      <c r="E863" s="452"/>
      <c r="F863" s="356"/>
      <c r="G863" s="356"/>
      <c r="H863" s="453"/>
      <c r="I863" s="453"/>
      <c r="J863" s="454"/>
      <c r="L863" s="454"/>
      <c r="M863" s="342"/>
      <c r="O863" s="356"/>
      <c r="P863" s="356"/>
      <c r="Q863" s="356"/>
      <c r="R863" s="356"/>
      <c r="S863" s="356"/>
      <c r="T863" s="356"/>
      <c r="U863" s="356"/>
      <c r="V863" s="356"/>
      <c r="W863" s="356"/>
      <c r="X863" s="356"/>
      <c r="Y863" s="356"/>
      <c r="Z863" s="356"/>
      <c r="AA863" s="356"/>
      <c r="AB863" s="356"/>
      <c r="AC863" s="356"/>
      <c r="AD863" s="356"/>
      <c r="AE863" s="356"/>
      <c r="AF863" s="356"/>
    </row>
    <row r="864">
      <c r="A864" s="341"/>
      <c r="B864" s="356"/>
      <c r="C864" s="456"/>
      <c r="D864" s="356"/>
      <c r="E864" s="452"/>
      <c r="F864" s="356"/>
      <c r="G864" s="356"/>
      <c r="H864" s="453"/>
      <c r="I864" s="453"/>
      <c r="J864" s="454"/>
      <c r="L864" s="454"/>
      <c r="M864" s="342"/>
      <c r="O864" s="356"/>
      <c r="P864" s="356"/>
      <c r="Q864" s="356"/>
      <c r="R864" s="356"/>
      <c r="S864" s="356"/>
      <c r="T864" s="356"/>
      <c r="U864" s="356"/>
      <c r="V864" s="356"/>
      <c r="W864" s="356"/>
      <c r="X864" s="356"/>
      <c r="Y864" s="356"/>
      <c r="Z864" s="356"/>
      <c r="AA864" s="356"/>
      <c r="AB864" s="356"/>
      <c r="AC864" s="356"/>
      <c r="AD864" s="356"/>
      <c r="AE864" s="356"/>
      <c r="AF864" s="356"/>
    </row>
    <row r="865">
      <c r="A865" s="341"/>
      <c r="B865" s="356"/>
      <c r="C865" s="456"/>
      <c r="D865" s="356"/>
      <c r="E865" s="452"/>
      <c r="F865" s="356"/>
      <c r="G865" s="356"/>
      <c r="H865" s="453"/>
      <c r="I865" s="453"/>
      <c r="J865" s="454"/>
      <c r="L865" s="454"/>
      <c r="M865" s="342"/>
      <c r="O865" s="356"/>
      <c r="P865" s="356"/>
      <c r="Q865" s="356"/>
      <c r="R865" s="356"/>
      <c r="S865" s="356"/>
      <c r="T865" s="356"/>
      <c r="U865" s="356"/>
      <c r="V865" s="356"/>
      <c r="W865" s="356"/>
      <c r="X865" s="356"/>
      <c r="Y865" s="356"/>
      <c r="Z865" s="356"/>
      <c r="AA865" s="356"/>
      <c r="AB865" s="356"/>
      <c r="AC865" s="356"/>
      <c r="AD865" s="356"/>
      <c r="AE865" s="356"/>
      <c r="AF865" s="356"/>
    </row>
    <row r="866">
      <c r="A866" s="341"/>
      <c r="B866" s="356"/>
      <c r="C866" s="456"/>
      <c r="D866" s="356"/>
      <c r="E866" s="452"/>
      <c r="F866" s="356"/>
      <c r="G866" s="356"/>
      <c r="H866" s="453"/>
      <c r="I866" s="453"/>
      <c r="J866" s="454"/>
      <c r="L866" s="454"/>
      <c r="M866" s="342"/>
      <c r="O866" s="356"/>
      <c r="P866" s="356"/>
      <c r="Q866" s="356"/>
      <c r="R866" s="356"/>
      <c r="S866" s="356"/>
      <c r="T866" s="356"/>
      <c r="U866" s="356"/>
      <c r="V866" s="356"/>
      <c r="W866" s="356"/>
      <c r="X866" s="356"/>
      <c r="Y866" s="356"/>
      <c r="Z866" s="356"/>
      <c r="AA866" s="356"/>
      <c r="AB866" s="356"/>
      <c r="AC866" s="356"/>
      <c r="AD866" s="356"/>
      <c r="AE866" s="356"/>
      <c r="AF866" s="356"/>
    </row>
    <row r="867">
      <c r="A867" s="341"/>
      <c r="B867" s="356"/>
      <c r="C867" s="456"/>
      <c r="D867" s="356"/>
      <c r="E867" s="452"/>
      <c r="F867" s="356"/>
      <c r="G867" s="356"/>
      <c r="H867" s="453"/>
      <c r="I867" s="453"/>
      <c r="J867" s="454"/>
      <c r="L867" s="454"/>
      <c r="M867" s="342"/>
      <c r="O867" s="356"/>
      <c r="P867" s="356"/>
      <c r="Q867" s="356"/>
      <c r="R867" s="356"/>
      <c r="S867" s="356"/>
      <c r="T867" s="356"/>
      <c r="U867" s="356"/>
      <c r="V867" s="356"/>
      <c r="W867" s="356"/>
      <c r="X867" s="356"/>
      <c r="Y867" s="356"/>
      <c r="Z867" s="356"/>
      <c r="AA867" s="356"/>
      <c r="AB867" s="356"/>
      <c r="AC867" s="356"/>
      <c r="AD867" s="356"/>
      <c r="AE867" s="356"/>
      <c r="AF867" s="356"/>
    </row>
    <row r="868">
      <c r="A868" s="341"/>
      <c r="B868" s="356"/>
      <c r="C868" s="456"/>
      <c r="D868" s="356"/>
      <c r="E868" s="452"/>
      <c r="F868" s="356"/>
      <c r="G868" s="356"/>
      <c r="H868" s="453"/>
      <c r="I868" s="453"/>
      <c r="J868" s="454"/>
      <c r="L868" s="454"/>
      <c r="M868" s="342"/>
      <c r="O868" s="356"/>
      <c r="P868" s="356"/>
      <c r="Q868" s="356"/>
      <c r="R868" s="356"/>
      <c r="S868" s="356"/>
      <c r="T868" s="356"/>
      <c r="U868" s="356"/>
      <c r="V868" s="356"/>
      <c r="W868" s="356"/>
      <c r="X868" s="356"/>
      <c r="Y868" s="356"/>
      <c r="Z868" s="356"/>
      <c r="AA868" s="356"/>
      <c r="AB868" s="356"/>
      <c r="AC868" s="356"/>
      <c r="AD868" s="356"/>
      <c r="AE868" s="356"/>
      <c r="AF868" s="356"/>
    </row>
    <row r="869">
      <c r="A869" s="341"/>
      <c r="B869" s="356"/>
      <c r="C869" s="456"/>
      <c r="D869" s="356"/>
      <c r="E869" s="452"/>
      <c r="F869" s="356"/>
      <c r="G869" s="356"/>
      <c r="H869" s="453"/>
      <c r="I869" s="453"/>
      <c r="J869" s="454"/>
      <c r="L869" s="454"/>
      <c r="M869" s="342"/>
      <c r="O869" s="356"/>
      <c r="P869" s="356"/>
      <c r="Q869" s="356"/>
      <c r="R869" s="356"/>
      <c r="S869" s="356"/>
      <c r="T869" s="356"/>
      <c r="U869" s="356"/>
      <c r="V869" s="356"/>
      <c r="W869" s="356"/>
      <c r="X869" s="356"/>
      <c r="Y869" s="356"/>
      <c r="Z869" s="356"/>
      <c r="AA869" s="356"/>
      <c r="AB869" s="356"/>
      <c r="AC869" s="356"/>
      <c r="AD869" s="356"/>
      <c r="AE869" s="356"/>
      <c r="AF869" s="356"/>
    </row>
    <row r="870">
      <c r="A870" s="341"/>
      <c r="B870" s="356"/>
      <c r="C870" s="456"/>
      <c r="D870" s="356"/>
      <c r="E870" s="452"/>
      <c r="F870" s="356"/>
      <c r="G870" s="356"/>
      <c r="H870" s="453"/>
      <c r="I870" s="453"/>
      <c r="J870" s="454"/>
      <c r="L870" s="454"/>
      <c r="M870" s="342"/>
      <c r="O870" s="356"/>
      <c r="P870" s="356"/>
      <c r="Q870" s="356"/>
      <c r="R870" s="356"/>
      <c r="S870" s="356"/>
      <c r="T870" s="356"/>
      <c r="U870" s="356"/>
      <c r="V870" s="356"/>
      <c r="W870" s="356"/>
      <c r="X870" s="356"/>
      <c r="Y870" s="356"/>
      <c r="Z870" s="356"/>
      <c r="AA870" s="356"/>
      <c r="AB870" s="356"/>
      <c r="AC870" s="356"/>
      <c r="AD870" s="356"/>
      <c r="AE870" s="356"/>
      <c r="AF870" s="356"/>
    </row>
    <row r="871">
      <c r="A871" s="341"/>
      <c r="B871" s="356"/>
      <c r="C871" s="456"/>
      <c r="D871" s="356"/>
      <c r="E871" s="452"/>
      <c r="F871" s="356"/>
      <c r="G871" s="356"/>
      <c r="H871" s="453"/>
      <c r="I871" s="453"/>
      <c r="J871" s="454"/>
      <c r="L871" s="454"/>
      <c r="M871" s="342"/>
      <c r="O871" s="356"/>
      <c r="P871" s="356"/>
      <c r="Q871" s="356"/>
      <c r="R871" s="356"/>
      <c r="S871" s="356"/>
      <c r="T871" s="356"/>
      <c r="U871" s="356"/>
      <c r="V871" s="356"/>
      <c r="W871" s="356"/>
      <c r="X871" s="356"/>
      <c r="Y871" s="356"/>
      <c r="Z871" s="356"/>
      <c r="AA871" s="356"/>
      <c r="AB871" s="356"/>
      <c r="AC871" s="356"/>
      <c r="AD871" s="356"/>
      <c r="AE871" s="356"/>
      <c r="AF871" s="356"/>
    </row>
    <row r="872">
      <c r="A872" s="341"/>
      <c r="B872" s="356"/>
      <c r="C872" s="456"/>
      <c r="D872" s="356"/>
      <c r="E872" s="452"/>
      <c r="F872" s="356"/>
      <c r="G872" s="356"/>
      <c r="H872" s="453"/>
      <c r="I872" s="453"/>
      <c r="J872" s="454"/>
      <c r="L872" s="454"/>
      <c r="M872" s="342"/>
      <c r="O872" s="356"/>
      <c r="P872" s="356"/>
      <c r="Q872" s="356"/>
      <c r="R872" s="356"/>
      <c r="S872" s="356"/>
      <c r="T872" s="356"/>
      <c r="U872" s="356"/>
      <c r="V872" s="356"/>
      <c r="W872" s="356"/>
      <c r="X872" s="356"/>
      <c r="Y872" s="356"/>
      <c r="Z872" s="356"/>
      <c r="AA872" s="356"/>
      <c r="AB872" s="356"/>
      <c r="AC872" s="356"/>
      <c r="AD872" s="356"/>
      <c r="AE872" s="356"/>
      <c r="AF872" s="356"/>
    </row>
    <row r="873">
      <c r="A873" s="341"/>
      <c r="B873" s="356"/>
      <c r="C873" s="456"/>
      <c r="D873" s="356"/>
      <c r="E873" s="452"/>
      <c r="F873" s="356"/>
      <c r="G873" s="356"/>
      <c r="H873" s="453"/>
      <c r="I873" s="453"/>
      <c r="J873" s="454"/>
      <c r="L873" s="454"/>
      <c r="M873" s="342"/>
      <c r="O873" s="356"/>
      <c r="P873" s="356"/>
      <c r="Q873" s="356"/>
      <c r="R873" s="356"/>
      <c r="S873" s="356"/>
      <c r="T873" s="356"/>
      <c r="U873" s="356"/>
      <c r="V873" s="356"/>
      <c r="W873" s="356"/>
      <c r="X873" s="356"/>
      <c r="Y873" s="356"/>
      <c r="Z873" s="356"/>
      <c r="AA873" s="356"/>
      <c r="AB873" s="356"/>
      <c r="AC873" s="356"/>
      <c r="AD873" s="356"/>
      <c r="AE873" s="356"/>
      <c r="AF873" s="356"/>
    </row>
    <row r="874">
      <c r="A874" s="341"/>
      <c r="B874" s="356"/>
      <c r="C874" s="456"/>
      <c r="D874" s="356"/>
      <c r="E874" s="452"/>
      <c r="F874" s="356"/>
      <c r="G874" s="356"/>
      <c r="H874" s="453"/>
      <c r="I874" s="453"/>
      <c r="J874" s="454"/>
      <c r="L874" s="454"/>
      <c r="M874" s="342"/>
      <c r="O874" s="356"/>
      <c r="P874" s="356"/>
      <c r="Q874" s="356"/>
      <c r="R874" s="356"/>
      <c r="S874" s="356"/>
      <c r="T874" s="356"/>
      <c r="U874" s="356"/>
      <c r="V874" s="356"/>
      <c r="W874" s="356"/>
      <c r="X874" s="356"/>
      <c r="Y874" s="356"/>
      <c r="Z874" s="356"/>
      <c r="AA874" s="356"/>
      <c r="AB874" s="356"/>
      <c r="AC874" s="356"/>
      <c r="AD874" s="356"/>
      <c r="AE874" s="356"/>
      <c r="AF874" s="356"/>
    </row>
    <row r="875">
      <c r="A875" s="341"/>
      <c r="B875" s="356"/>
      <c r="C875" s="456"/>
      <c r="D875" s="356"/>
      <c r="E875" s="452"/>
      <c r="F875" s="356"/>
      <c r="G875" s="356"/>
      <c r="H875" s="453"/>
      <c r="I875" s="453"/>
      <c r="J875" s="454"/>
      <c r="L875" s="454"/>
      <c r="M875" s="342"/>
      <c r="O875" s="356"/>
      <c r="P875" s="356"/>
      <c r="Q875" s="356"/>
      <c r="R875" s="356"/>
      <c r="S875" s="356"/>
      <c r="T875" s="356"/>
      <c r="U875" s="356"/>
      <c r="V875" s="356"/>
      <c r="W875" s="356"/>
      <c r="X875" s="356"/>
      <c r="Y875" s="356"/>
      <c r="Z875" s="356"/>
      <c r="AA875" s="356"/>
      <c r="AB875" s="356"/>
      <c r="AC875" s="356"/>
      <c r="AD875" s="356"/>
      <c r="AE875" s="356"/>
      <c r="AF875" s="356"/>
    </row>
    <row r="876">
      <c r="A876" s="341"/>
      <c r="B876" s="356"/>
      <c r="C876" s="456"/>
      <c r="D876" s="356"/>
      <c r="E876" s="452"/>
      <c r="F876" s="356"/>
      <c r="G876" s="356"/>
      <c r="H876" s="453"/>
      <c r="I876" s="453"/>
      <c r="J876" s="454"/>
      <c r="L876" s="454"/>
      <c r="M876" s="342"/>
      <c r="O876" s="356"/>
      <c r="P876" s="356"/>
      <c r="Q876" s="356"/>
      <c r="R876" s="356"/>
      <c r="S876" s="356"/>
      <c r="T876" s="356"/>
      <c r="U876" s="356"/>
      <c r="V876" s="356"/>
      <c r="W876" s="356"/>
      <c r="X876" s="356"/>
      <c r="Y876" s="356"/>
      <c r="Z876" s="356"/>
      <c r="AA876" s="356"/>
      <c r="AB876" s="356"/>
      <c r="AC876" s="356"/>
      <c r="AD876" s="356"/>
      <c r="AE876" s="356"/>
      <c r="AF876" s="356"/>
    </row>
    <row r="877">
      <c r="A877" s="341"/>
      <c r="B877" s="356"/>
      <c r="C877" s="456"/>
      <c r="D877" s="356"/>
      <c r="E877" s="452"/>
      <c r="F877" s="356"/>
      <c r="G877" s="356"/>
      <c r="H877" s="453"/>
      <c r="I877" s="453"/>
      <c r="J877" s="454"/>
      <c r="L877" s="454"/>
      <c r="M877" s="342"/>
      <c r="O877" s="356"/>
      <c r="P877" s="356"/>
      <c r="Q877" s="356"/>
      <c r="R877" s="356"/>
      <c r="S877" s="356"/>
      <c r="T877" s="356"/>
      <c r="U877" s="356"/>
      <c r="V877" s="356"/>
      <c r="W877" s="356"/>
      <c r="X877" s="356"/>
      <c r="Y877" s="356"/>
      <c r="Z877" s="356"/>
      <c r="AA877" s="356"/>
      <c r="AB877" s="356"/>
      <c r="AC877" s="356"/>
      <c r="AD877" s="356"/>
      <c r="AE877" s="356"/>
      <c r="AF877" s="356"/>
    </row>
    <row r="878">
      <c r="A878" s="341"/>
      <c r="B878" s="356"/>
      <c r="C878" s="456"/>
      <c r="D878" s="356"/>
      <c r="E878" s="452"/>
      <c r="F878" s="356"/>
      <c r="G878" s="356"/>
      <c r="H878" s="453"/>
      <c r="I878" s="453"/>
      <c r="J878" s="454"/>
      <c r="L878" s="454"/>
      <c r="M878" s="342"/>
      <c r="O878" s="356"/>
      <c r="P878" s="356"/>
      <c r="Q878" s="356"/>
      <c r="R878" s="356"/>
      <c r="S878" s="356"/>
      <c r="T878" s="356"/>
      <c r="U878" s="356"/>
      <c r="V878" s="356"/>
      <c r="W878" s="356"/>
      <c r="X878" s="356"/>
      <c r="Y878" s="356"/>
      <c r="Z878" s="356"/>
      <c r="AA878" s="356"/>
      <c r="AB878" s="356"/>
      <c r="AC878" s="356"/>
      <c r="AD878" s="356"/>
      <c r="AE878" s="356"/>
      <c r="AF878" s="356"/>
    </row>
    <row r="879">
      <c r="A879" s="341"/>
      <c r="B879" s="356"/>
      <c r="C879" s="456"/>
      <c r="D879" s="356"/>
      <c r="E879" s="452"/>
      <c r="F879" s="356"/>
      <c r="G879" s="356"/>
      <c r="H879" s="453"/>
      <c r="I879" s="453"/>
      <c r="J879" s="454"/>
      <c r="L879" s="454"/>
      <c r="M879" s="342"/>
      <c r="O879" s="356"/>
      <c r="P879" s="356"/>
      <c r="Q879" s="356"/>
      <c r="R879" s="356"/>
      <c r="S879" s="356"/>
      <c r="T879" s="356"/>
      <c r="U879" s="356"/>
      <c r="V879" s="356"/>
      <c r="W879" s="356"/>
      <c r="X879" s="356"/>
      <c r="Y879" s="356"/>
      <c r="Z879" s="356"/>
      <c r="AA879" s="356"/>
      <c r="AB879" s="356"/>
      <c r="AC879" s="356"/>
      <c r="AD879" s="356"/>
      <c r="AE879" s="356"/>
      <c r="AF879" s="356"/>
    </row>
    <row r="880">
      <c r="A880" s="341"/>
      <c r="B880" s="356"/>
      <c r="C880" s="456"/>
      <c r="D880" s="356"/>
      <c r="E880" s="452"/>
      <c r="F880" s="356"/>
      <c r="G880" s="356"/>
      <c r="H880" s="453"/>
      <c r="I880" s="453"/>
      <c r="J880" s="454"/>
      <c r="L880" s="454"/>
      <c r="M880" s="342"/>
      <c r="O880" s="356"/>
      <c r="P880" s="356"/>
      <c r="Q880" s="356"/>
      <c r="R880" s="356"/>
      <c r="S880" s="356"/>
      <c r="T880" s="356"/>
      <c r="U880" s="356"/>
      <c r="V880" s="356"/>
      <c r="W880" s="356"/>
      <c r="X880" s="356"/>
      <c r="Y880" s="356"/>
      <c r="Z880" s="356"/>
      <c r="AA880" s="356"/>
      <c r="AB880" s="356"/>
      <c r="AC880" s="356"/>
      <c r="AD880" s="356"/>
      <c r="AE880" s="356"/>
      <c r="AF880" s="356"/>
    </row>
    <row r="881">
      <c r="A881" s="341"/>
      <c r="B881" s="356"/>
      <c r="C881" s="456"/>
      <c r="D881" s="356"/>
      <c r="E881" s="452"/>
      <c r="F881" s="356"/>
      <c r="G881" s="356"/>
      <c r="H881" s="453"/>
      <c r="I881" s="453"/>
      <c r="J881" s="454"/>
      <c r="L881" s="454"/>
      <c r="M881" s="342"/>
      <c r="O881" s="356"/>
      <c r="P881" s="356"/>
      <c r="Q881" s="356"/>
      <c r="R881" s="356"/>
      <c r="S881" s="356"/>
      <c r="T881" s="356"/>
      <c r="U881" s="356"/>
      <c r="V881" s="356"/>
      <c r="W881" s="356"/>
      <c r="X881" s="356"/>
      <c r="Y881" s="356"/>
      <c r="Z881" s="356"/>
      <c r="AA881" s="356"/>
      <c r="AB881" s="356"/>
      <c r="AC881" s="356"/>
      <c r="AD881" s="356"/>
      <c r="AE881" s="356"/>
      <c r="AF881" s="356"/>
    </row>
    <row r="882">
      <c r="A882" s="341"/>
      <c r="B882" s="356"/>
      <c r="C882" s="456"/>
      <c r="D882" s="356"/>
      <c r="E882" s="452"/>
      <c r="F882" s="356"/>
      <c r="G882" s="356"/>
      <c r="H882" s="453"/>
      <c r="I882" s="453"/>
      <c r="J882" s="454"/>
      <c r="L882" s="454"/>
      <c r="M882" s="342"/>
      <c r="O882" s="356"/>
      <c r="P882" s="356"/>
      <c r="Q882" s="356"/>
      <c r="R882" s="356"/>
      <c r="S882" s="356"/>
      <c r="T882" s="356"/>
      <c r="U882" s="356"/>
      <c r="V882" s="356"/>
      <c r="W882" s="356"/>
      <c r="X882" s="356"/>
      <c r="Y882" s="356"/>
      <c r="Z882" s="356"/>
      <c r="AA882" s="356"/>
      <c r="AB882" s="356"/>
      <c r="AC882" s="356"/>
      <c r="AD882" s="356"/>
      <c r="AE882" s="356"/>
      <c r="AF882" s="356"/>
    </row>
    <row r="883">
      <c r="A883" s="341"/>
      <c r="B883" s="356"/>
      <c r="C883" s="456"/>
      <c r="D883" s="356"/>
      <c r="E883" s="452"/>
      <c r="F883" s="356"/>
      <c r="G883" s="356"/>
      <c r="H883" s="453"/>
      <c r="I883" s="453"/>
      <c r="J883" s="454"/>
      <c r="L883" s="454"/>
      <c r="M883" s="342"/>
      <c r="O883" s="356"/>
      <c r="P883" s="356"/>
      <c r="Q883" s="356"/>
      <c r="R883" s="356"/>
      <c r="S883" s="356"/>
      <c r="T883" s="356"/>
      <c r="U883" s="356"/>
      <c r="V883" s="356"/>
      <c r="W883" s="356"/>
      <c r="X883" s="356"/>
      <c r="Y883" s="356"/>
      <c r="Z883" s="356"/>
      <c r="AA883" s="356"/>
      <c r="AB883" s="356"/>
      <c r="AC883" s="356"/>
      <c r="AD883" s="356"/>
      <c r="AE883" s="356"/>
      <c r="AF883" s="356"/>
    </row>
    <row r="884">
      <c r="A884" s="341"/>
      <c r="B884" s="356"/>
      <c r="C884" s="456"/>
      <c r="D884" s="356"/>
      <c r="E884" s="452"/>
      <c r="F884" s="356"/>
      <c r="G884" s="356"/>
      <c r="H884" s="453"/>
      <c r="I884" s="453"/>
      <c r="J884" s="454"/>
      <c r="L884" s="454"/>
      <c r="M884" s="342"/>
      <c r="O884" s="356"/>
      <c r="P884" s="356"/>
      <c r="Q884" s="356"/>
      <c r="R884" s="356"/>
      <c r="S884" s="356"/>
      <c r="T884" s="356"/>
      <c r="U884" s="356"/>
      <c r="V884" s="356"/>
      <c r="W884" s="356"/>
      <c r="X884" s="356"/>
      <c r="Y884" s="356"/>
      <c r="Z884" s="356"/>
      <c r="AA884" s="356"/>
      <c r="AB884" s="356"/>
      <c r="AC884" s="356"/>
      <c r="AD884" s="356"/>
      <c r="AE884" s="356"/>
      <c r="AF884" s="356"/>
    </row>
    <row r="885">
      <c r="A885" s="341"/>
      <c r="B885" s="356"/>
      <c r="C885" s="456"/>
      <c r="D885" s="356"/>
      <c r="E885" s="452"/>
      <c r="F885" s="356"/>
      <c r="G885" s="356"/>
      <c r="H885" s="453"/>
      <c r="I885" s="453"/>
      <c r="J885" s="454"/>
      <c r="L885" s="454"/>
      <c r="M885" s="342"/>
      <c r="O885" s="356"/>
      <c r="P885" s="356"/>
      <c r="Q885" s="356"/>
      <c r="R885" s="356"/>
      <c r="S885" s="356"/>
      <c r="T885" s="356"/>
      <c r="U885" s="356"/>
      <c r="V885" s="356"/>
      <c r="W885" s="356"/>
      <c r="X885" s="356"/>
      <c r="Y885" s="356"/>
      <c r="Z885" s="356"/>
      <c r="AA885" s="356"/>
      <c r="AB885" s="356"/>
      <c r="AC885" s="356"/>
      <c r="AD885" s="356"/>
      <c r="AE885" s="356"/>
      <c r="AF885" s="356"/>
    </row>
    <row r="886">
      <c r="A886" s="341"/>
      <c r="B886" s="356"/>
      <c r="C886" s="456"/>
      <c r="D886" s="356"/>
      <c r="E886" s="452"/>
      <c r="F886" s="356"/>
      <c r="G886" s="356"/>
      <c r="H886" s="453"/>
      <c r="I886" s="453"/>
      <c r="J886" s="454"/>
      <c r="L886" s="454"/>
      <c r="M886" s="342"/>
      <c r="O886" s="356"/>
      <c r="P886" s="356"/>
      <c r="Q886" s="356"/>
      <c r="R886" s="356"/>
      <c r="S886" s="356"/>
      <c r="T886" s="356"/>
      <c r="U886" s="356"/>
      <c r="V886" s="356"/>
      <c r="W886" s="356"/>
      <c r="X886" s="356"/>
      <c r="Y886" s="356"/>
      <c r="Z886" s="356"/>
      <c r="AA886" s="356"/>
      <c r="AB886" s="356"/>
      <c r="AC886" s="356"/>
      <c r="AD886" s="356"/>
      <c r="AE886" s="356"/>
      <c r="AF886" s="356"/>
    </row>
    <row r="887">
      <c r="A887" s="341"/>
      <c r="B887" s="356"/>
      <c r="C887" s="456"/>
      <c r="D887" s="356"/>
      <c r="E887" s="452"/>
      <c r="F887" s="356"/>
      <c r="G887" s="356"/>
      <c r="H887" s="453"/>
      <c r="I887" s="453"/>
      <c r="J887" s="454"/>
      <c r="L887" s="454"/>
      <c r="M887" s="342"/>
      <c r="O887" s="356"/>
      <c r="P887" s="356"/>
      <c r="Q887" s="356"/>
      <c r="R887" s="356"/>
      <c r="S887" s="356"/>
      <c r="T887" s="356"/>
      <c r="U887" s="356"/>
      <c r="V887" s="356"/>
      <c r="W887" s="356"/>
      <c r="X887" s="356"/>
      <c r="Y887" s="356"/>
      <c r="Z887" s="356"/>
      <c r="AA887" s="356"/>
      <c r="AB887" s="356"/>
      <c r="AC887" s="356"/>
      <c r="AD887" s="356"/>
      <c r="AE887" s="356"/>
      <c r="AF887" s="356"/>
    </row>
    <row r="888">
      <c r="A888" s="341"/>
      <c r="B888" s="356"/>
      <c r="C888" s="456"/>
      <c r="D888" s="356"/>
      <c r="E888" s="452"/>
      <c r="F888" s="356"/>
      <c r="G888" s="356"/>
      <c r="H888" s="453"/>
      <c r="I888" s="453"/>
      <c r="J888" s="454"/>
      <c r="L888" s="454"/>
      <c r="M888" s="342"/>
      <c r="O888" s="356"/>
      <c r="P888" s="356"/>
      <c r="Q888" s="356"/>
      <c r="R888" s="356"/>
      <c r="S888" s="356"/>
      <c r="T888" s="356"/>
      <c r="U888" s="356"/>
      <c r="V888" s="356"/>
      <c r="W888" s="356"/>
      <c r="X888" s="356"/>
      <c r="Y888" s="356"/>
      <c r="Z888" s="356"/>
      <c r="AA888" s="356"/>
      <c r="AB888" s="356"/>
      <c r="AC888" s="356"/>
      <c r="AD888" s="356"/>
      <c r="AE888" s="356"/>
      <c r="AF888" s="356"/>
    </row>
    <row r="889">
      <c r="A889" s="341"/>
      <c r="B889" s="356"/>
      <c r="C889" s="456"/>
      <c r="D889" s="356"/>
      <c r="E889" s="452"/>
      <c r="F889" s="356"/>
      <c r="G889" s="356"/>
      <c r="H889" s="453"/>
      <c r="I889" s="453"/>
      <c r="J889" s="454"/>
      <c r="L889" s="454"/>
      <c r="M889" s="342"/>
      <c r="O889" s="356"/>
      <c r="P889" s="356"/>
      <c r="Q889" s="356"/>
      <c r="R889" s="356"/>
      <c r="S889" s="356"/>
      <c r="T889" s="356"/>
      <c r="U889" s="356"/>
      <c r="V889" s="356"/>
      <c r="W889" s="356"/>
      <c r="X889" s="356"/>
      <c r="Y889" s="356"/>
      <c r="Z889" s="356"/>
      <c r="AA889" s="356"/>
      <c r="AB889" s="356"/>
      <c r="AC889" s="356"/>
      <c r="AD889" s="356"/>
      <c r="AE889" s="356"/>
      <c r="AF889" s="356"/>
    </row>
    <row r="890">
      <c r="A890" s="341"/>
      <c r="B890" s="356"/>
      <c r="C890" s="456"/>
      <c r="D890" s="356"/>
      <c r="E890" s="452"/>
      <c r="F890" s="356"/>
      <c r="G890" s="356"/>
      <c r="H890" s="453"/>
      <c r="I890" s="453"/>
      <c r="J890" s="454"/>
      <c r="L890" s="454"/>
      <c r="M890" s="342"/>
      <c r="O890" s="356"/>
      <c r="P890" s="356"/>
      <c r="Q890" s="356"/>
      <c r="R890" s="356"/>
      <c r="S890" s="356"/>
      <c r="T890" s="356"/>
      <c r="U890" s="356"/>
      <c r="V890" s="356"/>
      <c r="W890" s="356"/>
      <c r="X890" s="356"/>
      <c r="Y890" s="356"/>
      <c r="Z890" s="356"/>
      <c r="AA890" s="356"/>
      <c r="AB890" s="356"/>
      <c r="AC890" s="356"/>
      <c r="AD890" s="356"/>
      <c r="AE890" s="356"/>
      <c r="AF890" s="356"/>
    </row>
    <row r="891">
      <c r="A891" s="341"/>
      <c r="B891" s="356"/>
      <c r="C891" s="456"/>
      <c r="D891" s="356"/>
      <c r="E891" s="452"/>
      <c r="F891" s="356"/>
      <c r="G891" s="356"/>
      <c r="H891" s="453"/>
      <c r="I891" s="453"/>
      <c r="J891" s="454"/>
      <c r="L891" s="454"/>
      <c r="M891" s="342"/>
      <c r="O891" s="356"/>
      <c r="P891" s="356"/>
      <c r="Q891" s="356"/>
      <c r="R891" s="356"/>
      <c r="S891" s="356"/>
      <c r="T891" s="356"/>
      <c r="U891" s="356"/>
      <c r="V891" s="356"/>
      <c r="W891" s="356"/>
      <c r="X891" s="356"/>
      <c r="Y891" s="356"/>
      <c r="Z891" s="356"/>
      <c r="AA891" s="356"/>
      <c r="AB891" s="356"/>
      <c r="AC891" s="356"/>
      <c r="AD891" s="356"/>
      <c r="AE891" s="356"/>
      <c r="AF891" s="356"/>
    </row>
    <row r="892">
      <c r="A892" s="341"/>
      <c r="B892" s="356"/>
      <c r="C892" s="456"/>
      <c r="D892" s="356"/>
      <c r="E892" s="452"/>
      <c r="F892" s="356"/>
      <c r="G892" s="356"/>
      <c r="H892" s="453"/>
      <c r="I892" s="453"/>
      <c r="J892" s="454"/>
      <c r="L892" s="454"/>
      <c r="M892" s="342"/>
      <c r="O892" s="356"/>
      <c r="P892" s="356"/>
      <c r="Q892" s="356"/>
      <c r="R892" s="356"/>
      <c r="S892" s="356"/>
      <c r="T892" s="356"/>
      <c r="U892" s="356"/>
      <c r="V892" s="356"/>
      <c r="W892" s="356"/>
      <c r="X892" s="356"/>
      <c r="Y892" s="356"/>
      <c r="Z892" s="356"/>
      <c r="AA892" s="356"/>
      <c r="AB892" s="356"/>
      <c r="AC892" s="356"/>
      <c r="AD892" s="356"/>
      <c r="AE892" s="356"/>
      <c r="AF892" s="356"/>
    </row>
    <row r="893">
      <c r="A893" s="341"/>
      <c r="B893" s="356"/>
      <c r="C893" s="456"/>
      <c r="D893" s="356"/>
      <c r="E893" s="452"/>
      <c r="F893" s="356"/>
      <c r="G893" s="356"/>
      <c r="H893" s="453"/>
      <c r="I893" s="453"/>
      <c r="J893" s="454"/>
      <c r="L893" s="454"/>
      <c r="M893" s="342"/>
      <c r="O893" s="356"/>
      <c r="P893" s="356"/>
      <c r="Q893" s="356"/>
      <c r="R893" s="356"/>
      <c r="S893" s="356"/>
      <c r="T893" s="356"/>
      <c r="U893" s="356"/>
      <c r="V893" s="356"/>
      <c r="W893" s="356"/>
      <c r="X893" s="356"/>
      <c r="Y893" s="356"/>
      <c r="Z893" s="356"/>
      <c r="AA893" s="356"/>
      <c r="AB893" s="356"/>
      <c r="AC893" s="356"/>
      <c r="AD893" s="356"/>
      <c r="AE893" s="356"/>
      <c r="AF893" s="356"/>
    </row>
    <row r="894">
      <c r="A894" s="341"/>
      <c r="B894" s="356"/>
      <c r="C894" s="456"/>
      <c r="D894" s="356"/>
      <c r="E894" s="452"/>
      <c r="F894" s="356"/>
      <c r="G894" s="356"/>
      <c r="H894" s="453"/>
      <c r="I894" s="453"/>
      <c r="J894" s="454"/>
      <c r="L894" s="454"/>
      <c r="M894" s="342"/>
      <c r="O894" s="356"/>
      <c r="P894" s="356"/>
      <c r="Q894" s="356"/>
      <c r="R894" s="356"/>
      <c r="S894" s="356"/>
      <c r="T894" s="356"/>
      <c r="U894" s="356"/>
      <c r="V894" s="356"/>
      <c r="W894" s="356"/>
      <c r="X894" s="356"/>
      <c r="Y894" s="356"/>
      <c r="Z894" s="356"/>
      <c r="AA894" s="356"/>
      <c r="AB894" s="356"/>
      <c r="AC894" s="356"/>
      <c r="AD894" s="356"/>
      <c r="AE894" s="356"/>
      <c r="AF894" s="356"/>
    </row>
    <row r="895">
      <c r="A895" s="341"/>
      <c r="B895" s="356"/>
      <c r="C895" s="456"/>
      <c r="D895" s="356"/>
      <c r="E895" s="452"/>
      <c r="F895" s="356"/>
      <c r="G895" s="356"/>
      <c r="H895" s="453"/>
      <c r="I895" s="453"/>
      <c r="J895" s="454"/>
      <c r="L895" s="454"/>
      <c r="M895" s="342"/>
      <c r="O895" s="356"/>
      <c r="P895" s="356"/>
      <c r="Q895" s="356"/>
      <c r="R895" s="356"/>
      <c r="S895" s="356"/>
      <c r="T895" s="356"/>
      <c r="U895" s="356"/>
      <c r="V895" s="356"/>
      <c r="W895" s="356"/>
      <c r="X895" s="356"/>
      <c r="Y895" s="356"/>
      <c r="Z895" s="356"/>
      <c r="AA895" s="356"/>
      <c r="AB895" s="356"/>
      <c r="AC895" s="356"/>
      <c r="AD895" s="356"/>
      <c r="AE895" s="356"/>
      <c r="AF895" s="356"/>
    </row>
    <row r="896">
      <c r="A896" s="341"/>
      <c r="B896" s="356"/>
      <c r="C896" s="456"/>
      <c r="D896" s="356"/>
      <c r="E896" s="452"/>
      <c r="F896" s="356"/>
      <c r="G896" s="356"/>
      <c r="H896" s="453"/>
      <c r="I896" s="453"/>
      <c r="J896" s="454"/>
      <c r="L896" s="454"/>
      <c r="M896" s="342"/>
      <c r="O896" s="356"/>
      <c r="P896" s="356"/>
      <c r="Q896" s="356"/>
      <c r="R896" s="356"/>
      <c r="S896" s="356"/>
      <c r="T896" s="356"/>
      <c r="U896" s="356"/>
      <c r="V896" s="356"/>
      <c r="W896" s="356"/>
      <c r="X896" s="356"/>
      <c r="Y896" s="356"/>
      <c r="Z896" s="356"/>
      <c r="AA896" s="356"/>
      <c r="AB896" s="356"/>
      <c r="AC896" s="356"/>
      <c r="AD896" s="356"/>
      <c r="AE896" s="356"/>
      <c r="AF896" s="356"/>
    </row>
    <row r="897">
      <c r="A897" s="341"/>
      <c r="B897" s="356"/>
      <c r="C897" s="456"/>
      <c r="D897" s="356"/>
      <c r="E897" s="452"/>
      <c r="F897" s="356"/>
      <c r="G897" s="356"/>
      <c r="H897" s="453"/>
      <c r="I897" s="453"/>
      <c r="J897" s="454"/>
      <c r="L897" s="454"/>
      <c r="M897" s="342"/>
      <c r="O897" s="356"/>
      <c r="P897" s="356"/>
      <c r="Q897" s="356"/>
      <c r="R897" s="356"/>
      <c r="S897" s="356"/>
      <c r="T897" s="356"/>
      <c r="U897" s="356"/>
      <c r="V897" s="356"/>
      <c r="W897" s="356"/>
      <c r="X897" s="356"/>
      <c r="Y897" s="356"/>
      <c r="Z897" s="356"/>
      <c r="AA897" s="356"/>
      <c r="AB897" s="356"/>
      <c r="AC897" s="356"/>
      <c r="AD897" s="356"/>
      <c r="AE897" s="356"/>
      <c r="AF897" s="356"/>
    </row>
    <row r="898">
      <c r="A898" s="341"/>
      <c r="B898" s="356"/>
      <c r="C898" s="456"/>
      <c r="D898" s="356"/>
      <c r="E898" s="452"/>
      <c r="F898" s="356"/>
      <c r="G898" s="356"/>
      <c r="H898" s="453"/>
      <c r="I898" s="453"/>
      <c r="J898" s="454"/>
      <c r="L898" s="454"/>
      <c r="M898" s="342"/>
      <c r="O898" s="356"/>
      <c r="P898" s="356"/>
      <c r="Q898" s="356"/>
      <c r="R898" s="356"/>
      <c r="S898" s="356"/>
      <c r="T898" s="356"/>
      <c r="U898" s="356"/>
      <c r="V898" s="356"/>
      <c r="W898" s="356"/>
      <c r="X898" s="356"/>
      <c r="Y898" s="356"/>
      <c r="Z898" s="356"/>
      <c r="AA898" s="356"/>
      <c r="AB898" s="356"/>
      <c r="AC898" s="356"/>
      <c r="AD898" s="356"/>
      <c r="AE898" s="356"/>
      <c r="AF898" s="356"/>
    </row>
    <row r="899">
      <c r="A899" s="341"/>
      <c r="B899" s="356"/>
      <c r="C899" s="456"/>
      <c r="D899" s="356"/>
      <c r="E899" s="452"/>
      <c r="F899" s="356"/>
      <c r="G899" s="356"/>
      <c r="H899" s="453"/>
      <c r="I899" s="453"/>
      <c r="J899" s="454"/>
      <c r="L899" s="454"/>
      <c r="M899" s="342"/>
      <c r="O899" s="356"/>
      <c r="P899" s="356"/>
      <c r="Q899" s="356"/>
      <c r="R899" s="356"/>
      <c r="S899" s="356"/>
      <c r="T899" s="356"/>
      <c r="U899" s="356"/>
      <c r="V899" s="356"/>
      <c r="W899" s="356"/>
      <c r="X899" s="356"/>
      <c r="Y899" s="356"/>
      <c r="Z899" s="356"/>
      <c r="AA899" s="356"/>
      <c r="AB899" s="356"/>
      <c r="AC899" s="356"/>
      <c r="AD899" s="356"/>
      <c r="AE899" s="356"/>
      <c r="AF899" s="356"/>
    </row>
    <row r="900">
      <c r="A900" s="341"/>
      <c r="B900" s="356"/>
      <c r="C900" s="456"/>
      <c r="D900" s="356"/>
      <c r="E900" s="452"/>
      <c r="F900" s="356"/>
      <c r="G900" s="356"/>
      <c r="H900" s="453"/>
      <c r="I900" s="453"/>
      <c r="J900" s="454"/>
      <c r="L900" s="454"/>
      <c r="M900" s="342"/>
      <c r="O900" s="356"/>
      <c r="P900" s="356"/>
      <c r="Q900" s="356"/>
      <c r="R900" s="356"/>
      <c r="S900" s="356"/>
      <c r="T900" s="356"/>
      <c r="U900" s="356"/>
      <c r="V900" s="356"/>
      <c r="W900" s="356"/>
      <c r="X900" s="356"/>
      <c r="Y900" s="356"/>
      <c r="Z900" s="356"/>
      <c r="AA900" s="356"/>
      <c r="AB900" s="356"/>
      <c r="AC900" s="356"/>
      <c r="AD900" s="356"/>
      <c r="AE900" s="356"/>
      <c r="AF900" s="356"/>
    </row>
    <row r="901">
      <c r="A901" s="341"/>
      <c r="B901" s="356"/>
      <c r="C901" s="456"/>
      <c r="D901" s="356"/>
      <c r="E901" s="452"/>
      <c r="F901" s="356"/>
      <c r="G901" s="356"/>
      <c r="H901" s="453"/>
      <c r="I901" s="453"/>
      <c r="J901" s="454"/>
      <c r="L901" s="454"/>
      <c r="M901" s="342"/>
      <c r="O901" s="356"/>
      <c r="P901" s="356"/>
      <c r="Q901" s="356"/>
      <c r="R901" s="356"/>
      <c r="S901" s="356"/>
      <c r="T901" s="356"/>
      <c r="U901" s="356"/>
      <c r="V901" s="356"/>
      <c r="W901" s="356"/>
      <c r="X901" s="356"/>
      <c r="Y901" s="356"/>
      <c r="Z901" s="356"/>
      <c r="AA901" s="356"/>
      <c r="AB901" s="356"/>
      <c r="AC901" s="356"/>
      <c r="AD901" s="356"/>
      <c r="AE901" s="356"/>
      <c r="AF901" s="356"/>
    </row>
    <row r="902">
      <c r="A902" s="341"/>
      <c r="B902" s="356"/>
      <c r="C902" s="456"/>
      <c r="D902" s="356"/>
      <c r="E902" s="452"/>
      <c r="F902" s="356"/>
      <c r="G902" s="356"/>
      <c r="H902" s="453"/>
      <c r="I902" s="453"/>
      <c r="J902" s="454"/>
      <c r="L902" s="454"/>
      <c r="M902" s="342"/>
      <c r="O902" s="356"/>
      <c r="P902" s="356"/>
      <c r="Q902" s="356"/>
      <c r="R902" s="356"/>
      <c r="S902" s="356"/>
      <c r="T902" s="356"/>
      <c r="U902" s="356"/>
      <c r="V902" s="356"/>
      <c r="W902" s="356"/>
      <c r="X902" s="356"/>
      <c r="Y902" s="356"/>
      <c r="Z902" s="356"/>
      <c r="AA902" s="356"/>
      <c r="AB902" s="356"/>
      <c r="AC902" s="356"/>
      <c r="AD902" s="356"/>
      <c r="AE902" s="356"/>
      <c r="AF902" s="356"/>
    </row>
    <row r="903">
      <c r="A903" s="341"/>
      <c r="B903" s="356"/>
      <c r="C903" s="456"/>
      <c r="D903" s="356"/>
      <c r="E903" s="452"/>
      <c r="F903" s="356"/>
      <c r="G903" s="356"/>
      <c r="H903" s="453"/>
      <c r="I903" s="453"/>
      <c r="J903" s="454"/>
      <c r="L903" s="454"/>
      <c r="M903" s="342"/>
      <c r="O903" s="356"/>
      <c r="P903" s="356"/>
      <c r="Q903" s="356"/>
      <c r="R903" s="356"/>
      <c r="S903" s="356"/>
      <c r="T903" s="356"/>
      <c r="U903" s="356"/>
      <c r="V903" s="356"/>
      <c r="W903" s="356"/>
      <c r="X903" s="356"/>
      <c r="Y903" s="356"/>
      <c r="Z903" s="356"/>
      <c r="AA903" s="356"/>
      <c r="AB903" s="356"/>
      <c r="AC903" s="356"/>
      <c r="AD903" s="356"/>
      <c r="AE903" s="356"/>
      <c r="AF903" s="356"/>
    </row>
    <row r="904">
      <c r="A904" s="341"/>
      <c r="B904" s="356"/>
      <c r="C904" s="456"/>
      <c r="D904" s="356"/>
      <c r="E904" s="452"/>
      <c r="F904" s="356"/>
      <c r="G904" s="356"/>
      <c r="H904" s="453"/>
      <c r="I904" s="453"/>
      <c r="J904" s="454"/>
      <c r="L904" s="454"/>
      <c r="M904" s="342"/>
      <c r="O904" s="356"/>
      <c r="P904" s="356"/>
      <c r="Q904" s="356"/>
      <c r="R904" s="356"/>
      <c r="S904" s="356"/>
      <c r="T904" s="356"/>
      <c r="U904" s="356"/>
      <c r="V904" s="356"/>
      <c r="W904" s="356"/>
      <c r="X904" s="356"/>
      <c r="Y904" s="356"/>
      <c r="Z904" s="356"/>
      <c r="AA904" s="356"/>
      <c r="AB904" s="356"/>
      <c r="AC904" s="356"/>
      <c r="AD904" s="356"/>
      <c r="AE904" s="356"/>
      <c r="AF904" s="356"/>
    </row>
    <row r="905">
      <c r="A905" s="341"/>
      <c r="B905" s="356"/>
      <c r="C905" s="456"/>
      <c r="D905" s="356"/>
      <c r="E905" s="452"/>
      <c r="F905" s="356"/>
      <c r="G905" s="356"/>
      <c r="H905" s="453"/>
      <c r="I905" s="453"/>
      <c r="J905" s="454"/>
      <c r="L905" s="454"/>
      <c r="M905" s="342"/>
      <c r="O905" s="356"/>
      <c r="P905" s="356"/>
      <c r="Q905" s="356"/>
      <c r="R905" s="356"/>
      <c r="S905" s="356"/>
      <c r="T905" s="356"/>
      <c r="U905" s="356"/>
      <c r="V905" s="356"/>
      <c r="W905" s="356"/>
      <c r="X905" s="356"/>
      <c r="Y905" s="356"/>
      <c r="Z905" s="356"/>
      <c r="AA905" s="356"/>
      <c r="AB905" s="356"/>
      <c r="AC905" s="356"/>
      <c r="AD905" s="356"/>
      <c r="AE905" s="356"/>
      <c r="AF905" s="356"/>
    </row>
    <row r="906">
      <c r="A906" s="341"/>
      <c r="B906" s="356"/>
      <c r="C906" s="456"/>
      <c r="D906" s="356"/>
      <c r="E906" s="452"/>
      <c r="F906" s="356"/>
      <c r="G906" s="356"/>
      <c r="H906" s="453"/>
      <c r="I906" s="453"/>
      <c r="J906" s="454"/>
      <c r="L906" s="454"/>
      <c r="M906" s="342"/>
      <c r="O906" s="356"/>
      <c r="P906" s="356"/>
      <c r="Q906" s="356"/>
      <c r="R906" s="356"/>
      <c r="S906" s="356"/>
      <c r="T906" s="356"/>
      <c r="U906" s="356"/>
      <c r="V906" s="356"/>
      <c r="W906" s="356"/>
      <c r="X906" s="356"/>
      <c r="Y906" s="356"/>
      <c r="Z906" s="356"/>
      <c r="AA906" s="356"/>
      <c r="AB906" s="356"/>
      <c r="AC906" s="356"/>
      <c r="AD906" s="356"/>
      <c r="AE906" s="356"/>
      <c r="AF906" s="356"/>
    </row>
    <row r="907">
      <c r="A907" s="341"/>
      <c r="B907" s="356"/>
      <c r="C907" s="456"/>
      <c r="D907" s="356"/>
      <c r="E907" s="452"/>
      <c r="F907" s="356"/>
      <c r="G907" s="356"/>
      <c r="H907" s="453"/>
      <c r="I907" s="453"/>
      <c r="J907" s="454"/>
      <c r="L907" s="454"/>
      <c r="M907" s="342"/>
      <c r="O907" s="356"/>
      <c r="P907" s="356"/>
      <c r="Q907" s="356"/>
      <c r="R907" s="356"/>
      <c r="S907" s="356"/>
      <c r="T907" s="356"/>
      <c r="U907" s="356"/>
      <c r="V907" s="356"/>
      <c r="W907" s="356"/>
      <c r="X907" s="356"/>
      <c r="Y907" s="356"/>
      <c r="Z907" s="356"/>
      <c r="AA907" s="356"/>
      <c r="AB907" s="356"/>
      <c r="AC907" s="356"/>
      <c r="AD907" s="356"/>
      <c r="AE907" s="356"/>
      <c r="AF907" s="356"/>
    </row>
    <row r="908">
      <c r="A908" s="341"/>
      <c r="B908" s="356"/>
      <c r="C908" s="456"/>
      <c r="D908" s="356"/>
      <c r="E908" s="452"/>
      <c r="F908" s="356"/>
      <c r="G908" s="356"/>
      <c r="H908" s="453"/>
      <c r="I908" s="453"/>
      <c r="J908" s="454"/>
      <c r="L908" s="454"/>
      <c r="M908" s="342"/>
      <c r="O908" s="356"/>
      <c r="P908" s="356"/>
      <c r="Q908" s="356"/>
      <c r="R908" s="356"/>
      <c r="S908" s="356"/>
      <c r="T908" s="356"/>
      <c r="U908" s="356"/>
      <c r="V908" s="356"/>
      <c r="W908" s="356"/>
      <c r="X908" s="356"/>
      <c r="Y908" s="356"/>
      <c r="Z908" s="356"/>
      <c r="AA908" s="356"/>
      <c r="AB908" s="356"/>
      <c r="AC908" s="356"/>
      <c r="AD908" s="356"/>
      <c r="AE908" s="356"/>
      <c r="AF908" s="356"/>
    </row>
    <row r="909">
      <c r="A909" s="341"/>
      <c r="B909" s="356"/>
      <c r="C909" s="456"/>
      <c r="D909" s="356"/>
      <c r="E909" s="452"/>
      <c r="F909" s="356"/>
      <c r="G909" s="356"/>
      <c r="H909" s="453"/>
      <c r="I909" s="453"/>
      <c r="J909" s="454"/>
      <c r="L909" s="454"/>
      <c r="M909" s="342"/>
      <c r="O909" s="356"/>
      <c r="P909" s="356"/>
      <c r="Q909" s="356"/>
      <c r="R909" s="356"/>
      <c r="S909" s="356"/>
      <c r="T909" s="356"/>
      <c r="U909" s="356"/>
      <c r="V909" s="356"/>
      <c r="W909" s="356"/>
      <c r="X909" s="356"/>
      <c r="Y909" s="356"/>
      <c r="Z909" s="356"/>
      <c r="AA909" s="356"/>
      <c r="AB909" s="356"/>
      <c r="AC909" s="356"/>
      <c r="AD909" s="356"/>
      <c r="AE909" s="356"/>
      <c r="AF909" s="356"/>
    </row>
    <row r="910">
      <c r="A910" s="341"/>
      <c r="B910" s="356"/>
      <c r="C910" s="456"/>
      <c r="D910" s="356"/>
      <c r="E910" s="452"/>
      <c r="F910" s="356"/>
      <c r="G910" s="356"/>
      <c r="H910" s="453"/>
      <c r="I910" s="453"/>
      <c r="J910" s="454"/>
      <c r="L910" s="454"/>
      <c r="M910" s="342"/>
      <c r="O910" s="356"/>
      <c r="P910" s="356"/>
      <c r="Q910" s="356"/>
      <c r="R910" s="356"/>
      <c r="S910" s="356"/>
      <c r="T910" s="356"/>
      <c r="U910" s="356"/>
      <c r="V910" s="356"/>
      <c r="W910" s="356"/>
      <c r="X910" s="356"/>
      <c r="Y910" s="356"/>
      <c r="Z910" s="356"/>
      <c r="AA910" s="356"/>
      <c r="AB910" s="356"/>
      <c r="AC910" s="356"/>
      <c r="AD910" s="356"/>
      <c r="AE910" s="356"/>
      <c r="AF910" s="356"/>
    </row>
    <row r="911">
      <c r="A911" s="341"/>
      <c r="B911" s="356"/>
      <c r="C911" s="456"/>
      <c r="D911" s="356"/>
      <c r="E911" s="452"/>
      <c r="F911" s="356"/>
      <c r="G911" s="356"/>
      <c r="H911" s="453"/>
      <c r="I911" s="453"/>
      <c r="J911" s="454"/>
      <c r="L911" s="454"/>
      <c r="M911" s="342"/>
      <c r="O911" s="356"/>
      <c r="P911" s="356"/>
      <c r="Q911" s="356"/>
      <c r="R911" s="356"/>
      <c r="S911" s="356"/>
      <c r="T911" s="356"/>
      <c r="U911" s="356"/>
      <c r="V911" s="356"/>
      <c r="W911" s="356"/>
      <c r="X911" s="356"/>
      <c r="Y911" s="356"/>
      <c r="Z911" s="356"/>
      <c r="AA911" s="356"/>
      <c r="AB911" s="356"/>
      <c r="AC911" s="356"/>
      <c r="AD911" s="356"/>
      <c r="AE911" s="356"/>
      <c r="AF911" s="356"/>
    </row>
    <row r="912">
      <c r="A912" s="341"/>
      <c r="B912" s="356"/>
      <c r="C912" s="456"/>
      <c r="D912" s="356"/>
      <c r="E912" s="452"/>
      <c r="F912" s="356"/>
      <c r="G912" s="356"/>
      <c r="H912" s="453"/>
      <c r="I912" s="453"/>
      <c r="J912" s="454"/>
      <c r="L912" s="454"/>
      <c r="M912" s="342"/>
      <c r="O912" s="356"/>
      <c r="P912" s="356"/>
      <c r="Q912" s="356"/>
      <c r="R912" s="356"/>
      <c r="S912" s="356"/>
      <c r="T912" s="356"/>
      <c r="U912" s="356"/>
      <c r="V912" s="356"/>
      <c r="W912" s="356"/>
      <c r="X912" s="356"/>
      <c r="Y912" s="356"/>
      <c r="Z912" s="356"/>
      <c r="AA912" s="356"/>
      <c r="AB912" s="356"/>
      <c r="AC912" s="356"/>
      <c r="AD912" s="356"/>
      <c r="AE912" s="356"/>
      <c r="AF912" s="356"/>
    </row>
    <row r="913">
      <c r="A913" s="341"/>
      <c r="B913" s="356"/>
      <c r="C913" s="456"/>
      <c r="D913" s="356"/>
      <c r="E913" s="452"/>
      <c r="F913" s="356"/>
      <c r="G913" s="356"/>
      <c r="H913" s="453"/>
      <c r="I913" s="453"/>
      <c r="J913" s="454"/>
      <c r="L913" s="454"/>
      <c r="M913" s="342"/>
      <c r="O913" s="356"/>
      <c r="P913" s="356"/>
      <c r="Q913" s="356"/>
      <c r="R913" s="356"/>
      <c r="S913" s="356"/>
      <c r="T913" s="356"/>
      <c r="U913" s="356"/>
      <c r="V913" s="356"/>
      <c r="W913" s="356"/>
      <c r="X913" s="356"/>
      <c r="Y913" s="356"/>
      <c r="Z913" s="356"/>
      <c r="AA913" s="356"/>
      <c r="AB913" s="356"/>
      <c r="AC913" s="356"/>
      <c r="AD913" s="356"/>
      <c r="AE913" s="356"/>
      <c r="AF913" s="356"/>
    </row>
    <row r="914">
      <c r="A914" s="341"/>
      <c r="B914" s="356"/>
      <c r="C914" s="456"/>
      <c r="D914" s="356"/>
      <c r="E914" s="452"/>
      <c r="F914" s="356"/>
      <c r="G914" s="356"/>
      <c r="H914" s="453"/>
      <c r="I914" s="453"/>
      <c r="J914" s="454"/>
      <c r="L914" s="454"/>
      <c r="M914" s="342"/>
      <c r="O914" s="356"/>
      <c r="P914" s="356"/>
      <c r="Q914" s="356"/>
      <c r="R914" s="356"/>
      <c r="S914" s="356"/>
      <c r="T914" s="356"/>
      <c r="U914" s="356"/>
      <c r="V914" s="356"/>
      <c r="W914" s="356"/>
      <c r="X914" s="356"/>
      <c r="Y914" s="356"/>
      <c r="Z914" s="356"/>
      <c r="AA914" s="356"/>
      <c r="AB914" s="356"/>
      <c r="AC914" s="356"/>
      <c r="AD914" s="356"/>
      <c r="AE914" s="356"/>
      <c r="AF914" s="356"/>
    </row>
    <row r="915">
      <c r="A915" s="341"/>
      <c r="B915" s="356"/>
      <c r="C915" s="456"/>
      <c r="D915" s="356"/>
      <c r="E915" s="452"/>
      <c r="F915" s="356"/>
      <c r="G915" s="356"/>
      <c r="H915" s="453"/>
      <c r="I915" s="453"/>
      <c r="J915" s="454"/>
      <c r="L915" s="454"/>
      <c r="M915" s="342"/>
      <c r="O915" s="356"/>
      <c r="P915" s="356"/>
      <c r="Q915" s="356"/>
      <c r="R915" s="356"/>
      <c r="S915" s="356"/>
      <c r="T915" s="356"/>
      <c r="U915" s="356"/>
      <c r="V915" s="356"/>
      <c r="W915" s="356"/>
      <c r="X915" s="356"/>
      <c r="Y915" s="356"/>
      <c r="Z915" s="356"/>
      <c r="AA915" s="356"/>
      <c r="AB915" s="356"/>
      <c r="AC915" s="356"/>
      <c r="AD915" s="356"/>
      <c r="AE915" s="356"/>
      <c r="AF915" s="356"/>
    </row>
    <row r="916">
      <c r="A916" s="341"/>
      <c r="B916" s="356"/>
      <c r="C916" s="456"/>
      <c r="D916" s="356"/>
      <c r="E916" s="452"/>
      <c r="F916" s="356"/>
      <c r="G916" s="356"/>
      <c r="H916" s="453"/>
      <c r="I916" s="453"/>
      <c r="J916" s="454"/>
      <c r="L916" s="454"/>
      <c r="M916" s="342"/>
      <c r="O916" s="356"/>
      <c r="P916" s="356"/>
      <c r="Q916" s="356"/>
      <c r="R916" s="356"/>
      <c r="S916" s="356"/>
      <c r="T916" s="356"/>
      <c r="U916" s="356"/>
      <c r="V916" s="356"/>
      <c r="W916" s="356"/>
      <c r="X916" s="356"/>
      <c r="Y916" s="356"/>
      <c r="Z916" s="356"/>
      <c r="AA916" s="356"/>
      <c r="AB916" s="356"/>
      <c r="AC916" s="356"/>
      <c r="AD916" s="356"/>
      <c r="AE916" s="356"/>
      <c r="AF916" s="356"/>
    </row>
    <row r="917">
      <c r="A917" s="341"/>
      <c r="B917" s="356"/>
      <c r="C917" s="456"/>
      <c r="D917" s="356"/>
      <c r="E917" s="452"/>
      <c r="F917" s="356"/>
      <c r="G917" s="356"/>
      <c r="H917" s="453"/>
      <c r="I917" s="453"/>
      <c r="J917" s="454"/>
      <c r="L917" s="454"/>
      <c r="M917" s="342"/>
      <c r="O917" s="356"/>
      <c r="P917" s="356"/>
      <c r="Q917" s="356"/>
      <c r="R917" s="356"/>
      <c r="S917" s="356"/>
      <c r="T917" s="356"/>
      <c r="U917" s="356"/>
      <c r="V917" s="356"/>
      <c r="W917" s="356"/>
      <c r="X917" s="356"/>
      <c r="Y917" s="356"/>
      <c r="Z917" s="356"/>
      <c r="AA917" s="356"/>
      <c r="AB917" s="356"/>
      <c r="AC917" s="356"/>
      <c r="AD917" s="356"/>
      <c r="AE917" s="356"/>
      <c r="AF917" s="356"/>
    </row>
    <row r="918">
      <c r="A918" s="341"/>
      <c r="B918" s="356"/>
      <c r="C918" s="456"/>
      <c r="D918" s="356"/>
      <c r="E918" s="452"/>
      <c r="F918" s="356"/>
      <c r="G918" s="356"/>
      <c r="H918" s="453"/>
      <c r="I918" s="453"/>
      <c r="J918" s="454"/>
      <c r="L918" s="454"/>
      <c r="M918" s="342"/>
      <c r="O918" s="356"/>
      <c r="P918" s="356"/>
      <c r="Q918" s="356"/>
      <c r="R918" s="356"/>
      <c r="S918" s="356"/>
      <c r="T918" s="356"/>
      <c r="U918" s="356"/>
      <c r="V918" s="356"/>
      <c r="W918" s="356"/>
      <c r="X918" s="356"/>
      <c r="Y918" s="356"/>
      <c r="Z918" s="356"/>
      <c r="AA918" s="356"/>
      <c r="AB918" s="356"/>
      <c r="AC918" s="356"/>
      <c r="AD918" s="356"/>
      <c r="AE918" s="356"/>
      <c r="AF918" s="356"/>
    </row>
    <row r="919">
      <c r="A919" s="341"/>
      <c r="B919" s="356"/>
      <c r="C919" s="456"/>
      <c r="D919" s="356"/>
      <c r="E919" s="452"/>
      <c r="F919" s="356"/>
      <c r="G919" s="356"/>
      <c r="H919" s="453"/>
      <c r="I919" s="453"/>
      <c r="J919" s="454"/>
      <c r="L919" s="454"/>
      <c r="M919" s="342"/>
      <c r="O919" s="356"/>
      <c r="P919" s="356"/>
      <c r="Q919" s="356"/>
      <c r="R919" s="356"/>
      <c r="S919" s="356"/>
      <c r="T919" s="356"/>
      <c r="U919" s="356"/>
      <c r="V919" s="356"/>
      <c r="W919" s="356"/>
      <c r="X919" s="356"/>
      <c r="Y919" s="356"/>
      <c r="Z919" s="356"/>
      <c r="AA919" s="356"/>
      <c r="AB919" s="356"/>
      <c r="AC919" s="356"/>
      <c r="AD919" s="356"/>
      <c r="AE919" s="356"/>
      <c r="AF919" s="356"/>
    </row>
    <row r="920">
      <c r="A920" s="341"/>
      <c r="B920" s="356"/>
      <c r="C920" s="456"/>
      <c r="D920" s="356"/>
      <c r="E920" s="452"/>
      <c r="F920" s="356"/>
      <c r="G920" s="356"/>
      <c r="H920" s="453"/>
      <c r="I920" s="453"/>
      <c r="J920" s="454"/>
      <c r="L920" s="454"/>
      <c r="M920" s="342"/>
      <c r="O920" s="356"/>
      <c r="P920" s="356"/>
      <c r="Q920" s="356"/>
      <c r="R920" s="356"/>
      <c r="S920" s="356"/>
      <c r="T920" s="356"/>
      <c r="U920" s="356"/>
      <c r="V920" s="356"/>
      <c r="W920" s="356"/>
      <c r="X920" s="356"/>
      <c r="Y920" s="356"/>
      <c r="Z920" s="356"/>
      <c r="AA920" s="356"/>
      <c r="AB920" s="356"/>
      <c r="AC920" s="356"/>
      <c r="AD920" s="356"/>
      <c r="AE920" s="356"/>
      <c r="AF920" s="356"/>
    </row>
    <row r="921">
      <c r="A921" s="341"/>
      <c r="B921" s="356"/>
      <c r="C921" s="456"/>
      <c r="D921" s="356"/>
      <c r="E921" s="452"/>
      <c r="F921" s="356"/>
      <c r="G921" s="356"/>
      <c r="H921" s="453"/>
      <c r="I921" s="453"/>
      <c r="J921" s="454"/>
      <c r="L921" s="454"/>
      <c r="M921" s="342"/>
      <c r="O921" s="356"/>
      <c r="P921" s="356"/>
      <c r="Q921" s="356"/>
      <c r="R921" s="356"/>
      <c r="S921" s="356"/>
      <c r="T921" s="356"/>
      <c r="U921" s="356"/>
      <c r="V921" s="356"/>
      <c r="W921" s="356"/>
      <c r="X921" s="356"/>
      <c r="Y921" s="356"/>
      <c r="Z921" s="356"/>
      <c r="AA921" s="356"/>
      <c r="AB921" s="356"/>
      <c r="AC921" s="356"/>
      <c r="AD921" s="356"/>
      <c r="AE921" s="356"/>
      <c r="AF921" s="356"/>
    </row>
    <row r="922">
      <c r="A922" s="341"/>
      <c r="B922" s="356"/>
      <c r="C922" s="456"/>
      <c r="D922" s="356"/>
      <c r="E922" s="452"/>
      <c r="F922" s="356"/>
      <c r="G922" s="356"/>
      <c r="H922" s="453"/>
      <c r="I922" s="453"/>
      <c r="J922" s="454"/>
      <c r="L922" s="454"/>
      <c r="M922" s="342"/>
      <c r="O922" s="356"/>
      <c r="P922" s="356"/>
      <c r="Q922" s="356"/>
      <c r="R922" s="356"/>
      <c r="S922" s="356"/>
      <c r="T922" s="356"/>
      <c r="U922" s="356"/>
      <c r="V922" s="356"/>
      <c r="W922" s="356"/>
      <c r="X922" s="356"/>
      <c r="Y922" s="356"/>
      <c r="Z922" s="356"/>
      <c r="AA922" s="356"/>
      <c r="AB922" s="356"/>
      <c r="AC922" s="356"/>
      <c r="AD922" s="356"/>
      <c r="AE922" s="356"/>
      <c r="AF922" s="356"/>
    </row>
    <row r="923">
      <c r="A923" s="341"/>
      <c r="B923" s="356"/>
      <c r="C923" s="456"/>
      <c r="D923" s="356"/>
      <c r="E923" s="452"/>
      <c r="F923" s="356"/>
      <c r="G923" s="356"/>
      <c r="H923" s="453"/>
      <c r="I923" s="453"/>
      <c r="J923" s="454"/>
      <c r="L923" s="454"/>
      <c r="M923" s="342"/>
      <c r="O923" s="356"/>
      <c r="P923" s="356"/>
      <c r="Q923" s="356"/>
      <c r="R923" s="356"/>
      <c r="S923" s="356"/>
      <c r="T923" s="356"/>
      <c r="U923" s="356"/>
      <c r="V923" s="356"/>
      <c r="W923" s="356"/>
      <c r="X923" s="356"/>
      <c r="Y923" s="356"/>
      <c r="Z923" s="356"/>
      <c r="AA923" s="356"/>
      <c r="AB923" s="356"/>
      <c r="AC923" s="356"/>
      <c r="AD923" s="356"/>
      <c r="AE923" s="356"/>
      <c r="AF923" s="356"/>
    </row>
    <row r="924">
      <c r="A924" s="341"/>
      <c r="B924" s="356"/>
      <c r="C924" s="456"/>
      <c r="D924" s="356"/>
      <c r="E924" s="452"/>
      <c r="F924" s="356"/>
      <c r="G924" s="356"/>
      <c r="H924" s="453"/>
      <c r="I924" s="453"/>
      <c r="J924" s="454"/>
      <c r="L924" s="454"/>
      <c r="M924" s="342"/>
      <c r="O924" s="356"/>
      <c r="P924" s="356"/>
      <c r="Q924" s="356"/>
      <c r="R924" s="356"/>
      <c r="S924" s="356"/>
      <c r="T924" s="356"/>
      <c r="U924" s="356"/>
      <c r="V924" s="356"/>
      <c r="W924" s="356"/>
      <c r="X924" s="356"/>
      <c r="Y924" s="356"/>
      <c r="Z924" s="356"/>
      <c r="AA924" s="356"/>
      <c r="AB924" s="356"/>
      <c r="AC924" s="356"/>
      <c r="AD924" s="356"/>
      <c r="AE924" s="356"/>
      <c r="AF924" s="356"/>
    </row>
    <row r="925">
      <c r="A925" s="341"/>
      <c r="B925" s="356"/>
      <c r="C925" s="456"/>
      <c r="D925" s="356"/>
      <c r="E925" s="452"/>
      <c r="F925" s="356"/>
      <c r="G925" s="356"/>
      <c r="H925" s="453"/>
      <c r="I925" s="453"/>
      <c r="J925" s="454"/>
      <c r="L925" s="454"/>
      <c r="M925" s="342"/>
      <c r="O925" s="356"/>
      <c r="P925" s="356"/>
      <c r="Q925" s="356"/>
      <c r="R925" s="356"/>
      <c r="S925" s="356"/>
      <c r="T925" s="356"/>
      <c r="U925" s="356"/>
      <c r="V925" s="356"/>
      <c r="W925" s="356"/>
      <c r="X925" s="356"/>
      <c r="Y925" s="356"/>
      <c r="Z925" s="356"/>
      <c r="AA925" s="356"/>
      <c r="AB925" s="356"/>
      <c r="AC925" s="356"/>
      <c r="AD925" s="356"/>
      <c r="AE925" s="356"/>
      <c r="AF925" s="356"/>
    </row>
    <row r="926">
      <c r="A926" s="341"/>
      <c r="B926" s="356"/>
      <c r="C926" s="456"/>
      <c r="D926" s="356"/>
      <c r="E926" s="452"/>
      <c r="F926" s="356"/>
      <c r="G926" s="356"/>
      <c r="H926" s="453"/>
      <c r="I926" s="453"/>
      <c r="J926" s="454"/>
      <c r="L926" s="454"/>
      <c r="M926" s="342"/>
      <c r="O926" s="356"/>
      <c r="P926" s="356"/>
      <c r="Q926" s="356"/>
      <c r="R926" s="356"/>
      <c r="S926" s="356"/>
      <c r="T926" s="356"/>
      <c r="U926" s="356"/>
      <c r="V926" s="356"/>
      <c r="W926" s="356"/>
      <c r="X926" s="356"/>
      <c r="Y926" s="356"/>
      <c r="Z926" s="356"/>
      <c r="AA926" s="356"/>
      <c r="AB926" s="356"/>
      <c r="AC926" s="356"/>
      <c r="AD926" s="356"/>
      <c r="AE926" s="356"/>
      <c r="AF926" s="356"/>
    </row>
    <row r="927">
      <c r="A927" s="341"/>
      <c r="B927" s="356"/>
      <c r="C927" s="456"/>
      <c r="D927" s="356"/>
      <c r="E927" s="452"/>
      <c r="F927" s="356"/>
      <c r="G927" s="356"/>
      <c r="H927" s="453"/>
      <c r="I927" s="453"/>
      <c r="J927" s="454"/>
      <c r="L927" s="454"/>
      <c r="M927" s="342"/>
      <c r="O927" s="356"/>
      <c r="P927" s="356"/>
      <c r="Q927" s="356"/>
      <c r="R927" s="356"/>
      <c r="S927" s="356"/>
      <c r="T927" s="356"/>
      <c r="U927" s="356"/>
      <c r="V927" s="356"/>
      <c r="W927" s="356"/>
      <c r="X927" s="356"/>
      <c r="Y927" s="356"/>
      <c r="Z927" s="356"/>
      <c r="AA927" s="356"/>
      <c r="AB927" s="356"/>
      <c r="AC927" s="356"/>
      <c r="AD927" s="356"/>
      <c r="AE927" s="356"/>
      <c r="AF927" s="356"/>
    </row>
    <row r="928">
      <c r="A928" s="341"/>
      <c r="B928" s="356"/>
      <c r="C928" s="456"/>
      <c r="D928" s="356"/>
      <c r="E928" s="452"/>
      <c r="F928" s="356"/>
      <c r="G928" s="356"/>
      <c r="H928" s="453"/>
      <c r="I928" s="453"/>
      <c r="J928" s="454"/>
      <c r="L928" s="454"/>
      <c r="M928" s="342"/>
      <c r="O928" s="356"/>
      <c r="P928" s="356"/>
      <c r="Q928" s="356"/>
      <c r="R928" s="356"/>
      <c r="S928" s="356"/>
      <c r="T928" s="356"/>
      <c r="U928" s="356"/>
      <c r="V928" s="356"/>
      <c r="W928" s="356"/>
      <c r="X928" s="356"/>
      <c r="Y928" s="356"/>
      <c r="Z928" s="356"/>
      <c r="AA928" s="356"/>
      <c r="AB928" s="356"/>
      <c r="AC928" s="356"/>
      <c r="AD928" s="356"/>
      <c r="AE928" s="356"/>
      <c r="AF928" s="356"/>
    </row>
    <row r="929">
      <c r="A929" s="341"/>
      <c r="B929" s="356"/>
      <c r="C929" s="456"/>
      <c r="D929" s="356"/>
      <c r="E929" s="452"/>
      <c r="F929" s="356"/>
      <c r="G929" s="356"/>
      <c r="H929" s="453"/>
      <c r="I929" s="453"/>
      <c r="J929" s="454"/>
      <c r="L929" s="454"/>
      <c r="M929" s="342"/>
      <c r="O929" s="356"/>
      <c r="P929" s="356"/>
      <c r="Q929" s="356"/>
      <c r="R929" s="356"/>
      <c r="S929" s="356"/>
      <c r="T929" s="356"/>
      <c r="U929" s="356"/>
      <c r="V929" s="356"/>
      <c r="W929" s="356"/>
      <c r="X929" s="356"/>
      <c r="Y929" s="356"/>
      <c r="Z929" s="356"/>
      <c r="AA929" s="356"/>
      <c r="AB929" s="356"/>
      <c r="AC929" s="356"/>
      <c r="AD929" s="356"/>
      <c r="AE929" s="356"/>
      <c r="AF929" s="356"/>
    </row>
    <row r="930">
      <c r="A930" s="341"/>
      <c r="B930" s="356"/>
      <c r="C930" s="456"/>
      <c r="D930" s="356"/>
      <c r="E930" s="452"/>
      <c r="F930" s="356"/>
      <c r="G930" s="356"/>
      <c r="H930" s="453"/>
      <c r="I930" s="453"/>
      <c r="J930" s="454"/>
      <c r="L930" s="454"/>
      <c r="M930" s="342"/>
      <c r="O930" s="356"/>
      <c r="P930" s="356"/>
      <c r="Q930" s="356"/>
      <c r="R930" s="356"/>
      <c r="S930" s="356"/>
      <c r="T930" s="356"/>
      <c r="U930" s="356"/>
      <c r="V930" s="356"/>
      <c r="W930" s="356"/>
      <c r="X930" s="356"/>
      <c r="Y930" s="356"/>
      <c r="Z930" s="356"/>
      <c r="AA930" s="356"/>
      <c r="AB930" s="356"/>
      <c r="AC930" s="356"/>
      <c r="AD930" s="356"/>
      <c r="AE930" s="356"/>
      <c r="AF930" s="356"/>
    </row>
    <row r="931">
      <c r="A931" s="341"/>
      <c r="B931" s="356"/>
      <c r="C931" s="456"/>
      <c r="D931" s="356"/>
      <c r="E931" s="452"/>
      <c r="F931" s="356"/>
      <c r="G931" s="356"/>
      <c r="H931" s="453"/>
      <c r="I931" s="453"/>
      <c r="J931" s="454"/>
      <c r="L931" s="454"/>
      <c r="M931" s="342"/>
      <c r="O931" s="356"/>
      <c r="P931" s="356"/>
      <c r="Q931" s="356"/>
      <c r="R931" s="356"/>
      <c r="S931" s="356"/>
      <c r="T931" s="356"/>
      <c r="U931" s="356"/>
      <c r="V931" s="356"/>
      <c r="W931" s="356"/>
      <c r="X931" s="356"/>
      <c r="Y931" s="356"/>
      <c r="Z931" s="356"/>
      <c r="AA931" s="356"/>
      <c r="AB931" s="356"/>
      <c r="AC931" s="356"/>
      <c r="AD931" s="356"/>
      <c r="AE931" s="356"/>
      <c r="AF931" s="356"/>
    </row>
    <row r="932">
      <c r="A932" s="341"/>
      <c r="B932" s="356"/>
      <c r="C932" s="456"/>
      <c r="D932" s="356"/>
      <c r="E932" s="452"/>
      <c r="F932" s="356"/>
      <c r="G932" s="356"/>
      <c r="H932" s="453"/>
      <c r="I932" s="453"/>
      <c r="J932" s="454"/>
      <c r="L932" s="454"/>
      <c r="M932" s="342"/>
      <c r="O932" s="356"/>
      <c r="P932" s="356"/>
      <c r="Q932" s="356"/>
      <c r="R932" s="356"/>
      <c r="S932" s="356"/>
      <c r="T932" s="356"/>
      <c r="U932" s="356"/>
      <c r="V932" s="356"/>
      <c r="W932" s="356"/>
      <c r="X932" s="356"/>
      <c r="Y932" s="356"/>
      <c r="Z932" s="356"/>
      <c r="AA932" s="356"/>
      <c r="AB932" s="356"/>
      <c r="AC932" s="356"/>
      <c r="AD932" s="356"/>
      <c r="AE932" s="356"/>
      <c r="AF932" s="356"/>
    </row>
    <row r="933">
      <c r="A933" s="341"/>
      <c r="B933" s="356"/>
      <c r="C933" s="456"/>
      <c r="D933" s="356"/>
      <c r="E933" s="452"/>
      <c r="F933" s="356"/>
      <c r="G933" s="356"/>
      <c r="H933" s="453"/>
      <c r="I933" s="453"/>
      <c r="J933" s="454"/>
      <c r="L933" s="454"/>
      <c r="M933" s="342"/>
      <c r="O933" s="356"/>
      <c r="P933" s="356"/>
      <c r="Q933" s="356"/>
      <c r="R933" s="356"/>
      <c r="S933" s="356"/>
      <c r="T933" s="356"/>
      <c r="U933" s="356"/>
      <c r="V933" s="356"/>
      <c r="W933" s="356"/>
      <c r="X933" s="356"/>
      <c r="Y933" s="356"/>
      <c r="Z933" s="356"/>
      <c r="AA933" s="356"/>
      <c r="AB933" s="356"/>
      <c r="AC933" s="356"/>
      <c r="AD933" s="356"/>
      <c r="AE933" s="356"/>
      <c r="AF933" s="356"/>
    </row>
    <row r="934">
      <c r="A934" s="341"/>
      <c r="B934" s="356"/>
      <c r="C934" s="456"/>
      <c r="D934" s="356"/>
      <c r="E934" s="452"/>
      <c r="F934" s="356"/>
      <c r="G934" s="356"/>
      <c r="H934" s="453"/>
      <c r="I934" s="453"/>
      <c r="J934" s="454"/>
      <c r="L934" s="454"/>
      <c r="M934" s="342"/>
      <c r="O934" s="356"/>
      <c r="P934" s="356"/>
      <c r="Q934" s="356"/>
      <c r="R934" s="356"/>
      <c r="S934" s="356"/>
      <c r="T934" s="356"/>
      <c r="U934" s="356"/>
      <c r="V934" s="356"/>
      <c r="W934" s="356"/>
      <c r="X934" s="356"/>
      <c r="Y934" s="356"/>
      <c r="Z934" s="356"/>
      <c r="AA934" s="356"/>
      <c r="AB934" s="356"/>
      <c r="AC934" s="356"/>
      <c r="AD934" s="356"/>
      <c r="AE934" s="356"/>
      <c r="AF934" s="356"/>
    </row>
    <row r="935">
      <c r="A935" s="341"/>
      <c r="B935" s="356"/>
      <c r="C935" s="456"/>
      <c r="D935" s="356"/>
      <c r="E935" s="452"/>
      <c r="F935" s="356"/>
      <c r="G935" s="356"/>
      <c r="H935" s="453"/>
      <c r="I935" s="453"/>
      <c r="J935" s="454"/>
      <c r="L935" s="454"/>
      <c r="M935" s="342"/>
      <c r="O935" s="356"/>
      <c r="P935" s="356"/>
      <c r="Q935" s="356"/>
      <c r="R935" s="356"/>
      <c r="S935" s="356"/>
      <c r="T935" s="356"/>
      <c r="U935" s="356"/>
      <c r="V935" s="356"/>
      <c r="W935" s="356"/>
      <c r="X935" s="356"/>
      <c r="Y935" s="356"/>
      <c r="Z935" s="356"/>
      <c r="AA935" s="356"/>
      <c r="AB935" s="356"/>
      <c r="AC935" s="356"/>
      <c r="AD935" s="356"/>
      <c r="AE935" s="356"/>
      <c r="AF935" s="356"/>
    </row>
    <row r="936">
      <c r="A936" s="341"/>
      <c r="B936" s="356"/>
      <c r="C936" s="456"/>
      <c r="D936" s="356"/>
      <c r="E936" s="452"/>
      <c r="F936" s="356"/>
      <c r="G936" s="356"/>
      <c r="H936" s="453"/>
      <c r="I936" s="453"/>
      <c r="J936" s="454"/>
      <c r="L936" s="454"/>
      <c r="M936" s="342"/>
      <c r="O936" s="356"/>
      <c r="P936" s="356"/>
      <c r="Q936" s="356"/>
      <c r="R936" s="356"/>
      <c r="S936" s="356"/>
      <c r="T936" s="356"/>
      <c r="U936" s="356"/>
      <c r="V936" s="356"/>
      <c r="W936" s="356"/>
      <c r="X936" s="356"/>
      <c r="Y936" s="356"/>
      <c r="Z936" s="356"/>
      <c r="AA936" s="356"/>
      <c r="AB936" s="356"/>
      <c r="AC936" s="356"/>
      <c r="AD936" s="356"/>
      <c r="AE936" s="356"/>
      <c r="AF936" s="356"/>
    </row>
    <row r="937">
      <c r="A937" s="341"/>
      <c r="B937" s="356"/>
      <c r="C937" s="456"/>
      <c r="D937" s="356"/>
      <c r="E937" s="452"/>
      <c r="F937" s="356"/>
      <c r="G937" s="356"/>
      <c r="H937" s="453"/>
      <c r="I937" s="453"/>
      <c r="J937" s="454"/>
      <c r="L937" s="454"/>
      <c r="M937" s="342"/>
      <c r="O937" s="356"/>
      <c r="P937" s="356"/>
      <c r="Q937" s="356"/>
      <c r="R937" s="356"/>
      <c r="S937" s="356"/>
      <c r="T937" s="356"/>
      <c r="U937" s="356"/>
      <c r="V937" s="356"/>
      <c r="W937" s="356"/>
      <c r="X937" s="356"/>
      <c r="Y937" s="356"/>
      <c r="Z937" s="356"/>
      <c r="AA937" s="356"/>
      <c r="AB937" s="356"/>
      <c r="AC937" s="356"/>
      <c r="AD937" s="356"/>
      <c r="AE937" s="356"/>
      <c r="AF937" s="356"/>
    </row>
    <row r="938">
      <c r="A938" s="341"/>
      <c r="B938" s="356"/>
      <c r="C938" s="456"/>
      <c r="D938" s="356"/>
      <c r="E938" s="452"/>
      <c r="F938" s="356"/>
      <c r="G938" s="356"/>
      <c r="H938" s="453"/>
      <c r="I938" s="453"/>
      <c r="J938" s="454"/>
      <c r="L938" s="454"/>
      <c r="M938" s="342"/>
      <c r="O938" s="356"/>
      <c r="P938" s="356"/>
      <c r="Q938" s="356"/>
      <c r="R938" s="356"/>
      <c r="S938" s="356"/>
      <c r="T938" s="356"/>
      <c r="U938" s="356"/>
      <c r="V938" s="356"/>
      <c r="W938" s="356"/>
      <c r="X938" s="356"/>
      <c r="Y938" s="356"/>
      <c r="Z938" s="356"/>
      <c r="AA938" s="356"/>
      <c r="AB938" s="356"/>
      <c r="AC938" s="356"/>
      <c r="AD938" s="356"/>
      <c r="AE938" s="356"/>
      <c r="AF938" s="356"/>
    </row>
    <row r="939">
      <c r="A939" s="341"/>
      <c r="B939" s="356"/>
      <c r="C939" s="456"/>
      <c r="D939" s="356"/>
      <c r="E939" s="452"/>
      <c r="F939" s="356"/>
      <c r="G939" s="356"/>
      <c r="H939" s="453"/>
      <c r="I939" s="453"/>
      <c r="J939" s="454"/>
      <c r="L939" s="454"/>
      <c r="M939" s="342"/>
      <c r="O939" s="356"/>
      <c r="P939" s="356"/>
      <c r="Q939" s="356"/>
      <c r="R939" s="356"/>
      <c r="S939" s="356"/>
      <c r="T939" s="356"/>
      <c r="U939" s="356"/>
      <c r="V939" s="356"/>
      <c r="W939" s="356"/>
      <c r="X939" s="356"/>
      <c r="Y939" s="356"/>
      <c r="Z939" s="356"/>
      <c r="AA939" s="356"/>
      <c r="AB939" s="356"/>
      <c r="AC939" s="356"/>
      <c r="AD939" s="356"/>
      <c r="AE939" s="356"/>
      <c r="AF939" s="356"/>
    </row>
    <row r="940">
      <c r="A940" s="341"/>
      <c r="B940" s="356"/>
      <c r="C940" s="456"/>
      <c r="D940" s="356"/>
      <c r="E940" s="452"/>
      <c r="F940" s="356"/>
      <c r="G940" s="356"/>
      <c r="H940" s="453"/>
      <c r="I940" s="453"/>
      <c r="J940" s="454"/>
      <c r="L940" s="454"/>
      <c r="M940" s="342"/>
      <c r="O940" s="356"/>
      <c r="P940" s="356"/>
      <c r="Q940" s="356"/>
      <c r="R940" s="356"/>
      <c r="S940" s="356"/>
      <c r="T940" s="356"/>
      <c r="U940" s="356"/>
      <c r="V940" s="356"/>
      <c r="W940" s="356"/>
      <c r="X940" s="356"/>
      <c r="Y940" s="356"/>
      <c r="Z940" s="356"/>
      <c r="AA940" s="356"/>
      <c r="AB940" s="356"/>
      <c r="AC940" s="356"/>
      <c r="AD940" s="356"/>
      <c r="AE940" s="356"/>
      <c r="AF940" s="356"/>
    </row>
    <row r="941">
      <c r="A941" s="341"/>
      <c r="B941" s="356"/>
      <c r="C941" s="456"/>
      <c r="D941" s="356"/>
      <c r="E941" s="452"/>
      <c r="F941" s="356"/>
      <c r="G941" s="356"/>
      <c r="H941" s="453"/>
      <c r="I941" s="453"/>
      <c r="J941" s="454"/>
      <c r="L941" s="454"/>
      <c r="M941" s="342"/>
      <c r="O941" s="356"/>
      <c r="P941" s="356"/>
      <c r="Q941" s="356"/>
      <c r="R941" s="356"/>
      <c r="S941" s="356"/>
      <c r="T941" s="356"/>
      <c r="U941" s="356"/>
      <c r="V941" s="356"/>
      <c r="W941" s="356"/>
      <c r="X941" s="356"/>
      <c r="Y941" s="356"/>
      <c r="Z941" s="356"/>
      <c r="AA941" s="356"/>
      <c r="AB941" s="356"/>
      <c r="AC941" s="356"/>
      <c r="AD941" s="356"/>
      <c r="AE941" s="356"/>
      <c r="AF941" s="356"/>
    </row>
    <row r="942">
      <c r="A942" s="341"/>
      <c r="B942" s="356"/>
      <c r="C942" s="456"/>
      <c r="D942" s="356"/>
      <c r="E942" s="452"/>
      <c r="F942" s="356"/>
      <c r="G942" s="356"/>
      <c r="H942" s="453"/>
      <c r="I942" s="453"/>
      <c r="J942" s="454"/>
      <c r="L942" s="454"/>
      <c r="M942" s="342"/>
      <c r="O942" s="356"/>
      <c r="P942" s="356"/>
      <c r="Q942" s="356"/>
      <c r="R942" s="356"/>
      <c r="S942" s="356"/>
      <c r="T942" s="356"/>
      <c r="U942" s="356"/>
      <c r="V942" s="356"/>
      <c r="W942" s="356"/>
      <c r="X942" s="356"/>
      <c r="Y942" s="356"/>
      <c r="Z942" s="356"/>
      <c r="AA942" s="356"/>
      <c r="AB942" s="356"/>
      <c r="AC942" s="356"/>
      <c r="AD942" s="356"/>
      <c r="AE942" s="356"/>
      <c r="AF942" s="356"/>
    </row>
    <row r="943">
      <c r="A943" s="341"/>
      <c r="B943" s="356"/>
      <c r="C943" s="456"/>
      <c r="D943" s="356"/>
      <c r="E943" s="452"/>
      <c r="F943" s="356"/>
      <c r="G943" s="356"/>
      <c r="H943" s="453"/>
      <c r="I943" s="453"/>
      <c r="J943" s="454"/>
      <c r="L943" s="454"/>
      <c r="M943" s="342"/>
      <c r="O943" s="356"/>
      <c r="P943" s="356"/>
      <c r="Q943" s="356"/>
      <c r="R943" s="356"/>
      <c r="S943" s="356"/>
      <c r="T943" s="356"/>
      <c r="U943" s="356"/>
      <c r="V943" s="356"/>
      <c r="W943" s="356"/>
      <c r="X943" s="356"/>
      <c r="Y943" s="356"/>
      <c r="Z943" s="356"/>
      <c r="AA943" s="356"/>
      <c r="AB943" s="356"/>
      <c r="AC943" s="356"/>
      <c r="AD943" s="356"/>
      <c r="AE943" s="356"/>
      <c r="AF943" s="356"/>
    </row>
    <row r="944">
      <c r="A944" s="341"/>
      <c r="B944" s="356"/>
      <c r="C944" s="456"/>
      <c r="D944" s="356"/>
      <c r="E944" s="452"/>
      <c r="F944" s="356"/>
      <c r="G944" s="356"/>
      <c r="H944" s="453"/>
      <c r="I944" s="453"/>
      <c r="J944" s="454"/>
      <c r="L944" s="454"/>
      <c r="M944" s="342"/>
      <c r="O944" s="356"/>
      <c r="P944" s="356"/>
      <c r="Q944" s="356"/>
      <c r="R944" s="356"/>
      <c r="S944" s="356"/>
      <c r="T944" s="356"/>
      <c r="U944" s="356"/>
      <c r="V944" s="356"/>
      <c r="W944" s="356"/>
      <c r="X944" s="356"/>
      <c r="Y944" s="356"/>
      <c r="Z944" s="356"/>
      <c r="AA944" s="356"/>
      <c r="AB944" s="356"/>
      <c r="AC944" s="356"/>
      <c r="AD944" s="356"/>
      <c r="AE944" s="356"/>
      <c r="AF944" s="356"/>
    </row>
    <row r="945">
      <c r="A945" s="341"/>
      <c r="B945" s="356"/>
      <c r="C945" s="456"/>
      <c r="D945" s="356"/>
      <c r="E945" s="452"/>
      <c r="F945" s="356"/>
      <c r="G945" s="356"/>
      <c r="H945" s="453"/>
      <c r="I945" s="453"/>
      <c r="J945" s="454"/>
      <c r="L945" s="454"/>
      <c r="M945" s="342"/>
      <c r="O945" s="356"/>
      <c r="P945" s="356"/>
      <c r="Q945" s="356"/>
      <c r="R945" s="356"/>
      <c r="S945" s="356"/>
      <c r="T945" s="356"/>
      <c r="U945" s="356"/>
      <c r="V945" s="356"/>
      <c r="W945" s="356"/>
      <c r="X945" s="356"/>
      <c r="Y945" s="356"/>
      <c r="Z945" s="356"/>
      <c r="AA945" s="356"/>
      <c r="AB945" s="356"/>
      <c r="AC945" s="356"/>
      <c r="AD945" s="356"/>
      <c r="AE945" s="356"/>
      <c r="AF945" s="356"/>
    </row>
    <row r="946">
      <c r="A946" s="341"/>
      <c r="B946" s="356"/>
      <c r="C946" s="456"/>
      <c r="D946" s="356"/>
      <c r="E946" s="452"/>
      <c r="F946" s="356"/>
      <c r="G946" s="356"/>
      <c r="H946" s="453"/>
      <c r="I946" s="453"/>
      <c r="J946" s="454"/>
      <c r="L946" s="454"/>
      <c r="M946" s="342"/>
      <c r="O946" s="356"/>
      <c r="P946" s="356"/>
      <c r="Q946" s="356"/>
      <c r="R946" s="356"/>
      <c r="S946" s="356"/>
      <c r="T946" s="356"/>
      <c r="U946" s="356"/>
      <c r="V946" s="356"/>
      <c r="W946" s="356"/>
      <c r="X946" s="356"/>
      <c r="Y946" s="356"/>
      <c r="Z946" s="356"/>
      <c r="AA946" s="356"/>
      <c r="AB946" s="356"/>
      <c r="AC946" s="356"/>
      <c r="AD946" s="356"/>
      <c r="AE946" s="356"/>
      <c r="AF946" s="356"/>
    </row>
    <row r="947">
      <c r="A947" s="341"/>
      <c r="B947" s="356"/>
      <c r="C947" s="456"/>
      <c r="D947" s="356"/>
      <c r="E947" s="452"/>
      <c r="F947" s="356"/>
      <c r="G947" s="356"/>
      <c r="H947" s="453"/>
      <c r="I947" s="453"/>
      <c r="J947" s="454"/>
      <c r="L947" s="454"/>
      <c r="M947" s="342"/>
      <c r="O947" s="356"/>
      <c r="P947" s="356"/>
      <c r="Q947" s="356"/>
      <c r="R947" s="356"/>
      <c r="S947" s="356"/>
      <c r="T947" s="356"/>
      <c r="U947" s="356"/>
      <c r="V947" s="356"/>
      <c r="W947" s="356"/>
      <c r="X947" s="356"/>
      <c r="Y947" s="356"/>
      <c r="Z947" s="356"/>
      <c r="AA947" s="356"/>
      <c r="AB947" s="356"/>
      <c r="AC947" s="356"/>
      <c r="AD947" s="356"/>
      <c r="AE947" s="356"/>
      <c r="AF947" s="356"/>
    </row>
    <row r="948">
      <c r="A948" s="341"/>
      <c r="B948" s="356"/>
      <c r="C948" s="456"/>
      <c r="D948" s="356"/>
      <c r="E948" s="452"/>
      <c r="F948" s="356"/>
      <c r="G948" s="356"/>
      <c r="H948" s="453"/>
      <c r="I948" s="453"/>
      <c r="J948" s="454"/>
      <c r="L948" s="454"/>
      <c r="M948" s="342"/>
      <c r="O948" s="356"/>
      <c r="P948" s="356"/>
      <c r="Q948" s="356"/>
      <c r="R948" s="356"/>
      <c r="S948" s="356"/>
      <c r="T948" s="356"/>
      <c r="U948" s="356"/>
      <c r="V948" s="356"/>
      <c r="W948" s="356"/>
      <c r="X948" s="356"/>
      <c r="Y948" s="356"/>
      <c r="Z948" s="356"/>
      <c r="AA948" s="356"/>
      <c r="AB948" s="356"/>
      <c r="AC948" s="356"/>
      <c r="AD948" s="356"/>
      <c r="AE948" s="356"/>
      <c r="AF948" s="356"/>
    </row>
    <row r="949">
      <c r="A949" s="341"/>
      <c r="B949" s="356"/>
      <c r="C949" s="456"/>
      <c r="D949" s="356"/>
      <c r="E949" s="452"/>
      <c r="F949" s="356"/>
      <c r="G949" s="356"/>
      <c r="H949" s="453"/>
      <c r="I949" s="453"/>
      <c r="J949" s="454"/>
      <c r="L949" s="454"/>
      <c r="M949" s="342"/>
      <c r="O949" s="356"/>
      <c r="P949" s="356"/>
      <c r="Q949" s="356"/>
      <c r="R949" s="356"/>
      <c r="S949" s="356"/>
      <c r="T949" s="356"/>
      <c r="U949" s="356"/>
      <c r="V949" s="356"/>
      <c r="W949" s="356"/>
      <c r="X949" s="356"/>
      <c r="Y949" s="356"/>
      <c r="Z949" s="356"/>
      <c r="AA949" s="356"/>
      <c r="AB949" s="356"/>
      <c r="AC949" s="356"/>
      <c r="AD949" s="356"/>
      <c r="AE949" s="356"/>
      <c r="AF949" s="356"/>
    </row>
    <row r="950">
      <c r="A950" s="341"/>
      <c r="B950" s="356"/>
      <c r="C950" s="456"/>
      <c r="D950" s="356"/>
      <c r="E950" s="452"/>
      <c r="F950" s="356"/>
      <c r="G950" s="356"/>
      <c r="H950" s="453"/>
      <c r="I950" s="453"/>
      <c r="J950" s="454"/>
      <c r="L950" s="454"/>
      <c r="M950" s="342"/>
      <c r="O950" s="356"/>
      <c r="P950" s="356"/>
      <c r="Q950" s="356"/>
      <c r="R950" s="356"/>
      <c r="S950" s="356"/>
      <c r="T950" s="356"/>
      <c r="U950" s="356"/>
      <c r="V950" s="356"/>
      <c r="W950" s="356"/>
      <c r="X950" s="356"/>
      <c r="Y950" s="356"/>
      <c r="Z950" s="356"/>
      <c r="AA950" s="356"/>
      <c r="AB950" s="356"/>
      <c r="AC950" s="356"/>
      <c r="AD950" s="356"/>
      <c r="AE950" s="356"/>
      <c r="AF950" s="356"/>
    </row>
    <row r="951">
      <c r="A951" s="341"/>
      <c r="B951" s="356"/>
      <c r="C951" s="456"/>
      <c r="D951" s="356"/>
      <c r="E951" s="452"/>
      <c r="F951" s="356"/>
      <c r="G951" s="356"/>
      <c r="H951" s="453"/>
      <c r="I951" s="453"/>
      <c r="J951" s="454"/>
      <c r="L951" s="454"/>
      <c r="M951" s="342"/>
      <c r="O951" s="356"/>
      <c r="P951" s="356"/>
      <c r="Q951" s="356"/>
      <c r="R951" s="356"/>
      <c r="S951" s="356"/>
      <c r="T951" s="356"/>
      <c r="U951" s="356"/>
      <c r="V951" s="356"/>
      <c r="W951" s="356"/>
      <c r="X951" s="356"/>
      <c r="Y951" s="356"/>
      <c r="Z951" s="356"/>
      <c r="AA951" s="356"/>
      <c r="AB951" s="356"/>
      <c r="AC951" s="356"/>
      <c r="AD951" s="356"/>
      <c r="AE951" s="356"/>
      <c r="AF951" s="356"/>
    </row>
    <row r="952">
      <c r="A952" s="341"/>
      <c r="B952" s="356"/>
      <c r="C952" s="456"/>
      <c r="D952" s="356"/>
      <c r="E952" s="452"/>
      <c r="F952" s="356"/>
      <c r="G952" s="356"/>
      <c r="H952" s="453"/>
      <c r="I952" s="453"/>
      <c r="J952" s="454"/>
      <c r="L952" s="454"/>
      <c r="M952" s="342"/>
      <c r="O952" s="356"/>
      <c r="P952" s="356"/>
      <c r="Q952" s="356"/>
      <c r="R952" s="356"/>
      <c r="S952" s="356"/>
      <c r="T952" s="356"/>
      <c r="U952" s="356"/>
      <c r="V952" s="356"/>
      <c r="W952" s="356"/>
      <c r="X952" s="356"/>
      <c r="Y952" s="356"/>
      <c r="Z952" s="356"/>
      <c r="AA952" s="356"/>
      <c r="AB952" s="356"/>
      <c r="AC952" s="356"/>
      <c r="AD952" s="356"/>
      <c r="AE952" s="356"/>
      <c r="AF952" s="356"/>
    </row>
    <row r="953">
      <c r="A953" s="341"/>
      <c r="B953" s="356"/>
      <c r="C953" s="456"/>
      <c r="D953" s="356"/>
      <c r="E953" s="452"/>
      <c r="F953" s="356"/>
      <c r="G953" s="356"/>
      <c r="H953" s="453"/>
      <c r="I953" s="453"/>
      <c r="J953" s="454"/>
      <c r="L953" s="454"/>
      <c r="M953" s="342"/>
      <c r="O953" s="356"/>
      <c r="P953" s="356"/>
      <c r="Q953" s="356"/>
      <c r="R953" s="356"/>
      <c r="S953" s="356"/>
      <c r="T953" s="356"/>
      <c r="U953" s="356"/>
      <c r="V953" s="356"/>
      <c r="W953" s="356"/>
      <c r="X953" s="356"/>
      <c r="Y953" s="356"/>
      <c r="Z953" s="356"/>
      <c r="AA953" s="356"/>
      <c r="AB953" s="356"/>
      <c r="AC953" s="356"/>
      <c r="AD953" s="356"/>
      <c r="AE953" s="356"/>
      <c r="AF953" s="356"/>
    </row>
    <row r="954">
      <c r="A954" s="341"/>
      <c r="B954" s="356"/>
      <c r="C954" s="456"/>
      <c r="D954" s="356"/>
      <c r="E954" s="452"/>
      <c r="F954" s="356"/>
      <c r="G954" s="356"/>
      <c r="H954" s="453"/>
      <c r="I954" s="453"/>
      <c r="J954" s="454"/>
      <c r="L954" s="454"/>
      <c r="M954" s="342"/>
      <c r="O954" s="356"/>
      <c r="P954" s="356"/>
      <c r="Q954" s="356"/>
      <c r="R954" s="356"/>
      <c r="S954" s="356"/>
      <c r="T954" s="356"/>
      <c r="U954" s="356"/>
      <c r="V954" s="356"/>
      <c r="W954" s="356"/>
      <c r="X954" s="356"/>
      <c r="Y954" s="356"/>
      <c r="Z954" s="356"/>
      <c r="AA954" s="356"/>
      <c r="AB954" s="356"/>
      <c r="AC954" s="356"/>
      <c r="AD954" s="356"/>
      <c r="AE954" s="356"/>
      <c r="AF954" s="356"/>
    </row>
    <row r="955">
      <c r="A955" s="341"/>
      <c r="B955" s="356"/>
      <c r="C955" s="456"/>
      <c r="D955" s="356"/>
      <c r="E955" s="452"/>
      <c r="F955" s="356"/>
      <c r="G955" s="356"/>
      <c r="H955" s="453"/>
      <c r="I955" s="453"/>
      <c r="J955" s="454"/>
      <c r="L955" s="454"/>
      <c r="M955" s="342"/>
      <c r="O955" s="356"/>
      <c r="P955" s="356"/>
      <c r="Q955" s="356"/>
      <c r="R955" s="356"/>
      <c r="S955" s="356"/>
      <c r="T955" s="356"/>
      <c r="U955" s="356"/>
      <c r="V955" s="356"/>
      <c r="W955" s="356"/>
      <c r="X955" s="356"/>
      <c r="Y955" s="356"/>
      <c r="Z955" s="356"/>
      <c r="AA955" s="356"/>
      <c r="AB955" s="356"/>
      <c r="AC955" s="356"/>
      <c r="AD955" s="356"/>
      <c r="AE955" s="356"/>
      <c r="AF955" s="356"/>
    </row>
    <row r="956">
      <c r="A956" s="341"/>
      <c r="B956" s="356"/>
      <c r="C956" s="456"/>
      <c r="D956" s="356"/>
      <c r="E956" s="452"/>
      <c r="F956" s="356"/>
      <c r="G956" s="356"/>
      <c r="H956" s="453"/>
      <c r="I956" s="453"/>
      <c r="J956" s="454"/>
      <c r="L956" s="454"/>
      <c r="M956" s="342"/>
      <c r="O956" s="356"/>
      <c r="P956" s="356"/>
      <c r="Q956" s="356"/>
      <c r="R956" s="356"/>
      <c r="S956" s="356"/>
      <c r="T956" s="356"/>
      <c r="U956" s="356"/>
      <c r="V956" s="356"/>
      <c r="W956" s="356"/>
      <c r="X956" s="356"/>
      <c r="Y956" s="356"/>
      <c r="Z956" s="356"/>
      <c r="AA956" s="356"/>
      <c r="AB956" s="356"/>
      <c r="AC956" s="356"/>
      <c r="AD956" s="356"/>
      <c r="AE956" s="356"/>
      <c r="AF956" s="356"/>
    </row>
    <row r="957">
      <c r="A957" s="341"/>
      <c r="B957" s="356"/>
      <c r="C957" s="456"/>
      <c r="D957" s="356"/>
      <c r="E957" s="452"/>
      <c r="F957" s="356"/>
      <c r="G957" s="356"/>
      <c r="H957" s="453"/>
      <c r="I957" s="453"/>
      <c r="J957" s="454"/>
      <c r="L957" s="454"/>
      <c r="M957" s="342"/>
      <c r="O957" s="356"/>
      <c r="P957" s="356"/>
      <c r="Q957" s="356"/>
      <c r="R957" s="356"/>
      <c r="S957" s="356"/>
      <c r="T957" s="356"/>
      <c r="U957" s="356"/>
      <c r="V957" s="356"/>
      <c r="W957" s="356"/>
      <c r="X957" s="356"/>
      <c r="Y957" s="356"/>
      <c r="Z957" s="356"/>
      <c r="AA957" s="356"/>
      <c r="AB957" s="356"/>
      <c r="AC957" s="356"/>
      <c r="AD957" s="356"/>
      <c r="AE957" s="356"/>
      <c r="AF957" s="356"/>
    </row>
    <row r="958">
      <c r="A958" s="341"/>
      <c r="B958" s="356"/>
      <c r="C958" s="456"/>
      <c r="D958" s="356"/>
      <c r="E958" s="452"/>
      <c r="F958" s="356"/>
      <c r="G958" s="356"/>
      <c r="H958" s="453"/>
      <c r="I958" s="453"/>
      <c r="J958" s="454"/>
      <c r="L958" s="454"/>
      <c r="M958" s="342"/>
      <c r="O958" s="356"/>
      <c r="P958" s="356"/>
      <c r="Q958" s="356"/>
      <c r="R958" s="356"/>
      <c r="S958" s="356"/>
      <c r="T958" s="356"/>
      <c r="U958" s="356"/>
      <c r="V958" s="356"/>
      <c r="W958" s="356"/>
      <c r="X958" s="356"/>
      <c r="Y958" s="356"/>
      <c r="Z958" s="356"/>
      <c r="AA958" s="356"/>
      <c r="AB958" s="356"/>
      <c r="AC958" s="356"/>
      <c r="AD958" s="356"/>
      <c r="AE958" s="356"/>
      <c r="AF958" s="356"/>
    </row>
    <row r="959">
      <c r="A959" s="341"/>
      <c r="B959" s="356"/>
      <c r="C959" s="456"/>
      <c r="D959" s="356"/>
      <c r="E959" s="452"/>
      <c r="F959" s="356"/>
      <c r="G959" s="356"/>
      <c r="H959" s="453"/>
      <c r="I959" s="453"/>
      <c r="J959" s="454"/>
      <c r="L959" s="454"/>
      <c r="M959" s="342"/>
      <c r="O959" s="356"/>
      <c r="P959" s="356"/>
      <c r="Q959" s="356"/>
      <c r="R959" s="356"/>
      <c r="S959" s="356"/>
      <c r="T959" s="356"/>
      <c r="U959" s="356"/>
      <c r="V959" s="356"/>
      <c r="W959" s="356"/>
      <c r="X959" s="356"/>
      <c r="Y959" s="356"/>
      <c r="Z959" s="356"/>
      <c r="AA959" s="356"/>
      <c r="AB959" s="356"/>
      <c r="AC959" s="356"/>
      <c r="AD959" s="356"/>
      <c r="AE959" s="356"/>
      <c r="AF959" s="356"/>
    </row>
    <row r="960">
      <c r="A960" s="341"/>
      <c r="B960" s="356"/>
      <c r="C960" s="456"/>
      <c r="D960" s="356"/>
      <c r="E960" s="452"/>
      <c r="F960" s="356"/>
      <c r="G960" s="356"/>
      <c r="H960" s="453"/>
      <c r="I960" s="453"/>
      <c r="J960" s="454"/>
      <c r="L960" s="454"/>
      <c r="M960" s="342"/>
      <c r="O960" s="356"/>
      <c r="P960" s="356"/>
      <c r="Q960" s="356"/>
      <c r="R960" s="356"/>
      <c r="S960" s="356"/>
      <c r="T960" s="356"/>
      <c r="U960" s="356"/>
      <c r="V960" s="356"/>
      <c r="W960" s="356"/>
      <c r="X960" s="356"/>
      <c r="Y960" s="356"/>
      <c r="Z960" s="356"/>
      <c r="AA960" s="356"/>
      <c r="AB960" s="356"/>
      <c r="AC960" s="356"/>
      <c r="AD960" s="356"/>
      <c r="AE960" s="356"/>
      <c r="AF960" s="356"/>
    </row>
    <row r="961">
      <c r="A961" s="341"/>
      <c r="B961" s="356"/>
      <c r="C961" s="456"/>
      <c r="D961" s="356"/>
      <c r="E961" s="452"/>
      <c r="F961" s="356"/>
      <c r="G961" s="356"/>
      <c r="H961" s="453"/>
      <c r="I961" s="453"/>
      <c r="J961" s="454"/>
      <c r="L961" s="454"/>
      <c r="M961" s="342"/>
      <c r="O961" s="356"/>
      <c r="P961" s="356"/>
      <c r="Q961" s="356"/>
      <c r="R961" s="356"/>
      <c r="S961" s="356"/>
      <c r="T961" s="356"/>
      <c r="U961" s="356"/>
      <c r="V961" s="356"/>
      <c r="W961" s="356"/>
      <c r="X961" s="356"/>
      <c r="Y961" s="356"/>
      <c r="Z961" s="356"/>
      <c r="AA961" s="356"/>
      <c r="AB961" s="356"/>
      <c r="AC961" s="356"/>
      <c r="AD961" s="356"/>
      <c r="AE961" s="356"/>
      <c r="AF961" s="356"/>
    </row>
    <row r="962">
      <c r="A962" s="341"/>
      <c r="B962" s="356"/>
      <c r="C962" s="456"/>
      <c r="D962" s="356"/>
      <c r="E962" s="452"/>
      <c r="F962" s="356"/>
      <c r="G962" s="356"/>
      <c r="H962" s="453"/>
      <c r="I962" s="453"/>
      <c r="J962" s="454"/>
      <c r="L962" s="454"/>
      <c r="M962" s="342"/>
      <c r="O962" s="356"/>
      <c r="P962" s="356"/>
      <c r="Q962" s="356"/>
      <c r="R962" s="356"/>
      <c r="S962" s="356"/>
      <c r="T962" s="356"/>
      <c r="U962" s="356"/>
      <c r="V962" s="356"/>
      <c r="W962" s="356"/>
      <c r="X962" s="356"/>
      <c r="Y962" s="356"/>
      <c r="Z962" s="356"/>
      <c r="AA962" s="356"/>
      <c r="AB962" s="356"/>
      <c r="AC962" s="356"/>
      <c r="AD962" s="356"/>
      <c r="AE962" s="356"/>
      <c r="AF962" s="356"/>
    </row>
    <row r="963">
      <c r="A963" s="341"/>
      <c r="B963" s="356"/>
      <c r="C963" s="456"/>
      <c r="D963" s="356"/>
      <c r="E963" s="452"/>
      <c r="F963" s="356"/>
      <c r="G963" s="356"/>
      <c r="H963" s="453"/>
      <c r="I963" s="453"/>
      <c r="J963" s="454"/>
      <c r="L963" s="454"/>
      <c r="M963" s="342"/>
      <c r="O963" s="356"/>
      <c r="P963" s="356"/>
      <c r="Q963" s="356"/>
      <c r="R963" s="356"/>
      <c r="S963" s="356"/>
      <c r="T963" s="356"/>
      <c r="U963" s="356"/>
      <c r="V963" s="356"/>
      <c r="W963" s="356"/>
      <c r="X963" s="356"/>
      <c r="Y963" s="356"/>
      <c r="Z963" s="356"/>
      <c r="AA963" s="356"/>
      <c r="AB963" s="356"/>
      <c r="AC963" s="356"/>
      <c r="AD963" s="356"/>
      <c r="AE963" s="356"/>
      <c r="AF963" s="356"/>
    </row>
    <row r="964">
      <c r="A964" s="341"/>
      <c r="B964" s="356"/>
      <c r="C964" s="456"/>
      <c r="D964" s="356"/>
      <c r="E964" s="452"/>
      <c r="F964" s="356"/>
      <c r="G964" s="356"/>
      <c r="H964" s="453"/>
      <c r="I964" s="453"/>
      <c r="J964" s="454"/>
      <c r="L964" s="454"/>
      <c r="M964" s="342"/>
      <c r="O964" s="356"/>
      <c r="P964" s="356"/>
      <c r="Q964" s="356"/>
      <c r="R964" s="356"/>
      <c r="S964" s="356"/>
      <c r="T964" s="356"/>
      <c r="U964" s="356"/>
      <c r="V964" s="356"/>
      <c r="W964" s="356"/>
      <c r="X964" s="356"/>
      <c r="Y964" s="356"/>
      <c r="Z964" s="356"/>
      <c r="AA964" s="356"/>
      <c r="AB964" s="356"/>
      <c r="AC964" s="356"/>
      <c r="AD964" s="356"/>
      <c r="AE964" s="356"/>
      <c r="AF964" s="356"/>
    </row>
    <row r="965">
      <c r="A965" s="341"/>
      <c r="B965" s="356"/>
      <c r="C965" s="456"/>
      <c r="D965" s="356"/>
      <c r="E965" s="452"/>
      <c r="F965" s="356"/>
      <c r="G965" s="356"/>
      <c r="H965" s="453"/>
      <c r="I965" s="453"/>
      <c r="J965" s="454"/>
      <c r="L965" s="454"/>
      <c r="M965" s="342"/>
      <c r="O965" s="356"/>
      <c r="P965" s="356"/>
      <c r="Q965" s="356"/>
      <c r="R965" s="356"/>
      <c r="S965" s="356"/>
      <c r="T965" s="356"/>
      <c r="U965" s="356"/>
      <c r="V965" s="356"/>
      <c r="W965" s="356"/>
      <c r="X965" s="356"/>
      <c r="Y965" s="356"/>
      <c r="Z965" s="356"/>
      <c r="AA965" s="356"/>
      <c r="AB965" s="356"/>
      <c r="AC965" s="356"/>
      <c r="AD965" s="356"/>
      <c r="AE965" s="356"/>
      <c r="AF965" s="356"/>
    </row>
    <row r="966">
      <c r="A966" s="341"/>
      <c r="B966" s="356"/>
      <c r="C966" s="456"/>
      <c r="D966" s="356"/>
      <c r="E966" s="452"/>
      <c r="F966" s="356"/>
      <c r="G966" s="356"/>
      <c r="H966" s="453"/>
      <c r="I966" s="453"/>
      <c r="J966" s="454"/>
      <c r="L966" s="454"/>
      <c r="M966" s="342"/>
      <c r="O966" s="356"/>
      <c r="P966" s="356"/>
      <c r="Q966" s="356"/>
      <c r="R966" s="356"/>
      <c r="S966" s="356"/>
      <c r="T966" s="356"/>
      <c r="U966" s="356"/>
      <c r="V966" s="356"/>
      <c r="W966" s="356"/>
      <c r="X966" s="356"/>
      <c r="Y966" s="356"/>
      <c r="Z966" s="356"/>
      <c r="AA966" s="356"/>
      <c r="AB966" s="356"/>
      <c r="AC966" s="356"/>
      <c r="AD966" s="356"/>
      <c r="AE966" s="356"/>
      <c r="AF966" s="356"/>
    </row>
    <row r="967">
      <c r="A967" s="341"/>
      <c r="B967" s="356"/>
      <c r="C967" s="456"/>
      <c r="D967" s="356"/>
      <c r="E967" s="452"/>
      <c r="F967" s="356"/>
      <c r="G967" s="356"/>
      <c r="H967" s="453"/>
      <c r="I967" s="453"/>
      <c r="J967" s="454"/>
      <c r="L967" s="454"/>
      <c r="M967" s="342"/>
      <c r="O967" s="356"/>
      <c r="P967" s="356"/>
      <c r="Q967" s="356"/>
      <c r="R967" s="356"/>
      <c r="S967" s="356"/>
      <c r="T967" s="356"/>
      <c r="U967" s="356"/>
      <c r="V967" s="356"/>
      <c r="W967" s="356"/>
      <c r="X967" s="356"/>
      <c r="Y967" s="356"/>
      <c r="Z967" s="356"/>
      <c r="AA967" s="356"/>
      <c r="AB967" s="356"/>
      <c r="AC967" s="356"/>
      <c r="AD967" s="356"/>
      <c r="AE967" s="356"/>
      <c r="AF967" s="356"/>
    </row>
    <row r="968">
      <c r="A968" s="341"/>
      <c r="B968" s="356"/>
      <c r="C968" s="456"/>
      <c r="D968" s="356"/>
      <c r="E968" s="452"/>
      <c r="F968" s="356"/>
      <c r="G968" s="356"/>
      <c r="H968" s="453"/>
      <c r="I968" s="453"/>
      <c r="J968" s="454"/>
      <c r="L968" s="454"/>
      <c r="M968" s="342"/>
      <c r="O968" s="356"/>
      <c r="P968" s="356"/>
      <c r="Q968" s="356"/>
      <c r="R968" s="356"/>
      <c r="S968" s="356"/>
      <c r="T968" s="356"/>
      <c r="U968" s="356"/>
      <c r="V968" s="356"/>
      <c r="W968" s="356"/>
      <c r="X968" s="356"/>
      <c r="Y968" s="356"/>
      <c r="Z968" s="356"/>
      <c r="AA968" s="356"/>
      <c r="AB968" s="356"/>
      <c r="AC968" s="356"/>
      <c r="AD968" s="356"/>
      <c r="AE968" s="356"/>
      <c r="AF968" s="356"/>
    </row>
    <row r="969">
      <c r="A969" s="341"/>
      <c r="B969" s="356"/>
      <c r="C969" s="456"/>
      <c r="D969" s="356"/>
      <c r="E969" s="452"/>
      <c r="F969" s="356"/>
      <c r="G969" s="356"/>
      <c r="H969" s="453"/>
      <c r="I969" s="453"/>
      <c r="J969" s="454"/>
      <c r="L969" s="454"/>
      <c r="M969" s="342"/>
      <c r="O969" s="356"/>
      <c r="P969" s="356"/>
      <c r="Q969" s="356"/>
      <c r="R969" s="356"/>
      <c r="S969" s="356"/>
      <c r="T969" s="356"/>
      <c r="U969" s="356"/>
      <c r="V969" s="356"/>
      <c r="W969" s="356"/>
      <c r="X969" s="356"/>
      <c r="Y969" s="356"/>
      <c r="Z969" s="356"/>
      <c r="AA969" s="356"/>
      <c r="AB969" s="356"/>
      <c r="AC969" s="356"/>
      <c r="AD969" s="356"/>
      <c r="AE969" s="356"/>
      <c r="AF969" s="356"/>
    </row>
    <row r="970">
      <c r="A970" s="341"/>
      <c r="B970" s="356"/>
      <c r="C970" s="456"/>
      <c r="D970" s="356"/>
      <c r="E970" s="452"/>
      <c r="F970" s="356"/>
      <c r="G970" s="356"/>
      <c r="H970" s="453"/>
      <c r="I970" s="453"/>
      <c r="J970" s="454"/>
      <c r="L970" s="454"/>
      <c r="M970" s="342"/>
      <c r="O970" s="356"/>
      <c r="P970" s="356"/>
      <c r="Q970" s="356"/>
      <c r="R970" s="356"/>
      <c r="S970" s="356"/>
      <c r="T970" s="356"/>
      <c r="U970" s="356"/>
      <c r="V970" s="356"/>
      <c r="W970" s="356"/>
      <c r="X970" s="356"/>
      <c r="Y970" s="356"/>
      <c r="Z970" s="356"/>
      <c r="AA970" s="356"/>
      <c r="AB970" s="356"/>
      <c r="AC970" s="356"/>
      <c r="AD970" s="356"/>
      <c r="AE970" s="356"/>
      <c r="AF970" s="356"/>
    </row>
    <row r="971">
      <c r="A971" s="341"/>
      <c r="B971" s="356"/>
      <c r="C971" s="456"/>
      <c r="D971" s="356"/>
      <c r="E971" s="452"/>
      <c r="F971" s="356"/>
      <c r="G971" s="356"/>
      <c r="H971" s="453"/>
      <c r="I971" s="453"/>
      <c r="J971" s="454"/>
      <c r="L971" s="454"/>
      <c r="M971" s="342"/>
      <c r="O971" s="356"/>
      <c r="P971" s="356"/>
      <c r="Q971" s="356"/>
      <c r="R971" s="356"/>
      <c r="S971" s="356"/>
      <c r="T971" s="356"/>
      <c r="U971" s="356"/>
      <c r="V971" s="356"/>
      <c r="W971" s="356"/>
      <c r="X971" s="356"/>
      <c r="Y971" s="356"/>
      <c r="Z971" s="356"/>
      <c r="AA971" s="356"/>
      <c r="AB971" s="356"/>
      <c r="AC971" s="356"/>
      <c r="AD971" s="356"/>
      <c r="AE971" s="356"/>
      <c r="AF971" s="356"/>
    </row>
    <row r="972">
      <c r="A972" s="341"/>
      <c r="B972" s="356"/>
      <c r="C972" s="456"/>
      <c r="D972" s="356"/>
      <c r="E972" s="452"/>
      <c r="F972" s="356"/>
      <c r="G972" s="356"/>
      <c r="H972" s="453"/>
      <c r="I972" s="453"/>
      <c r="J972" s="454"/>
      <c r="L972" s="454"/>
      <c r="M972" s="342"/>
      <c r="O972" s="356"/>
      <c r="P972" s="356"/>
      <c r="Q972" s="356"/>
      <c r="R972" s="356"/>
      <c r="S972" s="356"/>
      <c r="T972" s="356"/>
      <c r="U972" s="356"/>
      <c r="V972" s="356"/>
      <c r="W972" s="356"/>
      <c r="X972" s="356"/>
      <c r="Y972" s="356"/>
      <c r="Z972" s="356"/>
      <c r="AA972" s="356"/>
      <c r="AB972" s="356"/>
      <c r="AC972" s="356"/>
      <c r="AD972" s="356"/>
      <c r="AE972" s="356"/>
      <c r="AF972" s="356"/>
    </row>
    <row r="973">
      <c r="A973" s="341"/>
      <c r="B973" s="356"/>
      <c r="C973" s="456"/>
      <c r="D973" s="356"/>
      <c r="E973" s="452"/>
      <c r="F973" s="356"/>
      <c r="G973" s="356"/>
      <c r="H973" s="453"/>
      <c r="I973" s="453"/>
      <c r="J973" s="454"/>
      <c r="L973" s="454"/>
      <c r="M973" s="342"/>
      <c r="O973" s="356"/>
      <c r="P973" s="356"/>
      <c r="Q973" s="356"/>
      <c r="R973" s="356"/>
      <c r="S973" s="356"/>
      <c r="T973" s="356"/>
      <c r="U973" s="356"/>
      <c r="V973" s="356"/>
      <c r="W973" s="356"/>
      <c r="X973" s="356"/>
      <c r="Y973" s="356"/>
      <c r="Z973" s="356"/>
      <c r="AA973" s="356"/>
      <c r="AB973" s="356"/>
      <c r="AC973" s="356"/>
      <c r="AD973" s="356"/>
      <c r="AE973" s="356"/>
      <c r="AF973" s="356"/>
    </row>
    <row r="974">
      <c r="A974" s="341"/>
      <c r="B974" s="356"/>
      <c r="C974" s="456"/>
      <c r="D974" s="356"/>
      <c r="E974" s="452"/>
      <c r="F974" s="356"/>
      <c r="G974" s="356"/>
      <c r="H974" s="453"/>
      <c r="I974" s="453"/>
      <c r="J974" s="454"/>
      <c r="L974" s="454"/>
      <c r="M974" s="342"/>
      <c r="O974" s="356"/>
      <c r="P974" s="356"/>
      <c r="Q974" s="356"/>
      <c r="R974" s="356"/>
      <c r="S974" s="356"/>
      <c r="T974" s="356"/>
      <c r="U974" s="356"/>
      <c r="V974" s="356"/>
      <c r="W974" s="356"/>
      <c r="X974" s="356"/>
      <c r="Y974" s="356"/>
      <c r="Z974" s="356"/>
      <c r="AA974" s="356"/>
      <c r="AB974" s="356"/>
      <c r="AC974" s="356"/>
      <c r="AD974" s="356"/>
      <c r="AE974" s="356"/>
      <c r="AF974" s="356"/>
    </row>
    <row r="975">
      <c r="A975" s="341"/>
      <c r="B975" s="356"/>
      <c r="C975" s="456"/>
      <c r="D975" s="356"/>
      <c r="E975" s="452"/>
      <c r="F975" s="356"/>
      <c r="G975" s="356"/>
      <c r="H975" s="453"/>
      <c r="I975" s="453"/>
      <c r="J975" s="454"/>
      <c r="L975" s="454"/>
      <c r="M975" s="342"/>
      <c r="O975" s="356"/>
      <c r="P975" s="356"/>
      <c r="Q975" s="356"/>
      <c r="R975" s="356"/>
      <c r="S975" s="356"/>
      <c r="T975" s="356"/>
      <c r="U975" s="356"/>
      <c r="V975" s="356"/>
      <c r="W975" s="356"/>
      <c r="X975" s="356"/>
      <c r="Y975" s="356"/>
      <c r="Z975" s="356"/>
      <c r="AA975" s="356"/>
      <c r="AB975" s="356"/>
      <c r="AC975" s="356"/>
      <c r="AD975" s="356"/>
      <c r="AE975" s="356"/>
      <c r="AF975" s="356"/>
    </row>
    <row r="976">
      <c r="A976" s="341"/>
      <c r="B976" s="356"/>
      <c r="C976" s="456"/>
      <c r="D976" s="356"/>
      <c r="E976" s="452"/>
      <c r="F976" s="356"/>
      <c r="G976" s="356"/>
      <c r="H976" s="453"/>
      <c r="I976" s="453"/>
      <c r="J976" s="454"/>
      <c r="L976" s="454"/>
      <c r="M976" s="342"/>
      <c r="O976" s="356"/>
      <c r="P976" s="356"/>
      <c r="Q976" s="356"/>
      <c r="R976" s="356"/>
      <c r="S976" s="356"/>
      <c r="T976" s="356"/>
      <c r="U976" s="356"/>
      <c r="V976" s="356"/>
      <c r="W976" s="356"/>
      <c r="X976" s="356"/>
      <c r="Y976" s="356"/>
      <c r="Z976" s="356"/>
      <c r="AA976" s="356"/>
      <c r="AB976" s="356"/>
      <c r="AC976" s="356"/>
      <c r="AD976" s="356"/>
      <c r="AE976" s="356"/>
      <c r="AF976" s="356"/>
    </row>
    <row r="977">
      <c r="A977" s="341"/>
      <c r="B977" s="356"/>
      <c r="C977" s="456"/>
      <c r="D977" s="356"/>
      <c r="E977" s="452"/>
      <c r="F977" s="356"/>
      <c r="G977" s="356"/>
      <c r="H977" s="453"/>
      <c r="I977" s="453"/>
      <c r="J977" s="454"/>
      <c r="L977" s="454"/>
      <c r="M977" s="342"/>
      <c r="O977" s="356"/>
      <c r="P977" s="356"/>
      <c r="Q977" s="356"/>
      <c r="R977" s="356"/>
      <c r="S977" s="356"/>
      <c r="T977" s="356"/>
      <c r="U977" s="356"/>
      <c r="V977" s="356"/>
      <c r="W977" s="356"/>
      <c r="X977" s="356"/>
      <c r="Y977" s="356"/>
      <c r="Z977" s="356"/>
      <c r="AA977" s="356"/>
      <c r="AB977" s="356"/>
      <c r="AC977" s="356"/>
      <c r="AD977" s="356"/>
      <c r="AE977" s="356"/>
      <c r="AF977" s="356"/>
    </row>
    <row r="978">
      <c r="A978" s="341"/>
      <c r="B978" s="356"/>
      <c r="C978" s="456"/>
      <c r="D978" s="356"/>
      <c r="E978" s="452"/>
      <c r="F978" s="356"/>
      <c r="G978" s="356"/>
      <c r="H978" s="453"/>
      <c r="I978" s="453"/>
      <c r="J978" s="454"/>
      <c r="L978" s="454"/>
      <c r="M978" s="342"/>
      <c r="O978" s="356"/>
      <c r="P978" s="356"/>
      <c r="Q978" s="356"/>
      <c r="R978" s="356"/>
      <c r="S978" s="356"/>
      <c r="T978" s="356"/>
      <c r="U978" s="356"/>
      <c r="V978" s="356"/>
      <c r="W978" s="356"/>
      <c r="X978" s="356"/>
      <c r="Y978" s="356"/>
      <c r="Z978" s="356"/>
      <c r="AA978" s="356"/>
      <c r="AB978" s="356"/>
      <c r="AC978" s="356"/>
      <c r="AD978" s="356"/>
      <c r="AE978" s="356"/>
      <c r="AF978" s="356"/>
    </row>
    <row r="979">
      <c r="A979" s="341"/>
      <c r="B979" s="356"/>
      <c r="C979" s="456"/>
      <c r="D979" s="356"/>
      <c r="E979" s="452"/>
      <c r="F979" s="356"/>
      <c r="G979" s="356"/>
      <c r="H979" s="453"/>
      <c r="I979" s="453"/>
      <c r="J979" s="454"/>
      <c r="L979" s="454"/>
      <c r="M979" s="342"/>
      <c r="O979" s="356"/>
      <c r="P979" s="356"/>
      <c r="Q979" s="356"/>
      <c r="R979" s="356"/>
      <c r="S979" s="356"/>
      <c r="T979" s="356"/>
      <c r="U979" s="356"/>
      <c r="V979" s="356"/>
      <c r="W979" s="356"/>
      <c r="X979" s="356"/>
      <c r="Y979" s="356"/>
      <c r="Z979" s="356"/>
      <c r="AA979" s="356"/>
      <c r="AB979" s="356"/>
      <c r="AC979" s="356"/>
      <c r="AD979" s="356"/>
      <c r="AE979" s="356"/>
      <c r="AF979" s="356"/>
    </row>
    <row r="980">
      <c r="A980" s="341"/>
      <c r="B980" s="356"/>
      <c r="C980" s="456"/>
      <c r="D980" s="356"/>
      <c r="E980" s="452"/>
      <c r="F980" s="356"/>
      <c r="G980" s="356"/>
      <c r="H980" s="453"/>
      <c r="I980" s="453"/>
      <c r="J980" s="454"/>
      <c r="L980" s="454"/>
      <c r="M980" s="342"/>
      <c r="O980" s="356"/>
      <c r="P980" s="356"/>
      <c r="Q980" s="356"/>
      <c r="R980" s="356"/>
      <c r="S980" s="356"/>
      <c r="T980" s="356"/>
      <c r="U980" s="356"/>
      <c r="V980" s="356"/>
      <c r="W980" s="356"/>
      <c r="X980" s="356"/>
      <c r="Y980" s="356"/>
      <c r="Z980" s="356"/>
      <c r="AA980" s="356"/>
      <c r="AB980" s="356"/>
      <c r="AC980" s="356"/>
      <c r="AD980" s="356"/>
      <c r="AE980" s="356"/>
      <c r="AF980" s="356"/>
    </row>
    <row r="981">
      <c r="A981" s="341"/>
      <c r="B981" s="356"/>
      <c r="C981" s="456"/>
      <c r="D981" s="356"/>
      <c r="E981" s="452"/>
      <c r="F981" s="356"/>
      <c r="G981" s="356"/>
      <c r="H981" s="453"/>
      <c r="I981" s="453"/>
      <c r="J981" s="454"/>
      <c r="L981" s="454"/>
      <c r="M981" s="342"/>
      <c r="O981" s="356"/>
      <c r="P981" s="356"/>
      <c r="Q981" s="356"/>
      <c r="R981" s="356"/>
      <c r="S981" s="356"/>
      <c r="T981" s="356"/>
      <c r="U981" s="356"/>
      <c r="V981" s="356"/>
      <c r="W981" s="356"/>
      <c r="X981" s="356"/>
      <c r="Y981" s="356"/>
      <c r="Z981" s="356"/>
      <c r="AA981" s="356"/>
      <c r="AB981" s="356"/>
      <c r="AC981" s="356"/>
      <c r="AD981" s="356"/>
      <c r="AE981" s="356"/>
      <c r="AF981" s="356"/>
    </row>
    <row r="982">
      <c r="A982" s="341"/>
      <c r="B982" s="356"/>
      <c r="C982" s="456"/>
      <c r="D982" s="356"/>
      <c r="E982" s="452"/>
      <c r="F982" s="356"/>
      <c r="G982" s="356"/>
      <c r="H982" s="453"/>
      <c r="I982" s="453"/>
      <c r="J982" s="454"/>
      <c r="L982" s="454"/>
      <c r="M982" s="342"/>
      <c r="O982" s="356"/>
      <c r="P982" s="356"/>
      <c r="Q982" s="356"/>
      <c r="R982" s="356"/>
      <c r="S982" s="356"/>
      <c r="T982" s="356"/>
      <c r="U982" s="356"/>
      <c r="V982" s="356"/>
      <c r="W982" s="356"/>
      <c r="X982" s="356"/>
      <c r="Y982" s="356"/>
      <c r="Z982" s="356"/>
      <c r="AA982" s="356"/>
      <c r="AB982" s="356"/>
      <c r="AC982" s="356"/>
      <c r="AD982" s="356"/>
      <c r="AE982" s="356"/>
      <c r="AF982" s="356"/>
    </row>
    <row r="983">
      <c r="A983" s="341"/>
      <c r="B983" s="356"/>
      <c r="C983" s="456"/>
      <c r="D983" s="356"/>
      <c r="E983" s="452"/>
      <c r="F983" s="356"/>
      <c r="G983" s="356"/>
      <c r="H983" s="453"/>
      <c r="I983" s="453"/>
      <c r="J983" s="454"/>
      <c r="L983" s="454"/>
      <c r="M983" s="342"/>
      <c r="O983" s="356"/>
      <c r="P983" s="356"/>
      <c r="Q983" s="356"/>
      <c r="R983" s="356"/>
      <c r="S983" s="356"/>
      <c r="T983" s="356"/>
      <c r="U983" s="356"/>
      <c r="V983" s="356"/>
      <c r="W983" s="356"/>
      <c r="X983" s="356"/>
      <c r="Y983" s="356"/>
      <c r="Z983" s="356"/>
      <c r="AA983" s="356"/>
      <c r="AB983" s="356"/>
      <c r="AC983" s="356"/>
      <c r="AD983" s="356"/>
      <c r="AE983" s="356"/>
      <c r="AF983" s="356"/>
    </row>
    <row r="984">
      <c r="A984" s="341"/>
      <c r="B984" s="356"/>
      <c r="C984" s="456"/>
      <c r="D984" s="356"/>
      <c r="E984" s="452"/>
      <c r="F984" s="356"/>
      <c r="G984" s="356"/>
      <c r="H984" s="453"/>
      <c r="I984" s="453"/>
      <c r="J984" s="454"/>
      <c r="L984" s="454"/>
      <c r="M984" s="342"/>
      <c r="O984" s="356"/>
      <c r="P984" s="356"/>
      <c r="Q984" s="356"/>
      <c r="R984" s="356"/>
      <c r="S984" s="356"/>
      <c r="T984" s="356"/>
      <c r="U984" s="356"/>
      <c r="V984" s="356"/>
      <c r="W984" s="356"/>
      <c r="X984" s="356"/>
      <c r="Y984" s="356"/>
      <c r="Z984" s="356"/>
      <c r="AA984" s="356"/>
      <c r="AB984" s="356"/>
      <c r="AC984" s="356"/>
      <c r="AD984" s="356"/>
      <c r="AE984" s="356"/>
      <c r="AF984" s="356"/>
    </row>
    <row r="985">
      <c r="A985" s="341"/>
      <c r="B985" s="356"/>
      <c r="C985" s="456"/>
      <c r="D985" s="356"/>
      <c r="E985" s="452"/>
      <c r="F985" s="356"/>
      <c r="G985" s="356"/>
      <c r="H985" s="453"/>
      <c r="I985" s="453"/>
      <c r="J985" s="454"/>
      <c r="L985" s="454"/>
      <c r="M985" s="342"/>
      <c r="O985" s="356"/>
      <c r="P985" s="356"/>
      <c r="Q985" s="356"/>
      <c r="R985" s="356"/>
      <c r="S985" s="356"/>
      <c r="T985" s="356"/>
      <c r="U985" s="356"/>
      <c r="V985" s="356"/>
      <c r="W985" s="356"/>
      <c r="X985" s="356"/>
      <c r="Y985" s="356"/>
      <c r="Z985" s="356"/>
      <c r="AA985" s="356"/>
      <c r="AB985" s="356"/>
      <c r="AC985" s="356"/>
      <c r="AD985" s="356"/>
      <c r="AE985" s="356"/>
      <c r="AF985" s="356"/>
    </row>
    <row r="986">
      <c r="A986" s="341"/>
      <c r="B986" s="356"/>
      <c r="C986" s="456"/>
      <c r="D986" s="356"/>
      <c r="E986" s="452"/>
      <c r="F986" s="356"/>
      <c r="G986" s="356"/>
      <c r="H986" s="453"/>
      <c r="I986" s="453"/>
      <c r="J986" s="454"/>
      <c r="L986" s="454"/>
      <c r="M986" s="342"/>
      <c r="O986" s="356"/>
      <c r="P986" s="356"/>
      <c r="Q986" s="356"/>
      <c r="R986" s="356"/>
      <c r="S986" s="356"/>
      <c r="T986" s="356"/>
      <c r="U986" s="356"/>
      <c r="V986" s="356"/>
      <c r="W986" s="356"/>
      <c r="X986" s="356"/>
      <c r="Y986" s="356"/>
      <c r="Z986" s="356"/>
      <c r="AA986" s="356"/>
      <c r="AB986" s="356"/>
      <c r="AC986" s="356"/>
      <c r="AD986" s="356"/>
      <c r="AE986" s="356"/>
      <c r="AF986" s="356"/>
    </row>
    <row r="987">
      <c r="A987" s="341"/>
      <c r="B987" s="356"/>
      <c r="C987" s="456"/>
      <c r="D987" s="356"/>
      <c r="E987" s="452"/>
      <c r="F987" s="356"/>
      <c r="G987" s="356"/>
      <c r="H987" s="453"/>
      <c r="I987" s="453"/>
      <c r="J987" s="454"/>
      <c r="L987" s="454"/>
      <c r="M987" s="342"/>
      <c r="O987" s="356"/>
      <c r="P987" s="356"/>
      <c r="Q987" s="356"/>
      <c r="R987" s="356"/>
      <c r="S987" s="356"/>
      <c r="T987" s="356"/>
      <c r="U987" s="356"/>
      <c r="V987" s="356"/>
      <c r="W987" s="356"/>
      <c r="X987" s="356"/>
      <c r="Y987" s="356"/>
      <c r="Z987" s="356"/>
      <c r="AA987" s="356"/>
      <c r="AB987" s="356"/>
      <c r="AC987" s="356"/>
      <c r="AD987" s="356"/>
      <c r="AE987" s="356"/>
      <c r="AF987" s="356"/>
    </row>
    <row r="988">
      <c r="A988" s="341"/>
      <c r="B988" s="356"/>
      <c r="C988" s="456"/>
      <c r="D988" s="356"/>
      <c r="E988" s="452"/>
      <c r="F988" s="356"/>
      <c r="G988" s="356"/>
      <c r="H988" s="453"/>
      <c r="I988" s="453"/>
      <c r="J988" s="454"/>
      <c r="L988" s="454"/>
      <c r="M988" s="342"/>
      <c r="O988" s="356"/>
      <c r="P988" s="356"/>
      <c r="Q988" s="356"/>
      <c r="R988" s="356"/>
      <c r="S988" s="356"/>
      <c r="T988" s="356"/>
      <c r="U988" s="356"/>
      <c r="V988" s="356"/>
      <c r="W988" s="356"/>
      <c r="X988" s="356"/>
      <c r="Y988" s="356"/>
      <c r="Z988" s="356"/>
      <c r="AA988" s="356"/>
      <c r="AB988" s="356"/>
      <c r="AC988" s="356"/>
      <c r="AD988" s="356"/>
      <c r="AE988" s="356"/>
      <c r="AF988" s="356"/>
    </row>
    <row r="989">
      <c r="A989" s="341"/>
      <c r="B989" s="356"/>
      <c r="C989" s="456"/>
      <c r="D989" s="356"/>
      <c r="E989" s="452"/>
      <c r="F989" s="356"/>
      <c r="G989" s="356"/>
      <c r="H989" s="453"/>
      <c r="I989" s="453"/>
      <c r="J989" s="454"/>
      <c r="L989" s="454"/>
      <c r="M989" s="342"/>
      <c r="O989" s="356"/>
      <c r="P989" s="356"/>
      <c r="Q989" s="356"/>
      <c r="R989" s="356"/>
      <c r="S989" s="356"/>
      <c r="T989" s="356"/>
      <c r="U989" s="356"/>
      <c r="V989" s="356"/>
      <c r="W989" s="356"/>
      <c r="X989" s="356"/>
      <c r="Y989" s="356"/>
      <c r="Z989" s="356"/>
      <c r="AA989" s="356"/>
      <c r="AB989" s="356"/>
      <c r="AC989" s="356"/>
      <c r="AD989" s="356"/>
      <c r="AE989" s="356"/>
      <c r="AF989" s="356"/>
    </row>
    <row r="990">
      <c r="A990" s="341"/>
      <c r="B990" s="356"/>
      <c r="C990" s="456"/>
      <c r="D990" s="356"/>
      <c r="E990" s="452"/>
      <c r="F990" s="356"/>
      <c r="G990" s="356"/>
      <c r="H990" s="453"/>
      <c r="I990" s="453"/>
      <c r="J990" s="454"/>
      <c r="L990" s="454"/>
      <c r="M990" s="342"/>
      <c r="O990" s="356"/>
      <c r="P990" s="356"/>
      <c r="Q990" s="356"/>
      <c r="R990" s="356"/>
      <c r="S990" s="356"/>
      <c r="T990" s="356"/>
      <c r="U990" s="356"/>
      <c r="V990" s="356"/>
      <c r="W990" s="356"/>
      <c r="X990" s="356"/>
      <c r="Y990" s="356"/>
      <c r="Z990" s="356"/>
      <c r="AA990" s="356"/>
      <c r="AB990" s="356"/>
      <c r="AC990" s="356"/>
      <c r="AD990" s="356"/>
      <c r="AE990" s="356"/>
      <c r="AF990" s="356"/>
    </row>
    <row r="991">
      <c r="A991" s="341"/>
      <c r="B991" s="356"/>
      <c r="C991" s="456"/>
      <c r="D991" s="356"/>
      <c r="E991" s="452"/>
      <c r="F991" s="356"/>
      <c r="G991" s="356"/>
      <c r="H991" s="453"/>
      <c r="I991" s="453"/>
      <c r="J991" s="454"/>
      <c r="L991" s="454"/>
      <c r="M991" s="342"/>
      <c r="O991" s="356"/>
      <c r="P991" s="356"/>
      <c r="Q991" s="356"/>
      <c r="R991" s="356"/>
      <c r="S991" s="356"/>
      <c r="T991" s="356"/>
      <c r="U991" s="356"/>
      <c r="V991" s="356"/>
      <c r="W991" s="356"/>
      <c r="X991" s="356"/>
      <c r="Y991" s="356"/>
      <c r="Z991" s="356"/>
      <c r="AA991" s="356"/>
      <c r="AB991" s="356"/>
      <c r="AC991" s="356"/>
      <c r="AD991" s="356"/>
      <c r="AE991" s="356"/>
      <c r="AF991" s="356"/>
    </row>
    <row r="992">
      <c r="A992" s="341"/>
      <c r="B992" s="356"/>
      <c r="C992" s="456"/>
      <c r="D992" s="356"/>
      <c r="E992" s="452"/>
      <c r="F992" s="356"/>
      <c r="G992" s="356"/>
      <c r="H992" s="453"/>
      <c r="I992" s="453"/>
      <c r="J992" s="454"/>
      <c r="L992" s="454"/>
      <c r="M992" s="342"/>
      <c r="O992" s="356"/>
      <c r="P992" s="356"/>
      <c r="Q992" s="356"/>
      <c r="R992" s="356"/>
      <c r="S992" s="356"/>
      <c r="T992" s="356"/>
      <c r="U992" s="356"/>
      <c r="V992" s="356"/>
      <c r="W992" s="356"/>
      <c r="X992" s="356"/>
      <c r="Y992" s="356"/>
      <c r="Z992" s="356"/>
      <c r="AA992" s="356"/>
      <c r="AB992" s="356"/>
      <c r="AC992" s="356"/>
      <c r="AD992" s="356"/>
      <c r="AE992" s="356"/>
      <c r="AF992" s="356"/>
    </row>
    <row r="993">
      <c r="A993" s="341"/>
      <c r="B993" s="356"/>
      <c r="C993" s="456"/>
      <c r="D993" s="356"/>
      <c r="E993" s="452"/>
      <c r="F993" s="356"/>
      <c r="G993" s="356"/>
      <c r="H993" s="453"/>
      <c r="I993" s="453"/>
      <c r="J993" s="454"/>
      <c r="L993" s="454"/>
      <c r="M993" s="342"/>
      <c r="O993" s="356"/>
      <c r="P993" s="356"/>
      <c r="Q993" s="356"/>
      <c r="R993" s="356"/>
      <c r="S993" s="356"/>
      <c r="T993" s="356"/>
      <c r="U993" s="356"/>
      <c r="V993" s="356"/>
      <c r="W993" s="356"/>
      <c r="X993" s="356"/>
      <c r="Y993" s="356"/>
      <c r="Z993" s="356"/>
      <c r="AA993" s="356"/>
      <c r="AB993" s="356"/>
      <c r="AC993" s="356"/>
      <c r="AD993" s="356"/>
      <c r="AE993" s="356"/>
      <c r="AF993" s="356"/>
    </row>
    <row r="994">
      <c r="A994" s="341"/>
      <c r="B994" s="356"/>
      <c r="C994" s="456"/>
      <c r="D994" s="356"/>
      <c r="E994" s="452"/>
      <c r="F994" s="356"/>
      <c r="G994" s="356"/>
      <c r="H994" s="453"/>
      <c r="I994" s="453"/>
      <c r="J994" s="454"/>
      <c r="L994" s="454"/>
      <c r="M994" s="342"/>
      <c r="O994" s="356"/>
      <c r="P994" s="356"/>
      <c r="Q994" s="356"/>
      <c r="R994" s="356"/>
      <c r="S994" s="356"/>
      <c r="T994" s="356"/>
      <c r="U994" s="356"/>
      <c r="V994" s="356"/>
      <c r="W994" s="356"/>
      <c r="X994" s="356"/>
      <c r="Y994" s="356"/>
      <c r="Z994" s="356"/>
      <c r="AA994" s="356"/>
      <c r="AB994" s="356"/>
      <c r="AC994" s="356"/>
      <c r="AD994" s="356"/>
      <c r="AE994" s="356"/>
      <c r="AF994" s="356"/>
    </row>
    <row r="995">
      <c r="A995" s="341"/>
      <c r="B995" s="356"/>
      <c r="C995" s="456"/>
      <c r="D995" s="356"/>
      <c r="E995" s="452"/>
      <c r="F995" s="356"/>
      <c r="G995" s="356"/>
      <c r="H995" s="453"/>
      <c r="I995" s="453"/>
      <c r="J995" s="454"/>
      <c r="L995" s="454"/>
      <c r="M995" s="342"/>
      <c r="O995" s="356"/>
      <c r="P995" s="356"/>
      <c r="Q995" s="356"/>
      <c r="R995" s="356"/>
      <c r="S995" s="356"/>
      <c r="T995" s="356"/>
      <c r="U995" s="356"/>
      <c r="V995" s="356"/>
      <c r="W995" s="356"/>
      <c r="X995" s="356"/>
      <c r="Y995" s="356"/>
      <c r="Z995" s="356"/>
      <c r="AA995" s="356"/>
      <c r="AB995" s="356"/>
      <c r="AC995" s="356"/>
      <c r="AD995" s="356"/>
      <c r="AE995" s="356"/>
      <c r="AF995" s="356"/>
    </row>
    <row r="996">
      <c r="A996" s="341"/>
      <c r="B996" s="356"/>
      <c r="C996" s="456"/>
      <c r="D996" s="356"/>
      <c r="E996" s="452"/>
      <c r="F996" s="356"/>
      <c r="G996" s="356"/>
      <c r="H996" s="453"/>
      <c r="I996" s="453"/>
      <c r="J996" s="454"/>
      <c r="L996" s="454"/>
      <c r="M996" s="342"/>
      <c r="O996" s="356"/>
      <c r="P996" s="356"/>
      <c r="Q996" s="356"/>
      <c r="R996" s="356"/>
      <c r="S996" s="356"/>
      <c r="T996" s="356"/>
      <c r="U996" s="356"/>
      <c r="V996" s="356"/>
      <c r="W996" s="356"/>
      <c r="X996" s="356"/>
      <c r="Y996" s="356"/>
      <c r="Z996" s="356"/>
      <c r="AA996" s="356"/>
      <c r="AB996" s="356"/>
      <c r="AC996" s="356"/>
      <c r="AD996" s="356"/>
      <c r="AE996" s="356"/>
      <c r="AF996" s="356"/>
    </row>
    <row r="997">
      <c r="A997" s="341"/>
      <c r="B997" s="356"/>
      <c r="C997" s="456"/>
      <c r="D997" s="356"/>
      <c r="E997" s="452"/>
      <c r="F997" s="356"/>
      <c r="G997" s="356"/>
      <c r="H997" s="453"/>
      <c r="I997" s="453"/>
      <c r="J997" s="454"/>
      <c r="L997" s="454"/>
      <c r="M997" s="342"/>
      <c r="O997" s="356"/>
      <c r="P997" s="356"/>
      <c r="Q997" s="356"/>
      <c r="R997" s="356"/>
      <c r="S997" s="356"/>
      <c r="T997" s="356"/>
      <c r="U997" s="356"/>
      <c r="V997" s="356"/>
      <c r="W997" s="356"/>
      <c r="X997" s="356"/>
      <c r="Y997" s="356"/>
      <c r="Z997" s="356"/>
      <c r="AA997" s="356"/>
      <c r="AB997" s="356"/>
      <c r="AC997" s="356"/>
      <c r="AD997" s="356"/>
      <c r="AE997" s="356"/>
      <c r="AF997" s="356"/>
    </row>
    <row r="998">
      <c r="A998" s="341"/>
      <c r="B998" s="356"/>
      <c r="C998" s="456"/>
      <c r="D998" s="356"/>
      <c r="E998" s="452"/>
      <c r="F998" s="356"/>
      <c r="G998" s="356"/>
      <c r="H998" s="453"/>
      <c r="I998" s="453"/>
      <c r="J998" s="454"/>
      <c r="L998" s="454"/>
      <c r="M998" s="342"/>
      <c r="O998" s="356"/>
      <c r="P998" s="356"/>
      <c r="Q998" s="356"/>
      <c r="R998" s="356"/>
      <c r="S998" s="356"/>
      <c r="T998" s="356"/>
      <c r="U998" s="356"/>
      <c r="V998" s="356"/>
      <c r="W998" s="356"/>
      <c r="X998" s="356"/>
      <c r="Y998" s="356"/>
      <c r="Z998" s="356"/>
      <c r="AA998" s="356"/>
      <c r="AB998" s="356"/>
      <c r="AC998" s="356"/>
      <c r="AD998" s="356"/>
      <c r="AE998" s="356"/>
      <c r="AF998" s="356"/>
    </row>
    <row r="999">
      <c r="A999" s="341"/>
      <c r="B999" s="356"/>
      <c r="C999" s="456"/>
      <c r="D999" s="356"/>
      <c r="E999" s="452"/>
      <c r="F999" s="356"/>
      <c r="G999" s="356"/>
      <c r="H999" s="453"/>
      <c r="I999" s="453"/>
      <c r="J999" s="454"/>
      <c r="L999" s="454"/>
      <c r="M999" s="342"/>
      <c r="O999" s="356"/>
      <c r="P999" s="356"/>
      <c r="Q999" s="356"/>
      <c r="R999" s="356"/>
      <c r="S999" s="356"/>
      <c r="T999" s="356"/>
      <c r="U999" s="356"/>
      <c r="V999" s="356"/>
      <c r="W999" s="356"/>
      <c r="X999" s="356"/>
      <c r="Y999" s="356"/>
      <c r="Z999" s="356"/>
      <c r="AA999" s="356"/>
      <c r="AB999" s="356"/>
      <c r="AC999" s="356"/>
      <c r="AD999" s="356"/>
      <c r="AE999" s="356"/>
      <c r="AF999" s="356"/>
    </row>
    <row r="1000">
      <c r="A1000" s="341"/>
      <c r="B1000" s="356"/>
      <c r="C1000" s="456"/>
      <c r="D1000" s="356"/>
      <c r="E1000" s="452"/>
      <c r="F1000" s="356"/>
      <c r="G1000" s="356"/>
      <c r="H1000" s="453"/>
      <c r="I1000" s="453"/>
      <c r="J1000" s="454"/>
      <c r="L1000" s="454"/>
      <c r="M1000" s="342"/>
      <c r="O1000" s="356"/>
      <c r="P1000" s="356"/>
      <c r="Q1000" s="356"/>
      <c r="R1000" s="356"/>
      <c r="S1000" s="356"/>
      <c r="T1000" s="356"/>
      <c r="U1000" s="356"/>
      <c r="V1000" s="356"/>
      <c r="W1000" s="356"/>
      <c r="X1000" s="356"/>
      <c r="Y1000" s="356"/>
      <c r="Z1000" s="356"/>
      <c r="AA1000" s="356"/>
      <c r="AB1000" s="356"/>
      <c r="AC1000" s="356"/>
      <c r="AD1000" s="356"/>
      <c r="AE1000" s="356"/>
      <c r="AF1000" s="356"/>
    </row>
    <row r="1001">
      <c r="A1001" s="341"/>
      <c r="B1001" s="356"/>
      <c r="C1001" s="456"/>
      <c r="D1001" s="356"/>
      <c r="E1001" s="452"/>
      <c r="F1001" s="356"/>
      <c r="G1001" s="356"/>
      <c r="H1001" s="453"/>
      <c r="I1001" s="453"/>
      <c r="J1001" s="454"/>
      <c r="L1001" s="454"/>
      <c r="M1001" s="342"/>
      <c r="O1001" s="356"/>
      <c r="P1001" s="356"/>
      <c r="Q1001" s="356"/>
      <c r="R1001" s="356"/>
      <c r="S1001" s="356"/>
      <c r="T1001" s="356"/>
      <c r="U1001" s="356"/>
      <c r="V1001" s="356"/>
      <c r="W1001" s="356"/>
      <c r="X1001" s="356"/>
      <c r="Y1001" s="356"/>
      <c r="Z1001" s="356"/>
      <c r="AA1001" s="356"/>
      <c r="AB1001" s="356"/>
      <c r="AC1001" s="356"/>
      <c r="AD1001" s="356"/>
      <c r="AE1001" s="356"/>
      <c r="AF1001" s="356"/>
    </row>
    <row r="1002">
      <c r="A1002" s="341"/>
      <c r="B1002" s="356"/>
      <c r="C1002" s="456"/>
      <c r="D1002" s="356"/>
      <c r="E1002" s="452"/>
      <c r="F1002" s="356"/>
      <c r="G1002" s="356"/>
      <c r="H1002" s="453"/>
      <c r="I1002" s="453"/>
      <c r="J1002" s="454"/>
      <c r="L1002" s="454"/>
      <c r="M1002" s="342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  <c r="AA1002" s="356"/>
      <c r="AB1002" s="356"/>
      <c r="AC1002" s="356"/>
      <c r="AD1002" s="356"/>
      <c r="AE1002" s="356"/>
      <c r="AF1002" s="356"/>
    </row>
    <row r="1003">
      <c r="A1003" s="341"/>
      <c r="B1003" s="356"/>
      <c r="C1003" s="456"/>
      <c r="D1003" s="356"/>
      <c r="E1003" s="452"/>
      <c r="F1003" s="356"/>
      <c r="G1003" s="356"/>
      <c r="H1003" s="453"/>
      <c r="I1003" s="453"/>
      <c r="J1003" s="454"/>
      <c r="L1003" s="454"/>
      <c r="M1003" s="342"/>
      <c r="O1003" s="356"/>
      <c r="P1003" s="356"/>
      <c r="Q1003" s="356"/>
      <c r="R1003" s="356"/>
      <c r="S1003" s="356"/>
      <c r="T1003" s="356"/>
      <c r="U1003" s="356"/>
      <c r="V1003" s="356"/>
      <c r="W1003" s="356"/>
      <c r="X1003" s="356"/>
      <c r="Y1003" s="356"/>
      <c r="Z1003" s="356"/>
      <c r="AA1003" s="356"/>
      <c r="AB1003" s="356"/>
      <c r="AC1003" s="356"/>
      <c r="AD1003" s="356"/>
      <c r="AE1003" s="356"/>
      <c r="AF1003" s="356"/>
    </row>
    <row r="1004">
      <c r="A1004" s="341"/>
      <c r="B1004" s="356"/>
      <c r="C1004" s="456"/>
      <c r="D1004" s="356"/>
      <c r="E1004" s="452"/>
      <c r="F1004" s="356"/>
      <c r="G1004" s="356"/>
      <c r="H1004" s="453"/>
      <c r="I1004" s="453"/>
      <c r="J1004" s="454"/>
      <c r="L1004" s="454"/>
      <c r="M1004" s="342"/>
      <c r="O1004" s="356"/>
      <c r="P1004" s="356"/>
      <c r="Q1004" s="356"/>
      <c r="R1004" s="356"/>
      <c r="S1004" s="356"/>
      <c r="T1004" s="356"/>
      <c r="U1004" s="356"/>
      <c r="V1004" s="356"/>
      <c r="W1004" s="356"/>
      <c r="X1004" s="356"/>
      <c r="Y1004" s="356"/>
      <c r="Z1004" s="356"/>
      <c r="AA1004" s="356"/>
      <c r="AB1004" s="356"/>
      <c r="AC1004" s="356"/>
      <c r="AD1004" s="356"/>
      <c r="AE1004" s="356"/>
      <c r="AF1004" s="356"/>
    </row>
    <row r="1005">
      <c r="A1005" s="341"/>
      <c r="B1005" s="356"/>
      <c r="C1005" s="456"/>
      <c r="D1005" s="356"/>
      <c r="E1005" s="452"/>
      <c r="F1005" s="356"/>
      <c r="G1005" s="356"/>
      <c r="H1005" s="453"/>
      <c r="I1005" s="453"/>
      <c r="J1005" s="454"/>
      <c r="L1005" s="454"/>
      <c r="M1005" s="342"/>
      <c r="O1005" s="356"/>
      <c r="P1005" s="356"/>
      <c r="Q1005" s="356"/>
      <c r="R1005" s="356"/>
      <c r="S1005" s="356"/>
      <c r="T1005" s="356"/>
      <c r="U1005" s="356"/>
      <c r="V1005" s="356"/>
      <c r="W1005" s="356"/>
      <c r="X1005" s="356"/>
      <c r="Y1005" s="356"/>
      <c r="Z1005" s="356"/>
      <c r="AA1005" s="356"/>
      <c r="AB1005" s="356"/>
      <c r="AC1005" s="356"/>
      <c r="AD1005" s="356"/>
      <c r="AE1005" s="356"/>
      <c r="AF1005" s="356"/>
    </row>
    <row r="1006">
      <c r="A1006" s="341"/>
      <c r="B1006" s="356"/>
      <c r="C1006" s="456"/>
      <c r="D1006" s="356"/>
      <c r="E1006" s="452"/>
      <c r="F1006" s="356"/>
      <c r="G1006" s="356"/>
      <c r="H1006" s="453"/>
      <c r="I1006" s="453"/>
      <c r="J1006" s="454"/>
      <c r="L1006" s="454"/>
      <c r="M1006" s="342"/>
      <c r="O1006" s="356"/>
      <c r="P1006" s="356"/>
      <c r="Q1006" s="356"/>
      <c r="R1006" s="356"/>
      <c r="S1006" s="356"/>
      <c r="T1006" s="356"/>
      <c r="U1006" s="356"/>
      <c r="V1006" s="356"/>
      <c r="W1006" s="356"/>
      <c r="X1006" s="356"/>
      <c r="Y1006" s="356"/>
      <c r="Z1006" s="356"/>
      <c r="AA1006" s="356"/>
      <c r="AB1006" s="356"/>
      <c r="AC1006" s="356"/>
      <c r="AD1006" s="356"/>
      <c r="AE1006" s="356"/>
      <c r="AF1006" s="356"/>
    </row>
    <row r="1007">
      <c r="A1007" s="341"/>
      <c r="B1007" s="356"/>
      <c r="C1007" s="456"/>
      <c r="D1007" s="356"/>
      <c r="E1007" s="452"/>
      <c r="F1007" s="356"/>
      <c r="G1007" s="356"/>
      <c r="H1007" s="453"/>
      <c r="I1007" s="453"/>
      <c r="J1007" s="454"/>
      <c r="L1007" s="454"/>
      <c r="M1007" s="342"/>
      <c r="O1007" s="356"/>
      <c r="P1007" s="356"/>
      <c r="Q1007" s="356"/>
      <c r="R1007" s="356"/>
      <c r="S1007" s="356"/>
      <c r="T1007" s="356"/>
      <c r="U1007" s="356"/>
      <c r="V1007" s="356"/>
      <c r="W1007" s="356"/>
      <c r="X1007" s="356"/>
      <c r="Y1007" s="356"/>
      <c r="Z1007" s="356"/>
      <c r="AA1007" s="356"/>
      <c r="AB1007" s="356"/>
      <c r="AC1007" s="356"/>
      <c r="AD1007" s="356"/>
      <c r="AE1007" s="356"/>
      <c r="AF1007" s="356"/>
    </row>
    <row r="1008">
      <c r="A1008" s="341"/>
      <c r="B1008" s="356"/>
      <c r="C1008" s="456"/>
      <c r="D1008" s="356"/>
      <c r="E1008" s="452"/>
      <c r="F1008" s="356"/>
      <c r="G1008" s="356"/>
      <c r="H1008" s="453"/>
      <c r="I1008" s="453"/>
      <c r="J1008" s="454"/>
      <c r="L1008" s="454"/>
      <c r="M1008" s="342"/>
      <c r="O1008" s="356"/>
      <c r="P1008" s="356"/>
      <c r="Q1008" s="356"/>
      <c r="R1008" s="356"/>
      <c r="S1008" s="356"/>
      <c r="T1008" s="356"/>
      <c r="U1008" s="356"/>
      <c r="V1008" s="356"/>
      <c r="W1008" s="356"/>
      <c r="X1008" s="356"/>
      <c r="Y1008" s="356"/>
      <c r="Z1008" s="356"/>
      <c r="AA1008" s="356"/>
      <c r="AB1008" s="356"/>
      <c r="AC1008" s="356"/>
      <c r="AD1008" s="356"/>
      <c r="AE1008" s="356"/>
      <c r="AF1008" s="356"/>
    </row>
    <row r="1009">
      <c r="A1009" s="341"/>
      <c r="B1009" s="356"/>
      <c r="C1009" s="456"/>
      <c r="D1009" s="356"/>
      <c r="E1009" s="452"/>
      <c r="F1009" s="356"/>
      <c r="G1009" s="356"/>
      <c r="H1009" s="453"/>
      <c r="I1009" s="453"/>
      <c r="J1009" s="454"/>
      <c r="L1009" s="454"/>
      <c r="M1009" s="342"/>
      <c r="O1009" s="356"/>
      <c r="P1009" s="356"/>
      <c r="Q1009" s="356"/>
      <c r="R1009" s="356"/>
      <c r="S1009" s="356"/>
      <c r="T1009" s="356"/>
      <c r="U1009" s="356"/>
      <c r="V1009" s="356"/>
      <c r="W1009" s="356"/>
      <c r="X1009" s="356"/>
      <c r="Y1009" s="356"/>
      <c r="Z1009" s="356"/>
      <c r="AA1009" s="356"/>
      <c r="AB1009" s="356"/>
      <c r="AC1009" s="356"/>
      <c r="AD1009" s="356"/>
      <c r="AE1009" s="356"/>
      <c r="AF1009" s="356"/>
    </row>
    <row r="1010">
      <c r="A1010" s="341"/>
      <c r="B1010" s="356"/>
      <c r="C1010" s="456"/>
      <c r="D1010" s="356"/>
      <c r="E1010" s="452"/>
      <c r="F1010" s="356"/>
      <c r="G1010" s="356"/>
      <c r="H1010" s="453"/>
      <c r="I1010" s="453"/>
      <c r="J1010" s="454"/>
      <c r="L1010" s="454"/>
      <c r="M1010" s="342"/>
      <c r="O1010" s="356"/>
      <c r="P1010" s="356"/>
      <c r="Q1010" s="356"/>
      <c r="R1010" s="356"/>
      <c r="S1010" s="356"/>
      <c r="T1010" s="356"/>
      <c r="U1010" s="356"/>
      <c r="V1010" s="356"/>
      <c r="W1010" s="356"/>
      <c r="X1010" s="356"/>
      <c r="Y1010" s="356"/>
      <c r="Z1010" s="356"/>
      <c r="AA1010" s="356"/>
      <c r="AB1010" s="356"/>
      <c r="AC1010" s="356"/>
      <c r="AD1010" s="356"/>
      <c r="AE1010" s="356"/>
      <c r="AF1010" s="356"/>
    </row>
    <row r="1011">
      <c r="A1011" s="341"/>
      <c r="B1011" s="356"/>
      <c r="C1011" s="456"/>
      <c r="D1011" s="356"/>
      <c r="E1011" s="452"/>
      <c r="F1011" s="356"/>
      <c r="G1011" s="356"/>
      <c r="H1011" s="453"/>
      <c r="I1011" s="453"/>
      <c r="J1011" s="454"/>
      <c r="L1011" s="454"/>
      <c r="M1011" s="342"/>
      <c r="O1011" s="356"/>
      <c r="P1011" s="356"/>
      <c r="Q1011" s="356"/>
      <c r="R1011" s="356"/>
      <c r="S1011" s="356"/>
      <c r="T1011" s="356"/>
      <c r="U1011" s="356"/>
      <c r="V1011" s="356"/>
      <c r="W1011" s="356"/>
      <c r="X1011" s="356"/>
      <c r="Y1011" s="356"/>
      <c r="Z1011" s="356"/>
      <c r="AA1011" s="356"/>
      <c r="AB1011" s="356"/>
      <c r="AC1011" s="356"/>
      <c r="AD1011" s="356"/>
      <c r="AE1011" s="356"/>
      <c r="AF1011" s="356"/>
    </row>
    <row r="1012">
      <c r="A1012" s="341"/>
      <c r="B1012" s="356"/>
      <c r="C1012" s="456"/>
      <c r="D1012" s="356"/>
      <c r="E1012" s="452"/>
      <c r="F1012" s="356"/>
      <c r="G1012" s="356"/>
      <c r="H1012" s="453"/>
      <c r="I1012" s="453"/>
      <c r="J1012" s="454"/>
      <c r="L1012" s="454"/>
      <c r="M1012" s="342"/>
      <c r="O1012" s="356"/>
      <c r="P1012" s="356"/>
      <c r="Q1012" s="356"/>
      <c r="R1012" s="356"/>
      <c r="S1012" s="356"/>
      <c r="T1012" s="356"/>
      <c r="U1012" s="356"/>
      <c r="V1012" s="356"/>
      <c r="W1012" s="356"/>
      <c r="X1012" s="356"/>
      <c r="Y1012" s="356"/>
      <c r="Z1012" s="356"/>
      <c r="AA1012" s="356"/>
      <c r="AB1012" s="356"/>
      <c r="AC1012" s="356"/>
      <c r="AD1012" s="356"/>
      <c r="AE1012" s="356"/>
      <c r="AF1012" s="356"/>
    </row>
    <row r="1013">
      <c r="A1013" s="341"/>
      <c r="B1013" s="356"/>
      <c r="C1013" s="456"/>
      <c r="D1013" s="356"/>
      <c r="E1013" s="452"/>
      <c r="F1013" s="356"/>
      <c r="G1013" s="356"/>
      <c r="H1013" s="453"/>
      <c r="I1013" s="453"/>
      <c r="J1013" s="454"/>
      <c r="L1013" s="454"/>
      <c r="M1013" s="342"/>
      <c r="O1013" s="356"/>
      <c r="P1013" s="356"/>
      <c r="Q1013" s="356"/>
      <c r="R1013" s="356"/>
      <c r="S1013" s="356"/>
      <c r="T1013" s="356"/>
      <c r="U1013" s="356"/>
      <c r="V1013" s="356"/>
      <c r="W1013" s="356"/>
      <c r="X1013" s="356"/>
      <c r="Y1013" s="356"/>
      <c r="Z1013" s="356"/>
      <c r="AA1013" s="356"/>
      <c r="AB1013" s="356"/>
      <c r="AC1013" s="356"/>
      <c r="AD1013" s="356"/>
      <c r="AE1013" s="356"/>
      <c r="AF1013" s="356"/>
    </row>
    <row r="1014">
      <c r="A1014" s="341"/>
      <c r="B1014" s="356"/>
      <c r="C1014" s="456"/>
      <c r="D1014" s="356"/>
      <c r="E1014" s="452"/>
      <c r="F1014" s="356"/>
      <c r="G1014" s="356"/>
      <c r="H1014" s="453"/>
      <c r="I1014" s="453"/>
      <c r="J1014" s="454"/>
      <c r="L1014" s="454"/>
      <c r="M1014" s="342"/>
      <c r="O1014" s="356"/>
      <c r="P1014" s="356"/>
      <c r="Q1014" s="356"/>
      <c r="R1014" s="356"/>
      <c r="S1014" s="356"/>
      <c r="T1014" s="356"/>
      <c r="U1014" s="356"/>
      <c r="V1014" s="356"/>
      <c r="W1014" s="356"/>
      <c r="X1014" s="356"/>
      <c r="Y1014" s="356"/>
      <c r="Z1014" s="356"/>
      <c r="AA1014" s="356"/>
      <c r="AB1014" s="356"/>
      <c r="AC1014" s="356"/>
      <c r="AD1014" s="356"/>
      <c r="AE1014" s="356"/>
      <c r="AF1014" s="356"/>
    </row>
    <row r="1015">
      <c r="A1015" s="341"/>
      <c r="B1015" s="356"/>
      <c r="C1015" s="456"/>
      <c r="D1015" s="356"/>
      <c r="E1015" s="452"/>
      <c r="F1015" s="356"/>
      <c r="G1015" s="356"/>
      <c r="H1015" s="453"/>
      <c r="I1015" s="453"/>
      <c r="J1015" s="412"/>
      <c r="L1015" s="454"/>
      <c r="M1015" s="342"/>
      <c r="O1015" s="356"/>
      <c r="P1015" s="356"/>
      <c r="Q1015" s="356"/>
      <c r="R1015" s="356"/>
      <c r="S1015" s="356"/>
      <c r="T1015" s="356"/>
      <c r="U1015" s="356"/>
      <c r="V1015" s="356"/>
      <c r="W1015" s="356"/>
      <c r="X1015" s="356"/>
      <c r="Y1015" s="356"/>
      <c r="Z1015" s="356"/>
      <c r="AA1015" s="356"/>
      <c r="AB1015" s="356"/>
      <c r="AC1015" s="356"/>
      <c r="AD1015" s="356"/>
      <c r="AE1015" s="356"/>
      <c r="AF1015" s="356"/>
    </row>
  </sheetData>
  <mergeCells count="139">
    <mergeCell ref="L2:M3"/>
    <mergeCell ref="L4:M4"/>
    <mergeCell ref="C5:G5"/>
    <mergeCell ref="L5:M6"/>
    <mergeCell ref="L8:M8"/>
    <mergeCell ref="L9:M9"/>
    <mergeCell ref="L10:M10"/>
    <mergeCell ref="C11:G11"/>
    <mergeCell ref="E7:E9"/>
    <mergeCell ref="E13:E15"/>
    <mergeCell ref="L13:M13"/>
    <mergeCell ref="L14:M14"/>
    <mergeCell ref="L15:M15"/>
    <mergeCell ref="L16:M18"/>
    <mergeCell ref="J2:J3"/>
    <mergeCell ref="L7:M7"/>
    <mergeCell ref="C17:G17"/>
    <mergeCell ref="E19:E20"/>
    <mergeCell ref="L19:M19"/>
    <mergeCell ref="L20:M20"/>
    <mergeCell ref="L21:M22"/>
    <mergeCell ref="C23:G23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C39:G39"/>
    <mergeCell ref="L46:M46"/>
    <mergeCell ref="L47:M47"/>
    <mergeCell ref="L39:M40"/>
    <mergeCell ref="E41:E49"/>
    <mergeCell ref="L41:M41"/>
    <mergeCell ref="L42:M42"/>
    <mergeCell ref="L43:M43"/>
    <mergeCell ref="L44:M44"/>
    <mergeCell ref="L45:M45"/>
    <mergeCell ref="L48:M48"/>
    <mergeCell ref="L49:M49"/>
    <mergeCell ref="L50:M50"/>
    <mergeCell ref="C51:G51"/>
    <mergeCell ref="L51:M51"/>
    <mergeCell ref="L52:M52"/>
    <mergeCell ref="E53:E59"/>
    <mergeCell ref="L53:M53"/>
    <mergeCell ref="L54:M54"/>
    <mergeCell ref="L55:M55"/>
    <mergeCell ref="L56:M56"/>
    <mergeCell ref="L57:M57"/>
    <mergeCell ref="L58:M58"/>
    <mergeCell ref="L59:M59"/>
    <mergeCell ref="L60:M60"/>
    <mergeCell ref="C61:G61"/>
    <mergeCell ref="L61:M62"/>
    <mergeCell ref="E63:E69"/>
    <mergeCell ref="L63:M63"/>
    <mergeCell ref="L64:M64"/>
    <mergeCell ref="L65:M65"/>
    <mergeCell ref="L66:M66"/>
    <mergeCell ref="L67:M67"/>
    <mergeCell ref="L68:M68"/>
    <mergeCell ref="L69:M69"/>
    <mergeCell ref="L70:M70"/>
    <mergeCell ref="C71:G71"/>
    <mergeCell ref="L78:M78"/>
    <mergeCell ref="L79:M79"/>
    <mergeCell ref="L71:M72"/>
    <mergeCell ref="E73:E81"/>
    <mergeCell ref="L73:M73"/>
    <mergeCell ref="L74:M74"/>
    <mergeCell ref="L75:M75"/>
    <mergeCell ref="L76:M76"/>
    <mergeCell ref="L77:M77"/>
    <mergeCell ref="L80:M80"/>
    <mergeCell ref="L81:M81"/>
    <mergeCell ref="L82:M82"/>
    <mergeCell ref="C83:G83"/>
    <mergeCell ref="L90:M90"/>
    <mergeCell ref="L91:M91"/>
    <mergeCell ref="L83:M84"/>
    <mergeCell ref="E85:E95"/>
    <mergeCell ref="L85:M85"/>
    <mergeCell ref="L86:M86"/>
    <mergeCell ref="L87:M87"/>
    <mergeCell ref="L88:M88"/>
    <mergeCell ref="L89:M89"/>
    <mergeCell ref="L92:M92"/>
    <mergeCell ref="L93:M93"/>
    <mergeCell ref="L94:M94"/>
    <mergeCell ref="L95:M95"/>
    <mergeCell ref="L96:M96"/>
    <mergeCell ref="C97:G97"/>
    <mergeCell ref="L104:M104"/>
    <mergeCell ref="L105:M105"/>
    <mergeCell ref="L97:M98"/>
    <mergeCell ref="E99:E107"/>
    <mergeCell ref="L99:M99"/>
    <mergeCell ref="L100:M100"/>
    <mergeCell ref="L101:M101"/>
    <mergeCell ref="L102:M102"/>
    <mergeCell ref="L103:M103"/>
    <mergeCell ref="L106:M106"/>
    <mergeCell ref="L107:M107"/>
    <mergeCell ref="L108:M108"/>
    <mergeCell ref="C109:G109"/>
    <mergeCell ref="L109:M110"/>
    <mergeCell ref="E111:E122"/>
    <mergeCell ref="L11:M12"/>
    <mergeCell ref="K128:K1015"/>
    <mergeCell ref="B2:B3"/>
    <mergeCell ref="C2:G3"/>
    <mergeCell ref="H2:H3"/>
    <mergeCell ref="I2:I3"/>
    <mergeCell ref="N2:N1015"/>
    <mergeCell ref="B4:J4"/>
    <mergeCell ref="B123:M127"/>
    <mergeCell ref="L23:M24"/>
    <mergeCell ref="E25:E37"/>
    <mergeCell ref="L25:M25"/>
    <mergeCell ref="L26:M26"/>
    <mergeCell ref="L27:M27"/>
    <mergeCell ref="L28:M28"/>
    <mergeCell ref="L29:M29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</mergeCells>
  <drawing r:id="rId1"/>
</worksheet>
</file>