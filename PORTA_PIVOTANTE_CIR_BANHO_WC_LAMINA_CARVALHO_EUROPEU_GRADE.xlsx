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ichau\OneDrive\Área de Trabalho\"/>
    </mc:Choice>
  </mc:AlternateContent>
  <xr:revisionPtr revIDLastSave="0" documentId="13_ncr:1_{2638F49A-7CA4-4FFB-AE4D-D42C8B253802}" xr6:coauthVersionLast="47" xr6:coauthVersionMax="47" xr10:uidLastSave="{00000000-0000-0000-0000-000000000000}"/>
  <bookViews>
    <workbookView xWindow="12240" yWindow="0" windowWidth="16620" windowHeight="15450" firstSheet="1" activeTab="1" xr2:uid="{00000000-000D-0000-FFFF-FFFF00000000}"/>
  </bookViews>
  <sheets>
    <sheet name="Planilha1" sheetId="1" state="hidden" r:id="rId1"/>
    <sheet name="FERRAGENS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3" l="1"/>
  <c r="D32" i="3"/>
  <c r="D31" i="3"/>
  <c r="D27" i="3"/>
  <c r="D26" i="3"/>
  <c r="D25" i="3"/>
  <c r="D24" i="3"/>
  <c r="D23" i="3"/>
  <c r="D22" i="3"/>
  <c r="D21" i="3"/>
  <c r="D20" i="3"/>
  <c r="D19" i="3"/>
  <c r="D18" i="3"/>
  <c r="D17" i="3"/>
  <c r="D9" i="3"/>
  <c r="D10" i="3"/>
  <c r="D11" i="3"/>
  <c r="D12" i="3"/>
  <c r="D13" i="3"/>
  <c r="D8" i="3"/>
  <c r="E23" i="3"/>
  <c r="F23" i="3" s="1"/>
  <c r="E25" i="3"/>
  <c r="F25" i="3" s="1"/>
  <c r="E24" i="3"/>
  <c r="F24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9" i="3"/>
  <c r="F9" i="3" s="1"/>
  <c r="E10" i="3"/>
  <c r="F10" i="3" s="1"/>
  <c r="E11" i="3"/>
  <c r="F11" i="3" s="1"/>
  <c r="E12" i="3"/>
  <c r="F12" i="3" s="1"/>
  <c r="E13" i="3"/>
  <c r="F13" i="3" s="1"/>
  <c r="E8" i="3"/>
  <c r="F8" i="3" s="1"/>
  <c r="E27" i="3" l="1"/>
  <c r="F27" i="3" s="1"/>
  <c r="E26" i="3" l="1"/>
  <c r="F26" i="3" s="1"/>
  <c r="E31" i="3"/>
  <c r="F31" i="3" s="1"/>
  <c r="E32" i="3"/>
  <c r="F32" i="3" s="1"/>
</calcChain>
</file>

<file path=xl/sharedStrings.xml><?xml version="1.0" encoding="utf-8"?>
<sst xmlns="http://schemas.openxmlformats.org/spreadsheetml/2006/main" count="148" uniqueCount="105">
  <si>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</si>
  <si>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</si>
  <si>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</si>
  <si>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</si>
  <si>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</si>
  <si>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</si>
  <si>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</si>
  <si>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</si>
  <si>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</si>
  <si>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</si>
  <si>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</si>
  <si>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</si>
  <si>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</si>
  <si>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</si>
  <si>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</si>
  <si>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</si>
  <si>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</si>
  <si>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</si>
  <si>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</si>
  <si>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</si>
  <si>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</si>
  <si>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</si>
  <si>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</si>
  <si>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</si>
  <si>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</si>
  <si>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</si>
  <si>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</si>
  <si>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</si>
  <si>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</si>
  <si>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</si>
  <si>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</si>
  <si>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</si>
  <si>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</si>
  <si>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</si>
  <si>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</si>
  <si>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</si>
  <si>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</si>
  <si>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</si>
  <si>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</si>
  <si>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</si>
  <si>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</si>
  <si>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</si>
  <si>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</si>
  <si>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</si>
  <si>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</si>
  <si>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</si>
  <si>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</si>
  <si>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</si>
  <si>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</si>
  <si>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</si>
  <si>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</si>
  <si>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</si>
  <si>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</si>
  <si>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</si>
  <si>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</si>
  <si>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</si>
  <si>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</si>
  <si>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</si>
  <si>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</si>
  <si>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</si>
  <si>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</si>
  <si>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</si>
  <si>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</si>
  <si>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</si>
  <si>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</si>
  <si>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</si>
  <si>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</si>
  <si>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</si>
  <si>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</si>
  <si>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</si>
  <si>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</si>
  <si>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</si>
  <si>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</si>
  <si>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</si>
  <si>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</si>
  <si>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</si>
  <si>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</si>
  <si>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 xml:space="preserve">4 JOGOS DE BATENTES PORTAS </t>
  </si>
  <si>
    <t xml:space="preserve">LISTA DE FERRAGENS E INSUMOS 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</si>
  <si>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</si>
  <si>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</si>
  <si>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</si>
  <si>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</si>
  <si>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</si>
  <si>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</si>
  <si>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(INFORMAÇÃO CLIENTE = PORTA DE PASSAGEM LAMINA CARVALHO EUROPEU NATURALLE)  (INFORMAÇÃO INTERNA = PORTACIRWC)</t>
  </si>
  <si>
    <t>VEDA FRESTAS 04 X 09MM MARROM CLARO C/ 06 MT</t>
  </si>
  <si>
    <t>IMÃ 22X10 N.42</t>
  </si>
  <si>
    <t>FECHADURA AUX LINGUETA RETA INOX FOSCO 911.22.490</t>
  </si>
  <si>
    <t>ADAPTADOR P/WC ZMK NIQ 911.03.885</t>
  </si>
  <si>
    <t>TRANQUETA GOTINHA AÇO INOX ESCOVADO</t>
  </si>
  <si>
    <t>LAMINA NATURAL CARVALHO EUROPEU</t>
  </si>
  <si>
    <t>COLA TITE BOND 1KG</t>
  </si>
  <si>
    <t xml:space="preserve">BARRA TUBO 20 X 30 X 6,00 CH PRETO </t>
  </si>
  <si>
    <t>HIDRO REPELENTE OIL - ROCHESA</t>
  </si>
  <si>
    <t>COLA DE CONTATO 2,8KG</t>
  </si>
  <si>
    <t>GRAMPO TIPO ''U'' 80x12MM</t>
  </si>
  <si>
    <t>PINO F30 P/ PINADOR PNEUMATICO</t>
  </si>
  <si>
    <t>PARAFUSO BICROMATIZADO PHILIPS 6.0X80MM</t>
  </si>
  <si>
    <t>BUCHA 08MM</t>
  </si>
  <si>
    <t>QUANT</t>
  </si>
  <si>
    <t>UNID
 MEDIDA</t>
  </si>
  <si>
    <t>CUSTO</t>
  </si>
  <si>
    <t>CUSTO TOTAL</t>
  </si>
  <si>
    <t>VALOR TOTAL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</si>
</sst>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2"/>
      <name val="Calibri"/>
    </font>
    <font>
      <sz val="9"/>
      <color theme="2"/>
      <name val="Calibri"/>
    </font>
    <font>
      <sz val="9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AEAAAA"/>
        <bgColor rgb="FFAEAAAA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130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0" xfId="0" applyFont="1"/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indent="1"/>
    </xf>
    <xf numFmtId="0" fontId="2" fillId="9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0" fillId="5" borderId="0" xfId="0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8" fillId="8" borderId="3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8" fillId="8" borderId="8" xfId="0" applyFont="1" applyFill="1" applyBorder="1" applyAlignment="1">
      <alignment vertical="center" wrapText="1"/>
    </xf>
    <xf numFmtId="0" fontId="8" fillId="8" borderId="9" xfId="0" applyFont="1" applyFill="1" applyBorder="1" applyAlignment="1">
      <alignment vertical="center" wrapText="1"/>
    </xf>
    <xf numFmtId="0" fontId="8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/>
    <xf numFmtId="0" fontId="8" fillId="8" borderId="13" xfId="0" applyFont="1" applyFill="1" applyBorder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8" fillId="8" borderId="14" xfId="0" applyFont="1" applyFill="1" applyBorder="1" applyAlignment="1">
      <alignment vertical="center" wrapText="1"/>
    </xf>
    <xf numFmtId="14" fontId="2" fillId="5" borderId="0" xfId="0" applyNumberFormat="1" applyFont="1" applyFill="1" applyAlignment="1">
      <alignment vertical="center"/>
    </xf>
    <xf numFmtId="0" fontId="8" fillId="8" borderId="5" xfId="0" applyFont="1" applyFill="1" applyBorder="1" applyAlignment="1">
      <alignment vertical="center" wrapText="1"/>
    </xf>
    <xf numFmtId="0" fontId="8" fillId="8" borderId="6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44" fontId="13" fillId="12" borderId="1" xfId="0" applyNumberFormat="1" applyFont="1" applyFill="1" applyBorder="1" applyAlignment="1">
      <alignment horizontal="center" vertical="center"/>
    </xf>
    <xf numFmtId="44" fontId="14" fillId="0" borderId="1" xfId="0" applyNumberFormat="1" applyFont="1" applyBorder="1" applyAlignment="1">
      <alignment horizontal="center"/>
    </xf>
    <xf numFmtId="44" fontId="14" fillId="0" borderId="1" xfId="0" applyNumberFormat="1" applyFont="1" applyBorder="1"/>
    <xf numFmtId="0" fontId="11" fillId="10" borderId="0" xfId="0" applyFont="1" applyFill="1" applyAlignment="1">
      <alignment horizontal="center"/>
    </xf>
    <xf numFmtId="0" fontId="11" fillId="10" borderId="0" xfId="0" applyFont="1" applyFill="1" applyAlignment="1">
      <alignment horizontal="right"/>
    </xf>
    <xf numFmtId="44" fontId="11" fillId="10" borderId="0" xfId="1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ichau\OneDrive\&#193;rea%20de%20Trabalho\CADASTRO%20PADR&#195;O%20MARCENARIA%20-%20PORTAS%20PARKET.xlsx" TargetMode="External"/><Relationship Id="rId1" Type="http://schemas.openxmlformats.org/officeDocument/2006/relationships/externalLinkPath" Target="CADASTRO%20PADR&#195;O%20MARCENARIA%20-%20PORTAS%20PARK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 de preços"/>
      <sheetName val="Produtos Geris "/>
      <sheetName val="Produtos Cir"/>
      <sheetName val="Produtos Correr DN150 "/>
      <sheetName val="Produtos Camarão"/>
      <sheetName val="EM BRANCO"/>
      <sheetName val="Grade Geris WC"/>
      <sheetName val="Grade Geris Interno"/>
      <sheetName val="Grade Geris Externo"/>
      <sheetName val="Grade Correr DN150"/>
      <sheetName val="Grade CIR WC"/>
      <sheetName val="Grade CIR Interno"/>
      <sheetName val="Grade CIR Exter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5" x14ac:dyDescent="0.25"/>
  <cols>
    <col min="9" max="9" width="4.5703125" customWidth="1"/>
    <col min="11" max="11" width="22.28515625" customWidth="1"/>
    <col min="12" max="12" width="19.7109375" customWidth="1"/>
    <col min="13" max="13" width="7.7109375" customWidth="1"/>
    <col min="14" max="14" width="7.42578125" customWidth="1"/>
    <col min="16" max="16" width="6.7109375" customWidth="1"/>
    <col min="17" max="17" width="1.42578125" customWidth="1"/>
    <col min="18" max="18" width="4.140625" customWidth="1"/>
    <col min="19" max="19" width="6.5703125" customWidth="1"/>
    <col min="20" max="20" width="1.42578125" customWidth="1"/>
    <col min="21" max="21" width="8.85546875" hidden="1" customWidth="1"/>
    <col min="22" max="22" width="3.28515625" customWidth="1"/>
    <col min="24" max="24" width="7.85546875" customWidth="1"/>
    <col min="25" max="25" width="1.85546875" customWidth="1"/>
    <col min="26" max="26" width="2.5703125" customWidth="1"/>
    <col min="27" max="27" width="4" customWidth="1"/>
    <col min="29" max="29" width="0.28515625" customWidth="1"/>
  </cols>
  <sheetData>
    <row r="1" spans="1:18" ht="17.45" customHeight="1" x14ac:dyDescent="0.25">
      <c r="B1" s="59" t="s">
        <v>25</v>
      </c>
      <c r="C1" s="59"/>
      <c r="D1" s="59"/>
      <c r="E1" s="59"/>
      <c r="F1" s="59"/>
      <c r="G1" s="59"/>
      <c r="H1" s="59"/>
      <c r="I1" s="59" t="s">
        <v>0</v>
      </c>
      <c r="J1" s="59"/>
      <c r="K1" s="59"/>
      <c r="L1" s="59"/>
      <c r="M1" s="59"/>
      <c r="N1" s="59"/>
      <c r="O1" s="59"/>
      <c r="P1" s="59"/>
      <c r="Q1" s="59"/>
      <c r="R1" s="59"/>
    </row>
    <row r="2" spans="1:18" x14ac:dyDescent="0.25">
      <c r="K2" s="13"/>
      <c r="L2" s="13"/>
      <c r="M2" s="13"/>
      <c r="N2" s="13"/>
      <c r="O2" s="13"/>
      <c r="P2" s="13"/>
      <c r="Q2" s="13"/>
      <c r="R2" s="13"/>
    </row>
    <row r="3" spans="1:18" x14ac:dyDescent="0.25">
      <c r="A3" s="1"/>
      <c r="B3" s="60" t="s">
        <v>26</v>
      </c>
      <c r="C3" s="60"/>
      <c r="D3" s="60"/>
      <c r="E3" s="60"/>
      <c r="F3" s="1"/>
      <c r="G3" s="1"/>
      <c r="H3" s="1"/>
      <c r="I3" s="1"/>
      <c r="J3" s="1"/>
      <c r="K3" s="1"/>
      <c r="L3" s="15"/>
      <c r="M3" s="60" t="s">
        <v>68</v>
      </c>
      <c r="N3" s="60"/>
      <c r="O3" s="88" t="s">
        <v>69</v>
      </c>
      <c r="P3" s="88"/>
      <c r="Q3" s="88"/>
      <c r="R3" s="88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79"/>
      <c r="P4" s="79"/>
      <c r="Q4" s="79"/>
      <c r="R4" s="79"/>
    </row>
    <row r="5" spans="1:18" x14ac:dyDescent="0.25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76" t="s">
        <v>71</v>
      </c>
      <c r="N5" s="76"/>
      <c r="O5" s="76" t="s">
        <v>70</v>
      </c>
      <c r="P5" s="76"/>
      <c r="Q5" s="76"/>
      <c r="R5" s="76"/>
    </row>
    <row r="6" spans="1:18" x14ac:dyDescent="0.25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78"/>
      <c r="N6" s="78"/>
      <c r="O6" s="78"/>
      <c r="P6" s="78"/>
      <c r="Q6" s="78"/>
      <c r="R6" s="78"/>
    </row>
    <row r="7" spans="1:18" x14ac:dyDescent="0.25">
      <c r="A7" s="1"/>
      <c r="B7" s="60" t="s">
        <v>17</v>
      </c>
      <c r="C7" s="60"/>
      <c r="D7" s="60"/>
      <c r="E7" s="60"/>
      <c r="F7" s="8"/>
      <c r="G7" s="16"/>
      <c r="H7" s="8"/>
      <c r="I7" s="8"/>
      <c r="J7" s="8"/>
      <c r="K7" s="8"/>
      <c r="L7" s="8"/>
      <c r="M7" s="79"/>
      <c r="N7" s="79"/>
      <c r="O7" s="79"/>
      <c r="P7" s="79"/>
      <c r="Q7" s="79"/>
      <c r="R7" s="79"/>
    </row>
    <row r="8" spans="1:18" x14ac:dyDescent="0.25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78"/>
      <c r="N8" s="78"/>
      <c r="O8" s="80"/>
      <c r="P8" s="80"/>
      <c r="Q8" s="80"/>
      <c r="R8" s="80"/>
    </row>
    <row r="9" spans="1:18" x14ac:dyDescent="0.25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76" t="s">
        <v>70</v>
      </c>
      <c r="N9" s="76"/>
      <c r="O9" s="76" t="s">
        <v>70</v>
      </c>
      <c r="P9" s="76"/>
      <c r="Q9" s="76"/>
      <c r="R9" s="76"/>
    </row>
    <row r="10" spans="1:18" x14ac:dyDescent="0.25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76" t="s">
        <v>70</v>
      </c>
      <c r="N10" s="76"/>
      <c r="O10" s="76" t="s">
        <v>70</v>
      </c>
      <c r="P10" s="76"/>
      <c r="Q10" s="76"/>
      <c r="R10" s="76"/>
    </row>
    <row r="11" spans="1:18" x14ac:dyDescent="0.25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76" t="s">
        <v>70</v>
      </c>
      <c r="N11" s="76"/>
      <c r="O11" s="76" t="s">
        <v>70</v>
      </c>
      <c r="P11" s="76"/>
      <c r="Q11" s="76"/>
      <c r="R11" s="76"/>
    </row>
    <row r="12" spans="1:18" s="13" customFormat="1" x14ac:dyDescent="0.25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78"/>
      <c r="P12" s="78"/>
      <c r="Q12" s="78"/>
      <c r="R12" s="78"/>
    </row>
    <row r="13" spans="1:18" x14ac:dyDescent="0.25">
      <c r="A13" s="1"/>
      <c r="B13" s="60" t="s">
        <v>18</v>
      </c>
      <c r="C13" s="60"/>
      <c r="D13" s="60"/>
      <c r="E13" s="60"/>
      <c r="F13" s="8"/>
      <c r="G13" s="16"/>
      <c r="H13" s="8"/>
      <c r="I13" s="8"/>
      <c r="J13" s="8"/>
      <c r="K13" s="8"/>
      <c r="L13" s="8"/>
      <c r="M13" s="8"/>
      <c r="N13" s="8"/>
      <c r="O13" s="78"/>
      <c r="P13" s="78"/>
      <c r="Q13" s="78"/>
      <c r="R13" s="78"/>
    </row>
    <row r="14" spans="1:18" s="13" customFormat="1" x14ac:dyDescent="0.25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25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76" t="s">
        <v>71</v>
      </c>
      <c r="N15" s="76"/>
      <c r="O15" s="76" t="s">
        <v>70</v>
      </c>
      <c r="P15" s="76"/>
      <c r="Q15" s="76"/>
      <c r="R15" s="76"/>
    </row>
    <row r="16" spans="1:18" s="13" customFormat="1" x14ac:dyDescent="0.25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25">
      <c r="A17" s="1"/>
      <c r="B17" s="60" t="s">
        <v>27</v>
      </c>
      <c r="C17" s="60"/>
      <c r="D17" s="60"/>
      <c r="E17" s="60"/>
      <c r="F17" s="60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25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25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76" t="s">
        <v>71</v>
      </c>
      <c r="N19" s="76"/>
      <c r="O19" s="76" t="s">
        <v>70</v>
      </c>
      <c r="P19" s="76"/>
      <c r="Q19" s="76"/>
      <c r="R19" s="76"/>
    </row>
    <row r="20" spans="1:18" x14ac:dyDescent="0.25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76" t="s">
        <v>71</v>
      </c>
      <c r="N20" s="76"/>
      <c r="O20" s="76" t="s">
        <v>70</v>
      </c>
      <c r="P20" s="76"/>
      <c r="Q20" s="76"/>
      <c r="R20" s="76"/>
    </row>
    <row r="21" spans="1:18" x14ac:dyDescent="0.25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25">
      <c r="A22" s="1"/>
      <c r="B22" s="60" t="s">
        <v>11</v>
      </c>
      <c r="C22" s="60"/>
      <c r="D22" s="60"/>
      <c r="E22" s="60"/>
      <c r="F22" s="60"/>
      <c r="G22" s="14"/>
      <c r="H22" s="8"/>
      <c r="I22" s="8"/>
      <c r="J22" s="8"/>
      <c r="K22" s="8"/>
      <c r="L22" s="8"/>
      <c r="M22" s="8"/>
      <c r="N22" s="15"/>
    </row>
    <row r="23" spans="1:18" x14ac:dyDescent="0.25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25">
      <c r="A24" s="1"/>
      <c r="B24" s="89" t="s">
        <v>20</v>
      </c>
      <c r="C24" s="89"/>
      <c r="D24" s="89"/>
      <c r="E24" s="89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25">
      <c r="A25" s="1"/>
      <c r="B25" s="89"/>
      <c r="C25" s="89"/>
      <c r="D25" s="89"/>
      <c r="E25" s="89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25">
      <c r="A26" s="1"/>
      <c r="B26" s="89" t="s">
        <v>19</v>
      </c>
      <c r="C26" s="89"/>
      <c r="D26" s="89"/>
      <c r="E26" s="89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25">
      <c r="A27" s="1"/>
      <c r="B27" s="89"/>
      <c r="C27" s="89"/>
      <c r="D27" s="89"/>
      <c r="E27" s="89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25">
      <c r="A28" s="1"/>
      <c r="B28" s="89" t="s">
        <v>39</v>
      </c>
      <c r="C28" s="89"/>
      <c r="D28" s="89"/>
      <c r="E28" s="89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25">
      <c r="A29" s="1"/>
      <c r="B29" s="89"/>
      <c r="C29" s="89"/>
      <c r="D29" s="89"/>
      <c r="E29" s="89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25">
      <c r="A30" s="1"/>
      <c r="B30" s="89" t="s">
        <v>58</v>
      </c>
      <c r="C30" s="89"/>
      <c r="D30" s="89"/>
      <c r="E30" s="89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" customHeight="1" x14ac:dyDescent="0.25">
      <c r="A31" s="1"/>
      <c r="B31" s="89"/>
      <c r="C31" s="89"/>
      <c r="D31" s="89"/>
      <c r="E31" s="89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25">
      <c r="A32" s="1"/>
      <c r="B32" s="89" t="s">
        <v>30</v>
      </c>
      <c r="C32" s="89"/>
      <c r="D32" s="89"/>
      <c r="E32" s="89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25">
      <c r="A33" s="1"/>
      <c r="B33" s="89"/>
      <c r="C33" s="89"/>
      <c r="D33" s="89"/>
      <c r="E33" s="89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25">
      <c r="B34" s="5"/>
      <c r="C34" s="5"/>
      <c r="D34" s="5"/>
      <c r="E34" s="5"/>
      <c r="F34" s="6"/>
      <c r="G34" s="6"/>
      <c r="H34" s="83"/>
      <c r="I34" s="6"/>
      <c r="J34" s="4"/>
      <c r="K34" s="4"/>
      <c r="L34" s="4"/>
      <c r="M34" s="4"/>
    </row>
    <row r="35" spans="1:41" x14ac:dyDescent="0.25">
      <c r="B35" s="76" t="s">
        <v>1</v>
      </c>
      <c r="C35" s="76"/>
      <c r="D35" s="76"/>
      <c r="E35" s="5"/>
      <c r="F35" s="6"/>
      <c r="G35" s="6"/>
      <c r="H35" s="83"/>
      <c r="I35" s="6"/>
      <c r="J35" s="4"/>
      <c r="K35" s="4"/>
      <c r="L35" s="4"/>
      <c r="M35" s="4"/>
    </row>
    <row r="36" spans="1:41" x14ac:dyDescent="0.25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5" customHeight="1" x14ac:dyDescent="0.25">
      <c r="B37" s="60" t="s">
        <v>2</v>
      </c>
      <c r="C37" s="60"/>
      <c r="D37" s="60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77" t="s">
        <v>72</v>
      </c>
      <c r="T37" s="77"/>
      <c r="W37" s="74" t="s">
        <v>73</v>
      </c>
      <c r="X37" s="74"/>
      <c r="Y37" s="74"/>
      <c r="AA37" s="74" t="s">
        <v>74</v>
      </c>
      <c r="AB37" s="74"/>
      <c r="AC37" s="21"/>
    </row>
    <row r="38" spans="1:41" x14ac:dyDescent="0.25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5" customHeight="1" x14ac:dyDescent="0.25">
      <c r="B39" s="62" t="s">
        <v>15</v>
      </c>
      <c r="C39" s="86"/>
      <c r="D39" s="86"/>
      <c r="E39" s="86"/>
      <c r="F39" s="86"/>
      <c r="G39" s="86"/>
      <c r="H39" s="11">
        <v>13</v>
      </c>
      <c r="I39" s="4"/>
      <c r="J39" s="87" t="s">
        <v>45</v>
      </c>
      <c r="K39" s="87"/>
      <c r="L39" s="87"/>
      <c r="M39" s="4"/>
      <c r="O39" s="65" t="s">
        <v>14</v>
      </c>
      <c r="P39" s="65"/>
      <c r="Q39" s="65"/>
      <c r="S39" s="65"/>
      <c r="T39" s="65"/>
      <c r="U39" s="65"/>
      <c r="W39" s="75"/>
      <c r="X39" s="65"/>
      <c r="Y39" s="65"/>
      <c r="Z39" s="13"/>
      <c r="AA39" s="75"/>
      <c r="AB39" s="65"/>
      <c r="AC39" s="13"/>
      <c r="AD39" s="13"/>
      <c r="AE39" s="71"/>
      <c r="AF39" s="71"/>
      <c r="AG39" s="71"/>
      <c r="AH39" s="13"/>
      <c r="AI39" s="68"/>
      <c r="AJ39" s="69"/>
      <c r="AK39" s="69"/>
      <c r="AL39" s="13"/>
      <c r="AM39" s="68"/>
      <c r="AN39" s="69"/>
      <c r="AO39" s="69"/>
    </row>
    <row r="40" spans="1:41" x14ac:dyDescent="0.25">
      <c r="B40" s="81" t="s">
        <v>28</v>
      </c>
      <c r="C40" s="81"/>
      <c r="D40" s="81"/>
      <c r="E40" s="81"/>
      <c r="F40" s="81"/>
      <c r="G40" s="81"/>
      <c r="H40" s="82">
        <v>3</v>
      </c>
      <c r="I40" s="4"/>
      <c r="J40" s="84" t="s">
        <v>46</v>
      </c>
      <c r="K40" s="84"/>
      <c r="L40" s="84"/>
      <c r="M40" s="4"/>
      <c r="O40" s="61" t="s">
        <v>14</v>
      </c>
      <c r="P40" s="61"/>
      <c r="Q40" s="61"/>
      <c r="S40" s="61"/>
      <c r="T40" s="61"/>
      <c r="U40" s="23"/>
      <c r="V40" s="13"/>
      <c r="W40" s="72"/>
      <c r="X40" s="72"/>
      <c r="Y40" s="72"/>
      <c r="Z40" s="13"/>
      <c r="AA40" s="61"/>
      <c r="AB40" s="61"/>
      <c r="AC40" s="23"/>
      <c r="AD40" s="13"/>
      <c r="AE40" s="67"/>
      <c r="AF40" s="67"/>
      <c r="AG40" s="67"/>
      <c r="AH40" s="13"/>
      <c r="AI40" s="70"/>
      <c r="AJ40" s="63"/>
      <c r="AK40" s="63"/>
      <c r="AL40" s="13"/>
      <c r="AM40" s="70"/>
      <c r="AN40" s="63"/>
      <c r="AO40" s="63"/>
    </row>
    <row r="41" spans="1:41" ht="24" customHeight="1" x14ac:dyDescent="0.25">
      <c r="B41" s="81"/>
      <c r="C41" s="81"/>
      <c r="D41" s="81"/>
      <c r="E41" s="81"/>
      <c r="F41" s="81"/>
      <c r="G41" s="81"/>
      <c r="H41" s="82"/>
      <c r="I41" s="4"/>
      <c r="J41" s="84"/>
      <c r="K41" s="84"/>
      <c r="L41" s="84"/>
      <c r="M41" s="4"/>
      <c r="O41" s="61"/>
      <c r="P41" s="61"/>
      <c r="Q41" s="61"/>
      <c r="S41" s="61"/>
      <c r="T41" s="61"/>
      <c r="U41" s="17"/>
      <c r="V41" s="13"/>
      <c r="W41" s="72"/>
      <c r="X41" s="72"/>
      <c r="Y41" s="72"/>
      <c r="Z41" s="13"/>
      <c r="AA41" s="61"/>
      <c r="AB41" s="61"/>
      <c r="AC41" s="17"/>
      <c r="AD41" s="13"/>
      <c r="AE41" s="67"/>
      <c r="AF41" s="67"/>
      <c r="AG41" s="67"/>
      <c r="AH41" s="13"/>
      <c r="AI41" s="63"/>
      <c r="AJ41" s="63"/>
      <c r="AK41" s="63"/>
      <c r="AL41" s="13"/>
      <c r="AM41" s="63"/>
      <c r="AN41" s="63"/>
      <c r="AO41" s="63"/>
    </row>
    <row r="42" spans="1:41" ht="18.600000000000001" customHeight="1" x14ac:dyDescent="0.25">
      <c r="B42" s="62" t="s">
        <v>29</v>
      </c>
      <c r="C42" s="62"/>
      <c r="D42" s="62"/>
      <c r="E42" s="62"/>
      <c r="F42" s="62"/>
      <c r="G42" s="62"/>
      <c r="H42" s="82">
        <v>3</v>
      </c>
      <c r="I42" s="4"/>
      <c r="J42" s="85" t="s">
        <v>46</v>
      </c>
      <c r="K42" s="85"/>
      <c r="L42" s="85"/>
      <c r="M42" s="4"/>
      <c r="O42" s="62" t="s">
        <v>4</v>
      </c>
      <c r="P42" s="62"/>
      <c r="Q42" s="62"/>
      <c r="S42" s="62"/>
      <c r="T42" s="62"/>
      <c r="U42" s="17"/>
      <c r="V42" s="13"/>
      <c r="W42" s="73"/>
      <c r="X42" s="73"/>
      <c r="Y42" s="73"/>
      <c r="Z42" s="13"/>
      <c r="AA42" s="62"/>
      <c r="AB42" s="62"/>
      <c r="AC42" s="17"/>
      <c r="AD42" s="13"/>
      <c r="AE42" s="67"/>
      <c r="AF42" s="67"/>
      <c r="AG42" s="67"/>
      <c r="AH42" s="13"/>
      <c r="AI42" s="63"/>
      <c r="AJ42" s="63"/>
      <c r="AK42" s="63"/>
      <c r="AL42" s="13"/>
      <c r="AM42" s="63"/>
      <c r="AN42" s="63"/>
      <c r="AO42" s="63"/>
    </row>
    <row r="43" spans="1:41" x14ac:dyDescent="0.25">
      <c r="B43" s="62"/>
      <c r="C43" s="62"/>
      <c r="D43" s="62"/>
      <c r="E43" s="62"/>
      <c r="F43" s="62"/>
      <c r="G43" s="62"/>
      <c r="H43" s="82"/>
      <c r="I43" s="4"/>
      <c r="J43" s="85"/>
      <c r="K43" s="85"/>
      <c r="L43" s="85"/>
      <c r="M43" s="4"/>
      <c r="O43" s="62"/>
      <c r="P43" s="62"/>
      <c r="Q43" s="62"/>
      <c r="S43" s="62"/>
      <c r="T43" s="62"/>
      <c r="U43" s="17"/>
      <c r="V43" s="13"/>
      <c r="W43" s="73"/>
      <c r="X43" s="73"/>
      <c r="Y43" s="73"/>
      <c r="Z43" s="13"/>
      <c r="AA43" s="62"/>
      <c r="AB43" s="62"/>
      <c r="AC43" s="17"/>
      <c r="AD43" s="13"/>
      <c r="AE43" s="67"/>
      <c r="AF43" s="67"/>
      <c r="AG43" s="67"/>
      <c r="AH43" s="13"/>
      <c r="AI43" s="63"/>
      <c r="AJ43" s="63"/>
      <c r="AK43" s="63"/>
      <c r="AL43" s="13"/>
      <c r="AM43" s="63"/>
      <c r="AN43" s="63"/>
      <c r="AO43" s="63"/>
    </row>
    <row r="44" spans="1:41" x14ac:dyDescent="0.25">
      <c r="B44" s="81" t="s">
        <v>32</v>
      </c>
      <c r="C44" s="81"/>
      <c r="D44" s="81"/>
      <c r="E44" s="81"/>
      <c r="F44" s="81"/>
      <c r="G44" s="81"/>
      <c r="H44" s="82">
        <v>3</v>
      </c>
      <c r="I44" s="4"/>
      <c r="J44" s="84" t="s">
        <v>47</v>
      </c>
      <c r="K44" s="84"/>
      <c r="L44" s="84"/>
      <c r="M44" s="4"/>
      <c r="O44" s="61" t="s">
        <v>4</v>
      </c>
      <c r="P44" s="61"/>
      <c r="Q44" s="61"/>
      <c r="S44" s="61"/>
      <c r="T44" s="61"/>
      <c r="U44" s="17"/>
      <c r="V44" s="13"/>
      <c r="W44" s="72"/>
      <c r="X44" s="72"/>
      <c r="Y44" s="72"/>
      <c r="Z44" s="13"/>
      <c r="AA44" s="72"/>
      <c r="AB44" s="72"/>
      <c r="AC44" s="17"/>
      <c r="AD44" s="13"/>
      <c r="AE44" s="67"/>
      <c r="AF44" s="67"/>
      <c r="AG44" s="67"/>
      <c r="AH44" s="13"/>
      <c r="AI44" s="63"/>
      <c r="AJ44" s="63"/>
      <c r="AK44" s="63"/>
      <c r="AL44" s="13"/>
      <c r="AM44" s="63"/>
      <c r="AN44" s="63"/>
      <c r="AO44" s="63"/>
    </row>
    <row r="45" spans="1:41" ht="15" customHeight="1" x14ac:dyDescent="0.25">
      <c r="B45" s="81"/>
      <c r="C45" s="81"/>
      <c r="D45" s="81"/>
      <c r="E45" s="81"/>
      <c r="F45" s="81"/>
      <c r="G45" s="81"/>
      <c r="H45" s="82"/>
      <c r="I45" s="4"/>
      <c r="J45" s="84"/>
      <c r="K45" s="84"/>
      <c r="L45" s="84"/>
      <c r="M45" s="4"/>
      <c r="O45" s="61"/>
      <c r="P45" s="61"/>
      <c r="Q45" s="61"/>
      <c r="S45" s="61"/>
      <c r="T45" s="61"/>
      <c r="U45" s="17"/>
      <c r="V45" s="13"/>
      <c r="W45" s="72"/>
      <c r="X45" s="72"/>
      <c r="Y45" s="72"/>
      <c r="Z45" s="13"/>
      <c r="AA45" s="72"/>
      <c r="AB45" s="72"/>
      <c r="AC45" s="17"/>
      <c r="AD45" s="13"/>
      <c r="AE45" s="67"/>
      <c r="AF45" s="67"/>
      <c r="AG45" s="67"/>
      <c r="AH45" s="13"/>
      <c r="AI45" s="63"/>
      <c r="AJ45" s="63"/>
      <c r="AK45" s="63"/>
      <c r="AL45" s="13"/>
      <c r="AM45" s="63"/>
      <c r="AN45" s="63"/>
      <c r="AO45" s="63"/>
    </row>
    <row r="46" spans="1:41" x14ac:dyDescent="0.25">
      <c r="B46" s="62" t="s">
        <v>36</v>
      </c>
      <c r="C46" s="62"/>
      <c r="D46" s="62"/>
      <c r="E46" s="62"/>
      <c r="F46" s="62"/>
      <c r="G46" s="62"/>
      <c r="H46" s="82">
        <v>6</v>
      </c>
      <c r="I46" s="4"/>
      <c r="J46" s="62" t="s">
        <v>48</v>
      </c>
      <c r="K46" s="62"/>
      <c r="L46" s="62"/>
      <c r="M46" s="4"/>
      <c r="O46" s="62" t="s">
        <v>4</v>
      </c>
      <c r="P46" s="62"/>
      <c r="Q46" s="62"/>
      <c r="S46" s="62"/>
      <c r="T46" s="62"/>
      <c r="U46" s="17"/>
      <c r="V46" s="13"/>
      <c r="W46" s="62"/>
      <c r="X46" s="62"/>
      <c r="Y46" s="62"/>
      <c r="Z46" s="13"/>
      <c r="AA46" s="62"/>
      <c r="AB46" s="62"/>
      <c r="AC46" s="17"/>
      <c r="AD46" s="13"/>
      <c r="AE46" s="67"/>
      <c r="AF46" s="67"/>
      <c r="AG46" s="67"/>
      <c r="AH46" s="13"/>
      <c r="AI46" s="63"/>
      <c r="AJ46" s="63"/>
      <c r="AK46" s="63"/>
      <c r="AL46" s="13"/>
      <c r="AM46" s="63"/>
      <c r="AN46" s="63"/>
      <c r="AO46" s="63"/>
    </row>
    <row r="47" spans="1:41" x14ac:dyDescent="0.25">
      <c r="B47" s="62"/>
      <c r="C47" s="62"/>
      <c r="D47" s="62"/>
      <c r="E47" s="62"/>
      <c r="F47" s="62"/>
      <c r="G47" s="62"/>
      <c r="H47" s="82"/>
      <c r="I47" s="4"/>
      <c r="J47" s="62"/>
      <c r="K47" s="62"/>
      <c r="L47" s="62"/>
      <c r="M47" s="4"/>
      <c r="O47" s="62"/>
      <c r="P47" s="62"/>
      <c r="Q47" s="62"/>
      <c r="S47" s="62"/>
      <c r="T47" s="62"/>
      <c r="U47" s="17"/>
      <c r="V47" s="13"/>
      <c r="W47" s="62"/>
      <c r="X47" s="62"/>
      <c r="Y47" s="62"/>
      <c r="Z47" s="13"/>
      <c r="AA47" s="62"/>
      <c r="AB47" s="62"/>
      <c r="AC47" s="17"/>
      <c r="AD47" s="13"/>
      <c r="AE47" s="67"/>
      <c r="AF47" s="67"/>
      <c r="AG47" s="67"/>
      <c r="AH47" s="13"/>
      <c r="AI47" s="63"/>
      <c r="AJ47" s="63"/>
      <c r="AK47" s="63"/>
      <c r="AL47" s="13"/>
      <c r="AM47" s="63"/>
      <c r="AN47" s="63"/>
      <c r="AO47" s="63"/>
    </row>
    <row r="48" spans="1:41" x14ac:dyDescent="0.25">
      <c r="B48" s="81" t="s">
        <v>42</v>
      </c>
      <c r="C48" s="81"/>
      <c r="D48" s="81"/>
      <c r="E48" s="81"/>
      <c r="F48" s="81"/>
      <c r="G48" s="81"/>
      <c r="H48" s="82">
        <v>1</v>
      </c>
      <c r="I48" s="4"/>
      <c r="J48" s="61" t="s">
        <v>49</v>
      </c>
      <c r="K48" s="61"/>
      <c r="L48" s="61"/>
      <c r="M48" s="4"/>
      <c r="O48" s="61" t="s">
        <v>4</v>
      </c>
      <c r="P48" s="61"/>
      <c r="Q48" s="61"/>
      <c r="S48" s="61"/>
      <c r="T48" s="61"/>
      <c r="U48" s="17"/>
      <c r="V48" s="13"/>
      <c r="W48" s="61"/>
      <c r="X48" s="61"/>
      <c r="Y48" s="61"/>
      <c r="Z48" s="13"/>
      <c r="AA48" s="61"/>
      <c r="AB48" s="61"/>
      <c r="AC48" s="17"/>
      <c r="AD48" s="13"/>
      <c r="AE48" s="67"/>
      <c r="AF48" s="67"/>
      <c r="AG48" s="67"/>
      <c r="AH48" s="13"/>
      <c r="AI48" s="63"/>
      <c r="AJ48" s="63"/>
      <c r="AK48" s="63"/>
      <c r="AL48" s="13"/>
      <c r="AM48" s="63"/>
      <c r="AN48" s="63"/>
      <c r="AO48" s="63"/>
    </row>
    <row r="49" spans="2:41" ht="33" customHeight="1" x14ac:dyDescent="0.25">
      <c r="B49" s="81"/>
      <c r="C49" s="81"/>
      <c r="D49" s="81"/>
      <c r="E49" s="81"/>
      <c r="F49" s="81"/>
      <c r="G49" s="81"/>
      <c r="H49" s="82"/>
      <c r="I49" s="4"/>
      <c r="J49" s="61"/>
      <c r="K49" s="61"/>
      <c r="L49" s="61"/>
      <c r="M49" s="4"/>
      <c r="O49" s="61"/>
      <c r="P49" s="61"/>
      <c r="Q49" s="61"/>
      <c r="S49" s="61"/>
      <c r="T49" s="61"/>
      <c r="U49" s="17"/>
      <c r="V49" s="13"/>
      <c r="W49" s="61"/>
      <c r="X49" s="61"/>
      <c r="Y49" s="61"/>
      <c r="Z49" s="13"/>
      <c r="AA49" s="61"/>
      <c r="AB49" s="61"/>
      <c r="AC49" s="17"/>
      <c r="AD49" s="13"/>
      <c r="AE49" s="67"/>
      <c r="AF49" s="67"/>
      <c r="AG49" s="67"/>
      <c r="AH49" s="13"/>
      <c r="AI49" s="63"/>
      <c r="AJ49" s="63"/>
      <c r="AK49" s="63"/>
      <c r="AL49" s="13"/>
      <c r="AM49" s="63"/>
      <c r="AN49" s="63"/>
      <c r="AO49" s="63"/>
    </row>
    <row r="50" spans="2:41" x14ac:dyDescent="0.25">
      <c r="B50" s="62" t="s">
        <v>43</v>
      </c>
      <c r="C50" s="62"/>
      <c r="D50" s="62"/>
      <c r="E50" s="62"/>
      <c r="F50" s="62"/>
      <c r="G50" s="62"/>
      <c r="H50" s="82">
        <v>1</v>
      </c>
      <c r="I50" s="4"/>
      <c r="J50" s="62" t="s">
        <v>50</v>
      </c>
      <c r="K50" s="62"/>
      <c r="L50" s="62"/>
      <c r="M50" s="4"/>
      <c r="O50" s="62" t="s">
        <v>4</v>
      </c>
      <c r="P50" s="62"/>
      <c r="Q50" s="62"/>
      <c r="S50" s="62"/>
      <c r="T50" s="62"/>
      <c r="U50" s="17"/>
      <c r="V50" s="13"/>
      <c r="W50" s="62"/>
      <c r="X50" s="62"/>
      <c r="Y50" s="62"/>
      <c r="Z50" s="13"/>
      <c r="AA50" s="62"/>
      <c r="AB50" s="62"/>
      <c r="AC50" s="17"/>
      <c r="AD50" s="13"/>
      <c r="AE50" s="67"/>
      <c r="AF50" s="67"/>
      <c r="AG50" s="67"/>
      <c r="AH50" s="13"/>
      <c r="AI50" s="63"/>
      <c r="AJ50" s="63"/>
      <c r="AK50" s="63"/>
      <c r="AL50" s="13"/>
      <c r="AM50" s="63"/>
      <c r="AN50" s="63"/>
      <c r="AO50" s="63"/>
    </row>
    <row r="51" spans="2:41" ht="24.6" customHeight="1" x14ac:dyDescent="0.25">
      <c r="B51" s="62"/>
      <c r="C51" s="62"/>
      <c r="D51" s="62"/>
      <c r="E51" s="62"/>
      <c r="F51" s="62"/>
      <c r="G51" s="62"/>
      <c r="H51" s="82"/>
      <c r="I51" s="4"/>
      <c r="J51" s="62"/>
      <c r="K51" s="62"/>
      <c r="L51" s="62"/>
      <c r="M51" s="4"/>
      <c r="O51" s="62"/>
      <c r="P51" s="62"/>
      <c r="Q51" s="62"/>
      <c r="S51" s="62"/>
      <c r="T51" s="62"/>
      <c r="U51" s="17"/>
      <c r="V51" s="13"/>
      <c r="W51" s="62"/>
      <c r="X51" s="62"/>
      <c r="Y51" s="62"/>
      <c r="Z51" s="13"/>
      <c r="AA51" s="62"/>
      <c r="AB51" s="62"/>
      <c r="AC51" s="17"/>
      <c r="AD51" s="13"/>
      <c r="AE51" s="67"/>
      <c r="AF51" s="67"/>
      <c r="AG51" s="67"/>
      <c r="AH51" s="22"/>
      <c r="AI51" s="63"/>
      <c r="AJ51" s="63"/>
      <c r="AK51" s="63"/>
      <c r="AL51" s="13"/>
      <c r="AM51" s="63"/>
      <c r="AN51" s="63"/>
      <c r="AO51" s="63"/>
    </row>
    <row r="52" spans="2:41" ht="14.45" customHeight="1" x14ac:dyDescent="0.25">
      <c r="B52" s="81" t="s">
        <v>5</v>
      </c>
      <c r="C52" s="81"/>
      <c r="D52" s="81"/>
      <c r="E52" s="81"/>
      <c r="F52" s="81"/>
      <c r="G52" s="81"/>
      <c r="H52" s="82">
        <v>500</v>
      </c>
      <c r="I52" s="4"/>
      <c r="J52" s="61" t="s">
        <v>8</v>
      </c>
      <c r="K52" s="61"/>
      <c r="L52" s="61"/>
      <c r="M52" s="4"/>
      <c r="O52" s="61" t="s">
        <v>4</v>
      </c>
      <c r="P52" s="61"/>
      <c r="Q52" s="61"/>
      <c r="S52" s="61"/>
      <c r="T52" s="61"/>
      <c r="U52" s="17"/>
      <c r="V52" s="22"/>
      <c r="W52" s="61"/>
      <c r="X52" s="61"/>
      <c r="Y52" s="61"/>
      <c r="Z52" s="13"/>
      <c r="AA52" s="61"/>
      <c r="AB52" s="61"/>
      <c r="AC52" s="17"/>
      <c r="AD52" s="13"/>
      <c r="AE52" s="67"/>
      <c r="AF52" s="67"/>
      <c r="AG52" s="67"/>
      <c r="AH52" s="22"/>
      <c r="AI52" s="63"/>
      <c r="AJ52" s="63"/>
      <c r="AK52" s="63"/>
      <c r="AL52" s="13"/>
      <c r="AM52" s="63"/>
      <c r="AN52" s="63"/>
      <c r="AO52" s="63"/>
    </row>
    <row r="53" spans="2:41" ht="14.45" customHeight="1" x14ac:dyDescent="0.25">
      <c r="B53" s="81"/>
      <c r="C53" s="81"/>
      <c r="D53" s="81"/>
      <c r="E53" s="81"/>
      <c r="F53" s="81"/>
      <c r="G53" s="81"/>
      <c r="H53" s="82"/>
      <c r="I53" s="4"/>
      <c r="J53" s="61"/>
      <c r="K53" s="61"/>
      <c r="L53" s="61"/>
      <c r="M53" s="4"/>
      <c r="O53" s="61"/>
      <c r="P53" s="61"/>
      <c r="Q53" s="61"/>
      <c r="S53" s="61"/>
      <c r="T53" s="61"/>
      <c r="U53" s="17"/>
      <c r="V53" s="22"/>
      <c r="W53" s="61"/>
      <c r="X53" s="61"/>
      <c r="Y53" s="61"/>
      <c r="Z53" s="13"/>
      <c r="AA53" s="61"/>
      <c r="AB53" s="61"/>
      <c r="AC53" s="17"/>
      <c r="AD53" s="13"/>
      <c r="AE53" s="67"/>
      <c r="AF53" s="67"/>
      <c r="AG53" s="67"/>
      <c r="AH53" s="22"/>
      <c r="AI53" s="63"/>
      <c r="AJ53" s="63"/>
      <c r="AK53" s="63"/>
      <c r="AL53" s="13"/>
      <c r="AM53" s="63"/>
      <c r="AN53" s="63"/>
      <c r="AO53" s="63"/>
    </row>
    <row r="54" spans="2:41" ht="14.45" customHeight="1" x14ac:dyDescent="0.25">
      <c r="B54" s="62" t="s">
        <v>59</v>
      </c>
      <c r="C54" s="62"/>
      <c r="D54" s="62"/>
      <c r="E54" s="62"/>
      <c r="F54" s="62"/>
      <c r="G54" s="62"/>
      <c r="H54" s="82">
        <v>500</v>
      </c>
      <c r="I54" s="4"/>
      <c r="J54" s="66" t="s">
        <v>8</v>
      </c>
      <c r="K54" s="66"/>
      <c r="L54" s="66"/>
      <c r="M54" s="4"/>
      <c r="O54" s="66" t="s">
        <v>4</v>
      </c>
      <c r="P54" s="66"/>
      <c r="Q54" s="66"/>
      <c r="S54" s="66"/>
      <c r="T54" s="66"/>
      <c r="U54" s="17"/>
      <c r="V54" s="22"/>
      <c r="W54" s="66"/>
      <c r="X54" s="66"/>
      <c r="Y54" s="66"/>
      <c r="Z54" s="13"/>
      <c r="AA54" s="66"/>
      <c r="AB54" s="66"/>
      <c r="AC54" s="17"/>
      <c r="AD54" s="13"/>
      <c r="AE54" s="67"/>
      <c r="AF54" s="67"/>
      <c r="AG54" s="67"/>
      <c r="AH54" s="22"/>
      <c r="AI54" s="63"/>
      <c r="AJ54" s="63"/>
      <c r="AK54" s="63"/>
      <c r="AL54" s="13"/>
      <c r="AM54" s="63"/>
      <c r="AN54" s="63"/>
      <c r="AO54" s="63"/>
    </row>
    <row r="55" spans="2:41" ht="10.9" customHeight="1" x14ac:dyDescent="0.25">
      <c r="B55" s="62"/>
      <c r="C55" s="62"/>
      <c r="D55" s="62"/>
      <c r="E55" s="62"/>
      <c r="F55" s="62"/>
      <c r="G55" s="62"/>
      <c r="H55" s="82"/>
      <c r="I55" s="4"/>
      <c r="J55" s="66"/>
      <c r="K55" s="66"/>
      <c r="L55" s="66"/>
      <c r="M55" s="4"/>
      <c r="O55" s="66"/>
      <c r="P55" s="66"/>
      <c r="Q55" s="66"/>
      <c r="S55" s="66"/>
      <c r="T55" s="66"/>
      <c r="U55" s="17"/>
      <c r="V55" s="22"/>
      <c r="W55" s="66"/>
      <c r="X55" s="66"/>
      <c r="Y55" s="66"/>
      <c r="Z55" s="13"/>
      <c r="AA55" s="66"/>
      <c r="AB55" s="66"/>
      <c r="AC55" s="17"/>
      <c r="AD55" s="13"/>
      <c r="AE55" s="67"/>
      <c r="AF55" s="67"/>
      <c r="AG55" s="67"/>
      <c r="AH55" s="22"/>
      <c r="AI55" s="63"/>
      <c r="AJ55" s="63"/>
      <c r="AK55" s="63"/>
      <c r="AL55" s="13"/>
      <c r="AM55" s="63"/>
      <c r="AN55" s="63"/>
      <c r="AO55" s="63"/>
    </row>
    <row r="56" spans="2:41" ht="14.45" customHeight="1" x14ac:dyDescent="0.25">
      <c r="B56" s="81" t="s">
        <v>6</v>
      </c>
      <c r="C56" s="81"/>
      <c r="D56" s="81"/>
      <c r="E56" s="81"/>
      <c r="F56" s="81"/>
      <c r="G56" s="81"/>
      <c r="H56" s="82">
        <v>53</v>
      </c>
      <c r="I56" s="4"/>
      <c r="J56" s="61" t="s">
        <v>17</v>
      </c>
      <c r="K56" s="61"/>
      <c r="L56" s="61"/>
      <c r="M56" s="4"/>
      <c r="O56" s="61" t="s">
        <v>7</v>
      </c>
      <c r="P56" s="61"/>
      <c r="Q56" s="61"/>
      <c r="S56" s="61"/>
      <c r="T56" s="61"/>
      <c r="U56" s="17"/>
      <c r="V56" s="22"/>
      <c r="W56" s="61"/>
      <c r="X56" s="61"/>
      <c r="Y56" s="61"/>
      <c r="Z56" s="13"/>
      <c r="AA56" s="61"/>
      <c r="AB56" s="61"/>
      <c r="AC56" s="17"/>
      <c r="AD56" s="13"/>
      <c r="AE56" s="67"/>
      <c r="AF56" s="67"/>
      <c r="AG56" s="67"/>
      <c r="AH56" s="22"/>
      <c r="AI56" s="63"/>
      <c r="AJ56" s="63"/>
      <c r="AK56" s="63"/>
      <c r="AL56" s="13"/>
      <c r="AM56" s="63"/>
      <c r="AN56" s="63"/>
      <c r="AO56" s="63"/>
    </row>
    <row r="57" spans="2:41" ht="21.6" customHeight="1" x14ac:dyDescent="0.25">
      <c r="B57" s="81"/>
      <c r="C57" s="81"/>
      <c r="D57" s="81"/>
      <c r="E57" s="81"/>
      <c r="F57" s="81"/>
      <c r="G57" s="81"/>
      <c r="H57" s="82"/>
      <c r="I57" s="4"/>
      <c r="J57" s="61"/>
      <c r="K57" s="61"/>
      <c r="L57" s="61"/>
      <c r="M57" s="4"/>
      <c r="O57" s="61"/>
      <c r="P57" s="61"/>
      <c r="Q57" s="61"/>
      <c r="S57" s="61"/>
      <c r="T57" s="61"/>
      <c r="U57" s="17"/>
      <c r="V57" s="22"/>
      <c r="W57" s="61"/>
      <c r="X57" s="61"/>
      <c r="Y57" s="61"/>
      <c r="Z57" s="13"/>
      <c r="AA57" s="61"/>
      <c r="AB57" s="61"/>
      <c r="AC57" s="17"/>
      <c r="AD57" s="13"/>
      <c r="AE57" s="67"/>
      <c r="AF57" s="67"/>
      <c r="AG57" s="67"/>
      <c r="AH57" s="13"/>
      <c r="AI57" s="63"/>
      <c r="AJ57" s="63"/>
      <c r="AK57" s="63"/>
      <c r="AL57" s="13"/>
      <c r="AM57" s="63"/>
      <c r="AN57" s="63"/>
      <c r="AO57" s="63"/>
    </row>
    <row r="58" spans="2:41" ht="28.9" customHeight="1" x14ac:dyDescent="0.25">
      <c r="B58" s="62" t="s">
        <v>61</v>
      </c>
      <c r="C58" s="62"/>
      <c r="D58" s="62"/>
      <c r="E58" s="62"/>
      <c r="F58" s="62"/>
      <c r="G58" s="62"/>
      <c r="H58" s="82" t="s">
        <v>62</v>
      </c>
      <c r="I58" s="4"/>
      <c r="J58" s="66" t="s">
        <v>8</v>
      </c>
      <c r="K58" s="66"/>
      <c r="L58" s="66"/>
      <c r="M58" s="6"/>
      <c r="O58" s="66" t="s">
        <v>9</v>
      </c>
      <c r="P58" s="66"/>
      <c r="Q58" s="66"/>
      <c r="S58" s="66"/>
      <c r="T58" s="66"/>
      <c r="U58" s="17"/>
      <c r="V58" s="13"/>
      <c r="W58" s="66"/>
      <c r="X58" s="66"/>
      <c r="Y58" s="66"/>
      <c r="Z58" s="13"/>
      <c r="AA58" s="66"/>
      <c r="AB58" s="66"/>
      <c r="AC58" s="17"/>
      <c r="AD58" s="13"/>
      <c r="AE58" s="67"/>
      <c r="AF58" s="67"/>
      <c r="AG58" s="67"/>
      <c r="AH58" s="13"/>
      <c r="AI58" s="63"/>
      <c r="AJ58" s="63"/>
      <c r="AK58" s="63"/>
      <c r="AL58" s="13"/>
      <c r="AM58" s="63"/>
      <c r="AN58" s="63"/>
      <c r="AO58" s="63"/>
    </row>
    <row r="59" spans="2:41" ht="6.6" customHeight="1" x14ac:dyDescent="0.25">
      <c r="B59" s="62"/>
      <c r="C59" s="62"/>
      <c r="D59" s="62"/>
      <c r="E59" s="62"/>
      <c r="F59" s="62"/>
      <c r="G59" s="62"/>
      <c r="H59" s="82"/>
      <c r="I59" s="4"/>
      <c r="J59" s="66"/>
      <c r="K59" s="66"/>
      <c r="L59" s="66"/>
      <c r="M59" s="6"/>
      <c r="O59" s="66"/>
      <c r="P59" s="66"/>
      <c r="Q59" s="66"/>
      <c r="S59" s="66"/>
      <c r="T59" s="66"/>
      <c r="U59" s="17"/>
      <c r="V59" s="13"/>
      <c r="W59" s="66"/>
      <c r="X59" s="66"/>
      <c r="Y59" s="66"/>
      <c r="Z59" s="13"/>
      <c r="AA59" s="66"/>
      <c r="AB59" s="66"/>
      <c r="AC59" s="17"/>
      <c r="AD59" s="13"/>
      <c r="AE59" s="67"/>
      <c r="AF59" s="67"/>
      <c r="AG59" s="67"/>
      <c r="AH59" s="13"/>
      <c r="AI59" s="63"/>
      <c r="AJ59" s="63"/>
      <c r="AK59" s="63"/>
      <c r="AL59" s="13"/>
      <c r="AM59" s="63"/>
      <c r="AN59" s="63"/>
      <c r="AO59" s="63"/>
    </row>
    <row r="60" spans="2:41" ht="14.45" customHeight="1" x14ac:dyDescent="0.25">
      <c r="B60" s="81" t="s">
        <v>10</v>
      </c>
      <c r="C60" s="81"/>
      <c r="D60" s="81"/>
      <c r="E60" s="81"/>
      <c r="F60" s="81"/>
      <c r="G60" s="81"/>
      <c r="H60" s="82">
        <v>53</v>
      </c>
      <c r="I60" s="8"/>
      <c r="J60" s="61" t="s">
        <v>17</v>
      </c>
      <c r="K60" s="61"/>
      <c r="L60" s="61"/>
      <c r="M60" s="8"/>
      <c r="N60" s="8"/>
      <c r="O60" s="61" t="s">
        <v>9</v>
      </c>
      <c r="P60" s="61"/>
      <c r="Q60" s="61"/>
      <c r="S60" s="61"/>
      <c r="T60" s="61"/>
      <c r="U60" s="17"/>
      <c r="V60" s="13"/>
      <c r="W60" s="61"/>
      <c r="X60" s="61"/>
      <c r="Y60" s="61"/>
      <c r="Z60" s="13"/>
      <c r="AA60" s="61"/>
      <c r="AB60" s="61"/>
      <c r="AC60" s="17"/>
      <c r="AD60" s="13"/>
      <c r="AE60" s="67"/>
      <c r="AF60" s="67"/>
      <c r="AG60" s="67"/>
      <c r="AH60" s="13"/>
      <c r="AI60" s="63"/>
      <c r="AJ60" s="63"/>
      <c r="AK60" s="63"/>
      <c r="AL60" s="13"/>
      <c r="AM60" s="63"/>
      <c r="AN60" s="63"/>
      <c r="AO60" s="63"/>
    </row>
    <row r="61" spans="2:41" x14ac:dyDescent="0.25">
      <c r="B61" s="81"/>
      <c r="C61" s="81"/>
      <c r="D61" s="81"/>
      <c r="E61" s="81"/>
      <c r="F61" s="81"/>
      <c r="G61" s="81"/>
      <c r="H61" s="82"/>
      <c r="I61" s="8"/>
      <c r="J61" s="61"/>
      <c r="K61" s="61"/>
      <c r="L61" s="61"/>
      <c r="M61" s="6"/>
      <c r="N61" s="6"/>
      <c r="O61" s="61"/>
      <c r="P61" s="61"/>
      <c r="Q61" s="61"/>
      <c r="S61" s="61"/>
      <c r="T61" s="61"/>
      <c r="U61" s="17"/>
      <c r="V61" s="13"/>
      <c r="W61" s="61"/>
      <c r="X61" s="61"/>
      <c r="Y61" s="61"/>
      <c r="Z61" s="13"/>
      <c r="AA61" s="61"/>
      <c r="AB61" s="61"/>
      <c r="AC61" s="17"/>
      <c r="AD61" s="13"/>
      <c r="AE61" s="67"/>
      <c r="AF61" s="67"/>
      <c r="AG61" s="67"/>
      <c r="AH61" s="13"/>
      <c r="AI61" s="63"/>
      <c r="AJ61" s="63"/>
      <c r="AK61" s="63"/>
      <c r="AL61" s="13"/>
      <c r="AM61" s="63"/>
      <c r="AN61" s="63"/>
      <c r="AO61" s="63"/>
    </row>
    <row r="62" spans="2:41" x14ac:dyDescent="0.25">
      <c r="B62" s="62" t="s">
        <v>63</v>
      </c>
      <c r="C62" s="62"/>
      <c r="D62" s="62"/>
      <c r="E62" s="62"/>
      <c r="F62" s="62"/>
      <c r="G62" s="62"/>
      <c r="H62" s="82">
        <v>16</v>
      </c>
      <c r="I62" s="8"/>
      <c r="J62" s="66" t="s">
        <v>17</v>
      </c>
      <c r="K62" s="66"/>
      <c r="L62" s="66"/>
      <c r="M62" s="6"/>
      <c r="N62" s="6"/>
      <c r="O62" s="66" t="s">
        <v>4</v>
      </c>
      <c r="P62" s="66"/>
      <c r="Q62" s="66"/>
      <c r="S62" s="66"/>
      <c r="T62" s="66"/>
      <c r="U62" s="17"/>
      <c r="V62" s="13"/>
      <c r="W62" s="66"/>
      <c r="X62" s="66"/>
      <c r="Y62" s="66"/>
      <c r="Z62" s="13"/>
      <c r="AA62" s="66"/>
      <c r="AB62" s="66"/>
      <c r="AC62" s="17"/>
      <c r="AD62" s="13"/>
      <c r="AE62" s="67"/>
      <c r="AF62" s="67"/>
      <c r="AG62" s="67"/>
      <c r="AH62" s="13"/>
      <c r="AI62" s="63"/>
      <c r="AJ62" s="63"/>
      <c r="AK62" s="63"/>
      <c r="AL62" s="13"/>
      <c r="AM62" s="63"/>
      <c r="AN62" s="63"/>
      <c r="AO62" s="63"/>
    </row>
    <row r="63" spans="2:41" x14ac:dyDescent="0.25">
      <c r="B63" s="62"/>
      <c r="C63" s="62"/>
      <c r="D63" s="62"/>
      <c r="E63" s="62"/>
      <c r="F63" s="62"/>
      <c r="G63" s="62"/>
      <c r="H63" s="82"/>
      <c r="I63" s="8"/>
      <c r="J63" s="66"/>
      <c r="K63" s="66"/>
      <c r="L63" s="66"/>
      <c r="M63" s="6"/>
      <c r="N63" s="6"/>
      <c r="O63" s="66"/>
      <c r="P63" s="66"/>
      <c r="Q63" s="66"/>
      <c r="S63" s="66"/>
      <c r="T63" s="66"/>
      <c r="U63" s="17"/>
      <c r="V63" s="13"/>
      <c r="W63" s="66"/>
      <c r="X63" s="66"/>
      <c r="Y63" s="66"/>
      <c r="Z63" s="13"/>
      <c r="AA63" s="66"/>
      <c r="AB63" s="66"/>
      <c r="AC63" s="17"/>
      <c r="AD63" s="13"/>
      <c r="AE63" s="67"/>
      <c r="AF63" s="67"/>
      <c r="AG63" s="67"/>
      <c r="AH63" s="13"/>
      <c r="AI63" s="63"/>
      <c r="AJ63" s="63"/>
      <c r="AK63" s="63"/>
      <c r="AL63" s="13"/>
      <c r="AM63" s="63"/>
      <c r="AN63" s="63"/>
      <c r="AO63" s="63"/>
    </row>
    <row r="64" spans="2:41" x14ac:dyDescent="0.25">
      <c r="B64" s="81" t="s">
        <v>16</v>
      </c>
      <c r="C64" s="81"/>
      <c r="D64" s="81"/>
      <c r="E64" s="81"/>
      <c r="F64" s="81"/>
      <c r="G64" s="81"/>
      <c r="H64" s="82">
        <v>16</v>
      </c>
      <c r="I64" s="8"/>
      <c r="J64" s="61" t="s">
        <v>17</v>
      </c>
      <c r="K64" s="61"/>
      <c r="L64" s="61"/>
      <c r="M64" s="6"/>
      <c r="N64" s="6"/>
      <c r="O64" s="72" t="s">
        <v>4</v>
      </c>
      <c r="P64" s="72"/>
      <c r="Q64" s="72"/>
      <c r="S64" s="72"/>
      <c r="T64" s="72"/>
      <c r="U64" s="17"/>
      <c r="V64" s="13"/>
      <c r="W64" s="72"/>
      <c r="X64" s="72"/>
      <c r="Y64" s="72"/>
      <c r="Z64" s="13"/>
      <c r="AA64" s="72"/>
      <c r="AB64" s="72"/>
      <c r="AC64" s="17"/>
      <c r="AD64" s="13"/>
      <c r="AE64" s="67"/>
      <c r="AF64" s="67"/>
      <c r="AG64" s="67"/>
      <c r="AH64" s="13"/>
      <c r="AI64" s="63"/>
      <c r="AJ64" s="63"/>
      <c r="AK64" s="63"/>
      <c r="AL64" s="13"/>
      <c r="AM64" s="63"/>
      <c r="AN64" s="63"/>
      <c r="AO64" s="63"/>
    </row>
    <row r="65" spans="2:41" x14ac:dyDescent="0.25">
      <c r="B65" s="81"/>
      <c r="C65" s="81"/>
      <c r="D65" s="81"/>
      <c r="E65" s="81"/>
      <c r="F65" s="81"/>
      <c r="G65" s="81"/>
      <c r="H65" s="82"/>
      <c r="I65" s="8"/>
      <c r="J65" s="61"/>
      <c r="K65" s="61"/>
      <c r="L65" s="61"/>
      <c r="M65" s="6"/>
      <c r="N65" s="6"/>
      <c r="O65" s="72"/>
      <c r="P65" s="72"/>
      <c r="Q65" s="72"/>
      <c r="S65" s="72"/>
      <c r="T65" s="72"/>
      <c r="U65" s="17"/>
      <c r="V65" s="13"/>
      <c r="W65" s="72"/>
      <c r="X65" s="72"/>
      <c r="Y65" s="72"/>
      <c r="Z65" s="13"/>
      <c r="AA65" s="72"/>
      <c r="AB65" s="72"/>
      <c r="AC65" s="17"/>
      <c r="AD65" s="13"/>
      <c r="AE65" s="67"/>
      <c r="AF65" s="67"/>
      <c r="AG65" s="67"/>
      <c r="AH65" s="13"/>
      <c r="AI65" s="63"/>
      <c r="AJ65" s="63"/>
      <c r="AK65" s="63"/>
      <c r="AL65" s="13"/>
      <c r="AM65" s="63"/>
      <c r="AN65" s="63"/>
      <c r="AO65" s="63"/>
    </row>
    <row r="66" spans="2:41" x14ac:dyDescent="0.25">
      <c r="B66" s="62" t="s">
        <v>64</v>
      </c>
      <c r="C66" s="62"/>
      <c r="D66" s="62"/>
      <c r="E66" s="62"/>
      <c r="F66" s="62"/>
      <c r="G66" s="62"/>
      <c r="H66" s="82">
        <v>2</v>
      </c>
      <c r="I66" s="8"/>
      <c r="J66" s="66" t="s">
        <v>66</v>
      </c>
      <c r="K66" s="66"/>
      <c r="L66" s="66"/>
      <c r="M66" s="6"/>
      <c r="N66" s="6"/>
      <c r="O66" s="66" t="s">
        <v>65</v>
      </c>
      <c r="P66" s="66"/>
      <c r="Q66" s="66"/>
      <c r="S66" s="66"/>
      <c r="T66" s="66"/>
      <c r="U66" s="17"/>
      <c r="V66" s="13"/>
      <c r="W66" s="66"/>
      <c r="X66" s="66"/>
      <c r="Y66" s="66"/>
      <c r="Z66" s="13"/>
      <c r="AA66" s="66"/>
      <c r="AB66" s="66"/>
      <c r="AC66" s="17"/>
      <c r="AD66" s="13"/>
      <c r="AE66" s="64"/>
      <c r="AF66" s="64"/>
      <c r="AG66" s="64"/>
      <c r="AH66" s="13"/>
      <c r="AI66" s="63"/>
      <c r="AJ66" s="63"/>
      <c r="AK66" s="63"/>
      <c r="AL66" s="13"/>
      <c r="AM66" s="63"/>
      <c r="AN66" s="63"/>
      <c r="AO66" s="63"/>
    </row>
    <row r="67" spans="2:41" x14ac:dyDescent="0.25">
      <c r="B67" s="62"/>
      <c r="C67" s="62"/>
      <c r="D67" s="62"/>
      <c r="E67" s="62"/>
      <c r="F67" s="62"/>
      <c r="G67" s="62"/>
      <c r="H67" s="82"/>
      <c r="I67" s="8"/>
      <c r="J67" s="66"/>
      <c r="K67" s="66"/>
      <c r="L67" s="66"/>
      <c r="M67" s="6"/>
      <c r="N67" s="6"/>
      <c r="O67" s="66"/>
      <c r="P67" s="66"/>
      <c r="Q67" s="66"/>
      <c r="S67" s="66"/>
      <c r="T67" s="66"/>
      <c r="U67" s="17"/>
      <c r="V67" s="13"/>
      <c r="W67" s="66"/>
      <c r="X67" s="66"/>
      <c r="Y67" s="66"/>
      <c r="Z67" s="13"/>
      <c r="AA67" s="66"/>
      <c r="AB67" s="66"/>
      <c r="AC67" s="17"/>
      <c r="AD67" s="13"/>
      <c r="AE67" s="64"/>
      <c r="AF67" s="64"/>
      <c r="AG67" s="64"/>
      <c r="AH67" s="13"/>
      <c r="AI67" s="63"/>
      <c r="AJ67" s="63"/>
      <c r="AK67" s="63"/>
      <c r="AL67" s="13"/>
      <c r="AM67" s="63"/>
      <c r="AN67" s="63"/>
      <c r="AO67" s="63"/>
    </row>
    <row r="68" spans="2:41" x14ac:dyDescent="0.25">
      <c r="B68" s="67"/>
      <c r="C68" s="67"/>
      <c r="D68" s="67"/>
      <c r="E68" s="67"/>
      <c r="F68" s="67"/>
      <c r="G68" s="67"/>
      <c r="H68" s="18"/>
      <c r="I68" s="5"/>
      <c r="J68" s="67"/>
      <c r="K68" s="67"/>
      <c r="L68" s="67"/>
      <c r="M68" s="6"/>
      <c r="N68" s="6"/>
      <c r="O68" s="67"/>
      <c r="P68" s="67"/>
      <c r="Q68" s="67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67"/>
      <c r="AF68" s="67"/>
      <c r="AG68" s="67"/>
      <c r="AH68" s="13"/>
      <c r="AI68" s="63"/>
      <c r="AJ68" s="63"/>
      <c r="AK68" s="63"/>
      <c r="AL68" s="13"/>
      <c r="AM68" s="63"/>
      <c r="AN68" s="63"/>
      <c r="AO68" s="63"/>
    </row>
    <row r="69" spans="2:41" x14ac:dyDescent="0.25">
      <c r="B69" s="90" t="s">
        <v>60</v>
      </c>
      <c r="C69" s="90"/>
      <c r="D69" s="90"/>
      <c r="E69" s="90"/>
      <c r="F69" s="90"/>
      <c r="G69" s="90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67"/>
      <c r="AF69" s="67"/>
      <c r="AG69" s="67"/>
      <c r="AH69" s="13"/>
      <c r="AI69" s="63"/>
      <c r="AJ69" s="63"/>
      <c r="AK69" s="63"/>
      <c r="AL69" s="13"/>
      <c r="AM69" s="63"/>
      <c r="AN69" s="63"/>
      <c r="AO69" s="63"/>
    </row>
    <row r="70" spans="2:41" ht="9.6" customHeight="1" x14ac:dyDescent="0.25">
      <c r="B70" s="90"/>
      <c r="C70" s="90"/>
      <c r="D70" s="90"/>
      <c r="E70" s="90"/>
      <c r="F70" s="90"/>
      <c r="G70" s="90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64"/>
      <c r="AF70" s="64"/>
      <c r="AG70" s="64"/>
      <c r="AH70" s="13"/>
      <c r="AI70" s="63"/>
      <c r="AJ70" s="63"/>
      <c r="AK70" s="63"/>
      <c r="AL70" s="13"/>
      <c r="AM70" s="63"/>
      <c r="AN70" s="63"/>
      <c r="AO70" s="63"/>
    </row>
    <row r="71" spans="2:41" x14ac:dyDescent="0.25">
      <c r="B71" s="63"/>
      <c r="C71" s="63"/>
      <c r="D71" s="63"/>
      <c r="E71" s="63"/>
      <c r="F71" s="63"/>
      <c r="G71" s="63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64"/>
      <c r="AF71" s="64"/>
      <c r="AG71" s="64"/>
      <c r="AH71" s="13"/>
      <c r="AI71" s="63"/>
      <c r="AJ71" s="63"/>
      <c r="AK71" s="63"/>
      <c r="AL71" s="13"/>
      <c r="AM71" s="63"/>
      <c r="AN71" s="63"/>
      <c r="AO71" s="63"/>
    </row>
    <row r="72" spans="2:41" x14ac:dyDescent="0.25">
      <c r="B72" s="63"/>
      <c r="C72" s="63"/>
      <c r="D72" s="63"/>
      <c r="E72" s="63"/>
      <c r="F72" s="63"/>
      <c r="G72" s="63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25">
      <c r="B73" s="63"/>
      <c r="C73" s="63"/>
      <c r="D73" s="63"/>
      <c r="E73" s="63"/>
      <c r="F73" s="63"/>
      <c r="G73" s="63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25">
      <c r="B74" s="63"/>
      <c r="C74" s="63"/>
      <c r="D74" s="63"/>
      <c r="E74" s="63"/>
      <c r="F74" s="63"/>
      <c r="G74" s="63"/>
      <c r="H74" s="7"/>
      <c r="I74" s="5"/>
      <c r="J74" s="5"/>
      <c r="K74" s="5"/>
      <c r="L74" s="5"/>
      <c r="M74" s="6"/>
      <c r="N74" s="6"/>
      <c r="O74" s="7"/>
    </row>
    <row r="75" spans="2:41" x14ac:dyDescent="0.25">
      <c r="B75" s="64"/>
      <c r="C75" s="64"/>
      <c r="D75" s="64"/>
      <c r="E75" s="64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25">
      <c r="B76" s="64"/>
      <c r="C76" s="64"/>
      <c r="D76" s="64"/>
      <c r="E76" s="64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25">
      <c r="B77" s="64"/>
      <c r="C77" s="64"/>
      <c r="D77" s="64"/>
      <c r="E77" s="64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25">
      <c r="B78" s="64"/>
      <c r="C78" s="64"/>
      <c r="D78" s="64"/>
      <c r="E78" s="64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25">
      <c r="B79" s="64"/>
      <c r="C79" s="64"/>
      <c r="D79" s="64"/>
      <c r="E79" s="64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25">
      <c r="B80" s="64"/>
      <c r="C80" s="64"/>
      <c r="D80" s="64"/>
      <c r="E80" s="64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25">
      <c r="B81" s="64"/>
      <c r="C81" s="64"/>
      <c r="D81" s="64"/>
      <c r="E81" s="64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25">
      <c r="B82" s="64"/>
      <c r="C82" s="64"/>
      <c r="D82" s="64"/>
      <c r="E82" s="64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25">
      <c r="B83" s="64"/>
      <c r="C83" s="64"/>
      <c r="D83" s="64"/>
      <c r="E83" s="64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25">
      <c r="B84" s="64"/>
      <c r="C84" s="64"/>
      <c r="D84" s="64"/>
      <c r="E84" s="64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25">
      <c r="B85" s="64"/>
      <c r="C85" s="64"/>
      <c r="D85" s="64"/>
      <c r="E85" s="64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25">
      <c r="B86" s="64"/>
      <c r="C86" s="64"/>
      <c r="D86" s="64"/>
      <c r="E86" s="64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25">
      <c r="B87" s="64"/>
      <c r="C87" s="64"/>
      <c r="D87" s="64"/>
      <c r="E87" s="64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25">
      <c r="B88" s="64"/>
      <c r="C88" s="64"/>
      <c r="D88" s="64"/>
      <c r="E88" s="64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25">
      <c r="B89" s="64"/>
      <c r="C89" s="64"/>
      <c r="D89" s="64"/>
      <c r="E89" s="64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25">
      <c r="B90" s="64"/>
      <c r="C90" s="64"/>
      <c r="D90" s="64"/>
      <c r="E90" s="64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25">
      <c r="B91" s="64"/>
      <c r="C91" s="64"/>
      <c r="D91" s="64"/>
      <c r="E91" s="64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25">
      <c r="B92" s="64"/>
      <c r="C92" s="64"/>
      <c r="D92" s="64"/>
      <c r="E92" s="64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25">
      <c r="B93" s="64"/>
      <c r="C93" s="64"/>
      <c r="D93" s="64"/>
      <c r="E93" s="64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25">
      <c r="B94" s="64"/>
      <c r="C94" s="64"/>
      <c r="D94" s="64"/>
      <c r="E94" s="64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25">
      <c r="B95" s="64"/>
      <c r="C95" s="64"/>
      <c r="D95" s="64"/>
      <c r="E95" s="64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25">
      <c r="B96" s="64"/>
      <c r="C96" s="64"/>
      <c r="D96" s="64"/>
      <c r="E96" s="64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25">
      <c r="B97" s="64"/>
      <c r="C97" s="64"/>
      <c r="D97" s="64"/>
      <c r="E97" s="64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25">
      <c r="B98" s="64"/>
      <c r="C98" s="64"/>
      <c r="D98" s="64"/>
      <c r="E98" s="64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25">
      <c r="B99" s="64"/>
      <c r="C99" s="64"/>
      <c r="D99" s="64"/>
      <c r="E99" s="64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25">
      <c r="B100" s="64"/>
      <c r="C100" s="64"/>
      <c r="D100" s="64"/>
      <c r="E100" s="64"/>
      <c r="F100" s="6"/>
      <c r="G100" s="6"/>
      <c r="H100" s="7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35"/>
  <sheetViews>
    <sheetView showGridLines="0" tabSelected="1" zoomScaleNormal="100" workbookViewId="0">
      <selection activeCell="B23" sqref="B23"/>
    </sheetView>
  </sheetViews>
  <sheetFormatPr defaultRowHeight="15" x14ac:dyDescent="0.25"/>
  <cols>
    <col min="2" max="2" width="72.85546875" customWidth="1"/>
    <col min="3" max="3" width="7.7109375" style="115" customWidth="1"/>
    <col min="4" max="5" width="11.140625" style="115" customWidth="1"/>
    <col min="6" max="6" width="12.85546875" style="115" customWidth="1"/>
    <col min="7" max="9" width="7.7109375" style="115" customWidth="1"/>
    <col min="10" max="10" width="4.28515625" customWidth="1"/>
    <col min="11" max="11" width="29.7109375" customWidth="1"/>
    <col min="12" max="12" width="5.7109375" customWidth="1"/>
    <col min="13" max="13" width="43.28515625" customWidth="1"/>
    <col min="14" max="14" width="4.140625" customWidth="1"/>
    <col min="15" max="15" width="8.42578125" customWidth="1"/>
    <col min="16" max="16" width="3" hidden="1" customWidth="1"/>
    <col min="17" max="17" width="3.28515625" hidden="1" customWidth="1"/>
    <col min="18" max="18" width="1.5703125" hidden="1" customWidth="1"/>
    <col min="19" max="19" width="2.7109375" hidden="1" customWidth="1"/>
    <col min="20" max="20" width="3.85546875" customWidth="1"/>
    <col min="21" max="21" width="1.28515625" hidden="1" customWidth="1"/>
    <col min="22" max="22" width="2.140625" customWidth="1"/>
    <col min="23" max="23" width="6.7109375" customWidth="1"/>
    <col min="24" max="24" width="5.140625" customWidth="1"/>
  </cols>
  <sheetData>
    <row r="2" spans="2:31" x14ac:dyDescent="0.25">
      <c r="B2" s="112" t="s">
        <v>85</v>
      </c>
      <c r="C2" s="116"/>
      <c r="D2" s="116"/>
      <c r="E2" s="116"/>
      <c r="F2" s="116"/>
      <c r="G2" s="116"/>
      <c r="H2" s="116"/>
      <c r="I2" s="116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4"/>
    </row>
    <row r="3" spans="2:31" x14ac:dyDescent="0.25">
      <c r="B3" s="5"/>
      <c r="C3" s="18"/>
      <c r="D3" s="18"/>
      <c r="E3" s="18"/>
      <c r="F3" s="18"/>
      <c r="G3" s="18"/>
      <c r="H3" s="18"/>
      <c r="I3" s="18"/>
      <c r="J3" s="6"/>
      <c r="K3" s="6"/>
      <c r="L3" s="6"/>
      <c r="M3" s="6"/>
      <c r="N3" s="6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2:31" x14ac:dyDescent="0.25">
      <c r="B4" s="102" t="s">
        <v>78</v>
      </c>
      <c r="C4" s="18"/>
      <c r="D4" s="18"/>
      <c r="E4" s="18"/>
      <c r="F4" s="18"/>
      <c r="G4" s="18"/>
      <c r="H4" s="18"/>
      <c r="I4" s="18"/>
      <c r="J4" s="6"/>
      <c r="K4" s="6"/>
      <c r="L4" s="6"/>
      <c r="M4" s="6"/>
      <c r="N4" s="6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2:31" x14ac:dyDescent="0.25">
      <c r="B5" s="5"/>
      <c r="C5" s="18"/>
      <c r="D5" s="18"/>
      <c r="E5" s="18"/>
      <c r="F5" s="18"/>
      <c r="G5" s="18"/>
      <c r="H5" s="18"/>
      <c r="I5" s="18"/>
      <c r="J5" s="4"/>
      <c r="K5" s="4"/>
      <c r="L5" s="4"/>
      <c r="M5" s="4"/>
      <c r="N5" s="4"/>
    </row>
    <row r="6" spans="2:31" ht="24" x14ac:dyDescent="0.25">
      <c r="B6" s="122" t="s">
        <v>80</v>
      </c>
      <c r="C6" s="122" t="s">
        <v>100</v>
      </c>
      <c r="D6" s="123" t="s">
        <v>101</v>
      </c>
      <c r="E6" s="124" t="s">
        <v>102</v>
      </c>
      <c r="F6" s="124" t="s">
        <v>103</v>
      </c>
      <c r="G6" s="119"/>
      <c r="H6" s="119"/>
      <c r="I6" s="119"/>
      <c r="J6" s="36"/>
      <c r="K6" s="110" t="s">
        <v>79</v>
      </c>
      <c r="L6" s="111"/>
      <c r="M6" s="35"/>
      <c r="N6" s="35"/>
      <c r="O6" s="48"/>
      <c r="P6" s="23"/>
      <c r="Q6" s="23"/>
      <c r="R6" s="28"/>
      <c r="S6" s="17"/>
      <c r="T6" s="17"/>
      <c r="U6" s="17"/>
      <c r="V6" s="28"/>
      <c r="W6" s="17"/>
      <c r="X6" s="17"/>
      <c r="Y6" s="13"/>
    </row>
    <row r="7" spans="2:31" x14ac:dyDescent="0.25">
      <c r="B7" s="5"/>
      <c r="C7" s="18"/>
      <c r="D7" s="18"/>
      <c r="E7" s="18"/>
      <c r="F7" s="18"/>
      <c r="G7" s="18"/>
      <c r="H7" s="18"/>
      <c r="I7" s="18"/>
      <c r="J7" s="4"/>
      <c r="K7" s="4"/>
      <c r="L7" s="4"/>
      <c r="M7" s="4"/>
      <c r="N7" s="4"/>
      <c r="P7" s="20"/>
      <c r="Q7" s="20"/>
      <c r="R7" s="13"/>
      <c r="S7" s="21"/>
      <c r="T7" s="21"/>
      <c r="U7" s="21"/>
      <c r="V7" s="13"/>
      <c r="W7" s="21"/>
      <c r="X7" s="21"/>
      <c r="Y7" s="13"/>
    </row>
    <row r="8" spans="2:31" x14ac:dyDescent="0.25">
      <c r="B8" s="96" t="s">
        <v>76</v>
      </c>
      <c r="C8" s="24">
        <v>1</v>
      </c>
      <c r="D8" s="125" t="str">
        <f>IFERROR(VLOOKUP(B8,[1]!Tabela_preços[[DESCRIÇÃO]:[VALOR]],2,FALSE),"0")</f>
        <v>UNID</v>
      </c>
      <c r="E8" s="125">
        <f>IFERROR(VLOOKUP(B8,[1]!Tabela_preços[[DESCRIÇÃO]:[VALOR]],3,FALSE),"0")</f>
        <v>463.02499999999998</v>
      </c>
      <c r="F8" s="126">
        <f>E8*C8</f>
        <v>463.02499999999998</v>
      </c>
      <c r="G8" s="120"/>
      <c r="H8" s="120"/>
      <c r="I8" s="120"/>
      <c r="J8" s="4"/>
      <c r="K8" s="93"/>
      <c r="L8" s="94"/>
      <c r="M8" s="95"/>
      <c r="N8" s="51"/>
      <c r="O8" s="50"/>
      <c r="P8" s="29"/>
      <c r="Q8" s="29"/>
      <c r="R8" s="13"/>
      <c r="S8" s="30"/>
      <c r="T8" s="30"/>
      <c r="U8" s="30"/>
      <c r="V8" s="13"/>
      <c r="W8" s="30"/>
      <c r="X8" s="30"/>
      <c r="Y8" s="13"/>
    </row>
    <row r="9" spans="2:31" x14ac:dyDescent="0.25">
      <c r="B9" s="57" t="s">
        <v>86</v>
      </c>
      <c r="C9" s="24">
        <v>1</v>
      </c>
      <c r="D9" s="125" t="str">
        <f>IFERROR(VLOOKUP(B9,[1]!Tabela_preços[[DESCRIÇÃO]:[VALOR]],2,FALSE),"0")</f>
        <v>UNID</v>
      </c>
      <c r="E9" s="125">
        <f>IFERROR(VLOOKUP(B9,[1]!Tabela_preços[[DESCRIÇÃO]:[VALOR]],3,FALSE),"0")</f>
        <v>17.512</v>
      </c>
      <c r="F9" s="126">
        <f t="shared" ref="F9:F13" si="0">E9*C9</f>
        <v>17.512</v>
      </c>
      <c r="G9" s="120"/>
      <c r="H9" s="120"/>
      <c r="I9" s="120"/>
      <c r="J9" s="4"/>
      <c r="K9" s="93"/>
      <c r="L9" s="94"/>
      <c r="M9" s="95"/>
      <c r="N9" s="49"/>
      <c r="O9" s="50"/>
      <c r="P9" s="23"/>
      <c r="Q9" s="23"/>
      <c r="R9" s="13"/>
      <c r="S9" s="106"/>
      <c r="T9" s="106"/>
      <c r="U9" s="106"/>
      <c r="V9" s="13"/>
      <c r="W9" s="106"/>
      <c r="X9" s="106"/>
      <c r="Y9" s="13"/>
    </row>
    <row r="10" spans="2:31" x14ac:dyDescent="0.25">
      <c r="B10" s="54" t="s">
        <v>87</v>
      </c>
      <c r="C10" s="58">
        <v>4</v>
      </c>
      <c r="D10" s="125" t="str">
        <f>IFERROR(VLOOKUP(B10,[1]!Tabela_preços[[DESCRIÇÃO]:[VALOR]],2,FALSE),"0")</f>
        <v>UNID</v>
      </c>
      <c r="E10" s="125">
        <f>IFERROR(VLOOKUP(B10,[1]!Tabela_preços[[DESCRIÇÃO]:[VALOR]],3,FALSE),"0")</f>
        <v>17.850000000000001</v>
      </c>
      <c r="F10" s="126">
        <f t="shared" si="0"/>
        <v>71.400000000000006</v>
      </c>
      <c r="G10" s="120"/>
      <c r="H10" s="120"/>
      <c r="I10" s="120"/>
      <c r="J10" s="4"/>
      <c r="K10" s="107"/>
      <c r="L10" s="108"/>
      <c r="M10" s="109"/>
      <c r="N10" s="42"/>
      <c r="O10" s="43"/>
      <c r="P10" s="17"/>
      <c r="Q10" s="17"/>
      <c r="R10" s="22"/>
      <c r="S10" s="106"/>
      <c r="T10" s="106"/>
      <c r="U10" s="106"/>
      <c r="V10" s="13"/>
      <c r="W10" s="17"/>
      <c r="X10" s="17"/>
      <c r="Y10" s="13"/>
    </row>
    <row r="11" spans="2:31" x14ac:dyDescent="0.25">
      <c r="B11" s="96" t="s">
        <v>88</v>
      </c>
      <c r="C11" s="24">
        <v>1</v>
      </c>
      <c r="D11" s="125" t="str">
        <f>IFERROR(VLOOKUP(B11,[1]!Tabela_preços[[DESCRIÇÃO]:[VALOR]],2,FALSE),"0")</f>
        <v>UNID</v>
      </c>
      <c r="E11" s="125">
        <f>IFERROR(VLOOKUP(B11,[1]!Tabela_preços[[DESCRIÇÃO]:[VALOR]],3,FALSE),"0")</f>
        <v>105.20399999999999</v>
      </c>
      <c r="F11" s="126">
        <f t="shared" si="0"/>
        <v>105.20399999999999</v>
      </c>
      <c r="G11" s="120"/>
      <c r="H11" s="120"/>
      <c r="I11" s="120"/>
      <c r="J11" s="8"/>
      <c r="K11" s="93"/>
      <c r="L11" s="94"/>
      <c r="M11" s="95"/>
      <c r="N11" s="52"/>
      <c r="O11" s="53"/>
      <c r="P11" s="17"/>
      <c r="Q11" s="17"/>
      <c r="R11" s="13"/>
      <c r="S11" s="17"/>
      <c r="T11" s="17"/>
      <c r="U11" s="17"/>
      <c r="V11" s="13"/>
      <c r="W11" s="17"/>
      <c r="X11" s="17"/>
      <c r="Y11" s="92"/>
      <c r="Z11" s="92"/>
      <c r="AA11" s="92"/>
      <c r="AB11" s="92"/>
      <c r="AC11" s="92"/>
      <c r="AD11" s="92"/>
      <c r="AE11" s="92"/>
    </row>
    <row r="12" spans="2:31" x14ac:dyDescent="0.25">
      <c r="B12" s="96" t="s">
        <v>89</v>
      </c>
      <c r="C12" s="31">
        <v>1</v>
      </c>
      <c r="D12" s="125" t="str">
        <f>IFERROR(VLOOKUP(B12,[1]!Tabela_preços[[DESCRIÇÃO]:[VALOR]],2,FALSE),"0")</f>
        <v>UNID</v>
      </c>
      <c r="E12" s="125">
        <f>IFERROR(VLOOKUP(B12,[1]!Tabela_preços[[DESCRIÇÃO]:[VALOR]],3,FALSE),"0")</f>
        <v>19.12</v>
      </c>
      <c r="F12" s="126">
        <f t="shared" si="0"/>
        <v>19.12</v>
      </c>
      <c r="G12" s="120"/>
      <c r="H12" s="120"/>
      <c r="I12" s="120"/>
      <c r="J12" s="8"/>
      <c r="K12" s="93"/>
      <c r="L12" s="94"/>
      <c r="M12" s="95"/>
      <c r="N12" s="52"/>
      <c r="O12" s="53"/>
      <c r="P12" s="17"/>
      <c r="Q12" s="17"/>
      <c r="R12" s="13"/>
      <c r="S12" s="17"/>
      <c r="T12" s="17"/>
      <c r="U12" s="17"/>
      <c r="V12" s="13"/>
      <c r="W12" s="17"/>
      <c r="X12" s="17"/>
      <c r="Y12" s="92"/>
      <c r="Z12" s="92"/>
      <c r="AA12" s="92"/>
      <c r="AB12" s="92"/>
      <c r="AC12" s="92"/>
      <c r="AD12" s="92"/>
      <c r="AE12" s="92"/>
    </row>
    <row r="13" spans="2:31" x14ac:dyDescent="0.25">
      <c r="B13" s="96" t="s">
        <v>90</v>
      </c>
      <c r="C13" s="31">
        <v>1</v>
      </c>
      <c r="D13" s="125" t="str">
        <f>IFERROR(VLOOKUP(B13,[1]!Tabela_preços[[DESCRIÇÃO]:[VALOR]],2,FALSE),"0")</f>
        <v>UNID</v>
      </c>
      <c r="E13" s="125">
        <f>IFERROR(VLOOKUP(B13,[1]!Tabela_preços[[DESCRIÇÃO]:[VALOR]],3,FALSE),"0")</f>
        <v>293</v>
      </c>
      <c r="F13" s="126">
        <f t="shared" si="0"/>
        <v>293</v>
      </c>
      <c r="G13" s="120"/>
      <c r="H13" s="120"/>
      <c r="I13" s="120"/>
      <c r="J13" s="8"/>
      <c r="K13" s="93"/>
      <c r="L13" s="94"/>
      <c r="M13" s="95"/>
      <c r="N13" s="52"/>
      <c r="O13" s="53"/>
      <c r="P13" s="17"/>
      <c r="Q13" s="17"/>
      <c r="R13" s="13"/>
      <c r="S13" s="17"/>
      <c r="T13" s="17"/>
      <c r="U13" s="17"/>
      <c r="V13" s="13"/>
      <c r="W13" s="17"/>
      <c r="X13" s="17"/>
      <c r="Y13" s="92"/>
      <c r="Z13" s="92"/>
      <c r="AA13" s="92"/>
      <c r="AB13" s="92"/>
      <c r="AC13" s="92"/>
      <c r="AD13" s="92"/>
      <c r="AE13" s="92"/>
    </row>
    <row r="14" spans="2:31" x14ac:dyDescent="0.25">
      <c r="B14" s="38"/>
      <c r="O14" s="3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spans="2:31" x14ac:dyDescent="0.25">
      <c r="B15" s="102" t="s">
        <v>81</v>
      </c>
      <c r="C15" s="117"/>
      <c r="D15" s="117"/>
      <c r="E15" s="117"/>
      <c r="F15" s="117"/>
      <c r="G15" s="117"/>
      <c r="H15" s="117"/>
      <c r="I15" s="117"/>
      <c r="J15" s="6"/>
      <c r="K15" s="25"/>
      <c r="L15" s="25"/>
      <c r="M15" s="25"/>
      <c r="N15" s="6"/>
      <c r="O15" s="33"/>
      <c r="P15" s="13"/>
      <c r="Q15" s="17"/>
      <c r="R15" s="17"/>
      <c r="S15" s="13"/>
      <c r="T15" s="17"/>
      <c r="U15" s="17"/>
      <c r="V15" s="17"/>
      <c r="W15" s="13"/>
      <c r="X15" s="17"/>
      <c r="Y15" s="17"/>
      <c r="Z15" s="13"/>
      <c r="AA15" s="13"/>
      <c r="AB15" s="13"/>
      <c r="AC15" s="13"/>
      <c r="AD15" s="13"/>
      <c r="AE15" s="13"/>
    </row>
    <row r="16" spans="2:31" x14ac:dyDescent="0.25">
      <c r="B16" s="39"/>
      <c r="C16" s="118"/>
      <c r="D16" s="121"/>
      <c r="E16" s="121"/>
      <c r="F16" s="121"/>
      <c r="G16" s="121"/>
      <c r="H16" s="121"/>
      <c r="I16" s="121"/>
      <c r="J16" s="27"/>
      <c r="K16" s="26"/>
      <c r="L16" s="26"/>
      <c r="M16" s="26"/>
      <c r="N16" s="4"/>
      <c r="O16" s="40"/>
      <c r="P16" s="13"/>
      <c r="Q16" s="17"/>
      <c r="R16" s="17"/>
      <c r="S16" s="13"/>
      <c r="T16" s="17"/>
      <c r="U16" s="17"/>
      <c r="V16" s="17"/>
      <c r="W16" s="13"/>
      <c r="X16" s="17"/>
      <c r="Y16" s="17"/>
      <c r="Z16" s="13"/>
      <c r="AA16" s="13"/>
      <c r="AB16" s="13"/>
      <c r="AC16" s="13"/>
      <c r="AD16" s="13"/>
      <c r="AE16" s="13"/>
    </row>
    <row r="17" spans="2:31" x14ac:dyDescent="0.25">
      <c r="B17" s="96" t="s">
        <v>82</v>
      </c>
      <c r="C17" s="31">
        <v>2</v>
      </c>
      <c r="D17" s="125" t="str">
        <f>IFERROR(VLOOKUP(B17,[1]!Tabela_preços[[DESCRIÇÃO]:[VALOR]],2,FALSE),"0")</f>
        <v>UNID</v>
      </c>
      <c r="E17" s="125">
        <f>IFERROR(VLOOKUP(B17,[1]!Tabela_preços[[DESCRIÇÃO]:[VALOR]],3,FALSE),"0")</f>
        <v>185</v>
      </c>
      <c r="F17" s="126">
        <f t="shared" ref="F17:F27" si="1">E17*C17</f>
        <v>370</v>
      </c>
      <c r="G17" s="120"/>
      <c r="H17" s="120"/>
      <c r="I17" s="120"/>
      <c r="J17" s="8"/>
      <c r="K17" s="93"/>
      <c r="L17" s="94"/>
      <c r="M17" s="95"/>
      <c r="N17" s="52"/>
      <c r="O17" s="53"/>
      <c r="P17" s="32"/>
      <c r="Q17" s="32"/>
      <c r="R17" s="13"/>
      <c r="S17" s="32"/>
      <c r="T17" s="32"/>
      <c r="U17" s="32"/>
      <c r="V17" s="13"/>
      <c r="W17" s="32"/>
      <c r="X17" s="32"/>
      <c r="Y17" s="13"/>
      <c r="Z17" s="13"/>
      <c r="AA17" s="13"/>
      <c r="AB17" s="13"/>
      <c r="AC17" s="13"/>
      <c r="AD17" s="13"/>
      <c r="AE17" s="13"/>
    </row>
    <row r="18" spans="2:31" x14ac:dyDescent="0.25">
      <c r="B18" s="96" t="s">
        <v>91</v>
      </c>
      <c r="C18" s="31">
        <v>14</v>
      </c>
      <c r="D18" s="125" t="str">
        <f>IFERROR(VLOOKUP(B18,[1]!Tabela_preços[[DESCRIÇÃO]:[VALOR]],2,FALSE),"0")</f>
        <v>M²</v>
      </c>
      <c r="E18" s="125">
        <f>IFERROR(VLOOKUP(B18,[1]!Tabela_preços[[DESCRIÇÃO]:[VALOR]],3,FALSE),"0")</f>
        <v>65</v>
      </c>
      <c r="F18" s="126">
        <f t="shared" si="1"/>
        <v>910</v>
      </c>
      <c r="G18" s="120"/>
      <c r="H18" s="120"/>
      <c r="I18" s="120"/>
      <c r="J18" s="8"/>
      <c r="K18" s="93"/>
      <c r="L18" s="94"/>
      <c r="M18" s="95"/>
      <c r="N18" s="52"/>
      <c r="O18" s="53"/>
      <c r="P18" s="32"/>
      <c r="Q18" s="32"/>
      <c r="R18" s="13"/>
      <c r="S18" s="32"/>
      <c r="T18" s="32"/>
      <c r="U18" s="32"/>
      <c r="V18" s="13"/>
      <c r="W18" s="17"/>
      <c r="X18" s="17"/>
      <c r="Y18" s="91"/>
      <c r="Z18" s="91"/>
      <c r="AA18" s="91"/>
      <c r="AB18" s="91"/>
      <c r="AC18" s="91"/>
      <c r="AD18" s="91"/>
      <c r="AE18" s="91"/>
    </row>
    <row r="19" spans="2:31" x14ac:dyDescent="0.25">
      <c r="B19" s="96" t="s">
        <v>83</v>
      </c>
      <c r="C19" s="31">
        <v>0.2</v>
      </c>
      <c r="D19" s="125" t="str">
        <f>IFERROR(VLOOKUP(B19,[1]!Tabela_preços[[DESCRIÇÃO]:[VALOR]],2,FALSE),"0")</f>
        <v>M³</v>
      </c>
      <c r="E19" s="125">
        <f>IFERROR(VLOOKUP(B19,[1]!Tabela_preços[[DESCRIÇÃO]:[VALOR]],3,FALSE),"0")</f>
        <v>2900</v>
      </c>
      <c r="F19" s="126">
        <f t="shared" si="1"/>
        <v>580</v>
      </c>
      <c r="G19" s="120"/>
      <c r="H19" s="120"/>
      <c r="I19" s="120"/>
      <c r="J19" s="8"/>
      <c r="K19" s="93"/>
      <c r="L19" s="94"/>
      <c r="M19" s="95"/>
      <c r="N19" s="52"/>
      <c r="O19" s="53"/>
      <c r="P19" s="32"/>
      <c r="Q19" s="32"/>
      <c r="R19" s="13"/>
      <c r="S19" s="32"/>
      <c r="T19" s="32"/>
      <c r="U19" s="32"/>
      <c r="V19" s="13"/>
      <c r="W19" s="32"/>
      <c r="X19" s="32"/>
      <c r="Y19" s="13"/>
      <c r="Z19" s="13"/>
      <c r="AA19" s="13"/>
      <c r="AB19" s="13"/>
      <c r="AC19" s="13"/>
      <c r="AD19" s="13"/>
      <c r="AE19" s="13"/>
    </row>
    <row r="20" spans="2:31" x14ac:dyDescent="0.25">
      <c r="B20" s="96" t="s">
        <v>84</v>
      </c>
      <c r="C20" s="31">
        <v>0.2</v>
      </c>
      <c r="D20" s="125" t="str">
        <f>IFERROR(VLOOKUP(B20,[1]!Tabela_preços[[DESCRIÇÃO]:[VALOR]],2,FALSE),"0")</f>
        <v>M³</v>
      </c>
      <c r="E20" s="125">
        <f>IFERROR(VLOOKUP(B20,[1]!Tabela_preços[[DESCRIÇÃO]:[VALOR]],3,FALSE),"0")</f>
        <v>2900</v>
      </c>
      <c r="F20" s="126">
        <f t="shared" si="1"/>
        <v>580</v>
      </c>
      <c r="G20" s="120"/>
      <c r="H20" s="120"/>
      <c r="I20" s="120"/>
      <c r="J20" s="8"/>
      <c r="K20" s="93"/>
      <c r="L20" s="94"/>
      <c r="M20" s="95"/>
      <c r="N20" s="52"/>
      <c r="O20" s="53"/>
      <c r="P20" s="32"/>
      <c r="Q20" s="32"/>
      <c r="R20" s="13"/>
      <c r="S20" s="32"/>
      <c r="T20" s="32"/>
      <c r="U20" s="32"/>
      <c r="V20" s="13"/>
      <c r="W20" s="32"/>
      <c r="X20" s="32"/>
      <c r="Y20" s="13"/>
    </row>
    <row r="21" spans="2:31" x14ac:dyDescent="0.25">
      <c r="B21" s="57" t="s">
        <v>92</v>
      </c>
      <c r="C21" s="31">
        <v>2</v>
      </c>
      <c r="D21" s="125" t="str">
        <f>IFERROR(VLOOKUP(B21,[1]!Tabela_preços[[DESCRIÇÃO]:[VALOR]],2,FALSE),"0")</f>
        <v>UNID</v>
      </c>
      <c r="E21" s="125">
        <f>IFERROR(VLOOKUP(B21,[1]!Tabela_preços[[DESCRIÇÃO]:[VALOR]],3,FALSE),"0")</f>
        <v>46.15</v>
      </c>
      <c r="F21" s="126">
        <f t="shared" si="1"/>
        <v>92.3</v>
      </c>
      <c r="G21" s="120"/>
      <c r="H21" s="120"/>
      <c r="I21" s="120"/>
      <c r="J21" s="8"/>
      <c r="K21" s="93"/>
      <c r="L21" s="94"/>
      <c r="M21" s="95"/>
      <c r="N21" s="52"/>
      <c r="O21" s="53"/>
      <c r="P21" s="32"/>
      <c r="Q21" s="32"/>
      <c r="R21" s="13"/>
      <c r="S21" s="32"/>
      <c r="T21" s="32"/>
      <c r="U21" s="32"/>
      <c r="V21" s="13"/>
      <c r="W21" s="32"/>
      <c r="X21" s="32"/>
      <c r="Y21" s="13"/>
    </row>
    <row r="22" spans="2:31" x14ac:dyDescent="0.25">
      <c r="B22" s="96" t="s">
        <v>93</v>
      </c>
      <c r="C22" s="31">
        <v>3</v>
      </c>
      <c r="D22" s="125" t="str">
        <f>IFERROR(VLOOKUP(B22,[1]!Tabela_preços[[DESCRIÇÃO]:[VALOR]],2,FALSE),"0")</f>
        <v>BARRA</v>
      </c>
      <c r="E22" s="125">
        <f>IFERROR(VLOOKUP(B22,[1]!Tabela_preços[[DESCRIÇÃO]:[VALOR]],3,FALSE),"0")</f>
        <v>58.65</v>
      </c>
      <c r="F22" s="126">
        <f t="shared" si="1"/>
        <v>175.95</v>
      </c>
      <c r="G22" s="120"/>
      <c r="H22" s="120"/>
      <c r="I22" s="120"/>
      <c r="J22" s="8"/>
      <c r="K22" s="93"/>
      <c r="L22" s="94"/>
      <c r="M22" s="95"/>
      <c r="N22" s="52"/>
      <c r="O22" s="53"/>
      <c r="P22" s="32"/>
      <c r="Q22" s="32"/>
      <c r="R22" s="13"/>
      <c r="S22" s="32"/>
      <c r="T22" s="32"/>
      <c r="U22" s="32"/>
      <c r="V22" s="13"/>
      <c r="W22" s="32"/>
      <c r="X22" s="32"/>
      <c r="Y22" s="13"/>
    </row>
    <row r="23" spans="2:31" x14ac:dyDescent="0.25">
      <c r="B23" s="96" t="s">
        <v>94</v>
      </c>
      <c r="C23" s="31">
        <v>1</v>
      </c>
      <c r="D23" s="125" t="str">
        <f>IFERROR(VLOOKUP(B23,[1]!Tabela_preços[[DESCRIÇÃO]:[VALOR]],2,FALSE),"0")</f>
        <v>LT</v>
      </c>
      <c r="E23" s="125">
        <f>IFERROR(VLOOKUP(B23,[1]!Tabela_preços[[DESCRIÇÃO]:[VALOR]],3,FALSE),"0")</f>
        <v>64.900000000000006</v>
      </c>
      <c r="F23" s="126">
        <f t="shared" si="1"/>
        <v>64.900000000000006</v>
      </c>
      <c r="G23" s="120"/>
      <c r="H23" s="120"/>
      <c r="I23" s="120"/>
      <c r="J23" s="8"/>
      <c r="K23" s="99"/>
      <c r="L23" s="100"/>
      <c r="M23" s="101"/>
      <c r="N23" s="45"/>
      <c r="O23" s="41"/>
      <c r="P23" s="32"/>
      <c r="Q23" s="32"/>
      <c r="R23" s="13"/>
      <c r="S23" s="32"/>
      <c r="T23" s="32"/>
      <c r="U23" s="32"/>
      <c r="V23" s="13"/>
      <c r="W23" s="32"/>
      <c r="X23" s="32"/>
      <c r="Y23" s="13"/>
    </row>
    <row r="24" spans="2:31" x14ac:dyDescent="0.25">
      <c r="B24" s="96" t="s">
        <v>63</v>
      </c>
      <c r="C24" s="31">
        <v>1</v>
      </c>
      <c r="D24" s="125" t="str">
        <f>IFERROR(VLOOKUP(B24,[1]!Tabela_preços[[DESCRIÇÃO]:[VALOR]],2,FALSE),"0")</f>
        <v>UNID</v>
      </c>
      <c r="E24" s="125">
        <f>IFERROR(VLOOKUP(B24,[1]!Tabela_preços[[DESCRIÇÃO]:[VALOR]],3,FALSE),"0")</f>
        <v>33.64</v>
      </c>
      <c r="F24" s="126">
        <f t="shared" si="1"/>
        <v>33.64</v>
      </c>
      <c r="G24" s="120"/>
      <c r="H24" s="120"/>
      <c r="I24" s="120"/>
      <c r="J24" s="8"/>
      <c r="K24" s="93"/>
      <c r="L24" s="94"/>
      <c r="M24" s="95"/>
      <c r="N24" s="52"/>
      <c r="O24" s="53"/>
      <c r="P24" s="32"/>
      <c r="Q24" s="32"/>
      <c r="R24" s="13"/>
      <c r="S24" s="32"/>
      <c r="T24" s="32"/>
      <c r="U24" s="32"/>
      <c r="V24" s="13"/>
      <c r="W24" s="32"/>
      <c r="X24" s="32"/>
      <c r="Y24" s="13"/>
    </row>
    <row r="25" spans="2:31" x14ac:dyDescent="0.25">
      <c r="B25" s="96" t="s">
        <v>95</v>
      </c>
      <c r="C25" s="31">
        <v>1</v>
      </c>
      <c r="D25" s="125" t="str">
        <f>IFERROR(VLOOKUP(B25,[1]!Tabela_preços[[DESCRIÇÃO]:[VALOR]],2,FALSE),"0")</f>
        <v>UNID</v>
      </c>
      <c r="E25" s="125">
        <f>IFERROR(VLOOKUP(B25,[1]!Tabela_preços[[DESCRIÇÃO]:[VALOR]],3,FALSE),"0")</f>
        <v>99</v>
      </c>
      <c r="F25" s="126">
        <f t="shared" si="1"/>
        <v>99</v>
      </c>
      <c r="G25" s="120"/>
      <c r="H25" s="120"/>
      <c r="I25" s="120"/>
      <c r="J25" s="8"/>
      <c r="K25" s="103"/>
      <c r="L25" s="104"/>
      <c r="M25" s="105"/>
      <c r="N25" s="44"/>
      <c r="O25" s="37"/>
      <c r="P25" s="32"/>
      <c r="Q25" s="32"/>
      <c r="R25" s="13"/>
      <c r="S25" s="32"/>
      <c r="T25" s="32"/>
      <c r="U25" s="32"/>
      <c r="V25" s="13"/>
      <c r="W25" s="32"/>
      <c r="X25" s="32"/>
      <c r="Y25" s="13"/>
    </row>
    <row r="26" spans="2:31" x14ac:dyDescent="0.25">
      <c r="B26" s="96" t="s">
        <v>96</v>
      </c>
      <c r="C26" s="31">
        <v>1</v>
      </c>
      <c r="D26" s="125" t="str">
        <f>IFERROR(VLOOKUP(B26,[1]!Tabela_preços[[DESCRIÇÃO]:[VALOR]],2,FALSE),"0")</f>
        <v>CT</v>
      </c>
      <c r="E26" s="125">
        <f>IFERROR(VLOOKUP(B26,[1]!Tabela_preços[[DESCRIÇÃO]:[VALOR]],3,FALSE),"0")</f>
        <v>2</v>
      </c>
      <c r="F26" s="126">
        <f t="shared" si="1"/>
        <v>2</v>
      </c>
      <c r="G26" s="120"/>
      <c r="H26" s="120"/>
      <c r="I26" s="120"/>
      <c r="J26" s="8"/>
      <c r="K26" s="93"/>
      <c r="L26" s="94"/>
      <c r="M26" s="95"/>
      <c r="N26" s="52"/>
      <c r="O26" s="53"/>
      <c r="P26" s="32"/>
      <c r="Q26" s="32"/>
      <c r="R26" s="13"/>
      <c r="S26" s="32"/>
      <c r="T26" s="32"/>
      <c r="U26" s="32"/>
      <c r="V26" s="13"/>
      <c r="W26" s="32"/>
      <c r="X26" s="32"/>
      <c r="Y26" s="13"/>
    </row>
    <row r="27" spans="2:31" x14ac:dyDescent="0.25">
      <c r="B27" s="96" t="s">
        <v>97</v>
      </c>
      <c r="C27" s="31">
        <v>1</v>
      </c>
      <c r="D27" s="125" t="str">
        <f>IFERROR(VLOOKUP(B27,[1]!Tabela_preços[[DESCRIÇÃO]:[VALOR]],2,FALSE),"0")</f>
        <v>CT</v>
      </c>
      <c r="E27" s="125">
        <f>IFERROR(VLOOKUP(B27,[1]!Tabela_preços[[DESCRIÇÃO]:[VALOR]],3,FALSE),"0")</f>
        <v>0.45200000000000001</v>
      </c>
      <c r="F27" s="126">
        <f t="shared" si="1"/>
        <v>0.45200000000000001</v>
      </c>
      <c r="G27" s="120"/>
      <c r="H27" s="120"/>
      <c r="I27" s="120"/>
      <c r="J27" s="8"/>
      <c r="K27" s="99"/>
      <c r="L27" s="100"/>
      <c r="M27" s="101"/>
      <c r="N27" s="45"/>
      <c r="O27" s="41"/>
      <c r="P27" s="32"/>
      <c r="Q27" s="32"/>
      <c r="R27" s="13"/>
      <c r="S27" s="32"/>
      <c r="T27" s="32"/>
      <c r="U27" s="32"/>
      <c r="V27" s="13"/>
      <c r="W27" s="32"/>
      <c r="X27" s="32"/>
      <c r="Y27" s="13"/>
    </row>
    <row r="28" spans="2:31" x14ac:dyDescent="0.25">
      <c r="B28" s="38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2:31" x14ac:dyDescent="0.25">
      <c r="B29" s="102" t="s">
        <v>75</v>
      </c>
      <c r="C29" s="117"/>
      <c r="D29" s="117"/>
      <c r="E29" s="117"/>
      <c r="F29" s="117"/>
      <c r="G29" s="117"/>
      <c r="H29" s="117"/>
      <c r="I29" s="117"/>
      <c r="J29" s="6"/>
      <c r="K29" s="25"/>
      <c r="L29" s="25"/>
      <c r="M29" s="25"/>
      <c r="N29" s="6"/>
      <c r="O29" s="13"/>
      <c r="P29" s="13"/>
      <c r="Q29" s="17"/>
      <c r="R29" s="17"/>
      <c r="S29" s="13"/>
      <c r="T29" s="17"/>
      <c r="U29" s="17"/>
      <c r="V29" s="17"/>
      <c r="W29" s="13"/>
      <c r="X29" s="17"/>
      <c r="Y29" s="17"/>
    </row>
    <row r="30" spans="2:31" x14ac:dyDescent="0.25">
      <c r="B30" s="39"/>
      <c r="C30" s="118"/>
      <c r="D30" s="121"/>
      <c r="E30" s="121"/>
      <c r="F30" s="121"/>
      <c r="G30" s="121"/>
      <c r="H30" s="121"/>
      <c r="I30" s="121"/>
      <c r="J30" s="27"/>
      <c r="K30" s="25"/>
      <c r="L30" s="25"/>
      <c r="M30" s="25"/>
      <c r="N30" s="4"/>
      <c r="O30" s="4"/>
      <c r="P30" s="13"/>
      <c r="Q30" s="17"/>
      <c r="R30" s="17"/>
      <c r="S30" s="13"/>
      <c r="T30" s="17"/>
      <c r="U30" s="17"/>
      <c r="V30" s="17"/>
      <c r="W30" s="13"/>
      <c r="X30" s="17"/>
      <c r="Y30" s="17"/>
    </row>
    <row r="31" spans="2:31" x14ac:dyDescent="0.25">
      <c r="B31" s="54" t="s">
        <v>98</v>
      </c>
      <c r="C31" s="58">
        <v>1</v>
      </c>
      <c r="D31" s="125" t="str">
        <f>IFERROR(VLOOKUP(B31,[1]!Tabela_preços[[DESCRIÇÃO]:[VALOR]],2,FALSE),"0")</f>
        <v>CT</v>
      </c>
      <c r="E31" s="125">
        <f>IFERROR(VLOOKUP(B31,[1]!Tabela_preços[[DESCRIÇÃO]:[VALOR]],3,FALSE),"0")</f>
        <v>28.000000000000004</v>
      </c>
      <c r="F31" s="126">
        <f t="shared" ref="F31:F32" si="2">E31*C31</f>
        <v>28.000000000000004</v>
      </c>
      <c r="G31" s="120"/>
      <c r="H31" s="120"/>
      <c r="I31" s="120"/>
      <c r="J31" s="8"/>
      <c r="K31" s="54" t="s">
        <v>77</v>
      </c>
      <c r="L31" s="55"/>
      <c r="M31" s="56"/>
      <c r="N31" s="46"/>
      <c r="O31" s="47"/>
      <c r="P31" s="13"/>
      <c r="Q31" s="17"/>
      <c r="R31" s="17"/>
      <c r="S31" s="13"/>
      <c r="T31" s="17"/>
      <c r="U31" s="17"/>
      <c r="V31" s="17"/>
      <c r="W31" s="13"/>
      <c r="X31" s="17"/>
      <c r="Y31" s="17"/>
    </row>
    <row r="32" spans="2:31" x14ac:dyDescent="0.25">
      <c r="B32" s="96" t="s">
        <v>99</v>
      </c>
      <c r="C32" s="24">
        <v>1</v>
      </c>
      <c r="D32" s="125" t="str">
        <f>IFERROR(VLOOKUP(B32,[1]!Tabela_preços[[DESCRIÇÃO]:[VALOR]],2,FALSE),"0")</f>
        <v>CT</v>
      </c>
      <c r="E32" s="125">
        <f>IFERROR(VLOOKUP(B32,[1]!Tabela_preços[[DESCRIÇÃO]:[VALOR]],3,FALSE),"0")</f>
        <v>18</v>
      </c>
      <c r="F32" s="126">
        <f t="shared" si="2"/>
        <v>18</v>
      </c>
      <c r="G32" s="120"/>
      <c r="H32" s="120"/>
      <c r="I32" s="120"/>
      <c r="J32" s="8"/>
      <c r="K32" s="96" t="s">
        <v>77</v>
      </c>
      <c r="L32" s="97"/>
      <c r="M32" s="98"/>
      <c r="N32" s="44"/>
      <c r="O32" s="37"/>
      <c r="P32" s="13"/>
      <c r="Q32" s="17"/>
      <c r="R32" s="17"/>
      <c r="S32" s="13"/>
      <c r="T32" s="17"/>
      <c r="U32" s="17"/>
      <c r="V32" s="17"/>
      <c r="W32" s="13"/>
      <c r="X32" s="17"/>
      <c r="Y32" s="17"/>
    </row>
    <row r="33" spans="4:10" x14ac:dyDescent="0.25">
      <c r="J33" s="8"/>
    </row>
    <row r="35" spans="4:10" x14ac:dyDescent="0.25">
      <c r="D35" s="127"/>
      <c r="E35" s="128" t="s">
        <v>104</v>
      </c>
      <c r="F35" s="129">
        <f>SUM(F7:F32)</f>
        <v>3923.5030000000002</v>
      </c>
    </row>
  </sheetData>
  <pageMargins left="0.11811023622047245" right="0.51181102362204722" top="0.19685039370078741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Ronaldo Leandro</cp:lastModifiedBy>
  <cp:lastPrinted>2025-09-24T13:20:33Z</cp:lastPrinted>
  <dcterms:created xsi:type="dcterms:W3CDTF">2024-07-01T10:37:25Z</dcterms:created>
  <dcterms:modified xsi:type="dcterms:W3CDTF">2026-05-01T10:50:27Z</dcterms:modified>
</cp:coreProperties>
</file>