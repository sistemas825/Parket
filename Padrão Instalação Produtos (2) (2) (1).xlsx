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iar\Downloads\"/>
    </mc:Choice>
  </mc:AlternateContent>
  <xr:revisionPtr revIDLastSave="0" documentId="13_ncr:1_{A935A068-10B7-461D-A63F-4FA76B41385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CKS" sheetId="1" r:id="rId1"/>
    <sheet name="PISOS" sheetId="2" r:id="rId2"/>
    <sheet name="PAINEIS" sheetId="3" r:id="rId3"/>
    <sheet name="FORRO" sheetId="4" r:id="rId4"/>
    <sheet name="RODAPÉS" sheetId="5" r:id="rId5"/>
    <sheet name="Produtos acabados" sheetId="6" state="hidden" r:id="rId6"/>
    <sheet name="Produtos Instalação" sheetId="7" r:id="rId7"/>
    <sheet name="Grade de Insumos" sheetId="8" r:id="rId8"/>
  </sheets>
  <definedNames>
    <definedName name="_xlnm._FilterDatabase" localSheetId="3" hidden="1">FORRO!$B$3:$N$100</definedName>
    <definedName name="_xlnm._FilterDatabase" localSheetId="1" hidden="1">PISOS!$B$3:$H$43</definedName>
    <definedName name="_xlnm._FilterDatabase" localSheetId="5" hidden="1">'Produtos acabados'!$A$1:$B$8226</definedName>
    <definedName name="_xlnm._FilterDatabase" localSheetId="6" hidden="1">'Produtos Instalação'!$A$1:$J$1407</definedName>
  </definedNames>
  <calcPr calcId="191029"/>
</workbook>
</file>

<file path=xl/calcChain.xml><?xml version="1.0" encoding="utf-8"?>
<calcChain xmlns="http://schemas.openxmlformats.org/spreadsheetml/2006/main">
  <c r="H56" i="4" l="1"/>
  <c r="F58" i="4"/>
  <c r="H58" i="4" s="1"/>
  <c r="H57" i="4"/>
  <c r="F56" i="4"/>
  <c r="F55" i="4"/>
  <c r="H55" i="4" s="1"/>
  <c r="F54" i="4"/>
  <c r="H54" i="4" s="1"/>
  <c r="F48" i="4"/>
  <c r="H48" i="4" s="1"/>
  <c r="H47" i="4"/>
  <c r="F46" i="4"/>
  <c r="H46" i="4" s="1"/>
  <c r="F45" i="4"/>
  <c r="H45" i="4" s="1"/>
  <c r="F44" i="4"/>
  <c r="H44" i="4" s="1"/>
  <c r="H42" i="4"/>
  <c r="H41" i="4"/>
  <c r="G83" i="3"/>
  <c r="G82" i="3"/>
  <c r="G81" i="3"/>
  <c r="G80" i="3"/>
  <c r="G79" i="3"/>
  <c r="G78" i="3"/>
  <c r="G71" i="3"/>
  <c r="G70" i="3"/>
  <c r="G69" i="3"/>
  <c r="G68" i="3"/>
  <c r="G67" i="3"/>
  <c r="G66" i="3"/>
  <c r="G59" i="3"/>
  <c r="G58" i="3"/>
  <c r="G57" i="3"/>
  <c r="G56" i="3"/>
  <c r="G55" i="3"/>
  <c r="G54" i="3"/>
  <c r="G35" i="3"/>
  <c r="G34" i="3"/>
  <c r="G33" i="3"/>
  <c r="G32" i="3"/>
  <c r="G31" i="3"/>
  <c r="G30" i="3"/>
  <c r="G23" i="3"/>
  <c r="G22" i="3"/>
  <c r="H122" i="8"/>
  <c r="I121" i="8"/>
  <c r="J121" i="8" s="1"/>
  <c r="J120" i="8"/>
  <c r="I119" i="8"/>
  <c r="J119" i="8" s="1"/>
  <c r="I118" i="8"/>
  <c r="J118" i="8" s="1"/>
  <c r="I117" i="8"/>
  <c r="J117" i="8" s="1"/>
  <c r="I116" i="8"/>
  <c r="J116" i="8" s="1"/>
  <c r="J115" i="8"/>
  <c r="I115" i="8"/>
  <c r="I114" i="8"/>
  <c r="J114" i="8" s="1"/>
  <c r="I113" i="8"/>
  <c r="J113" i="8" s="1"/>
  <c r="I112" i="8"/>
  <c r="J112" i="8" s="1"/>
  <c r="J111" i="8"/>
  <c r="J122" i="8" s="1"/>
  <c r="I111" i="8"/>
  <c r="I122" i="8" s="1"/>
  <c r="H108" i="8"/>
  <c r="J107" i="8"/>
  <c r="I107" i="8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J99" i="8"/>
  <c r="J108" i="8" s="1"/>
  <c r="I99" i="8"/>
  <c r="I108" i="8" s="1"/>
  <c r="H96" i="8"/>
  <c r="I95" i="8"/>
  <c r="J95" i="8" s="1"/>
  <c r="J94" i="8"/>
  <c r="I94" i="8"/>
  <c r="I93" i="8"/>
  <c r="J93" i="8" s="1"/>
  <c r="I92" i="8"/>
  <c r="J92" i="8" s="1"/>
  <c r="I91" i="8"/>
  <c r="J91" i="8" s="1"/>
  <c r="I90" i="8"/>
  <c r="J90" i="8" s="1"/>
  <c r="J89" i="8"/>
  <c r="I89" i="8"/>
  <c r="I88" i="8"/>
  <c r="J88" i="8" s="1"/>
  <c r="I87" i="8"/>
  <c r="J87" i="8" s="1"/>
  <c r="I86" i="8"/>
  <c r="J86" i="8" s="1"/>
  <c r="J85" i="8"/>
  <c r="J96" i="8" s="1"/>
  <c r="I85" i="8"/>
  <c r="I96" i="8" s="1"/>
  <c r="H82" i="8"/>
  <c r="I81" i="8"/>
  <c r="J81" i="8" s="1"/>
  <c r="I80" i="8"/>
  <c r="J80" i="8" s="1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J73" i="8"/>
  <c r="J82" i="8" s="1"/>
  <c r="I73" i="8"/>
  <c r="I82" i="8" s="1"/>
  <c r="H70" i="8"/>
  <c r="I69" i="8"/>
  <c r="J69" i="8" s="1"/>
  <c r="I68" i="8"/>
  <c r="J68" i="8" s="1"/>
  <c r="I67" i="8"/>
  <c r="J67" i="8" s="1"/>
  <c r="I66" i="8"/>
  <c r="J66" i="8" s="1"/>
  <c r="I65" i="8"/>
  <c r="J65" i="8" s="1"/>
  <c r="I64" i="8"/>
  <c r="J64" i="8" s="1"/>
  <c r="J63" i="8"/>
  <c r="J70" i="8" s="1"/>
  <c r="I63" i="8"/>
  <c r="I70" i="8" s="1"/>
  <c r="H60" i="8"/>
  <c r="I59" i="8"/>
  <c r="J59" i="8" s="1"/>
  <c r="I58" i="8"/>
  <c r="J58" i="8" s="1"/>
  <c r="I57" i="8"/>
  <c r="J57" i="8" s="1"/>
  <c r="I56" i="8"/>
  <c r="J56" i="8" s="1"/>
  <c r="I55" i="8"/>
  <c r="J55" i="8" s="1"/>
  <c r="I54" i="8"/>
  <c r="J54" i="8" s="1"/>
  <c r="J53" i="8"/>
  <c r="J60" i="8" s="1"/>
  <c r="I53" i="8"/>
  <c r="I60" i="8" s="1"/>
  <c r="H50" i="8"/>
  <c r="I49" i="8"/>
  <c r="J49" i="8" s="1"/>
  <c r="I48" i="8"/>
  <c r="J48" i="8" s="1"/>
  <c r="I47" i="8"/>
  <c r="J47" i="8" s="1"/>
  <c r="I46" i="8"/>
  <c r="J46" i="8" s="1"/>
  <c r="I45" i="8"/>
  <c r="J45" i="8" s="1"/>
  <c r="I44" i="8"/>
  <c r="J44" i="8" s="1"/>
  <c r="I43" i="8"/>
  <c r="J43" i="8" s="1"/>
  <c r="I42" i="8"/>
  <c r="J42" i="8" s="1"/>
  <c r="I41" i="8"/>
  <c r="H38" i="8"/>
  <c r="I37" i="8"/>
  <c r="J37" i="8" s="1"/>
  <c r="I36" i="8"/>
  <c r="J36" i="8" s="1"/>
  <c r="I35" i="8"/>
  <c r="J35" i="8" s="1"/>
  <c r="I34" i="8"/>
  <c r="J34" i="8" s="1"/>
  <c r="I33" i="8"/>
  <c r="J33" i="8" s="1"/>
  <c r="J32" i="8"/>
  <c r="I31" i="8"/>
  <c r="J31" i="8" s="1"/>
  <c r="G31" i="8"/>
  <c r="I30" i="8"/>
  <c r="J30" i="8" s="1"/>
  <c r="I29" i="8"/>
  <c r="J29" i="8" s="1"/>
  <c r="I28" i="8"/>
  <c r="J28" i="8" s="1"/>
  <c r="I27" i="8"/>
  <c r="J27" i="8" s="1"/>
  <c r="I26" i="8"/>
  <c r="J26" i="8" s="1"/>
  <c r="I25" i="8"/>
  <c r="G25" i="8"/>
  <c r="H22" i="8"/>
  <c r="J19" i="8"/>
  <c r="J22" i="8" s="1"/>
  <c r="I19" i="8"/>
  <c r="I22" i="8" s="1"/>
  <c r="H16" i="8"/>
  <c r="J15" i="8"/>
  <c r="I15" i="8"/>
  <c r="J14" i="8"/>
  <c r="I14" i="8"/>
  <c r="I13" i="8"/>
  <c r="H10" i="8"/>
  <c r="J9" i="8"/>
  <c r="I9" i="8"/>
  <c r="G9" i="8"/>
  <c r="J8" i="8"/>
  <c r="I8" i="8"/>
  <c r="G8" i="8"/>
  <c r="I7" i="8"/>
  <c r="G7" i="8"/>
  <c r="I1408" i="7"/>
  <c r="I1407" i="7"/>
  <c r="G1406" i="7"/>
  <c r="I1406" i="7" s="1"/>
  <c r="G1405" i="7"/>
  <c r="I1405" i="7" s="1"/>
  <c r="G1404" i="7"/>
  <c r="I1404" i="7" s="1"/>
  <c r="G1403" i="7"/>
  <c r="I1403" i="7" s="1"/>
  <c r="G1402" i="7"/>
  <c r="I1402" i="7" s="1"/>
  <c r="G1401" i="7"/>
  <c r="I1401" i="7" s="1"/>
  <c r="G1400" i="7"/>
  <c r="I1400" i="7" s="1"/>
  <c r="G1399" i="7"/>
  <c r="I1399" i="7" s="1"/>
  <c r="G1398" i="7"/>
  <c r="I1398" i="7" s="1"/>
  <c r="G1397" i="7"/>
  <c r="I1397" i="7" s="1"/>
  <c r="G1396" i="7"/>
  <c r="I1396" i="7" s="1"/>
  <c r="G1395" i="7"/>
  <c r="I1395" i="7" s="1"/>
  <c r="G1394" i="7"/>
  <c r="I1394" i="7" s="1"/>
  <c r="G1393" i="7"/>
  <c r="I1393" i="7" s="1"/>
  <c r="G1392" i="7"/>
  <c r="I1392" i="7" s="1"/>
  <c r="G1391" i="7"/>
  <c r="I1391" i="7" s="1"/>
  <c r="G1390" i="7"/>
  <c r="I1390" i="7" s="1"/>
  <c r="G1389" i="7"/>
  <c r="I1389" i="7" s="1"/>
  <c r="G1388" i="7"/>
  <c r="I1388" i="7" s="1"/>
  <c r="G1387" i="7"/>
  <c r="I1387" i="7" s="1"/>
  <c r="G1386" i="7"/>
  <c r="I1386" i="7" s="1"/>
  <c r="G1385" i="7"/>
  <c r="I1385" i="7" s="1"/>
  <c r="G1384" i="7"/>
  <c r="I1384" i="7" s="1"/>
  <c r="G1383" i="7"/>
  <c r="I1383" i="7" s="1"/>
  <c r="G1382" i="7"/>
  <c r="I1382" i="7" s="1"/>
  <c r="G1381" i="7"/>
  <c r="I1381" i="7" s="1"/>
  <c r="G1380" i="7"/>
  <c r="I1380" i="7" s="1"/>
  <c r="G1379" i="7"/>
  <c r="I1379" i="7" s="1"/>
  <c r="G1378" i="7"/>
  <c r="I1378" i="7" s="1"/>
  <c r="G1377" i="7"/>
  <c r="I1377" i="7" s="1"/>
  <c r="G1376" i="7"/>
  <c r="I1376" i="7" s="1"/>
  <c r="G1375" i="7"/>
  <c r="I1375" i="7" s="1"/>
  <c r="G1374" i="7"/>
  <c r="I1374" i="7" s="1"/>
  <c r="G1373" i="7"/>
  <c r="I1373" i="7" s="1"/>
  <c r="G1372" i="7"/>
  <c r="I1372" i="7" s="1"/>
  <c r="G1371" i="7"/>
  <c r="I1371" i="7" s="1"/>
  <c r="G1370" i="7"/>
  <c r="I1370" i="7" s="1"/>
  <c r="G1369" i="7"/>
  <c r="I1369" i="7" s="1"/>
  <c r="G1368" i="7"/>
  <c r="I1368" i="7" s="1"/>
  <c r="G1367" i="7"/>
  <c r="I1367" i="7" s="1"/>
  <c r="G1366" i="7"/>
  <c r="I1366" i="7" s="1"/>
  <c r="G1365" i="7"/>
  <c r="I1365" i="7" s="1"/>
  <c r="G1364" i="7"/>
  <c r="I1364" i="7" s="1"/>
  <c r="G1363" i="7"/>
  <c r="I1363" i="7" s="1"/>
  <c r="G1362" i="7"/>
  <c r="I1362" i="7" s="1"/>
  <c r="G1361" i="7"/>
  <c r="I1361" i="7" s="1"/>
  <c r="G1360" i="7"/>
  <c r="I1360" i="7" s="1"/>
  <c r="G1359" i="7"/>
  <c r="I1359" i="7" s="1"/>
  <c r="G1358" i="7"/>
  <c r="I1358" i="7" s="1"/>
  <c r="G1357" i="7"/>
  <c r="I1357" i="7" s="1"/>
  <c r="G1356" i="7"/>
  <c r="I1356" i="7" s="1"/>
  <c r="G1355" i="7"/>
  <c r="I1355" i="7" s="1"/>
  <c r="G1354" i="7"/>
  <c r="I1354" i="7" s="1"/>
  <c r="G1353" i="7"/>
  <c r="I1353" i="7" s="1"/>
  <c r="G1352" i="7"/>
  <c r="I1352" i="7" s="1"/>
  <c r="G1351" i="7"/>
  <c r="I1351" i="7" s="1"/>
  <c r="G1350" i="7"/>
  <c r="I1350" i="7" s="1"/>
  <c r="G1349" i="7"/>
  <c r="I1349" i="7" s="1"/>
  <c r="G1348" i="7"/>
  <c r="I1348" i="7" s="1"/>
  <c r="G1347" i="7"/>
  <c r="I1347" i="7" s="1"/>
  <c r="G1346" i="7"/>
  <c r="I1346" i="7" s="1"/>
  <c r="G1345" i="7"/>
  <c r="I1345" i="7" s="1"/>
  <c r="G1344" i="7"/>
  <c r="I1344" i="7" s="1"/>
  <c r="G1343" i="7"/>
  <c r="I1343" i="7" s="1"/>
  <c r="G1342" i="7"/>
  <c r="I1342" i="7" s="1"/>
  <c r="G1341" i="7"/>
  <c r="I1341" i="7" s="1"/>
  <c r="G1340" i="7"/>
  <c r="I1340" i="7" s="1"/>
  <c r="G1339" i="7"/>
  <c r="I1339" i="7" s="1"/>
  <c r="G1338" i="7"/>
  <c r="I1338" i="7" s="1"/>
  <c r="G1337" i="7"/>
  <c r="I1337" i="7" s="1"/>
  <c r="G1336" i="7"/>
  <c r="I1336" i="7" s="1"/>
  <c r="G1335" i="7"/>
  <c r="I1335" i="7" s="1"/>
  <c r="G1334" i="7"/>
  <c r="I1334" i="7" s="1"/>
  <c r="G1333" i="7"/>
  <c r="I1333" i="7" s="1"/>
  <c r="G1332" i="7"/>
  <c r="I1332" i="7" s="1"/>
  <c r="G1331" i="7"/>
  <c r="I1331" i="7" s="1"/>
  <c r="G1330" i="7"/>
  <c r="I1330" i="7" s="1"/>
  <c r="G1329" i="7"/>
  <c r="I1329" i="7" s="1"/>
  <c r="G1328" i="7"/>
  <c r="I1328" i="7" s="1"/>
  <c r="G1327" i="7"/>
  <c r="I1327" i="7" s="1"/>
  <c r="G1326" i="7"/>
  <c r="I1326" i="7" s="1"/>
  <c r="G1325" i="7"/>
  <c r="I1325" i="7" s="1"/>
  <c r="G1324" i="7"/>
  <c r="I1324" i="7" s="1"/>
  <c r="G1323" i="7"/>
  <c r="I1323" i="7" s="1"/>
  <c r="G1322" i="7"/>
  <c r="I1322" i="7" s="1"/>
  <c r="G1321" i="7"/>
  <c r="I1321" i="7" s="1"/>
  <c r="G1320" i="7"/>
  <c r="I1320" i="7" s="1"/>
  <c r="G1319" i="7"/>
  <c r="I1319" i="7" s="1"/>
  <c r="G1318" i="7"/>
  <c r="I1318" i="7" s="1"/>
  <c r="G1317" i="7"/>
  <c r="I1317" i="7" s="1"/>
  <c r="G1316" i="7"/>
  <c r="I1316" i="7" s="1"/>
  <c r="G1315" i="7"/>
  <c r="I1315" i="7" s="1"/>
  <c r="G1314" i="7"/>
  <c r="I1314" i="7" s="1"/>
  <c r="G1313" i="7"/>
  <c r="I1313" i="7" s="1"/>
  <c r="G1312" i="7"/>
  <c r="I1312" i="7" s="1"/>
  <c r="G1311" i="7"/>
  <c r="I1311" i="7" s="1"/>
  <c r="G1310" i="7"/>
  <c r="I1310" i="7" s="1"/>
  <c r="G1309" i="7"/>
  <c r="I1309" i="7" s="1"/>
  <c r="G1308" i="7"/>
  <c r="I1308" i="7" s="1"/>
  <c r="G1307" i="7"/>
  <c r="I1307" i="7" s="1"/>
  <c r="G1306" i="7"/>
  <c r="I1306" i="7" s="1"/>
  <c r="G1305" i="7"/>
  <c r="I1305" i="7" s="1"/>
  <c r="G1304" i="7"/>
  <c r="I1304" i="7" s="1"/>
  <c r="G1303" i="7"/>
  <c r="I1303" i="7" s="1"/>
  <c r="G1302" i="7"/>
  <c r="I1302" i="7" s="1"/>
  <c r="G1301" i="7"/>
  <c r="I1301" i="7" s="1"/>
  <c r="G1300" i="7"/>
  <c r="I1300" i="7" s="1"/>
  <c r="G1299" i="7"/>
  <c r="I1299" i="7" s="1"/>
  <c r="G1298" i="7"/>
  <c r="I1298" i="7" s="1"/>
  <c r="G1297" i="7"/>
  <c r="I1297" i="7" s="1"/>
  <c r="G1296" i="7"/>
  <c r="I1296" i="7" s="1"/>
  <c r="G1295" i="7"/>
  <c r="I1295" i="7" s="1"/>
  <c r="G1294" i="7"/>
  <c r="I1294" i="7" s="1"/>
  <c r="G1293" i="7"/>
  <c r="I1293" i="7" s="1"/>
  <c r="G1292" i="7"/>
  <c r="I1292" i="7" s="1"/>
  <c r="G1291" i="7"/>
  <c r="I1291" i="7" s="1"/>
  <c r="G1290" i="7"/>
  <c r="I1290" i="7" s="1"/>
  <c r="G1289" i="7"/>
  <c r="I1289" i="7" s="1"/>
  <c r="G1288" i="7"/>
  <c r="I1288" i="7" s="1"/>
  <c r="G1287" i="7"/>
  <c r="I1287" i="7" s="1"/>
  <c r="G1286" i="7"/>
  <c r="I1286" i="7" s="1"/>
  <c r="G1285" i="7"/>
  <c r="I1285" i="7" s="1"/>
  <c r="G1284" i="7"/>
  <c r="I1284" i="7" s="1"/>
  <c r="G1283" i="7"/>
  <c r="I1283" i="7" s="1"/>
  <c r="G1282" i="7"/>
  <c r="I1282" i="7" s="1"/>
  <c r="G1281" i="7"/>
  <c r="I1281" i="7" s="1"/>
  <c r="G1280" i="7"/>
  <c r="I1280" i="7" s="1"/>
  <c r="G1279" i="7"/>
  <c r="I1279" i="7" s="1"/>
  <c r="G1278" i="7"/>
  <c r="I1278" i="7" s="1"/>
  <c r="G1277" i="7"/>
  <c r="I1277" i="7" s="1"/>
  <c r="G1276" i="7"/>
  <c r="I1276" i="7" s="1"/>
  <c r="G1275" i="7"/>
  <c r="I1275" i="7" s="1"/>
  <c r="G1274" i="7"/>
  <c r="I1274" i="7" s="1"/>
  <c r="G1273" i="7"/>
  <c r="I1273" i="7" s="1"/>
  <c r="G1272" i="7"/>
  <c r="I1272" i="7" s="1"/>
  <c r="G1271" i="7"/>
  <c r="I1271" i="7" s="1"/>
  <c r="G1270" i="7"/>
  <c r="I1270" i="7" s="1"/>
  <c r="G1269" i="7"/>
  <c r="I1269" i="7" s="1"/>
  <c r="G1268" i="7"/>
  <c r="I1268" i="7" s="1"/>
  <c r="G1267" i="7"/>
  <c r="I1267" i="7" s="1"/>
  <c r="G1266" i="7"/>
  <c r="I1266" i="7" s="1"/>
  <c r="G1265" i="7"/>
  <c r="I1265" i="7" s="1"/>
  <c r="G1264" i="7"/>
  <c r="I1264" i="7" s="1"/>
  <c r="G1263" i="7"/>
  <c r="I1263" i="7" s="1"/>
  <c r="G1262" i="7"/>
  <c r="I1262" i="7" s="1"/>
  <c r="G1261" i="7"/>
  <c r="I1261" i="7" s="1"/>
  <c r="G1260" i="7"/>
  <c r="I1260" i="7" s="1"/>
  <c r="G1259" i="7"/>
  <c r="I1259" i="7" s="1"/>
  <c r="G1258" i="7"/>
  <c r="I1258" i="7" s="1"/>
  <c r="G1257" i="7"/>
  <c r="I1257" i="7" s="1"/>
  <c r="G1256" i="7"/>
  <c r="I1256" i="7" s="1"/>
  <c r="G1255" i="7"/>
  <c r="I1255" i="7" s="1"/>
  <c r="G1254" i="7"/>
  <c r="I1254" i="7" s="1"/>
  <c r="G1253" i="7"/>
  <c r="I1253" i="7" s="1"/>
  <c r="G1252" i="7"/>
  <c r="I1252" i="7" s="1"/>
  <c r="G1251" i="7"/>
  <c r="I1251" i="7" s="1"/>
  <c r="G1250" i="7"/>
  <c r="I1250" i="7" s="1"/>
  <c r="G1249" i="7"/>
  <c r="I1249" i="7" s="1"/>
  <c r="G1248" i="7"/>
  <c r="I1248" i="7" s="1"/>
  <c r="G1247" i="7"/>
  <c r="I1247" i="7" s="1"/>
  <c r="G1246" i="7"/>
  <c r="I1246" i="7" s="1"/>
  <c r="G1245" i="7"/>
  <c r="I1245" i="7" s="1"/>
  <c r="G1244" i="7"/>
  <c r="I1244" i="7" s="1"/>
  <c r="G1243" i="7"/>
  <c r="I1243" i="7" s="1"/>
  <c r="G1242" i="7"/>
  <c r="I1242" i="7" s="1"/>
  <c r="G1241" i="7"/>
  <c r="I1241" i="7" s="1"/>
  <c r="G1240" i="7"/>
  <c r="I1240" i="7" s="1"/>
  <c r="G1239" i="7"/>
  <c r="I1239" i="7" s="1"/>
  <c r="G1238" i="7"/>
  <c r="I1238" i="7" s="1"/>
  <c r="G1237" i="7"/>
  <c r="I1237" i="7" s="1"/>
  <c r="G1236" i="7"/>
  <c r="I1236" i="7" s="1"/>
  <c r="G1235" i="7"/>
  <c r="I1235" i="7" s="1"/>
  <c r="G1234" i="7"/>
  <c r="I1234" i="7" s="1"/>
  <c r="G1233" i="7"/>
  <c r="I1233" i="7" s="1"/>
  <c r="G1232" i="7"/>
  <c r="I1232" i="7" s="1"/>
  <c r="G1231" i="7"/>
  <c r="I1231" i="7" s="1"/>
  <c r="G1230" i="7"/>
  <c r="I1230" i="7" s="1"/>
  <c r="G1229" i="7"/>
  <c r="I1229" i="7" s="1"/>
  <c r="G1228" i="7"/>
  <c r="I1228" i="7" s="1"/>
  <c r="G1227" i="7"/>
  <c r="I1227" i="7" s="1"/>
  <c r="G1226" i="7"/>
  <c r="I1226" i="7" s="1"/>
  <c r="G1225" i="7"/>
  <c r="I1225" i="7" s="1"/>
  <c r="G1224" i="7"/>
  <c r="I1224" i="7" s="1"/>
  <c r="G1223" i="7"/>
  <c r="I1223" i="7" s="1"/>
  <c r="G1222" i="7"/>
  <c r="I1222" i="7" s="1"/>
  <c r="G1221" i="7"/>
  <c r="I1221" i="7" s="1"/>
  <c r="G1220" i="7"/>
  <c r="I1220" i="7" s="1"/>
  <c r="G1219" i="7"/>
  <c r="I1219" i="7" s="1"/>
  <c r="G1218" i="7"/>
  <c r="I1218" i="7" s="1"/>
  <c r="G1217" i="7"/>
  <c r="I1217" i="7" s="1"/>
  <c r="G1216" i="7"/>
  <c r="I1216" i="7" s="1"/>
  <c r="G1215" i="7"/>
  <c r="I1215" i="7" s="1"/>
  <c r="G1214" i="7"/>
  <c r="I1214" i="7" s="1"/>
  <c r="G1213" i="7"/>
  <c r="I1213" i="7" s="1"/>
  <c r="G1212" i="7"/>
  <c r="I1212" i="7" s="1"/>
  <c r="G1211" i="7"/>
  <c r="I1211" i="7" s="1"/>
  <c r="G1210" i="7"/>
  <c r="I1210" i="7" s="1"/>
  <c r="G1209" i="7"/>
  <c r="I1209" i="7" s="1"/>
  <c r="G1208" i="7"/>
  <c r="I1208" i="7" s="1"/>
  <c r="G1207" i="7"/>
  <c r="I1207" i="7" s="1"/>
  <c r="G1206" i="7"/>
  <c r="I1206" i="7" s="1"/>
  <c r="G1205" i="7"/>
  <c r="I1205" i="7" s="1"/>
  <c r="G1204" i="7"/>
  <c r="I1204" i="7" s="1"/>
  <c r="G1203" i="7"/>
  <c r="I1203" i="7" s="1"/>
  <c r="G1202" i="7"/>
  <c r="I1202" i="7" s="1"/>
  <c r="G1201" i="7"/>
  <c r="I1201" i="7" s="1"/>
  <c r="G1200" i="7"/>
  <c r="I1200" i="7" s="1"/>
  <c r="G1199" i="7"/>
  <c r="I1199" i="7" s="1"/>
  <c r="G1198" i="7"/>
  <c r="I1198" i="7" s="1"/>
  <c r="G1197" i="7"/>
  <c r="I1197" i="7" s="1"/>
  <c r="G1196" i="7"/>
  <c r="I1196" i="7" s="1"/>
  <c r="G1195" i="7"/>
  <c r="I1195" i="7" s="1"/>
  <c r="G1194" i="7"/>
  <c r="I1194" i="7" s="1"/>
  <c r="G1193" i="7"/>
  <c r="I1193" i="7" s="1"/>
  <c r="G1192" i="7"/>
  <c r="I1192" i="7" s="1"/>
  <c r="G1191" i="7"/>
  <c r="I1191" i="7" s="1"/>
  <c r="G1190" i="7"/>
  <c r="I1190" i="7" s="1"/>
  <c r="G1189" i="7"/>
  <c r="I1189" i="7" s="1"/>
  <c r="G1188" i="7"/>
  <c r="I1188" i="7" s="1"/>
  <c r="G1187" i="7"/>
  <c r="I1187" i="7" s="1"/>
  <c r="G1186" i="7"/>
  <c r="I1186" i="7" s="1"/>
  <c r="G1185" i="7"/>
  <c r="I1185" i="7" s="1"/>
  <c r="G1184" i="7"/>
  <c r="I1184" i="7" s="1"/>
  <c r="G1183" i="7"/>
  <c r="I1183" i="7" s="1"/>
  <c r="G1182" i="7"/>
  <c r="I1182" i="7" s="1"/>
  <c r="G1181" i="7"/>
  <c r="I1181" i="7" s="1"/>
  <c r="G1180" i="7"/>
  <c r="I1180" i="7" s="1"/>
  <c r="G1179" i="7"/>
  <c r="I1179" i="7" s="1"/>
  <c r="G1178" i="7"/>
  <c r="I1178" i="7" s="1"/>
  <c r="G1177" i="7"/>
  <c r="I1177" i="7" s="1"/>
  <c r="G1176" i="7"/>
  <c r="I1176" i="7" s="1"/>
  <c r="G1175" i="7"/>
  <c r="I1175" i="7" s="1"/>
  <c r="G1174" i="7"/>
  <c r="I1174" i="7" s="1"/>
  <c r="G1173" i="7"/>
  <c r="I1173" i="7" s="1"/>
  <c r="G1172" i="7"/>
  <c r="I1172" i="7" s="1"/>
  <c r="G1171" i="7"/>
  <c r="I1171" i="7" s="1"/>
  <c r="G1170" i="7"/>
  <c r="I1170" i="7" s="1"/>
  <c r="G1169" i="7"/>
  <c r="I1169" i="7" s="1"/>
  <c r="G1168" i="7"/>
  <c r="I1168" i="7" s="1"/>
  <c r="G1167" i="7"/>
  <c r="I1167" i="7" s="1"/>
  <c r="G1166" i="7"/>
  <c r="I1166" i="7" s="1"/>
  <c r="G1165" i="7"/>
  <c r="I1165" i="7" s="1"/>
  <c r="G1164" i="7"/>
  <c r="I1164" i="7" s="1"/>
  <c r="G1163" i="7"/>
  <c r="I1163" i="7" s="1"/>
  <c r="G1162" i="7"/>
  <c r="I1162" i="7" s="1"/>
  <c r="G1161" i="7"/>
  <c r="I1161" i="7" s="1"/>
  <c r="G1160" i="7"/>
  <c r="I1160" i="7" s="1"/>
  <c r="G1159" i="7"/>
  <c r="I1159" i="7" s="1"/>
  <c r="G1158" i="7"/>
  <c r="I1158" i="7" s="1"/>
  <c r="G1157" i="7"/>
  <c r="I1157" i="7" s="1"/>
  <c r="G1156" i="7"/>
  <c r="I1156" i="7" s="1"/>
  <c r="G1155" i="7"/>
  <c r="I1155" i="7" s="1"/>
  <c r="G1154" i="7"/>
  <c r="I1154" i="7" s="1"/>
  <c r="G1153" i="7"/>
  <c r="I1153" i="7" s="1"/>
  <c r="G1152" i="7"/>
  <c r="I1152" i="7" s="1"/>
  <c r="G1151" i="7"/>
  <c r="I1151" i="7" s="1"/>
  <c r="G1150" i="7"/>
  <c r="I1150" i="7" s="1"/>
  <c r="G1149" i="7"/>
  <c r="I1149" i="7" s="1"/>
  <c r="G1148" i="7"/>
  <c r="I1148" i="7" s="1"/>
  <c r="G1147" i="7"/>
  <c r="I1147" i="7" s="1"/>
  <c r="G1146" i="7"/>
  <c r="I1146" i="7" s="1"/>
  <c r="G1145" i="7"/>
  <c r="I1145" i="7" s="1"/>
  <c r="G1144" i="7"/>
  <c r="I1144" i="7" s="1"/>
  <c r="G1143" i="7"/>
  <c r="I1143" i="7" s="1"/>
  <c r="G1142" i="7"/>
  <c r="I1142" i="7" s="1"/>
  <c r="G1141" i="7"/>
  <c r="I1141" i="7" s="1"/>
  <c r="G1140" i="7"/>
  <c r="I1140" i="7" s="1"/>
  <c r="G1139" i="7"/>
  <c r="I1139" i="7" s="1"/>
  <c r="G1138" i="7"/>
  <c r="I1138" i="7" s="1"/>
  <c r="G1137" i="7"/>
  <c r="I1137" i="7" s="1"/>
  <c r="G1136" i="7"/>
  <c r="I1136" i="7" s="1"/>
  <c r="G1135" i="7"/>
  <c r="I1135" i="7" s="1"/>
  <c r="G1134" i="7"/>
  <c r="I1134" i="7" s="1"/>
  <c r="G1133" i="7"/>
  <c r="I1133" i="7" s="1"/>
  <c r="G1132" i="7"/>
  <c r="I1132" i="7" s="1"/>
  <c r="G1131" i="7"/>
  <c r="I1131" i="7" s="1"/>
  <c r="G1130" i="7"/>
  <c r="I1130" i="7" s="1"/>
  <c r="G1129" i="7"/>
  <c r="I1129" i="7" s="1"/>
  <c r="G1128" i="7"/>
  <c r="I1128" i="7" s="1"/>
  <c r="G1127" i="7"/>
  <c r="I1127" i="7" s="1"/>
  <c r="G1126" i="7"/>
  <c r="I1126" i="7" s="1"/>
  <c r="G1125" i="7"/>
  <c r="I1125" i="7" s="1"/>
  <c r="G1124" i="7"/>
  <c r="I1124" i="7" s="1"/>
  <c r="G1123" i="7"/>
  <c r="I1123" i="7" s="1"/>
  <c r="G1122" i="7"/>
  <c r="I1122" i="7" s="1"/>
  <c r="G1121" i="7"/>
  <c r="I1121" i="7" s="1"/>
  <c r="G1120" i="7"/>
  <c r="I1120" i="7" s="1"/>
  <c r="G1119" i="7"/>
  <c r="I1119" i="7" s="1"/>
  <c r="G1118" i="7"/>
  <c r="I1118" i="7" s="1"/>
  <c r="G1117" i="7"/>
  <c r="I1117" i="7" s="1"/>
  <c r="G1116" i="7"/>
  <c r="I1116" i="7" s="1"/>
  <c r="G1115" i="7"/>
  <c r="I1115" i="7" s="1"/>
  <c r="G1114" i="7"/>
  <c r="I1114" i="7" s="1"/>
  <c r="G1113" i="7"/>
  <c r="I1113" i="7" s="1"/>
  <c r="G1112" i="7"/>
  <c r="I1112" i="7" s="1"/>
  <c r="G1111" i="7"/>
  <c r="I1111" i="7" s="1"/>
  <c r="G1110" i="7"/>
  <c r="I1110" i="7" s="1"/>
  <c r="G1109" i="7"/>
  <c r="I1109" i="7" s="1"/>
  <c r="G1108" i="7"/>
  <c r="I1108" i="7" s="1"/>
  <c r="G1107" i="7"/>
  <c r="I1107" i="7" s="1"/>
  <c r="G1106" i="7"/>
  <c r="I1106" i="7" s="1"/>
  <c r="G1105" i="7"/>
  <c r="I1105" i="7" s="1"/>
  <c r="G1104" i="7"/>
  <c r="I1104" i="7" s="1"/>
  <c r="G1103" i="7"/>
  <c r="I1103" i="7" s="1"/>
  <c r="G1102" i="7"/>
  <c r="I1102" i="7" s="1"/>
  <c r="G1101" i="7"/>
  <c r="I1101" i="7" s="1"/>
  <c r="G1100" i="7"/>
  <c r="I1100" i="7" s="1"/>
  <c r="G1099" i="7"/>
  <c r="I1099" i="7" s="1"/>
  <c r="G1098" i="7"/>
  <c r="I1098" i="7" s="1"/>
  <c r="G1097" i="7"/>
  <c r="I1097" i="7" s="1"/>
  <c r="G1096" i="7"/>
  <c r="I1096" i="7" s="1"/>
  <c r="G1095" i="7"/>
  <c r="I1095" i="7" s="1"/>
  <c r="G1094" i="7"/>
  <c r="I1094" i="7" s="1"/>
  <c r="G1093" i="7"/>
  <c r="I1093" i="7" s="1"/>
  <c r="G1092" i="7"/>
  <c r="I1092" i="7" s="1"/>
  <c r="G1091" i="7"/>
  <c r="I1091" i="7" s="1"/>
  <c r="G1090" i="7"/>
  <c r="I1090" i="7" s="1"/>
  <c r="G1089" i="7"/>
  <c r="I1089" i="7" s="1"/>
  <c r="G1088" i="7"/>
  <c r="I1088" i="7" s="1"/>
  <c r="G1087" i="7"/>
  <c r="I1087" i="7" s="1"/>
  <c r="G1086" i="7"/>
  <c r="I1086" i="7" s="1"/>
  <c r="G1085" i="7"/>
  <c r="I1085" i="7" s="1"/>
  <c r="G1084" i="7"/>
  <c r="I1084" i="7" s="1"/>
  <c r="G1083" i="7"/>
  <c r="I1083" i="7" s="1"/>
  <c r="G1082" i="7"/>
  <c r="I1082" i="7" s="1"/>
  <c r="G1081" i="7"/>
  <c r="I1081" i="7" s="1"/>
  <c r="G1080" i="7"/>
  <c r="I1080" i="7" s="1"/>
  <c r="G1079" i="7"/>
  <c r="I1079" i="7" s="1"/>
  <c r="G1078" i="7"/>
  <c r="I1078" i="7" s="1"/>
  <c r="G1077" i="7"/>
  <c r="I1077" i="7" s="1"/>
  <c r="G1076" i="7"/>
  <c r="I1076" i="7" s="1"/>
  <c r="G1075" i="7"/>
  <c r="I1075" i="7" s="1"/>
  <c r="G1074" i="7"/>
  <c r="I1074" i="7" s="1"/>
  <c r="G1073" i="7"/>
  <c r="I1073" i="7" s="1"/>
  <c r="G1072" i="7"/>
  <c r="I1072" i="7" s="1"/>
  <c r="G1071" i="7"/>
  <c r="I1071" i="7" s="1"/>
  <c r="G1070" i="7"/>
  <c r="I1070" i="7" s="1"/>
  <c r="G1069" i="7"/>
  <c r="I1069" i="7" s="1"/>
  <c r="G1068" i="7"/>
  <c r="I1068" i="7" s="1"/>
  <c r="G1067" i="7"/>
  <c r="I1067" i="7" s="1"/>
  <c r="G1066" i="7"/>
  <c r="I1066" i="7" s="1"/>
  <c r="G1065" i="7"/>
  <c r="I1065" i="7" s="1"/>
  <c r="G1064" i="7"/>
  <c r="I1064" i="7" s="1"/>
  <c r="G1063" i="7"/>
  <c r="I1063" i="7" s="1"/>
  <c r="G1062" i="7"/>
  <c r="I1062" i="7" s="1"/>
  <c r="G1061" i="7"/>
  <c r="I1061" i="7" s="1"/>
  <c r="G1060" i="7"/>
  <c r="I1060" i="7" s="1"/>
  <c r="G1059" i="7"/>
  <c r="I1059" i="7" s="1"/>
  <c r="G1058" i="7"/>
  <c r="I1058" i="7" s="1"/>
  <c r="G1057" i="7"/>
  <c r="I1057" i="7" s="1"/>
  <c r="G1056" i="7"/>
  <c r="I1056" i="7" s="1"/>
  <c r="G1055" i="7"/>
  <c r="I1055" i="7" s="1"/>
  <c r="G1054" i="7"/>
  <c r="I1054" i="7" s="1"/>
  <c r="G1053" i="7"/>
  <c r="I1053" i="7" s="1"/>
  <c r="G1052" i="7"/>
  <c r="I1052" i="7" s="1"/>
  <c r="G1051" i="7"/>
  <c r="I1051" i="7" s="1"/>
  <c r="G1050" i="7"/>
  <c r="I1050" i="7" s="1"/>
  <c r="G1049" i="7"/>
  <c r="I1049" i="7" s="1"/>
  <c r="G1048" i="7"/>
  <c r="I1048" i="7" s="1"/>
  <c r="G1047" i="7"/>
  <c r="I1047" i="7" s="1"/>
  <c r="G1046" i="7"/>
  <c r="I1046" i="7" s="1"/>
  <c r="G1045" i="7"/>
  <c r="I1045" i="7" s="1"/>
  <c r="G1044" i="7"/>
  <c r="I1044" i="7" s="1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I938" i="7" s="1"/>
  <c r="G937" i="7"/>
  <c r="I937" i="7" s="1"/>
  <c r="G936" i="7"/>
  <c r="I936" i="7" s="1"/>
  <c r="G935" i="7"/>
  <c r="I935" i="7" s="1"/>
  <c r="G934" i="7"/>
  <c r="I934" i="7" s="1"/>
  <c r="G933" i="7"/>
  <c r="I933" i="7" s="1"/>
  <c r="G932" i="7"/>
  <c r="I932" i="7" s="1"/>
  <c r="G931" i="7"/>
  <c r="I931" i="7" s="1"/>
  <c r="G930" i="7"/>
  <c r="I930" i="7" s="1"/>
  <c r="G929" i="7"/>
  <c r="I929" i="7" s="1"/>
  <c r="G928" i="7"/>
  <c r="I928" i="7" s="1"/>
  <c r="G927" i="7"/>
  <c r="I927" i="7" s="1"/>
  <c r="G926" i="7"/>
  <c r="I926" i="7" s="1"/>
  <c r="G925" i="7"/>
  <c r="I925" i="7" s="1"/>
  <c r="G924" i="7"/>
  <c r="I924" i="7" s="1"/>
  <c r="G923" i="7"/>
  <c r="I923" i="7" s="1"/>
  <c r="G922" i="7"/>
  <c r="I922" i="7" s="1"/>
  <c r="G921" i="7"/>
  <c r="I921" i="7" s="1"/>
  <c r="G920" i="7"/>
  <c r="I920" i="7" s="1"/>
  <c r="G919" i="7"/>
  <c r="I919" i="7" s="1"/>
  <c r="G918" i="7"/>
  <c r="I918" i="7" s="1"/>
  <c r="G917" i="7"/>
  <c r="I917" i="7" s="1"/>
  <c r="G916" i="7"/>
  <c r="I916" i="7" s="1"/>
  <c r="G915" i="7"/>
  <c r="I915" i="7" s="1"/>
  <c r="G914" i="7"/>
  <c r="I914" i="7" s="1"/>
  <c r="G913" i="7"/>
  <c r="I913" i="7" s="1"/>
  <c r="G912" i="7"/>
  <c r="I912" i="7" s="1"/>
  <c r="G911" i="7"/>
  <c r="I911" i="7" s="1"/>
  <c r="G910" i="7"/>
  <c r="I910" i="7" s="1"/>
  <c r="G909" i="7"/>
  <c r="I909" i="7" s="1"/>
  <c r="G908" i="7"/>
  <c r="I908" i="7" s="1"/>
  <c r="G907" i="7"/>
  <c r="I907" i="7" s="1"/>
  <c r="G906" i="7"/>
  <c r="I906" i="7" s="1"/>
  <c r="G905" i="7"/>
  <c r="I905" i="7" s="1"/>
  <c r="G904" i="7"/>
  <c r="I904" i="7" s="1"/>
  <c r="G903" i="7"/>
  <c r="I903" i="7" s="1"/>
  <c r="G902" i="7"/>
  <c r="I902" i="7" s="1"/>
  <c r="G901" i="7"/>
  <c r="I901" i="7" s="1"/>
  <c r="G900" i="7"/>
  <c r="I900" i="7" s="1"/>
  <c r="G899" i="7"/>
  <c r="I899" i="7" s="1"/>
  <c r="G898" i="7"/>
  <c r="I898" i="7" s="1"/>
  <c r="G897" i="7"/>
  <c r="I897" i="7" s="1"/>
  <c r="G896" i="7"/>
  <c r="I896" i="7" s="1"/>
  <c r="G895" i="7"/>
  <c r="I895" i="7" s="1"/>
  <c r="G894" i="7"/>
  <c r="I894" i="7" s="1"/>
  <c r="G893" i="7"/>
  <c r="I893" i="7" s="1"/>
  <c r="G892" i="7"/>
  <c r="I892" i="7" s="1"/>
  <c r="G891" i="7"/>
  <c r="I891" i="7" s="1"/>
  <c r="G890" i="7"/>
  <c r="I890" i="7" s="1"/>
  <c r="G889" i="7"/>
  <c r="I889" i="7" s="1"/>
  <c r="G888" i="7"/>
  <c r="I888" i="7" s="1"/>
  <c r="G887" i="7"/>
  <c r="I887" i="7" s="1"/>
  <c r="G886" i="7"/>
  <c r="I886" i="7" s="1"/>
  <c r="G885" i="7"/>
  <c r="I885" i="7" s="1"/>
  <c r="G884" i="7"/>
  <c r="I884" i="7" s="1"/>
  <c r="G883" i="7"/>
  <c r="I883" i="7" s="1"/>
  <c r="G882" i="7"/>
  <c r="I882" i="7" s="1"/>
  <c r="G881" i="7"/>
  <c r="I881" i="7" s="1"/>
  <c r="G880" i="7"/>
  <c r="I880" i="7" s="1"/>
  <c r="G879" i="7"/>
  <c r="I879" i="7" s="1"/>
  <c r="G878" i="7"/>
  <c r="I878" i="7" s="1"/>
  <c r="G877" i="7"/>
  <c r="I877" i="7" s="1"/>
  <c r="G876" i="7"/>
  <c r="I876" i="7" s="1"/>
  <c r="G875" i="7"/>
  <c r="I875" i="7" s="1"/>
  <c r="G874" i="7"/>
  <c r="I874" i="7" s="1"/>
  <c r="G873" i="7"/>
  <c r="I873" i="7" s="1"/>
  <c r="G872" i="7"/>
  <c r="I872" i="7" s="1"/>
  <c r="G871" i="7"/>
  <c r="I871" i="7" s="1"/>
  <c r="G870" i="7"/>
  <c r="I870" i="7" s="1"/>
  <c r="G869" i="7"/>
  <c r="I869" i="7" s="1"/>
  <c r="G868" i="7"/>
  <c r="I868" i="7" s="1"/>
  <c r="G867" i="7"/>
  <c r="I867" i="7" s="1"/>
  <c r="G866" i="7"/>
  <c r="I866" i="7" s="1"/>
  <c r="G865" i="7"/>
  <c r="I865" i="7" s="1"/>
  <c r="G864" i="7"/>
  <c r="I864" i="7" s="1"/>
  <c r="G863" i="7"/>
  <c r="I863" i="7" s="1"/>
  <c r="G862" i="7"/>
  <c r="I862" i="7" s="1"/>
  <c r="G861" i="7"/>
  <c r="I861" i="7" s="1"/>
  <c r="G860" i="7"/>
  <c r="I860" i="7" s="1"/>
  <c r="G859" i="7"/>
  <c r="I859" i="7" s="1"/>
  <c r="G858" i="7"/>
  <c r="I858" i="7" s="1"/>
  <c r="G857" i="7"/>
  <c r="I857" i="7" s="1"/>
  <c r="G856" i="7"/>
  <c r="I856" i="7" s="1"/>
  <c r="G855" i="7"/>
  <c r="I855" i="7" s="1"/>
  <c r="G854" i="7"/>
  <c r="I854" i="7" s="1"/>
  <c r="G853" i="7"/>
  <c r="I853" i="7" s="1"/>
  <c r="G852" i="7"/>
  <c r="I852" i="7" s="1"/>
  <c r="G851" i="7"/>
  <c r="I851" i="7" s="1"/>
  <c r="G850" i="7"/>
  <c r="I850" i="7" s="1"/>
  <c r="G849" i="7"/>
  <c r="I849" i="7" s="1"/>
  <c r="G848" i="7"/>
  <c r="I848" i="7" s="1"/>
  <c r="G847" i="7"/>
  <c r="I847" i="7" s="1"/>
  <c r="G846" i="7"/>
  <c r="I846" i="7" s="1"/>
  <c r="G845" i="7"/>
  <c r="I845" i="7" s="1"/>
  <c r="G844" i="7"/>
  <c r="I844" i="7" s="1"/>
  <c r="G843" i="7"/>
  <c r="I843" i="7" s="1"/>
  <c r="G842" i="7"/>
  <c r="I842" i="7" s="1"/>
  <c r="G841" i="7"/>
  <c r="I841" i="7" s="1"/>
  <c r="G840" i="7"/>
  <c r="I840" i="7" s="1"/>
  <c r="G839" i="7"/>
  <c r="I839" i="7" s="1"/>
  <c r="G838" i="7"/>
  <c r="I838" i="7" s="1"/>
  <c r="G837" i="7"/>
  <c r="I837" i="7" s="1"/>
  <c r="G836" i="7"/>
  <c r="I836" i="7" s="1"/>
  <c r="G835" i="7"/>
  <c r="I835" i="7" s="1"/>
  <c r="G834" i="7"/>
  <c r="I834" i="7" s="1"/>
  <c r="G833" i="7"/>
  <c r="I833" i="7" s="1"/>
  <c r="G832" i="7"/>
  <c r="I832" i="7" s="1"/>
  <c r="G831" i="7"/>
  <c r="I831" i="7" s="1"/>
  <c r="G830" i="7"/>
  <c r="I830" i="7" s="1"/>
  <c r="G829" i="7"/>
  <c r="I829" i="7" s="1"/>
  <c r="G828" i="7"/>
  <c r="I828" i="7" s="1"/>
  <c r="G827" i="7"/>
  <c r="I827" i="7" s="1"/>
  <c r="G826" i="7"/>
  <c r="I826" i="7" s="1"/>
  <c r="G825" i="7"/>
  <c r="I825" i="7" s="1"/>
  <c r="G824" i="7"/>
  <c r="I824" i="7" s="1"/>
  <c r="G823" i="7"/>
  <c r="I823" i="7" s="1"/>
  <c r="G822" i="7"/>
  <c r="I822" i="7" s="1"/>
  <c r="G821" i="7"/>
  <c r="I821" i="7" s="1"/>
  <c r="G820" i="7"/>
  <c r="I820" i="7" s="1"/>
  <c r="G819" i="7"/>
  <c r="I819" i="7" s="1"/>
  <c r="G818" i="7"/>
  <c r="I818" i="7" s="1"/>
  <c r="G817" i="7"/>
  <c r="I817" i="7" s="1"/>
  <c r="G816" i="7"/>
  <c r="I816" i="7" s="1"/>
  <c r="G815" i="7"/>
  <c r="I815" i="7" s="1"/>
  <c r="G814" i="7"/>
  <c r="I814" i="7" s="1"/>
  <c r="G813" i="7"/>
  <c r="I813" i="7" s="1"/>
  <c r="G812" i="7"/>
  <c r="I812" i="7" s="1"/>
  <c r="G811" i="7"/>
  <c r="I811" i="7" s="1"/>
  <c r="G810" i="7"/>
  <c r="I810" i="7" s="1"/>
  <c r="G809" i="7"/>
  <c r="I809" i="7" s="1"/>
  <c r="G808" i="7"/>
  <c r="I808" i="7" s="1"/>
  <c r="G807" i="7"/>
  <c r="I807" i="7" s="1"/>
  <c r="G806" i="7"/>
  <c r="I806" i="7" s="1"/>
  <c r="G805" i="7"/>
  <c r="I805" i="7" s="1"/>
  <c r="G804" i="7"/>
  <c r="I804" i="7" s="1"/>
  <c r="G803" i="7"/>
  <c r="I803" i="7" s="1"/>
  <c r="G802" i="7"/>
  <c r="I802" i="7" s="1"/>
  <c r="G801" i="7"/>
  <c r="I801" i="7" s="1"/>
  <c r="G800" i="7"/>
  <c r="I800" i="7" s="1"/>
  <c r="G799" i="7"/>
  <c r="I799" i="7" s="1"/>
  <c r="G798" i="7"/>
  <c r="I798" i="7" s="1"/>
  <c r="G797" i="7"/>
  <c r="I797" i="7" s="1"/>
  <c r="G796" i="7"/>
  <c r="I796" i="7" s="1"/>
  <c r="G795" i="7"/>
  <c r="I795" i="7" s="1"/>
  <c r="G794" i="7"/>
  <c r="I794" i="7" s="1"/>
  <c r="G793" i="7"/>
  <c r="I793" i="7" s="1"/>
  <c r="G792" i="7"/>
  <c r="I792" i="7" s="1"/>
  <c r="G791" i="7"/>
  <c r="I791" i="7" s="1"/>
  <c r="G790" i="7"/>
  <c r="I790" i="7" s="1"/>
  <c r="G789" i="7"/>
  <c r="I789" i="7" s="1"/>
  <c r="G788" i="7"/>
  <c r="I788" i="7" s="1"/>
  <c r="G787" i="7"/>
  <c r="I787" i="7" s="1"/>
  <c r="G786" i="7"/>
  <c r="I786" i="7" s="1"/>
  <c r="G785" i="7"/>
  <c r="I785" i="7" s="1"/>
  <c r="G784" i="7"/>
  <c r="I784" i="7" s="1"/>
  <c r="G783" i="7"/>
  <c r="I783" i="7" s="1"/>
  <c r="G782" i="7"/>
  <c r="I782" i="7" s="1"/>
  <c r="G781" i="7"/>
  <c r="I781" i="7" s="1"/>
  <c r="G780" i="7"/>
  <c r="I780" i="7" s="1"/>
  <c r="G779" i="7"/>
  <c r="I779" i="7" s="1"/>
  <c r="G778" i="7"/>
  <c r="I778" i="7" s="1"/>
  <c r="G777" i="7"/>
  <c r="I777" i="7" s="1"/>
  <c r="G776" i="7"/>
  <c r="I776" i="7" s="1"/>
  <c r="G775" i="7"/>
  <c r="I775" i="7" s="1"/>
  <c r="G774" i="7"/>
  <c r="I774" i="7" s="1"/>
  <c r="G773" i="7"/>
  <c r="I773" i="7" s="1"/>
  <c r="G772" i="7"/>
  <c r="I772" i="7" s="1"/>
  <c r="G771" i="7"/>
  <c r="I771" i="7" s="1"/>
  <c r="G770" i="7"/>
  <c r="I770" i="7" s="1"/>
  <c r="G769" i="7"/>
  <c r="I769" i="7" s="1"/>
  <c r="G768" i="7"/>
  <c r="I768" i="7" s="1"/>
  <c r="G767" i="7"/>
  <c r="I767" i="7" s="1"/>
  <c r="G766" i="7"/>
  <c r="I766" i="7" s="1"/>
  <c r="G765" i="7"/>
  <c r="I765" i="7" s="1"/>
  <c r="G764" i="7"/>
  <c r="I764" i="7" s="1"/>
  <c r="G763" i="7"/>
  <c r="I763" i="7" s="1"/>
  <c r="G762" i="7"/>
  <c r="I762" i="7" s="1"/>
  <c r="G761" i="7"/>
  <c r="I761" i="7" s="1"/>
  <c r="G760" i="7"/>
  <c r="I760" i="7" s="1"/>
  <c r="G759" i="7"/>
  <c r="I759" i="7" s="1"/>
  <c r="G758" i="7"/>
  <c r="I758" i="7" s="1"/>
  <c r="G757" i="7"/>
  <c r="I757" i="7" s="1"/>
  <c r="G756" i="7"/>
  <c r="I756" i="7" s="1"/>
  <c r="G755" i="7"/>
  <c r="I755" i="7" s="1"/>
  <c r="G754" i="7"/>
  <c r="I754" i="7" s="1"/>
  <c r="G753" i="7"/>
  <c r="I753" i="7" s="1"/>
  <c r="G752" i="7"/>
  <c r="I752" i="7" s="1"/>
  <c r="G751" i="7"/>
  <c r="I751" i="7" s="1"/>
  <c r="G750" i="7"/>
  <c r="I750" i="7" s="1"/>
  <c r="G749" i="7"/>
  <c r="I749" i="7" s="1"/>
  <c r="G748" i="7"/>
  <c r="I748" i="7" s="1"/>
  <c r="G747" i="7"/>
  <c r="I747" i="7" s="1"/>
  <c r="G746" i="7"/>
  <c r="I746" i="7" s="1"/>
  <c r="G745" i="7"/>
  <c r="I745" i="7" s="1"/>
  <c r="G744" i="7"/>
  <c r="I744" i="7" s="1"/>
  <c r="G743" i="7"/>
  <c r="I743" i="7" s="1"/>
  <c r="G742" i="7"/>
  <c r="I742" i="7" s="1"/>
  <c r="G741" i="7"/>
  <c r="I741" i="7" s="1"/>
  <c r="G740" i="7"/>
  <c r="I740" i="7" s="1"/>
  <c r="G739" i="7"/>
  <c r="I739" i="7" s="1"/>
  <c r="G738" i="7"/>
  <c r="I738" i="7" s="1"/>
  <c r="G737" i="7"/>
  <c r="I737" i="7" s="1"/>
  <c r="G736" i="7"/>
  <c r="I736" i="7" s="1"/>
  <c r="G735" i="7"/>
  <c r="I735" i="7" s="1"/>
  <c r="G734" i="7"/>
  <c r="I734" i="7" s="1"/>
  <c r="G733" i="7"/>
  <c r="I733" i="7" s="1"/>
  <c r="G732" i="7"/>
  <c r="I732" i="7" s="1"/>
  <c r="G731" i="7"/>
  <c r="I731" i="7" s="1"/>
  <c r="G730" i="7"/>
  <c r="I730" i="7" s="1"/>
  <c r="G729" i="7"/>
  <c r="I729" i="7" s="1"/>
  <c r="G728" i="7"/>
  <c r="I728" i="7" s="1"/>
  <c r="G727" i="7"/>
  <c r="I727" i="7" s="1"/>
  <c r="G726" i="7"/>
  <c r="I726" i="7" s="1"/>
  <c r="G725" i="7"/>
  <c r="I725" i="7" s="1"/>
  <c r="G724" i="7"/>
  <c r="I724" i="7" s="1"/>
  <c r="G723" i="7"/>
  <c r="I723" i="7" s="1"/>
  <c r="G722" i="7"/>
  <c r="I722" i="7" s="1"/>
  <c r="G721" i="7"/>
  <c r="I721" i="7" s="1"/>
  <c r="G720" i="7"/>
  <c r="I720" i="7" s="1"/>
  <c r="G719" i="7"/>
  <c r="I719" i="7" s="1"/>
  <c r="G718" i="7"/>
  <c r="I718" i="7" s="1"/>
  <c r="G717" i="7"/>
  <c r="I717" i="7" s="1"/>
  <c r="G716" i="7"/>
  <c r="I716" i="7" s="1"/>
  <c r="G715" i="7"/>
  <c r="I715" i="7" s="1"/>
  <c r="G714" i="7"/>
  <c r="I714" i="7" s="1"/>
  <c r="G713" i="7"/>
  <c r="I713" i="7" s="1"/>
  <c r="G712" i="7"/>
  <c r="I712" i="7" s="1"/>
  <c r="G711" i="7"/>
  <c r="I711" i="7" s="1"/>
  <c r="G710" i="7"/>
  <c r="I710" i="7" s="1"/>
  <c r="G709" i="7"/>
  <c r="I709" i="7" s="1"/>
  <c r="G708" i="7"/>
  <c r="I708" i="7" s="1"/>
  <c r="G707" i="7"/>
  <c r="I707" i="7" s="1"/>
  <c r="G706" i="7"/>
  <c r="I706" i="7" s="1"/>
  <c r="G705" i="7"/>
  <c r="I705" i="7" s="1"/>
  <c r="G704" i="7"/>
  <c r="I704" i="7" s="1"/>
  <c r="G703" i="7"/>
  <c r="I703" i="7" s="1"/>
  <c r="G702" i="7"/>
  <c r="I702" i="7" s="1"/>
  <c r="G701" i="7"/>
  <c r="I701" i="7" s="1"/>
  <c r="G700" i="7"/>
  <c r="I700" i="7" s="1"/>
  <c r="G699" i="7"/>
  <c r="I699" i="7" s="1"/>
  <c r="G698" i="7"/>
  <c r="I698" i="7" s="1"/>
  <c r="G697" i="7"/>
  <c r="I697" i="7" s="1"/>
  <c r="G696" i="7"/>
  <c r="I696" i="7" s="1"/>
  <c r="G695" i="7"/>
  <c r="I695" i="7" s="1"/>
  <c r="G694" i="7"/>
  <c r="I694" i="7" s="1"/>
  <c r="G693" i="7"/>
  <c r="I693" i="7" s="1"/>
  <c r="G692" i="7"/>
  <c r="I692" i="7" s="1"/>
  <c r="G691" i="7"/>
  <c r="I691" i="7" s="1"/>
  <c r="G690" i="7"/>
  <c r="I690" i="7" s="1"/>
  <c r="G689" i="7"/>
  <c r="I689" i="7" s="1"/>
  <c r="G688" i="7"/>
  <c r="I688" i="7" s="1"/>
  <c r="G687" i="7"/>
  <c r="I687" i="7" s="1"/>
  <c r="G686" i="7"/>
  <c r="I686" i="7" s="1"/>
  <c r="G685" i="7"/>
  <c r="I685" i="7" s="1"/>
  <c r="G684" i="7"/>
  <c r="I684" i="7" s="1"/>
  <c r="G683" i="7"/>
  <c r="I683" i="7" s="1"/>
  <c r="G682" i="7"/>
  <c r="I682" i="7" s="1"/>
  <c r="G681" i="7"/>
  <c r="I681" i="7" s="1"/>
  <c r="G680" i="7"/>
  <c r="I680" i="7" s="1"/>
  <c r="G679" i="7"/>
  <c r="I679" i="7" s="1"/>
  <c r="G678" i="7"/>
  <c r="I678" i="7" s="1"/>
  <c r="G677" i="7"/>
  <c r="I677" i="7" s="1"/>
  <c r="G676" i="7"/>
  <c r="I676" i="7" s="1"/>
  <c r="G675" i="7"/>
  <c r="I675" i="7" s="1"/>
  <c r="G674" i="7"/>
  <c r="I674" i="7" s="1"/>
  <c r="G673" i="7"/>
  <c r="I673" i="7" s="1"/>
  <c r="G672" i="7"/>
  <c r="I672" i="7" s="1"/>
  <c r="G671" i="7"/>
  <c r="I671" i="7" s="1"/>
  <c r="G670" i="7"/>
  <c r="I670" i="7" s="1"/>
  <c r="G669" i="7"/>
  <c r="I669" i="7" s="1"/>
  <c r="G668" i="7"/>
  <c r="I668" i="7" s="1"/>
  <c r="G667" i="7"/>
  <c r="I667" i="7" s="1"/>
  <c r="G666" i="7"/>
  <c r="I666" i="7" s="1"/>
  <c r="G665" i="7"/>
  <c r="I665" i="7" s="1"/>
  <c r="G664" i="7"/>
  <c r="I664" i="7" s="1"/>
  <c r="G663" i="7"/>
  <c r="I663" i="7" s="1"/>
  <c r="G662" i="7"/>
  <c r="I662" i="7" s="1"/>
  <c r="G661" i="7"/>
  <c r="I661" i="7" s="1"/>
  <c r="G660" i="7"/>
  <c r="I660" i="7" s="1"/>
  <c r="G659" i="7"/>
  <c r="I659" i="7" s="1"/>
  <c r="G658" i="7"/>
  <c r="I658" i="7" s="1"/>
  <c r="G657" i="7"/>
  <c r="I657" i="7" s="1"/>
  <c r="G656" i="7"/>
  <c r="I656" i="7" s="1"/>
  <c r="G655" i="7"/>
  <c r="I655" i="7" s="1"/>
  <c r="G654" i="7"/>
  <c r="I654" i="7" s="1"/>
  <c r="G653" i="7"/>
  <c r="I653" i="7" s="1"/>
  <c r="G652" i="7"/>
  <c r="I652" i="7" s="1"/>
  <c r="G651" i="7"/>
  <c r="I651" i="7" s="1"/>
  <c r="G650" i="7"/>
  <c r="I650" i="7" s="1"/>
  <c r="G649" i="7"/>
  <c r="I649" i="7" s="1"/>
  <c r="G648" i="7"/>
  <c r="I648" i="7" s="1"/>
  <c r="G647" i="7"/>
  <c r="I647" i="7" s="1"/>
  <c r="G646" i="7"/>
  <c r="I646" i="7" s="1"/>
  <c r="G645" i="7"/>
  <c r="I645" i="7" s="1"/>
  <c r="G644" i="7"/>
  <c r="I644" i="7" s="1"/>
  <c r="G643" i="7"/>
  <c r="I643" i="7" s="1"/>
  <c r="G642" i="7"/>
  <c r="I642" i="7" s="1"/>
  <c r="G641" i="7"/>
  <c r="I641" i="7" s="1"/>
  <c r="G640" i="7"/>
  <c r="I640" i="7" s="1"/>
  <c r="G639" i="7"/>
  <c r="I639" i="7" s="1"/>
  <c r="G638" i="7"/>
  <c r="I638" i="7" s="1"/>
  <c r="G637" i="7"/>
  <c r="I637" i="7" s="1"/>
  <c r="G636" i="7"/>
  <c r="I636" i="7" s="1"/>
  <c r="G635" i="7"/>
  <c r="I635" i="7" s="1"/>
  <c r="G634" i="7"/>
  <c r="I634" i="7" s="1"/>
  <c r="G633" i="7"/>
  <c r="I633" i="7" s="1"/>
  <c r="G632" i="7"/>
  <c r="I632" i="7" s="1"/>
  <c r="G631" i="7"/>
  <c r="I631" i="7" s="1"/>
  <c r="G630" i="7"/>
  <c r="I630" i="7" s="1"/>
  <c r="G629" i="7"/>
  <c r="I629" i="7" s="1"/>
  <c r="G628" i="7"/>
  <c r="I628" i="7" s="1"/>
  <c r="G627" i="7"/>
  <c r="I627" i="7" s="1"/>
  <c r="G626" i="7"/>
  <c r="I626" i="7" s="1"/>
  <c r="G625" i="7"/>
  <c r="I625" i="7" s="1"/>
  <c r="G624" i="7"/>
  <c r="I624" i="7" s="1"/>
  <c r="G623" i="7"/>
  <c r="I623" i="7" s="1"/>
  <c r="G622" i="7"/>
  <c r="I622" i="7" s="1"/>
  <c r="G621" i="7"/>
  <c r="I621" i="7" s="1"/>
  <c r="G620" i="7"/>
  <c r="I620" i="7" s="1"/>
  <c r="G619" i="7"/>
  <c r="I619" i="7" s="1"/>
  <c r="G618" i="7"/>
  <c r="I618" i="7" s="1"/>
  <c r="G617" i="7"/>
  <c r="I617" i="7" s="1"/>
  <c r="G616" i="7"/>
  <c r="I616" i="7" s="1"/>
  <c r="G615" i="7"/>
  <c r="I615" i="7" s="1"/>
  <c r="G614" i="7"/>
  <c r="I614" i="7" s="1"/>
  <c r="G613" i="7"/>
  <c r="I613" i="7" s="1"/>
  <c r="G612" i="7"/>
  <c r="I612" i="7" s="1"/>
  <c r="G611" i="7"/>
  <c r="I611" i="7" s="1"/>
  <c r="G610" i="7"/>
  <c r="I610" i="7" s="1"/>
  <c r="G609" i="7"/>
  <c r="I609" i="7" s="1"/>
  <c r="G608" i="7"/>
  <c r="I608" i="7" s="1"/>
  <c r="G607" i="7"/>
  <c r="I607" i="7" s="1"/>
  <c r="G606" i="7"/>
  <c r="I606" i="7" s="1"/>
  <c r="G605" i="7"/>
  <c r="I605" i="7" s="1"/>
  <c r="G604" i="7"/>
  <c r="I604" i="7" s="1"/>
  <c r="G603" i="7"/>
  <c r="I603" i="7" s="1"/>
  <c r="G602" i="7"/>
  <c r="I602" i="7" s="1"/>
  <c r="G601" i="7"/>
  <c r="I601" i="7" s="1"/>
  <c r="G600" i="7"/>
  <c r="I600" i="7" s="1"/>
  <c r="G599" i="7"/>
  <c r="I599" i="7" s="1"/>
  <c r="G598" i="7"/>
  <c r="I598" i="7" s="1"/>
  <c r="G597" i="7"/>
  <c r="I597" i="7" s="1"/>
  <c r="G596" i="7"/>
  <c r="I596" i="7" s="1"/>
  <c r="G595" i="7"/>
  <c r="I595" i="7" s="1"/>
  <c r="G594" i="7"/>
  <c r="I594" i="7" s="1"/>
  <c r="G593" i="7"/>
  <c r="I593" i="7" s="1"/>
  <c r="G592" i="7"/>
  <c r="I592" i="7" s="1"/>
  <c r="G591" i="7"/>
  <c r="I591" i="7" s="1"/>
  <c r="G590" i="7"/>
  <c r="I590" i="7" s="1"/>
  <c r="G589" i="7"/>
  <c r="I589" i="7" s="1"/>
  <c r="G588" i="7"/>
  <c r="I588" i="7" s="1"/>
  <c r="G587" i="7"/>
  <c r="I587" i="7" s="1"/>
  <c r="G586" i="7"/>
  <c r="I586" i="7" s="1"/>
  <c r="G585" i="7"/>
  <c r="I585" i="7" s="1"/>
  <c r="G584" i="7"/>
  <c r="I584" i="7" s="1"/>
  <c r="G583" i="7"/>
  <c r="I583" i="7" s="1"/>
  <c r="G582" i="7"/>
  <c r="I582" i="7" s="1"/>
  <c r="G581" i="7"/>
  <c r="I581" i="7" s="1"/>
  <c r="G580" i="7"/>
  <c r="I580" i="7" s="1"/>
  <c r="G579" i="7"/>
  <c r="I579" i="7" s="1"/>
  <c r="G578" i="7"/>
  <c r="I578" i="7" s="1"/>
  <c r="G577" i="7"/>
  <c r="I577" i="7" s="1"/>
  <c r="G576" i="7"/>
  <c r="I576" i="7" s="1"/>
  <c r="G575" i="7"/>
  <c r="I575" i="7" s="1"/>
  <c r="G574" i="7"/>
  <c r="I574" i="7" s="1"/>
  <c r="G573" i="7"/>
  <c r="I573" i="7" s="1"/>
  <c r="G572" i="7"/>
  <c r="I572" i="7" s="1"/>
  <c r="G571" i="7"/>
  <c r="I571" i="7" s="1"/>
  <c r="G570" i="7"/>
  <c r="I570" i="7" s="1"/>
  <c r="G569" i="7"/>
  <c r="I569" i="7" s="1"/>
  <c r="G568" i="7"/>
  <c r="I568" i="7" s="1"/>
  <c r="G567" i="7"/>
  <c r="I567" i="7" s="1"/>
  <c r="G566" i="7"/>
  <c r="I566" i="7" s="1"/>
  <c r="G565" i="7"/>
  <c r="I565" i="7" s="1"/>
  <c r="G564" i="7"/>
  <c r="I564" i="7" s="1"/>
  <c r="G563" i="7"/>
  <c r="I563" i="7" s="1"/>
  <c r="G562" i="7"/>
  <c r="I562" i="7" s="1"/>
  <c r="G561" i="7"/>
  <c r="I561" i="7" s="1"/>
  <c r="G560" i="7"/>
  <c r="I560" i="7" s="1"/>
  <c r="G559" i="7"/>
  <c r="I559" i="7" s="1"/>
  <c r="G558" i="7"/>
  <c r="I558" i="7" s="1"/>
  <c r="G557" i="7"/>
  <c r="I557" i="7" s="1"/>
  <c r="G556" i="7"/>
  <c r="I556" i="7" s="1"/>
  <c r="G555" i="7"/>
  <c r="I555" i="7" s="1"/>
  <c r="G554" i="7"/>
  <c r="I554" i="7" s="1"/>
  <c r="G553" i="7"/>
  <c r="I553" i="7" s="1"/>
  <c r="G552" i="7"/>
  <c r="I552" i="7" s="1"/>
  <c r="G551" i="7"/>
  <c r="I551" i="7" s="1"/>
  <c r="G550" i="7"/>
  <c r="I550" i="7" s="1"/>
  <c r="G549" i="7"/>
  <c r="I549" i="7" s="1"/>
  <c r="G548" i="7"/>
  <c r="I548" i="7" s="1"/>
  <c r="G547" i="7"/>
  <c r="I547" i="7" s="1"/>
  <c r="G546" i="7"/>
  <c r="I546" i="7" s="1"/>
  <c r="G545" i="7"/>
  <c r="I545" i="7" s="1"/>
  <c r="G544" i="7"/>
  <c r="I544" i="7" s="1"/>
  <c r="G543" i="7"/>
  <c r="I543" i="7" s="1"/>
  <c r="G542" i="7"/>
  <c r="I542" i="7" s="1"/>
  <c r="G541" i="7"/>
  <c r="I541" i="7" s="1"/>
  <c r="G540" i="7"/>
  <c r="I540" i="7" s="1"/>
  <c r="G539" i="7"/>
  <c r="I539" i="7" s="1"/>
  <c r="G538" i="7"/>
  <c r="I538" i="7" s="1"/>
  <c r="G537" i="7"/>
  <c r="I537" i="7" s="1"/>
  <c r="G536" i="7"/>
  <c r="I536" i="7" s="1"/>
  <c r="G535" i="7"/>
  <c r="I535" i="7" s="1"/>
  <c r="G534" i="7"/>
  <c r="I534" i="7" s="1"/>
  <c r="G533" i="7"/>
  <c r="I533" i="7" s="1"/>
  <c r="G532" i="7"/>
  <c r="I532" i="7" s="1"/>
  <c r="G531" i="7"/>
  <c r="I531" i="7" s="1"/>
  <c r="G530" i="7"/>
  <c r="I530" i="7" s="1"/>
  <c r="G529" i="7"/>
  <c r="I529" i="7" s="1"/>
  <c r="G528" i="7"/>
  <c r="I528" i="7" s="1"/>
  <c r="G527" i="7"/>
  <c r="I527" i="7" s="1"/>
  <c r="G526" i="7"/>
  <c r="I526" i="7" s="1"/>
  <c r="G525" i="7"/>
  <c r="I525" i="7" s="1"/>
  <c r="G524" i="7"/>
  <c r="I524" i="7" s="1"/>
  <c r="G523" i="7"/>
  <c r="I523" i="7" s="1"/>
  <c r="G522" i="7"/>
  <c r="I522" i="7" s="1"/>
  <c r="G521" i="7"/>
  <c r="I521" i="7" s="1"/>
  <c r="G520" i="7"/>
  <c r="I520" i="7" s="1"/>
  <c r="G519" i="7"/>
  <c r="I519" i="7" s="1"/>
  <c r="G518" i="7"/>
  <c r="I518" i="7" s="1"/>
  <c r="G517" i="7"/>
  <c r="I517" i="7" s="1"/>
  <c r="G516" i="7"/>
  <c r="I516" i="7" s="1"/>
  <c r="G515" i="7"/>
  <c r="I515" i="7" s="1"/>
  <c r="G514" i="7"/>
  <c r="I514" i="7" s="1"/>
  <c r="G513" i="7"/>
  <c r="I513" i="7" s="1"/>
  <c r="G512" i="7"/>
  <c r="I512" i="7" s="1"/>
  <c r="G511" i="7"/>
  <c r="I511" i="7" s="1"/>
  <c r="G510" i="7"/>
  <c r="I510" i="7" s="1"/>
  <c r="G509" i="7"/>
  <c r="I509" i="7" s="1"/>
  <c r="G508" i="7"/>
  <c r="I508" i="7" s="1"/>
  <c r="G507" i="7"/>
  <c r="I507" i="7" s="1"/>
  <c r="G506" i="7"/>
  <c r="I506" i="7" s="1"/>
  <c r="G505" i="7"/>
  <c r="I505" i="7" s="1"/>
  <c r="G504" i="7"/>
  <c r="I504" i="7" s="1"/>
  <c r="G503" i="7"/>
  <c r="I503" i="7" s="1"/>
  <c r="G502" i="7"/>
  <c r="I502" i="7" s="1"/>
  <c r="G501" i="7"/>
  <c r="I501" i="7" s="1"/>
  <c r="G500" i="7"/>
  <c r="I500" i="7" s="1"/>
  <c r="G499" i="7"/>
  <c r="I499" i="7" s="1"/>
  <c r="G498" i="7"/>
  <c r="I498" i="7" s="1"/>
  <c r="G497" i="7"/>
  <c r="I497" i="7" s="1"/>
  <c r="G496" i="7"/>
  <c r="I496" i="7" s="1"/>
  <c r="G495" i="7"/>
  <c r="I495" i="7" s="1"/>
  <c r="G494" i="7"/>
  <c r="I494" i="7" s="1"/>
  <c r="G493" i="7"/>
  <c r="I493" i="7" s="1"/>
  <c r="G492" i="7"/>
  <c r="I492" i="7" s="1"/>
  <c r="G491" i="7"/>
  <c r="I491" i="7" s="1"/>
  <c r="G490" i="7"/>
  <c r="I490" i="7" s="1"/>
  <c r="G489" i="7"/>
  <c r="I489" i="7" s="1"/>
  <c r="G488" i="7"/>
  <c r="I488" i="7" s="1"/>
  <c r="G487" i="7"/>
  <c r="I487" i="7" s="1"/>
  <c r="G486" i="7"/>
  <c r="I486" i="7" s="1"/>
  <c r="G485" i="7"/>
  <c r="I485" i="7" s="1"/>
  <c r="G484" i="7"/>
  <c r="I484" i="7" s="1"/>
  <c r="G483" i="7"/>
  <c r="I483" i="7" s="1"/>
  <c r="G482" i="7"/>
  <c r="I482" i="7" s="1"/>
  <c r="G481" i="7"/>
  <c r="I481" i="7" s="1"/>
  <c r="G480" i="7"/>
  <c r="I480" i="7" s="1"/>
  <c r="G479" i="7"/>
  <c r="I479" i="7" s="1"/>
  <c r="G478" i="7"/>
  <c r="I478" i="7" s="1"/>
  <c r="G477" i="7"/>
  <c r="I477" i="7" s="1"/>
  <c r="G476" i="7"/>
  <c r="I476" i="7" s="1"/>
  <c r="G475" i="7"/>
  <c r="I475" i="7" s="1"/>
  <c r="G474" i="7"/>
  <c r="I474" i="7" s="1"/>
  <c r="G473" i="7"/>
  <c r="I473" i="7" s="1"/>
  <c r="G472" i="7"/>
  <c r="I472" i="7" s="1"/>
  <c r="G471" i="7"/>
  <c r="G470" i="7"/>
  <c r="I470" i="7" s="1"/>
  <c r="G469" i="7"/>
  <c r="I469" i="7" s="1"/>
  <c r="G468" i="7"/>
  <c r="I468" i="7" s="1"/>
  <c r="G467" i="7"/>
  <c r="I467" i="7" s="1"/>
  <c r="G466" i="7"/>
  <c r="I466" i="7" s="1"/>
  <c r="G465" i="7"/>
  <c r="I465" i="7" s="1"/>
  <c r="G464" i="7"/>
  <c r="I464" i="7" s="1"/>
  <c r="G463" i="7"/>
  <c r="I463" i="7" s="1"/>
  <c r="G462" i="7"/>
  <c r="I462" i="7" s="1"/>
  <c r="G461" i="7"/>
  <c r="I461" i="7" s="1"/>
  <c r="G460" i="7"/>
  <c r="I460" i="7" s="1"/>
  <c r="G459" i="7"/>
  <c r="I459" i="7" s="1"/>
  <c r="G458" i="7"/>
  <c r="I458" i="7" s="1"/>
  <c r="G457" i="7"/>
  <c r="I457" i="7" s="1"/>
  <c r="G456" i="7"/>
  <c r="I456" i="7" s="1"/>
  <c r="G455" i="7"/>
  <c r="I455" i="7" s="1"/>
  <c r="G454" i="7"/>
  <c r="I454" i="7" s="1"/>
  <c r="G453" i="7"/>
  <c r="I453" i="7" s="1"/>
  <c r="G452" i="7"/>
  <c r="I452" i="7" s="1"/>
  <c r="G451" i="7"/>
  <c r="I451" i="7" s="1"/>
  <c r="G450" i="7"/>
  <c r="I450" i="7" s="1"/>
  <c r="G449" i="7"/>
  <c r="I449" i="7" s="1"/>
  <c r="G448" i="7"/>
  <c r="I448" i="7" s="1"/>
  <c r="G447" i="7"/>
  <c r="I447" i="7" s="1"/>
  <c r="G446" i="7"/>
  <c r="I446" i="7" s="1"/>
  <c r="G445" i="7"/>
  <c r="I445" i="7" s="1"/>
  <c r="G444" i="7"/>
  <c r="I444" i="7" s="1"/>
  <c r="G443" i="7"/>
  <c r="I443" i="7" s="1"/>
  <c r="G442" i="7"/>
  <c r="I442" i="7" s="1"/>
  <c r="G441" i="7"/>
  <c r="I441" i="7" s="1"/>
  <c r="G440" i="7"/>
  <c r="I440" i="7" s="1"/>
  <c r="G439" i="7"/>
  <c r="I439" i="7" s="1"/>
  <c r="G438" i="7"/>
  <c r="I438" i="7" s="1"/>
  <c r="G437" i="7"/>
  <c r="I437" i="7" s="1"/>
  <c r="G436" i="7"/>
  <c r="I436" i="7" s="1"/>
  <c r="G435" i="7"/>
  <c r="I435" i="7" s="1"/>
  <c r="G434" i="7"/>
  <c r="I434" i="7" s="1"/>
  <c r="G433" i="7"/>
  <c r="I433" i="7" s="1"/>
  <c r="G432" i="7"/>
  <c r="I432" i="7" s="1"/>
  <c r="G431" i="7"/>
  <c r="I431" i="7" s="1"/>
  <c r="G430" i="7"/>
  <c r="I430" i="7" s="1"/>
  <c r="G429" i="7"/>
  <c r="I429" i="7" s="1"/>
  <c r="G428" i="7"/>
  <c r="I428" i="7" s="1"/>
  <c r="G427" i="7"/>
  <c r="I427" i="7" s="1"/>
  <c r="G426" i="7"/>
  <c r="I426" i="7" s="1"/>
  <c r="G425" i="7"/>
  <c r="I425" i="7" s="1"/>
  <c r="G424" i="7"/>
  <c r="I424" i="7" s="1"/>
  <c r="G423" i="7"/>
  <c r="I423" i="7" s="1"/>
  <c r="G422" i="7"/>
  <c r="I422" i="7" s="1"/>
  <c r="G421" i="7"/>
  <c r="I421" i="7" s="1"/>
  <c r="G420" i="7"/>
  <c r="I420" i="7" s="1"/>
  <c r="G419" i="7"/>
  <c r="I419" i="7" s="1"/>
  <c r="G418" i="7"/>
  <c r="I418" i="7" s="1"/>
  <c r="G417" i="7"/>
  <c r="I417" i="7" s="1"/>
  <c r="G416" i="7"/>
  <c r="I416" i="7" s="1"/>
  <c r="G415" i="7"/>
  <c r="I415" i="7" s="1"/>
  <c r="G414" i="7"/>
  <c r="I414" i="7" s="1"/>
  <c r="G413" i="7"/>
  <c r="I413" i="7" s="1"/>
  <c r="G412" i="7"/>
  <c r="I412" i="7" s="1"/>
  <c r="G411" i="7"/>
  <c r="I411" i="7" s="1"/>
  <c r="G410" i="7"/>
  <c r="I410" i="7" s="1"/>
  <c r="G409" i="7"/>
  <c r="I409" i="7" s="1"/>
  <c r="G408" i="7"/>
  <c r="I408" i="7" s="1"/>
  <c r="G407" i="7"/>
  <c r="I407" i="7" s="1"/>
  <c r="G406" i="7"/>
  <c r="I406" i="7" s="1"/>
  <c r="G405" i="7"/>
  <c r="I405" i="7" s="1"/>
  <c r="G404" i="7"/>
  <c r="I404" i="7" s="1"/>
  <c r="G403" i="7"/>
  <c r="I403" i="7" s="1"/>
  <c r="G402" i="7"/>
  <c r="I402" i="7" s="1"/>
  <c r="G401" i="7"/>
  <c r="I401" i="7" s="1"/>
  <c r="G400" i="7"/>
  <c r="I400" i="7" s="1"/>
  <c r="G399" i="7"/>
  <c r="I399" i="7" s="1"/>
  <c r="G398" i="7"/>
  <c r="I398" i="7" s="1"/>
  <c r="G397" i="7"/>
  <c r="I397" i="7" s="1"/>
  <c r="G396" i="7"/>
  <c r="I396" i="7" s="1"/>
  <c r="G395" i="7"/>
  <c r="I395" i="7" s="1"/>
  <c r="G394" i="7"/>
  <c r="I394" i="7" s="1"/>
  <c r="G393" i="7"/>
  <c r="I393" i="7" s="1"/>
  <c r="G392" i="7"/>
  <c r="I392" i="7" s="1"/>
  <c r="G391" i="7"/>
  <c r="I391" i="7" s="1"/>
  <c r="G390" i="7"/>
  <c r="I390" i="7" s="1"/>
  <c r="G389" i="7"/>
  <c r="I389" i="7" s="1"/>
  <c r="G388" i="7"/>
  <c r="I388" i="7" s="1"/>
  <c r="G387" i="7"/>
  <c r="I387" i="7" s="1"/>
  <c r="G386" i="7"/>
  <c r="I386" i="7" s="1"/>
  <c r="G385" i="7"/>
  <c r="I385" i="7" s="1"/>
  <c r="G384" i="7"/>
  <c r="I384" i="7" s="1"/>
  <c r="G383" i="7"/>
  <c r="I383" i="7" s="1"/>
  <c r="G382" i="7"/>
  <c r="I382" i="7" s="1"/>
  <c r="G381" i="7"/>
  <c r="I381" i="7" s="1"/>
  <c r="G380" i="7"/>
  <c r="I380" i="7" s="1"/>
  <c r="G379" i="7"/>
  <c r="I379" i="7" s="1"/>
  <c r="G378" i="7"/>
  <c r="I378" i="7" s="1"/>
  <c r="G377" i="7"/>
  <c r="I377" i="7" s="1"/>
  <c r="G376" i="7"/>
  <c r="I376" i="7" s="1"/>
  <c r="G375" i="7"/>
  <c r="I375" i="7" s="1"/>
  <c r="G374" i="7"/>
  <c r="I374" i="7" s="1"/>
  <c r="G373" i="7"/>
  <c r="I373" i="7" s="1"/>
  <c r="G372" i="7"/>
  <c r="I372" i="7" s="1"/>
  <c r="G371" i="7"/>
  <c r="I371" i="7" s="1"/>
  <c r="G370" i="7"/>
  <c r="I370" i="7" s="1"/>
  <c r="G369" i="7"/>
  <c r="I369" i="7" s="1"/>
  <c r="G368" i="7"/>
  <c r="I368" i="7" s="1"/>
  <c r="G367" i="7"/>
  <c r="I367" i="7" s="1"/>
  <c r="G366" i="7"/>
  <c r="I366" i="7" s="1"/>
  <c r="G365" i="7"/>
  <c r="I365" i="7" s="1"/>
  <c r="G364" i="7"/>
  <c r="I364" i="7" s="1"/>
  <c r="G363" i="7"/>
  <c r="I363" i="7" s="1"/>
  <c r="G362" i="7"/>
  <c r="I362" i="7" s="1"/>
  <c r="G361" i="7"/>
  <c r="I361" i="7" s="1"/>
  <c r="G360" i="7"/>
  <c r="I360" i="7" s="1"/>
  <c r="G359" i="7"/>
  <c r="I359" i="7" s="1"/>
  <c r="G358" i="7"/>
  <c r="I358" i="7" s="1"/>
  <c r="G357" i="7"/>
  <c r="I357" i="7" s="1"/>
  <c r="G356" i="7"/>
  <c r="I356" i="7" s="1"/>
  <c r="G355" i="7"/>
  <c r="I355" i="7" s="1"/>
  <c r="G354" i="7"/>
  <c r="I354" i="7" s="1"/>
  <c r="G353" i="7"/>
  <c r="I353" i="7" s="1"/>
  <c r="G352" i="7"/>
  <c r="I352" i="7" s="1"/>
  <c r="G351" i="7"/>
  <c r="I351" i="7" s="1"/>
  <c r="G350" i="7"/>
  <c r="I350" i="7" s="1"/>
  <c r="G349" i="7"/>
  <c r="I349" i="7" s="1"/>
  <c r="G348" i="7"/>
  <c r="I348" i="7" s="1"/>
  <c r="G347" i="7"/>
  <c r="I347" i="7" s="1"/>
  <c r="G346" i="7"/>
  <c r="I346" i="7" s="1"/>
  <c r="G345" i="7"/>
  <c r="I345" i="7" s="1"/>
  <c r="G344" i="7"/>
  <c r="I344" i="7" s="1"/>
  <c r="G343" i="7"/>
  <c r="I343" i="7" s="1"/>
  <c r="G342" i="7"/>
  <c r="I342" i="7" s="1"/>
  <c r="G341" i="7"/>
  <c r="I341" i="7" s="1"/>
  <c r="G340" i="7"/>
  <c r="I340" i="7" s="1"/>
  <c r="G339" i="7"/>
  <c r="I339" i="7" s="1"/>
  <c r="G338" i="7"/>
  <c r="I338" i="7" s="1"/>
  <c r="G337" i="7"/>
  <c r="I337" i="7" s="1"/>
  <c r="G336" i="7"/>
  <c r="I336" i="7" s="1"/>
  <c r="G335" i="7"/>
  <c r="I335" i="7" s="1"/>
  <c r="G334" i="7"/>
  <c r="I334" i="7" s="1"/>
  <c r="G333" i="7"/>
  <c r="I333" i="7" s="1"/>
  <c r="G332" i="7"/>
  <c r="I332" i="7" s="1"/>
  <c r="G331" i="7"/>
  <c r="I331" i="7" s="1"/>
  <c r="G330" i="7"/>
  <c r="I330" i="7" s="1"/>
  <c r="G329" i="7"/>
  <c r="I329" i="7" s="1"/>
  <c r="G328" i="7"/>
  <c r="I328" i="7" s="1"/>
  <c r="G327" i="7"/>
  <c r="I327" i="7" s="1"/>
  <c r="G326" i="7"/>
  <c r="I326" i="7" s="1"/>
  <c r="G325" i="7"/>
  <c r="I325" i="7" s="1"/>
  <c r="G324" i="7"/>
  <c r="I324" i="7" s="1"/>
  <c r="G323" i="7"/>
  <c r="I323" i="7" s="1"/>
  <c r="G322" i="7"/>
  <c r="I322" i="7" s="1"/>
  <c r="G321" i="7"/>
  <c r="I321" i="7" s="1"/>
  <c r="G320" i="7"/>
  <c r="I320" i="7" s="1"/>
  <c r="G319" i="7"/>
  <c r="I319" i="7" s="1"/>
  <c r="G318" i="7"/>
  <c r="I318" i="7" s="1"/>
  <c r="G317" i="7"/>
  <c r="I317" i="7" s="1"/>
  <c r="G316" i="7"/>
  <c r="I316" i="7" s="1"/>
  <c r="G315" i="7"/>
  <c r="I315" i="7" s="1"/>
  <c r="G314" i="7"/>
  <c r="I314" i="7" s="1"/>
  <c r="G313" i="7"/>
  <c r="I313" i="7" s="1"/>
  <c r="G312" i="7"/>
  <c r="I312" i="7" s="1"/>
  <c r="G311" i="7"/>
  <c r="I311" i="7" s="1"/>
  <c r="G310" i="7"/>
  <c r="I310" i="7" s="1"/>
  <c r="G309" i="7"/>
  <c r="I309" i="7" s="1"/>
  <c r="G308" i="7"/>
  <c r="I308" i="7" s="1"/>
  <c r="G307" i="7"/>
  <c r="I307" i="7" s="1"/>
  <c r="G306" i="7"/>
  <c r="I306" i="7" s="1"/>
  <c r="G305" i="7"/>
  <c r="I305" i="7" s="1"/>
  <c r="G304" i="7"/>
  <c r="I304" i="7" s="1"/>
  <c r="G303" i="7"/>
  <c r="I303" i="7" s="1"/>
  <c r="G302" i="7"/>
  <c r="I302" i="7" s="1"/>
  <c r="G301" i="7"/>
  <c r="I301" i="7" s="1"/>
  <c r="G300" i="7"/>
  <c r="I300" i="7" s="1"/>
  <c r="G299" i="7"/>
  <c r="I299" i="7" s="1"/>
  <c r="G298" i="7"/>
  <c r="I298" i="7" s="1"/>
  <c r="G297" i="7"/>
  <c r="I297" i="7" s="1"/>
  <c r="G296" i="7"/>
  <c r="I296" i="7" s="1"/>
  <c r="G295" i="7"/>
  <c r="I295" i="7" s="1"/>
  <c r="G294" i="7"/>
  <c r="I294" i="7" s="1"/>
  <c r="G293" i="7"/>
  <c r="I293" i="7" s="1"/>
  <c r="G292" i="7"/>
  <c r="I292" i="7" s="1"/>
  <c r="G291" i="7"/>
  <c r="I291" i="7" s="1"/>
  <c r="G290" i="7"/>
  <c r="I290" i="7" s="1"/>
  <c r="G289" i="7"/>
  <c r="I289" i="7" s="1"/>
  <c r="G288" i="7"/>
  <c r="I288" i="7" s="1"/>
  <c r="G287" i="7"/>
  <c r="I287" i="7" s="1"/>
  <c r="G286" i="7"/>
  <c r="I286" i="7" s="1"/>
  <c r="G285" i="7"/>
  <c r="I285" i="7" s="1"/>
  <c r="G284" i="7"/>
  <c r="I284" i="7" s="1"/>
  <c r="G283" i="7"/>
  <c r="I283" i="7" s="1"/>
  <c r="G282" i="7"/>
  <c r="I282" i="7" s="1"/>
  <c r="G281" i="7"/>
  <c r="I281" i="7" s="1"/>
  <c r="G280" i="7"/>
  <c r="I280" i="7" s="1"/>
  <c r="G279" i="7"/>
  <c r="I279" i="7" s="1"/>
  <c r="G278" i="7"/>
  <c r="I278" i="7" s="1"/>
  <c r="G277" i="7"/>
  <c r="I277" i="7" s="1"/>
  <c r="G276" i="7"/>
  <c r="I276" i="7" s="1"/>
  <c r="G275" i="7"/>
  <c r="I275" i="7" s="1"/>
  <c r="G274" i="7"/>
  <c r="I274" i="7" s="1"/>
  <c r="G273" i="7"/>
  <c r="I273" i="7" s="1"/>
  <c r="G272" i="7"/>
  <c r="I272" i="7" s="1"/>
  <c r="G271" i="7"/>
  <c r="I271" i="7" s="1"/>
  <c r="G270" i="7"/>
  <c r="I270" i="7" s="1"/>
  <c r="G269" i="7"/>
  <c r="I269" i="7" s="1"/>
  <c r="G268" i="7"/>
  <c r="I268" i="7" s="1"/>
  <c r="G267" i="7"/>
  <c r="I267" i="7" s="1"/>
  <c r="G266" i="7"/>
  <c r="I266" i="7" s="1"/>
  <c r="G265" i="7"/>
  <c r="I265" i="7" s="1"/>
  <c r="G264" i="7"/>
  <c r="I264" i="7" s="1"/>
  <c r="G263" i="7"/>
  <c r="I263" i="7" s="1"/>
  <c r="G262" i="7"/>
  <c r="I262" i="7" s="1"/>
  <c r="G261" i="7"/>
  <c r="I261" i="7" s="1"/>
  <c r="G260" i="7"/>
  <c r="I260" i="7" s="1"/>
  <c r="G259" i="7"/>
  <c r="I259" i="7" s="1"/>
  <c r="G258" i="7"/>
  <c r="I258" i="7" s="1"/>
  <c r="G257" i="7"/>
  <c r="I257" i="7" s="1"/>
  <c r="G256" i="7"/>
  <c r="I256" i="7" s="1"/>
  <c r="G255" i="7"/>
  <c r="I255" i="7" s="1"/>
  <c r="G254" i="7"/>
  <c r="I254" i="7" s="1"/>
  <c r="G253" i="7"/>
  <c r="I253" i="7" s="1"/>
  <c r="G252" i="7"/>
  <c r="I252" i="7" s="1"/>
  <c r="G251" i="7"/>
  <c r="I251" i="7" s="1"/>
  <c r="G250" i="7"/>
  <c r="I250" i="7" s="1"/>
  <c r="G249" i="7"/>
  <c r="I249" i="7" s="1"/>
  <c r="G248" i="7"/>
  <c r="I248" i="7" s="1"/>
  <c r="G247" i="7"/>
  <c r="I247" i="7" s="1"/>
  <c r="G246" i="7"/>
  <c r="I246" i="7" s="1"/>
  <c r="G245" i="7"/>
  <c r="I245" i="7" s="1"/>
  <c r="G244" i="7"/>
  <c r="I244" i="7" s="1"/>
  <c r="G243" i="7"/>
  <c r="I243" i="7" s="1"/>
  <c r="G242" i="7"/>
  <c r="I242" i="7" s="1"/>
  <c r="G241" i="7"/>
  <c r="I241" i="7" s="1"/>
  <c r="G240" i="7"/>
  <c r="I240" i="7" s="1"/>
  <c r="G239" i="7"/>
  <c r="I239" i="7" s="1"/>
  <c r="G238" i="7"/>
  <c r="I238" i="7" s="1"/>
  <c r="G237" i="7"/>
  <c r="I237" i="7" s="1"/>
  <c r="G236" i="7"/>
  <c r="I236" i="7" s="1"/>
  <c r="G235" i="7"/>
  <c r="I235" i="7" s="1"/>
  <c r="G234" i="7"/>
  <c r="I234" i="7" s="1"/>
  <c r="G233" i="7"/>
  <c r="I233" i="7" s="1"/>
  <c r="G232" i="7"/>
  <c r="I232" i="7" s="1"/>
  <c r="G231" i="7"/>
  <c r="I231" i="7" s="1"/>
  <c r="G230" i="7"/>
  <c r="I230" i="7" s="1"/>
  <c r="G229" i="7"/>
  <c r="I229" i="7" s="1"/>
  <c r="G228" i="7"/>
  <c r="I228" i="7" s="1"/>
  <c r="G227" i="7"/>
  <c r="I227" i="7" s="1"/>
  <c r="G226" i="7"/>
  <c r="I226" i="7" s="1"/>
  <c r="G225" i="7"/>
  <c r="I225" i="7" s="1"/>
  <c r="G224" i="7"/>
  <c r="I224" i="7" s="1"/>
  <c r="G223" i="7"/>
  <c r="I223" i="7" s="1"/>
  <c r="G222" i="7"/>
  <c r="I222" i="7" s="1"/>
  <c r="G221" i="7"/>
  <c r="I221" i="7" s="1"/>
  <c r="G220" i="7"/>
  <c r="I220" i="7" s="1"/>
  <c r="G219" i="7"/>
  <c r="I219" i="7" s="1"/>
  <c r="G218" i="7"/>
  <c r="I218" i="7" s="1"/>
  <c r="G217" i="7"/>
  <c r="I217" i="7" s="1"/>
  <c r="G216" i="7"/>
  <c r="I216" i="7" s="1"/>
  <c r="G215" i="7"/>
  <c r="I215" i="7" s="1"/>
  <c r="G214" i="7"/>
  <c r="I214" i="7" s="1"/>
  <c r="G213" i="7"/>
  <c r="I213" i="7" s="1"/>
  <c r="G212" i="7"/>
  <c r="I212" i="7" s="1"/>
  <c r="G211" i="7"/>
  <c r="I211" i="7" s="1"/>
  <c r="G210" i="7"/>
  <c r="I210" i="7" s="1"/>
  <c r="G209" i="7"/>
  <c r="I209" i="7" s="1"/>
  <c r="G208" i="7"/>
  <c r="I208" i="7" s="1"/>
  <c r="G207" i="7"/>
  <c r="I207" i="7" s="1"/>
  <c r="G206" i="7"/>
  <c r="I206" i="7" s="1"/>
  <c r="G205" i="7"/>
  <c r="I205" i="7" s="1"/>
  <c r="G204" i="7"/>
  <c r="I204" i="7" s="1"/>
  <c r="G203" i="7"/>
  <c r="I203" i="7" s="1"/>
  <c r="G202" i="7"/>
  <c r="I202" i="7" s="1"/>
  <c r="G201" i="7"/>
  <c r="I201" i="7" s="1"/>
  <c r="G200" i="7"/>
  <c r="I200" i="7" s="1"/>
  <c r="G199" i="7"/>
  <c r="I199" i="7" s="1"/>
  <c r="G198" i="7"/>
  <c r="I198" i="7" s="1"/>
  <c r="G197" i="7"/>
  <c r="I196" i="7" a="1"/>
  <c r="I196" i="7"/>
  <c r="G196" i="7"/>
  <c r="I197" i="7" s="1" a="1"/>
  <c r="I197" i="7" s="1"/>
  <c r="G195" i="7"/>
  <c r="I195" i="7" s="1"/>
  <c r="G194" i="7"/>
  <c r="I194" i="7" s="1"/>
  <c r="G193" i="7"/>
  <c r="I193" i="7" s="1"/>
  <c r="G192" i="7"/>
  <c r="I192" i="7" s="1"/>
  <c r="G191" i="7"/>
  <c r="I191" i="7" s="1"/>
  <c r="G190" i="7"/>
  <c r="I190" i="7" s="1"/>
  <c r="G189" i="7"/>
  <c r="I189" i="7" s="1"/>
  <c r="G188" i="7"/>
  <c r="I188" i="7" s="1"/>
  <c r="G187" i="7"/>
  <c r="I187" i="7" s="1"/>
  <c r="G186" i="7"/>
  <c r="I186" i="7" s="1"/>
  <c r="G185" i="7"/>
  <c r="I185" i="7" s="1"/>
  <c r="G184" i="7"/>
  <c r="I184" i="7" s="1"/>
  <c r="G183" i="7"/>
  <c r="I183" i="7" s="1"/>
  <c r="G182" i="7"/>
  <c r="I182" i="7" s="1"/>
  <c r="G181" i="7"/>
  <c r="I181" i="7" s="1"/>
  <c r="G180" i="7"/>
  <c r="I180" i="7" s="1"/>
  <c r="G179" i="7"/>
  <c r="I179" i="7" s="1"/>
  <c r="G178" i="7"/>
  <c r="I178" i="7" s="1"/>
  <c r="G177" i="7"/>
  <c r="I177" i="7" s="1"/>
  <c r="G176" i="7"/>
  <c r="I176" i="7" s="1"/>
  <c r="G175" i="7"/>
  <c r="I175" i="7" s="1"/>
  <c r="G174" i="7"/>
  <c r="I174" i="7" s="1"/>
  <c r="G173" i="7"/>
  <c r="I173" i="7" s="1"/>
  <c r="G172" i="7"/>
  <c r="I172" i="7" s="1"/>
  <c r="G171" i="7"/>
  <c r="I171" i="7" s="1"/>
  <c r="G170" i="7"/>
  <c r="I170" i="7" s="1"/>
  <c r="G169" i="7"/>
  <c r="I169" i="7" s="1"/>
  <c r="G168" i="7"/>
  <c r="I168" i="7" s="1"/>
  <c r="G167" i="7"/>
  <c r="I167" i="7" s="1"/>
  <c r="G166" i="7"/>
  <c r="I166" i="7" s="1"/>
  <c r="G165" i="7"/>
  <c r="I165" i="7" s="1"/>
  <c r="G164" i="7"/>
  <c r="I164" i="7" s="1"/>
  <c r="G163" i="7"/>
  <c r="I163" i="7" s="1"/>
  <c r="G162" i="7"/>
  <c r="I162" i="7" s="1"/>
  <c r="G161" i="7"/>
  <c r="I161" i="7" s="1"/>
  <c r="G160" i="7"/>
  <c r="I160" i="7" s="1"/>
  <c r="G159" i="7"/>
  <c r="I159" i="7" s="1"/>
  <c r="G158" i="7"/>
  <c r="I158" i="7" s="1"/>
  <c r="G157" i="7"/>
  <c r="I157" i="7" s="1"/>
  <c r="G156" i="7"/>
  <c r="I156" i="7" s="1"/>
  <c r="G155" i="7"/>
  <c r="I155" i="7" s="1"/>
  <c r="G154" i="7"/>
  <c r="I154" i="7" s="1"/>
  <c r="G153" i="7"/>
  <c r="I153" i="7" s="1"/>
  <c r="G152" i="7"/>
  <c r="I152" i="7" s="1"/>
  <c r="G151" i="7"/>
  <c r="I151" i="7" s="1"/>
  <c r="G150" i="7"/>
  <c r="I150" i="7" s="1"/>
  <c r="G149" i="7"/>
  <c r="I149" i="7" s="1"/>
  <c r="G148" i="7"/>
  <c r="I148" i="7" s="1"/>
  <c r="G147" i="7"/>
  <c r="I147" i="7" s="1"/>
  <c r="G146" i="7"/>
  <c r="I146" i="7" s="1"/>
  <c r="G145" i="7"/>
  <c r="I145" i="7" s="1"/>
  <c r="G144" i="7"/>
  <c r="I144" i="7" s="1"/>
  <c r="G143" i="7"/>
  <c r="I143" i="7" s="1"/>
  <c r="G142" i="7"/>
  <c r="I142" i="7" s="1"/>
  <c r="G141" i="7"/>
  <c r="I141" i="7" s="1"/>
  <c r="G140" i="7"/>
  <c r="I140" i="7" s="1"/>
  <c r="G139" i="7"/>
  <c r="I139" i="7" s="1"/>
  <c r="G138" i="7"/>
  <c r="I138" i="7" s="1"/>
  <c r="G137" i="7"/>
  <c r="I137" i="7" s="1"/>
  <c r="G136" i="7"/>
  <c r="I136" i="7" s="1"/>
  <c r="G135" i="7"/>
  <c r="I135" i="7" s="1"/>
  <c r="G134" i="7"/>
  <c r="I134" i="7" s="1"/>
  <c r="G133" i="7"/>
  <c r="I133" i="7" s="1"/>
  <c r="G132" i="7"/>
  <c r="I132" i="7" s="1"/>
  <c r="G131" i="7"/>
  <c r="I131" i="7" s="1"/>
  <c r="G130" i="7"/>
  <c r="I130" i="7" s="1"/>
  <c r="G129" i="7"/>
  <c r="I129" i="7" s="1"/>
  <c r="G128" i="7"/>
  <c r="I128" i="7" s="1"/>
  <c r="G127" i="7"/>
  <c r="I127" i="7" s="1"/>
  <c r="G126" i="7"/>
  <c r="I126" i="7" s="1"/>
  <c r="G125" i="7"/>
  <c r="I125" i="7" s="1"/>
  <c r="G124" i="7"/>
  <c r="I124" i="7" s="1"/>
  <c r="G123" i="7"/>
  <c r="I123" i="7" s="1"/>
  <c r="G122" i="7"/>
  <c r="I122" i="7" s="1"/>
  <c r="G121" i="7"/>
  <c r="I121" i="7" s="1"/>
  <c r="G120" i="7"/>
  <c r="I120" i="7" s="1"/>
  <c r="G119" i="7"/>
  <c r="I119" i="7" s="1"/>
  <c r="G118" i="7"/>
  <c r="I118" i="7" s="1"/>
  <c r="G117" i="7"/>
  <c r="I117" i="7" s="1"/>
  <c r="G116" i="7"/>
  <c r="I116" i="7" s="1"/>
  <c r="G115" i="7"/>
  <c r="I115" i="7" s="1"/>
  <c r="G114" i="7"/>
  <c r="I114" i="7" s="1"/>
  <c r="G113" i="7"/>
  <c r="I113" i="7" s="1"/>
  <c r="G112" i="7"/>
  <c r="I112" i="7" s="1"/>
  <c r="G111" i="7"/>
  <c r="I111" i="7" s="1"/>
  <c r="G110" i="7"/>
  <c r="I110" i="7" s="1"/>
  <c r="G109" i="7"/>
  <c r="I109" i="7" s="1"/>
  <c r="G108" i="7"/>
  <c r="I108" i="7" s="1"/>
  <c r="G107" i="7"/>
  <c r="I107" i="7" s="1"/>
  <c r="G106" i="7"/>
  <c r="I106" i="7" s="1"/>
  <c r="G105" i="7"/>
  <c r="I105" i="7" s="1"/>
  <c r="G104" i="7"/>
  <c r="I104" i="7" s="1"/>
  <c r="G103" i="7"/>
  <c r="I103" i="7" s="1"/>
  <c r="G102" i="7"/>
  <c r="I102" i="7" s="1"/>
  <c r="G101" i="7"/>
  <c r="I101" i="7" s="1"/>
  <c r="G100" i="7"/>
  <c r="I100" i="7" s="1"/>
  <c r="G99" i="7"/>
  <c r="I99" i="7" s="1"/>
  <c r="G98" i="7"/>
  <c r="I98" i="7" s="1"/>
  <c r="G97" i="7"/>
  <c r="I97" i="7" s="1"/>
  <c r="G96" i="7"/>
  <c r="I96" i="7" s="1"/>
  <c r="G95" i="7"/>
  <c r="I95" i="7" s="1"/>
  <c r="G94" i="7"/>
  <c r="I94" i="7" s="1"/>
  <c r="G93" i="7"/>
  <c r="I93" i="7" s="1"/>
  <c r="G92" i="7"/>
  <c r="I92" i="7" s="1"/>
  <c r="G91" i="7"/>
  <c r="I91" i="7" s="1"/>
  <c r="G90" i="7"/>
  <c r="I90" i="7" s="1"/>
  <c r="G89" i="7"/>
  <c r="I89" i="7" s="1"/>
  <c r="G88" i="7"/>
  <c r="I88" i="7" s="1"/>
  <c r="G87" i="7"/>
  <c r="I87" i="7" s="1"/>
  <c r="G86" i="7"/>
  <c r="I86" i="7" s="1"/>
  <c r="G85" i="7"/>
  <c r="I85" i="7" s="1"/>
  <c r="G84" i="7"/>
  <c r="I84" i="7" s="1"/>
  <c r="G83" i="7"/>
  <c r="I83" i="7" s="1"/>
  <c r="G82" i="7"/>
  <c r="I82" i="7" s="1"/>
  <c r="G81" i="7"/>
  <c r="I81" i="7" s="1"/>
  <c r="G80" i="7"/>
  <c r="I80" i="7" s="1"/>
  <c r="G79" i="7"/>
  <c r="I79" i="7" s="1"/>
  <c r="G78" i="7"/>
  <c r="I78" i="7" s="1"/>
  <c r="G77" i="7"/>
  <c r="I77" i="7" s="1"/>
  <c r="G76" i="7"/>
  <c r="I76" i="7" s="1"/>
  <c r="G75" i="7"/>
  <c r="I75" i="7" s="1"/>
  <c r="G74" i="7"/>
  <c r="I74" i="7" s="1"/>
  <c r="G73" i="7"/>
  <c r="I73" i="7" s="1"/>
  <c r="G72" i="7"/>
  <c r="I72" i="7" s="1"/>
  <c r="G71" i="7"/>
  <c r="I71" i="7" s="1"/>
  <c r="G70" i="7"/>
  <c r="I70" i="7" s="1"/>
  <c r="G69" i="7"/>
  <c r="I69" i="7" s="1"/>
  <c r="G68" i="7"/>
  <c r="I68" i="7" s="1"/>
  <c r="G67" i="7"/>
  <c r="I67" i="7" s="1"/>
  <c r="G66" i="7"/>
  <c r="I66" i="7" s="1"/>
  <c r="G65" i="7"/>
  <c r="I65" i="7" s="1"/>
  <c r="G64" i="7"/>
  <c r="I64" i="7" s="1"/>
  <c r="G63" i="7"/>
  <c r="I63" i="7" s="1"/>
  <c r="G62" i="7"/>
  <c r="I62" i="7" s="1"/>
  <c r="G61" i="7"/>
  <c r="I61" i="7" s="1"/>
  <c r="G60" i="7"/>
  <c r="I60" i="7" s="1"/>
  <c r="G59" i="7"/>
  <c r="I59" i="7" s="1"/>
  <c r="G58" i="7"/>
  <c r="I58" i="7" s="1"/>
  <c r="G57" i="7"/>
  <c r="I57" i="7" s="1"/>
  <c r="G56" i="7"/>
  <c r="I56" i="7" s="1"/>
  <c r="G55" i="7"/>
  <c r="I55" i="7" s="1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G4" i="5"/>
  <c r="I4" i="5" s="1"/>
  <c r="I161" i="4"/>
  <c r="L161" i="4"/>
  <c r="I149" i="4"/>
  <c r="L149" i="4"/>
  <c r="O138" i="4"/>
  <c r="I137" i="4"/>
  <c r="L137" i="4"/>
  <c r="O126" i="4"/>
  <c r="I125" i="4"/>
  <c r="L125" i="4"/>
  <c r="O114" i="4"/>
  <c r="I113" i="4"/>
  <c r="L113" i="4"/>
  <c r="O102" i="4"/>
  <c r="I101" i="4"/>
  <c r="L101" i="4"/>
  <c r="L89" i="4"/>
  <c r="I89" i="4"/>
  <c r="L77" i="4"/>
  <c r="I77" i="4"/>
  <c r="L65" i="4"/>
  <c r="I65" i="4"/>
  <c r="L53" i="4"/>
  <c r="I53" i="4"/>
  <c r="L41" i="4"/>
  <c r="H40" i="4"/>
  <c r="F40" i="4"/>
  <c r="H39" i="4"/>
  <c r="F39" i="4"/>
  <c r="H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L29" i="4"/>
  <c r="I29" i="4"/>
  <c r="H29" i="4"/>
  <c r="F21" i="4"/>
  <c r="H21" i="4" s="1"/>
  <c r="H20" i="4"/>
  <c r="F19" i="4"/>
  <c r="H19" i="4" s="1"/>
  <c r="F18" i="4"/>
  <c r="H18" i="4" s="1"/>
  <c r="F17" i="4"/>
  <c r="H17" i="4" s="1"/>
  <c r="I16" i="4"/>
  <c r="H16" i="4"/>
  <c r="L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I4" i="4"/>
  <c r="H4" i="4"/>
  <c r="L4" i="4" s="1"/>
  <c r="G77" i="3"/>
  <c r="I77" i="3" s="1"/>
  <c r="G65" i="3"/>
  <c r="I65" i="3" s="1"/>
  <c r="G53" i="3"/>
  <c r="I53" i="3" s="1"/>
  <c r="G52" i="3"/>
  <c r="G51" i="3"/>
  <c r="G50" i="3"/>
  <c r="G49" i="3"/>
  <c r="G48" i="3"/>
  <c r="G47" i="3"/>
  <c r="G46" i="3"/>
  <c r="G45" i="3"/>
  <c r="G44" i="3"/>
  <c r="G43" i="3"/>
  <c r="G42" i="3"/>
  <c r="G41" i="3"/>
  <c r="I41" i="3" s="1"/>
  <c r="I29" i="3"/>
  <c r="G21" i="3"/>
  <c r="G20" i="3"/>
  <c r="G19" i="3"/>
  <c r="G18" i="3"/>
  <c r="G17" i="3"/>
  <c r="I17" i="3" s="1"/>
  <c r="G16" i="3"/>
  <c r="G15" i="3"/>
  <c r="G14" i="3"/>
  <c r="G13" i="3"/>
  <c r="G12" i="3"/>
  <c r="G11" i="3"/>
  <c r="G10" i="3"/>
  <c r="G9" i="3"/>
  <c r="G8" i="3"/>
  <c r="G7" i="3"/>
  <c r="G6" i="3"/>
  <c r="G5" i="3"/>
  <c r="I5" i="3" s="1"/>
  <c r="G71" i="2"/>
  <c r="G70" i="2"/>
  <c r="G69" i="2"/>
  <c r="G68" i="2"/>
  <c r="H68" i="2" s="1"/>
  <c r="J68" i="2" s="1"/>
  <c r="G67" i="2"/>
  <c r="G66" i="2"/>
  <c r="G65" i="2"/>
  <c r="G64" i="2"/>
  <c r="H64" i="2" s="1"/>
  <c r="J64" i="2" s="1"/>
  <c r="G63" i="2"/>
  <c r="G62" i="2"/>
  <c r="G61" i="2"/>
  <c r="G60" i="2"/>
  <c r="H60" i="2" s="1"/>
  <c r="J60" i="2" s="1"/>
  <c r="G59" i="2"/>
  <c r="G58" i="2"/>
  <c r="G57" i="2"/>
  <c r="G56" i="2"/>
  <c r="H56" i="2" s="1"/>
  <c r="J56" i="2" s="1"/>
  <c r="G55" i="2"/>
  <c r="G54" i="2"/>
  <c r="G53" i="2"/>
  <c r="G52" i="2"/>
  <c r="H52" i="2" s="1"/>
  <c r="J52" i="2" s="1"/>
  <c r="G51" i="2"/>
  <c r="G50" i="2"/>
  <c r="G49" i="2"/>
  <c r="G48" i="2"/>
  <c r="H48" i="2" s="1"/>
  <c r="J48" i="2" s="1"/>
  <c r="G47" i="2"/>
  <c r="G46" i="2"/>
  <c r="G45" i="2"/>
  <c r="H44" i="2"/>
  <c r="J44" i="2" s="1"/>
  <c r="G43" i="2"/>
  <c r="G42" i="2"/>
  <c r="G41" i="2"/>
  <c r="H40" i="2"/>
  <c r="J40" i="2" s="1"/>
  <c r="G39" i="2"/>
  <c r="G38" i="2"/>
  <c r="G37" i="2"/>
  <c r="G36" i="2"/>
  <c r="H36" i="2" s="1"/>
  <c r="J36" i="2" s="1"/>
  <c r="G35" i="2"/>
  <c r="G34" i="2"/>
  <c r="G33" i="2"/>
  <c r="G32" i="2"/>
  <c r="H32" i="2" s="1"/>
  <c r="J32" i="2" s="1"/>
  <c r="G31" i="2"/>
  <c r="G30" i="2"/>
  <c r="G29" i="2"/>
  <c r="G28" i="2"/>
  <c r="H28" i="2" s="1"/>
  <c r="J28" i="2" s="1"/>
  <c r="G27" i="2"/>
  <c r="G26" i="2"/>
  <c r="G25" i="2"/>
  <c r="G24" i="2"/>
  <c r="H24" i="2" s="1"/>
  <c r="J24" i="2" s="1"/>
  <c r="G23" i="2"/>
  <c r="G22" i="2"/>
  <c r="G21" i="2"/>
  <c r="G20" i="2"/>
  <c r="H20" i="2" s="1"/>
  <c r="J20" i="2" s="1"/>
  <c r="G19" i="2"/>
  <c r="G18" i="2"/>
  <c r="G17" i="2"/>
  <c r="G16" i="2"/>
  <c r="H16" i="2" s="1"/>
  <c r="J16" i="2" s="1"/>
  <c r="G15" i="2"/>
  <c r="G14" i="2"/>
  <c r="G13" i="2"/>
  <c r="G12" i="2"/>
  <c r="H12" i="2" s="1"/>
  <c r="J12" i="2" s="1"/>
  <c r="G11" i="2"/>
  <c r="G10" i="2"/>
  <c r="G9" i="2"/>
  <c r="G8" i="2"/>
  <c r="H8" i="2" s="1"/>
  <c r="J8" i="2" s="1"/>
  <c r="G7" i="2"/>
  <c r="G6" i="2"/>
  <c r="G5" i="2"/>
  <c r="G4" i="2"/>
  <c r="H4" i="2" s="1"/>
  <c r="J4" i="2" s="1"/>
  <c r="G100" i="1"/>
  <c r="G99" i="1"/>
  <c r="G98" i="1"/>
  <c r="G97" i="1"/>
  <c r="G96" i="1"/>
  <c r="G95" i="1"/>
  <c r="G94" i="1"/>
  <c r="G93" i="1"/>
  <c r="G92" i="1"/>
  <c r="G91" i="1"/>
  <c r="G90" i="1"/>
  <c r="G89" i="1"/>
  <c r="H89" i="1" s="1"/>
  <c r="G88" i="1"/>
  <c r="J89" i="1" s="1"/>
  <c r="G87" i="1"/>
  <c r="G86" i="1"/>
  <c r="G85" i="1"/>
  <c r="G84" i="1"/>
  <c r="G83" i="1"/>
  <c r="G82" i="1"/>
  <c r="G81" i="1"/>
  <c r="G80" i="1"/>
  <c r="G79" i="1"/>
  <c r="G78" i="1"/>
  <c r="G77" i="1"/>
  <c r="H77" i="1" s="1"/>
  <c r="G76" i="1"/>
  <c r="J77" i="1" s="1"/>
  <c r="G75" i="1"/>
  <c r="G74" i="1"/>
  <c r="G73" i="1"/>
  <c r="G72" i="1"/>
  <c r="G71" i="1"/>
  <c r="G70" i="1"/>
  <c r="G69" i="1"/>
  <c r="G68" i="1"/>
  <c r="G67" i="1"/>
  <c r="G66" i="1"/>
  <c r="G65" i="1"/>
  <c r="H65" i="1" s="1"/>
  <c r="G64" i="1"/>
  <c r="J65" i="1" s="1"/>
  <c r="G63" i="1"/>
  <c r="G62" i="1"/>
  <c r="G61" i="1"/>
  <c r="G60" i="1"/>
  <c r="G59" i="1"/>
  <c r="G58" i="1"/>
  <c r="G57" i="1"/>
  <c r="G56" i="1"/>
  <c r="G55" i="1"/>
  <c r="G54" i="1"/>
  <c r="G53" i="1"/>
  <c r="H53" i="1" s="1"/>
  <c r="G52" i="1"/>
  <c r="J53" i="1" s="1"/>
  <c r="G51" i="1"/>
  <c r="G50" i="1"/>
  <c r="G49" i="1"/>
  <c r="G48" i="1"/>
  <c r="G47" i="1"/>
  <c r="G46" i="1"/>
  <c r="G45" i="1"/>
  <c r="G44" i="1"/>
  <c r="G43" i="1"/>
  <c r="G42" i="1"/>
  <c r="H41" i="1"/>
  <c r="G40" i="1"/>
  <c r="J41" i="1" s="1"/>
  <c r="G39" i="1"/>
  <c r="G38" i="1"/>
  <c r="G37" i="1"/>
  <c r="G36" i="1"/>
  <c r="G35" i="1"/>
  <c r="G34" i="1"/>
  <c r="G33" i="1"/>
  <c r="G32" i="1"/>
  <c r="G31" i="1"/>
  <c r="G30" i="1"/>
  <c r="J29" i="1"/>
  <c r="H29" i="1"/>
  <c r="G28" i="1"/>
  <c r="G27" i="1"/>
  <c r="G26" i="1"/>
  <c r="G25" i="1"/>
  <c r="G24" i="1"/>
  <c r="G23" i="1"/>
  <c r="G22" i="1"/>
  <c r="G21" i="1"/>
  <c r="G20" i="1"/>
  <c r="G19" i="1"/>
  <c r="G18" i="1"/>
  <c r="G17" i="1"/>
  <c r="H17" i="1" s="1"/>
  <c r="G16" i="1"/>
  <c r="J17" i="1" s="1"/>
  <c r="G15" i="1"/>
  <c r="G14" i="1"/>
  <c r="G13" i="1"/>
  <c r="G12" i="1"/>
  <c r="G11" i="1"/>
  <c r="G10" i="1"/>
  <c r="G9" i="1"/>
  <c r="G8" i="1"/>
  <c r="G7" i="1"/>
  <c r="G6" i="1"/>
  <c r="G5" i="1"/>
  <c r="H5" i="1" s="1"/>
  <c r="J5" i="1" s="1"/>
  <c r="K5" i="1" l="1"/>
  <c r="L5" i="1" s="1"/>
  <c r="K17" i="1"/>
  <c r="L17" i="1" s="1"/>
  <c r="K29" i="1"/>
  <c r="L29" i="1" s="1"/>
  <c r="K41" i="1"/>
  <c r="L41" i="1" s="1"/>
  <c r="K53" i="1"/>
  <c r="L53" i="1" s="1"/>
  <c r="K65" i="1"/>
  <c r="L65" i="1" s="1"/>
  <c r="K77" i="1"/>
  <c r="L77" i="1" s="1"/>
  <c r="K89" i="1"/>
  <c r="L89" i="1" s="1"/>
  <c r="K4" i="2"/>
  <c r="L4" i="2" s="1"/>
  <c r="K8" i="2"/>
  <c r="L8" i="2" s="1"/>
  <c r="K12" i="2"/>
  <c r="L12" i="2" s="1"/>
  <c r="K16" i="2"/>
  <c r="L16" i="2" s="1"/>
  <c r="K20" i="2"/>
  <c r="L20" i="2" s="1"/>
  <c r="K24" i="2"/>
  <c r="L24" i="2" s="1"/>
  <c r="K28" i="2"/>
  <c r="L28" i="2" s="1"/>
  <c r="K32" i="2"/>
  <c r="L32" i="2" s="1"/>
  <c r="K36" i="2"/>
  <c r="L36" i="2" s="1"/>
  <c r="K40" i="2"/>
  <c r="L40" i="2" s="1"/>
  <c r="K44" i="2"/>
  <c r="L44" i="2" s="1"/>
  <c r="K48" i="2"/>
  <c r="L48" i="2" s="1"/>
  <c r="K52" i="2"/>
  <c r="L52" i="2" s="1"/>
  <c r="K56" i="2"/>
  <c r="L56" i="2" s="1"/>
  <c r="K60" i="2"/>
  <c r="L60" i="2" s="1"/>
  <c r="K64" i="2"/>
  <c r="L64" i="2" s="1"/>
  <c r="K68" i="2"/>
  <c r="L68" i="2" s="1"/>
  <c r="K5" i="3"/>
  <c r="J5" i="3"/>
  <c r="L5" i="3" s="1"/>
  <c r="K17" i="3"/>
  <c r="J17" i="3"/>
  <c r="L17" i="3" s="1"/>
  <c r="K29" i="3"/>
  <c r="J29" i="3"/>
  <c r="L29" i="3" s="1"/>
  <c r="K41" i="3"/>
  <c r="J41" i="3"/>
  <c r="L41" i="3" s="1"/>
  <c r="K53" i="3"/>
  <c r="J53" i="3"/>
  <c r="L53" i="3" s="1"/>
  <c r="K65" i="3"/>
  <c r="J65" i="3"/>
  <c r="L65" i="3" s="1"/>
  <c r="K77" i="3"/>
  <c r="J77" i="3"/>
  <c r="L77" i="3" s="1"/>
  <c r="M4" i="4"/>
  <c r="M16" i="4"/>
  <c r="M29" i="4"/>
  <c r="N29" i="4" s="1"/>
  <c r="P29" i="4" s="1"/>
  <c r="M41" i="4"/>
  <c r="N41" i="4" s="1"/>
  <c r="P41" i="4" s="1"/>
  <c r="M53" i="4"/>
  <c r="M65" i="4"/>
  <c r="M77" i="4"/>
  <c r="M89" i="4"/>
  <c r="M101" i="4"/>
  <c r="N101" i="4" s="1"/>
  <c r="P101" i="4" s="1"/>
  <c r="M113" i="4"/>
  <c r="N113" i="4" s="1"/>
  <c r="P113" i="4" s="1"/>
  <c r="M125" i="4"/>
  <c r="N125" i="4" s="1"/>
  <c r="P125" i="4" s="1"/>
  <c r="M137" i="4"/>
  <c r="N137" i="4" s="1"/>
  <c r="P137" i="4" s="1"/>
  <c r="M149" i="4"/>
  <c r="M161" i="4"/>
  <c r="K4" i="5"/>
  <c r="J4" i="5"/>
  <c r="L4" i="5" s="1"/>
  <c r="I10" i="8"/>
  <c r="J7" i="8"/>
  <c r="I16" i="8"/>
  <c r="J13" i="8"/>
  <c r="I38" i="8"/>
  <c r="J25" i="8"/>
  <c r="J38" i="8" s="1"/>
  <c r="I50" i="8"/>
  <c r="J41" i="8"/>
  <c r="J50" i="8" s="1"/>
  <c r="J10" i="8" l="1"/>
  <c r="J16" i="8" s="1"/>
  <c r="N161" i="4"/>
  <c r="N149" i="4"/>
  <c r="N89" i="4"/>
  <c r="O89" i="4" s="1"/>
  <c r="N77" i="4"/>
  <c r="O77" i="4" s="1"/>
  <c r="N65" i="4"/>
  <c r="N53" i="4"/>
  <c r="N16" i="4"/>
  <c r="N4" i="4"/>
  <c r="P4" i="4" l="1"/>
  <c r="O4" i="4"/>
  <c r="P16" i="4"/>
  <c r="O16" i="4"/>
  <c r="P53" i="4"/>
  <c r="O53" i="4"/>
  <c r="P65" i="4"/>
  <c r="O65" i="4"/>
  <c r="P149" i="4"/>
  <c r="O149" i="4"/>
  <c r="P161" i="4"/>
  <c r="O161" i="4"/>
  <c r="I41" i="4"/>
  <c r="B53" i="4"/>
  <c r="B43" i="4"/>
</calcChain>
</file>

<file path=xl/sharedStrings.xml><?xml version="1.0" encoding="utf-8"?>
<sst xmlns="http://schemas.openxmlformats.org/spreadsheetml/2006/main" count="6158" uniqueCount="2681">
  <si>
    <t>PARKET</t>
  </si>
  <si>
    <t>Codigo</t>
  </si>
  <si>
    <t>Descrição</t>
  </si>
  <si>
    <t>UND</t>
  </si>
  <si>
    <t>QTDE</t>
  </si>
  <si>
    <t>CUSTO</t>
  </si>
  <si>
    <t>QTDE * CUSTO</t>
  </si>
  <si>
    <t>CUSTO TOTAL</t>
  </si>
  <si>
    <t>Margem de venda</t>
  </si>
  <si>
    <t>VALOR DO LIQUIDO</t>
  </si>
  <si>
    <t>VALOR VENDA RECOMENDADO</t>
  </si>
  <si>
    <t xml:space="preserve">Margem de Lucro </t>
  </si>
  <si>
    <t>Cod.Produto</t>
  </si>
  <si>
    <t>Descrição tec. Produto</t>
  </si>
  <si>
    <t>M²</t>
  </si>
  <si>
    <t>PKT100251IN</t>
  </si>
  <si>
    <t>SACO DE ENTULHO</t>
  </si>
  <si>
    <t>PKT0005MP</t>
  </si>
  <si>
    <t>BARROTE 4 X 4</t>
  </si>
  <si>
    <t>ML</t>
  </si>
  <si>
    <t>PKT100206IN</t>
  </si>
  <si>
    <t>PARAFUSO 60X60</t>
  </si>
  <si>
    <t>PKT100024IN</t>
  </si>
  <si>
    <t>BUCHA 8mm</t>
  </si>
  <si>
    <t>PKT20010C</t>
  </si>
  <si>
    <t>CAVILHA</t>
  </si>
  <si>
    <t>PKT100242IN</t>
  </si>
  <si>
    <t>PRESILHA ALUMINIO</t>
  </si>
  <si>
    <t>PKT100065IN</t>
  </si>
  <si>
    <t>PARAFUSO 4,2X38 PRETO</t>
  </si>
  <si>
    <t>PKT20009C</t>
  </si>
  <si>
    <t>COLA FIXA TUDO</t>
  </si>
  <si>
    <t>PKT100173IN</t>
  </si>
  <si>
    <t>NEUTROL</t>
  </si>
  <si>
    <t>PKT100025IN</t>
  </si>
  <si>
    <t>PINCEL</t>
  </si>
  <si>
    <t>PKT100021IN</t>
  </si>
  <si>
    <t>BROCA SDS 8X160</t>
  </si>
  <si>
    <t>PKT400393P</t>
  </si>
  <si>
    <t>DECK CUMARU PREMIUM TG 2,5 X 5 X COMPR. VARIAVEIS</t>
  </si>
  <si>
    <t>PKT400649P</t>
  </si>
  <si>
    <t>DECK PEROBA DO CAMPO TG 2,5x10xCOMP. VAR.</t>
  </si>
  <si>
    <t xml:space="preserve">PKT400155P </t>
  </si>
  <si>
    <t>DECK CUMARU PREMIUM 2,5X7X90A450CM</t>
  </si>
  <si>
    <t/>
  </si>
  <si>
    <t>PKT100038IN</t>
  </si>
  <si>
    <t>COLA PU</t>
  </si>
  <si>
    <t>KG</t>
  </si>
  <si>
    <t>PKT200014C</t>
  </si>
  <si>
    <t>PANO DE CHAO</t>
  </si>
  <si>
    <t>PKT400388P</t>
  </si>
  <si>
    <t>PISO CARVALHO EUROPEU MARRONE CHEVRON 15/3 X 1900X 740MM</t>
  </si>
  <si>
    <t>PKT400389P</t>
  </si>
  <si>
    <t>PISO CARVALHO EUROPEU MARRONE 15/3 X 125 X 1200MM</t>
  </si>
  <si>
    <t>PKT400390P</t>
  </si>
  <si>
    <t>PISO CARVALHO EUROPEU MARRONE 15/3 X 190 X 1900MM</t>
  </si>
  <si>
    <t>PKT400391P</t>
  </si>
  <si>
    <t>PISO CARVALHO EUROPEU MARRONE 20/6 X 300 X 4000MM</t>
  </si>
  <si>
    <t>PKT400392P</t>
  </si>
  <si>
    <t>PISO CARVALHO EUROPEU MARRONE 20/6 X 400 X 5000MM</t>
  </si>
  <si>
    <t xml:space="preserve">PKT400386P </t>
  </si>
  <si>
    <t>PISO CARVALHO EUROPEU MONT BLANC CHEVRON 15/3 X 1900X 740MM</t>
  </si>
  <si>
    <t>PKT400406P</t>
  </si>
  <si>
    <t>PISO CARVALHO EUROPEU MONT BLANC ESPINHA DE PEIXE TG 15/3 X 125X900MM</t>
  </si>
  <si>
    <t>PKT400407P</t>
  </si>
  <si>
    <t>PISO CARVALHO EUROPEU MONT BLANC 15/3 X 125 X 1200MM</t>
  </si>
  <si>
    <t>PKT400408P</t>
  </si>
  <si>
    <t>PISO CARVALHO EUROPEU MONT BLANC 15/3 X 190 X 1900MM</t>
  </si>
  <si>
    <t>PKT400409P</t>
  </si>
  <si>
    <t>PISO CARVALHO EUROPEU MONT BLANC 20/6 X 300 X 4000MM</t>
  </si>
  <si>
    <t xml:space="preserve">PKT400630P </t>
  </si>
  <si>
    <t xml:space="preserve">PISO ASSOALHO TAUARI HONEY 19 X 60A3000 </t>
  </si>
  <si>
    <t>PKT400631P</t>
  </si>
  <si>
    <t>PISO TAUARI NATURALLE CHEVRON 9 x 54 MULTIESTRUTURADO</t>
  </si>
  <si>
    <t>PKT400633P</t>
  </si>
  <si>
    <t>PISO CUMARU ESPINHA DE PEIXE TG 15/3 X 125X900MM</t>
  </si>
  <si>
    <t>0001 </t>
  </si>
  <si>
    <t>PISO CARVALHO EUROPEU NATURAL TG 1.5/3X9X91CM</t>
  </si>
  <si>
    <t>PED-20260205-186</t>
  </si>
  <si>
    <t>SEP-20260205-630</t>
  </si>
  <si>
    <t>Equipe de Estoque</t>
  </si>
  <si>
    <t>Em Separação</t>
  </si>
  <si>
    <t>Itens sendo separados para o pedido</t>
  </si>
  <si>
    <t>PKT400404P</t>
  </si>
  <si>
    <t>PAINEL CARVALHO CARVALHO EUROPEU MARRONE 15/3 X 125 X 1200MM</t>
  </si>
  <si>
    <t>PAINEL CARVALHO CARVALHO EUROPEU MARRONE 15/3 X 190 X 1900MM</t>
  </si>
  <si>
    <t>PKT400663P</t>
  </si>
  <si>
    <t>MARCENARIA PAINEL LACA</t>
  </si>
  <si>
    <t>PKT400403P</t>
  </si>
  <si>
    <t>PAINEL CARVALHO CARVALHO EUROPEU MARRONE CHEVRON 15/3 X 1900X 740MM</t>
  </si>
  <si>
    <t>x</t>
  </si>
  <si>
    <t xml:space="preserve">M² * QTDE TOTAL </t>
  </si>
  <si>
    <t xml:space="preserve">Valor Total de Insumo </t>
  </si>
  <si>
    <t>Mão de Obra</t>
  </si>
  <si>
    <t>VALOR LIQUIDO</t>
  </si>
  <si>
    <t>LUCRO LIQUIDO</t>
  </si>
  <si>
    <t>PKT400632P</t>
  </si>
  <si>
    <t>FORRO CONVENCIONAL CARVALHO EUROPEU LIGHT BROWN 15/3 X 190 X 1900MM</t>
  </si>
  <si>
    <t>PKT400653P</t>
  </si>
  <si>
    <t>FORRO CONVENCIONAL CARVALHO EUROPEU LIGHT BROWN 20/6 X 300 X 4000MM</t>
  </si>
  <si>
    <t>PKT400654P</t>
  </si>
  <si>
    <t>PKT400671P</t>
  </si>
  <si>
    <t>FORRO CONVENCIONAL CARVALHO EUROPEU SNOW 15/3 X 190 X 1900MM</t>
  </si>
  <si>
    <t>RODAPÉ CUMARU PREMIUM TG 2,5 X 5 X COMPR. VARIAVEIS</t>
  </si>
  <si>
    <t>PKT100218IN</t>
  </si>
  <si>
    <t>PINO F30</t>
  </si>
  <si>
    <t>Código Brascomm</t>
  </si>
  <si>
    <t xml:space="preserve">Descrição Brascomm </t>
  </si>
  <si>
    <t>PISO CARVALHO EUROPEU MONT BLANC 20/6 X 400 X 5000MM</t>
  </si>
  <si>
    <t>PISO CARVALHO EUROPEU NATURAL CHEVRON TG 15/3 X 125 X 775MM</t>
  </si>
  <si>
    <t>PISO CARVALHO EUROPEU NATURALLE CHEVRON 15/3 X 1900X 740MM</t>
  </si>
  <si>
    <t>PISO CARVALHO EUROPEU NATURALLE CHEVRON 60º 15/3 X 1900X 910MM</t>
  </si>
  <si>
    <t>PISO CARVALHO EUROPEU NATURALLE FINE 10/06 X 1900 X 1900MM</t>
  </si>
  <si>
    <t>PISO CARVALHO EUROPEU NATURALLE 15/3 X 125 X 1200MM</t>
  </si>
  <si>
    <t>PISO CARVALHO EUROPEU NATURALLE 15/3 X 190 X 1900MM</t>
  </si>
  <si>
    <t>PISO CARVALHO EUROPEU NATURALLE 20/6 X 300 X 4000MM</t>
  </si>
  <si>
    <t>PISO CARVALHO EUROPEU NATURALLE 20/6 X 400 X 5000MM</t>
  </si>
  <si>
    <t>PISO CARVALHO EUROPEU CAPUCCINO CHEVRON 15/3 X 1900X 740MM</t>
  </si>
  <si>
    <t>PISO CARVALHO EUROPEU CAPUCCINO 15/3 X 125 X 1200MM</t>
  </si>
  <si>
    <t>PISO CARVALHO EUROPEU CAPPUCCINO ESPINHA DE PEIXE TG 15/3 X 125X900MM</t>
  </si>
  <si>
    <t>PISO CARVALHO EUROPEU CAPUCCINO 15/3 X 190 X 1900MM</t>
  </si>
  <si>
    <t>PISO CARVALHO EUROPEU CAPUCCINO 20/6 X 300 X 4000MM</t>
  </si>
  <si>
    <t>PISO CARVALHO EUROPEU CAPUCCINO 20/6 X 400 X 5000MM</t>
  </si>
  <si>
    <t>PISO CARVALHO EUROPEU BABY GREY CHEVRON 15/3 X 1900X 740MM</t>
  </si>
  <si>
    <t>PISO CARVALHO EUROPEU BABY GREY 15/3 X 125 X 1200MM</t>
  </si>
  <si>
    <t>PISO CARVALHO EUROPEU BABY GREY 15/3 X 190 X 1900MM</t>
  </si>
  <si>
    <t>PISO CARVALHO EUROPEU BABY GREY 20/6 X 300 X 4000MM</t>
  </si>
  <si>
    <t>PISO CARVALHO EUROPEU BABY GREY 20/6 X 400 X 5000MM</t>
  </si>
  <si>
    <t>PISO CARVALHO EUROPEU GRIGIO NERO 15/3 X 125 X 1200MM</t>
  </si>
  <si>
    <t>PISO CARVALHO EUROPEU GRIGIO NERO 15/3 X 190 X 1900MM</t>
  </si>
  <si>
    <t>PISO CARVALHO EUROPEU GRIGIO NERO 20/6 X 300 X 4000MM</t>
  </si>
  <si>
    <t>PISO CARVALHO EUROPEU GRIGIO NERO 20/6 X 400 X 5000MM</t>
  </si>
  <si>
    <t>PISO CARVALHO EUROPEU LIGHT BROWN CHEVRON 15/3 X 1900X 740MM</t>
  </si>
  <si>
    <t>PISO CARVALHO EUROPEU LIGHT BROWN 15/3 X 125 X 1200MM</t>
  </si>
  <si>
    <t>PISO CARVALHO EUROPEU LIGHT BROWN 15/3 X 190 X 1900MM</t>
  </si>
  <si>
    <t>PISO CARVALHO EUROPEU LIGHT BROWN 20/6 X 300 X 4000MM</t>
  </si>
  <si>
    <t>PISO CARVALHO EUROPEU LIGHT BROWN 20/6 X 400 X 5000MM</t>
  </si>
  <si>
    <t>PISO CARVALHO EUROPEU - LISTONE GIORDANO (HERITAGE 140 FILIGRANA - SIENNA 1179) TG 1,25 X 14,0 X 83,50CM --</t>
  </si>
  <si>
    <t>PISO CARVALHO EUROPEU MILANO CHEVRON 15/3 X 1900X 740MM</t>
  </si>
  <si>
    <t>PISO CARVALHO EUROPEU MILANO 15/3 X 125 X 1200MM</t>
  </si>
  <si>
    <t>PISO CARVALHO EUROPEU MILANO 15/3 X 190 X 1900MM</t>
  </si>
  <si>
    <t>PISO CARVALHO EUROPEU MILANO 20/6 X 300 X 4000MM</t>
  </si>
  <si>
    <t>PISO CARVALHO EUROPEU MILANO 20/6 X 400 X 5000MM</t>
  </si>
  <si>
    <t>PISO CARVALHO EUROPEU SMOKED CHEVRON 15/3 X 1900X 740MM</t>
  </si>
  <si>
    <t>PISO CARVALHO EUROPEU SMOKED 15/3 X 125 X 1200MM</t>
  </si>
  <si>
    <t>PISO CARVALHO EUROPEU SMOKED 15/3 X 190 X 1900MM</t>
  </si>
  <si>
    <t>PISO CARVALHO EUROPEU SMOKED 20/6 X 300 X 4000MM</t>
  </si>
  <si>
    <t>PISO CARVALHO EUROPEU SMOKED 20/6 X 400 X 5000MM</t>
  </si>
  <si>
    <t>PISO CARVALHO EUROPEU GIZ CHEVRON 15/3 X 1900X 740MM</t>
  </si>
  <si>
    <t>PISO CARVALHO EUROPEU GIZ 15/3 X 125 X 1200MM</t>
  </si>
  <si>
    <t>PISO CARVALHO EUROPEU GIZ 15/3 X 190 X 1900MM</t>
  </si>
  <si>
    <t>PISO CARVALHO EUROPEU GIZ 20/6 X 300 X 4000MM</t>
  </si>
  <si>
    <t>PISO CARVALHO EUROPEU GIZ 20/6 X 400 X 5000MM</t>
  </si>
  <si>
    <t>PISO CARVALHO EUROPEU SNOW CHEVRON 15/3 X 1900X 740MM</t>
  </si>
  <si>
    <t>PISO CARVALHO EUROPEU SNOW 15/3 X 125 X 1200MM</t>
  </si>
  <si>
    <t>PISO CARVALHO EUROPEU SNOW 15/3 X 190 X 1900MM</t>
  </si>
  <si>
    <t>PISO CARVALHO EUROPEU SNOW 20/6 X 300 X 4000MM</t>
  </si>
  <si>
    <t>PISO CARVALHO EUROPEU SNOW 20/6 X 400 X 5000MM</t>
  </si>
  <si>
    <t>PISO CARVALHO EUROPEU WILD CHEVRON 15/3 X 1900X 740MM</t>
  </si>
  <si>
    <t>PISO CARVALHO EUROPEU WILD 15/3 X 125 X 1200MM</t>
  </si>
  <si>
    <t>PISO CARVALHO EUROPEU WILD 15/3 X 190 X 1900MM</t>
  </si>
  <si>
    <t>PISO CARVALHO EUROPEU WILD 20/6 X 300 X 4000MM</t>
  </si>
  <si>
    <t>PISO CARVALHO EUROPEU WILD 20/6 X 400 X 5000MM</t>
  </si>
  <si>
    <t>PISO CARVALHO EUROPEU NEVADO CHEVRON 15/3 X 1900X 740MM</t>
  </si>
  <si>
    <t>PISO CARVALHO EUROPEU NEVADO 15/3 X 125 X 1200MM</t>
  </si>
  <si>
    <t>PISO CARVALHO EUROPEU NEVADO 15/3 X 190 X 1900MM</t>
  </si>
  <si>
    <t>PISO CARVALHO EUROPEU NEVADO 20/6 X 300 X 4000MM</t>
  </si>
  <si>
    <t>PISO CARVALHO EUROPEU NEVADO 20/6 X 400 X 5000MM</t>
  </si>
  <si>
    <t>PISO CARVALHO EUROPEU CONCRETE GREY CHEVRON 15/3 X 1900X 740MM</t>
  </si>
  <si>
    <t>PISO CARVALHO EUROPEU CONCRETE GREY 15/3 X 125 X 1200MM</t>
  </si>
  <si>
    <t>PISO CARVALHO EUROPEU CONCRETE GREY 15/3 X 190 X 1900MM</t>
  </si>
  <si>
    <t>PISO CARVALHO EUROPEU CONCRETE GREY 20/6 X 300 X 4000MM</t>
  </si>
  <si>
    <t>PISO CARVALHO EUROPEU CONCRETE GREY 20/6 X 400 X 5000MM</t>
  </si>
  <si>
    <t>PISO CARVALHO EUROPEU ITALY BROWN CHEVRON 15/3 X 1900X 740MM</t>
  </si>
  <si>
    <t>PISO CARVALHO EUROPEU ITALY BROWN 15/3 X 125 X 1200MM</t>
  </si>
  <si>
    <t>PISO CARVALHO EUROPEU ITALY BROWN 15/3 X 190 X 1900MM</t>
  </si>
  <si>
    <t>PISO CARVALHO EUROPEU ITALY BROWN 20/6 X 300 X 4000MM</t>
  </si>
  <si>
    <t>PISO CARVALHO EUROPEU ITALY BROWN 20/6 X 400 X 5000MM</t>
  </si>
  <si>
    <t>PISO CARVALHO EUROPEU ALL BLACK CHEVRON 15/3 X 1900X 740MM</t>
  </si>
  <si>
    <t>PISO CARVALHO EUROPEU ALL BLACK 15/3 X 125 X 1200MM</t>
  </si>
  <si>
    <t>PISO CARVALHO EUROPEU BLACK CHEVRON TG 15/3 X 125 X 775CM</t>
  </si>
  <si>
    <t>PISO CARVALHO EUROPEU ALL BLACK 15/3 X 190 X 1900MM</t>
  </si>
  <si>
    <t>PISO CARVALHO EUROPEU ALL BLACK 20/6 X 300 X 4000MM</t>
  </si>
  <si>
    <t>PISO CARVALHO EUROPEU ALL BLACK 20/6 X 400 X 5000MM</t>
  </si>
  <si>
    <t>PISO CARVALHO EUROPEU URBAN GREY CHEVRON 15/3 X 1900X 740MM</t>
  </si>
  <si>
    <t>PISO CARVALHO EUROPEU URBAN GREY 15/3 X 125 X 1200MM</t>
  </si>
  <si>
    <t>PISO CARVALHO EUROPEU URBAN GREY 15/3 X 190 X 1900MM</t>
  </si>
  <si>
    <t>PISO CARVALHO EUROPEU URBAN GREY 20/6 X 300 X 4000MM</t>
  </si>
  <si>
    <t>PISO CARVALHO EUROPEU URBAN GREY 20/6 X 400 X 5000MM</t>
  </si>
  <si>
    <t>PISO CARVALHO EUROPEU CARAMEL CHEVRON 15/3 X 1900X 740MM</t>
  </si>
  <si>
    <t>PISO CARVALHO EUROPEU CARAMEL 15/3 X 125 X 1200MM</t>
  </si>
  <si>
    <t>PISO CARVALHO EUROPEU CARAMEL 15/3 X 190 X 1900MM</t>
  </si>
  <si>
    <t>PISO CARVALHO EUROPEU CARAMEL 20/6 X 300 X 4000MM</t>
  </si>
  <si>
    <t>PISO CARVALHO EUROPEU CARAMEL 20/6 X 400 X 5000MM</t>
  </si>
  <si>
    <t>PISO CARVALHO EUROPEU CHEMICAL CHEVRON TG 15/3*190*740MM</t>
  </si>
  <si>
    <t>PISO CARVALHO EUROPEU WHITE RUSTIC 15/4*189*1860MM</t>
  </si>
  <si>
    <t>PISO CARVALHO EUROPEU CUSTOMIZADO 14/3 X 12,7 X 186CM</t>
  </si>
  <si>
    <t>PISO CARVALHO EUROPEU CUSTOMIZADO 2.0 X 19 X 190CM (C2)</t>
  </si>
  <si>
    <t>PISO CARVALHO EUROPEU NATURAL CHEVRON TG 1.5/3 X 9X 51CM</t>
  </si>
  <si>
    <t>PISO CARVALHO EUROPEU NATURAL TG 1.5/3 X 9 X 91CM</t>
  </si>
  <si>
    <t>PISO CARVALHO EUROPEU NUDE CHEVRON 60.. TG 15/3 X 190 X 90CM</t>
  </si>
  <si>
    <t>PISO CARVALHO EUROPEU NUDE CHEVRON TG 1.5/3X 12.5X 63CM</t>
  </si>
  <si>
    <t>PISO WALNUT 15/3 X 125 X 910MM</t>
  </si>
  <si>
    <t>PISO WALNUT 15/3 X 190 X 1900MM</t>
  </si>
  <si>
    <t>PISO WALNUT 20/2 X 300 X 4000MM</t>
  </si>
  <si>
    <t>PISO BAMBU ALTA DENS. CUST PREMIUM TG 1.5/4 X19X185CM</t>
  </si>
  <si>
    <t>PISO BAMBU CARAMEL ALTA DENSIDADE TG 1.5/4 X19X186CM</t>
  </si>
  <si>
    <t>PISO RIPADO CUMARU PREMIUM TG 1,8 X 3,5+0,5CM PROF. BIT 0</t>
  </si>
  <si>
    <t>PISO RIPADO CATUABA PREMIUM TG 1,8 X 3,5+0,5CM PROF. BIT 0</t>
  </si>
  <si>
    <t>PISO RIPADO CABREUVA BRANCA PREMIUM TG 1,8 X 3,5+0,5CM PROF. BIT 0</t>
  </si>
  <si>
    <t>PISO RIPADO CABREUVA DOURADA PREMIUM TG 1,8 X 3,5+0,5CM PROF. BIT 0</t>
  </si>
  <si>
    <t>PISO RIPADO TAUARI PREMIUM TG 1,8 X 3,5+0,5CM PROF. BIT 0</t>
  </si>
  <si>
    <t>PISO RIPADO PEROBA PREMIUM TG 1,8 X 3,5+0,5CM PROF. BIT 0</t>
  </si>
  <si>
    <t>PISO RIPADO LORO PARDO PREMIUM TG 1,8 X 3,5+0,5CM PROF. BIT 0</t>
  </si>
  <si>
    <t>PISO CUMARU MULTI PREMIUM 19 X 190 X 600 A 2200MM</t>
  </si>
  <si>
    <t>PISO CATUABA MULTI PREMIUM 19 X 190 X 600 A 2200MM</t>
  </si>
  <si>
    <t>PISO CABREUVA BRACA MULTI PREMIUM 19 X 190 X 600 A 2200MM</t>
  </si>
  <si>
    <t>PISO CABREUVA DOURADA MULTI PREMIUM 19 X 190 X 600 A 2200MM</t>
  </si>
  <si>
    <t>PISO TAUARI MULTI PREMIUM 19 X 190 X 600 A 2200MM</t>
  </si>
  <si>
    <t>PISO PEROBA MULTI PREMIUM 19 X 190 X 600 A 2200MM</t>
  </si>
  <si>
    <t>PISO LORO PARDO MULTI PREMIUM 19 X 190 X 600 A 2200MM</t>
  </si>
  <si>
    <t>PISO MUXARABI CUMARU PREMIUM</t>
  </si>
  <si>
    <t>PISO MUXARABI CATUABA PREMIUM</t>
  </si>
  <si>
    <t>PISO MUXARABI CABREUVA BRANCA PREMIUM</t>
  </si>
  <si>
    <t>PISO MUXARABI CABREUVA DOURADA PREMIUM</t>
  </si>
  <si>
    <t>PISO MUXARABI TAUARI PREMIUM</t>
  </si>
  <si>
    <t>PISO MUXARABI PEROBA PREMIUM</t>
  </si>
  <si>
    <t>PISO MUXARABI LORO PARDO PREMIUM</t>
  </si>
  <si>
    <t>PISO TOBLERONE CUMARU PREMIUM 3 X 3 COMPR. VARIAVEIS</t>
  </si>
  <si>
    <t>PISO TOBLERONE CATUABA PREMIUM 3 X 3 COMPR. VARIAVEIS</t>
  </si>
  <si>
    <t>PISO TOBLERONE CABREUVA BRANCA PREMIUM 3 X 3 COMPR. VARIAVEIS</t>
  </si>
  <si>
    <t>PISO TOBLERONE CABREUVA DOURADA PREMIUM 3 X 3 COMPR. VARIAVEIS</t>
  </si>
  <si>
    <t>PISO TOBLERONE TAUARI PREMIUM 3 X 3 COMPR. VARIAVEIS</t>
  </si>
  <si>
    <t>PISO TOBLERONE PEROBA PREMIUM 3 X 3 COMPR. VARIAVEIS</t>
  </si>
  <si>
    <t>PISO TOBLERONE LORO PARDO PREMIUM 3 X 3 COMPR. VARIAVEIS</t>
  </si>
  <si>
    <t>PISO DECK CUMARU PREMIUM TG 2,5 X 5 X COMPR. VARIAVEIS</t>
  </si>
  <si>
    <t>PISO DECK CUMARU PREMIUM TG 2,5 X 10 X COMPR. VARIAVEIS</t>
  </si>
  <si>
    <t>PISO DECK CATUABA PREMIUM TG 2,5 X 5 X COMPR. VARIAVEIS</t>
  </si>
  <si>
    <t>PISO DECK CATUABA PREMIUM TG 2,5 X 10 X COMPR. VARIAVEIS</t>
  </si>
  <si>
    <t>PISO DECK CABREUVA BRANCA PREMIUM TG 2,5 X 5 X COMPR. VARIAVEIS</t>
  </si>
  <si>
    <t>PISO DECK CABREUVA BRANCA PREMIUM TG 2,5 X 10 X COMPR. VARIAVEIS</t>
  </si>
  <si>
    <t>PISO DECK CABREUVA DOURADA PREMIUM TG 2,5 X 5 X COMPR. VARIAVEIS</t>
  </si>
  <si>
    <t>PISO DECK CABREUVA DOURADA PREMIUM TG 2,5 X 10 X COMPR. VARIAVEIS</t>
  </si>
  <si>
    <t>PISO DECK TAUARI PREMIUM TG 2,5 X 5 X COMPR. VARIAVEIS</t>
  </si>
  <si>
    <t>PISO DECK TAUARI PREMIUM TG 2,5 X 10 X COMPR. VARIAVEIS</t>
  </si>
  <si>
    <t>PISO DECK PEROBA PREMIUM TG 2,5 X 5 X COMPR. VARIAVEIS</t>
  </si>
  <si>
    <t>PISO DECK PEROBA PREMIUM TG 2,5 X 10 X COMPR. VARIAVEIS</t>
  </si>
  <si>
    <t>PISO DECK BAMBU CARAMEL ALTA DENSIDADE</t>
  </si>
  <si>
    <t>PISO DECK BPC CINZA ESCURO 2 X15X 290CM PÇ/0.435M2</t>
  </si>
  <si>
    <t>PISO DECK BPC MORROM 2X15X220CM</t>
  </si>
  <si>
    <t>PISO DECK WPC CINZA 2,2*14,6*220CM</t>
  </si>
  <si>
    <t>PISO PEROBA RUSTICA DE DEMOLIÇÃO</t>
  </si>
  <si>
    <t>PISO CANELA RUSTICA DE DEMOLIÇÃO</t>
  </si>
  <si>
    <t>FORRO CONVENCIONAL CARVALHO EUROPEU MARRONE CHEVRON 15/3 X 1900X 740MM</t>
  </si>
  <si>
    <t>FORRO CONVENCIONAL CARVALHO EUROPEU MARRONE 15/3 X 125 X 1200MM</t>
  </si>
  <si>
    <t>FORRO CONVENCIONAL CARVALHO EUROPEU MARRONE 15/3 X 190 X 1900MM</t>
  </si>
  <si>
    <t>FORRO CONVENCIONAL CARVALHO EUROPEU MARRONE 20/6 X 300 X 4000MM</t>
  </si>
  <si>
    <t>FORRO CONVENCIONAL CARVALHO EUROPEU MARRONE 20/6 X 400 X 5000MM</t>
  </si>
  <si>
    <t>FORRO CONVENCIONAL CARVALHO EUROPEU MONT BLANC CHEVRON 15/3 X 1900X 740MM</t>
  </si>
  <si>
    <t>FORRO CONVENCIONAL CARVALHO EUROPEU MONT BLANC ESPINHA DE PEIXE TG 15/3 X 125X900MM</t>
  </si>
  <si>
    <t>FORRO CONVENCIONAL CARVALHO EUROPEU MONT BLANC 15/3 X 125 X 1200MM</t>
  </si>
  <si>
    <t>FORRO CONVENCIONAL CARVALHO EUROPEU MONT BLANC 15/3 X 190 X 1900MM</t>
  </si>
  <si>
    <t>FORRO CONVENCIONAL CARVALHO EUROPEU MONT BLANC 20/6 X 300 X 4000MM</t>
  </si>
  <si>
    <t>FORRO CONVENCIONAL CARVALHO EUROPEU MONT BLANC 20/6 X 400 X 5000MM</t>
  </si>
  <si>
    <t>FORRO CONVENCIONAL CARVALHO EUROPEU NATURAL CHEVRON TG 15/3 X 125 X 775MM</t>
  </si>
  <si>
    <t>FORRO CONVENCIONAL CARVALHO EUROPEU NATURALLE CHEVRON 15/3 X 1900X 740MM</t>
  </si>
  <si>
    <t>FORRO CONVENCIONAL CARVALHO EUROPEU NATURALLE CHEVRON 60º 15/3 X 1900X 910MM</t>
  </si>
  <si>
    <t>FORRO CONVENCIONAL CARVALHO EUROPEU NATURALLE FINE 10/06 X 1900 X 1900MM</t>
  </si>
  <si>
    <t>FORRO CONVENCIONAL CARVALHO EUROPEU NATURALLE 15/3 X 125 X 1200MM</t>
  </si>
  <si>
    <t>FORRO CONVENCIONAL CARVALHO EUROPEU NATURALLE 15/3 X 190 X 1900MM</t>
  </si>
  <si>
    <t>FORRO CONVENCIONAL CARVALHO EUROPEU NATURALLE 20/6 X 300 X 4000MM</t>
  </si>
  <si>
    <t>FORRO CONVENCIONAL CARVALHO EUROPEU NATURALLE 20/6 X 400 X 5000MM</t>
  </si>
  <si>
    <t>FORRO CONVENCIONAL CARVALHO EUROPEU CAPUCCINO CHEVRON 15/3 X 1900X 740MM</t>
  </si>
  <si>
    <t>FORRO CONVENCIONAL CARVALHO EUROPEU CAPUCCINO 15/3 X 125 X 1200MM</t>
  </si>
  <si>
    <t>FORRO CONVENCIONAL CARVALHO EUROPEU CAPPUCCINO ESPINHA DE PEIXE TG 15/3 X 125X900MM</t>
  </si>
  <si>
    <t>FORRO CONVENCIONAL CARVALHO EUROPEU CAPUCCINO 15/3 X 190 X 1900MM</t>
  </si>
  <si>
    <t>FORRO CONVENCIONAL CARVALHO EUROPEU CAPUCCINO 20/6 X 300 X 4000MM</t>
  </si>
  <si>
    <t>FORRO CONVENCIONAL CARVALHO EUROPEU CAPUCCINO 20/6 X 400 X 5000MM</t>
  </si>
  <si>
    <t>FORRO CONVENCIONAL CARVALHO EUROPEU BABY GREY CHEVRON 15/3 X 1900X 740MM</t>
  </si>
  <si>
    <t>FORRO CONVENCIONAL CARVALHO EUROPEU BABY GREY 15/3 X 125 X 1200MM</t>
  </si>
  <si>
    <t>FORRO CONVENCIONAL CARVALHO EUROPEU BABY GREY 15/3 X 190 X 1900MM</t>
  </si>
  <si>
    <t>FORRO CONVENCIONAL CARVALHO EUROPEU BABY GREY 20/6 X 300 X 4000MM</t>
  </si>
  <si>
    <t>FORRO CONVENCIONAL CARVALHO EUROPEU BABY GREY 20/6 X 400 X 5000MM</t>
  </si>
  <si>
    <t>FORRO CONVENCIONAL CARVALHO EUROPEU GRIGIO NERO CHEVRON 15/3 X 1900X 740MM</t>
  </si>
  <si>
    <t>FORRO CONVENCIONAL CARVALHO EUROPEU GRIGIO NERO 15/3 X 125 X 1200MM</t>
  </si>
  <si>
    <t>FORRO CONVENCIONAL CARVALHO EUROPEU GRIGIO NERO 15/3 X 190 X 1900MM</t>
  </si>
  <si>
    <t>FORRO CONVENCIONAL CARVALHO EUROPEU GRIGIO NERO 20/6 X 300 X 4000MM</t>
  </si>
  <si>
    <t>FORRO CONVENCIONAL CARVALHO EUROPEU GRIGIO NERO 20/6 X 400 X 5000MM</t>
  </si>
  <si>
    <t>FORRO CONVENCIONAL CARVALHO EUROPEU LIGHT BROWN CHEVRON 15/3 X 1900X 740MM</t>
  </si>
  <si>
    <t>FORRO CONVENCIONAL CARVALHO EUROPEU LIGHT BROWN 15/3 X 125 X 1200MM</t>
  </si>
  <si>
    <t>FORRO CONVENCIONAL CARVALHO EUROPEU LIGHT BROWN 20/6 X 400 X 5000MM</t>
  </si>
  <si>
    <t>FORRO CONVENCIONAL CARVALHO EUROPEU - LISTONE GIORDANO (HERITAGE 140 FILIGRANA - SIENNA 1179) TG 1,25 X 14,0 X 83,50CM --</t>
  </si>
  <si>
    <t>FORRO CONVENCIONAL CARVALHO EUROPEU MILANO CHEVRON 15/3 X 1900X 740MM</t>
  </si>
  <si>
    <t>FORRO CONVENCIONAL CARVALHO EUROPEU MILANO 15/3 X 125 X 1200MM</t>
  </si>
  <si>
    <t>FORRO CONVENCIONAL CARVALHO EUROPEU MILANO 15/3 X 190 X 1900MM</t>
  </si>
  <si>
    <t>FORRO CONVENCIONAL CARVALHO EUROPEU MILANO 20/6 X 300 X 4000MM</t>
  </si>
  <si>
    <t>FORRO CONVENCIONAL CARVALHO EUROPEU MILANO 20/6 X 400 X 5000MM</t>
  </si>
  <si>
    <t>FORRO CONVENCIONAL CARVALHO EUROPEU SMOKED CHEVRON 15/3 X 1900X 740MM</t>
  </si>
  <si>
    <t>FORRO CONVENCIONAL CARVALHO EUROPEU SMOKED 15/3 X 125 X 1200MM</t>
  </si>
  <si>
    <t>FORRO CONVENCIONAL CARVALHO EUROPEU SMOKED 15/3 X 190 X 1900MM</t>
  </si>
  <si>
    <t>FORRO CONVENCIONAL CARVALHO EUROPEU SMOKED 20/6 X 300 X 4000MM</t>
  </si>
  <si>
    <t>FORRO CONVENCIONAL CARVALHO EUROPEU SMOKED 20/6 X 400 X 5000MM</t>
  </si>
  <si>
    <t>FORRO CONVENCIONAL CARVALHO EUROPEU GIZ CHEVRON 15/3 X 1900X 740MM</t>
  </si>
  <si>
    <t>FORRO CONVENCIONAL CARVALHO EUROPEU GIZ 15/3 X 125 X 1200MM</t>
  </si>
  <si>
    <t>FORRO CONVENCIONAL CARVALHO EUROPEU GIZ 15/3 X 190 X 1900MM</t>
  </si>
  <si>
    <t>FORRO CONVENCIONAL CARVALHO EUROPEU GIZ 20/6 X 300 X 4000MM</t>
  </si>
  <si>
    <t>FORRO CONVENCIONAL CARVALHO EUROPEU GIZ 20/6 X 400 X 5000MM</t>
  </si>
  <si>
    <t>FORRO CONVENCIONAL CARVALHO EUROPEU SNOW CHEVRON 15/3 X 1900X 740MM</t>
  </si>
  <si>
    <t>FORRO CONVENCIONAL CARVALHO EUROPEU SNOW 15/3 X 125 X 1200MM</t>
  </si>
  <si>
    <t>FORRO CONVENCIONAL CARVALHO EUROPEU SNOW 20/6 X 300 X 4000MM</t>
  </si>
  <si>
    <t>FORRO CONVENCIONAL CARVALHO EUROPEU SNOW 20/6 X 400 X 5000MM</t>
  </si>
  <si>
    <t>FORRO CONVENCIONAL CARVALHO EUROPEU WILD CHEVRON 15/3 X 1900X 740MM</t>
  </si>
  <si>
    <t>FORRO CONVENCIONAL CARVALHO EUROPEU WILD 15/3 X 125 X 1200MM</t>
  </si>
  <si>
    <t>FORRO CONVENCIONAL CARVALHO EUROPEU WILD 15/3 X 190 X 1900MM</t>
  </si>
  <si>
    <t>FORRO CONVENCIONAL CARVALHO EUROPEU WILD 20/6 X 300 X 4000MM</t>
  </si>
  <si>
    <t>FORRO CONVENCIONAL CARVALHO EUROPEU WILD 20/6 X 400 X 5000MM</t>
  </si>
  <si>
    <t>FORRO CONVENCIONAL CARVALHO EUROPEU NEVADO CHEVRON 15/3 X 1900X 740MM</t>
  </si>
  <si>
    <t>FORRO CONVENCIONAL CARVALHO EUROPEU NEVADO 15/3 X 125 X 1200MM</t>
  </si>
  <si>
    <t>FORRO CONVENCIONAL CARVALHO EUROPEU NEVADO 15/3 X 190 X 1900MM</t>
  </si>
  <si>
    <t>FORRO CONVENCIONAL CARVALHO EUROPEU NEVADO 20/6 X 300 X 4000MM</t>
  </si>
  <si>
    <t>FORRO CONVENCIONAL CARVALHO EUROPEU NEVADO 20/6 X 400 X 5000MM</t>
  </si>
  <si>
    <t>FORRO CONVENCIONAL CARVALHO EUROPEU CONCRETE GREY CHEVRON 15/3 X 1900X 740MM</t>
  </si>
  <si>
    <t>FORRO CONVENCIONAL CARVALHO EUROPEU CONCRETE GREY 15/3 X 125 X 1200MM</t>
  </si>
  <si>
    <t>FORRO CONVENCIONAL CARVALHO EUROPEU CONCRETE GREY 15/3 X 190 X 1900MM</t>
  </si>
  <si>
    <t>FORRO CONVENCIONAL CARVALHO EUROPEU CONCRETE GREY 20/6 X 300 X 4000MM</t>
  </si>
  <si>
    <t>FORRO CONVENCIONAL CARVALHO EUROPEU CONCRETE GREY 20/6 X 400 X 5000MM</t>
  </si>
  <si>
    <t>FORRO CONVENCIONAL CARVALHO EUROPEU ITALY BROWN CHEVRON 15/3 X 1900X 740MM</t>
  </si>
  <si>
    <t>FORRO CONVENCIONAL CARVALHO EUROPEU ITALY BROWN 15/3 X 125 X 1200MM</t>
  </si>
  <si>
    <t>FORRO CONVENCIONAL CARVALHO EUROPEU ITALY BROWN 15/3 X 190 X 1900MM</t>
  </si>
  <si>
    <t>FORRO CONVENCIONAL CARVALHO EUROPEU ITALY BROWN 20/6 X 300 X 4000MM</t>
  </si>
  <si>
    <t>FORRO CONVENCIONAL CARVALHO EUROPEU ITALY BROWN 20/6 X 400 X 5000MM</t>
  </si>
  <si>
    <t>FORRO CONVENCIONAL CARVALHO EUROPEU ALL BLACK CHEVRON 15/3 X 1900X 740MM</t>
  </si>
  <si>
    <t>FORRO CONVENCIONAL CARVALHO EUROPEU ALL BLACK 15/3 X 125 X 1200MM</t>
  </si>
  <si>
    <t>FORRO CONVENCIONAL CARVALHO EUROPEU BLACK CHEVRON TG 15/3 X 125 X 775CM</t>
  </si>
  <si>
    <t>FORRO CONVENCIONAL CARVALHO EUROPEU ALL BLACK 15/3 X 190 X 1900MM</t>
  </si>
  <si>
    <t>FORRO CONVENCIONAL CARVALHO EUROPEU ALL BLACK 20/6 X 300 X 4000MM</t>
  </si>
  <si>
    <t>FORRO CONVENCIONAL CARVALHO EUROPEU ALL BLACK 20/6 X 400 X 5000MM</t>
  </si>
  <si>
    <t>FORRO CONVENCIONAL CARVALHO EUROPEU URBAN GREY CHEVRON 15/3 X 1900X 740MM</t>
  </si>
  <si>
    <t>FORRO CONVENCIONAL CARVALHO EUROPEU URBAN GREY 15/3 X 125 X 1200MM</t>
  </si>
  <si>
    <t>FORRO CONVENCIONAL CARVALHO EUROPEU URBAN GREY 15/3 X 190 X 1900MM</t>
  </si>
  <si>
    <t>FORRO CONVENCIONAL CARVALHO EUROPEU URBAN GREY 20/6 X 300 X 4000MM</t>
  </si>
  <si>
    <t>FORRO CONVENCIONAL CARVALHO EUROPEU URBAN GREY 20/6 X 400 X 5000MM</t>
  </si>
  <si>
    <t>FORRO CONVENCIONAL CARVALHO EUROPEU CARAMEL CHEVRON 15/3 X 1900X 740MM</t>
  </si>
  <si>
    <t>FORRO CONVENCIONAL CARVALHO EUROPEU CARAMEL 15/3 X 125 X 1200MM</t>
  </si>
  <si>
    <t>FORRO CONVENCIONAL CARVALHO EUROPEU CARAMEL 15/3 X 190 X 1900MM</t>
  </si>
  <si>
    <t>FORRO CONVENCIONAL CARVALHO EUROPEU CARAMEL 20/6 X 300 X 4000MM</t>
  </si>
  <si>
    <t>FORRO CONVENCIONAL CARVALHO EUROPEU CARAMEL 20/6 X 400 X 5000MM</t>
  </si>
  <si>
    <t>FORRO CONVENCIONAL CARVALHO EUROPEU CHEMICAL CHEVRON TG 15/3*190*740MM</t>
  </si>
  <si>
    <t>FORRO CONVENCIONAL CARVALHO EUROPEU WHITE RUSTIC 15/4*189*1860MM</t>
  </si>
  <si>
    <t>FORRO CONVENCIONAL CARVALHO EUROPEU CUSTOMIZADO 14/3 X 12,7 X 186CM</t>
  </si>
  <si>
    <t>FORRO CONVENCIONAL CARVALHO EUROPEU CUSTOMIZADO 2.0 X 19 X 190CM (C2)</t>
  </si>
  <si>
    <t>FORRO CONVENCIONAL CARVALHO EUROPEU NATURAL CHEVRON TG 1.5/3 X 9X 51CM</t>
  </si>
  <si>
    <t>FORRO CONVENCIONAL CARVALHO EUROPEU NATURAL TG 1.5/3 X 9 X 91CM</t>
  </si>
  <si>
    <t>FORRO CONVENCIONAL CARVALHO EUROPEU NUDE CHEVRON 60.. TG 15/3 X 190 X 90CM</t>
  </si>
  <si>
    <t>FORRO CONVENCIONAL CARVALHO EUROPEU NUDE CHEVRON TG 1.5/3X 12.5X 63CM</t>
  </si>
  <si>
    <t>FORRO CONVENCIONAL WALNUT 15/3 X 125 X 910MM</t>
  </si>
  <si>
    <t>FORRO CONVENCIONAL WALNUT 15/3 X 190 X 1900MM</t>
  </si>
  <si>
    <t>FORRO CONVENCIONAL WALNUT 20/2 X 300 X 4000MM</t>
  </si>
  <si>
    <t>FORRO CONVENCIONAL BAMBU ALTA DENS. CUST PREMIUM TG 1.5/4 X19X185CM</t>
  </si>
  <si>
    <t>FORRO CONVENCIONAL BAMBU CARAMEL ALTA DENSIDADE TG 1.5/4 X19X186CM</t>
  </si>
  <si>
    <t>FORRO CONVENCIONAL RIPADO CUMARU PREMIUM TG 1,8 X 3,5+0,5CM PROF. BIT 0</t>
  </si>
  <si>
    <t>FORRO CONVENCIONAL RIPADO CATUABA PREMIUM TG 1,8 X 3,5+0,5CM PROF. BIT 0</t>
  </si>
  <si>
    <t>FORRO CONVENCIONAL RIPADO CABREUVA BRANCA PREMIUM TG 1,8 X 3,5+0,5CM PROF. BIT 0</t>
  </si>
  <si>
    <t>FORRO CONVENCIONAL RIPADO CABREUVA DOURADA PREMIUM TG 1,8 X 3,5+0,5CM PROF. BIT 0</t>
  </si>
  <si>
    <t>FORRO CONVENCIONAL RIPADO TAUARI PREMIUM TG 1,8 X 3,5+0,5CM PROF. BIT 0</t>
  </si>
  <si>
    <t>FORRO CONVENCIONAL RIPADO PEROBA PREMIUM TG 1,8 X 3,5+0,5CM PROF. BIT 0</t>
  </si>
  <si>
    <t>FORRO CONVENCIONAL RIPADO LORO PARDO PREMIUM TG 1,8 X 3,5+0,5CM PROF. BIT 0</t>
  </si>
  <si>
    <t>FORRO CONVENCIONAL CUMARU MULTI PREMIUM 19 X 190 X 600 A 2200MM</t>
  </si>
  <si>
    <t>FORRO CONVENCIONAL CATUABA MULTI PREMIUM 19 X 190 X 600 A 2200MM</t>
  </si>
  <si>
    <t>FORRO CONVENCIONAL CABREUVA BRACA MULTI PREMIUM 19 X 190 X 600 A 2200MM</t>
  </si>
  <si>
    <t>FORRO CONVENCIONAL CABREUVA DOURADA MULTI PREMIUM 19 X 190 X 600 A 2200MM</t>
  </si>
  <si>
    <t>FORRO CONVENCIONAL TAUARI MULTI PREMIUM 19 X 190 X 600 A 2200MM</t>
  </si>
  <si>
    <t>FORRO CONVENCIONAL PEROBA MULTI PREMIUM 19 X 190 X 600 A 2200MM</t>
  </si>
  <si>
    <t>FORRO CONVENCIONAL LORO PARDO MULTI PREMIUM 19 X 190 X 600 A 2200MM</t>
  </si>
  <si>
    <t>FORRO CONVENCIONAL MUXARABI CUMARU PREMIUM</t>
  </si>
  <si>
    <t>FORRO CONVENCIONAL MUXARABI CATUABA PREMIUM</t>
  </si>
  <si>
    <t>FORRO CONVENCIONAL MUXARABI CABREUVA BRANCA PREMIUM</t>
  </si>
  <si>
    <t>FORRO CONVENCIONAL MUXARABI CABREUVA DOURADA PREMIUM</t>
  </si>
  <si>
    <t>FORRO CONVENCIONAL MUXARABI TAUARI PREMIUM</t>
  </si>
  <si>
    <t>FORRO CONVENCIONAL MUXARABI PEROBA PREMIUM</t>
  </si>
  <si>
    <t>FORRO CONVENCIONAL MUXARABI LORO PARDO PREMIUM</t>
  </si>
  <si>
    <t>FORRO CONVENCIONAL TOBLERONE CUMARU PREMIUM 3 X 3 COMPR. VARIAVEIS</t>
  </si>
  <si>
    <t>FORRO CONVENCIONAL TOBLERONE CATUABA PREMIUM 3 X 3 COMPR. VARIAVEIS</t>
  </si>
  <si>
    <t>FORRO CONVENCIONAL TOBLERONE CABREUVA BRANCA PREMIUM 3 X 3 COMPR. VARIAVEIS</t>
  </si>
  <si>
    <t>FORRO CONVENCIONAL TOBLERONE CABREUVA DOURADA PREMIUM 3 X 3 COMPR. VARIAVEIS</t>
  </si>
  <si>
    <t>FORRO CONVENCIONAL TOBLERONE TAUARI PREMIUM 3 X 3 COMPR. VARIAVEIS</t>
  </si>
  <si>
    <t>FORRO CONVENCIONAL TOBLERONE PEROBA PREMIUM 3 X 3 COMPR. VARIAVEIS</t>
  </si>
  <si>
    <t>FORRO CONVENCIONAL TOBLERONE LORO PARDO PREMIUM 3 X 3 COMPR. VARIAVEIS</t>
  </si>
  <si>
    <t>FORRO CONVENCIONAL DECK CUMARU PREMIUM TG 2,5 X 5 X COMPR. VARIAVEIS</t>
  </si>
  <si>
    <t>FORRO CONVENCIONAL DECK CUMARU PREMIUM TG 2,5 X 10 X COMPR. VARIAVEIS</t>
  </si>
  <si>
    <t>FORRO CONVENCIONAL DECK CATUABA PREMIUM TG 2,5 X 5 X COMPR. VARIAVEIS</t>
  </si>
  <si>
    <t>FORRO CONVENCIONAL DECK CATUABA PREMIUM TG 2,5 X 10 X COMPR. VARIAVEIS</t>
  </si>
  <si>
    <t>FORRO CONVENCIONAL DECK CABREUVA BRANCA PREMIUM TG 2,5 X 5 X COMPR. VARIAVEIS</t>
  </si>
  <si>
    <t>FORRO CONVENCIONAL DECK CABREUVA BRANCA PREMIUM TG 2,5 X 10 X COMPR. VARIAVEIS</t>
  </si>
  <si>
    <t>FORRO CONVENCIONAL DECK CABREUVA DOURADA PREMIUM TG 2,5 X 5 X COMPR. VARIAVEIS</t>
  </si>
  <si>
    <t>FORRO CONVENCIONAL DECK CABREUVA DOURADA PREMIUM TG 2,5 X 10 X COMPR. VARIAVEIS</t>
  </si>
  <si>
    <t>FORRO CONVENCIONAL DECK TAUARI PREMIUM TG 2,5 X 5 X COMPR. VARIAVEIS</t>
  </si>
  <si>
    <t>FORRO CONVENCIONAL DECK TAUARI PREMIUM TG 2,5 X 10 X COMPR. VARIAVEIS</t>
  </si>
  <si>
    <t>FORRO CONVENCIONAL DECK PEROBA PREMIUM TG 2,5 X 5 X COMPR. VARIAVEIS</t>
  </si>
  <si>
    <t>FORRO CONVENCIONAL DECK PEROBA PREMIUM TG 2,5 X 10 X COMPR. VARIAVEIS</t>
  </si>
  <si>
    <t>FORRO CONVENCIONAL DECK BAMBU CARAMEL ALTA DENSIDADE</t>
  </si>
  <si>
    <t>FORRO CONVENCIONAL DECK BPC CINZA ESCURO 2 X15X 290CM PÇ/0.435M2</t>
  </si>
  <si>
    <t>FORRO CONVENCIONAL DECK BPC MORROM 2X15X220CM</t>
  </si>
  <si>
    <t>FORRO CONVENCIONAL DECK WPC CINZA 2,2*14,6*220CM</t>
  </si>
  <si>
    <t>FORRO CONVENCIONAL PEROBA RUSTICA DE DEMOLIÇÃO</t>
  </si>
  <si>
    <t>FORRO CONVENCIONAL CANELA RUSTICA DE DEMOLIÇÃO</t>
  </si>
  <si>
    <t>PAINEL CARVALHO CARVALHO EUROPEU MARRONE 20/6 X 300 X 4000MM</t>
  </si>
  <si>
    <t>PAINEL CARVALHO CARVALHO EUROPEU MARRONE 20/6 X 400 X 5000MM</t>
  </si>
  <si>
    <t>PAINEL CARVALHO CARVALHO EUROPEU MONT BLANC CHEVRON 15/3 X 1900X 740MM</t>
  </si>
  <si>
    <t>PAINEL CARVALHO CARVALHO EUROPEU MONT BLANC ESPINHA DE PEIXE TG 15/3 X 125X900MM</t>
  </si>
  <si>
    <t>PAINEL CARVALHO CARVALHO EUROPEU MONT BLANC 15/3 X 125 X 1200MM</t>
  </si>
  <si>
    <t>PAINEL CARVALHO CARVALHO EUROPEU MONT BLANC 15/3 X 190 X 1900MM</t>
  </si>
  <si>
    <t>PAINEL CARVALHO CARVALHO EUROPEU MONT BLANC 20/6 X 300 X 4000MM</t>
  </si>
  <si>
    <t>PAINEL CARVALHO CARVALHO EUROPEU MONT BLANC 20/6 X 400 X 5000MM</t>
  </si>
  <si>
    <t>PAINEL CARVALHO CARVALHO EUROPEU NATURAL CHEVRON TG 15/3 X 125 X 775MM</t>
  </si>
  <si>
    <t>PAINEL CARVALHO CARVALHO EUROPEU NATURALLE CHEVRON 15/3 X 1900X 740MM</t>
  </si>
  <si>
    <t>PAINEL CARVALHO CARVALHO EUROPEU NATURALLE CHEVRON 60º 15/3 X 1900X 910MM</t>
  </si>
  <si>
    <t>PAINEL CARVALHO CARVALHO EUROPEU NATURALLE FINE 10/06 X 1900 X 1900MM</t>
  </si>
  <si>
    <t>PAINEL CARVALHO CARVALHO EUROPEU NATURALLE 15/3 X 125 X 1200MM</t>
  </si>
  <si>
    <t>PAINEL CARVALHO CARVALHO EUROPEU NATURALLE 15/3 X 190 X 1900MM</t>
  </si>
  <si>
    <t>PAINEL CARVALHO CARVALHO EUROPEU NATURALLE 20/6 X 300 X 4000MM</t>
  </si>
  <si>
    <t>PAINEL CARVALHO CARVALHO EUROPEU NATURALLE 20/6 X 400 X 5000MM</t>
  </si>
  <si>
    <t>PAINEL CARVALHO CARVALHO EUROPEU CAPUCCINO CHEVRON 15/3 X 1900X 740MM</t>
  </si>
  <si>
    <t>PAINEL CARVALHO CARVALHO EUROPEU CAPUCCINO 15/3 X 125 X 1200MM</t>
  </si>
  <si>
    <t>PAINEL CARVALHO CARVALHO EUROPEU CAPPUCCINO ESPINHA DE PEIXE TG 15/3 X 125X900MM</t>
  </si>
  <si>
    <t>PAINEL CARVALHO CARVALHO EUROPEU CAPUCCINO 15/3 X 190 X 1900MM</t>
  </si>
  <si>
    <t>PAINEL CARVALHO CARVALHO EUROPEU CAPUCCINO 20/6 X 300 X 4000MM</t>
  </si>
  <si>
    <t>PAINEL CARVALHO CARVALHO EUROPEU CAPUCCINO 20/6 X 400 X 5000MM</t>
  </si>
  <si>
    <t>PAINEL CARVALHO CARVALHO EUROPEU BABY GREY CHEVRON 15/3 X 1900X 740MM</t>
  </si>
  <si>
    <t>PAINEL CARVALHO CARVALHO EUROPEU BABY GREY 15/3 X 125 X 1200MM</t>
  </si>
  <si>
    <t>PAINEL CARVALHO CARVALHO EUROPEU BABY GREY 15/3 X 190 X 1900MM</t>
  </si>
  <si>
    <t>PAINEL CARVALHO CARVALHO EUROPEU BABY GREY 20/6 X 300 X 4000MM</t>
  </si>
  <si>
    <t>PAINEL CARVALHO CARVALHO EUROPEU BABY GREY 20/6 X 400 X 5000MM</t>
  </si>
  <si>
    <t>PAINEL CARVALHO CARVALHO EUROPEU GRIGIO NERO CHEVRON 15/3 X 1900X 740MM</t>
  </si>
  <si>
    <t>PAINEL CARVALHO CARVALHO EUROPEU GRIGIO NERO 15/3 X 125 X 1200MM</t>
  </si>
  <si>
    <t>PAINEL CARVALHO CARVALHO EUROPEU GRIGIO NERO 15/3 X 190 X 1900MM</t>
  </si>
  <si>
    <t>PAINEL CARVALHO CARVALHO EUROPEU GRIGIO NERO 20/6 X 300 X 4000MM</t>
  </si>
  <si>
    <t>PAINEL CARVALHO CARVALHO EUROPEU GRIGIO NERO 20/6 X 400 X 5000MM</t>
  </si>
  <si>
    <t>PAINEL CARVALHO CARVALHO EUROPEU LIGHT BROWN CHEVRON 15/3 X 1900X 740MM</t>
  </si>
  <si>
    <t>PAINEL CARVALHO CARVALHO EUROPEU LIGHT BROWN 15/3 X 125 X 1200MM</t>
  </si>
  <si>
    <t>PAINEL CARVALHO CARVALHO EUROPEU LIGHT BROWN 15/3 X 190 X 1900MM</t>
  </si>
  <si>
    <t>PAINEL CARVALHO CARVALHO EUROPEU LIGHT BROWN 20/6 X 300 X 4000MM</t>
  </si>
  <si>
    <t>PAINEL CARVALHO CARVALHO EUROPEU LIGHT BROWN 20/6 X 400 X 5000MM</t>
  </si>
  <si>
    <t>PAINEL CARVALHO CARVALHO EUROPEU - LISTONE GIORDANO (HERITAGE 140 FILIGRANA - SIENNA 1179) TG 1,25 X 14,0 X 83,50CM --</t>
  </si>
  <si>
    <t>PAINEL CARVALHO CARVALHO EUROPEU MILANO CHEVRON 15/3 X 1900X 740MM</t>
  </si>
  <si>
    <t>PAINEL CARVALHO CARVALHO EUROPEU MILANO 15/3 X 125 X 1200MM</t>
  </si>
  <si>
    <t>PAINEL CARVALHO CARVALHO EUROPEU MILANO 15/3 X 190 X 1900MM</t>
  </si>
  <si>
    <t>PAINEL CARVALHO CARVALHO EUROPEU MILANO 20/6 X 300 X 4000MM</t>
  </si>
  <si>
    <t>PAINEL CARVALHO CARVALHO EUROPEU MILANO 20/6 X 400 X 5000MM</t>
  </si>
  <si>
    <t>PAINEL CARVALHO CARVALHO EUROPEU SMOKED CHEVRON 15/3 X 1900X 740MM</t>
  </si>
  <si>
    <t>PAINEL CARVALHO CARVALHO EUROPEU SMOKED 15/3 X 125 X 1200MM</t>
  </si>
  <si>
    <t>PAINEL CARVALHO CARVALHO EUROPEU SMOKED 15/3 X 190 X 1900MM</t>
  </si>
  <si>
    <t>PAINEL CARVALHO CARVALHO EUROPEU SMOKED 20/6 X 300 X 4000MM</t>
  </si>
  <si>
    <t>PAINEL CARVALHO CARVALHO EUROPEU SMOKED 20/6 X 400 X 5000MM</t>
  </si>
  <si>
    <t>PAINEL CARVALHO CARVALHO EUROPEU GIZ CHEVRON 15/3 X 1900X 740MM</t>
  </si>
  <si>
    <t>PAINEL CARVALHO CARVALHO EUROPEU GIZ 15/3 X 125 X 1200MM</t>
  </si>
  <si>
    <t>PAINEL CARVALHO CARVALHO EUROPEU GIZ 15/3 X 190 X 1900MM</t>
  </si>
  <si>
    <t>PAINEL CARVALHO CARVALHO EUROPEU GIZ 20/6 X 300 X 4000MM</t>
  </si>
  <si>
    <t>PAINEL CARVALHO CARVALHO EUROPEU GIZ 20/6 X 400 X 5000MM</t>
  </si>
  <si>
    <t>PAINEL CARVALHO CARVALHO EUROPEU SNOW CHEVRON 15/3 X 1900X 740MM</t>
  </si>
  <si>
    <t>PAINEL CARVALHO CARVALHO EUROPEU SNOW 15/3 X 125 X 1200MM</t>
  </si>
  <si>
    <t>PAINEL CARVALHO CARVALHO EUROPEU SNOW 15/3 X 190 X 1900MM</t>
  </si>
  <si>
    <t>PAINEL CARVALHO CARVALHO EUROPEU SNOW 20/6 X 300 X 4000MM</t>
  </si>
  <si>
    <t>PAINEL CARVALHO CARVALHO EUROPEU SNOW 20/6 X 400 X 5000MM</t>
  </si>
  <si>
    <t>PAINEL CARVALHO CARVALHO EUROPEU WILD CHEVRON 15/3 X 1900X 740MM</t>
  </si>
  <si>
    <t>PAINEL CARVALHO CARVALHO EUROPEU WILD 15/3 X 125 X 1200MM</t>
  </si>
  <si>
    <t>PAINEL CARVALHO CARVALHO EUROPEU WILD 15/3 X 190 X 1900MM</t>
  </si>
  <si>
    <t>PAINEL CARVALHO CARVALHO EUROPEU WILD 20/6 X 300 X 4000MM</t>
  </si>
  <si>
    <t>PAINEL CARVALHO CARVALHO EUROPEU WILD 20/6 X 400 X 5000MM</t>
  </si>
  <si>
    <t>PAINEL CARVALHO CARVALHO EUROPEU NEVADO CHEVRON 15/3 X 1900X 740MM</t>
  </si>
  <si>
    <t>PAINEL CARVALHO CARVALHO EUROPEU NEVADO 15/3 X 125 X 1200MM</t>
  </si>
  <si>
    <t>PAINEL CARVALHO CARVALHO EUROPEU NEVADO 15/3 X 190 X 1900MM</t>
  </si>
  <si>
    <t>PAINEL CARVALHO CARVALHO EUROPEU NEVADO 20/6 X 300 X 4000MM</t>
  </si>
  <si>
    <t>PAINEL CARVALHO CARVALHO EUROPEU NEVADO 20/6 X 400 X 5000MM</t>
  </si>
  <si>
    <t>PAINEL CARVALHO CARVALHO EUROPEU CONCRETE GREY CHEVRON 15/3 X 1900X 740MM</t>
  </si>
  <si>
    <t>PAINEL CARVALHO CARVALHO EUROPEU CONCRETE GREY 15/3 X 125 X 1200MM</t>
  </si>
  <si>
    <t>PAINEL CARVALHO CARVALHO EUROPEU CONCRETE GREY 15/3 X 190 X 1900MM</t>
  </si>
  <si>
    <t>PAINEL CARVALHO CARVALHO EUROPEU CONCRETE GREY 20/6 X 300 X 4000MM</t>
  </si>
  <si>
    <t>PAINEL CARVALHO CARVALHO EUROPEU CONCRETE GREY 20/6 X 400 X 5000MM</t>
  </si>
  <si>
    <t>PAINEL CARVALHO CARVALHO EUROPEU ITALY BROWN CHEVRON 15/3 X 1900X 740MM</t>
  </si>
  <si>
    <t>PAINEL CARVALHO CARVALHO EUROPEU ITALY BROWN 15/3 X 125 X 1200MM</t>
  </si>
  <si>
    <t>PAINEL CARVALHO CARVALHO EUROPEU ITALY BROWN 15/3 X 190 X 1900MM</t>
  </si>
  <si>
    <t>PAINEL CARVALHO CARVALHO EUROPEU ITALY BROWN 20/6 X 300 X 4000MM</t>
  </si>
  <si>
    <t>PAINEL CARVALHO CARVALHO EUROPEU ITALY BROWN 20/6 X 400 X 5000MM</t>
  </si>
  <si>
    <t>PAINEL CARVALHO CARVALHO EUROPEU ALL BLACK CHEVRON 15/3 X 1900X 740MM</t>
  </si>
  <si>
    <t>PAINEL CARVALHO CARVALHO EUROPEU ALL BLACK 15/3 X 125 X 1200MM</t>
  </si>
  <si>
    <t>PAINEL CARVALHO CARVALHO EUROPEU BLACK CHEVRON TG 15/3 X 125 X 775CM</t>
  </si>
  <si>
    <t>PAINEL CARVALHO CARVALHO EUROPEU ALL BLACK 15/3 X 190 X 1900MM</t>
  </si>
  <si>
    <t>PAINEL CARVALHO CARVALHO EUROPEU ALL BLACK 20/6 X 300 X 4000MM</t>
  </si>
  <si>
    <t>PAINEL CARVALHO CARVALHO EUROPEU ALL BLACK 20/6 X 400 X 5000MM</t>
  </si>
  <si>
    <t>PAINEL CARVALHO CARVALHO EUROPEU URBAN GREY CHEVRON 15/3 X 1900X 740MM</t>
  </si>
  <si>
    <t>PAINEL CARVALHO CARVALHO EUROPEU URBAN GREY 15/3 X 125 X 1200MM</t>
  </si>
  <si>
    <t>PAINEL CARVALHO CARVALHO EUROPEU URBAN GREY 15/3 X 190 X 1900MM</t>
  </si>
  <si>
    <t>PAINEL CARVALHO CARVALHO EUROPEU URBAN GREY 20/6 X 300 X 4000MM</t>
  </si>
  <si>
    <t>PAINEL CARVALHO CARVALHO EUROPEU URBAN GREY 20/6 X 400 X 5000MM</t>
  </si>
  <si>
    <t>PAINEL CARVALHO CARVALHO EUROPEU CARAMEL CHEVRON 15/3 X 1900X 740MM</t>
  </si>
  <si>
    <t>PAINEL CARVALHO CARVALHO EUROPEU CARAMEL 15/3 X 125 X 1200MM</t>
  </si>
  <si>
    <t>PAINEL CARVALHO CARVALHO EUROPEU CARAMEL 15/3 X 190 X 1900MM</t>
  </si>
  <si>
    <t>PAINEL CARVALHO CARVALHO EUROPEU CARAMEL 20/6 X 300 X 4000MM</t>
  </si>
  <si>
    <t>PAINEL CARVALHO CARVALHO EUROPEU CARAMEL 20/6 X 400 X 5000MM</t>
  </si>
  <si>
    <t>PAINEL CARVALHO CARVALHO EUROPEU CHEMICAL CHEVRON TG 15/3*190*740MM</t>
  </si>
  <si>
    <t>PAINEL CARVALHO CARVALHO EUROPEU WHITE RUSTIC 15/4*189*1860MM</t>
  </si>
  <si>
    <t>PAINEL CARVALHO CARVALHO EUROPEU CUSTOMIZADO 14/3 X 12,7 X 186CM</t>
  </si>
  <si>
    <t>PAINEL CARVALHO CARVALHO EUROPEU CUSTOMIZADO 2.0 X 19 X 190CM (C2)</t>
  </si>
  <si>
    <t>PAINEL CARVALHO CARVALHO EUROPEU NATURAL CHEVRON TG 1.5/3 X 9X 51CM</t>
  </si>
  <si>
    <t>PAINEL CARVALHO CARVALHO EUROPEU NATURAL TG 1.5/3 X 9 X 91CM</t>
  </si>
  <si>
    <t>PAINEL CARVALHO CARVALHO EUROPEU NUDE CHEVRON 60.. TG 15/3 X 190 X 90CM</t>
  </si>
  <si>
    <t>PAINEL CARVALHO CARVALHO EUROPEU NUDE CHEVRON TG 1.5/3X 12.5X 63CM</t>
  </si>
  <si>
    <t>PAINEL CARVALHO WALNUT 15/3 X 125 X 910MM</t>
  </si>
  <si>
    <t>PAINEL CARVALHO WALNUT 15/3 X 190 X 1900MM</t>
  </si>
  <si>
    <t>PAINEL CARVALHO WALNUT 20/2 X 300 X 4000MM</t>
  </si>
  <si>
    <t>PAINEL CARVALHO BAMBU ALTA DENS. CUST PREMIUM TG 1.5/4 X19X185CM</t>
  </si>
  <si>
    <t>PAINEL CARVALHO BAMBU CARAMEL ALTA DENSIDADE TG 1.5/4 X19X186CM</t>
  </si>
  <si>
    <t>PAINEL CARVALHO RIPADO CUMARU PREMIUM TG 1,8 X 3,5+0,5CM PROF. BIT 0</t>
  </si>
  <si>
    <t>PAINEL CARVALHO RIPADO CATUABA PREMIUM TG 1,8 X 3,5+0,5CM PROF. BIT 0</t>
  </si>
  <si>
    <t>PAINEL CARVALHO RIPADO CABREUVA BRANCA PREMIUM TG 1,8 X 3,5+0,5CM PROF. BIT 0</t>
  </si>
  <si>
    <t>PAINEL CARVALHO RIPADO CABREUVA DOURADA PREMIUM TG 1,8 X 3,5+0,5CM PROF. BIT 0</t>
  </si>
  <si>
    <t>PAINEL CARVALHO RIPADO TAUARI PREMIUM TG 1,8 X 3,5+0,5CM PROF. BIT 0</t>
  </si>
  <si>
    <t>PAINEL CARVALHO RIPADO PEROBA PREMIUM TG 1,8 X 3,5+0,5CM PROF. BIT 0</t>
  </si>
  <si>
    <t>PAINEL CARVALHO RIPADO LORO PARDO PREMIUM TG 1,8 X 3,5+0,5CM PROF. BIT 0</t>
  </si>
  <si>
    <t>PAINEL CARVALHO CUMARU MULTI PREMIUM 19 X 190 X 600 A 2200MM</t>
  </si>
  <si>
    <t>PAINEL CARVALHO CATUABA MULTI PREMIUM 19 X 190 X 600 A 2200MM</t>
  </si>
  <si>
    <t>PAINEL CARVALHO CABREUVA BRACA MULTI PREMIUM 19 X 190 X 600 A 2200MM</t>
  </si>
  <si>
    <t>PAINEL CARVALHO CABREUVA DOURADA MULTI PREMIUM 19 X 190 X 600 A 2200MM</t>
  </si>
  <si>
    <t>PAINEL CARVALHO TAUARI MULTI PREMIUM 19 X 190 X 600 A 2200MM</t>
  </si>
  <si>
    <t>PAINEL CARVALHO PEROBA MULTI PREMIUM 19 X 190 X 600 A 2200MM</t>
  </si>
  <si>
    <t>PAINEL CARVALHO LORO PARDO MULTI PREMIUM 19 X 190 X 600 A 2200MM</t>
  </si>
  <si>
    <t>PAINEL CARVALHO MUXARABI CUMARU PREMIUM</t>
  </si>
  <si>
    <t>PAINEL CARVALHO MUXARABI CATUABA PREMIUM</t>
  </si>
  <si>
    <t>PAINEL CARVALHO MUXARABI CABREUVA BRANCA PREMIUM</t>
  </si>
  <si>
    <t>PAINEL CARVALHO MUXARABI CABREUVA DOURADA PREMIUM</t>
  </si>
  <si>
    <t>PAINEL CARVALHO MUXARABI TAUARI PREMIUM</t>
  </si>
  <si>
    <t>PAINEL CARVALHO MUXARABI PEROBA PREMIUM</t>
  </si>
  <si>
    <t>PAINEL CARVALHO MUXARABI LORO PARDO PREMIUM</t>
  </si>
  <si>
    <t>PAINEL CARVALHO TOBLERONE CUMARU PREMIUM 3 X 3 COMPR. VARIAVEIS</t>
  </si>
  <si>
    <t>PAINEL CARVALHO TOBLERONE CATUABA PREMIUM 3 X 3 COMPR. VARIAVEIS</t>
  </si>
  <si>
    <t>PAINEL CARVALHO TOBLERONE CABREUVA BRANCA PREMIUM 3 X 3 COMPR. VARIAVEIS</t>
  </si>
  <si>
    <t>PAINEL CARVALHO TOBLERONE CABREUVA DOURADA PREMIUM 3 X 3 COMPR. VARIAVEIS</t>
  </si>
  <si>
    <t>PAINEL CARVALHO TOBLERONE TAUARI PREMIUM 3 X 3 COMPR. VARIAVEIS</t>
  </si>
  <si>
    <t>PAINEL CARVALHO TOBLERONE PEROBA PREMIUM 3 X 3 COMPR. VARIAVEIS</t>
  </si>
  <si>
    <t>PAINEL CARVALHO TOBLERONE LORO PARDO PREMIUM 3 X 3 COMPR. VARIAVEIS</t>
  </si>
  <si>
    <t>PAINEL CARVALHO DECK CUMARU PREMIUM TG 2,5 X 5 X COMPR. VARIAVEIS</t>
  </si>
  <si>
    <t>PAINEL CARVALHO DECK CUMARU PREMIUM TG 2,5 X 10 X COMPR. VARIAVEIS</t>
  </si>
  <si>
    <t>PAINEL CARVALHO DECK CATUABA PREMIUM TG 2,5 X 5 X COMPR. VARIAVEIS</t>
  </si>
  <si>
    <t>PAINEL CARVALHO DECK CATUABA PREMIUM TG 2,5 X 10 X COMPR. VARIAVEIS</t>
  </si>
  <si>
    <t>PAINEL CARVALHO DECK CABREUVA BRANCA PREMIUM TG 2,5 X 5 X COMPR. VARIAVEIS</t>
  </si>
  <si>
    <t>PAINEL CARVALHO DECK CABREUVA BRANCA PREMIUM TG 2,5 X 10 X COMPR. VARIAVEIS</t>
  </si>
  <si>
    <t>PAINEL CARVALHO DECK CABREUVA DOURADA PREMIUM TG 2,5 X 5 X COMPR. VARIAVEIS</t>
  </si>
  <si>
    <t>PAINEL CARVALHO DECK CABREUVA DOURADA PREMIUM TG 2,5 X 10 X COMPR. VARIAVEIS</t>
  </si>
  <si>
    <t>PAINEL CARVALHO DECK TAUARI PREMIUM TG 2,5 X 5 X COMPR. VARIAVEIS</t>
  </si>
  <si>
    <t>PAINEL CARVALHO DECK TAUARI PREMIUM TG 2,5 X 10 X COMPR. VARIAVEIS</t>
  </si>
  <si>
    <t>PAINEL CARVALHO DECK PEROBA PREMIUM TG 2,5 X 5 X COMPR. VARIAVEIS</t>
  </si>
  <si>
    <t>PAINEL CARVALHO DECK PEROBA PREMIUM TG 2,5 X 10 X COMPR. VARIAVEIS</t>
  </si>
  <si>
    <t>PAINEL CARVALHO DECK BAMBU CARAMEL ALTA DENSIDADE</t>
  </si>
  <si>
    <t>PAINEL CARVALHO DECK BPC CINZA ESCURO 2 X15X 290CM PÇ/0.435M2</t>
  </si>
  <si>
    <t>PAINEL CARVALHO DECK BPC MORROM 2X15X220CM</t>
  </si>
  <si>
    <t>PAINEL CARVALHO DECK WPC CINZA 2,2*14,6*220CM</t>
  </si>
  <si>
    <t>PAINEL CARVALHO PEROBA RUSTICA DE DEMOLIÇÃO</t>
  </si>
  <si>
    <t>PAINEL CARVALHO CANELA RUSTICA DE DEMOLIÇÃO</t>
  </si>
  <si>
    <t>FORRO FINCAPINO CARVALHO EUROPEU MARRONE CHEVRON 15/3 X 1900X 740MM</t>
  </si>
  <si>
    <t>FORRO FINCAPINO CARVALHO EUROPEU MARRONE 15/3 X 125 X 1200MM</t>
  </si>
  <si>
    <t>FORRO FINCAPINO CARVALHO EUROPEU MARRONE 15/3 X 190 X 1900MM</t>
  </si>
  <si>
    <t>FORRO FINCAPINO CARVALHO EUROPEU MARRONE 20/6 X 300 X 4000MM</t>
  </si>
  <si>
    <t>FORRO FINCAPINO CARVALHO EUROPEU MARRONE 20/6 X 400 X 5000MM</t>
  </si>
  <si>
    <t>FORRO FINCAPINO CARVALHO EUROPEU MONT BLANC CHEVRON 15/3 X 1900X 740MM</t>
  </si>
  <si>
    <t>FORRO FINCAPINO CARVALHO EUROPEU MONT BLANC ESPINHA DE PEIXE TG 15/3 X 125X900MM</t>
  </si>
  <si>
    <t>FORRO FINCAPINO CARVALHO EUROPEU MONT BLANC 15/3 X 125 X 1200MM</t>
  </si>
  <si>
    <t>FORRO FINCAPINO CARVALHO EUROPEU MONT BLANC 15/3 X 190 X 1900MM</t>
  </si>
  <si>
    <t>FORRO FINCAPINO CARVALHO EUROPEU MONT BLANC 20/6 X 300 X 4000MM</t>
  </si>
  <si>
    <t>FORRO FINCAPINO CARVALHO EUROPEU MONT BLANC 20/6 X 400 X 5000MM</t>
  </si>
  <si>
    <t>FORRO FINCAPINO CARVALHO EUROPEU NATURAL CHEVRON TG 15/3 X 125 X 775MM</t>
  </si>
  <si>
    <t>FORRO FINCAPINO CARVALHO EUROPEU NATURALLE CHEVRON 15/3 X 1900X 740MM</t>
  </si>
  <si>
    <t>FORRO FINCAPINO CARVALHO EUROPEU NATURALLE CHEVRON 60º 15/3 X 1900X 910MM</t>
  </si>
  <si>
    <t>FORRO FINCAPINO CARVALHO EUROPEU NATURALLE FINE 10/06 X 1900 X 1900MM</t>
  </si>
  <si>
    <t>FORRO FINCAPINO CARVALHO EUROPEU NATURALLE 15/3 X 125 X 1200MM</t>
  </si>
  <si>
    <t>FORRO FINCAPINO CARVALHO EUROPEU NATURALLE 15/3 X 190 X 1900MM</t>
  </si>
  <si>
    <t>FORRO FINCAPINO CARVALHO EUROPEU NATURALLE 20/6 X 300 X 4000MM</t>
  </si>
  <si>
    <t>FORRO FINCAPINO CARVALHO EUROPEU NATURALLE 20/6 X 400 X 5000MM</t>
  </si>
  <si>
    <t>FORRO FINCAPINO CARVALHO EUROPEU CAPUCCINO CHEVRON 15/3 X 1900X 740MM</t>
  </si>
  <si>
    <t>FORRO FINCAPINO CARVALHO EUROPEU CAPUCCINO 15/3 X 125 X 1200MM</t>
  </si>
  <si>
    <t>FORRO FINCAPINO CARVALHO EUROPEU CAPPUCCINO ESPINHA DE PEIXE TG 15/3 X 125X900MM</t>
  </si>
  <si>
    <t>FORRO FINCAPINO CARVALHO EUROPEU CAPUCCINO 15/3 X 190 X 1900MM</t>
  </si>
  <si>
    <t>FORRO FINCAPINO CARVALHO EUROPEU CAPUCCINO 20/6 X 300 X 4000MM</t>
  </si>
  <si>
    <t>FORRO FINCAPINO CARVALHO EUROPEU CAPUCCINO 20/6 X 400 X 5000MM</t>
  </si>
  <si>
    <t>FORRO FINCAPINO CARVALHO EUROPEU BABY GREY CHEVRON 15/3 X 1900X 740MM</t>
  </si>
  <si>
    <t>FORRO FINCAPINO CARVALHO EUROPEU BABY GREY 15/3 X 125 X 1200MM</t>
  </si>
  <si>
    <t>FORRO FINCAPINO CARVALHO EUROPEU BABY GREY 15/3 X 190 X 1900MM</t>
  </si>
  <si>
    <t>FORRO FINCAPINO CARVALHO EUROPEU BABY GREY 20/6 X 300 X 4000MM</t>
  </si>
  <si>
    <t>FORRO FINCAPINO CARVALHO EUROPEU BABY GREY 20/6 X 400 X 5000MM</t>
  </si>
  <si>
    <t>FORRO FINCAPINO CARVALHO EUROPEU GRIGIO NERO CHEVRON 15/3 X 1900X 740MM</t>
  </si>
  <si>
    <t>FORRO FINCAPINO CARVALHO EUROPEU GRIGIO NERO 15/3 X 125 X 1200MM</t>
  </si>
  <si>
    <t>FORRO FINCAPINO CARVALHO EUROPEU GRIGIO NERO 15/3 X 190 X 1900MM</t>
  </si>
  <si>
    <t>FORRO FINCAPINO CARVALHO EUROPEU GRIGIO NERO 20/6 X 300 X 4000MM</t>
  </si>
  <si>
    <t>FORRO FINCAPINO CARVALHO EUROPEU GRIGIO NERO 20/6 X 400 X 5000MM</t>
  </si>
  <si>
    <t>FORRO FINCAPINO CARVALHO EUROPEU LIGHT BROWN CHEVRON 15/3 X 1900X 740MM</t>
  </si>
  <si>
    <t>FORRO FINCAPINO CARVALHO EUROPEU LIGHT BROWN 15/3 X 125 X 1200MM</t>
  </si>
  <si>
    <t>FORRO FINCAPINO CARVALHO EUROPEU LIGHT BROWN 15/3 X 190 X 1900MM</t>
  </si>
  <si>
    <t>FORRO FINCAPINO CARVALHO EUROPEU LIGHT BROWN 20/6 X 300 X 4000MM</t>
  </si>
  <si>
    <t>FORRO FINCAPINO CARVALHO EUROPEU LIGHT BROWN 20/6 X 400 X 5000MM</t>
  </si>
  <si>
    <t>FORRO FINCAPINO CARVALHO EUROPEU - LISTONE GIORDANO (HERITAGE 140 FILIGRANA - SIENNA 1179) TG 1,25 X 14,0 X 83,50CM --</t>
  </si>
  <si>
    <t>FORRO FINCAPINO CARVALHO EUROPEU MILANO CHEVRON 15/3 X 1900X 740MM</t>
  </si>
  <si>
    <t>FORRO FINCAPINO CARVALHO EUROPEU MILANO 15/3 X 125 X 1200MM</t>
  </si>
  <si>
    <t>FORRO FINCAPINO CARVALHO EUROPEU MILANO 15/3 X 190 X 1900MM</t>
  </si>
  <si>
    <t>FORRO FINCAPINO CARVALHO EUROPEU MILANO 20/6 X 300 X 4000MM</t>
  </si>
  <si>
    <t>FORRO FINCAPINO CARVALHO EUROPEU MILANO 20/6 X 400 X 5000MM</t>
  </si>
  <si>
    <t>FORRO FINCAPINO CARVALHO EUROPEU SMOKED CHEVRON 15/3 X 1900X 740MM</t>
  </si>
  <si>
    <t>FORRO FINCAPINO CARVALHO EUROPEU SMOKED 15/3 X 125 X 1200MM</t>
  </si>
  <si>
    <t>FORRO FINCAPINO CARVALHO EUROPEU SMOKED 15/3 X 190 X 1900MM</t>
  </si>
  <si>
    <t>FORRO FINCAPINO CARVALHO EUROPEU SMOKED 20/6 X 300 X 4000MM</t>
  </si>
  <si>
    <t>FORRO FINCAPINO CARVALHO EUROPEU SMOKED 20/6 X 400 X 5000MM</t>
  </si>
  <si>
    <t>FORRO FINCAPINO CARVALHO EUROPEU GIZ CHEVRON 15/3 X 1900X 740MM</t>
  </si>
  <si>
    <t>FORRO FINCAPINO CARVALHO EUROPEU GIZ 15/3 X 125 X 1200MM</t>
  </si>
  <si>
    <t>FORRO FINCAPINO CARVALHO EUROPEU GIZ 15/3 X 190 X 1900MM</t>
  </si>
  <si>
    <t>FORRO FINCAPINO CARVALHO EUROPEU GIZ 20/6 X 300 X 4000MM</t>
  </si>
  <si>
    <t>FORRO FINCAPINO CARVALHO EUROPEU GIZ 20/6 X 400 X 5000MM</t>
  </si>
  <si>
    <t>FORRO FINCAPINO CARVALHO EUROPEU SNOW CHEVRON 15/3 X 1900X 740MM</t>
  </si>
  <si>
    <t>FORRO FINCAPINO CARVALHO EUROPEU SNOW 15/3 X 125 X 1200MM</t>
  </si>
  <si>
    <t>FORRO FINCAPINO CARVALHO EUROPEU SNOW 15/3 X 190 X 1900MM</t>
  </si>
  <si>
    <t>FORRO FINCAPINO CARVALHO EUROPEU SNOW 20/6 X 300 X 4000MM</t>
  </si>
  <si>
    <t>FORRO FINCAPINO CARVALHO EUROPEU SNOW 20/6 X 400 X 5000MM</t>
  </si>
  <si>
    <t>FORRO FINCAPINO CARVALHO EUROPEU WILD CHEVRON 15/3 X 1900X 740MM</t>
  </si>
  <si>
    <t>FORRO FINCAPINO CARVALHO EUROPEU WILD 15/3 X 125 X 1200MM</t>
  </si>
  <si>
    <t>FORRO FINCAPINO CARVALHO EUROPEU WILD 15/3 X 190 X 1900MM</t>
  </si>
  <si>
    <t>FORRO FINCAPINO CARVALHO EUROPEU WILD 20/6 X 300 X 4000MM</t>
  </si>
  <si>
    <t>FORRO FINCAPINO CARVALHO EUROPEU WILD 20/6 X 400 X 5000MM</t>
  </si>
  <si>
    <t>FORRO FINCAPINO CARVALHO EUROPEU NEVADO CHEVRON 15/3 X 1900X 740MM</t>
  </si>
  <si>
    <t>FORRO FINCAPINO CARVALHO EUROPEU NEVADO 15/3 X 125 X 1200MM</t>
  </si>
  <si>
    <t>FORRO FINCAPINO CARVALHO EUROPEU NEVADO 15/3 X 190 X 1900MM</t>
  </si>
  <si>
    <t>FORRO FINCAPINO CARVALHO EUROPEU NEVADO 20/6 X 300 X 4000MM</t>
  </si>
  <si>
    <t>FORRO FINCAPINO CARVALHO EUROPEU NEVADO 20/6 X 400 X 5000MM</t>
  </si>
  <si>
    <t>FORRO FINCAPINO CARVALHO EUROPEU CONCRETE GREY CHEVRON 15/3 X 1900X 740MM</t>
  </si>
  <si>
    <t>FORRO FINCAPINO CARVALHO EUROPEU CONCRETE GREY 15/3 X 125 X 1200MM</t>
  </si>
  <si>
    <t>FORRO FINCAPINO CARVALHO EUROPEU CONCRETE GREY 15/3 X 190 X 1900MM</t>
  </si>
  <si>
    <t>FORRO FINCAPINO CARVALHO EUROPEU CONCRETE GREY 20/6 X 300 X 4000MM</t>
  </si>
  <si>
    <t>FORRO FINCAPINO CARVALHO EUROPEU CONCRETE GREY 20/6 X 400 X 5000MM</t>
  </si>
  <si>
    <t>FORRO FINCAPINO CARVALHO EUROPEU ITALY BROWN CHEVRON 15/3 X 1900X 740MM</t>
  </si>
  <si>
    <t>FORRO FINCAPINO CARVALHO EUROPEU ITALY BROWN 15/3 X 125 X 1200MM</t>
  </si>
  <si>
    <t>FORRO FINCAPINO CARVALHO EUROPEU ITALY BROWN 15/3 X 190 X 1900MM</t>
  </si>
  <si>
    <t>FORRO FINCAPINO CARVALHO EUROPEU ITALY BROWN 20/6 X 300 X 4000MM</t>
  </si>
  <si>
    <t>FORRO FINCAPINO CARVALHO EUROPEU ITALY BROWN 20/6 X 400 X 5000MM</t>
  </si>
  <si>
    <t>FORRO FINCAPINO CARVALHO EUROPEU ALL BLACK CHEVRON 15/3 X 1900X 740MM</t>
  </si>
  <si>
    <t>FORRO FINCAPINO CARVALHO EUROPEU ALL BLACK 15/3 X 125 X 1200MM</t>
  </si>
  <si>
    <t>FORRO FINCAPINO CARVALHO EUROPEU BLACK CHEVRON TG 15/3 X 125 X 775CM</t>
  </si>
  <si>
    <t>FORRO FINCAPINO CARVALHO EUROPEU ALL BLACK 15/3 X 190 X 1900MM</t>
  </si>
  <si>
    <t>FORRO FINCAPINO CARVALHO EUROPEU ALL BLACK 20/6 X 300 X 4000MM</t>
  </si>
  <si>
    <t>FORRO FINCAPINO CARVALHO EUROPEU ALL BLACK 20/6 X 400 X 5000MM</t>
  </si>
  <si>
    <t>FORRO FINCAPINO CARVALHO EUROPEU URBAN GREY CHEVRON 15/3 X 1900X 740MM</t>
  </si>
  <si>
    <t>FORRO FINCAPINO CARVALHO EUROPEU URBAN GREY 15/3 X 125 X 1200MM</t>
  </si>
  <si>
    <t>FORRO FINCAPINO CARVALHO EUROPEU URBAN GREY 15/3 X 190 X 1900MM</t>
  </si>
  <si>
    <t>FORRO FINCAPINO CARVALHO EUROPEU URBAN GREY 20/6 X 300 X 4000MM</t>
  </si>
  <si>
    <t>FORRO FINCAPINO CARVALHO EUROPEU URBAN GREY 20/6 X 400 X 5000MM</t>
  </si>
  <si>
    <t>FORRO FINCAPINO CARVALHO EUROPEU CARAMEL CHEVRON 15/3 X 1900X 740MM</t>
  </si>
  <si>
    <t>FORRO FINCAPINO CARVALHO EUROPEU CARAMEL 15/3 X 125 X 1200MM</t>
  </si>
  <si>
    <t>FORRO FINCAPINO CARVALHO EUROPEU CARAMEL 15/3 X 190 X 1900MM</t>
  </si>
  <si>
    <t>FORRO FINCAPINO CARVALHO EUROPEU CARAMEL 20/6 X 300 X 4000MM</t>
  </si>
  <si>
    <t>FORRO FINCAPINO CARVALHO EUROPEU CARAMEL 20/6 X 400 X 5000MM</t>
  </si>
  <si>
    <t>FORRO FINCAPINO CARVALHO EUROPEU CHEMICAL CHEVRON TG 15/3*190*740MM</t>
  </si>
  <si>
    <t>FORRO FINCAPINO CARVALHO EUROPEU WHITE RUSTIC 15/4*189*1860MM</t>
  </si>
  <si>
    <t>FORRO FINCAPINO CARVALHO EUROPEU CUSTOMIZADO 14/3 X 12,7 X 186CM</t>
  </si>
  <si>
    <t>FORRO FINCAPINO CARVALHO EUROPEU CUSTOMIZADO 2.0 X 19 X 190CM (C2)</t>
  </si>
  <si>
    <t>FORRO FINCAPINO CARVALHO EUROPEU NATURAL CHEVRON TG 1.5/3 X 9X 51CM</t>
  </si>
  <si>
    <t>FORRO FINCAPINO CARVALHO EUROPEU NATURAL TG 1.5/3 X 9 X 91CM</t>
  </si>
  <si>
    <t>FORRO FINCAPINO CARVALHO EUROPEU NUDE CHEVRON 60.. TG 15/3 X 190 X 90CM</t>
  </si>
  <si>
    <t>FORRO FINCAPINO CARVALHO EUROPEU NUDE CHEVRON TG 1.5/3X 12.5X 63CM</t>
  </si>
  <si>
    <t>FORRO FINCAPINO WALNUT 15/3 X 125 X 910MM</t>
  </si>
  <si>
    <t>FORRO FINCAPINO WALNUT 15/3 X 190 X 1900MM</t>
  </si>
  <si>
    <t>FORRO FINCAPINO WALNUT 20/2 X 300 X 4000MM</t>
  </si>
  <si>
    <t>FORRO FINCAPINO BAMBU ALTA DENS. CUST PREMIUM TG 1.5/4 X19X185CM</t>
  </si>
  <si>
    <t>FORRO FINCAPINO BAMBU CARAMEL ALTA DENSIDADE TG 1.5/4 X19X186CM</t>
  </si>
  <si>
    <t>FORRO FINCAPINO RIPADO CUMARU PREMIUM TG 1,8 X 3,5+0,5CM PROF. BIT 0</t>
  </si>
  <si>
    <t>FORRO FINCAPINO RIPADO CATUABA PREMIUM TG 1,8 X 3,5+0,5CM PROF. BIT 0</t>
  </si>
  <si>
    <t>FORRO FINCAPINO RIPADO CABREUVA BRANCA PREMIUM TG 1,8 X 3,5+0,5CM PROF. BIT 0</t>
  </si>
  <si>
    <t>FORRO FINCAPINO RIPADO CABREUVA DOURADA PREMIUM TG 1,8 X 3,5+0,5CM PROF. BIT 0</t>
  </si>
  <si>
    <t>FORRO FINCAPINO RIPADO TAUARI PREMIUM TG 1,8 X 3,5+0,5CM PROF. BIT 0</t>
  </si>
  <si>
    <t>FORRO FINCAPINO RIPADO PEROBA PREMIUM TG 1,8 X 3,5+0,5CM PROF. BIT 0</t>
  </si>
  <si>
    <t>FORRO FINCAPINO RIPADO LORO PARDO PREMIUM TG 1,8 X 3,5+0,5CM PROF. BIT 0</t>
  </si>
  <si>
    <t>FORRO FINCAPINO CUMARU MULTI PREMIUM 19 X 190 X 600 A 2200MM</t>
  </si>
  <si>
    <t>FORRO FINCAPINO CATUABA MULTI PREMIUM 19 X 190 X 600 A 2200MM</t>
  </si>
  <si>
    <t>FORRO FINCAPINO CABREUVA BRACA MULTI PREMIUM 19 X 190 X 600 A 2200MM</t>
  </si>
  <si>
    <t>FORRO FINCAPINO CABREUVA DOURADA MULTI PREMIUM 19 X 190 X 600 A 2200MM</t>
  </si>
  <si>
    <t>FORRO FINCAPINO TAUARI MULTI PREMIUM 19 X 190 X 600 A 2200MM</t>
  </si>
  <si>
    <t>FORRO FINCAPINO PEROBA MULTI PREMIUM 19 X 190 X 600 A 2200MM</t>
  </si>
  <si>
    <t>FORRO FINCAPINO LORO PARDO MULTI PREMIUM 19 X 190 X 600 A 2200MM</t>
  </si>
  <si>
    <t>FORRO FINCAPINO MUXARABI CUMARU PREMIUM</t>
  </si>
  <si>
    <t>FORRO FINCAPINO MUXARABI CATUABA PREMIUM</t>
  </si>
  <si>
    <t>FORRO FINCAPINO MUXARABI CABREUVA BRANCA PREMIUM</t>
  </si>
  <si>
    <t>FORRO FINCAPINO MUXARABI CABREUVA DOURADA PREMIUM</t>
  </si>
  <si>
    <t>FORRO FINCAPINO MUXARABI TAUARI PREMIUM</t>
  </si>
  <si>
    <t>FORRO FINCAPINO MUXARABI PEROBA PREMIUM</t>
  </si>
  <si>
    <t>FORRO FINCAPINO MUXARABI LORO PARDO PREMIUM</t>
  </si>
  <si>
    <t>FORRO FINCAPINO TOBLERONE CUMARU PREMIUM 3 X 3 COMPR. VARIAVEIS</t>
  </si>
  <si>
    <t>FORRO FINCAPINO TOBLERONE CATUABA PREMIUM 3 X 3 COMPR. VARIAVEIS</t>
  </si>
  <si>
    <t>FORRO FINCAPINO TOBLERONE CABREUVA BRANCA PREMIUM 3 X 3 COMPR. VARIAVEIS</t>
  </si>
  <si>
    <t>FORRO FINCAPINO TOBLERONE CABREUVA DOURADA PREMIUM 3 X 3 COMPR. VARIAVEIS</t>
  </si>
  <si>
    <t>FORRO FINCAPINO TOBLERONE TAUARI PREMIUM 3 X 3 COMPR. VARIAVEIS</t>
  </si>
  <si>
    <t>FORRO FINCAPINO TOBLERONE PEROBA PREMIUM 3 X 3 COMPR. VARIAVEIS</t>
  </si>
  <si>
    <t>FORRO FINCAPINO TOBLERONE LORO PARDO PREMIUM 3 X 3 COMPR. VARIAVEIS</t>
  </si>
  <si>
    <t>FORRO FINCAPINO DECK CUMARU PREMIUM TG 2,5 X 5 X COMPR. VARIAVEIS</t>
  </si>
  <si>
    <t>FORRO FINCAPINO DECK CUMARU PREMIUM TG 2,5 X 10 X COMPR. VARIAVEIS</t>
  </si>
  <si>
    <t>FORRO FINCAPINO DECK CATUABA PREMIUM TG 2,5 X 5 X COMPR. VARIAVEIS</t>
  </si>
  <si>
    <t>FORRO FINCAPINO DECK CATUABA PREMIUM TG 2,5 X 10 X COMPR. VARIAVEIS</t>
  </si>
  <si>
    <t>FORRO FINCAPINO DECK CABREUVA BRANCA PREMIUM TG 2,5 X 5 X COMPR. VARIAVEIS</t>
  </si>
  <si>
    <t>FORRO FINCAPINO DECK CABREUVA BRANCA PREMIUM TG 2,5 X 10 X COMPR. VARIAVEIS</t>
  </si>
  <si>
    <t>FORRO FINCAPINO DECK CABREUVA DOURADA PREMIUM TG 2,5 X 5 X COMPR. VARIAVEIS</t>
  </si>
  <si>
    <t>FORRO FINCAPINO DECK CABREUVA DOURADA PREMIUM TG 2,5 X 10 X COMPR. VARIAVEIS</t>
  </si>
  <si>
    <t>FORRO FINCAPINO DECK TAUARI PREMIUM TG 2,5 X 5 X COMPR. VARIAVEIS</t>
  </si>
  <si>
    <t>FORRO FINCAPINO DECK TAUARI PREMIUM TG 2,5 X 10 X COMPR. VARIAVEIS</t>
  </si>
  <si>
    <t>FORRO FINCAPINO DECK PEROBA PREMIUM TG 2,5 X 5 X COMPR. VARIAVEIS</t>
  </si>
  <si>
    <t>FORRO FINCAPINO DECK PEROBA PREMIUM TG 2,5 X 10 X COMPR. VARIAVEIS</t>
  </si>
  <si>
    <t>FORRO FINCAPINO DECK BAMBU CARAMEL ALTA DENSIDADE</t>
  </si>
  <si>
    <t>FORRO FINCAPINO DECK BPC CINZA ESCURO 2 X15X 290CM PÇ/0.435M2</t>
  </si>
  <si>
    <t>FORRO FINCAPINO DECK BPC MORROM 2X15X220CM</t>
  </si>
  <si>
    <t>FORRO FINCAPINO DECK WPC CINZA 2,2*14,6*220CM</t>
  </si>
  <si>
    <t>FORRO FINCAPINO PEROBA RUSTICA DE DEMOLIÇÃO</t>
  </si>
  <si>
    <t>FORRO FINCAPINO CANELA RUSTICA DE DEMOLIÇÃO</t>
  </si>
  <si>
    <t>FORRO AUTOBROCANTE CARVALHO EUROPEU MARRONE CHEVRON 15/3 X 1900X 740MM</t>
  </si>
  <si>
    <t>FORRO AUTOBROCANTE CARVALHO EUROPEU MARRONE 15/3 X 125 X 1200MM</t>
  </si>
  <si>
    <t>FORRO AUTOBROCANTE CARVALHO EUROPEU MARRONE 15/3 X 190 X 1900MM</t>
  </si>
  <si>
    <t>FORRO AUTOBROCANTE CARVALHO EUROPEU MARRONE 20/6 X 300 X 4000MM</t>
  </si>
  <si>
    <t>FORRO AUTOBROCANTE CARVALHO EUROPEU MARRONE 20/6 X 400 X 5000MM</t>
  </si>
  <si>
    <t>FORRO AUTOBROCANTE CARVALHO EUROPEU MONT BLANC CHEVRON 15/3 X 1900X 740MM</t>
  </si>
  <si>
    <t>FORRO AUTOBROCANTE CARVALHO EUROPEU MONT BLANC ESPINHA DE PEIXE TG 15/3 X 125X900MM</t>
  </si>
  <si>
    <t>FORRO AUTOBROCANTE CARVALHO EUROPEU MONT BLANC 15/3 X 125 X 1200MM</t>
  </si>
  <si>
    <t>FORRO AUTOBROCANTE CARVALHO EUROPEU MONT BLANC 15/3 X 190 X 1900MM</t>
  </si>
  <si>
    <t>FORRO AUTOBROCANTE CARVALHO EUROPEU MONT BLANC 20/6 X 300 X 4000MM</t>
  </si>
  <si>
    <t>FORRO AUTOBROCANTE CARVALHO EUROPEU MONT BLANC 20/6 X 400 X 5000MM</t>
  </si>
  <si>
    <t>FORRO AUTOBROCANTE CARVALHO EUROPEU NATURAL CHEVRON TG 15/3 X 125 X 775MM</t>
  </si>
  <si>
    <t>FORRO AUTOBROCANTE CARVALHO EUROPEU NATURALLE CHEVRON 15/3 X 1900X 740MM</t>
  </si>
  <si>
    <t>FORRO AUTOBROCANTE CARVALHO EUROPEU NATURALLE CHEVRON 60º 15/3 X 1900X 910MM</t>
  </si>
  <si>
    <t>FORRO AUTOBROCANTE CARVALHO EUROPEU NATURALLE FINE 10/06 X 1900 X 1900MM</t>
  </si>
  <si>
    <t>FORRO AUTOBROCANTE CARVALHO EUROPEU NATURALLE 15/3 X 125 X 1200MM</t>
  </si>
  <si>
    <t>FORRO AUTOBROCANTE CARVALHO EUROPEU NATURALLE 15/3 X 190 X 1900MM</t>
  </si>
  <si>
    <t>FORRO AUTOBROCANTE CARVALHO EUROPEU NATURALLE 20/6 X 300 X 4000MM</t>
  </si>
  <si>
    <t>FORRO AUTOBROCANTE CARVALHO EUROPEU NATURALLE 20/6 X 400 X 5000MM</t>
  </si>
  <si>
    <t>FORRO AUTOBROCANTE CARVALHO EUROPEU CAPUCCINO CHEVRON 15/3 X 1900X 740MM</t>
  </si>
  <si>
    <t>FORRO AUTOBROCANTE CARVALHO EUROPEU CAPUCCINO 15/3 X 125 X 1200MM</t>
  </si>
  <si>
    <t>FORRO AUTOBROCANTE CARVALHO EUROPEU CAPPUCCINO ESPINHA DE PEIXE TG 15/3 X 125X900MM</t>
  </si>
  <si>
    <t>FORRO AUTOBROCANTE CARVALHO EUROPEU CAPUCCINO 15/3 X 190 X 1900MM</t>
  </si>
  <si>
    <t>FORRO AUTOBROCANTE CARVALHO EUROPEU CAPUCCINO 20/6 X 300 X 4000MM</t>
  </si>
  <si>
    <t>FORRO AUTOBROCANTE CARVALHO EUROPEU CAPUCCINO 20/6 X 400 X 5000MM</t>
  </si>
  <si>
    <t>FORRO AUTOBROCANTE CARVALHO EUROPEU BABY GREY CHEVRON 15/3 X 1900X 740MM</t>
  </si>
  <si>
    <t>FORRO AUTOBROCANTE CARVALHO EUROPEU BABY GREY 15/3 X 125 X 1200MM</t>
  </si>
  <si>
    <t>FORRO AUTOBROCANTE CARVALHO EUROPEU BABY GREY 15/3 X 190 X 1900MM</t>
  </si>
  <si>
    <t>FORRO AUTOBROCANTE CARVALHO EUROPEU BABY GREY 20/6 X 300 X 4000MM</t>
  </si>
  <si>
    <t>FORRO AUTOBROCANTE CARVALHO EUROPEU BABY GREY 20/6 X 400 X 5000MM</t>
  </si>
  <si>
    <t>FORRO AUTOBROCANTE CARVALHO EUROPEU GRIGIO NERO CHEVRON 15/3 X 1900X 740MM</t>
  </si>
  <si>
    <t>FORRO AUTOBROCANTE CARVALHO EUROPEU GRIGIO NERO 15/3 X 125 X 1200MM</t>
  </si>
  <si>
    <t>FORRO AUTOBROCANTE CARVALHO EUROPEU GRIGIO NERO 15/3 X 190 X 1900MM</t>
  </si>
  <si>
    <t>FORRO AUTOBROCANTE CARVALHO EUROPEU GRIGIO NERO 20/6 X 300 X 4000MM</t>
  </si>
  <si>
    <t>FORRO AUTOBROCANTE CARVALHO EUROPEU GRIGIO NERO 20/6 X 400 X 5000MM</t>
  </si>
  <si>
    <t>FORRO AUTOBROCANTE CARVALHO EUROPEU LIGHT BROWN CHEVRON 15/3 X 1900X 740MM</t>
  </si>
  <si>
    <t>FORRO AUTOBROCANTE CARVALHO EUROPEU LIGHT BROWN 15/3 X 125 X 1200MM</t>
  </si>
  <si>
    <t>FORRO AUTOBROCANTE CARVALHO EUROPEU LIGHT BROWN 15/3 X 190 X 1900MM</t>
  </si>
  <si>
    <t>FORRO AUTOBROCANTE CARVALHO EUROPEU LIGHT BROWN 20/6 X 300 X 4000MM</t>
  </si>
  <si>
    <t>FORRO AUTOBROCANTE CARVALHO EUROPEU LIGHT BROWN 20/6 X 400 X 5000MM</t>
  </si>
  <si>
    <t>FORRO AUTOBROCANTE CARVALHO EUROPEU - LISTONE GIORDANO (HERITAGE 140 FILIGRANA - SIENNA 1179) TG 1,25 X 14,0 X 83,50CM --</t>
  </si>
  <si>
    <t>FORRO AUTOBROCANTE CARVALHO EUROPEU MILANO CHEVRON 15/3 X 1900X 740MM</t>
  </si>
  <si>
    <t>FORRO AUTOBROCANTE CARVALHO EUROPEU MILANO 15/3 X 125 X 1200MM</t>
  </si>
  <si>
    <t>FORRO AUTOBROCANTE CARVALHO EUROPEU MILANO 15/3 X 190 X 1900MM</t>
  </si>
  <si>
    <t>FORRO AUTOBROCANTE CARVALHO EUROPEU MILANO 20/6 X 300 X 4000MM</t>
  </si>
  <si>
    <t>FORRO AUTOBROCANTE CARVALHO EUROPEU MILANO 20/6 X 400 X 5000MM</t>
  </si>
  <si>
    <t>FORRO AUTOBROCANTE CARVALHO EUROPEU SMOKED CHEVRON 15/3 X 1900X 740MM</t>
  </si>
  <si>
    <t>FORRO AUTOBROCANTE CARVALHO EUROPEU SMOKED 15/3 X 125 X 1200MM</t>
  </si>
  <si>
    <t>FORRO AUTOBROCANTE CARVALHO EUROPEU SMOKED 15/3 X 190 X 1900MM</t>
  </si>
  <si>
    <t>FORRO AUTOBROCANTE CARVALHO EUROPEU SMOKED 20/6 X 300 X 4000MM</t>
  </si>
  <si>
    <t>FORRO AUTOBROCANTE CARVALHO EUROPEU SMOKED 20/6 X 400 X 5000MM</t>
  </si>
  <si>
    <t>FORRO AUTOBROCANTE CARVALHO EUROPEU GIZ CHEVRON 15/3 X 1900X 740MM</t>
  </si>
  <si>
    <t>FORRO AUTOBROCANTE CARVALHO EUROPEU GIZ 15/3 X 125 X 1200MM</t>
  </si>
  <si>
    <t>FORRO AUTOBROCANTE CARVALHO EUROPEU GIZ 15/3 X 190 X 1900MM</t>
  </si>
  <si>
    <t>FORRO AUTOBROCANTE CARVALHO EUROPEU GIZ 20/6 X 300 X 4000MM</t>
  </si>
  <si>
    <t>FORRO AUTOBROCANTE CARVALHO EUROPEU GIZ 20/6 X 400 X 5000MM</t>
  </si>
  <si>
    <t>FORRO AUTOBROCANTE CARVALHO EUROPEU SNOW CHEVRON 15/3 X 1900X 740MM</t>
  </si>
  <si>
    <t>FORRO AUTOBROCANTE CARVALHO EUROPEU SNOW 15/3 X 125 X 1200MM</t>
  </si>
  <si>
    <t>FORRO AUTOBROCANTE CARVALHO EUROPEU SNOW 15/3 X 190 X 1900MM</t>
  </si>
  <si>
    <t>FORRO AUTOBROCANTE CARVALHO EUROPEU SNOW 20/6 X 300 X 4000MM</t>
  </si>
  <si>
    <t>FORRO AUTOBROCANTE CARVALHO EUROPEU SNOW 20/6 X 400 X 5000MM</t>
  </si>
  <si>
    <t>FORRO AUTOBROCANTE CARVALHO EUROPEU WILD CHEVRON 15/3 X 1900X 740MM</t>
  </si>
  <si>
    <t>FORRO AUTOBROCANTE CARVALHO EUROPEU WILD 15/3 X 125 X 1200MM</t>
  </si>
  <si>
    <t>FORRO AUTOBROCANTE CARVALHO EUROPEU WILD 15/3 X 190 X 1900MM</t>
  </si>
  <si>
    <t>FORRO AUTOBROCANTE CARVALHO EUROPEU WILD 20/6 X 300 X 4000MM</t>
  </si>
  <si>
    <t>FORRO AUTOBROCANTE CARVALHO EUROPEU WILD 20/6 X 400 X 5000MM</t>
  </si>
  <si>
    <t>FORRO AUTOBROCANTE CARVALHO EUROPEU NEVADO CHEVRON 15/3 X 1900X 740MM</t>
  </si>
  <si>
    <t>FORRO AUTOBROCANTE CARVALHO EUROPEU NEVADO 15/3 X 125 X 1200MM</t>
  </si>
  <si>
    <t>FORRO AUTOBROCANTE CARVALHO EUROPEU NEVADO 15/3 X 190 X 1900MM</t>
  </si>
  <si>
    <t>FORRO AUTOBROCANTE CARVALHO EUROPEU NEVADO 20/6 X 300 X 4000MM</t>
  </si>
  <si>
    <t>FORRO AUTOBROCANTE CARVALHO EUROPEU NEVADO 20/6 X 400 X 5000MM</t>
  </si>
  <si>
    <t>FORRO AUTOBROCANTE CARVALHO EUROPEU CONCRETE GREY CHEVRON 15/3 X 1900X 740MM</t>
  </si>
  <si>
    <t>FORRO AUTOBROCANTE CARVALHO EUROPEU CONCRETE GREY 15/3 X 125 X 1200MM</t>
  </si>
  <si>
    <t>FORRO AUTOBROCANTE CARVALHO EUROPEU CONCRETE GREY 15/3 X 190 X 1900MM</t>
  </si>
  <si>
    <t>FORRO AUTOBROCANTE CARVALHO EUROPEU CONCRETE GREY 20/6 X 300 X 4000MM</t>
  </si>
  <si>
    <t>FORRO AUTOBROCANTE CARVALHO EUROPEU CONCRETE GREY 20/6 X 400 X 5000MM</t>
  </si>
  <si>
    <t>FORRO AUTOBROCANTE CARVALHO EUROPEU ITALY BROWN CHEVRON 15/3 X 1900X 740MM</t>
  </si>
  <si>
    <t>FORRO AUTOBROCANTE CARVALHO EUROPEU ITALY BROWN 15/3 X 125 X 1200MM</t>
  </si>
  <si>
    <t>FORRO AUTOBROCANTE CARVALHO EUROPEU ITALY BROWN 15/3 X 190 X 1900MM</t>
  </si>
  <si>
    <t>FORRO AUTOBROCANTE CARVALHO EUROPEU ITALY BROWN 20/6 X 300 X 4000MM</t>
  </si>
  <si>
    <t>FORRO AUTOBROCANTE CARVALHO EUROPEU ITALY BROWN 20/6 X 400 X 5000MM</t>
  </si>
  <si>
    <t>FORRO AUTOBROCANTE CARVALHO EUROPEU ALL BLACK CHEVRON 15/3 X 1900X 740MM</t>
  </si>
  <si>
    <t>FORRO AUTOBROCANTE CARVALHO EUROPEU ALL BLACK 15/3 X 125 X 1200MM</t>
  </si>
  <si>
    <t>FORRO AUTOBROCANTE CARVALHO EUROPEU BLACK CHEVRON TG 15/3 X 125 X 775CM</t>
  </si>
  <si>
    <t>FORRO AUTOBROCANTE CARVALHO EUROPEU ALL BLACK 15/3 X 190 X 1900MM</t>
  </si>
  <si>
    <t>FORRO AUTOBROCANTE CARVALHO EUROPEU ALL BLACK 20/6 X 300 X 4000MM</t>
  </si>
  <si>
    <t>FORRO AUTOBROCANTE CARVALHO EUROPEU ALL BLACK 20/6 X 400 X 5000MM</t>
  </si>
  <si>
    <t>FORRO AUTOBROCANTE CARVALHO EUROPEU URBAN GREY CHEVRON 15/3 X 1900X 740MM</t>
  </si>
  <si>
    <t>FORRO AUTOBROCANTE CARVALHO EUROPEU URBAN GREY 15/3 X 125 X 1200MM</t>
  </si>
  <si>
    <t>FORRO AUTOBROCANTE CARVALHO EUROPEU URBAN GREY 15/3 X 190 X 1900MM</t>
  </si>
  <si>
    <t>FORRO AUTOBROCANTE CARVALHO EUROPEU URBAN GREY 20/6 X 300 X 4000MM</t>
  </si>
  <si>
    <t>FORRO AUTOBROCANTE CARVALHO EUROPEU URBAN GREY 20/6 X 400 X 5000MM</t>
  </si>
  <si>
    <t>FORRO AUTOBROCANTE CARVALHO EUROPEU CARAMEL CHEVRON 15/3 X 1900X 740MM</t>
  </si>
  <si>
    <t>FORRO AUTOBROCANTE CARVALHO EUROPEU CARAMEL 15/3 X 125 X 1200MM</t>
  </si>
  <si>
    <t>FORRO AUTOBROCANTE CARVALHO EUROPEU CARAMEL 15/3 X 190 X 1900MM</t>
  </si>
  <si>
    <t>FORRO AUTOBROCANTE CARVALHO EUROPEU CARAMEL 20/6 X 300 X 4000MM</t>
  </si>
  <si>
    <t>FORRO AUTOBROCANTE CARVALHO EUROPEU CARAMEL 20/6 X 400 X 5000MM</t>
  </si>
  <si>
    <t>FORRO AUTOBROCANTE CARVALHO EUROPEU CHEMICAL CHEVRON TG 15/3*190*740MM</t>
  </si>
  <si>
    <t>FORRO AUTOBROCANTE CARVALHO EUROPEU WHITE RUSTIC 15/4*189*1860MM</t>
  </si>
  <si>
    <t>FORRO AUTOBROCANTE CARVALHO EUROPEU CUSTOMIZADO 14/3 X 12,7 X 186CM</t>
  </si>
  <si>
    <t>FORRO AUTOBROCANTE CARVALHO EUROPEU CUSTOMIZADO 2.0 X 19 X 190CM (C2)</t>
  </si>
  <si>
    <t>FORRO AUTOBROCANTE CARVALHO EUROPEU NATURAL CHEVRON TG 1.5/3 X 9X 51CM</t>
  </si>
  <si>
    <t>FORRO AUTOBROCANTE CARVALHO EUROPEU NATURAL TG 1.5/3 X 9 X 91CM</t>
  </si>
  <si>
    <t>FORRO AUTOBROCANTE CARVALHO EUROPEU NUDE CHEVRON 60.. TG 15/3 X 190 X 90CM</t>
  </si>
  <si>
    <t>FORRO AUTOBROCANTE CARVALHO EUROPEU NUDE CHEVRON TG 1.5/3X 12.5X 63CM</t>
  </si>
  <si>
    <t>FORRO AUTOBROCANTE WALNUT 15/3 X 125 X 910MM</t>
  </si>
  <si>
    <t>FORRO AUTOBROCANTE WALNUT 15/3 X 190 X 1900MM</t>
  </si>
  <si>
    <t>FORRO AUTOBROCANTE WALNUT 20/2 X 300 X 4000MM</t>
  </si>
  <si>
    <t>FORRO AUTOBROCANTE BAMBU ALTA DENS. CUST PREMIUM TG 1.5/4 X19X185CM</t>
  </si>
  <si>
    <t>FORRO AUTOBROCANTE BAMBU CARAMEL ALTA DENSIDADE TG 1.5/4 X19X186CM</t>
  </si>
  <si>
    <t>FORRO AUTOBROCANTE RIPADO CUMARU PREMIUM TG 1,8 X 3,5+0,5CM PROF. BIT 0</t>
  </si>
  <si>
    <t>FORRO AUTOBROCANTE RIPADO CATUABA PREMIUM TG 1,8 X 3,5+0,5CM PROF. BIT 0</t>
  </si>
  <si>
    <t>FORRO AUTOBROCANTE RIPADO CABREUVA BRANCA PREMIUM TG 1,8 X 3,5+0,5CM PROF. BIT 0</t>
  </si>
  <si>
    <t>FORRO AUTOBROCANTE RIPADO CABREUVA DOURADA PREMIUM TG 1,8 X 3,5+0,5CM PROF. BIT 0</t>
  </si>
  <si>
    <t>FORRO AUTOBROCANTE RIPADO TAUARI PREMIUM TG 1,8 X 3,5+0,5CM PROF. BIT 0</t>
  </si>
  <si>
    <t>FORRO AUTOBROCANTE RIPADO PEROBA PREMIUM TG 1,8 X 3,5+0,5CM PROF. BIT 0</t>
  </si>
  <si>
    <t>FORRO AUTOBROCANTE RIPADO LORO PARDO PREMIUM TG 1,8 X 3,5+0,5CM PROF. BIT 0</t>
  </si>
  <si>
    <t>FORRO AUTOBROCANTE CUMARU MULTI PREMIUM 19 X 190 X 600 A 2200MM</t>
  </si>
  <si>
    <t>FORRO AUTOBROCANTE CATUABA MULTI PREMIUM 19 X 190 X 600 A 2200MM</t>
  </si>
  <si>
    <t>FORRO AUTOBROCANTE CABREUVA BRACA MULTI PREMIUM 19 X 190 X 600 A 2200MM</t>
  </si>
  <si>
    <t>FORRO AUTOBROCANTE CABREUVA DOURADA MULTI PREMIUM 19 X 190 X 600 A 2200MM</t>
  </si>
  <si>
    <t>FORRO AUTOBROCANTE TAUARI MULTI PREMIUM 19 X 190 X 600 A 2200MM</t>
  </si>
  <si>
    <t>FORRO AUTOBROCANTE PEROBA MULTI PREMIUM 19 X 190 X 600 A 2200MM</t>
  </si>
  <si>
    <t>FORRO AUTOBROCANTE LORO PARDO MULTI PREMIUM 19 X 190 X 600 A 2200MM</t>
  </si>
  <si>
    <t>FORRO AUTOBROCANTE MUXARABI CUMARU PREMIUM</t>
  </si>
  <si>
    <t>FORRO AUTOBROCANTE MUXARABI CATUABA PREMIUM</t>
  </si>
  <si>
    <t>FORRO AUTOBROCANTE MUXARABI CABREUVA BRANCA PREMIUM</t>
  </si>
  <si>
    <t>FORRO AUTOBROCANTE MUXARABI CABREUVA DOURADA PREMIUM</t>
  </si>
  <si>
    <t>FORRO AUTOBROCANTE MUXARABI TAUARI PREMIUM</t>
  </si>
  <si>
    <t>FORRO AUTOBROCANTE MUXARABI PEROBA PREMIUM</t>
  </si>
  <si>
    <t>FORRO AUTOBROCANTE MUXARABI LORO PARDO PREMIUM</t>
  </si>
  <si>
    <t>FORRO AUTOBROCANTE TOBLERONE CUMARU PREMIUM 3 X 3 COMPR. VARIAVEIS</t>
  </si>
  <si>
    <t>FORRO AUTOBROCANTE TOBLERONE CATUABA PREMIUM 3 X 3 COMPR. VARIAVEIS</t>
  </si>
  <si>
    <t>FORRO AUTOBROCANTE TOBLERONE CABREUVA BRANCA PREMIUM 3 X 3 COMPR. VARIAVEIS</t>
  </si>
  <si>
    <t>FORRO AUTOBROCANTE TOBLERONE CABREUVA DOURADA PREMIUM 3 X 3 COMPR. VARIAVEIS</t>
  </si>
  <si>
    <t>FORRO AUTOBROCANTE TOBLERONE TAUARI PREMIUM 3 X 3 COMPR. VARIAVEIS</t>
  </si>
  <si>
    <t>FORRO AUTOBROCANTE TOBLERONE PEROBA PREMIUM 3 X 3 COMPR. VARIAVEIS</t>
  </si>
  <si>
    <t>FORRO AUTOBROCANTE TOBLERONE LORO PARDO PREMIUM 3 X 3 COMPR. VARIAVEIS</t>
  </si>
  <si>
    <t>FORRO AUTOBROCANTE DECK CUMARU PREMIUM TG 2,5 X 5 X COMPR. VARIAVEIS</t>
  </si>
  <si>
    <t>FORRO AUTOBROCANTE DECK CUMARU PREMIUM TG 2,5 X 10 X COMPR. VARIAVEIS</t>
  </si>
  <si>
    <t>FORRO AUTOBROCANTE DECK CATUABA PREMIUM TG 2,5 X 5 X COMPR. VARIAVEIS</t>
  </si>
  <si>
    <t>FORRO AUTOBROCANTE DECK CATUABA PREMIUM TG 2,5 X 10 X COMPR. VARIAVEIS</t>
  </si>
  <si>
    <t>FORRO AUTOBROCANTE DECK CABREUVA BRANCA PREMIUM TG 2,5 X 5 X COMPR. VARIAVEIS</t>
  </si>
  <si>
    <t>FORRO AUTOBROCANTE DECK CABREUVA BRANCA PREMIUM TG 2,5 X 10 X COMPR. VARIAVEIS</t>
  </si>
  <si>
    <t>FORRO AUTOBROCANTE DECK CABREUVA DOURADA PREMIUM TG 2,5 X 5 X COMPR. VARIAVEIS</t>
  </si>
  <si>
    <t>FORRO AUTOBROCANTE DECK CABREUVA DOURADA PREMIUM TG 2,5 X 10 X COMPR. VARIAVEIS</t>
  </si>
  <si>
    <t>FORRO AUTOBROCANTE DECK TAUARI PREMIUM TG 2,5 X 5 X COMPR. VARIAVEIS</t>
  </si>
  <si>
    <t>FORRO AUTOBROCANTE DECK TAUARI PREMIUM TG 2,5 X 10 X COMPR. VARIAVEIS</t>
  </si>
  <si>
    <t>FORRO AUTOBROCANTE DECK PEROBA PREMIUM TG 2,5 X 5 X COMPR. VARIAVEIS</t>
  </si>
  <si>
    <t>FORRO AUTOBROCANTE DECK PEROBA PREMIUM TG 2,5 X 10 X COMPR. VARIAVEIS</t>
  </si>
  <si>
    <t>FORRO AUTOBROCANTE DECK BAMBU CARAMEL ALTA DENSIDADE</t>
  </si>
  <si>
    <t>FORRO AUTOBROCANTE DECK BPC CINZA ESCURO 2 X15X 290CM PÇ/0.435M2</t>
  </si>
  <si>
    <t>FORRO AUTOBROCANTE DECK BPC MORROM 2X15X220CM</t>
  </si>
  <si>
    <t>FORRO AUTOBROCANTE DECK WPC CINZA 2,2*14,6*220CM</t>
  </si>
  <si>
    <t>FORRO AUTOBROCANTE PEROBA RUSTICA DE DEMOLIÇÃO</t>
  </si>
  <si>
    <t>FORRO AUTOBROCANTE CANELA RUSTICA DE DEMOLIÇÃO</t>
  </si>
  <si>
    <t>FORRO INOX CARVALHO EUROPEU MARRONE CHEVRON 15/3 X 1900X 740MM</t>
  </si>
  <si>
    <t>FORRO INOX CARVALHO EUROPEU MARRONE 15/3 X 125 X 1200MM</t>
  </si>
  <si>
    <t>FORRO INOX CARVALHO EUROPEU MARRONE 15/3 X 190 X 1900MM</t>
  </si>
  <si>
    <t>FORRO INOX CARVALHO EUROPEU MARRONE 20/6 X 300 X 4000MM</t>
  </si>
  <si>
    <t>FORRO INOX CARVALHO EUROPEU MARRONE 20/6 X 400 X 5000MM</t>
  </si>
  <si>
    <t>FORRO INOX CARVALHO EUROPEU MONT BLANC CHEVRON 15/3 X 1900X 740MM</t>
  </si>
  <si>
    <t>FORRO INOX CARVALHO EUROPEU MONT BLANC ESPINHA DE PEIXE TG 15/3 X 125X900MM</t>
  </si>
  <si>
    <t>FORRO INOX CARVALHO EUROPEU MONT BLANC 15/3 X 125 X 1200MM</t>
  </si>
  <si>
    <t>FORRO INOX CARVALHO EUROPEU MONT BLANC 15/3 X 190 X 1900MM</t>
  </si>
  <si>
    <t>FORRO INOX CARVALHO EUROPEU MONT BLANC 20/6 X 300 X 4000MM</t>
  </si>
  <si>
    <t>FORRO INOX CARVALHO EUROPEU MONT BLANC 20/6 X 400 X 5000MM</t>
  </si>
  <si>
    <t>FORRO INOX CARVALHO EUROPEU NATURAL CHEVRON TG 15/3 X 125 X 775MM</t>
  </si>
  <si>
    <t>FORRO INOX CARVALHO EUROPEU NATURALLE CHEVRON 15/3 X 1900X 740MM</t>
  </si>
  <si>
    <t>FORRO INOX CARVALHO EUROPEU NATURALLE CHEVRON 60º 15/3 X 1900X 910MM</t>
  </si>
  <si>
    <t>FORRO INOX CARVALHO EUROPEU NATURALLE FINE 10/06 X 1900 X 1900MM</t>
  </si>
  <si>
    <t>FORRO INOX CARVALHO EUROPEU NATURALLE 15/3 X 125 X 1200MM</t>
  </si>
  <si>
    <t>FORRO INOX CARVALHO EUROPEU NATURALLE 15/3 X 190 X 1900MM</t>
  </si>
  <si>
    <t>FORRO INOX CARVALHO EUROPEU NATURALLE 20/6 X 300 X 4000MM</t>
  </si>
  <si>
    <t>FORRO INOX CARVALHO EUROPEU NATURALLE 20/6 X 400 X 5000MM</t>
  </si>
  <si>
    <t>FORRO INOX CARVALHO EUROPEU CAPUCCINO CHEVRON 15/3 X 1900X 740MM</t>
  </si>
  <si>
    <t>FORRO INOX CARVALHO EUROPEU CAPUCCINO 15/3 X 125 X 1200MM</t>
  </si>
  <si>
    <t>FORRO INOX CARVALHO EUROPEU CAPPUCCINO ESPINHA DE PEIXE TG 15/3 X 125X900MM</t>
  </si>
  <si>
    <t>FORRO INOX CARVALHO EUROPEU CAPUCCINO 15/3 X 190 X 1900MM</t>
  </si>
  <si>
    <t>FORRO INOX CARVALHO EUROPEU CAPUCCINO 20/6 X 300 X 4000MM</t>
  </si>
  <si>
    <t>FORRO INOX CARVALHO EUROPEU CAPUCCINO 20/6 X 400 X 5000MM</t>
  </si>
  <si>
    <t>FORRO INOX CARVALHO EUROPEU BABY GREY CHEVRON 15/3 X 1900X 740MM</t>
  </si>
  <si>
    <t>FORRO INOX CARVALHO EUROPEU BABY GREY 15/3 X 125 X 1200MM</t>
  </si>
  <si>
    <t>FORRO INOX CARVALHO EUROPEU BABY GREY 15/3 X 190 X 1900MM</t>
  </si>
  <si>
    <t>FORRO INOX CARVALHO EUROPEU BABY GREY 20/6 X 300 X 4000MM</t>
  </si>
  <si>
    <t>FORRO INOX CARVALHO EUROPEU BABY GREY 20/6 X 400 X 5000MM</t>
  </si>
  <si>
    <t>FORRO INOX CARVALHO EUROPEU GRIGIO NERO CHEVRON 15/3 X 1900X 740MM</t>
  </si>
  <si>
    <t>FORRO INOX CARVALHO EUROPEU GRIGIO NERO 15/3 X 125 X 1200MM</t>
  </si>
  <si>
    <t>FORRO INOX CARVALHO EUROPEU GRIGIO NERO 15/3 X 190 X 1900MM</t>
  </si>
  <si>
    <t>FORRO INOX CARVALHO EUROPEU GRIGIO NERO 20/6 X 300 X 4000MM</t>
  </si>
  <si>
    <t>FORRO INOX CARVALHO EUROPEU GRIGIO NERO 20/6 X 400 X 5000MM</t>
  </si>
  <si>
    <t>FORRO INOX CARVALHO EUROPEU LIGHT BROWN CHEVRON 15/3 X 1900X 740MM</t>
  </si>
  <si>
    <t>FORRO INOX CARVALHO EUROPEU LIGHT BROWN 15/3 X 125 X 1200MM</t>
  </si>
  <si>
    <t>FORRO INOX CARVALHO EUROPEU LIGHT BROWN 15/3 X 190 X 1900MM</t>
  </si>
  <si>
    <t>FORRO INOX CARVALHO EUROPEU LIGHT BROWN 20/6 X 300 X 4000MM</t>
  </si>
  <si>
    <t>FORRO INOX CARVALHO EUROPEU LIGHT BROWN 20/6 X 400 X 5000MM</t>
  </si>
  <si>
    <t>FORRO INOX CARVALHO EUROPEU - LISTONE GIORDANO (HERITAGE 140 FILIGRANA - SIENNA 1179) TG 1,25 X 14,0 X 83,50CM --</t>
  </si>
  <si>
    <t>FORRO INOX CARVALHO EUROPEU MILANO CHEVRON 15/3 X 1900X 740MM</t>
  </si>
  <si>
    <t>FORRO INOX CARVALHO EUROPEU MILANO 15/3 X 125 X 1200MM</t>
  </si>
  <si>
    <t>FORRO INOX CARVALHO EUROPEU MILANO 15/3 X 190 X 1900MM</t>
  </si>
  <si>
    <t>FORRO INOX CARVALHO EUROPEU MILANO 20/6 X 300 X 4000MM</t>
  </si>
  <si>
    <t>FORRO INOX CARVALHO EUROPEU MILANO 20/6 X 400 X 5000MM</t>
  </si>
  <si>
    <t>FORRO INOX CARVALHO EUROPEU SMOKED CHEVRON 15/3 X 1900X 740MM</t>
  </si>
  <si>
    <t>FORRO INOX CARVALHO EUROPEU SMOKED 15/3 X 125 X 1200MM</t>
  </si>
  <si>
    <t>FORRO INOX CARVALHO EUROPEU SMOKED 15/3 X 190 X 1900MM</t>
  </si>
  <si>
    <t>FORRO INOX CARVALHO EUROPEU SMOKED 20/6 X 300 X 4000MM</t>
  </si>
  <si>
    <t>FORRO INOX CARVALHO EUROPEU SMOKED 20/6 X 400 X 5000MM</t>
  </si>
  <si>
    <t>FORRO INOX CARVALHO EUROPEU GIZ CHEVRON 15/3 X 1900X 740MM</t>
  </si>
  <si>
    <t>FORRO INOX CARVALHO EUROPEU GIZ 15/3 X 125 X 1200MM</t>
  </si>
  <si>
    <t>FORRO INOX CARVALHO EUROPEU GIZ 15/3 X 190 X 1900MM</t>
  </si>
  <si>
    <t>FORRO INOX CARVALHO EUROPEU GIZ 20/6 X 300 X 4000MM</t>
  </si>
  <si>
    <t>FORRO INOX CARVALHO EUROPEU GIZ 20/6 X 400 X 5000MM</t>
  </si>
  <si>
    <t>FORRO INOX CARVALHO EUROPEU SNOW CHEVRON 15/3 X 1900X 740MM</t>
  </si>
  <si>
    <t>FORRO INOX CARVALHO EUROPEU SNOW 15/3 X 125 X 1200MM</t>
  </si>
  <si>
    <t>FORRO INOX CARVALHO EUROPEU SNOW 15/3 X 190 X 1900MM</t>
  </si>
  <si>
    <t>FORRO INOX CARVALHO EUROPEU SNOW 20/6 X 300 X 4000MM</t>
  </si>
  <si>
    <t>FORRO INOX CARVALHO EUROPEU SNOW 20/6 X 400 X 5000MM</t>
  </si>
  <si>
    <t>FORRO INOX CARVALHO EUROPEU WILD CHEVRON 15/3 X 1900X 740MM</t>
  </si>
  <si>
    <t>FORRO INOX CARVALHO EUROPEU WILD 15/3 X 125 X 1200MM</t>
  </si>
  <si>
    <t>FORRO INOX CARVALHO EUROPEU WILD 15/3 X 190 X 1900MM</t>
  </si>
  <si>
    <t>FORRO INOX CARVALHO EUROPEU WILD 20/6 X 300 X 4000MM</t>
  </si>
  <si>
    <t>FORRO INOX CARVALHO EUROPEU WILD 20/6 X 400 X 5000MM</t>
  </si>
  <si>
    <t>FORRO INOX CARVALHO EUROPEU NEVADO CHEVRON 15/3 X 1900X 740MM</t>
  </si>
  <si>
    <t>FORRO INOX CARVALHO EUROPEU NEVADO 15/3 X 125 X 1200MM</t>
  </si>
  <si>
    <t>FORRO INOX CARVALHO EUROPEU NEVADO 15/3 X 190 X 1900MM</t>
  </si>
  <si>
    <t>FORRO INOX CARVALHO EUROPEU NEVADO 20/6 X 300 X 4000MM</t>
  </si>
  <si>
    <t>FORRO INOX CARVALHO EUROPEU NEVADO 20/6 X 400 X 5000MM</t>
  </si>
  <si>
    <t>FORRO INOX CARVALHO EUROPEU CONCRETE GREY CHEVRON 15/3 X 1900X 740MM</t>
  </si>
  <si>
    <t>FORRO INOX CARVALHO EUROPEU CONCRETE GREY 15/3 X 125 X 1200MM</t>
  </si>
  <si>
    <t>FORRO INOX CARVALHO EUROPEU CONCRETE GREY 15/3 X 190 X 1900MM</t>
  </si>
  <si>
    <t>FORRO INOX CARVALHO EUROPEU CONCRETE GREY 20/6 X 300 X 4000MM</t>
  </si>
  <si>
    <t>FORRO INOX CARVALHO EUROPEU CONCRETE GREY 20/6 X 400 X 5000MM</t>
  </si>
  <si>
    <t>FORRO INOX CARVALHO EUROPEU ITALY BROWN CHEVRON 15/3 X 1900X 740MM</t>
  </si>
  <si>
    <t>FORRO INOX CARVALHO EUROPEU ITALY BROWN 15/3 X 125 X 1200MM</t>
  </si>
  <si>
    <t>FORRO INOX CARVALHO EUROPEU ITALY BROWN 15/3 X 190 X 1900MM</t>
  </si>
  <si>
    <t>FORRO INOX CARVALHO EUROPEU ITALY BROWN 20/6 X 300 X 4000MM</t>
  </si>
  <si>
    <t>FORRO INOX CARVALHO EUROPEU ITALY BROWN 20/6 X 400 X 5000MM</t>
  </si>
  <si>
    <t>FORRO INOX CARVALHO EUROPEU ALL BLACK CHEVRON 15/3 X 1900X 740MM</t>
  </si>
  <si>
    <t>FORRO INOX CARVALHO EUROPEU ALL BLACK 15/3 X 125 X 1200MM</t>
  </si>
  <si>
    <t>FORRO INOX CARVALHO EUROPEU BLACK CHEVRON TG 15/3 X 125 X 775CM</t>
  </si>
  <si>
    <t>FORRO INOX CARVALHO EUROPEU ALL BLACK 15/3 X 190 X 1900MM</t>
  </si>
  <si>
    <t>FORRO INOX CARVALHO EUROPEU ALL BLACK 20/6 X 300 X 4000MM</t>
  </si>
  <si>
    <t>FORRO INOX CARVALHO EUROPEU ALL BLACK 20/6 X 400 X 5000MM</t>
  </si>
  <si>
    <t>FORRO INOX CARVALHO EUROPEU URBAN GREY CHEVRON 15/3 X 1900X 740MM</t>
  </si>
  <si>
    <t>FORRO INOX CARVALHO EUROPEU URBAN GREY 15/3 X 125 X 1200MM</t>
  </si>
  <si>
    <t>FORRO INOX CARVALHO EUROPEU URBAN GREY 15/3 X 190 X 1900MM</t>
  </si>
  <si>
    <t>FORRO INOX CARVALHO EUROPEU URBAN GREY 20/6 X 300 X 4000MM</t>
  </si>
  <si>
    <t>FORRO INOX CARVALHO EUROPEU URBAN GREY 20/6 X 400 X 5000MM</t>
  </si>
  <si>
    <t>FORRO INOX CARVALHO EUROPEU CARAMEL CHEVRON 15/3 X 1900X 740MM</t>
  </si>
  <si>
    <t>FORRO INOX CARVALHO EUROPEU CARAMEL 15/3 X 125 X 1200MM</t>
  </si>
  <si>
    <t>FORRO INOX CARVALHO EUROPEU CARAMEL 15/3 X 190 X 1900MM</t>
  </si>
  <si>
    <t>FORRO INOX CARVALHO EUROPEU CARAMEL 20/6 X 300 X 4000MM</t>
  </si>
  <si>
    <t>FORRO INOX CARVALHO EUROPEU CARAMEL 20/6 X 400 X 5000MM</t>
  </si>
  <si>
    <t>FORRO INOX CARVALHO EUROPEU CHEMICAL CHEVRON TG 15/3*190*740MM</t>
  </si>
  <si>
    <t>FORRO INOX CARVALHO EUROPEU WHITE RUSTIC 15/4*189*1860MM</t>
  </si>
  <si>
    <t>FORRO INOX CARVALHO EUROPEU CUSTOMIZADO 14/3 X 12,7 X 186CM</t>
  </si>
  <si>
    <t>FORRO INOX CARVALHO EUROPEU CUSTOMIZADO 2.0 X 19 X 190CM (C2)</t>
  </si>
  <si>
    <t>FORRO INOX CARVALHO EUROPEU NATURAL CHEVRON TG 1.5/3 X 9X 51CM</t>
  </si>
  <si>
    <t>FORRO INOX CARVALHO EUROPEU NATURAL TG 1.5/3 X 9 X 91CM</t>
  </si>
  <si>
    <t>FORRO INOX CARVALHO EUROPEU NUDE CHEVRON 60.. TG 15/3 X 190 X 90CM</t>
  </si>
  <si>
    <t>FORRO INOX CARVALHO EUROPEU NUDE CHEVRON TG 1.5/3X 12.5X 63CM</t>
  </si>
  <si>
    <t>FORRO INOX WALNUT 15/3 X 125 X 910MM</t>
  </si>
  <si>
    <t>FORRO INOX WALNUT 15/3 X 190 X 1900MM</t>
  </si>
  <si>
    <t>FORRO INOX WALNUT 20/2 X 300 X 4000MM</t>
  </si>
  <si>
    <t>FORRO INOX BAMBU ALTA DENS. CUST PREMIUM TG 1.5/4 X19X185CM</t>
  </si>
  <si>
    <t>FORRO INOX BAMBU CARAMEL ALTA DENSIDADE TG 1.5/4 X19X186CM</t>
  </si>
  <si>
    <t>FORRO INOX RIPADO CUMARU PREMIUM TG 1,8 X 3,5+0,5CM PROF. BIT 0</t>
  </si>
  <si>
    <t>FORRO INOX RIPADO CATUABA PREMIUM TG 1,8 X 3,5+0,5CM PROF. BIT 0</t>
  </si>
  <si>
    <t>FORRO INOX RIPADO CABREUVA BRANCA PREMIUM TG 1,8 X 3,5+0,5CM PROF. BIT 0</t>
  </si>
  <si>
    <t>FORRO INOX RIPADO CABREUVA DOURADA PREMIUM TG 1,8 X 3,5+0,5CM PROF. BIT 0</t>
  </si>
  <si>
    <t>FORRO INOX RIPADO TAUARI PREMIUM TG 1,8 X 3,5+0,5CM PROF. BIT 0</t>
  </si>
  <si>
    <t>FORRO INOX RIPADO PEROBA PREMIUM TG 1,8 X 3,5+0,5CM PROF. BIT 0</t>
  </si>
  <si>
    <t>FORRO INOX RIPADO LORO PARDO PREMIUM TG 1,8 X 3,5+0,5CM PROF. BIT 0</t>
  </si>
  <si>
    <t>FORRO INOX CUMARU MULTI PREMIUM 19 X 190 X 600 A 2200MM</t>
  </si>
  <si>
    <t>FORRO INOX CATUABA MULTI PREMIUM 19 X 190 X 600 A 2200MM</t>
  </si>
  <si>
    <t>FORRO INOX CABREUVA BRACA MULTI PREMIUM 19 X 190 X 600 A 2200MM</t>
  </si>
  <si>
    <t>FORRO INOX CABREUVA DOURADA MULTI PREMIUM 19 X 190 X 600 A 2200MM</t>
  </si>
  <si>
    <t>FORRO INOX TAUARI MULTI PREMIUM 19 X 190 X 600 A 2200MM</t>
  </si>
  <si>
    <t>FORRO INOX PEROBA MULTI PREMIUM 19 X 190 X 600 A 2200MM</t>
  </si>
  <si>
    <t>FORRO INOX LORO PARDO MULTI PREMIUM 19 X 190 X 600 A 2200MM</t>
  </si>
  <si>
    <t>FORRO INOX MUXARABI CUMARU PREMIUM</t>
  </si>
  <si>
    <t>FORRO INOX MUXARABI CATUABA PREMIUM</t>
  </si>
  <si>
    <t>FORRO INOX MUXARABI CABREUVA BRANCA PREMIUM</t>
  </si>
  <si>
    <t>FORRO INOX MUXARABI CABREUVA DOURADA PREMIUM</t>
  </si>
  <si>
    <t>FORRO INOX MUXARABI TAUARI PREMIUM</t>
  </si>
  <si>
    <t>FORRO INOX MUXARABI PEROBA PREMIUM</t>
  </si>
  <si>
    <t>FORRO INOX MUXARABI LORO PARDO PREMIUM</t>
  </si>
  <si>
    <t>FORRO INOX TOBLERONE CUMARU PREMIUM 3 X 3 COMPR. VARIAVEIS</t>
  </si>
  <si>
    <t>FORRO INOX TOBLERONE CATUABA PREMIUM 3 X 3 COMPR. VARIAVEIS</t>
  </si>
  <si>
    <t>FORRO INOX TOBLERONE CABREUVA BRANCA PREMIUM 3 X 3 COMPR. VARIAVEIS</t>
  </si>
  <si>
    <t>FORRO INOX TOBLERONE CABREUVA DOURADA PREMIUM 3 X 3 COMPR. VARIAVEIS</t>
  </si>
  <si>
    <t>FORRO INOX TOBLERONE TAUARI PREMIUM 3 X 3 COMPR. VARIAVEIS</t>
  </si>
  <si>
    <t>FORRO INOX TOBLERONE PEROBA PREMIUM 3 X 3 COMPR. VARIAVEIS</t>
  </si>
  <si>
    <t>FORRO INOX TOBLERONE LORO PARDO PREMIUM 3 X 3 COMPR. VARIAVEIS</t>
  </si>
  <si>
    <t>FORRO INOX DECK CUMARU PREMIUM TG 2,5 X 5 X COMPR. VARIAVEIS</t>
  </si>
  <si>
    <t>FORRO INOX DECK CUMARU PREMIUM TG 2,5 X 10 X COMPR. VARIAVEIS</t>
  </si>
  <si>
    <t>FORRO INOX DECK CATUABA PREMIUM TG 2,5 X 5 X COMPR. VARIAVEIS</t>
  </si>
  <si>
    <t>FORRO INOX DECK CATUABA PREMIUM TG 2,5 X 10 X COMPR. VARIAVEIS</t>
  </si>
  <si>
    <t>FORRO INOX DECK CABREUVA BRANCA PREMIUM TG 2,5 X 5 X COMPR. VARIAVEIS</t>
  </si>
  <si>
    <t>FORRO INOX DECK CABREUVA BRANCA PREMIUM TG 2,5 X 10 X COMPR. VARIAVEIS</t>
  </si>
  <si>
    <t>FORRO INOX DECK CABREUVA DOURADA PREMIUM TG 2,5 X 5 X COMPR. VARIAVEIS</t>
  </si>
  <si>
    <t>FORRO INOX DECK CABREUVA DOURADA PREMIUM TG 2,5 X 10 X COMPR. VARIAVEIS</t>
  </si>
  <si>
    <t>FORRO INOX DECK TAUARI PREMIUM TG 2,5 X 5 X COMPR. VARIAVEIS</t>
  </si>
  <si>
    <t>FORRO INOX DECK TAUARI PREMIUM TG 2,5 X 10 X COMPR. VARIAVEIS</t>
  </si>
  <si>
    <t>FORRO INOX DECK PEROBA PREMIUM TG 2,5 X 5 X COMPR. VARIAVEIS</t>
  </si>
  <si>
    <t>FORRO INOX DECK PEROBA PREMIUM TG 2,5 X 10 X COMPR. VARIAVEIS</t>
  </si>
  <si>
    <t>FORRO INOX DECK BAMBU CARAMEL ALTA DENSIDADE</t>
  </si>
  <si>
    <t>FORRO INOX DECK BPC CINZA ESCURO 2 X15X 290CM PÇ/0.435M2</t>
  </si>
  <si>
    <t>FORRO INOX DECK BPC MORROM 2X15X220CM</t>
  </si>
  <si>
    <t>FORRO INOX DECK WPC CINZA 2,2*14,6*220CM</t>
  </si>
  <si>
    <t>FORRO INOX PEROBA RUSTICA DE DEMOLIÇÃO</t>
  </si>
  <si>
    <t>FORRO INOX CANELA RUSTICA DE DEMOLIÇÃO</t>
  </si>
  <si>
    <t>DECK 10 CARVALHO EUROPEU MARRONE CHEVRON 15/3 X 1900X 740MM</t>
  </si>
  <si>
    <t>DECK 10 CARVALHO EUROPEU MARRONE 15/3 X 125 X 1200MM</t>
  </si>
  <si>
    <t>DECK 10 CARVALHO EUROPEU MARRONE 15/3 X 190 X 1900MM</t>
  </si>
  <si>
    <t>DECK 10 CARVALHO EUROPEU MARRONE 20/6 X 300 X 4000MM</t>
  </si>
  <si>
    <t>DECK 10 CARVALHO EUROPEU MARRONE 20/6 X 400 X 5000MM</t>
  </si>
  <si>
    <t>DECK 10 CARVALHO EUROPEU MONT BLANC CHEVRON 15/3 X 1900X 740MM</t>
  </si>
  <si>
    <t>DECK 10 CARVALHO EUROPEU MONT BLANC ESPINHA DE PEIXE TG 15/3 X 125X900MM</t>
  </si>
  <si>
    <t>DECK 10 CARVALHO EUROPEU MONT BLANC 15/3 X 125 X 1200MM</t>
  </si>
  <si>
    <t>DECK 10 CARVALHO EUROPEU MONT BLANC 15/3 X 190 X 1900MM</t>
  </si>
  <si>
    <t>DECK 10 CARVALHO EUROPEU MONT BLANC 20/6 X 300 X 4000MM</t>
  </si>
  <si>
    <t>DECK 10 CARVALHO EUROPEU MONT BLANC 20/6 X 400 X 5000MM</t>
  </si>
  <si>
    <t>DECK 10 CARVALHO EUROPEU NATURAL CHEVRON TG 15/3 X 125 X 775MM</t>
  </si>
  <si>
    <t>DECK 10 CARVALHO EUROPEU NATURALLE CHEVRON 15/3 X 1900X 740MM</t>
  </si>
  <si>
    <t>DECK 10 CARVALHO EUROPEU NATURALLE CHEVRON 60º 15/3 X 1900X 910MM</t>
  </si>
  <si>
    <t>DECK 10 CARVALHO EUROPEU NATURALLE FINE 10/06 X 1900 X 1900MM</t>
  </si>
  <si>
    <t>DECK 10 CARVALHO EUROPEU NATURALLE 15/3 X 125 X 1200MM</t>
  </si>
  <si>
    <t>DECK 10 CARVALHO EUROPEU NATURALLE 15/3 X 190 X 1900MM</t>
  </si>
  <si>
    <t>DECK 10 CARVALHO EUROPEU NATURALLE 20/6 X 300 X 4000MM</t>
  </si>
  <si>
    <t>DECK 10 CARVALHO EUROPEU NATURALLE 20/6 X 400 X 5000MM</t>
  </si>
  <si>
    <t>DECK 10 CARVALHO EUROPEU CAPUCCINO CHEVRON 15/3 X 1900X 740MM</t>
  </si>
  <si>
    <t>DECK 10 CARVALHO EUROPEU CAPUCCINO 15/3 X 125 X 1200MM</t>
  </si>
  <si>
    <t>DECK 10 CARVALHO EUROPEU CAPPUCCINO ESPINHA DE PEIXE TG 15/3 X 125X900MM</t>
  </si>
  <si>
    <t>DECK 10 CARVALHO EUROPEU CAPUCCINO 15/3 X 190 X 1900MM</t>
  </si>
  <si>
    <t>DECK 10 CARVALHO EUROPEU CAPUCCINO 20/6 X 300 X 4000MM</t>
  </si>
  <si>
    <t>DECK 10 CARVALHO EUROPEU CAPUCCINO 20/6 X 400 X 5000MM</t>
  </si>
  <si>
    <t>DECK 10 CARVALHO EUROPEU BABY GREY CHEVRON 15/3 X 1900X 740MM</t>
  </si>
  <si>
    <t>DECK 10 CARVALHO EUROPEU BABY GREY 15/3 X 125 X 1200MM</t>
  </si>
  <si>
    <t>DECK 10 CARVALHO EUROPEU BABY GREY 15/3 X 190 X 1900MM</t>
  </si>
  <si>
    <t>DECK 10 CARVALHO EUROPEU BABY GREY 20/6 X 300 X 4000MM</t>
  </si>
  <si>
    <t>DECK 10 CARVALHO EUROPEU BABY GREY 20/6 X 400 X 5000MM</t>
  </si>
  <si>
    <t>DECK 10 CARVALHO EUROPEU GRIGIO NERO CHEVRON 15/3 X 1900X 740MM</t>
  </si>
  <si>
    <t>DECK 10 CARVALHO EUROPEU GRIGIO NERO 15/3 X 125 X 1200MM</t>
  </si>
  <si>
    <t>DECK 10 CARVALHO EUROPEU GRIGIO NERO 15/3 X 190 X 1900MM</t>
  </si>
  <si>
    <t>DECK 10 CARVALHO EUROPEU GRIGIO NERO 20/6 X 300 X 4000MM</t>
  </si>
  <si>
    <t>DECK 10 CARVALHO EUROPEU GRIGIO NERO 20/6 X 400 X 5000MM</t>
  </si>
  <si>
    <t>DECK 10 CARVALHO EUROPEU LIGHT BROWN CHEVRON 15/3 X 1900X 740MM</t>
  </si>
  <si>
    <t>DECK 10 CARVALHO EUROPEU LIGHT BROWN 15/3 X 125 X 1200MM</t>
  </si>
  <si>
    <t>DECK 10 CARVALHO EUROPEU LIGHT BROWN 15/3 X 190 X 1900MM</t>
  </si>
  <si>
    <t>DECK 10 CARVALHO EUROPEU LIGHT BROWN 20/6 X 300 X 4000MM</t>
  </si>
  <si>
    <t>DECK 10 CARVALHO EUROPEU LIGHT BROWN 20/6 X 400 X 5000MM</t>
  </si>
  <si>
    <t>DECK 10 CARVALHO EUROPEU - LISTONE GIORDANO (HERITAGE 140 FILIGRANA - SIENNA 1179) TG 1,25 X 14,0 X 83,50CM --</t>
  </si>
  <si>
    <t>DECK 10 CARVALHO EUROPEU MILANO CHEVRON 15/3 X 1900X 740MM</t>
  </si>
  <si>
    <t>DECK 10 CARVALHO EUROPEU MILANO 15/3 X 125 X 1200MM</t>
  </si>
  <si>
    <t>DECK 10 CARVALHO EUROPEU MILANO 15/3 X 190 X 1900MM</t>
  </si>
  <si>
    <t>DECK 10 CARVALHO EUROPEU MILANO 20/6 X 300 X 4000MM</t>
  </si>
  <si>
    <t>DECK 10 CARVALHO EUROPEU MILANO 20/6 X 400 X 5000MM</t>
  </si>
  <si>
    <t>DECK 10 CARVALHO EUROPEU SMOKED CHEVRON 15/3 X 1900X 740MM</t>
  </si>
  <si>
    <t>DECK 10 CARVALHO EUROPEU SMOKED 15/3 X 125 X 1200MM</t>
  </si>
  <si>
    <t>DECK 10 CARVALHO EUROPEU SMOKED 15/3 X 190 X 1900MM</t>
  </si>
  <si>
    <t>DECK 10 CARVALHO EUROPEU SMOKED 20/6 X 300 X 4000MM</t>
  </si>
  <si>
    <t>DECK 10 CARVALHO EUROPEU SMOKED 20/6 X 400 X 5000MM</t>
  </si>
  <si>
    <t>DECK 10 CARVALHO EUROPEU GIZ CHEVRON 15/3 X 1900X 740MM</t>
  </si>
  <si>
    <t>DECK 10 CARVALHO EUROPEU GIZ 15/3 X 125 X 1200MM</t>
  </si>
  <si>
    <t>DECK 10 CARVALHO EUROPEU GIZ 15/3 X 190 X 1900MM</t>
  </si>
  <si>
    <t>DECK 10 CARVALHO EUROPEU GIZ 20/6 X 300 X 4000MM</t>
  </si>
  <si>
    <t>DECK 10 CARVALHO EUROPEU GIZ 20/6 X 400 X 5000MM</t>
  </si>
  <si>
    <t>DECK 10 CARVALHO EUROPEU SNOW CHEVRON 15/3 X 1900X 740MM</t>
  </si>
  <si>
    <t>DECK 10 CARVALHO EUROPEU SNOW 15/3 X 125 X 1200MM</t>
  </si>
  <si>
    <t>DECK 10 CARVALHO EUROPEU SNOW 15/3 X 190 X 1900MM</t>
  </si>
  <si>
    <t>DECK 10 CARVALHO EUROPEU SNOW 20/6 X 300 X 4000MM</t>
  </si>
  <si>
    <t>DECK 10 CARVALHO EUROPEU SNOW 20/6 X 400 X 5000MM</t>
  </si>
  <si>
    <t>DECK 10 CARVALHO EUROPEU WILD CHEVRON 15/3 X 1900X 740MM</t>
  </si>
  <si>
    <t>DECK 10 CARVALHO EUROPEU WILD 15/3 X 125 X 1200MM</t>
  </si>
  <si>
    <t>DECK 10 CARVALHO EUROPEU WILD 15/3 X 190 X 1900MM</t>
  </si>
  <si>
    <t>DECK 10 CARVALHO EUROPEU WILD 20/6 X 300 X 4000MM</t>
  </si>
  <si>
    <t>DECK 10 CARVALHO EUROPEU WILD 20/6 X 400 X 5000MM</t>
  </si>
  <si>
    <t>DECK 10 CARVALHO EUROPEU NEVADO CHEVRON 15/3 X 1900X 740MM</t>
  </si>
  <si>
    <t>DECK 10 CARVALHO EUROPEU NEVADO 15/3 X 125 X 1200MM</t>
  </si>
  <si>
    <t>DECK 10 CARVALHO EUROPEU NEVADO 15/3 X 190 X 1900MM</t>
  </si>
  <si>
    <t>DECK 10 CARVALHO EUROPEU NEVADO 20/6 X 300 X 4000MM</t>
  </si>
  <si>
    <t>DECK 10 CARVALHO EUROPEU NEVADO 20/6 X 400 X 5000MM</t>
  </si>
  <si>
    <t>DECK 10 CARVALHO EUROPEU CONCRETE GREY CHEVRON 15/3 X 1900X 740MM</t>
  </si>
  <si>
    <t>DECK 10 CARVALHO EUROPEU CONCRETE GREY 15/3 X 125 X 1200MM</t>
  </si>
  <si>
    <t>DECK 10 CARVALHO EUROPEU CONCRETE GREY 15/3 X 190 X 1900MM</t>
  </si>
  <si>
    <t>DECK 10 CARVALHO EUROPEU CONCRETE GREY 20/6 X 300 X 4000MM</t>
  </si>
  <si>
    <t>DECK 10 CARVALHO EUROPEU CONCRETE GREY 20/6 X 400 X 5000MM</t>
  </si>
  <si>
    <t>DECK 10 CARVALHO EUROPEU ITALY BROWN CHEVRON 15/3 X 1900X 740MM</t>
  </si>
  <si>
    <t>DECK 10 CARVALHO EUROPEU ITALY BROWN 15/3 X 125 X 1200MM</t>
  </si>
  <si>
    <t>DECK 10 CARVALHO EUROPEU ITALY BROWN 15/3 X 190 X 1900MM</t>
  </si>
  <si>
    <t>DECK 10 CARVALHO EUROPEU ITALY BROWN 20/6 X 300 X 4000MM</t>
  </si>
  <si>
    <t>DECK 10 CARVALHO EUROPEU ITALY BROWN 20/6 X 400 X 5000MM</t>
  </si>
  <si>
    <t>DECK 10 CARVALHO EUROPEU ALL BLACK CHEVRON 15/3 X 1900X 740MM</t>
  </si>
  <si>
    <t>DECK 10 CARVALHO EUROPEU ALL BLACK 15/3 X 125 X 1200MM</t>
  </si>
  <si>
    <t>DECK 10 CARVALHO EUROPEU BLACK CHEVRON TG 15/3 X 125 X 775CM</t>
  </si>
  <si>
    <t>DECK 10 CARVALHO EUROPEU ALL BLACK 15/3 X 190 X 1900MM</t>
  </si>
  <si>
    <t>DECK 10 CARVALHO EUROPEU ALL BLACK 20/6 X 300 X 4000MM</t>
  </si>
  <si>
    <t>DECK 10 CARVALHO EUROPEU ALL BLACK 20/6 X 400 X 5000MM</t>
  </si>
  <si>
    <t>DECK 10 CARVALHO EUROPEU URBAN GREY CHEVRON 15/3 X 1900X 740MM</t>
  </si>
  <si>
    <t>DECK 10 CARVALHO EUROPEU URBAN GREY 15/3 X 125 X 1200MM</t>
  </si>
  <si>
    <t>DECK 10 CARVALHO EUROPEU URBAN GREY 15/3 X 190 X 1900MM</t>
  </si>
  <si>
    <t>DECK 10 CARVALHO EUROPEU URBAN GREY 20/6 X 300 X 4000MM</t>
  </si>
  <si>
    <t>DECK 10 CARVALHO EUROPEU URBAN GREY 20/6 X 400 X 5000MM</t>
  </si>
  <si>
    <t>DECK 10 CARVALHO EUROPEU CARAMEL CHEVRON 15/3 X 1900X 740MM</t>
  </si>
  <si>
    <t>DECK 10 CARVALHO EUROPEU CARAMEL 15/3 X 125 X 1200MM</t>
  </si>
  <si>
    <t>DECK 10 CARVALHO EUROPEU CARAMEL 15/3 X 190 X 1900MM</t>
  </si>
  <si>
    <t>DECK 10 CARVALHO EUROPEU CARAMEL 20/6 X 300 X 4000MM</t>
  </si>
  <si>
    <t>DECK 10 CARVALHO EUROPEU CARAMEL 20/6 X 400 X 5000MM</t>
  </si>
  <si>
    <t>DECK 10 CARVALHO EUROPEU CHEMICAL CHEVRON TG 15/3*190*740MM</t>
  </si>
  <si>
    <t>DECK 10 CARVALHO EUROPEU WHITE RUSTIC 15/4*189*1860MM</t>
  </si>
  <si>
    <t>DECK 10 CARVALHO EUROPEU CUSTOMIZADO 14/3 X 12,7 X 186CM</t>
  </si>
  <si>
    <t>DECK 10 CARVALHO EUROPEU CUSTOMIZADO 2.0 X 19 X 190CM (C2)</t>
  </si>
  <si>
    <t>DECK 10 CARVALHO EUROPEU NATURAL CHEVRON TG 1.5/3 X 9X 51CM</t>
  </si>
  <si>
    <t>DECK 10 CARVALHO EUROPEU NATURAL TG 1.5/3 X 9 X 91CM</t>
  </si>
  <si>
    <t>DECK 10 CARVALHO EUROPEU NUDE CHEVRON 60.. TG 15/3 X 190 X 90CM</t>
  </si>
  <si>
    <t>DECK 10 CARVALHO EUROPEU NUDE CHEVRON TG 1.5/3X 12.5X 63CM</t>
  </si>
  <si>
    <t>DECK 10 WALNUT 15/3 X 125 X 910MM</t>
  </si>
  <si>
    <t>DECK 10 WALNUT 15/3 X 190 X 1900MM</t>
  </si>
  <si>
    <t>DECK 10 WALNUT 20/2 X 300 X 4000MM</t>
  </si>
  <si>
    <t>DECK 10 BAMBU ALTA DENS. CUST PREMIUM TG 1.5/4 X19X185CM</t>
  </si>
  <si>
    <t>DECK 10 BAMBU CARAMEL ALTA DENSIDADE TG 1.5/4 X19X186CM</t>
  </si>
  <si>
    <t>DECK 10 RIPADO CUMARU PREMIUM TG 1,8 X 3,5+0,5CM PROF. BIT 0</t>
  </si>
  <si>
    <t>DECK 10 RIPADO CATUABA PREMIUM TG 1,8 X 3,5+0,5CM PROF. BIT 0</t>
  </si>
  <si>
    <t>DECK 10 RIPADO CABREUVA BRANCA PREMIUM TG 1,8 X 3,5+0,5CM PROF. BIT 0</t>
  </si>
  <si>
    <t>DECK 10 RIPADO CABREUVA DOURADA PREMIUM TG 1,8 X 3,5+0,5CM PROF. BIT 0</t>
  </si>
  <si>
    <t>DECK 10 RIPADO TAUARI PREMIUM TG 1,8 X 3,5+0,5CM PROF. BIT 0</t>
  </si>
  <si>
    <t>DECK 10 RIPADO PEROBA PREMIUM TG 1,8 X 3,5+0,5CM PROF. BIT 0</t>
  </si>
  <si>
    <t>DECK 10 RIPADO LORO PARDO PREMIUM TG 1,8 X 3,5+0,5CM PROF. BIT 0</t>
  </si>
  <si>
    <t>DECK 10 CUMARU MULTI PREMIUM 19 X 190 X 600 A 2200MM</t>
  </si>
  <si>
    <t>DECK 10 CATUABA MULTI PREMIUM 19 X 190 X 600 A 2200MM</t>
  </si>
  <si>
    <t>DECK 10 CABREUVA BRACA MULTI PREMIUM 19 X 190 X 600 A 2200MM</t>
  </si>
  <si>
    <t>DECK 10 CABREUVA DOURADA MULTI PREMIUM 19 X 190 X 600 A 2200MM</t>
  </si>
  <si>
    <t>DECK 10 TAUARI MULTI PREMIUM 19 X 190 X 600 A 2200MM</t>
  </si>
  <si>
    <t>DECK 10 PEROBA MULTI PREMIUM 19 X 190 X 600 A 2200MM</t>
  </si>
  <si>
    <t>DECK 10 LORO PARDO MULTI PREMIUM 19 X 190 X 600 A 2200MM</t>
  </si>
  <si>
    <t>DECK 10 MUXARABI CUMARU PREMIUM</t>
  </si>
  <si>
    <t>DECK 10 MUXARABI CATUABA PREMIUM</t>
  </si>
  <si>
    <t>DECK 10 MUXARABI CABREUVA BRANCA PREMIUM</t>
  </si>
  <si>
    <t>DECK 10 MUXARABI CABREUVA DOURADA PREMIUM</t>
  </si>
  <si>
    <t>DECK 10 MUXARABI TAUARI PREMIUM</t>
  </si>
  <si>
    <t>DECK 10 MUXARABI PEROBA PREMIUM</t>
  </si>
  <si>
    <t>DECK 10 MUXARABI LORO PARDO PREMIUM</t>
  </si>
  <si>
    <t>DECK 10 TOBLERONE CUMARU PREMIUM 3 X 3 COMPR. VARIAVEIS</t>
  </si>
  <si>
    <t>DECK 10 TOBLERONE CATUABA PREMIUM 3 X 3 COMPR. VARIAVEIS</t>
  </si>
  <si>
    <t>DECK 10 TOBLERONE CABREUVA BRANCA PREMIUM 3 X 3 COMPR. VARIAVEIS</t>
  </si>
  <si>
    <t>DECK 10 TOBLERONE CABREUVA DOURADA PREMIUM 3 X 3 COMPR. VARIAVEIS</t>
  </si>
  <si>
    <t>DECK 10 TOBLERONE TAUARI PREMIUM 3 X 3 COMPR. VARIAVEIS</t>
  </si>
  <si>
    <t>DECK 10 TOBLERONE PEROBA PREMIUM 3 X 3 COMPR. VARIAVEIS</t>
  </si>
  <si>
    <t>DECK 10 TOBLERONE LORO PARDO PREMIUM 3 X 3 COMPR. VARIAVEIS</t>
  </si>
  <si>
    <t>DECK 10 DECK CUMARU PREMIUM TG 2,5 X 5 X COMPR. VARIAVEIS</t>
  </si>
  <si>
    <t>DECK 10 DECK CUMARU PREMIUM TG 2,5 X 10 X COMPR. VARIAVEIS</t>
  </si>
  <si>
    <t>DECK 10 DECK CATUABA PREMIUM TG 2,5 X 5 X COMPR. VARIAVEIS</t>
  </si>
  <si>
    <t>DECK 10 DECK CATUABA PREMIUM TG 2,5 X 10 X COMPR. VARIAVEIS</t>
  </si>
  <si>
    <t>DECK 10 DECK CABREUVA BRANCA PREMIUM TG 2,5 X 5 X COMPR. VARIAVEIS</t>
  </si>
  <si>
    <t>DECK 10 DECK CABREUVA BRANCA PREMIUM TG 2,5 X 10 X COMPR. VARIAVEIS</t>
  </si>
  <si>
    <t>DECK 10 DECK CABREUVA DOURADA PREMIUM TG 2,5 X 5 X COMPR. VARIAVEIS</t>
  </si>
  <si>
    <t>DECK 10 DECK CABREUVA DOURADA PREMIUM TG 2,5 X 10 X COMPR. VARIAVEIS</t>
  </si>
  <si>
    <t>DECK 10 DECK TAUARI PREMIUM TG 2,5 X 5 X COMPR. VARIAVEIS</t>
  </si>
  <si>
    <t>DECK 10 DECK TAUARI PREMIUM TG 2,5 X 10 X COMPR. VARIAVEIS</t>
  </si>
  <si>
    <t>DECK 10 DECK PEROBA PREMIUM TG 2,5 X 5 X COMPR. VARIAVEIS</t>
  </si>
  <si>
    <t>DECK 10 DECK PEROBA PREMIUM TG 2,5 X 10 X COMPR. VARIAVEIS</t>
  </si>
  <si>
    <t>DECK 10 DECK BAMBU CARAMEL ALTA DENSIDADE</t>
  </si>
  <si>
    <t>DECK 10 DECK BPC CINZA ESCURO 2 X15X 290CM PÇ/0.435M2</t>
  </si>
  <si>
    <t>DECK 10 DECK BPC MORROM 2X15X220CM</t>
  </si>
  <si>
    <t>DECK 10 DECK WPC CINZA 2,2*14,6*220CM</t>
  </si>
  <si>
    <t>DECK 10 PEROBA RUSTICA DE DEMOLIÇÃO</t>
  </si>
  <si>
    <t>DECK 10 CANELA RUSTICA DE DEMOLIÇÃO</t>
  </si>
  <si>
    <t>DECK 05 CARVALHO EUROPEU MARRONE CHEVRON 15/3 X 1900X 740MM</t>
  </si>
  <si>
    <t>DECK 05 CARVALHO EUROPEU MARRONE 15/3 X 125 X 1200MM</t>
  </si>
  <si>
    <t>DECK 05 CARVALHO EUROPEU MARRONE 15/3 X 190 X 1900MM</t>
  </si>
  <si>
    <t>DECK 05 CARVALHO EUROPEU MARRONE 20/6 X 300 X 4000MM</t>
  </si>
  <si>
    <t>DECK 05 CARVALHO EUROPEU MARRONE 20/6 X 400 X 5000MM</t>
  </si>
  <si>
    <t>DECK 05 CARVALHO EUROPEU MONT BLANC CHEVRON 15/3 X 1900X 740MM</t>
  </si>
  <si>
    <t>DECK 05 CARVALHO EUROPEU MONT BLANC ESPINHA DE PEIXE TG 15/3 X 125X900MM</t>
  </si>
  <si>
    <t>DECK 05 CARVALHO EUROPEU MONT BLANC 15/3 X 125 X 1200MM</t>
  </si>
  <si>
    <t>DECK 05 CARVALHO EUROPEU MONT BLANC 15/3 X 190 X 1900MM</t>
  </si>
  <si>
    <t>DECK 05 CARVALHO EUROPEU MONT BLANC 20/6 X 300 X 4000MM</t>
  </si>
  <si>
    <t>DECK 05 CARVALHO EUROPEU MONT BLANC 20/6 X 400 X 5000MM</t>
  </si>
  <si>
    <t>DECK 05 CARVALHO EUROPEU NATURAL CHEVRON TG 15/3 X 125 X 775MM</t>
  </si>
  <si>
    <t>DECK 05 CARVALHO EUROPEU NATURALLE CHEVRON 15/3 X 1900X 740MM</t>
  </si>
  <si>
    <t>DECK 05 CARVALHO EUROPEU NATURALLE CHEVRON 60º 15/3 X 1900X 910MM</t>
  </si>
  <si>
    <t>DECK 05 CARVALHO EUROPEU NATURALLE FINE 10/06 X 1900 X 1900MM</t>
  </si>
  <si>
    <t>DECK 05 CARVALHO EUROPEU NATURALLE 15/3 X 125 X 1200MM</t>
  </si>
  <si>
    <t>DECK 05 CARVALHO EUROPEU NATURALLE 15/3 X 190 X 1900MM</t>
  </si>
  <si>
    <t>DECK 05 CARVALHO EUROPEU NATURALLE 20/6 X 300 X 4000MM</t>
  </si>
  <si>
    <t>DECK 05 CARVALHO EUROPEU NATURALLE 20/6 X 400 X 5000MM</t>
  </si>
  <si>
    <t>DECK 05 CARVALHO EUROPEU CAPUCCINO CHEVRON 15/3 X 1900X 740MM</t>
  </si>
  <si>
    <t>DECK 05 CARVALHO EUROPEU CAPUCCINO 15/3 X 125 X 1200MM</t>
  </si>
  <si>
    <t>DECK 05 CARVALHO EUROPEU CAPPUCCINO ESPINHA DE PEIXE TG 15/3 X 125X900MM</t>
  </si>
  <si>
    <t>DECK 05 CARVALHO EUROPEU CAPUCCINO 15/3 X 190 X 1900MM</t>
  </si>
  <si>
    <t>DECK 05 CARVALHO EUROPEU CAPUCCINO 20/6 X 300 X 4000MM</t>
  </si>
  <si>
    <t>DECK 05 CARVALHO EUROPEU CAPUCCINO 20/6 X 400 X 5000MM</t>
  </si>
  <si>
    <t>DECK 05 CARVALHO EUROPEU BABY GREY CHEVRON 15/3 X 1900X 740MM</t>
  </si>
  <si>
    <t>DECK 05 CARVALHO EUROPEU BABY GREY 15/3 X 125 X 1200MM</t>
  </si>
  <si>
    <t>DECK 05 CARVALHO EUROPEU BABY GREY 15/3 X 190 X 1900MM</t>
  </si>
  <si>
    <t>DECK 05 CARVALHO EUROPEU BABY GREY 20/6 X 300 X 4000MM</t>
  </si>
  <si>
    <t>DECK 05 CARVALHO EUROPEU BABY GREY 20/6 X 400 X 5000MM</t>
  </si>
  <si>
    <t>DECK 05 CARVALHO EUROPEU GRIGIO NERO CHEVRON 15/3 X 1900X 740MM</t>
  </si>
  <si>
    <t>DECK 05 CARVALHO EUROPEU GRIGIO NERO 15/3 X 125 X 1200MM</t>
  </si>
  <si>
    <t>DECK 05 CARVALHO EUROPEU GRIGIO NERO 15/3 X 190 X 1900MM</t>
  </si>
  <si>
    <t>DECK 05 CARVALHO EUROPEU GRIGIO NERO 20/6 X 300 X 4000MM</t>
  </si>
  <si>
    <t>DECK 05 CARVALHO EUROPEU GRIGIO NERO 20/6 X 400 X 5000MM</t>
  </si>
  <si>
    <t>DECK 05 CARVALHO EUROPEU LIGHT BROWN CHEVRON 15/3 X 1900X 740MM</t>
  </si>
  <si>
    <t>DECK 05 CARVALHO EUROPEU LIGHT BROWN 15/3 X 125 X 1200MM</t>
  </si>
  <si>
    <t>DECK 05 CARVALHO EUROPEU LIGHT BROWN 15/3 X 190 X 1900MM</t>
  </si>
  <si>
    <t>DECK 05 CARVALHO EUROPEU LIGHT BROWN 20/6 X 300 X 4000MM</t>
  </si>
  <si>
    <t>DECK 05 CARVALHO EUROPEU LIGHT BROWN 20/6 X 400 X 5000MM</t>
  </si>
  <si>
    <t>DECK 05 CARVALHO EUROPEU - LISTONE GIORDANO (HERITAGE 140 FILIGRANA - SIENNA 1179) TG 1,25 X 14,0 X 83,50CM --</t>
  </si>
  <si>
    <t>DECK 05 CARVALHO EUROPEU MILANO CHEVRON 15/3 X 1900X 740MM</t>
  </si>
  <si>
    <t>DECK 05 CARVALHO EUROPEU MILANO 15/3 X 125 X 1200MM</t>
  </si>
  <si>
    <t>DECK 05 CARVALHO EUROPEU MILANO 15/3 X 190 X 1900MM</t>
  </si>
  <si>
    <t>DECK 05 CARVALHO EUROPEU MILANO 20/6 X 300 X 4000MM</t>
  </si>
  <si>
    <t>DECK 05 CARVALHO EUROPEU MILANO 20/6 X 400 X 5000MM</t>
  </si>
  <si>
    <t>DECK 05 CARVALHO EUROPEU SMOKED CHEVRON 15/3 X 1900X 740MM</t>
  </si>
  <si>
    <t>DECK 05 CARVALHO EUROPEU SMOKED 15/3 X 125 X 1200MM</t>
  </si>
  <si>
    <t>DECK 05 CARVALHO EUROPEU SMOKED 15/3 X 190 X 1900MM</t>
  </si>
  <si>
    <t>DECK 05 CARVALHO EUROPEU SMOKED 20/6 X 300 X 4000MM</t>
  </si>
  <si>
    <t>DECK 05 CARVALHO EUROPEU SMOKED 20/6 X 400 X 5000MM</t>
  </si>
  <si>
    <t>DECK 05 CARVALHO EUROPEU GIZ CHEVRON 15/3 X 1900X 740MM</t>
  </si>
  <si>
    <t>DECK 05 CARVALHO EUROPEU GIZ 15/3 X 125 X 1200MM</t>
  </si>
  <si>
    <t>DECK 05 CARVALHO EUROPEU GIZ 15/3 X 190 X 1900MM</t>
  </si>
  <si>
    <t>DECK 05 CARVALHO EUROPEU GIZ 20/6 X 300 X 4000MM</t>
  </si>
  <si>
    <t>DECK 05 CARVALHO EUROPEU GIZ 20/6 X 400 X 5000MM</t>
  </si>
  <si>
    <t>DECK 05 CARVALHO EUROPEU SNOW CHEVRON 15/3 X 1900X 740MM</t>
  </si>
  <si>
    <t>DECK 05 CARVALHO EUROPEU SNOW 15/3 X 125 X 1200MM</t>
  </si>
  <si>
    <t>DECK 05 CARVALHO EUROPEU SNOW 15/3 X 190 X 1900MM</t>
  </si>
  <si>
    <t>DECK 05 CARVALHO EUROPEU SNOW 20/6 X 300 X 4000MM</t>
  </si>
  <si>
    <t>DECK 05 CARVALHO EUROPEU SNOW 20/6 X 400 X 5000MM</t>
  </si>
  <si>
    <t>DECK 05 CARVALHO EUROPEU WILD CHEVRON 15/3 X 1900X 740MM</t>
  </si>
  <si>
    <t>DECK 05 CARVALHO EUROPEU WILD 15/3 X 125 X 1200MM</t>
  </si>
  <si>
    <t>DECK 05 CARVALHO EUROPEU WILD 15/3 X 190 X 1900MM</t>
  </si>
  <si>
    <t>DECK 05 CARVALHO EUROPEU WILD 20/6 X 300 X 4000MM</t>
  </si>
  <si>
    <t>DECK 05 CARVALHO EUROPEU WILD 20/6 X 400 X 5000MM</t>
  </si>
  <si>
    <t>DECK 05 CARVALHO EUROPEU NEVADO CHEVRON 15/3 X 1900X 740MM</t>
  </si>
  <si>
    <t>DECK 05 CARVALHO EUROPEU NEVADO 15/3 X 125 X 1200MM</t>
  </si>
  <si>
    <t>DECK 05 CARVALHO EUROPEU NEVADO 15/3 X 190 X 1900MM</t>
  </si>
  <si>
    <t>DECK 05 CARVALHO EUROPEU NEVADO 20/6 X 300 X 4000MM</t>
  </si>
  <si>
    <t>DECK 05 CARVALHO EUROPEU NEVADO 20/6 X 400 X 5000MM</t>
  </si>
  <si>
    <t>DECK 05 CARVALHO EUROPEU CONCRETE GREY CHEVRON 15/3 X 1900X 740MM</t>
  </si>
  <si>
    <t>DECK 05 CARVALHO EUROPEU CONCRETE GREY 15/3 X 125 X 1200MM</t>
  </si>
  <si>
    <t>DECK 05 CARVALHO EUROPEU CONCRETE GREY 15/3 X 190 X 1900MM</t>
  </si>
  <si>
    <t>DECK 05 CARVALHO EUROPEU CONCRETE GREY 20/6 X 300 X 4000MM</t>
  </si>
  <si>
    <t>DECK 05 CARVALHO EUROPEU CONCRETE GREY 20/6 X 400 X 5000MM</t>
  </si>
  <si>
    <t>DECK 05 CARVALHO EUROPEU ITALY BROWN CHEVRON 15/3 X 1900X 740MM</t>
  </si>
  <si>
    <t>DECK 05 CARVALHO EUROPEU ITALY BROWN 15/3 X 125 X 1200MM</t>
  </si>
  <si>
    <t>DECK 05 CARVALHO EUROPEU ITALY BROWN 15/3 X 190 X 1900MM</t>
  </si>
  <si>
    <t>DECK 05 CARVALHO EUROPEU ITALY BROWN 20/6 X 300 X 4000MM</t>
  </si>
  <si>
    <t>DECK 05 CARVALHO EUROPEU ITALY BROWN 20/6 X 400 X 5000MM</t>
  </si>
  <si>
    <t>DECK 05 CARVALHO EUROPEU ALL BLACK CHEVRON 15/3 X 1900X 740MM</t>
  </si>
  <si>
    <t>DECK 05 CARVALHO EUROPEU ALL BLACK 15/3 X 125 X 1200MM</t>
  </si>
  <si>
    <t>DECK 05 CARVALHO EUROPEU BLACK CHEVRON TG 15/3 X 125 X 775CM</t>
  </si>
  <si>
    <t>DECK 05 CARVALHO EUROPEU ALL BLACK 15/3 X 190 X 1900MM</t>
  </si>
  <si>
    <t>DECK 05 CARVALHO EUROPEU ALL BLACK 20/6 X 300 X 4000MM</t>
  </si>
  <si>
    <t>DECK 05 CARVALHO EUROPEU ALL BLACK 20/6 X 400 X 5000MM</t>
  </si>
  <si>
    <t>DECK 05 CARVALHO EUROPEU URBAN GREY CHEVRON 15/3 X 1900X 740MM</t>
  </si>
  <si>
    <t>DECK 05 CARVALHO EUROPEU URBAN GREY 15/3 X 125 X 1200MM</t>
  </si>
  <si>
    <t>DECK 05 CARVALHO EUROPEU URBAN GREY 15/3 X 190 X 1900MM</t>
  </si>
  <si>
    <t>DECK 05 CARVALHO EUROPEU URBAN GREY 20/6 X 300 X 4000MM</t>
  </si>
  <si>
    <t>DECK 05 CARVALHO EUROPEU URBAN GREY 20/6 X 400 X 5000MM</t>
  </si>
  <si>
    <t>DECK 05 CARVALHO EUROPEU CARAMEL CHEVRON 15/3 X 1900X 740MM</t>
  </si>
  <si>
    <t>DECK 05 CARVALHO EUROPEU CARAMEL 15/3 X 125 X 1200MM</t>
  </si>
  <si>
    <t>DECK 05 CARVALHO EUROPEU CARAMEL 15/3 X 190 X 1900MM</t>
  </si>
  <si>
    <t>DECK 05 CARVALHO EUROPEU CARAMEL 20/6 X 300 X 4000MM</t>
  </si>
  <si>
    <t>DECK 05 CARVALHO EUROPEU CARAMEL 20/6 X 400 X 5000MM</t>
  </si>
  <si>
    <t>DECK 05 CARVALHO EUROPEU CHEMICAL CHEVRON TG 15/3*190*740MM</t>
  </si>
  <si>
    <t>DECK 05 CARVALHO EUROPEU WHITE RUSTIC 15/4*189*1860MM</t>
  </si>
  <si>
    <t>DECK 05 CARVALHO EUROPEU CUSTOMIZADO 14/3 X 12,7 X 186CM</t>
  </si>
  <si>
    <t>DECK 05 CARVALHO EUROPEU CUSTOMIZADO 2.0 X 19 X 190CM (C2)</t>
  </si>
  <si>
    <t>DECK 05 CARVALHO EUROPEU NATURAL CHEVRON TG 1.5/3 X 9X 51CM</t>
  </si>
  <si>
    <t>DECK 05 CARVALHO EUROPEU NATURAL TG 1.5/3 X 9 X 91CM</t>
  </si>
  <si>
    <t>DECK 05 CARVALHO EUROPEU NUDE CHEVRON 60.. TG 15/3 X 190 X 90CM</t>
  </si>
  <si>
    <t>DECK 05 CARVALHO EUROPEU NUDE CHEVRON TG 1.5/3X 12.5X 63CM</t>
  </si>
  <si>
    <t>DECK 05 WALNUT 15/3 X 125 X 910MM</t>
  </si>
  <si>
    <t>DECK 05 WALNUT 15/3 X 190 X 1900MM</t>
  </si>
  <si>
    <t>DECK 05 WALNUT 20/2 X 300 X 4000MM</t>
  </si>
  <si>
    <t>DECK 05 BAMBU ALTA DENS. CUST PREMIUM TG 1.5/4 X19X185CM</t>
  </si>
  <si>
    <t>DECK 05 BAMBU CARAMEL ALTA DENSIDADE TG 1.5/4 X19X186CM</t>
  </si>
  <si>
    <t>DECK 05 RIPADO CUMARU PREMIUM TG 1,8 X 3,5+0,5CM PROF. BIT 0</t>
  </si>
  <si>
    <t>DECK 05 RIPADO CATUABA PREMIUM TG 1,8 X 3,5+0,5CM PROF. BIT 0</t>
  </si>
  <si>
    <t>DECK 05 RIPADO CABREUVA BRANCA PREMIUM TG 1,8 X 3,5+0,5CM PROF. BIT 0</t>
  </si>
  <si>
    <t>DECK 05 RIPADO CABREUVA DOURADA PREMIUM TG 1,8 X 3,5+0,5CM PROF. BIT 0</t>
  </si>
  <si>
    <t>DECK 05 RIPADO TAUARI PREMIUM TG 1,8 X 3,5+0,5CM PROF. BIT 0</t>
  </si>
  <si>
    <t>DECK 05 RIPADO PEROBA PREMIUM TG 1,8 X 3,5+0,5CM PROF. BIT 0</t>
  </si>
  <si>
    <t>DECK 05 RIPADO LORO PARDO PREMIUM TG 1,8 X 3,5+0,5CM PROF. BIT 0</t>
  </si>
  <si>
    <t>DECK 05 CUMARU MULTI PREMIUM 19 X 190 X 600 A 2200MM</t>
  </si>
  <si>
    <t>DECK 05 CATUABA MULTI PREMIUM 19 X 190 X 600 A 2200MM</t>
  </si>
  <si>
    <t>DECK 05 CABREUVA BRACA MULTI PREMIUM 19 X 190 X 600 A 2200MM</t>
  </si>
  <si>
    <t>DECK 05 CABREUVA DOURADA MULTI PREMIUM 19 X 190 X 600 A 2200MM</t>
  </si>
  <si>
    <t>DECK 05 TAUARI MULTI PREMIUM 19 X 190 X 600 A 2200MM</t>
  </si>
  <si>
    <t>DECK 05 PEROBA MULTI PREMIUM 19 X 190 X 600 A 2200MM</t>
  </si>
  <si>
    <t>DECK 05 LORO PARDO MULTI PREMIUM 19 X 190 X 600 A 2200MM</t>
  </si>
  <si>
    <t>DECK 05 MUXARABI CUMARU PREMIUM</t>
  </si>
  <si>
    <t>DECK 05 MUXARABI CATUABA PREMIUM</t>
  </si>
  <si>
    <t>DECK 05 MUXARABI CABREUVA BRANCA PREMIUM</t>
  </si>
  <si>
    <t>DECK 05 MUXARABI CABREUVA DOURADA PREMIUM</t>
  </si>
  <si>
    <t>DECK 05 MUXARABI TAUARI PREMIUM</t>
  </si>
  <si>
    <t>DECK 05 MUXARABI PEROBA PREMIUM</t>
  </si>
  <si>
    <t>DECK 05 MUXARABI LORO PARDO PREMIUM</t>
  </si>
  <si>
    <t>DECK 05 TOBLERONE CUMARU PREMIUM 3 X 3 COMPR. VARIAVEIS</t>
  </si>
  <si>
    <t>DECK 05 TOBLERONE CATUABA PREMIUM 3 X 3 COMPR. VARIAVEIS</t>
  </si>
  <si>
    <t>DECK 05 TOBLERONE CABREUVA BRANCA PREMIUM 3 X 3 COMPR. VARIAVEIS</t>
  </si>
  <si>
    <t>DECK 05 TOBLERONE CABREUVA DOURADA PREMIUM 3 X 3 COMPR. VARIAVEIS</t>
  </si>
  <si>
    <t>DECK 05 TOBLERONE TAUARI PREMIUM 3 X 3 COMPR. VARIAVEIS</t>
  </si>
  <si>
    <t>DECK 05 TOBLERONE PEROBA PREMIUM 3 X 3 COMPR. VARIAVEIS</t>
  </si>
  <si>
    <t>DECK 05 TOBLERONE LORO PARDO PREMIUM 3 X 3 COMPR. VARIAVEIS</t>
  </si>
  <si>
    <t>DECK 05 DECK CUMARU PREMIUM TG 2,5 X 5 X COMPR. VARIAVEIS</t>
  </si>
  <si>
    <t>DECK 05 DECK CUMARU PREMIUM TG 2,5 X 10 X COMPR. VARIAVEIS</t>
  </si>
  <si>
    <t>DECK 05 DECK CATUABA PREMIUM TG 2,5 X 5 X COMPR. VARIAVEIS</t>
  </si>
  <si>
    <t>DECK 05 DECK CATUABA PREMIUM TG 2,5 X 10 X COMPR. VARIAVEIS</t>
  </si>
  <si>
    <t>DECK 05 DECK CABREUVA BRANCA PREMIUM TG 2,5 X 5 X COMPR. VARIAVEIS</t>
  </si>
  <si>
    <t>DECK 05 DECK CABREUVA BRANCA PREMIUM TG 2,5 X 10 X COMPR. VARIAVEIS</t>
  </si>
  <si>
    <t>DECK 05 DECK CABREUVA DOURADA PREMIUM TG 2,5 X 5 X COMPR. VARIAVEIS</t>
  </si>
  <si>
    <t>DECK 05 DECK CABREUVA DOURADA PREMIUM TG 2,5 X 10 X COMPR. VARIAVEIS</t>
  </si>
  <si>
    <t>DECK 05 DECK TAUARI PREMIUM TG 2,5 X 5 X COMPR. VARIAVEIS</t>
  </si>
  <si>
    <t>DECK 05 DECK TAUARI PREMIUM TG 2,5 X 10 X COMPR. VARIAVEIS</t>
  </si>
  <si>
    <t>DECK 05 DECK PEROBA PREMIUM TG 2,5 X 5 X COMPR. VARIAVEIS</t>
  </si>
  <si>
    <t>DECK 05 DECK PEROBA PREMIUM TG 2,5 X 10 X COMPR. VARIAVEIS</t>
  </si>
  <si>
    <t>DECK 05 DECK BAMBU CARAMEL ALTA DENSIDADE</t>
  </si>
  <si>
    <t>DECK 05 DECK BPC CINZA ESCURO 2 X15X 290CM PÇ/0.435M2</t>
  </si>
  <si>
    <t>DECK 05 DECK BPC MORROM 2X15X220CM</t>
  </si>
  <si>
    <t>DECK 05 DECK WPC CINZA 2,2*14,6*220CM</t>
  </si>
  <si>
    <t>DECK 05 PEROBA RUSTICA DE DEMOLIÇÃO</t>
  </si>
  <si>
    <t>DECK 05 CANELA RUSTICA DE DEMOLIÇÃO</t>
  </si>
  <si>
    <t>RODAPÉ CARVALHO EUROPEU MARRONE CHEVRON 15/3 X 1900X 740MM</t>
  </si>
  <si>
    <t>RODAPÉ CARVALHO EUROPEU MARRONE 15/3 X 125 X 1200MM</t>
  </si>
  <si>
    <t>RODAPÉ CARVALHO EUROPEU MARRONE 15/3 X 190 X 1900MM</t>
  </si>
  <si>
    <t>RODAPÉ CARVALHO EUROPEU MARRONE 20/6 X 300 X 4000MM</t>
  </si>
  <si>
    <t>RODAPÉ CARVALHO EUROPEU MARRONE 20/6 X 400 X 5000MM</t>
  </si>
  <si>
    <t>RODAPÉ CARVALHO EUROPEU MONT BLANC CHEVRON 15/3 X 1900X 740MM</t>
  </si>
  <si>
    <t>RODAPÉ CARVALHO EUROPEU MONT BLANC ESPINHA DE PEIXE TG 15/3 X 125X900MM</t>
  </si>
  <si>
    <t>RODAPÉ CARVALHO EUROPEU MONT BLANC 15/3 X 125 X 1200MM</t>
  </si>
  <si>
    <t>RODAPÉ CARVALHO EUROPEU MONT BLANC 15/3 X 190 X 1900MM</t>
  </si>
  <si>
    <t>RODAPÉ CARVALHO EUROPEU MONT BLANC 20/6 X 300 X 4000MM</t>
  </si>
  <si>
    <t>RODAPÉ CARVALHO EUROPEU MONT BLANC 20/6 X 400 X 5000MM</t>
  </si>
  <si>
    <t>RODAPÉ CARVALHO EUROPEU NATURAL CHEVRON TG 15/3 X 125 X 775MM</t>
  </si>
  <si>
    <t>RODAPÉ CARVALHO EUROPEU NATURALLE CHEVRON 15/3 X 1900X 740MM</t>
  </si>
  <si>
    <t>RODAPÉ CARVALHO EUROPEU NATURALLE CHEVRON 60º 15/3 X 1900X 910MM</t>
  </si>
  <si>
    <t>RODAPÉ CARVALHO EUROPEU NATURALLE FINE 10/06 X 1900 X 1900MM</t>
  </si>
  <si>
    <t>RODAPÉ CARVALHO EUROPEU NATURALLE 15/3 X 125 X 1200MM</t>
  </si>
  <si>
    <t>RODAPÉ CARVALHO EUROPEU NATURALLE 15/3 X 190 X 1900MM</t>
  </si>
  <si>
    <t>RODAPÉ CARVALHO EUROPEU NATURALLE 20/6 X 300 X 4000MM</t>
  </si>
  <si>
    <t>RODAPÉ CARVALHO EUROPEU NATURALLE 20/6 X 400 X 5000MM</t>
  </si>
  <si>
    <t>RODAPÉ CARVALHO EUROPEU CAPUCCINO CHEVRON 15/3 X 1900X 740MM</t>
  </si>
  <si>
    <t>RODAPÉ CARVALHO EUROPEU CAPUCCINO 15/3 X 125 X 1200MM</t>
  </si>
  <si>
    <t>RODAPÉ CARVALHO EUROPEU CAPPUCCINO ESPINHA DE PEIXE TG 15/3 X 125X900MM</t>
  </si>
  <si>
    <t>RODAPÉ CARVALHO EUROPEU CAPUCCINO 15/3 X 190 X 1900MM</t>
  </si>
  <si>
    <t>RODAPÉ CARVALHO EUROPEU CAPUCCINO 20/6 X 300 X 4000MM</t>
  </si>
  <si>
    <t>RODAPÉ CARVALHO EUROPEU CAPUCCINO 20/6 X 400 X 5000MM</t>
  </si>
  <si>
    <t>RODAPÉ CARVALHO EUROPEU BABY GREY CHEVRON 15/3 X 1900X 740MM</t>
  </si>
  <si>
    <t>RODAPÉ CARVALHO EUROPEU BABY GREY 15/3 X 125 X 1200MM</t>
  </si>
  <si>
    <t>RODAPÉ CARVALHO EUROPEU BABY GREY 15/3 X 190 X 1900MM</t>
  </si>
  <si>
    <t>RODAPÉ CARVALHO EUROPEU BABY GREY 20/6 X 300 X 4000MM</t>
  </si>
  <si>
    <t>RODAPÉ CARVALHO EUROPEU BABY GREY 20/6 X 400 X 5000MM</t>
  </si>
  <si>
    <t>RODAPÉ CARVALHO EUROPEU GRIGIO NERO CHEVRON 15/3 X 1900X 740MM</t>
  </si>
  <si>
    <t>RODAPÉ CARVALHO EUROPEU GRIGIO NERO 15/3 X 125 X 1200MM</t>
  </si>
  <si>
    <t>RODAPÉ CARVALHO EUROPEU GRIGIO NERO 15/3 X 190 X 1900MM</t>
  </si>
  <si>
    <t>RODAPÉ CARVALHO EUROPEU GRIGIO NERO 20/6 X 300 X 4000MM</t>
  </si>
  <si>
    <t>RODAPÉ CARVALHO EUROPEU GRIGIO NERO 20/6 X 400 X 5000MM</t>
  </si>
  <si>
    <t>RODAPÉ CARVALHO EUROPEU LIGHT BROWN CHEVRON 15/3 X 1900X 740MM</t>
  </si>
  <si>
    <t>RODAPÉ CARVALHO EUROPEU LIGHT BROWN 15/3 X 125 X 1200MM</t>
  </si>
  <si>
    <t>RODAPÉ CARVALHO EUROPEU LIGHT BROWN 15/3 X 190 X 1900MM</t>
  </si>
  <si>
    <t>RODAPÉ CARVALHO EUROPEU LIGHT BROWN 20/6 X 300 X 4000MM</t>
  </si>
  <si>
    <t>RODAPÉ CARVALHO EUROPEU LIGHT BROWN 20/6 X 400 X 5000MM</t>
  </si>
  <si>
    <t>RODAPÉ CARVALHO EUROPEU - LISTONE GIORDANO (HERITAGE 140 FILIGRANA - SIENNA 1179) TG 1,25 X 14,0 X 83,50CM --</t>
  </si>
  <si>
    <t>RODAPÉ CARVALHO EUROPEU MILANO CHEVRON 15/3 X 1900X 740MM</t>
  </si>
  <si>
    <t>RODAPÉ CARVALHO EUROPEU MILANO 15/3 X 125 X 1200MM</t>
  </si>
  <si>
    <t>RODAPÉ CARVALHO EUROPEU MILANO 15/3 X 190 X 1900MM</t>
  </si>
  <si>
    <t>RODAPÉ CARVALHO EUROPEU MILANO 20/6 X 300 X 4000MM</t>
  </si>
  <si>
    <t>RODAPÉ CARVALHO EUROPEU MILANO 20/6 X 400 X 5000MM</t>
  </si>
  <si>
    <t>RODAPÉ CARVALHO EUROPEU SMOKED CHEVRON 15/3 X 1900X 740MM</t>
  </si>
  <si>
    <t>RODAPÉ CARVALHO EUROPEU SMOKED 15/3 X 125 X 1200MM</t>
  </si>
  <si>
    <t>RODAPÉ CARVALHO EUROPEU SMOKED 15/3 X 190 X 1900MM</t>
  </si>
  <si>
    <t>RODAPÉ CARVALHO EUROPEU SMOKED 20/6 X 300 X 4000MM</t>
  </si>
  <si>
    <t>RODAPÉ CARVALHO EUROPEU SMOKED 20/6 X 400 X 5000MM</t>
  </si>
  <si>
    <t>RODAPÉ CARVALHO EUROPEU GIZ CHEVRON 15/3 X 1900X 740MM</t>
  </si>
  <si>
    <t>RODAPÉ CARVALHO EUROPEU GIZ 15/3 X 125 X 1200MM</t>
  </si>
  <si>
    <t>RODAPÉ CARVALHO EUROPEU GIZ 15/3 X 190 X 1900MM</t>
  </si>
  <si>
    <t>RODAPÉ CARVALHO EUROPEU GIZ 20/6 X 300 X 4000MM</t>
  </si>
  <si>
    <t>RODAPÉ CARVALHO EUROPEU GIZ 20/6 X 400 X 5000MM</t>
  </si>
  <si>
    <t>RODAPÉ CARVALHO EUROPEU SNOW CHEVRON 15/3 X 1900X 740MM</t>
  </si>
  <si>
    <t>RODAPÉ CARVALHO EUROPEU SNOW 15/3 X 125 X 1200MM</t>
  </si>
  <si>
    <t>RODAPÉ CARVALHO EUROPEU SNOW 15/3 X 190 X 1900MM</t>
  </si>
  <si>
    <t>RODAPÉ CARVALHO EUROPEU SNOW 20/6 X 300 X 4000MM</t>
  </si>
  <si>
    <t>RODAPÉ CARVALHO EUROPEU SNOW 20/6 X 400 X 5000MM</t>
  </si>
  <si>
    <t>RODAPÉ CARVALHO EUROPEU WILD CHEVRON 15/3 X 1900X 740MM</t>
  </si>
  <si>
    <t>RODAPÉ CARVALHO EUROPEU WILD 15/3 X 125 X 1200MM</t>
  </si>
  <si>
    <t>RODAPÉ CARVALHO EUROPEU WILD 15/3 X 190 X 1900MM</t>
  </si>
  <si>
    <t>RODAPÉ CARVALHO EUROPEU WILD 20/6 X 300 X 4000MM</t>
  </si>
  <si>
    <t>RODAPÉ CARVALHO EUROPEU WILD 20/6 X 400 X 5000MM</t>
  </si>
  <si>
    <t>RODAPÉ CARVALHO EUROPEU NEVADO CHEVRON 15/3 X 1900X 740MM</t>
  </si>
  <si>
    <t>RODAPÉ CARVALHO EUROPEU NEVADO 15/3 X 125 X 1200MM</t>
  </si>
  <si>
    <t>RODAPÉ CARVALHO EUROPEU NEVADO 15/3 X 190 X 1900MM</t>
  </si>
  <si>
    <t>RODAPÉ CARVALHO EUROPEU NEVADO 20/6 X 300 X 4000MM</t>
  </si>
  <si>
    <t>RODAPÉ CARVALHO EUROPEU NEVADO 20/6 X 400 X 5000MM</t>
  </si>
  <si>
    <t>RODAPÉ CARVALHO EUROPEU CONCRETE GREY CHEVRON 15/3 X 1900X 740MM</t>
  </si>
  <si>
    <t>RODAPÉ CARVALHO EUROPEU CONCRETE GREY 15/3 X 125 X 1200MM</t>
  </si>
  <si>
    <t>RODAPÉ CARVALHO EUROPEU CONCRETE GREY 15/3 X 190 X 1900MM</t>
  </si>
  <si>
    <t>RODAPÉ CARVALHO EUROPEU CONCRETE GREY 20/6 X 300 X 4000MM</t>
  </si>
  <si>
    <t>RODAPÉ CARVALHO EUROPEU CONCRETE GREY 20/6 X 400 X 5000MM</t>
  </si>
  <si>
    <t>RODAPÉ CARVALHO EUROPEU ITALY BROWN CHEVRON 15/3 X 1900X 740MM</t>
  </si>
  <si>
    <t>RODAPÉ CARVALHO EUROPEU ITALY BROWN 15/3 X 125 X 1200MM</t>
  </si>
  <si>
    <t>RODAPÉ CARVALHO EUROPEU ITALY BROWN 15/3 X 190 X 1900MM</t>
  </si>
  <si>
    <t>RODAPÉ CARVALHO EUROPEU ITALY BROWN 20/6 X 300 X 4000MM</t>
  </si>
  <si>
    <t>RODAPÉ CARVALHO EUROPEU ITALY BROWN 20/6 X 400 X 5000MM</t>
  </si>
  <si>
    <t>RODAPÉ CARVALHO EUROPEU ALL BLACK CHEVRON 15/3 X 1900X 740MM</t>
  </si>
  <si>
    <t>RODAPÉ CARVALHO EUROPEU ALL BLACK 15/3 X 125 X 1200MM</t>
  </si>
  <si>
    <t>RODAPÉ CARVALHO EUROPEU BLACK CHEVRON TG 15/3 X 125 X 775CM</t>
  </si>
  <si>
    <t>RODAPÉ CARVALHO EUROPEU ALL BLACK 15/3 X 190 X 1900MM</t>
  </si>
  <si>
    <t>RODAPÉ CARVALHO EUROPEU ALL BLACK 20/6 X 300 X 4000MM</t>
  </si>
  <si>
    <t>RODAPÉ CARVALHO EUROPEU ALL BLACK 20/6 X 400 X 5000MM</t>
  </si>
  <si>
    <t>RODAPÉ CARVALHO EUROPEU URBAN GREY CHEVRON 15/3 X 1900X 740MM</t>
  </si>
  <si>
    <t>RODAPÉ CARVALHO EUROPEU URBAN GREY 15/3 X 125 X 1200MM</t>
  </si>
  <si>
    <t>RODAPÉ CARVALHO EUROPEU URBAN GREY 15/3 X 190 X 1900MM</t>
  </si>
  <si>
    <t>RODAPÉ CARVALHO EUROPEU URBAN GREY 20/6 X 300 X 4000MM</t>
  </si>
  <si>
    <t>RODAPÉ CARVALHO EUROPEU URBAN GREY 20/6 X 400 X 5000MM</t>
  </si>
  <si>
    <t>RODAPÉ CARVALHO EUROPEU CARAMEL CHEVRON 15/3 X 1900X 740MM</t>
  </si>
  <si>
    <t>RODAPÉ CARVALHO EUROPEU CARAMEL 15/3 X 125 X 1200MM</t>
  </si>
  <si>
    <t>RODAPÉ CARVALHO EUROPEU CARAMEL 15/3 X 190 X 1900MM</t>
  </si>
  <si>
    <t>RODAPÉ CARVALHO EUROPEU CARAMEL 20/6 X 300 X 4000MM</t>
  </si>
  <si>
    <t>RODAPÉ CARVALHO EUROPEU CARAMEL 20/6 X 400 X 5000MM</t>
  </si>
  <si>
    <t>RODAPÉ CARVALHO EUROPEU CHEMICAL CHEVRON TG 15/3*190*740MM</t>
  </si>
  <si>
    <t>RODAPÉ CARVALHO EUROPEU WHITE RUSTIC 15/4*189*1860MM</t>
  </si>
  <si>
    <t>RODAPÉ CARVALHO EUROPEU CUSTOMIZADO 14/3 X 12,7 X 186CM</t>
  </si>
  <si>
    <t>RODAPÉ CARVALHO EUROPEU CUSTOMIZADO 2.0 X 19 X 190CM (C2)</t>
  </si>
  <si>
    <t>RODAPÉ CARVALHO EUROPEU NATURAL CHEVRON TG 1.5/3 X 9X 51CM</t>
  </si>
  <si>
    <t>RODAPÉ CARVALHO EUROPEU NATURAL TG 1.5/3 X 9 X 91CM</t>
  </si>
  <si>
    <t>RODAPÉ CARVALHO EUROPEU NUDE CHEVRON 60.. TG 15/3 X 190 X 90CM</t>
  </si>
  <si>
    <t>RODAPÉ CARVALHO EUROPEU NUDE CHEVRON TG 1.5/3X 12.5X 63CM</t>
  </si>
  <si>
    <t>RODAPÉ WALNUT 15/3 X 125 X 910MM</t>
  </si>
  <si>
    <t>RODAPÉ WALNUT 15/3 X 190 X 1900MM</t>
  </si>
  <si>
    <t>RODAPÉ WALNUT 20/2 X 300 X 4000MM</t>
  </si>
  <si>
    <t>RODAPÉ BAMBU ALTA DENS. CUST PREMIUM TG 1.5/4 X19X185CM</t>
  </si>
  <si>
    <t>RODAPÉ BAMBU CARAMEL ALTA DENSIDADE TG 1.5/4 X19X186CM</t>
  </si>
  <si>
    <t>RODAPÉ RIPADO CUMARU PREMIUM TG 1,8 X 3,5+0,5CM PROF. BIT 0</t>
  </si>
  <si>
    <t>RODAPÉ RIPADO CATUABA PREMIUM TG 1,8 X 3,5+0,5CM PROF. BIT 0</t>
  </si>
  <si>
    <t>RODAPÉ RIPADO CABREUVA BRANCA PREMIUM TG 1,8 X 3,5+0,5CM PROF. BIT 0</t>
  </si>
  <si>
    <t>RODAPÉ RIPADO CABREUVA DOURADA PREMIUM TG 1,8 X 3,5+0,5CM PROF. BIT 0</t>
  </si>
  <si>
    <t>RODAPÉ RIPADO TAUARI PREMIUM TG 1,8 X 3,5+0,5CM PROF. BIT 0</t>
  </si>
  <si>
    <t>RODAPÉ RIPADO PEROBA PREMIUM TG 1,8 X 3,5+0,5CM PROF. BIT 0</t>
  </si>
  <si>
    <t>RODAPÉ RIPADO LORO PARDO PREMIUM TG 1,8 X 3,5+0,5CM PROF. BIT 0</t>
  </si>
  <si>
    <t>RODAPÉ CUMARU MULTI PREMIUM 19 X 190 X 600 A 2200MM</t>
  </si>
  <si>
    <t>RODAPÉ CATUABA MULTI PREMIUM 19 X 190 X 600 A 2200MM</t>
  </si>
  <si>
    <t>RODAPÉ CABREUVA BRACA MULTI PREMIUM 19 X 190 X 600 A 2200MM</t>
  </si>
  <si>
    <t>RODAPÉ CABREUVA DOURADA MULTI PREMIUM 19 X 190 X 600 A 2200MM</t>
  </si>
  <si>
    <t>RODAPÉ TAUARI MULTI PREMIUM 19 X 190 X 600 A 2200MM</t>
  </si>
  <si>
    <t>RODAPÉ PEROBA MULTI PREMIUM 19 X 190 X 600 A 2200MM</t>
  </si>
  <si>
    <t>RODAPÉ LORO PARDO MULTI PREMIUM 19 X 190 X 600 A 2200MM</t>
  </si>
  <si>
    <t>RODAPÉ MUXARABI CUMARU PREMIUM</t>
  </si>
  <si>
    <t>RODAPÉ MUXARABI CATUABA PREMIUM</t>
  </si>
  <si>
    <t>RODAPÉ MUXARABI CABREUVA BRANCA PREMIUM</t>
  </si>
  <si>
    <t>RODAPÉ MUXARABI CABREUVA DOURADA PREMIUM</t>
  </si>
  <si>
    <t>RODAPÉ MUXARABI TAUARI PREMIUM</t>
  </si>
  <si>
    <t>RODAPÉ MUXARABI PEROBA PREMIUM</t>
  </si>
  <si>
    <t>RODAPÉ MUXARABI LORO PARDO PREMIUM</t>
  </si>
  <si>
    <t>RODAPÉ TOBLERONE CUMARU PREMIUM 3 X 3 COMPR. VARIAVEIS</t>
  </si>
  <si>
    <t>RODAPÉ TOBLERONE CATUABA PREMIUM 3 X 3 COMPR. VARIAVEIS</t>
  </si>
  <si>
    <t>RODAPÉ TOBLERONE CABREUVA BRANCA PREMIUM 3 X 3 COMPR. VARIAVEIS</t>
  </si>
  <si>
    <t>RODAPÉ TOBLERONE CABREUVA DOURADA PREMIUM 3 X 3 COMPR. VARIAVEIS</t>
  </si>
  <si>
    <t>RODAPÉ TOBLERONE TAUARI PREMIUM 3 X 3 COMPR. VARIAVEIS</t>
  </si>
  <si>
    <t>RODAPÉ TOBLERONE PEROBA PREMIUM 3 X 3 COMPR. VARIAVEIS</t>
  </si>
  <si>
    <t>RODAPÉ TOBLERONE LORO PARDO PREMIUM 3 X 3 COMPR. VARIAVEIS</t>
  </si>
  <si>
    <t>RODAPÉ DECK CUMARU PREMIUM TG 2,5 X 5 X COMPR. VARIAVEIS</t>
  </si>
  <si>
    <t>RODAPÉ DECK CUMARU PREMIUM TG 2,5 X 10 X COMPR. VARIAVEIS</t>
  </si>
  <si>
    <t>RODAPÉ DECK CATUABA PREMIUM TG 2,5 X 5 X COMPR. VARIAVEIS</t>
  </si>
  <si>
    <t>RODAPÉ DECK CATUABA PREMIUM TG 2,5 X 10 X COMPR. VARIAVEIS</t>
  </si>
  <si>
    <t>RODAPÉ DECK CABREUVA BRANCA PREMIUM TG 2,5 X 5 X COMPR. VARIAVEIS</t>
  </si>
  <si>
    <t>RODAPÉ DECK CABREUVA BRANCA PREMIUM TG 2,5 X 10 X COMPR. VARIAVEIS</t>
  </si>
  <si>
    <t>RODAPÉ DECK CABREUVA DOURADA PREMIUM TG 2,5 X 5 X COMPR. VARIAVEIS</t>
  </si>
  <si>
    <t>RODAPÉ DECK CABREUVA DOURADA PREMIUM TG 2,5 X 10 X COMPR. VARIAVEIS</t>
  </si>
  <si>
    <t>RODAPÉ DECK TAUARI PREMIUM TG 2,5 X 5 X COMPR. VARIAVEIS</t>
  </si>
  <si>
    <t>RODAPÉ DECK TAUARI PREMIUM TG 2,5 X 10 X COMPR. VARIAVEIS</t>
  </si>
  <si>
    <t>RODAPÉ DECK PEROBA PREMIUM TG 2,5 X 5 X COMPR. VARIAVEIS</t>
  </si>
  <si>
    <t>RODAPÉ DECK PEROBA PREMIUM TG 2,5 X 10 X COMPR. VARIAVEIS</t>
  </si>
  <si>
    <t>RODAPÉ DECK BAMBU CARAMEL ALTA DENSIDADE</t>
  </si>
  <si>
    <t>RODAPÉ DECK BPC CINZA ESCURO 2 X15X 290CM PÇ/0.435M2</t>
  </si>
  <si>
    <t>RODAPÉ DECK BPC MORROM 2X15X220CM</t>
  </si>
  <si>
    <t>RODAPÉ DECK WPC CINZA 2,2*14,6*220CM</t>
  </si>
  <si>
    <t>RODAPÉ PEROBA RUSTICA DE DEMOLIÇÃO</t>
  </si>
  <si>
    <t>RODAPÉ CANELA RUSTICA DE DEMOLIÇÃO</t>
  </si>
  <si>
    <t xml:space="preserve">PRODUTO </t>
  </si>
  <si>
    <t xml:space="preserve">TIPO DE INSTALAÇÃO </t>
  </si>
  <si>
    <t>CODIGO BRASCOMM</t>
  </si>
  <si>
    <t>QUANT</t>
  </si>
  <si>
    <t>CUSTO M2</t>
  </si>
  <si>
    <t>VR TTL</t>
  </si>
  <si>
    <t>Nome corrigido</t>
  </si>
  <si>
    <t>Custo</t>
  </si>
  <si>
    <t>CARVALHO EUROPEU MARRONE CHEVRON 15/3 X 1900X 740MM</t>
  </si>
  <si>
    <t>CARVALHO EUROPEU MARRONE 15/3 X 125 X 1200MM</t>
  </si>
  <si>
    <t>CARVALHO EUROPEU MARRONE 15/3 X 190 X 1900MM</t>
  </si>
  <si>
    <t>CARVALHO EUROPEU MARRONE 20/6 X 300 X 4000MM</t>
  </si>
  <si>
    <t>CARVALHO EUROPEU MARRONE 20/6 X 400 X 5000MM</t>
  </si>
  <si>
    <t>CARVALHO EUROPEU MONT BLANC CHEVRON 15/3 X 1900X 740MM</t>
  </si>
  <si>
    <t>CARVALHO EUROPEU MONT BLANC ESPINHA DE PEIXE TG 15/3 X 125X900MM</t>
  </si>
  <si>
    <t>CARVALHO EUROPEU MONT BLANC 15/3 X 125 X 1200MM</t>
  </si>
  <si>
    <t>CARVALHO EUROPEU MONT BLANC 15/3 X 190 X 1900MM</t>
  </si>
  <si>
    <t>CARVALHO EUROPEU MONT BLANC 20/6 X 300 X 4000MM</t>
  </si>
  <si>
    <t>CARVALHO EUROPEU MONT BLANC 20/6 X 400 X 5000MM</t>
  </si>
  <si>
    <t>PKT400410P</t>
  </si>
  <si>
    <t>CARVALHO EUROPEU NATURAL CHEVRON TG 15/3 X 125 X 775MM</t>
  </si>
  <si>
    <t>PKT400411P</t>
  </si>
  <si>
    <t>CARVALHO EUROPEU NATURALLE CHEVRON 15/3 X 1900X 740MM</t>
  </si>
  <si>
    <t>PKT400412P</t>
  </si>
  <si>
    <t>CARVALHO EUROPEU NATURALLE CHEVRON 60º 15/3 X 1900X 910MM</t>
  </si>
  <si>
    <t>PKT400413P</t>
  </si>
  <si>
    <t>CARVALHO EUROPEU NATURALLE FINE 10/06 X 1900 X 1900MM</t>
  </si>
  <si>
    <t>PKT400414P</t>
  </si>
  <si>
    <t>CARVALHO EUROPEU NATURALLE 15/3 X 125 X 1200MM</t>
  </si>
  <si>
    <t>PKT400415P</t>
  </si>
  <si>
    <t>CARVALHO EUROPEU NATURALLE 15/3 X 190 X 1900MM</t>
  </si>
  <si>
    <t>PKT400416P</t>
  </si>
  <si>
    <t>CARVALHO EUROPEU NATURALLE 20/6 X 300 X 4000MM</t>
  </si>
  <si>
    <t>PKT400417P</t>
  </si>
  <si>
    <t>CARVALHO EUROPEU NATURALLE 20/6 X 400 X 5000MM</t>
  </si>
  <si>
    <t>PKT400418P</t>
  </si>
  <si>
    <t>CARVALHO EUROPEU CAPUCCINO CHEVRON 15/3 X 1900X 740MM</t>
  </si>
  <si>
    <t>PKT400419P</t>
  </si>
  <si>
    <t>CARVALHO EUROPEU CAPUCCINO 15/3 X 125 X 1200MM</t>
  </si>
  <si>
    <t>PKT400420P</t>
  </si>
  <si>
    <t>CARVALHO EUROPEU CAPPUCCINO ESPINHA DE PEIXE TG 15/3 X 125X900MM</t>
  </si>
  <si>
    <t>PKT400421P</t>
  </si>
  <si>
    <t>CARVALHO EUROPEU CAPUCCINO 15/3 X 190 X 1900MM</t>
  </si>
  <si>
    <t>PKT400422P</t>
  </si>
  <si>
    <t>CARVALHO EUROPEU CAPUCCINO 20/6 X 300 X 4000MM</t>
  </si>
  <si>
    <t>PKT400423P</t>
  </si>
  <si>
    <t>CARVALHO EUROPEU CAPUCCINO 20/6 X 400 X 5000MM</t>
  </si>
  <si>
    <t>PKT400424P</t>
  </si>
  <si>
    <t>CARVALHO EUROPEU BABY GREY CHEVRON 15/3 X 1900X 740MM</t>
  </si>
  <si>
    <t>PKT400425P</t>
  </si>
  <si>
    <t>CARVALHO EUROPEU BABY GREY 15/3 X 125 X 1200MM</t>
  </si>
  <si>
    <t>PKT400426P</t>
  </si>
  <si>
    <t>CARVALHO EUROPEU BABY GREY 15/3 X 190 X 1900MM</t>
  </si>
  <si>
    <t>PKT400427P</t>
  </si>
  <si>
    <t>CARVALHO EUROPEU BABY GREY 20/6 X 300 X 4000MM</t>
  </si>
  <si>
    <t>PKT400428P</t>
  </si>
  <si>
    <t>CARVALHO EUROPEU BABY GREY 20/6 X 400 X 5000MM</t>
  </si>
  <si>
    <t>PKT400429P</t>
  </si>
  <si>
    <t>CARVALHO EUROPEU GRIGIO NERO CHEVRON 15/3 X 1900X 740MM</t>
  </si>
  <si>
    <t>PKT400430P</t>
  </si>
  <si>
    <t>PISO CARVALHO EUROPEU GRIGIO NERO CHEVRON 15/3 X 1900X 740MM</t>
  </si>
  <si>
    <t>CARVALHO EUROPEU GRIGIO NERO 15/3 X 125 X 1200MM</t>
  </si>
  <si>
    <t>PKT400431P</t>
  </si>
  <si>
    <t>CARVALHO EUROPEU GRIGIO NERO 15/3 X 190 X 1900MM</t>
  </si>
  <si>
    <t>PKT400432P</t>
  </si>
  <si>
    <t>CARVALHO EUROPEU GRIGIO NERO 20/6 X 300 X 4000MM</t>
  </si>
  <si>
    <t>PKT400433P</t>
  </si>
  <si>
    <t>CARVALHO EUROPEU GRIGIO NERO 20/6 X 400 X 5000MM</t>
  </si>
  <si>
    <t>PKT400435P</t>
  </si>
  <si>
    <t>CARVALHO EUROPEU LIGHT BROWN CHEVRON 15/3 X 1900X 740MM</t>
  </si>
  <si>
    <t>PKT400436P</t>
  </si>
  <si>
    <t>CARVALHO EUROPEU LIGHT BROWN 15/3 X 125 X 1200MM</t>
  </si>
  <si>
    <t>PKT400437P</t>
  </si>
  <si>
    <t>CARVALHO EUROPEU LIGHT BROWN 15/3 X 190 X 1900MM</t>
  </si>
  <si>
    <t>PKT400438P</t>
  </si>
  <si>
    <t>CARVALHO EUROPEU LIGHT BROWN 20/6 X 300 X 4000MM</t>
  </si>
  <si>
    <t>PKT400439P</t>
  </si>
  <si>
    <t>CARVALHO EUROPEU - LISTONE GIORDANO (HERITAGE 140 FILIGRANA - SIENNA 1179) TG 1,25 X 14,0 X 83,50CM --</t>
  </si>
  <si>
    <t>PKT400441P</t>
  </si>
  <si>
    <t>CARVALHO EUROPEU MILANO CHEVRON 15/3 X 1900X 740MM</t>
  </si>
  <si>
    <t>PKT400442P</t>
  </si>
  <si>
    <t>CARVALHO EUROPEU MILANO 15/3 X 125 X 1200MM</t>
  </si>
  <si>
    <t>PKT400443P</t>
  </si>
  <si>
    <t>CARVALHO EUROPEU MILANO 15/3 X 190 X 1900MM</t>
  </si>
  <si>
    <t>PKT400444P</t>
  </si>
  <si>
    <t>CARVALHO EUROPEU MILANO 20/6 X 300 X 4000MM</t>
  </si>
  <si>
    <t>PKT400445P</t>
  </si>
  <si>
    <t>CARVALHO EUROPEU MILANO 20/6 X 400 X 5000MM</t>
  </si>
  <si>
    <t>PKT400446P</t>
  </si>
  <si>
    <t>CARVALHO EUROPEU SMOKED CHEVRON 15/3 X 1900X 740MM</t>
  </si>
  <si>
    <t>PKT400447P</t>
  </si>
  <si>
    <t>CARVALHO EUROPEU SMOKED 15/3 X 125 X 1200MM</t>
  </si>
  <si>
    <t>PKT400448P</t>
  </si>
  <si>
    <t>CARVALHO EUROPEU SMOKED 15/3 X 190 X 1900MM</t>
  </si>
  <si>
    <t>PKT400449P</t>
  </si>
  <si>
    <t>CARVALHO EUROPEU SMOKED 20/6 X 300 X 4000MM</t>
  </si>
  <si>
    <t>PKT400450P</t>
  </si>
  <si>
    <t>CARVALHO EUROPEU SMOKED 20/6 X 400 X 5000MM</t>
  </si>
  <si>
    <t>PKT400451P</t>
  </si>
  <si>
    <t>CARVALHO EUROPEU GIZ CHEVRON 15/3 X 1900X 740MM</t>
  </si>
  <si>
    <t>PKT400452P</t>
  </si>
  <si>
    <t>CARVALHO EUROPEU GIZ 15/3 X 125 X 1200MM</t>
  </si>
  <si>
    <t>PKT400453P</t>
  </si>
  <si>
    <t>CARVALHO EUROPEU GIZ 15/3 X 190 X 1900MM</t>
  </si>
  <si>
    <t>PKT400454P</t>
  </si>
  <si>
    <t>CARVALHO EUROPEU GIZ 20/6 X 300 X 4000MM</t>
  </si>
  <si>
    <t>PKT400455P</t>
  </si>
  <si>
    <t>CARVALHO EUROPEU GIZ 20/6 X 400 X 5000MM</t>
  </si>
  <si>
    <t>PKT400456P</t>
  </si>
  <si>
    <t>CARVALHO EUROPEU SNOW CHEVRON 15/3 X 1900X 740MM</t>
  </si>
  <si>
    <t>PKT400457P</t>
  </si>
  <si>
    <t>CARVALHO EUROPEU SNOW 15/3 X 125 X 1200MM</t>
  </si>
  <si>
    <t>PKT400458P</t>
  </si>
  <si>
    <t>CARVALHO EUROPEU SNOW 15/3 X 190 X 1900MM</t>
  </si>
  <si>
    <t>PKT400459P</t>
  </si>
  <si>
    <t>CARVALHO EUROPEU SNOW 20/6 X 300 X 4000MM</t>
  </si>
  <si>
    <t>PKT400460P</t>
  </si>
  <si>
    <t>CARVALHO EUROPEU SNOW 20/6 X 400 X 5000MM</t>
  </si>
  <si>
    <t>PKT400461P</t>
  </si>
  <si>
    <t>CARVALHO EUROPEU WILD CHEVRON 15/3 X 1900X 740MM</t>
  </si>
  <si>
    <t>PKT400462P</t>
  </si>
  <si>
    <t>CARVALHO EUROPEU WILD 15/3 X 125 X 1200MM</t>
  </si>
  <si>
    <t>PKT400463P</t>
  </si>
  <si>
    <t>CARVALHO EUROPEU WILD 15/3 X 190 X 1900MM</t>
  </si>
  <si>
    <t>PKT400464P</t>
  </si>
  <si>
    <t>CARVALHO EUROPEU WILD 20/6 X 300 X 4000MM</t>
  </si>
  <si>
    <t>PKT400465P</t>
  </si>
  <si>
    <t>CARVALHO EUROPEU WILD 20/6 X 400 X 5000MM</t>
  </si>
  <si>
    <t>PKT400466P</t>
  </si>
  <si>
    <t>CARVALHO EUROPEU NEVADO CHEVRON 15/3 X 1900X 740MM</t>
  </si>
  <si>
    <t>PKT400467P</t>
  </si>
  <si>
    <t>CARVALHO EUROPEU NEVADO 15/3 X 125 X 1200MM</t>
  </si>
  <si>
    <t>PKT400468P</t>
  </si>
  <si>
    <t>CARVALHO EUROPEU NEVADO 15/3 X 190 X 1900MM</t>
  </si>
  <si>
    <t>PKT400469P</t>
  </si>
  <si>
    <t>CARVALHO EUROPEU NEVADO 20/6 X 300 X 4000MM</t>
  </si>
  <si>
    <t>PKT400470P</t>
  </si>
  <si>
    <t>CARVALHO EUROPEU NEVADO 20/6 X 400 X 5000MM</t>
  </si>
  <si>
    <t>PKT400471</t>
  </si>
  <si>
    <t>CARVALHO EUROPEU CONCRETE GREY CHEVRON 15/3 X 1900X 740MM</t>
  </si>
  <si>
    <t>PKT400472P</t>
  </si>
  <si>
    <t>CARVALHO EUROPEU CONCRETE GREY 15/3 X 125 X 1200MM</t>
  </si>
  <si>
    <t>PKT400473P</t>
  </si>
  <si>
    <t>CARVALHO EUROPEU CONCRETE GREY 15/3 X 190 X 1900MM</t>
  </si>
  <si>
    <t>PKT400474P</t>
  </si>
  <si>
    <t>CARVALHO EUROPEU CONCRETE GREY 20/6 X 300 X 4000MM</t>
  </si>
  <si>
    <t>PKT400475P</t>
  </si>
  <si>
    <t>CARVALHO EUROPEU CONCRETE GREY 20/6 X 400 X 5000MM</t>
  </si>
  <si>
    <t>PKT400476P</t>
  </si>
  <si>
    <t>CARVALHO EUROPEU ITALY BROWN CHEVRON 15/3 X 1900X 740MM</t>
  </si>
  <si>
    <t>PKT400477P</t>
  </si>
  <si>
    <t>CARVALHO EUROPEU ITALY BROWN 15/3 X 125 X 1200MM</t>
  </si>
  <si>
    <t>PKT400478P</t>
  </si>
  <si>
    <t>CARVALHO EUROPEU ITALY BROWN 15/3 X 190 X 1900MM</t>
  </si>
  <si>
    <t>PKT400479P</t>
  </si>
  <si>
    <t>CARVALHO EUROPEU ITALY BROWN 20/6 X 300 X 4000MM</t>
  </si>
  <si>
    <t>PKT400480P</t>
  </si>
  <si>
    <t>CARVALHO EUROPEU ITALY BROWN 20/6 X 400 X 5000MM</t>
  </si>
  <si>
    <t>PKT400481P</t>
  </si>
  <si>
    <t>CARVALHO EUROPEU ALL BLACK CHEVRON 15/3 X 1900X 740MM</t>
  </si>
  <si>
    <t>PKT400482P</t>
  </si>
  <si>
    <t>CARVALHO EUROPEU ALL BLACK 15/3 X 125 X 1200MM</t>
  </si>
  <si>
    <t>PKT400483P</t>
  </si>
  <si>
    <t>CARVALHO EUROPEU BLACK CHEVRON TG 15/3 X 125 X 775CM</t>
  </si>
  <si>
    <t>PKT400484P</t>
  </si>
  <si>
    <t>CARVALHO EUROPEU ALL BLACK 15/3 X 190 X 1900MM</t>
  </si>
  <si>
    <t>PKT400485P</t>
  </si>
  <si>
    <t>CARVALHO EUROPEU ALL BLACK 20/6 X 300 X 4000MM</t>
  </si>
  <si>
    <t>PKT400486P</t>
  </si>
  <si>
    <t>CARVALHO EUROPEU ALL BLACK 20/6 X 400 X 5000MM</t>
  </si>
  <si>
    <t>PKT400487P</t>
  </si>
  <si>
    <t>CARVALHO EUROPEU URBAN GREY CHEVRON 15/3 X 1900X 740MM</t>
  </si>
  <si>
    <t>PKT400488P</t>
  </si>
  <si>
    <t>CARVALHO EUROPEU URBAN GREY 15/3 X 125 X 1200MM</t>
  </si>
  <si>
    <t>PKT400489P</t>
  </si>
  <si>
    <t>CARVALHO EUROPEU URBAN GREY 15/3 X 190 X 1900MM</t>
  </si>
  <si>
    <t>PKT400490P</t>
  </si>
  <si>
    <t>CARVALHO EUROPEU URBAN GREY 20/6 X 300 X 4000MM</t>
  </si>
  <si>
    <t>PKT400491P</t>
  </si>
  <si>
    <t>CARVALHO EUROPEU URBAN GREY 20/6 X 400 X 5000MM</t>
  </si>
  <si>
    <t>PKT400492P</t>
  </si>
  <si>
    <t>CARVALHO EUROPEU CARAMEL CHEVRON 15/3 X 1900X 740MM</t>
  </si>
  <si>
    <t>PKT400493P</t>
  </si>
  <si>
    <t>CARVALHO EUROPEU CARAMEL 15/3 X 125 X 1200MM</t>
  </si>
  <si>
    <t>PKT400494P</t>
  </si>
  <si>
    <t>CARVALHO EUROPEU CARAMEL 15/3 X 190 X 1900MM</t>
  </si>
  <si>
    <t>PKT400495P</t>
  </si>
  <si>
    <t>CARVALHO EUROPEU CARAMEL 20/6 X 300 X 4000MM</t>
  </si>
  <si>
    <t>PKT400496P</t>
  </si>
  <si>
    <t>CARVALHO EUROPEU CARAMEL 20/6 X 400 X 5000MM</t>
  </si>
  <si>
    <t>PKT400497P</t>
  </si>
  <si>
    <t>CARVALHO EUROPEU CHEMICAL CHEVRON TG 15/3*190*740MM</t>
  </si>
  <si>
    <t>PKT400498P</t>
  </si>
  <si>
    <t>CARVALHO EUROPEU WHITE RUSTIC 15/4*189*1860MM</t>
  </si>
  <si>
    <t>PKT400499P</t>
  </si>
  <si>
    <t>CARVALHO EUROPEU CUSTOMIZADO 14/3 X 12,7 X 186CM</t>
  </si>
  <si>
    <t>PKT400500P</t>
  </si>
  <si>
    <t>CARVALHO EUROPEU CUSTOMIZADO 2.0 X 19 X 190CM (C2)</t>
  </si>
  <si>
    <t>PKT400501P</t>
  </si>
  <si>
    <t>CARVALHO EUROPEU NATURAL CHEVRON TG 1.5/3 X 9X 51CM</t>
  </si>
  <si>
    <t>PKT400502P</t>
  </si>
  <si>
    <t>PKT400503P</t>
  </si>
  <si>
    <t>CARVALHO EUROPEU NUDE CHEVRON 60.. TG 15/3 X 190 X 90CM</t>
  </si>
  <si>
    <t>PKT400506P</t>
  </si>
  <si>
    <t>CARVALHO EUROPEU NUDE CHEVRON TG 1.5/3X 12.5X 63CM</t>
  </si>
  <si>
    <t>PKT400507P</t>
  </si>
  <si>
    <t>WALNUT 15/3 X 125 X 910MM</t>
  </si>
  <si>
    <t>PKT400508P</t>
  </si>
  <si>
    <t>WALNUT 15/3 X 190 X 1900MM</t>
  </si>
  <si>
    <t>PKT400509P</t>
  </si>
  <si>
    <t>WALNUT 20/2 X 300 X 4000MM</t>
  </si>
  <si>
    <t>PKT500510P</t>
  </si>
  <si>
    <t>BAMBU ALTA DENS. CUST PREMIUM TG 1.5/4 X19X185CM</t>
  </si>
  <si>
    <t>PKT400511P</t>
  </si>
  <si>
    <t>BAMBU CARAMEL ALTA DENSIDADE TG 1.5/4 X19X186CM</t>
  </si>
  <si>
    <t>PKT400512P</t>
  </si>
  <si>
    <t>RIPADO CUMARU PREMIUM TG 1,8 X 3,5+0,5CM PROF. BIT 0</t>
  </si>
  <si>
    <t>PKT400513P</t>
  </si>
  <si>
    <t>RIPADO CATUABA PREMIUM TG 1,8 X 3,5+0,5CM PROF. BIT 0</t>
  </si>
  <si>
    <t>PKT500514P</t>
  </si>
  <si>
    <t>RIPADO CABREUVA BRANCA PREMIUM TG 1,8 X 3,5+0,5CM PROF. BIT 0</t>
  </si>
  <si>
    <t>PKT500515P</t>
  </si>
  <si>
    <t>RIPADO CABREUVA DOURADA PREMIUM TG 1,8 X 3,5+0,5CM PROF. BIT 0</t>
  </si>
  <si>
    <t>PKT500516P</t>
  </si>
  <si>
    <t>RIPADO TAUARI PREMIUM TG 1,8 X 3,5+0,5CM PROF. BIT 0</t>
  </si>
  <si>
    <t>PKT500517P</t>
  </si>
  <si>
    <t>RIPADO PEROBA PREMIUM TG 1,8 X 3,5+0,5CM PROF. BIT 0</t>
  </si>
  <si>
    <t>PKT400518P</t>
  </si>
  <si>
    <t>RIPADO LORO PARDO PREMIUM TG 1,8 X 3,5+0,5CM PROF. BIT 0</t>
  </si>
  <si>
    <t>PKT400519P</t>
  </si>
  <si>
    <t>CUMARU MULTI PREMIUM 19 X 190 X 600 A 2200MM</t>
  </si>
  <si>
    <t>PKT400520P</t>
  </si>
  <si>
    <t>CATUABA MULTI PREMIUM 19 X 190 X 600 A 2200MM</t>
  </si>
  <si>
    <t>PKT400521P</t>
  </si>
  <si>
    <t>CABREUVA BRACA MULTI PREMIUM 19 X 190 X 600 A 2200MM</t>
  </si>
  <si>
    <t>PKT400522P</t>
  </si>
  <si>
    <t>CABREUVA DOURADA MULTI PREMIUM 19 X 190 X 600 A 2200MM</t>
  </si>
  <si>
    <t>PKT400523P</t>
  </si>
  <si>
    <t>TAUARI MULTI PREMIUM 19 X 190 X 600 A 2200MM</t>
  </si>
  <si>
    <t>PKT400524P</t>
  </si>
  <si>
    <t>PEROBA MULTI PREMIUM 19 X 190 X 600 A 2200MM</t>
  </si>
  <si>
    <t>PKT400525P</t>
  </si>
  <si>
    <t>LORO PARDO MULTI PREMIUM 19 X 190 X 600 A 2200MM</t>
  </si>
  <si>
    <t>PKT400526P</t>
  </si>
  <si>
    <t>INATIVO</t>
  </si>
  <si>
    <t>MUXARABI CUMARU PREMIUM</t>
  </si>
  <si>
    <t>PKT400527P</t>
  </si>
  <si>
    <t>MUXARABI CATUABA PREMIUM</t>
  </si>
  <si>
    <t>PKT400528P</t>
  </si>
  <si>
    <t>MUXARABI CABREUVA BRANCA PREMIUM</t>
  </si>
  <si>
    <t>PKT400529P</t>
  </si>
  <si>
    <t>MUXARABI CABREUVA DOURADA PREMIUM</t>
  </si>
  <si>
    <t>PKT400530P</t>
  </si>
  <si>
    <t>MUXARABI TAUARI PREMIUM</t>
  </si>
  <si>
    <t>PKT400531P</t>
  </si>
  <si>
    <t>MUXARABI PEROBA PREMIUM</t>
  </si>
  <si>
    <t>PKT400532P</t>
  </si>
  <si>
    <t>MUXARABI LORO PARDO PREMIUM</t>
  </si>
  <si>
    <t>PKT400533P</t>
  </si>
  <si>
    <t>TOBLERONE CUMARU PREMIUM 3 X 3 COMPR. VARIAVEIS</t>
  </si>
  <si>
    <t>PKT400534P</t>
  </si>
  <si>
    <t>TOBLERONE CATUABA PREMIUM 3 X 3 COMPR. VARIAVEIS</t>
  </si>
  <si>
    <t>PKT400535P</t>
  </si>
  <si>
    <t>TOBLERONE CABREUVA BRANCA PREMIUM 3 X 3 COMPR. VARIAVEIS</t>
  </si>
  <si>
    <t>PKT400536P</t>
  </si>
  <si>
    <t>TOBLERONE CABREUVA DOURADA PREMIUM 3 X 3 COMPR. VARIAVEIS</t>
  </si>
  <si>
    <t>PKT400537P</t>
  </si>
  <si>
    <t>TOBLERONE TAUARI PREMIUM 3 X 3 COMPR. VARIAVEIS</t>
  </si>
  <si>
    <t>PKT400538P</t>
  </si>
  <si>
    <t>TOBLERONE PEROBA PREMIUM 3 X 3 COMPR. VARIAVEIS</t>
  </si>
  <si>
    <t>PKT400539P</t>
  </si>
  <si>
    <t>TOBLERONE LORO PARDO PREMIUM 3 X 3 COMPR. VARIAVEIS</t>
  </si>
  <si>
    <t>PISO CUMARU PREMIUM TG 2,5 X 5 X COMPR. VARIAVEIS</t>
  </si>
  <si>
    <t>PKT400394P</t>
  </si>
  <si>
    <t>PISO CUMARU PREMIUM TG 2,5 X 10 X COMPR. VARIAVEIS</t>
  </si>
  <si>
    <t>DECK CUMARU PREMIUM TG 2,5 X 10 X COMPR. VARIAVEIS</t>
  </si>
  <si>
    <t>PKT400395P</t>
  </si>
  <si>
    <t>PISO CATUABA PREMIUM TG 2,5 X 5 X COMPR. VARIAVEIS</t>
  </si>
  <si>
    <t>DECK CATUABA PREMIUM TG 2,5 X 5 X COMPR. VARIAVEIS</t>
  </si>
  <si>
    <t>PKT400396P</t>
  </si>
  <si>
    <t>PISO CATUABA PREMIUM TG 2,5 X 10 X COMPR. VARIAVEIS</t>
  </si>
  <si>
    <t>DECK CATUABA PREMIUM TG 2,5 X 10 X COMPR. VARIAVEIS</t>
  </si>
  <si>
    <t>PKT400545P</t>
  </si>
  <si>
    <t>PISO CABREUVA BRANCA PREMIUM TG 2,5 X 5 X COMPR. VARIAVEIS</t>
  </si>
  <si>
    <t>DECK CABREUVA BRANCA PREMIUM TG 2,5 X 5 X COMPR. VARIAVEIS</t>
  </si>
  <si>
    <t>PKT400549P</t>
  </si>
  <si>
    <t>PISO CABREUVA BRANCA PREMIUM TG 2,5 X 10 X COMPR. VARIAVEIS</t>
  </si>
  <si>
    <t>DECK CABREUVA BRANCA PREMIUM TG 2,5 X 10 X COMPR. VARIAVEIS</t>
  </si>
  <si>
    <t>PKT400550P</t>
  </si>
  <si>
    <t>PISO CABREUVA DOURADA PREMIUM TG 2,5 X 5 X COMPR. VARIAVEIS</t>
  </si>
  <si>
    <t>DECK CABREUVA DOURADA PREMIUM TG 2,5 X 5 X COMPR. VARIAVEIS</t>
  </si>
  <si>
    <t>PKT400551P</t>
  </si>
  <si>
    <t>PISO CABREUVA DOURADA PREMIUM TG 2,5 X 10 X COMPR. VARIAVEIS</t>
  </si>
  <si>
    <t>DECK CABREUVA DOURADA PREMIUM TG 2,5 X 10 X COMPR. VARIAVEIS</t>
  </si>
  <si>
    <t>PKT400552P</t>
  </si>
  <si>
    <t>PISO TAUARI PREMIUM TG 2,5 X 5 X COMPR. VARIAVEIS</t>
  </si>
  <si>
    <t>DECK TAUARI PREMIUM TG 2,5 X 5 X COMPR. VARIAVEIS</t>
  </si>
  <si>
    <t>PKT400553P</t>
  </si>
  <si>
    <t>PISO TAUARI PREMIUM TG 2,5 X 10 X COMPR. VARIAVEIS</t>
  </si>
  <si>
    <t>DECK TAUARI PREMIUM TG 2,5 X 10 X COMPR. VARIAVEIS</t>
  </si>
  <si>
    <t>PKT400554P</t>
  </si>
  <si>
    <t>PISO PEROBA PREMIUM TG 2,5 X 5 X COMPR. VARIAVEIS</t>
  </si>
  <si>
    <t>DECK PEROBA PREMIUM TG 2,5 X 5 X COMPR. VARIAVEIS</t>
  </si>
  <si>
    <t>PKT400555P</t>
  </si>
  <si>
    <t>PISO PEROBA PREMIUM TG 2,5 X 10 X COMPR. VARIAVEIS</t>
  </si>
  <si>
    <t>DECK PEROBA PREMIUM TG 2,5 X 10 X COMPR. VARIAVEIS</t>
  </si>
  <si>
    <t>PKT400556P</t>
  </si>
  <si>
    <t>PISO BAMBU CARAMEL ALTA DENSIDADE</t>
  </si>
  <si>
    <t>DECK BAMBU CARAMEL ALTA DENSIDADE</t>
  </si>
  <si>
    <t>PKT400397P</t>
  </si>
  <si>
    <t>DECK WPC CINZA ESCURO 2 X15X 290CM PÇ/0.435M2</t>
  </si>
  <si>
    <t>DECK BPC CINZA ESCURO 2 X15X 290CM PÇ/0.435M2</t>
  </si>
  <si>
    <t>PKT400557P</t>
  </si>
  <si>
    <t>DECK WPC MORROM 2X15X220CM</t>
  </si>
  <si>
    <t>DECK BPC MORROM 2X15X220CM</t>
  </si>
  <si>
    <t>PKT400558P</t>
  </si>
  <si>
    <t>DECK WPC CINZA 2,2*14,6*220CM</t>
  </si>
  <si>
    <t>PKT400559P</t>
  </si>
  <si>
    <t>PEROBA RUSTICA DE DEMOLIÇÃO</t>
  </si>
  <si>
    <t>PKT400560P</t>
  </si>
  <si>
    <t>CANELA RUSTICA DE DEMOLIÇÃO</t>
  </si>
  <si>
    <t>PKT400398P</t>
  </si>
  <si>
    <t xml:space="preserve">LAMINA PEROBA </t>
  </si>
  <si>
    <t>PKT000399P</t>
  </si>
  <si>
    <t>PKT400400P</t>
  </si>
  <si>
    <t>PKT400401P</t>
  </si>
  <si>
    <t>PKT400402P</t>
  </si>
  <si>
    <t>PKT400561P</t>
  </si>
  <si>
    <t>PKT400562P</t>
  </si>
  <si>
    <t>PKT400563P</t>
  </si>
  <si>
    <t>PKT400564P</t>
  </si>
  <si>
    <t>PKT400565P</t>
  </si>
  <si>
    <t>PKT400566P</t>
  </si>
  <si>
    <t>PKT400567P</t>
  </si>
  <si>
    <t>PKT400568P</t>
  </si>
  <si>
    <t>PKT400569P</t>
  </si>
  <si>
    <t>PKT400570P</t>
  </si>
  <si>
    <t>PKT400571P</t>
  </si>
  <si>
    <t>PKT400572P</t>
  </si>
  <si>
    <t>PKT400573P</t>
  </si>
  <si>
    <t>PKT400574P</t>
  </si>
  <si>
    <t>PKT400575P</t>
  </si>
  <si>
    <t>PKT400576P</t>
  </si>
  <si>
    <t>PKT400577P</t>
  </si>
  <si>
    <t>PKT400578P</t>
  </si>
  <si>
    <t>PKT400579P</t>
  </si>
  <si>
    <t>PKT400580P</t>
  </si>
  <si>
    <t>PKT400581P</t>
  </si>
  <si>
    <t>PKT400582P</t>
  </si>
  <si>
    <t>PKT400583P</t>
  </si>
  <si>
    <t>PKT400584P</t>
  </si>
  <si>
    <t>PKT400586P</t>
  </si>
  <si>
    <t>´PKT400587P</t>
  </si>
  <si>
    <t>PKT400591P</t>
  </si>
  <si>
    <t>PKT400593P</t>
  </si>
  <si>
    <t>PKT400594P</t>
  </si>
  <si>
    <t>PKT400595P</t>
  </si>
  <si>
    <t>PKT400596P</t>
  </si>
  <si>
    <t>PKT400597P</t>
  </si>
  <si>
    <t>PKT400652P</t>
  </si>
  <si>
    <t>PKT400700P</t>
  </si>
  <si>
    <t>PKT400701P</t>
  </si>
  <si>
    <t>PKT400702P</t>
  </si>
  <si>
    <t>PKT400703P</t>
  </si>
  <si>
    <t>PKT400704P</t>
  </si>
  <si>
    <t>PKT400705P</t>
  </si>
  <si>
    <t>PKT400706P</t>
  </si>
  <si>
    <t>PKT400707P</t>
  </si>
  <si>
    <t>PKT400708P</t>
  </si>
  <si>
    <t>PKT400709P</t>
  </si>
  <si>
    <t>PKT400710P</t>
  </si>
  <si>
    <t>PKT400711P</t>
  </si>
  <si>
    <t>PKT400712P</t>
  </si>
  <si>
    <t>PKT400720P</t>
  </si>
  <si>
    <t>PKT400721P</t>
  </si>
  <si>
    <t>PKT400722P</t>
  </si>
  <si>
    <t>PKT400723P</t>
  </si>
  <si>
    <t>PKT400672</t>
  </si>
  <si>
    <t xml:space="preserve">PKT400672P </t>
  </si>
  <si>
    <t>PKT400673</t>
  </si>
  <si>
    <t>PKT400674</t>
  </si>
  <si>
    <t>PKT400675</t>
  </si>
  <si>
    <t>PKT400676</t>
  </si>
  <si>
    <t>PKT400677</t>
  </si>
  <si>
    <t>PKT400678</t>
  </si>
  <si>
    <t>PKT400679</t>
  </si>
  <si>
    <t>PKT400680</t>
  </si>
  <si>
    <t>PKT400681</t>
  </si>
  <si>
    <t>PKT400682</t>
  </si>
  <si>
    <t>PKT400683</t>
  </si>
  <si>
    <t>PKT400684</t>
  </si>
  <si>
    <t>PKT400685</t>
  </si>
  <si>
    <t>PKT400686</t>
  </si>
  <si>
    <t>PKT400687</t>
  </si>
  <si>
    <t>PKT400688</t>
  </si>
  <si>
    <t>PKT400689</t>
  </si>
  <si>
    <t>PKT400690</t>
  </si>
  <si>
    <t>PKT400691</t>
  </si>
  <si>
    <t>PKT400692</t>
  </si>
  <si>
    <t>PKT400693</t>
  </si>
  <si>
    <t>PKT400694</t>
  </si>
  <si>
    <t>PKT400695</t>
  </si>
  <si>
    <t>PKT400696</t>
  </si>
  <si>
    <t>PKT400697</t>
  </si>
  <si>
    <t>PKT400698</t>
  </si>
  <si>
    <t>PKT400699</t>
  </si>
  <si>
    <t>PKT400700</t>
  </si>
  <si>
    <t>PKT400701</t>
  </si>
  <si>
    <t>PKT400702</t>
  </si>
  <si>
    <t>PKT400703</t>
  </si>
  <si>
    <t>PKT400704</t>
  </si>
  <si>
    <t>PKT400705</t>
  </si>
  <si>
    <t>PKT400706</t>
  </si>
  <si>
    <t>PKT400707</t>
  </si>
  <si>
    <t>PKT400708</t>
  </si>
  <si>
    <t>PKT400709</t>
  </si>
  <si>
    <t>PKT400710</t>
  </si>
  <si>
    <t>PKT400711</t>
  </si>
  <si>
    <t>PKT400712</t>
  </si>
  <si>
    <t>PKT400713</t>
  </si>
  <si>
    <t>PKT400714</t>
  </si>
  <si>
    <t>PKT400715</t>
  </si>
  <si>
    <t>PKT400716</t>
  </si>
  <si>
    <t>PKT400717</t>
  </si>
  <si>
    <t>PKT400718</t>
  </si>
  <si>
    <t>PKT400719</t>
  </si>
  <si>
    <t>PKT400720</t>
  </si>
  <si>
    <t>PKT400721</t>
  </si>
  <si>
    <t>PKT400722</t>
  </si>
  <si>
    <t>PKT400723</t>
  </si>
  <si>
    <t>PKT400724</t>
  </si>
  <si>
    <t>PKT400725</t>
  </si>
  <si>
    <t>PKT400726</t>
  </si>
  <si>
    <t>PKT400727</t>
  </si>
  <si>
    <t>PKT400728</t>
  </si>
  <si>
    <t>PKT400729</t>
  </si>
  <si>
    <t>PKT400730</t>
  </si>
  <si>
    <t>PKT400731</t>
  </si>
  <si>
    <t>PKT400732</t>
  </si>
  <si>
    <t>PKT400733</t>
  </si>
  <si>
    <t>PKT400734</t>
  </si>
  <si>
    <t>PKT400735</t>
  </si>
  <si>
    <t>PKT400736</t>
  </si>
  <si>
    <t>PKT400737</t>
  </si>
  <si>
    <t>PKT400738</t>
  </si>
  <si>
    <t>PKT400739</t>
  </si>
  <si>
    <t>PKT400740</t>
  </si>
  <si>
    <t>PKT400741</t>
  </si>
  <si>
    <t>PKT400742</t>
  </si>
  <si>
    <t>PKT400743</t>
  </si>
  <si>
    <t>PKT400744</t>
  </si>
  <si>
    <t>PKT400745</t>
  </si>
  <si>
    <t>PKT400746</t>
  </si>
  <si>
    <t>PKT400747</t>
  </si>
  <si>
    <t>PKT400748</t>
  </si>
  <si>
    <t>PKT400749</t>
  </si>
  <si>
    <t>PKT400750</t>
  </si>
  <si>
    <t>PKT400751</t>
  </si>
  <si>
    <t>PKT400752</t>
  </si>
  <si>
    <t>PKT400753</t>
  </si>
  <si>
    <t>PKT400754</t>
  </si>
  <si>
    <t>PKT400755</t>
  </si>
  <si>
    <t>PKT400756</t>
  </si>
  <si>
    <t>PKT400757</t>
  </si>
  <si>
    <t>PKT400758</t>
  </si>
  <si>
    <t>PKT400759</t>
  </si>
  <si>
    <t>PKT400760</t>
  </si>
  <si>
    <t>PKT400761</t>
  </si>
  <si>
    <t>PKT400762</t>
  </si>
  <si>
    <t>PKT400763</t>
  </si>
  <si>
    <t>PKT400764</t>
  </si>
  <si>
    <t>PKT400765</t>
  </si>
  <si>
    <t>PKT400766</t>
  </si>
  <si>
    <t>PKT400767</t>
  </si>
  <si>
    <t>PKT400768</t>
  </si>
  <si>
    <t>PKT400405P</t>
  </si>
  <si>
    <t>PKT400769</t>
  </si>
  <si>
    <t>PKT400770</t>
  </si>
  <si>
    <t>PKT400771</t>
  </si>
  <si>
    <t>PKT400772</t>
  </si>
  <si>
    <t>PKT400773</t>
  </si>
  <si>
    <t>PKT400774</t>
  </si>
  <si>
    <t>PKT400775</t>
  </si>
  <si>
    <t>PKT400776</t>
  </si>
  <si>
    <t>PKT400777</t>
  </si>
  <si>
    <t>PKT400778</t>
  </si>
  <si>
    <t>PKT400779</t>
  </si>
  <si>
    <t>PKT400780</t>
  </si>
  <si>
    <t>PKT400781</t>
  </si>
  <si>
    <t>PKT400782</t>
  </si>
  <si>
    <t>PKT400783</t>
  </si>
  <si>
    <t>PKT400784</t>
  </si>
  <si>
    <t>PKT400785</t>
  </si>
  <si>
    <t>PKT400786</t>
  </si>
  <si>
    <t>PKT400787</t>
  </si>
  <si>
    <t>PKT400788</t>
  </si>
  <si>
    <t>PKT400789</t>
  </si>
  <si>
    <t>PKT400790</t>
  </si>
  <si>
    <t>PKT400791</t>
  </si>
  <si>
    <t>PKT400792</t>
  </si>
  <si>
    <t>PKT400793</t>
  </si>
  <si>
    <t>PKT400794</t>
  </si>
  <si>
    <t>PKT400795</t>
  </si>
  <si>
    <t>PKT400796</t>
  </si>
  <si>
    <t>PKT400797</t>
  </si>
  <si>
    <t>PKT400798</t>
  </si>
  <si>
    <t>PKT400799</t>
  </si>
  <si>
    <t>PKT400800</t>
  </si>
  <si>
    <t>PKT400801</t>
  </si>
  <si>
    <t>PKT400802</t>
  </si>
  <si>
    <t>PKT400803</t>
  </si>
  <si>
    <t>PKT400804</t>
  </si>
  <si>
    <t>PKT400805</t>
  </si>
  <si>
    <t>PKT400806</t>
  </si>
  <si>
    <t>PKT400807</t>
  </si>
  <si>
    <t>PKT400808</t>
  </si>
  <si>
    <t>PKT400809</t>
  </si>
  <si>
    <t>PKT400810</t>
  </si>
  <si>
    <t>PKT400811</t>
  </si>
  <si>
    <t>PKT400812</t>
  </si>
  <si>
    <t>PKT400813</t>
  </si>
  <si>
    <t>PKT400814</t>
  </si>
  <si>
    <t>PKT400815</t>
  </si>
  <si>
    <t>PKT400816</t>
  </si>
  <si>
    <t>PKT400817</t>
  </si>
  <si>
    <t>PKT400818</t>
  </si>
  <si>
    <t>PKT400819</t>
  </si>
  <si>
    <t>PKT400820</t>
  </si>
  <si>
    <t>PKT400821</t>
  </si>
  <si>
    <t>PKT400822</t>
  </si>
  <si>
    <t>PKT400823</t>
  </si>
  <si>
    <t>PKT400824</t>
  </si>
  <si>
    <t>PKT400825</t>
  </si>
  <si>
    <t>PKT400826</t>
  </si>
  <si>
    <t>PKT400827</t>
  </si>
  <si>
    <t>PKT400828</t>
  </si>
  <si>
    <t>PKT400829</t>
  </si>
  <si>
    <t>PKT400830</t>
  </si>
  <si>
    <t>PKT400831</t>
  </si>
  <si>
    <t>PKT400832</t>
  </si>
  <si>
    <t>PKT400833</t>
  </si>
  <si>
    <t>PKT400834</t>
  </si>
  <si>
    <t>PKT400835</t>
  </si>
  <si>
    <t>PKT400836</t>
  </si>
  <si>
    <t>PKT400837</t>
  </si>
  <si>
    <t>PKT400838</t>
  </si>
  <si>
    <t>PKT400839</t>
  </si>
  <si>
    <t>PKT400840</t>
  </si>
  <si>
    <t>PKT400841</t>
  </si>
  <si>
    <t>PKT400842</t>
  </si>
  <si>
    <t>PKT400843</t>
  </si>
  <si>
    <t>PKT400844</t>
  </si>
  <si>
    <t>PKT400845</t>
  </si>
  <si>
    <t>PKT400846</t>
  </si>
  <si>
    <t>PKT400847</t>
  </si>
  <si>
    <t>PKT400848</t>
  </si>
  <si>
    <t>PKT400849</t>
  </si>
  <si>
    <t>PKT400850</t>
  </si>
  <si>
    <t>PKT400851</t>
  </si>
  <si>
    <t>PKT400852</t>
  </si>
  <si>
    <t>PKT400853</t>
  </si>
  <si>
    <t>PKT400854</t>
  </si>
  <si>
    <t>PKT400855</t>
  </si>
  <si>
    <t>PKT400856</t>
  </si>
  <si>
    <t>PKT400857</t>
  </si>
  <si>
    <t>PKT400858</t>
  </si>
  <si>
    <t>PKT400859</t>
  </si>
  <si>
    <t>PKT400860</t>
  </si>
  <si>
    <t>PKT400861</t>
  </si>
  <si>
    <t>PKT400862</t>
  </si>
  <si>
    <t>PKT400863</t>
  </si>
  <si>
    <t>PKT400864</t>
  </si>
  <si>
    <t>PKT400865</t>
  </si>
  <si>
    <t>PKT400866</t>
  </si>
  <si>
    <t>PKT400867</t>
  </si>
  <si>
    <t>PKT400868</t>
  </si>
  <si>
    <t>PKT400869</t>
  </si>
  <si>
    <t>PKT400870</t>
  </si>
  <si>
    <t>PKT400871</t>
  </si>
  <si>
    <t>PKT400872</t>
  </si>
  <si>
    <t>PKT400873</t>
  </si>
  <si>
    <t>PKT400874</t>
  </si>
  <si>
    <t>PKT400875</t>
  </si>
  <si>
    <t>PKT400876</t>
  </si>
  <si>
    <t>PKT400877</t>
  </si>
  <si>
    <t>PKT400878</t>
  </si>
  <si>
    <t>PKT400879</t>
  </si>
  <si>
    <t>PKT400880</t>
  </si>
  <si>
    <t>PKT400881</t>
  </si>
  <si>
    <t>PKT400882</t>
  </si>
  <si>
    <t>PKT400883</t>
  </si>
  <si>
    <t>PKT400884</t>
  </si>
  <si>
    <t>PKT400885</t>
  </si>
  <si>
    <t>PKT400886</t>
  </si>
  <si>
    <t>PKT400887</t>
  </si>
  <si>
    <t>PKT400888</t>
  </si>
  <si>
    <t>PKT400889</t>
  </si>
  <si>
    <t>PKT400890</t>
  </si>
  <si>
    <t>PKT400891</t>
  </si>
  <si>
    <t>PKT400892</t>
  </si>
  <si>
    <t>PKT400893</t>
  </si>
  <si>
    <t>PKT400894</t>
  </si>
  <si>
    <t>PKT400895</t>
  </si>
  <si>
    <t>PKT400896</t>
  </si>
  <si>
    <t>PKT400897</t>
  </si>
  <si>
    <t>PKT400898</t>
  </si>
  <si>
    <t>PKT400899</t>
  </si>
  <si>
    <t>PKT400900</t>
  </si>
  <si>
    <t>PKT400901</t>
  </si>
  <si>
    <t>PKT400902</t>
  </si>
  <si>
    <t>PKT400903</t>
  </si>
  <si>
    <t>PKT400904</t>
  </si>
  <si>
    <t>PKT400905</t>
  </si>
  <si>
    <t>PKT400906</t>
  </si>
  <si>
    <t>PKT400907</t>
  </si>
  <si>
    <t>PKT400908</t>
  </si>
  <si>
    <t>PKT400909</t>
  </si>
  <si>
    <t>PKT400910</t>
  </si>
  <si>
    <t>PKT400911</t>
  </si>
  <si>
    <t>PKT400912</t>
  </si>
  <si>
    <t>PKT400913</t>
  </si>
  <si>
    <t>PKT400914</t>
  </si>
  <si>
    <t>PKT400915</t>
  </si>
  <si>
    <t>PKT400916</t>
  </si>
  <si>
    <t>PKT400917</t>
  </si>
  <si>
    <t>PKT400918</t>
  </si>
  <si>
    <t>PKT400919</t>
  </si>
  <si>
    <t>PKT400920</t>
  </si>
  <si>
    <t>PKT400544P</t>
  </si>
  <si>
    <t>PAINEL CARVALHO EUROPEU NATURALLE 1.5/3X19X190CM</t>
  </si>
  <si>
    <t>PKT400921</t>
  </si>
  <si>
    <t>PKT400922</t>
  </si>
  <si>
    <t>PKT400923</t>
  </si>
  <si>
    <t>PKT400924</t>
  </si>
  <si>
    <t>PKT400925</t>
  </si>
  <si>
    <t>PKT400926</t>
  </si>
  <si>
    <t>PKT400927</t>
  </si>
  <si>
    <t>PKT400928</t>
  </si>
  <si>
    <t>PKT400929</t>
  </si>
  <si>
    <t>PKT400930</t>
  </si>
  <si>
    <t>PKT400931</t>
  </si>
  <si>
    <t>PKT400932</t>
  </si>
  <si>
    <t>PKT400933</t>
  </si>
  <si>
    <t>PKT400934</t>
  </si>
  <si>
    <t>PKT400935</t>
  </si>
  <si>
    <t>PKT400936</t>
  </si>
  <si>
    <t>PKT400937</t>
  </si>
  <si>
    <t>PKT400938</t>
  </si>
  <si>
    <t>PKT400939</t>
  </si>
  <si>
    <t>PKT400940</t>
  </si>
  <si>
    <t>PKT400941</t>
  </si>
  <si>
    <t>PKT400942</t>
  </si>
  <si>
    <t>PKT400943</t>
  </si>
  <si>
    <t>PKT400944</t>
  </si>
  <si>
    <t>PKT400945</t>
  </si>
  <si>
    <t>PKT400946</t>
  </si>
  <si>
    <t>PKT400947</t>
  </si>
  <si>
    <t>PKT400948</t>
  </si>
  <si>
    <t>PKT400949</t>
  </si>
  <si>
    <t>PKT400950</t>
  </si>
  <si>
    <t>PKT400951</t>
  </si>
  <si>
    <t>PKT400952</t>
  </si>
  <si>
    <t>PKT400953</t>
  </si>
  <si>
    <t>PKT400954</t>
  </si>
  <si>
    <t>PKT400955</t>
  </si>
  <si>
    <t>PKT400956</t>
  </si>
  <si>
    <t>PKT400957</t>
  </si>
  <si>
    <t>PKT400958</t>
  </si>
  <si>
    <t>PKT400959</t>
  </si>
  <si>
    <t>PKT400960</t>
  </si>
  <si>
    <t>PKT400961</t>
  </si>
  <si>
    <t>PKT400962</t>
  </si>
  <si>
    <t>PKT400963</t>
  </si>
  <si>
    <t>PKT400964</t>
  </si>
  <si>
    <t>PKT400965</t>
  </si>
  <si>
    <t>PKT400966</t>
  </si>
  <si>
    <t>PKT400967</t>
  </si>
  <si>
    <t>PKT400968</t>
  </si>
  <si>
    <t>PKT400969</t>
  </si>
  <si>
    <t>PKT400970</t>
  </si>
  <si>
    <t>PKT400971</t>
  </si>
  <si>
    <t>PKT400972</t>
  </si>
  <si>
    <t>PKT400973</t>
  </si>
  <si>
    <t>PKT400974</t>
  </si>
  <si>
    <t>PKT400975</t>
  </si>
  <si>
    <t>PKT400976</t>
  </si>
  <si>
    <t>PKT400977</t>
  </si>
  <si>
    <t>PKT400978</t>
  </si>
  <si>
    <t>PKT400979</t>
  </si>
  <si>
    <t>PKT400980</t>
  </si>
  <si>
    <t>PKT400981</t>
  </si>
  <si>
    <t>PKT400982</t>
  </si>
  <si>
    <t>PKT400983</t>
  </si>
  <si>
    <t>PKT400984</t>
  </si>
  <si>
    <t>PKT400985</t>
  </si>
  <si>
    <t>PKT400986</t>
  </si>
  <si>
    <t>PKT400987</t>
  </si>
  <si>
    <t>PKT400988</t>
  </si>
  <si>
    <t>PKT400989</t>
  </si>
  <si>
    <t>PKT400990</t>
  </si>
  <si>
    <t>PKT400991</t>
  </si>
  <si>
    <t>PKT400992</t>
  </si>
  <si>
    <t>PKT400993</t>
  </si>
  <si>
    <t>PKT400994</t>
  </si>
  <si>
    <t>PKT400995</t>
  </si>
  <si>
    <t>PKT400996</t>
  </si>
  <si>
    <t>PKT400997</t>
  </si>
  <si>
    <t>PKT400998</t>
  </si>
  <si>
    <t>PKT400999</t>
  </si>
  <si>
    <t>PKT401000</t>
  </si>
  <si>
    <t>PKT401001</t>
  </si>
  <si>
    <t>PKT401002</t>
  </si>
  <si>
    <t>PKT401003</t>
  </si>
  <si>
    <t>PKT401004</t>
  </si>
  <si>
    <t>PKT401005</t>
  </si>
  <si>
    <t>PKT401006</t>
  </si>
  <si>
    <t>PKT401007</t>
  </si>
  <si>
    <t>PKT401008</t>
  </si>
  <si>
    <t>PKT401009</t>
  </si>
  <si>
    <t>PKT401010</t>
  </si>
  <si>
    <t>PKT401011</t>
  </si>
  <si>
    <t>PKT401012</t>
  </si>
  <si>
    <t>PKT401013</t>
  </si>
  <si>
    <t>PKT401014</t>
  </si>
  <si>
    <t>PKT401015</t>
  </si>
  <si>
    <t>PKT401016</t>
  </si>
  <si>
    <t>PKT401017</t>
  </si>
  <si>
    <t>PKT401018</t>
  </si>
  <si>
    <t>PKT401019</t>
  </si>
  <si>
    <t>PKT401020</t>
  </si>
  <si>
    <t>PKT401021</t>
  </si>
  <si>
    <t>PKT401022</t>
  </si>
  <si>
    <t>PKT401023</t>
  </si>
  <si>
    <t>PKT401024</t>
  </si>
  <si>
    <t>PKT401025</t>
  </si>
  <si>
    <t>PKT401026</t>
  </si>
  <si>
    <t>PKT401027</t>
  </si>
  <si>
    <t>PKT401028</t>
  </si>
  <si>
    <t>PKT401029</t>
  </si>
  <si>
    <t>PKT401030</t>
  </si>
  <si>
    <t>PKT401031</t>
  </si>
  <si>
    <t>PKT401032</t>
  </si>
  <si>
    <t>PKT401033</t>
  </si>
  <si>
    <t>PKT401034</t>
  </si>
  <si>
    <t>PKT401035</t>
  </si>
  <si>
    <t>PKT401036</t>
  </si>
  <si>
    <t>PKT401037</t>
  </si>
  <si>
    <t>PKT401038</t>
  </si>
  <si>
    <t>PKT401039</t>
  </si>
  <si>
    <t>PKT401040</t>
  </si>
  <si>
    <t>FORRO FINCAPINO CUMARU PREMIUM TG 2,5 X 5 X COMPR. VARIAVEIS</t>
  </si>
  <si>
    <t>PKT401041</t>
  </si>
  <si>
    <t>FORRO FINCAPINO CUMARU PREMIUM TG 2,5 X 10 X COMPR. VARIAVEIS</t>
  </si>
  <si>
    <t>PKT401042</t>
  </si>
  <si>
    <t>FORRO FINCAPINO CATUABA PREMIUM TG 2,5 X 5 X COMPR. VARIAVEIS</t>
  </si>
  <si>
    <t>PKT401043</t>
  </si>
  <si>
    <t>FORRO FINCAPINO CATUABA PREMIUM TG 2,5 X 10 X COMPR. VARIAVEIS</t>
  </si>
  <si>
    <t>PKT401044</t>
  </si>
  <si>
    <t>FORRO FINCAPINO CABREUVA BRANCA PREMIUM TG 2,5 X 5 X COMPR. VARIAVEIS</t>
  </si>
  <si>
    <t>PKT401045</t>
  </si>
  <si>
    <t>FORRO FINCAPINO CABREUVA BRANCA PREMIUM TG 2,5 X 10 X COMPR. VARIAVEIS</t>
  </si>
  <si>
    <t>PKT401046</t>
  </si>
  <si>
    <t>FORRO FINCAPINO CABREUVA DOURADA PREMIUM TG 2,5 X 5 X COMPR. VARIAVEIS</t>
  </si>
  <si>
    <t>PKT401047</t>
  </si>
  <si>
    <t>FORRO FINCAPINO CABREUVA DOURADA PREMIUM TG 2,5 X 10 X COMPR. VARIAVEIS</t>
  </si>
  <si>
    <t>PKT401048</t>
  </si>
  <si>
    <t>FORRO FINCAPINO TAUARI PREMIUM TG 2,5 X 5 X COMPR. VARIAVEIS</t>
  </si>
  <si>
    <t>PKT401049</t>
  </si>
  <si>
    <t>FORRO FINCAPINO TAUARI PREMIUM TG 2,5 X 10 X COMPR. VARIAVEIS</t>
  </si>
  <si>
    <t>PKT401050</t>
  </si>
  <si>
    <t>FORRO FINCAPINO PEROBA PREMIUM TG 2,5 X 5 X COMPR. VARIAVEIS</t>
  </si>
  <si>
    <t>PKT401051</t>
  </si>
  <si>
    <t>FORRO FINCAPINO PEROBA PREMIUM TG 2,5 X 10 X COMPR. VARIAVEIS</t>
  </si>
  <si>
    <t>PKT401052</t>
  </si>
  <si>
    <t>FORRO FINCAPINO BAMBU CARAMEL ALTA DENSIDADE</t>
  </si>
  <si>
    <t>PKT401053</t>
  </si>
  <si>
    <t>PKT401054</t>
  </si>
  <si>
    <t>PKT401055</t>
  </si>
  <si>
    <t>PKT401056</t>
  </si>
  <si>
    <t>PKT401057</t>
  </si>
  <si>
    <t>PKT401058</t>
  </si>
  <si>
    <t>PKT401059</t>
  </si>
  <si>
    <t>PKT401060</t>
  </si>
  <si>
    <t>PKT401061</t>
  </si>
  <si>
    <t>PKT401062</t>
  </si>
  <si>
    <t>PKT401063</t>
  </si>
  <si>
    <t>PKT401064</t>
  </si>
  <si>
    <t>PKT401065</t>
  </si>
  <si>
    <t>PKT401066</t>
  </si>
  <si>
    <t>PKT401067</t>
  </si>
  <si>
    <t>PKT401068</t>
  </si>
  <si>
    <t>PKT401069</t>
  </si>
  <si>
    <t>PKT401070</t>
  </si>
  <si>
    <t>PKT401071</t>
  </si>
  <si>
    <t>PKT401072</t>
  </si>
  <si>
    <t>PKT401073</t>
  </si>
  <si>
    <t>PKT401074</t>
  </si>
  <si>
    <t>PKT401075</t>
  </si>
  <si>
    <t>PKT401076</t>
  </si>
  <si>
    <t>PKT401077</t>
  </si>
  <si>
    <t>PKT401078</t>
  </si>
  <si>
    <t>PKT401079</t>
  </si>
  <si>
    <t>PKT401080</t>
  </si>
  <si>
    <t>PKT401081</t>
  </si>
  <si>
    <t>PKT401082</t>
  </si>
  <si>
    <t>PKT401083</t>
  </si>
  <si>
    <t>PKT401084</t>
  </si>
  <si>
    <t>PKT401085</t>
  </si>
  <si>
    <t>PKT401086</t>
  </si>
  <si>
    <t>PKT401087</t>
  </si>
  <si>
    <t>PKT401088</t>
  </si>
  <si>
    <t>PKT401089</t>
  </si>
  <si>
    <t>PKT401090</t>
  </si>
  <si>
    <t>PKT401091</t>
  </si>
  <si>
    <t>PKT401092</t>
  </si>
  <si>
    <t>PKT401093</t>
  </si>
  <si>
    <t>PKT401094</t>
  </si>
  <si>
    <t>PKT401095</t>
  </si>
  <si>
    <t>PKT401096</t>
  </si>
  <si>
    <t>PKT401097</t>
  </si>
  <si>
    <t>PKT401098</t>
  </si>
  <si>
    <t>PKT401099</t>
  </si>
  <si>
    <t>PKT401100</t>
  </si>
  <si>
    <t>PKT401101</t>
  </si>
  <si>
    <t>PKT401102</t>
  </si>
  <si>
    <t>PKT401103</t>
  </si>
  <si>
    <t>PKT401104</t>
  </si>
  <si>
    <t>PKT401105</t>
  </si>
  <si>
    <t>PKT401106</t>
  </si>
  <si>
    <t>PKT401107</t>
  </si>
  <si>
    <t>PKT401108</t>
  </si>
  <si>
    <t>PKT401109</t>
  </si>
  <si>
    <t>PKT401110</t>
  </si>
  <si>
    <t>PKT401111</t>
  </si>
  <si>
    <t>PKT401112</t>
  </si>
  <si>
    <t>PKT401113</t>
  </si>
  <si>
    <t>PKT401114</t>
  </si>
  <si>
    <t>PKT401115</t>
  </si>
  <si>
    <t>PKT401116</t>
  </si>
  <si>
    <t>PKT401117</t>
  </si>
  <si>
    <t>PKT401118</t>
  </si>
  <si>
    <t>PKT401119</t>
  </si>
  <si>
    <t>PKT401120</t>
  </si>
  <si>
    <t>PKT401121</t>
  </si>
  <si>
    <t>PKT401122</t>
  </si>
  <si>
    <t>PKT401123</t>
  </si>
  <si>
    <t>PKT401124</t>
  </si>
  <si>
    <t>PKT401125</t>
  </si>
  <si>
    <t>PKT401126</t>
  </si>
  <si>
    <t>PKT401127</t>
  </si>
  <si>
    <t>PKT401128</t>
  </si>
  <si>
    <t>PKT401129</t>
  </si>
  <si>
    <t>PKT401130</t>
  </si>
  <si>
    <t>PKT401131</t>
  </si>
  <si>
    <t>PKT401132</t>
  </si>
  <si>
    <t>PKT401133</t>
  </si>
  <si>
    <t>PKT401134</t>
  </si>
  <si>
    <t>PKT401135</t>
  </si>
  <si>
    <t>PKT401136</t>
  </si>
  <si>
    <t>PKT401137</t>
  </si>
  <si>
    <t>PKT401138</t>
  </si>
  <si>
    <t>PKT401139</t>
  </si>
  <si>
    <t>PKT401140</t>
  </si>
  <si>
    <t>PKT401141</t>
  </si>
  <si>
    <t>PKT401142</t>
  </si>
  <si>
    <t>PKT401143</t>
  </si>
  <si>
    <t>PKT401144</t>
  </si>
  <si>
    <t>PKT401145</t>
  </si>
  <si>
    <t>PKT401146</t>
  </si>
  <si>
    <t>PKT401147</t>
  </si>
  <si>
    <t>PKT401148</t>
  </si>
  <si>
    <t>PKT401149</t>
  </si>
  <si>
    <t>PKT401150</t>
  </si>
  <si>
    <t>PKT401151</t>
  </si>
  <si>
    <t>PKT401152</t>
  </si>
  <si>
    <t>PKT401153</t>
  </si>
  <si>
    <t>PKT401154</t>
  </si>
  <si>
    <t>PKT401155</t>
  </si>
  <si>
    <t>PKT401156</t>
  </si>
  <si>
    <t>PKT401157</t>
  </si>
  <si>
    <t>PKT401158</t>
  </si>
  <si>
    <t>FORRO AUTOBROCANTE CUMARU PREMIUM TG 2,5 X 5 X COMPR. VARIAVEIS</t>
  </si>
  <si>
    <t>PKT401159</t>
  </si>
  <si>
    <t>FORRO AUTOBROCANTE CUMARU PREMIUM TG 2,5 X 10 X COMPR. VARIAVEIS</t>
  </si>
  <si>
    <t>PKT401160</t>
  </si>
  <si>
    <t>FORRO AUTOBROCANTE CATUABA PREMIUM TG 2,5 X 5 X COMPR. VARIAVEIS</t>
  </si>
  <si>
    <t>PKT401161</t>
  </si>
  <si>
    <t>FORRO AUTOBROCANTE  CATUABA PREMIUM TG 2,5 X 10 X COMPR. VARIAVEIS</t>
  </si>
  <si>
    <t>PKT401162</t>
  </si>
  <si>
    <t>FORRO AUTOBROCANTE CABREUVA BRANCA PREMIUM TG 2,5 X 5 X COMPR. VARIAVEIS</t>
  </si>
  <si>
    <t>PKT401163</t>
  </si>
  <si>
    <t>FORRO AUTOBROCANTE CABREUVA BRANCA PREMIUM TG 2,5 X 10 X COMPR. VARIAVEIS</t>
  </si>
  <si>
    <t>PKT401164</t>
  </si>
  <si>
    <t>FORRO AUTOBROCANTE CABREUVA DOURADA PREMIUM TG 2,5 X 5 X COMPR. VARIAVEIS</t>
  </si>
  <si>
    <t>PKT401165</t>
  </si>
  <si>
    <t>FORRO AUTOBROCANTE CABREUVA DOURADA PREMIUM TG 2,5 X 10 X COMPR. VARIAVEIS</t>
  </si>
  <si>
    <t>PKT401166</t>
  </si>
  <si>
    <t>FORRO AUTOBROCANTE TAUARI PREMIUM TG 2,5 X 5 X COMPR. VARIAVEIS</t>
  </si>
  <si>
    <t>PKT401167</t>
  </si>
  <si>
    <t>FORRO AUTOBROCANTE TAUARI PREMIUM TG 2,5 X 10 X COMPR. VARIAVEIS</t>
  </si>
  <si>
    <t>PKT401168</t>
  </si>
  <si>
    <t>FORRO AUTOBROCANTE PEROBA PREMIUM TG 2,5 X 5 X COMPR. VARIAVEIS</t>
  </si>
  <si>
    <t>PKT401169</t>
  </si>
  <si>
    <t>FORRO AUTOBROCANTE PEROBA PREMIUM TG 2,5 X 10 X COMPR. VARIAVEIS</t>
  </si>
  <si>
    <t>PKT401170</t>
  </si>
  <si>
    <t>FORRO AUTOBROCANTE BAMBU CARAMEL ALTA DENSIDADE</t>
  </si>
  <si>
    <t>PKT401171</t>
  </si>
  <si>
    <t>PKT401172</t>
  </si>
  <si>
    <t>PKT401173</t>
  </si>
  <si>
    <t>PKT401174</t>
  </si>
  <si>
    <t>PKT401175</t>
  </si>
  <si>
    <t>PKT401176</t>
  </si>
  <si>
    <t>PKT401177</t>
  </si>
  <si>
    <t>PKT401178</t>
  </si>
  <si>
    <t>PKT401179</t>
  </si>
  <si>
    <t>PKT401180</t>
  </si>
  <si>
    <t>PKT401181</t>
  </si>
  <si>
    <t>PKT401182</t>
  </si>
  <si>
    <t>PKT401183</t>
  </si>
  <si>
    <t>PKT401184</t>
  </si>
  <si>
    <t>PKT401185</t>
  </si>
  <si>
    <t>PKT401186</t>
  </si>
  <si>
    <t>PKT401187</t>
  </si>
  <si>
    <t>PKT401188</t>
  </si>
  <si>
    <t>PKT401189</t>
  </si>
  <si>
    <t>PKT401190</t>
  </si>
  <si>
    <t>PKT401191</t>
  </si>
  <si>
    <t>PKT401192</t>
  </si>
  <si>
    <t>PKT401193</t>
  </si>
  <si>
    <t>PKT401194</t>
  </si>
  <si>
    <t>PKT401195</t>
  </si>
  <si>
    <t>PKT401196</t>
  </si>
  <si>
    <t>PKT401197</t>
  </si>
  <si>
    <t>PKT401198</t>
  </si>
  <si>
    <t>PKT401199</t>
  </si>
  <si>
    <t>PKT401200</t>
  </si>
  <si>
    <t>PKT401201</t>
  </si>
  <si>
    <t>PKT401202</t>
  </si>
  <si>
    <t>PKT401203</t>
  </si>
  <si>
    <t>PKT401204</t>
  </si>
  <si>
    <t>PKT401205</t>
  </si>
  <si>
    <t>PKT401206</t>
  </si>
  <si>
    <t>PKT401207</t>
  </si>
  <si>
    <t>PKT401208</t>
  </si>
  <si>
    <t>PKT401209</t>
  </si>
  <si>
    <t>PKT401210</t>
  </si>
  <si>
    <t>PKT401211</t>
  </si>
  <si>
    <t>PKT401212</t>
  </si>
  <si>
    <t>PKT401213</t>
  </si>
  <si>
    <t>PKT401214</t>
  </si>
  <si>
    <t>PKT401215</t>
  </si>
  <si>
    <t>PKT401216</t>
  </si>
  <si>
    <t>PKT401217</t>
  </si>
  <si>
    <t>PKT401218</t>
  </si>
  <si>
    <t>PKT401219</t>
  </si>
  <si>
    <t>PKT401220</t>
  </si>
  <si>
    <t>PKT401221</t>
  </si>
  <si>
    <t>PKT401222</t>
  </si>
  <si>
    <t>PKT401223</t>
  </si>
  <si>
    <t>PKT401224</t>
  </si>
  <si>
    <t>PKT401225</t>
  </si>
  <si>
    <t>PKT401226</t>
  </si>
  <si>
    <t>PKT401227</t>
  </si>
  <si>
    <t>PKT401228</t>
  </si>
  <si>
    <t>PKT401229</t>
  </si>
  <si>
    <t>PKT401230</t>
  </si>
  <si>
    <t>PKT401231</t>
  </si>
  <si>
    <t>PKT401232</t>
  </si>
  <si>
    <t>PKT401233</t>
  </si>
  <si>
    <t>PKT401234</t>
  </si>
  <si>
    <t>PKT401235</t>
  </si>
  <si>
    <t>PKT401236</t>
  </si>
  <si>
    <t>PKT401237</t>
  </si>
  <si>
    <t>PKT401238</t>
  </si>
  <si>
    <t>PKT401239</t>
  </si>
  <si>
    <t>PKT401240</t>
  </si>
  <si>
    <t>PKT401241</t>
  </si>
  <si>
    <t>PKT401242</t>
  </si>
  <si>
    <t>PKT401243</t>
  </si>
  <si>
    <t>PKT401244</t>
  </si>
  <si>
    <t>PKT401245</t>
  </si>
  <si>
    <t>PKT401246</t>
  </si>
  <si>
    <t>PKT401247</t>
  </si>
  <si>
    <t>PKT401248</t>
  </si>
  <si>
    <t>PKT401249</t>
  </si>
  <si>
    <t>PKT401250</t>
  </si>
  <si>
    <t>PKT401251</t>
  </si>
  <si>
    <t>PKT401252</t>
  </si>
  <si>
    <t>PKT401253</t>
  </si>
  <si>
    <t>PKT401254</t>
  </si>
  <si>
    <t>PKT401255</t>
  </si>
  <si>
    <t>PKT401256</t>
  </si>
  <si>
    <t>PKT401257</t>
  </si>
  <si>
    <t>PKT401258</t>
  </si>
  <si>
    <t>PKT401259</t>
  </si>
  <si>
    <t>PKT401260</t>
  </si>
  <si>
    <t>PKT401261</t>
  </si>
  <si>
    <t>PKT401262</t>
  </si>
  <si>
    <t>PKT401263</t>
  </si>
  <si>
    <t>PKT401264</t>
  </si>
  <si>
    <t>PKT401265</t>
  </si>
  <si>
    <t>PKT401266</t>
  </si>
  <si>
    <t>PKT401267</t>
  </si>
  <si>
    <t>PKT401268</t>
  </si>
  <si>
    <t>PKT401269</t>
  </si>
  <si>
    <t>PKT401270</t>
  </si>
  <si>
    <t>PKT401271</t>
  </si>
  <si>
    <t>PKT401272</t>
  </si>
  <si>
    <t>PKT401273</t>
  </si>
  <si>
    <t>PKT401274</t>
  </si>
  <si>
    <t>PKT401275</t>
  </si>
  <si>
    <t>PKT401276</t>
  </si>
  <si>
    <t>PKT401277</t>
  </si>
  <si>
    <t>PKT401278</t>
  </si>
  <si>
    <t>PKT401279</t>
  </si>
  <si>
    <t>PKT401280</t>
  </si>
  <si>
    <t>PKT401281</t>
  </si>
  <si>
    <t>PKT401282</t>
  </si>
  <si>
    <t>PKT401283</t>
  </si>
  <si>
    <t>PKT401284</t>
  </si>
  <si>
    <t>PKT401285</t>
  </si>
  <si>
    <t>PKT401286</t>
  </si>
  <si>
    <t>PKT401287</t>
  </si>
  <si>
    <t>PKT401288</t>
  </si>
  <si>
    <t>PKT401289</t>
  </si>
  <si>
    <t>PKT401290</t>
  </si>
  <si>
    <t xml:space="preserve"> DECK CUMARU PREMIUM TG 2,5 X 5 X COMPR. VARIAVEIS</t>
  </si>
  <si>
    <t>PKT401291</t>
  </si>
  <si>
    <t xml:space="preserve"> DECK CUMARU PREMIUM TG 2,5 X 10 X COMPR. VARIAVEIS</t>
  </si>
  <si>
    <t>PKT401292</t>
  </si>
  <si>
    <t xml:space="preserve"> DECK CATUABA PREMIUM TG 2,5 X 5 X COMPR. VARIAVEIS</t>
  </si>
  <si>
    <t>PKT401293</t>
  </si>
  <si>
    <t xml:space="preserve"> DECK CATUABA PREMIUM TG 2,5 X 10 X COMPR. VARIAVEIS</t>
  </si>
  <si>
    <t>PKT401294</t>
  </si>
  <si>
    <t xml:space="preserve"> DECK CABREUVA BRANCA PREMIUM TG 2,5 X 5 X COMPR. VARIAVEIS</t>
  </si>
  <si>
    <t>PKT401295</t>
  </si>
  <si>
    <t xml:space="preserve"> DECK CABREUVA BRANCA PREMIUM TG 2,5 X 10 X COMPR. VARIAVEIS</t>
  </si>
  <si>
    <t>PKT401296</t>
  </si>
  <si>
    <t xml:space="preserve"> DECK CABREUVA DOURADA PREMIUM TG 2,5 X 5 X COMPR. VARIAVEIS</t>
  </si>
  <si>
    <t>PKT401297</t>
  </si>
  <si>
    <t xml:space="preserve"> DECK CABREUVA DOURADA PREMIUM TG 2,5 X 10 X COMPR. VARIAVEIS</t>
  </si>
  <si>
    <t>PKT401298</t>
  </si>
  <si>
    <t xml:space="preserve"> DECK TAUARI PREMIUM TG 2,5 X 5 X COMPR. VARIAVEIS</t>
  </si>
  <si>
    <t>PKT401299</t>
  </si>
  <si>
    <t xml:space="preserve"> DECK TAUARI PREMIUM TG 2,5 X 10 X COMPR. VARIAVEIS</t>
  </si>
  <si>
    <t>PKT401300</t>
  </si>
  <si>
    <t xml:space="preserve"> DECK PEROBA PREMIUM TG 2,5 X 5 X COMPR. VARIAVEIS</t>
  </si>
  <si>
    <t>PKT401301</t>
  </si>
  <si>
    <t xml:space="preserve"> DECK PEROBA PREMIUM TG 2,5 X 10 X COMPR. VARIAVEIS</t>
  </si>
  <si>
    <t>PKT401302</t>
  </si>
  <si>
    <t xml:space="preserve"> DECK BAMBU CARAMEL ALTA DENSIDADE</t>
  </si>
  <si>
    <t>PKT401303</t>
  </si>
  <si>
    <t xml:space="preserve"> DECK BPC CINZA ESCURO 2 X15X 290CM PÇ/0.435M2</t>
  </si>
  <si>
    <t>PKT401304</t>
  </si>
  <si>
    <t xml:space="preserve"> DECK BPC MORROM 2X15X220CM</t>
  </si>
  <si>
    <t>PKT401305</t>
  </si>
  <si>
    <t xml:space="preserve"> DECK WPC CINZA 2,2*14,6*220CM</t>
  </si>
  <si>
    <t>PKT401306</t>
  </si>
  <si>
    <t>DECK 05 CUMARU PREMIUM TG 2,5 X 5 X COMPR. VARIAVEIS</t>
  </si>
  <si>
    <t>DECK 05 CUMARU PREMIUM TG 2,5 X 10 X COMPR. VARIAVEIS</t>
  </si>
  <si>
    <t>DECK 05 CATUABA PREMIUM TG 2,5 X 5 X COMPR. VARIAVEIS</t>
  </si>
  <si>
    <t>DECK 05 CATUABA PREMIUM TG 2,5 X 10 X COMPR. VARIAVEIS</t>
  </si>
  <si>
    <t>DECK 05 CABREUVA BRANCA PREMIUM TG 2,5 X 5 X COMPR. VARIAVEIS</t>
  </si>
  <si>
    <t>DECK 05 CABREUVA BRANCA PREMIUM TG 2,5 X 10 X COMPR. VARIAVEIS</t>
  </si>
  <si>
    <t>DECK 05 CABREUVA DOURADA PREMIUM TG 2,5 X 5 X COMPR. VARIAVEIS</t>
  </si>
  <si>
    <t>DECK 05 CABREUVA DOURADA PREMIUM TG 2,5 X 10 X COMPR. VARIAVEIS</t>
  </si>
  <si>
    <t>DECK 05 TAUARI PREMIUM TG 2,5 X 5 X COMPR. VARIAVEIS</t>
  </si>
  <si>
    <t>DECK 05 TAUARI PREMIUM TG 2,5 X 10 X COMPR. VARIAVEIS</t>
  </si>
  <si>
    <t>DECK 05 PEROBA PREMIUM TG 2,5 X 5 X COMPR. VARIAVEIS</t>
  </si>
  <si>
    <t>DECK 05 PEROBA PREMIUM TG 2,5 X 10 X COMPR. VARIAVEIS</t>
  </si>
  <si>
    <t>DECK 05 BAMBU CARAMEL ALTA DENSIDADE</t>
  </si>
  <si>
    <t>FORRO RIPADO TAUARI NATURALLE 1.8 X 3.5/0.5 X COMP. VAR.</t>
  </si>
  <si>
    <t>Validar Custo***</t>
  </si>
  <si>
    <t>/</t>
  </si>
  <si>
    <t>PRODUTOS</t>
  </si>
  <si>
    <t>Custos</t>
  </si>
  <si>
    <t>Custo Total</t>
  </si>
  <si>
    <t>Custo total por M²</t>
  </si>
  <si>
    <t>Obs técnica</t>
  </si>
  <si>
    <t xml:space="preserve">SUGESTÃO: A CADA 100M² MANDAR 5 SACO DE ENTULHO </t>
  </si>
  <si>
    <t>PISOS ATÉ 19 CM</t>
  </si>
  <si>
    <t>Todos produtos de KG, ML, M² será calculado a cada 1M².</t>
  </si>
  <si>
    <t>Descrição: INSUMOS</t>
  </si>
  <si>
    <t>UND MED</t>
  </si>
  <si>
    <t>QTDE m² PROJ</t>
  </si>
  <si>
    <t>QTDADE m²</t>
  </si>
  <si>
    <t>TOTAL</t>
  </si>
  <si>
    <t>Custo por Obra</t>
  </si>
  <si>
    <t>Por 1 m²</t>
  </si>
  <si>
    <t>5 por Obra</t>
  </si>
  <si>
    <t xml:space="preserve">3 Por Obra </t>
  </si>
  <si>
    <t>Total</t>
  </si>
  <si>
    <t>Codigo Brascomm</t>
  </si>
  <si>
    <t>PISOS CHEVRON/ESCAMA DE PEIXE/ VERSALHES/MACIÇO e acima de 30cm</t>
  </si>
  <si>
    <t xml:space="preserve">Quando usar: Mateial que consome mais cola </t>
  </si>
  <si>
    <t>INSUMOS</t>
  </si>
  <si>
    <t xml:space="preserve">    RODAPÉ CORDÃO</t>
  </si>
  <si>
    <t>QTDE mL PROJ</t>
  </si>
  <si>
    <t>QTDADE ml</t>
  </si>
  <si>
    <t>FORRO FINCAPINO acimas 60m²</t>
  </si>
  <si>
    <t>Quando usar: A cima de obras com 60 m²</t>
  </si>
  <si>
    <t>QTDADE</t>
  </si>
  <si>
    <t>BARROTE 4 X2</t>
  </si>
  <si>
    <t>PKT100523IN</t>
  </si>
  <si>
    <t>PINO 30X30</t>
  </si>
  <si>
    <t>PKT300036F</t>
  </si>
  <si>
    <t>FINCAPINO BLUE</t>
  </si>
  <si>
    <t>PKT100220IN</t>
  </si>
  <si>
    <t>PINO F40</t>
  </si>
  <si>
    <t>PKT100013IN</t>
  </si>
  <si>
    <t>BROCA 3,5</t>
  </si>
  <si>
    <t>A CADA 100M² MANDAR 3</t>
  </si>
  <si>
    <t>BROCA SDS 6MM</t>
  </si>
  <si>
    <t>A CADA 100M² MANDAR 1</t>
  </si>
  <si>
    <t>PKT200011C</t>
  </si>
  <si>
    <t>ELETROCALHA</t>
  </si>
  <si>
    <t>PKT100187IN</t>
  </si>
  <si>
    <t>PARAFUSO 4X45</t>
  </si>
  <si>
    <t>PKT100524IN</t>
  </si>
  <si>
    <t>PARAFUSO GN 25</t>
  </si>
  <si>
    <t>PKT100239IN</t>
  </si>
  <si>
    <t>PORCA 1/4</t>
  </si>
  <si>
    <t>PKT100066IN</t>
  </si>
  <si>
    <t>COLA TITEBOND 1KG</t>
  </si>
  <si>
    <t>1 cola a cada 15 m²</t>
  </si>
  <si>
    <t>Colocar marca parket na embalagem da cola</t>
  </si>
  <si>
    <t>Devem mandar fotos das sobras dos materiais</t>
  </si>
  <si>
    <t>FORRO CONVENCIONAL  abaixo de 60m²</t>
  </si>
  <si>
    <t>Quando usar:  Obras abaixo de 60m²</t>
  </si>
  <si>
    <t>5 a cada 100 M²</t>
  </si>
  <si>
    <t>PINO F 30</t>
  </si>
  <si>
    <t>PINO F 40</t>
  </si>
  <si>
    <t>PKT100201IN</t>
  </si>
  <si>
    <t>PARAFUSO CABEÇA PANELA 55X50</t>
  </si>
  <si>
    <t>BROCA SD 8 1 UND A CADA 100 M²</t>
  </si>
  <si>
    <t>BUCHA 8</t>
  </si>
  <si>
    <t>COLA TITEBOND</t>
  </si>
  <si>
    <t>PAINÉIS</t>
  </si>
  <si>
    <t>BARROTE 4 X 2</t>
  </si>
  <si>
    <t>PKT100193IN</t>
  </si>
  <si>
    <t>OBSERVAÇÃO: a cada 100 M² uma unidade de cola</t>
  </si>
  <si>
    <t>BROCA SDS 8 1 UND A CADA 100 M²</t>
  </si>
  <si>
    <t>FORRO AUTOBROCANTE</t>
  </si>
  <si>
    <t>Quando usar:  Obra for estrutura metalica  (Steel Frame, Steel Deck))</t>
  </si>
  <si>
    <t>PKT100527IN</t>
  </si>
  <si>
    <t>PARAFUSO AUTOBROCANTE SESTAVADO 55X50</t>
  </si>
  <si>
    <t>FORRO PRAIA (INOX)</t>
  </si>
  <si>
    <t>Quando usar: Quando for litoral</t>
  </si>
  <si>
    <t>PKT100219IN</t>
  </si>
  <si>
    <t>PINO F 30 INOX</t>
  </si>
  <si>
    <t>PKT20033C</t>
  </si>
  <si>
    <t>PINO F 40 INOX</t>
  </si>
  <si>
    <t>PKT100525IN</t>
  </si>
  <si>
    <t>PARAFUSO CABEÇA PANELA 55X50 INOX</t>
  </si>
  <si>
    <t>PKT100526IN</t>
  </si>
  <si>
    <t>PARAFUSO 4X45 INOX</t>
  </si>
  <si>
    <t>DECK MADEIRA  2,5 X 10 X COMPR. VARIAVEIS</t>
  </si>
  <si>
    <t>Quando usar:  Quantidade de insumos</t>
  </si>
  <si>
    <t xml:space="preserve">taco de madeira instalado </t>
  </si>
  <si>
    <t>painel de ripado</t>
  </si>
  <si>
    <t>1 SACO POR OBRA</t>
  </si>
  <si>
    <t>1 bisnaga de 300 g para 15 m²</t>
  </si>
  <si>
    <t>A CADA 25 M² 1 GALÃO QUE O PREÇOO DO GALÃO É R$53,90</t>
  </si>
  <si>
    <t>2 POR OBRA</t>
  </si>
  <si>
    <t>DECK BPC 2X15X220CM</t>
  </si>
  <si>
    <t>.</t>
  </si>
  <si>
    <t>PKT20007C</t>
  </si>
  <si>
    <t>PRESILHA ALUMINIO BPC</t>
  </si>
  <si>
    <t>PKT20008C</t>
  </si>
  <si>
    <t>PARAFUSO ACOMPANHA PRESILHA</t>
  </si>
  <si>
    <t>DECK MADEIRA 2,5 X 5 X COMPR. VARIAVEIS</t>
  </si>
  <si>
    <t>1 SACO POR 100 M² DE OBRA</t>
  </si>
  <si>
    <t xml:space="preserve">1 SACO DE CAVILHA CADA OBRA 1 SACO </t>
  </si>
  <si>
    <t>PARAFUSO CHIPBORD 55X50</t>
  </si>
  <si>
    <t>FORRO SISTEMA FINCAPINO</t>
  </si>
  <si>
    <t>PINO30X30</t>
  </si>
  <si>
    <t>FINCAPINO</t>
  </si>
  <si>
    <t>COLA RODAPE</t>
  </si>
  <si>
    <t>FORRO SISTEMA AUTOBROCANTE</t>
  </si>
  <si>
    <t>PARAFUSO AUTOBROCANTE SEXTAVADO 5.5X50</t>
  </si>
  <si>
    <t>PINO F40 INOX</t>
  </si>
  <si>
    <t>SISTEMA CONVENCIONAL</t>
  </si>
  <si>
    <t>BUCHA 8 MM</t>
  </si>
  <si>
    <t>UNS</t>
  </si>
  <si>
    <t>PARAFUSO CHIPBORD 55X50 INOX</t>
  </si>
  <si>
    <t>SISTEMA CONVENCIONAL PRAIA -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</si>
</sst>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yyyy\-mm\-dd\ hh:mm:ss"/>
  </numFmts>
  <fonts count="53">
    <font>
      <sz val="11"/>
      <color rgb="FF000000"/>
      <name val="Calibri"/>
      <scheme val="minor"/>
    </font>
    <font>
      <sz val="80"/>
      <color rgb="FFFFFFFF"/>
      <name val="Calibri"/>
      <scheme val="minor"/>
    </font>
    <font>
      <b/>
      <sz val="49"/>
      <color rgb="FFFFFFFF"/>
      <name val="Arial"/>
    </font>
    <font>
      <sz val="50"/>
      <color theme="1"/>
      <name val="Calibri"/>
      <scheme val="minor"/>
    </font>
    <font>
      <sz val="1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1"/>
      <color theme="1"/>
      <name val="Arial"/>
    </font>
    <font>
      <b/>
      <sz val="12"/>
      <color theme="1"/>
      <name val="Arial"/>
    </font>
    <font>
      <b/>
      <sz val="13"/>
      <color theme="1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sz val="11"/>
      <color theme="1"/>
      <name val="Calibri"/>
      <scheme val="minor"/>
    </font>
    <font>
      <b/>
      <sz val="14"/>
      <color rgb="FF000000"/>
      <name val="Calibri"/>
      <scheme val="minor"/>
    </font>
    <font>
      <b/>
      <sz val="13"/>
      <color rgb="FF000000"/>
      <name val="Calibri"/>
      <scheme val="minor"/>
    </font>
    <font>
      <sz val="11"/>
      <color theme="1"/>
      <name val="Calibri"/>
    </font>
    <font>
      <b/>
      <sz val="60"/>
      <color rgb="FFFFFFFF"/>
      <name val="Arial"/>
    </font>
    <font>
      <b/>
      <sz val="49"/>
      <color rgb="FF000000"/>
      <name val="Arial"/>
    </font>
    <font>
      <b/>
      <sz val="12"/>
      <color rgb="FF333333"/>
      <name val="Arial"/>
    </font>
    <font>
      <sz val="11"/>
      <color rgb="FF000000"/>
      <name val="Calibri"/>
    </font>
    <font>
      <b/>
      <sz val="11"/>
      <color rgb="FF000000"/>
      <name val="Arial"/>
    </font>
    <font>
      <sz val="13"/>
      <color theme="1"/>
      <name val="Arial"/>
    </font>
    <font>
      <sz val="14"/>
      <color theme="1"/>
      <name val="Arial"/>
    </font>
    <font>
      <sz val="13"/>
      <color rgb="FF000000"/>
      <name val="Arial"/>
    </font>
    <font>
      <sz val="11"/>
      <color rgb="FF000000"/>
      <name val="Calibri"/>
    </font>
    <font>
      <sz val="13"/>
      <color theme="1"/>
      <name val="Calibri"/>
      <scheme val="minor"/>
    </font>
    <font>
      <sz val="11"/>
      <color rgb="FFFFFFFF"/>
      <name val="Calibri"/>
    </font>
    <font>
      <b/>
      <sz val="11"/>
      <color theme="1"/>
      <name val="Calibri"/>
    </font>
    <font>
      <b/>
      <sz val="12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Lato"/>
    </font>
    <font>
      <b/>
      <sz val="11"/>
      <color rgb="FF000000"/>
      <name val="Lato"/>
    </font>
    <font>
      <sz val="11"/>
      <color rgb="FF000000"/>
      <name val="Arial"/>
    </font>
    <font>
      <b/>
      <sz val="11"/>
      <color theme="1"/>
      <name val="Calibri"/>
      <scheme val="minor"/>
    </font>
    <font>
      <sz val="11"/>
      <color rgb="FF000000"/>
      <name val="Lato"/>
    </font>
    <font>
      <sz val="11"/>
      <color theme="1"/>
      <name val="Arial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sz val="11"/>
      <color rgb="FFFF0000"/>
      <name val="Arial"/>
    </font>
    <font>
      <b/>
      <sz val="12"/>
      <color theme="9"/>
      <name val="Calibri"/>
      <scheme val="minor"/>
    </font>
    <font>
      <sz val="11"/>
      <color theme="9"/>
      <name val="Arial"/>
    </font>
    <font>
      <sz val="11"/>
      <color rgb="FF70AD47"/>
      <name val="Calibri"/>
      <scheme val="minor"/>
    </font>
    <font>
      <sz val="11"/>
      <color rgb="FF70AD47"/>
      <name val="Arial"/>
    </font>
    <font>
      <b/>
      <sz val="12"/>
      <color rgb="FF70AD47"/>
      <name val="Calibri"/>
      <scheme val="minor"/>
    </font>
    <font>
      <sz val="11"/>
      <color rgb="FF70AD47"/>
      <name val="Arial"/>
    </font>
    <font>
      <sz val="12"/>
      <color theme="1"/>
      <name val="Calibri"/>
      <scheme val="minor"/>
    </font>
    <font>
      <b/>
      <sz val="14"/>
      <color rgb="FFFFFFFF"/>
      <name val="Arial"/>
    </font>
    <font>
      <b/>
      <sz val="13"/>
      <color rgb="FF000000"/>
      <name val="Arial"/>
    </font>
    <font>
      <b/>
      <sz val="14"/>
      <color theme="1"/>
      <name val="Arial"/>
    </font>
    <font>
      <b/>
      <sz val="13"/>
      <color theme="1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0F8FF"/>
        <bgColor rgb="FFF0F8FF"/>
      </patternFill>
    </fill>
    <fill>
      <patternFill patternType="solid">
        <fgColor rgb="FFF9FAFB"/>
        <bgColor rgb="FFF9FAFB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262626"/>
        <bgColor rgb="FF262626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548235"/>
        <bgColor rgb="FF548235"/>
      </patternFill>
    </fill>
    <fill>
      <patternFill patternType="solid">
        <fgColor rgb="FF3C1A56"/>
        <bgColor rgb="FF3C1A56"/>
      </patternFill>
    </fill>
    <fill>
      <patternFill patternType="solid">
        <fgColor rgb="FF993366"/>
        <bgColor rgb="FF993366"/>
      </patternFill>
    </fill>
    <fill>
      <patternFill patternType="solid">
        <fgColor rgb="FFBF8F00"/>
        <bgColor rgb="FFBF8F00"/>
      </patternFill>
    </fill>
    <fill>
      <patternFill patternType="solid">
        <fgColor rgb="FFE7E6E6"/>
        <bgColor rgb="FFE7E6E6"/>
      </patternFill>
    </fill>
    <fill>
      <patternFill patternType="solid">
        <fgColor rgb="FFC65911"/>
        <bgColor rgb="FFC65911"/>
      </patternFill>
    </fill>
    <fill>
      <patternFill patternType="solid">
        <fgColor rgb="FF805540"/>
        <bgColor rgb="FF805540"/>
      </patternFill>
    </fill>
    <fill>
      <patternFill patternType="solid">
        <fgColor rgb="FF695757"/>
        <bgColor rgb="FF695757"/>
      </patternFill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  <diagonal/>
    </border>
    <border>
      <left/>
      <right style="thin">
        <color rgb="FF222426"/>
      </right>
      <top/>
      <bottom style="thin">
        <color rgb="FF22242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/>
    <xf numFmtId="0" fontId="5" fillId="4" borderId="5" xfId="0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7" xfId="0" applyFont="1" applyFill="1" applyBorder="1"/>
    <xf numFmtId="0" fontId="6" fillId="6" borderId="7" xfId="0" applyFont="1" applyFill="1" applyBorder="1" applyAlignment="1">
      <alignment horizontal="center"/>
    </xf>
    <xf numFmtId="164" fontId="6" fillId="6" borderId="7" xfId="0" applyNumberFormat="1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 vertical="top" wrapText="1"/>
    </xf>
    <xf numFmtId="0" fontId="8" fillId="3" borderId="12" xfId="0" applyFont="1" applyFill="1" applyBorder="1" applyAlignment="1">
      <alignment horizontal="center" wrapText="1"/>
    </xf>
    <xf numFmtId="0" fontId="9" fillId="8" borderId="12" xfId="0" applyFont="1" applyFill="1" applyBorder="1" applyAlignment="1">
      <alignment horizontal="center" vertical="top" wrapText="1"/>
    </xf>
    <xf numFmtId="0" fontId="10" fillId="3" borderId="12" xfId="0" applyFont="1" applyFill="1" applyBorder="1" applyAlignment="1">
      <alignment horizontal="center" vertical="top" wrapText="1"/>
    </xf>
    <xf numFmtId="164" fontId="10" fillId="3" borderId="12" xfId="0" applyNumberFormat="1" applyFont="1" applyFill="1" applyBorder="1" applyAlignment="1">
      <alignment horizontal="center" vertical="top" wrapText="1"/>
    </xf>
    <xf numFmtId="164" fontId="8" fillId="3" borderId="13" xfId="0" applyNumberFormat="1" applyFont="1" applyFill="1" applyBorder="1" applyAlignment="1">
      <alignment horizontal="center" vertical="top" wrapText="1"/>
    </xf>
    <xf numFmtId="0" fontId="8" fillId="3" borderId="16" xfId="0" applyFont="1" applyFill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 wrapText="1"/>
    </xf>
    <xf numFmtId="0" fontId="9" fillId="8" borderId="17" xfId="0" applyFont="1" applyFill="1" applyBorder="1" applyAlignment="1">
      <alignment horizontal="center" vertical="top" wrapText="1"/>
    </xf>
    <xf numFmtId="0" fontId="10" fillId="3" borderId="17" xfId="0" applyFont="1" applyFill="1" applyBorder="1" applyAlignment="1">
      <alignment horizontal="center" vertical="top" wrapText="1"/>
    </xf>
    <xf numFmtId="164" fontId="10" fillId="3" borderId="17" xfId="0" applyNumberFormat="1" applyFont="1" applyFill="1" applyBorder="1" applyAlignment="1">
      <alignment horizontal="center" vertical="top" wrapText="1"/>
    </xf>
    <xf numFmtId="164" fontId="8" fillId="3" borderId="18" xfId="0" applyNumberFormat="1" applyFont="1" applyFill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top" wrapText="1"/>
    </xf>
    <xf numFmtId="0" fontId="8" fillId="3" borderId="19" xfId="0" applyFont="1" applyFill="1" applyBorder="1" applyAlignment="1">
      <alignment horizontal="center" vertical="top" wrapText="1"/>
    </xf>
    <xf numFmtId="0" fontId="8" fillId="3" borderId="20" xfId="0" applyFont="1" applyFill="1" applyBorder="1" applyAlignment="1">
      <alignment horizontal="center" wrapText="1"/>
    </xf>
    <xf numFmtId="0" fontId="9" fillId="8" borderId="20" xfId="0" applyFont="1" applyFill="1" applyBorder="1" applyAlignment="1">
      <alignment horizontal="center" vertical="top" wrapText="1"/>
    </xf>
    <xf numFmtId="0" fontId="11" fillId="3" borderId="20" xfId="0" applyFont="1" applyFill="1" applyBorder="1" applyAlignment="1">
      <alignment horizontal="center" vertical="top" wrapText="1"/>
    </xf>
    <xf numFmtId="164" fontId="10" fillId="3" borderId="20" xfId="0" applyNumberFormat="1" applyFont="1" applyFill="1" applyBorder="1" applyAlignment="1">
      <alignment horizontal="center" vertical="top" wrapText="1"/>
    </xf>
    <xf numFmtId="164" fontId="8" fillId="3" borderId="21" xfId="0" applyNumberFormat="1" applyFont="1" applyFill="1" applyBorder="1" applyAlignment="1">
      <alignment horizontal="center" vertical="top" wrapText="1"/>
    </xf>
    <xf numFmtId="164" fontId="6" fillId="7" borderId="15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top" wrapText="1"/>
    </xf>
    <xf numFmtId="0" fontId="8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vertical="top" wrapText="1"/>
    </xf>
    <xf numFmtId="0" fontId="13" fillId="3" borderId="0" xfId="0" applyFont="1" applyFill="1" applyAlignment="1">
      <alignment horizontal="center" vertical="top" wrapText="1"/>
    </xf>
    <xf numFmtId="164" fontId="14" fillId="3" borderId="0" xfId="0" applyNumberFormat="1" applyFont="1" applyFill="1" applyAlignment="1">
      <alignment horizontal="center" vertical="top" wrapText="1"/>
    </xf>
    <xf numFmtId="164" fontId="8" fillId="3" borderId="0" xfId="0" applyNumberFormat="1" applyFont="1" applyFill="1" applyAlignment="1">
      <alignment horizontal="center" vertical="top" wrapText="1"/>
    </xf>
    <xf numFmtId="164" fontId="7" fillId="3" borderId="0" xfId="0" applyNumberFormat="1" applyFont="1" applyFill="1" applyAlignment="1">
      <alignment horizontal="center" vertical="center"/>
    </xf>
    <xf numFmtId="9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15" fillId="2" borderId="24" xfId="0" applyFont="1" applyFill="1" applyBorder="1"/>
    <xf numFmtId="0" fontId="15" fillId="2" borderId="0" xfId="0" applyFont="1" applyFill="1"/>
    <xf numFmtId="0" fontId="15" fillId="2" borderId="25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5" xfId="0" applyFont="1" applyFill="1" applyBorder="1"/>
    <xf numFmtId="0" fontId="5" fillId="4" borderId="1" xfId="0" applyFont="1" applyFill="1" applyBorder="1" applyAlignment="1">
      <alignment horizontal="center"/>
    </xf>
    <xf numFmtId="164" fontId="5" fillId="4" borderId="26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7" borderId="25" xfId="0" applyFont="1" applyFill="1" applyBorder="1" applyAlignment="1">
      <alignment horizontal="center"/>
    </xf>
    <xf numFmtId="0" fontId="6" fillId="7" borderId="25" xfId="0" applyFont="1" applyFill="1" applyBorder="1"/>
    <xf numFmtId="0" fontId="6" fillId="7" borderId="1" xfId="0" applyFont="1" applyFill="1" applyBorder="1" applyAlignment="1">
      <alignment horizontal="center"/>
    </xf>
    <xf numFmtId="164" fontId="16" fillId="7" borderId="25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3" borderId="12" xfId="0" applyFont="1" applyFill="1" applyBorder="1"/>
    <xf numFmtId="0" fontId="8" fillId="3" borderId="13" xfId="0" applyFont="1" applyFill="1" applyBorder="1" applyAlignment="1">
      <alignment horizontal="center"/>
    </xf>
    <xf numFmtId="164" fontId="11" fillId="3" borderId="22" xfId="0" applyNumberFormat="1" applyFont="1" applyFill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/>
    <xf numFmtId="0" fontId="8" fillId="3" borderId="18" xfId="0" applyFont="1" applyFill="1" applyBorder="1" applyAlignment="1">
      <alignment horizontal="center"/>
    </xf>
    <xf numFmtId="164" fontId="11" fillId="3" borderId="7" xfId="0" applyNumberFormat="1" applyFont="1" applyFill="1" applyBorder="1" applyAlignment="1">
      <alignment horizontal="center" vertical="top" wrapText="1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/>
    <xf numFmtId="0" fontId="8" fillId="3" borderId="21" xfId="0" applyFont="1" applyFill="1" applyBorder="1" applyAlignment="1">
      <alignment horizontal="center"/>
    </xf>
    <xf numFmtId="164" fontId="11" fillId="3" borderId="9" xfId="0" applyNumberFormat="1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/>
    </xf>
    <xf numFmtId="0" fontId="6" fillId="7" borderId="2" xfId="0" applyFont="1" applyFill="1" applyBorder="1"/>
    <xf numFmtId="0" fontId="6" fillId="7" borderId="1" xfId="0" applyFont="1" applyFill="1" applyBorder="1"/>
    <xf numFmtId="0" fontId="8" fillId="3" borderId="27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18" fillId="2" borderId="0" xfId="0" applyFont="1" applyFill="1"/>
    <xf numFmtId="164" fontId="6" fillId="7" borderId="25" xfId="0" applyNumberFormat="1" applyFont="1" applyFill="1" applyBorder="1" applyAlignment="1">
      <alignment horizontal="center"/>
    </xf>
    <xf numFmtId="164" fontId="11" fillId="3" borderId="23" xfId="0" applyNumberFormat="1" applyFont="1" applyFill="1" applyBorder="1" applyAlignment="1">
      <alignment horizontal="center" vertical="top" wrapText="1"/>
    </xf>
    <xf numFmtId="164" fontId="11" fillId="3" borderId="30" xfId="0" applyNumberFormat="1" applyFont="1" applyFill="1" applyBorder="1" applyAlignment="1">
      <alignment horizontal="center" vertical="top" wrapText="1"/>
    </xf>
    <xf numFmtId="164" fontId="11" fillId="3" borderId="10" xfId="0" applyNumberFormat="1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/>
    </xf>
    <xf numFmtId="165" fontId="8" fillId="3" borderId="0" xfId="0" applyNumberFormat="1" applyFont="1" applyFill="1"/>
    <xf numFmtId="164" fontId="11" fillId="3" borderId="0" xfId="0" applyNumberFormat="1" applyFont="1" applyFill="1" applyAlignment="1">
      <alignment horizontal="center" vertical="top" wrapText="1"/>
    </xf>
    <xf numFmtId="0" fontId="17" fillId="3" borderId="0" xfId="0" applyFont="1" applyFill="1" applyAlignment="1">
      <alignment horizontal="center" vertical="center"/>
    </xf>
    <xf numFmtId="0" fontId="8" fillId="3" borderId="0" xfId="0" applyFont="1" applyFill="1"/>
    <xf numFmtId="0" fontId="5" fillId="5" borderId="31" xfId="0" applyFont="1" applyFill="1" applyBorder="1" applyAlignment="1">
      <alignment horizontal="center"/>
    </xf>
    <xf numFmtId="0" fontId="5" fillId="5" borderId="26" xfId="0" applyFont="1" applyFill="1" applyBorder="1"/>
    <xf numFmtId="0" fontId="5" fillId="5" borderId="26" xfId="0" applyFont="1" applyFill="1" applyBorder="1" applyAlignment="1">
      <alignment horizontal="center"/>
    </xf>
    <xf numFmtId="164" fontId="5" fillId="5" borderId="26" xfId="0" applyNumberFormat="1" applyFont="1" applyFill="1" applyBorder="1" applyAlignment="1">
      <alignment horizontal="center"/>
    </xf>
    <xf numFmtId="164" fontId="5" fillId="5" borderId="32" xfId="0" applyNumberFormat="1" applyFont="1" applyFill="1" applyBorder="1" applyAlignment="1">
      <alignment horizontal="center"/>
    </xf>
    <xf numFmtId="164" fontId="6" fillId="6" borderId="30" xfId="0" applyNumberFormat="1" applyFont="1" applyFill="1" applyBorder="1" applyAlignment="1">
      <alignment horizontal="center"/>
    </xf>
    <xf numFmtId="10" fontId="6" fillId="7" borderId="15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164" fontId="10" fillId="3" borderId="0" xfId="0" applyNumberFormat="1" applyFont="1" applyFill="1" applyAlignment="1">
      <alignment horizontal="center" vertical="top" wrapText="1"/>
    </xf>
    <xf numFmtId="0" fontId="20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/>
    </xf>
    <xf numFmtId="0" fontId="5" fillId="5" borderId="25" xfId="0" applyFont="1" applyFill="1" applyBorder="1"/>
    <xf numFmtId="0" fontId="5" fillId="5" borderId="25" xfId="0" applyFont="1" applyFill="1" applyBorder="1" applyAlignment="1">
      <alignment horizontal="center"/>
    </xf>
    <xf numFmtId="164" fontId="5" fillId="5" borderId="25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/>
    </xf>
    <xf numFmtId="10" fontId="5" fillId="5" borderId="7" xfId="0" applyNumberFormat="1" applyFont="1" applyFill="1" applyBorder="1" applyAlignment="1">
      <alignment horizontal="center"/>
    </xf>
    <xf numFmtId="0" fontId="6" fillId="6" borderId="33" xfId="0" applyFont="1" applyFill="1" applyBorder="1" applyAlignment="1">
      <alignment horizontal="center" vertical="center"/>
    </xf>
    <xf numFmtId="0" fontId="6" fillId="6" borderId="22" xfId="0" applyFont="1" applyFill="1" applyBorder="1"/>
    <xf numFmtId="0" fontId="6" fillId="6" borderId="22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/>
    </xf>
    <xf numFmtId="164" fontId="6" fillId="6" borderId="23" xfId="0" applyNumberFormat="1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4" fontId="21" fillId="9" borderId="17" xfId="0" applyNumberFormat="1" applyFont="1" applyFill="1" applyBorder="1"/>
    <xf numFmtId="164" fontId="6" fillId="6" borderId="37" xfId="0" applyNumberFormat="1" applyFont="1" applyFill="1" applyBorder="1" applyAlignment="1">
      <alignment horizontal="center" vertical="center"/>
    </xf>
    <xf numFmtId="9" fontId="6" fillId="6" borderId="23" xfId="0" applyNumberFormat="1" applyFont="1" applyFill="1" applyBorder="1" applyAlignment="1">
      <alignment horizontal="center" vertical="center"/>
    </xf>
    <xf numFmtId="9" fontId="6" fillId="6" borderId="7" xfId="0" applyNumberFormat="1" applyFont="1" applyFill="1" applyBorder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 vertical="center"/>
    </xf>
    <xf numFmtId="164" fontId="6" fillId="7" borderId="30" xfId="0" applyNumberFormat="1" applyFont="1" applyFill="1" applyBorder="1" applyAlignment="1">
      <alignment horizontal="center" vertical="center"/>
    </xf>
    <xf numFmtId="10" fontId="6" fillId="7" borderId="30" xfId="0" applyNumberFormat="1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4" fontId="6" fillId="6" borderId="7" xfId="0" applyNumberFormat="1" applyFont="1" applyFill="1" applyBorder="1" applyAlignment="1">
      <alignment horizontal="center"/>
    </xf>
    <xf numFmtId="10" fontId="6" fillId="3" borderId="0" xfId="0" applyNumberFormat="1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8" fillId="0" borderId="0" xfId="0" applyFont="1"/>
    <xf numFmtId="0" fontId="22" fillId="2" borderId="32" xfId="0" applyFont="1" applyFill="1" applyBorder="1"/>
    <xf numFmtId="164" fontId="5" fillId="5" borderId="9" xfId="0" applyNumberFormat="1" applyFont="1" applyFill="1" applyBorder="1" applyAlignment="1">
      <alignment horizontal="center"/>
    </xf>
    <xf numFmtId="0" fontId="22" fillId="2" borderId="0" xfId="0" applyFont="1" applyFill="1"/>
    <xf numFmtId="0" fontId="23" fillId="3" borderId="11" xfId="0" applyFont="1" applyFill="1" applyBorder="1" applyAlignment="1">
      <alignment horizontal="center" vertical="top" wrapText="1"/>
    </xf>
    <xf numFmtId="0" fontId="2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top" wrapText="1"/>
    </xf>
    <xf numFmtId="0" fontId="23" fillId="3" borderId="12" xfId="0" applyFont="1" applyFill="1" applyBorder="1" applyAlignment="1">
      <alignment horizontal="center" vertical="top" wrapText="1"/>
    </xf>
    <xf numFmtId="0" fontId="23" fillId="3" borderId="13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top" wrapText="1"/>
    </xf>
    <xf numFmtId="164" fontId="11" fillId="3" borderId="17" xfId="0" applyNumberFormat="1" applyFont="1" applyFill="1" applyBorder="1" applyAlignment="1">
      <alignment horizontal="center" vertical="top" wrapText="1"/>
    </xf>
    <xf numFmtId="0" fontId="23" fillId="3" borderId="18" xfId="0" applyFont="1" applyFill="1" applyBorder="1" applyAlignment="1">
      <alignment horizontal="center" vertical="center" wrapText="1"/>
    </xf>
    <xf numFmtId="0" fontId="18" fillId="3" borderId="0" xfId="0" applyFont="1" applyFill="1"/>
    <xf numFmtId="0" fontId="9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top" wrapText="1"/>
    </xf>
    <xf numFmtId="9" fontId="6" fillId="6" borderId="14" xfId="0" applyNumberFormat="1" applyFont="1" applyFill="1" applyBorder="1" applyAlignment="1">
      <alignment horizontal="center" vertical="center"/>
    </xf>
    <xf numFmtId="164" fontId="6" fillId="7" borderId="14" xfId="0" applyNumberFormat="1" applyFont="1" applyFill="1" applyBorder="1" applyAlignment="1">
      <alignment horizontal="center" vertical="center"/>
    </xf>
    <xf numFmtId="9" fontId="6" fillId="6" borderId="22" xfId="0" applyNumberFormat="1" applyFont="1" applyFill="1" applyBorder="1" applyAlignment="1">
      <alignment horizontal="center" vertical="center"/>
    </xf>
    <xf numFmtId="164" fontId="6" fillId="7" borderId="22" xfId="0" applyNumberFormat="1" applyFont="1" applyFill="1" applyBorder="1" applyAlignment="1">
      <alignment horizontal="center" vertical="center"/>
    </xf>
    <xf numFmtId="164" fontId="6" fillId="7" borderId="23" xfId="0" applyNumberFormat="1" applyFont="1" applyFill="1" applyBorder="1" applyAlignment="1">
      <alignment horizontal="center" vertical="center"/>
    </xf>
    <xf numFmtId="10" fontId="6" fillId="7" borderId="23" xfId="0" applyNumberFormat="1" applyFont="1" applyFill="1" applyBorder="1" applyAlignment="1">
      <alignment horizontal="center" vertical="center"/>
    </xf>
    <xf numFmtId="0" fontId="24" fillId="3" borderId="17" xfId="0" applyFont="1" applyFill="1" applyBorder="1"/>
    <xf numFmtId="0" fontId="11" fillId="3" borderId="0" xfId="0" applyFont="1" applyFill="1"/>
    <xf numFmtId="0" fontId="25" fillId="3" borderId="17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left"/>
    </xf>
    <xf numFmtId="0" fontId="25" fillId="3" borderId="0" xfId="0" applyFont="1" applyFill="1" applyAlignment="1">
      <alignment horizontal="center" vertical="center"/>
    </xf>
    <xf numFmtId="0" fontId="22" fillId="3" borderId="17" xfId="0" applyFont="1" applyFill="1" applyBorder="1" applyAlignment="1">
      <alignment horizontal="left"/>
    </xf>
    <xf numFmtId="0" fontId="24" fillId="3" borderId="0" xfId="0" applyFont="1" applyFill="1"/>
    <xf numFmtId="0" fontId="26" fillId="0" borderId="0" xfId="0" applyFont="1"/>
    <xf numFmtId="0" fontId="27" fillId="3" borderId="17" xfId="0" applyFont="1" applyFill="1" applyBorder="1" applyAlignment="1">
      <alignment horizontal="left"/>
    </xf>
    <xf numFmtId="0" fontId="24" fillId="3" borderId="17" xfId="0" applyFont="1" applyFill="1" applyBorder="1" applyAlignment="1">
      <alignment wrapText="1"/>
    </xf>
    <xf numFmtId="0" fontId="24" fillId="3" borderId="0" xfId="0" applyFont="1" applyFill="1" applyAlignment="1">
      <alignment wrapText="1"/>
    </xf>
    <xf numFmtId="0" fontId="28" fillId="3" borderId="17" xfId="0" applyFont="1" applyFill="1" applyBorder="1"/>
    <xf numFmtId="0" fontId="24" fillId="3" borderId="0" xfId="0" applyFont="1" applyFill="1" applyAlignment="1">
      <alignment horizontal="left"/>
    </xf>
    <xf numFmtId="0" fontId="29" fillId="2" borderId="0" xfId="0" applyFont="1" applyFill="1" applyAlignment="1">
      <alignment horizontal="left"/>
    </xf>
    <xf numFmtId="0" fontId="29" fillId="2" borderId="17" xfId="0" applyFont="1" applyFill="1" applyBorder="1" applyAlignment="1">
      <alignment horizontal="left"/>
    </xf>
    <xf numFmtId="0" fontId="30" fillId="2" borderId="17" xfId="0" applyFont="1" applyFill="1" applyBorder="1"/>
    <xf numFmtId="0" fontId="25" fillId="2" borderId="1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32" fillId="2" borderId="17" xfId="0" applyFont="1" applyFill="1" applyBorder="1"/>
    <xf numFmtId="0" fontId="33" fillId="10" borderId="0" xfId="0" applyFont="1" applyFill="1" applyAlignment="1">
      <alignment horizontal="center"/>
    </xf>
    <xf numFmtId="0" fontId="34" fillId="10" borderId="17" xfId="0" applyFont="1" applyFill="1" applyBorder="1"/>
    <xf numFmtId="0" fontId="35" fillId="0" borderId="0" xfId="0" applyFont="1" applyAlignment="1">
      <alignment horizontal="center"/>
    </xf>
    <xf numFmtId="0" fontId="31" fillId="10" borderId="0" xfId="0" applyFont="1" applyFill="1" applyAlignment="1">
      <alignment horizontal="center"/>
    </xf>
    <xf numFmtId="0" fontId="35" fillId="0" borderId="0" xfId="0" applyFont="1"/>
    <xf numFmtId="0" fontId="36" fillId="0" borderId="0" xfId="0" applyFont="1"/>
    <xf numFmtId="0" fontId="18" fillId="3" borderId="17" xfId="0" applyFont="1" applyFill="1" applyBorder="1"/>
    <xf numFmtId="0" fontId="37" fillId="3" borderId="0" xfId="0" applyFont="1" applyFill="1"/>
    <xf numFmtId="0" fontId="37" fillId="3" borderId="17" xfId="0" applyFont="1" applyFill="1" applyBorder="1"/>
    <xf numFmtId="4" fontId="37" fillId="3" borderId="17" xfId="0" applyNumberFormat="1" applyFont="1" applyFill="1" applyBorder="1" applyAlignment="1">
      <alignment horizontal="right"/>
    </xf>
    <xf numFmtId="0" fontId="35" fillId="0" borderId="17" xfId="0" applyFont="1" applyBorder="1" applyAlignment="1">
      <alignment horizontal="right"/>
    </xf>
    <xf numFmtId="4" fontId="35" fillId="0" borderId="17" xfId="0" applyNumberFormat="1" applyFont="1" applyBorder="1" applyAlignment="1">
      <alignment horizontal="right"/>
    </xf>
    <xf numFmtId="0" fontId="31" fillId="11" borderId="0" xfId="0" applyFont="1" applyFill="1" applyAlignment="1">
      <alignment horizontal="center"/>
    </xf>
    <xf numFmtId="0" fontId="35" fillId="11" borderId="0" xfId="0" applyFont="1" applyFill="1"/>
    <xf numFmtId="0" fontId="15" fillId="0" borderId="0" xfId="0" applyFont="1"/>
    <xf numFmtId="0" fontId="38" fillId="0" borderId="0" xfId="0" applyFont="1"/>
    <xf numFmtId="0" fontId="15" fillId="3" borderId="17" xfId="0" applyFont="1" applyFill="1" applyBorder="1"/>
    <xf numFmtId="0" fontId="35" fillId="0" borderId="17" xfId="0" applyFont="1" applyBorder="1"/>
    <xf numFmtId="0" fontId="37" fillId="3" borderId="17" xfId="0" applyFont="1" applyFill="1" applyBorder="1" applyAlignment="1">
      <alignment horizontal="right"/>
    </xf>
    <xf numFmtId="0" fontId="39" fillId="11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4" fontId="35" fillId="3" borderId="17" xfId="0" applyNumberFormat="1" applyFont="1" applyFill="1" applyBorder="1" applyAlignment="1">
      <alignment horizontal="right"/>
    </xf>
    <xf numFmtId="0" fontId="35" fillId="3" borderId="0" xfId="0" applyFont="1" applyFill="1"/>
    <xf numFmtId="0" fontId="15" fillId="3" borderId="0" xfId="0" applyFont="1" applyFill="1"/>
    <xf numFmtId="0" fontId="38" fillId="3" borderId="0" xfId="0" applyFont="1" applyFill="1"/>
    <xf numFmtId="0" fontId="31" fillId="0" borderId="0" xfId="0" applyFont="1"/>
    <xf numFmtId="0" fontId="35" fillId="3" borderId="17" xfId="0" applyFont="1" applyFill="1" applyBorder="1"/>
    <xf numFmtId="0" fontId="35" fillId="3" borderId="17" xfId="0" applyFont="1" applyFill="1" applyBorder="1" applyAlignment="1">
      <alignment horizontal="right"/>
    </xf>
    <xf numFmtId="0" fontId="37" fillId="3" borderId="38" xfId="0" applyFont="1" applyFill="1" applyBorder="1"/>
    <xf numFmtId="0" fontId="37" fillId="3" borderId="39" xfId="0" applyFont="1" applyFill="1" applyBorder="1" applyAlignment="1">
      <alignment horizontal="right"/>
    </xf>
    <xf numFmtId="0" fontId="31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4" fillId="0" borderId="0" xfId="0" applyFont="1"/>
    <xf numFmtId="0" fontId="45" fillId="0" borderId="0" xfId="0" applyFont="1"/>
    <xf numFmtId="0" fontId="15" fillId="12" borderId="0" xfId="0" applyFont="1" applyFill="1"/>
    <xf numFmtId="0" fontId="35" fillId="0" borderId="20" xfId="0" applyFont="1" applyBorder="1"/>
    <xf numFmtId="0" fontId="37" fillId="3" borderId="20" xfId="0" applyFont="1" applyFill="1" applyBorder="1" applyAlignment="1">
      <alignment horizontal="right"/>
    </xf>
    <xf numFmtId="0" fontId="35" fillId="0" borderId="20" xfId="0" applyFont="1" applyBorder="1" applyAlignment="1">
      <alignment horizontal="right"/>
    </xf>
    <xf numFmtId="4" fontId="35" fillId="0" borderId="20" xfId="0" applyNumberFormat="1" applyFont="1" applyBorder="1" applyAlignment="1">
      <alignment horizontal="right"/>
    </xf>
    <xf numFmtId="0" fontId="46" fillId="0" borderId="0" xfId="0" applyFont="1" applyAlignment="1">
      <alignment horizontal="center"/>
    </xf>
    <xf numFmtId="0" fontId="47" fillId="0" borderId="0" xfId="0" applyFont="1"/>
    <xf numFmtId="0" fontId="22" fillId="3" borderId="0" xfId="0" applyFont="1" applyFill="1" applyAlignment="1">
      <alignment horizontal="left"/>
    </xf>
    <xf numFmtId="0" fontId="15" fillId="13" borderId="0" xfId="0" applyFont="1" applyFill="1"/>
    <xf numFmtId="0" fontId="48" fillId="0" borderId="0" xfId="0" applyFont="1"/>
    <xf numFmtId="0" fontId="13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top" wrapText="1"/>
    </xf>
    <xf numFmtId="0" fontId="13" fillId="2" borderId="4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5" fillId="2" borderId="14" xfId="0" applyFont="1" applyFill="1" applyBorder="1"/>
    <xf numFmtId="0" fontId="13" fillId="15" borderId="52" xfId="0" applyFont="1" applyFill="1" applyBorder="1" applyAlignment="1">
      <alignment horizontal="center" vertical="center" wrapText="1"/>
    </xf>
    <xf numFmtId="164" fontId="13" fillId="15" borderId="0" xfId="0" applyNumberFormat="1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5" fillId="2" borderId="53" xfId="0" applyFont="1" applyFill="1" applyBorder="1"/>
    <xf numFmtId="0" fontId="13" fillId="2" borderId="0" xfId="0" applyFont="1" applyFill="1" applyAlignment="1">
      <alignment horizontal="center" vertical="top" wrapText="1"/>
    </xf>
    <xf numFmtId="0" fontId="13" fillId="18" borderId="52" xfId="0" applyFont="1" applyFill="1" applyBorder="1" applyAlignment="1">
      <alignment horizontal="center" vertical="top" wrapText="1"/>
    </xf>
    <xf numFmtId="0" fontId="13" fillId="18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top" wrapText="1"/>
    </xf>
    <xf numFmtId="0" fontId="49" fillId="18" borderId="0" xfId="0" applyFont="1" applyFill="1" applyAlignment="1">
      <alignment horizontal="center" vertical="center" wrapText="1"/>
    </xf>
    <xf numFmtId="164" fontId="13" fillId="19" borderId="0" xfId="0" applyNumberFormat="1" applyFont="1" applyFill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 vertical="top" wrapText="1"/>
    </xf>
    <xf numFmtId="0" fontId="50" fillId="20" borderId="52" xfId="0" applyFont="1" applyFill="1" applyBorder="1" applyAlignment="1">
      <alignment horizontal="center" vertical="top" wrapText="1"/>
    </xf>
    <xf numFmtId="0" fontId="50" fillId="17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top" wrapText="1"/>
    </xf>
    <xf numFmtId="164" fontId="11" fillId="17" borderId="0" xfId="0" applyNumberFormat="1" applyFont="1" applyFill="1" applyAlignment="1">
      <alignment horizontal="center" vertical="top" wrapText="1"/>
    </xf>
    <xf numFmtId="164" fontId="11" fillId="8" borderId="0" xfId="0" applyNumberFormat="1" applyFont="1" applyFill="1" applyAlignment="1">
      <alignment horizontal="center" vertical="top" wrapText="1"/>
    </xf>
    <xf numFmtId="164" fontId="11" fillId="3" borderId="0" xfId="0" applyNumberFormat="1" applyFont="1" applyFill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top" wrapText="1"/>
    </xf>
    <xf numFmtId="0" fontId="11" fillId="8" borderId="52" xfId="0" applyFont="1" applyFill="1" applyBorder="1" applyAlignment="1">
      <alignment horizontal="center" vertical="top" wrapText="1"/>
    </xf>
    <xf numFmtId="0" fontId="50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top" wrapText="1"/>
    </xf>
    <xf numFmtId="0" fontId="51" fillId="8" borderId="0" xfId="0" applyFont="1" applyFill="1" applyAlignment="1">
      <alignment horizontal="center" vertical="center" wrapText="1"/>
    </xf>
    <xf numFmtId="0" fontId="13" fillId="14" borderId="52" xfId="0" applyFont="1" applyFill="1" applyBorder="1" applyAlignment="1">
      <alignment horizontal="center" vertical="top" wrapText="1"/>
    </xf>
    <xf numFmtId="164" fontId="11" fillId="22" borderId="0" xfId="0" applyNumberFormat="1" applyFont="1" applyFill="1" applyAlignment="1">
      <alignment horizontal="center" vertical="top" wrapText="1"/>
    </xf>
    <xf numFmtId="164" fontId="11" fillId="8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3" fillId="23" borderId="49" xfId="0" applyFont="1" applyFill="1" applyBorder="1" applyAlignment="1">
      <alignment horizontal="center" vertical="top" wrapText="1"/>
    </xf>
    <xf numFmtId="164" fontId="11" fillId="23" borderId="50" xfId="0" applyNumberFormat="1" applyFont="1" applyFill="1" applyBorder="1" applyAlignment="1">
      <alignment horizontal="center" vertical="top" wrapText="1"/>
    </xf>
    <xf numFmtId="0" fontId="11" fillId="20" borderId="52" xfId="0" applyFont="1" applyFill="1" applyBorder="1" applyAlignment="1">
      <alignment horizontal="center" vertical="top" wrapText="1"/>
    </xf>
    <xf numFmtId="0" fontId="13" fillId="24" borderId="49" xfId="0" applyFont="1" applyFill="1" applyBorder="1" applyAlignment="1">
      <alignment horizontal="center" vertical="top" wrapText="1"/>
    </xf>
    <xf numFmtId="164" fontId="52" fillId="24" borderId="50" xfId="0" applyNumberFormat="1" applyFont="1" applyFill="1" applyBorder="1"/>
    <xf numFmtId="0" fontId="11" fillId="3" borderId="0" xfId="0" applyFont="1" applyFill="1" applyAlignment="1">
      <alignment horizontal="center" vertical="center" wrapText="1"/>
    </xf>
    <xf numFmtId="0" fontId="13" fillId="25" borderId="49" xfId="0" applyFont="1" applyFill="1" applyBorder="1" applyAlignment="1">
      <alignment horizontal="center" vertical="top" wrapText="1"/>
    </xf>
    <xf numFmtId="164" fontId="11" fillId="25" borderId="50" xfId="0" applyNumberFormat="1" applyFont="1" applyFill="1" applyBorder="1" applyAlignment="1">
      <alignment horizontal="center" vertical="top" wrapText="1"/>
    </xf>
    <xf numFmtId="0" fontId="13" fillId="26" borderId="49" xfId="0" applyFont="1" applyFill="1" applyBorder="1" applyAlignment="1">
      <alignment horizontal="center" vertical="top" wrapText="1"/>
    </xf>
    <xf numFmtId="164" fontId="11" fillId="26" borderId="50" xfId="0" applyNumberFormat="1" applyFont="1" applyFill="1" applyBorder="1" applyAlignment="1">
      <alignment horizontal="center" vertical="top" wrapText="1"/>
    </xf>
    <xf numFmtId="0" fontId="11" fillId="27" borderId="52" xfId="0" applyFont="1" applyFill="1" applyBorder="1" applyAlignment="1">
      <alignment horizontal="center" vertical="top" wrapText="1"/>
    </xf>
    <xf numFmtId="0" fontId="13" fillId="28" borderId="49" xfId="0" applyFont="1" applyFill="1" applyBorder="1" applyAlignment="1">
      <alignment horizontal="center" vertical="top" wrapText="1"/>
    </xf>
    <xf numFmtId="164" fontId="11" fillId="28" borderId="50" xfId="0" applyNumberFormat="1" applyFont="1" applyFill="1" applyBorder="1" applyAlignment="1">
      <alignment horizontal="center" vertical="top" wrapText="1"/>
    </xf>
    <xf numFmtId="0" fontId="11" fillId="0" borderId="52" xfId="0" applyFont="1" applyBorder="1" applyAlignment="1">
      <alignment horizontal="center" vertical="top" wrapText="1"/>
    </xf>
    <xf numFmtId="0" fontId="13" fillId="29" borderId="49" xfId="0" applyFont="1" applyFill="1" applyBorder="1" applyAlignment="1">
      <alignment horizontal="center" vertical="top" wrapText="1"/>
    </xf>
    <xf numFmtId="164" fontId="11" fillId="29" borderId="50" xfId="0" applyNumberFormat="1" applyFont="1" applyFill="1" applyBorder="1" applyAlignment="1">
      <alignment horizontal="center" vertical="top" wrapText="1"/>
    </xf>
    <xf numFmtId="0" fontId="13" fillId="8" borderId="52" xfId="0" applyFont="1" applyFill="1" applyBorder="1" applyAlignment="1">
      <alignment horizontal="center" vertical="top" wrapText="1"/>
    </xf>
    <xf numFmtId="0" fontId="13" fillId="8" borderId="0" xfId="0" applyFont="1" applyFill="1" applyAlignment="1">
      <alignment horizontal="center" vertical="center" wrapText="1"/>
    </xf>
    <xf numFmtId="0" fontId="49" fillId="8" borderId="0" xfId="0" applyFont="1" applyFill="1" applyAlignment="1">
      <alignment horizontal="center" vertical="center" wrapText="1"/>
    </xf>
    <xf numFmtId="0" fontId="13" fillId="30" borderId="49" xfId="0" applyFont="1" applyFill="1" applyBorder="1" applyAlignment="1">
      <alignment horizontal="center" vertical="top" wrapText="1"/>
    </xf>
    <xf numFmtId="164" fontId="11" fillId="30" borderId="50" xfId="0" applyNumberFormat="1" applyFont="1" applyFill="1" applyBorder="1" applyAlignment="1">
      <alignment horizontal="center" vertical="top" wrapText="1"/>
    </xf>
    <xf numFmtId="164" fontId="11" fillId="3" borderId="54" xfId="0" applyNumberFormat="1" applyFont="1" applyFill="1" applyBorder="1" applyAlignment="1">
      <alignment horizontal="center" vertical="center" wrapText="1"/>
    </xf>
    <xf numFmtId="164" fontId="11" fillId="27" borderId="49" xfId="0" applyNumberFormat="1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right" vertical="center" wrapText="1"/>
    </xf>
    <xf numFmtId="0" fontId="11" fillId="8" borderId="46" xfId="0" applyFont="1" applyFill="1" applyBorder="1" applyAlignment="1">
      <alignment horizontal="center" vertical="top" wrapText="1"/>
    </xf>
    <xf numFmtId="0" fontId="11" fillId="8" borderId="47" xfId="0" applyFont="1" applyFill="1" applyBorder="1" applyAlignment="1">
      <alignment horizontal="center" vertical="top" wrapText="1"/>
    </xf>
    <xf numFmtId="164" fontId="11" fillId="8" borderId="47" xfId="0" applyNumberFormat="1" applyFont="1" applyFill="1" applyBorder="1" applyAlignment="1">
      <alignment horizontal="center" vertical="top" wrapText="1"/>
    </xf>
    <xf numFmtId="164" fontId="11" fillId="8" borderId="47" xfId="0" applyNumberFormat="1" applyFont="1" applyFill="1" applyBorder="1" applyAlignment="1">
      <alignment horizontal="center" vertical="center" wrapText="1"/>
    </xf>
    <xf numFmtId="0" fontId="11" fillId="2" borderId="55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top" wrapText="1"/>
    </xf>
    <xf numFmtId="0" fontId="50" fillId="0" borderId="0" xfId="0" applyFont="1" applyAlignment="1">
      <alignment horizontal="center" vertical="center" wrapText="1"/>
    </xf>
    <xf numFmtId="164" fontId="6" fillId="7" borderId="9" xfId="0" applyNumberFormat="1" applyFont="1" applyFill="1" applyBorder="1" applyAlignment="1">
      <alignment horizontal="center" vertical="center"/>
    </xf>
    <xf numFmtId="0" fontId="4" fillId="0" borderId="14" xfId="0" applyFont="1" applyBorder="1"/>
    <xf numFmtId="0" fontId="4" fillId="0" borderId="22" xfId="0" applyFont="1" applyBorder="1"/>
    <xf numFmtId="9" fontId="6" fillId="6" borderId="9" xfId="0" applyNumberFormat="1" applyFont="1" applyFill="1" applyBorder="1" applyAlignment="1">
      <alignment horizontal="center" vertical="center"/>
    </xf>
    <xf numFmtId="164" fontId="6" fillId="7" borderId="10" xfId="0" applyNumberFormat="1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23" xfId="0" applyFont="1" applyBorder="1"/>
    <xf numFmtId="164" fontId="7" fillId="7" borderId="9" xfId="0" applyNumberFormat="1" applyFont="1" applyFill="1" applyBorder="1" applyAlignment="1">
      <alignment horizontal="center" vertical="center"/>
    </xf>
    <xf numFmtId="164" fontId="6" fillId="7" borderId="15" xfId="0" applyNumberFormat="1" applyFont="1" applyFill="1" applyBorder="1" applyAlignment="1">
      <alignment horizontal="center" vertical="center"/>
    </xf>
    <xf numFmtId="164" fontId="6" fillId="7" borderId="9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10" fontId="6" fillId="7" borderId="10" xfId="0" applyNumberFormat="1" applyFont="1" applyFill="1" applyBorder="1" applyAlignment="1">
      <alignment horizontal="center" vertical="center"/>
    </xf>
    <xf numFmtId="10" fontId="6" fillId="7" borderId="9" xfId="0" applyNumberFormat="1" applyFont="1" applyFill="1" applyBorder="1" applyAlignment="1">
      <alignment horizontal="center" vertical="center"/>
    </xf>
    <xf numFmtId="164" fontId="17" fillId="7" borderId="9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0" fontId="6" fillId="7" borderId="15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164" fontId="6" fillId="6" borderId="15" xfId="0" applyNumberFormat="1" applyFont="1" applyFill="1" applyBorder="1" applyAlignment="1">
      <alignment horizontal="center" vertical="center"/>
    </xf>
    <xf numFmtId="9" fontId="6" fillId="6" borderId="15" xfId="0" applyNumberFormat="1" applyFont="1" applyFill="1" applyBorder="1" applyAlignment="1">
      <alignment horizontal="center" vertical="center"/>
    </xf>
    <xf numFmtId="164" fontId="6" fillId="7" borderId="20" xfId="0" applyNumberFormat="1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12" xfId="0" applyFont="1" applyBorder="1"/>
    <xf numFmtId="10" fontId="6" fillId="6" borderId="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top" wrapText="1"/>
    </xf>
    <xf numFmtId="0" fontId="13" fillId="2" borderId="49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4" fillId="0" borderId="51" xfId="0" applyFont="1" applyBorder="1"/>
    <xf numFmtId="0" fontId="11" fillId="19" borderId="41" xfId="0" applyFont="1" applyFill="1" applyBorder="1" applyAlignment="1">
      <alignment horizontal="center" vertical="top" wrapText="1"/>
    </xf>
    <xf numFmtId="0" fontId="4" fillId="0" borderId="42" xfId="0" applyFont="1" applyBorder="1"/>
    <xf numFmtId="0" fontId="4" fillId="0" borderId="43" xfId="0" applyFont="1" applyBorder="1"/>
    <xf numFmtId="0" fontId="4" fillId="0" borderId="52" xfId="0" applyFont="1" applyBorder="1"/>
    <xf numFmtId="0" fontId="4" fillId="0" borderId="54" xfId="0" applyFont="1" applyBorder="1"/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11" fillId="17" borderId="42" xfId="0" applyFont="1" applyFill="1" applyBorder="1" applyAlignment="1">
      <alignment horizontal="center" vertical="center" wrapText="1"/>
    </xf>
    <xf numFmtId="0" fontId="51" fillId="21" borderId="0" xfId="0" applyFont="1" applyFill="1" applyAlignment="1">
      <alignment horizontal="center" vertical="center" wrapText="1"/>
    </xf>
    <xf numFmtId="0" fontId="11" fillId="17" borderId="50" xfId="0" applyFont="1" applyFill="1" applyBorder="1" applyAlignment="1">
      <alignment horizontal="center" vertical="center" wrapText="1"/>
    </xf>
    <xf numFmtId="0" fontId="13" fillId="29" borderId="5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3" fillId="14" borderId="40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13" fillId="14" borderId="41" xfId="0" applyFont="1" applyFill="1" applyBorder="1" applyAlignment="1">
      <alignment horizontal="center" vertical="center" wrapText="1"/>
    </xf>
    <xf numFmtId="164" fontId="13" fillId="14" borderId="40" xfId="0" applyNumberFormat="1" applyFont="1" applyFill="1" applyBorder="1" applyAlignment="1">
      <alignment horizontal="center" vertical="center" wrapText="1"/>
    </xf>
    <xf numFmtId="0" fontId="13" fillId="30" borderId="50" xfId="0" applyFont="1" applyFill="1" applyBorder="1" applyAlignment="1">
      <alignment horizontal="center" vertical="center" wrapText="1"/>
    </xf>
    <xf numFmtId="0" fontId="13" fillId="23" borderId="50" xfId="0" applyFont="1" applyFill="1" applyBorder="1" applyAlignment="1">
      <alignment horizontal="center" vertical="center" wrapText="1"/>
    </xf>
    <xf numFmtId="0" fontId="13" fillId="28" borderId="50" xfId="0" applyFont="1" applyFill="1" applyBorder="1" applyAlignment="1">
      <alignment horizontal="center" vertical="center" wrapText="1"/>
    </xf>
    <xf numFmtId="0" fontId="13" fillId="26" borderId="50" xfId="0" applyFont="1" applyFill="1" applyBorder="1" applyAlignment="1">
      <alignment horizontal="center" vertical="center" wrapText="1"/>
    </xf>
    <xf numFmtId="0" fontId="13" fillId="25" borderId="50" xfId="0" applyFont="1" applyFill="1" applyBorder="1" applyAlignment="1">
      <alignment horizontal="center" vertical="center" wrapText="1"/>
    </xf>
    <xf numFmtId="0" fontId="13" fillId="24" borderId="50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3" fillId="2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1</xdr:row>
      <xdr:rowOff>638175</xdr:rowOff>
    </xdr:from>
    <xdr:ext cx="25812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62000" y="1115175"/>
          <a:ext cx="1818900" cy="427500"/>
        </a:xfrm>
        <a:prstGeom prst="rect">
          <a:avLst/>
        </a:prstGeom>
        <a:solidFill>
          <a:srgbClr val="43434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Adicionar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28575</xdr:rowOff>
    </xdr:from>
    <xdr:ext cx="2486025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40700" y="588400"/>
          <a:ext cx="2057400" cy="507000"/>
        </a:xfrm>
        <a:prstGeom prst="rect">
          <a:avLst/>
        </a:prstGeom>
        <a:solidFill>
          <a:srgbClr val="43434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Adicionar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1</xdr:row>
      <xdr:rowOff>276225</xdr:rowOff>
    </xdr:from>
    <xdr:ext cx="1905000" cy="714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763200" y="846825"/>
          <a:ext cx="2087100" cy="556500"/>
        </a:xfrm>
        <a:prstGeom prst="rect">
          <a:avLst/>
        </a:prstGeom>
        <a:solidFill>
          <a:srgbClr val="43434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Gerar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123825</xdr:rowOff>
    </xdr:from>
    <xdr:ext cx="2133600" cy="5715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23025" y="926325"/>
          <a:ext cx="2117100" cy="556500"/>
        </a:xfrm>
        <a:prstGeom prst="rect">
          <a:avLst/>
        </a:prstGeom>
        <a:solidFill>
          <a:srgbClr val="666666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highlight>
                <a:srgbClr val="666666"/>
              </a:highlight>
            </a:rPr>
            <a:t>Adicionar 12 linhas</a:t>
          </a:r>
          <a:endParaRPr sz="1400" b="1">
            <a:solidFill>
              <a:srgbClr val="FFFFFF"/>
            </a:solidFill>
            <a:highlight>
              <a:srgbClr val="666666"/>
            </a:highlight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6"/>
  <sheetViews>
    <sheetView zoomScale="76" zoomScaleNormal="76" workbookViewId="0">
      <pane ySplit="4" topLeftCell="A105" activePane="bottomLeft" state="frozen"/>
      <selection pane="bottomLeft" activeCell="E95" sqref="E95"/>
    </sheetView>
  </sheetViews>
  <sheetFormatPr defaultColWidth="14.44140625" defaultRowHeight="15" customHeight="1"/>
  <cols>
    <col min="1" max="1" width="5.109375" customWidth="1"/>
    <col min="2" max="2" width="38" customWidth="1"/>
    <col min="3" max="3" width="65.5546875" customWidth="1"/>
    <col min="4" max="4" width="7.33203125" customWidth="1"/>
    <col min="5" max="5" width="8.44140625" customWidth="1"/>
    <col min="6" max="6" width="12.109375" customWidth="1"/>
    <col min="7" max="7" width="19.6640625" customWidth="1"/>
    <col min="8" max="8" width="18.44140625" customWidth="1"/>
    <col min="9" max="9" width="27.109375" customWidth="1"/>
    <col min="10" max="10" width="21" customWidth="1"/>
    <col min="11" max="11" width="37.5546875" customWidth="1"/>
    <col min="12" max="13" width="43.6640625" customWidth="1"/>
    <col min="14" max="14" width="5.109375" customWidth="1"/>
  </cols>
  <sheetData>
    <row r="1" spans="1:14" ht="22.5" customHeight="1">
      <c r="A1" s="302" t="s">
        <v>0</v>
      </c>
      <c r="B1" s="303"/>
      <c r="C1" s="303"/>
      <c r="D1" s="303"/>
      <c r="E1" s="303"/>
      <c r="F1" s="303"/>
      <c r="G1" s="303"/>
      <c r="H1" s="303"/>
      <c r="I1" s="2"/>
      <c r="J1" s="2"/>
      <c r="K1" s="2"/>
      <c r="L1" s="2"/>
      <c r="M1" s="2"/>
      <c r="N1" s="1" t="s">
        <v>0</v>
      </c>
    </row>
    <row r="2" spans="1:14" ht="52.5" customHeight="1">
      <c r="A2" s="303"/>
      <c r="B2" s="303"/>
      <c r="C2" s="303"/>
      <c r="D2" s="303"/>
      <c r="E2" s="303"/>
      <c r="F2" s="303"/>
      <c r="G2" s="303"/>
      <c r="H2" s="303"/>
      <c r="I2" s="2"/>
      <c r="J2" s="2"/>
      <c r="K2" s="2"/>
      <c r="L2" s="2"/>
      <c r="M2" s="2"/>
      <c r="N2" s="1"/>
    </row>
    <row r="3" spans="1:14" ht="52.5" customHeight="1">
      <c r="A3" s="3"/>
      <c r="B3" s="4"/>
      <c r="C3" s="304"/>
      <c r="D3" s="305"/>
      <c r="E3" s="305"/>
      <c r="F3" s="305"/>
      <c r="G3" s="305"/>
      <c r="H3" s="305"/>
      <c r="I3" s="305"/>
      <c r="J3" s="305"/>
      <c r="K3" s="305"/>
      <c r="L3" s="305"/>
      <c r="M3" s="306"/>
      <c r="N3" s="3"/>
    </row>
    <row r="4" spans="1:14" ht="63.6">
      <c r="A4" s="3"/>
      <c r="B4" s="5" t="s">
        <v>1</v>
      </c>
      <c r="C4" s="6" t="s">
        <v>2</v>
      </c>
      <c r="D4" s="7" t="s">
        <v>3</v>
      </c>
      <c r="E4" s="7" t="s">
        <v>4</v>
      </c>
      <c r="F4" s="8" t="s">
        <v>5</v>
      </c>
      <c r="G4" s="8" t="s">
        <v>6</v>
      </c>
      <c r="H4" s="9" t="s">
        <v>7</v>
      </c>
      <c r="I4" s="10" t="s">
        <v>8</v>
      </c>
      <c r="J4" s="11" t="s">
        <v>7</v>
      </c>
      <c r="K4" s="11" t="s">
        <v>9</v>
      </c>
      <c r="L4" s="11" t="s">
        <v>10</v>
      </c>
      <c r="M4" s="11" t="s">
        <v>11</v>
      </c>
      <c r="N4" s="3"/>
    </row>
    <row r="5" spans="1:14" ht="63.6">
      <c r="A5" s="3"/>
      <c r="B5" s="12" t="s">
        <v>12</v>
      </c>
      <c r="C5" s="13" t="s">
        <v>13</v>
      </c>
      <c r="D5" s="14" t="s">
        <v>14</v>
      </c>
      <c r="E5" s="14">
        <v>1</v>
      </c>
      <c r="F5" s="15">
        <v>194.56</v>
      </c>
      <c r="G5" s="15">
        <f t="shared" ref="G5:G28" si="0">SUM(E5*F5)</f>
        <v>194.56</v>
      </c>
      <c r="H5" s="299">
        <f>SUM(G5:G16)</f>
        <v>390.21</v>
      </c>
      <c r="I5" s="295">
        <v>2.1</v>
      </c>
      <c r="J5" s="292">
        <f>SUM(H4:H15)</f>
        <v>390.21</v>
      </c>
      <c r="K5" s="292">
        <f>SUM(I5*J5)</f>
        <v>819.44100000000003</v>
      </c>
      <c r="L5" s="296">
        <f>SUM(J5+K5)</f>
        <v>1209.6510000000001</v>
      </c>
      <c r="M5" s="307">
        <v>0.67720000000000002</v>
      </c>
      <c r="N5" s="3"/>
    </row>
    <row r="6" spans="1:14" ht="63.6">
      <c r="A6" s="3"/>
      <c r="B6" s="16" t="s">
        <v>15</v>
      </c>
      <c r="C6" s="17" t="s">
        <v>16</v>
      </c>
      <c r="D6" s="18" t="s">
        <v>3</v>
      </c>
      <c r="E6" s="19">
        <v>0</v>
      </c>
      <c r="F6" s="20">
        <v>2.59</v>
      </c>
      <c r="G6" s="21">
        <f t="shared" si="0"/>
        <v>0</v>
      </c>
      <c r="H6" s="293"/>
      <c r="I6" s="293"/>
      <c r="J6" s="293"/>
      <c r="K6" s="293"/>
      <c r="L6" s="297"/>
      <c r="M6" s="297"/>
      <c r="N6" s="3"/>
    </row>
    <row r="7" spans="1:14" ht="63.6">
      <c r="A7" s="3"/>
      <c r="B7" s="22" t="s">
        <v>17</v>
      </c>
      <c r="C7" s="23" t="s">
        <v>18</v>
      </c>
      <c r="D7" s="24" t="s">
        <v>19</v>
      </c>
      <c r="E7" s="25">
        <v>4</v>
      </c>
      <c r="F7" s="26">
        <v>13.6</v>
      </c>
      <c r="G7" s="27">
        <f t="shared" si="0"/>
        <v>54.4</v>
      </c>
      <c r="H7" s="293"/>
      <c r="I7" s="293"/>
      <c r="J7" s="293"/>
      <c r="K7" s="293"/>
      <c r="L7" s="297"/>
      <c r="M7" s="297"/>
      <c r="N7" s="3"/>
    </row>
    <row r="8" spans="1:14" ht="63.6">
      <c r="A8" s="3"/>
      <c r="B8" s="22" t="s">
        <v>20</v>
      </c>
      <c r="C8" s="23" t="s">
        <v>21</v>
      </c>
      <c r="D8" s="24" t="s">
        <v>3</v>
      </c>
      <c r="E8" s="25">
        <v>10</v>
      </c>
      <c r="F8" s="26">
        <v>0.19</v>
      </c>
      <c r="G8" s="27">
        <f t="shared" si="0"/>
        <v>1.9</v>
      </c>
      <c r="H8" s="293"/>
      <c r="I8" s="293"/>
      <c r="J8" s="293"/>
      <c r="K8" s="293"/>
      <c r="L8" s="297"/>
      <c r="M8" s="297"/>
      <c r="N8" s="3"/>
    </row>
    <row r="9" spans="1:14" ht="63.6">
      <c r="A9" s="3"/>
      <c r="B9" s="22" t="s">
        <v>22</v>
      </c>
      <c r="C9" s="23" t="s">
        <v>23</v>
      </c>
      <c r="D9" s="24" t="s">
        <v>3</v>
      </c>
      <c r="E9" s="25">
        <v>10</v>
      </c>
      <c r="F9" s="26">
        <v>0.3</v>
      </c>
      <c r="G9" s="27">
        <f t="shared" si="0"/>
        <v>3</v>
      </c>
      <c r="H9" s="293"/>
      <c r="I9" s="293"/>
      <c r="J9" s="293"/>
      <c r="K9" s="293"/>
      <c r="L9" s="297"/>
      <c r="M9" s="297"/>
      <c r="N9" s="3"/>
    </row>
    <row r="10" spans="1:14" ht="63.6">
      <c r="A10" s="3"/>
      <c r="B10" s="22" t="s">
        <v>24</v>
      </c>
      <c r="C10" s="23" t="s">
        <v>25</v>
      </c>
      <c r="D10" s="24" t="s">
        <v>3</v>
      </c>
      <c r="E10" s="25">
        <v>1</v>
      </c>
      <c r="F10" s="26">
        <v>0.15</v>
      </c>
      <c r="G10" s="27">
        <f t="shared" si="0"/>
        <v>0.15</v>
      </c>
      <c r="H10" s="293"/>
      <c r="I10" s="293"/>
      <c r="J10" s="293"/>
      <c r="K10" s="293"/>
      <c r="L10" s="297"/>
      <c r="M10" s="297"/>
      <c r="N10" s="3"/>
    </row>
    <row r="11" spans="1:14" ht="63.6">
      <c r="A11" s="3"/>
      <c r="B11" s="22" t="s">
        <v>26</v>
      </c>
      <c r="C11" s="23" t="s">
        <v>27</v>
      </c>
      <c r="D11" s="24" t="s">
        <v>3</v>
      </c>
      <c r="E11" s="25">
        <v>75</v>
      </c>
      <c r="F11" s="26">
        <v>1.3</v>
      </c>
      <c r="G11" s="27">
        <f t="shared" si="0"/>
        <v>97.5</v>
      </c>
      <c r="H11" s="293"/>
      <c r="I11" s="293"/>
      <c r="J11" s="293"/>
      <c r="K11" s="293"/>
      <c r="L11" s="297"/>
      <c r="M11" s="297"/>
      <c r="N11" s="3"/>
    </row>
    <row r="12" spans="1:14" ht="63.6">
      <c r="A12" s="3"/>
      <c r="B12" s="22" t="s">
        <v>28</v>
      </c>
      <c r="C12" s="23" t="s">
        <v>29</v>
      </c>
      <c r="D12" s="24" t="s">
        <v>3</v>
      </c>
      <c r="E12" s="25">
        <v>70</v>
      </c>
      <c r="F12" s="26">
        <v>0.14000000000000001</v>
      </c>
      <c r="G12" s="27">
        <f t="shared" si="0"/>
        <v>9.8000000000000007</v>
      </c>
      <c r="H12" s="293"/>
      <c r="I12" s="293"/>
      <c r="J12" s="293"/>
      <c r="K12" s="293"/>
      <c r="L12" s="297"/>
      <c r="M12" s="297"/>
      <c r="N12" s="3"/>
    </row>
    <row r="13" spans="1:14" ht="63.6">
      <c r="A13" s="3"/>
      <c r="B13" s="22" t="s">
        <v>30</v>
      </c>
      <c r="C13" s="23" t="s">
        <v>31</v>
      </c>
      <c r="D13" s="24" t="s">
        <v>3</v>
      </c>
      <c r="E13" s="25">
        <v>1</v>
      </c>
      <c r="F13" s="26">
        <v>23.9</v>
      </c>
      <c r="G13" s="27">
        <f t="shared" si="0"/>
        <v>23.9</v>
      </c>
      <c r="H13" s="293"/>
      <c r="I13" s="293"/>
      <c r="J13" s="293"/>
      <c r="K13" s="293"/>
      <c r="L13" s="297"/>
      <c r="M13" s="297"/>
      <c r="N13" s="3"/>
    </row>
    <row r="14" spans="1:14" ht="63.6">
      <c r="A14" s="3"/>
      <c r="B14" s="22" t="s">
        <v>32</v>
      </c>
      <c r="C14" s="23" t="s">
        <v>33</v>
      </c>
      <c r="D14" s="24" t="s">
        <v>3</v>
      </c>
      <c r="E14" s="25">
        <v>2</v>
      </c>
      <c r="F14" s="26">
        <v>2.5</v>
      </c>
      <c r="G14" s="27">
        <f t="shared" si="0"/>
        <v>5</v>
      </c>
      <c r="H14" s="293"/>
      <c r="I14" s="293"/>
      <c r="J14" s="293"/>
      <c r="K14" s="293"/>
      <c r="L14" s="297"/>
      <c r="M14" s="297"/>
      <c r="N14" s="3"/>
    </row>
    <row r="15" spans="1:14" ht="63.6">
      <c r="A15" s="3"/>
      <c r="B15" s="22" t="s">
        <v>34</v>
      </c>
      <c r="C15" s="23" t="s">
        <v>35</v>
      </c>
      <c r="D15" s="24" t="s">
        <v>3</v>
      </c>
      <c r="E15" s="28">
        <v>0</v>
      </c>
      <c r="F15" s="26">
        <v>2</v>
      </c>
      <c r="G15" s="27">
        <f t="shared" si="0"/>
        <v>0</v>
      </c>
      <c r="H15" s="293"/>
      <c r="I15" s="293"/>
      <c r="J15" s="293"/>
      <c r="K15" s="293"/>
      <c r="L15" s="297"/>
      <c r="M15" s="297"/>
      <c r="N15" s="3"/>
    </row>
    <row r="16" spans="1:14" ht="63.6">
      <c r="A16" s="3"/>
      <c r="B16" s="29" t="s">
        <v>36</v>
      </c>
      <c r="C16" s="30"/>
      <c r="D16" s="31" t="s">
        <v>3</v>
      </c>
      <c r="E16" s="32"/>
      <c r="F16" s="33"/>
      <c r="G16" s="34">
        <f t="shared" si="0"/>
        <v>0</v>
      </c>
      <c r="H16" s="294"/>
      <c r="I16" s="294"/>
      <c r="J16" s="294"/>
      <c r="K16" s="294"/>
      <c r="L16" s="298"/>
      <c r="M16" s="298"/>
      <c r="N16" s="3"/>
    </row>
    <row r="17" spans="1:14" ht="63.6">
      <c r="A17" s="3"/>
      <c r="B17" s="12" t="s">
        <v>38</v>
      </c>
      <c r="C17" s="13" t="s">
        <v>39</v>
      </c>
      <c r="D17" s="14" t="s">
        <v>14</v>
      </c>
      <c r="E17" s="14">
        <v>1</v>
      </c>
      <c r="F17" s="15">
        <v>194.56</v>
      </c>
      <c r="G17" s="15">
        <f t="shared" si="0"/>
        <v>194.56</v>
      </c>
      <c r="H17" s="299">
        <f>SUM(G17:G28)</f>
        <v>356.2</v>
      </c>
      <c r="I17" s="295">
        <v>2.0982400000000001</v>
      </c>
      <c r="J17" s="292">
        <f>SUM(G16:G27)</f>
        <v>354.90999999999997</v>
      </c>
      <c r="K17" s="292">
        <f>SUM(I17*J17)</f>
        <v>744.68635840000002</v>
      </c>
      <c r="L17" s="296">
        <f>SUM(J17+K17)</f>
        <v>1099.5963584000001</v>
      </c>
      <c r="M17" s="296"/>
      <c r="N17" s="3"/>
    </row>
    <row r="18" spans="1:14" ht="63.6">
      <c r="A18" s="3"/>
      <c r="B18" s="16" t="s">
        <v>15</v>
      </c>
      <c r="C18" s="17" t="s">
        <v>16</v>
      </c>
      <c r="D18" s="18" t="s">
        <v>3</v>
      </c>
      <c r="E18" s="19">
        <v>0</v>
      </c>
      <c r="F18" s="20">
        <v>2.59</v>
      </c>
      <c r="G18" s="21">
        <f t="shared" si="0"/>
        <v>0</v>
      </c>
      <c r="H18" s="293"/>
      <c r="I18" s="293"/>
      <c r="J18" s="293"/>
      <c r="K18" s="293"/>
      <c r="L18" s="297"/>
      <c r="M18" s="297"/>
      <c r="N18" s="3"/>
    </row>
    <row r="19" spans="1:14" ht="63.6">
      <c r="A19" s="3"/>
      <c r="B19" s="22" t="s">
        <v>17</v>
      </c>
      <c r="C19" s="23" t="s">
        <v>18</v>
      </c>
      <c r="D19" s="24" t="s">
        <v>19</v>
      </c>
      <c r="E19" s="25">
        <v>4</v>
      </c>
      <c r="F19" s="26">
        <v>13.6</v>
      </c>
      <c r="G19" s="27">
        <f t="shared" si="0"/>
        <v>54.4</v>
      </c>
      <c r="H19" s="293"/>
      <c r="I19" s="293"/>
      <c r="J19" s="293"/>
      <c r="K19" s="293"/>
      <c r="L19" s="297"/>
      <c r="M19" s="297"/>
      <c r="N19" s="3"/>
    </row>
    <row r="20" spans="1:14" ht="63.6">
      <c r="A20" s="3"/>
      <c r="B20" s="22" t="s">
        <v>20</v>
      </c>
      <c r="C20" s="23" t="s">
        <v>21</v>
      </c>
      <c r="D20" s="24" t="s">
        <v>3</v>
      </c>
      <c r="E20" s="25">
        <v>10</v>
      </c>
      <c r="F20" s="26">
        <v>0.19</v>
      </c>
      <c r="G20" s="27">
        <f t="shared" si="0"/>
        <v>1.9</v>
      </c>
      <c r="H20" s="293"/>
      <c r="I20" s="293"/>
      <c r="J20" s="293"/>
      <c r="K20" s="293"/>
      <c r="L20" s="297"/>
      <c r="M20" s="297"/>
      <c r="N20" s="3"/>
    </row>
    <row r="21" spans="1:14" ht="63.6">
      <c r="A21" s="3"/>
      <c r="B21" s="22" t="s">
        <v>22</v>
      </c>
      <c r="C21" s="23" t="s">
        <v>23</v>
      </c>
      <c r="D21" s="24" t="s">
        <v>3</v>
      </c>
      <c r="E21" s="25">
        <v>10</v>
      </c>
      <c r="F21" s="26">
        <v>0.3</v>
      </c>
      <c r="G21" s="27">
        <f t="shared" si="0"/>
        <v>3</v>
      </c>
      <c r="H21" s="293"/>
      <c r="I21" s="293"/>
      <c r="J21" s="293"/>
      <c r="K21" s="293"/>
      <c r="L21" s="297"/>
      <c r="M21" s="297"/>
      <c r="N21" s="3"/>
    </row>
    <row r="22" spans="1:14" ht="63.6">
      <c r="A22" s="3"/>
      <c r="B22" s="22" t="s">
        <v>24</v>
      </c>
      <c r="C22" s="23" t="s">
        <v>25</v>
      </c>
      <c r="D22" s="24" t="s">
        <v>3</v>
      </c>
      <c r="E22" s="25">
        <v>1</v>
      </c>
      <c r="F22" s="26">
        <v>0.15</v>
      </c>
      <c r="G22" s="27">
        <f t="shared" si="0"/>
        <v>0.15</v>
      </c>
      <c r="H22" s="293"/>
      <c r="I22" s="293"/>
      <c r="J22" s="293"/>
      <c r="K22" s="293"/>
      <c r="L22" s="297"/>
      <c r="M22" s="297"/>
      <c r="N22" s="3"/>
    </row>
    <row r="23" spans="1:14" ht="63.6">
      <c r="A23" s="3"/>
      <c r="B23" s="22" t="s">
        <v>26</v>
      </c>
      <c r="C23" s="23" t="s">
        <v>27</v>
      </c>
      <c r="D23" s="24" t="s">
        <v>3</v>
      </c>
      <c r="E23" s="25">
        <v>50</v>
      </c>
      <c r="F23" s="26">
        <v>1.3</v>
      </c>
      <c r="G23" s="27">
        <f t="shared" si="0"/>
        <v>65</v>
      </c>
      <c r="H23" s="293"/>
      <c r="I23" s="293"/>
      <c r="J23" s="293"/>
      <c r="K23" s="293"/>
      <c r="L23" s="297"/>
      <c r="M23" s="297"/>
      <c r="N23" s="3"/>
    </row>
    <row r="24" spans="1:14" ht="63.6">
      <c r="A24" s="3"/>
      <c r="B24" s="22" t="s">
        <v>28</v>
      </c>
      <c r="C24" s="23" t="s">
        <v>29</v>
      </c>
      <c r="D24" s="24" t="s">
        <v>3</v>
      </c>
      <c r="E24" s="25">
        <v>50</v>
      </c>
      <c r="F24" s="26">
        <v>0.14000000000000001</v>
      </c>
      <c r="G24" s="27">
        <f t="shared" si="0"/>
        <v>7.0000000000000009</v>
      </c>
      <c r="H24" s="293"/>
      <c r="I24" s="293"/>
      <c r="J24" s="293"/>
      <c r="K24" s="293"/>
      <c r="L24" s="297"/>
      <c r="M24" s="297"/>
      <c r="N24" s="3"/>
    </row>
    <row r="25" spans="1:14" ht="63.6">
      <c r="A25" s="3"/>
      <c r="B25" s="22" t="s">
        <v>30</v>
      </c>
      <c r="C25" s="23" t="s">
        <v>31</v>
      </c>
      <c r="D25" s="24" t="s">
        <v>3</v>
      </c>
      <c r="E25" s="25">
        <v>1</v>
      </c>
      <c r="F25" s="26">
        <v>23.9</v>
      </c>
      <c r="G25" s="27">
        <f t="shared" si="0"/>
        <v>23.9</v>
      </c>
      <c r="H25" s="293"/>
      <c r="I25" s="293"/>
      <c r="J25" s="293"/>
      <c r="K25" s="293"/>
      <c r="L25" s="297"/>
      <c r="M25" s="297"/>
      <c r="N25" s="3"/>
    </row>
    <row r="26" spans="1:14" ht="63.6">
      <c r="A26" s="3"/>
      <c r="B26" s="22" t="s">
        <v>32</v>
      </c>
      <c r="C26" s="23" t="s">
        <v>33</v>
      </c>
      <c r="D26" s="24" t="s">
        <v>3</v>
      </c>
      <c r="E26" s="25">
        <v>2</v>
      </c>
      <c r="F26" s="26">
        <v>2.5</v>
      </c>
      <c r="G26" s="27">
        <f t="shared" si="0"/>
        <v>5</v>
      </c>
      <c r="H26" s="293"/>
      <c r="I26" s="293"/>
      <c r="J26" s="293"/>
      <c r="K26" s="293"/>
      <c r="L26" s="297"/>
      <c r="M26" s="297"/>
      <c r="N26" s="3"/>
    </row>
    <row r="27" spans="1:14" ht="63.6">
      <c r="A27" s="3"/>
      <c r="B27" s="22" t="s">
        <v>34</v>
      </c>
      <c r="C27" s="23" t="s">
        <v>35</v>
      </c>
      <c r="D27" s="24" t="s">
        <v>3</v>
      </c>
      <c r="E27" s="28">
        <v>0</v>
      </c>
      <c r="F27" s="26">
        <v>2</v>
      </c>
      <c r="G27" s="27">
        <f t="shared" si="0"/>
        <v>0</v>
      </c>
      <c r="H27" s="293"/>
      <c r="I27" s="293"/>
      <c r="J27" s="293"/>
      <c r="K27" s="293"/>
      <c r="L27" s="297"/>
      <c r="M27" s="297"/>
      <c r="N27" s="3"/>
    </row>
    <row r="28" spans="1:14" ht="63.6">
      <c r="A28" s="3"/>
      <c r="B28" s="22" t="s">
        <v>36</v>
      </c>
      <c r="C28" s="23" t="s">
        <v>37</v>
      </c>
      <c r="D28" s="24" t="s">
        <v>3</v>
      </c>
      <c r="E28" s="28">
        <v>0.1</v>
      </c>
      <c r="F28" s="26">
        <v>12.9</v>
      </c>
      <c r="G28" s="27">
        <f t="shared" si="0"/>
        <v>1.29</v>
      </c>
      <c r="H28" s="294"/>
      <c r="I28" s="294"/>
      <c r="J28" s="294"/>
      <c r="K28" s="294"/>
      <c r="L28" s="298"/>
      <c r="M28" s="298"/>
      <c r="N28" s="3"/>
    </row>
    <row r="29" spans="1:14" ht="63.6">
      <c r="A29" s="3"/>
      <c r="B29" s="12" t="s">
        <v>40</v>
      </c>
      <c r="C29" s="13" t="s">
        <v>41</v>
      </c>
      <c r="D29" s="14" t="s">
        <v>14</v>
      </c>
      <c r="E29" s="14">
        <v>1</v>
      </c>
      <c r="F29" s="15">
        <v>284</v>
      </c>
      <c r="G29" s="15">
        <v>284</v>
      </c>
      <c r="H29" s="299">
        <f>SUM(G29:G40)</f>
        <v>444.47899999999993</v>
      </c>
      <c r="I29" s="295">
        <v>2.0982400000000001</v>
      </c>
      <c r="J29" s="292">
        <f>SUM(G29:G39)</f>
        <v>444.34999999999991</v>
      </c>
      <c r="K29" s="292">
        <f>SUM(I29*J29)</f>
        <v>932.35294399999987</v>
      </c>
      <c r="L29" s="296">
        <f>SUM(J29+K29)</f>
        <v>1376.7029439999997</v>
      </c>
      <c r="M29" s="296"/>
      <c r="N29" s="3"/>
    </row>
    <row r="30" spans="1:14" ht="63.6">
      <c r="A30" s="3"/>
      <c r="B30" s="16" t="s">
        <v>15</v>
      </c>
      <c r="C30" s="17" t="s">
        <v>16</v>
      </c>
      <c r="D30" s="18" t="s">
        <v>3</v>
      </c>
      <c r="E30" s="19">
        <v>0</v>
      </c>
      <c r="F30" s="20">
        <v>2.59</v>
      </c>
      <c r="G30" s="21">
        <f t="shared" ref="G30:G40" si="1">SUM(E30*F30)</f>
        <v>0</v>
      </c>
      <c r="H30" s="293"/>
      <c r="I30" s="293"/>
      <c r="J30" s="293"/>
      <c r="K30" s="293"/>
      <c r="L30" s="297"/>
      <c r="M30" s="297"/>
      <c r="N30" s="3"/>
    </row>
    <row r="31" spans="1:14" ht="63.6">
      <c r="A31" s="3"/>
      <c r="B31" s="22" t="s">
        <v>17</v>
      </c>
      <c r="C31" s="23" t="s">
        <v>18</v>
      </c>
      <c r="D31" s="24" t="s">
        <v>19</v>
      </c>
      <c r="E31" s="25">
        <v>4</v>
      </c>
      <c r="F31" s="26">
        <v>13.6</v>
      </c>
      <c r="G31" s="27">
        <f t="shared" si="1"/>
        <v>54.4</v>
      </c>
      <c r="H31" s="293"/>
      <c r="I31" s="293"/>
      <c r="J31" s="293"/>
      <c r="K31" s="293"/>
      <c r="L31" s="297"/>
      <c r="M31" s="297"/>
      <c r="N31" s="3"/>
    </row>
    <row r="32" spans="1:14" ht="63.6">
      <c r="A32" s="3"/>
      <c r="B32" s="22" t="s">
        <v>20</v>
      </c>
      <c r="C32" s="23" t="s">
        <v>21</v>
      </c>
      <c r="D32" s="24" t="s">
        <v>3</v>
      </c>
      <c r="E32" s="25">
        <v>10</v>
      </c>
      <c r="F32" s="26">
        <v>0.19</v>
      </c>
      <c r="G32" s="27">
        <f t="shared" si="1"/>
        <v>1.9</v>
      </c>
      <c r="H32" s="293"/>
      <c r="I32" s="293"/>
      <c r="J32" s="293"/>
      <c r="K32" s="293"/>
      <c r="L32" s="297"/>
      <c r="M32" s="297"/>
      <c r="N32" s="3"/>
    </row>
    <row r="33" spans="1:14" ht="63.6">
      <c r="A33" s="3"/>
      <c r="B33" s="22" t="s">
        <v>22</v>
      </c>
      <c r="C33" s="23" t="s">
        <v>23</v>
      </c>
      <c r="D33" s="24" t="s">
        <v>3</v>
      </c>
      <c r="E33" s="25">
        <v>10</v>
      </c>
      <c r="F33" s="26">
        <v>0.3</v>
      </c>
      <c r="G33" s="27">
        <f t="shared" si="1"/>
        <v>3</v>
      </c>
      <c r="H33" s="293"/>
      <c r="I33" s="293"/>
      <c r="J33" s="293"/>
      <c r="K33" s="293"/>
      <c r="L33" s="297"/>
      <c r="M33" s="297"/>
      <c r="N33" s="3"/>
    </row>
    <row r="34" spans="1:14" ht="63.6">
      <c r="A34" s="3"/>
      <c r="B34" s="22" t="s">
        <v>24</v>
      </c>
      <c r="C34" s="23" t="s">
        <v>25</v>
      </c>
      <c r="D34" s="24" t="s">
        <v>3</v>
      </c>
      <c r="E34" s="25">
        <v>1</v>
      </c>
      <c r="F34" s="26">
        <v>0.15</v>
      </c>
      <c r="G34" s="27">
        <f t="shared" si="1"/>
        <v>0.15</v>
      </c>
      <c r="H34" s="293"/>
      <c r="I34" s="293"/>
      <c r="J34" s="293"/>
      <c r="K34" s="293"/>
      <c r="L34" s="297"/>
      <c r="M34" s="297"/>
      <c r="N34" s="3"/>
    </row>
    <row r="35" spans="1:14" ht="63.6">
      <c r="A35" s="3"/>
      <c r="B35" s="22" t="s">
        <v>26</v>
      </c>
      <c r="C35" s="23" t="s">
        <v>27</v>
      </c>
      <c r="D35" s="24" t="s">
        <v>3</v>
      </c>
      <c r="E35" s="25">
        <v>50</v>
      </c>
      <c r="F35" s="26">
        <v>1.3</v>
      </c>
      <c r="G35" s="27">
        <f t="shared" si="1"/>
        <v>65</v>
      </c>
      <c r="H35" s="293"/>
      <c r="I35" s="293"/>
      <c r="J35" s="293"/>
      <c r="K35" s="293"/>
      <c r="L35" s="297"/>
      <c r="M35" s="297"/>
      <c r="N35" s="3"/>
    </row>
    <row r="36" spans="1:14" ht="63.6">
      <c r="A36" s="3"/>
      <c r="B36" s="22" t="s">
        <v>28</v>
      </c>
      <c r="C36" s="23" t="s">
        <v>29</v>
      </c>
      <c r="D36" s="24" t="s">
        <v>3</v>
      </c>
      <c r="E36" s="25">
        <v>50</v>
      </c>
      <c r="F36" s="26">
        <v>0.14000000000000001</v>
      </c>
      <c r="G36" s="27">
        <f t="shared" si="1"/>
        <v>7.0000000000000009</v>
      </c>
      <c r="H36" s="293"/>
      <c r="I36" s="293"/>
      <c r="J36" s="293"/>
      <c r="K36" s="293"/>
      <c r="L36" s="297"/>
      <c r="M36" s="297"/>
      <c r="N36" s="3"/>
    </row>
    <row r="37" spans="1:14" ht="63.6">
      <c r="A37" s="3"/>
      <c r="B37" s="22" t="s">
        <v>30</v>
      </c>
      <c r="C37" s="23" t="s">
        <v>31</v>
      </c>
      <c r="D37" s="24" t="s">
        <v>3</v>
      </c>
      <c r="E37" s="25">
        <v>1</v>
      </c>
      <c r="F37" s="26">
        <v>23.9</v>
      </c>
      <c r="G37" s="27">
        <f t="shared" si="1"/>
        <v>23.9</v>
      </c>
      <c r="H37" s="293"/>
      <c r="I37" s="293"/>
      <c r="J37" s="293"/>
      <c r="K37" s="293"/>
      <c r="L37" s="297"/>
      <c r="M37" s="297"/>
      <c r="N37" s="3"/>
    </row>
    <row r="38" spans="1:14" ht="63.6">
      <c r="A38" s="3"/>
      <c r="B38" s="22" t="s">
        <v>32</v>
      </c>
      <c r="C38" s="23" t="s">
        <v>33</v>
      </c>
      <c r="D38" s="24" t="s">
        <v>3</v>
      </c>
      <c r="E38" s="25">
        <v>2</v>
      </c>
      <c r="F38" s="26">
        <v>2.5</v>
      </c>
      <c r="G38" s="27">
        <f t="shared" si="1"/>
        <v>5</v>
      </c>
      <c r="H38" s="293"/>
      <c r="I38" s="293"/>
      <c r="J38" s="293"/>
      <c r="K38" s="293"/>
      <c r="L38" s="297"/>
      <c r="M38" s="297"/>
      <c r="N38" s="3"/>
    </row>
    <row r="39" spans="1:14" ht="63.6">
      <c r="A39" s="3"/>
      <c r="B39" s="22" t="s">
        <v>34</v>
      </c>
      <c r="C39" s="23" t="s">
        <v>35</v>
      </c>
      <c r="D39" s="24" t="s">
        <v>3</v>
      </c>
      <c r="E39" s="28">
        <v>0</v>
      </c>
      <c r="F39" s="26">
        <v>2</v>
      </c>
      <c r="G39" s="27">
        <f t="shared" si="1"/>
        <v>0</v>
      </c>
      <c r="H39" s="293"/>
      <c r="I39" s="293"/>
      <c r="J39" s="293"/>
      <c r="K39" s="293"/>
      <c r="L39" s="297"/>
      <c r="M39" s="297"/>
      <c r="N39" s="3"/>
    </row>
    <row r="40" spans="1:14" ht="63.6">
      <c r="A40" s="3"/>
      <c r="B40" s="22" t="s">
        <v>36</v>
      </c>
      <c r="C40" s="23" t="s">
        <v>37</v>
      </c>
      <c r="D40" s="24" t="s">
        <v>3</v>
      </c>
      <c r="E40" s="28">
        <v>0.01</v>
      </c>
      <c r="F40" s="26">
        <v>12.9</v>
      </c>
      <c r="G40" s="27">
        <f t="shared" si="1"/>
        <v>0.129</v>
      </c>
      <c r="H40" s="294"/>
      <c r="I40" s="294"/>
      <c r="J40" s="294"/>
      <c r="K40" s="294"/>
      <c r="L40" s="298"/>
      <c r="M40" s="298"/>
      <c r="N40" s="3"/>
    </row>
    <row r="41" spans="1:14" ht="63.6">
      <c r="A41" s="3"/>
      <c r="B41" s="12" t="s">
        <v>42</v>
      </c>
      <c r="C41" s="13" t="s">
        <v>43</v>
      </c>
      <c r="D41" s="14" t="s">
        <v>14</v>
      </c>
      <c r="E41" s="14">
        <v>1</v>
      </c>
      <c r="F41" s="15">
        <v>284</v>
      </c>
      <c r="G41" s="15">
        <v>284</v>
      </c>
      <c r="H41" s="299">
        <f>SUM(G41:G52)</f>
        <v>476.97899999999993</v>
      </c>
      <c r="I41" s="295">
        <v>2.0982400000000001</v>
      </c>
      <c r="J41" s="292">
        <f>SUM(G40:G51)</f>
        <v>476.97899999999993</v>
      </c>
      <c r="K41" s="292">
        <f>SUM(I41*J41)</f>
        <v>1000.8164169599999</v>
      </c>
      <c r="L41" s="296">
        <f>SUM(J41+K41)</f>
        <v>1477.7954169599998</v>
      </c>
      <c r="M41" s="296"/>
      <c r="N41" s="3"/>
    </row>
    <row r="42" spans="1:14" ht="63.6">
      <c r="A42" s="3"/>
      <c r="B42" s="16" t="s">
        <v>15</v>
      </c>
      <c r="C42" s="17" t="s">
        <v>16</v>
      </c>
      <c r="D42" s="18" t="s">
        <v>3</v>
      </c>
      <c r="E42" s="19">
        <v>0</v>
      </c>
      <c r="F42" s="20">
        <v>2.59</v>
      </c>
      <c r="G42" s="21">
        <f t="shared" ref="G42:G100" si="2">SUM(E42*F42)</f>
        <v>0</v>
      </c>
      <c r="H42" s="293"/>
      <c r="I42" s="293"/>
      <c r="J42" s="293"/>
      <c r="K42" s="293"/>
      <c r="L42" s="297"/>
      <c r="M42" s="297"/>
      <c r="N42" s="3"/>
    </row>
    <row r="43" spans="1:14" ht="63.6">
      <c r="A43" s="3"/>
      <c r="B43" s="22" t="s">
        <v>17</v>
      </c>
      <c r="C43" s="23" t="s">
        <v>18</v>
      </c>
      <c r="D43" s="24" t="s">
        <v>19</v>
      </c>
      <c r="E43" s="25">
        <v>4</v>
      </c>
      <c r="F43" s="26">
        <v>13.6</v>
      </c>
      <c r="G43" s="27">
        <f t="shared" si="2"/>
        <v>54.4</v>
      </c>
      <c r="H43" s="293"/>
      <c r="I43" s="293"/>
      <c r="J43" s="293"/>
      <c r="K43" s="293"/>
      <c r="L43" s="297"/>
      <c r="M43" s="297"/>
      <c r="N43" s="3"/>
    </row>
    <row r="44" spans="1:14" ht="63.6">
      <c r="A44" s="3"/>
      <c r="B44" s="22" t="s">
        <v>20</v>
      </c>
      <c r="C44" s="23" t="s">
        <v>21</v>
      </c>
      <c r="D44" s="24" t="s">
        <v>3</v>
      </c>
      <c r="E44" s="25">
        <v>10</v>
      </c>
      <c r="F44" s="26">
        <v>0.19</v>
      </c>
      <c r="G44" s="27">
        <f t="shared" si="2"/>
        <v>1.9</v>
      </c>
      <c r="H44" s="293"/>
      <c r="I44" s="293"/>
      <c r="J44" s="293"/>
      <c r="K44" s="293"/>
      <c r="L44" s="297"/>
      <c r="M44" s="297"/>
      <c r="N44" s="3"/>
    </row>
    <row r="45" spans="1:14" ht="63.6">
      <c r="A45" s="3"/>
      <c r="B45" s="22" t="s">
        <v>22</v>
      </c>
      <c r="C45" s="23" t="s">
        <v>23</v>
      </c>
      <c r="D45" s="24" t="s">
        <v>3</v>
      </c>
      <c r="E45" s="25">
        <v>10</v>
      </c>
      <c r="F45" s="26">
        <v>0.3</v>
      </c>
      <c r="G45" s="27">
        <f t="shared" si="2"/>
        <v>3</v>
      </c>
      <c r="H45" s="293"/>
      <c r="I45" s="293"/>
      <c r="J45" s="293"/>
      <c r="K45" s="293"/>
      <c r="L45" s="297"/>
      <c r="M45" s="297"/>
      <c r="N45" s="3"/>
    </row>
    <row r="46" spans="1:14" ht="63.6">
      <c r="A46" s="3"/>
      <c r="B46" s="22" t="s">
        <v>24</v>
      </c>
      <c r="C46" s="23" t="s">
        <v>25</v>
      </c>
      <c r="D46" s="24" t="s">
        <v>3</v>
      </c>
      <c r="E46" s="25">
        <v>1</v>
      </c>
      <c r="F46" s="26">
        <v>0.15</v>
      </c>
      <c r="G46" s="27">
        <f t="shared" si="2"/>
        <v>0.15</v>
      </c>
      <c r="H46" s="293"/>
      <c r="I46" s="293"/>
      <c r="J46" s="293"/>
      <c r="K46" s="293"/>
      <c r="L46" s="297"/>
      <c r="M46" s="297"/>
      <c r="N46" s="3"/>
    </row>
    <row r="47" spans="1:14" ht="63.6">
      <c r="A47" s="3"/>
      <c r="B47" s="22" t="s">
        <v>26</v>
      </c>
      <c r="C47" s="23" t="s">
        <v>27</v>
      </c>
      <c r="D47" s="24" t="s">
        <v>3</v>
      </c>
      <c r="E47" s="25">
        <v>75</v>
      </c>
      <c r="F47" s="26">
        <v>1.3</v>
      </c>
      <c r="G47" s="27">
        <f t="shared" si="2"/>
        <v>97.5</v>
      </c>
      <c r="H47" s="293"/>
      <c r="I47" s="293"/>
      <c r="J47" s="293"/>
      <c r="K47" s="293"/>
      <c r="L47" s="297"/>
      <c r="M47" s="297"/>
      <c r="N47" s="3"/>
    </row>
    <row r="48" spans="1:14" ht="63.6">
      <c r="A48" s="3"/>
      <c r="B48" s="22" t="s">
        <v>28</v>
      </c>
      <c r="C48" s="23" t="s">
        <v>29</v>
      </c>
      <c r="D48" s="24" t="s">
        <v>3</v>
      </c>
      <c r="E48" s="25">
        <v>50</v>
      </c>
      <c r="F48" s="26">
        <v>0.14000000000000001</v>
      </c>
      <c r="G48" s="27">
        <f t="shared" si="2"/>
        <v>7.0000000000000009</v>
      </c>
      <c r="H48" s="293"/>
      <c r="I48" s="293"/>
      <c r="J48" s="293"/>
      <c r="K48" s="293"/>
      <c r="L48" s="297"/>
      <c r="M48" s="297"/>
      <c r="N48" s="3"/>
    </row>
    <row r="49" spans="1:14" ht="63.6">
      <c r="A49" s="3"/>
      <c r="B49" s="22" t="s">
        <v>30</v>
      </c>
      <c r="C49" s="23" t="s">
        <v>31</v>
      </c>
      <c r="D49" s="24" t="s">
        <v>3</v>
      </c>
      <c r="E49" s="25">
        <v>1</v>
      </c>
      <c r="F49" s="26">
        <v>23.9</v>
      </c>
      <c r="G49" s="27">
        <f t="shared" si="2"/>
        <v>23.9</v>
      </c>
      <c r="H49" s="293"/>
      <c r="I49" s="293"/>
      <c r="J49" s="293"/>
      <c r="K49" s="293"/>
      <c r="L49" s="297"/>
      <c r="M49" s="297"/>
      <c r="N49" s="3"/>
    </row>
    <row r="50" spans="1:14" ht="63.6">
      <c r="A50" s="3"/>
      <c r="B50" s="22" t="s">
        <v>32</v>
      </c>
      <c r="C50" s="23" t="s">
        <v>33</v>
      </c>
      <c r="D50" s="24" t="s">
        <v>3</v>
      </c>
      <c r="E50" s="25">
        <v>2</v>
      </c>
      <c r="F50" s="26">
        <v>2.5</v>
      </c>
      <c r="G50" s="27">
        <f t="shared" si="2"/>
        <v>5</v>
      </c>
      <c r="H50" s="293"/>
      <c r="I50" s="293"/>
      <c r="J50" s="293"/>
      <c r="K50" s="293"/>
      <c r="L50" s="297"/>
      <c r="M50" s="297"/>
      <c r="N50" s="3"/>
    </row>
    <row r="51" spans="1:14" ht="63.6">
      <c r="A51" s="3"/>
      <c r="B51" s="22" t="s">
        <v>34</v>
      </c>
      <c r="C51" s="23" t="s">
        <v>35</v>
      </c>
      <c r="D51" s="24" t="s">
        <v>3</v>
      </c>
      <c r="E51" s="28">
        <v>0</v>
      </c>
      <c r="F51" s="26">
        <v>2</v>
      </c>
      <c r="G51" s="27">
        <f t="shared" si="2"/>
        <v>0</v>
      </c>
      <c r="H51" s="293"/>
      <c r="I51" s="293"/>
      <c r="J51" s="293"/>
      <c r="K51" s="293"/>
      <c r="L51" s="297"/>
      <c r="M51" s="297"/>
      <c r="N51" s="3"/>
    </row>
    <row r="52" spans="1:14" ht="63.6">
      <c r="A52" s="3"/>
      <c r="B52" s="22" t="s">
        <v>36</v>
      </c>
      <c r="C52" s="23" t="s">
        <v>37</v>
      </c>
      <c r="D52" s="24" t="s">
        <v>3</v>
      </c>
      <c r="E52" s="28">
        <v>0.01</v>
      </c>
      <c r="F52" s="26">
        <v>12.9</v>
      </c>
      <c r="G52" s="27">
        <f t="shared" si="2"/>
        <v>0.129</v>
      </c>
      <c r="H52" s="294"/>
      <c r="I52" s="294"/>
      <c r="J52" s="294"/>
      <c r="K52" s="294"/>
      <c r="L52" s="298"/>
      <c r="M52" s="298"/>
      <c r="N52" s="3"/>
    </row>
    <row r="53" spans="1:14" ht="63.6">
      <c r="A53" s="3"/>
      <c r="B53" s="12" t="s">
        <v>38</v>
      </c>
      <c r="C53" s="13" t="s">
        <v>39</v>
      </c>
      <c r="D53" s="14" t="s">
        <v>14</v>
      </c>
      <c r="E53" s="14">
        <v>1</v>
      </c>
      <c r="F53" s="15">
        <v>194.56</v>
      </c>
      <c r="G53" s="15">
        <f t="shared" si="2"/>
        <v>194.56</v>
      </c>
      <c r="H53" s="299">
        <f>SUM(G53:G64)</f>
        <v>388.7</v>
      </c>
      <c r="I53" s="295">
        <v>2.0982400000000001</v>
      </c>
      <c r="J53" s="292">
        <f>SUM(G52:G63)</f>
        <v>387.53899999999999</v>
      </c>
      <c r="K53" s="292">
        <f>SUM(I53*J53)</f>
        <v>813.14983136000001</v>
      </c>
      <c r="L53" s="296">
        <f>SUM(J53+K53)</f>
        <v>1200.68883136</v>
      </c>
      <c r="M53" s="296"/>
      <c r="N53" s="3"/>
    </row>
    <row r="54" spans="1:14" ht="63.6">
      <c r="A54" s="3"/>
      <c r="B54" s="16" t="s">
        <v>15</v>
      </c>
      <c r="C54" s="17" t="s">
        <v>16</v>
      </c>
      <c r="D54" s="18" t="s">
        <v>3</v>
      </c>
      <c r="E54" s="19">
        <v>0</v>
      </c>
      <c r="F54" s="20">
        <v>2.59</v>
      </c>
      <c r="G54" s="21">
        <f t="shared" si="2"/>
        <v>0</v>
      </c>
      <c r="H54" s="293"/>
      <c r="I54" s="293"/>
      <c r="J54" s="293"/>
      <c r="K54" s="293"/>
      <c r="L54" s="297"/>
      <c r="M54" s="297"/>
      <c r="N54" s="3"/>
    </row>
    <row r="55" spans="1:14" ht="63.6">
      <c r="A55" s="3"/>
      <c r="B55" s="22" t="s">
        <v>17</v>
      </c>
      <c r="C55" s="23" t="s">
        <v>18</v>
      </c>
      <c r="D55" s="24" t="s">
        <v>19</v>
      </c>
      <c r="E55" s="25">
        <v>4</v>
      </c>
      <c r="F55" s="26">
        <v>13.6</v>
      </c>
      <c r="G55" s="27">
        <f t="shared" si="2"/>
        <v>54.4</v>
      </c>
      <c r="H55" s="293"/>
      <c r="I55" s="293"/>
      <c r="J55" s="293"/>
      <c r="K55" s="293"/>
      <c r="L55" s="297"/>
      <c r="M55" s="297"/>
      <c r="N55" s="3"/>
    </row>
    <row r="56" spans="1:14" ht="63.6">
      <c r="A56" s="3"/>
      <c r="B56" s="22" t="s">
        <v>20</v>
      </c>
      <c r="C56" s="23" t="s">
        <v>21</v>
      </c>
      <c r="D56" s="24" t="s">
        <v>3</v>
      </c>
      <c r="E56" s="25">
        <v>10</v>
      </c>
      <c r="F56" s="26">
        <v>0.19</v>
      </c>
      <c r="G56" s="27">
        <f t="shared" si="2"/>
        <v>1.9</v>
      </c>
      <c r="H56" s="293"/>
      <c r="I56" s="293"/>
      <c r="J56" s="293"/>
      <c r="K56" s="293"/>
      <c r="L56" s="297"/>
      <c r="M56" s="297"/>
      <c r="N56" s="3"/>
    </row>
    <row r="57" spans="1:14" ht="63.6">
      <c r="A57" s="3"/>
      <c r="B57" s="22" t="s">
        <v>22</v>
      </c>
      <c r="C57" s="23" t="s">
        <v>23</v>
      </c>
      <c r="D57" s="24" t="s">
        <v>3</v>
      </c>
      <c r="E57" s="25">
        <v>10</v>
      </c>
      <c r="F57" s="26">
        <v>0.3</v>
      </c>
      <c r="G57" s="27">
        <f t="shared" si="2"/>
        <v>3</v>
      </c>
      <c r="H57" s="293"/>
      <c r="I57" s="293"/>
      <c r="J57" s="293"/>
      <c r="K57" s="293"/>
      <c r="L57" s="297"/>
      <c r="M57" s="297"/>
      <c r="N57" s="3"/>
    </row>
    <row r="58" spans="1:14" ht="63.6">
      <c r="A58" s="3"/>
      <c r="B58" s="22" t="s">
        <v>24</v>
      </c>
      <c r="C58" s="23" t="s">
        <v>25</v>
      </c>
      <c r="D58" s="24" t="s">
        <v>3</v>
      </c>
      <c r="E58" s="25">
        <v>1</v>
      </c>
      <c r="F58" s="26">
        <v>0.15</v>
      </c>
      <c r="G58" s="27">
        <f t="shared" si="2"/>
        <v>0.15</v>
      </c>
      <c r="H58" s="293"/>
      <c r="I58" s="293"/>
      <c r="J58" s="293"/>
      <c r="K58" s="293"/>
      <c r="L58" s="297"/>
      <c r="M58" s="297"/>
      <c r="N58" s="3"/>
    </row>
    <row r="59" spans="1:14" ht="63.6">
      <c r="A59" s="3"/>
      <c r="B59" s="22" t="s">
        <v>26</v>
      </c>
      <c r="C59" s="23" t="s">
        <v>27</v>
      </c>
      <c r="D59" s="24" t="s">
        <v>3</v>
      </c>
      <c r="E59" s="25">
        <v>75</v>
      </c>
      <c r="F59" s="26">
        <v>1.3</v>
      </c>
      <c r="G59" s="27">
        <f t="shared" si="2"/>
        <v>97.5</v>
      </c>
      <c r="H59" s="293"/>
      <c r="I59" s="293"/>
      <c r="J59" s="293"/>
      <c r="K59" s="293"/>
      <c r="L59" s="297"/>
      <c r="M59" s="297"/>
      <c r="N59" s="3"/>
    </row>
    <row r="60" spans="1:14" ht="63.6">
      <c r="A60" s="3"/>
      <c r="B60" s="22" t="s">
        <v>28</v>
      </c>
      <c r="C60" s="23" t="s">
        <v>29</v>
      </c>
      <c r="D60" s="24" t="s">
        <v>3</v>
      </c>
      <c r="E60" s="25">
        <v>50</v>
      </c>
      <c r="F60" s="26">
        <v>0.14000000000000001</v>
      </c>
      <c r="G60" s="27">
        <f t="shared" si="2"/>
        <v>7.0000000000000009</v>
      </c>
      <c r="H60" s="293"/>
      <c r="I60" s="293"/>
      <c r="J60" s="293"/>
      <c r="K60" s="293"/>
      <c r="L60" s="297"/>
      <c r="M60" s="297"/>
      <c r="N60" s="3"/>
    </row>
    <row r="61" spans="1:14" ht="63.6">
      <c r="A61" s="3"/>
      <c r="B61" s="22" t="s">
        <v>30</v>
      </c>
      <c r="C61" s="23" t="s">
        <v>31</v>
      </c>
      <c r="D61" s="24" t="s">
        <v>3</v>
      </c>
      <c r="E61" s="25">
        <v>1</v>
      </c>
      <c r="F61" s="26">
        <v>23.9</v>
      </c>
      <c r="G61" s="27">
        <f t="shared" si="2"/>
        <v>23.9</v>
      </c>
      <c r="H61" s="293"/>
      <c r="I61" s="293"/>
      <c r="J61" s="293"/>
      <c r="K61" s="293"/>
      <c r="L61" s="297"/>
      <c r="M61" s="297"/>
      <c r="N61" s="3"/>
    </row>
    <row r="62" spans="1:14" ht="63.6">
      <c r="A62" s="3"/>
      <c r="B62" s="22" t="s">
        <v>32</v>
      </c>
      <c r="C62" s="23" t="s">
        <v>33</v>
      </c>
      <c r="D62" s="24" t="s">
        <v>3</v>
      </c>
      <c r="E62" s="25">
        <v>2</v>
      </c>
      <c r="F62" s="26">
        <v>2.5</v>
      </c>
      <c r="G62" s="27">
        <f t="shared" si="2"/>
        <v>5</v>
      </c>
      <c r="H62" s="293"/>
      <c r="I62" s="293"/>
      <c r="J62" s="293"/>
      <c r="K62" s="293"/>
      <c r="L62" s="297"/>
      <c r="M62" s="297"/>
      <c r="N62" s="3"/>
    </row>
    <row r="63" spans="1:14" ht="63.6">
      <c r="A63" s="3"/>
      <c r="B63" s="22" t="s">
        <v>34</v>
      </c>
      <c r="C63" s="23" t="s">
        <v>35</v>
      </c>
      <c r="D63" s="24" t="s">
        <v>3</v>
      </c>
      <c r="E63" s="28">
        <v>0</v>
      </c>
      <c r="F63" s="26">
        <v>2</v>
      </c>
      <c r="G63" s="27">
        <f t="shared" si="2"/>
        <v>0</v>
      </c>
      <c r="H63" s="293"/>
      <c r="I63" s="293"/>
      <c r="J63" s="293"/>
      <c r="K63" s="293"/>
      <c r="L63" s="297"/>
      <c r="M63" s="297"/>
      <c r="N63" s="3"/>
    </row>
    <row r="64" spans="1:14" ht="63.6">
      <c r="A64" s="3"/>
      <c r="B64" s="29" t="s">
        <v>36</v>
      </c>
      <c r="C64" s="30" t="s">
        <v>37</v>
      </c>
      <c r="D64" s="31" t="s">
        <v>3</v>
      </c>
      <c r="E64" s="32">
        <v>0.1</v>
      </c>
      <c r="F64" s="33">
        <v>12.9</v>
      </c>
      <c r="G64" s="34">
        <f t="shared" si="2"/>
        <v>1.29</v>
      </c>
      <c r="H64" s="294"/>
      <c r="I64" s="294"/>
      <c r="J64" s="294"/>
      <c r="K64" s="294"/>
      <c r="L64" s="298"/>
      <c r="M64" s="298"/>
      <c r="N64" s="3"/>
    </row>
    <row r="65" spans="1:14" ht="63.6">
      <c r="A65" s="3"/>
      <c r="B65" s="12" t="s">
        <v>38</v>
      </c>
      <c r="C65" s="13" t="s">
        <v>39</v>
      </c>
      <c r="D65" s="14" t="s">
        <v>14</v>
      </c>
      <c r="E65" s="14">
        <v>1</v>
      </c>
      <c r="F65" s="15">
        <v>194.56</v>
      </c>
      <c r="G65" s="15">
        <f t="shared" si="2"/>
        <v>194.56</v>
      </c>
      <c r="H65" s="299">
        <f>SUM(G65:G137)</f>
        <v>1166.1000000000001</v>
      </c>
      <c r="I65" s="295">
        <v>2.0982400000000001</v>
      </c>
      <c r="J65" s="292">
        <f>SUM(G64:G75)</f>
        <v>388.7</v>
      </c>
      <c r="K65" s="292">
        <f>SUM(I65*J65)</f>
        <v>815.58588800000007</v>
      </c>
      <c r="L65" s="296">
        <f>SUM(J65+K65)</f>
        <v>1204.2858880000001</v>
      </c>
      <c r="M65" s="296"/>
      <c r="N65" s="3"/>
    </row>
    <row r="66" spans="1:14" ht="63.6">
      <c r="A66" s="3"/>
      <c r="B66" s="16" t="s">
        <v>15</v>
      </c>
      <c r="C66" s="17" t="s">
        <v>16</v>
      </c>
      <c r="D66" s="18" t="s">
        <v>3</v>
      </c>
      <c r="E66" s="19">
        <v>0</v>
      </c>
      <c r="F66" s="20">
        <v>2.59</v>
      </c>
      <c r="G66" s="21">
        <f t="shared" si="2"/>
        <v>0</v>
      </c>
      <c r="H66" s="293"/>
      <c r="I66" s="293"/>
      <c r="J66" s="293"/>
      <c r="K66" s="293"/>
      <c r="L66" s="297"/>
      <c r="M66" s="297"/>
      <c r="N66" s="3"/>
    </row>
    <row r="67" spans="1:14" ht="63.6">
      <c r="A67" s="3"/>
      <c r="B67" s="22" t="s">
        <v>17</v>
      </c>
      <c r="C67" s="23" t="s">
        <v>18</v>
      </c>
      <c r="D67" s="24" t="s">
        <v>19</v>
      </c>
      <c r="E67" s="25">
        <v>4</v>
      </c>
      <c r="F67" s="26">
        <v>13.6</v>
      </c>
      <c r="G67" s="27">
        <f t="shared" si="2"/>
        <v>54.4</v>
      </c>
      <c r="H67" s="293"/>
      <c r="I67" s="293"/>
      <c r="J67" s="293"/>
      <c r="K67" s="293"/>
      <c r="L67" s="297"/>
      <c r="M67" s="297"/>
      <c r="N67" s="3"/>
    </row>
    <row r="68" spans="1:14" ht="63.6">
      <c r="A68" s="3"/>
      <c r="B68" s="22" t="s">
        <v>20</v>
      </c>
      <c r="C68" s="23" t="s">
        <v>21</v>
      </c>
      <c r="D68" s="24" t="s">
        <v>3</v>
      </c>
      <c r="E68" s="25">
        <v>10</v>
      </c>
      <c r="F68" s="26">
        <v>0.19</v>
      </c>
      <c r="G68" s="27">
        <f t="shared" si="2"/>
        <v>1.9</v>
      </c>
      <c r="H68" s="293"/>
      <c r="I68" s="293"/>
      <c r="J68" s="293"/>
      <c r="K68" s="293"/>
      <c r="L68" s="297"/>
      <c r="M68" s="297"/>
      <c r="N68" s="3"/>
    </row>
    <row r="69" spans="1:14" ht="63.6">
      <c r="A69" s="3"/>
      <c r="B69" s="22" t="s">
        <v>22</v>
      </c>
      <c r="C69" s="23" t="s">
        <v>23</v>
      </c>
      <c r="D69" s="24" t="s">
        <v>3</v>
      </c>
      <c r="E69" s="25">
        <v>10</v>
      </c>
      <c r="F69" s="26">
        <v>0.3</v>
      </c>
      <c r="G69" s="27">
        <f t="shared" si="2"/>
        <v>3</v>
      </c>
      <c r="H69" s="293"/>
      <c r="I69" s="293"/>
      <c r="J69" s="293"/>
      <c r="K69" s="293"/>
      <c r="L69" s="297"/>
      <c r="M69" s="297"/>
      <c r="N69" s="3"/>
    </row>
    <row r="70" spans="1:14" ht="63.6">
      <c r="A70" s="3"/>
      <c r="B70" s="22" t="s">
        <v>24</v>
      </c>
      <c r="C70" s="23" t="s">
        <v>25</v>
      </c>
      <c r="D70" s="24" t="s">
        <v>3</v>
      </c>
      <c r="E70" s="25">
        <v>1</v>
      </c>
      <c r="F70" s="26">
        <v>0.15</v>
      </c>
      <c r="G70" s="27">
        <f t="shared" si="2"/>
        <v>0.15</v>
      </c>
      <c r="H70" s="293"/>
      <c r="I70" s="293"/>
      <c r="J70" s="293"/>
      <c r="K70" s="293"/>
      <c r="L70" s="297"/>
      <c r="M70" s="297"/>
      <c r="N70" s="3"/>
    </row>
    <row r="71" spans="1:14" ht="63.6">
      <c r="A71" s="3"/>
      <c r="B71" s="22" t="s">
        <v>26</v>
      </c>
      <c r="C71" s="23" t="s">
        <v>27</v>
      </c>
      <c r="D71" s="24" t="s">
        <v>3</v>
      </c>
      <c r="E71" s="25">
        <v>75</v>
      </c>
      <c r="F71" s="26">
        <v>1.3</v>
      </c>
      <c r="G71" s="27">
        <f t="shared" si="2"/>
        <v>97.5</v>
      </c>
      <c r="H71" s="293"/>
      <c r="I71" s="293"/>
      <c r="J71" s="293"/>
      <c r="K71" s="293"/>
      <c r="L71" s="297"/>
      <c r="M71" s="297"/>
      <c r="N71" s="3"/>
    </row>
    <row r="72" spans="1:14" ht="63.6">
      <c r="A72" s="3"/>
      <c r="B72" s="22" t="s">
        <v>28</v>
      </c>
      <c r="C72" s="23" t="s">
        <v>29</v>
      </c>
      <c r="D72" s="24" t="s">
        <v>3</v>
      </c>
      <c r="E72" s="25">
        <v>50</v>
      </c>
      <c r="F72" s="26">
        <v>0.14000000000000001</v>
      </c>
      <c r="G72" s="27">
        <f t="shared" si="2"/>
        <v>7.0000000000000009</v>
      </c>
      <c r="H72" s="293"/>
      <c r="I72" s="293"/>
      <c r="J72" s="293"/>
      <c r="K72" s="293"/>
      <c r="L72" s="297"/>
      <c r="M72" s="297"/>
      <c r="N72" s="3"/>
    </row>
    <row r="73" spans="1:14" ht="63.6">
      <c r="A73" s="3"/>
      <c r="B73" s="22" t="s">
        <v>30</v>
      </c>
      <c r="C73" s="23" t="s">
        <v>31</v>
      </c>
      <c r="D73" s="24" t="s">
        <v>3</v>
      </c>
      <c r="E73" s="25">
        <v>1</v>
      </c>
      <c r="F73" s="26">
        <v>23.9</v>
      </c>
      <c r="G73" s="27">
        <f t="shared" si="2"/>
        <v>23.9</v>
      </c>
      <c r="H73" s="293"/>
      <c r="I73" s="293"/>
      <c r="J73" s="293"/>
      <c r="K73" s="293"/>
      <c r="L73" s="297"/>
      <c r="M73" s="297"/>
      <c r="N73" s="3"/>
    </row>
    <row r="74" spans="1:14" ht="63.6">
      <c r="A74" s="3"/>
      <c r="B74" s="22" t="s">
        <v>32</v>
      </c>
      <c r="C74" s="23" t="s">
        <v>33</v>
      </c>
      <c r="D74" s="24" t="s">
        <v>3</v>
      </c>
      <c r="E74" s="25">
        <v>2</v>
      </c>
      <c r="F74" s="26">
        <v>2.5</v>
      </c>
      <c r="G74" s="27">
        <f t="shared" si="2"/>
        <v>5</v>
      </c>
      <c r="H74" s="293"/>
      <c r="I74" s="293"/>
      <c r="J74" s="293"/>
      <c r="K74" s="293"/>
      <c r="L74" s="297"/>
      <c r="M74" s="297"/>
      <c r="N74" s="3"/>
    </row>
    <row r="75" spans="1:14" ht="63.6">
      <c r="A75" s="3"/>
      <c r="B75" s="22" t="s">
        <v>34</v>
      </c>
      <c r="C75" s="23" t="s">
        <v>35</v>
      </c>
      <c r="D75" s="24" t="s">
        <v>3</v>
      </c>
      <c r="E75" s="28">
        <v>0</v>
      </c>
      <c r="F75" s="26">
        <v>2</v>
      </c>
      <c r="G75" s="27">
        <f t="shared" si="2"/>
        <v>0</v>
      </c>
      <c r="H75" s="293"/>
      <c r="I75" s="293"/>
      <c r="J75" s="293"/>
      <c r="K75" s="293"/>
      <c r="L75" s="297"/>
      <c r="M75" s="297"/>
      <c r="N75" s="3"/>
    </row>
    <row r="76" spans="1:14" ht="63.6">
      <c r="A76" s="3"/>
      <c r="B76" s="29" t="s">
        <v>36</v>
      </c>
      <c r="C76" s="30" t="s">
        <v>37</v>
      </c>
      <c r="D76" s="31" t="s">
        <v>3</v>
      </c>
      <c r="E76" s="32">
        <v>0.1</v>
      </c>
      <c r="F76" s="33">
        <v>12.9</v>
      </c>
      <c r="G76" s="34">
        <f t="shared" si="2"/>
        <v>1.29</v>
      </c>
      <c r="H76" s="294"/>
      <c r="I76" s="293"/>
      <c r="J76" s="293"/>
      <c r="K76" s="294"/>
      <c r="L76" s="297"/>
      <c r="M76" s="298"/>
      <c r="N76" s="3"/>
    </row>
    <row r="77" spans="1:14" ht="63.6">
      <c r="A77" s="3"/>
      <c r="B77" s="12" t="s">
        <v>38</v>
      </c>
      <c r="C77" s="13" t="s">
        <v>39</v>
      </c>
      <c r="D77" s="14" t="s">
        <v>14</v>
      </c>
      <c r="E77" s="14">
        <v>1</v>
      </c>
      <c r="F77" s="15">
        <v>194.56</v>
      </c>
      <c r="G77" s="15">
        <f t="shared" si="2"/>
        <v>194.56</v>
      </c>
      <c r="H77" s="299">
        <f>SUM(G77:G88)</f>
        <v>388.7</v>
      </c>
      <c r="I77" s="295">
        <v>2.0982400000000001</v>
      </c>
      <c r="J77" s="292">
        <f>SUM(G76:G87)</f>
        <v>388.7</v>
      </c>
      <c r="K77" s="301">
        <f>SUM(I77*J77)</f>
        <v>815.58588800000007</v>
      </c>
      <c r="L77" s="296">
        <f>SUM(J77+K77)</f>
        <v>1204.2858880000001</v>
      </c>
      <c r="M77" s="296"/>
      <c r="N77" s="3"/>
    </row>
    <row r="78" spans="1:14" ht="63.6">
      <c r="A78" s="3"/>
      <c r="B78" s="16" t="s">
        <v>15</v>
      </c>
      <c r="C78" s="17" t="s">
        <v>16</v>
      </c>
      <c r="D78" s="18" t="s">
        <v>3</v>
      </c>
      <c r="E78" s="19">
        <v>0</v>
      </c>
      <c r="F78" s="20">
        <v>2.59</v>
      </c>
      <c r="G78" s="21">
        <f t="shared" si="2"/>
        <v>0</v>
      </c>
      <c r="H78" s="293"/>
      <c r="I78" s="293"/>
      <c r="J78" s="293"/>
      <c r="K78" s="293"/>
      <c r="L78" s="297"/>
      <c r="M78" s="297"/>
      <c r="N78" s="3"/>
    </row>
    <row r="79" spans="1:14" ht="63.6">
      <c r="A79" s="3"/>
      <c r="B79" s="22" t="s">
        <v>17</v>
      </c>
      <c r="C79" s="23" t="s">
        <v>18</v>
      </c>
      <c r="D79" s="24" t="s">
        <v>19</v>
      </c>
      <c r="E79" s="25">
        <v>4</v>
      </c>
      <c r="F79" s="26">
        <v>13.6</v>
      </c>
      <c r="G79" s="27">
        <f t="shared" si="2"/>
        <v>54.4</v>
      </c>
      <c r="H79" s="293"/>
      <c r="I79" s="293"/>
      <c r="J79" s="293"/>
      <c r="K79" s="293"/>
      <c r="L79" s="297"/>
      <c r="M79" s="297"/>
      <c r="N79" s="3"/>
    </row>
    <row r="80" spans="1:14" ht="63.6">
      <c r="A80" s="3"/>
      <c r="B80" s="22" t="s">
        <v>20</v>
      </c>
      <c r="C80" s="23" t="s">
        <v>21</v>
      </c>
      <c r="D80" s="24" t="s">
        <v>3</v>
      </c>
      <c r="E80" s="25">
        <v>10</v>
      </c>
      <c r="F80" s="26">
        <v>0.19</v>
      </c>
      <c r="G80" s="27">
        <f t="shared" si="2"/>
        <v>1.9</v>
      </c>
      <c r="H80" s="293"/>
      <c r="I80" s="293"/>
      <c r="J80" s="293"/>
      <c r="K80" s="293"/>
      <c r="L80" s="297"/>
      <c r="M80" s="297"/>
      <c r="N80" s="3"/>
    </row>
    <row r="81" spans="1:14" ht="63.6">
      <c r="A81" s="3"/>
      <c r="B81" s="22" t="s">
        <v>22</v>
      </c>
      <c r="C81" s="23" t="s">
        <v>23</v>
      </c>
      <c r="D81" s="24" t="s">
        <v>3</v>
      </c>
      <c r="E81" s="25">
        <v>10</v>
      </c>
      <c r="F81" s="26">
        <v>0.3</v>
      </c>
      <c r="G81" s="27">
        <f t="shared" si="2"/>
        <v>3</v>
      </c>
      <c r="H81" s="293"/>
      <c r="I81" s="293"/>
      <c r="J81" s="293"/>
      <c r="K81" s="293"/>
      <c r="L81" s="297"/>
      <c r="M81" s="297"/>
      <c r="N81" s="3"/>
    </row>
    <row r="82" spans="1:14" ht="63.6">
      <c r="A82" s="3"/>
      <c r="B82" s="22" t="s">
        <v>24</v>
      </c>
      <c r="C82" s="23" t="s">
        <v>25</v>
      </c>
      <c r="D82" s="24" t="s">
        <v>3</v>
      </c>
      <c r="E82" s="25">
        <v>1</v>
      </c>
      <c r="F82" s="26">
        <v>0.15</v>
      </c>
      <c r="G82" s="27">
        <f t="shared" si="2"/>
        <v>0.15</v>
      </c>
      <c r="H82" s="293"/>
      <c r="I82" s="293"/>
      <c r="J82" s="293"/>
      <c r="K82" s="293"/>
      <c r="L82" s="297"/>
      <c r="M82" s="297"/>
      <c r="N82" s="3"/>
    </row>
    <row r="83" spans="1:14" ht="63.6">
      <c r="A83" s="3"/>
      <c r="B83" s="22" t="s">
        <v>26</v>
      </c>
      <c r="C83" s="23" t="s">
        <v>27</v>
      </c>
      <c r="D83" s="24" t="s">
        <v>3</v>
      </c>
      <c r="E83" s="25">
        <v>75</v>
      </c>
      <c r="F83" s="26">
        <v>1.3</v>
      </c>
      <c r="G83" s="27">
        <f t="shared" si="2"/>
        <v>97.5</v>
      </c>
      <c r="H83" s="293"/>
      <c r="I83" s="293"/>
      <c r="J83" s="293"/>
      <c r="K83" s="293"/>
      <c r="L83" s="297"/>
      <c r="M83" s="297"/>
      <c r="N83" s="3"/>
    </row>
    <row r="84" spans="1:14" ht="63.6">
      <c r="A84" s="3"/>
      <c r="B84" s="22" t="s">
        <v>28</v>
      </c>
      <c r="C84" s="23" t="s">
        <v>29</v>
      </c>
      <c r="D84" s="24" t="s">
        <v>3</v>
      </c>
      <c r="E84" s="25">
        <v>50</v>
      </c>
      <c r="F84" s="26">
        <v>0.14000000000000001</v>
      </c>
      <c r="G84" s="27">
        <f t="shared" si="2"/>
        <v>7.0000000000000009</v>
      </c>
      <c r="H84" s="293"/>
      <c r="I84" s="293"/>
      <c r="J84" s="293"/>
      <c r="K84" s="293"/>
      <c r="L84" s="297"/>
      <c r="M84" s="297"/>
      <c r="N84" s="3"/>
    </row>
    <row r="85" spans="1:14" ht="63.6">
      <c r="A85" s="3"/>
      <c r="B85" s="22" t="s">
        <v>30</v>
      </c>
      <c r="C85" s="23" t="s">
        <v>31</v>
      </c>
      <c r="D85" s="24" t="s">
        <v>3</v>
      </c>
      <c r="E85" s="25">
        <v>1</v>
      </c>
      <c r="F85" s="26">
        <v>23.9</v>
      </c>
      <c r="G85" s="27">
        <f t="shared" si="2"/>
        <v>23.9</v>
      </c>
      <c r="H85" s="293"/>
      <c r="I85" s="293"/>
      <c r="J85" s="293"/>
      <c r="K85" s="293"/>
      <c r="L85" s="297"/>
      <c r="M85" s="297"/>
      <c r="N85" s="3"/>
    </row>
    <row r="86" spans="1:14" ht="63.6">
      <c r="A86" s="3"/>
      <c r="B86" s="22" t="s">
        <v>32</v>
      </c>
      <c r="C86" s="23" t="s">
        <v>33</v>
      </c>
      <c r="D86" s="24" t="s">
        <v>3</v>
      </c>
      <c r="E86" s="25">
        <v>2</v>
      </c>
      <c r="F86" s="26">
        <v>2.5</v>
      </c>
      <c r="G86" s="27">
        <f t="shared" si="2"/>
        <v>5</v>
      </c>
      <c r="H86" s="293"/>
      <c r="I86" s="293"/>
      <c r="J86" s="293"/>
      <c r="K86" s="293"/>
      <c r="L86" s="297"/>
      <c r="M86" s="297"/>
      <c r="N86" s="3"/>
    </row>
    <row r="87" spans="1:14" ht="63.6">
      <c r="A87" s="3"/>
      <c r="B87" s="22" t="s">
        <v>34</v>
      </c>
      <c r="C87" s="23" t="s">
        <v>35</v>
      </c>
      <c r="D87" s="24" t="s">
        <v>3</v>
      </c>
      <c r="E87" s="28">
        <v>0</v>
      </c>
      <c r="F87" s="26">
        <v>2</v>
      </c>
      <c r="G87" s="27">
        <f t="shared" si="2"/>
        <v>0</v>
      </c>
      <c r="H87" s="293"/>
      <c r="I87" s="293"/>
      <c r="J87" s="293"/>
      <c r="K87" s="293"/>
      <c r="L87" s="297"/>
      <c r="M87" s="297"/>
      <c r="N87" s="3"/>
    </row>
    <row r="88" spans="1:14" ht="63.6">
      <c r="A88" s="3"/>
      <c r="B88" s="29" t="s">
        <v>36</v>
      </c>
      <c r="C88" s="30" t="s">
        <v>37</v>
      </c>
      <c r="D88" s="31" t="s">
        <v>3</v>
      </c>
      <c r="E88" s="32">
        <v>0.1</v>
      </c>
      <c r="F88" s="33">
        <v>12.9</v>
      </c>
      <c r="G88" s="34">
        <f t="shared" si="2"/>
        <v>1.29</v>
      </c>
      <c r="H88" s="294"/>
      <c r="I88" s="294"/>
      <c r="J88" s="294"/>
      <c r="K88" s="294"/>
      <c r="L88" s="298"/>
      <c r="M88" s="298"/>
      <c r="N88" s="3"/>
    </row>
    <row r="89" spans="1:14" ht="63.6">
      <c r="A89" s="3"/>
      <c r="B89" s="12"/>
      <c r="C89" s="13"/>
      <c r="D89" s="14" t="s">
        <v>14</v>
      </c>
      <c r="E89" s="14">
        <v>1</v>
      </c>
      <c r="F89" s="15">
        <v>194.56</v>
      </c>
      <c r="G89" s="15">
        <f t="shared" si="2"/>
        <v>194.56</v>
      </c>
      <c r="H89" s="299">
        <f>SUM(G89:G100)</f>
        <v>388.7</v>
      </c>
      <c r="I89" s="295">
        <v>2.0982400000000001</v>
      </c>
      <c r="J89" s="292">
        <f>SUM(G88:G98)</f>
        <v>388.7</v>
      </c>
      <c r="K89" s="292">
        <f>SUM(I89*J89)</f>
        <v>815.58588800000007</v>
      </c>
      <c r="L89" s="296">
        <f>SUM(J89+K89)</f>
        <v>1204.2858880000001</v>
      </c>
      <c r="M89" s="300"/>
      <c r="N89" s="3"/>
    </row>
    <row r="90" spans="1:14" ht="63.6">
      <c r="A90" s="3"/>
      <c r="B90" s="16" t="s">
        <v>15</v>
      </c>
      <c r="C90" s="17" t="s">
        <v>16</v>
      </c>
      <c r="D90" s="18" t="s">
        <v>3</v>
      </c>
      <c r="E90" s="19">
        <v>0</v>
      </c>
      <c r="F90" s="20">
        <v>2.59</v>
      </c>
      <c r="G90" s="21">
        <f t="shared" si="2"/>
        <v>0</v>
      </c>
      <c r="H90" s="293"/>
      <c r="I90" s="293"/>
      <c r="J90" s="293"/>
      <c r="K90" s="293"/>
      <c r="L90" s="297"/>
      <c r="M90" s="297"/>
      <c r="N90" s="3"/>
    </row>
    <row r="91" spans="1:14" ht="63.6">
      <c r="A91" s="3"/>
      <c r="B91" s="22" t="s">
        <v>17</v>
      </c>
      <c r="C91" s="23" t="s">
        <v>18</v>
      </c>
      <c r="D91" s="24" t="s">
        <v>19</v>
      </c>
      <c r="E91" s="25">
        <v>4</v>
      </c>
      <c r="F91" s="26">
        <v>13.6</v>
      </c>
      <c r="G91" s="27">
        <f t="shared" si="2"/>
        <v>54.4</v>
      </c>
      <c r="H91" s="293"/>
      <c r="I91" s="293"/>
      <c r="J91" s="293"/>
      <c r="K91" s="293"/>
      <c r="L91" s="297"/>
      <c r="M91" s="297"/>
      <c r="N91" s="3"/>
    </row>
    <row r="92" spans="1:14" ht="63.6">
      <c r="A92" s="3"/>
      <c r="B92" s="22" t="s">
        <v>20</v>
      </c>
      <c r="C92" s="23" t="s">
        <v>21</v>
      </c>
      <c r="D92" s="24" t="s">
        <v>3</v>
      </c>
      <c r="E92" s="25">
        <v>10</v>
      </c>
      <c r="F92" s="26">
        <v>0.19</v>
      </c>
      <c r="G92" s="27">
        <f t="shared" si="2"/>
        <v>1.9</v>
      </c>
      <c r="H92" s="293"/>
      <c r="I92" s="293"/>
      <c r="J92" s="293"/>
      <c r="K92" s="293"/>
      <c r="L92" s="297"/>
      <c r="M92" s="297"/>
      <c r="N92" s="3"/>
    </row>
    <row r="93" spans="1:14" ht="63.6">
      <c r="A93" s="3"/>
      <c r="B93" s="22" t="s">
        <v>22</v>
      </c>
      <c r="C93" s="23" t="s">
        <v>23</v>
      </c>
      <c r="D93" s="24" t="s">
        <v>3</v>
      </c>
      <c r="E93" s="25">
        <v>10</v>
      </c>
      <c r="F93" s="26">
        <v>0.3</v>
      </c>
      <c r="G93" s="27">
        <f t="shared" si="2"/>
        <v>3</v>
      </c>
      <c r="H93" s="293"/>
      <c r="I93" s="293"/>
      <c r="J93" s="293"/>
      <c r="K93" s="293"/>
      <c r="L93" s="297"/>
      <c r="M93" s="297"/>
      <c r="N93" s="3"/>
    </row>
    <row r="94" spans="1:14" ht="63.6">
      <c r="A94" s="3"/>
      <c r="B94" s="22" t="s">
        <v>24</v>
      </c>
      <c r="C94" s="23" t="s">
        <v>25</v>
      </c>
      <c r="D94" s="24" t="s">
        <v>3</v>
      </c>
      <c r="E94" s="25">
        <v>1</v>
      </c>
      <c r="F94" s="26">
        <v>0.15</v>
      </c>
      <c r="G94" s="27">
        <f t="shared" si="2"/>
        <v>0.15</v>
      </c>
      <c r="H94" s="293"/>
      <c r="I94" s="293"/>
      <c r="J94" s="293"/>
      <c r="K94" s="293"/>
      <c r="L94" s="297"/>
      <c r="M94" s="297"/>
      <c r="N94" s="3"/>
    </row>
    <row r="95" spans="1:14" ht="63.6">
      <c r="A95" s="3"/>
      <c r="B95" s="22" t="s">
        <v>26</v>
      </c>
      <c r="C95" s="23" t="s">
        <v>27</v>
      </c>
      <c r="D95" s="24" t="s">
        <v>3</v>
      </c>
      <c r="E95" s="25">
        <v>75</v>
      </c>
      <c r="F95" s="26">
        <v>1.3</v>
      </c>
      <c r="G95" s="27">
        <f t="shared" si="2"/>
        <v>97.5</v>
      </c>
      <c r="H95" s="293"/>
      <c r="I95" s="293"/>
      <c r="J95" s="293"/>
      <c r="K95" s="293"/>
      <c r="L95" s="297"/>
      <c r="M95" s="297"/>
      <c r="N95" s="3"/>
    </row>
    <row r="96" spans="1:14" ht="63.6">
      <c r="A96" s="3"/>
      <c r="B96" s="22" t="s">
        <v>28</v>
      </c>
      <c r="C96" s="23" t="s">
        <v>29</v>
      </c>
      <c r="D96" s="24" t="s">
        <v>3</v>
      </c>
      <c r="E96" s="25">
        <v>50</v>
      </c>
      <c r="F96" s="26">
        <v>0.14000000000000001</v>
      </c>
      <c r="G96" s="27">
        <f t="shared" si="2"/>
        <v>7.0000000000000009</v>
      </c>
      <c r="H96" s="293"/>
      <c r="I96" s="293"/>
      <c r="J96" s="293"/>
      <c r="K96" s="293"/>
      <c r="L96" s="297"/>
      <c r="M96" s="297"/>
      <c r="N96" s="3"/>
    </row>
    <row r="97" spans="1:14" ht="63.6">
      <c r="A97" s="3"/>
      <c r="B97" s="22" t="s">
        <v>30</v>
      </c>
      <c r="C97" s="23" t="s">
        <v>31</v>
      </c>
      <c r="D97" s="24" t="s">
        <v>3</v>
      </c>
      <c r="E97" s="25">
        <v>1</v>
      </c>
      <c r="F97" s="26">
        <v>23.9</v>
      </c>
      <c r="G97" s="27">
        <f t="shared" si="2"/>
        <v>23.9</v>
      </c>
      <c r="H97" s="293"/>
      <c r="I97" s="293"/>
      <c r="J97" s="293"/>
      <c r="K97" s="293"/>
      <c r="L97" s="297"/>
      <c r="M97" s="297"/>
      <c r="N97" s="3"/>
    </row>
    <row r="98" spans="1:14" ht="63.6">
      <c r="A98" s="3"/>
      <c r="B98" s="22" t="s">
        <v>32</v>
      </c>
      <c r="C98" s="23" t="s">
        <v>33</v>
      </c>
      <c r="D98" s="24" t="s">
        <v>3</v>
      </c>
      <c r="E98" s="25">
        <v>2</v>
      </c>
      <c r="F98" s="26">
        <v>2.5</v>
      </c>
      <c r="G98" s="27">
        <f t="shared" si="2"/>
        <v>5</v>
      </c>
      <c r="H98" s="293"/>
      <c r="I98" s="293"/>
      <c r="J98" s="293"/>
      <c r="K98" s="293"/>
      <c r="L98" s="297"/>
      <c r="M98" s="297"/>
      <c r="N98" s="3"/>
    </row>
    <row r="99" spans="1:14" ht="63.6">
      <c r="A99" s="3"/>
      <c r="B99" s="22" t="s">
        <v>34</v>
      </c>
      <c r="C99" s="23" t="s">
        <v>35</v>
      </c>
      <c r="D99" s="24" t="s">
        <v>3</v>
      </c>
      <c r="E99" s="28">
        <v>0</v>
      </c>
      <c r="F99" s="26">
        <v>2</v>
      </c>
      <c r="G99" s="27">
        <f t="shared" si="2"/>
        <v>0</v>
      </c>
      <c r="H99" s="293"/>
      <c r="I99" s="293"/>
      <c r="J99" s="293"/>
      <c r="K99" s="293"/>
      <c r="L99" s="297"/>
      <c r="M99" s="297"/>
      <c r="N99" s="3"/>
    </row>
    <row r="100" spans="1:14" ht="63.6">
      <c r="A100" s="3"/>
      <c r="B100" s="29" t="s">
        <v>36</v>
      </c>
      <c r="C100" s="30" t="s">
        <v>37</v>
      </c>
      <c r="D100" s="31" t="s">
        <v>3</v>
      </c>
      <c r="E100" s="32">
        <v>0.1</v>
      </c>
      <c r="F100" s="33">
        <v>12.9</v>
      </c>
      <c r="G100" s="34">
        <f t="shared" si="2"/>
        <v>1.29</v>
      </c>
      <c r="H100" s="294"/>
      <c r="I100" s="294"/>
      <c r="J100" s="294"/>
      <c r="K100" s="294"/>
      <c r="L100" s="298"/>
      <c r="M100" s="298"/>
      <c r="N100" s="3"/>
    </row>
    <row r="101" spans="1:14" ht="63.6">
      <c r="A101" s="3"/>
      <c r="B101" s="36"/>
      <c r="C101" s="37"/>
      <c r="D101" s="38"/>
      <c r="E101" s="39"/>
      <c r="F101" s="40"/>
      <c r="G101" s="41"/>
      <c r="H101" s="42"/>
      <c r="I101" s="43"/>
      <c r="J101" s="44"/>
      <c r="K101" s="44"/>
      <c r="L101" s="44"/>
      <c r="M101" s="44"/>
      <c r="N101" s="3"/>
    </row>
    <row r="102" spans="1:14" ht="63.6">
      <c r="A102" s="3"/>
      <c r="B102" s="36"/>
      <c r="C102" s="37"/>
      <c r="D102" s="38"/>
      <c r="E102" s="39"/>
      <c r="F102" s="40"/>
      <c r="G102" s="41"/>
      <c r="H102" s="42"/>
      <c r="I102" s="43"/>
      <c r="J102" s="44"/>
      <c r="K102" s="44"/>
      <c r="L102" s="44"/>
      <c r="M102" s="44"/>
      <c r="N102" s="3"/>
    </row>
    <row r="103" spans="1:14" ht="63.6">
      <c r="A103" s="3"/>
      <c r="B103" s="36"/>
      <c r="C103" s="37"/>
      <c r="D103" s="38"/>
      <c r="E103" s="39"/>
      <c r="F103" s="40"/>
      <c r="G103" s="41"/>
      <c r="H103" s="42"/>
      <c r="I103" s="43"/>
      <c r="J103" s="44"/>
      <c r="K103" s="44"/>
      <c r="L103" s="44"/>
      <c r="M103" s="44"/>
      <c r="N103" s="3"/>
    </row>
    <row r="104" spans="1:14" ht="63.6">
      <c r="A104" s="3"/>
      <c r="B104" s="36"/>
      <c r="C104" s="37"/>
      <c r="D104" s="38"/>
      <c r="E104" s="39"/>
      <c r="F104" s="40"/>
      <c r="G104" s="41"/>
      <c r="H104" s="42"/>
      <c r="I104" s="43"/>
      <c r="J104" s="44"/>
      <c r="K104" s="44"/>
      <c r="L104" s="44"/>
      <c r="M104" s="44"/>
      <c r="N104" s="3"/>
    </row>
    <row r="105" spans="1:14" ht="63.6">
      <c r="A105" s="3"/>
      <c r="B105" s="36"/>
      <c r="C105" s="37"/>
      <c r="D105" s="38"/>
      <c r="E105" s="39"/>
      <c r="F105" s="40"/>
      <c r="G105" s="41"/>
      <c r="H105" s="42"/>
      <c r="I105" s="43"/>
      <c r="J105" s="44"/>
      <c r="K105" s="44"/>
      <c r="L105" s="44"/>
      <c r="M105" s="44"/>
      <c r="N105" s="3"/>
    </row>
    <row r="106" spans="1:14" ht="63.6">
      <c r="A106" s="3"/>
      <c r="B106" s="36"/>
      <c r="C106" s="37"/>
      <c r="D106" s="38"/>
      <c r="E106" s="39"/>
      <c r="F106" s="40"/>
      <c r="G106" s="41"/>
      <c r="H106" s="42"/>
      <c r="I106" s="43"/>
      <c r="J106" s="44"/>
      <c r="K106" s="44"/>
      <c r="L106" s="44"/>
      <c r="M106" s="44"/>
      <c r="N106" s="3"/>
    </row>
    <row r="107" spans="1:14" ht="63.6">
      <c r="A107" s="3"/>
      <c r="B107" s="36"/>
      <c r="C107" s="37"/>
      <c r="D107" s="38"/>
      <c r="E107" s="39"/>
      <c r="F107" s="40"/>
      <c r="G107" s="41"/>
      <c r="H107" s="42"/>
      <c r="I107" s="43"/>
      <c r="J107" s="44"/>
      <c r="K107" s="44"/>
      <c r="L107" s="44"/>
      <c r="M107" s="44"/>
      <c r="N107" s="3"/>
    </row>
    <row r="108" spans="1:14" ht="63.6">
      <c r="A108" s="3"/>
      <c r="B108" s="36"/>
      <c r="C108" s="37"/>
      <c r="D108" s="38"/>
      <c r="E108" s="39"/>
      <c r="F108" s="40"/>
      <c r="G108" s="41"/>
      <c r="H108" s="42"/>
      <c r="I108" s="43"/>
      <c r="J108" s="44"/>
      <c r="K108" s="44"/>
      <c r="L108" s="44"/>
      <c r="M108" s="44"/>
      <c r="N108" s="3"/>
    </row>
    <row r="109" spans="1:14" ht="63.6">
      <c r="A109" s="3"/>
      <c r="B109" s="36"/>
      <c r="C109" s="37"/>
      <c r="D109" s="38"/>
      <c r="E109" s="39"/>
      <c r="F109" s="40"/>
      <c r="G109" s="41"/>
      <c r="H109" s="42"/>
      <c r="I109" s="43"/>
      <c r="J109" s="44"/>
      <c r="K109" s="44"/>
      <c r="L109" s="44"/>
      <c r="M109" s="44"/>
      <c r="N109" s="3"/>
    </row>
    <row r="110" spans="1:14" ht="63.6">
      <c r="A110" s="3"/>
      <c r="B110" s="36"/>
      <c r="C110" s="37"/>
      <c r="D110" s="38"/>
      <c r="E110" s="39"/>
      <c r="F110" s="40"/>
      <c r="G110" s="41"/>
      <c r="H110" s="42"/>
      <c r="I110" s="43"/>
      <c r="J110" s="44"/>
      <c r="K110" s="44"/>
      <c r="L110" s="44"/>
      <c r="M110" s="44"/>
      <c r="N110" s="3"/>
    </row>
    <row r="111" spans="1:14" ht="63.6">
      <c r="A111" s="3"/>
      <c r="B111" s="36"/>
      <c r="C111" s="37"/>
      <c r="D111" s="38"/>
      <c r="E111" s="39"/>
      <c r="F111" s="40"/>
      <c r="G111" s="41"/>
      <c r="H111" s="42"/>
      <c r="I111" s="43"/>
      <c r="J111" s="44"/>
      <c r="K111" s="44"/>
      <c r="L111" s="44"/>
      <c r="M111" s="44"/>
      <c r="N111" s="3"/>
    </row>
    <row r="112" spans="1:14" ht="63.6">
      <c r="A112" s="3"/>
      <c r="B112" s="36"/>
      <c r="C112" s="37"/>
      <c r="D112" s="38"/>
      <c r="E112" s="39"/>
      <c r="F112" s="40"/>
      <c r="G112" s="41"/>
      <c r="H112" s="42"/>
      <c r="I112" s="43"/>
      <c r="J112" s="44"/>
      <c r="K112" s="44"/>
      <c r="L112" s="44"/>
      <c r="M112" s="44"/>
      <c r="N112" s="3"/>
    </row>
    <row r="113" spans="1:14" ht="63.6">
      <c r="A113" s="3"/>
      <c r="B113" s="36"/>
      <c r="C113" s="37"/>
      <c r="D113" s="38"/>
      <c r="E113" s="39"/>
      <c r="F113" s="40"/>
      <c r="G113" s="41"/>
      <c r="H113" s="42"/>
      <c r="I113" s="43"/>
      <c r="J113" s="44"/>
      <c r="K113" s="44"/>
      <c r="L113" s="44"/>
      <c r="M113" s="44"/>
      <c r="N113" s="3"/>
    </row>
    <row r="114" spans="1:14" ht="63.6">
      <c r="A114" s="3"/>
      <c r="B114" s="36"/>
      <c r="C114" s="37"/>
      <c r="D114" s="38"/>
      <c r="E114" s="39"/>
      <c r="F114" s="40"/>
      <c r="G114" s="41"/>
      <c r="H114" s="42"/>
      <c r="I114" s="43"/>
      <c r="J114" s="44"/>
      <c r="K114" s="44"/>
      <c r="L114" s="44"/>
      <c r="M114" s="44"/>
      <c r="N114" s="3"/>
    </row>
    <row r="115" spans="1:14" ht="63.6">
      <c r="A115" s="3"/>
      <c r="B115" s="36"/>
      <c r="C115" s="37"/>
      <c r="D115" s="38"/>
      <c r="E115" s="39"/>
      <c r="F115" s="40"/>
      <c r="G115" s="41"/>
      <c r="H115" s="42"/>
      <c r="I115" s="43"/>
      <c r="J115" s="44"/>
      <c r="K115" s="44"/>
      <c r="L115" s="44"/>
      <c r="M115" s="44"/>
      <c r="N115" s="3"/>
    </row>
    <row r="116" spans="1:14" ht="63.6">
      <c r="A116" s="3"/>
      <c r="B116" s="36"/>
      <c r="C116" s="37"/>
      <c r="D116" s="38"/>
      <c r="E116" s="39"/>
      <c r="F116" s="40"/>
      <c r="G116" s="41"/>
      <c r="H116" s="42"/>
      <c r="I116" s="43"/>
      <c r="J116" s="44"/>
      <c r="K116" s="44"/>
      <c r="L116" s="44"/>
      <c r="M116" s="44"/>
      <c r="N116" s="3"/>
    </row>
    <row r="117" spans="1:14" ht="63.6">
      <c r="A117" s="3"/>
      <c r="B117" s="36"/>
      <c r="C117" s="37"/>
      <c r="D117" s="38"/>
      <c r="E117" s="39"/>
      <c r="F117" s="40"/>
      <c r="G117" s="41"/>
      <c r="H117" s="42"/>
      <c r="I117" s="43"/>
      <c r="J117" s="44"/>
      <c r="K117" s="44"/>
      <c r="L117" s="44"/>
      <c r="M117" s="44"/>
      <c r="N117" s="3"/>
    </row>
    <row r="118" spans="1:14" ht="63.6">
      <c r="A118" s="3"/>
      <c r="B118" s="36"/>
      <c r="C118" s="37"/>
      <c r="D118" s="38"/>
      <c r="E118" s="39"/>
      <c r="F118" s="40"/>
      <c r="G118" s="41"/>
      <c r="H118" s="42"/>
      <c r="I118" s="43"/>
      <c r="J118" s="44"/>
      <c r="K118" s="44"/>
      <c r="L118" s="44"/>
      <c r="M118" s="44"/>
      <c r="N118" s="3"/>
    </row>
    <row r="119" spans="1:14" ht="63.6">
      <c r="A119" s="3"/>
      <c r="B119" s="36"/>
      <c r="C119" s="37"/>
      <c r="D119" s="38"/>
      <c r="E119" s="39"/>
      <c r="F119" s="40"/>
      <c r="G119" s="41"/>
      <c r="H119" s="42"/>
      <c r="I119" s="43"/>
      <c r="J119" s="44"/>
      <c r="K119" s="44"/>
      <c r="L119" s="44"/>
      <c r="M119" s="44"/>
      <c r="N119" s="3"/>
    </row>
    <row r="120" spans="1:14" ht="63.6">
      <c r="A120" s="3"/>
      <c r="B120" s="36"/>
      <c r="C120" s="37"/>
      <c r="D120" s="38"/>
      <c r="E120" s="39"/>
      <c r="F120" s="40"/>
      <c r="G120" s="41"/>
      <c r="H120" s="42"/>
      <c r="I120" s="43"/>
      <c r="J120" s="44"/>
      <c r="K120" s="44"/>
      <c r="L120" s="44"/>
      <c r="M120" s="44"/>
      <c r="N120" s="3"/>
    </row>
    <row r="121" spans="1:14" ht="63.6">
      <c r="A121" s="3"/>
      <c r="B121" s="36"/>
      <c r="C121" s="37"/>
      <c r="D121" s="38"/>
      <c r="E121" s="39"/>
      <c r="F121" s="40"/>
      <c r="G121" s="41"/>
      <c r="H121" s="42"/>
      <c r="I121" s="43"/>
      <c r="J121" s="44"/>
      <c r="K121" s="44"/>
      <c r="L121" s="44"/>
      <c r="M121" s="44"/>
      <c r="N121" s="3"/>
    </row>
    <row r="122" spans="1:14" ht="63.6">
      <c r="A122" s="3"/>
      <c r="B122" s="36"/>
      <c r="C122" s="37"/>
      <c r="D122" s="38"/>
      <c r="E122" s="39"/>
      <c r="F122" s="40"/>
      <c r="G122" s="41"/>
      <c r="H122" s="42"/>
      <c r="I122" s="43"/>
      <c r="J122" s="44"/>
      <c r="K122" s="44"/>
      <c r="L122" s="44"/>
      <c r="M122" s="44"/>
      <c r="N122" s="3"/>
    </row>
    <row r="123" spans="1:14" ht="63.6">
      <c r="A123" s="3"/>
      <c r="B123" s="36"/>
      <c r="C123" s="37"/>
      <c r="D123" s="38"/>
      <c r="E123" s="39"/>
      <c r="F123" s="40"/>
      <c r="G123" s="41"/>
      <c r="H123" s="42"/>
      <c r="I123" s="43"/>
      <c r="J123" s="44"/>
      <c r="K123" s="44"/>
      <c r="L123" s="44"/>
      <c r="M123" s="44"/>
      <c r="N123" s="3"/>
    </row>
    <row r="124" spans="1:14" ht="63.6">
      <c r="A124" s="3"/>
      <c r="B124" s="36"/>
      <c r="C124" s="37"/>
      <c r="D124" s="38"/>
      <c r="E124" s="39"/>
      <c r="F124" s="40"/>
      <c r="G124" s="41"/>
      <c r="H124" s="42"/>
      <c r="I124" s="43"/>
      <c r="J124" s="44"/>
      <c r="K124" s="44"/>
      <c r="L124" s="44"/>
      <c r="M124" s="44"/>
      <c r="N124" s="3"/>
    </row>
    <row r="125" spans="1:14" ht="63.6">
      <c r="A125" s="3"/>
      <c r="B125" s="36"/>
      <c r="C125" s="37"/>
      <c r="D125" s="38"/>
      <c r="E125" s="39"/>
      <c r="F125" s="40"/>
      <c r="G125" s="41"/>
      <c r="H125" s="42"/>
      <c r="I125" s="43"/>
      <c r="J125" s="44"/>
      <c r="K125" s="44"/>
      <c r="L125" s="44"/>
      <c r="M125" s="44"/>
      <c r="N125" s="3"/>
    </row>
    <row r="126" spans="1:14" ht="63.6">
      <c r="A126" s="3"/>
      <c r="B126" s="36"/>
      <c r="C126" s="37"/>
      <c r="D126" s="38"/>
      <c r="E126" s="39"/>
      <c r="F126" s="40"/>
      <c r="G126" s="41"/>
      <c r="H126" s="42"/>
      <c r="I126" s="43"/>
      <c r="J126" s="44"/>
      <c r="K126" s="44"/>
      <c r="L126" s="44"/>
      <c r="M126" s="44"/>
      <c r="N126" s="3"/>
    </row>
    <row r="127" spans="1:14" ht="63.6">
      <c r="A127" s="3"/>
      <c r="B127" s="36"/>
      <c r="C127" s="37"/>
      <c r="D127" s="38"/>
      <c r="E127" s="39"/>
      <c r="F127" s="40"/>
      <c r="G127" s="41"/>
      <c r="H127" s="42"/>
      <c r="I127" s="43"/>
      <c r="J127" s="44"/>
      <c r="K127" s="44"/>
      <c r="L127" s="44"/>
      <c r="M127" s="44"/>
      <c r="N127" s="3"/>
    </row>
    <row r="128" spans="1:14" ht="63.6">
      <c r="A128" s="3"/>
      <c r="B128" s="36"/>
      <c r="C128" s="37"/>
      <c r="D128" s="38"/>
      <c r="E128" s="39"/>
      <c r="F128" s="40"/>
      <c r="G128" s="41"/>
      <c r="H128" s="42"/>
      <c r="I128" s="43"/>
      <c r="J128" s="44"/>
      <c r="K128" s="44"/>
      <c r="L128" s="44"/>
      <c r="M128" s="44"/>
      <c r="N128" s="3"/>
    </row>
    <row r="129" spans="1:14" ht="63.6">
      <c r="A129" s="3"/>
      <c r="B129" s="36"/>
      <c r="C129" s="37"/>
      <c r="D129" s="38"/>
      <c r="E129" s="39"/>
      <c r="F129" s="40"/>
      <c r="G129" s="41"/>
      <c r="H129" s="42"/>
      <c r="I129" s="43"/>
      <c r="J129" s="44"/>
      <c r="K129" s="44"/>
      <c r="L129" s="44"/>
      <c r="M129" s="44"/>
      <c r="N129" s="3"/>
    </row>
    <row r="130" spans="1:14" ht="63.6">
      <c r="A130" s="3"/>
      <c r="B130" s="36"/>
      <c r="C130" s="37"/>
      <c r="D130" s="38"/>
      <c r="E130" s="39"/>
      <c r="F130" s="40"/>
      <c r="G130" s="41"/>
      <c r="H130" s="42"/>
      <c r="I130" s="43"/>
      <c r="J130" s="44"/>
      <c r="K130" s="44"/>
      <c r="L130" s="44"/>
      <c r="M130" s="44"/>
      <c r="N130" s="3"/>
    </row>
    <row r="131" spans="1:14" ht="63.6">
      <c r="A131" s="3"/>
      <c r="B131" s="36"/>
      <c r="C131" s="37"/>
      <c r="D131" s="38"/>
      <c r="E131" s="39"/>
      <c r="F131" s="40"/>
      <c r="G131" s="41"/>
      <c r="H131" s="42"/>
      <c r="I131" s="43"/>
      <c r="J131" s="44"/>
      <c r="K131" s="44"/>
      <c r="L131" s="44"/>
      <c r="M131" s="44"/>
      <c r="N131" s="3"/>
    </row>
    <row r="132" spans="1:14" ht="63.6">
      <c r="A132" s="3"/>
      <c r="B132" s="36"/>
      <c r="C132" s="37"/>
      <c r="D132" s="38"/>
      <c r="E132" s="39"/>
      <c r="F132" s="40"/>
      <c r="G132" s="41"/>
      <c r="H132" s="42"/>
      <c r="I132" s="43"/>
      <c r="J132" s="44"/>
      <c r="K132" s="44"/>
      <c r="L132" s="44"/>
      <c r="M132" s="44"/>
      <c r="N132" s="3"/>
    </row>
    <row r="133" spans="1:14" ht="63.6">
      <c r="A133" s="3"/>
      <c r="B133" s="36"/>
      <c r="C133" s="37"/>
      <c r="D133" s="38"/>
      <c r="E133" s="39"/>
      <c r="F133" s="40"/>
      <c r="G133" s="41"/>
      <c r="H133" s="42"/>
      <c r="I133" s="43"/>
      <c r="J133" s="44"/>
      <c r="K133" s="44"/>
      <c r="L133" s="44"/>
      <c r="M133" s="44"/>
      <c r="N133" s="3"/>
    </row>
    <row r="134" spans="1:14" ht="63.6">
      <c r="A134" s="3"/>
      <c r="B134" s="36"/>
      <c r="C134" s="37"/>
      <c r="D134" s="38"/>
      <c r="E134" s="39"/>
      <c r="F134" s="40"/>
      <c r="G134" s="41"/>
      <c r="H134" s="42"/>
      <c r="I134" s="43"/>
      <c r="J134" s="44"/>
      <c r="K134" s="44"/>
      <c r="L134" s="44"/>
      <c r="M134" s="44"/>
      <c r="N134" s="3"/>
    </row>
    <row r="135" spans="1:14" ht="63.6">
      <c r="A135" s="3"/>
      <c r="B135" s="36"/>
      <c r="C135" s="37"/>
      <c r="D135" s="38"/>
      <c r="E135" s="39"/>
      <c r="F135" s="40"/>
      <c r="G135" s="41"/>
      <c r="H135" s="42"/>
      <c r="I135" s="43"/>
      <c r="J135" s="44"/>
      <c r="K135" s="44"/>
      <c r="L135" s="44"/>
      <c r="M135" s="44"/>
      <c r="N135" s="3"/>
    </row>
    <row r="136" spans="1:14" ht="63.6">
      <c r="A136" s="3"/>
      <c r="B136" s="36"/>
      <c r="C136" s="37"/>
      <c r="D136" s="38"/>
      <c r="E136" s="39"/>
      <c r="F136" s="40"/>
      <c r="G136" s="41"/>
      <c r="H136" s="42"/>
      <c r="I136" s="43"/>
      <c r="J136" s="44"/>
      <c r="K136" s="44"/>
      <c r="L136" s="44"/>
      <c r="M136" s="44"/>
      <c r="N136" s="3"/>
    </row>
  </sheetData>
  <mergeCells count="50">
    <mergeCell ref="A1:H2"/>
    <mergeCell ref="C3:M3"/>
    <mergeCell ref="I5:I16"/>
    <mergeCell ref="J5:J16"/>
    <mergeCell ref="K5:K16"/>
    <mergeCell ref="L5:L16"/>
    <mergeCell ref="M5:M16"/>
    <mergeCell ref="H5:H16"/>
    <mergeCell ref="H17:H28"/>
    <mergeCell ref="I17:I28"/>
    <mergeCell ref="J17:J28"/>
    <mergeCell ref="K17:K28"/>
    <mergeCell ref="L17:L28"/>
    <mergeCell ref="M17:M28"/>
    <mergeCell ref="K41:K52"/>
    <mergeCell ref="L41:L52"/>
    <mergeCell ref="K53:K64"/>
    <mergeCell ref="L53:L64"/>
    <mergeCell ref="M53:M64"/>
    <mergeCell ref="L65:L76"/>
    <mergeCell ref="M65:M76"/>
    <mergeCell ref="H29:H40"/>
    <mergeCell ref="I29:I40"/>
    <mergeCell ref="J29:J40"/>
    <mergeCell ref="K29:K40"/>
    <mergeCell ref="L29:L40"/>
    <mergeCell ref="M29:M40"/>
    <mergeCell ref="H41:H52"/>
    <mergeCell ref="M41:M52"/>
    <mergeCell ref="H65:H76"/>
    <mergeCell ref="I41:I52"/>
    <mergeCell ref="J41:J52"/>
    <mergeCell ref="H53:H64"/>
    <mergeCell ref="I53:I64"/>
    <mergeCell ref="J53:J64"/>
    <mergeCell ref="I65:I76"/>
    <mergeCell ref="J65:J76"/>
    <mergeCell ref="M77:M88"/>
    <mergeCell ref="H89:H100"/>
    <mergeCell ref="I89:I100"/>
    <mergeCell ref="J89:J100"/>
    <mergeCell ref="K89:K100"/>
    <mergeCell ref="L89:L100"/>
    <mergeCell ref="M89:M100"/>
    <mergeCell ref="H77:H88"/>
    <mergeCell ref="I77:I88"/>
    <mergeCell ref="J77:J88"/>
    <mergeCell ref="K77:K88"/>
    <mergeCell ref="L77:L88"/>
    <mergeCell ref="K65:K7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36"/>
  <sheetViews>
    <sheetView topLeftCell="A56" zoomScale="83" zoomScaleNormal="83" workbookViewId="0">
      <selection activeCell="F62" sqref="F62"/>
    </sheetView>
  </sheetViews>
  <sheetFormatPr defaultColWidth="14.44140625" defaultRowHeight="15" customHeight="1"/>
  <cols>
    <col min="1" max="1" width="5.44140625" customWidth="1"/>
    <col min="2" max="2" width="38" customWidth="1"/>
    <col min="3" max="3" width="93.44140625" customWidth="1"/>
    <col min="4" max="4" width="10" customWidth="1"/>
    <col min="5" max="5" width="11.109375" customWidth="1"/>
    <col min="6" max="6" width="12.88671875" customWidth="1"/>
    <col min="7" max="7" width="22.5546875" customWidth="1"/>
    <col min="8" max="8" width="17.33203125" customWidth="1"/>
    <col min="9" max="9" width="27.109375" customWidth="1"/>
    <col min="10" max="10" width="21" customWidth="1"/>
    <col min="11" max="11" width="46.88671875" customWidth="1"/>
    <col min="12" max="13" width="43.6640625" customWidth="1"/>
    <col min="14" max="14" width="5.109375" customWidth="1"/>
  </cols>
  <sheetData>
    <row r="1" spans="1:14" ht="102">
      <c r="A1" s="45" t="s">
        <v>44</v>
      </c>
      <c r="B1" s="310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1"/>
    </row>
    <row r="2" spans="1:14" ht="32.25" customHeight="1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spans="1:14" ht="63.6">
      <c r="A3" s="47"/>
      <c r="B3" s="48" t="s">
        <v>1</v>
      </c>
      <c r="C3" s="49" t="s">
        <v>2</v>
      </c>
      <c r="D3" s="50" t="s">
        <v>3</v>
      </c>
      <c r="E3" s="50" t="s">
        <v>4</v>
      </c>
      <c r="F3" s="51" t="s">
        <v>5</v>
      </c>
      <c r="G3" s="51" t="s">
        <v>6</v>
      </c>
      <c r="H3" s="10" t="s">
        <v>8</v>
      </c>
      <c r="I3" s="11" t="s">
        <v>7</v>
      </c>
      <c r="J3" s="11" t="s">
        <v>9</v>
      </c>
      <c r="K3" s="11" t="s">
        <v>10</v>
      </c>
      <c r="L3" s="11" t="s">
        <v>11</v>
      </c>
      <c r="M3" s="52" t="s">
        <v>11</v>
      </c>
      <c r="N3" s="3"/>
    </row>
    <row r="4" spans="1:14" ht="63.6">
      <c r="A4" s="47"/>
      <c r="B4" s="53"/>
      <c r="C4" s="54"/>
      <c r="D4" s="53" t="s">
        <v>14</v>
      </c>
      <c r="E4" s="55">
        <v>1</v>
      </c>
      <c r="F4" s="56">
        <v>194.56</v>
      </c>
      <c r="G4" s="57">
        <f t="shared" ref="G4:G39" si="0">SUM(E4*F4)</f>
        <v>194.56</v>
      </c>
      <c r="H4" s="309">
        <f>SUM(G4:G7)</f>
        <v>220.45599999999999</v>
      </c>
      <c r="I4" s="295">
        <v>2.0982400000000001</v>
      </c>
      <c r="J4" s="292">
        <f>SUM(H3:H14)</f>
        <v>661.36799999999994</v>
      </c>
      <c r="K4" s="292">
        <f>SUM(I4*J4)</f>
        <v>1387.7087923199999</v>
      </c>
      <c r="L4" s="292">
        <f>SUM(J4+K4)</f>
        <v>2049.0767923200001</v>
      </c>
      <c r="M4" s="308">
        <v>0.67720000000000002</v>
      </c>
      <c r="N4" s="3"/>
    </row>
    <row r="5" spans="1:14" ht="63.6">
      <c r="A5" s="47"/>
      <c r="B5" s="58" t="s">
        <v>15</v>
      </c>
      <c r="C5" s="59" t="s">
        <v>16</v>
      </c>
      <c r="D5" s="60" t="s">
        <v>3</v>
      </c>
      <c r="E5" s="60">
        <v>0</v>
      </c>
      <c r="F5" s="61">
        <v>2.59</v>
      </c>
      <c r="G5" s="61">
        <f t="shared" si="0"/>
        <v>0</v>
      </c>
      <c r="H5" s="293"/>
      <c r="I5" s="293"/>
      <c r="J5" s="293"/>
      <c r="K5" s="293"/>
      <c r="L5" s="293"/>
      <c r="M5" s="293"/>
      <c r="N5" s="3"/>
    </row>
    <row r="6" spans="1:14" ht="63.6">
      <c r="A6" s="47"/>
      <c r="B6" s="62" t="s">
        <v>45</v>
      </c>
      <c r="C6" s="63" t="s">
        <v>46</v>
      </c>
      <c r="D6" s="64" t="s">
        <v>47</v>
      </c>
      <c r="E6" s="64">
        <v>1.66</v>
      </c>
      <c r="F6" s="65">
        <v>15.6</v>
      </c>
      <c r="G6" s="65">
        <f t="shared" si="0"/>
        <v>25.895999999999997</v>
      </c>
      <c r="H6" s="293"/>
      <c r="I6" s="293"/>
      <c r="J6" s="293"/>
      <c r="K6" s="293"/>
      <c r="L6" s="293"/>
      <c r="M6" s="293"/>
      <c r="N6" s="3"/>
    </row>
    <row r="7" spans="1:14" ht="63.6">
      <c r="A7" s="47"/>
      <c r="B7" s="66" t="s">
        <v>48</v>
      </c>
      <c r="C7" s="67" t="s">
        <v>49</v>
      </c>
      <c r="D7" s="60" t="s">
        <v>3</v>
      </c>
      <c r="E7" s="68">
        <v>0</v>
      </c>
      <c r="F7" s="69">
        <v>3.9</v>
      </c>
      <c r="G7" s="69">
        <f t="shared" si="0"/>
        <v>0</v>
      </c>
      <c r="H7" s="294"/>
      <c r="I7" s="294"/>
      <c r="J7" s="294"/>
      <c r="K7" s="294"/>
      <c r="L7" s="294"/>
      <c r="M7" s="294"/>
      <c r="N7" s="3"/>
    </row>
    <row r="8" spans="1:14" ht="63.6">
      <c r="A8" s="47"/>
      <c r="B8" s="53" t="s">
        <v>50</v>
      </c>
      <c r="C8" s="54" t="s">
        <v>51</v>
      </c>
      <c r="D8" s="53" t="s">
        <v>14</v>
      </c>
      <c r="E8" s="55">
        <v>1</v>
      </c>
      <c r="F8" s="56">
        <v>194.56</v>
      </c>
      <c r="G8" s="57">
        <f t="shared" si="0"/>
        <v>194.56</v>
      </c>
      <c r="H8" s="309">
        <f>SUM(G8:G11)</f>
        <v>220.45599999999999</v>
      </c>
      <c r="I8" s="295">
        <v>2.1</v>
      </c>
      <c r="J8" s="292">
        <f>SUM(H7:H18)</f>
        <v>696.62799999999993</v>
      </c>
      <c r="K8" s="292">
        <f>SUM(I8*J8)</f>
        <v>1462.9187999999999</v>
      </c>
      <c r="L8" s="292">
        <f>SUM(J8+K8)</f>
        <v>2159.5468000000001</v>
      </c>
      <c r="M8" s="308">
        <v>0.67720000000000002</v>
      </c>
      <c r="N8" s="3"/>
    </row>
    <row r="9" spans="1:14" ht="63.6">
      <c r="A9" s="47"/>
      <c r="B9" s="58" t="s">
        <v>15</v>
      </c>
      <c r="C9" s="59" t="s">
        <v>16</v>
      </c>
      <c r="D9" s="60" t="s">
        <v>3</v>
      </c>
      <c r="E9" s="60">
        <v>0</v>
      </c>
      <c r="F9" s="61">
        <v>2.59</v>
      </c>
      <c r="G9" s="61">
        <f t="shared" si="0"/>
        <v>0</v>
      </c>
      <c r="H9" s="293"/>
      <c r="I9" s="293"/>
      <c r="J9" s="293"/>
      <c r="K9" s="293"/>
      <c r="L9" s="293"/>
      <c r="M9" s="293"/>
      <c r="N9" s="3"/>
    </row>
    <row r="10" spans="1:14" ht="63.6">
      <c r="A10" s="47"/>
      <c r="B10" s="62" t="s">
        <v>45</v>
      </c>
      <c r="C10" s="63" t="s">
        <v>46</v>
      </c>
      <c r="D10" s="64" t="s">
        <v>14</v>
      </c>
      <c r="E10" s="64">
        <v>1.66</v>
      </c>
      <c r="F10" s="65">
        <v>15.6</v>
      </c>
      <c r="G10" s="65">
        <f t="shared" si="0"/>
        <v>25.895999999999997</v>
      </c>
      <c r="H10" s="293"/>
      <c r="I10" s="293"/>
      <c r="J10" s="293"/>
      <c r="K10" s="293"/>
      <c r="L10" s="293"/>
      <c r="M10" s="293"/>
      <c r="N10" s="3"/>
    </row>
    <row r="11" spans="1:14" ht="63.6">
      <c r="A11" s="47"/>
      <c r="B11" s="66" t="s">
        <v>48</v>
      </c>
      <c r="C11" s="67" t="s">
        <v>49</v>
      </c>
      <c r="D11" s="60" t="s">
        <v>3</v>
      </c>
      <c r="E11" s="68">
        <v>0</v>
      </c>
      <c r="F11" s="69">
        <v>3.9</v>
      </c>
      <c r="G11" s="69">
        <f t="shared" si="0"/>
        <v>0</v>
      </c>
      <c r="H11" s="294"/>
      <c r="I11" s="294"/>
      <c r="J11" s="294"/>
      <c r="K11" s="294"/>
      <c r="L11" s="294"/>
      <c r="M11" s="294"/>
      <c r="N11" s="3"/>
    </row>
    <row r="12" spans="1:14" ht="63.6">
      <c r="A12" s="70"/>
      <c r="B12" s="53" t="s">
        <v>52</v>
      </c>
      <c r="C12" s="71" t="s">
        <v>53</v>
      </c>
      <c r="D12" s="53" t="s">
        <v>14</v>
      </c>
      <c r="E12" s="55">
        <v>1</v>
      </c>
      <c r="F12" s="56">
        <v>194.56</v>
      </c>
      <c r="G12" s="57">
        <f t="shared" si="0"/>
        <v>194.56</v>
      </c>
      <c r="H12" s="309">
        <f>SUM(G12:G15)</f>
        <v>220.45599999999999</v>
      </c>
      <c r="I12" s="295">
        <v>2.0982400000000001</v>
      </c>
      <c r="J12" s="292">
        <f>SUM(H11:H22)</f>
        <v>772.62799999999993</v>
      </c>
      <c r="K12" s="292">
        <f>SUM(I12*J12)</f>
        <v>1621.1589747199998</v>
      </c>
      <c r="L12" s="292">
        <f>SUM(J12+K12)</f>
        <v>2393.7869747199998</v>
      </c>
      <c r="M12" s="308">
        <v>0.67720000000000002</v>
      </c>
      <c r="N12" s="3"/>
    </row>
    <row r="13" spans="1:14" ht="63.6">
      <c r="A13" s="47"/>
      <c r="B13" s="58" t="s">
        <v>15</v>
      </c>
      <c r="C13" s="59" t="s">
        <v>16</v>
      </c>
      <c r="D13" s="60" t="s">
        <v>3</v>
      </c>
      <c r="E13" s="60">
        <v>0</v>
      </c>
      <c r="F13" s="61">
        <v>2.59</v>
      </c>
      <c r="G13" s="61">
        <f t="shared" si="0"/>
        <v>0</v>
      </c>
      <c r="H13" s="293"/>
      <c r="I13" s="293"/>
      <c r="J13" s="293"/>
      <c r="K13" s="293"/>
      <c r="L13" s="293"/>
      <c r="M13" s="293"/>
      <c r="N13" s="3"/>
    </row>
    <row r="14" spans="1:14" ht="63.6">
      <c r="A14" s="47"/>
      <c r="B14" s="62" t="s">
        <v>45</v>
      </c>
      <c r="C14" s="63" t="s">
        <v>46</v>
      </c>
      <c r="D14" s="64" t="s">
        <v>14</v>
      </c>
      <c r="E14" s="64">
        <v>1.66</v>
      </c>
      <c r="F14" s="65">
        <v>15.6</v>
      </c>
      <c r="G14" s="65">
        <f t="shared" si="0"/>
        <v>25.895999999999997</v>
      </c>
      <c r="H14" s="293"/>
      <c r="I14" s="293"/>
      <c r="J14" s="293"/>
      <c r="K14" s="293"/>
      <c r="L14" s="293"/>
      <c r="M14" s="293"/>
      <c r="N14" s="3"/>
    </row>
    <row r="15" spans="1:14" ht="63.6">
      <c r="A15" s="47"/>
      <c r="B15" s="66" t="s">
        <v>48</v>
      </c>
      <c r="C15" s="67" t="s">
        <v>49</v>
      </c>
      <c r="D15" s="60" t="s">
        <v>3</v>
      </c>
      <c r="E15" s="68">
        <v>0</v>
      </c>
      <c r="F15" s="69">
        <v>3.9</v>
      </c>
      <c r="G15" s="69">
        <f t="shared" si="0"/>
        <v>0</v>
      </c>
      <c r="H15" s="294"/>
      <c r="I15" s="294"/>
      <c r="J15" s="294"/>
      <c r="K15" s="294"/>
      <c r="L15" s="294"/>
      <c r="M15" s="294"/>
      <c r="N15" s="3"/>
    </row>
    <row r="16" spans="1:14" ht="63.6">
      <c r="A16" s="47"/>
      <c r="B16" s="53" t="s">
        <v>54</v>
      </c>
      <c r="C16" s="72" t="s">
        <v>55</v>
      </c>
      <c r="D16" s="53" t="s">
        <v>14</v>
      </c>
      <c r="E16" s="55">
        <v>1</v>
      </c>
      <c r="F16" s="56">
        <v>229.82</v>
      </c>
      <c r="G16" s="57">
        <f t="shared" si="0"/>
        <v>229.82</v>
      </c>
      <c r="H16" s="309">
        <f>SUM(G16:G19)</f>
        <v>255.71599999999998</v>
      </c>
      <c r="I16" s="295">
        <v>2.0982400000000001</v>
      </c>
      <c r="J16" s="292">
        <f>SUM(H15:H26)</f>
        <v>882.06799999999998</v>
      </c>
      <c r="K16" s="292">
        <f>SUM(I16*J16)</f>
        <v>1850.79036032</v>
      </c>
      <c r="L16" s="292">
        <f>SUM(J16+K16)</f>
        <v>2732.85836032</v>
      </c>
      <c r="M16" s="308">
        <v>0.67720000000000002</v>
      </c>
      <c r="N16" s="3"/>
    </row>
    <row r="17" spans="1:14" ht="63.6">
      <c r="A17" s="47"/>
      <c r="B17" s="58" t="s">
        <v>15</v>
      </c>
      <c r="C17" s="59" t="s">
        <v>16</v>
      </c>
      <c r="D17" s="60" t="s">
        <v>3</v>
      </c>
      <c r="E17" s="60">
        <v>0</v>
      </c>
      <c r="F17" s="61">
        <v>2.59</v>
      </c>
      <c r="G17" s="61">
        <f t="shared" si="0"/>
        <v>0</v>
      </c>
      <c r="H17" s="293"/>
      <c r="I17" s="293"/>
      <c r="J17" s="293"/>
      <c r="K17" s="293"/>
      <c r="L17" s="293"/>
      <c r="M17" s="293"/>
      <c r="N17" s="3"/>
    </row>
    <row r="18" spans="1:14" ht="63.6">
      <c r="A18" s="47"/>
      <c r="B18" s="66" t="s">
        <v>45</v>
      </c>
      <c r="C18" s="63" t="s">
        <v>46</v>
      </c>
      <c r="D18" s="64" t="s">
        <v>14</v>
      </c>
      <c r="E18" s="64">
        <v>1.66</v>
      </c>
      <c r="F18" s="65">
        <v>15.6</v>
      </c>
      <c r="G18" s="65">
        <f t="shared" si="0"/>
        <v>25.895999999999997</v>
      </c>
      <c r="H18" s="293"/>
      <c r="I18" s="293"/>
      <c r="J18" s="293"/>
      <c r="K18" s="293"/>
      <c r="L18" s="293"/>
      <c r="M18" s="293"/>
      <c r="N18" s="3"/>
    </row>
    <row r="19" spans="1:14" ht="63.6">
      <c r="A19" s="47"/>
      <c r="B19" s="73" t="s">
        <v>48</v>
      </c>
      <c r="C19" s="67" t="s">
        <v>49</v>
      </c>
      <c r="D19" s="60" t="s">
        <v>3</v>
      </c>
      <c r="E19" s="68">
        <v>0</v>
      </c>
      <c r="F19" s="69">
        <v>3.9</v>
      </c>
      <c r="G19" s="69">
        <f t="shared" si="0"/>
        <v>0</v>
      </c>
      <c r="H19" s="294"/>
      <c r="I19" s="294"/>
      <c r="J19" s="294"/>
      <c r="K19" s="294"/>
      <c r="L19" s="294"/>
      <c r="M19" s="294"/>
      <c r="N19" s="3"/>
    </row>
    <row r="20" spans="1:14" ht="63.6">
      <c r="A20" s="47"/>
      <c r="B20" s="53" t="s">
        <v>56</v>
      </c>
      <c r="C20" s="72" t="s">
        <v>57</v>
      </c>
      <c r="D20" s="53" t="s">
        <v>14</v>
      </c>
      <c r="E20" s="55">
        <v>1</v>
      </c>
      <c r="F20" s="56">
        <v>270.56</v>
      </c>
      <c r="G20" s="57">
        <f t="shared" si="0"/>
        <v>270.56</v>
      </c>
      <c r="H20" s="309">
        <f>SUM(G20:G23)</f>
        <v>296.45600000000002</v>
      </c>
      <c r="I20" s="295">
        <v>2.0982400000000001</v>
      </c>
      <c r="J20" s="292">
        <f>SUM(H19:H30)</f>
        <v>882.0680000000001</v>
      </c>
      <c r="K20" s="292">
        <f>SUM(I20*J20)</f>
        <v>1850.7903603200002</v>
      </c>
      <c r="L20" s="292">
        <f>SUM(J20+K20)</f>
        <v>2732.8583603200004</v>
      </c>
      <c r="M20" s="308">
        <v>0.67720000000000002</v>
      </c>
      <c r="N20" s="3"/>
    </row>
    <row r="21" spans="1:14" ht="63.6">
      <c r="A21" s="47"/>
      <c r="B21" s="58" t="s">
        <v>15</v>
      </c>
      <c r="C21" s="59" t="s">
        <v>16</v>
      </c>
      <c r="D21" s="60" t="s">
        <v>3</v>
      </c>
      <c r="E21" s="60">
        <v>0</v>
      </c>
      <c r="F21" s="61">
        <v>2.59</v>
      </c>
      <c r="G21" s="61">
        <f t="shared" si="0"/>
        <v>0</v>
      </c>
      <c r="H21" s="293"/>
      <c r="I21" s="293"/>
      <c r="J21" s="293"/>
      <c r="K21" s="293"/>
      <c r="L21" s="293"/>
      <c r="M21" s="293"/>
      <c r="N21" s="3"/>
    </row>
    <row r="22" spans="1:14" ht="63.6">
      <c r="A22" s="47"/>
      <c r="B22" s="62" t="s">
        <v>45</v>
      </c>
      <c r="C22" s="63" t="s">
        <v>46</v>
      </c>
      <c r="D22" s="64" t="s">
        <v>14</v>
      </c>
      <c r="E22" s="64">
        <v>1.66</v>
      </c>
      <c r="F22" s="65">
        <v>15.6</v>
      </c>
      <c r="G22" s="65">
        <f t="shared" si="0"/>
        <v>25.895999999999997</v>
      </c>
      <c r="H22" s="293"/>
      <c r="I22" s="293"/>
      <c r="J22" s="293"/>
      <c r="K22" s="293"/>
      <c r="L22" s="293"/>
      <c r="M22" s="293"/>
      <c r="N22" s="3"/>
    </row>
    <row r="23" spans="1:14" ht="63.6">
      <c r="A23" s="47"/>
      <c r="B23" s="74" t="s">
        <v>48</v>
      </c>
      <c r="C23" s="67" t="s">
        <v>49</v>
      </c>
      <c r="D23" s="60" t="s">
        <v>3</v>
      </c>
      <c r="E23" s="68">
        <v>0</v>
      </c>
      <c r="F23" s="69">
        <v>3.9</v>
      </c>
      <c r="G23" s="69">
        <f t="shared" si="0"/>
        <v>0</v>
      </c>
      <c r="H23" s="294"/>
      <c r="I23" s="294"/>
      <c r="J23" s="294"/>
      <c r="K23" s="294"/>
      <c r="L23" s="294"/>
      <c r="M23" s="294"/>
      <c r="N23" s="3"/>
    </row>
    <row r="24" spans="1:14" ht="63.6">
      <c r="A24" s="47"/>
      <c r="B24" s="75" t="s">
        <v>58</v>
      </c>
      <c r="C24" s="72" t="s">
        <v>59</v>
      </c>
      <c r="D24" s="53" t="s">
        <v>14</v>
      </c>
      <c r="E24" s="55">
        <v>1</v>
      </c>
      <c r="F24" s="56">
        <v>304</v>
      </c>
      <c r="G24" s="57">
        <f t="shared" si="0"/>
        <v>304</v>
      </c>
      <c r="H24" s="309">
        <f>SUM(G24:G27)</f>
        <v>329.89600000000002</v>
      </c>
      <c r="I24" s="295">
        <v>2.0982400000000001</v>
      </c>
      <c r="J24" s="292">
        <f>SUM(H23:H34)</f>
        <v>806.06799999999998</v>
      </c>
      <c r="K24" s="292">
        <f>SUM(I24*J24)</f>
        <v>1691.32412032</v>
      </c>
      <c r="L24" s="292">
        <f>SUM(J24+K24)</f>
        <v>2497.3921203199998</v>
      </c>
      <c r="M24" s="308">
        <v>0.67720000000000002</v>
      </c>
      <c r="N24" s="3"/>
    </row>
    <row r="25" spans="1:14" ht="63.6">
      <c r="A25" s="47"/>
      <c r="B25" s="74" t="s">
        <v>15</v>
      </c>
      <c r="C25" s="59" t="s">
        <v>16</v>
      </c>
      <c r="D25" s="60" t="s">
        <v>3</v>
      </c>
      <c r="E25" s="60">
        <v>0</v>
      </c>
      <c r="F25" s="61">
        <v>2.59</v>
      </c>
      <c r="G25" s="61">
        <f t="shared" si="0"/>
        <v>0</v>
      </c>
      <c r="H25" s="293"/>
      <c r="I25" s="293"/>
      <c r="J25" s="293"/>
      <c r="K25" s="293"/>
      <c r="L25" s="293"/>
      <c r="M25" s="293"/>
      <c r="N25" s="3"/>
    </row>
    <row r="26" spans="1:14" ht="63.6">
      <c r="A26" s="47"/>
      <c r="B26" s="73" t="s">
        <v>45</v>
      </c>
      <c r="C26" s="63" t="s">
        <v>46</v>
      </c>
      <c r="D26" s="64" t="s">
        <v>14</v>
      </c>
      <c r="E26" s="64">
        <v>1.66</v>
      </c>
      <c r="F26" s="65">
        <v>15.6</v>
      </c>
      <c r="G26" s="65">
        <f t="shared" si="0"/>
        <v>25.895999999999997</v>
      </c>
      <c r="H26" s="293"/>
      <c r="I26" s="293"/>
      <c r="J26" s="293"/>
      <c r="K26" s="293"/>
      <c r="L26" s="293"/>
      <c r="M26" s="293"/>
      <c r="N26" s="3"/>
    </row>
    <row r="27" spans="1:14" ht="63.6">
      <c r="A27" s="47"/>
      <c r="B27" s="66" t="s">
        <v>48</v>
      </c>
      <c r="C27" s="67" t="s">
        <v>49</v>
      </c>
      <c r="D27" s="60" t="s">
        <v>3</v>
      </c>
      <c r="E27" s="68">
        <v>0</v>
      </c>
      <c r="F27" s="69">
        <v>3.9</v>
      </c>
      <c r="G27" s="69">
        <f t="shared" si="0"/>
        <v>0</v>
      </c>
      <c r="H27" s="294"/>
      <c r="I27" s="294"/>
      <c r="J27" s="294"/>
      <c r="K27" s="294"/>
      <c r="L27" s="294"/>
      <c r="M27" s="294"/>
      <c r="N27" s="3"/>
    </row>
    <row r="28" spans="1:14" ht="63.6">
      <c r="A28" s="47"/>
      <c r="B28" s="53" t="s">
        <v>60</v>
      </c>
      <c r="C28" s="72" t="s">
        <v>61</v>
      </c>
      <c r="D28" s="53" t="s">
        <v>14</v>
      </c>
      <c r="E28" s="55">
        <v>1</v>
      </c>
      <c r="F28" s="56">
        <v>229.82</v>
      </c>
      <c r="G28" s="57">
        <f t="shared" si="0"/>
        <v>229.82</v>
      </c>
      <c r="H28" s="309">
        <f>SUM(G28:G31)</f>
        <v>255.71599999999998</v>
      </c>
      <c r="I28" s="295">
        <v>2.0982400000000001</v>
      </c>
      <c r="J28" s="292">
        <f>SUM(H27:H38)</f>
        <v>696.62799999999993</v>
      </c>
      <c r="K28" s="292">
        <f>SUM(I28*J28)</f>
        <v>1461.6927347199999</v>
      </c>
      <c r="L28" s="292">
        <f>SUM(J28+K28)</f>
        <v>2158.3207347199996</v>
      </c>
      <c r="M28" s="308">
        <v>0.67720000000000002</v>
      </c>
      <c r="N28" s="3"/>
    </row>
    <row r="29" spans="1:14" ht="63.6">
      <c r="A29" s="47"/>
      <c r="B29" s="58" t="s">
        <v>15</v>
      </c>
      <c r="C29" s="59" t="s">
        <v>16</v>
      </c>
      <c r="D29" s="60" t="s">
        <v>3</v>
      </c>
      <c r="E29" s="60">
        <v>0</v>
      </c>
      <c r="F29" s="61">
        <v>2.59</v>
      </c>
      <c r="G29" s="61">
        <f t="shared" si="0"/>
        <v>0</v>
      </c>
      <c r="H29" s="293"/>
      <c r="I29" s="293"/>
      <c r="J29" s="293"/>
      <c r="K29" s="293"/>
      <c r="L29" s="293"/>
      <c r="M29" s="293"/>
      <c r="N29" s="3"/>
    </row>
    <row r="30" spans="1:14" ht="63.6">
      <c r="A30" s="47"/>
      <c r="B30" s="58" t="s">
        <v>45</v>
      </c>
      <c r="C30" s="63" t="s">
        <v>46</v>
      </c>
      <c r="D30" s="64" t="s">
        <v>14</v>
      </c>
      <c r="E30" s="64">
        <v>1.66</v>
      </c>
      <c r="F30" s="65">
        <v>15.6</v>
      </c>
      <c r="G30" s="65">
        <f t="shared" si="0"/>
        <v>25.895999999999997</v>
      </c>
      <c r="H30" s="293"/>
      <c r="I30" s="293"/>
      <c r="J30" s="293"/>
      <c r="K30" s="293"/>
      <c r="L30" s="293"/>
      <c r="M30" s="293"/>
      <c r="N30" s="3"/>
    </row>
    <row r="31" spans="1:14" ht="63.6">
      <c r="A31" s="76"/>
      <c r="B31" s="66" t="s">
        <v>48</v>
      </c>
      <c r="C31" s="67" t="s">
        <v>49</v>
      </c>
      <c r="D31" s="60" t="s">
        <v>3</v>
      </c>
      <c r="E31" s="68">
        <v>0</v>
      </c>
      <c r="F31" s="69">
        <v>3.9</v>
      </c>
      <c r="G31" s="69">
        <f t="shared" si="0"/>
        <v>0</v>
      </c>
      <c r="H31" s="294"/>
      <c r="I31" s="294"/>
      <c r="J31" s="294"/>
      <c r="K31" s="294"/>
      <c r="L31" s="294"/>
      <c r="M31" s="294"/>
      <c r="N31" s="3"/>
    </row>
    <row r="32" spans="1:14" ht="63.6">
      <c r="A32" s="76"/>
      <c r="B32" s="53" t="s">
        <v>62</v>
      </c>
      <c r="C32" s="72" t="s">
        <v>63</v>
      </c>
      <c r="D32" s="53" t="s">
        <v>14</v>
      </c>
      <c r="E32" s="55">
        <v>1</v>
      </c>
      <c r="F32" s="53">
        <v>194.56</v>
      </c>
      <c r="G32" s="77">
        <f t="shared" si="0"/>
        <v>194.56</v>
      </c>
      <c r="H32" s="299">
        <f>SUM(G32:G35)</f>
        <v>220.45599999999999</v>
      </c>
      <c r="I32" s="295">
        <v>2.0982400000000001</v>
      </c>
      <c r="J32" s="292">
        <f>SUM(H31:H42)</f>
        <v>675.03139999999996</v>
      </c>
      <c r="K32" s="292">
        <f>SUM(I32*J32)</f>
        <v>1416.3778847359999</v>
      </c>
      <c r="L32" s="292">
        <f>SUM(J32+K32)</f>
        <v>2091.4092847359998</v>
      </c>
      <c r="M32" s="308">
        <v>0.67720000000000002</v>
      </c>
      <c r="N32" s="3"/>
    </row>
    <row r="33" spans="1:14" ht="63.6">
      <c r="A33" s="76"/>
      <c r="B33" s="58" t="s">
        <v>15</v>
      </c>
      <c r="C33" s="59" t="s">
        <v>16</v>
      </c>
      <c r="D33" s="60" t="s">
        <v>3</v>
      </c>
      <c r="E33" s="60">
        <v>0</v>
      </c>
      <c r="F33" s="61">
        <v>2.59</v>
      </c>
      <c r="G33" s="61">
        <f t="shared" si="0"/>
        <v>0</v>
      </c>
      <c r="H33" s="293"/>
      <c r="I33" s="293"/>
      <c r="J33" s="293"/>
      <c r="K33" s="293"/>
      <c r="L33" s="293"/>
      <c r="M33" s="293"/>
      <c r="N33" s="3"/>
    </row>
    <row r="34" spans="1:14" ht="63.6">
      <c r="A34" s="76"/>
      <c r="B34" s="58" t="s">
        <v>45</v>
      </c>
      <c r="C34" s="63" t="s">
        <v>46</v>
      </c>
      <c r="D34" s="64" t="s">
        <v>14</v>
      </c>
      <c r="E34" s="64">
        <v>1.66</v>
      </c>
      <c r="F34" s="65">
        <v>15.6</v>
      </c>
      <c r="G34" s="65">
        <f t="shared" si="0"/>
        <v>25.895999999999997</v>
      </c>
      <c r="H34" s="293"/>
      <c r="I34" s="293"/>
      <c r="J34" s="293"/>
      <c r="K34" s="293"/>
      <c r="L34" s="293"/>
      <c r="M34" s="293"/>
      <c r="N34" s="3"/>
    </row>
    <row r="35" spans="1:14" ht="63.6">
      <c r="A35" s="76"/>
      <c r="B35" s="66" t="s">
        <v>48</v>
      </c>
      <c r="C35" s="67" t="s">
        <v>49</v>
      </c>
      <c r="D35" s="60" t="s">
        <v>3</v>
      </c>
      <c r="E35" s="68">
        <v>0</v>
      </c>
      <c r="F35" s="69">
        <v>3.9</v>
      </c>
      <c r="G35" s="69">
        <f t="shared" si="0"/>
        <v>0</v>
      </c>
      <c r="H35" s="294"/>
      <c r="I35" s="294"/>
      <c r="J35" s="294"/>
      <c r="K35" s="294"/>
      <c r="L35" s="294"/>
      <c r="M35" s="294"/>
      <c r="N35" s="3"/>
    </row>
    <row r="36" spans="1:14" ht="63.6">
      <c r="A36" s="76"/>
      <c r="B36" s="53" t="s">
        <v>64</v>
      </c>
      <c r="C36" s="72" t="s">
        <v>65</v>
      </c>
      <c r="D36" s="53" t="s">
        <v>14</v>
      </c>
      <c r="E36" s="55">
        <v>1</v>
      </c>
      <c r="F36" s="53">
        <v>194.56</v>
      </c>
      <c r="G36" s="77">
        <f t="shared" si="0"/>
        <v>194.56</v>
      </c>
      <c r="H36" s="299">
        <f>SUM(G36:G39)</f>
        <v>220.45599999999999</v>
      </c>
      <c r="I36" s="295">
        <v>2.0982400000000001</v>
      </c>
      <c r="J36" s="292">
        <f>SUM(H35:H46)</f>
        <v>751.03139999999996</v>
      </c>
      <c r="K36" s="292">
        <f>SUM(I36*J36)</f>
        <v>1575.8441247359999</v>
      </c>
      <c r="L36" s="292">
        <f>SUM(J36+K36)</f>
        <v>2326.875524736</v>
      </c>
      <c r="M36" s="308">
        <v>0.67720000000000002</v>
      </c>
      <c r="N36" s="3"/>
    </row>
    <row r="37" spans="1:14" ht="63.6">
      <c r="A37" s="76"/>
      <c r="B37" s="58" t="s">
        <v>15</v>
      </c>
      <c r="C37" s="59" t="s">
        <v>16</v>
      </c>
      <c r="D37" s="60" t="s">
        <v>3</v>
      </c>
      <c r="E37" s="60">
        <v>0</v>
      </c>
      <c r="F37" s="61">
        <v>2.59</v>
      </c>
      <c r="G37" s="61">
        <f t="shared" si="0"/>
        <v>0</v>
      </c>
      <c r="H37" s="293"/>
      <c r="I37" s="293"/>
      <c r="J37" s="293"/>
      <c r="K37" s="293"/>
      <c r="L37" s="293"/>
      <c r="M37" s="293"/>
      <c r="N37" s="3"/>
    </row>
    <row r="38" spans="1:14" ht="63.6">
      <c r="A38" s="76"/>
      <c r="B38" s="58" t="s">
        <v>45</v>
      </c>
      <c r="C38" s="63" t="s">
        <v>46</v>
      </c>
      <c r="D38" s="64" t="s">
        <v>14</v>
      </c>
      <c r="E38" s="64">
        <v>1.66</v>
      </c>
      <c r="F38" s="65">
        <v>15.6</v>
      </c>
      <c r="G38" s="65">
        <f t="shared" si="0"/>
        <v>25.895999999999997</v>
      </c>
      <c r="H38" s="293"/>
      <c r="I38" s="293"/>
      <c r="J38" s="293"/>
      <c r="K38" s="293"/>
      <c r="L38" s="293"/>
      <c r="M38" s="293"/>
      <c r="N38" s="3"/>
    </row>
    <row r="39" spans="1:14" ht="63.6">
      <c r="A39" s="76"/>
      <c r="B39" s="66" t="s">
        <v>48</v>
      </c>
      <c r="C39" s="67" t="s">
        <v>66</v>
      </c>
      <c r="D39" s="60" t="s">
        <v>3</v>
      </c>
      <c r="E39" s="68">
        <v>0</v>
      </c>
      <c r="F39" s="69">
        <v>3.9</v>
      </c>
      <c r="G39" s="69">
        <f t="shared" si="0"/>
        <v>0</v>
      </c>
      <c r="H39" s="294"/>
      <c r="I39" s="294"/>
      <c r="J39" s="294"/>
      <c r="K39" s="294"/>
      <c r="L39" s="294"/>
      <c r="M39" s="294"/>
      <c r="N39" s="3"/>
    </row>
    <row r="40" spans="1:14" ht="63.6">
      <c r="A40" s="76"/>
      <c r="B40" s="53" t="s">
        <v>66</v>
      </c>
      <c r="C40" s="72" t="s">
        <v>67</v>
      </c>
      <c r="D40" s="53" t="s">
        <v>14</v>
      </c>
      <c r="E40" s="55">
        <v>1</v>
      </c>
      <c r="F40" s="53">
        <v>194.56</v>
      </c>
      <c r="G40" s="77">
        <v>229.82</v>
      </c>
      <c r="H40" s="299">
        <f>SUM(G40:G43)</f>
        <v>234.11939999999998</v>
      </c>
      <c r="I40" s="295">
        <v>2.0982400000000001</v>
      </c>
      <c r="J40" s="292">
        <f>SUM(H39:H50)</f>
        <v>556.4713999999999</v>
      </c>
      <c r="K40" s="292">
        <f>SUM(I40*J40)</f>
        <v>1167.610550336</v>
      </c>
      <c r="L40" s="292">
        <f>SUM(J40+K40)</f>
        <v>1724.0819503359999</v>
      </c>
      <c r="M40" s="308">
        <v>0.67720000000000002</v>
      </c>
      <c r="N40" s="3"/>
    </row>
    <row r="41" spans="1:14" ht="63.6">
      <c r="A41" s="76"/>
      <c r="B41" s="58" t="s">
        <v>15</v>
      </c>
      <c r="C41" s="59" t="s">
        <v>16</v>
      </c>
      <c r="D41" s="60" t="s">
        <v>3</v>
      </c>
      <c r="E41" s="60">
        <v>0</v>
      </c>
      <c r="F41" s="61">
        <v>15</v>
      </c>
      <c r="G41" s="61">
        <f t="shared" ref="G41:G43" si="1">SUM(E41*F41)</f>
        <v>0</v>
      </c>
      <c r="H41" s="293"/>
      <c r="I41" s="293"/>
      <c r="J41" s="293"/>
      <c r="K41" s="293"/>
      <c r="L41" s="293"/>
      <c r="M41" s="293"/>
      <c r="N41" s="3"/>
    </row>
    <row r="42" spans="1:14" ht="63.6">
      <c r="A42" s="76"/>
      <c r="B42" s="58" t="s">
        <v>45</v>
      </c>
      <c r="C42" s="63" t="s">
        <v>46</v>
      </c>
      <c r="D42" s="64" t="s">
        <v>14</v>
      </c>
      <c r="E42" s="64">
        <v>1.66</v>
      </c>
      <c r="F42" s="65">
        <v>2.59</v>
      </c>
      <c r="G42" s="65">
        <f t="shared" si="1"/>
        <v>4.2993999999999994</v>
      </c>
      <c r="H42" s="293"/>
      <c r="I42" s="293"/>
      <c r="J42" s="293"/>
      <c r="K42" s="293"/>
      <c r="L42" s="293"/>
      <c r="M42" s="293"/>
      <c r="N42" s="3"/>
    </row>
    <row r="43" spans="1:14" ht="63.6">
      <c r="A43" s="76"/>
      <c r="B43" s="66" t="s">
        <v>48</v>
      </c>
      <c r="C43" s="67" t="s">
        <v>49</v>
      </c>
      <c r="D43" s="60" t="s">
        <v>3</v>
      </c>
      <c r="E43" s="68">
        <v>0</v>
      </c>
      <c r="F43" s="69">
        <v>3.9</v>
      </c>
      <c r="G43" s="69">
        <f t="shared" si="1"/>
        <v>0</v>
      </c>
      <c r="H43" s="294"/>
      <c r="I43" s="294"/>
      <c r="J43" s="294"/>
      <c r="K43" s="294"/>
      <c r="L43" s="294"/>
      <c r="M43" s="294"/>
      <c r="N43" s="3"/>
    </row>
    <row r="44" spans="1:14" ht="63.6">
      <c r="A44" s="76"/>
      <c r="B44" s="53" t="s">
        <v>68</v>
      </c>
      <c r="C44" s="72" t="s">
        <v>69</v>
      </c>
      <c r="D44" s="53" t="s">
        <v>14</v>
      </c>
      <c r="E44" s="55">
        <v>1</v>
      </c>
      <c r="F44" s="53">
        <v>194.56</v>
      </c>
      <c r="G44" s="77">
        <v>270.56</v>
      </c>
      <c r="H44" s="299">
        <f>SUM(G44:G47)</f>
        <v>296.45600000000002</v>
      </c>
      <c r="I44" s="295">
        <v>2.0982400000000001</v>
      </c>
      <c r="J44" s="292">
        <f>SUM(H43:H54)</f>
        <v>583.44200000000001</v>
      </c>
      <c r="K44" s="292">
        <f>SUM(I44*J44)</f>
        <v>1224.2013420800001</v>
      </c>
      <c r="L44" s="292">
        <f>SUM(J44+K44)</f>
        <v>1807.6433420800001</v>
      </c>
      <c r="M44" s="308">
        <v>0.67720000000000002</v>
      </c>
      <c r="N44" s="3"/>
    </row>
    <row r="45" spans="1:14" ht="63.6">
      <c r="A45" s="76"/>
      <c r="B45" s="58" t="s">
        <v>15</v>
      </c>
      <c r="C45" s="59" t="s">
        <v>16</v>
      </c>
      <c r="D45" s="60" t="s">
        <v>3</v>
      </c>
      <c r="E45" s="60">
        <v>0</v>
      </c>
      <c r="F45" s="61">
        <v>2.59</v>
      </c>
      <c r="G45" s="61">
        <f t="shared" ref="G45:G71" si="2">SUM(E45*F45)</f>
        <v>0</v>
      </c>
      <c r="H45" s="293"/>
      <c r="I45" s="293"/>
      <c r="J45" s="293"/>
      <c r="K45" s="293"/>
      <c r="L45" s="293"/>
      <c r="M45" s="293"/>
      <c r="N45" s="3"/>
    </row>
    <row r="46" spans="1:14" ht="63.6">
      <c r="A46" s="76"/>
      <c r="B46" s="58" t="s">
        <v>45</v>
      </c>
      <c r="C46" s="63" t="s">
        <v>46</v>
      </c>
      <c r="D46" s="64" t="s">
        <v>14</v>
      </c>
      <c r="E46" s="64">
        <v>1.66</v>
      </c>
      <c r="F46" s="65">
        <v>15.6</v>
      </c>
      <c r="G46" s="65">
        <f t="shared" si="2"/>
        <v>25.895999999999997</v>
      </c>
      <c r="H46" s="293"/>
      <c r="I46" s="293"/>
      <c r="J46" s="293"/>
      <c r="K46" s="293"/>
      <c r="L46" s="293"/>
      <c r="M46" s="293"/>
      <c r="N46" s="3"/>
    </row>
    <row r="47" spans="1:14" ht="63.6">
      <c r="A47" s="76"/>
      <c r="B47" s="66" t="s">
        <v>48</v>
      </c>
      <c r="C47" s="67" t="s">
        <v>49</v>
      </c>
      <c r="D47" s="60" t="s">
        <v>3</v>
      </c>
      <c r="E47" s="68">
        <v>0</v>
      </c>
      <c r="F47" s="69">
        <v>3.9</v>
      </c>
      <c r="G47" s="69">
        <f t="shared" si="2"/>
        <v>0</v>
      </c>
      <c r="H47" s="294"/>
      <c r="I47" s="294"/>
      <c r="J47" s="294"/>
      <c r="K47" s="294"/>
      <c r="L47" s="294"/>
      <c r="M47" s="294"/>
      <c r="N47" s="3"/>
    </row>
    <row r="48" spans="1:14" ht="17.25" customHeight="1">
      <c r="A48" s="78"/>
      <c r="B48" s="53" t="s">
        <v>70</v>
      </c>
      <c r="C48" s="72" t="s">
        <v>71</v>
      </c>
      <c r="D48" s="53" t="s">
        <v>14</v>
      </c>
      <c r="E48" s="55">
        <v>1</v>
      </c>
      <c r="F48" s="79">
        <v>0</v>
      </c>
      <c r="G48" s="77">
        <f t="shared" si="2"/>
        <v>0</v>
      </c>
      <c r="H48" s="299">
        <f>SUM(G48:G51)</f>
        <v>25.895999999999997</v>
      </c>
      <c r="I48" s="295">
        <v>2.0982400000000001</v>
      </c>
      <c r="J48" s="292">
        <f>SUM(H47:H58)</f>
        <v>318.18599999999998</v>
      </c>
      <c r="K48" s="292">
        <f>SUM(I48*J48)</f>
        <v>667.63059264000003</v>
      </c>
      <c r="L48" s="292">
        <f>SUM(J48+K48)</f>
        <v>985.81659263999995</v>
      </c>
      <c r="M48" s="308">
        <v>0.67720000000000002</v>
      </c>
      <c r="N48" s="3"/>
    </row>
    <row r="49" spans="1:14" ht="63.6">
      <c r="A49" s="78"/>
      <c r="B49" s="58" t="s">
        <v>15</v>
      </c>
      <c r="C49" s="59" t="s">
        <v>16</v>
      </c>
      <c r="D49" s="60" t="s">
        <v>3</v>
      </c>
      <c r="E49" s="60">
        <v>0</v>
      </c>
      <c r="F49" s="61">
        <v>2.59</v>
      </c>
      <c r="G49" s="61">
        <f t="shared" si="2"/>
        <v>0</v>
      </c>
      <c r="H49" s="293"/>
      <c r="I49" s="293"/>
      <c r="J49" s="293"/>
      <c r="K49" s="293"/>
      <c r="L49" s="293"/>
      <c r="M49" s="293"/>
      <c r="N49" s="3"/>
    </row>
    <row r="50" spans="1:14" ht="63.6">
      <c r="A50" s="78"/>
      <c r="B50" s="58" t="s">
        <v>45</v>
      </c>
      <c r="C50" s="63" t="s">
        <v>46</v>
      </c>
      <c r="D50" s="64" t="s">
        <v>14</v>
      </c>
      <c r="E50" s="64">
        <v>1.66</v>
      </c>
      <c r="F50" s="65">
        <v>15.6</v>
      </c>
      <c r="G50" s="65">
        <f t="shared" si="2"/>
        <v>25.895999999999997</v>
      </c>
      <c r="H50" s="293"/>
      <c r="I50" s="293"/>
      <c r="J50" s="293"/>
      <c r="K50" s="293"/>
      <c r="L50" s="293"/>
      <c r="M50" s="293"/>
      <c r="N50" s="3"/>
    </row>
    <row r="51" spans="1:14" ht="63.6">
      <c r="A51" s="78"/>
      <c r="B51" s="66" t="s">
        <v>48</v>
      </c>
      <c r="C51" s="67" t="s">
        <v>49</v>
      </c>
      <c r="D51" s="60" t="s">
        <v>3</v>
      </c>
      <c r="E51" s="68">
        <v>0</v>
      </c>
      <c r="F51" s="69">
        <v>3.9</v>
      </c>
      <c r="G51" s="69">
        <f t="shared" si="2"/>
        <v>0</v>
      </c>
      <c r="H51" s="294"/>
      <c r="I51" s="294"/>
      <c r="J51" s="294"/>
      <c r="K51" s="294"/>
      <c r="L51" s="294"/>
      <c r="M51" s="294"/>
      <c r="N51" s="3"/>
    </row>
    <row r="52" spans="1:14" ht="63.6">
      <c r="A52" s="78"/>
      <c r="B52" s="53" t="s">
        <v>72</v>
      </c>
      <c r="C52" s="72" t="s">
        <v>73</v>
      </c>
      <c r="D52" s="53" t="s">
        <v>14</v>
      </c>
      <c r="E52" s="55">
        <v>1</v>
      </c>
      <c r="F52" s="79">
        <v>229.89</v>
      </c>
      <c r="G52" s="77">
        <f t="shared" si="2"/>
        <v>229.89</v>
      </c>
      <c r="H52" s="299">
        <f>SUM(G52:G55)</f>
        <v>261.08999999999997</v>
      </c>
      <c r="I52" s="295">
        <v>2.0982400000000001</v>
      </c>
      <c r="J52" s="292">
        <f>SUM(H51:H62)</f>
        <v>512.74599999999998</v>
      </c>
      <c r="K52" s="292">
        <f>SUM(I52*J52)</f>
        <v>1075.86416704</v>
      </c>
      <c r="L52" s="292">
        <f>SUM(J52+K52)</f>
        <v>1588.6101670399999</v>
      </c>
      <c r="M52" s="308">
        <v>0.67720000000000002</v>
      </c>
      <c r="N52" s="3"/>
    </row>
    <row r="53" spans="1:14" ht="63.6">
      <c r="A53" s="78"/>
      <c r="B53" s="58" t="s">
        <v>15</v>
      </c>
      <c r="C53" s="59" t="s">
        <v>16</v>
      </c>
      <c r="D53" s="60" t="s">
        <v>3</v>
      </c>
      <c r="E53" s="60">
        <v>0</v>
      </c>
      <c r="F53" s="61">
        <v>2.59</v>
      </c>
      <c r="G53" s="61">
        <f t="shared" si="2"/>
        <v>0</v>
      </c>
      <c r="H53" s="293"/>
      <c r="I53" s="293"/>
      <c r="J53" s="293"/>
      <c r="K53" s="293"/>
      <c r="L53" s="293"/>
      <c r="M53" s="293"/>
      <c r="N53" s="3"/>
    </row>
    <row r="54" spans="1:14" ht="63.6">
      <c r="A54" s="78"/>
      <c r="B54" s="58" t="s">
        <v>45</v>
      </c>
      <c r="C54" s="63" t="s">
        <v>46</v>
      </c>
      <c r="D54" s="64" t="s">
        <v>14</v>
      </c>
      <c r="E54" s="64">
        <v>2</v>
      </c>
      <c r="F54" s="65">
        <v>15.6</v>
      </c>
      <c r="G54" s="65">
        <f t="shared" si="2"/>
        <v>31.2</v>
      </c>
      <c r="H54" s="293"/>
      <c r="I54" s="293"/>
      <c r="J54" s="293"/>
      <c r="K54" s="293"/>
      <c r="L54" s="293"/>
      <c r="M54" s="293"/>
      <c r="N54" s="3"/>
    </row>
    <row r="55" spans="1:14" ht="63.6">
      <c r="A55" s="78"/>
      <c r="B55" s="66" t="s">
        <v>48</v>
      </c>
      <c r="C55" s="67" t="s">
        <v>49</v>
      </c>
      <c r="D55" s="60" t="s">
        <v>3</v>
      </c>
      <c r="E55" s="68">
        <v>0</v>
      </c>
      <c r="F55" s="69">
        <v>3.9</v>
      </c>
      <c r="G55" s="69">
        <f t="shared" si="2"/>
        <v>0</v>
      </c>
      <c r="H55" s="294"/>
      <c r="I55" s="294"/>
      <c r="J55" s="294"/>
      <c r="K55" s="294"/>
      <c r="L55" s="294"/>
      <c r="M55" s="294"/>
      <c r="N55" s="3"/>
    </row>
    <row r="56" spans="1:14" ht="63.6">
      <c r="A56" s="78"/>
      <c r="B56" s="53" t="s">
        <v>74</v>
      </c>
      <c r="C56" s="72" t="s">
        <v>75</v>
      </c>
      <c r="D56" s="53" t="s">
        <v>14</v>
      </c>
      <c r="E56" s="55">
        <v>1</v>
      </c>
      <c r="F56" s="79">
        <v>0</v>
      </c>
      <c r="G56" s="77">
        <f t="shared" si="2"/>
        <v>0</v>
      </c>
      <c r="H56" s="299">
        <f>SUM(G56:G59)</f>
        <v>31.2</v>
      </c>
      <c r="I56" s="295">
        <v>2.0982400000000001</v>
      </c>
      <c r="J56" s="292">
        <f>SUM(H55:H66)</f>
        <v>472.11199999999997</v>
      </c>
      <c r="K56" s="292">
        <f>SUM(I56*J56)</f>
        <v>990.60428288000003</v>
      </c>
      <c r="L56" s="292">
        <f>SUM(J56+K56)</f>
        <v>1462.7162828800001</v>
      </c>
      <c r="M56" s="308">
        <v>0.67720000000000002</v>
      </c>
      <c r="N56" s="3"/>
    </row>
    <row r="57" spans="1:14" ht="63.6">
      <c r="A57" s="78"/>
      <c r="B57" s="58" t="s">
        <v>15</v>
      </c>
      <c r="C57" s="59" t="s">
        <v>16</v>
      </c>
      <c r="D57" s="60" t="s">
        <v>3</v>
      </c>
      <c r="E57" s="60">
        <v>0</v>
      </c>
      <c r="F57" s="61">
        <v>2.59</v>
      </c>
      <c r="G57" s="61">
        <f t="shared" si="2"/>
        <v>0</v>
      </c>
      <c r="H57" s="293"/>
      <c r="I57" s="293"/>
      <c r="J57" s="293"/>
      <c r="K57" s="293"/>
      <c r="L57" s="293"/>
      <c r="M57" s="293"/>
      <c r="N57" s="3"/>
    </row>
    <row r="58" spans="1:14" ht="63.6">
      <c r="A58" s="78"/>
      <c r="B58" s="58" t="s">
        <v>45</v>
      </c>
      <c r="C58" s="63" t="s">
        <v>46</v>
      </c>
      <c r="D58" s="64" t="s">
        <v>14</v>
      </c>
      <c r="E58" s="64">
        <v>2</v>
      </c>
      <c r="F58" s="65">
        <v>15.6</v>
      </c>
      <c r="G58" s="65">
        <f t="shared" si="2"/>
        <v>31.2</v>
      </c>
      <c r="H58" s="293"/>
      <c r="I58" s="293"/>
      <c r="J58" s="293"/>
      <c r="K58" s="293"/>
      <c r="L58" s="293"/>
      <c r="M58" s="293"/>
      <c r="N58" s="3"/>
    </row>
    <row r="59" spans="1:14" ht="63.6">
      <c r="A59" s="78"/>
      <c r="B59" s="66" t="s">
        <v>48</v>
      </c>
      <c r="C59" s="67" t="s">
        <v>49</v>
      </c>
      <c r="D59" s="60" t="s">
        <v>3</v>
      </c>
      <c r="E59" s="68">
        <v>0</v>
      </c>
      <c r="F59" s="65">
        <v>3.9</v>
      </c>
      <c r="G59" s="65">
        <f t="shared" si="2"/>
        <v>0</v>
      </c>
      <c r="H59" s="294"/>
      <c r="I59" s="294"/>
      <c r="J59" s="294"/>
      <c r="K59" s="294"/>
      <c r="L59" s="294"/>
      <c r="M59" s="294"/>
      <c r="N59" s="3"/>
    </row>
    <row r="60" spans="1:14" ht="63.6">
      <c r="A60" s="47"/>
      <c r="B60" s="53" t="s">
        <v>76</v>
      </c>
      <c r="C60" s="54" t="s">
        <v>77</v>
      </c>
      <c r="D60" s="53" t="s">
        <v>14</v>
      </c>
      <c r="E60" s="55">
        <v>1</v>
      </c>
      <c r="F60" s="56">
        <v>194.56</v>
      </c>
      <c r="G60" s="57">
        <f t="shared" si="2"/>
        <v>194.56</v>
      </c>
      <c r="H60" s="309">
        <f>SUM(G60:G63)</f>
        <v>220.45599999999999</v>
      </c>
      <c r="I60" s="295">
        <v>2.0982400000000001</v>
      </c>
      <c r="J60" s="292">
        <f>SUM(H59:H70)</f>
        <v>661.36799999999994</v>
      </c>
      <c r="K60" s="292">
        <f>SUM(I60*J60)</f>
        <v>1387.7087923199999</v>
      </c>
      <c r="L60" s="292">
        <f>SUM(J60+K60)</f>
        <v>2049.0767923200001</v>
      </c>
      <c r="M60" s="308">
        <v>0.67720000000000002</v>
      </c>
      <c r="N60" s="3"/>
    </row>
    <row r="61" spans="1:14" ht="63.6">
      <c r="A61" s="47"/>
      <c r="B61" s="58" t="s">
        <v>15</v>
      </c>
      <c r="C61" s="59" t="s">
        <v>16</v>
      </c>
      <c r="D61" s="60" t="s">
        <v>3</v>
      </c>
      <c r="E61" s="60">
        <v>0</v>
      </c>
      <c r="F61" s="61">
        <v>2.59</v>
      </c>
      <c r="G61" s="61">
        <f t="shared" si="2"/>
        <v>0</v>
      </c>
      <c r="H61" s="293"/>
      <c r="I61" s="293"/>
      <c r="J61" s="293"/>
      <c r="K61" s="293"/>
      <c r="L61" s="293"/>
      <c r="M61" s="293"/>
      <c r="N61" s="3"/>
    </row>
    <row r="62" spans="1:14" ht="63.6">
      <c r="A62" s="47"/>
      <c r="B62" s="62" t="s">
        <v>45</v>
      </c>
      <c r="C62" s="63" t="s">
        <v>46</v>
      </c>
      <c r="D62" s="64" t="s">
        <v>47</v>
      </c>
      <c r="E62" s="64">
        <v>1.66</v>
      </c>
      <c r="F62" s="65">
        <v>15.6</v>
      </c>
      <c r="G62" s="65">
        <f t="shared" si="2"/>
        <v>25.895999999999997</v>
      </c>
      <c r="H62" s="293"/>
      <c r="I62" s="293"/>
      <c r="J62" s="293"/>
      <c r="K62" s="293"/>
      <c r="L62" s="293"/>
      <c r="M62" s="293"/>
      <c r="N62" s="3"/>
    </row>
    <row r="63" spans="1:14" ht="63.6">
      <c r="A63" s="47"/>
      <c r="B63" s="66" t="s">
        <v>48</v>
      </c>
      <c r="C63" s="67" t="s">
        <v>49</v>
      </c>
      <c r="D63" s="60" t="s">
        <v>3</v>
      </c>
      <c r="E63" s="68">
        <v>0</v>
      </c>
      <c r="F63" s="69">
        <v>3.9</v>
      </c>
      <c r="G63" s="69">
        <f t="shared" si="2"/>
        <v>0</v>
      </c>
      <c r="H63" s="294"/>
      <c r="I63" s="294"/>
      <c r="J63" s="294"/>
      <c r="K63" s="294"/>
      <c r="L63" s="294"/>
      <c r="M63" s="294"/>
      <c r="N63" s="3"/>
    </row>
    <row r="64" spans="1:14" ht="63.6">
      <c r="A64" s="47"/>
      <c r="B64" s="53"/>
      <c r="C64" s="54"/>
      <c r="D64" s="53" t="s">
        <v>14</v>
      </c>
      <c r="E64" s="55">
        <v>1</v>
      </c>
      <c r="F64" s="56">
        <v>194.56</v>
      </c>
      <c r="G64" s="57">
        <f t="shared" si="2"/>
        <v>194.56</v>
      </c>
      <c r="H64" s="309">
        <f>SUM(G64:G67)</f>
        <v>220.45599999999999</v>
      </c>
      <c r="I64" s="295">
        <v>2.0982400000000001</v>
      </c>
      <c r="J64" s="292">
        <f>SUM(H63:H74)</f>
        <v>440.91199999999998</v>
      </c>
      <c r="K64" s="292">
        <f>SUM(I64*J64)</f>
        <v>925.13919487999999</v>
      </c>
      <c r="L64" s="292">
        <f>SUM(J64+K64)</f>
        <v>1366.0511948799999</v>
      </c>
      <c r="M64" s="308">
        <v>0.67720000000000002</v>
      </c>
      <c r="N64" s="3"/>
    </row>
    <row r="65" spans="1:14" ht="63.6">
      <c r="A65" s="47"/>
      <c r="B65" s="58" t="s">
        <v>15</v>
      </c>
      <c r="C65" s="59" t="s">
        <v>16</v>
      </c>
      <c r="D65" s="60" t="s">
        <v>3</v>
      </c>
      <c r="E65" s="60">
        <v>0</v>
      </c>
      <c r="F65" s="61">
        <v>2.59</v>
      </c>
      <c r="G65" s="61">
        <f t="shared" si="2"/>
        <v>0</v>
      </c>
      <c r="H65" s="293"/>
      <c r="I65" s="293"/>
      <c r="J65" s="293"/>
      <c r="K65" s="293"/>
      <c r="L65" s="293"/>
      <c r="M65" s="293"/>
      <c r="N65" s="3"/>
    </row>
    <row r="66" spans="1:14" ht="63.6">
      <c r="A66" s="47"/>
      <c r="B66" s="62" t="s">
        <v>45</v>
      </c>
      <c r="C66" s="63" t="s">
        <v>46</v>
      </c>
      <c r="D66" s="64" t="s">
        <v>47</v>
      </c>
      <c r="E66" s="64">
        <v>1.66</v>
      </c>
      <c r="F66" s="65">
        <v>15.6</v>
      </c>
      <c r="G66" s="65">
        <f t="shared" si="2"/>
        <v>25.895999999999997</v>
      </c>
      <c r="H66" s="293"/>
      <c r="I66" s="293"/>
      <c r="J66" s="293"/>
      <c r="K66" s="293"/>
      <c r="L66" s="293"/>
      <c r="M66" s="293"/>
      <c r="N66" s="3"/>
    </row>
    <row r="67" spans="1:14" ht="63.6">
      <c r="A67" s="47"/>
      <c r="B67" s="66" t="s">
        <v>48</v>
      </c>
      <c r="C67" s="67" t="s">
        <v>49</v>
      </c>
      <c r="D67" s="60" t="s">
        <v>3</v>
      </c>
      <c r="E67" s="68">
        <v>0</v>
      </c>
      <c r="F67" s="69">
        <v>3.9</v>
      </c>
      <c r="G67" s="69">
        <f t="shared" si="2"/>
        <v>0</v>
      </c>
      <c r="H67" s="294"/>
      <c r="I67" s="294"/>
      <c r="J67" s="294"/>
      <c r="K67" s="294"/>
      <c r="L67" s="294"/>
      <c r="M67" s="294"/>
      <c r="N67" s="3"/>
    </row>
    <row r="68" spans="1:14" ht="63.6">
      <c r="A68" s="47"/>
      <c r="B68" s="53" t="s">
        <v>76</v>
      </c>
      <c r="C68" s="54" t="s">
        <v>77</v>
      </c>
      <c r="D68" s="53" t="s">
        <v>14</v>
      </c>
      <c r="E68" s="55">
        <v>1</v>
      </c>
      <c r="F68" s="56">
        <v>194.56</v>
      </c>
      <c r="G68" s="57">
        <f t="shared" si="2"/>
        <v>194.56</v>
      </c>
      <c r="H68" s="309">
        <f>SUM(G68:G71)</f>
        <v>220.45599999999999</v>
      </c>
      <c r="I68" s="295">
        <v>2.0982400000000001</v>
      </c>
      <c r="J68" s="292">
        <f>SUM(H67:H78)</f>
        <v>220.45599999999999</v>
      </c>
      <c r="K68" s="292">
        <f>SUM(I68*J68)</f>
        <v>462.56959744</v>
      </c>
      <c r="L68" s="292">
        <f>SUM(J68+K68)</f>
        <v>683.02559743999996</v>
      </c>
      <c r="M68" s="308">
        <v>0.67720000000000002</v>
      </c>
      <c r="N68" s="3"/>
    </row>
    <row r="69" spans="1:14" ht="63.6">
      <c r="A69" s="47"/>
      <c r="B69" s="58" t="s">
        <v>15</v>
      </c>
      <c r="C69" s="59" t="s">
        <v>16</v>
      </c>
      <c r="D69" s="60" t="s">
        <v>3</v>
      </c>
      <c r="E69" s="60">
        <v>0</v>
      </c>
      <c r="F69" s="61">
        <v>2.59</v>
      </c>
      <c r="G69" s="80">
        <f t="shared" si="2"/>
        <v>0</v>
      </c>
      <c r="H69" s="293"/>
      <c r="I69" s="293"/>
      <c r="J69" s="293"/>
      <c r="K69" s="293"/>
      <c r="L69" s="293"/>
      <c r="M69" s="293"/>
      <c r="N69" s="3"/>
    </row>
    <row r="70" spans="1:14" ht="63.6">
      <c r="A70" s="47"/>
      <c r="B70" s="62" t="s">
        <v>45</v>
      </c>
      <c r="C70" s="63" t="s">
        <v>46</v>
      </c>
      <c r="D70" s="64" t="s">
        <v>47</v>
      </c>
      <c r="E70" s="64">
        <v>1.66</v>
      </c>
      <c r="F70" s="65">
        <v>15.6</v>
      </c>
      <c r="G70" s="81">
        <f t="shared" si="2"/>
        <v>25.895999999999997</v>
      </c>
      <c r="H70" s="293"/>
      <c r="I70" s="293"/>
      <c r="J70" s="293"/>
      <c r="K70" s="293"/>
      <c r="L70" s="293"/>
      <c r="M70" s="293"/>
      <c r="N70" s="3"/>
    </row>
    <row r="71" spans="1:14" ht="63.6">
      <c r="A71" s="47"/>
      <c r="B71" s="66" t="s">
        <v>48</v>
      </c>
      <c r="C71" s="67" t="s">
        <v>49</v>
      </c>
      <c r="D71" s="60" t="s">
        <v>3</v>
      </c>
      <c r="E71" s="68">
        <v>0</v>
      </c>
      <c r="F71" s="69">
        <v>3.9</v>
      </c>
      <c r="G71" s="82">
        <f t="shared" si="2"/>
        <v>0</v>
      </c>
      <c r="H71" s="294"/>
      <c r="I71" s="294"/>
      <c r="J71" s="294"/>
      <c r="K71" s="294"/>
      <c r="L71" s="294"/>
      <c r="M71" s="294"/>
      <c r="N71" s="3"/>
    </row>
    <row r="72" spans="1:14" ht="63.6">
      <c r="A72" s="76"/>
      <c r="B72" s="83"/>
      <c r="C72" s="84">
        <v>46058.675069444442</v>
      </c>
      <c r="D72" s="83" t="s">
        <v>78</v>
      </c>
      <c r="E72" s="83" t="s">
        <v>79</v>
      </c>
      <c r="F72" s="85" t="s">
        <v>80</v>
      </c>
      <c r="G72" s="85" t="s">
        <v>81</v>
      </c>
      <c r="H72" s="86" t="s">
        <v>82</v>
      </c>
      <c r="I72" s="43"/>
      <c r="J72" s="44"/>
      <c r="K72" s="44"/>
      <c r="L72" s="44"/>
      <c r="M72" s="44"/>
      <c r="N72" s="3"/>
    </row>
    <row r="73" spans="1:14" ht="63.6">
      <c r="A73" s="76"/>
      <c r="B73" s="83"/>
      <c r="C73" s="87"/>
      <c r="D73" s="83"/>
      <c r="E73" s="83"/>
      <c r="F73" s="85"/>
      <c r="G73" s="85"/>
      <c r="H73" s="86"/>
      <c r="I73" s="43"/>
      <c r="J73" s="44"/>
      <c r="K73" s="44"/>
      <c r="L73" s="44"/>
      <c r="M73" s="44"/>
      <c r="N73" s="3"/>
    </row>
    <row r="74" spans="1:14" ht="63.6">
      <c r="A74" s="76"/>
      <c r="B74" s="83"/>
      <c r="C74" s="87"/>
      <c r="D74" s="83"/>
      <c r="E74" s="83"/>
      <c r="F74" s="85"/>
      <c r="G74" s="85"/>
      <c r="H74" s="86"/>
      <c r="I74" s="43"/>
      <c r="J74" s="44"/>
      <c r="K74" s="44"/>
      <c r="L74" s="44"/>
      <c r="M74" s="44"/>
      <c r="N74" s="3"/>
    </row>
    <row r="75" spans="1:14" ht="63.6">
      <c r="A75" s="76"/>
      <c r="B75" s="83"/>
      <c r="C75" s="87"/>
      <c r="D75" s="83"/>
      <c r="E75" s="83"/>
      <c r="F75" s="85"/>
      <c r="G75" s="85"/>
      <c r="H75" s="86"/>
      <c r="I75" s="43"/>
      <c r="J75" s="44"/>
      <c r="K75" s="44"/>
      <c r="L75" s="44"/>
      <c r="M75" s="44"/>
      <c r="N75" s="3"/>
    </row>
    <row r="76" spans="1:14" ht="63.6">
      <c r="A76" s="76"/>
      <c r="B76" s="83"/>
      <c r="C76" s="87"/>
      <c r="D76" s="83"/>
      <c r="E76" s="83"/>
      <c r="F76" s="85"/>
      <c r="G76" s="85"/>
      <c r="H76" s="86"/>
      <c r="I76" s="43"/>
      <c r="J76" s="44"/>
      <c r="K76" s="44"/>
      <c r="L76" s="44"/>
      <c r="M76" s="44"/>
      <c r="N76" s="3"/>
    </row>
    <row r="77" spans="1:14" ht="63.6">
      <c r="A77" s="76"/>
      <c r="B77" s="83"/>
      <c r="C77" s="87"/>
      <c r="D77" s="83"/>
      <c r="E77" s="83"/>
      <c r="F77" s="85"/>
      <c r="G77" s="85"/>
      <c r="H77" s="86"/>
      <c r="I77" s="43"/>
      <c r="J77" s="44"/>
      <c r="K77" s="44"/>
      <c r="L77" s="44"/>
      <c r="M77" s="44"/>
      <c r="N77" s="3"/>
    </row>
    <row r="78" spans="1:14" ht="63.6">
      <c r="A78" s="76"/>
      <c r="B78" s="83"/>
      <c r="C78" s="87"/>
      <c r="D78" s="83"/>
      <c r="E78" s="83"/>
      <c r="F78" s="85"/>
      <c r="G78" s="85"/>
      <c r="H78" s="86"/>
      <c r="I78" s="43"/>
      <c r="J78" s="44"/>
      <c r="K78" s="44"/>
      <c r="L78" s="44"/>
      <c r="M78" s="44"/>
      <c r="N78" s="3"/>
    </row>
    <row r="79" spans="1:14" ht="63.6">
      <c r="A79" s="76"/>
      <c r="B79" s="83"/>
      <c r="C79" s="87"/>
      <c r="D79" s="83"/>
      <c r="E79" s="83"/>
      <c r="F79" s="85"/>
      <c r="G79" s="85"/>
      <c r="H79" s="86"/>
      <c r="I79" s="43"/>
      <c r="J79" s="44"/>
      <c r="K79" s="44"/>
      <c r="L79" s="44"/>
      <c r="M79" s="44"/>
      <c r="N79" s="3"/>
    </row>
    <row r="80" spans="1:14" ht="63.6">
      <c r="A80" s="76"/>
      <c r="B80" s="83"/>
      <c r="C80" s="87"/>
      <c r="D80" s="83"/>
      <c r="E80" s="83"/>
      <c r="F80" s="85"/>
      <c r="G80" s="85"/>
      <c r="H80" s="86"/>
      <c r="I80" s="43"/>
      <c r="J80" s="44"/>
      <c r="K80" s="44"/>
      <c r="L80" s="44"/>
      <c r="M80" s="44"/>
      <c r="N80" s="3"/>
    </row>
    <row r="81" spans="1:14" ht="63.6">
      <c r="A81" s="76"/>
      <c r="B81" s="83"/>
      <c r="C81" s="87"/>
      <c r="D81" s="83"/>
      <c r="E81" s="83"/>
      <c r="F81" s="85"/>
      <c r="G81" s="85"/>
      <c r="H81" s="86"/>
      <c r="I81" s="43"/>
      <c r="J81" s="44"/>
      <c r="K81" s="44"/>
      <c r="L81" s="44"/>
      <c r="M81" s="44"/>
      <c r="N81" s="3"/>
    </row>
    <row r="82" spans="1:14" ht="63.6">
      <c r="A82" s="76"/>
      <c r="B82" s="83"/>
      <c r="C82" s="87"/>
      <c r="D82" s="83"/>
      <c r="E82" s="83"/>
      <c r="F82" s="85"/>
      <c r="G82" s="85"/>
      <c r="H82" s="86"/>
      <c r="I82" s="43"/>
      <c r="J82" s="44"/>
      <c r="K82" s="44"/>
      <c r="L82" s="44"/>
      <c r="M82" s="44"/>
      <c r="N82" s="3"/>
    </row>
    <row r="83" spans="1:14" ht="63.6">
      <c r="A83" s="76"/>
      <c r="B83" s="83"/>
      <c r="C83" s="87"/>
      <c r="D83" s="83"/>
      <c r="E83" s="83"/>
      <c r="F83" s="85"/>
      <c r="G83" s="85"/>
      <c r="H83" s="86"/>
      <c r="I83" s="43"/>
      <c r="J83" s="44"/>
      <c r="K83" s="44"/>
      <c r="L83" s="44"/>
      <c r="M83" s="44"/>
      <c r="N83" s="3"/>
    </row>
    <row r="84" spans="1:14" ht="63.6">
      <c r="A84" s="76"/>
      <c r="B84" s="83"/>
      <c r="C84" s="87"/>
      <c r="D84" s="83"/>
      <c r="E84" s="83"/>
      <c r="F84" s="85"/>
      <c r="G84" s="85"/>
      <c r="H84" s="86"/>
      <c r="I84" s="43"/>
      <c r="J84" s="44"/>
      <c r="K84" s="44"/>
      <c r="L84" s="44"/>
      <c r="M84" s="44"/>
      <c r="N84" s="3"/>
    </row>
    <row r="85" spans="1:14" ht="63.6">
      <c r="A85" s="76"/>
      <c r="B85" s="83"/>
      <c r="C85" s="87"/>
      <c r="D85" s="83"/>
      <c r="E85" s="83"/>
      <c r="F85" s="85"/>
      <c r="G85" s="85"/>
      <c r="H85" s="86"/>
      <c r="I85" s="43"/>
      <c r="J85" s="44"/>
      <c r="K85" s="44"/>
      <c r="L85" s="44"/>
      <c r="M85" s="44"/>
      <c r="N85" s="3"/>
    </row>
    <row r="86" spans="1:14" ht="63.6">
      <c r="A86" s="76"/>
      <c r="B86" s="83"/>
      <c r="C86" s="87"/>
      <c r="D86" s="83"/>
      <c r="E86" s="83"/>
      <c r="F86" s="85"/>
      <c r="G86" s="85"/>
      <c r="H86" s="86"/>
      <c r="I86" s="43"/>
      <c r="J86" s="44"/>
      <c r="K86" s="44"/>
      <c r="L86" s="44"/>
      <c r="M86" s="44"/>
      <c r="N86" s="3"/>
    </row>
    <row r="87" spans="1:14" ht="63.6">
      <c r="A87" s="76"/>
      <c r="B87" s="83"/>
      <c r="C87" s="87"/>
      <c r="D87" s="83"/>
      <c r="E87" s="83"/>
      <c r="F87" s="85"/>
      <c r="G87" s="85"/>
      <c r="H87" s="86"/>
      <c r="I87" s="43"/>
      <c r="J87" s="44"/>
      <c r="K87" s="44"/>
      <c r="L87" s="44"/>
      <c r="M87" s="44"/>
      <c r="N87" s="3"/>
    </row>
    <row r="88" spans="1:14" ht="63.6">
      <c r="A88" s="76"/>
      <c r="B88" s="83"/>
      <c r="C88" s="87"/>
      <c r="D88" s="83"/>
      <c r="E88" s="83"/>
      <c r="F88" s="85"/>
      <c r="G88" s="85"/>
      <c r="H88" s="86"/>
      <c r="I88" s="43"/>
      <c r="J88" s="44"/>
      <c r="K88" s="44"/>
      <c r="L88" s="44"/>
      <c r="M88" s="44"/>
      <c r="N88" s="3"/>
    </row>
    <row r="89" spans="1:14" ht="63.6">
      <c r="A89" s="76"/>
      <c r="B89" s="83"/>
      <c r="C89" s="87"/>
      <c r="D89" s="83"/>
      <c r="E89" s="83"/>
      <c r="F89" s="85"/>
      <c r="G89" s="85"/>
      <c r="H89" s="86"/>
      <c r="I89" s="43"/>
      <c r="J89" s="44"/>
      <c r="K89" s="44"/>
      <c r="L89" s="44"/>
      <c r="M89" s="44"/>
      <c r="N89" s="3"/>
    </row>
    <row r="90" spans="1:14" ht="63.6">
      <c r="A90" s="76"/>
      <c r="B90" s="83"/>
      <c r="C90" s="87"/>
      <c r="D90" s="83"/>
      <c r="E90" s="83"/>
      <c r="F90" s="85"/>
      <c r="G90" s="85"/>
      <c r="H90" s="86"/>
      <c r="I90" s="43"/>
      <c r="J90" s="44"/>
      <c r="K90" s="44"/>
      <c r="L90" s="44"/>
      <c r="M90" s="44"/>
      <c r="N90" s="3"/>
    </row>
    <row r="91" spans="1:14" ht="63.6">
      <c r="A91" s="76"/>
      <c r="B91" s="83"/>
      <c r="C91" s="87"/>
      <c r="D91" s="83"/>
      <c r="E91" s="83"/>
      <c r="F91" s="85"/>
      <c r="G91" s="85"/>
      <c r="H91" s="86"/>
      <c r="I91" s="43"/>
      <c r="J91" s="44"/>
      <c r="K91" s="44"/>
      <c r="L91" s="44"/>
      <c r="M91" s="44"/>
      <c r="N91" s="3"/>
    </row>
    <row r="92" spans="1:14" ht="63.6">
      <c r="A92" s="76"/>
      <c r="B92" s="83"/>
      <c r="C92" s="87"/>
      <c r="D92" s="83"/>
      <c r="E92" s="83"/>
      <c r="F92" s="85"/>
      <c r="G92" s="85"/>
      <c r="H92" s="86"/>
      <c r="I92" s="43"/>
      <c r="J92" s="44"/>
      <c r="K92" s="44"/>
      <c r="L92" s="44"/>
      <c r="M92" s="44"/>
      <c r="N92" s="3"/>
    </row>
    <row r="93" spans="1:14" ht="63.6">
      <c r="A93" s="76"/>
      <c r="B93" s="83"/>
      <c r="C93" s="87"/>
      <c r="D93" s="83"/>
      <c r="E93" s="83"/>
      <c r="F93" s="85"/>
      <c r="G93" s="85"/>
      <c r="H93" s="86"/>
      <c r="I93" s="43"/>
      <c r="J93" s="44"/>
      <c r="K93" s="44"/>
      <c r="L93" s="44"/>
      <c r="M93" s="44"/>
      <c r="N93" s="3"/>
    </row>
    <row r="94" spans="1:14" ht="63.6">
      <c r="A94" s="76"/>
      <c r="B94" s="83"/>
      <c r="C94" s="87"/>
      <c r="D94" s="83"/>
      <c r="E94" s="83"/>
      <c r="F94" s="85"/>
      <c r="G94" s="85"/>
      <c r="H94" s="86"/>
      <c r="I94" s="43"/>
      <c r="J94" s="44"/>
      <c r="K94" s="44"/>
      <c r="L94" s="44"/>
      <c r="M94" s="44"/>
      <c r="N94" s="3"/>
    </row>
    <row r="95" spans="1:14" ht="63.6">
      <c r="A95" s="76"/>
      <c r="B95" s="83"/>
      <c r="C95" s="87"/>
      <c r="D95" s="83"/>
      <c r="E95" s="83"/>
      <c r="F95" s="85"/>
      <c r="G95" s="85"/>
      <c r="H95" s="86"/>
      <c r="I95" s="43"/>
      <c r="J95" s="44"/>
      <c r="K95" s="44"/>
      <c r="L95" s="44"/>
      <c r="M95" s="44"/>
      <c r="N95" s="3"/>
    </row>
    <row r="96" spans="1:14" ht="63.6">
      <c r="A96" s="76"/>
      <c r="B96" s="83"/>
      <c r="C96" s="87"/>
      <c r="D96" s="83"/>
      <c r="E96" s="83"/>
      <c r="F96" s="85"/>
      <c r="G96" s="85"/>
      <c r="H96" s="86"/>
      <c r="I96" s="43"/>
      <c r="J96" s="44"/>
      <c r="K96" s="44"/>
      <c r="L96" s="44"/>
      <c r="M96" s="44"/>
      <c r="N96" s="3"/>
    </row>
    <row r="97" spans="1:14" ht="63.6">
      <c r="A97" s="76"/>
      <c r="B97" s="83"/>
      <c r="C97" s="87"/>
      <c r="D97" s="83"/>
      <c r="E97" s="83"/>
      <c r="F97" s="85"/>
      <c r="G97" s="85"/>
      <c r="H97" s="86"/>
      <c r="I97" s="43"/>
      <c r="J97" s="44"/>
      <c r="K97" s="44"/>
      <c r="L97" s="44"/>
      <c r="M97" s="44"/>
      <c r="N97" s="3"/>
    </row>
    <row r="98" spans="1:14" ht="63.6">
      <c r="A98" s="76"/>
      <c r="B98" s="83"/>
      <c r="C98" s="87"/>
      <c r="D98" s="83"/>
      <c r="E98" s="83"/>
      <c r="F98" s="85"/>
      <c r="G98" s="85"/>
      <c r="H98" s="86"/>
      <c r="I98" s="43"/>
      <c r="J98" s="44"/>
      <c r="K98" s="44"/>
      <c r="L98" s="44"/>
      <c r="M98" s="44"/>
      <c r="N98" s="3"/>
    </row>
    <row r="99" spans="1:14" ht="63.6">
      <c r="A99" s="76"/>
      <c r="B99" s="83"/>
      <c r="C99" s="87"/>
      <c r="D99" s="83"/>
      <c r="E99" s="83"/>
      <c r="F99" s="85"/>
      <c r="G99" s="85"/>
      <c r="H99" s="86"/>
      <c r="I99" s="43"/>
      <c r="J99" s="44"/>
      <c r="K99" s="44"/>
      <c r="L99" s="44"/>
      <c r="M99" s="44"/>
      <c r="N99" s="3"/>
    </row>
    <row r="100" spans="1:14" ht="63.6">
      <c r="A100" s="76"/>
      <c r="B100" s="83"/>
      <c r="C100" s="87"/>
      <c r="D100" s="83"/>
      <c r="E100" s="83"/>
      <c r="F100" s="85"/>
      <c r="G100" s="85"/>
      <c r="H100" s="86"/>
      <c r="I100" s="43"/>
      <c r="J100" s="44"/>
      <c r="K100" s="44"/>
      <c r="L100" s="44"/>
      <c r="M100" s="44"/>
      <c r="N100" s="3"/>
    </row>
    <row r="101" spans="1:14" ht="63.6">
      <c r="A101" s="76"/>
      <c r="B101" s="83"/>
      <c r="C101" s="87"/>
      <c r="D101" s="83"/>
      <c r="E101" s="83"/>
      <c r="F101" s="85"/>
      <c r="G101" s="85"/>
      <c r="H101" s="86"/>
      <c r="I101" s="43"/>
      <c r="J101" s="44"/>
      <c r="K101" s="44"/>
      <c r="L101" s="44"/>
      <c r="M101" s="44"/>
      <c r="N101" s="3"/>
    </row>
    <row r="102" spans="1:14" ht="63.6">
      <c r="A102" s="76"/>
      <c r="B102" s="83"/>
      <c r="C102" s="87"/>
      <c r="D102" s="83"/>
      <c r="E102" s="83"/>
      <c r="F102" s="85"/>
      <c r="G102" s="85"/>
      <c r="H102" s="86"/>
      <c r="I102" s="43"/>
      <c r="J102" s="44"/>
      <c r="K102" s="44"/>
      <c r="L102" s="44"/>
      <c r="M102" s="44"/>
      <c r="N102" s="3"/>
    </row>
    <row r="103" spans="1:14" ht="63.6">
      <c r="A103" s="76"/>
      <c r="B103" s="83"/>
      <c r="C103" s="87"/>
      <c r="D103" s="83"/>
      <c r="E103" s="83"/>
      <c r="F103" s="85"/>
      <c r="G103" s="85"/>
      <c r="H103" s="86"/>
      <c r="I103" s="43"/>
      <c r="J103" s="44"/>
      <c r="K103" s="44"/>
      <c r="L103" s="44"/>
      <c r="M103" s="44"/>
      <c r="N103" s="3"/>
    </row>
    <row r="104" spans="1:14" ht="63.6">
      <c r="A104" s="76"/>
      <c r="B104" s="83"/>
      <c r="C104" s="87"/>
      <c r="D104" s="83"/>
      <c r="E104" s="83"/>
      <c r="F104" s="85"/>
      <c r="G104" s="85"/>
      <c r="H104" s="86"/>
      <c r="I104" s="43"/>
      <c r="J104" s="44"/>
      <c r="K104" s="44"/>
      <c r="L104" s="44"/>
      <c r="M104" s="44"/>
      <c r="N104" s="3"/>
    </row>
    <row r="105" spans="1:14" ht="63.6">
      <c r="A105" s="76"/>
      <c r="B105" s="83"/>
      <c r="C105" s="87"/>
      <c r="D105" s="83"/>
      <c r="E105" s="83"/>
      <c r="F105" s="85"/>
      <c r="G105" s="85"/>
      <c r="H105" s="86"/>
      <c r="I105" s="43"/>
      <c r="J105" s="44"/>
      <c r="K105" s="44"/>
      <c r="L105" s="44"/>
      <c r="M105" s="44"/>
      <c r="N105" s="3"/>
    </row>
    <row r="106" spans="1:14" ht="63.6">
      <c r="A106" s="76"/>
      <c r="B106" s="83"/>
      <c r="C106" s="87"/>
      <c r="D106" s="83"/>
      <c r="E106" s="83"/>
      <c r="F106" s="85"/>
      <c r="G106" s="85"/>
      <c r="H106" s="86"/>
      <c r="I106" s="43"/>
      <c r="J106" s="44"/>
      <c r="K106" s="44"/>
      <c r="L106" s="44"/>
      <c r="M106" s="44"/>
      <c r="N106" s="3"/>
    </row>
    <row r="107" spans="1:14" ht="63.6">
      <c r="A107" s="76"/>
      <c r="B107" s="83"/>
      <c r="C107" s="87"/>
      <c r="D107" s="83"/>
      <c r="E107" s="83"/>
      <c r="F107" s="85"/>
      <c r="G107" s="85"/>
      <c r="H107" s="86"/>
      <c r="I107" s="43"/>
      <c r="J107" s="44"/>
      <c r="K107" s="44"/>
      <c r="L107" s="44"/>
      <c r="M107" s="44"/>
      <c r="N107" s="3"/>
    </row>
    <row r="108" spans="1:14" ht="63.6">
      <c r="A108" s="76"/>
      <c r="B108" s="83"/>
      <c r="C108" s="87"/>
      <c r="D108" s="83"/>
      <c r="E108" s="83"/>
      <c r="F108" s="85"/>
      <c r="G108" s="85"/>
      <c r="H108" s="86"/>
      <c r="I108" s="43"/>
      <c r="J108" s="44"/>
      <c r="K108" s="44"/>
      <c r="L108" s="44"/>
      <c r="M108" s="44"/>
      <c r="N108" s="3"/>
    </row>
    <row r="109" spans="1:14" ht="63.6">
      <c r="A109" s="76"/>
      <c r="B109" s="83"/>
      <c r="C109" s="87"/>
      <c r="D109" s="83"/>
      <c r="E109" s="83"/>
      <c r="F109" s="85"/>
      <c r="G109" s="85"/>
      <c r="H109" s="86"/>
      <c r="I109" s="43"/>
      <c r="J109" s="44"/>
      <c r="K109" s="44"/>
      <c r="L109" s="44"/>
      <c r="M109" s="44"/>
      <c r="N109" s="3"/>
    </row>
    <row r="110" spans="1:14" ht="63.6">
      <c r="A110" s="76"/>
      <c r="B110" s="83"/>
      <c r="C110" s="87"/>
      <c r="D110" s="83"/>
      <c r="E110" s="83"/>
      <c r="F110" s="85"/>
      <c r="G110" s="85"/>
      <c r="H110" s="86"/>
      <c r="I110" s="43"/>
      <c r="J110" s="44"/>
      <c r="K110" s="44"/>
      <c r="L110" s="44"/>
      <c r="M110" s="44"/>
      <c r="N110" s="3"/>
    </row>
    <row r="111" spans="1:14" ht="63.6">
      <c r="A111" s="76"/>
      <c r="B111" s="83"/>
      <c r="C111" s="87"/>
      <c r="D111" s="83"/>
      <c r="E111" s="83"/>
      <c r="F111" s="85"/>
      <c r="G111" s="85"/>
      <c r="H111" s="86"/>
      <c r="I111" s="43"/>
      <c r="J111" s="44"/>
      <c r="K111" s="44"/>
      <c r="L111" s="44"/>
      <c r="M111" s="44"/>
      <c r="N111" s="3"/>
    </row>
    <row r="112" spans="1:14" ht="63.6">
      <c r="A112" s="76"/>
      <c r="B112" s="83"/>
      <c r="C112" s="87"/>
      <c r="D112" s="83"/>
      <c r="E112" s="83"/>
      <c r="F112" s="85"/>
      <c r="G112" s="85"/>
      <c r="H112" s="86"/>
      <c r="I112" s="43"/>
      <c r="J112" s="44"/>
      <c r="K112" s="44"/>
      <c r="L112" s="44"/>
      <c r="M112" s="44"/>
      <c r="N112" s="3"/>
    </row>
    <row r="113" spans="1:14" ht="63.6">
      <c r="A113" s="76"/>
      <c r="B113" s="83"/>
      <c r="C113" s="87"/>
      <c r="D113" s="83"/>
      <c r="E113" s="83"/>
      <c r="F113" s="85"/>
      <c r="G113" s="85"/>
      <c r="H113" s="86"/>
      <c r="I113" s="43"/>
      <c r="J113" s="44"/>
      <c r="K113" s="44"/>
      <c r="L113" s="44"/>
      <c r="M113" s="44"/>
      <c r="N113" s="3"/>
    </row>
    <row r="114" spans="1:14" ht="63.6">
      <c r="A114" s="76"/>
      <c r="B114" s="83"/>
      <c r="C114" s="87"/>
      <c r="D114" s="83"/>
      <c r="E114" s="83"/>
      <c r="F114" s="85"/>
      <c r="G114" s="85"/>
      <c r="H114" s="86"/>
      <c r="I114" s="43"/>
      <c r="J114" s="44"/>
      <c r="K114" s="44"/>
      <c r="L114" s="44"/>
      <c r="M114" s="44"/>
      <c r="N114" s="3"/>
    </row>
    <row r="115" spans="1:14" ht="63.6">
      <c r="A115" s="76"/>
      <c r="B115" s="83"/>
      <c r="C115" s="87"/>
      <c r="D115" s="83"/>
      <c r="E115" s="83"/>
      <c r="F115" s="85"/>
      <c r="G115" s="85"/>
      <c r="H115" s="86"/>
      <c r="I115" s="43"/>
      <c r="J115" s="44"/>
      <c r="K115" s="44"/>
      <c r="L115" s="44"/>
      <c r="M115" s="44"/>
      <c r="N115" s="3"/>
    </row>
    <row r="116" spans="1:14" ht="63.6">
      <c r="A116" s="76"/>
      <c r="B116" s="83"/>
      <c r="C116" s="87"/>
      <c r="D116" s="83"/>
      <c r="E116" s="83"/>
      <c r="F116" s="85"/>
      <c r="G116" s="85"/>
      <c r="H116" s="86"/>
      <c r="I116" s="43"/>
      <c r="J116" s="44"/>
      <c r="K116" s="44"/>
      <c r="L116" s="44"/>
      <c r="M116" s="44"/>
      <c r="N116" s="3"/>
    </row>
    <row r="117" spans="1:14" ht="63.6">
      <c r="A117" s="76"/>
      <c r="B117" s="83"/>
      <c r="C117" s="87"/>
      <c r="D117" s="83"/>
      <c r="E117" s="83"/>
      <c r="F117" s="85"/>
      <c r="G117" s="85"/>
      <c r="H117" s="86"/>
      <c r="I117" s="43"/>
      <c r="J117" s="44"/>
      <c r="K117" s="44"/>
      <c r="L117" s="44"/>
      <c r="M117" s="44"/>
      <c r="N117" s="3"/>
    </row>
    <row r="118" spans="1:14" ht="63.6">
      <c r="A118" s="76"/>
      <c r="B118" s="83"/>
      <c r="C118" s="87"/>
      <c r="D118" s="83"/>
      <c r="E118" s="83"/>
      <c r="F118" s="85"/>
      <c r="G118" s="85"/>
      <c r="H118" s="86"/>
      <c r="I118" s="43"/>
      <c r="J118" s="44"/>
      <c r="K118" s="44"/>
      <c r="L118" s="44"/>
      <c r="M118" s="44"/>
      <c r="N118" s="3"/>
    </row>
    <row r="119" spans="1:14" ht="63.6">
      <c r="A119" s="76"/>
      <c r="B119" s="83"/>
      <c r="C119" s="87"/>
      <c r="D119" s="83"/>
      <c r="E119" s="83"/>
      <c r="F119" s="85"/>
      <c r="G119" s="85"/>
      <c r="H119" s="86"/>
      <c r="I119" s="43"/>
      <c r="J119" s="44"/>
      <c r="K119" s="44"/>
      <c r="L119" s="44"/>
      <c r="M119" s="44"/>
      <c r="N119" s="3"/>
    </row>
    <row r="120" spans="1:14" ht="63.6">
      <c r="A120" s="76"/>
      <c r="B120" s="83"/>
      <c r="C120" s="87"/>
      <c r="D120" s="83"/>
      <c r="E120" s="83"/>
      <c r="F120" s="85"/>
      <c r="G120" s="85"/>
      <c r="H120" s="86"/>
      <c r="I120" s="43"/>
      <c r="J120" s="44"/>
      <c r="K120" s="44"/>
      <c r="L120" s="44"/>
      <c r="M120" s="44"/>
      <c r="N120" s="3"/>
    </row>
    <row r="121" spans="1:14" ht="63.6">
      <c r="A121" s="76"/>
      <c r="B121" s="83"/>
      <c r="C121" s="87"/>
      <c r="D121" s="83"/>
      <c r="E121" s="83"/>
      <c r="F121" s="85"/>
      <c r="G121" s="85"/>
      <c r="H121" s="86"/>
      <c r="I121" s="43"/>
      <c r="J121" s="44"/>
      <c r="K121" s="44"/>
      <c r="L121" s="44"/>
      <c r="M121" s="44"/>
      <c r="N121" s="3"/>
    </row>
    <row r="122" spans="1:14" ht="63.6">
      <c r="A122" s="76"/>
      <c r="B122" s="83"/>
      <c r="C122" s="87"/>
      <c r="D122" s="83"/>
      <c r="E122" s="83"/>
      <c r="F122" s="85"/>
      <c r="G122" s="85"/>
      <c r="H122" s="86"/>
      <c r="I122" s="43"/>
      <c r="J122" s="44"/>
      <c r="K122" s="44"/>
      <c r="L122" s="44"/>
      <c r="M122" s="44"/>
      <c r="N122" s="3"/>
    </row>
    <row r="123" spans="1:14" ht="63.6">
      <c r="A123" s="76"/>
      <c r="B123" s="83"/>
      <c r="C123" s="87"/>
      <c r="D123" s="83"/>
      <c r="E123" s="83"/>
      <c r="F123" s="85"/>
      <c r="G123" s="85"/>
      <c r="H123" s="86"/>
      <c r="I123" s="43"/>
      <c r="J123" s="44"/>
      <c r="K123" s="44"/>
      <c r="L123" s="44"/>
      <c r="M123" s="44"/>
      <c r="N123" s="3"/>
    </row>
    <row r="124" spans="1:14" ht="63.6">
      <c r="A124" s="76"/>
      <c r="B124" s="83"/>
      <c r="C124" s="87"/>
      <c r="D124" s="83"/>
      <c r="E124" s="83"/>
      <c r="F124" s="85"/>
      <c r="G124" s="85"/>
      <c r="H124" s="86"/>
      <c r="I124" s="43"/>
      <c r="J124" s="44"/>
      <c r="K124" s="44"/>
      <c r="L124" s="44"/>
      <c r="M124" s="44"/>
      <c r="N124" s="3"/>
    </row>
    <row r="125" spans="1:14" ht="63.6">
      <c r="A125" s="76"/>
      <c r="B125" s="83"/>
      <c r="C125" s="87"/>
      <c r="D125" s="83"/>
      <c r="E125" s="83"/>
      <c r="F125" s="85"/>
      <c r="G125" s="85"/>
      <c r="H125" s="86"/>
      <c r="I125" s="43"/>
      <c r="J125" s="44"/>
      <c r="K125" s="44"/>
      <c r="L125" s="44"/>
      <c r="M125" s="44"/>
      <c r="N125" s="3"/>
    </row>
    <row r="126" spans="1:14" ht="63.6">
      <c r="A126" s="76"/>
      <c r="B126" s="83"/>
      <c r="C126" s="87"/>
      <c r="D126" s="83"/>
      <c r="E126" s="83"/>
      <c r="F126" s="85"/>
      <c r="G126" s="85"/>
      <c r="H126" s="86"/>
      <c r="I126" s="43"/>
      <c r="J126" s="44"/>
      <c r="K126" s="44"/>
      <c r="L126" s="44"/>
      <c r="M126" s="44"/>
      <c r="N126" s="3"/>
    </row>
    <row r="127" spans="1:14" ht="63.6">
      <c r="A127" s="76"/>
      <c r="B127" s="83"/>
      <c r="C127" s="87"/>
      <c r="D127" s="83"/>
      <c r="E127" s="83"/>
      <c r="F127" s="85"/>
      <c r="G127" s="85"/>
      <c r="H127" s="86"/>
      <c r="I127" s="43"/>
      <c r="J127" s="44"/>
      <c r="K127" s="44"/>
      <c r="L127" s="44"/>
      <c r="M127" s="44"/>
      <c r="N127" s="3"/>
    </row>
    <row r="128" spans="1:14" ht="63.6">
      <c r="A128" s="76"/>
      <c r="B128" s="83"/>
      <c r="C128" s="87"/>
      <c r="D128" s="83"/>
      <c r="E128" s="83"/>
      <c r="F128" s="85"/>
      <c r="G128" s="85"/>
      <c r="H128" s="86"/>
      <c r="I128" s="43"/>
      <c r="J128" s="44"/>
      <c r="K128" s="44"/>
      <c r="L128" s="44"/>
      <c r="M128" s="44"/>
      <c r="N128" s="3"/>
    </row>
    <row r="129" spans="1:14" ht="63.6">
      <c r="A129" s="76"/>
      <c r="B129" s="83"/>
      <c r="C129" s="87"/>
      <c r="D129" s="83"/>
      <c r="E129" s="83"/>
      <c r="F129" s="85"/>
      <c r="G129" s="85"/>
      <c r="H129" s="86"/>
      <c r="I129" s="43"/>
      <c r="J129" s="44"/>
      <c r="K129" s="44"/>
      <c r="L129" s="44"/>
      <c r="M129" s="44"/>
      <c r="N129" s="3"/>
    </row>
    <row r="130" spans="1:14" ht="63.6">
      <c r="A130" s="76"/>
      <c r="B130" s="83"/>
      <c r="C130" s="87"/>
      <c r="D130" s="83"/>
      <c r="E130" s="83"/>
      <c r="F130" s="85"/>
      <c r="G130" s="85"/>
      <c r="H130" s="86"/>
      <c r="I130" s="43"/>
      <c r="J130" s="44"/>
      <c r="K130" s="44"/>
      <c r="L130" s="44"/>
      <c r="M130" s="44"/>
      <c r="N130" s="3"/>
    </row>
    <row r="131" spans="1:14" ht="63.6">
      <c r="A131" s="76"/>
      <c r="B131" s="83"/>
      <c r="C131" s="87"/>
      <c r="D131" s="83"/>
      <c r="E131" s="83"/>
      <c r="F131" s="85"/>
      <c r="G131" s="85"/>
      <c r="H131" s="86"/>
      <c r="I131" s="43"/>
      <c r="J131" s="44"/>
      <c r="K131" s="44"/>
      <c r="L131" s="44"/>
      <c r="M131" s="44"/>
      <c r="N131" s="3"/>
    </row>
    <row r="132" spans="1:14" ht="63.6">
      <c r="A132" s="76"/>
      <c r="B132" s="83"/>
      <c r="C132" s="87"/>
      <c r="D132" s="83"/>
      <c r="E132" s="83"/>
      <c r="F132" s="85"/>
      <c r="G132" s="85"/>
      <c r="H132" s="86"/>
      <c r="I132" s="43"/>
      <c r="J132" s="44"/>
      <c r="K132" s="44"/>
      <c r="L132" s="44"/>
      <c r="M132" s="44"/>
      <c r="N132" s="3"/>
    </row>
    <row r="133" spans="1:14" ht="63.6">
      <c r="A133" s="76"/>
      <c r="B133" s="83"/>
      <c r="C133" s="87"/>
      <c r="D133" s="83"/>
      <c r="E133" s="83"/>
      <c r="F133" s="85"/>
      <c r="G133" s="85"/>
      <c r="H133" s="86"/>
      <c r="I133" s="43"/>
      <c r="J133" s="44"/>
      <c r="K133" s="44"/>
      <c r="L133" s="44"/>
      <c r="M133" s="44"/>
      <c r="N133" s="3"/>
    </row>
    <row r="134" spans="1:14" ht="63.6">
      <c r="A134" s="76"/>
      <c r="B134" s="83"/>
      <c r="C134" s="87"/>
      <c r="D134" s="83"/>
      <c r="E134" s="83"/>
      <c r="F134" s="85"/>
      <c r="G134" s="85"/>
      <c r="H134" s="86"/>
      <c r="I134" s="43"/>
      <c r="J134" s="44"/>
      <c r="K134" s="44"/>
      <c r="L134" s="44"/>
      <c r="M134" s="44"/>
      <c r="N134" s="3"/>
    </row>
    <row r="135" spans="1:14" ht="63.6">
      <c r="A135" s="76"/>
      <c r="B135" s="83"/>
      <c r="C135" s="87"/>
      <c r="D135" s="83"/>
      <c r="E135" s="83"/>
      <c r="F135" s="85"/>
      <c r="G135" s="85"/>
      <c r="H135" s="86"/>
      <c r="I135" s="43"/>
      <c r="J135" s="44"/>
      <c r="K135" s="44"/>
      <c r="L135" s="44"/>
      <c r="M135" s="44"/>
      <c r="N135" s="3"/>
    </row>
    <row r="136" spans="1:14" ht="63.6">
      <c r="A136" s="76"/>
      <c r="B136" s="83"/>
      <c r="C136" s="87"/>
      <c r="D136" s="83"/>
      <c r="E136" s="83"/>
      <c r="F136" s="85"/>
      <c r="G136" s="85"/>
      <c r="H136" s="86"/>
      <c r="I136" s="43"/>
      <c r="J136" s="44"/>
      <c r="K136" s="44"/>
      <c r="L136" s="44"/>
      <c r="M136" s="44"/>
      <c r="N136" s="3"/>
    </row>
  </sheetData>
  <autoFilter ref="B3:H43" xr:uid="{00000000-0009-0000-0000-000001000000}"/>
  <mergeCells count="103">
    <mergeCell ref="M36:M39"/>
    <mergeCell ref="K40:K43"/>
    <mergeCell ref="L40:L43"/>
    <mergeCell ref="M40:M43"/>
    <mergeCell ref="I32:I35"/>
    <mergeCell ref="J32:J35"/>
    <mergeCell ref="M56:M59"/>
    <mergeCell ref="K60:K63"/>
    <mergeCell ref="L60:L63"/>
    <mergeCell ref="M60:M63"/>
    <mergeCell ref="H48:H51"/>
    <mergeCell ref="I48:I51"/>
    <mergeCell ref="J48:J51"/>
    <mergeCell ref="K48:K51"/>
    <mergeCell ref="L48:L51"/>
    <mergeCell ref="M48:M51"/>
    <mergeCell ref="H52:H55"/>
    <mergeCell ref="M52:M55"/>
    <mergeCell ref="H60:H63"/>
    <mergeCell ref="I52:I55"/>
    <mergeCell ref="J52:J55"/>
    <mergeCell ref="H56:H59"/>
    <mergeCell ref="I56:I59"/>
    <mergeCell ref="J56:J59"/>
    <mergeCell ref="I60:I63"/>
    <mergeCell ref="J60:J63"/>
    <mergeCell ref="K52:K55"/>
    <mergeCell ref="L52:L55"/>
    <mergeCell ref="K56:K59"/>
    <mergeCell ref="L56:L59"/>
    <mergeCell ref="H64:H67"/>
    <mergeCell ref="I64:I67"/>
    <mergeCell ref="J64:J67"/>
    <mergeCell ref="K64:K67"/>
    <mergeCell ref="L64:L67"/>
    <mergeCell ref="M64:M67"/>
    <mergeCell ref="H68:H71"/>
    <mergeCell ref="I68:I71"/>
    <mergeCell ref="J68:J71"/>
    <mergeCell ref="K68:K71"/>
    <mergeCell ref="L68:L71"/>
    <mergeCell ref="M68:M71"/>
    <mergeCell ref="B1:M1"/>
    <mergeCell ref="H4:H7"/>
    <mergeCell ref="I4:I7"/>
    <mergeCell ref="J4:J7"/>
    <mergeCell ref="K4:K7"/>
    <mergeCell ref="L4:L7"/>
    <mergeCell ref="M4:M7"/>
    <mergeCell ref="K12:K15"/>
    <mergeCell ref="L12:L15"/>
    <mergeCell ref="H8:H11"/>
    <mergeCell ref="I8:I11"/>
    <mergeCell ref="J8:J11"/>
    <mergeCell ref="K8:K11"/>
    <mergeCell ref="L8:L11"/>
    <mergeCell ref="M8:M11"/>
    <mergeCell ref="H12:H15"/>
    <mergeCell ref="M12:M15"/>
    <mergeCell ref="H20:H23"/>
    <mergeCell ref="H24:H27"/>
    <mergeCell ref="I24:I27"/>
    <mergeCell ref="J24:J27"/>
    <mergeCell ref="K24:K27"/>
    <mergeCell ref="L24:L27"/>
    <mergeCell ref="M24:M27"/>
    <mergeCell ref="I12:I15"/>
    <mergeCell ref="J12:J15"/>
    <mergeCell ref="H16:H19"/>
    <mergeCell ref="I16:I19"/>
    <mergeCell ref="J16:J19"/>
    <mergeCell ref="I20:I23"/>
    <mergeCell ref="J20:J23"/>
    <mergeCell ref="K16:K19"/>
    <mergeCell ref="L16:L19"/>
    <mergeCell ref="M16:M19"/>
    <mergeCell ref="K20:K23"/>
    <mergeCell ref="L20:L23"/>
    <mergeCell ref="M20:M23"/>
    <mergeCell ref="M44:M47"/>
    <mergeCell ref="H28:H31"/>
    <mergeCell ref="I28:I31"/>
    <mergeCell ref="J28:J31"/>
    <mergeCell ref="K28:K31"/>
    <mergeCell ref="L28:L31"/>
    <mergeCell ref="M28:M31"/>
    <mergeCell ref="H32:H35"/>
    <mergeCell ref="M32:M35"/>
    <mergeCell ref="H40:H43"/>
    <mergeCell ref="H36:H39"/>
    <mergeCell ref="I36:I39"/>
    <mergeCell ref="J36:J39"/>
    <mergeCell ref="I40:I43"/>
    <mergeCell ref="J40:J43"/>
    <mergeCell ref="H44:H47"/>
    <mergeCell ref="I44:I47"/>
    <mergeCell ref="J44:J47"/>
    <mergeCell ref="K44:K47"/>
    <mergeCell ref="L44:L47"/>
    <mergeCell ref="K32:K35"/>
    <mergeCell ref="L32:L35"/>
    <mergeCell ref="K36:K39"/>
    <mergeCell ref="L36:L39"/>
  </mergeCells>
  <printOptions horizontalCentered="1" verticalCentered="1"/>
  <pageMargins left="0.7" right="0.7" top="0.75" bottom="0.75" header="0" footer="0"/>
  <pageSetup paperSize="9" orientation="landscape"/>
  <colBreaks count="2" manualBreakCount="2">
    <brk man="1"/>
    <brk id="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7"/>
  <sheetViews>
    <sheetView tabSelected="1" zoomScale="90" zoomScaleNormal="90" workbookViewId="0">
      <selection activeCell="G88" sqref="G88"/>
    </sheetView>
  </sheetViews>
  <sheetFormatPr defaultColWidth="14.44140625" defaultRowHeight="15" customHeight="1"/>
  <cols>
    <col min="1" max="1" width="4.6640625" customWidth="1"/>
    <col min="2" max="2" width="20.33203125" customWidth="1"/>
    <col min="3" max="3" width="94.5546875" customWidth="1"/>
    <col min="4" max="4" width="19.109375" customWidth="1"/>
    <col min="5" max="5" width="18.109375" customWidth="1"/>
    <col min="6" max="6" width="20.6640625" customWidth="1"/>
    <col min="7" max="7" width="20.88671875" customWidth="1"/>
    <col min="8" max="8" width="27.109375" customWidth="1"/>
    <col min="9" max="9" width="21" customWidth="1"/>
    <col min="10" max="10" width="37.5546875" customWidth="1"/>
    <col min="11" max="12" width="43.6640625" customWidth="1"/>
    <col min="13" max="13" width="6.33203125" customWidth="1"/>
  </cols>
  <sheetData>
    <row r="1" spans="1:13" ht="46.5" customHeight="1">
      <c r="A1" s="31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pans="1:13" ht="24" customHeight="1">
      <c r="A2" s="303"/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 spans="1:13" ht="56.25" customHeight="1">
      <c r="A3" s="76"/>
      <c r="B3" s="313"/>
      <c r="C3" s="303"/>
      <c r="D3" s="303"/>
      <c r="E3" s="303"/>
      <c r="F3" s="303"/>
      <c r="G3" s="303"/>
      <c r="M3" s="2"/>
    </row>
    <row r="4" spans="1:13" ht="62.4">
      <c r="A4" s="76"/>
      <c r="B4" s="88" t="s">
        <v>1</v>
      </c>
      <c r="C4" s="89" t="s">
        <v>2</v>
      </c>
      <c r="D4" s="90" t="s">
        <v>3</v>
      </c>
      <c r="E4" s="90" t="s">
        <v>4</v>
      </c>
      <c r="F4" s="91" t="s">
        <v>5</v>
      </c>
      <c r="G4" s="92" t="s">
        <v>6</v>
      </c>
      <c r="H4" s="10" t="s">
        <v>8</v>
      </c>
      <c r="I4" s="11" t="s">
        <v>7</v>
      </c>
      <c r="J4" s="11" t="s">
        <v>9</v>
      </c>
      <c r="K4" s="11" t="s">
        <v>10</v>
      </c>
      <c r="L4" s="11" t="s">
        <v>11</v>
      </c>
      <c r="M4" s="2"/>
    </row>
    <row r="5" spans="1:13" ht="62.4" hidden="1">
      <c r="A5" s="76"/>
      <c r="B5" s="12"/>
      <c r="C5" s="13"/>
      <c r="D5" s="14" t="s">
        <v>14</v>
      </c>
      <c r="E5" s="14">
        <v>1</v>
      </c>
      <c r="F5" s="15">
        <v>229.82</v>
      </c>
      <c r="G5" s="93">
        <f t="shared" ref="G5:G23" si="0">SUM(E5*F5)</f>
        <v>229.82</v>
      </c>
      <c r="H5" s="295">
        <v>2.0982400000000001</v>
      </c>
      <c r="I5" s="292">
        <f>SUM(G5:G16)</f>
        <v>390.29899999999992</v>
      </c>
      <c r="J5" s="292">
        <f>SUM(H5*I5)</f>
        <v>818.94097375999991</v>
      </c>
      <c r="K5" s="296">
        <f>I5 * (1 + H5)</f>
        <v>1209.2399737599999</v>
      </c>
      <c r="L5" s="311">
        <f>J5 / K5</f>
        <v>0.67723610824209868</v>
      </c>
      <c r="M5" s="2"/>
    </row>
    <row r="6" spans="1:13" ht="62.4" hidden="1">
      <c r="A6" s="76"/>
      <c r="B6" s="16" t="s">
        <v>15</v>
      </c>
      <c r="C6" s="17" t="s">
        <v>16</v>
      </c>
      <c r="D6" s="18" t="s">
        <v>3</v>
      </c>
      <c r="E6" s="19">
        <v>0</v>
      </c>
      <c r="F6" s="20">
        <v>2.59</v>
      </c>
      <c r="G6" s="21">
        <f t="shared" si="0"/>
        <v>0</v>
      </c>
      <c r="H6" s="293"/>
      <c r="I6" s="293"/>
      <c r="J6" s="293"/>
      <c r="K6" s="297"/>
      <c r="L6" s="297"/>
      <c r="M6" s="2"/>
    </row>
    <row r="7" spans="1:13" ht="62.4" hidden="1">
      <c r="A7" s="76"/>
      <c r="B7" s="22" t="s">
        <v>17</v>
      </c>
      <c r="C7" s="23" t="s">
        <v>18</v>
      </c>
      <c r="D7" s="24" t="s">
        <v>19</v>
      </c>
      <c r="E7" s="25">
        <v>4</v>
      </c>
      <c r="F7" s="26">
        <v>13.6</v>
      </c>
      <c r="G7" s="27">
        <f t="shared" si="0"/>
        <v>54.4</v>
      </c>
      <c r="H7" s="293"/>
      <c r="I7" s="293"/>
      <c r="J7" s="293"/>
      <c r="K7" s="297"/>
      <c r="L7" s="297"/>
      <c r="M7" s="2"/>
    </row>
    <row r="8" spans="1:13" ht="62.4" hidden="1">
      <c r="A8" s="76"/>
      <c r="B8" s="22" t="s">
        <v>20</v>
      </c>
      <c r="C8" s="23" t="s">
        <v>21</v>
      </c>
      <c r="D8" s="24" t="s">
        <v>3</v>
      </c>
      <c r="E8" s="25">
        <v>10</v>
      </c>
      <c r="F8" s="26">
        <v>0.19</v>
      </c>
      <c r="G8" s="27">
        <f t="shared" si="0"/>
        <v>1.9</v>
      </c>
      <c r="H8" s="293"/>
      <c r="I8" s="293"/>
      <c r="J8" s="293"/>
      <c r="K8" s="297"/>
      <c r="L8" s="297"/>
      <c r="M8" s="2"/>
    </row>
    <row r="9" spans="1:13" ht="62.4" hidden="1">
      <c r="A9" s="76"/>
      <c r="B9" s="22" t="s">
        <v>22</v>
      </c>
      <c r="C9" s="23" t="s">
        <v>23</v>
      </c>
      <c r="D9" s="24" t="s">
        <v>3</v>
      </c>
      <c r="E9" s="25">
        <v>10</v>
      </c>
      <c r="F9" s="26">
        <v>0.3</v>
      </c>
      <c r="G9" s="27">
        <f t="shared" si="0"/>
        <v>3</v>
      </c>
      <c r="H9" s="293"/>
      <c r="I9" s="293"/>
      <c r="J9" s="293"/>
      <c r="K9" s="297"/>
      <c r="L9" s="297"/>
      <c r="M9" s="2"/>
    </row>
    <row r="10" spans="1:13" ht="62.4" hidden="1">
      <c r="A10" s="76"/>
      <c r="B10" s="22" t="s">
        <v>24</v>
      </c>
      <c r="C10" s="23" t="s">
        <v>25</v>
      </c>
      <c r="D10" s="24" t="s">
        <v>3</v>
      </c>
      <c r="E10" s="25">
        <v>1</v>
      </c>
      <c r="F10" s="26">
        <v>0.15</v>
      </c>
      <c r="G10" s="27">
        <f t="shared" si="0"/>
        <v>0.15</v>
      </c>
      <c r="H10" s="293"/>
      <c r="I10" s="293"/>
      <c r="J10" s="293"/>
      <c r="K10" s="297"/>
      <c r="L10" s="297"/>
      <c r="M10" s="2"/>
    </row>
    <row r="11" spans="1:13" ht="62.4" hidden="1">
      <c r="A11" s="76"/>
      <c r="B11" s="22" t="s">
        <v>26</v>
      </c>
      <c r="C11" s="23" t="s">
        <v>27</v>
      </c>
      <c r="D11" s="24" t="s">
        <v>3</v>
      </c>
      <c r="E11" s="25">
        <v>50</v>
      </c>
      <c r="F11" s="26">
        <v>1.3</v>
      </c>
      <c r="G11" s="27">
        <f t="shared" si="0"/>
        <v>65</v>
      </c>
      <c r="H11" s="293"/>
      <c r="I11" s="293"/>
      <c r="J11" s="293"/>
      <c r="K11" s="297"/>
      <c r="L11" s="297"/>
      <c r="M11" s="2"/>
    </row>
    <row r="12" spans="1:13" ht="62.4" hidden="1">
      <c r="A12" s="76"/>
      <c r="B12" s="22" t="s">
        <v>28</v>
      </c>
      <c r="C12" s="23" t="s">
        <v>29</v>
      </c>
      <c r="D12" s="24" t="s">
        <v>3</v>
      </c>
      <c r="E12" s="25">
        <v>50</v>
      </c>
      <c r="F12" s="26">
        <v>0.14000000000000001</v>
      </c>
      <c r="G12" s="27">
        <f t="shared" si="0"/>
        <v>7.0000000000000009</v>
      </c>
      <c r="H12" s="293"/>
      <c r="I12" s="293"/>
      <c r="J12" s="293"/>
      <c r="K12" s="297"/>
      <c r="L12" s="297"/>
      <c r="M12" s="2"/>
    </row>
    <row r="13" spans="1:13" ht="62.4" hidden="1">
      <c r="A13" s="76"/>
      <c r="B13" s="22" t="s">
        <v>30</v>
      </c>
      <c r="C13" s="23" t="s">
        <v>31</v>
      </c>
      <c r="D13" s="24" t="s">
        <v>3</v>
      </c>
      <c r="E13" s="25">
        <v>1</v>
      </c>
      <c r="F13" s="26">
        <v>23.9</v>
      </c>
      <c r="G13" s="27">
        <f t="shared" si="0"/>
        <v>23.9</v>
      </c>
      <c r="H13" s="293"/>
      <c r="I13" s="293"/>
      <c r="J13" s="293"/>
      <c r="K13" s="297"/>
      <c r="L13" s="297"/>
      <c r="M13" s="2"/>
    </row>
    <row r="14" spans="1:13" ht="62.4" hidden="1">
      <c r="A14" s="76"/>
      <c r="B14" s="22" t="s">
        <v>32</v>
      </c>
      <c r="C14" s="23" t="s">
        <v>33</v>
      </c>
      <c r="D14" s="24" t="s">
        <v>3</v>
      </c>
      <c r="E14" s="25">
        <v>2</v>
      </c>
      <c r="F14" s="26">
        <v>2.5</v>
      </c>
      <c r="G14" s="27">
        <f t="shared" si="0"/>
        <v>5</v>
      </c>
      <c r="H14" s="293"/>
      <c r="I14" s="293"/>
      <c r="J14" s="293"/>
      <c r="K14" s="297"/>
      <c r="L14" s="297"/>
      <c r="M14" s="2"/>
    </row>
    <row r="15" spans="1:13" ht="62.4" hidden="1">
      <c r="A15" s="76"/>
      <c r="B15" s="22" t="s">
        <v>34</v>
      </c>
      <c r="C15" s="23" t="s">
        <v>35</v>
      </c>
      <c r="D15" s="24" t="s">
        <v>3</v>
      </c>
      <c r="E15" s="28">
        <v>0</v>
      </c>
      <c r="F15" s="26">
        <v>2</v>
      </c>
      <c r="G15" s="27">
        <f t="shared" si="0"/>
        <v>0</v>
      </c>
      <c r="H15" s="293"/>
      <c r="I15" s="293"/>
      <c r="J15" s="293"/>
      <c r="K15" s="297"/>
      <c r="L15" s="297"/>
      <c r="M15" s="2"/>
    </row>
    <row r="16" spans="1:13" ht="62.4" hidden="1">
      <c r="A16" s="76"/>
      <c r="B16" s="29" t="s">
        <v>36</v>
      </c>
      <c r="C16" s="30" t="s">
        <v>37</v>
      </c>
      <c r="D16" s="31" t="s">
        <v>3</v>
      </c>
      <c r="E16" s="32">
        <v>0.01</v>
      </c>
      <c r="F16" s="33">
        <v>12.9</v>
      </c>
      <c r="G16" s="34">
        <f t="shared" si="0"/>
        <v>0.129</v>
      </c>
      <c r="H16" s="294"/>
      <c r="I16" s="294"/>
      <c r="J16" s="294"/>
      <c r="K16" s="298"/>
      <c r="L16" s="298"/>
      <c r="M16" s="2"/>
    </row>
    <row r="17" spans="1:13" ht="62.4">
      <c r="A17" s="76"/>
      <c r="B17" s="12" t="s">
        <v>83</v>
      </c>
      <c r="C17" s="13" t="s">
        <v>84</v>
      </c>
      <c r="D17" s="14" t="s">
        <v>14</v>
      </c>
      <c r="E17" s="14">
        <v>1</v>
      </c>
      <c r="F17" s="14">
        <v>194.56</v>
      </c>
      <c r="G17" s="93">
        <f t="shared" si="0"/>
        <v>194.56</v>
      </c>
      <c r="H17" s="295">
        <v>2.0982400000000001</v>
      </c>
      <c r="I17" s="292">
        <f>SUM(G17:G28)</f>
        <v>265.81000000000006</v>
      </c>
      <c r="J17" s="292">
        <f>SUM(H17*I17)</f>
        <v>557.73317440000017</v>
      </c>
      <c r="K17" s="296">
        <f>I17 * (1 + H17)</f>
        <v>823.54317440000023</v>
      </c>
      <c r="L17" s="311">
        <f>J17 / K17</f>
        <v>0.67723610824209879</v>
      </c>
      <c r="M17" s="2"/>
    </row>
    <row r="18" spans="1:13" ht="62.4">
      <c r="A18" s="76"/>
      <c r="B18" s="16" t="s">
        <v>15</v>
      </c>
      <c r="C18" s="17" t="s">
        <v>16</v>
      </c>
      <c r="D18" s="18" t="s">
        <v>3</v>
      </c>
      <c r="E18" s="19">
        <v>0</v>
      </c>
      <c r="F18" s="20">
        <v>2.59</v>
      </c>
      <c r="G18" s="21">
        <f t="shared" si="0"/>
        <v>0</v>
      </c>
      <c r="H18" s="293"/>
      <c r="I18" s="293"/>
      <c r="J18" s="293"/>
      <c r="K18" s="297"/>
      <c r="L18" s="297"/>
      <c r="M18" s="2"/>
    </row>
    <row r="19" spans="1:13" ht="62.4">
      <c r="A19" s="76"/>
      <c r="B19" s="22" t="s">
        <v>17</v>
      </c>
      <c r="C19" s="23" t="s">
        <v>18</v>
      </c>
      <c r="D19" s="24" t="s">
        <v>19</v>
      </c>
      <c r="E19" s="25">
        <v>4</v>
      </c>
      <c r="F19" s="26">
        <v>13.6</v>
      </c>
      <c r="G19" s="27">
        <f t="shared" si="0"/>
        <v>54.4</v>
      </c>
      <c r="H19" s="293"/>
      <c r="I19" s="293"/>
      <c r="J19" s="293"/>
      <c r="K19" s="297"/>
      <c r="L19" s="297"/>
      <c r="M19" s="2"/>
    </row>
    <row r="20" spans="1:13" ht="62.4">
      <c r="A20" s="76"/>
      <c r="B20" s="22" t="s">
        <v>20</v>
      </c>
      <c r="C20" s="23" t="s">
        <v>2668</v>
      </c>
      <c r="D20" s="24" t="s">
        <v>3</v>
      </c>
      <c r="E20" s="25">
        <v>10</v>
      </c>
      <c r="F20" s="26">
        <v>0.19</v>
      </c>
      <c r="G20" s="27">
        <f t="shared" si="0"/>
        <v>1.9</v>
      </c>
      <c r="H20" s="293"/>
      <c r="I20" s="293"/>
      <c r="J20" s="293"/>
      <c r="K20" s="297"/>
      <c r="L20" s="297"/>
      <c r="M20" s="2"/>
    </row>
    <row r="21" spans="1:13" ht="62.4">
      <c r="A21" s="76"/>
      <c r="B21" s="22" t="s">
        <v>22</v>
      </c>
      <c r="C21" s="23" t="s">
        <v>23</v>
      </c>
      <c r="D21" s="24" t="s">
        <v>3</v>
      </c>
      <c r="E21" s="25">
        <v>10</v>
      </c>
      <c r="F21" s="26">
        <v>0.3</v>
      </c>
      <c r="G21" s="27">
        <f t="shared" si="0"/>
        <v>3</v>
      </c>
      <c r="H21" s="293"/>
      <c r="I21" s="293"/>
      <c r="J21" s="293"/>
      <c r="K21" s="297"/>
      <c r="L21" s="297"/>
      <c r="M21" s="2"/>
    </row>
    <row r="22" spans="1:13" ht="62.4">
      <c r="A22" s="76"/>
      <c r="B22" s="22"/>
      <c r="C22" s="23" t="s">
        <v>2631</v>
      </c>
      <c r="D22" s="24" t="s">
        <v>3</v>
      </c>
      <c r="E22" s="25">
        <v>0.5</v>
      </c>
      <c r="F22" s="26">
        <v>21.95</v>
      </c>
      <c r="G22" s="27">
        <f t="shared" si="0"/>
        <v>10.975</v>
      </c>
      <c r="H22" s="293"/>
      <c r="I22" s="293"/>
      <c r="J22" s="293"/>
      <c r="K22" s="297"/>
      <c r="L22" s="297"/>
      <c r="M22" s="2"/>
    </row>
    <row r="23" spans="1:13" ht="62.4">
      <c r="A23" s="76"/>
      <c r="B23" s="22"/>
      <c r="C23" s="23" t="s">
        <v>105</v>
      </c>
      <c r="D23" s="24" t="s">
        <v>3</v>
      </c>
      <c r="E23" s="25">
        <v>150</v>
      </c>
      <c r="F23" s="26">
        <v>6.4999999999999997E-3</v>
      </c>
      <c r="G23" s="27">
        <f t="shared" si="0"/>
        <v>0.97499999999999998</v>
      </c>
      <c r="H23" s="293"/>
      <c r="I23" s="293"/>
      <c r="J23" s="293"/>
      <c r="K23" s="297"/>
      <c r="L23" s="297"/>
      <c r="M23" s="2"/>
    </row>
    <row r="24" spans="1:13" ht="62.4">
      <c r="A24" s="76"/>
      <c r="B24" s="22" t="s">
        <v>28</v>
      </c>
      <c r="C24" s="23"/>
      <c r="D24" s="24"/>
      <c r="E24" s="25"/>
      <c r="F24" s="26"/>
      <c r="G24" s="27"/>
      <c r="H24" s="293"/>
      <c r="I24" s="293"/>
      <c r="J24" s="293"/>
      <c r="K24" s="297"/>
      <c r="L24" s="297"/>
      <c r="M24" s="2"/>
    </row>
    <row r="25" spans="1:13" ht="62.4">
      <c r="A25" s="76"/>
      <c r="B25" s="22" t="s">
        <v>30</v>
      </c>
      <c r="C25" s="23"/>
      <c r="D25" s="24"/>
      <c r="E25" s="25"/>
      <c r="F25" s="26"/>
      <c r="G25" s="27"/>
      <c r="H25" s="293"/>
      <c r="I25" s="293"/>
      <c r="J25" s="293"/>
      <c r="K25" s="297"/>
      <c r="L25" s="297"/>
      <c r="M25" s="2"/>
    </row>
    <row r="26" spans="1:13" ht="62.4">
      <c r="A26" s="76"/>
      <c r="B26" s="22" t="s">
        <v>32</v>
      </c>
      <c r="C26" s="23"/>
      <c r="D26" s="24"/>
      <c r="E26" s="25"/>
      <c r="F26" s="26"/>
      <c r="G26" s="27"/>
      <c r="H26" s="293"/>
      <c r="I26" s="293"/>
      <c r="J26" s="293"/>
      <c r="K26" s="297"/>
      <c r="L26" s="297"/>
      <c r="M26" s="2"/>
    </row>
    <row r="27" spans="1:13" ht="62.4">
      <c r="A27" s="76"/>
      <c r="B27" s="22" t="s">
        <v>34</v>
      </c>
      <c r="C27" s="23"/>
      <c r="D27" s="24"/>
      <c r="E27" s="28"/>
      <c r="F27" s="26"/>
      <c r="G27" s="27"/>
      <c r="H27" s="293"/>
      <c r="I27" s="293"/>
      <c r="J27" s="293"/>
      <c r="K27" s="297"/>
      <c r="L27" s="297"/>
      <c r="M27" s="2"/>
    </row>
    <row r="28" spans="1:13" ht="62.4">
      <c r="A28" s="76"/>
      <c r="B28" s="22" t="s">
        <v>36</v>
      </c>
      <c r="C28" s="23"/>
      <c r="D28" s="24"/>
      <c r="E28" s="28"/>
      <c r="F28" s="26"/>
      <c r="G28" s="27"/>
      <c r="H28" s="294"/>
      <c r="I28" s="294"/>
      <c r="J28" s="294"/>
      <c r="K28" s="298"/>
      <c r="L28" s="298"/>
      <c r="M28" s="2"/>
    </row>
    <row r="29" spans="1:13" ht="62.4">
      <c r="A29" s="76"/>
      <c r="B29" s="12" t="s">
        <v>85</v>
      </c>
      <c r="C29" s="13" t="s">
        <v>85</v>
      </c>
      <c r="D29" s="14" t="s">
        <v>14</v>
      </c>
      <c r="E29" s="14">
        <v>1</v>
      </c>
      <c r="F29" s="14">
        <v>194.56</v>
      </c>
      <c r="G29" s="93">
        <v>270.56</v>
      </c>
      <c r="H29" s="295">
        <v>2.0982400000000001</v>
      </c>
      <c r="I29" s="292">
        <f>SUM(G29:G40)</f>
        <v>341.81</v>
      </c>
      <c r="J29" s="292">
        <f>SUM(H29*I29)</f>
        <v>717.19941440000002</v>
      </c>
      <c r="K29" s="296">
        <f>I29 * (1 + H29)</f>
        <v>1059.0094144</v>
      </c>
      <c r="L29" s="311">
        <f>J29 / K29</f>
        <v>0.67723610824209879</v>
      </c>
      <c r="M29" s="2"/>
    </row>
    <row r="30" spans="1:13" ht="62.4">
      <c r="A30" s="76"/>
      <c r="B30" s="16" t="s">
        <v>15</v>
      </c>
      <c r="C30" s="17" t="s">
        <v>16</v>
      </c>
      <c r="D30" s="18" t="s">
        <v>3</v>
      </c>
      <c r="E30" s="19">
        <v>0</v>
      </c>
      <c r="F30" s="20">
        <v>2.59</v>
      </c>
      <c r="G30" s="21">
        <f t="shared" ref="G30:G35" si="1">SUM(E30*F30)</f>
        <v>0</v>
      </c>
      <c r="H30" s="293"/>
      <c r="I30" s="293"/>
      <c r="J30" s="293"/>
      <c r="K30" s="297"/>
      <c r="L30" s="297"/>
      <c r="M30" s="2"/>
    </row>
    <row r="31" spans="1:13" ht="62.4">
      <c r="A31" s="76"/>
      <c r="B31" s="22" t="s">
        <v>17</v>
      </c>
      <c r="C31" s="23" t="s">
        <v>18</v>
      </c>
      <c r="D31" s="24" t="s">
        <v>19</v>
      </c>
      <c r="E31" s="25">
        <v>4</v>
      </c>
      <c r="F31" s="26">
        <v>13.6</v>
      </c>
      <c r="G31" s="27">
        <f t="shared" si="1"/>
        <v>54.4</v>
      </c>
      <c r="H31" s="293"/>
      <c r="I31" s="293"/>
      <c r="J31" s="293"/>
      <c r="K31" s="297"/>
      <c r="L31" s="297"/>
      <c r="M31" s="2"/>
    </row>
    <row r="32" spans="1:13" ht="62.4">
      <c r="A32" s="76"/>
      <c r="B32" s="22" t="s">
        <v>20</v>
      </c>
      <c r="C32" s="23" t="s">
        <v>2668</v>
      </c>
      <c r="D32" s="24" t="s">
        <v>3</v>
      </c>
      <c r="E32" s="25">
        <v>10</v>
      </c>
      <c r="F32" s="26">
        <v>0.19</v>
      </c>
      <c r="G32" s="27">
        <f t="shared" si="1"/>
        <v>1.9</v>
      </c>
      <c r="H32" s="293"/>
      <c r="I32" s="293"/>
      <c r="J32" s="293"/>
      <c r="K32" s="297"/>
      <c r="L32" s="297"/>
      <c r="M32" s="2"/>
    </row>
    <row r="33" spans="1:13" ht="62.4">
      <c r="A33" s="76"/>
      <c r="B33" s="22" t="s">
        <v>22</v>
      </c>
      <c r="C33" s="23" t="s">
        <v>23</v>
      </c>
      <c r="D33" s="24" t="s">
        <v>3</v>
      </c>
      <c r="E33" s="25">
        <v>10</v>
      </c>
      <c r="F33" s="26">
        <v>0.3</v>
      </c>
      <c r="G33" s="27">
        <f t="shared" si="1"/>
        <v>3</v>
      </c>
      <c r="H33" s="293"/>
      <c r="I33" s="293"/>
      <c r="J33" s="293"/>
      <c r="K33" s="297"/>
      <c r="L33" s="297"/>
      <c r="M33" s="2"/>
    </row>
    <row r="34" spans="1:13" ht="62.4">
      <c r="A34" s="76"/>
      <c r="B34" s="22" t="s">
        <v>24</v>
      </c>
      <c r="C34" s="23" t="s">
        <v>2631</v>
      </c>
      <c r="D34" s="24" t="s">
        <v>3</v>
      </c>
      <c r="E34" s="25">
        <v>0.5</v>
      </c>
      <c r="F34" s="26">
        <v>21.95</v>
      </c>
      <c r="G34" s="27">
        <f t="shared" si="1"/>
        <v>10.975</v>
      </c>
      <c r="H34" s="293"/>
      <c r="I34" s="293"/>
      <c r="J34" s="293"/>
      <c r="K34" s="297"/>
      <c r="L34" s="297"/>
      <c r="M34" s="2"/>
    </row>
    <row r="35" spans="1:13" ht="62.4">
      <c r="A35" s="76"/>
      <c r="B35" s="22" t="s">
        <v>26</v>
      </c>
      <c r="C35" s="23" t="s">
        <v>105</v>
      </c>
      <c r="D35" s="24" t="s">
        <v>3</v>
      </c>
      <c r="E35" s="25">
        <v>150</v>
      </c>
      <c r="F35" s="26">
        <v>6.4999999999999997E-3</v>
      </c>
      <c r="G35" s="27">
        <f t="shared" si="1"/>
        <v>0.97499999999999998</v>
      </c>
      <c r="H35" s="293"/>
      <c r="I35" s="293"/>
      <c r="J35" s="293"/>
      <c r="K35" s="297"/>
      <c r="L35" s="297"/>
      <c r="M35" s="2"/>
    </row>
    <row r="36" spans="1:13" ht="62.4">
      <c r="A36" s="76"/>
      <c r="B36" s="22"/>
      <c r="C36" s="23"/>
      <c r="D36" s="24"/>
      <c r="E36" s="25"/>
      <c r="F36" s="26"/>
      <c r="G36" s="27"/>
      <c r="H36" s="293"/>
      <c r="I36" s="293"/>
      <c r="J36" s="293"/>
      <c r="K36" s="297"/>
      <c r="L36" s="297"/>
      <c r="M36" s="2"/>
    </row>
    <row r="37" spans="1:13" ht="62.4">
      <c r="A37" s="76"/>
      <c r="B37" s="22"/>
      <c r="C37" s="23"/>
      <c r="D37" s="24"/>
      <c r="E37" s="25"/>
      <c r="F37" s="26"/>
      <c r="G37" s="27"/>
      <c r="H37" s="293"/>
      <c r="I37" s="293"/>
      <c r="J37" s="293"/>
      <c r="K37" s="297"/>
      <c r="L37" s="297"/>
      <c r="M37" s="2"/>
    </row>
    <row r="38" spans="1:13" ht="62.4">
      <c r="A38" s="76"/>
      <c r="B38" s="22"/>
      <c r="C38" s="23"/>
      <c r="D38" s="24"/>
      <c r="E38" s="25"/>
      <c r="F38" s="26"/>
      <c r="G38" s="27"/>
      <c r="H38" s="293"/>
      <c r="I38" s="293"/>
      <c r="J38" s="293"/>
      <c r="K38" s="297"/>
      <c r="L38" s="297"/>
      <c r="M38" s="2"/>
    </row>
    <row r="39" spans="1:13" ht="62.4">
      <c r="A39" s="76"/>
      <c r="B39" s="22"/>
      <c r="C39" s="23"/>
      <c r="D39" s="24"/>
      <c r="E39" s="28"/>
      <c r="F39" s="26"/>
      <c r="G39" s="27"/>
      <c r="H39" s="293"/>
      <c r="I39" s="293"/>
      <c r="J39" s="293"/>
      <c r="K39" s="297"/>
      <c r="L39" s="297"/>
      <c r="M39" s="2"/>
    </row>
    <row r="40" spans="1:13" ht="62.4">
      <c r="A40" s="76"/>
      <c r="B40" s="22"/>
      <c r="C40" s="23"/>
      <c r="D40" s="24"/>
      <c r="E40" s="32"/>
      <c r="F40" s="26"/>
      <c r="G40" s="27"/>
      <c r="H40" s="294"/>
      <c r="I40" s="294"/>
      <c r="J40" s="294"/>
      <c r="K40" s="298"/>
      <c r="L40" s="298"/>
      <c r="M40" s="2"/>
    </row>
    <row r="41" spans="1:13" ht="62.4">
      <c r="A41" s="76"/>
      <c r="B41" s="12" t="s">
        <v>86</v>
      </c>
      <c r="C41" s="13" t="s">
        <v>87</v>
      </c>
      <c r="D41" s="14" t="s">
        <v>14</v>
      </c>
      <c r="E41" s="14">
        <v>1</v>
      </c>
      <c r="F41" s="15">
        <v>229.82</v>
      </c>
      <c r="G41" s="93">
        <f t="shared" ref="G41:G77" si="2">SUM(E41*F41)</f>
        <v>229.82</v>
      </c>
      <c r="H41" s="295">
        <v>2.0982400000000001</v>
      </c>
      <c r="I41" s="292">
        <f>SUM(G41:G52)</f>
        <v>403.24899999999991</v>
      </c>
      <c r="J41" s="292">
        <f>SUM(H41*I41)</f>
        <v>846.11318175999986</v>
      </c>
      <c r="K41" s="296">
        <f>I41 * (1 + H41)</f>
        <v>1249.3621817599997</v>
      </c>
      <c r="L41" s="311">
        <f>J41 / K41</f>
        <v>0.67723610824209879</v>
      </c>
      <c r="M41" s="2"/>
    </row>
    <row r="42" spans="1:13" ht="62.4">
      <c r="A42" s="76"/>
      <c r="B42" s="16" t="s">
        <v>15</v>
      </c>
      <c r="C42" s="17" t="s">
        <v>16</v>
      </c>
      <c r="D42" s="18" t="s">
        <v>3</v>
      </c>
      <c r="E42" s="19">
        <v>5</v>
      </c>
      <c r="F42" s="20">
        <v>2.59</v>
      </c>
      <c r="G42" s="21">
        <f t="shared" si="2"/>
        <v>12.95</v>
      </c>
      <c r="H42" s="293"/>
      <c r="I42" s="293"/>
      <c r="J42" s="293"/>
      <c r="K42" s="297"/>
      <c r="L42" s="297"/>
      <c r="M42" s="2"/>
    </row>
    <row r="43" spans="1:13" ht="62.4">
      <c r="A43" s="76"/>
      <c r="B43" s="22" t="s">
        <v>17</v>
      </c>
      <c r="C43" s="23" t="s">
        <v>18</v>
      </c>
      <c r="D43" s="24" t="s">
        <v>19</v>
      </c>
      <c r="E43" s="25">
        <v>4</v>
      </c>
      <c r="F43" s="26">
        <v>13.6</v>
      </c>
      <c r="G43" s="27">
        <f t="shared" si="2"/>
        <v>54.4</v>
      </c>
      <c r="H43" s="293"/>
      <c r="I43" s="293"/>
      <c r="J43" s="293"/>
      <c r="K43" s="297"/>
      <c r="L43" s="297"/>
      <c r="M43" s="2"/>
    </row>
    <row r="44" spans="1:13" ht="62.4">
      <c r="A44" s="76"/>
      <c r="B44" s="22" t="s">
        <v>20</v>
      </c>
      <c r="C44" s="23" t="s">
        <v>21</v>
      </c>
      <c r="D44" s="24" t="s">
        <v>3</v>
      </c>
      <c r="E44" s="25">
        <v>10</v>
      </c>
      <c r="F44" s="26">
        <v>0.19</v>
      </c>
      <c r="G44" s="27">
        <f t="shared" si="2"/>
        <v>1.9</v>
      </c>
      <c r="H44" s="293"/>
      <c r="I44" s="293"/>
      <c r="J44" s="293"/>
      <c r="K44" s="297"/>
      <c r="L44" s="297"/>
      <c r="M44" s="2"/>
    </row>
    <row r="45" spans="1:13" ht="62.4">
      <c r="A45" s="76"/>
      <c r="B45" s="22" t="s">
        <v>22</v>
      </c>
      <c r="C45" s="23" t="s">
        <v>23</v>
      </c>
      <c r="D45" s="24" t="s">
        <v>3</v>
      </c>
      <c r="E45" s="25">
        <v>10</v>
      </c>
      <c r="F45" s="26">
        <v>0.3</v>
      </c>
      <c r="G45" s="27">
        <f t="shared" si="2"/>
        <v>3</v>
      </c>
      <c r="H45" s="293"/>
      <c r="I45" s="293"/>
      <c r="J45" s="293"/>
      <c r="K45" s="297"/>
      <c r="L45" s="297"/>
      <c r="M45" s="2"/>
    </row>
    <row r="46" spans="1:13" ht="62.4">
      <c r="A46" s="76"/>
      <c r="B46" s="22" t="s">
        <v>24</v>
      </c>
      <c r="C46" s="23" t="s">
        <v>25</v>
      </c>
      <c r="D46" s="24" t="s">
        <v>3</v>
      </c>
      <c r="E46" s="25">
        <v>1</v>
      </c>
      <c r="F46" s="26">
        <v>0.15</v>
      </c>
      <c r="G46" s="27">
        <f t="shared" si="2"/>
        <v>0.15</v>
      </c>
      <c r="H46" s="293"/>
      <c r="I46" s="293"/>
      <c r="J46" s="293"/>
      <c r="K46" s="297"/>
      <c r="L46" s="297"/>
      <c r="M46" s="2"/>
    </row>
    <row r="47" spans="1:13" ht="62.4">
      <c r="A47" s="76"/>
      <c r="B47" s="22" t="s">
        <v>26</v>
      </c>
      <c r="C47" s="23" t="s">
        <v>27</v>
      </c>
      <c r="D47" s="24" t="s">
        <v>3</v>
      </c>
      <c r="E47" s="25">
        <v>50</v>
      </c>
      <c r="F47" s="26">
        <v>1.3</v>
      </c>
      <c r="G47" s="27">
        <f t="shared" si="2"/>
        <v>65</v>
      </c>
      <c r="H47" s="293"/>
      <c r="I47" s="293"/>
      <c r="J47" s="293"/>
      <c r="K47" s="297"/>
      <c r="L47" s="297"/>
      <c r="M47" s="2"/>
    </row>
    <row r="48" spans="1:13" ht="62.4">
      <c r="A48" s="76"/>
      <c r="B48" s="22" t="s">
        <v>28</v>
      </c>
      <c r="C48" s="23" t="s">
        <v>29</v>
      </c>
      <c r="D48" s="24" t="s">
        <v>3</v>
      </c>
      <c r="E48" s="25">
        <v>50</v>
      </c>
      <c r="F48" s="26">
        <v>0.14000000000000001</v>
      </c>
      <c r="G48" s="27">
        <f t="shared" si="2"/>
        <v>7.0000000000000009</v>
      </c>
      <c r="H48" s="293"/>
      <c r="I48" s="293"/>
      <c r="J48" s="293"/>
      <c r="K48" s="297"/>
      <c r="L48" s="297"/>
      <c r="M48" s="2"/>
    </row>
    <row r="49" spans="1:13" ht="62.4">
      <c r="A49" s="76"/>
      <c r="B49" s="22" t="s">
        <v>30</v>
      </c>
      <c r="C49" s="23" t="s">
        <v>31</v>
      </c>
      <c r="D49" s="24" t="s">
        <v>3</v>
      </c>
      <c r="E49" s="25">
        <v>1</v>
      </c>
      <c r="F49" s="26">
        <v>23.9</v>
      </c>
      <c r="G49" s="27">
        <f t="shared" si="2"/>
        <v>23.9</v>
      </c>
      <c r="H49" s="293"/>
      <c r="I49" s="293"/>
      <c r="J49" s="293"/>
      <c r="K49" s="297"/>
      <c r="L49" s="297"/>
      <c r="M49" s="2"/>
    </row>
    <row r="50" spans="1:13" ht="62.4">
      <c r="A50" s="76"/>
      <c r="B50" s="22" t="s">
        <v>32</v>
      </c>
      <c r="C50" s="23" t="s">
        <v>33</v>
      </c>
      <c r="D50" s="24" t="s">
        <v>3</v>
      </c>
      <c r="E50" s="25">
        <v>2</v>
      </c>
      <c r="F50" s="26">
        <v>2.5</v>
      </c>
      <c r="G50" s="27">
        <f t="shared" si="2"/>
        <v>5</v>
      </c>
      <c r="H50" s="293"/>
      <c r="I50" s="293"/>
      <c r="J50" s="293"/>
      <c r="K50" s="297"/>
      <c r="L50" s="297"/>
      <c r="M50" s="2"/>
    </row>
    <row r="51" spans="1:13" ht="62.4">
      <c r="A51" s="76"/>
      <c r="B51" s="22" t="s">
        <v>34</v>
      </c>
      <c r="C51" s="23" t="s">
        <v>35</v>
      </c>
      <c r="D51" s="24" t="s">
        <v>3</v>
      </c>
      <c r="E51" s="28">
        <v>0</v>
      </c>
      <c r="F51" s="26">
        <v>2</v>
      </c>
      <c r="G51" s="27">
        <f t="shared" si="2"/>
        <v>0</v>
      </c>
      <c r="H51" s="293"/>
      <c r="I51" s="293"/>
      <c r="J51" s="293"/>
      <c r="K51" s="297"/>
      <c r="L51" s="297"/>
      <c r="M51" s="2"/>
    </row>
    <row r="52" spans="1:13" ht="62.4">
      <c r="A52" s="76"/>
      <c r="B52" s="22" t="s">
        <v>36</v>
      </c>
      <c r="C52" s="23" t="s">
        <v>37</v>
      </c>
      <c r="D52" s="24" t="s">
        <v>3</v>
      </c>
      <c r="E52" s="32">
        <v>0.01</v>
      </c>
      <c r="F52" s="26">
        <v>12.9</v>
      </c>
      <c r="G52" s="27">
        <f t="shared" si="2"/>
        <v>0.129</v>
      </c>
      <c r="H52" s="294"/>
      <c r="I52" s="294"/>
      <c r="J52" s="294"/>
      <c r="K52" s="298"/>
      <c r="L52" s="298"/>
      <c r="M52" s="2"/>
    </row>
    <row r="53" spans="1:13" ht="62.4">
      <c r="A53" s="76"/>
      <c r="B53" s="12" t="s">
        <v>88</v>
      </c>
      <c r="C53" s="13" t="s">
        <v>89</v>
      </c>
      <c r="D53" s="14" t="s">
        <v>14</v>
      </c>
      <c r="E53" s="14">
        <v>1</v>
      </c>
      <c r="F53" s="15">
        <v>229.82</v>
      </c>
      <c r="G53" s="93">
        <f t="shared" si="2"/>
        <v>229.82</v>
      </c>
      <c r="H53" s="295">
        <v>2.0982400000000001</v>
      </c>
      <c r="I53" s="292">
        <f>SUM(G53:G64)</f>
        <v>301.07</v>
      </c>
      <c r="J53" s="292">
        <f>SUM(H53*I53)</f>
        <v>631.71711679999999</v>
      </c>
      <c r="K53" s="296">
        <f>I53 * (1 + H53)</f>
        <v>932.78711680000004</v>
      </c>
      <c r="L53" s="311">
        <f>J53 / K53</f>
        <v>0.67723610824209868</v>
      </c>
      <c r="M53" s="2"/>
    </row>
    <row r="54" spans="1:13" ht="62.4">
      <c r="A54" s="76"/>
      <c r="B54" s="16" t="s">
        <v>15</v>
      </c>
      <c r="C54" s="17" t="s">
        <v>16</v>
      </c>
      <c r="D54" s="18" t="s">
        <v>3</v>
      </c>
      <c r="E54" s="19">
        <v>0</v>
      </c>
      <c r="F54" s="20">
        <v>2.59</v>
      </c>
      <c r="G54" s="21">
        <f t="shared" ref="G54:G59" si="3">SUM(E54*F54)</f>
        <v>0</v>
      </c>
      <c r="H54" s="293"/>
      <c r="I54" s="293"/>
      <c r="J54" s="293"/>
      <c r="K54" s="297"/>
      <c r="L54" s="297"/>
      <c r="M54" s="2"/>
    </row>
    <row r="55" spans="1:13" ht="62.4">
      <c r="A55" s="76"/>
      <c r="B55" s="22" t="s">
        <v>17</v>
      </c>
      <c r="C55" s="23" t="s">
        <v>18</v>
      </c>
      <c r="D55" s="24" t="s">
        <v>19</v>
      </c>
      <c r="E55" s="25">
        <v>4</v>
      </c>
      <c r="F55" s="26">
        <v>13.6</v>
      </c>
      <c r="G55" s="27">
        <f t="shared" si="3"/>
        <v>54.4</v>
      </c>
      <c r="H55" s="293"/>
      <c r="I55" s="293"/>
      <c r="J55" s="293"/>
      <c r="K55" s="297"/>
      <c r="L55" s="297"/>
      <c r="M55" s="2"/>
    </row>
    <row r="56" spans="1:13" ht="62.4">
      <c r="A56" s="76"/>
      <c r="B56" s="22" t="s">
        <v>20</v>
      </c>
      <c r="C56" s="23" t="s">
        <v>2668</v>
      </c>
      <c r="D56" s="24" t="s">
        <v>3</v>
      </c>
      <c r="E56" s="25">
        <v>10</v>
      </c>
      <c r="F56" s="26">
        <v>0.19</v>
      </c>
      <c r="G56" s="27">
        <f t="shared" si="3"/>
        <v>1.9</v>
      </c>
      <c r="H56" s="293"/>
      <c r="I56" s="293"/>
      <c r="J56" s="293"/>
      <c r="K56" s="297"/>
      <c r="L56" s="297"/>
      <c r="M56" s="2"/>
    </row>
    <row r="57" spans="1:13" ht="62.4">
      <c r="A57" s="76"/>
      <c r="B57" s="22" t="s">
        <v>22</v>
      </c>
      <c r="C57" s="23" t="s">
        <v>23</v>
      </c>
      <c r="D57" s="24" t="s">
        <v>3</v>
      </c>
      <c r="E57" s="25">
        <v>10</v>
      </c>
      <c r="F57" s="26">
        <v>0.3</v>
      </c>
      <c r="G57" s="27">
        <f t="shared" si="3"/>
        <v>3</v>
      </c>
      <c r="H57" s="293"/>
      <c r="I57" s="293"/>
      <c r="J57" s="293"/>
      <c r="K57" s="297"/>
      <c r="L57" s="297"/>
      <c r="M57" s="2"/>
    </row>
    <row r="58" spans="1:13" ht="62.4">
      <c r="A58" s="76"/>
      <c r="B58" s="22" t="s">
        <v>24</v>
      </c>
      <c r="C58" s="23" t="s">
        <v>2631</v>
      </c>
      <c r="D58" s="24" t="s">
        <v>3</v>
      </c>
      <c r="E58" s="25">
        <v>0.5</v>
      </c>
      <c r="F58" s="26">
        <v>21.95</v>
      </c>
      <c r="G58" s="27">
        <f t="shared" si="3"/>
        <v>10.975</v>
      </c>
      <c r="H58" s="293"/>
      <c r="I58" s="293"/>
      <c r="J58" s="293"/>
      <c r="K58" s="297"/>
      <c r="L58" s="297"/>
      <c r="M58" s="2"/>
    </row>
    <row r="59" spans="1:13" ht="62.4">
      <c r="A59" s="76"/>
      <c r="B59" s="22" t="s">
        <v>26</v>
      </c>
      <c r="C59" s="23" t="s">
        <v>105</v>
      </c>
      <c r="D59" s="24" t="s">
        <v>3</v>
      </c>
      <c r="E59" s="25">
        <v>150</v>
      </c>
      <c r="F59" s="26">
        <v>6.4999999999999997E-3</v>
      </c>
      <c r="G59" s="27">
        <f t="shared" si="3"/>
        <v>0.97499999999999998</v>
      </c>
      <c r="H59" s="293"/>
      <c r="I59" s="293"/>
      <c r="J59" s="293"/>
      <c r="K59" s="297"/>
      <c r="L59" s="297"/>
      <c r="M59" s="2"/>
    </row>
    <row r="60" spans="1:13" ht="62.4">
      <c r="A60" s="76"/>
      <c r="B60" s="22"/>
      <c r="C60" s="23"/>
      <c r="D60" s="24"/>
      <c r="E60" s="25"/>
      <c r="F60" s="26"/>
      <c r="G60" s="27"/>
      <c r="H60" s="293"/>
      <c r="I60" s="293"/>
      <c r="J60" s="293"/>
      <c r="K60" s="297"/>
      <c r="L60" s="297"/>
      <c r="M60" s="2"/>
    </row>
    <row r="61" spans="1:13" ht="62.4">
      <c r="A61" s="76"/>
      <c r="B61" s="22"/>
      <c r="C61" s="23"/>
      <c r="D61" s="24"/>
      <c r="E61" s="25"/>
      <c r="F61" s="26"/>
      <c r="G61" s="27"/>
      <c r="H61" s="293"/>
      <c r="I61" s="293"/>
      <c r="J61" s="293"/>
      <c r="K61" s="297"/>
      <c r="L61" s="297"/>
      <c r="M61" s="2"/>
    </row>
    <row r="62" spans="1:13" ht="62.4">
      <c r="A62" s="76"/>
      <c r="B62" s="22"/>
      <c r="C62" s="23"/>
      <c r="D62" s="24"/>
      <c r="E62" s="25"/>
      <c r="F62" s="26"/>
      <c r="G62" s="27"/>
      <c r="H62" s="293"/>
      <c r="I62" s="293"/>
      <c r="J62" s="293"/>
      <c r="K62" s="297"/>
      <c r="L62" s="297"/>
      <c r="M62" s="2"/>
    </row>
    <row r="63" spans="1:13" ht="62.4">
      <c r="A63" s="76"/>
      <c r="B63" s="22"/>
      <c r="C63" s="23"/>
      <c r="D63" s="24"/>
      <c r="E63" s="28"/>
      <c r="F63" s="26"/>
      <c r="G63" s="27"/>
      <c r="H63" s="293"/>
      <c r="I63" s="293"/>
      <c r="J63" s="293"/>
      <c r="K63" s="297"/>
      <c r="L63" s="297"/>
      <c r="M63" s="2"/>
    </row>
    <row r="64" spans="1:13" ht="62.4">
      <c r="A64" s="76"/>
      <c r="B64" s="29"/>
      <c r="C64" s="30"/>
      <c r="D64" s="31"/>
      <c r="E64" s="32"/>
      <c r="F64" s="33"/>
      <c r="G64" s="34"/>
      <c r="H64" s="294"/>
      <c r="I64" s="294"/>
      <c r="J64" s="294"/>
      <c r="K64" s="298"/>
      <c r="L64" s="298"/>
      <c r="M64" s="2"/>
    </row>
    <row r="65" spans="1:13" ht="62.4">
      <c r="A65" s="76"/>
      <c r="B65" s="12" t="s">
        <v>88</v>
      </c>
      <c r="C65" s="13" t="s">
        <v>89</v>
      </c>
      <c r="D65" s="14" t="s">
        <v>14</v>
      </c>
      <c r="E65" s="14">
        <v>1</v>
      </c>
      <c r="F65" s="15">
        <v>229.82</v>
      </c>
      <c r="G65" s="93">
        <f t="shared" si="2"/>
        <v>229.82</v>
      </c>
      <c r="H65" s="295">
        <v>2.0982400000000001</v>
      </c>
      <c r="I65" s="292">
        <f>SUM(G65:G76)</f>
        <v>301.07</v>
      </c>
      <c r="J65" s="292">
        <f>SUM(H65*I65)</f>
        <v>631.71711679999999</v>
      </c>
      <c r="K65" s="296">
        <f>I65 * (1 + H65)</f>
        <v>932.78711680000004</v>
      </c>
      <c r="L65" s="311">
        <f>J65 / K65</f>
        <v>0.67723610824209868</v>
      </c>
      <c r="M65" s="2"/>
    </row>
    <row r="66" spans="1:13" ht="62.4">
      <c r="A66" s="76"/>
      <c r="B66" s="16" t="s">
        <v>15</v>
      </c>
      <c r="C66" s="17" t="s">
        <v>16</v>
      </c>
      <c r="D66" s="18" t="s">
        <v>3</v>
      </c>
      <c r="E66" s="19">
        <v>0</v>
      </c>
      <c r="F66" s="20">
        <v>2.59</v>
      </c>
      <c r="G66" s="21">
        <f t="shared" ref="G66:G71" si="4">SUM(E66*F66)</f>
        <v>0</v>
      </c>
      <c r="H66" s="293"/>
      <c r="I66" s="293"/>
      <c r="J66" s="293"/>
      <c r="K66" s="297"/>
      <c r="L66" s="297"/>
      <c r="M66" s="2"/>
    </row>
    <row r="67" spans="1:13" ht="62.4">
      <c r="A67" s="76"/>
      <c r="B67" s="22" t="s">
        <v>17</v>
      </c>
      <c r="C67" s="23" t="s">
        <v>18</v>
      </c>
      <c r="D67" s="24" t="s">
        <v>19</v>
      </c>
      <c r="E67" s="25">
        <v>4</v>
      </c>
      <c r="F67" s="26">
        <v>13.6</v>
      </c>
      <c r="G67" s="27">
        <f t="shared" si="4"/>
        <v>54.4</v>
      </c>
      <c r="H67" s="293"/>
      <c r="I67" s="293"/>
      <c r="J67" s="293"/>
      <c r="K67" s="297"/>
      <c r="L67" s="297"/>
      <c r="M67" s="2"/>
    </row>
    <row r="68" spans="1:13" ht="62.4">
      <c r="A68" s="76"/>
      <c r="B68" s="22" t="s">
        <v>20</v>
      </c>
      <c r="C68" s="23" t="s">
        <v>2668</v>
      </c>
      <c r="D68" s="24" t="s">
        <v>3</v>
      </c>
      <c r="E68" s="25">
        <v>10</v>
      </c>
      <c r="F68" s="26">
        <v>0.19</v>
      </c>
      <c r="G68" s="27">
        <f t="shared" si="4"/>
        <v>1.9</v>
      </c>
      <c r="H68" s="293"/>
      <c r="I68" s="293"/>
      <c r="J68" s="293"/>
      <c r="K68" s="297"/>
      <c r="L68" s="297"/>
      <c r="M68" s="2"/>
    </row>
    <row r="69" spans="1:13" ht="62.4">
      <c r="A69" s="76"/>
      <c r="B69" s="22" t="s">
        <v>22</v>
      </c>
      <c r="C69" s="23" t="s">
        <v>23</v>
      </c>
      <c r="D69" s="24" t="s">
        <v>3</v>
      </c>
      <c r="E69" s="25">
        <v>10</v>
      </c>
      <c r="F69" s="26">
        <v>0.3</v>
      </c>
      <c r="G69" s="27">
        <f t="shared" si="4"/>
        <v>3</v>
      </c>
      <c r="H69" s="293"/>
      <c r="I69" s="293"/>
      <c r="J69" s="293"/>
      <c r="K69" s="297"/>
      <c r="L69" s="297"/>
      <c r="M69" s="2"/>
    </row>
    <row r="70" spans="1:13" ht="62.4">
      <c r="A70" s="76"/>
      <c r="B70" s="22" t="s">
        <v>24</v>
      </c>
      <c r="C70" s="23" t="s">
        <v>2631</v>
      </c>
      <c r="D70" s="24" t="s">
        <v>3</v>
      </c>
      <c r="E70" s="25">
        <v>0.5</v>
      </c>
      <c r="F70" s="26">
        <v>21.95</v>
      </c>
      <c r="G70" s="27">
        <f t="shared" si="4"/>
        <v>10.975</v>
      </c>
      <c r="H70" s="293"/>
      <c r="I70" s="293"/>
      <c r="J70" s="293"/>
      <c r="K70" s="297"/>
      <c r="L70" s="297"/>
      <c r="M70" s="2"/>
    </row>
    <row r="71" spans="1:13" ht="62.4">
      <c r="A71" s="76"/>
      <c r="B71" s="22" t="s">
        <v>26</v>
      </c>
      <c r="C71" s="23" t="s">
        <v>105</v>
      </c>
      <c r="D71" s="24" t="s">
        <v>3</v>
      </c>
      <c r="E71" s="25">
        <v>150</v>
      </c>
      <c r="F71" s="26">
        <v>6.4999999999999997E-3</v>
      </c>
      <c r="G71" s="27">
        <f t="shared" si="4"/>
        <v>0.97499999999999998</v>
      </c>
      <c r="H71" s="293"/>
      <c r="I71" s="293"/>
      <c r="J71" s="293"/>
      <c r="K71" s="297"/>
      <c r="L71" s="297"/>
      <c r="M71" s="2"/>
    </row>
    <row r="72" spans="1:13" ht="62.4">
      <c r="A72" s="76"/>
      <c r="B72" s="22"/>
      <c r="C72" s="23"/>
      <c r="D72" s="24"/>
      <c r="E72" s="25"/>
      <c r="F72" s="26"/>
      <c r="G72" s="27"/>
      <c r="H72" s="293"/>
      <c r="I72" s="293"/>
      <c r="J72" s="293"/>
      <c r="K72" s="297"/>
      <c r="L72" s="297"/>
      <c r="M72" s="2"/>
    </row>
    <row r="73" spans="1:13" ht="62.4">
      <c r="A73" s="76"/>
      <c r="B73" s="22"/>
      <c r="C73" s="23"/>
      <c r="D73" s="24"/>
      <c r="E73" s="25"/>
      <c r="F73" s="26"/>
      <c r="G73" s="27"/>
      <c r="H73" s="293"/>
      <c r="I73" s="293"/>
      <c r="J73" s="293"/>
      <c r="K73" s="297"/>
      <c r="L73" s="297"/>
      <c r="M73" s="2"/>
    </row>
    <row r="74" spans="1:13" ht="62.4">
      <c r="A74" s="76"/>
      <c r="B74" s="22"/>
      <c r="C74" s="23"/>
      <c r="D74" s="24"/>
      <c r="E74" s="25"/>
      <c r="F74" s="26"/>
      <c r="G74" s="27"/>
      <c r="H74" s="293"/>
      <c r="I74" s="293"/>
      <c r="J74" s="293"/>
      <c r="K74" s="297"/>
      <c r="L74" s="297"/>
      <c r="M74" s="2"/>
    </row>
    <row r="75" spans="1:13" ht="62.4">
      <c r="A75" s="76"/>
      <c r="B75" s="22"/>
      <c r="C75" s="23"/>
      <c r="D75" s="24"/>
      <c r="E75" s="28"/>
      <c r="F75" s="26"/>
      <c r="G75" s="27"/>
      <c r="H75" s="293"/>
      <c r="I75" s="293"/>
      <c r="J75" s="293"/>
      <c r="K75" s="297"/>
      <c r="L75" s="297"/>
      <c r="M75" s="2"/>
    </row>
    <row r="76" spans="1:13" ht="62.4">
      <c r="A76" s="76"/>
      <c r="B76" s="29"/>
      <c r="C76" s="30"/>
      <c r="D76" s="31"/>
      <c r="E76" s="32"/>
      <c r="F76" s="33"/>
      <c r="G76" s="34"/>
      <c r="H76" s="294"/>
      <c r="I76" s="294"/>
      <c r="J76" s="294"/>
      <c r="K76" s="298"/>
      <c r="L76" s="298"/>
      <c r="M76" s="2"/>
    </row>
    <row r="77" spans="1:13" ht="62.4">
      <c r="A77" s="76"/>
      <c r="B77" s="12"/>
      <c r="C77" s="13"/>
      <c r="D77" s="14" t="s">
        <v>14</v>
      </c>
      <c r="E77" s="14">
        <v>1</v>
      </c>
      <c r="F77" s="15">
        <v>229.82</v>
      </c>
      <c r="G77" s="93">
        <f t="shared" si="2"/>
        <v>229.82</v>
      </c>
      <c r="H77" s="295">
        <v>2.0982400000000001</v>
      </c>
      <c r="I77" s="292">
        <f>SUM(G77:G88)</f>
        <v>301.07</v>
      </c>
      <c r="J77" s="292">
        <f>SUM(H77*I77)</f>
        <v>631.71711679999999</v>
      </c>
      <c r="K77" s="296">
        <f>I77 * (1 + H77)</f>
        <v>932.78711680000004</v>
      </c>
      <c r="L77" s="311">
        <f>J77 / K77</f>
        <v>0.67723610824209868</v>
      </c>
      <c r="M77" s="2"/>
    </row>
    <row r="78" spans="1:13" ht="62.4">
      <c r="A78" s="76"/>
      <c r="B78" s="16" t="s">
        <v>15</v>
      </c>
      <c r="C78" s="17" t="s">
        <v>16</v>
      </c>
      <c r="D78" s="18" t="s">
        <v>3</v>
      </c>
      <c r="E78" s="19">
        <v>0</v>
      </c>
      <c r="F78" s="20">
        <v>2.59</v>
      </c>
      <c r="G78" s="21">
        <f t="shared" ref="G78:G83" si="5">SUM(E78*F78)</f>
        <v>0</v>
      </c>
      <c r="H78" s="293"/>
      <c r="I78" s="293"/>
      <c r="J78" s="293"/>
      <c r="K78" s="297"/>
      <c r="L78" s="297"/>
      <c r="M78" s="2"/>
    </row>
    <row r="79" spans="1:13" ht="62.4">
      <c r="A79" s="76"/>
      <c r="B79" s="22" t="s">
        <v>17</v>
      </c>
      <c r="C79" s="23" t="s">
        <v>18</v>
      </c>
      <c r="D79" s="24" t="s">
        <v>19</v>
      </c>
      <c r="E79" s="25">
        <v>4</v>
      </c>
      <c r="F79" s="26">
        <v>13.6</v>
      </c>
      <c r="G79" s="27">
        <f t="shared" si="5"/>
        <v>54.4</v>
      </c>
      <c r="H79" s="293"/>
      <c r="I79" s="293"/>
      <c r="J79" s="293"/>
      <c r="K79" s="297"/>
      <c r="L79" s="297"/>
      <c r="M79" s="2"/>
    </row>
    <row r="80" spans="1:13" ht="62.4">
      <c r="A80" s="76"/>
      <c r="B80" s="22" t="s">
        <v>20</v>
      </c>
      <c r="C80" s="23" t="s">
        <v>2668</v>
      </c>
      <c r="D80" s="24" t="s">
        <v>3</v>
      </c>
      <c r="E80" s="25">
        <v>10</v>
      </c>
      <c r="F80" s="26">
        <v>0.19</v>
      </c>
      <c r="G80" s="27">
        <f t="shared" si="5"/>
        <v>1.9</v>
      </c>
      <c r="H80" s="293"/>
      <c r="I80" s="293"/>
      <c r="J80" s="293"/>
      <c r="K80" s="297"/>
      <c r="L80" s="297"/>
      <c r="M80" s="2"/>
    </row>
    <row r="81" spans="1:13" ht="62.4">
      <c r="A81" s="76"/>
      <c r="B81" s="22" t="s">
        <v>22</v>
      </c>
      <c r="C81" s="23" t="s">
        <v>23</v>
      </c>
      <c r="D81" s="24" t="s">
        <v>3</v>
      </c>
      <c r="E81" s="25">
        <v>10</v>
      </c>
      <c r="F81" s="26">
        <v>0.3</v>
      </c>
      <c r="G81" s="27">
        <f t="shared" si="5"/>
        <v>3</v>
      </c>
      <c r="H81" s="293"/>
      <c r="I81" s="293"/>
      <c r="J81" s="293"/>
      <c r="K81" s="297"/>
      <c r="L81" s="297"/>
      <c r="M81" s="2"/>
    </row>
    <row r="82" spans="1:13" ht="62.4">
      <c r="A82" s="76"/>
      <c r="B82" s="22" t="s">
        <v>24</v>
      </c>
      <c r="C82" s="23" t="s">
        <v>2631</v>
      </c>
      <c r="D82" s="24" t="s">
        <v>3</v>
      </c>
      <c r="E82" s="25">
        <v>0.5</v>
      </c>
      <c r="F82" s="26">
        <v>21.95</v>
      </c>
      <c r="G82" s="27">
        <f t="shared" si="5"/>
        <v>10.975</v>
      </c>
      <c r="H82" s="293"/>
      <c r="I82" s="293"/>
      <c r="J82" s="293"/>
      <c r="K82" s="297"/>
      <c r="L82" s="297"/>
      <c r="M82" s="2"/>
    </row>
    <row r="83" spans="1:13" ht="62.4">
      <c r="A83" s="76"/>
      <c r="B83" s="22" t="s">
        <v>26</v>
      </c>
      <c r="C83" s="23" t="s">
        <v>105</v>
      </c>
      <c r="D83" s="24" t="s">
        <v>3</v>
      </c>
      <c r="E83" s="25">
        <v>150</v>
      </c>
      <c r="F83" s="26">
        <v>6.4999999999999997E-3</v>
      </c>
      <c r="G83" s="27">
        <f t="shared" si="5"/>
        <v>0.97499999999999998</v>
      </c>
      <c r="H83" s="293"/>
      <c r="I83" s="293"/>
      <c r="J83" s="293"/>
      <c r="K83" s="297"/>
      <c r="L83" s="297"/>
      <c r="M83" s="2"/>
    </row>
    <row r="84" spans="1:13" ht="62.4">
      <c r="A84" s="76"/>
      <c r="B84" s="22"/>
      <c r="C84" s="23"/>
      <c r="D84" s="24"/>
      <c r="E84" s="25"/>
      <c r="F84" s="26"/>
      <c r="G84" s="27"/>
      <c r="H84" s="293"/>
      <c r="I84" s="293"/>
      <c r="J84" s="293"/>
      <c r="K84" s="297"/>
      <c r="L84" s="297"/>
      <c r="M84" s="2"/>
    </row>
    <row r="85" spans="1:13" ht="62.4">
      <c r="A85" s="76"/>
      <c r="B85" s="22"/>
      <c r="C85" s="23"/>
      <c r="D85" s="24"/>
      <c r="E85" s="25"/>
      <c r="F85" s="26"/>
      <c r="G85" s="27"/>
      <c r="H85" s="293"/>
      <c r="I85" s="293"/>
      <c r="J85" s="293"/>
      <c r="K85" s="297"/>
      <c r="L85" s="297"/>
      <c r="M85" s="2"/>
    </row>
    <row r="86" spans="1:13" ht="62.4">
      <c r="A86" s="76"/>
      <c r="B86" s="22"/>
      <c r="C86" s="23"/>
      <c r="D86" s="24"/>
      <c r="E86" s="25"/>
      <c r="F86" s="26"/>
      <c r="G86" s="27"/>
      <c r="H86" s="293"/>
      <c r="I86" s="293"/>
      <c r="J86" s="293"/>
      <c r="K86" s="297"/>
      <c r="L86" s="297"/>
      <c r="M86" s="2"/>
    </row>
    <row r="87" spans="1:13" ht="62.4">
      <c r="A87" s="76"/>
      <c r="B87" s="22"/>
      <c r="C87" s="23"/>
      <c r="D87" s="24"/>
      <c r="E87" s="28"/>
      <c r="F87" s="26"/>
      <c r="G87" s="27"/>
      <c r="H87" s="293"/>
      <c r="I87" s="293"/>
      <c r="J87" s="293"/>
      <c r="K87" s="297"/>
      <c r="L87" s="297"/>
      <c r="M87" s="2"/>
    </row>
    <row r="88" spans="1:13" ht="62.4">
      <c r="A88" s="76"/>
      <c r="B88" s="29"/>
      <c r="C88" s="30"/>
      <c r="D88" s="31"/>
      <c r="E88" s="32"/>
      <c r="F88" s="33"/>
      <c r="G88" s="34"/>
      <c r="H88" s="294"/>
      <c r="I88" s="294"/>
      <c r="J88" s="294"/>
      <c r="K88" s="298"/>
      <c r="L88" s="298"/>
      <c r="M88" s="2"/>
    </row>
    <row r="89" spans="1:13" ht="18">
      <c r="A89" s="76"/>
      <c r="B89" s="36"/>
      <c r="C89" s="37"/>
      <c r="D89" s="95"/>
      <c r="E89" s="96"/>
      <c r="F89" s="97"/>
      <c r="G89" s="41"/>
      <c r="H89" s="43"/>
      <c r="I89" s="43"/>
      <c r="J89" s="43"/>
      <c r="K89" s="43"/>
      <c r="L89" s="43"/>
      <c r="M89" s="43"/>
    </row>
    <row r="90" spans="1:13" ht="18">
      <c r="A90" s="76"/>
      <c r="B90" s="36"/>
      <c r="C90" s="37"/>
      <c r="D90" s="95"/>
      <c r="E90" s="96"/>
      <c r="F90" s="97"/>
      <c r="G90" s="41"/>
      <c r="H90" s="43"/>
      <c r="I90" s="43"/>
      <c r="J90" s="43"/>
      <c r="K90" s="43"/>
      <c r="L90" s="43"/>
      <c r="M90" s="43"/>
    </row>
    <row r="91" spans="1:13" ht="18">
      <c r="A91" s="76"/>
      <c r="B91" s="36"/>
      <c r="C91" s="37"/>
      <c r="D91" s="95"/>
      <c r="E91" s="96"/>
      <c r="F91" s="97"/>
      <c r="G91" s="41"/>
      <c r="H91" s="43"/>
      <c r="I91" s="43"/>
      <c r="J91" s="43"/>
      <c r="K91" s="43"/>
      <c r="L91" s="43"/>
      <c r="M91" s="43"/>
    </row>
    <row r="92" spans="1:13" ht="18">
      <c r="A92" s="76"/>
      <c r="B92" s="36"/>
      <c r="C92" s="37"/>
      <c r="D92" s="95"/>
      <c r="E92" s="96"/>
      <c r="F92" s="97"/>
      <c r="G92" s="41"/>
      <c r="H92" s="43"/>
      <c r="I92" s="43"/>
      <c r="J92" s="43"/>
      <c r="K92" s="43"/>
      <c r="L92" s="43"/>
      <c r="M92" s="43"/>
    </row>
    <row r="93" spans="1:13" ht="18">
      <c r="A93" s="76"/>
      <c r="B93" s="36"/>
      <c r="C93" s="37"/>
      <c r="D93" s="95"/>
      <c r="E93" s="96"/>
      <c r="F93" s="97"/>
      <c r="G93" s="41"/>
      <c r="H93" s="43"/>
      <c r="I93" s="43"/>
      <c r="J93" s="43"/>
      <c r="K93" s="43"/>
      <c r="L93" s="43"/>
      <c r="M93" s="43"/>
    </row>
    <row r="94" spans="1:13" ht="18">
      <c r="A94" s="76"/>
      <c r="B94" s="36"/>
      <c r="C94" s="37"/>
      <c r="D94" s="95"/>
      <c r="E94" s="96"/>
      <c r="F94" s="97"/>
      <c r="G94" s="41"/>
      <c r="H94" s="43"/>
      <c r="I94" s="43"/>
      <c r="J94" s="43"/>
      <c r="K94" s="43"/>
      <c r="L94" s="43"/>
      <c r="M94" s="43"/>
    </row>
    <row r="95" spans="1:13" ht="18">
      <c r="A95" s="76"/>
      <c r="B95" s="36"/>
      <c r="C95" s="37"/>
      <c r="D95" s="95"/>
      <c r="E95" s="96"/>
      <c r="F95" s="97"/>
      <c r="G95" s="41"/>
      <c r="H95" s="43"/>
      <c r="I95" s="43"/>
      <c r="J95" s="43"/>
      <c r="K95" s="43"/>
      <c r="L95" s="43"/>
      <c r="M95" s="43"/>
    </row>
    <row r="96" spans="1:13" ht="18">
      <c r="A96" s="76"/>
      <c r="B96" s="36"/>
      <c r="C96" s="37"/>
      <c r="D96" s="95"/>
      <c r="E96" s="96"/>
      <c r="F96" s="97"/>
      <c r="G96" s="41"/>
      <c r="H96" s="43"/>
      <c r="I96" s="43"/>
      <c r="J96" s="43"/>
      <c r="K96" s="43"/>
      <c r="L96" s="43"/>
      <c r="M96" s="43"/>
    </row>
    <row r="97" spans="1:13" ht="18">
      <c r="A97" s="76"/>
      <c r="B97" s="36"/>
      <c r="C97" s="37"/>
      <c r="D97" s="95"/>
      <c r="E97" s="96"/>
      <c r="F97" s="97"/>
      <c r="G97" s="41"/>
      <c r="H97" s="43"/>
      <c r="I97" s="43"/>
      <c r="J97" s="43"/>
      <c r="K97" s="43"/>
      <c r="L97" s="43"/>
      <c r="M97" s="43"/>
    </row>
    <row r="98" spans="1:13" ht="18">
      <c r="A98" s="76"/>
      <c r="B98" s="36"/>
      <c r="C98" s="37"/>
      <c r="D98" s="95"/>
      <c r="E98" s="96"/>
      <c r="F98" s="97"/>
      <c r="G98" s="41"/>
      <c r="H98" s="43"/>
      <c r="I98" s="43"/>
      <c r="J98" s="43"/>
      <c r="K98" s="43"/>
      <c r="L98" s="43"/>
      <c r="M98" s="43"/>
    </row>
    <row r="99" spans="1:13" ht="18">
      <c r="A99" s="76"/>
      <c r="B99" s="36"/>
      <c r="C99" s="37"/>
      <c r="D99" s="95"/>
      <c r="E99" s="96"/>
      <c r="F99" s="97"/>
      <c r="G99" s="41"/>
      <c r="H99" s="43"/>
      <c r="I99" s="43"/>
      <c r="J99" s="43"/>
      <c r="K99" s="43"/>
      <c r="L99" s="43"/>
      <c r="M99" s="43"/>
    </row>
    <row r="100" spans="1:13" ht="18">
      <c r="A100" s="76"/>
      <c r="B100" s="36"/>
      <c r="C100" s="37"/>
      <c r="D100" s="95"/>
      <c r="E100" s="96"/>
      <c r="F100" s="97"/>
      <c r="G100" s="41"/>
      <c r="H100" s="43"/>
      <c r="I100" s="43"/>
      <c r="J100" s="43"/>
      <c r="K100" s="43"/>
      <c r="L100" s="43"/>
      <c r="M100" s="43"/>
    </row>
    <row r="101" spans="1:13" ht="18">
      <c r="A101" s="76"/>
      <c r="B101" s="36"/>
      <c r="C101" s="37"/>
      <c r="D101" s="95"/>
      <c r="E101" s="96"/>
      <c r="F101" s="97"/>
      <c r="G101" s="41"/>
      <c r="H101" s="43"/>
      <c r="I101" s="43"/>
      <c r="J101" s="43"/>
      <c r="K101" s="43"/>
      <c r="L101" s="43"/>
      <c r="M101" s="43"/>
    </row>
    <row r="102" spans="1:13" ht="18">
      <c r="A102" s="76"/>
      <c r="B102" s="36"/>
      <c r="C102" s="37"/>
      <c r="D102" s="95"/>
      <c r="E102" s="96"/>
      <c r="F102" s="97"/>
      <c r="G102" s="41"/>
      <c r="H102" s="43"/>
      <c r="I102" s="43"/>
      <c r="J102" s="43"/>
      <c r="K102" s="43"/>
      <c r="L102" s="43"/>
      <c r="M102" s="43"/>
    </row>
    <row r="103" spans="1:13" ht="18">
      <c r="A103" s="76"/>
      <c r="B103" s="36"/>
      <c r="C103" s="37"/>
      <c r="D103" s="95"/>
      <c r="E103" s="96"/>
      <c r="F103" s="97"/>
      <c r="G103" s="41"/>
      <c r="H103" s="43"/>
      <c r="I103" s="43"/>
      <c r="J103" s="43"/>
      <c r="K103" s="43"/>
      <c r="L103" s="43"/>
      <c r="M103" s="43"/>
    </row>
    <row r="104" spans="1:13" ht="18">
      <c r="A104" s="76"/>
      <c r="B104" s="36"/>
      <c r="C104" s="37"/>
      <c r="D104" s="95"/>
      <c r="E104" s="96"/>
      <c r="F104" s="97"/>
      <c r="G104" s="41"/>
      <c r="H104" s="43"/>
      <c r="I104" s="43"/>
      <c r="J104" s="43"/>
      <c r="K104" s="43"/>
      <c r="L104" s="43"/>
      <c r="M104" s="43"/>
    </row>
    <row r="105" spans="1:13" ht="18">
      <c r="A105" s="76"/>
      <c r="B105" s="36"/>
      <c r="C105" s="37"/>
      <c r="D105" s="95"/>
      <c r="E105" s="96"/>
      <c r="F105" s="97"/>
      <c r="G105" s="41"/>
      <c r="H105" s="43"/>
      <c r="I105" s="43"/>
      <c r="J105" s="43"/>
      <c r="K105" s="43"/>
      <c r="L105" s="43"/>
      <c r="M105" s="43"/>
    </row>
    <row r="106" spans="1:13" ht="18">
      <c r="A106" s="76"/>
      <c r="B106" s="36"/>
      <c r="C106" s="37"/>
      <c r="D106" s="95"/>
      <c r="E106" s="96"/>
      <c r="F106" s="97"/>
      <c r="G106" s="41"/>
      <c r="H106" s="43"/>
      <c r="I106" s="43"/>
      <c r="J106" s="43"/>
      <c r="K106" s="43"/>
      <c r="L106" s="43"/>
      <c r="M106" s="43"/>
    </row>
    <row r="107" spans="1:13" ht="18">
      <c r="A107" s="76"/>
      <c r="B107" s="36"/>
      <c r="C107" s="37"/>
      <c r="D107" s="95"/>
      <c r="E107" s="96"/>
      <c r="F107" s="97"/>
      <c r="G107" s="41"/>
      <c r="H107" s="43"/>
      <c r="I107" s="43"/>
      <c r="J107" s="43"/>
      <c r="K107" s="43"/>
      <c r="L107" s="43"/>
      <c r="M107" s="43"/>
    </row>
    <row r="108" spans="1:13" ht="18">
      <c r="A108" s="76"/>
      <c r="B108" s="36"/>
      <c r="C108" s="37"/>
      <c r="D108" s="95"/>
      <c r="E108" s="96"/>
      <c r="F108" s="97"/>
      <c r="G108" s="41"/>
      <c r="H108" s="43"/>
      <c r="I108" s="43"/>
      <c r="J108" s="43"/>
      <c r="K108" s="43"/>
      <c r="L108" s="43"/>
      <c r="M108" s="43"/>
    </row>
    <row r="109" spans="1:13" ht="18">
      <c r="A109" s="76"/>
      <c r="B109" s="36"/>
      <c r="C109" s="37"/>
      <c r="D109" s="95"/>
      <c r="E109" s="96"/>
      <c r="F109" s="97"/>
      <c r="G109" s="41"/>
      <c r="H109" s="43"/>
      <c r="I109" s="43"/>
      <c r="J109" s="43"/>
      <c r="K109" s="43"/>
      <c r="L109" s="43"/>
      <c r="M109" s="43"/>
    </row>
    <row r="110" spans="1:13" ht="18">
      <c r="A110" s="76"/>
      <c r="B110" s="36"/>
      <c r="C110" s="37"/>
      <c r="D110" s="95"/>
      <c r="E110" s="96"/>
      <c r="F110" s="97"/>
      <c r="G110" s="41"/>
      <c r="H110" s="43"/>
      <c r="I110" s="43"/>
      <c r="J110" s="43"/>
      <c r="K110" s="43"/>
      <c r="L110" s="43"/>
      <c r="M110" s="43"/>
    </row>
    <row r="111" spans="1:13" ht="18">
      <c r="A111" s="76"/>
      <c r="B111" s="36"/>
      <c r="C111" s="37"/>
      <c r="D111" s="95"/>
      <c r="E111" s="96"/>
      <c r="F111" s="97"/>
      <c r="G111" s="41"/>
      <c r="H111" s="43"/>
      <c r="I111" s="43"/>
      <c r="J111" s="43"/>
      <c r="K111" s="43"/>
      <c r="L111" s="43"/>
      <c r="M111" s="43"/>
    </row>
    <row r="112" spans="1:13" ht="18">
      <c r="A112" s="76"/>
      <c r="B112" s="36"/>
      <c r="C112" s="37"/>
      <c r="D112" s="95"/>
      <c r="E112" s="96"/>
      <c r="F112" s="97"/>
      <c r="G112" s="41"/>
      <c r="H112" s="43"/>
      <c r="I112" s="43"/>
      <c r="J112" s="43"/>
      <c r="K112" s="43"/>
      <c r="L112" s="43"/>
      <c r="M112" s="43"/>
    </row>
    <row r="113" spans="1:13" ht="18">
      <c r="A113" s="76"/>
      <c r="B113" s="36"/>
      <c r="C113" s="37"/>
      <c r="D113" s="95"/>
      <c r="E113" s="96"/>
      <c r="F113" s="97"/>
      <c r="G113" s="41"/>
      <c r="H113" s="43"/>
      <c r="I113" s="43"/>
      <c r="J113" s="43"/>
      <c r="K113" s="43"/>
      <c r="L113" s="43"/>
      <c r="M113" s="43"/>
    </row>
    <row r="114" spans="1:13" ht="18">
      <c r="A114" s="76"/>
      <c r="B114" s="36"/>
      <c r="C114" s="37"/>
      <c r="D114" s="95"/>
      <c r="E114" s="96"/>
      <c r="F114" s="97"/>
      <c r="G114" s="41"/>
      <c r="H114" s="43"/>
      <c r="I114" s="43"/>
      <c r="J114" s="43"/>
      <c r="K114" s="43"/>
      <c r="L114" s="43"/>
      <c r="M114" s="43"/>
    </row>
    <row r="115" spans="1:13" ht="18">
      <c r="A115" s="76"/>
      <c r="B115" s="36"/>
      <c r="C115" s="37"/>
      <c r="D115" s="95"/>
      <c r="E115" s="96"/>
      <c r="F115" s="97"/>
      <c r="G115" s="41"/>
      <c r="H115" s="43"/>
      <c r="I115" s="43"/>
      <c r="J115" s="43"/>
      <c r="K115" s="43"/>
      <c r="L115" s="43"/>
      <c r="M115" s="43"/>
    </row>
    <row r="116" spans="1:13" ht="18">
      <c r="A116" s="76"/>
      <c r="B116" s="36"/>
      <c r="C116" s="37"/>
      <c r="D116" s="95"/>
      <c r="E116" s="96"/>
      <c r="F116" s="97"/>
      <c r="G116" s="41"/>
      <c r="H116" s="43"/>
      <c r="I116" s="43"/>
      <c r="J116" s="43"/>
      <c r="K116" s="43"/>
      <c r="L116" s="43"/>
      <c r="M116" s="43"/>
    </row>
    <row r="117" spans="1:13" ht="18">
      <c r="A117" s="76"/>
      <c r="B117" s="36"/>
      <c r="C117" s="37"/>
      <c r="D117" s="95"/>
      <c r="E117" s="96"/>
      <c r="F117" s="97"/>
      <c r="G117" s="41"/>
      <c r="H117" s="43"/>
      <c r="I117" s="43"/>
      <c r="J117" s="43"/>
      <c r="K117" s="43"/>
      <c r="L117" s="43"/>
      <c r="M117" s="43"/>
    </row>
    <row r="118" spans="1:13" ht="18">
      <c r="A118" s="76"/>
      <c r="B118" s="36"/>
      <c r="C118" s="37"/>
      <c r="D118" s="95"/>
      <c r="E118" s="96"/>
      <c r="F118" s="97"/>
      <c r="G118" s="41"/>
      <c r="H118" s="43"/>
      <c r="I118" s="43"/>
      <c r="J118" s="43"/>
      <c r="K118" s="43"/>
      <c r="L118" s="43"/>
      <c r="M118" s="43"/>
    </row>
    <row r="119" spans="1:13" ht="18">
      <c r="A119" s="76"/>
      <c r="B119" s="36"/>
      <c r="C119" s="37"/>
      <c r="D119" s="95"/>
      <c r="E119" s="96"/>
      <c r="F119" s="97"/>
      <c r="G119" s="41"/>
      <c r="H119" s="43"/>
      <c r="I119" s="43"/>
      <c r="J119" s="43"/>
      <c r="K119" s="43"/>
      <c r="L119" s="43"/>
      <c r="M119" s="43"/>
    </row>
    <row r="120" spans="1:13" ht="18">
      <c r="A120" s="76"/>
      <c r="B120" s="36"/>
      <c r="C120" s="37"/>
      <c r="D120" s="95"/>
      <c r="E120" s="96"/>
      <c r="F120" s="97"/>
      <c r="G120" s="41"/>
      <c r="H120" s="43"/>
      <c r="I120" s="43"/>
      <c r="J120" s="43"/>
      <c r="K120" s="43"/>
      <c r="L120" s="43"/>
      <c r="M120" s="43"/>
    </row>
    <row r="121" spans="1:13" ht="18">
      <c r="A121" s="76"/>
      <c r="B121" s="36"/>
      <c r="C121" s="37"/>
      <c r="D121" s="95"/>
      <c r="E121" s="96"/>
      <c r="F121" s="97"/>
      <c r="G121" s="41"/>
      <c r="H121" s="43"/>
      <c r="I121" s="43"/>
      <c r="J121" s="43"/>
      <c r="K121" s="43"/>
      <c r="L121" s="43"/>
      <c r="M121" s="43"/>
    </row>
    <row r="122" spans="1:13" ht="18">
      <c r="A122" s="76"/>
      <c r="B122" s="36"/>
      <c r="C122" s="37"/>
      <c r="D122" s="95"/>
      <c r="E122" s="96"/>
      <c r="F122" s="97"/>
      <c r="G122" s="41"/>
      <c r="H122" s="43"/>
      <c r="I122" s="43"/>
      <c r="J122" s="43"/>
      <c r="K122" s="43"/>
      <c r="L122" s="43"/>
      <c r="M122" s="43"/>
    </row>
    <row r="123" spans="1:13" ht="18">
      <c r="A123" s="76"/>
      <c r="B123" s="36"/>
      <c r="C123" s="37"/>
      <c r="D123" s="95"/>
      <c r="E123" s="96"/>
      <c r="F123" s="97"/>
      <c r="G123" s="41"/>
      <c r="H123" s="43"/>
      <c r="I123" s="43"/>
      <c r="J123" s="43"/>
      <c r="K123" s="43"/>
      <c r="L123" s="43"/>
      <c r="M123" s="43"/>
    </row>
    <row r="124" spans="1:13" ht="18">
      <c r="A124" s="76"/>
      <c r="B124" s="36"/>
      <c r="C124" s="37"/>
      <c r="D124" s="95"/>
      <c r="E124" s="96"/>
      <c r="F124" s="97"/>
      <c r="G124" s="41"/>
      <c r="H124" s="43"/>
      <c r="I124" s="43"/>
      <c r="J124" s="43"/>
      <c r="K124" s="43"/>
      <c r="L124" s="43"/>
      <c r="M124" s="43"/>
    </row>
    <row r="125" spans="1:13" ht="18">
      <c r="A125" s="76"/>
      <c r="B125" s="36"/>
      <c r="C125" s="37"/>
      <c r="D125" s="95"/>
      <c r="E125" s="96"/>
      <c r="F125" s="97"/>
      <c r="G125" s="41"/>
      <c r="H125" s="43"/>
      <c r="I125" s="43"/>
      <c r="J125" s="43"/>
      <c r="K125" s="43"/>
      <c r="L125" s="43"/>
      <c r="M125" s="43"/>
    </row>
    <row r="126" spans="1:13" ht="18">
      <c r="A126" s="76"/>
      <c r="B126" s="36"/>
      <c r="C126" s="37"/>
      <c r="D126" s="95"/>
      <c r="E126" s="96"/>
      <c r="F126" s="97"/>
      <c r="G126" s="41"/>
      <c r="H126" s="43"/>
      <c r="I126" s="43"/>
      <c r="J126" s="43"/>
      <c r="K126" s="43"/>
      <c r="L126" s="43"/>
      <c r="M126" s="43"/>
    </row>
    <row r="127" spans="1:13" ht="18">
      <c r="A127" s="76"/>
      <c r="B127" s="36"/>
      <c r="C127" s="37"/>
      <c r="D127" s="95"/>
      <c r="E127" s="96"/>
      <c r="F127" s="97"/>
      <c r="G127" s="41"/>
      <c r="H127" s="43"/>
      <c r="I127" s="43"/>
      <c r="J127" s="43"/>
      <c r="K127" s="43"/>
      <c r="L127" s="43"/>
      <c r="M127" s="43"/>
    </row>
    <row r="128" spans="1:13" ht="18">
      <c r="A128" s="76"/>
      <c r="B128" s="36"/>
      <c r="C128" s="37"/>
      <c r="D128" s="95"/>
      <c r="E128" s="96"/>
      <c r="F128" s="97"/>
      <c r="G128" s="41"/>
      <c r="H128" s="43"/>
      <c r="I128" s="43"/>
      <c r="J128" s="43"/>
      <c r="K128" s="43"/>
      <c r="L128" s="43"/>
      <c r="M128" s="43"/>
    </row>
    <row r="129" spans="1:13" ht="18">
      <c r="A129" s="76"/>
      <c r="B129" s="36"/>
      <c r="C129" s="37"/>
      <c r="D129" s="95"/>
      <c r="E129" s="96"/>
      <c r="F129" s="97"/>
      <c r="G129" s="41"/>
      <c r="H129" s="43"/>
      <c r="I129" s="43"/>
      <c r="J129" s="43"/>
      <c r="K129" s="43"/>
      <c r="L129" s="43"/>
      <c r="M129" s="43"/>
    </row>
    <row r="130" spans="1:13" ht="18">
      <c r="A130" s="76"/>
      <c r="B130" s="36"/>
      <c r="C130" s="37"/>
      <c r="D130" s="95"/>
      <c r="E130" s="96"/>
      <c r="F130" s="97"/>
      <c r="G130" s="41"/>
      <c r="H130" s="43"/>
      <c r="I130" s="43"/>
      <c r="J130" s="43"/>
      <c r="K130" s="43"/>
      <c r="L130" s="43"/>
      <c r="M130" s="43"/>
    </row>
    <row r="131" spans="1:13" ht="18">
      <c r="A131" s="76"/>
      <c r="B131" s="36"/>
      <c r="C131" s="37"/>
      <c r="D131" s="95"/>
      <c r="E131" s="96"/>
      <c r="F131" s="97"/>
      <c r="G131" s="41"/>
      <c r="H131" s="43"/>
      <c r="I131" s="43"/>
      <c r="J131" s="43"/>
      <c r="K131" s="43"/>
      <c r="L131" s="43"/>
      <c r="M131" s="43"/>
    </row>
    <row r="132" spans="1:13" ht="18">
      <c r="A132" s="76"/>
      <c r="B132" s="36"/>
      <c r="C132" s="37"/>
      <c r="D132" s="95"/>
      <c r="E132" s="96"/>
      <c r="F132" s="97"/>
      <c r="G132" s="41"/>
      <c r="H132" s="43"/>
      <c r="I132" s="43"/>
      <c r="J132" s="43"/>
      <c r="K132" s="43"/>
      <c r="L132" s="43"/>
      <c r="M132" s="43"/>
    </row>
    <row r="133" spans="1:13" ht="18">
      <c r="A133" s="76"/>
      <c r="B133" s="36"/>
      <c r="C133" s="37"/>
      <c r="D133" s="95"/>
      <c r="E133" s="96"/>
      <c r="F133" s="97"/>
      <c r="G133" s="41"/>
      <c r="H133" s="43"/>
      <c r="I133" s="43"/>
      <c r="J133" s="43"/>
      <c r="K133" s="43"/>
      <c r="L133" s="43"/>
      <c r="M133" s="43"/>
    </row>
    <row r="134" spans="1:13" ht="18">
      <c r="A134" s="76"/>
      <c r="B134" s="36"/>
      <c r="C134" s="37"/>
      <c r="D134" s="95"/>
      <c r="E134" s="96"/>
      <c r="F134" s="97"/>
      <c r="G134" s="41"/>
      <c r="H134" s="43"/>
      <c r="I134" s="43"/>
      <c r="J134" s="43"/>
      <c r="K134" s="43"/>
      <c r="L134" s="43"/>
      <c r="M134" s="43"/>
    </row>
    <row r="135" spans="1:13" ht="18">
      <c r="A135" s="76"/>
      <c r="B135" s="36"/>
      <c r="C135" s="37"/>
      <c r="D135" s="95"/>
      <c r="E135" s="96"/>
      <c r="F135" s="97"/>
      <c r="G135" s="41"/>
      <c r="H135" s="43"/>
      <c r="I135" s="43"/>
      <c r="J135" s="43"/>
      <c r="K135" s="43"/>
      <c r="L135" s="43"/>
      <c r="M135" s="43"/>
    </row>
    <row r="136" spans="1:13" ht="18">
      <c r="A136" s="76"/>
      <c r="B136" s="36"/>
      <c r="C136" s="37"/>
      <c r="D136" s="95"/>
      <c r="E136" s="96"/>
      <c r="F136" s="97"/>
      <c r="G136" s="41"/>
      <c r="H136" s="43"/>
      <c r="I136" s="43"/>
      <c r="J136" s="43"/>
      <c r="K136" s="43"/>
      <c r="L136" s="43"/>
      <c r="M136" s="43"/>
    </row>
    <row r="137" spans="1:13" ht="18">
      <c r="A137" s="76"/>
      <c r="B137" s="36"/>
      <c r="C137" s="37"/>
      <c r="D137" s="95"/>
      <c r="E137" s="96"/>
      <c r="F137" s="97"/>
      <c r="G137" s="41"/>
      <c r="H137" s="43"/>
      <c r="I137" s="43"/>
      <c r="J137" s="43"/>
      <c r="K137" s="43"/>
      <c r="L137" s="43"/>
      <c r="M137" s="43"/>
    </row>
    <row r="138" spans="1:13" ht="18">
      <c r="A138" s="76"/>
      <c r="B138" s="36"/>
      <c r="C138" s="37"/>
      <c r="D138" s="95"/>
      <c r="E138" s="96"/>
      <c r="F138" s="97"/>
      <c r="G138" s="41"/>
      <c r="H138" s="43"/>
      <c r="I138" s="43"/>
      <c r="J138" s="43"/>
      <c r="K138" s="43"/>
      <c r="L138" s="43"/>
      <c r="M138" s="43"/>
    </row>
    <row r="139" spans="1:13" ht="18">
      <c r="A139" s="76"/>
      <c r="B139" s="36"/>
      <c r="C139" s="37"/>
      <c r="D139" s="95"/>
      <c r="E139" s="96"/>
      <c r="F139" s="97"/>
      <c r="G139" s="41"/>
      <c r="H139" s="43"/>
      <c r="I139" s="43"/>
      <c r="J139" s="43"/>
      <c r="K139" s="43"/>
      <c r="L139" s="43"/>
      <c r="M139" s="43"/>
    </row>
    <row r="140" spans="1:13" ht="18">
      <c r="A140" s="76"/>
      <c r="B140" s="36"/>
      <c r="C140" s="37"/>
      <c r="D140" s="95"/>
      <c r="E140" s="96"/>
      <c r="F140" s="97"/>
      <c r="G140" s="41"/>
      <c r="H140" s="43"/>
      <c r="I140" s="43"/>
      <c r="J140" s="43"/>
      <c r="K140" s="43"/>
      <c r="L140" s="43"/>
      <c r="M140" s="43"/>
    </row>
    <row r="141" spans="1:13" ht="18">
      <c r="A141" s="76"/>
      <c r="B141" s="36"/>
      <c r="C141" s="37"/>
      <c r="D141" s="95"/>
      <c r="E141" s="96"/>
      <c r="F141" s="97"/>
      <c r="G141" s="41"/>
      <c r="H141" s="43"/>
      <c r="I141" s="43"/>
      <c r="J141" s="43"/>
      <c r="K141" s="43"/>
      <c r="L141" s="43"/>
      <c r="M141" s="43"/>
    </row>
    <row r="142" spans="1:13" ht="18">
      <c r="A142" s="76"/>
      <c r="B142" s="36"/>
      <c r="C142" s="37"/>
      <c r="D142" s="95"/>
      <c r="E142" s="96"/>
      <c r="F142" s="97"/>
      <c r="G142" s="41"/>
      <c r="H142" s="43"/>
      <c r="I142" s="43"/>
      <c r="J142" s="43"/>
      <c r="K142" s="43"/>
      <c r="L142" s="43"/>
      <c r="M142" s="43"/>
    </row>
    <row r="143" spans="1:13" ht="18">
      <c r="A143" s="76"/>
      <c r="B143" s="36"/>
      <c r="C143" s="37"/>
      <c r="D143" s="95"/>
      <c r="E143" s="96"/>
      <c r="F143" s="97"/>
      <c r="G143" s="41"/>
      <c r="H143" s="43"/>
      <c r="I143" s="43"/>
      <c r="J143" s="43"/>
      <c r="K143" s="43"/>
      <c r="L143" s="43"/>
      <c r="M143" s="43"/>
    </row>
    <row r="144" spans="1:13" ht="18">
      <c r="A144" s="76"/>
      <c r="B144" s="36"/>
      <c r="C144" s="37"/>
      <c r="D144" s="95"/>
      <c r="E144" s="96"/>
      <c r="F144" s="97"/>
      <c r="G144" s="41"/>
      <c r="H144" s="43"/>
      <c r="I144" s="43"/>
      <c r="J144" s="43"/>
      <c r="K144" s="43"/>
      <c r="L144" s="43"/>
      <c r="M144" s="43"/>
    </row>
    <row r="145" spans="1:13" ht="18">
      <c r="A145" s="76"/>
      <c r="B145" s="36"/>
      <c r="C145" s="37"/>
      <c r="D145" s="95"/>
      <c r="E145" s="96"/>
      <c r="F145" s="97"/>
      <c r="G145" s="41"/>
      <c r="H145" s="43"/>
      <c r="I145" s="43"/>
      <c r="J145" s="43"/>
      <c r="K145" s="43"/>
      <c r="L145" s="43"/>
      <c r="M145" s="43"/>
    </row>
    <row r="146" spans="1:13" ht="18">
      <c r="A146" s="76"/>
      <c r="B146" s="36"/>
      <c r="C146" s="37"/>
      <c r="D146" s="95"/>
      <c r="E146" s="96"/>
      <c r="F146" s="97"/>
      <c r="G146" s="41"/>
      <c r="H146" s="43"/>
      <c r="I146" s="43"/>
      <c r="J146" s="43"/>
      <c r="K146" s="43"/>
      <c r="L146" s="43"/>
      <c r="M146" s="43"/>
    </row>
    <row r="147" spans="1:13" ht="18">
      <c r="A147" s="76"/>
      <c r="B147" s="36"/>
      <c r="C147" s="37"/>
      <c r="D147" s="95"/>
      <c r="E147" s="96"/>
      <c r="F147" s="97"/>
      <c r="G147" s="41"/>
      <c r="H147" s="43"/>
      <c r="I147" s="43"/>
      <c r="J147" s="43"/>
      <c r="K147" s="43"/>
      <c r="L147" s="43"/>
      <c r="M147" s="43"/>
    </row>
  </sheetData>
  <mergeCells count="37">
    <mergeCell ref="H17:H28"/>
    <mergeCell ref="I17:I28"/>
    <mergeCell ref="J17:J28"/>
    <mergeCell ref="K17:K28"/>
    <mergeCell ref="A1:M2"/>
    <mergeCell ref="B3:G3"/>
    <mergeCell ref="H5:H16"/>
    <mergeCell ref="I5:I16"/>
    <mergeCell ref="J5:J16"/>
    <mergeCell ref="K5:K16"/>
    <mergeCell ref="L5:L16"/>
    <mergeCell ref="J77:J88"/>
    <mergeCell ref="L17:L28"/>
    <mergeCell ref="I29:I40"/>
    <mergeCell ref="L29:L40"/>
    <mergeCell ref="I53:I64"/>
    <mergeCell ref="J53:J64"/>
    <mergeCell ref="K53:K64"/>
    <mergeCell ref="L53:L64"/>
    <mergeCell ref="J29:J40"/>
    <mergeCell ref="K29:K40"/>
    <mergeCell ref="K65:K76"/>
    <mergeCell ref="L65:L76"/>
    <mergeCell ref="K77:K88"/>
    <mergeCell ref="L77:L88"/>
    <mergeCell ref="H29:H40"/>
    <mergeCell ref="H41:H52"/>
    <mergeCell ref="I41:I52"/>
    <mergeCell ref="J41:J52"/>
    <mergeCell ref="K41:K52"/>
    <mergeCell ref="L41:L52"/>
    <mergeCell ref="H53:H64"/>
    <mergeCell ref="H65:H76"/>
    <mergeCell ref="I65:I76"/>
    <mergeCell ref="J65:J76"/>
    <mergeCell ref="H77:H88"/>
    <mergeCell ref="I77:I8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72"/>
  <sheetViews>
    <sheetView zoomScale="75" zoomScaleNormal="75" workbookViewId="0">
      <pane ySplit="3" topLeftCell="A57" activePane="bottomLeft" state="frozen"/>
      <selection pane="bottomLeft" activeCell="H57" sqref="H57"/>
    </sheetView>
  </sheetViews>
  <sheetFormatPr defaultColWidth="14.44140625" defaultRowHeight="15" customHeight="1"/>
  <cols>
    <col min="1" max="1" width="6.33203125" customWidth="1"/>
    <col min="2" max="2" width="38" customWidth="1"/>
    <col min="3" max="3" width="132.6640625" customWidth="1"/>
    <col min="4" max="4" width="10.109375" customWidth="1"/>
    <col min="5" max="5" width="11.33203125" customWidth="1"/>
    <col min="6" max="6" width="26.33203125" customWidth="1"/>
    <col min="7" max="7" width="12.88671875" customWidth="1"/>
    <col min="8" max="8" width="22.44140625" customWidth="1"/>
    <col min="9" max="9" width="32.33203125" customWidth="1"/>
    <col min="10" max="10" width="27.109375" hidden="1" customWidth="1"/>
    <col min="11" max="11" width="27.109375" customWidth="1"/>
    <col min="12" max="12" width="21" customWidth="1"/>
    <col min="13" max="13" width="37.5546875" customWidth="1"/>
    <col min="14" max="15" width="43.6640625" customWidth="1"/>
    <col min="16" max="16" width="43.6640625" hidden="1" customWidth="1"/>
    <col min="17" max="17" width="6.33203125" customWidth="1"/>
  </cols>
  <sheetData>
    <row r="1" spans="1:17" ht="25.5" customHeight="1">
      <c r="A1" s="98" t="s">
        <v>90</v>
      </c>
      <c r="B1" s="310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99"/>
      <c r="P1" s="2"/>
      <c r="Q1" s="98" t="s">
        <v>90</v>
      </c>
    </row>
    <row r="2" spans="1:17" ht="43.5" customHeight="1">
      <c r="A2" s="98"/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99"/>
      <c r="P2" s="2"/>
      <c r="Q2" s="2"/>
    </row>
    <row r="3" spans="1:17" ht="63.6" thickTop="1" thickBot="1">
      <c r="A3" s="98"/>
      <c r="B3" s="100" t="s">
        <v>1</v>
      </c>
      <c r="C3" s="101" t="s">
        <v>2</v>
      </c>
      <c r="D3" s="102" t="s">
        <v>3</v>
      </c>
      <c r="E3" s="102" t="s">
        <v>4</v>
      </c>
      <c r="F3" s="100" t="s">
        <v>91</v>
      </c>
      <c r="G3" s="103" t="s">
        <v>5</v>
      </c>
      <c r="H3" s="104" t="s">
        <v>6</v>
      </c>
      <c r="I3" s="10" t="s">
        <v>92</v>
      </c>
      <c r="J3" s="105" t="s">
        <v>93</v>
      </c>
      <c r="K3" s="106" t="s">
        <v>8</v>
      </c>
      <c r="L3" s="11" t="s">
        <v>7</v>
      </c>
      <c r="M3" s="11" t="s">
        <v>94</v>
      </c>
      <c r="N3" s="11" t="s">
        <v>10</v>
      </c>
      <c r="O3" s="107" t="s">
        <v>11</v>
      </c>
      <c r="P3" s="52" t="s">
        <v>95</v>
      </c>
      <c r="Q3" s="2"/>
    </row>
    <row r="4" spans="1:17" ht="62.4" hidden="1">
      <c r="A4" s="98"/>
      <c r="B4" s="108"/>
      <c r="C4" s="109"/>
      <c r="D4" s="110" t="s">
        <v>14</v>
      </c>
      <c r="E4" s="110">
        <v>1</v>
      </c>
      <c r="F4" s="111" t="s">
        <v>90</v>
      </c>
      <c r="G4" s="112">
        <v>194.56</v>
      </c>
      <c r="H4" s="113">
        <f>SUM(E4*G4)</f>
        <v>194.56</v>
      </c>
      <c r="I4" s="315">
        <f>SUM(H5:H15)</f>
        <v>106.07899999999999</v>
      </c>
      <c r="J4" s="316">
        <v>0.25</v>
      </c>
      <c r="K4" s="295">
        <v>2.0982400000000001</v>
      </c>
      <c r="L4" s="292">
        <f>SUM(H4:H15)</f>
        <v>300.63900000000001</v>
      </c>
      <c r="M4" s="292">
        <f>SUM(K4*L4)</f>
        <v>630.81277536000005</v>
      </c>
      <c r="N4" s="296">
        <f>SUM(L4+M4)</f>
        <v>931.45177536000006</v>
      </c>
      <c r="O4" s="307">
        <f>IFERROR(M4/N4,"")</f>
        <v>0.67723610824209879</v>
      </c>
      <c r="P4" s="317">
        <f>SUM(N4-L4)</f>
        <v>630.81277536000005</v>
      </c>
      <c r="Q4" s="2"/>
    </row>
    <row r="5" spans="1:17" ht="62.4" hidden="1">
      <c r="A5" s="98"/>
      <c r="B5" s="114" t="s">
        <v>15</v>
      </c>
      <c r="C5" s="17" t="s">
        <v>16</v>
      </c>
      <c r="D5" s="18" t="s">
        <v>3</v>
      </c>
      <c r="E5" s="19">
        <v>0</v>
      </c>
      <c r="F5" s="115">
        <f t="shared" ref="F5:F6" si="0">(E4*E5)</f>
        <v>0</v>
      </c>
      <c r="G5" s="20">
        <v>2.59</v>
      </c>
      <c r="H5" s="21">
        <f t="shared" ref="H5:H15" si="1">SUM(F5*G5)</f>
        <v>0</v>
      </c>
      <c r="I5" s="297"/>
      <c r="J5" s="297"/>
      <c r="K5" s="293"/>
      <c r="L5" s="293"/>
      <c r="M5" s="293"/>
      <c r="N5" s="297"/>
      <c r="O5" s="297"/>
      <c r="P5" s="318"/>
      <c r="Q5" s="2"/>
    </row>
    <row r="6" spans="1:17" ht="62.4" hidden="1">
      <c r="A6" s="98"/>
      <c r="B6" s="116" t="s">
        <v>17</v>
      </c>
      <c r="C6" s="23" t="s">
        <v>18</v>
      </c>
      <c r="D6" s="24" t="s">
        <v>19</v>
      </c>
      <c r="E6" s="25">
        <v>4</v>
      </c>
      <c r="F6" s="115">
        <f t="shared" si="0"/>
        <v>0</v>
      </c>
      <c r="G6" s="26">
        <v>13.6</v>
      </c>
      <c r="H6" s="21">
        <f t="shared" si="1"/>
        <v>0</v>
      </c>
      <c r="I6" s="297"/>
      <c r="J6" s="297"/>
      <c r="K6" s="293"/>
      <c r="L6" s="293"/>
      <c r="M6" s="293"/>
      <c r="N6" s="297"/>
      <c r="O6" s="297"/>
      <c r="P6" s="318"/>
      <c r="Q6" s="2"/>
    </row>
    <row r="7" spans="1:17" ht="62.4" hidden="1">
      <c r="A7" s="98"/>
      <c r="B7" s="116" t="s">
        <v>20</v>
      </c>
      <c r="C7" s="23" t="s">
        <v>21</v>
      </c>
      <c r="D7" s="24" t="s">
        <v>3</v>
      </c>
      <c r="E7" s="25">
        <v>10</v>
      </c>
      <c r="F7" s="115">
        <f>(E4*E7)</f>
        <v>10</v>
      </c>
      <c r="G7" s="26">
        <v>0.19</v>
      </c>
      <c r="H7" s="21">
        <f t="shared" si="1"/>
        <v>1.9</v>
      </c>
      <c r="I7" s="297"/>
      <c r="J7" s="297"/>
      <c r="K7" s="293"/>
      <c r="L7" s="293"/>
      <c r="M7" s="293"/>
      <c r="N7" s="297"/>
      <c r="O7" s="297"/>
      <c r="P7" s="318"/>
      <c r="Q7" s="2"/>
    </row>
    <row r="8" spans="1:17" ht="62.4" hidden="1">
      <c r="A8" s="98"/>
      <c r="B8" s="116" t="s">
        <v>22</v>
      </c>
      <c r="C8" s="23" t="s">
        <v>23</v>
      </c>
      <c r="D8" s="24" t="s">
        <v>3</v>
      </c>
      <c r="E8" s="25">
        <v>10</v>
      </c>
      <c r="F8" s="115">
        <f>(E4*E8)</f>
        <v>10</v>
      </c>
      <c r="G8" s="26">
        <v>0.3</v>
      </c>
      <c r="H8" s="21">
        <f t="shared" si="1"/>
        <v>3</v>
      </c>
      <c r="I8" s="297"/>
      <c r="J8" s="297"/>
      <c r="K8" s="293"/>
      <c r="L8" s="293"/>
      <c r="M8" s="293"/>
      <c r="N8" s="297"/>
      <c r="O8" s="297"/>
      <c r="P8" s="318"/>
      <c r="Q8" s="2"/>
    </row>
    <row r="9" spans="1:17" ht="62.4" hidden="1">
      <c r="A9" s="98"/>
      <c r="B9" s="116" t="s">
        <v>24</v>
      </c>
      <c r="C9" s="23" t="s">
        <v>25</v>
      </c>
      <c r="D9" s="24" t="s">
        <v>3</v>
      </c>
      <c r="E9" s="25">
        <v>1</v>
      </c>
      <c r="F9" s="115">
        <f>(E4*E9)</f>
        <v>1</v>
      </c>
      <c r="G9" s="26">
        <v>0.15</v>
      </c>
      <c r="H9" s="21">
        <f t="shared" si="1"/>
        <v>0.15</v>
      </c>
      <c r="I9" s="297"/>
      <c r="J9" s="297"/>
      <c r="K9" s="293"/>
      <c r="L9" s="293"/>
      <c r="M9" s="293"/>
      <c r="N9" s="297"/>
      <c r="O9" s="297"/>
      <c r="P9" s="318"/>
      <c r="Q9" s="2"/>
    </row>
    <row r="10" spans="1:17" ht="62.4" hidden="1">
      <c r="A10" s="98"/>
      <c r="B10" s="116" t="s">
        <v>26</v>
      </c>
      <c r="C10" s="23" t="s">
        <v>27</v>
      </c>
      <c r="D10" s="24" t="s">
        <v>3</v>
      </c>
      <c r="E10" s="25">
        <v>50</v>
      </c>
      <c r="F10" s="115">
        <f>(E4*E10)</f>
        <v>50</v>
      </c>
      <c r="G10" s="26">
        <v>1.3</v>
      </c>
      <c r="H10" s="21">
        <f t="shared" si="1"/>
        <v>65</v>
      </c>
      <c r="I10" s="297"/>
      <c r="J10" s="297"/>
      <c r="K10" s="293"/>
      <c r="L10" s="293"/>
      <c r="M10" s="293"/>
      <c r="N10" s="297"/>
      <c r="O10" s="297"/>
      <c r="P10" s="318"/>
      <c r="Q10" s="2"/>
    </row>
    <row r="11" spans="1:17" ht="62.4" hidden="1">
      <c r="A11" s="98"/>
      <c r="B11" s="116" t="s">
        <v>28</v>
      </c>
      <c r="C11" s="23" t="s">
        <v>29</v>
      </c>
      <c r="D11" s="24" t="s">
        <v>3</v>
      </c>
      <c r="E11" s="25">
        <v>50</v>
      </c>
      <c r="F11" s="115">
        <f>(E4*E11)</f>
        <v>50</v>
      </c>
      <c r="G11" s="26">
        <v>0.14000000000000001</v>
      </c>
      <c r="H11" s="21">
        <f t="shared" si="1"/>
        <v>7.0000000000000009</v>
      </c>
      <c r="I11" s="297"/>
      <c r="J11" s="297"/>
      <c r="K11" s="293"/>
      <c r="L11" s="293"/>
      <c r="M11" s="293"/>
      <c r="N11" s="297"/>
      <c r="O11" s="297"/>
      <c r="P11" s="318"/>
      <c r="Q11" s="2"/>
    </row>
    <row r="12" spans="1:17" ht="62.4" hidden="1">
      <c r="A12" s="98"/>
      <c r="B12" s="116" t="s">
        <v>30</v>
      </c>
      <c r="C12" s="23" t="s">
        <v>31</v>
      </c>
      <c r="D12" s="24" t="s">
        <v>3</v>
      </c>
      <c r="E12" s="25">
        <v>1</v>
      </c>
      <c r="F12" s="115">
        <f>(E4*E12)</f>
        <v>1</v>
      </c>
      <c r="G12" s="26">
        <v>23.9</v>
      </c>
      <c r="H12" s="21">
        <f t="shared" si="1"/>
        <v>23.9</v>
      </c>
      <c r="I12" s="297"/>
      <c r="J12" s="297"/>
      <c r="K12" s="293"/>
      <c r="L12" s="293"/>
      <c r="M12" s="293"/>
      <c r="N12" s="297"/>
      <c r="O12" s="297"/>
      <c r="P12" s="318"/>
      <c r="Q12" s="2"/>
    </row>
    <row r="13" spans="1:17" ht="62.4" hidden="1">
      <c r="A13" s="98"/>
      <c r="B13" s="116" t="s">
        <v>32</v>
      </c>
      <c r="C13" s="23" t="s">
        <v>33</v>
      </c>
      <c r="D13" s="24" t="s">
        <v>3</v>
      </c>
      <c r="E13" s="25">
        <v>2</v>
      </c>
      <c r="F13" s="115">
        <f>(E4*E13)</f>
        <v>2</v>
      </c>
      <c r="G13" s="26">
        <v>2.5</v>
      </c>
      <c r="H13" s="21">
        <f t="shared" si="1"/>
        <v>5</v>
      </c>
      <c r="I13" s="297"/>
      <c r="J13" s="297"/>
      <c r="K13" s="293"/>
      <c r="L13" s="293"/>
      <c r="M13" s="293"/>
      <c r="N13" s="297"/>
      <c r="O13" s="297"/>
      <c r="P13" s="318"/>
      <c r="Q13" s="2"/>
    </row>
    <row r="14" spans="1:17" ht="62.4" hidden="1">
      <c r="A14" s="98"/>
      <c r="B14" s="116" t="s">
        <v>34</v>
      </c>
      <c r="C14" s="23" t="s">
        <v>35</v>
      </c>
      <c r="D14" s="24" t="s">
        <v>3</v>
      </c>
      <c r="E14" s="28">
        <v>0</v>
      </c>
      <c r="F14" s="115">
        <f>(E4*E14)</f>
        <v>0</v>
      </c>
      <c r="G14" s="26">
        <v>2</v>
      </c>
      <c r="H14" s="21">
        <f t="shared" si="1"/>
        <v>0</v>
      </c>
      <c r="I14" s="297"/>
      <c r="J14" s="297"/>
      <c r="K14" s="293"/>
      <c r="L14" s="293"/>
      <c r="M14" s="293"/>
      <c r="N14" s="297"/>
      <c r="O14" s="297"/>
      <c r="P14" s="318"/>
      <c r="Q14" s="2"/>
    </row>
    <row r="15" spans="1:17" ht="62.4" hidden="1">
      <c r="A15" s="98"/>
      <c r="B15" s="117" t="s">
        <v>36</v>
      </c>
      <c r="C15" s="30" t="s">
        <v>37</v>
      </c>
      <c r="D15" s="31" t="s">
        <v>3</v>
      </c>
      <c r="E15" s="32">
        <v>0.01</v>
      </c>
      <c r="F15" s="115">
        <f>(E4*E15)</f>
        <v>0.01</v>
      </c>
      <c r="G15" s="33">
        <v>12.9</v>
      </c>
      <c r="H15" s="21">
        <f t="shared" si="1"/>
        <v>0.129</v>
      </c>
      <c r="I15" s="298"/>
      <c r="J15" s="298"/>
      <c r="K15" s="294"/>
      <c r="L15" s="294"/>
      <c r="M15" s="294"/>
      <c r="N15" s="298"/>
      <c r="O15" s="298"/>
      <c r="P15" s="319"/>
      <c r="Q15" s="2"/>
    </row>
    <row r="16" spans="1:17" ht="63.6" thickTop="1" thickBot="1">
      <c r="A16" s="98"/>
      <c r="B16" s="118"/>
      <c r="C16" s="14" t="s">
        <v>2673</v>
      </c>
      <c r="D16" s="14" t="s">
        <v>14</v>
      </c>
      <c r="E16" s="14">
        <v>1</v>
      </c>
      <c r="F16" s="118" t="s">
        <v>90</v>
      </c>
      <c r="G16" s="15">
        <v>194.56</v>
      </c>
      <c r="H16" s="93">
        <f>SUM(E16*G16)</f>
        <v>194.56</v>
      </c>
      <c r="I16" s="315">
        <f>SUM(H17:H28)</f>
        <v>85.899999999999991</v>
      </c>
      <c r="J16" s="316">
        <v>0.25</v>
      </c>
      <c r="K16" s="320">
        <v>1.20346</v>
      </c>
      <c r="L16" s="292">
        <f>SUM(H16:H28)</f>
        <v>280.45999999999998</v>
      </c>
      <c r="M16" s="292">
        <f>SUM(K16*L16)</f>
        <v>337.52239159999999</v>
      </c>
      <c r="N16" s="296">
        <f>SUM(L16+M16)</f>
        <v>617.98239160000003</v>
      </c>
      <c r="O16" s="307">
        <f>IFERROR(M16/N16,"")</f>
        <v>0.5461682989480181</v>
      </c>
      <c r="P16" s="317">
        <f>SUM(N16-L16)</f>
        <v>337.52239160000005</v>
      </c>
      <c r="Q16" s="2"/>
    </row>
    <row r="17" spans="1:17" ht="62.4">
      <c r="A17" s="98"/>
      <c r="B17" s="114" t="s">
        <v>15</v>
      </c>
      <c r="C17" s="17" t="s">
        <v>16</v>
      </c>
      <c r="D17" s="18" t="s">
        <v>3</v>
      </c>
      <c r="E17" s="19">
        <v>0</v>
      </c>
      <c r="F17" s="115">
        <f>(E16*E17)</f>
        <v>0</v>
      </c>
      <c r="G17" s="20">
        <v>2.59</v>
      </c>
      <c r="H17" s="27">
        <f t="shared" ref="H17:H21" si="2">SUM(G17*F17)</f>
        <v>0</v>
      </c>
      <c r="I17" s="297"/>
      <c r="J17" s="297"/>
      <c r="K17" s="293"/>
      <c r="L17" s="293"/>
      <c r="M17" s="293"/>
      <c r="N17" s="297"/>
      <c r="O17" s="297"/>
      <c r="P17" s="318"/>
      <c r="Q17" s="2"/>
    </row>
    <row r="18" spans="1:17" ht="62.4">
      <c r="A18" s="98"/>
      <c r="B18" s="116" t="s">
        <v>17</v>
      </c>
      <c r="C18" s="23" t="s">
        <v>18</v>
      </c>
      <c r="D18" s="24" t="s">
        <v>19</v>
      </c>
      <c r="E18" s="25">
        <v>6</v>
      </c>
      <c r="F18" s="115">
        <f>(E16*E18)</f>
        <v>6</v>
      </c>
      <c r="G18" s="26">
        <v>13.6</v>
      </c>
      <c r="H18" s="27">
        <f t="shared" si="2"/>
        <v>81.599999999999994</v>
      </c>
      <c r="I18" s="297"/>
      <c r="J18" s="297"/>
      <c r="K18" s="293"/>
      <c r="L18" s="293"/>
      <c r="M18" s="293"/>
      <c r="N18" s="297"/>
      <c r="O18" s="297"/>
      <c r="P18" s="318"/>
      <c r="Q18" s="2"/>
    </row>
    <row r="19" spans="1:17" ht="62.4">
      <c r="A19" s="98"/>
      <c r="B19" s="116" t="s">
        <v>20</v>
      </c>
      <c r="C19" s="23" t="s">
        <v>2625</v>
      </c>
      <c r="D19" s="24" t="s">
        <v>3</v>
      </c>
      <c r="E19" s="25">
        <v>150</v>
      </c>
      <c r="F19" s="115">
        <f>(E16*E19)</f>
        <v>150</v>
      </c>
      <c r="G19" s="26">
        <v>6.4999999999999997E-3</v>
      </c>
      <c r="H19" s="27">
        <f t="shared" si="2"/>
        <v>0.97499999999999998</v>
      </c>
      <c r="I19" s="297"/>
      <c r="J19" s="297"/>
      <c r="K19" s="293"/>
      <c r="L19" s="293"/>
      <c r="M19" s="293"/>
      <c r="N19" s="297"/>
      <c r="O19" s="297"/>
      <c r="P19" s="318"/>
      <c r="Q19" s="2"/>
    </row>
    <row r="20" spans="1:17" ht="62.4">
      <c r="A20" s="98"/>
      <c r="B20" s="116" t="s">
        <v>22</v>
      </c>
      <c r="C20" s="23" t="s">
        <v>2603</v>
      </c>
      <c r="D20" s="24" t="s">
        <v>3</v>
      </c>
      <c r="E20" s="25">
        <v>150</v>
      </c>
      <c r="F20" s="115">
        <v>150</v>
      </c>
      <c r="G20" s="26">
        <v>7.4999999999999997E-3</v>
      </c>
      <c r="H20" s="27">
        <f t="shared" si="2"/>
        <v>1.125</v>
      </c>
      <c r="I20" s="297"/>
      <c r="J20" s="297"/>
      <c r="K20" s="293"/>
      <c r="L20" s="293"/>
      <c r="M20" s="293"/>
      <c r="N20" s="297"/>
      <c r="O20" s="297"/>
      <c r="P20" s="318"/>
      <c r="Q20" s="2"/>
    </row>
    <row r="21" spans="1:17" ht="62.4">
      <c r="A21" s="98"/>
      <c r="B21" s="116" t="s">
        <v>24</v>
      </c>
      <c r="C21" s="23" t="s">
        <v>2674</v>
      </c>
      <c r="D21" s="24" t="s">
        <v>3</v>
      </c>
      <c r="E21" s="25">
        <v>10</v>
      </c>
      <c r="F21" s="115">
        <f>(E16*E21)</f>
        <v>10</v>
      </c>
      <c r="G21" s="26">
        <v>0.22</v>
      </c>
      <c r="H21" s="27">
        <f t="shared" si="2"/>
        <v>2.2000000000000002</v>
      </c>
      <c r="I21" s="297"/>
      <c r="J21" s="297"/>
      <c r="K21" s="293"/>
      <c r="L21" s="293"/>
      <c r="M21" s="293"/>
      <c r="N21" s="297"/>
      <c r="O21" s="297"/>
      <c r="P21" s="318"/>
      <c r="Q21" s="2"/>
    </row>
    <row r="22" spans="1:17" ht="62.4">
      <c r="A22" s="98"/>
      <c r="B22" s="116"/>
      <c r="C22" s="23" t="s">
        <v>2631</v>
      </c>
      <c r="D22" s="24" t="s">
        <v>47</v>
      </c>
      <c r="E22" s="25">
        <v>0.5</v>
      </c>
      <c r="F22" s="115">
        <v>3.3000000000000002E-2</v>
      </c>
      <c r="G22" s="26">
        <v>21.95</v>
      </c>
      <c r="H22" s="27"/>
      <c r="I22" s="297"/>
      <c r="J22" s="297"/>
      <c r="K22" s="293"/>
      <c r="L22" s="293"/>
      <c r="M22" s="293"/>
      <c r="N22" s="297"/>
      <c r="O22" s="297"/>
      <c r="P22" s="318"/>
      <c r="Q22" s="2"/>
    </row>
    <row r="23" spans="1:17" ht="62.4">
      <c r="A23" s="98"/>
      <c r="B23" s="116"/>
      <c r="C23" s="23"/>
      <c r="D23" s="24"/>
      <c r="E23" s="25"/>
      <c r="F23" s="115"/>
      <c r="G23" s="26"/>
      <c r="H23" s="27"/>
      <c r="I23" s="297"/>
      <c r="J23" s="297"/>
      <c r="K23" s="293"/>
      <c r="L23" s="293"/>
      <c r="M23" s="293"/>
      <c r="N23" s="297"/>
      <c r="O23" s="297"/>
      <c r="P23" s="318"/>
      <c r="Q23" s="2"/>
    </row>
    <row r="24" spans="1:17" ht="62.4">
      <c r="A24" s="98"/>
      <c r="B24" s="116"/>
      <c r="C24" s="23"/>
      <c r="D24" s="24"/>
      <c r="E24" s="25"/>
      <c r="F24" s="115"/>
      <c r="G24" s="26"/>
      <c r="H24" s="27"/>
      <c r="I24" s="297"/>
      <c r="J24" s="297"/>
      <c r="K24" s="293"/>
      <c r="L24" s="293"/>
      <c r="M24" s="293"/>
      <c r="N24" s="297"/>
      <c r="O24" s="297"/>
      <c r="P24" s="318"/>
      <c r="Q24" s="2"/>
    </row>
    <row r="25" spans="1:17" ht="62.4">
      <c r="A25" s="98"/>
      <c r="B25" s="116"/>
      <c r="C25" s="23"/>
      <c r="D25" s="24"/>
      <c r="E25" s="25"/>
      <c r="F25" s="115"/>
      <c r="G25" s="26"/>
      <c r="H25" s="27"/>
      <c r="I25" s="297"/>
      <c r="J25" s="297"/>
      <c r="K25" s="293"/>
      <c r="L25" s="293"/>
      <c r="M25" s="293"/>
      <c r="N25" s="297"/>
      <c r="O25" s="297"/>
      <c r="P25" s="318"/>
      <c r="Q25" s="2"/>
    </row>
    <row r="26" spans="1:17" ht="62.4">
      <c r="A26" s="98"/>
      <c r="B26" s="116"/>
      <c r="C26" s="23"/>
      <c r="D26" s="24"/>
      <c r="E26" s="28"/>
      <c r="F26" s="115"/>
      <c r="G26" s="26"/>
      <c r="H26" s="27"/>
      <c r="I26" s="297"/>
      <c r="J26" s="297"/>
      <c r="K26" s="293"/>
      <c r="L26" s="293"/>
      <c r="M26" s="293"/>
      <c r="N26" s="297"/>
      <c r="O26" s="297"/>
      <c r="P26" s="318"/>
      <c r="Q26" s="2"/>
    </row>
    <row r="27" spans="1:17" ht="62.4">
      <c r="A27" s="98"/>
      <c r="B27" s="117"/>
      <c r="C27" s="30"/>
      <c r="D27" s="31"/>
      <c r="E27" s="32"/>
      <c r="F27" s="115"/>
      <c r="G27" s="33"/>
      <c r="H27" s="27"/>
      <c r="I27" s="298"/>
      <c r="J27" s="298"/>
      <c r="K27" s="294"/>
      <c r="L27" s="294"/>
      <c r="M27" s="294"/>
      <c r="N27" s="298"/>
      <c r="O27" s="298"/>
      <c r="P27" s="319"/>
      <c r="Q27" s="2"/>
    </row>
    <row r="28" spans="1:17" ht="62.4">
      <c r="A28" s="98"/>
      <c r="B28" s="119"/>
      <c r="C28" s="23"/>
      <c r="D28" s="24"/>
      <c r="E28" s="28"/>
      <c r="F28" s="120"/>
      <c r="G28" s="121"/>
      <c r="H28" s="27"/>
      <c r="I28" s="122"/>
      <c r="J28" s="123"/>
      <c r="K28" s="124"/>
      <c r="L28" s="125"/>
      <c r="M28" s="125"/>
      <c r="N28" s="126"/>
      <c r="O28" s="127"/>
      <c r="P28" s="128"/>
      <c r="Q28" s="2"/>
    </row>
    <row r="29" spans="1:17" ht="62.4">
      <c r="A29" s="98"/>
      <c r="B29" s="111" t="s">
        <v>96</v>
      </c>
      <c r="C29" s="110" t="s">
        <v>2669</v>
      </c>
      <c r="D29" s="110" t="s">
        <v>14</v>
      </c>
      <c r="E29" s="110">
        <v>1</v>
      </c>
      <c r="F29" s="111" t="s">
        <v>90</v>
      </c>
      <c r="G29" s="110">
        <v>199</v>
      </c>
      <c r="H29" s="113">
        <f t="shared" ref="H29:H99" si="3">SUM(E29*G29)</f>
        <v>199</v>
      </c>
      <c r="I29" s="315">
        <f>SUM(H30:H40)</f>
        <v>106.41849999999999</v>
      </c>
      <c r="J29" s="316">
        <v>0.25</v>
      </c>
      <c r="K29" s="295">
        <v>4.9187500000000002</v>
      </c>
      <c r="L29" s="292">
        <f>SUM(G29:G40)</f>
        <v>243.68649999999997</v>
      </c>
      <c r="M29" s="292">
        <f>SUM(K29*L29)</f>
        <v>1198.6329718749998</v>
      </c>
      <c r="N29" s="296">
        <f>SUM(L29+M29)</f>
        <v>1442.3194718749999</v>
      </c>
      <c r="O29" s="307"/>
      <c r="P29" s="317">
        <f>SUM(N29-L29)</f>
        <v>1198.6329718749998</v>
      </c>
      <c r="Q29" s="2"/>
    </row>
    <row r="30" spans="1:17" ht="62.4">
      <c r="A30" s="98"/>
      <c r="B30" s="114" t="s">
        <v>15</v>
      </c>
      <c r="C30" s="17" t="s">
        <v>16</v>
      </c>
      <c r="D30" s="18" t="s">
        <v>3</v>
      </c>
      <c r="E30" s="19">
        <v>0</v>
      </c>
      <c r="F30" s="115">
        <f>(E29*E30)</f>
        <v>0</v>
      </c>
      <c r="G30" s="20">
        <v>2.59</v>
      </c>
      <c r="H30" s="21">
        <f t="shared" si="3"/>
        <v>0</v>
      </c>
      <c r="I30" s="297"/>
      <c r="J30" s="297"/>
      <c r="K30" s="293"/>
      <c r="L30" s="293"/>
      <c r="M30" s="293"/>
      <c r="N30" s="297"/>
      <c r="O30" s="297"/>
      <c r="P30" s="318"/>
      <c r="Q30" s="2"/>
    </row>
    <row r="31" spans="1:17" ht="62.4">
      <c r="A31" s="98"/>
      <c r="B31" s="116" t="s">
        <v>17</v>
      </c>
      <c r="C31" s="23" t="s">
        <v>18</v>
      </c>
      <c r="D31" s="24" t="s">
        <v>19</v>
      </c>
      <c r="E31" s="25">
        <v>6</v>
      </c>
      <c r="F31" s="115">
        <f>(E29*E31)</f>
        <v>6</v>
      </c>
      <c r="G31" s="26">
        <v>13.6</v>
      </c>
      <c r="H31" s="27">
        <f t="shared" si="3"/>
        <v>81.599999999999994</v>
      </c>
      <c r="I31" s="297"/>
      <c r="J31" s="297"/>
      <c r="K31" s="293"/>
      <c r="L31" s="293"/>
      <c r="M31" s="293"/>
      <c r="N31" s="297"/>
      <c r="O31" s="297"/>
      <c r="P31" s="318"/>
      <c r="Q31" s="2"/>
    </row>
    <row r="32" spans="1:17" ht="62.4">
      <c r="A32" s="98"/>
      <c r="B32" s="116" t="s">
        <v>20</v>
      </c>
      <c r="C32" s="23" t="s">
        <v>2612</v>
      </c>
      <c r="D32" s="24" t="s">
        <v>3</v>
      </c>
      <c r="E32" s="25">
        <v>10</v>
      </c>
      <c r="F32" s="115">
        <f>(E29*E32)</f>
        <v>10</v>
      </c>
      <c r="G32" s="26">
        <v>0.19</v>
      </c>
      <c r="H32" s="27">
        <f t="shared" si="3"/>
        <v>1.9</v>
      </c>
      <c r="I32" s="297"/>
      <c r="J32" s="297"/>
      <c r="K32" s="293"/>
      <c r="L32" s="293"/>
      <c r="M32" s="293"/>
      <c r="N32" s="297"/>
      <c r="O32" s="297"/>
      <c r="P32" s="318"/>
      <c r="Q32" s="2"/>
    </row>
    <row r="33" spans="1:17" ht="62.4">
      <c r="A33" s="98"/>
      <c r="B33" s="116" t="s">
        <v>22</v>
      </c>
      <c r="C33" s="23" t="s">
        <v>2610</v>
      </c>
      <c r="D33" s="24" t="s">
        <v>3</v>
      </c>
      <c r="E33" s="25">
        <v>6</v>
      </c>
      <c r="F33" s="115">
        <f>(E29*E33)</f>
        <v>6</v>
      </c>
      <c r="G33" s="26">
        <v>1.63</v>
      </c>
      <c r="H33" s="27">
        <f t="shared" si="3"/>
        <v>9.7799999999999994</v>
      </c>
      <c r="I33" s="297"/>
      <c r="J33" s="297"/>
      <c r="K33" s="293"/>
      <c r="L33" s="293"/>
      <c r="M33" s="293"/>
      <c r="N33" s="297"/>
      <c r="O33" s="297"/>
      <c r="P33" s="318"/>
      <c r="Q33" s="2"/>
    </row>
    <row r="34" spans="1:17" ht="62.4">
      <c r="A34" s="98"/>
      <c r="B34" s="116" t="s">
        <v>24</v>
      </c>
      <c r="C34" s="23" t="s">
        <v>105</v>
      </c>
      <c r="D34" s="24" t="s">
        <v>3</v>
      </c>
      <c r="E34" s="25">
        <v>150</v>
      </c>
      <c r="F34" s="115">
        <f>(E29*E34)</f>
        <v>150</v>
      </c>
      <c r="G34" s="26">
        <v>6.4999999999999997E-3</v>
      </c>
      <c r="H34" s="27">
        <f t="shared" si="3"/>
        <v>0.97499999999999998</v>
      </c>
      <c r="I34" s="297"/>
      <c r="J34" s="297"/>
      <c r="K34" s="293"/>
      <c r="L34" s="293"/>
      <c r="M34" s="293"/>
      <c r="N34" s="297"/>
      <c r="O34" s="297"/>
      <c r="P34" s="318"/>
      <c r="Q34" s="2"/>
    </row>
    <row r="35" spans="1:17" ht="62.4">
      <c r="A35" s="98"/>
      <c r="B35" s="116" t="s">
        <v>26</v>
      </c>
      <c r="C35" s="23" t="s">
        <v>2670</v>
      </c>
      <c r="D35" s="24" t="s">
        <v>3</v>
      </c>
      <c r="E35" s="25">
        <v>6</v>
      </c>
      <c r="F35" s="115">
        <f>(E29*E35)</f>
        <v>6</v>
      </c>
      <c r="G35" s="26">
        <v>0.28000000000000003</v>
      </c>
      <c r="H35" s="27">
        <f t="shared" si="3"/>
        <v>1.6800000000000002</v>
      </c>
      <c r="I35" s="297"/>
      <c r="J35" s="297"/>
      <c r="K35" s="293"/>
      <c r="L35" s="293"/>
      <c r="M35" s="293"/>
      <c r="N35" s="297"/>
      <c r="O35" s="297"/>
      <c r="P35" s="318"/>
      <c r="Q35" s="2"/>
    </row>
    <row r="36" spans="1:17" ht="62.4">
      <c r="A36" s="98"/>
      <c r="B36" s="116" t="s">
        <v>28</v>
      </c>
      <c r="C36" s="23" t="s">
        <v>2671</v>
      </c>
      <c r="D36" s="24" t="s">
        <v>3</v>
      </c>
      <c r="E36" s="25">
        <v>6</v>
      </c>
      <c r="F36" s="115">
        <f>(E29*E36)</f>
        <v>6</v>
      </c>
      <c r="G36" s="26">
        <v>0.32</v>
      </c>
      <c r="H36" s="27">
        <f t="shared" si="3"/>
        <v>1.92</v>
      </c>
      <c r="I36" s="297"/>
      <c r="J36" s="297"/>
      <c r="K36" s="293"/>
      <c r="L36" s="293"/>
      <c r="M36" s="293"/>
      <c r="N36" s="297"/>
      <c r="O36" s="297"/>
      <c r="P36" s="318"/>
      <c r="Q36" s="2"/>
    </row>
    <row r="37" spans="1:17" ht="62.4">
      <c r="A37" s="98"/>
      <c r="B37" s="116" t="s">
        <v>30</v>
      </c>
      <c r="C37" s="23" t="s">
        <v>2631</v>
      </c>
      <c r="D37" s="24" t="s">
        <v>3</v>
      </c>
      <c r="E37" s="25">
        <v>0.33</v>
      </c>
      <c r="F37" s="115">
        <f>(E29*E37)</f>
        <v>0.33</v>
      </c>
      <c r="G37" s="26">
        <v>21.95</v>
      </c>
      <c r="H37" s="27">
        <f t="shared" si="3"/>
        <v>7.2435</v>
      </c>
      <c r="I37" s="297"/>
      <c r="J37" s="297"/>
      <c r="K37" s="293"/>
      <c r="L37" s="293"/>
      <c r="M37" s="293"/>
      <c r="N37" s="297"/>
      <c r="O37" s="297"/>
      <c r="P37" s="318"/>
      <c r="Q37" s="2"/>
    </row>
    <row r="38" spans="1:17" ht="62.4">
      <c r="A38" s="98"/>
      <c r="B38" s="116" t="s">
        <v>32</v>
      </c>
      <c r="C38" s="23" t="s">
        <v>2605</v>
      </c>
      <c r="D38" s="24" t="s">
        <v>3</v>
      </c>
      <c r="E38" s="25">
        <v>0</v>
      </c>
      <c r="F38" s="115">
        <v>0</v>
      </c>
      <c r="G38" s="26">
        <v>3.9</v>
      </c>
      <c r="H38" s="27">
        <f t="shared" si="3"/>
        <v>0</v>
      </c>
      <c r="I38" s="297"/>
      <c r="J38" s="297"/>
      <c r="K38" s="293"/>
      <c r="L38" s="293"/>
      <c r="M38" s="293"/>
      <c r="N38" s="297"/>
      <c r="O38" s="297"/>
      <c r="P38" s="318"/>
      <c r="Q38" s="2"/>
    </row>
    <row r="39" spans="1:17" ht="62.4">
      <c r="A39" s="98"/>
      <c r="B39" s="116" t="s">
        <v>34</v>
      </c>
      <c r="C39" s="23" t="s">
        <v>2616</v>
      </c>
      <c r="D39" s="24" t="s">
        <v>3</v>
      </c>
      <c r="E39" s="28">
        <v>6</v>
      </c>
      <c r="F39" s="115">
        <f>(E29*E39)</f>
        <v>6</v>
      </c>
      <c r="G39" s="26">
        <v>0.1</v>
      </c>
      <c r="H39" s="27">
        <f t="shared" si="3"/>
        <v>0.60000000000000009</v>
      </c>
      <c r="I39" s="297"/>
      <c r="J39" s="297"/>
      <c r="K39" s="293"/>
      <c r="L39" s="293"/>
      <c r="M39" s="293"/>
      <c r="N39" s="297"/>
      <c r="O39" s="297"/>
      <c r="P39" s="318"/>
      <c r="Q39" s="2"/>
    </row>
    <row r="40" spans="1:17" ht="62.4">
      <c r="A40" s="98"/>
      <c r="B40" s="116" t="s">
        <v>36</v>
      </c>
      <c r="C40" s="23" t="s">
        <v>2614</v>
      </c>
      <c r="D40" s="24" t="s">
        <v>3</v>
      </c>
      <c r="E40" s="32">
        <v>6</v>
      </c>
      <c r="F40" s="115">
        <f>(E29*E40)</f>
        <v>6</v>
      </c>
      <c r="G40" s="26">
        <v>0.12</v>
      </c>
      <c r="H40" s="27">
        <f t="shared" si="3"/>
        <v>0.72</v>
      </c>
      <c r="I40" s="298"/>
      <c r="J40" s="298"/>
      <c r="K40" s="294"/>
      <c r="L40" s="294"/>
      <c r="M40" s="294"/>
      <c r="N40" s="298"/>
      <c r="O40" s="298"/>
      <c r="P40" s="319"/>
      <c r="Q40" s="2"/>
    </row>
    <row r="41" spans="1:17" ht="62.4">
      <c r="A41" s="98"/>
      <c r="B41" s="116" t="s">
        <v>36</v>
      </c>
      <c r="C41" s="23" t="s">
        <v>2603</v>
      </c>
      <c r="D41" s="24" t="s">
        <v>3</v>
      </c>
      <c r="E41" s="32">
        <v>150</v>
      </c>
      <c r="F41" s="115">
        <v>150</v>
      </c>
      <c r="G41" s="26">
        <v>7.4999999999999997E-3</v>
      </c>
      <c r="H41" s="27">
        <f t="shared" ref="H41" si="4">SUM(E41*G41)</f>
        <v>1.125</v>
      </c>
      <c r="I41" s="315">
        <f>SUM(H42:H52)</f>
        <v>1.19085</v>
      </c>
      <c r="J41" s="316">
        <v>0.25</v>
      </c>
      <c r="K41" s="295">
        <v>2.0982400000000001</v>
      </c>
      <c r="L41" s="292">
        <f>SUM(G41:G52)</f>
        <v>60.301500000000004</v>
      </c>
      <c r="M41" s="292">
        <f>SUM(K41*L41)</f>
        <v>126.52701936000001</v>
      </c>
      <c r="N41" s="296">
        <f>SUM(L41+M41)</f>
        <v>186.82851936000003</v>
      </c>
      <c r="O41" s="307"/>
      <c r="P41" s="317">
        <f>SUM(N41-L41)</f>
        <v>126.52701936000003</v>
      </c>
      <c r="Q41" s="2"/>
    </row>
    <row r="42" spans="1:17" ht="63" thickBot="1">
      <c r="A42" s="98"/>
      <c r="B42" s="116"/>
      <c r="C42" s="23" t="s">
        <v>2631</v>
      </c>
      <c r="D42" s="24" t="s">
        <v>3</v>
      </c>
      <c r="E42" s="32">
        <v>3.0000000000000001E-3</v>
      </c>
      <c r="F42" s="115">
        <v>3.0000000000000001E-3</v>
      </c>
      <c r="G42" s="26">
        <v>21.95</v>
      </c>
      <c r="H42" s="27">
        <f t="shared" ref="H42" si="5">SUM(E42*G42)</f>
        <v>6.5850000000000006E-2</v>
      </c>
      <c r="I42" s="297"/>
      <c r="J42" s="297"/>
      <c r="K42" s="293"/>
      <c r="L42" s="293"/>
      <c r="M42" s="293"/>
      <c r="N42" s="297"/>
      <c r="O42" s="297"/>
      <c r="P42" s="318"/>
      <c r="Q42" s="2"/>
    </row>
    <row r="43" spans="1:17" ht="63" thickBot="1">
      <c r="A43" s="13"/>
      <c r="B43" s="14">
        <f ca="1">B43:H51</f>
        <v>0</v>
      </c>
      <c r="C43" s="14" t="s">
        <v>2676</v>
      </c>
      <c r="D43" s="118"/>
      <c r="E43" s="14"/>
      <c r="F43" s="93"/>
      <c r="G43" s="21"/>
      <c r="H43" s="27"/>
      <c r="I43" s="297"/>
      <c r="J43" s="297"/>
      <c r="K43" s="293"/>
      <c r="L43" s="293"/>
      <c r="M43" s="293"/>
      <c r="N43" s="297"/>
      <c r="O43" s="297"/>
      <c r="P43" s="318"/>
      <c r="Q43" s="2"/>
    </row>
    <row r="44" spans="1:17" ht="62.4">
      <c r="A44" s="98"/>
      <c r="B44" s="114" t="s">
        <v>15</v>
      </c>
      <c r="C44" s="17" t="s">
        <v>16</v>
      </c>
      <c r="D44" s="18" t="s">
        <v>3</v>
      </c>
      <c r="E44" s="19">
        <v>0</v>
      </c>
      <c r="F44" s="115">
        <f>(E43*E44)</f>
        <v>0</v>
      </c>
      <c r="G44" s="20">
        <v>2.59</v>
      </c>
      <c r="H44" s="27">
        <f t="shared" ref="H44:H48" si="6">SUM(G44*F44)</f>
        <v>0</v>
      </c>
      <c r="I44" s="297"/>
      <c r="J44" s="297"/>
      <c r="K44" s="293"/>
      <c r="L44" s="293"/>
      <c r="M44" s="293"/>
      <c r="N44" s="297"/>
      <c r="O44" s="297"/>
      <c r="P44" s="318"/>
      <c r="Q44" s="2"/>
    </row>
    <row r="45" spans="1:17" ht="62.4">
      <c r="A45" s="98"/>
      <c r="B45" s="116" t="s">
        <v>17</v>
      </c>
      <c r="C45" s="23" t="s">
        <v>18</v>
      </c>
      <c r="D45" s="24" t="s">
        <v>19</v>
      </c>
      <c r="E45" s="25">
        <v>6</v>
      </c>
      <c r="F45" s="115">
        <f>(E43*E45)</f>
        <v>0</v>
      </c>
      <c r="G45" s="26">
        <v>13.6</v>
      </c>
      <c r="H45" s="27">
        <f t="shared" si="6"/>
        <v>0</v>
      </c>
      <c r="I45" s="297"/>
      <c r="J45" s="297"/>
      <c r="K45" s="293"/>
      <c r="L45" s="293"/>
      <c r="M45" s="293"/>
      <c r="N45" s="297"/>
      <c r="O45" s="297"/>
      <c r="P45" s="318"/>
      <c r="Q45" s="2"/>
    </row>
    <row r="46" spans="1:17" ht="62.4">
      <c r="A46" s="98"/>
      <c r="B46" s="116" t="s">
        <v>20</v>
      </c>
      <c r="C46" s="23" t="s">
        <v>2625</v>
      </c>
      <c r="D46" s="24" t="s">
        <v>3</v>
      </c>
      <c r="E46" s="25">
        <v>150</v>
      </c>
      <c r="F46" s="115">
        <f>(E43*E46)</f>
        <v>0</v>
      </c>
      <c r="G46" s="26">
        <v>6.4999999999999997E-3</v>
      </c>
      <c r="H46" s="27">
        <f t="shared" si="6"/>
        <v>0</v>
      </c>
      <c r="I46" s="297"/>
      <c r="J46" s="297"/>
      <c r="K46" s="293"/>
      <c r="L46" s="293"/>
      <c r="M46" s="293"/>
      <c r="N46" s="297"/>
      <c r="O46" s="297"/>
      <c r="P46" s="318"/>
      <c r="Q46" s="2"/>
    </row>
    <row r="47" spans="1:17" ht="62.4">
      <c r="A47" s="98"/>
      <c r="B47" s="116" t="s">
        <v>22</v>
      </c>
      <c r="C47" s="23" t="s">
        <v>2603</v>
      </c>
      <c r="D47" s="24" t="s">
        <v>3</v>
      </c>
      <c r="E47" s="25">
        <v>150</v>
      </c>
      <c r="F47" s="115">
        <v>150</v>
      </c>
      <c r="G47" s="26">
        <v>7.4999999999999997E-3</v>
      </c>
      <c r="H47" s="27">
        <f t="shared" si="6"/>
        <v>1.125</v>
      </c>
      <c r="I47" s="297"/>
      <c r="J47" s="297"/>
      <c r="K47" s="293"/>
      <c r="L47" s="293"/>
      <c r="M47" s="293"/>
      <c r="N47" s="297"/>
      <c r="O47" s="297"/>
      <c r="P47" s="318"/>
      <c r="Q47" s="2"/>
    </row>
    <row r="48" spans="1:17" ht="62.4">
      <c r="A48" s="98"/>
      <c r="B48" s="116" t="s">
        <v>24</v>
      </c>
      <c r="C48" s="23" t="s">
        <v>2612</v>
      </c>
      <c r="D48" s="24" t="s">
        <v>3</v>
      </c>
      <c r="E48" s="25">
        <v>10</v>
      </c>
      <c r="F48" s="115">
        <f>(E43*E48)</f>
        <v>0</v>
      </c>
      <c r="G48" s="26">
        <v>0.19</v>
      </c>
      <c r="H48" s="27">
        <f t="shared" si="6"/>
        <v>0</v>
      </c>
      <c r="I48" s="297"/>
      <c r="J48" s="297"/>
      <c r="K48" s="293"/>
      <c r="L48" s="293"/>
      <c r="M48" s="293"/>
      <c r="N48" s="297"/>
      <c r="O48" s="297"/>
      <c r="P48" s="318"/>
      <c r="Q48" s="2"/>
    </row>
    <row r="49" spans="1:17" ht="62.4">
      <c r="A49" s="98"/>
      <c r="B49" s="116"/>
      <c r="C49" s="23" t="s">
        <v>2631</v>
      </c>
      <c r="D49" s="24" t="s">
        <v>47</v>
      </c>
      <c r="E49" s="25">
        <v>0.5</v>
      </c>
      <c r="F49" s="115">
        <v>3.3000000000000002E-2</v>
      </c>
      <c r="G49" s="26">
        <v>21.95</v>
      </c>
      <c r="H49" s="27"/>
      <c r="I49" s="297"/>
      <c r="J49" s="297"/>
      <c r="K49" s="293"/>
      <c r="L49" s="293"/>
      <c r="M49" s="293"/>
      <c r="N49" s="297"/>
      <c r="O49" s="297"/>
      <c r="P49" s="318"/>
      <c r="Q49" s="2"/>
    </row>
    <row r="50" spans="1:17" ht="62.4">
      <c r="A50" s="23" t="s">
        <v>2650</v>
      </c>
      <c r="B50" s="24" t="s">
        <v>3</v>
      </c>
      <c r="C50" s="23" t="s">
        <v>2668</v>
      </c>
      <c r="D50" s="115" t="s">
        <v>3</v>
      </c>
      <c r="E50" s="25">
        <v>10</v>
      </c>
      <c r="F50" s="27">
        <v>0.19</v>
      </c>
      <c r="G50" s="27"/>
      <c r="H50" s="27"/>
      <c r="I50" s="297"/>
      <c r="J50" s="297"/>
      <c r="K50" s="293"/>
      <c r="L50" s="293"/>
      <c r="M50" s="293"/>
      <c r="N50" s="297"/>
      <c r="O50" s="297"/>
      <c r="P50" s="318"/>
      <c r="Q50" s="2"/>
    </row>
    <row r="51" spans="1:17" ht="62.4">
      <c r="A51" s="23" t="s">
        <v>37</v>
      </c>
      <c r="B51" s="24" t="s">
        <v>3</v>
      </c>
      <c r="C51" s="23" t="s">
        <v>2677</v>
      </c>
      <c r="D51" s="115" t="s">
        <v>2678</v>
      </c>
      <c r="E51" s="25">
        <v>10</v>
      </c>
      <c r="F51" s="27">
        <v>0.3</v>
      </c>
      <c r="G51" s="27"/>
      <c r="H51" s="21"/>
      <c r="I51" s="297"/>
      <c r="J51" s="297"/>
      <c r="K51" s="293"/>
      <c r="L51" s="293"/>
      <c r="M51" s="293"/>
      <c r="N51" s="297"/>
      <c r="O51" s="297"/>
      <c r="P51" s="318"/>
      <c r="Q51" s="2"/>
    </row>
    <row r="52" spans="1:17" ht="63" thickBot="1">
      <c r="A52" s="114" t="s">
        <v>15</v>
      </c>
      <c r="B52" s="17"/>
      <c r="C52" s="18"/>
      <c r="D52" s="19"/>
      <c r="E52" s="115"/>
      <c r="F52" s="20"/>
      <c r="G52" s="21"/>
      <c r="H52" s="27"/>
      <c r="I52" s="298"/>
      <c r="J52" s="298"/>
      <c r="K52" s="294"/>
      <c r="L52" s="294"/>
      <c r="M52" s="294"/>
      <c r="N52" s="298"/>
      <c r="O52" s="298"/>
      <c r="P52" s="319"/>
      <c r="Q52" s="2"/>
    </row>
    <row r="53" spans="1:17" ht="63" thickBot="1">
      <c r="A53" s="13"/>
      <c r="B53" s="14">
        <f ca="1">B53:H61</f>
        <v>0</v>
      </c>
      <c r="C53" s="14" t="s">
        <v>2680</v>
      </c>
      <c r="D53" s="118"/>
      <c r="E53" s="14"/>
      <c r="F53" s="93"/>
      <c r="G53" s="21"/>
      <c r="H53" s="27"/>
      <c r="I53" s="315">
        <f>SUM(H54:H64)</f>
        <v>0.6</v>
      </c>
      <c r="J53" s="316">
        <v>0.25</v>
      </c>
      <c r="K53" s="295">
        <v>2.0982400000000001</v>
      </c>
      <c r="L53" s="292">
        <f>SUM(G53:G64)</f>
        <v>38.86399999999999</v>
      </c>
      <c r="M53" s="292">
        <f>SUM(K53*L53)</f>
        <v>81.545999359999982</v>
      </c>
      <c r="N53" s="296">
        <f>SUM(L53+M53)</f>
        <v>120.40999935999997</v>
      </c>
      <c r="O53" s="307">
        <f>IFERROR(M53/N53,"")</f>
        <v>0.67723610824209879</v>
      </c>
      <c r="P53" s="317">
        <f>SUM(N53-L53)</f>
        <v>81.545999359999982</v>
      </c>
      <c r="Q53" s="2"/>
    </row>
    <row r="54" spans="1:17" ht="62.4">
      <c r="A54" s="98"/>
      <c r="B54" s="114" t="s">
        <v>15</v>
      </c>
      <c r="C54" s="17" t="s">
        <v>16</v>
      </c>
      <c r="D54" s="18" t="s">
        <v>3</v>
      </c>
      <c r="E54" s="19">
        <v>0</v>
      </c>
      <c r="F54" s="115">
        <f>(E53*E54)</f>
        <v>0</v>
      </c>
      <c r="G54" s="20">
        <v>2.59</v>
      </c>
      <c r="H54" s="27">
        <f t="shared" ref="H54:H58" si="7">SUM(G54*F54)</f>
        <v>0</v>
      </c>
      <c r="I54" s="297"/>
      <c r="J54" s="297"/>
      <c r="K54" s="293"/>
      <c r="L54" s="293"/>
      <c r="M54" s="293"/>
      <c r="N54" s="297"/>
      <c r="O54" s="297"/>
      <c r="P54" s="318"/>
      <c r="Q54" s="2"/>
    </row>
    <row r="55" spans="1:17" ht="62.4">
      <c r="A55" s="98"/>
      <c r="B55" s="116" t="s">
        <v>17</v>
      </c>
      <c r="C55" s="23" t="s">
        <v>18</v>
      </c>
      <c r="D55" s="24" t="s">
        <v>19</v>
      </c>
      <c r="E55" s="25">
        <v>6</v>
      </c>
      <c r="F55" s="115">
        <f>(E53*E55)</f>
        <v>0</v>
      </c>
      <c r="G55" s="26">
        <v>13.6</v>
      </c>
      <c r="H55" s="27">
        <f t="shared" si="7"/>
        <v>0</v>
      </c>
      <c r="I55" s="297"/>
      <c r="J55" s="297"/>
      <c r="K55" s="293"/>
      <c r="L55" s="293"/>
      <c r="M55" s="293"/>
      <c r="N55" s="297"/>
      <c r="O55" s="297"/>
      <c r="P55" s="318"/>
      <c r="Q55" s="2"/>
    </row>
    <row r="56" spans="1:17" ht="62.4">
      <c r="A56" s="98"/>
      <c r="B56" s="116" t="s">
        <v>20</v>
      </c>
      <c r="C56" s="23" t="s">
        <v>2644</v>
      </c>
      <c r="D56" s="24" t="s">
        <v>3</v>
      </c>
      <c r="E56" s="25">
        <v>150</v>
      </c>
      <c r="F56" s="115">
        <f>(E53*E56)</f>
        <v>0</v>
      </c>
      <c r="G56" s="26">
        <v>0.04</v>
      </c>
      <c r="H56" s="27">
        <f t="shared" si="7"/>
        <v>0</v>
      </c>
      <c r="I56" s="297"/>
      <c r="J56" s="297"/>
      <c r="K56" s="293"/>
      <c r="L56" s="293"/>
      <c r="M56" s="293"/>
      <c r="N56" s="297"/>
      <c r="O56" s="297"/>
      <c r="P56" s="318"/>
      <c r="Q56" s="2"/>
    </row>
    <row r="57" spans="1:17" ht="62.4">
      <c r="A57" s="98"/>
      <c r="B57" s="116" t="s">
        <v>22</v>
      </c>
      <c r="C57" s="23" t="s">
        <v>2675</v>
      </c>
      <c r="D57" s="24" t="s">
        <v>3</v>
      </c>
      <c r="E57" s="25">
        <v>150</v>
      </c>
      <c r="F57" s="115">
        <v>150</v>
      </c>
      <c r="G57" s="26">
        <v>4.0000000000000001E-3</v>
      </c>
      <c r="H57" s="27">
        <f t="shared" si="7"/>
        <v>0.6</v>
      </c>
      <c r="I57" s="297"/>
      <c r="J57" s="297"/>
      <c r="K57" s="293"/>
      <c r="L57" s="293"/>
      <c r="M57" s="293"/>
      <c r="N57" s="297"/>
      <c r="O57" s="297"/>
      <c r="P57" s="318"/>
      <c r="Q57" s="2"/>
    </row>
    <row r="58" spans="1:17" ht="62.4">
      <c r="A58" s="98"/>
      <c r="B58" s="116" t="s">
        <v>24</v>
      </c>
      <c r="C58" s="23" t="s">
        <v>2650</v>
      </c>
      <c r="D58" s="24" t="s">
        <v>3</v>
      </c>
      <c r="E58" s="25">
        <v>10</v>
      </c>
      <c r="F58" s="115">
        <f>(E53*E58)</f>
        <v>0</v>
      </c>
      <c r="G58" s="26">
        <v>0.19</v>
      </c>
      <c r="H58" s="27">
        <f t="shared" si="7"/>
        <v>0</v>
      </c>
      <c r="I58" s="297"/>
      <c r="J58" s="297"/>
      <c r="K58" s="293"/>
      <c r="L58" s="293"/>
      <c r="M58" s="293"/>
      <c r="N58" s="297"/>
      <c r="O58" s="297"/>
      <c r="P58" s="318"/>
      <c r="Q58" s="2"/>
    </row>
    <row r="59" spans="1:17" ht="62.4">
      <c r="A59" s="98"/>
      <c r="B59" s="116"/>
      <c r="C59" s="23" t="s">
        <v>2631</v>
      </c>
      <c r="D59" s="24" t="s">
        <v>47</v>
      </c>
      <c r="E59" s="25">
        <v>0.5</v>
      </c>
      <c r="F59" s="115">
        <v>3.3000000000000002E-2</v>
      </c>
      <c r="G59" s="26">
        <v>21.95</v>
      </c>
      <c r="H59" s="27"/>
      <c r="I59" s="297"/>
      <c r="J59" s="297"/>
      <c r="K59" s="293"/>
      <c r="L59" s="293"/>
      <c r="M59" s="293"/>
      <c r="N59" s="297"/>
      <c r="O59" s="297"/>
      <c r="P59" s="318"/>
      <c r="Q59" s="2"/>
    </row>
    <row r="60" spans="1:17" ht="62.4">
      <c r="A60" s="23" t="s">
        <v>2650</v>
      </c>
      <c r="B60" s="24" t="s">
        <v>3</v>
      </c>
      <c r="C60" s="23" t="s">
        <v>2679</v>
      </c>
      <c r="D60" s="115" t="s">
        <v>3</v>
      </c>
      <c r="E60" s="25">
        <v>10</v>
      </c>
      <c r="F60" s="27">
        <v>0.19</v>
      </c>
      <c r="G60" s="27">
        <v>0.19</v>
      </c>
      <c r="H60" s="27"/>
      <c r="I60" s="297"/>
      <c r="J60" s="297"/>
      <c r="K60" s="293"/>
      <c r="L60" s="293"/>
      <c r="M60" s="293"/>
      <c r="N60" s="297"/>
      <c r="O60" s="297"/>
      <c r="P60" s="318"/>
      <c r="Q60" s="2"/>
    </row>
    <row r="61" spans="1:17" ht="62.4">
      <c r="A61" s="23" t="s">
        <v>37</v>
      </c>
      <c r="B61" s="24" t="s">
        <v>3</v>
      </c>
      <c r="C61" s="23" t="s">
        <v>2677</v>
      </c>
      <c r="D61" s="115" t="s">
        <v>2678</v>
      </c>
      <c r="E61" s="25">
        <v>10</v>
      </c>
      <c r="F61" s="27">
        <v>0.3</v>
      </c>
      <c r="G61" s="27">
        <v>0.3</v>
      </c>
      <c r="H61" s="21"/>
      <c r="I61" s="297"/>
      <c r="J61" s="297"/>
      <c r="K61" s="293"/>
      <c r="L61" s="293"/>
      <c r="M61" s="293"/>
      <c r="N61" s="297"/>
      <c r="O61" s="297"/>
      <c r="P61" s="318"/>
      <c r="Q61" s="2"/>
    </row>
    <row r="62" spans="1:17" ht="62.4">
      <c r="A62" s="98"/>
      <c r="B62" s="116"/>
      <c r="C62" s="23"/>
      <c r="D62" s="24"/>
      <c r="E62" s="25"/>
      <c r="F62" s="115"/>
      <c r="G62" s="26"/>
      <c r="H62" s="27"/>
      <c r="I62" s="297"/>
      <c r="J62" s="297"/>
      <c r="K62" s="293"/>
      <c r="L62" s="293"/>
      <c r="M62" s="293"/>
      <c r="N62" s="297"/>
      <c r="O62" s="297"/>
      <c r="P62" s="318"/>
      <c r="Q62" s="2"/>
    </row>
    <row r="63" spans="1:17" ht="62.4">
      <c r="A63" s="98"/>
      <c r="B63" s="116"/>
      <c r="C63" s="23"/>
      <c r="D63" s="24"/>
      <c r="E63" s="28"/>
      <c r="F63" s="115"/>
      <c r="G63" s="26"/>
      <c r="H63" s="27"/>
      <c r="I63" s="297"/>
      <c r="J63" s="297"/>
      <c r="K63" s="293"/>
      <c r="L63" s="293"/>
      <c r="M63" s="293"/>
      <c r="N63" s="297"/>
      <c r="O63" s="297"/>
      <c r="P63" s="318"/>
      <c r="Q63" s="2"/>
    </row>
    <row r="64" spans="1:17" ht="62.4">
      <c r="A64" s="98"/>
      <c r="B64" s="116"/>
      <c r="C64" s="23"/>
      <c r="D64" s="24"/>
      <c r="E64" s="32"/>
      <c r="F64" s="115"/>
      <c r="G64" s="26"/>
      <c r="H64" s="27"/>
      <c r="I64" s="298"/>
      <c r="J64" s="298"/>
      <c r="K64" s="294"/>
      <c r="L64" s="294"/>
      <c r="M64" s="294"/>
      <c r="N64" s="298"/>
      <c r="O64" s="298"/>
      <c r="P64" s="319"/>
      <c r="Q64" s="2"/>
    </row>
    <row r="65" spans="1:17" ht="14.25" customHeight="1">
      <c r="A65" s="98"/>
      <c r="B65" s="118"/>
      <c r="C65" s="13"/>
      <c r="D65" s="14"/>
      <c r="E65" s="14"/>
      <c r="F65" s="118"/>
      <c r="G65" s="14"/>
      <c r="H65" s="93"/>
      <c r="I65" s="315">
        <f>SUM(H66:H76)</f>
        <v>0</v>
      </c>
      <c r="J65" s="316">
        <v>0.25</v>
      </c>
      <c r="K65" s="295">
        <v>2.0982400000000001</v>
      </c>
      <c r="L65" s="292">
        <f>SUM(G65:G76)</f>
        <v>0</v>
      </c>
      <c r="M65" s="292">
        <f>SUM(K65*L65)</f>
        <v>0</v>
      </c>
      <c r="N65" s="296">
        <f>SUM(L65+M65)</f>
        <v>0</v>
      </c>
      <c r="O65" s="307" t="str">
        <f>IFERROR(M65/N65,"")</f>
        <v/>
      </c>
      <c r="P65" s="317">
        <f>SUM(N65-L65)</f>
        <v>0</v>
      </c>
      <c r="Q65" s="2"/>
    </row>
    <row r="66" spans="1:17" ht="62.4">
      <c r="A66" s="98"/>
      <c r="B66" s="114"/>
      <c r="C66" s="17"/>
      <c r="D66" s="18"/>
      <c r="E66" s="19"/>
      <c r="F66" s="115"/>
      <c r="G66" s="20"/>
      <c r="H66" s="21"/>
      <c r="I66" s="297"/>
      <c r="J66" s="297"/>
      <c r="K66" s="293"/>
      <c r="L66" s="293"/>
      <c r="M66" s="293"/>
      <c r="N66" s="297"/>
      <c r="O66" s="297"/>
      <c r="P66" s="318"/>
      <c r="Q66" s="2"/>
    </row>
    <row r="67" spans="1:17" ht="62.4">
      <c r="A67" s="98"/>
      <c r="B67" s="116"/>
      <c r="C67" s="23"/>
      <c r="D67" s="24"/>
      <c r="E67" s="25"/>
      <c r="F67" s="115"/>
      <c r="G67" s="26"/>
      <c r="H67" s="27"/>
      <c r="I67" s="297"/>
      <c r="J67" s="297"/>
      <c r="K67" s="293"/>
      <c r="L67" s="293"/>
      <c r="M67" s="293"/>
      <c r="N67" s="297"/>
      <c r="O67" s="297"/>
      <c r="P67" s="318"/>
      <c r="Q67" s="2"/>
    </row>
    <row r="68" spans="1:17" ht="62.4">
      <c r="A68" s="98"/>
      <c r="B68" s="116"/>
      <c r="C68" s="23"/>
      <c r="D68" s="24"/>
      <c r="E68" s="25"/>
      <c r="F68" s="115"/>
      <c r="G68" s="26"/>
      <c r="H68" s="27"/>
      <c r="I68" s="297"/>
      <c r="J68" s="297"/>
      <c r="K68" s="293"/>
      <c r="L68" s="293"/>
      <c r="M68" s="293"/>
      <c r="N68" s="297"/>
      <c r="O68" s="297"/>
      <c r="P68" s="318"/>
      <c r="Q68" s="2"/>
    </row>
    <row r="69" spans="1:17" ht="62.4">
      <c r="A69" s="98"/>
      <c r="B69" s="116"/>
      <c r="C69" s="23"/>
      <c r="D69" s="24"/>
      <c r="E69" s="25"/>
      <c r="F69" s="115"/>
      <c r="G69" s="26"/>
      <c r="H69" s="27"/>
      <c r="I69" s="297"/>
      <c r="J69" s="297"/>
      <c r="K69" s="293"/>
      <c r="L69" s="293"/>
      <c r="M69" s="293"/>
      <c r="N69" s="297"/>
      <c r="O69" s="297"/>
      <c r="P69" s="318"/>
      <c r="Q69" s="2"/>
    </row>
    <row r="70" spans="1:17" ht="62.4">
      <c r="A70" s="98"/>
      <c r="B70" s="116"/>
      <c r="C70" s="23"/>
      <c r="D70" s="24"/>
      <c r="E70" s="25"/>
      <c r="F70" s="115"/>
      <c r="G70" s="26"/>
      <c r="H70" s="27"/>
      <c r="I70" s="297"/>
      <c r="J70" s="297"/>
      <c r="K70" s="293"/>
      <c r="L70" s="293"/>
      <c r="M70" s="293"/>
      <c r="N70" s="297"/>
      <c r="O70" s="297"/>
      <c r="P70" s="318"/>
      <c r="Q70" s="2"/>
    </row>
    <row r="71" spans="1:17" ht="62.4">
      <c r="A71" s="98"/>
      <c r="B71" s="116"/>
      <c r="C71" s="23"/>
      <c r="D71" s="24"/>
      <c r="E71" s="25"/>
      <c r="F71" s="115"/>
      <c r="G71" s="26"/>
      <c r="H71" s="27"/>
      <c r="I71" s="297"/>
      <c r="J71" s="297"/>
      <c r="K71" s="293"/>
      <c r="L71" s="293"/>
      <c r="M71" s="293"/>
      <c r="N71" s="297"/>
      <c r="O71" s="297"/>
      <c r="P71" s="318"/>
      <c r="Q71" s="2"/>
    </row>
    <row r="72" spans="1:17" ht="62.4">
      <c r="A72" s="98"/>
      <c r="B72" s="116"/>
      <c r="C72" s="23"/>
      <c r="D72" s="24"/>
      <c r="E72" s="25"/>
      <c r="F72" s="115"/>
      <c r="G72" s="26"/>
      <c r="H72" s="27"/>
      <c r="I72" s="297"/>
      <c r="J72" s="297"/>
      <c r="K72" s="293"/>
      <c r="L72" s="293"/>
      <c r="M72" s="293"/>
      <c r="N72" s="297"/>
      <c r="O72" s="297"/>
      <c r="P72" s="318"/>
      <c r="Q72" s="2"/>
    </row>
    <row r="73" spans="1:17" ht="62.4">
      <c r="A73" s="98"/>
      <c r="B73" s="116"/>
      <c r="C73" s="23"/>
      <c r="D73" s="24"/>
      <c r="E73" s="25"/>
      <c r="F73" s="115"/>
      <c r="G73" s="26"/>
      <c r="H73" s="27"/>
      <c r="I73" s="297"/>
      <c r="J73" s="297"/>
      <c r="K73" s="293"/>
      <c r="L73" s="293"/>
      <c r="M73" s="293"/>
      <c r="N73" s="297"/>
      <c r="O73" s="297"/>
      <c r="P73" s="318"/>
      <c r="Q73" s="2"/>
    </row>
    <row r="74" spans="1:17" ht="62.4">
      <c r="A74" s="98"/>
      <c r="B74" s="116"/>
      <c r="C74" s="23"/>
      <c r="D74" s="24"/>
      <c r="E74" s="25"/>
      <c r="F74" s="115"/>
      <c r="G74" s="26"/>
      <c r="H74" s="27"/>
      <c r="I74" s="297"/>
      <c r="J74" s="297"/>
      <c r="K74" s="293"/>
      <c r="L74" s="293"/>
      <c r="M74" s="293"/>
      <c r="N74" s="297"/>
      <c r="O74" s="297"/>
      <c r="P74" s="318"/>
      <c r="Q74" s="2"/>
    </row>
    <row r="75" spans="1:17" ht="62.4">
      <c r="A75" s="98"/>
      <c r="B75" s="116"/>
      <c r="C75" s="23"/>
      <c r="D75" s="24"/>
      <c r="E75" s="28"/>
      <c r="F75" s="115"/>
      <c r="G75" s="26"/>
      <c r="H75" s="27"/>
      <c r="I75" s="297"/>
      <c r="J75" s="297"/>
      <c r="K75" s="293"/>
      <c r="L75" s="293"/>
      <c r="M75" s="293"/>
      <c r="N75" s="297"/>
      <c r="O75" s="297"/>
      <c r="P75" s="318"/>
      <c r="Q75" s="2"/>
    </row>
    <row r="76" spans="1:17" ht="62.4">
      <c r="A76" s="98"/>
      <c r="B76" s="117"/>
      <c r="C76" s="30"/>
      <c r="D76" s="31"/>
      <c r="E76" s="32"/>
      <c r="F76" s="129"/>
      <c r="G76" s="33"/>
      <c r="H76" s="34"/>
      <c r="I76" s="298"/>
      <c r="J76" s="298"/>
      <c r="K76" s="294"/>
      <c r="L76" s="294"/>
      <c r="M76" s="294"/>
      <c r="N76" s="298"/>
      <c r="O76" s="298"/>
      <c r="P76" s="319"/>
      <c r="Q76" s="2"/>
    </row>
    <row r="77" spans="1:17" ht="62.4">
      <c r="A77" s="98"/>
      <c r="B77" s="118"/>
      <c r="C77" s="13"/>
      <c r="D77" s="14"/>
      <c r="E77" s="14"/>
      <c r="F77" s="118"/>
      <c r="G77" s="14"/>
      <c r="H77" s="93"/>
      <c r="I77" s="315">
        <f>SUM(H78:H88)</f>
        <v>0</v>
      </c>
      <c r="J77" s="316">
        <v>0.25</v>
      </c>
      <c r="K77" s="295">
        <v>2.0982400000000001</v>
      </c>
      <c r="L77" s="292">
        <f>SUM(G77:G88)</f>
        <v>0</v>
      </c>
      <c r="M77" s="292">
        <f>SUM(K77*L77)</f>
        <v>0</v>
      </c>
      <c r="N77" s="296">
        <f>SUM(L77+M77)</f>
        <v>0</v>
      </c>
      <c r="O77" s="307" t="str">
        <f>IFERROR(M77/N77,"")</f>
        <v/>
      </c>
      <c r="P77" s="130"/>
      <c r="Q77" s="2"/>
    </row>
    <row r="78" spans="1:17" ht="62.4">
      <c r="A78" s="98"/>
      <c r="B78" s="114"/>
      <c r="C78" s="17"/>
      <c r="D78" s="18"/>
      <c r="E78" s="19"/>
      <c r="F78" s="115"/>
      <c r="G78" s="20"/>
      <c r="H78" s="21"/>
      <c r="I78" s="297"/>
      <c r="J78" s="297"/>
      <c r="K78" s="293"/>
      <c r="L78" s="293"/>
      <c r="M78" s="293"/>
      <c r="N78" s="297"/>
      <c r="O78" s="297"/>
      <c r="P78" s="130"/>
      <c r="Q78" s="2"/>
    </row>
    <row r="79" spans="1:17" ht="62.4">
      <c r="A79" s="98"/>
      <c r="B79" s="116"/>
      <c r="C79" s="23"/>
      <c r="D79" s="24"/>
      <c r="E79" s="25"/>
      <c r="F79" s="115"/>
      <c r="G79" s="26"/>
      <c r="H79" s="27"/>
      <c r="I79" s="297"/>
      <c r="J79" s="297"/>
      <c r="K79" s="293"/>
      <c r="L79" s="293"/>
      <c r="M79" s="293"/>
      <c r="N79" s="297"/>
      <c r="O79" s="297"/>
      <c r="P79" s="130"/>
      <c r="Q79" s="2"/>
    </row>
    <row r="80" spans="1:17" ht="62.4">
      <c r="A80" s="98"/>
      <c r="B80" s="116"/>
      <c r="C80" s="23"/>
      <c r="D80" s="24"/>
      <c r="E80" s="25"/>
      <c r="F80" s="115"/>
      <c r="G80" s="26"/>
      <c r="H80" s="27"/>
      <c r="I80" s="297"/>
      <c r="J80" s="297"/>
      <c r="K80" s="293"/>
      <c r="L80" s="293"/>
      <c r="M80" s="293"/>
      <c r="N80" s="297"/>
      <c r="O80" s="297"/>
      <c r="P80" s="130"/>
      <c r="Q80" s="2"/>
    </row>
    <row r="81" spans="1:17" ht="62.4">
      <c r="A81" s="98"/>
      <c r="B81" s="116"/>
      <c r="C81" s="23"/>
      <c r="D81" s="24"/>
      <c r="E81" s="25"/>
      <c r="F81" s="115"/>
      <c r="G81" s="26"/>
      <c r="H81" s="27"/>
      <c r="I81" s="297"/>
      <c r="J81" s="297"/>
      <c r="K81" s="293"/>
      <c r="L81" s="293"/>
      <c r="M81" s="293"/>
      <c r="N81" s="297"/>
      <c r="O81" s="297"/>
      <c r="P81" s="130"/>
      <c r="Q81" s="2"/>
    </row>
    <row r="82" spans="1:17" ht="62.4">
      <c r="A82" s="98"/>
      <c r="B82" s="116"/>
      <c r="C82" s="23"/>
      <c r="D82" s="24"/>
      <c r="E82" s="25"/>
      <c r="F82" s="115"/>
      <c r="G82" s="26"/>
      <c r="H82" s="27"/>
      <c r="I82" s="297"/>
      <c r="J82" s="297"/>
      <c r="K82" s="293"/>
      <c r="L82" s="293"/>
      <c r="M82" s="293"/>
      <c r="N82" s="297"/>
      <c r="O82" s="297"/>
      <c r="P82" s="130"/>
      <c r="Q82" s="2"/>
    </row>
    <row r="83" spans="1:17" ht="62.4">
      <c r="A83" s="98"/>
      <c r="B83" s="116"/>
      <c r="C83" s="23"/>
      <c r="D83" s="24"/>
      <c r="E83" s="25"/>
      <c r="F83" s="115"/>
      <c r="G83" s="26"/>
      <c r="H83" s="27"/>
      <c r="I83" s="297"/>
      <c r="J83" s="297"/>
      <c r="K83" s="293"/>
      <c r="L83" s="293"/>
      <c r="M83" s="293"/>
      <c r="N83" s="297"/>
      <c r="O83" s="297"/>
      <c r="P83" s="130"/>
      <c r="Q83" s="2"/>
    </row>
    <row r="84" spans="1:17" ht="62.4">
      <c r="A84" s="98"/>
      <c r="B84" s="116"/>
      <c r="C84" s="23"/>
      <c r="D84" s="24"/>
      <c r="E84" s="25"/>
      <c r="F84" s="115"/>
      <c r="G84" s="26"/>
      <c r="H84" s="27"/>
      <c r="I84" s="297"/>
      <c r="J84" s="297"/>
      <c r="K84" s="293"/>
      <c r="L84" s="293"/>
      <c r="M84" s="293"/>
      <c r="N84" s="297"/>
      <c r="O84" s="297"/>
      <c r="P84" s="130"/>
      <c r="Q84" s="2"/>
    </row>
    <row r="85" spans="1:17" ht="62.4">
      <c r="A85" s="98"/>
      <c r="B85" s="116"/>
      <c r="C85" s="23"/>
      <c r="D85" s="24"/>
      <c r="E85" s="25"/>
      <c r="F85" s="115"/>
      <c r="G85" s="26"/>
      <c r="H85" s="27"/>
      <c r="I85" s="297"/>
      <c r="J85" s="297"/>
      <c r="K85" s="293"/>
      <c r="L85" s="293"/>
      <c r="M85" s="293"/>
      <c r="N85" s="297"/>
      <c r="O85" s="297"/>
      <c r="P85" s="130"/>
      <c r="Q85" s="2"/>
    </row>
    <row r="86" spans="1:17" ht="62.4">
      <c r="A86" s="98"/>
      <c r="B86" s="116"/>
      <c r="C86" s="23"/>
      <c r="D86" s="24"/>
      <c r="E86" s="25"/>
      <c r="F86" s="115"/>
      <c r="G86" s="26"/>
      <c r="H86" s="27"/>
      <c r="I86" s="297"/>
      <c r="J86" s="297"/>
      <c r="K86" s="293"/>
      <c r="L86" s="293"/>
      <c r="M86" s="293"/>
      <c r="N86" s="297"/>
      <c r="O86" s="297"/>
      <c r="P86" s="130"/>
      <c r="Q86" s="2"/>
    </row>
    <row r="87" spans="1:17" ht="62.4">
      <c r="A87" s="98"/>
      <c r="B87" s="116"/>
      <c r="C87" s="23"/>
      <c r="D87" s="24"/>
      <c r="E87" s="28"/>
      <c r="F87" s="115"/>
      <c r="G87" s="26"/>
      <c r="H87" s="27"/>
      <c r="I87" s="297"/>
      <c r="J87" s="297"/>
      <c r="K87" s="293"/>
      <c r="L87" s="293"/>
      <c r="M87" s="293"/>
      <c r="N87" s="297"/>
      <c r="O87" s="297"/>
      <c r="P87" s="130"/>
      <c r="Q87" s="2"/>
    </row>
    <row r="88" spans="1:17" ht="62.4">
      <c r="A88" s="98"/>
      <c r="B88" s="117"/>
      <c r="C88" s="30"/>
      <c r="D88" s="31"/>
      <c r="E88" s="32"/>
      <c r="F88" s="129"/>
      <c r="G88" s="33"/>
      <c r="H88" s="34"/>
      <c r="I88" s="298"/>
      <c r="J88" s="298"/>
      <c r="K88" s="294"/>
      <c r="L88" s="294"/>
      <c r="M88" s="294"/>
      <c r="N88" s="298"/>
      <c r="O88" s="298"/>
      <c r="P88" s="130"/>
      <c r="Q88" s="2"/>
    </row>
    <row r="89" spans="1:17" ht="62.4">
      <c r="A89" s="98"/>
      <c r="B89" s="118"/>
      <c r="C89" s="13"/>
      <c r="D89" s="14"/>
      <c r="E89" s="14"/>
      <c r="F89" s="118"/>
      <c r="G89" s="131"/>
      <c r="H89" s="93"/>
      <c r="I89" s="315">
        <f>SUM(H90:H100)</f>
        <v>0</v>
      </c>
      <c r="J89" s="316">
        <v>0.25</v>
      </c>
      <c r="K89" s="295">
        <v>2.0982400000000001</v>
      </c>
      <c r="L89" s="292">
        <f>SUM(G89:G99)</f>
        <v>0</v>
      </c>
      <c r="M89" s="292">
        <f>SUM(K89*L89)</f>
        <v>0</v>
      </c>
      <c r="N89" s="296">
        <f>SUM(L89+M89)</f>
        <v>0</v>
      </c>
      <c r="O89" s="307" t="str">
        <f>IFERROR(M89/N89,"")</f>
        <v/>
      </c>
      <c r="P89" s="132"/>
      <c r="Q89" s="2"/>
    </row>
    <row r="90" spans="1:17" ht="62.4">
      <c r="A90" s="98"/>
      <c r="B90" s="114"/>
      <c r="C90" s="17"/>
      <c r="D90" s="18"/>
      <c r="E90" s="19"/>
      <c r="F90" s="115"/>
      <c r="G90" s="20"/>
      <c r="H90" s="21"/>
      <c r="I90" s="297"/>
      <c r="J90" s="297"/>
      <c r="K90" s="293"/>
      <c r="L90" s="293"/>
      <c r="M90" s="293"/>
      <c r="N90" s="297"/>
      <c r="O90" s="297"/>
      <c r="P90" s="132"/>
      <c r="Q90" s="2"/>
    </row>
    <row r="91" spans="1:17" ht="62.4">
      <c r="A91" s="98"/>
      <c r="B91" s="116"/>
      <c r="C91" s="23"/>
      <c r="D91" s="24"/>
      <c r="E91" s="25"/>
      <c r="F91" s="115"/>
      <c r="G91" s="26"/>
      <c r="H91" s="27"/>
      <c r="I91" s="297"/>
      <c r="J91" s="297"/>
      <c r="K91" s="293"/>
      <c r="L91" s="293"/>
      <c r="M91" s="293"/>
      <c r="N91" s="297"/>
      <c r="O91" s="297"/>
      <c r="P91" s="132"/>
      <c r="Q91" s="2"/>
    </row>
    <row r="92" spans="1:17" ht="62.4">
      <c r="A92" s="98"/>
      <c r="B92" s="116"/>
      <c r="C92" s="23"/>
      <c r="D92" s="24"/>
      <c r="E92" s="25"/>
      <c r="F92" s="115"/>
      <c r="G92" s="26"/>
      <c r="H92" s="27"/>
      <c r="I92" s="297"/>
      <c r="J92" s="297"/>
      <c r="K92" s="293"/>
      <c r="L92" s="293"/>
      <c r="M92" s="293"/>
      <c r="N92" s="297"/>
      <c r="O92" s="297"/>
      <c r="P92" s="132"/>
      <c r="Q92" s="2"/>
    </row>
    <row r="93" spans="1:17" ht="62.4">
      <c r="A93" s="98"/>
      <c r="B93" s="116"/>
      <c r="C93" s="23"/>
      <c r="D93" s="24"/>
      <c r="E93" s="25"/>
      <c r="F93" s="115"/>
      <c r="G93" s="26"/>
      <c r="H93" s="27"/>
      <c r="I93" s="297"/>
      <c r="J93" s="297"/>
      <c r="K93" s="293"/>
      <c r="L93" s="293"/>
      <c r="M93" s="293"/>
      <c r="N93" s="297"/>
      <c r="O93" s="297"/>
      <c r="P93" s="132"/>
      <c r="Q93" s="2"/>
    </row>
    <row r="94" spans="1:17" ht="62.4">
      <c r="A94" s="98"/>
      <c r="B94" s="116"/>
      <c r="C94" s="23"/>
      <c r="D94" s="24"/>
      <c r="E94" s="25"/>
      <c r="F94" s="115"/>
      <c r="G94" s="26"/>
      <c r="H94" s="27"/>
      <c r="I94" s="297"/>
      <c r="J94" s="297"/>
      <c r="K94" s="293"/>
      <c r="L94" s="293"/>
      <c r="M94" s="293"/>
      <c r="N94" s="297"/>
      <c r="O94" s="297"/>
      <c r="P94" s="132"/>
      <c r="Q94" s="2"/>
    </row>
    <row r="95" spans="1:17" ht="62.4">
      <c r="A95" s="98"/>
      <c r="B95" s="116"/>
      <c r="C95" s="23"/>
      <c r="D95" s="24"/>
      <c r="E95" s="25"/>
      <c r="F95" s="115"/>
      <c r="G95" s="26"/>
      <c r="H95" s="27"/>
      <c r="I95" s="297"/>
      <c r="J95" s="297"/>
      <c r="K95" s="293"/>
      <c r="L95" s="293"/>
      <c r="M95" s="293"/>
      <c r="N95" s="297"/>
      <c r="O95" s="297"/>
      <c r="P95" s="132"/>
      <c r="Q95" s="2"/>
    </row>
    <row r="96" spans="1:17" ht="62.4">
      <c r="A96" s="98"/>
      <c r="B96" s="116"/>
      <c r="C96" s="23"/>
      <c r="D96" s="24"/>
      <c r="E96" s="25"/>
      <c r="F96" s="115"/>
      <c r="G96" s="26"/>
      <c r="H96" s="27"/>
      <c r="I96" s="297"/>
      <c r="J96" s="297"/>
      <c r="K96" s="293"/>
      <c r="L96" s="293"/>
      <c r="M96" s="293"/>
      <c r="N96" s="297"/>
      <c r="O96" s="297"/>
      <c r="P96" s="132"/>
      <c r="Q96" s="2"/>
    </row>
    <row r="97" spans="1:17" ht="62.4">
      <c r="A97" s="98"/>
      <c r="B97" s="116"/>
      <c r="C97" s="23"/>
      <c r="D97" s="24"/>
      <c r="E97" s="25"/>
      <c r="F97" s="115"/>
      <c r="G97" s="26"/>
      <c r="H97" s="27"/>
      <c r="I97" s="297"/>
      <c r="J97" s="297"/>
      <c r="K97" s="293"/>
      <c r="L97" s="293"/>
      <c r="M97" s="293"/>
      <c r="N97" s="297"/>
      <c r="O97" s="297"/>
      <c r="P97" s="132"/>
      <c r="Q97" s="2"/>
    </row>
    <row r="98" spans="1:17" ht="62.4">
      <c r="A98" s="98"/>
      <c r="B98" s="116"/>
      <c r="C98" s="23"/>
      <c r="D98" s="24"/>
      <c r="E98" s="25"/>
      <c r="F98" s="115"/>
      <c r="G98" s="26"/>
      <c r="H98" s="27"/>
      <c r="I98" s="297"/>
      <c r="J98" s="297"/>
      <c r="K98" s="293"/>
      <c r="L98" s="293"/>
      <c r="M98" s="293"/>
      <c r="N98" s="297"/>
      <c r="O98" s="297"/>
      <c r="P98" s="132"/>
      <c r="Q98" s="2"/>
    </row>
    <row r="99" spans="1:17" ht="62.4">
      <c r="A99" s="98"/>
      <c r="B99" s="116"/>
      <c r="C99" s="23"/>
      <c r="D99" s="24"/>
      <c r="E99" s="28"/>
      <c r="F99" s="115"/>
      <c r="G99" s="26"/>
      <c r="H99" s="27"/>
      <c r="I99" s="297"/>
      <c r="J99" s="297"/>
      <c r="K99" s="294"/>
      <c r="L99" s="294"/>
      <c r="M99" s="294"/>
      <c r="N99" s="298"/>
      <c r="O99" s="297"/>
      <c r="P99" s="132"/>
      <c r="Q99" s="2"/>
    </row>
    <row r="100" spans="1:17" ht="62.4">
      <c r="A100" s="98"/>
      <c r="B100" s="133"/>
      <c r="C100" s="37"/>
      <c r="D100" s="95"/>
      <c r="E100" s="96"/>
      <c r="F100" s="134"/>
      <c r="G100" s="97"/>
      <c r="H100" s="41"/>
      <c r="I100" s="298"/>
      <c r="J100" s="298"/>
      <c r="K100" s="124"/>
      <c r="L100" s="125"/>
      <c r="M100" s="125"/>
      <c r="N100" s="126"/>
      <c r="O100" s="297"/>
      <c r="P100" s="132"/>
      <c r="Q100" s="2"/>
    </row>
    <row r="101" spans="1:17" ht="62.4">
      <c r="A101" s="98"/>
      <c r="B101" s="108"/>
      <c r="C101" s="109"/>
      <c r="D101" s="110"/>
      <c r="E101" s="110"/>
      <c r="F101" s="111"/>
      <c r="G101" s="112"/>
      <c r="H101" s="113"/>
      <c r="I101" s="315">
        <f>SUM(H102:H112)</f>
        <v>0</v>
      </c>
      <c r="J101" s="316"/>
      <c r="K101" s="295">
        <v>2.0982400000000001</v>
      </c>
      <c r="L101" s="292">
        <f>SUM(H101:H112)</f>
        <v>0</v>
      </c>
      <c r="M101" s="292">
        <f>SUM(K101*L101)</f>
        <v>0</v>
      </c>
      <c r="N101" s="296">
        <f>SUM(L101+M101)</f>
        <v>0</v>
      </c>
      <c r="O101" s="298"/>
      <c r="P101" s="317">
        <f>SUM(N101-L101)</f>
        <v>0</v>
      </c>
      <c r="Q101" s="314" t="s">
        <v>90</v>
      </c>
    </row>
    <row r="102" spans="1:17" ht="62.4">
      <c r="A102" s="98"/>
      <c r="B102" s="114"/>
      <c r="C102" s="17"/>
      <c r="D102" s="18"/>
      <c r="E102" s="19"/>
      <c r="F102" s="115"/>
      <c r="G102" s="20"/>
      <c r="H102" s="21"/>
      <c r="I102" s="297"/>
      <c r="J102" s="297"/>
      <c r="K102" s="293"/>
      <c r="L102" s="293"/>
      <c r="M102" s="293"/>
      <c r="N102" s="297"/>
      <c r="O102" s="307" t="str">
        <f>IFERROR(M102/N102,"")</f>
        <v/>
      </c>
      <c r="P102" s="318"/>
      <c r="Q102" s="303"/>
    </row>
    <row r="103" spans="1:17" ht="62.4">
      <c r="A103" s="98"/>
      <c r="B103" s="116"/>
      <c r="C103" s="23"/>
      <c r="D103" s="24"/>
      <c r="E103" s="25"/>
      <c r="F103" s="115"/>
      <c r="G103" s="26"/>
      <c r="H103" s="27"/>
      <c r="I103" s="297"/>
      <c r="J103" s="297"/>
      <c r="K103" s="293"/>
      <c r="L103" s="293"/>
      <c r="M103" s="293"/>
      <c r="N103" s="297"/>
      <c r="O103" s="297"/>
      <c r="P103" s="318"/>
      <c r="Q103" s="303"/>
    </row>
    <row r="104" spans="1:17" ht="62.4">
      <c r="A104" s="98"/>
      <c r="B104" s="116"/>
      <c r="C104" s="23"/>
      <c r="D104" s="24"/>
      <c r="E104" s="25"/>
      <c r="F104" s="115"/>
      <c r="G104" s="26"/>
      <c r="H104" s="27"/>
      <c r="I104" s="297"/>
      <c r="J104" s="297"/>
      <c r="K104" s="293"/>
      <c r="L104" s="293"/>
      <c r="M104" s="293"/>
      <c r="N104" s="297"/>
      <c r="O104" s="297"/>
      <c r="P104" s="318"/>
      <c r="Q104" s="303"/>
    </row>
    <row r="105" spans="1:17" ht="62.4">
      <c r="A105" s="98"/>
      <c r="B105" s="116"/>
      <c r="C105" s="23"/>
      <c r="D105" s="24"/>
      <c r="E105" s="25"/>
      <c r="F105" s="115"/>
      <c r="G105" s="26"/>
      <c r="H105" s="27"/>
      <c r="I105" s="297"/>
      <c r="J105" s="297"/>
      <c r="K105" s="293"/>
      <c r="L105" s="293"/>
      <c r="M105" s="293"/>
      <c r="N105" s="297"/>
      <c r="O105" s="297"/>
      <c r="P105" s="318"/>
      <c r="Q105" s="303"/>
    </row>
    <row r="106" spans="1:17" ht="62.4">
      <c r="A106" s="98"/>
      <c r="B106" s="116"/>
      <c r="C106" s="23"/>
      <c r="D106" s="24"/>
      <c r="E106" s="25"/>
      <c r="F106" s="115"/>
      <c r="G106" s="26"/>
      <c r="H106" s="27"/>
      <c r="I106" s="297"/>
      <c r="J106" s="297"/>
      <c r="K106" s="293"/>
      <c r="L106" s="293"/>
      <c r="M106" s="293"/>
      <c r="N106" s="297"/>
      <c r="O106" s="297"/>
      <c r="P106" s="318"/>
      <c r="Q106" s="303"/>
    </row>
    <row r="107" spans="1:17" ht="62.4">
      <c r="A107" s="98"/>
      <c r="B107" s="116"/>
      <c r="C107" s="23"/>
      <c r="D107" s="24"/>
      <c r="E107" s="25"/>
      <c r="F107" s="115"/>
      <c r="G107" s="26"/>
      <c r="H107" s="27"/>
      <c r="I107" s="297"/>
      <c r="J107" s="297"/>
      <c r="K107" s="293"/>
      <c r="L107" s="293"/>
      <c r="M107" s="293"/>
      <c r="N107" s="297"/>
      <c r="O107" s="297"/>
      <c r="P107" s="318"/>
      <c r="Q107" s="303"/>
    </row>
    <row r="108" spans="1:17" ht="62.4">
      <c r="A108" s="98"/>
      <c r="B108" s="116"/>
      <c r="C108" s="23"/>
      <c r="D108" s="24"/>
      <c r="E108" s="25"/>
      <c r="F108" s="115"/>
      <c r="G108" s="26"/>
      <c r="H108" s="27"/>
      <c r="I108" s="297"/>
      <c r="J108" s="297"/>
      <c r="K108" s="293"/>
      <c r="L108" s="293"/>
      <c r="M108" s="293"/>
      <c r="N108" s="297"/>
      <c r="O108" s="297"/>
      <c r="P108" s="318"/>
      <c r="Q108" s="303"/>
    </row>
    <row r="109" spans="1:17" ht="62.4">
      <c r="A109" s="98"/>
      <c r="B109" s="116"/>
      <c r="C109" s="23"/>
      <c r="D109" s="24"/>
      <c r="E109" s="25"/>
      <c r="F109" s="115"/>
      <c r="G109" s="26"/>
      <c r="H109" s="27"/>
      <c r="I109" s="297"/>
      <c r="J109" s="297"/>
      <c r="K109" s="293"/>
      <c r="L109" s="293"/>
      <c r="M109" s="293"/>
      <c r="N109" s="297"/>
      <c r="O109" s="297"/>
      <c r="P109" s="318"/>
      <c r="Q109" s="303"/>
    </row>
    <row r="110" spans="1:17" ht="62.4">
      <c r="A110" s="98"/>
      <c r="B110" s="116"/>
      <c r="C110" s="23"/>
      <c r="D110" s="24"/>
      <c r="E110" s="25"/>
      <c r="F110" s="115"/>
      <c r="G110" s="26"/>
      <c r="H110" s="27"/>
      <c r="I110" s="297"/>
      <c r="J110" s="297"/>
      <c r="K110" s="293"/>
      <c r="L110" s="293"/>
      <c r="M110" s="293"/>
      <c r="N110" s="297"/>
      <c r="O110" s="297"/>
      <c r="P110" s="318"/>
      <c r="Q110" s="303"/>
    </row>
    <row r="111" spans="1:17" ht="62.4">
      <c r="A111" s="98"/>
      <c r="B111" s="116"/>
      <c r="C111" s="23"/>
      <c r="D111" s="24"/>
      <c r="E111" s="28"/>
      <c r="F111" s="115"/>
      <c r="G111" s="26"/>
      <c r="H111" s="27"/>
      <c r="I111" s="297"/>
      <c r="J111" s="297"/>
      <c r="K111" s="293"/>
      <c r="L111" s="293"/>
      <c r="M111" s="293"/>
      <c r="N111" s="297"/>
      <c r="O111" s="297"/>
      <c r="P111" s="318"/>
      <c r="Q111" s="303"/>
    </row>
    <row r="112" spans="1:17" ht="62.4">
      <c r="A112" s="98"/>
      <c r="B112" s="117"/>
      <c r="C112" s="30"/>
      <c r="D112" s="31"/>
      <c r="E112" s="32"/>
      <c r="F112" s="115"/>
      <c r="G112" s="33"/>
      <c r="H112" s="34"/>
      <c r="I112" s="298"/>
      <c r="J112" s="298"/>
      <c r="K112" s="294"/>
      <c r="L112" s="294"/>
      <c r="M112" s="294"/>
      <c r="N112" s="298"/>
      <c r="O112" s="297"/>
      <c r="P112" s="319"/>
      <c r="Q112" s="303"/>
    </row>
    <row r="113" spans="1:17" ht="62.4">
      <c r="A113" s="98"/>
      <c r="B113" s="108"/>
      <c r="C113" s="109"/>
      <c r="D113" s="110"/>
      <c r="E113" s="110"/>
      <c r="F113" s="111"/>
      <c r="G113" s="112"/>
      <c r="H113" s="113"/>
      <c r="I113" s="315">
        <f>SUM(H114:H124)</f>
        <v>0</v>
      </c>
      <c r="J113" s="316"/>
      <c r="K113" s="295">
        <v>2.0982400000000001</v>
      </c>
      <c r="L113" s="292">
        <f>SUM(H113:H124)</f>
        <v>0</v>
      </c>
      <c r="M113" s="292">
        <f>SUM(K113*L113)</f>
        <v>0</v>
      </c>
      <c r="N113" s="296">
        <f>SUM(L113+M113)</f>
        <v>0</v>
      </c>
      <c r="O113" s="298"/>
      <c r="P113" s="317">
        <f>SUM(N113-L113)</f>
        <v>0</v>
      </c>
      <c r="Q113" s="98"/>
    </row>
    <row r="114" spans="1:17" ht="62.4">
      <c r="A114" s="98"/>
      <c r="B114" s="114"/>
      <c r="C114" s="17"/>
      <c r="D114" s="18"/>
      <c r="E114" s="19"/>
      <c r="F114" s="115"/>
      <c r="G114" s="20"/>
      <c r="H114" s="21"/>
      <c r="I114" s="297"/>
      <c r="J114" s="297"/>
      <c r="K114" s="293"/>
      <c r="L114" s="293"/>
      <c r="M114" s="293"/>
      <c r="N114" s="297"/>
      <c r="O114" s="307" t="str">
        <f>IFERROR(M114/N114,"")</f>
        <v/>
      </c>
      <c r="P114" s="318"/>
      <c r="Q114" s="98"/>
    </row>
    <row r="115" spans="1:17" ht="62.4">
      <c r="A115" s="98"/>
      <c r="B115" s="116"/>
      <c r="C115" s="23"/>
      <c r="D115" s="24"/>
      <c r="E115" s="25"/>
      <c r="F115" s="115"/>
      <c r="G115" s="26"/>
      <c r="H115" s="27"/>
      <c r="I115" s="297"/>
      <c r="J115" s="297"/>
      <c r="K115" s="293"/>
      <c r="L115" s="293"/>
      <c r="M115" s="293"/>
      <c r="N115" s="297"/>
      <c r="O115" s="297"/>
      <c r="P115" s="318"/>
      <c r="Q115" s="98"/>
    </row>
    <row r="116" spans="1:17" ht="62.4">
      <c r="A116" s="98"/>
      <c r="B116" s="116"/>
      <c r="C116" s="23"/>
      <c r="D116" s="24"/>
      <c r="E116" s="25"/>
      <c r="F116" s="115"/>
      <c r="G116" s="26"/>
      <c r="H116" s="27"/>
      <c r="I116" s="297"/>
      <c r="J116" s="297"/>
      <c r="K116" s="293"/>
      <c r="L116" s="293"/>
      <c r="M116" s="293"/>
      <c r="N116" s="297"/>
      <c r="O116" s="297"/>
      <c r="P116" s="318"/>
      <c r="Q116" s="98"/>
    </row>
    <row r="117" spans="1:17" ht="62.4">
      <c r="A117" s="98"/>
      <c r="B117" s="116"/>
      <c r="C117" s="23"/>
      <c r="D117" s="24"/>
      <c r="E117" s="25"/>
      <c r="F117" s="115"/>
      <c r="G117" s="26"/>
      <c r="H117" s="27"/>
      <c r="I117" s="297"/>
      <c r="J117" s="297"/>
      <c r="K117" s="293"/>
      <c r="L117" s="293"/>
      <c r="M117" s="293"/>
      <c r="N117" s="297"/>
      <c r="O117" s="297"/>
      <c r="P117" s="318"/>
      <c r="Q117" s="98"/>
    </row>
    <row r="118" spans="1:17" ht="62.4">
      <c r="A118" s="98"/>
      <c r="B118" s="116"/>
      <c r="C118" s="23"/>
      <c r="D118" s="24"/>
      <c r="E118" s="25"/>
      <c r="F118" s="115"/>
      <c r="G118" s="26"/>
      <c r="H118" s="27"/>
      <c r="I118" s="297"/>
      <c r="J118" s="297"/>
      <c r="K118" s="293"/>
      <c r="L118" s="293"/>
      <c r="M118" s="293"/>
      <c r="N118" s="297"/>
      <c r="O118" s="297"/>
      <c r="P118" s="318"/>
      <c r="Q118" s="98"/>
    </row>
    <row r="119" spans="1:17" ht="62.4">
      <c r="A119" s="98"/>
      <c r="B119" s="116"/>
      <c r="C119" s="23"/>
      <c r="D119" s="24"/>
      <c r="E119" s="25"/>
      <c r="F119" s="115"/>
      <c r="G119" s="26"/>
      <c r="H119" s="27"/>
      <c r="I119" s="297"/>
      <c r="J119" s="297"/>
      <c r="K119" s="293"/>
      <c r="L119" s="293"/>
      <c r="M119" s="293"/>
      <c r="N119" s="297"/>
      <c r="O119" s="297"/>
      <c r="P119" s="318"/>
      <c r="Q119" s="98"/>
    </row>
    <row r="120" spans="1:17" ht="62.4">
      <c r="A120" s="98"/>
      <c r="B120" s="116"/>
      <c r="C120" s="23"/>
      <c r="D120" s="24"/>
      <c r="E120" s="25"/>
      <c r="F120" s="115"/>
      <c r="G120" s="26"/>
      <c r="H120" s="27"/>
      <c r="I120" s="297"/>
      <c r="J120" s="297"/>
      <c r="K120" s="293"/>
      <c r="L120" s="293"/>
      <c r="M120" s="293"/>
      <c r="N120" s="297"/>
      <c r="O120" s="297"/>
      <c r="P120" s="318"/>
      <c r="Q120" s="98"/>
    </row>
    <row r="121" spans="1:17" ht="62.4">
      <c r="A121" s="98"/>
      <c r="B121" s="116"/>
      <c r="C121" s="23"/>
      <c r="D121" s="24"/>
      <c r="E121" s="25"/>
      <c r="F121" s="115"/>
      <c r="G121" s="26"/>
      <c r="H121" s="27"/>
      <c r="I121" s="297"/>
      <c r="J121" s="297"/>
      <c r="K121" s="293"/>
      <c r="L121" s="293"/>
      <c r="M121" s="293"/>
      <c r="N121" s="297"/>
      <c r="O121" s="297"/>
      <c r="P121" s="318"/>
      <c r="Q121" s="98"/>
    </row>
    <row r="122" spans="1:17" ht="62.4">
      <c r="A122" s="98"/>
      <c r="B122" s="116"/>
      <c r="C122" s="23"/>
      <c r="D122" s="24"/>
      <c r="E122" s="25"/>
      <c r="F122" s="115"/>
      <c r="G122" s="26"/>
      <c r="H122" s="27"/>
      <c r="I122" s="297"/>
      <c r="J122" s="297"/>
      <c r="K122" s="293"/>
      <c r="L122" s="293"/>
      <c r="M122" s="293"/>
      <c r="N122" s="297"/>
      <c r="O122" s="297"/>
      <c r="P122" s="318"/>
      <c r="Q122" s="98"/>
    </row>
    <row r="123" spans="1:17" ht="62.4">
      <c r="A123" s="98"/>
      <c r="B123" s="116"/>
      <c r="C123" s="23"/>
      <c r="D123" s="24"/>
      <c r="E123" s="28"/>
      <c r="F123" s="115"/>
      <c r="G123" s="26"/>
      <c r="H123" s="27"/>
      <c r="I123" s="297"/>
      <c r="J123" s="297"/>
      <c r="K123" s="293"/>
      <c r="L123" s="293"/>
      <c r="M123" s="293"/>
      <c r="N123" s="297"/>
      <c r="O123" s="297"/>
      <c r="P123" s="318"/>
      <c r="Q123" s="98"/>
    </row>
    <row r="124" spans="1:17" ht="62.4">
      <c r="A124" s="98"/>
      <c r="B124" s="117"/>
      <c r="C124" s="30"/>
      <c r="D124" s="31"/>
      <c r="E124" s="32"/>
      <c r="F124" s="115"/>
      <c r="G124" s="33"/>
      <c r="H124" s="34"/>
      <c r="I124" s="298"/>
      <c r="J124" s="298"/>
      <c r="K124" s="294"/>
      <c r="L124" s="294"/>
      <c r="M124" s="294"/>
      <c r="N124" s="298"/>
      <c r="O124" s="297"/>
      <c r="P124" s="319"/>
      <c r="Q124" s="98"/>
    </row>
    <row r="125" spans="1:17" ht="62.4">
      <c r="A125" s="98"/>
      <c r="B125" s="108"/>
      <c r="C125" s="109"/>
      <c r="D125" s="110"/>
      <c r="E125" s="110"/>
      <c r="F125" s="111"/>
      <c r="G125" s="112"/>
      <c r="H125" s="113"/>
      <c r="I125" s="315">
        <f>SUM(H126:H136)</f>
        <v>0</v>
      </c>
      <c r="J125" s="316">
        <v>0.25</v>
      </c>
      <c r="K125" s="295">
        <v>2.0982400000000001</v>
      </c>
      <c r="L125" s="292">
        <f>SUM(H125:H136)</f>
        <v>0</v>
      </c>
      <c r="M125" s="292">
        <f>SUM(K125*L125)</f>
        <v>0</v>
      </c>
      <c r="N125" s="296">
        <f>SUM(L125+M125)</f>
        <v>0</v>
      </c>
      <c r="O125" s="298"/>
      <c r="P125" s="317">
        <f>SUM(N125-L125)</f>
        <v>0</v>
      </c>
      <c r="Q125" s="2"/>
    </row>
    <row r="126" spans="1:17" ht="62.4">
      <c r="A126" s="98"/>
      <c r="B126" s="114"/>
      <c r="C126" s="17"/>
      <c r="D126" s="18"/>
      <c r="E126" s="19"/>
      <c r="F126" s="115"/>
      <c r="G126" s="20"/>
      <c r="H126" s="21"/>
      <c r="I126" s="297"/>
      <c r="J126" s="297"/>
      <c r="K126" s="293"/>
      <c r="L126" s="293"/>
      <c r="M126" s="293"/>
      <c r="N126" s="297"/>
      <c r="O126" s="307" t="str">
        <f>IFERROR(M126/N126,"")</f>
        <v/>
      </c>
      <c r="P126" s="318"/>
      <c r="Q126" s="2"/>
    </row>
    <row r="127" spans="1:17" ht="62.4">
      <c r="A127" s="98"/>
      <c r="B127" s="116"/>
      <c r="C127" s="23"/>
      <c r="D127" s="24"/>
      <c r="E127" s="25"/>
      <c r="F127" s="115"/>
      <c r="G127" s="26"/>
      <c r="H127" s="27"/>
      <c r="I127" s="297"/>
      <c r="J127" s="297"/>
      <c r="K127" s="293"/>
      <c r="L127" s="293"/>
      <c r="M127" s="293"/>
      <c r="N127" s="297"/>
      <c r="O127" s="297"/>
      <c r="P127" s="318"/>
      <c r="Q127" s="2"/>
    </row>
    <row r="128" spans="1:17" ht="62.4">
      <c r="A128" s="98"/>
      <c r="B128" s="116"/>
      <c r="C128" s="23"/>
      <c r="D128" s="24"/>
      <c r="E128" s="25"/>
      <c r="F128" s="115"/>
      <c r="G128" s="26"/>
      <c r="H128" s="27"/>
      <c r="I128" s="297"/>
      <c r="J128" s="297"/>
      <c r="K128" s="293"/>
      <c r="L128" s="293"/>
      <c r="M128" s="293"/>
      <c r="N128" s="297"/>
      <c r="O128" s="297"/>
      <c r="P128" s="318"/>
      <c r="Q128" s="2"/>
    </row>
    <row r="129" spans="1:17" ht="62.4">
      <c r="A129" s="98"/>
      <c r="B129" s="116"/>
      <c r="C129" s="23"/>
      <c r="D129" s="24"/>
      <c r="E129" s="25"/>
      <c r="F129" s="115"/>
      <c r="G129" s="26"/>
      <c r="H129" s="27"/>
      <c r="I129" s="297"/>
      <c r="J129" s="297"/>
      <c r="K129" s="293"/>
      <c r="L129" s="293"/>
      <c r="M129" s="293"/>
      <c r="N129" s="297"/>
      <c r="O129" s="297"/>
      <c r="P129" s="318"/>
      <c r="Q129" s="2"/>
    </row>
    <row r="130" spans="1:17" ht="62.4">
      <c r="A130" s="98"/>
      <c r="B130" s="116"/>
      <c r="C130" s="23"/>
      <c r="D130" s="24"/>
      <c r="E130" s="25"/>
      <c r="F130" s="115"/>
      <c r="G130" s="26"/>
      <c r="H130" s="27"/>
      <c r="I130" s="297"/>
      <c r="J130" s="297"/>
      <c r="K130" s="293"/>
      <c r="L130" s="293"/>
      <c r="M130" s="293"/>
      <c r="N130" s="297"/>
      <c r="O130" s="297"/>
      <c r="P130" s="318"/>
      <c r="Q130" s="2"/>
    </row>
    <row r="131" spans="1:17" ht="62.4">
      <c r="A131" s="98"/>
      <c r="B131" s="116"/>
      <c r="C131" s="23"/>
      <c r="D131" s="24"/>
      <c r="E131" s="25"/>
      <c r="F131" s="115"/>
      <c r="G131" s="26"/>
      <c r="H131" s="27"/>
      <c r="I131" s="297"/>
      <c r="J131" s="297"/>
      <c r="K131" s="293"/>
      <c r="L131" s="293"/>
      <c r="M131" s="293"/>
      <c r="N131" s="297"/>
      <c r="O131" s="297"/>
      <c r="P131" s="318"/>
      <c r="Q131" s="2"/>
    </row>
    <row r="132" spans="1:17" ht="62.4">
      <c r="A132" s="98"/>
      <c r="B132" s="116"/>
      <c r="C132" s="23"/>
      <c r="D132" s="24"/>
      <c r="E132" s="25"/>
      <c r="F132" s="115"/>
      <c r="G132" s="26"/>
      <c r="H132" s="27"/>
      <c r="I132" s="297"/>
      <c r="J132" s="297"/>
      <c r="K132" s="293"/>
      <c r="L132" s="293"/>
      <c r="M132" s="293"/>
      <c r="N132" s="297"/>
      <c r="O132" s="297"/>
      <c r="P132" s="318"/>
      <c r="Q132" s="2"/>
    </row>
    <row r="133" spans="1:17" ht="62.4">
      <c r="A133" s="98"/>
      <c r="B133" s="116"/>
      <c r="C133" s="23"/>
      <c r="D133" s="24"/>
      <c r="E133" s="25"/>
      <c r="F133" s="115"/>
      <c r="G133" s="26"/>
      <c r="H133" s="27"/>
      <c r="I133" s="297"/>
      <c r="J133" s="297"/>
      <c r="K133" s="293"/>
      <c r="L133" s="293"/>
      <c r="M133" s="293"/>
      <c r="N133" s="297"/>
      <c r="O133" s="297"/>
      <c r="P133" s="318"/>
      <c r="Q133" s="2"/>
    </row>
    <row r="134" spans="1:17" ht="62.4">
      <c r="A134" s="98"/>
      <c r="B134" s="116"/>
      <c r="C134" s="23"/>
      <c r="D134" s="24"/>
      <c r="E134" s="25"/>
      <c r="F134" s="115"/>
      <c r="G134" s="26"/>
      <c r="H134" s="27"/>
      <c r="I134" s="297"/>
      <c r="J134" s="297"/>
      <c r="K134" s="293"/>
      <c r="L134" s="293"/>
      <c r="M134" s="293"/>
      <c r="N134" s="297"/>
      <c r="O134" s="297"/>
      <c r="P134" s="318"/>
      <c r="Q134" s="2"/>
    </row>
    <row r="135" spans="1:17" ht="62.4">
      <c r="A135" s="98"/>
      <c r="B135" s="116"/>
      <c r="C135" s="23"/>
      <c r="D135" s="24"/>
      <c r="E135" s="28"/>
      <c r="F135" s="115"/>
      <c r="G135" s="26"/>
      <c r="H135" s="27"/>
      <c r="I135" s="297"/>
      <c r="J135" s="297"/>
      <c r="K135" s="293"/>
      <c r="L135" s="293"/>
      <c r="M135" s="293"/>
      <c r="N135" s="297"/>
      <c r="O135" s="297"/>
      <c r="P135" s="318"/>
      <c r="Q135" s="2"/>
    </row>
    <row r="136" spans="1:17" ht="62.4">
      <c r="A136" s="98"/>
      <c r="B136" s="117"/>
      <c r="C136" s="30"/>
      <c r="D136" s="31"/>
      <c r="E136" s="32"/>
      <c r="F136" s="115"/>
      <c r="G136" s="33"/>
      <c r="H136" s="34"/>
      <c r="I136" s="298"/>
      <c r="J136" s="298"/>
      <c r="K136" s="294"/>
      <c r="L136" s="294"/>
      <c r="M136" s="294"/>
      <c r="N136" s="298"/>
      <c r="O136" s="297"/>
      <c r="P136" s="319"/>
      <c r="Q136" s="2"/>
    </row>
    <row r="137" spans="1:17" ht="62.4">
      <c r="A137" s="98"/>
      <c r="B137" s="108"/>
      <c r="C137" s="109"/>
      <c r="D137" s="110"/>
      <c r="E137" s="110"/>
      <c r="F137" s="111"/>
      <c r="G137" s="112"/>
      <c r="H137" s="113"/>
      <c r="I137" s="315">
        <f>SUM(H138:H148)</f>
        <v>0</v>
      </c>
      <c r="J137" s="316">
        <v>0.25</v>
      </c>
      <c r="K137" s="295">
        <v>2.0982400000000001</v>
      </c>
      <c r="L137" s="292">
        <f>SUM(H137:H148)</f>
        <v>0</v>
      </c>
      <c r="M137" s="292">
        <f>SUM(K137*L137)</f>
        <v>0</v>
      </c>
      <c r="N137" s="296">
        <f>SUM(L137+M137)</f>
        <v>0</v>
      </c>
      <c r="O137" s="298"/>
      <c r="P137" s="317">
        <f>SUM(N137-L137)</f>
        <v>0</v>
      </c>
      <c r="Q137" s="2"/>
    </row>
    <row r="138" spans="1:17" ht="62.4">
      <c r="A138" s="98"/>
      <c r="B138" s="114"/>
      <c r="C138" s="17"/>
      <c r="D138" s="18"/>
      <c r="E138" s="19"/>
      <c r="F138" s="115"/>
      <c r="G138" s="20"/>
      <c r="H138" s="21"/>
      <c r="I138" s="297"/>
      <c r="J138" s="297"/>
      <c r="K138" s="293"/>
      <c r="L138" s="293"/>
      <c r="M138" s="293"/>
      <c r="N138" s="297"/>
      <c r="O138" s="307" t="str">
        <f>IFERROR(M138/N138,"")</f>
        <v/>
      </c>
      <c r="P138" s="318"/>
      <c r="Q138" s="2"/>
    </row>
    <row r="139" spans="1:17" ht="62.4">
      <c r="A139" s="98"/>
      <c r="B139" s="116"/>
      <c r="C139" s="23"/>
      <c r="D139" s="24"/>
      <c r="E139" s="25"/>
      <c r="F139" s="115"/>
      <c r="G139" s="26"/>
      <c r="H139" s="27"/>
      <c r="I139" s="297"/>
      <c r="J139" s="297"/>
      <c r="K139" s="293"/>
      <c r="L139" s="293"/>
      <c r="M139" s="293"/>
      <c r="N139" s="297"/>
      <c r="O139" s="297"/>
      <c r="P139" s="318"/>
      <c r="Q139" s="2"/>
    </row>
    <row r="140" spans="1:17" ht="62.4">
      <c r="A140" s="98"/>
      <c r="B140" s="116"/>
      <c r="C140" s="23"/>
      <c r="D140" s="24"/>
      <c r="E140" s="25"/>
      <c r="F140" s="115"/>
      <c r="G140" s="26"/>
      <c r="H140" s="27"/>
      <c r="I140" s="297"/>
      <c r="J140" s="297"/>
      <c r="K140" s="293"/>
      <c r="L140" s="293"/>
      <c r="M140" s="293"/>
      <c r="N140" s="297"/>
      <c r="O140" s="297"/>
      <c r="P140" s="318"/>
      <c r="Q140" s="2"/>
    </row>
    <row r="141" spans="1:17" ht="62.4">
      <c r="A141" s="98"/>
      <c r="B141" s="116"/>
      <c r="C141" s="23"/>
      <c r="D141" s="24"/>
      <c r="E141" s="25"/>
      <c r="F141" s="115"/>
      <c r="G141" s="26"/>
      <c r="H141" s="27"/>
      <c r="I141" s="297"/>
      <c r="J141" s="297"/>
      <c r="K141" s="293"/>
      <c r="L141" s="293"/>
      <c r="M141" s="293"/>
      <c r="N141" s="297"/>
      <c r="O141" s="297"/>
      <c r="P141" s="318"/>
      <c r="Q141" s="2"/>
    </row>
    <row r="142" spans="1:17" ht="62.4">
      <c r="A142" s="98"/>
      <c r="B142" s="116"/>
      <c r="C142" s="23"/>
      <c r="D142" s="24"/>
      <c r="E142" s="25"/>
      <c r="F142" s="115"/>
      <c r="G142" s="26"/>
      <c r="H142" s="27"/>
      <c r="I142" s="297"/>
      <c r="J142" s="297"/>
      <c r="K142" s="293"/>
      <c r="L142" s="293"/>
      <c r="M142" s="293"/>
      <c r="N142" s="297"/>
      <c r="O142" s="297"/>
      <c r="P142" s="318"/>
      <c r="Q142" s="2"/>
    </row>
    <row r="143" spans="1:17" ht="62.4">
      <c r="A143" s="98"/>
      <c r="B143" s="116"/>
      <c r="C143" s="23"/>
      <c r="D143" s="24"/>
      <c r="E143" s="25"/>
      <c r="F143" s="115"/>
      <c r="G143" s="26"/>
      <c r="H143" s="27"/>
      <c r="I143" s="297"/>
      <c r="J143" s="297"/>
      <c r="K143" s="293"/>
      <c r="L143" s="293"/>
      <c r="M143" s="293"/>
      <c r="N143" s="297"/>
      <c r="O143" s="297"/>
      <c r="P143" s="318"/>
      <c r="Q143" s="2"/>
    </row>
    <row r="144" spans="1:17" ht="62.4">
      <c r="A144" s="98"/>
      <c r="B144" s="116"/>
      <c r="C144" s="23"/>
      <c r="D144" s="24"/>
      <c r="E144" s="25"/>
      <c r="F144" s="115"/>
      <c r="G144" s="26"/>
      <c r="H144" s="27"/>
      <c r="I144" s="297"/>
      <c r="J144" s="297"/>
      <c r="K144" s="293"/>
      <c r="L144" s="293"/>
      <c r="M144" s="293"/>
      <c r="N144" s="297"/>
      <c r="O144" s="297"/>
      <c r="P144" s="318"/>
      <c r="Q144" s="2"/>
    </row>
    <row r="145" spans="1:17" ht="62.4">
      <c r="A145" s="98"/>
      <c r="B145" s="116"/>
      <c r="C145" s="23"/>
      <c r="D145" s="24"/>
      <c r="E145" s="25"/>
      <c r="F145" s="115"/>
      <c r="G145" s="26"/>
      <c r="H145" s="27"/>
      <c r="I145" s="297"/>
      <c r="J145" s="297"/>
      <c r="K145" s="293"/>
      <c r="L145" s="293"/>
      <c r="M145" s="293"/>
      <c r="N145" s="297"/>
      <c r="O145" s="297"/>
      <c r="P145" s="318"/>
      <c r="Q145" s="2"/>
    </row>
    <row r="146" spans="1:17" ht="62.4">
      <c r="A146" s="98"/>
      <c r="B146" s="116"/>
      <c r="C146" s="23"/>
      <c r="D146" s="24"/>
      <c r="E146" s="25"/>
      <c r="F146" s="115"/>
      <c r="G146" s="26"/>
      <c r="H146" s="27"/>
      <c r="I146" s="297"/>
      <c r="J146" s="297"/>
      <c r="K146" s="293"/>
      <c r="L146" s="293"/>
      <c r="M146" s="293"/>
      <c r="N146" s="297"/>
      <c r="O146" s="297"/>
      <c r="P146" s="318"/>
      <c r="Q146" s="2"/>
    </row>
    <row r="147" spans="1:17" ht="62.4">
      <c r="A147" s="98"/>
      <c r="B147" s="116"/>
      <c r="C147" s="23"/>
      <c r="D147" s="24"/>
      <c r="E147" s="28"/>
      <c r="F147" s="115"/>
      <c r="G147" s="26"/>
      <c r="H147" s="27"/>
      <c r="I147" s="297"/>
      <c r="J147" s="297"/>
      <c r="K147" s="293"/>
      <c r="L147" s="293"/>
      <c r="M147" s="293"/>
      <c r="N147" s="297"/>
      <c r="O147" s="297"/>
      <c r="P147" s="318"/>
      <c r="Q147" s="2"/>
    </row>
    <row r="148" spans="1:17" ht="62.4">
      <c r="A148" s="98"/>
      <c r="B148" s="117"/>
      <c r="C148" s="30"/>
      <c r="D148" s="31"/>
      <c r="E148" s="32"/>
      <c r="F148" s="115"/>
      <c r="G148" s="33"/>
      <c r="H148" s="34"/>
      <c r="I148" s="298"/>
      <c r="J148" s="298"/>
      <c r="K148" s="294"/>
      <c r="L148" s="294"/>
      <c r="M148" s="294"/>
      <c r="N148" s="298"/>
      <c r="O148" s="298"/>
      <c r="P148" s="319"/>
      <c r="Q148" s="2"/>
    </row>
    <row r="149" spans="1:17" ht="62.4">
      <c r="A149" s="98"/>
      <c r="B149" s="108"/>
      <c r="C149" s="109"/>
      <c r="D149" s="110"/>
      <c r="E149" s="110"/>
      <c r="F149" s="111"/>
      <c r="G149" s="112"/>
      <c r="H149" s="113"/>
      <c r="I149" s="315">
        <f>SUM(H150:H160)</f>
        <v>0</v>
      </c>
      <c r="J149" s="316">
        <v>0.25</v>
      </c>
      <c r="K149" s="295">
        <v>2.0982400000000001</v>
      </c>
      <c r="L149" s="292">
        <f>SUM(H149:H160)</f>
        <v>0</v>
      </c>
      <c r="M149" s="292">
        <f>SUM(K149*L149)</f>
        <v>0</v>
      </c>
      <c r="N149" s="296">
        <f>SUM(L149+M149)</f>
        <v>0</v>
      </c>
      <c r="O149" s="307" t="str">
        <f>IFERROR(M149/N149,"")</f>
        <v/>
      </c>
      <c r="P149" s="317">
        <f>SUM(N149-L149)</f>
        <v>0</v>
      </c>
      <c r="Q149" s="2"/>
    </row>
    <row r="150" spans="1:17" ht="62.4">
      <c r="A150" s="98"/>
      <c r="B150" s="114"/>
      <c r="C150" s="17"/>
      <c r="D150" s="18"/>
      <c r="E150" s="19"/>
      <c r="F150" s="115"/>
      <c r="G150" s="20"/>
      <c r="H150" s="21"/>
      <c r="I150" s="297"/>
      <c r="J150" s="297"/>
      <c r="K150" s="293"/>
      <c r="L150" s="293"/>
      <c r="M150" s="293"/>
      <c r="N150" s="297"/>
      <c r="O150" s="297"/>
      <c r="P150" s="318"/>
      <c r="Q150" s="2"/>
    </row>
    <row r="151" spans="1:17" ht="62.4">
      <c r="A151" s="98"/>
      <c r="B151" s="116"/>
      <c r="C151" s="23"/>
      <c r="D151" s="24"/>
      <c r="E151" s="25"/>
      <c r="F151" s="115"/>
      <c r="G151" s="26"/>
      <c r="H151" s="21"/>
      <c r="I151" s="297"/>
      <c r="J151" s="297"/>
      <c r="K151" s="293"/>
      <c r="L151" s="293"/>
      <c r="M151" s="293"/>
      <c r="N151" s="297"/>
      <c r="O151" s="297"/>
      <c r="P151" s="318"/>
      <c r="Q151" s="2"/>
    </row>
    <row r="152" spans="1:17" ht="62.4">
      <c r="A152" s="98"/>
      <c r="B152" s="116"/>
      <c r="C152" s="23"/>
      <c r="D152" s="24"/>
      <c r="E152" s="25"/>
      <c r="F152" s="115"/>
      <c r="G152" s="26"/>
      <c r="H152" s="21"/>
      <c r="I152" s="297"/>
      <c r="J152" s="297"/>
      <c r="K152" s="293"/>
      <c r="L152" s="293"/>
      <c r="M152" s="293"/>
      <c r="N152" s="297"/>
      <c r="O152" s="297"/>
      <c r="P152" s="318"/>
      <c r="Q152" s="2"/>
    </row>
    <row r="153" spans="1:17" ht="62.4">
      <c r="A153" s="98"/>
      <c r="B153" s="116"/>
      <c r="C153" s="23"/>
      <c r="D153" s="24"/>
      <c r="E153" s="25"/>
      <c r="F153" s="115"/>
      <c r="G153" s="26"/>
      <c r="H153" s="21"/>
      <c r="I153" s="297"/>
      <c r="J153" s="297"/>
      <c r="K153" s="293"/>
      <c r="L153" s="293"/>
      <c r="M153" s="293"/>
      <c r="N153" s="297"/>
      <c r="O153" s="297"/>
      <c r="P153" s="318"/>
      <c r="Q153" s="2"/>
    </row>
    <row r="154" spans="1:17" ht="62.4">
      <c r="A154" s="98"/>
      <c r="B154" s="116"/>
      <c r="C154" s="23"/>
      <c r="D154" s="24"/>
      <c r="E154" s="25"/>
      <c r="F154" s="115"/>
      <c r="G154" s="26"/>
      <c r="H154" s="21"/>
      <c r="I154" s="297"/>
      <c r="J154" s="297"/>
      <c r="K154" s="293"/>
      <c r="L154" s="293"/>
      <c r="M154" s="293"/>
      <c r="N154" s="297"/>
      <c r="O154" s="297"/>
      <c r="P154" s="318"/>
      <c r="Q154" s="2"/>
    </row>
    <row r="155" spans="1:17" ht="62.4">
      <c r="A155" s="98"/>
      <c r="B155" s="116"/>
      <c r="C155" s="23"/>
      <c r="D155" s="24"/>
      <c r="E155" s="25"/>
      <c r="F155" s="115"/>
      <c r="G155" s="26"/>
      <c r="H155" s="21"/>
      <c r="I155" s="297"/>
      <c r="J155" s="297"/>
      <c r="K155" s="293"/>
      <c r="L155" s="293"/>
      <c r="M155" s="293"/>
      <c r="N155" s="297"/>
      <c r="O155" s="297"/>
      <c r="P155" s="318"/>
      <c r="Q155" s="2"/>
    </row>
    <row r="156" spans="1:17" ht="62.4">
      <c r="A156" s="98"/>
      <c r="B156" s="116"/>
      <c r="C156" s="23"/>
      <c r="D156" s="24"/>
      <c r="E156" s="25"/>
      <c r="F156" s="115"/>
      <c r="G156" s="26"/>
      <c r="H156" s="21"/>
      <c r="I156" s="297"/>
      <c r="J156" s="297"/>
      <c r="K156" s="293"/>
      <c r="L156" s="293"/>
      <c r="M156" s="293"/>
      <c r="N156" s="297"/>
      <c r="O156" s="297"/>
      <c r="P156" s="318"/>
      <c r="Q156" s="2"/>
    </row>
    <row r="157" spans="1:17" ht="62.4">
      <c r="A157" s="98"/>
      <c r="B157" s="116"/>
      <c r="C157" s="23"/>
      <c r="D157" s="24"/>
      <c r="E157" s="25"/>
      <c r="F157" s="115"/>
      <c r="G157" s="26"/>
      <c r="H157" s="21"/>
      <c r="I157" s="297"/>
      <c r="J157" s="297"/>
      <c r="K157" s="293"/>
      <c r="L157" s="293"/>
      <c r="M157" s="293"/>
      <c r="N157" s="297"/>
      <c r="O157" s="297"/>
      <c r="P157" s="318"/>
      <c r="Q157" s="2"/>
    </row>
    <row r="158" spans="1:17" ht="62.4">
      <c r="A158" s="98"/>
      <c r="B158" s="116"/>
      <c r="C158" s="23"/>
      <c r="D158" s="24"/>
      <c r="E158" s="25"/>
      <c r="F158" s="115"/>
      <c r="G158" s="26"/>
      <c r="H158" s="21"/>
      <c r="I158" s="297"/>
      <c r="J158" s="297"/>
      <c r="K158" s="293"/>
      <c r="L158" s="293"/>
      <c r="M158" s="293"/>
      <c r="N158" s="297"/>
      <c r="O158" s="297"/>
      <c r="P158" s="318"/>
      <c r="Q158" s="2"/>
    </row>
    <row r="159" spans="1:17" ht="62.4">
      <c r="A159" s="98"/>
      <c r="B159" s="116"/>
      <c r="C159" s="23"/>
      <c r="D159" s="24"/>
      <c r="E159" s="28"/>
      <c r="F159" s="115"/>
      <c r="G159" s="26"/>
      <c r="H159" s="21"/>
      <c r="I159" s="297"/>
      <c r="J159" s="297"/>
      <c r="K159" s="293"/>
      <c r="L159" s="293"/>
      <c r="M159" s="293"/>
      <c r="N159" s="297"/>
      <c r="O159" s="297"/>
      <c r="P159" s="318"/>
      <c r="Q159" s="2"/>
    </row>
    <row r="160" spans="1:17" ht="62.4">
      <c r="A160" s="98"/>
      <c r="B160" s="117"/>
      <c r="C160" s="30"/>
      <c r="D160" s="31"/>
      <c r="E160" s="32"/>
      <c r="F160" s="115"/>
      <c r="G160" s="33"/>
      <c r="H160" s="21"/>
      <c r="I160" s="298"/>
      <c r="J160" s="298"/>
      <c r="K160" s="294"/>
      <c r="L160" s="294"/>
      <c r="M160" s="294"/>
      <c r="N160" s="298"/>
      <c r="O160" s="298"/>
      <c r="P160" s="319"/>
      <c r="Q160" s="2"/>
    </row>
    <row r="161" spans="1:17" ht="62.4">
      <c r="A161" s="98"/>
      <c r="B161" s="108"/>
      <c r="C161" s="109"/>
      <c r="D161" s="110"/>
      <c r="E161" s="110"/>
      <c r="F161" s="111"/>
      <c r="G161" s="112"/>
      <c r="H161" s="113"/>
      <c r="I161" s="315">
        <f>SUM(H162:H172)</f>
        <v>0</v>
      </c>
      <c r="J161" s="316">
        <v>0.25</v>
      </c>
      <c r="K161" s="295">
        <v>2.0982400000000001</v>
      </c>
      <c r="L161" s="292">
        <f>SUM(H161:H172)</f>
        <v>0</v>
      </c>
      <c r="M161" s="292">
        <f>SUM(K161*L161)</f>
        <v>0</v>
      </c>
      <c r="N161" s="296">
        <f>SUM(L161+M161)</f>
        <v>0</v>
      </c>
      <c r="O161" s="307" t="str">
        <f>IFERROR(M161/N161,"")</f>
        <v/>
      </c>
      <c r="P161" s="317">
        <f>SUM(N161-L161)</f>
        <v>0</v>
      </c>
      <c r="Q161" s="2"/>
    </row>
    <row r="162" spans="1:17" ht="62.4">
      <c r="A162" s="98"/>
      <c r="B162" s="114"/>
      <c r="C162" s="17"/>
      <c r="D162" s="18"/>
      <c r="E162" s="19"/>
      <c r="F162" s="115"/>
      <c r="G162" s="20"/>
      <c r="H162" s="21"/>
      <c r="I162" s="297"/>
      <c r="J162" s="297"/>
      <c r="K162" s="293"/>
      <c r="L162" s="293"/>
      <c r="M162" s="293"/>
      <c r="N162" s="297"/>
      <c r="O162" s="297"/>
      <c r="P162" s="318"/>
      <c r="Q162" s="2"/>
    </row>
    <row r="163" spans="1:17" ht="62.4">
      <c r="A163" s="98"/>
      <c r="B163" s="116"/>
      <c r="C163" s="23"/>
      <c r="D163" s="24"/>
      <c r="E163" s="25"/>
      <c r="F163" s="115"/>
      <c r="G163" s="26"/>
      <c r="H163" s="21"/>
      <c r="I163" s="297"/>
      <c r="J163" s="297"/>
      <c r="K163" s="293"/>
      <c r="L163" s="293"/>
      <c r="M163" s="293"/>
      <c r="N163" s="297"/>
      <c r="O163" s="297"/>
      <c r="P163" s="318"/>
      <c r="Q163" s="2"/>
    </row>
    <row r="164" spans="1:17" ht="62.4">
      <c r="A164" s="98"/>
      <c r="B164" s="116"/>
      <c r="C164" s="23"/>
      <c r="D164" s="24"/>
      <c r="E164" s="25"/>
      <c r="F164" s="115"/>
      <c r="G164" s="26"/>
      <c r="H164" s="21"/>
      <c r="I164" s="297"/>
      <c r="J164" s="297"/>
      <c r="K164" s="293"/>
      <c r="L164" s="293"/>
      <c r="M164" s="293"/>
      <c r="N164" s="297"/>
      <c r="O164" s="297"/>
      <c r="P164" s="318"/>
      <c r="Q164" s="2"/>
    </row>
    <row r="165" spans="1:17" ht="62.4">
      <c r="A165" s="98"/>
      <c r="B165" s="116"/>
      <c r="C165" s="23"/>
      <c r="D165" s="24"/>
      <c r="E165" s="25"/>
      <c r="F165" s="115"/>
      <c r="G165" s="26"/>
      <c r="H165" s="21"/>
      <c r="I165" s="297"/>
      <c r="J165" s="297"/>
      <c r="K165" s="293"/>
      <c r="L165" s="293"/>
      <c r="M165" s="293"/>
      <c r="N165" s="297"/>
      <c r="O165" s="297"/>
      <c r="P165" s="318"/>
      <c r="Q165" s="2"/>
    </row>
    <row r="166" spans="1:17" ht="62.4">
      <c r="A166" s="98"/>
      <c r="B166" s="116"/>
      <c r="C166" s="23"/>
      <c r="D166" s="24"/>
      <c r="E166" s="25"/>
      <c r="F166" s="115"/>
      <c r="G166" s="26"/>
      <c r="H166" s="21"/>
      <c r="I166" s="297"/>
      <c r="J166" s="297"/>
      <c r="K166" s="293"/>
      <c r="L166" s="293"/>
      <c r="M166" s="293"/>
      <c r="N166" s="297"/>
      <c r="O166" s="297"/>
      <c r="P166" s="318"/>
      <c r="Q166" s="2"/>
    </row>
    <row r="167" spans="1:17" ht="62.4">
      <c r="A167" s="98"/>
      <c r="B167" s="116"/>
      <c r="C167" s="23"/>
      <c r="D167" s="24"/>
      <c r="E167" s="25"/>
      <c r="F167" s="115"/>
      <c r="G167" s="26"/>
      <c r="H167" s="21"/>
      <c r="I167" s="297"/>
      <c r="J167" s="297"/>
      <c r="K167" s="293"/>
      <c r="L167" s="293"/>
      <c r="M167" s="293"/>
      <c r="N167" s="297"/>
      <c r="O167" s="297"/>
      <c r="P167" s="318"/>
      <c r="Q167" s="2"/>
    </row>
    <row r="168" spans="1:17" ht="62.4">
      <c r="A168" s="98"/>
      <c r="B168" s="116"/>
      <c r="C168" s="23"/>
      <c r="D168" s="24"/>
      <c r="E168" s="25"/>
      <c r="F168" s="115"/>
      <c r="G168" s="26"/>
      <c r="H168" s="21"/>
      <c r="I168" s="297"/>
      <c r="J168" s="297"/>
      <c r="K168" s="293"/>
      <c r="L168" s="293"/>
      <c r="M168" s="293"/>
      <c r="N168" s="297"/>
      <c r="O168" s="297"/>
      <c r="P168" s="318"/>
      <c r="Q168" s="2"/>
    </row>
    <row r="169" spans="1:17" ht="62.4">
      <c r="A169" s="98"/>
      <c r="B169" s="116"/>
      <c r="C169" s="23"/>
      <c r="D169" s="24"/>
      <c r="E169" s="25"/>
      <c r="F169" s="115"/>
      <c r="G169" s="26"/>
      <c r="H169" s="21"/>
      <c r="I169" s="297"/>
      <c r="J169" s="297"/>
      <c r="K169" s="293"/>
      <c r="L169" s="293"/>
      <c r="M169" s="293"/>
      <c r="N169" s="297"/>
      <c r="O169" s="297"/>
      <c r="P169" s="318"/>
      <c r="Q169" s="2"/>
    </row>
    <row r="170" spans="1:17" ht="62.4">
      <c r="A170" s="98"/>
      <c r="B170" s="116"/>
      <c r="C170" s="23"/>
      <c r="D170" s="24"/>
      <c r="E170" s="25"/>
      <c r="F170" s="115"/>
      <c r="G170" s="26"/>
      <c r="H170" s="21"/>
      <c r="I170" s="297"/>
      <c r="J170" s="297"/>
      <c r="K170" s="293"/>
      <c r="L170" s="293"/>
      <c r="M170" s="293"/>
      <c r="N170" s="297"/>
      <c r="O170" s="297"/>
      <c r="P170" s="318"/>
      <c r="Q170" s="2"/>
    </row>
    <row r="171" spans="1:17" ht="62.4">
      <c r="A171" s="98"/>
      <c r="B171" s="116"/>
      <c r="C171" s="23"/>
      <c r="D171" s="24"/>
      <c r="E171" s="28"/>
      <c r="F171" s="115"/>
      <c r="G171" s="26"/>
      <c r="H171" s="21"/>
      <c r="I171" s="297"/>
      <c r="J171" s="297"/>
      <c r="K171" s="293"/>
      <c r="L171" s="293"/>
      <c r="M171" s="293"/>
      <c r="N171" s="297"/>
      <c r="O171" s="297"/>
      <c r="P171" s="318"/>
      <c r="Q171" s="2"/>
    </row>
    <row r="172" spans="1:17" ht="62.4">
      <c r="A172" s="98"/>
      <c r="B172" s="117"/>
      <c r="C172" s="30"/>
      <c r="D172" s="31"/>
      <c r="E172" s="32"/>
      <c r="F172" s="115"/>
      <c r="G172" s="33"/>
      <c r="H172" s="21"/>
      <c r="I172" s="298"/>
      <c r="J172" s="298"/>
      <c r="K172" s="294"/>
      <c r="L172" s="294"/>
      <c r="M172" s="294"/>
      <c r="N172" s="298"/>
      <c r="O172" s="298"/>
      <c r="P172" s="319"/>
      <c r="Q172" s="2"/>
    </row>
  </sheetData>
  <autoFilter ref="B3:N100" xr:uid="{00000000-0009-0000-0000-000003000000}"/>
  <mergeCells count="112">
    <mergeCell ref="J41:J52"/>
    <mergeCell ref="K41:K52"/>
    <mergeCell ref="L41:L52"/>
    <mergeCell ref="M41:M52"/>
    <mergeCell ref="N41:N52"/>
    <mergeCell ref="O41:O52"/>
    <mergeCell ref="P41:P52"/>
    <mergeCell ref="I41:I52"/>
    <mergeCell ref="I53:I64"/>
    <mergeCell ref="J53:J64"/>
    <mergeCell ref="K53:K64"/>
    <mergeCell ref="L53:L64"/>
    <mergeCell ref="M53:M64"/>
    <mergeCell ref="N53:N64"/>
    <mergeCell ref="J65:J76"/>
    <mergeCell ref="K65:K76"/>
    <mergeCell ref="L65:L76"/>
    <mergeCell ref="M65:M76"/>
    <mergeCell ref="N65:N76"/>
    <mergeCell ref="O65:O76"/>
    <mergeCell ref="P65:P76"/>
    <mergeCell ref="I65:I76"/>
    <mergeCell ref="J77:J88"/>
    <mergeCell ref="K77:K88"/>
    <mergeCell ref="L77:L88"/>
    <mergeCell ref="M77:M88"/>
    <mergeCell ref="N77:N88"/>
    <mergeCell ref="O77:O88"/>
    <mergeCell ref="I77:I88"/>
    <mergeCell ref="M89:M99"/>
    <mergeCell ref="N89:N99"/>
    <mergeCell ref="O89:O101"/>
    <mergeCell ref="I89:I100"/>
    <mergeCell ref="J101:J112"/>
    <mergeCell ref="K101:K112"/>
    <mergeCell ref="L101:L112"/>
    <mergeCell ref="M101:M112"/>
    <mergeCell ref="N101:N112"/>
    <mergeCell ref="O102:O113"/>
    <mergeCell ref="I125:I136"/>
    <mergeCell ref="J125:J136"/>
    <mergeCell ref="K125:K136"/>
    <mergeCell ref="L125:L136"/>
    <mergeCell ref="M125:M136"/>
    <mergeCell ref="N125:N136"/>
    <mergeCell ref="I137:I148"/>
    <mergeCell ref="N137:N148"/>
    <mergeCell ref="P113:P124"/>
    <mergeCell ref="O114:O125"/>
    <mergeCell ref="P125:P136"/>
    <mergeCell ref="O126:O137"/>
    <mergeCell ref="P137:P148"/>
    <mergeCell ref="O138:O148"/>
    <mergeCell ref="I113:I124"/>
    <mergeCell ref="J113:J124"/>
    <mergeCell ref="K113:K124"/>
    <mergeCell ref="L113:L124"/>
    <mergeCell ref="M113:M124"/>
    <mergeCell ref="N113:N124"/>
    <mergeCell ref="L137:L148"/>
    <mergeCell ref="M137:M148"/>
    <mergeCell ref="K161:K172"/>
    <mergeCell ref="L161:L172"/>
    <mergeCell ref="M161:M172"/>
    <mergeCell ref="N161:N172"/>
    <mergeCell ref="O161:O172"/>
    <mergeCell ref="P161:P172"/>
    <mergeCell ref="J137:J148"/>
    <mergeCell ref="K137:K148"/>
    <mergeCell ref="I149:I160"/>
    <mergeCell ref="J149:J160"/>
    <mergeCell ref="K149:K160"/>
    <mergeCell ref="I161:I172"/>
    <mergeCell ref="J161:J172"/>
    <mergeCell ref="L149:L160"/>
    <mergeCell ref="M149:M160"/>
    <mergeCell ref="N149:N160"/>
    <mergeCell ref="O149:O160"/>
    <mergeCell ref="P149:P160"/>
    <mergeCell ref="O4:O15"/>
    <mergeCell ref="P4:P15"/>
    <mergeCell ref="B1:N2"/>
    <mergeCell ref="I4:I15"/>
    <mergeCell ref="J4:J15"/>
    <mergeCell ref="K4:K15"/>
    <mergeCell ref="L4:L15"/>
    <mergeCell ref="M4:M15"/>
    <mergeCell ref="N4:N15"/>
    <mergeCell ref="Q101:Q112"/>
    <mergeCell ref="I16:I27"/>
    <mergeCell ref="I29:I40"/>
    <mergeCell ref="J29:J40"/>
    <mergeCell ref="K29:K40"/>
    <mergeCell ref="L29:L40"/>
    <mergeCell ref="M29:M40"/>
    <mergeCell ref="N29:N40"/>
    <mergeCell ref="O53:O64"/>
    <mergeCell ref="P53:P64"/>
    <mergeCell ref="J16:J27"/>
    <mergeCell ref="K16:K27"/>
    <mergeCell ref="L16:L27"/>
    <mergeCell ref="M16:M27"/>
    <mergeCell ref="N16:N27"/>
    <mergeCell ref="O16:O27"/>
    <mergeCell ref="P16:P27"/>
    <mergeCell ref="O29:O40"/>
    <mergeCell ref="P29:P40"/>
    <mergeCell ref="I101:I112"/>
    <mergeCell ref="P101:P112"/>
    <mergeCell ref="J89:J100"/>
    <mergeCell ref="K89:K99"/>
    <mergeCell ref="L89:L9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59"/>
  <sheetViews>
    <sheetView workbookViewId="0">
      <selection activeCell="G14" sqref="G14"/>
    </sheetView>
  </sheetViews>
  <sheetFormatPr defaultColWidth="14.44140625" defaultRowHeight="15" customHeight="1"/>
  <cols>
    <col min="1" max="1" width="5.5546875" customWidth="1"/>
    <col min="2" max="2" width="15" customWidth="1"/>
    <col min="3" max="3" width="69" customWidth="1"/>
    <col min="4" max="4" width="7.33203125" customWidth="1"/>
    <col min="5" max="5" width="8.44140625" customWidth="1"/>
    <col min="6" max="6" width="12.109375" customWidth="1"/>
    <col min="7" max="7" width="24.109375" customWidth="1"/>
    <col min="8" max="8" width="18.33203125" customWidth="1"/>
    <col min="9" max="9" width="26.109375" customWidth="1"/>
    <col min="10" max="10" width="40.88671875" customWidth="1"/>
    <col min="11" max="11" width="24" customWidth="1"/>
    <col min="12" max="16" width="18.6640625" customWidth="1"/>
  </cols>
  <sheetData>
    <row r="1" spans="1:26" ht="18" customHeight="1">
      <c r="A1" s="2"/>
      <c r="B1" s="310" t="s">
        <v>0</v>
      </c>
      <c r="C1" s="303"/>
      <c r="D1" s="303"/>
      <c r="E1" s="303"/>
      <c r="F1" s="303"/>
      <c r="G1" s="303"/>
      <c r="H1" s="303"/>
      <c r="I1" s="2"/>
      <c r="J1" s="78"/>
      <c r="K1" s="78"/>
      <c r="L1" s="78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18.75" customHeight="1">
      <c r="A2" s="2"/>
      <c r="B2" s="303"/>
      <c r="C2" s="303"/>
      <c r="D2" s="303"/>
      <c r="E2" s="303"/>
      <c r="F2" s="303"/>
      <c r="G2" s="303"/>
      <c r="H2" s="303"/>
      <c r="I2" s="2"/>
      <c r="J2" s="78"/>
      <c r="K2" s="78"/>
      <c r="L2" s="78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21">
      <c r="A3" s="136"/>
      <c r="B3" s="90" t="s">
        <v>1</v>
      </c>
      <c r="C3" s="89" t="s">
        <v>2</v>
      </c>
      <c r="D3" s="90" t="s">
        <v>3</v>
      </c>
      <c r="E3" s="90" t="s">
        <v>4</v>
      </c>
      <c r="F3" s="91" t="s">
        <v>5</v>
      </c>
      <c r="G3" s="137" t="s">
        <v>8</v>
      </c>
      <c r="H3" s="11" t="s">
        <v>7</v>
      </c>
      <c r="I3" s="11" t="s">
        <v>9</v>
      </c>
      <c r="J3" s="11" t="s">
        <v>10</v>
      </c>
      <c r="K3" s="11" t="s">
        <v>11</v>
      </c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18">
      <c r="A4" s="138"/>
      <c r="B4" s="12" t="s">
        <v>38</v>
      </c>
      <c r="C4" s="13" t="s">
        <v>103</v>
      </c>
      <c r="D4" s="14" t="s">
        <v>14</v>
      </c>
      <c r="E4" s="14">
        <v>1</v>
      </c>
      <c r="F4" s="15">
        <v>0</v>
      </c>
      <c r="G4" s="15">
        <f>SUM(E4*F4)</f>
        <v>0</v>
      </c>
      <c r="H4" s="295">
        <v>2.0982400000000001</v>
      </c>
      <c r="I4" s="292">
        <f>SUM(G4:G15)</f>
        <v>0</v>
      </c>
      <c r="J4" s="292">
        <f>SUM(H4*I4)</f>
        <v>0</v>
      </c>
      <c r="K4" s="296">
        <f>I4 * (1 + H4)</f>
        <v>0</v>
      </c>
      <c r="L4" s="311" t="e">
        <f>J4 / K4</f>
        <v>#DIV/0!</v>
      </c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spans="1:26" ht="14.4">
      <c r="A5" s="138"/>
      <c r="B5" s="139" t="s">
        <v>15</v>
      </c>
      <c r="C5" s="140" t="s">
        <v>2672</v>
      </c>
      <c r="D5" s="141" t="s">
        <v>47</v>
      </c>
      <c r="E5" s="140">
        <v>5</v>
      </c>
      <c r="F5" s="142">
        <v>23.9</v>
      </c>
      <c r="G5" s="143"/>
      <c r="H5" s="293"/>
      <c r="I5" s="293"/>
      <c r="J5" s="293"/>
      <c r="K5" s="297"/>
      <c r="L5" s="297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spans="1:26" ht="16.8">
      <c r="A6" s="138"/>
      <c r="B6" s="144" t="s">
        <v>104</v>
      </c>
      <c r="C6" s="145"/>
      <c r="D6" s="146"/>
      <c r="E6" s="28"/>
      <c r="F6" s="147"/>
      <c r="G6" s="148"/>
      <c r="H6" s="293"/>
      <c r="I6" s="293"/>
      <c r="J6" s="293"/>
      <c r="K6" s="297"/>
      <c r="L6" s="297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ht="18">
      <c r="A7" s="149"/>
      <c r="B7" s="150"/>
      <c r="C7" s="151"/>
      <c r="D7" s="152"/>
      <c r="E7" s="85"/>
      <c r="F7" s="85"/>
      <c r="G7" s="151"/>
      <c r="H7" s="153"/>
      <c r="I7" s="154"/>
      <c r="J7" s="154"/>
      <c r="K7" s="35"/>
      <c r="L7" s="94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18">
      <c r="A8" s="149"/>
      <c r="B8" s="150"/>
      <c r="C8" s="151"/>
      <c r="D8" s="152"/>
      <c r="E8" s="85"/>
      <c r="F8" s="85"/>
      <c r="G8" s="151"/>
      <c r="H8" s="153"/>
      <c r="I8" s="154"/>
      <c r="J8" s="154"/>
      <c r="K8" s="35"/>
      <c r="L8" s="94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spans="1:26" ht="18">
      <c r="A9" s="149"/>
      <c r="B9" s="150"/>
      <c r="C9" s="151"/>
      <c r="D9" s="152"/>
      <c r="E9" s="85"/>
      <c r="F9" s="85"/>
      <c r="G9" s="151"/>
      <c r="H9" s="153"/>
      <c r="I9" s="154"/>
      <c r="J9" s="154"/>
      <c r="K9" s="35"/>
      <c r="L9" s="94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spans="1:26" ht="18">
      <c r="A10" s="149"/>
      <c r="B10" s="150"/>
      <c r="C10" s="151"/>
      <c r="D10" s="152"/>
      <c r="E10" s="85"/>
      <c r="F10" s="85"/>
      <c r="G10" s="151"/>
      <c r="H10" s="153"/>
      <c r="I10" s="154"/>
      <c r="J10" s="154"/>
      <c r="K10" s="35"/>
      <c r="L10" s="94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8">
      <c r="A11" s="149"/>
      <c r="B11" s="150"/>
      <c r="C11" s="151"/>
      <c r="D11" s="152"/>
      <c r="E11" s="85"/>
      <c r="F11" s="85"/>
      <c r="G11" s="151"/>
      <c r="H11" s="153"/>
      <c r="I11" s="154"/>
      <c r="J11" s="154"/>
      <c r="K11" s="35"/>
      <c r="L11" s="94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spans="1:26" ht="18">
      <c r="A12" s="149"/>
      <c r="B12" s="150"/>
      <c r="C12" s="151"/>
      <c r="D12" s="152"/>
      <c r="E12" s="85"/>
      <c r="F12" s="85"/>
      <c r="G12" s="151"/>
      <c r="H12" s="153"/>
      <c r="I12" s="154"/>
      <c r="J12" s="154"/>
      <c r="K12" s="35"/>
      <c r="L12" s="94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ht="18">
      <c r="A13" s="149"/>
      <c r="B13" s="150"/>
      <c r="C13" s="151"/>
      <c r="D13" s="152"/>
      <c r="E13" s="85"/>
      <c r="F13" s="85"/>
      <c r="G13" s="151"/>
      <c r="H13" s="153"/>
      <c r="I13" s="154"/>
      <c r="J13" s="154"/>
      <c r="K13" s="35"/>
      <c r="L13" s="94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ht="18">
      <c r="A14" s="149"/>
      <c r="B14" s="150"/>
      <c r="C14" s="151"/>
      <c r="D14" s="152"/>
      <c r="E14" s="85"/>
      <c r="F14" s="85"/>
      <c r="G14" s="151"/>
      <c r="H14" s="153"/>
      <c r="I14" s="154"/>
      <c r="J14" s="154"/>
      <c r="K14" s="35"/>
      <c r="L14" s="94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ht="18">
      <c r="A15" s="149"/>
      <c r="B15" s="150"/>
      <c r="C15" s="151"/>
      <c r="D15" s="152"/>
      <c r="E15" s="85"/>
      <c r="F15" s="85"/>
      <c r="G15" s="151"/>
      <c r="H15" s="155"/>
      <c r="I15" s="156"/>
      <c r="J15" s="156"/>
      <c r="K15" s="157"/>
      <c r="L15" s="158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ht="18">
      <c r="A16" s="149"/>
      <c r="B16" s="150"/>
      <c r="C16" s="151"/>
      <c r="D16" s="152"/>
      <c r="E16" s="85"/>
      <c r="F16" s="85"/>
      <c r="G16" s="151"/>
      <c r="H16" s="44"/>
      <c r="I16" s="149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14.4">
      <c r="A17" s="135"/>
      <c r="B17" s="135"/>
      <c r="C17" s="135"/>
      <c r="D17" s="135"/>
      <c r="E17" s="135"/>
      <c r="F17" s="135"/>
      <c r="G17" s="135"/>
      <c r="H17" s="149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4.4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ht="14.4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14.4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ht="14.4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14.4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ht="14.4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ht="14.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14.4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14.4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14.4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ht="14.4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14.4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ht="14.4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14.4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4.4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ht="14.4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ht="14.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ht="14.4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ht="14.4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ht="14.4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ht="14.4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14.4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ht="14.4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14.4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ht="14.4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ht="14.4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ht="14.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ht="14.4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ht="14.4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ht="14.4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ht="14.4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ht="14.4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ht="14.4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ht="14.4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ht="14.4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14.4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ht="14.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4.4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ht="14.4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ht="14.4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ht="14.4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ht="14.4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ht="14.4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ht="14.4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ht="14.4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ht="14.4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ht="14.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ht="14.4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ht="14.4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ht="14.4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ht="14.4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ht="14.4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ht="14.4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ht="14.4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ht="14.4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ht="14.4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ht="14.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spans="1:26" ht="14.4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spans="1:26" ht="14.4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spans="1:26" ht="14.4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pans="1:26" ht="14.4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spans="1:26" ht="14.4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spans="1:26" ht="14.4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spans="1:26" ht="14.4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spans="1:26" ht="14.4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spans="1:26" ht="14.4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spans="1:26" ht="14.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26" ht="14.4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26" ht="14.4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26" ht="14.4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26" ht="14.4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26" ht="14.4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14.4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26" ht="14.4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26" ht="14.4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26" ht="14.4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26" ht="14.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26" ht="14.4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spans="1:26" ht="14.4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spans="1:26" ht="14.4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spans="1:26" ht="14.4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spans="1:26" ht="14.4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spans="1:26" ht="14.4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 spans="1:26" ht="14.4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 spans="1:26" ht="14.4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spans="1:26" ht="14.4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spans="1:26" ht="14.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spans="1:26" ht="14.4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spans="1:26" ht="14.4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spans="1:26" ht="14.4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spans="1:26" ht="14.4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spans="1:26" ht="14.4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spans="1:26" ht="14.4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 spans="1:26" ht="14.4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 spans="1:26" ht="14.4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 spans="1:26" ht="14.4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spans="1:26" ht="14.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 spans="1:26" ht="14.4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spans="1:26" ht="14.4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spans="1:26" ht="14.4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spans="1:26" ht="14.4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spans="1:26" ht="14.4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 spans="1:26" ht="14.4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 spans="1:26" ht="14.4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 spans="1:26" ht="14.4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 spans="1:26" ht="14.4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 spans="1:26" ht="14.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 spans="1:26" ht="14.4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 spans="1:26" ht="14.4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 spans="1:26" ht="14.4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spans="1:26" ht="14.4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spans="1:26" ht="14.4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spans="1:26" ht="14.4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 spans="1:26" ht="14.4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 spans="1:26" ht="14.4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 spans="1:26" ht="14.4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 spans="1:26" ht="14.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 spans="1:26" ht="14.4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 spans="1:26" ht="14.4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 spans="1:26" ht="14.4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 spans="1:26" ht="14.4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 spans="1:26" ht="14.4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 spans="1:26" ht="14.4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 spans="1:26" ht="14.4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 spans="1:26" ht="14.4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 spans="1:26" ht="14.4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 spans="1:26" ht="14.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 spans="1:26" ht="14.4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 spans="1:26" ht="14.4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 spans="1:26" ht="14.4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 spans="1:26" ht="14.4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 spans="1:26" ht="14.4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 spans="1:26" ht="14.4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 spans="1:26" ht="14.4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 spans="1:26" ht="14.4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 spans="1:26" ht="14.4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 spans="1:26" ht="14.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 spans="1:26" ht="14.4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 spans="1:26" ht="14.4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 spans="1:26" ht="14.4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 spans="1:26" ht="14.4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 spans="1:26" ht="14.4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 spans="1:26" ht="14.4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 spans="1:26" ht="14.4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 spans="1:26" ht="14.4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 spans="1:26" ht="14.4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 spans="1:26" ht="14.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 spans="1:26" ht="14.4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 spans="1:26" ht="14.4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 spans="1:26" ht="14.4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 spans="1:26" ht="14.4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 spans="1:26" ht="14.4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 spans="1:26" ht="14.4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 spans="1:26" ht="14.4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 spans="1:26" ht="14.4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 spans="1:26" ht="14.4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 spans="1:26" ht="14.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 spans="1:26" ht="14.4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 spans="1:26" ht="14.4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 spans="1:26" ht="14.4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 spans="1:26" ht="14.4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 spans="1:26" ht="14.4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 spans="1:26" ht="14.4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 spans="1:26" ht="14.4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 spans="1:26" ht="14.4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 spans="1:26" ht="14.4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 spans="1:26" ht="14.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 spans="1:26" ht="14.4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 spans="1:26" ht="14.4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 spans="1:26" ht="14.4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 spans="1:26" ht="14.4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 spans="1:26" ht="14.4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 spans="1:26" ht="14.4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 spans="1:26" ht="14.4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 spans="1:26" ht="14.4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 spans="1:26" ht="14.4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 spans="1:26" ht="14.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 spans="1:26" ht="14.4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 spans="1:26" ht="14.4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 spans="1:26" ht="14.4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 spans="1:26" ht="14.4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 spans="1:26" ht="14.4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 spans="1:26" ht="14.4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 spans="1:26" ht="14.4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 spans="1:26" ht="14.4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 spans="1:26" ht="14.4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 spans="1:26" ht="14.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 spans="1:26" ht="14.4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 spans="1:26" ht="14.4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 spans="1:26" ht="14.4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 spans="1:26" ht="14.4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 spans="1:26" ht="14.4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 spans="1:26" ht="14.4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 spans="1:26" ht="14.4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 spans="1:26" ht="14.4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 spans="1:26" ht="14.4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 spans="1:26" ht="14.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 spans="1:26" ht="14.4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 spans="1:26" ht="14.4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 spans="1:26" ht="14.4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 spans="1:26" ht="14.4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 spans="1:26" ht="14.4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 spans="1:26" ht="14.4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 spans="1:26" ht="14.4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 spans="1:26" ht="14.4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 spans="1:26" ht="14.4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 spans="1:26" ht="14.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 spans="1:26" ht="14.4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 spans="1:26" ht="14.4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 spans="1:26" ht="14.4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 spans="1:26" ht="14.4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 spans="1:26" ht="14.4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 spans="1:26" ht="14.4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 spans="1:26" ht="14.4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 spans="1:26" ht="14.4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 spans="1:26" ht="14.4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 spans="1:26" ht="14.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spans="1:26" ht="14.4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 spans="1:26" ht="14.4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 spans="1:26" ht="14.4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 spans="1:26" ht="14.4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 spans="1:26" ht="14.4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 spans="1:26" ht="14.4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 spans="1:26" ht="14.4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 spans="1:26" ht="14.4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 spans="1:26" ht="14.4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 spans="1:26" ht="14.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 spans="1:26" ht="14.4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 spans="1:26" ht="14.4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 spans="1:26" ht="14.4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 spans="1:26" ht="14.4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 spans="1:26" ht="14.4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 spans="1:26" ht="14.4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 spans="1:26" ht="14.4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 spans="1:26" ht="14.4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 spans="1:26" ht="14.4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 spans="1:26" ht="14.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 spans="1:26" ht="14.4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 spans="1:26" ht="14.4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 spans="1:26" ht="14.4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 spans="1:26" ht="14.4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 spans="1:26" ht="14.4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 spans="1:26" ht="14.4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 spans="1:26" ht="14.4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 spans="1:26" ht="14.4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 spans="1:26" ht="14.4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 spans="1:26" ht="14.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 spans="1:26" ht="14.4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 spans="1:26" ht="14.4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 spans="1:26" ht="14.4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 spans="1:26" ht="14.4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 spans="1:26" ht="14.4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 spans="1:26" ht="14.4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 spans="1:26" ht="14.4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 spans="1:26" ht="14.4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 spans="1:26" ht="14.4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 spans="1:26" ht="14.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 spans="1:26" ht="14.4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 spans="1:26" ht="14.4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 spans="1:26" ht="14.4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 spans="1:26" ht="14.4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 spans="1:26" ht="14.4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 spans="1:26" ht="14.4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 spans="1:26" ht="14.4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 spans="1:26" ht="14.4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 spans="1:26" ht="14.4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 spans="1:26" ht="14.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 spans="1:26" ht="14.4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 spans="1:26" ht="14.4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 spans="1:26" ht="14.4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 spans="1:26" ht="14.4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 spans="1:26" ht="14.4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 spans="1:26" ht="14.4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 spans="1:26" ht="14.4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 spans="1:26" ht="14.4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 spans="1:26" ht="14.4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 spans="1:26" ht="14.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 spans="1:26" ht="14.4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 spans="1:26" ht="14.4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 spans="1:26" ht="14.4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 spans="1:26" ht="14.4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 spans="1:26" ht="14.4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 spans="1:26" ht="14.4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 spans="1:26" ht="14.4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 spans="1:26" ht="14.4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 spans="1:26" ht="14.4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 spans="1:26" ht="14.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 spans="1:26" ht="14.4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 spans="1:26" ht="14.4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 spans="1:26" ht="14.4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 spans="1:26" ht="14.4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 spans="1:26" ht="14.4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 spans="1:26" ht="14.4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 spans="1:26" ht="14.4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 spans="1:26" ht="14.4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 spans="1:26" ht="14.4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 spans="1:26" ht="14.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 spans="1:26" ht="14.4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 spans="1:26" ht="14.4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 spans="1:26" ht="14.4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 spans="1:26" ht="14.4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 spans="1:26" ht="14.4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 spans="1:26" ht="14.4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 spans="1:26" ht="14.4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 spans="1:26" ht="14.4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 spans="1:26" ht="14.4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 spans="1:26" ht="14.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 spans="1:26" ht="14.4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 spans="1:26" ht="14.4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 spans="1:26" ht="14.4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 spans="1:26" ht="14.4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 spans="1:26" ht="14.4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 spans="1:26" ht="14.4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 spans="1:26" ht="14.4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 spans="1:26" ht="14.4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 spans="1:26" ht="14.4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 spans="1:26" ht="14.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 spans="1:26" ht="14.4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 spans="1:26" ht="14.4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 spans="1:26" ht="14.4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 spans="1:26" ht="14.4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 spans="1:26" ht="14.4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 spans="1:26" ht="14.4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 spans="1:26" ht="14.4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 spans="1:26" ht="14.4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 spans="1:26" ht="14.4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 spans="1:26" ht="14.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 spans="1:26" ht="14.4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 spans="1:26" ht="14.4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 spans="1:26" ht="14.4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 spans="1:26" ht="14.4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 spans="1:26" ht="14.4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 spans="1:26" ht="14.4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 spans="1:26" ht="14.4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 spans="1:26" ht="14.4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 spans="1:26" ht="14.4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 spans="1:26" ht="14.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 spans="1:26" ht="14.4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 spans="1:26" ht="14.4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 spans="1:26" ht="14.4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 spans="1:26" ht="14.4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 spans="1:26" ht="14.4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 spans="1:26" ht="14.4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 spans="1:26" ht="14.4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 spans="1:26" ht="14.4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 spans="1:26" ht="14.4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 spans="1:26" ht="14.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 spans="1:26" ht="14.4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 spans="1:26" ht="14.4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 spans="1:26" ht="14.4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 spans="1:26" ht="14.4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 spans="1:26" ht="14.4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 spans="1:26" ht="14.4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 spans="1:26" ht="14.4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 spans="1:26" ht="14.4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 spans="1:26" ht="14.4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 spans="1:26" ht="14.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 spans="1:26" ht="14.4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 spans="1:26" ht="14.4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 spans="1:26" ht="14.4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 spans="1:26" ht="14.4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 spans="1:26" ht="14.4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 spans="1:26" ht="14.4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 spans="1:26" ht="14.4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 spans="1:26" ht="14.4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 spans="1:26" ht="14.4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 spans="1:26" ht="14.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 spans="1:26" ht="14.4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 spans="1:26" ht="14.4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 spans="1:26" ht="14.4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 spans="1:26" ht="14.4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 spans="1:26" ht="14.4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 spans="1:26" ht="14.4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 spans="1:26" ht="14.4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 spans="1:26" ht="14.4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 spans="1:26" ht="14.4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 spans="1:26" ht="14.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 spans="1:26" ht="14.4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 spans="1:26" ht="14.4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 spans="1:26" ht="14.4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 spans="1:26" ht="14.4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 spans="1:26" ht="14.4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 spans="1:26" ht="14.4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 spans="1:26" ht="14.4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 spans="1:26" ht="14.4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 spans="1:26" ht="14.4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 spans="1:26" ht="14.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 spans="1:26" ht="14.4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 spans="1:26" ht="14.4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 spans="1:26" ht="14.4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 spans="1:26" ht="14.4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 spans="1:26" ht="14.4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 spans="1:26" ht="14.4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 spans="1:26" ht="14.4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 spans="1:26" ht="14.4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 spans="1:26" ht="14.4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 spans="1:26" ht="14.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 spans="1:26" ht="14.4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 spans="1:26" ht="14.4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 spans="1:26" ht="14.4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 spans="1:26" ht="14.4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 spans="1:26" ht="14.4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 spans="1:26" ht="14.4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 spans="1:26" ht="14.4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 spans="1:26" ht="14.4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 spans="1:26" ht="14.4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 spans="1:26" ht="14.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 spans="1:26" ht="14.4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 spans="1:26" ht="14.4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 spans="1:26" ht="14.4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 spans="1:26" ht="14.4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 spans="1:26" ht="14.4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 spans="1:26" ht="14.4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 spans="1:26" ht="14.4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 spans="1:26" ht="14.4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 spans="1:26" ht="14.4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 spans="1:26" ht="14.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 spans="1:26" ht="14.4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 spans="1:26" ht="14.4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 spans="1:26" ht="14.4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 spans="1:26" ht="14.4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 spans="1:26" ht="14.4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 spans="1:26" ht="14.4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 spans="1:26" ht="14.4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 spans="1:26" ht="14.4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 spans="1:26" ht="14.4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 spans="1:26" ht="14.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 spans="1:26" ht="14.4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 spans="1:26" ht="14.4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 spans="1:26" ht="14.4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 spans="1:26" ht="14.4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 spans="1:26" ht="14.4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 spans="1:26" ht="14.4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 spans="1:26" ht="14.4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 spans="1:26" ht="14.4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 spans="1:26" ht="14.4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 spans="1:26" ht="14.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 spans="1:26" ht="14.4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 spans="1:26" ht="14.4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 spans="1:26" ht="14.4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 spans="1:26" ht="14.4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 spans="1:26" ht="14.4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 spans="1:26" ht="14.4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 spans="1:26" ht="14.4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 spans="1:26" ht="14.4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 spans="1:26" ht="14.4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 spans="1:26" ht="14.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 spans="1:26" ht="14.4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 spans="1:26" ht="14.4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 spans="1:26" ht="14.4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 spans="1:26" ht="14.4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 spans="1:26" ht="14.4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 spans="1:26" ht="14.4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 spans="1:26" ht="14.4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 spans="1:26" ht="14.4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 spans="1:26" ht="14.4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 spans="1:26" ht="14.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 spans="1:26" ht="14.4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 spans="1:26" ht="14.4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 spans="1:26" ht="14.4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 spans="1:26" ht="14.4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 spans="1:26" ht="14.4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 spans="1:26" ht="14.4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 spans="1:26" ht="14.4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 spans="1:26" ht="14.4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 spans="1:26" ht="14.4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 spans="1:26" ht="14.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 spans="1:26" ht="14.4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 spans="1:26" ht="14.4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 spans="1:26" ht="14.4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 spans="1:26" ht="14.4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 spans="1:26" ht="14.4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 spans="1:26" ht="14.4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 spans="1:26" ht="14.4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 spans="1:26" ht="14.4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 spans="1:26" ht="14.4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 spans="1:26" ht="14.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 spans="1:26" ht="14.4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 spans="1:26" ht="14.4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 spans="1:26" ht="14.4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 spans="1:26" ht="14.4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 spans="1:26" ht="14.4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 spans="1:26" ht="14.4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 spans="1:26" ht="14.4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 spans="1:26" ht="14.4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 spans="1:26" ht="14.4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 spans="1:26" ht="14.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 spans="1:26" ht="14.4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 spans="1:26" ht="14.4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 spans="1:26" ht="14.4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 spans="1:26" ht="14.4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 spans="1:26" ht="14.4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 spans="1:26" ht="14.4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 spans="1:26" ht="14.4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 spans="1:26" ht="14.4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 spans="1:26" ht="14.4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 spans="1:26" ht="14.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 spans="1:26" ht="14.4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 spans="1:26" ht="14.4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 spans="1:26" ht="14.4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 spans="1:26" ht="14.4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 spans="1:26" ht="14.4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 spans="1:26" ht="14.4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 spans="1:26" ht="14.4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 spans="1:26" ht="14.4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 spans="1:26" ht="14.4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 spans="1:26" ht="14.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 spans="1:26" ht="14.4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 spans="1:26" ht="14.4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 spans="1:26" ht="14.4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 spans="1:26" ht="14.4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 spans="1:26" ht="14.4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 spans="1:26" ht="14.4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 spans="1:26" ht="14.4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 spans="1:26" ht="14.4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 spans="1:26" ht="14.4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 spans="1:26" ht="14.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 spans="1:26" ht="14.4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 spans="1:26" ht="14.4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 spans="1:26" ht="14.4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 spans="1:26" ht="14.4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 spans="1:26" ht="14.4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 spans="1:26" ht="14.4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 spans="1:26" ht="14.4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 spans="1:26" ht="14.4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 spans="1:26" ht="14.4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 spans="1:26" ht="14.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 spans="1:26" ht="14.4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 spans="1:26" ht="14.4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 spans="1:26" ht="14.4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 spans="1:26" ht="14.4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 spans="1:26" ht="14.4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 spans="1:26" ht="14.4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 spans="1:26" ht="14.4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 spans="1:26" ht="14.4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 spans="1:26" ht="14.4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 spans="1:26" ht="14.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 spans="1:26" ht="14.4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 spans="1:26" ht="14.4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 spans="1:26" ht="14.4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 spans="1:26" ht="14.4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 spans="1:26" ht="14.4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 spans="1:26" ht="14.4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 spans="1:26" ht="14.4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 spans="1:26" ht="14.4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 spans="1:26" ht="14.4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 spans="1:26" ht="14.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 spans="1:26" ht="14.4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 spans="1:26" ht="14.4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 spans="1:26" ht="14.4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 spans="1:26" ht="14.4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 spans="1:26" ht="14.4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 spans="1:26" ht="14.4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 spans="1:26" ht="14.4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 spans="1:26" ht="14.4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 spans="1:26" ht="14.4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 spans="1:26" ht="14.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 spans="1:26" ht="14.4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 spans="1:26" ht="14.4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 spans="1:26" ht="14.4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 spans="1:26" ht="14.4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 spans="1:26" ht="14.4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 spans="1:26" ht="14.4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 spans="1:26" ht="14.4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 spans="1:26" ht="14.4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 spans="1:26" ht="14.4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 spans="1:26" ht="14.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 spans="1:26" ht="14.4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 spans="1:26" ht="14.4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 spans="1:26" ht="14.4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 spans="1:26" ht="14.4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 spans="1:26" ht="14.4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 spans="1:26" ht="14.4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 spans="1:26" ht="14.4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 spans="1:26" ht="14.4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 spans="1:26" ht="14.4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 spans="1:26" ht="14.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 spans="1:26" ht="14.4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 spans="1:26" ht="14.4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 spans="1:26" ht="14.4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 spans="1:26" ht="14.4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 spans="1:26" ht="14.4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 spans="1:26" ht="14.4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 spans="1:26" ht="14.4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 spans="1:26" ht="14.4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 spans="1:26" ht="14.4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 spans="1:26" ht="14.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 spans="1:26" ht="14.4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 spans="1:26" ht="14.4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 spans="1:26" ht="14.4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 spans="1:26" ht="14.4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 spans="1:26" ht="14.4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 spans="1:26" ht="14.4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 spans="1:26" ht="14.4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 spans="1:26" ht="14.4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 spans="1:26" ht="14.4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 spans="1:26" ht="14.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 spans="1:26" ht="14.4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 spans="1:26" ht="14.4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 spans="1:26" ht="14.4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 spans="1:26" ht="14.4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 spans="1:26" ht="14.4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 spans="1:26" ht="14.4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 spans="1:26" ht="14.4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 spans="1:26" ht="14.4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 spans="1:26" ht="14.4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 spans="1:26" ht="14.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 spans="1:26" ht="14.4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 spans="1:26" ht="14.4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 spans="1:26" ht="14.4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 spans="1:26" ht="14.4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 spans="1:26" ht="14.4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 spans="1:26" ht="14.4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 spans="1:26" ht="14.4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 spans="1:26" ht="14.4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 spans="1:26" ht="14.4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 spans="1:26" ht="14.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 spans="1:26" ht="14.4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 spans="1:26" ht="14.4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 spans="1:26" ht="14.4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 spans="1:26" ht="14.4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 spans="1:26" ht="14.4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 spans="1:26" ht="14.4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 spans="1:26" ht="14.4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 spans="1:26" ht="14.4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 spans="1:26" ht="14.4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 spans="1:26" ht="14.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 spans="1:26" ht="14.4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 spans="1:26" ht="14.4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 spans="1:26" ht="14.4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 spans="1:26" ht="14.4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 spans="1:26" ht="14.4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 spans="1:26" ht="14.4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 spans="1:26" ht="14.4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 spans="1:26" ht="14.4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 spans="1:26" ht="14.4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 spans="1:26" ht="14.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 spans="1:26" ht="14.4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 spans="1:26" ht="14.4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 spans="1:26" ht="14.4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 spans="1:26" ht="14.4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 spans="1:26" ht="14.4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 spans="1:26" ht="14.4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 spans="1:26" ht="14.4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 spans="1:26" ht="14.4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 spans="1:26" ht="14.4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 spans="1:26" ht="14.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 spans="1:26" ht="14.4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 spans="1:26" ht="14.4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 spans="1:26" ht="14.4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 spans="1:26" ht="14.4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 spans="1:26" ht="14.4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 spans="1:26" ht="14.4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 spans="1:26" ht="14.4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 spans="1:26" ht="14.4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 spans="1:26" ht="14.4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 spans="1:26" ht="14.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 spans="1:26" ht="14.4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 spans="1:26" ht="14.4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 spans="1:26" ht="14.4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 spans="1:26" ht="14.4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 spans="1:26" ht="14.4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 spans="1:26" ht="14.4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 spans="1:26" ht="14.4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 spans="1:26" ht="14.4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 spans="1:26" ht="14.4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 spans="1:26" ht="14.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 spans="1:26" ht="14.4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 spans="1:26" ht="14.4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 spans="1:26" ht="14.4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 spans="1:26" ht="14.4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 spans="1:26" ht="14.4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 spans="1:26" ht="14.4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 spans="1:26" ht="14.4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 spans="1:26" ht="14.4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 spans="1:26" ht="14.4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 spans="1:26" ht="14.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 spans="1:26" ht="14.4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 spans="1:26" ht="14.4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 spans="1:26" ht="14.4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 spans="1:26" ht="14.4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 spans="1:26" ht="14.4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 spans="1:26" ht="14.4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 spans="1:26" ht="14.4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 spans="1:26" ht="14.4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 spans="1:26" ht="14.4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 spans="1:26" ht="14.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 spans="1:26" ht="14.4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 spans="1:26" ht="14.4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 spans="1:26" ht="14.4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 spans="1:26" ht="14.4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 spans="1:26" ht="14.4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 spans="1:26" ht="14.4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 spans="1:26" ht="14.4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 spans="1:26" ht="14.4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 spans="1:26" ht="14.4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 spans="1:26" ht="14.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 spans="1:26" ht="14.4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 spans="1:26" ht="14.4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 spans="1:26" ht="14.4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 spans="1:26" ht="14.4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 spans="1:26" ht="14.4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 spans="1:26" ht="14.4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 spans="1:26" ht="14.4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 spans="1:26" ht="14.4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 spans="1:26" ht="14.4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 spans="1:26" ht="14.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 spans="1:26" ht="14.4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 spans="1:26" ht="14.4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 spans="1:26" ht="14.4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 spans="1:26" ht="14.4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 spans="1:26" ht="14.4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 spans="1:26" ht="14.4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 spans="1:26" ht="14.4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 spans="1:26" ht="14.4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 spans="1:26" ht="14.4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 spans="1:26" ht="14.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 spans="1:26" ht="14.4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 spans="1:26" ht="14.4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 spans="1:26" ht="14.4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 spans="1:26" ht="14.4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 spans="1:26" ht="14.4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 spans="1:26" ht="14.4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 spans="1:26" ht="14.4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 spans="1:26" ht="14.4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 spans="1:26" ht="14.4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 spans="1:26" ht="14.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 spans="1:26" ht="14.4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 spans="1:26" ht="14.4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 spans="1:26" ht="14.4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 spans="1:26" ht="14.4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 spans="1:26" ht="14.4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 spans="1:26" ht="14.4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 spans="1:26" ht="14.4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 spans="1:26" ht="14.4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 spans="1:26" ht="14.4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 spans="1:26" ht="14.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 spans="1:26" ht="14.4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 spans="1:26" ht="14.4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 spans="1:26" ht="14.4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 spans="1:26" ht="14.4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 spans="1:26" ht="14.4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 spans="1:26" ht="14.4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 spans="1:26" ht="14.4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 spans="1:26" ht="14.4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 spans="1:26" ht="14.4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 spans="1:26" ht="14.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 spans="1:26" ht="14.4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 spans="1:26" ht="14.4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 spans="1:26" ht="14.4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 spans="1:26" ht="14.4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 spans="1:26" ht="14.4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 spans="1:26" ht="14.4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 spans="1:26" ht="14.4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 spans="1:26" ht="14.4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 spans="1:26" ht="14.4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 spans="1:26" ht="14.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 spans="1:26" ht="14.4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 spans="1:26" ht="14.4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 spans="1:26" ht="14.4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 spans="1:26" ht="14.4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 spans="1:26" ht="14.4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 spans="1:26" ht="14.4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 spans="1:26" ht="14.4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 spans="1:26" ht="14.4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 spans="1:26" ht="14.4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 spans="1:26" ht="14.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 spans="1:26" ht="14.4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 spans="1:26" ht="14.4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 spans="1:26" ht="14.4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 spans="1:26" ht="14.4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 spans="1:26" ht="14.4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 spans="1:26" ht="14.4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 spans="1:26" ht="14.4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 spans="1:26" ht="14.4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 spans="1:26" ht="14.4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 spans="1:26" ht="14.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 spans="1:26" ht="14.4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 spans="1:26" ht="14.4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 spans="1:26" ht="14.4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 spans="1:26" ht="14.4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 spans="1:26" ht="14.4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 spans="1:26" ht="14.4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 spans="1:26" ht="14.4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 spans="1:26" ht="14.4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 spans="1:26" ht="14.4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 spans="1:26" ht="14.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 spans="1:26" ht="14.4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 spans="1:26" ht="14.4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 spans="1:26" ht="14.4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 spans="1:26" ht="14.4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 spans="1:26" ht="14.4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 spans="1:26" ht="14.4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 spans="1:26" ht="14.4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 spans="1:26" ht="14.4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 spans="1:26" ht="14.4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 spans="1:26" ht="14.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 spans="1:26" ht="14.4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 spans="1:26" ht="14.4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 spans="1:26" ht="14.4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 spans="1:26" ht="14.4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 spans="1:26" ht="14.4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 spans="1:26" ht="14.4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 spans="1:26" ht="14.4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 spans="1:26" ht="14.4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 spans="1:26" ht="14.4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 spans="1:26" ht="14.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 spans="1:26" ht="14.4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 spans="1:26" ht="14.4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 spans="1:26" ht="14.4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 spans="1:26" ht="14.4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 spans="1:26" ht="14.4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 spans="1:26" ht="14.4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 spans="1:26" ht="14.4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 spans="1:26" ht="14.4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 spans="1:26" ht="14.4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 spans="1:26" ht="14.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 spans="1:26" ht="14.4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 spans="1:26" ht="14.4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 spans="1:26" ht="14.4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 spans="1:26" ht="14.4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 spans="1:26" ht="14.4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 spans="1:26" ht="14.4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 spans="1:26" ht="14.4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 spans="1:26" ht="14.4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 spans="1:26" ht="14.4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 spans="1:26" ht="14.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 spans="1:26" ht="14.4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 spans="1:26" ht="14.4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 spans="1:26" ht="14.4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 spans="1:26" ht="14.4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 spans="1:26" ht="14.4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 spans="1:26" ht="14.4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 spans="1:26" ht="14.4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 spans="1:26" ht="14.4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 spans="1:26" ht="14.4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 spans="1:26" ht="14.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 spans="1:26" ht="14.4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 spans="1:26" ht="14.4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 spans="1:26" ht="14.4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 spans="1:26" ht="14.4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 spans="1:26" ht="14.4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 spans="1:26" ht="14.4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 spans="1:26" ht="14.4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 spans="1:26" ht="14.4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 spans="1:26" ht="14.4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 spans="1:26" ht="14.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 spans="1:26" ht="14.4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 spans="1:26" ht="14.4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 spans="1:26" ht="14.4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 spans="1:26" ht="14.4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 spans="1:26" ht="14.4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 spans="1:26" ht="14.4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 spans="1:26" ht="14.4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 spans="1:26" ht="14.4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 spans="1:26" ht="14.4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 spans="1:26" ht="14.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 spans="1:26" ht="14.4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 spans="1:26" ht="14.4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 spans="1:26" ht="14.4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 spans="1:26" ht="14.4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 spans="1:26" ht="14.4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 spans="1:26" ht="14.4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 spans="1:26" ht="14.4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 spans="1:26" ht="14.4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 spans="1:26" ht="14.4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 spans="1:26" ht="14.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 spans="1:26" ht="14.4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 spans="1:26" ht="14.4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 spans="1:26" ht="14.4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 spans="1:26" ht="14.4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 spans="1:26" ht="14.4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 spans="1:26" ht="14.4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 spans="1:26" ht="14.4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 spans="1:26" ht="14.4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 spans="1:26" ht="14.4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 spans="1:26" ht="14.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 spans="1:26" ht="14.4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 spans="1:26" ht="14.4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 spans="1:26" ht="14.4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 spans="1:26" ht="14.4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 spans="1:26" ht="14.4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 spans="1:26" ht="14.4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 spans="1:26" ht="14.4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 spans="1:26" ht="14.4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 spans="1:26" ht="14.4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 spans="1:26" ht="14.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 spans="1:26" ht="14.4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 spans="1:26" ht="14.4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 spans="1:26" ht="14.4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 spans="1:26" ht="14.4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 spans="1:26" ht="14.4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 spans="1:26" ht="14.4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 spans="1:26" ht="14.4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 spans="1:26" ht="14.4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 spans="1:26" ht="14.4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 spans="1:26" ht="14.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 spans="1:26" ht="14.4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 spans="1:26" ht="14.4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 spans="1:26" ht="14.4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 spans="1:26" ht="14.4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 spans="1:26" ht="14.4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 spans="1:26" ht="14.4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 spans="1:26" ht="14.4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 spans="1:26" ht="14.4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 spans="1:26" ht="14.4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 spans="1:26" ht="14.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 spans="1:26" ht="14.4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 spans="1:26" ht="14.4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 spans="1:26" ht="14.4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 spans="1:26" ht="14.4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 spans="1:26" ht="14.4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 spans="1:26" ht="14.4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 spans="1:26" ht="14.4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 spans="1:26" ht="14.4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 spans="1:26" ht="14.4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 spans="1:26" ht="14.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 spans="1:26" ht="14.4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 spans="1:26" ht="14.4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 spans="1:26" ht="14.4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 spans="1:26" ht="14.4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 spans="1:26" ht="14.4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 spans="1:26" ht="14.4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 spans="1:26" ht="14.4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 spans="1:26" ht="14.4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 spans="1:26" ht="14.4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 spans="1:26" ht="14.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 spans="1:26" ht="14.4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 spans="1:26" ht="14.4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 spans="1:26" ht="14.4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 spans="1:26" ht="14.4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 spans="1:26" ht="14.4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 spans="1:26" ht="14.4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 spans="1:26" ht="14.4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 spans="1:26" ht="14.4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 spans="1:26" ht="14.4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 spans="1:26" ht="14.4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 spans="1:26" ht="14.4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 spans="1:26" ht="14.4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 spans="1:26" ht="14.4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 spans="1:26" ht="14.4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 spans="1:26" ht="14.4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</sheetData>
  <mergeCells count="6">
    <mergeCell ref="L4:L6"/>
    <mergeCell ref="B1:H2"/>
    <mergeCell ref="H4:H6"/>
    <mergeCell ref="I4:I6"/>
    <mergeCell ref="J4:J6"/>
    <mergeCell ref="K4:K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0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9.5546875" customWidth="1"/>
    <col min="2" max="2" width="171.109375" customWidth="1"/>
    <col min="3" max="3" width="127.5546875" customWidth="1"/>
  </cols>
  <sheetData>
    <row r="1" spans="1:3" ht="16.8">
      <c r="A1" s="159" t="s">
        <v>106</v>
      </c>
      <c r="C1" s="160"/>
    </row>
    <row r="2" spans="1:3" ht="17.399999999999999">
      <c r="A2" s="161"/>
      <c r="B2" s="162" t="s">
        <v>107</v>
      </c>
      <c r="C2" s="163"/>
    </row>
    <row r="3" spans="1:3" ht="16.8">
      <c r="A3" s="164"/>
      <c r="B3" s="159" t="s">
        <v>51</v>
      </c>
      <c r="C3" s="165"/>
    </row>
    <row r="4" spans="1:3" ht="16.8">
      <c r="A4" s="164"/>
      <c r="B4" s="166" t="s">
        <v>53</v>
      </c>
      <c r="C4" s="165"/>
    </row>
    <row r="5" spans="1:3" ht="16.8">
      <c r="A5" s="164"/>
      <c r="B5" s="166" t="s">
        <v>55</v>
      </c>
      <c r="C5" s="165"/>
    </row>
    <row r="6" spans="1:3" ht="16.8">
      <c r="A6" s="164"/>
      <c r="B6" s="166" t="s">
        <v>57</v>
      </c>
      <c r="C6" s="165"/>
    </row>
    <row r="7" spans="1:3" ht="16.8">
      <c r="A7" s="164"/>
      <c r="B7" s="166" t="s">
        <v>59</v>
      </c>
      <c r="C7" s="165"/>
    </row>
    <row r="8" spans="1:3" ht="16.8">
      <c r="A8" s="164"/>
      <c r="B8" s="166" t="s">
        <v>61</v>
      </c>
      <c r="C8" s="165"/>
    </row>
    <row r="9" spans="1:3" ht="16.8">
      <c r="A9" s="164"/>
      <c r="B9" s="166" t="s">
        <v>63</v>
      </c>
      <c r="C9" s="165"/>
    </row>
    <row r="10" spans="1:3" ht="16.8">
      <c r="A10" s="164"/>
      <c r="B10" s="166" t="s">
        <v>65</v>
      </c>
      <c r="C10" s="165"/>
    </row>
    <row r="11" spans="1:3" ht="16.8">
      <c r="A11" s="164"/>
      <c r="B11" s="166" t="s">
        <v>67</v>
      </c>
      <c r="C11" s="165"/>
    </row>
    <row r="12" spans="1:3" ht="16.8">
      <c r="A12" s="159"/>
      <c r="B12" s="166" t="s">
        <v>69</v>
      </c>
      <c r="C12" s="165"/>
    </row>
    <row r="13" spans="1:3" ht="16.8">
      <c r="A13" s="159"/>
      <c r="B13" s="166" t="s">
        <v>108</v>
      </c>
      <c r="C13" s="165"/>
    </row>
    <row r="14" spans="1:3" ht="16.8">
      <c r="A14" s="164"/>
      <c r="B14" s="166" t="s">
        <v>109</v>
      </c>
      <c r="C14" s="165"/>
    </row>
    <row r="15" spans="1:3" ht="16.8">
      <c r="A15" s="159"/>
      <c r="B15" s="166" t="s">
        <v>110</v>
      </c>
      <c r="C15" s="165"/>
    </row>
    <row r="16" spans="1:3" ht="16.8">
      <c r="A16" s="159"/>
      <c r="B16" s="166" t="s">
        <v>111</v>
      </c>
      <c r="C16" s="165"/>
    </row>
    <row r="17" spans="1:3" ht="16.8">
      <c r="A17" s="159"/>
      <c r="B17" s="166" t="s">
        <v>112</v>
      </c>
      <c r="C17" s="165"/>
    </row>
    <row r="18" spans="1:3" ht="16.8">
      <c r="A18" s="159"/>
      <c r="B18" s="166" t="s">
        <v>113</v>
      </c>
      <c r="C18" s="165"/>
    </row>
    <row r="19" spans="1:3" ht="16.8">
      <c r="A19" s="159"/>
      <c r="B19" s="166" t="s">
        <v>114</v>
      </c>
      <c r="C19" s="165"/>
    </row>
    <row r="20" spans="1:3" ht="16.8">
      <c r="A20" s="159"/>
      <c r="B20" s="166" t="s">
        <v>115</v>
      </c>
      <c r="C20" s="165"/>
    </row>
    <row r="21" spans="1:3" ht="16.8">
      <c r="A21" s="164"/>
      <c r="B21" s="166" t="s">
        <v>116</v>
      </c>
      <c r="C21" s="165"/>
    </row>
    <row r="22" spans="1:3" ht="16.8">
      <c r="A22" s="159"/>
      <c r="B22" s="166" t="s">
        <v>117</v>
      </c>
      <c r="C22" s="165"/>
    </row>
    <row r="23" spans="1:3" ht="16.8">
      <c r="A23" s="159"/>
      <c r="B23" s="166" t="s">
        <v>118</v>
      </c>
      <c r="C23" s="165"/>
    </row>
    <row r="24" spans="1:3" ht="16.8">
      <c r="A24" s="159"/>
      <c r="B24" s="166" t="s">
        <v>119</v>
      </c>
      <c r="C24" s="165"/>
    </row>
    <row r="25" spans="1:3" ht="16.8">
      <c r="A25" s="159"/>
      <c r="B25" s="166" t="s">
        <v>120</v>
      </c>
      <c r="C25" s="165"/>
    </row>
    <row r="26" spans="1:3" ht="16.8">
      <c r="A26" s="159"/>
      <c r="B26" s="166" t="s">
        <v>121</v>
      </c>
      <c r="C26" s="165"/>
    </row>
    <row r="27" spans="1:3" ht="16.8">
      <c r="A27" s="164"/>
      <c r="B27" s="166" t="s">
        <v>122</v>
      </c>
      <c r="C27" s="165"/>
    </row>
    <row r="28" spans="1:3" ht="16.8">
      <c r="A28" s="164"/>
      <c r="B28" s="166" t="s">
        <v>123</v>
      </c>
      <c r="C28" s="165"/>
    </row>
    <row r="29" spans="1:3" ht="16.8">
      <c r="A29" s="159"/>
      <c r="B29" s="166" t="s">
        <v>124</v>
      </c>
      <c r="C29" s="165"/>
    </row>
    <row r="30" spans="1:3" ht="16.8">
      <c r="A30" s="167"/>
      <c r="B30" s="166" t="s">
        <v>125</v>
      </c>
      <c r="C30" s="165"/>
    </row>
    <row r="31" spans="1:3" ht="16.8">
      <c r="A31" s="159"/>
      <c r="B31" s="166" t="s">
        <v>126</v>
      </c>
      <c r="C31" s="165"/>
    </row>
    <row r="32" spans="1:3" ht="16.8">
      <c r="A32" s="159"/>
      <c r="B32" s="166" t="s">
        <v>127</v>
      </c>
      <c r="C32" s="165"/>
    </row>
    <row r="33" spans="1:3" ht="16.8">
      <c r="A33" s="159"/>
      <c r="B33" s="166" t="s">
        <v>128</v>
      </c>
      <c r="C33" s="165"/>
    </row>
    <row r="34" spans="1:3" ht="16.8">
      <c r="A34" s="159"/>
      <c r="B34" s="166" t="s">
        <v>129</v>
      </c>
      <c r="C34" s="165"/>
    </row>
    <row r="35" spans="1:3" ht="16.8">
      <c r="A35" s="159"/>
      <c r="B35" s="166" t="s">
        <v>130</v>
      </c>
      <c r="C35" s="165"/>
    </row>
    <row r="36" spans="1:3" ht="16.8">
      <c r="A36" s="159"/>
      <c r="B36" s="166" t="s">
        <v>131</v>
      </c>
      <c r="C36" s="165"/>
    </row>
    <row r="37" spans="1:3" ht="16.8">
      <c r="A37" s="167"/>
      <c r="B37" s="166" t="s">
        <v>132</v>
      </c>
      <c r="C37" s="165"/>
    </row>
    <row r="38" spans="1:3" ht="16.8">
      <c r="A38" s="159"/>
      <c r="B38" s="166" t="s">
        <v>133</v>
      </c>
      <c r="C38" s="165"/>
    </row>
    <row r="39" spans="1:3" ht="16.8">
      <c r="A39" s="159"/>
      <c r="B39" s="166" t="s">
        <v>134</v>
      </c>
      <c r="C39" s="165"/>
    </row>
    <row r="40" spans="1:3" ht="16.8">
      <c r="A40" s="159"/>
      <c r="B40" s="166" t="s">
        <v>135</v>
      </c>
      <c r="C40" s="165"/>
    </row>
    <row r="41" spans="1:3" ht="16.8">
      <c r="A41" s="159"/>
      <c r="B41" s="166" t="s">
        <v>136</v>
      </c>
      <c r="C41" s="165"/>
    </row>
    <row r="42" spans="1:3" ht="16.8">
      <c r="A42" s="159"/>
      <c r="B42" s="166" t="s">
        <v>137</v>
      </c>
      <c r="C42" s="165"/>
    </row>
    <row r="43" spans="1:3" ht="16.8">
      <c r="A43" s="164"/>
      <c r="B43" s="166" t="s">
        <v>138</v>
      </c>
      <c r="C43" s="165"/>
    </row>
    <row r="44" spans="1:3" ht="16.8">
      <c r="A44" s="164"/>
      <c r="B44" s="166" t="s">
        <v>139</v>
      </c>
      <c r="C44" s="165"/>
    </row>
    <row r="45" spans="1:3" ht="16.8">
      <c r="A45" s="164"/>
      <c r="B45" s="166" t="s">
        <v>140</v>
      </c>
      <c r="C45" s="165"/>
    </row>
    <row r="46" spans="1:3" ht="16.8">
      <c r="A46" s="159"/>
      <c r="B46" s="166" t="s">
        <v>141</v>
      </c>
      <c r="C46" s="165"/>
    </row>
    <row r="47" spans="1:3" ht="16.8">
      <c r="A47" s="159"/>
      <c r="B47" s="166" t="s">
        <v>142</v>
      </c>
      <c r="C47" s="165"/>
    </row>
    <row r="48" spans="1:3" ht="16.8">
      <c r="A48" s="159"/>
      <c r="B48" s="166" t="s">
        <v>143</v>
      </c>
      <c r="C48" s="165"/>
    </row>
    <row r="49" spans="1:3" ht="16.8">
      <c r="A49" s="159"/>
      <c r="B49" s="166" t="s">
        <v>144</v>
      </c>
      <c r="C49" s="165"/>
    </row>
    <row r="50" spans="1:3" ht="16.8">
      <c r="A50" s="159"/>
      <c r="B50" s="166" t="s">
        <v>145</v>
      </c>
      <c r="C50" s="165"/>
    </row>
    <row r="51" spans="1:3" ht="16.8">
      <c r="A51" s="164"/>
      <c r="B51" s="166" t="s">
        <v>146</v>
      </c>
      <c r="C51" s="165"/>
    </row>
    <row r="52" spans="1:3" ht="16.8">
      <c r="A52" s="164"/>
      <c r="B52" s="166" t="s">
        <v>147</v>
      </c>
      <c r="C52" s="165"/>
    </row>
    <row r="53" spans="1:3" ht="16.8">
      <c r="A53" s="164"/>
      <c r="B53" s="166" t="s">
        <v>148</v>
      </c>
      <c r="C53" s="165"/>
    </row>
    <row r="54" spans="1:3" ht="16.8">
      <c r="A54" s="159"/>
      <c r="B54" s="166" t="s">
        <v>149</v>
      </c>
      <c r="C54" s="165"/>
    </row>
    <row r="55" spans="1:3" ht="16.8">
      <c r="A55" s="159"/>
      <c r="B55" s="166" t="s">
        <v>150</v>
      </c>
      <c r="C55" s="165"/>
    </row>
    <row r="56" spans="1:3" ht="16.8">
      <c r="A56" s="159"/>
      <c r="B56" s="166" t="s">
        <v>151</v>
      </c>
      <c r="C56" s="165"/>
    </row>
    <row r="57" spans="1:3" ht="16.8">
      <c r="A57" s="159"/>
      <c r="B57" s="166" t="s">
        <v>152</v>
      </c>
      <c r="C57" s="165"/>
    </row>
    <row r="58" spans="1:3" ht="16.8">
      <c r="A58" s="159"/>
      <c r="B58" s="166" t="s">
        <v>153</v>
      </c>
      <c r="C58" s="165"/>
    </row>
    <row r="59" spans="1:3" ht="16.8">
      <c r="A59" s="164"/>
      <c r="B59" s="166" t="s">
        <v>154</v>
      </c>
      <c r="C59" s="165"/>
    </row>
    <row r="60" spans="1:3" ht="16.8">
      <c r="A60" s="164"/>
      <c r="B60" s="166" t="s">
        <v>155</v>
      </c>
      <c r="C60" s="165"/>
    </row>
    <row r="61" spans="1:3" ht="16.8">
      <c r="A61" s="164"/>
      <c r="B61" s="166" t="s">
        <v>156</v>
      </c>
      <c r="C61" s="165"/>
    </row>
    <row r="62" spans="1:3" ht="16.8">
      <c r="A62" s="159"/>
      <c r="B62" s="166" t="s">
        <v>157</v>
      </c>
      <c r="C62" s="165"/>
    </row>
    <row r="63" spans="1:3" ht="16.8">
      <c r="A63" s="159"/>
      <c r="B63" s="166" t="s">
        <v>158</v>
      </c>
      <c r="C63" s="165"/>
    </row>
    <row r="64" spans="1:3" ht="16.8">
      <c r="A64" s="159"/>
      <c r="B64" s="166" t="s">
        <v>159</v>
      </c>
      <c r="C64" s="165"/>
    </row>
    <row r="65" spans="1:3" ht="16.8">
      <c r="A65" s="159"/>
      <c r="B65" s="166" t="s">
        <v>160</v>
      </c>
      <c r="C65" s="165"/>
    </row>
    <row r="66" spans="1:3" ht="16.8">
      <c r="A66" s="159"/>
      <c r="B66" s="166" t="s">
        <v>161</v>
      </c>
      <c r="C66" s="165"/>
    </row>
    <row r="67" spans="1:3" ht="16.8">
      <c r="A67" s="164"/>
      <c r="B67" s="166" t="s">
        <v>162</v>
      </c>
      <c r="C67" s="165"/>
    </row>
    <row r="68" spans="1:3" ht="16.8">
      <c r="A68" s="159"/>
      <c r="B68" s="166" t="s">
        <v>163</v>
      </c>
      <c r="C68" s="165"/>
    </row>
    <row r="69" spans="1:3" ht="16.8">
      <c r="A69" s="164"/>
      <c r="B69" s="166" t="s">
        <v>164</v>
      </c>
      <c r="C69" s="165"/>
    </row>
    <row r="70" spans="1:3" ht="16.8">
      <c r="A70" s="159"/>
      <c r="B70" s="166" t="s">
        <v>165</v>
      </c>
      <c r="C70" s="165"/>
    </row>
    <row r="71" spans="1:3" ht="16.8">
      <c r="A71" s="168"/>
      <c r="B71" s="166" t="s">
        <v>166</v>
      </c>
      <c r="C71" s="169"/>
    </row>
    <row r="72" spans="1:3" ht="16.8">
      <c r="A72" s="168"/>
      <c r="B72" s="166" t="s">
        <v>167</v>
      </c>
      <c r="C72" s="169"/>
    </row>
    <row r="73" spans="1:3" ht="16.8">
      <c r="A73" s="168"/>
      <c r="B73" s="166" t="s">
        <v>168</v>
      </c>
      <c r="C73" s="169"/>
    </row>
    <row r="74" spans="1:3" ht="16.8">
      <c r="A74" s="168"/>
      <c r="B74" s="166" t="s">
        <v>169</v>
      </c>
      <c r="C74" s="169"/>
    </row>
    <row r="75" spans="1:3" ht="16.8">
      <c r="A75" s="164"/>
      <c r="B75" s="166" t="s">
        <v>170</v>
      </c>
      <c r="C75" s="169"/>
    </row>
    <row r="76" spans="1:3" ht="16.8">
      <c r="A76" s="168"/>
      <c r="B76" s="166" t="s">
        <v>171</v>
      </c>
      <c r="C76" s="169"/>
    </row>
    <row r="77" spans="1:3" ht="16.8">
      <c r="A77" s="168"/>
      <c r="B77" s="166" t="s">
        <v>172</v>
      </c>
      <c r="C77" s="169"/>
    </row>
    <row r="78" spans="1:3" ht="16.8">
      <c r="A78" s="164"/>
      <c r="B78" s="166" t="s">
        <v>173</v>
      </c>
      <c r="C78" s="169"/>
    </row>
    <row r="79" spans="1:3" ht="16.8">
      <c r="A79" s="168"/>
      <c r="B79" s="166" t="s">
        <v>174</v>
      </c>
      <c r="C79" s="169"/>
    </row>
    <row r="80" spans="1:3" ht="16.8">
      <c r="A80" s="164"/>
      <c r="B80" s="166" t="s">
        <v>175</v>
      </c>
      <c r="C80" s="169"/>
    </row>
    <row r="81" spans="1:3" ht="16.8">
      <c r="A81" s="168"/>
      <c r="B81" s="166" t="s">
        <v>176</v>
      </c>
      <c r="C81" s="169"/>
    </row>
    <row r="82" spans="1:3" ht="16.8">
      <c r="A82" s="168"/>
      <c r="B82" s="166" t="s">
        <v>177</v>
      </c>
      <c r="C82" s="169"/>
    </row>
    <row r="83" spans="1:3" ht="16.8">
      <c r="A83" s="164"/>
      <c r="B83" s="166" t="s">
        <v>178</v>
      </c>
      <c r="C83" s="169"/>
    </row>
    <row r="84" spans="1:3" ht="16.8">
      <c r="A84" s="168"/>
      <c r="B84" s="166" t="s">
        <v>179</v>
      </c>
      <c r="C84" s="169"/>
    </row>
    <row r="85" spans="1:3" ht="16.8">
      <c r="A85" s="168"/>
      <c r="B85" s="166" t="s">
        <v>180</v>
      </c>
      <c r="C85" s="169"/>
    </row>
    <row r="86" spans="1:3" ht="16.8">
      <c r="A86" s="168"/>
      <c r="B86" s="166" t="s">
        <v>181</v>
      </c>
      <c r="C86" s="169"/>
    </row>
    <row r="87" spans="1:3" ht="16.8">
      <c r="A87" s="168"/>
      <c r="B87" s="166" t="s">
        <v>182</v>
      </c>
      <c r="C87" s="169"/>
    </row>
    <row r="88" spans="1:3" ht="16.8">
      <c r="A88" s="168"/>
      <c r="B88" s="166" t="s">
        <v>183</v>
      </c>
      <c r="C88" s="169"/>
    </row>
    <row r="89" spans="1:3" ht="16.8">
      <c r="A89" s="168"/>
      <c r="B89" s="166" t="s">
        <v>184</v>
      </c>
      <c r="C89" s="169"/>
    </row>
    <row r="90" spans="1:3" ht="16.8">
      <c r="A90" s="159"/>
      <c r="B90" s="166" t="s">
        <v>185</v>
      </c>
      <c r="C90" s="165"/>
    </row>
    <row r="91" spans="1:3" ht="16.8">
      <c r="A91" s="159"/>
      <c r="B91" s="166" t="s">
        <v>186</v>
      </c>
      <c r="C91" s="165"/>
    </row>
    <row r="92" spans="1:3" ht="16.8">
      <c r="A92" s="168"/>
      <c r="B92" s="166" t="s">
        <v>187</v>
      </c>
      <c r="C92" s="169"/>
    </row>
    <row r="93" spans="1:3" ht="16.8">
      <c r="A93" s="168"/>
      <c r="B93" s="166" t="s">
        <v>188</v>
      </c>
      <c r="C93" s="169"/>
    </row>
    <row r="94" spans="1:3" ht="16.8">
      <c r="A94" s="168"/>
      <c r="B94" s="166" t="s">
        <v>189</v>
      </c>
      <c r="C94" s="169"/>
    </row>
    <row r="95" spans="1:3" ht="16.8">
      <c r="A95" s="168"/>
      <c r="B95" s="166" t="s">
        <v>190</v>
      </c>
      <c r="C95" s="169"/>
    </row>
    <row r="96" spans="1:3" ht="16.8">
      <c r="A96" s="168"/>
      <c r="B96" s="166" t="s">
        <v>191</v>
      </c>
      <c r="C96" s="169"/>
    </row>
    <row r="97" spans="1:3" ht="16.8">
      <c r="A97" s="168"/>
      <c r="B97" s="166" t="s">
        <v>192</v>
      </c>
      <c r="C97" s="169"/>
    </row>
    <row r="98" spans="1:3" ht="16.8">
      <c r="A98" s="168"/>
      <c r="B98" s="166" t="s">
        <v>193</v>
      </c>
      <c r="C98" s="169"/>
    </row>
    <row r="99" spans="1:3" ht="16.8">
      <c r="A99" s="168"/>
      <c r="B99" s="166" t="s">
        <v>194</v>
      </c>
      <c r="C99" s="169"/>
    </row>
    <row r="100" spans="1:3" ht="16.8">
      <c r="A100" s="168"/>
      <c r="B100" s="166" t="s">
        <v>195</v>
      </c>
      <c r="C100" s="169"/>
    </row>
    <row r="101" spans="1:3" ht="16.8">
      <c r="A101" s="168"/>
      <c r="B101" s="166" t="s">
        <v>196</v>
      </c>
      <c r="C101" s="169"/>
    </row>
    <row r="102" spans="1:3" ht="16.8">
      <c r="A102" s="159"/>
      <c r="B102" s="166" t="s">
        <v>197</v>
      </c>
      <c r="C102" s="165"/>
    </row>
    <row r="103" spans="1:3" ht="16.8">
      <c r="A103" s="168"/>
      <c r="B103" s="166" t="s">
        <v>198</v>
      </c>
      <c r="C103" s="169"/>
    </row>
    <row r="104" spans="1:3" ht="16.8">
      <c r="A104" s="168"/>
      <c r="B104" s="166" t="s">
        <v>199</v>
      </c>
      <c r="C104" s="169"/>
    </row>
    <row r="105" spans="1:3" ht="16.8">
      <c r="A105" s="168"/>
      <c r="B105" s="166" t="s">
        <v>200</v>
      </c>
      <c r="C105" s="169"/>
    </row>
    <row r="106" spans="1:3" ht="16.8">
      <c r="A106" s="168"/>
      <c r="B106" s="166" t="s">
        <v>201</v>
      </c>
      <c r="C106" s="169"/>
    </row>
    <row r="107" spans="1:3" ht="16.8">
      <c r="A107" s="168"/>
      <c r="B107" s="166" t="s">
        <v>202</v>
      </c>
      <c r="C107" s="169"/>
    </row>
    <row r="108" spans="1:3" ht="16.8">
      <c r="A108" s="168"/>
      <c r="B108" s="166" t="s">
        <v>203</v>
      </c>
      <c r="C108" s="169"/>
    </row>
    <row r="109" spans="1:3" ht="16.8">
      <c r="A109" s="168"/>
      <c r="B109" s="166" t="s">
        <v>204</v>
      </c>
      <c r="C109" s="169"/>
    </row>
    <row r="110" spans="1:3" ht="16.8">
      <c r="A110" s="168"/>
      <c r="B110" s="166" t="s">
        <v>205</v>
      </c>
      <c r="C110" s="169"/>
    </row>
    <row r="111" spans="1:3" ht="16.8">
      <c r="A111" s="168"/>
      <c r="B111" s="166" t="s">
        <v>206</v>
      </c>
      <c r="C111" s="169"/>
    </row>
    <row r="112" spans="1:3" ht="16.8">
      <c r="A112" s="168"/>
      <c r="B112" s="166" t="s">
        <v>207</v>
      </c>
      <c r="C112" s="169"/>
    </row>
    <row r="113" spans="1:3" ht="16.8">
      <c r="A113" s="168"/>
      <c r="B113" s="166" t="s">
        <v>208</v>
      </c>
      <c r="C113" s="169"/>
    </row>
    <row r="114" spans="1:3" ht="16.8">
      <c r="A114" s="168"/>
      <c r="B114" s="166" t="s">
        <v>209</v>
      </c>
      <c r="C114" s="169"/>
    </row>
    <row r="115" spans="1:3" ht="16.8">
      <c r="A115" s="168"/>
      <c r="B115" s="166" t="s">
        <v>210</v>
      </c>
      <c r="C115" s="169"/>
    </row>
    <row r="116" spans="1:3" ht="16.8">
      <c r="A116" s="168"/>
      <c r="B116" s="166" t="s">
        <v>211</v>
      </c>
      <c r="C116" s="169"/>
    </row>
    <row r="117" spans="1:3" ht="16.8">
      <c r="A117" s="168"/>
      <c r="B117" s="166" t="s">
        <v>212</v>
      </c>
      <c r="C117" s="169"/>
    </row>
    <row r="118" spans="1:3" ht="18" customHeight="1">
      <c r="A118" s="168"/>
      <c r="B118" s="166" t="s">
        <v>213</v>
      </c>
      <c r="C118" s="169"/>
    </row>
    <row r="119" spans="1:3" ht="18" customHeight="1">
      <c r="A119" s="168"/>
      <c r="B119" s="166" t="s">
        <v>214</v>
      </c>
      <c r="C119" s="169"/>
    </row>
    <row r="120" spans="1:3" ht="18" customHeight="1">
      <c r="A120" s="168"/>
      <c r="B120" s="166" t="s">
        <v>215</v>
      </c>
      <c r="C120" s="169"/>
    </row>
    <row r="121" spans="1:3" ht="18" customHeight="1">
      <c r="A121" s="168"/>
      <c r="B121" s="166" t="s">
        <v>216</v>
      </c>
      <c r="C121" s="169"/>
    </row>
    <row r="122" spans="1:3" ht="18" customHeight="1">
      <c r="A122" s="168"/>
      <c r="B122" s="166" t="s">
        <v>217</v>
      </c>
      <c r="C122" s="169"/>
    </row>
    <row r="123" spans="1:3" ht="18" customHeight="1">
      <c r="A123" s="168"/>
      <c r="B123" s="166" t="s">
        <v>218</v>
      </c>
      <c r="C123" s="169"/>
    </row>
    <row r="124" spans="1:3" ht="18" customHeight="1">
      <c r="A124" s="168"/>
      <c r="B124" s="166" t="s">
        <v>219</v>
      </c>
      <c r="C124" s="169"/>
    </row>
    <row r="125" spans="1:3" ht="18" customHeight="1">
      <c r="A125" s="168"/>
      <c r="B125" s="166" t="s">
        <v>220</v>
      </c>
      <c r="C125" s="169"/>
    </row>
    <row r="126" spans="1:3" ht="16.8">
      <c r="A126" s="168"/>
      <c r="B126" s="166" t="s">
        <v>221</v>
      </c>
      <c r="C126" s="169"/>
    </row>
    <row r="127" spans="1:3" ht="16.8">
      <c r="A127" s="168"/>
      <c r="B127" s="166" t="s">
        <v>222</v>
      </c>
      <c r="C127" s="169"/>
    </row>
    <row r="128" spans="1:3" ht="18" customHeight="1">
      <c r="A128" s="168"/>
      <c r="B128" s="166" t="s">
        <v>223</v>
      </c>
      <c r="C128" s="169"/>
    </row>
    <row r="129" spans="1:3" ht="18" customHeight="1">
      <c r="A129" s="168"/>
      <c r="B129" s="166" t="s">
        <v>224</v>
      </c>
      <c r="C129" s="169"/>
    </row>
    <row r="130" spans="1:3" ht="18" customHeight="1">
      <c r="A130" s="168"/>
      <c r="B130" s="166" t="s">
        <v>225</v>
      </c>
      <c r="C130" s="169"/>
    </row>
    <row r="131" spans="1:3" ht="18" customHeight="1">
      <c r="A131" s="168"/>
      <c r="B131" s="166" t="s">
        <v>226</v>
      </c>
      <c r="C131" s="169"/>
    </row>
    <row r="132" spans="1:3" ht="18" customHeight="1">
      <c r="A132" s="168"/>
      <c r="B132" s="166" t="s">
        <v>227</v>
      </c>
      <c r="C132" s="169"/>
    </row>
    <row r="133" spans="1:3" ht="18" customHeight="1">
      <c r="A133" s="168"/>
      <c r="B133" s="166" t="s">
        <v>228</v>
      </c>
      <c r="C133" s="169"/>
    </row>
    <row r="134" spans="1:3" ht="18" customHeight="1">
      <c r="A134" s="168"/>
      <c r="B134" s="166" t="s">
        <v>229</v>
      </c>
      <c r="C134" s="169"/>
    </row>
    <row r="135" spans="1:3" ht="18" customHeight="1">
      <c r="A135" s="168"/>
      <c r="B135" s="166" t="s">
        <v>230</v>
      </c>
      <c r="C135" s="169"/>
    </row>
    <row r="136" spans="1:3" ht="18" customHeight="1">
      <c r="A136" s="168"/>
      <c r="B136" s="166" t="s">
        <v>231</v>
      </c>
      <c r="C136" s="169"/>
    </row>
    <row r="137" spans="1:3" ht="16.8">
      <c r="A137" s="168"/>
      <c r="B137" s="166" t="s">
        <v>232</v>
      </c>
      <c r="C137" s="169"/>
    </row>
    <row r="138" spans="1:3" ht="16.8">
      <c r="A138" s="168"/>
      <c r="B138" s="166" t="s">
        <v>233</v>
      </c>
      <c r="C138" s="169"/>
    </row>
    <row r="139" spans="1:3" ht="16.8">
      <c r="A139" s="168"/>
      <c r="B139" s="166" t="s">
        <v>234</v>
      </c>
      <c r="C139" s="169"/>
    </row>
    <row r="140" spans="1:3" ht="16.8">
      <c r="A140" s="168"/>
      <c r="B140" s="166" t="s">
        <v>235</v>
      </c>
      <c r="C140" s="169"/>
    </row>
    <row r="141" spans="1:3" ht="16.8">
      <c r="A141" s="168"/>
      <c r="B141" s="166" t="s">
        <v>236</v>
      </c>
      <c r="C141" s="169"/>
    </row>
    <row r="142" spans="1:3" ht="16.8">
      <c r="A142" s="168"/>
      <c r="B142" s="166" t="s">
        <v>237</v>
      </c>
      <c r="C142" s="169"/>
    </row>
    <row r="143" spans="1:3" ht="16.8">
      <c r="A143" s="168"/>
      <c r="B143" s="166" t="s">
        <v>238</v>
      </c>
      <c r="C143" s="169"/>
    </row>
    <row r="144" spans="1:3" ht="16.8">
      <c r="A144" s="168"/>
      <c r="B144" s="166" t="s">
        <v>239</v>
      </c>
      <c r="C144" s="169"/>
    </row>
    <row r="145" spans="1:3" ht="16.8">
      <c r="A145" s="159"/>
      <c r="B145" s="166" t="s">
        <v>240</v>
      </c>
      <c r="C145" s="165"/>
    </row>
    <row r="146" spans="1:3" ht="16.8">
      <c r="A146" s="168"/>
      <c r="B146" s="166" t="s">
        <v>241</v>
      </c>
      <c r="C146" s="169"/>
    </row>
    <row r="147" spans="1:3" ht="16.8">
      <c r="A147" s="168"/>
      <c r="B147" s="166" t="s">
        <v>242</v>
      </c>
      <c r="C147" s="169"/>
    </row>
    <row r="148" spans="1:3" ht="16.8">
      <c r="A148" s="168"/>
      <c r="B148" s="166" t="s">
        <v>243</v>
      </c>
      <c r="C148" s="169"/>
    </row>
    <row r="149" spans="1:3" ht="16.8">
      <c r="A149" s="168"/>
      <c r="B149" s="166" t="s">
        <v>244</v>
      </c>
      <c r="C149" s="169"/>
    </row>
    <row r="150" spans="1:3" ht="16.8">
      <c r="A150" s="168"/>
      <c r="B150" s="166" t="s">
        <v>245</v>
      </c>
      <c r="C150" s="169"/>
    </row>
    <row r="151" spans="1:3" ht="16.8">
      <c r="A151" s="168"/>
      <c r="B151" s="166" t="s">
        <v>246</v>
      </c>
      <c r="C151" s="169"/>
    </row>
    <row r="152" spans="1:3" ht="16.8">
      <c r="A152" s="168"/>
      <c r="B152" s="166" t="s">
        <v>247</v>
      </c>
      <c r="C152" s="169"/>
    </row>
    <row r="153" spans="1:3" ht="16.8">
      <c r="A153" s="168"/>
      <c r="B153" s="166" t="s">
        <v>248</v>
      </c>
      <c r="C153" s="169"/>
    </row>
    <row r="154" spans="1:3" ht="16.8">
      <c r="A154" s="168"/>
      <c r="B154" s="166" t="s">
        <v>249</v>
      </c>
      <c r="C154" s="169"/>
    </row>
    <row r="155" spans="1:3" ht="15.75" customHeight="1">
      <c r="A155" s="159"/>
      <c r="B155" s="166" t="s">
        <v>250</v>
      </c>
      <c r="C155" s="165"/>
    </row>
    <row r="156" spans="1:3" ht="16.8">
      <c r="A156" s="168"/>
      <c r="B156" s="166" t="s">
        <v>251</v>
      </c>
      <c r="C156" s="169"/>
    </row>
    <row r="157" spans="1:3" ht="16.8">
      <c r="A157" s="168"/>
      <c r="B157" s="166" t="s">
        <v>252</v>
      </c>
      <c r="C157" s="169"/>
    </row>
    <row r="158" spans="1:3" ht="16.8">
      <c r="A158" s="168"/>
      <c r="B158" s="166" t="s">
        <v>253</v>
      </c>
      <c r="C158" s="169"/>
    </row>
    <row r="159" spans="1:3" ht="16.8">
      <c r="A159" s="168"/>
      <c r="B159" s="166" t="s">
        <v>254</v>
      </c>
      <c r="C159" s="169"/>
    </row>
    <row r="160" spans="1:3" ht="16.8">
      <c r="A160" s="168"/>
      <c r="B160" s="166" t="s">
        <v>255</v>
      </c>
      <c r="C160" s="169"/>
    </row>
    <row r="161" spans="1:3" ht="16.8">
      <c r="A161" s="168"/>
      <c r="B161" s="166" t="s">
        <v>256</v>
      </c>
      <c r="C161" s="169"/>
    </row>
    <row r="162" spans="1:3" ht="16.8">
      <c r="A162" s="168"/>
      <c r="B162" s="166" t="s">
        <v>257</v>
      </c>
      <c r="C162" s="169"/>
    </row>
    <row r="163" spans="1:3" ht="16.8">
      <c r="A163" s="168"/>
      <c r="B163" s="166" t="s">
        <v>258</v>
      </c>
      <c r="C163" s="169"/>
    </row>
    <row r="164" spans="1:3" ht="16.8">
      <c r="A164" s="168"/>
      <c r="B164" s="166" t="s">
        <v>259</v>
      </c>
      <c r="C164" s="169"/>
    </row>
    <row r="165" spans="1:3" ht="16.8">
      <c r="A165" s="168"/>
      <c r="B165" s="166" t="s">
        <v>260</v>
      </c>
      <c r="C165" s="169"/>
    </row>
    <row r="166" spans="1:3" ht="16.8">
      <c r="A166" s="168"/>
      <c r="B166" s="166" t="s">
        <v>261</v>
      </c>
      <c r="C166" s="169"/>
    </row>
    <row r="167" spans="1:3" ht="16.8">
      <c r="A167" s="168"/>
      <c r="B167" s="166" t="s">
        <v>262</v>
      </c>
      <c r="C167" s="169"/>
    </row>
    <row r="168" spans="1:3" ht="16.8">
      <c r="A168" s="168"/>
      <c r="B168" s="166" t="s">
        <v>263</v>
      </c>
      <c r="C168" s="169"/>
    </row>
    <row r="169" spans="1:3" ht="16.8">
      <c r="A169" s="168"/>
      <c r="B169" s="166" t="s">
        <v>264</v>
      </c>
      <c r="C169" s="169"/>
    </row>
    <row r="170" spans="1:3" ht="16.8">
      <c r="A170" s="168"/>
      <c r="B170" s="166" t="s">
        <v>265</v>
      </c>
      <c r="C170" s="169"/>
    </row>
    <row r="171" spans="1:3" ht="16.8">
      <c r="A171" s="168"/>
      <c r="B171" s="166" t="s">
        <v>266</v>
      </c>
      <c r="C171" s="169"/>
    </row>
    <row r="172" spans="1:3" ht="16.8">
      <c r="A172" s="168"/>
      <c r="B172" s="166" t="s">
        <v>267</v>
      </c>
      <c r="C172" s="169"/>
    </row>
    <row r="173" spans="1:3" ht="16.8">
      <c r="A173" s="168"/>
      <c r="B173" s="166" t="s">
        <v>268</v>
      </c>
      <c r="C173" s="169"/>
    </row>
    <row r="174" spans="1:3" ht="16.8">
      <c r="A174" s="168"/>
      <c r="B174" s="166" t="s">
        <v>269</v>
      </c>
      <c r="C174" s="169"/>
    </row>
    <row r="175" spans="1:3" ht="16.8">
      <c r="A175" s="168"/>
      <c r="B175" s="166" t="s">
        <v>270</v>
      </c>
      <c r="C175" s="169"/>
    </row>
    <row r="176" spans="1:3" ht="16.8">
      <c r="A176" s="168"/>
      <c r="B176" s="166" t="s">
        <v>271</v>
      </c>
      <c r="C176" s="169"/>
    </row>
    <row r="177" spans="1:3" ht="16.8">
      <c r="A177" s="168"/>
      <c r="B177" s="166" t="s">
        <v>272</v>
      </c>
      <c r="C177" s="169"/>
    </row>
    <row r="178" spans="1:3" ht="16.8">
      <c r="A178" s="168"/>
      <c r="B178" s="166" t="s">
        <v>273</v>
      </c>
      <c r="C178" s="169"/>
    </row>
    <row r="179" spans="1:3" ht="16.8">
      <c r="A179" s="159"/>
      <c r="B179" s="166" t="s">
        <v>274</v>
      </c>
      <c r="C179" s="165"/>
    </row>
    <row r="180" spans="1:3" ht="16.8">
      <c r="A180" s="168"/>
      <c r="B180" s="166" t="s">
        <v>275</v>
      </c>
      <c r="C180" s="169"/>
    </row>
    <row r="181" spans="1:3" ht="16.8">
      <c r="A181" s="168"/>
      <c r="B181" s="166" t="s">
        <v>276</v>
      </c>
      <c r="C181" s="169"/>
    </row>
    <row r="182" spans="1:3" ht="16.8">
      <c r="A182" s="168"/>
      <c r="B182" s="166" t="s">
        <v>277</v>
      </c>
      <c r="C182" s="169"/>
    </row>
    <row r="183" spans="1:3" ht="16.8">
      <c r="A183" s="159"/>
      <c r="B183" s="166" t="s">
        <v>278</v>
      </c>
      <c r="C183" s="165"/>
    </row>
    <row r="184" spans="1:3" ht="16.8">
      <c r="A184" s="168"/>
      <c r="B184" s="166" t="s">
        <v>279</v>
      </c>
      <c r="C184" s="169"/>
    </row>
    <row r="185" spans="1:3" ht="16.8">
      <c r="A185" s="168"/>
      <c r="B185" s="166" t="s">
        <v>280</v>
      </c>
      <c r="C185" s="169"/>
    </row>
    <row r="186" spans="1:3" ht="16.8">
      <c r="A186" s="168"/>
      <c r="B186" s="166" t="s">
        <v>281</v>
      </c>
      <c r="C186" s="169"/>
    </row>
    <row r="187" spans="1:3" ht="16.8">
      <c r="A187" s="159"/>
      <c r="B187" s="166" t="s">
        <v>282</v>
      </c>
      <c r="C187" s="165"/>
    </row>
    <row r="188" spans="1:3" ht="16.8">
      <c r="A188" s="168"/>
      <c r="B188" s="166" t="s">
        <v>283</v>
      </c>
      <c r="C188" s="169"/>
    </row>
    <row r="189" spans="1:3" ht="16.8">
      <c r="A189" s="168"/>
      <c r="B189" s="166" t="s">
        <v>284</v>
      </c>
      <c r="C189" s="169"/>
    </row>
    <row r="190" spans="1:3" ht="16.8">
      <c r="A190" s="168"/>
      <c r="B190" s="166" t="s">
        <v>285</v>
      </c>
      <c r="C190" s="169"/>
    </row>
    <row r="191" spans="1:3" ht="16.8">
      <c r="A191" s="159"/>
      <c r="B191" s="166" t="s">
        <v>286</v>
      </c>
      <c r="C191" s="165"/>
    </row>
    <row r="192" spans="1:3" ht="16.8">
      <c r="A192" s="168"/>
      <c r="B192" s="166" t="s">
        <v>287</v>
      </c>
      <c r="C192" s="169"/>
    </row>
    <row r="193" spans="1:3" ht="16.8">
      <c r="A193" s="168"/>
      <c r="B193" s="166" t="s">
        <v>288</v>
      </c>
      <c r="C193" s="169"/>
    </row>
    <row r="194" spans="1:3" ht="16.8">
      <c r="A194" s="168"/>
      <c r="B194" s="166" t="s">
        <v>289</v>
      </c>
      <c r="C194" s="169"/>
    </row>
    <row r="195" spans="1:3" ht="16.8">
      <c r="A195" s="159"/>
      <c r="B195" s="166" t="s">
        <v>97</v>
      </c>
      <c r="C195" s="165"/>
    </row>
    <row r="196" spans="1:3" ht="16.8">
      <c r="A196" s="168"/>
      <c r="B196" s="166" t="s">
        <v>99</v>
      </c>
      <c r="C196" s="169"/>
    </row>
    <row r="197" spans="1:3" ht="16.8">
      <c r="A197" s="168"/>
      <c r="B197" s="166" t="s">
        <v>290</v>
      </c>
      <c r="C197" s="169"/>
    </row>
    <row r="198" spans="1:3" ht="16.8">
      <c r="A198" s="168"/>
      <c r="B198" s="166" t="s">
        <v>291</v>
      </c>
      <c r="C198" s="169"/>
    </row>
    <row r="199" spans="1:3" ht="16.8">
      <c r="A199" s="159"/>
      <c r="B199" s="166" t="s">
        <v>292</v>
      </c>
      <c r="C199" s="165"/>
    </row>
    <row r="200" spans="1:3" ht="16.8">
      <c r="A200" s="168"/>
      <c r="B200" s="166" t="s">
        <v>293</v>
      </c>
      <c r="C200" s="169"/>
    </row>
    <row r="201" spans="1:3" ht="16.8">
      <c r="A201" s="168"/>
      <c r="B201" s="166" t="s">
        <v>294</v>
      </c>
      <c r="C201" s="169"/>
    </row>
    <row r="202" spans="1:3" ht="16.8">
      <c r="A202" s="168"/>
      <c r="B202" s="166" t="s">
        <v>295</v>
      </c>
      <c r="C202" s="169"/>
    </row>
    <row r="203" spans="1:3" ht="16.8">
      <c r="A203" s="159"/>
      <c r="B203" s="166" t="s">
        <v>296</v>
      </c>
      <c r="C203" s="165"/>
    </row>
    <row r="204" spans="1:3" ht="16.8">
      <c r="A204" s="168"/>
      <c r="B204" s="166" t="s">
        <v>297</v>
      </c>
      <c r="C204" s="169"/>
    </row>
    <row r="205" spans="1:3" ht="16.8">
      <c r="A205" s="168"/>
      <c r="B205" s="166" t="s">
        <v>298</v>
      </c>
      <c r="C205" s="169"/>
    </row>
    <row r="206" spans="1:3" ht="16.8">
      <c r="A206" s="168"/>
      <c r="B206" s="166" t="s">
        <v>299</v>
      </c>
      <c r="C206" s="169"/>
    </row>
    <row r="207" spans="1:3" ht="16.8">
      <c r="A207" s="159"/>
      <c r="B207" s="166" t="s">
        <v>300</v>
      </c>
      <c r="C207" s="165"/>
    </row>
    <row r="208" spans="1:3" ht="16.8">
      <c r="A208" s="168"/>
      <c r="B208" s="166" t="s">
        <v>301</v>
      </c>
      <c r="C208" s="169"/>
    </row>
    <row r="209" spans="1:3" ht="16.8">
      <c r="A209" s="168"/>
      <c r="B209" s="166" t="s">
        <v>302</v>
      </c>
      <c r="C209" s="169"/>
    </row>
    <row r="210" spans="1:3" ht="16.8">
      <c r="A210" s="168"/>
      <c r="B210" s="166" t="s">
        <v>303</v>
      </c>
      <c r="C210" s="169"/>
    </row>
    <row r="211" spans="1:3" ht="16.8">
      <c r="A211" s="159"/>
      <c r="B211" s="166" t="s">
        <v>304</v>
      </c>
      <c r="C211" s="165"/>
    </row>
    <row r="212" spans="1:3" ht="16.8">
      <c r="A212" s="168"/>
      <c r="B212" s="166" t="s">
        <v>305</v>
      </c>
      <c r="C212" s="169"/>
    </row>
    <row r="213" spans="1:3" ht="16.8">
      <c r="A213" s="168"/>
      <c r="B213" s="166" t="s">
        <v>306</v>
      </c>
      <c r="C213" s="169"/>
    </row>
    <row r="214" spans="1:3" ht="16.8">
      <c r="A214" s="168"/>
      <c r="B214" s="166" t="s">
        <v>307</v>
      </c>
      <c r="C214" s="169"/>
    </row>
    <row r="215" spans="1:3" ht="16.8">
      <c r="A215" s="159"/>
      <c r="B215" s="166" t="s">
        <v>308</v>
      </c>
      <c r="C215" s="165"/>
    </row>
    <row r="216" spans="1:3" ht="16.8">
      <c r="A216" s="159"/>
      <c r="B216" s="166" t="s">
        <v>102</v>
      </c>
      <c r="C216" s="165"/>
    </row>
    <row r="217" spans="1:3" ht="16.8">
      <c r="A217" s="168"/>
      <c r="B217" s="166" t="s">
        <v>309</v>
      </c>
      <c r="C217" s="169"/>
    </row>
    <row r="218" spans="1:3" ht="16.8">
      <c r="A218" s="168"/>
      <c r="B218" s="166" t="s">
        <v>310</v>
      </c>
      <c r="C218" s="169"/>
    </row>
    <row r="219" spans="1:3" ht="16.8">
      <c r="A219" s="159"/>
      <c r="B219" s="166" t="s">
        <v>311</v>
      </c>
      <c r="C219" s="165"/>
    </row>
    <row r="220" spans="1:3" ht="16.8">
      <c r="A220" s="168"/>
      <c r="B220" s="166" t="s">
        <v>312</v>
      </c>
      <c r="C220" s="169"/>
    </row>
    <row r="221" spans="1:3" ht="16.8">
      <c r="A221" s="168"/>
      <c r="B221" s="166" t="s">
        <v>313</v>
      </c>
      <c r="C221" s="169"/>
    </row>
    <row r="222" spans="1:3" ht="16.8">
      <c r="A222" s="168"/>
      <c r="B222" s="166" t="s">
        <v>314</v>
      </c>
      <c r="C222" s="169"/>
    </row>
    <row r="223" spans="1:3" ht="16.8">
      <c r="A223" s="159"/>
      <c r="B223" s="166" t="s">
        <v>315</v>
      </c>
      <c r="C223" s="165"/>
    </row>
    <row r="224" spans="1:3" ht="16.8">
      <c r="A224" s="168"/>
      <c r="B224" s="166" t="s">
        <v>316</v>
      </c>
      <c r="C224" s="169"/>
    </row>
    <row r="225" spans="1:3" ht="16.8">
      <c r="A225" s="168"/>
      <c r="B225" s="166" t="s">
        <v>317</v>
      </c>
      <c r="C225" s="169"/>
    </row>
    <row r="226" spans="1:3" ht="16.8">
      <c r="A226" s="168"/>
      <c r="B226" s="166" t="s">
        <v>318</v>
      </c>
      <c r="C226" s="169"/>
    </row>
    <row r="227" spans="1:3" ht="16.8">
      <c r="A227" s="159"/>
      <c r="B227" s="166" t="s">
        <v>319</v>
      </c>
      <c r="C227" s="165"/>
    </row>
    <row r="228" spans="1:3" ht="16.8">
      <c r="A228" s="168"/>
      <c r="B228" s="166" t="s">
        <v>320</v>
      </c>
      <c r="C228" s="169"/>
    </row>
    <row r="229" spans="1:3" ht="16.8">
      <c r="A229" s="168"/>
      <c r="B229" s="166" t="s">
        <v>321</v>
      </c>
      <c r="C229" s="169"/>
    </row>
    <row r="230" spans="1:3" ht="16.8">
      <c r="A230" s="168"/>
      <c r="B230" s="166" t="s">
        <v>322</v>
      </c>
      <c r="C230" s="169"/>
    </row>
    <row r="231" spans="1:3" ht="16.8">
      <c r="A231" s="159"/>
      <c r="B231" s="166" t="s">
        <v>323</v>
      </c>
      <c r="C231" s="165"/>
    </row>
    <row r="232" spans="1:3" ht="16.8">
      <c r="A232" s="168"/>
      <c r="B232" s="166" t="s">
        <v>324</v>
      </c>
      <c r="C232" s="169"/>
    </row>
    <row r="233" spans="1:3" ht="16.8">
      <c r="A233" s="168"/>
      <c r="B233" s="166" t="s">
        <v>325</v>
      </c>
      <c r="C233" s="169"/>
    </row>
    <row r="234" spans="1:3" ht="16.8">
      <c r="A234" s="168"/>
      <c r="B234" s="166" t="s">
        <v>326</v>
      </c>
      <c r="C234" s="169"/>
    </row>
    <row r="235" spans="1:3" ht="16.8">
      <c r="A235" s="159"/>
      <c r="B235" s="166" t="s">
        <v>327</v>
      </c>
      <c r="C235" s="165"/>
    </row>
    <row r="236" spans="1:3" ht="16.8">
      <c r="A236" s="168"/>
      <c r="B236" s="166" t="s">
        <v>328</v>
      </c>
      <c r="C236" s="169"/>
    </row>
    <row r="237" spans="1:3" ht="16.8">
      <c r="A237" s="168"/>
      <c r="B237" s="166" t="s">
        <v>329</v>
      </c>
      <c r="C237" s="169"/>
    </row>
    <row r="238" spans="1:3" ht="16.8">
      <c r="A238" s="168"/>
      <c r="B238" s="166" t="s">
        <v>330</v>
      </c>
      <c r="C238" s="169"/>
    </row>
    <row r="239" spans="1:3" ht="16.8">
      <c r="A239" s="159"/>
      <c r="B239" s="166" t="s">
        <v>331</v>
      </c>
      <c r="C239" s="165"/>
    </row>
    <row r="240" spans="1:3" ht="16.8">
      <c r="A240" s="168"/>
      <c r="B240" s="166" t="s">
        <v>332</v>
      </c>
      <c r="C240" s="169"/>
    </row>
    <row r="241" spans="1:3" ht="16.8">
      <c r="A241" s="168"/>
      <c r="B241" s="166" t="s">
        <v>333</v>
      </c>
      <c r="C241" s="169"/>
    </row>
    <row r="242" spans="1:3" ht="16.8">
      <c r="A242" s="168"/>
      <c r="B242" s="166" t="s">
        <v>334</v>
      </c>
      <c r="C242" s="169"/>
    </row>
    <row r="243" spans="1:3" ht="16.8">
      <c r="A243" s="159"/>
      <c r="B243" s="166" t="s">
        <v>335</v>
      </c>
      <c r="C243" s="165"/>
    </row>
    <row r="244" spans="1:3" ht="16.8">
      <c r="A244" s="159"/>
      <c r="B244" s="166" t="s">
        <v>336</v>
      </c>
      <c r="C244" s="165"/>
    </row>
    <row r="245" spans="1:3" ht="16.8">
      <c r="A245" s="168"/>
      <c r="B245" s="166" t="s">
        <v>337</v>
      </c>
      <c r="C245" s="169"/>
    </row>
    <row r="246" spans="1:3" ht="16.8">
      <c r="A246" s="168"/>
      <c r="B246" s="166" t="s">
        <v>338</v>
      </c>
      <c r="C246" s="169"/>
    </row>
    <row r="247" spans="1:3" ht="16.8">
      <c r="A247" s="159"/>
      <c r="B247" s="166" t="s">
        <v>339</v>
      </c>
      <c r="C247" s="165"/>
    </row>
    <row r="248" spans="1:3" ht="16.8">
      <c r="A248" s="159"/>
      <c r="B248" s="166" t="s">
        <v>340</v>
      </c>
      <c r="C248" s="165"/>
    </row>
    <row r="249" spans="1:3" ht="16.8">
      <c r="A249" s="168"/>
      <c r="B249" s="166" t="s">
        <v>341</v>
      </c>
      <c r="C249" s="169"/>
    </row>
    <row r="250" spans="1:3" ht="16.8">
      <c r="A250" s="168"/>
      <c r="B250" s="166" t="s">
        <v>342</v>
      </c>
      <c r="C250" s="169"/>
    </row>
    <row r="251" spans="1:3" ht="16.8">
      <c r="A251" s="159"/>
      <c r="B251" s="166" t="s">
        <v>343</v>
      </c>
      <c r="C251" s="165"/>
    </row>
    <row r="252" spans="1:3" ht="16.8">
      <c r="A252" s="159"/>
      <c r="B252" s="166" t="s">
        <v>344</v>
      </c>
      <c r="C252" s="165"/>
    </row>
    <row r="253" spans="1:3" ht="16.8">
      <c r="A253" s="168"/>
      <c r="B253" s="166" t="s">
        <v>345</v>
      </c>
      <c r="C253" s="169"/>
    </row>
    <row r="254" spans="1:3" ht="16.8">
      <c r="A254" s="168"/>
      <c r="B254" s="166" t="s">
        <v>346</v>
      </c>
      <c r="C254" s="169"/>
    </row>
    <row r="255" spans="1:3" ht="16.8">
      <c r="A255" s="159"/>
      <c r="B255" s="166" t="s">
        <v>347</v>
      </c>
      <c r="C255" s="165"/>
    </row>
    <row r="256" spans="1:3" ht="16.8">
      <c r="A256" s="159"/>
      <c r="B256" s="166" t="s">
        <v>348</v>
      </c>
      <c r="C256" s="165"/>
    </row>
    <row r="257" spans="1:3" ht="16.8">
      <c r="A257" s="168"/>
      <c r="B257" s="166" t="s">
        <v>349</v>
      </c>
      <c r="C257" s="169"/>
    </row>
    <row r="258" spans="1:3" ht="16.8">
      <c r="A258" s="168"/>
      <c r="B258" s="166" t="s">
        <v>350</v>
      </c>
      <c r="C258" s="169"/>
    </row>
    <row r="259" spans="1:3" ht="16.8">
      <c r="A259" s="159"/>
      <c r="B259" s="166" t="s">
        <v>351</v>
      </c>
      <c r="C259" s="165"/>
    </row>
    <row r="260" spans="1:3" ht="16.8">
      <c r="A260" s="159"/>
      <c r="B260" s="166" t="s">
        <v>352</v>
      </c>
      <c r="C260" s="165"/>
    </row>
    <row r="261" spans="1:3" ht="16.8">
      <c r="A261" s="168"/>
      <c r="B261" s="166" t="s">
        <v>353</v>
      </c>
      <c r="C261" s="169"/>
    </row>
    <row r="262" spans="1:3" ht="16.8">
      <c r="A262" s="168"/>
      <c r="B262" s="166" t="s">
        <v>354</v>
      </c>
      <c r="C262" s="169"/>
    </row>
    <row r="263" spans="1:3" ht="16.8">
      <c r="A263" s="159"/>
      <c r="B263" s="166" t="s">
        <v>355</v>
      </c>
      <c r="C263" s="165"/>
    </row>
    <row r="264" spans="1:3" ht="16.8">
      <c r="A264" s="159"/>
      <c r="B264" s="166" t="s">
        <v>356</v>
      </c>
      <c r="C264" s="165"/>
    </row>
    <row r="265" spans="1:3" ht="16.8">
      <c r="A265" s="168"/>
      <c r="B265" s="166" t="s">
        <v>357</v>
      </c>
      <c r="C265" s="169"/>
    </row>
    <row r="266" spans="1:3" ht="16.8">
      <c r="A266" s="168"/>
      <c r="B266" s="166" t="s">
        <v>358</v>
      </c>
      <c r="C266" s="169"/>
    </row>
    <row r="267" spans="1:3" ht="16.8">
      <c r="A267" s="159"/>
      <c r="B267" s="166" t="s">
        <v>359</v>
      </c>
      <c r="C267" s="165"/>
    </row>
    <row r="268" spans="1:3" ht="16.8">
      <c r="A268" s="159"/>
      <c r="B268" s="166" t="s">
        <v>360</v>
      </c>
      <c r="C268" s="165"/>
    </row>
    <row r="269" spans="1:3" ht="16.8">
      <c r="A269" s="168"/>
      <c r="B269" s="166" t="s">
        <v>361</v>
      </c>
      <c r="C269" s="169"/>
    </row>
    <row r="270" spans="1:3" ht="16.8">
      <c r="A270" s="168"/>
      <c r="B270" s="166" t="s">
        <v>362</v>
      </c>
      <c r="C270" s="169"/>
    </row>
    <row r="271" spans="1:3" ht="16.8">
      <c r="A271" s="159"/>
      <c r="B271" s="166" t="s">
        <v>363</v>
      </c>
      <c r="C271" s="165"/>
    </row>
    <row r="272" spans="1:3" ht="16.8">
      <c r="A272" s="159"/>
      <c r="B272" s="166" t="s">
        <v>364</v>
      </c>
      <c r="C272" s="165"/>
    </row>
    <row r="273" spans="1:3" ht="16.8">
      <c r="A273" s="168"/>
      <c r="B273" s="166" t="s">
        <v>365</v>
      </c>
      <c r="C273" s="169"/>
    </row>
    <row r="274" spans="1:3" ht="16.8">
      <c r="A274" s="168"/>
      <c r="B274" s="166" t="s">
        <v>366</v>
      </c>
      <c r="C274" s="169"/>
    </row>
    <row r="275" spans="1:3" ht="16.8">
      <c r="A275" s="159"/>
      <c r="B275" s="166" t="s">
        <v>367</v>
      </c>
      <c r="C275" s="165"/>
    </row>
    <row r="276" spans="1:3" ht="16.8">
      <c r="A276" s="159"/>
      <c r="B276" s="166" t="s">
        <v>368</v>
      </c>
      <c r="C276" s="165"/>
    </row>
    <row r="277" spans="1:3" ht="16.8">
      <c r="A277" s="168"/>
      <c r="B277" s="166" t="s">
        <v>369</v>
      </c>
      <c r="C277" s="169"/>
    </row>
    <row r="278" spans="1:3" ht="16.8">
      <c r="A278" s="168"/>
      <c r="B278" s="166" t="s">
        <v>370</v>
      </c>
      <c r="C278" s="169"/>
    </row>
    <row r="279" spans="1:3" ht="16.8">
      <c r="A279" s="159"/>
      <c r="B279" s="166" t="s">
        <v>371</v>
      </c>
      <c r="C279" s="165"/>
    </row>
    <row r="280" spans="1:3" ht="16.8">
      <c r="A280" s="159"/>
      <c r="B280" s="166" t="s">
        <v>372</v>
      </c>
      <c r="C280" s="165"/>
    </row>
    <row r="281" spans="1:3" ht="16.8">
      <c r="A281" s="168"/>
      <c r="B281" s="166" t="s">
        <v>373</v>
      </c>
      <c r="C281" s="169"/>
    </row>
    <row r="282" spans="1:3" ht="16.8">
      <c r="A282" s="168"/>
      <c r="B282" s="166" t="s">
        <v>374</v>
      </c>
      <c r="C282" s="169"/>
    </row>
    <row r="283" spans="1:3" ht="16.8">
      <c r="A283" s="159"/>
      <c r="B283" s="166" t="s">
        <v>375</v>
      </c>
      <c r="C283" s="165"/>
    </row>
    <row r="284" spans="1:3" ht="16.8">
      <c r="A284" s="159"/>
      <c r="B284" s="166" t="s">
        <v>376</v>
      </c>
      <c r="C284" s="165"/>
    </row>
    <row r="285" spans="1:3" ht="16.8">
      <c r="A285" s="168"/>
      <c r="B285" s="166" t="s">
        <v>377</v>
      </c>
      <c r="C285" s="169"/>
    </row>
    <row r="286" spans="1:3" ht="16.8">
      <c r="A286" s="168"/>
      <c r="B286" s="166" t="s">
        <v>378</v>
      </c>
      <c r="C286" s="169"/>
    </row>
    <row r="287" spans="1:3" ht="16.8">
      <c r="A287" s="159"/>
      <c r="B287" s="166" t="s">
        <v>379</v>
      </c>
      <c r="C287" s="165"/>
    </row>
    <row r="288" spans="1:3" ht="16.8">
      <c r="A288" s="159"/>
      <c r="B288" s="166" t="s">
        <v>380</v>
      </c>
      <c r="C288" s="165"/>
    </row>
    <row r="289" spans="1:3" ht="16.8">
      <c r="A289" s="168"/>
      <c r="B289" s="166" t="s">
        <v>381</v>
      </c>
      <c r="C289" s="169"/>
    </row>
    <row r="290" spans="1:3" ht="16.8">
      <c r="A290" s="159"/>
      <c r="B290" s="166" t="s">
        <v>382</v>
      </c>
      <c r="C290" s="165"/>
    </row>
    <row r="291" spans="1:3" ht="16.8">
      <c r="A291" s="159"/>
      <c r="B291" s="166" t="s">
        <v>383</v>
      </c>
      <c r="C291" s="165"/>
    </row>
    <row r="292" spans="1:3" ht="16.8">
      <c r="A292" s="159"/>
      <c r="B292" s="166" t="s">
        <v>384</v>
      </c>
      <c r="C292" s="165"/>
    </row>
    <row r="293" spans="1:3" ht="16.8">
      <c r="A293" s="168"/>
      <c r="B293" s="166" t="s">
        <v>385</v>
      </c>
      <c r="C293" s="169"/>
    </row>
    <row r="294" spans="1:3" ht="16.8">
      <c r="A294" s="168"/>
      <c r="B294" s="166" t="s">
        <v>386</v>
      </c>
      <c r="C294" s="169"/>
    </row>
    <row r="295" spans="1:3" ht="16.8">
      <c r="A295" s="159"/>
      <c r="B295" s="166" t="s">
        <v>387</v>
      </c>
      <c r="C295" s="165"/>
    </row>
    <row r="296" spans="1:3" ht="16.8">
      <c r="A296" s="159"/>
      <c r="B296" s="166" t="s">
        <v>388</v>
      </c>
      <c r="C296" s="165"/>
    </row>
    <row r="297" spans="1:3" ht="16.8">
      <c r="A297" s="168"/>
      <c r="B297" s="166" t="s">
        <v>389</v>
      </c>
      <c r="C297" s="169"/>
    </row>
    <row r="298" spans="1:3" ht="16.8">
      <c r="A298" s="168"/>
      <c r="B298" s="166" t="s">
        <v>390</v>
      </c>
      <c r="C298" s="169"/>
    </row>
    <row r="299" spans="1:3" ht="16.8">
      <c r="A299" s="159"/>
      <c r="B299" s="166" t="s">
        <v>391</v>
      </c>
      <c r="C299" s="165"/>
    </row>
    <row r="300" spans="1:3" ht="16.8">
      <c r="A300" s="159"/>
      <c r="B300" s="166" t="s">
        <v>392</v>
      </c>
      <c r="C300" s="165"/>
    </row>
    <row r="301" spans="1:3" ht="16.8">
      <c r="A301" s="168"/>
      <c r="B301" s="166" t="s">
        <v>393</v>
      </c>
      <c r="C301" s="169"/>
    </row>
    <row r="302" spans="1:3" ht="16.8">
      <c r="A302" s="168"/>
      <c r="B302" s="166" t="s">
        <v>394</v>
      </c>
      <c r="C302" s="169"/>
    </row>
    <row r="303" spans="1:3" ht="16.8">
      <c r="A303" s="159"/>
      <c r="B303" s="166" t="s">
        <v>395</v>
      </c>
      <c r="C303" s="165"/>
    </row>
    <row r="304" spans="1:3" ht="16.8">
      <c r="A304" s="159"/>
      <c r="B304" s="166" t="s">
        <v>396</v>
      </c>
      <c r="C304" s="165"/>
    </row>
    <row r="305" spans="1:3" ht="16.8">
      <c r="A305" s="168"/>
      <c r="B305" s="166" t="s">
        <v>397</v>
      </c>
      <c r="C305" s="169"/>
    </row>
    <row r="306" spans="1:3" ht="16.8">
      <c r="A306" s="168"/>
      <c r="B306" s="166" t="s">
        <v>398</v>
      </c>
      <c r="C306" s="169"/>
    </row>
    <row r="307" spans="1:3" ht="16.8">
      <c r="A307" s="159"/>
      <c r="B307" s="166" t="s">
        <v>399</v>
      </c>
      <c r="C307" s="165"/>
    </row>
    <row r="308" spans="1:3" ht="16.8">
      <c r="A308" s="159"/>
      <c r="B308" s="166" t="s">
        <v>400</v>
      </c>
      <c r="C308" s="165"/>
    </row>
    <row r="309" spans="1:3" ht="16.8">
      <c r="A309" s="168"/>
      <c r="B309" s="166" t="s">
        <v>401</v>
      </c>
      <c r="C309" s="169"/>
    </row>
    <row r="310" spans="1:3" ht="16.8">
      <c r="A310" s="168"/>
      <c r="B310" s="166" t="s">
        <v>402</v>
      </c>
      <c r="C310" s="169"/>
    </row>
    <row r="311" spans="1:3" ht="16.8">
      <c r="A311" s="159"/>
      <c r="B311" s="166" t="s">
        <v>403</v>
      </c>
      <c r="C311" s="165"/>
    </row>
    <row r="312" spans="1:3" ht="16.8">
      <c r="A312" s="159"/>
      <c r="B312" s="166" t="s">
        <v>404</v>
      </c>
      <c r="C312" s="165"/>
    </row>
    <row r="313" spans="1:3" ht="16.8">
      <c r="A313" s="168"/>
      <c r="B313" s="166" t="s">
        <v>405</v>
      </c>
      <c r="C313" s="169"/>
    </row>
    <row r="314" spans="1:3" ht="16.8">
      <c r="A314" s="168"/>
      <c r="B314" s="166" t="s">
        <v>89</v>
      </c>
      <c r="C314" s="169"/>
    </row>
    <row r="315" spans="1:3" ht="16.8">
      <c r="A315" s="159"/>
      <c r="B315" s="166" t="s">
        <v>84</v>
      </c>
      <c r="C315" s="165"/>
    </row>
    <row r="316" spans="1:3" ht="16.8">
      <c r="A316" s="159"/>
      <c r="B316" s="166" t="s">
        <v>85</v>
      </c>
      <c r="C316" s="165"/>
    </row>
    <row r="317" spans="1:3" ht="16.8">
      <c r="A317" s="168"/>
      <c r="B317" s="166" t="s">
        <v>406</v>
      </c>
      <c r="C317" s="169"/>
    </row>
    <row r="318" spans="1:3" ht="16.8">
      <c r="A318" s="168"/>
      <c r="B318" s="166" t="s">
        <v>407</v>
      </c>
      <c r="C318" s="169"/>
    </row>
    <row r="319" spans="1:3" ht="16.8">
      <c r="A319" s="159"/>
      <c r="B319" s="166" t="s">
        <v>408</v>
      </c>
      <c r="C319" s="165"/>
    </row>
    <row r="320" spans="1:3" ht="16.8">
      <c r="A320" s="159"/>
      <c r="B320" s="166" t="s">
        <v>409</v>
      </c>
      <c r="C320" s="165"/>
    </row>
    <row r="321" spans="1:3" ht="16.8">
      <c r="A321" s="168"/>
      <c r="B321" s="166" t="s">
        <v>410</v>
      </c>
      <c r="C321" s="169"/>
    </row>
    <row r="322" spans="1:3" ht="16.8">
      <c r="A322" s="168"/>
      <c r="B322" s="166" t="s">
        <v>411</v>
      </c>
      <c r="C322" s="169"/>
    </row>
    <row r="323" spans="1:3" ht="16.8">
      <c r="A323" s="159"/>
      <c r="B323" s="166" t="s">
        <v>412</v>
      </c>
      <c r="C323" s="165"/>
    </row>
    <row r="324" spans="1:3" ht="16.8">
      <c r="A324" s="159"/>
      <c r="B324" s="166" t="s">
        <v>413</v>
      </c>
      <c r="C324" s="165"/>
    </row>
    <row r="325" spans="1:3" ht="16.8">
      <c r="A325" s="168"/>
      <c r="B325" s="166" t="s">
        <v>414</v>
      </c>
      <c r="C325" s="169"/>
    </row>
    <row r="326" spans="1:3" ht="16.8">
      <c r="A326" s="168"/>
      <c r="B326" s="166" t="s">
        <v>415</v>
      </c>
      <c r="C326" s="169"/>
    </row>
    <row r="327" spans="1:3" ht="16.8">
      <c r="A327" s="159"/>
      <c r="B327" s="166" t="s">
        <v>416</v>
      </c>
      <c r="C327" s="165"/>
    </row>
    <row r="328" spans="1:3" ht="16.8">
      <c r="A328" s="159"/>
      <c r="B328" s="166" t="s">
        <v>417</v>
      </c>
      <c r="C328" s="165"/>
    </row>
    <row r="329" spans="1:3" ht="16.8">
      <c r="A329" s="168"/>
      <c r="B329" s="166" t="s">
        <v>418</v>
      </c>
      <c r="C329" s="169"/>
    </row>
    <row r="330" spans="1:3" ht="16.8">
      <c r="A330" s="168"/>
      <c r="B330" s="166" t="s">
        <v>419</v>
      </c>
      <c r="C330" s="169"/>
    </row>
    <row r="331" spans="1:3" ht="16.8">
      <c r="A331" s="159"/>
      <c r="B331" s="166" t="s">
        <v>420</v>
      </c>
      <c r="C331" s="165"/>
    </row>
    <row r="332" spans="1:3" ht="16.8">
      <c r="A332" s="159"/>
      <c r="B332" s="166" t="s">
        <v>421</v>
      </c>
      <c r="C332" s="165"/>
    </row>
    <row r="333" spans="1:3" ht="16.8">
      <c r="A333" s="168"/>
      <c r="B333" s="166" t="s">
        <v>422</v>
      </c>
      <c r="C333" s="169"/>
    </row>
    <row r="334" spans="1:3" ht="16.8">
      <c r="A334" s="168"/>
      <c r="B334" s="166" t="s">
        <v>423</v>
      </c>
      <c r="C334" s="169"/>
    </row>
    <row r="335" spans="1:3" ht="16.8">
      <c r="A335" s="159"/>
      <c r="B335" s="166" t="s">
        <v>424</v>
      </c>
      <c r="C335" s="165"/>
    </row>
    <row r="336" spans="1:3" ht="16.8">
      <c r="A336" s="159"/>
      <c r="B336" s="166" t="s">
        <v>425</v>
      </c>
      <c r="C336" s="165"/>
    </row>
    <row r="337" spans="1:3" ht="16.8">
      <c r="A337" s="168"/>
      <c r="B337" s="166" t="s">
        <v>426</v>
      </c>
      <c r="C337" s="169"/>
    </row>
    <row r="338" spans="1:3" ht="16.8">
      <c r="A338" s="168"/>
      <c r="B338" s="166" t="s">
        <v>427</v>
      </c>
      <c r="C338" s="169"/>
    </row>
    <row r="339" spans="1:3" ht="16.8">
      <c r="A339" s="159"/>
      <c r="B339" s="166" t="s">
        <v>428</v>
      </c>
      <c r="C339" s="165"/>
    </row>
    <row r="340" spans="1:3" ht="16.8">
      <c r="A340" s="159"/>
      <c r="B340" s="166" t="s">
        <v>429</v>
      </c>
      <c r="C340" s="165"/>
    </row>
    <row r="341" spans="1:3" ht="16.8">
      <c r="A341" s="168"/>
      <c r="B341" s="166" t="s">
        <v>430</v>
      </c>
      <c r="C341" s="169"/>
    </row>
    <row r="342" spans="1:3" ht="16.8">
      <c r="A342" s="168"/>
      <c r="B342" s="166" t="s">
        <v>431</v>
      </c>
      <c r="C342" s="169"/>
    </row>
    <row r="343" spans="1:3" ht="16.8">
      <c r="A343" s="159"/>
      <c r="B343" s="166" t="s">
        <v>432</v>
      </c>
      <c r="C343" s="165"/>
    </row>
    <row r="344" spans="1:3" ht="16.8">
      <c r="A344" s="159"/>
      <c r="B344" s="166" t="s">
        <v>433</v>
      </c>
      <c r="C344" s="165"/>
    </row>
    <row r="345" spans="1:3" ht="16.8">
      <c r="A345" s="168"/>
      <c r="B345" s="166" t="s">
        <v>434</v>
      </c>
      <c r="C345" s="169"/>
    </row>
    <row r="346" spans="1:3" ht="16.8">
      <c r="A346" s="168"/>
      <c r="B346" s="166" t="s">
        <v>435</v>
      </c>
      <c r="C346" s="169"/>
    </row>
    <row r="347" spans="1:3" ht="16.8">
      <c r="A347" s="159"/>
      <c r="B347" s="166" t="s">
        <v>436</v>
      </c>
      <c r="C347" s="165"/>
    </row>
    <row r="348" spans="1:3" ht="16.8">
      <c r="A348" s="159"/>
      <c r="B348" s="166" t="s">
        <v>437</v>
      </c>
      <c r="C348" s="165"/>
    </row>
    <row r="349" spans="1:3" ht="16.8">
      <c r="A349" s="168"/>
      <c r="B349" s="166" t="s">
        <v>438</v>
      </c>
      <c r="C349" s="169"/>
    </row>
    <row r="350" spans="1:3" ht="16.8">
      <c r="A350" s="168"/>
      <c r="B350" s="166" t="s">
        <v>439</v>
      </c>
      <c r="C350" s="169"/>
    </row>
    <row r="351" spans="1:3" ht="16.8">
      <c r="A351" s="159"/>
      <c r="B351" s="166" t="s">
        <v>440</v>
      </c>
      <c r="C351" s="165"/>
    </row>
    <row r="352" spans="1:3" ht="16.8">
      <c r="A352" s="159"/>
      <c r="B352" s="166" t="s">
        <v>441</v>
      </c>
      <c r="C352" s="165"/>
    </row>
    <row r="353" spans="1:3" ht="16.8">
      <c r="A353" s="168"/>
      <c r="B353" s="166" t="s">
        <v>442</v>
      </c>
      <c r="C353" s="169"/>
    </row>
    <row r="354" spans="1:3" ht="16.8">
      <c r="A354" s="168"/>
      <c r="B354" s="166" t="s">
        <v>443</v>
      </c>
      <c r="C354" s="169"/>
    </row>
    <row r="355" spans="1:3" ht="16.8">
      <c r="A355" s="159"/>
      <c r="B355" s="166" t="s">
        <v>444</v>
      </c>
      <c r="C355" s="165"/>
    </row>
    <row r="356" spans="1:3" ht="16.8">
      <c r="A356" s="159"/>
      <c r="B356" s="166" t="s">
        <v>445</v>
      </c>
      <c r="C356" s="165"/>
    </row>
    <row r="357" spans="1:3" ht="16.8">
      <c r="A357" s="168"/>
      <c r="B357" s="166" t="s">
        <v>446</v>
      </c>
      <c r="C357" s="169"/>
    </row>
    <row r="358" spans="1:3" ht="16.8">
      <c r="A358" s="159"/>
      <c r="B358" s="166" t="s">
        <v>447</v>
      </c>
      <c r="C358" s="165"/>
    </row>
    <row r="359" spans="1:3" ht="16.8">
      <c r="A359" s="159"/>
      <c r="B359" s="166" t="s">
        <v>448</v>
      </c>
      <c r="C359" s="165"/>
    </row>
    <row r="360" spans="1:3" ht="16.8">
      <c r="A360" s="159"/>
      <c r="B360" s="166" t="s">
        <v>449</v>
      </c>
      <c r="C360" s="165"/>
    </row>
    <row r="361" spans="1:3" ht="16.8">
      <c r="A361" s="159"/>
      <c r="B361" s="166" t="s">
        <v>450</v>
      </c>
      <c r="C361" s="165"/>
    </row>
    <row r="362" spans="1:3" ht="16.8">
      <c r="A362" s="159"/>
      <c r="B362" s="166" t="s">
        <v>451</v>
      </c>
      <c r="C362" s="165"/>
    </row>
    <row r="363" spans="1:3" ht="16.8">
      <c r="A363" s="159"/>
      <c r="B363" s="166" t="s">
        <v>452</v>
      </c>
      <c r="C363" s="165"/>
    </row>
    <row r="364" spans="1:3" ht="16.8">
      <c r="A364" s="159"/>
      <c r="B364" s="166" t="s">
        <v>453</v>
      </c>
      <c r="C364" s="165"/>
    </row>
    <row r="365" spans="1:3" ht="16.8">
      <c r="A365" s="168"/>
      <c r="B365" s="166" t="s">
        <v>454</v>
      </c>
      <c r="C365" s="169"/>
    </row>
    <row r="366" spans="1:3" ht="16.8">
      <c r="A366" s="168"/>
      <c r="B366" s="166" t="s">
        <v>455</v>
      </c>
      <c r="C366" s="169"/>
    </row>
    <row r="367" spans="1:3" ht="16.8">
      <c r="A367" s="159"/>
      <c r="B367" s="166" t="s">
        <v>456</v>
      </c>
      <c r="C367" s="165"/>
    </row>
    <row r="368" spans="1:3" ht="16.8">
      <c r="A368" s="159"/>
      <c r="B368" s="166" t="s">
        <v>457</v>
      </c>
      <c r="C368" s="165"/>
    </row>
    <row r="369" spans="1:3" ht="16.8">
      <c r="A369" s="159"/>
      <c r="B369" s="166" t="s">
        <v>458</v>
      </c>
      <c r="C369" s="165"/>
    </row>
    <row r="370" spans="1:3" ht="16.8">
      <c r="A370" s="168"/>
      <c r="B370" s="166" t="s">
        <v>459</v>
      </c>
      <c r="C370" s="169"/>
    </row>
    <row r="371" spans="1:3" ht="16.8">
      <c r="A371" s="168"/>
      <c r="B371" s="166" t="s">
        <v>460</v>
      </c>
      <c r="C371" s="169"/>
    </row>
    <row r="372" spans="1:3" ht="16.8">
      <c r="A372" s="159"/>
      <c r="B372" s="166" t="s">
        <v>461</v>
      </c>
      <c r="C372" s="165"/>
    </row>
    <row r="373" spans="1:3" ht="16.8">
      <c r="A373" s="159"/>
      <c r="B373" s="166" t="s">
        <v>462</v>
      </c>
      <c r="C373" s="165"/>
    </row>
    <row r="374" spans="1:3" ht="16.8">
      <c r="A374" s="159"/>
      <c r="B374" s="166" t="s">
        <v>463</v>
      </c>
      <c r="C374" s="165"/>
    </row>
    <row r="375" spans="1:3" ht="16.8">
      <c r="A375" s="168"/>
      <c r="B375" s="166" t="s">
        <v>464</v>
      </c>
      <c r="C375" s="169"/>
    </row>
    <row r="376" spans="1:3" ht="16.8">
      <c r="A376" s="168"/>
      <c r="B376" s="166" t="s">
        <v>465</v>
      </c>
      <c r="C376" s="169"/>
    </row>
    <row r="377" spans="1:3" ht="16.8">
      <c r="A377" s="159"/>
      <c r="B377" s="166" t="s">
        <v>466</v>
      </c>
      <c r="C377" s="165"/>
    </row>
    <row r="378" spans="1:3" ht="16.8">
      <c r="A378" s="159"/>
      <c r="B378" s="166" t="s">
        <v>467</v>
      </c>
      <c r="C378" s="165"/>
    </row>
    <row r="379" spans="1:3" ht="16.8">
      <c r="A379" s="168"/>
      <c r="B379" s="166" t="s">
        <v>468</v>
      </c>
      <c r="C379" s="169"/>
    </row>
    <row r="380" spans="1:3" ht="16.8">
      <c r="A380" s="168"/>
      <c r="B380" s="166" t="s">
        <v>469</v>
      </c>
      <c r="C380" s="169"/>
    </row>
    <row r="381" spans="1:3" ht="16.8">
      <c r="A381" s="159"/>
      <c r="B381" s="166" t="s">
        <v>470</v>
      </c>
      <c r="C381" s="165"/>
    </row>
    <row r="382" spans="1:3" ht="16.8">
      <c r="A382" s="159"/>
      <c r="B382" s="166" t="s">
        <v>471</v>
      </c>
      <c r="C382" s="165"/>
    </row>
    <row r="383" spans="1:3" ht="16.8">
      <c r="A383" s="168"/>
      <c r="B383" s="166" t="s">
        <v>472</v>
      </c>
      <c r="C383" s="169"/>
    </row>
    <row r="384" spans="1:3" ht="16.8">
      <c r="A384" s="159"/>
      <c r="B384" s="166" t="s">
        <v>473</v>
      </c>
      <c r="C384" s="165"/>
    </row>
    <row r="385" spans="1:3" ht="16.8">
      <c r="A385" s="159"/>
      <c r="B385" s="166" t="s">
        <v>474</v>
      </c>
      <c r="C385" s="165"/>
    </row>
    <row r="386" spans="1:3" ht="16.8">
      <c r="A386" s="159"/>
      <c r="B386" s="166" t="s">
        <v>475</v>
      </c>
      <c r="C386" s="165"/>
    </row>
    <row r="387" spans="1:3" ht="16.8">
      <c r="A387" s="168"/>
      <c r="B387" s="166" t="s">
        <v>476</v>
      </c>
      <c r="C387" s="169"/>
    </row>
    <row r="388" spans="1:3" ht="16.8">
      <c r="A388" s="168"/>
      <c r="B388" s="166" t="s">
        <v>477</v>
      </c>
      <c r="C388" s="169"/>
    </row>
    <row r="389" spans="1:3" ht="16.8">
      <c r="A389" s="159"/>
      <c r="B389" s="166" t="s">
        <v>478</v>
      </c>
      <c r="C389" s="165"/>
    </row>
    <row r="390" spans="1:3" ht="16.8">
      <c r="A390" s="159"/>
      <c r="B390" s="166" t="s">
        <v>479</v>
      </c>
      <c r="C390" s="165"/>
    </row>
    <row r="391" spans="1:3" ht="16.8">
      <c r="A391" s="168"/>
      <c r="B391" s="166" t="s">
        <v>480</v>
      </c>
      <c r="C391" s="169"/>
    </row>
    <row r="392" spans="1:3" ht="16.8">
      <c r="A392" s="168"/>
      <c r="B392" s="166" t="s">
        <v>481</v>
      </c>
      <c r="C392" s="169"/>
    </row>
    <row r="393" spans="1:3" ht="16.8">
      <c r="A393" s="159"/>
      <c r="B393" s="166" t="s">
        <v>482</v>
      </c>
      <c r="C393" s="165"/>
    </row>
    <row r="394" spans="1:3" ht="16.8">
      <c r="A394" s="168"/>
      <c r="B394" s="166" t="s">
        <v>483</v>
      </c>
      <c r="C394" s="169"/>
    </row>
    <row r="395" spans="1:3" ht="16.8">
      <c r="A395" s="168"/>
      <c r="B395" s="166" t="s">
        <v>484</v>
      </c>
      <c r="C395" s="169"/>
    </row>
    <row r="396" spans="1:3" ht="16.8">
      <c r="A396" s="159"/>
      <c r="B396" s="166" t="s">
        <v>485</v>
      </c>
      <c r="C396" s="165"/>
    </row>
    <row r="397" spans="1:3" ht="16.8">
      <c r="A397" s="159"/>
      <c r="B397" s="166" t="s">
        <v>486</v>
      </c>
      <c r="C397" s="165"/>
    </row>
    <row r="398" spans="1:3" ht="16.8">
      <c r="A398" s="159"/>
      <c r="B398" s="166" t="s">
        <v>487</v>
      </c>
      <c r="C398" s="165"/>
    </row>
    <row r="399" spans="1:3" ht="16.8">
      <c r="A399" s="159"/>
      <c r="B399" s="166" t="s">
        <v>488</v>
      </c>
      <c r="C399" s="165"/>
    </row>
    <row r="400" spans="1:3" ht="16.8">
      <c r="A400" s="168"/>
      <c r="B400" s="166" t="s">
        <v>489</v>
      </c>
      <c r="C400" s="169"/>
    </row>
    <row r="401" spans="1:3" ht="16.8">
      <c r="A401" s="159"/>
      <c r="B401" s="166" t="s">
        <v>490</v>
      </c>
      <c r="C401" s="165"/>
    </row>
    <row r="402" spans="1:3" ht="16.8">
      <c r="A402" s="159"/>
      <c r="B402" s="166" t="s">
        <v>491</v>
      </c>
      <c r="C402" s="165"/>
    </row>
    <row r="403" spans="1:3" ht="16.8">
      <c r="A403" s="159"/>
      <c r="B403" s="166" t="s">
        <v>492</v>
      </c>
      <c r="C403" s="165"/>
    </row>
    <row r="404" spans="1:3" ht="16.8">
      <c r="A404" s="159"/>
      <c r="B404" s="166" t="s">
        <v>493</v>
      </c>
      <c r="C404" s="165"/>
    </row>
    <row r="405" spans="1:3" ht="16.8">
      <c r="A405" s="168"/>
      <c r="B405" s="166" t="s">
        <v>494</v>
      </c>
      <c r="C405" s="169"/>
    </row>
    <row r="406" spans="1:3" ht="16.8">
      <c r="A406" s="159"/>
      <c r="B406" s="166" t="s">
        <v>495</v>
      </c>
      <c r="C406" s="165"/>
    </row>
    <row r="407" spans="1:3" ht="16.8">
      <c r="A407" s="159"/>
      <c r="B407" s="166" t="s">
        <v>496</v>
      </c>
      <c r="C407" s="165"/>
    </row>
    <row r="408" spans="1:3" ht="16.8">
      <c r="A408" s="159"/>
      <c r="B408" s="166" t="s">
        <v>497</v>
      </c>
      <c r="C408" s="165"/>
    </row>
    <row r="409" spans="1:3" ht="16.8">
      <c r="A409" s="159"/>
      <c r="B409" s="166" t="s">
        <v>498</v>
      </c>
      <c r="C409" s="165"/>
    </row>
    <row r="410" spans="1:3" ht="16.8">
      <c r="A410" s="159"/>
      <c r="B410" s="166" t="s">
        <v>499</v>
      </c>
      <c r="C410" s="165"/>
    </row>
    <row r="411" spans="1:3" ht="16.8">
      <c r="A411" s="159"/>
      <c r="B411" s="166" t="s">
        <v>500</v>
      </c>
      <c r="C411" s="165"/>
    </row>
    <row r="412" spans="1:3" ht="16.8">
      <c r="A412" s="159"/>
      <c r="B412" s="166" t="s">
        <v>501</v>
      </c>
      <c r="C412" s="165"/>
    </row>
    <row r="413" spans="1:3" ht="16.8">
      <c r="A413" s="159"/>
      <c r="B413" s="166" t="s">
        <v>502</v>
      </c>
      <c r="C413" s="165"/>
    </row>
    <row r="414" spans="1:3" ht="16.8">
      <c r="A414" s="159"/>
      <c r="B414" s="166" t="s">
        <v>503</v>
      </c>
      <c r="C414" s="165"/>
    </row>
    <row r="415" spans="1:3" ht="16.8">
      <c r="A415" s="159"/>
      <c r="B415" s="166" t="s">
        <v>504</v>
      </c>
      <c r="C415" s="165"/>
    </row>
    <row r="416" spans="1:3" ht="16.8">
      <c r="A416" s="159"/>
      <c r="B416" s="166" t="s">
        <v>505</v>
      </c>
      <c r="C416" s="165"/>
    </row>
    <row r="417" spans="1:3" ht="16.8">
      <c r="A417" s="159"/>
      <c r="B417" s="166" t="s">
        <v>506</v>
      </c>
      <c r="C417" s="165"/>
    </row>
    <row r="418" spans="1:3" ht="16.8">
      <c r="A418" s="159"/>
      <c r="B418" s="166" t="s">
        <v>507</v>
      </c>
      <c r="C418" s="165"/>
    </row>
    <row r="419" spans="1:3" ht="16.8">
      <c r="A419" s="159"/>
      <c r="B419" s="166" t="s">
        <v>508</v>
      </c>
      <c r="C419" s="165"/>
    </row>
    <row r="420" spans="1:3" ht="16.8">
      <c r="A420" s="159"/>
      <c r="B420" s="166" t="s">
        <v>509</v>
      </c>
      <c r="C420" s="165"/>
    </row>
    <row r="421" spans="1:3" ht="16.8">
      <c r="A421" s="159"/>
      <c r="B421" s="166" t="s">
        <v>510</v>
      </c>
      <c r="C421" s="165"/>
    </row>
    <row r="422" spans="1:3" ht="16.8">
      <c r="A422" s="159"/>
      <c r="B422" s="166" t="s">
        <v>511</v>
      </c>
      <c r="C422" s="165"/>
    </row>
    <row r="423" spans="1:3" ht="16.8">
      <c r="A423" s="159"/>
      <c r="B423" s="166" t="s">
        <v>512</v>
      </c>
      <c r="C423" s="165"/>
    </row>
    <row r="424" spans="1:3" ht="16.8">
      <c r="A424" s="159"/>
      <c r="B424" s="166" t="s">
        <v>513</v>
      </c>
      <c r="C424" s="165"/>
    </row>
    <row r="425" spans="1:3" ht="16.8">
      <c r="A425" s="159"/>
      <c r="B425" s="166" t="s">
        <v>514</v>
      </c>
      <c r="C425" s="165"/>
    </row>
    <row r="426" spans="1:3" ht="16.8">
      <c r="A426" s="159"/>
      <c r="B426" s="166" t="s">
        <v>515</v>
      </c>
      <c r="C426" s="165"/>
    </row>
    <row r="427" spans="1:3" ht="16.8">
      <c r="A427" s="159"/>
      <c r="B427" s="166" t="s">
        <v>516</v>
      </c>
      <c r="C427" s="165"/>
    </row>
    <row r="428" spans="1:3" ht="16.8">
      <c r="A428" s="159"/>
      <c r="B428" s="166" t="s">
        <v>517</v>
      </c>
      <c r="C428" s="165"/>
    </row>
    <row r="429" spans="1:3" ht="16.8">
      <c r="A429" s="159"/>
      <c r="B429" s="166" t="s">
        <v>518</v>
      </c>
      <c r="C429" s="165"/>
    </row>
    <row r="430" spans="1:3" ht="16.8">
      <c r="A430" s="159"/>
      <c r="B430" s="166" t="s">
        <v>519</v>
      </c>
      <c r="C430" s="165"/>
    </row>
    <row r="431" spans="1:3" ht="16.8">
      <c r="A431" s="159"/>
      <c r="B431" s="166" t="s">
        <v>520</v>
      </c>
      <c r="C431" s="165"/>
    </row>
    <row r="432" spans="1:3" ht="16.8">
      <c r="A432" s="159"/>
      <c r="B432" s="166" t="s">
        <v>521</v>
      </c>
      <c r="C432" s="165"/>
    </row>
    <row r="433" spans="1:3" ht="16.8">
      <c r="A433" s="159"/>
      <c r="B433" s="166" t="s">
        <v>522</v>
      </c>
      <c r="C433" s="165"/>
    </row>
    <row r="434" spans="1:3" ht="16.8">
      <c r="A434" s="159"/>
      <c r="B434" s="166" t="s">
        <v>523</v>
      </c>
      <c r="C434" s="165"/>
    </row>
    <row r="435" spans="1:3" ht="16.8">
      <c r="A435" s="159"/>
      <c r="B435" s="166" t="s">
        <v>524</v>
      </c>
      <c r="C435" s="165"/>
    </row>
    <row r="436" spans="1:3" ht="16.8">
      <c r="A436" s="159"/>
      <c r="B436" s="166" t="s">
        <v>525</v>
      </c>
      <c r="C436" s="165"/>
    </row>
    <row r="437" spans="1:3" ht="16.8">
      <c r="A437" s="159"/>
      <c r="B437" s="166" t="s">
        <v>526</v>
      </c>
      <c r="C437" s="165"/>
    </row>
    <row r="438" spans="1:3" ht="16.8">
      <c r="A438" s="159"/>
      <c r="B438" s="166" t="s">
        <v>527</v>
      </c>
      <c r="C438" s="165"/>
    </row>
    <row r="439" spans="1:3" ht="16.8">
      <c r="A439" s="159"/>
      <c r="B439" s="166" t="s">
        <v>528</v>
      </c>
      <c r="C439" s="165"/>
    </row>
    <row r="440" spans="1:3" ht="16.8">
      <c r="A440" s="159"/>
      <c r="B440" s="166" t="s">
        <v>529</v>
      </c>
      <c r="C440" s="165"/>
    </row>
    <row r="441" spans="1:3" ht="16.8">
      <c r="A441" s="159"/>
      <c r="B441" s="166" t="s">
        <v>530</v>
      </c>
      <c r="C441" s="165"/>
    </row>
    <row r="442" spans="1:3" ht="16.8">
      <c r="A442" s="159"/>
      <c r="B442" s="166" t="s">
        <v>531</v>
      </c>
      <c r="C442" s="165"/>
    </row>
    <row r="443" spans="1:3" ht="16.8">
      <c r="A443" s="159"/>
      <c r="B443" s="166" t="s">
        <v>532</v>
      </c>
      <c r="C443" s="165"/>
    </row>
    <row r="444" spans="1:3" ht="16.8">
      <c r="A444" s="159"/>
      <c r="B444" s="166" t="s">
        <v>533</v>
      </c>
      <c r="C444" s="165"/>
    </row>
    <row r="445" spans="1:3" ht="16.8">
      <c r="A445" s="159"/>
      <c r="B445" s="166" t="s">
        <v>534</v>
      </c>
      <c r="C445" s="165"/>
    </row>
    <row r="446" spans="1:3" ht="16.8">
      <c r="A446" s="159"/>
      <c r="B446" s="166" t="s">
        <v>535</v>
      </c>
      <c r="C446" s="165"/>
    </row>
    <row r="447" spans="1:3" ht="16.8">
      <c r="A447" s="159"/>
      <c r="B447" s="166" t="s">
        <v>536</v>
      </c>
      <c r="C447" s="165"/>
    </row>
    <row r="448" spans="1:3" ht="16.8">
      <c r="A448" s="159"/>
      <c r="B448" s="166" t="s">
        <v>537</v>
      </c>
      <c r="C448" s="165"/>
    </row>
    <row r="449" spans="1:3" ht="16.8">
      <c r="A449" s="159"/>
      <c r="B449" s="166" t="s">
        <v>538</v>
      </c>
      <c r="C449" s="165"/>
    </row>
    <row r="450" spans="1:3" ht="16.8">
      <c r="A450" s="159"/>
      <c r="B450" s="166" t="s">
        <v>539</v>
      </c>
      <c r="C450" s="165"/>
    </row>
    <row r="451" spans="1:3" ht="16.8">
      <c r="A451" s="159"/>
      <c r="B451" s="166" t="s">
        <v>540</v>
      </c>
      <c r="C451" s="165"/>
    </row>
    <row r="452" spans="1:3" ht="16.8">
      <c r="A452" s="159"/>
      <c r="B452" s="166" t="s">
        <v>541</v>
      </c>
      <c r="C452" s="165"/>
    </row>
    <row r="453" spans="1:3" ht="16.8">
      <c r="A453" s="159"/>
      <c r="B453" s="166" t="s">
        <v>542</v>
      </c>
      <c r="C453" s="165"/>
    </row>
    <row r="454" spans="1:3" ht="16.8">
      <c r="A454" s="159"/>
      <c r="B454" s="166" t="s">
        <v>543</v>
      </c>
      <c r="C454" s="165"/>
    </row>
    <row r="455" spans="1:3" ht="16.8">
      <c r="A455" s="159"/>
      <c r="B455" s="166" t="s">
        <v>544</v>
      </c>
      <c r="C455" s="165"/>
    </row>
    <row r="456" spans="1:3" ht="16.8">
      <c r="A456" s="159"/>
      <c r="B456" s="166" t="s">
        <v>545</v>
      </c>
      <c r="C456" s="165"/>
    </row>
    <row r="457" spans="1:3" ht="16.8">
      <c r="A457" s="159"/>
      <c r="B457" s="166" t="s">
        <v>546</v>
      </c>
      <c r="C457" s="165"/>
    </row>
    <row r="458" spans="1:3" ht="16.8">
      <c r="A458" s="159"/>
      <c r="B458" s="166" t="s">
        <v>547</v>
      </c>
      <c r="C458" s="165"/>
    </row>
    <row r="459" spans="1:3" ht="16.8">
      <c r="A459" s="159"/>
      <c r="B459" s="166" t="s">
        <v>548</v>
      </c>
      <c r="C459" s="165"/>
    </row>
    <row r="460" spans="1:3" ht="16.8">
      <c r="A460" s="159"/>
      <c r="B460" s="166" t="s">
        <v>549</v>
      </c>
      <c r="C460" s="165"/>
    </row>
    <row r="461" spans="1:3" ht="16.8">
      <c r="A461" s="159"/>
      <c r="B461" s="166" t="s">
        <v>550</v>
      </c>
      <c r="C461" s="165"/>
    </row>
    <row r="462" spans="1:3" ht="16.8">
      <c r="A462" s="159"/>
      <c r="B462" s="166" t="s">
        <v>551</v>
      </c>
      <c r="C462" s="165"/>
    </row>
    <row r="463" spans="1:3" ht="16.8">
      <c r="A463" s="159"/>
      <c r="B463" s="166" t="s">
        <v>552</v>
      </c>
      <c r="C463" s="165"/>
    </row>
    <row r="464" spans="1:3" ht="16.8">
      <c r="A464" s="159"/>
      <c r="B464" s="166" t="s">
        <v>553</v>
      </c>
      <c r="C464" s="165"/>
    </row>
    <row r="465" spans="1:3" ht="16.8">
      <c r="A465" s="159"/>
      <c r="B465" s="166" t="s">
        <v>554</v>
      </c>
      <c r="C465" s="165"/>
    </row>
    <row r="466" spans="1:3" ht="16.8">
      <c r="A466" s="159"/>
      <c r="B466" s="166" t="s">
        <v>555</v>
      </c>
      <c r="C466" s="165"/>
    </row>
    <row r="467" spans="1:3" ht="16.8">
      <c r="A467" s="159"/>
      <c r="B467" s="166" t="s">
        <v>556</v>
      </c>
      <c r="C467" s="165"/>
    </row>
    <row r="468" spans="1:3" ht="16.8">
      <c r="A468" s="159"/>
      <c r="B468" s="166" t="s">
        <v>557</v>
      </c>
      <c r="C468" s="165"/>
    </row>
    <row r="469" spans="1:3" ht="16.8">
      <c r="A469" s="159"/>
      <c r="B469" s="166" t="s">
        <v>558</v>
      </c>
      <c r="C469" s="165"/>
    </row>
    <row r="470" spans="1:3" ht="16.8">
      <c r="A470" s="159"/>
      <c r="B470" s="166" t="s">
        <v>559</v>
      </c>
      <c r="C470" s="165"/>
    </row>
    <row r="471" spans="1:3" ht="16.8">
      <c r="A471" s="159"/>
      <c r="B471" s="166" t="s">
        <v>560</v>
      </c>
      <c r="C471" s="165"/>
    </row>
    <row r="472" spans="1:3" ht="16.8">
      <c r="A472" s="159"/>
      <c r="B472" s="166" t="s">
        <v>561</v>
      </c>
      <c r="C472" s="165"/>
    </row>
    <row r="473" spans="1:3" ht="16.8">
      <c r="A473" s="159"/>
      <c r="B473" s="166" t="s">
        <v>562</v>
      </c>
      <c r="C473" s="165"/>
    </row>
    <row r="474" spans="1:3" ht="16.8">
      <c r="A474" s="159"/>
      <c r="B474" s="166" t="s">
        <v>563</v>
      </c>
      <c r="C474" s="165"/>
    </row>
    <row r="475" spans="1:3" ht="16.8">
      <c r="A475" s="159"/>
      <c r="B475" s="166" t="s">
        <v>564</v>
      </c>
      <c r="C475" s="165"/>
    </row>
    <row r="476" spans="1:3" ht="16.8">
      <c r="A476" s="159"/>
      <c r="B476" s="166" t="s">
        <v>565</v>
      </c>
      <c r="C476" s="165"/>
    </row>
    <row r="477" spans="1:3" ht="16.8">
      <c r="A477" s="159"/>
      <c r="B477" s="166" t="s">
        <v>566</v>
      </c>
      <c r="C477" s="165"/>
    </row>
    <row r="478" spans="1:3" ht="16.8">
      <c r="A478" s="159"/>
      <c r="B478" s="166" t="s">
        <v>567</v>
      </c>
      <c r="C478" s="165"/>
    </row>
    <row r="479" spans="1:3" ht="16.8">
      <c r="A479" s="159"/>
      <c r="B479" s="166" t="s">
        <v>568</v>
      </c>
      <c r="C479" s="165"/>
    </row>
    <row r="480" spans="1:3" ht="16.8">
      <c r="A480" s="159"/>
      <c r="B480" s="166" t="s">
        <v>569</v>
      </c>
      <c r="C480" s="165"/>
    </row>
    <row r="481" spans="1:3" ht="16.8">
      <c r="A481" s="159"/>
      <c r="B481" s="166" t="s">
        <v>570</v>
      </c>
      <c r="C481" s="165"/>
    </row>
    <row r="482" spans="1:3" ht="16.8">
      <c r="A482" s="159"/>
      <c r="B482" s="166" t="s">
        <v>571</v>
      </c>
      <c r="C482" s="165"/>
    </row>
    <row r="483" spans="1:3" ht="16.8">
      <c r="A483" s="159"/>
      <c r="B483" s="166" t="s">
        <v>572</v>
      </c>
      <c r="C483" s="165"/>
    </row>
    <row r="484" spans="1:3" ht="16.8">
      <c r="A484" s="159"/>
      <c r="B484" s="166" t="s">
        <v>573</v>
      </c>
      <c r="C484" s="165"/>
    </row>
    <row r="485" spans="1:3" ht="16.8">
      <c r="A485" s="159"/>
      <c r="B485" s="166" t="s">
        <v>574</v>
      </c>
      <c r="C485" s="165"/>
    </row>
    <row r="486" spans="1:3" ht="16.8">
      <c r="A486" s="159"/>
      <c r="B486" s="166" t="s">
        <v>575</v>
      </c>
      <c r="C486" s="165"/>
    </row>
    <row r="487" spans="1:3" ht="16.8">
      <c r="A487" s="159"/>
      <c r="B487" s="166" t="s">
        <v>576</v>
      </c>
      <c r="C487" s="165"/>
    </row>
    <row r="488" spans="1:3" ht="16.8">
      <c r="A488" s="159"/>
      <c r="B488" s="166" t="s">
        <v>577</v>
      </c>
      <c r="C488" s="165"/>
    </row>
    <row r="489" spans="1:3" ht="16.8">
      <c r="A489" s="159"/>
      <c r="B489" s="166" t="s">
        <v>578</v>
      </c>
      <c r="C489" s="165"/>
    </row>
    <row r="490" spans="1:3" ht="16.8">
      <c r="A490" s="159"/>
      <c r="B490" s="166" t="s">
        <v>579</v>
      </c>
      <c r="C490" s="165"/>
    </row>
    <row r="491" spans="1:3" ht="16.8">
      <c r="A491" s="159"/>
      <c r="B491" s="166" t="s">
        <v>580</v>
      </c>
      <c r="C491" s="165"/>
    </row>
    <row r="492" spans="1:3" ht="16.8">
      <c r="A492" s="159"/>
      <c r="B492" s="166" t="s">
        <v>581</v>
      </c>
      <c r="C492" s="165"/>
    </row>
    <row r="493" spans="1:3" ht="16.8">
      <c r="A493" s="159"/>
      <c r="B493" s="166" t="s">
        <v>582</v>
      </c>
      <c r="C493" s="165"/>
    </row>
    <row r="494" spans="1:3" ht="16.8">
      <c r="A494" s="159"/>
      <c r="B494" s="166" t="s">
        <v>583</v>
      </c>
      <c r="C494" s="165"/>
    </row>
    <row r="495" spans="1:3" ht="16.8">
      <c r="A495" s="159"/>
      <c r="B495" s="166" t="s">
        <v>584</v>
      </c>
      <c r="C495" s="165"/>
    </row>
    <row r="496" spans="1:3" ht="16.8">
      <c r="A496" s="159"/>
      <c r="B496" s="166" t="s">
        <v>585</v>
      </c>
      <c r="C496" s="165"/>
    </row>
    <row r="497" spans="1:3" ht="16.8">
      <c r="A497" s="159"/>
      <c r="B497" s="166" t="s">
        <v>586</v>
      </c>
      <c r="C497" s="165"/>
    </row>
    <row r="498" spans="1:3" ht="16.8">
      <c r="A498" s="159"/>
      <c r="B498" s="166" t="s">
        <v>587</v>
      </c>
      <c r="C498" s="165"/>
    </row>
    <row r="499" spans="1:3" ht="16.8">
      <c r="A499" s="159"/>
      <c r="B499" s="166" t="s">
        <v>588</v>
      </c>
      <c r="C499" s="165"/>
    </row>
    <row r="500" spans="1:3" ht="16.8">
      <c r="A500" s="159"/>
      <c r="B500" s="166" t="s">
        <v>589</v>
      </c>
      <c r="C500" s="165"/>
    </row>
    <row r="501" spans="1:3" ht="16.8">
      <c r="A501" s="159"/>
      <c r="B501" s="166" t="s">
        <v>590</v>
      </c>
      <c r="C501" s="165"/>
    </row>
    <row r="502" spans="1:3" ht="16.8">
      <c r="A502" s="159"/>
      <c r="B502" s="166" t="s">
        <v>591</v>
      </c>
      <c r="C502" s="165"/>
    </row>
    <row r="503" spans="1:3" ht="16.8">
      <c r="A503" s="159"/>
      <c r="B503" s="166" t="s">
        <v>592</v>
      </c>
      <c r="C503" s="165"/>
    </row>
    <row r="504" spans="1:3" ht="16.8">
      <c r="A504" s="159"/>
      <c r="B504" s="166" t="s">
        <v>593</v>
      </c>
      <c r="C504" s="165"/>
    </row>
    <row r="505" spans="1:3" ht="16.8">
      <c r="A505" s="159"/>
      <c r="B505" s="166" t="s">
        <v>594</v>
      </c>
      <c r="C505" s="165"/>
    </row>
    <row r="506" spans="1:3" ht="16.8">
      <c r="A506" s="159"/>
      <c r="B506" s="166" t="s">
        <v>595</v>
      </c>
      <c r="C506" s="165"/>
    </row>
    <row r="507" spans="1:3" ht="16.8">
      <c r="A507" s="159"/>
      <c r="B507" s="166" t="s">
        <v>596</v>
      </c>
      <c r="C507" s="165"/>
    </row>
    <row r="508" spans="1:3" ht="16.8">
      <c r="A508" s="159"/>
      <c r="B508" s="166" t="s">
        <v>597</v>
      </c>
      <c r="C508" s="165"/>
    </row>
    <row r="509" spans="1:3" ht="16.8">
      <c r="A509" s="159"/>
      <c r="B509" s="166" t="s">
        <v>598</v>
      </c>
      <c r="C509" s="165"/>
    </row>
    <row r="510" spans="1:3" ht="16.8">
      <c r="A510" s="159"/>
      <c r="B510" s="166" t="s">
        <v>599</v>
      </c>
      <c r="C510" s="165"/>
    </row>
    <row r="511" spans="1:3" ht="16.8">
      <c r="A511" s="159"/>
      <c r="B511" s="166" t="s">
        <v>600</v>
      </c>
      <c r="C511" s="165"/>
    </row>
    <row r="512" spans="1:3" ht="16.8">
      <c r="A512" s="159"/>
      <c r="B512" s="166" t="s">
        <v>601</v>
      </c>
      <c r="C512" s="165"/>
    </row>
    <row r="513" spans="1:3" ht="16.8">
      <c r="A513" s="159"/>
      <c r="B513" s="166" t="s">
        <v>602</v>
      </c>
      <c r="C513" s="165"/>
    </row>
    <row r="514" spans="1:3" ht="16.8">
      <c r="A514" s="159"/>
      <c r="B514" s="166" t="s">
        <v>603</v>
      </c>
      <c r="C514" s="165"/>
    </row>
    <row r="515" spans="1:3" ht="16.8">
      <c r="A515" s="159"/>
      <c r="B515" s="166" t="s">
        <v>604</v>
      </c>
      <c r="C515" s="165"/>
    </row>
    <row r="516" spans="1:3" ht="16.8">
      <c r="A516" s="159"/>
      <c r="B516" s="166" t="s">
        <v>605</v>
      </c>
      <c r="C516" s="165"/>
    </row>
    <row r="517" spans="1:3" ht="16.8">
      <c r="A517" s="159"/>
      <c r="B517" s="166" t="s">
        <v>606</v>
      </c>
      <c r="C517" s="165"/>
    </row>
    <row r="518" spans="1:3" ht="16.8">
      <c r="A518" s="159"/>
      <c r="B518" s="166" t="s">
        <v>607</v>
      </c>
      <c r="C518" s="165"/>
    </row>
    <row r="519" spans="1:3" ht="16.8">
      <c r="A519" s="159"/>
      <c r="B519" s="166" t="s">
        <v>608</v>
      </c>
      <c r="C519" s="165"/>
    </row>
    <row r="520" spans="1:3" ht="16.8">
      <c r="A520" s="159"/>
      <c r="B520" s="166" t="s">
        <v>609</v>
      </c>
      <c r="C520" s="165"/>
    </row>
    <row r="521" spans="1:3" ht="16.8">
      <c r="A521" s="159"/>
      <c r="B521" s="166" t="s">
        <v>610</v>
      </c>
      <c r="C521" s="165"/>
    </row>
    <row r="522" spans="1:3" ht="16.8">
      <c r="A522" s="159"/>
      <c r="B522" s="166" t="s">
        <v>611</v>
      </c>
      <c r="C522" s="165"/>
    </row>
    <row r="523" spans="1:3" ht="16.8">
      <c r="A523" s="159"/>
      <c r="B523" s="166" t="s">
        <v>612</v>
      </c>
      <c r="C523" s="165"/>
    </row>
    <row r="524" spans="1:3" ht="16.8">
      <c r="A524" s="159"/>
      <c r="B524" s="166" t="s">
        <v>613</v>
      </c>
      <c r="C524" s="165"/>
    </row>
    <row r="525" spans="1:3" ht="16.8">
      <c r="A525" s="159"/>
      <c r="B525" s="166" t="s">
        <v>614</v>
      </c>
      <c r="C525" s="165"/>
    </row>
    <row r="526" spans="1:3" ht="16.8">
      <c r="A526" s="159"/>
      <c r="B526" s="166" t="s">
        <v>615</v>
      </c>
      <c r="C526" s="165"/>
    </row>
    <row r="527" spans="1:3" ht="16.8">
      <c r="A527" s="159"/>
      <c r="B527" s="166" t="s">
        <v>616</v>
      </c>
      <c r="C527" s="165"/>
    </row>
    <row r="528" spans="1:3" ht="16.8">
      <c r="A528" s="159"/>
      <c r="B528" s="166" t="s">
        <v>617</v>
      </c>
      <c r="C528" s="165"/>
    </row>
    <row r="529" spans="1:3" ht="16.8">
      <c r="A529" s="159"/>
      <c r="B529" s="166" t="s">
        <v>618</v>
      </c>
      <c r="C529" s="165"/>
    </row>
    <row r="530" spans="1:3" ht="16.8">
      <c r="A530" s="159"/>
      <c r="B530" s="166" t="s">
        <v>619</v>
      </c>
      <c r="C530" s="165"/>
    </row>
    <row r="531" spans="1:3" ht="16.8">
      <c r="A531" s="159"/>
      <c r="B531" s="166" t="s">
        <v>620</v>
      </c>
      <c r="C531" s="165"/>
    </row>
    <row r="532" spans="1:3" ht="16.8">
      <c r="A532" s="159"/>
      <c r="B532" s="166" t="s">
        <v>621</v>
      </c>
      <c r="C532" s="165"/>
    </row>
    <row r="533" spans="1:3" ht="16.8">
      <c r="A533" s="159"/>
      <c r="B533" s="166" t="s">
        <v>622</v>
      </c>
      <c r="C533" s="165"/>
    </row>
    <row r="534" spans="1:3" ht="16.8">
      <c r="A534" s="159"/>
      <c r="B534" s="166" t="s">
        <v>623</v>
      </c>
      <c r="C534" s="165"/>
    </row>
    <row r="535" spans="1:3" ht="16.8">
      <c r="A535" s="159"/>
      <c r="B535" s="166" t="s">
        <v>624</v>
      </c>
      <c r="C535" s="165"/>
    </row>
    <row r="536" spans="1:3" ht="16.8">
      <c r="A536" s="159"/>
      <c r="B536" s="166" t="s">
        <v>625</v>
      </c>
      <c r="C536" s="165"/>
    </row>
    <row r="537" spans="1:3" ht="16.8">
      <c r="A537" s="159"/>
      <c r="B537" s="166" t="s">
        <v>626</v>
      </c>
      <c r="C537" s="165"/>
    </row>
    <row r="538" spans="1:3" ht="16.8">
      <c r="A538" s="159"/>
      <c r="B538" s="166" t="s">
        <v>627</v>
      </c>
      <c r="C538" s="165"/>
    </row>
    <row r="539" spans="1:3" ht="16.8">
      <c r="A539" s="159"/>
      <c r="B539" s="166" t="s">
        <v>628</v>
      </c>
      <c r="C539" s="165"/>
    </row>
    <row r="540" spans="1:3" ht="16.8">
      <c r="A540" s="159"/>
      <c r="B540" s="166" t="s">
        <v>629</v>
      </c>
      <c r="C540" s="165"/>
    </row>
    <row r="541" spans="1:3" ht="16.8">
      <c r="A541" s="159"/>
      <c r="B541" s="166" t="s">
        <v>630</v>
      </c>
      <c r="C541" s="165"/>
    </row>
    <row r="542" spans="1:3" ht="16.8">
      <c r="A542" s="159"/>
      <c r="B542" s="166" t="s">
        <v>631</v>
      </c>
      <c r="C542" s="165"/>
    </row>
    <row r="543" spans="1:3" ht="16.8">
      <c r="A543" s="159"/>
      <c r="B543" s="166" t="s">
        <v>632</v>
      </c>
      <c r="C543" s="165"/>
    </row>
    <row r="544" spans="1:3" ht="16.8">
      <c r="A544" s="159"/>
      <c r="B544" s="166" t="s">
        <v>633</v>
      </c>
      <c r="C544" s="165"/>
    </row>
    <row r="545" spans="1:3" ht="16.8">
      <c r="A545" s="159"/>
      <c r="B545" s="166" t="s">
        <v>634</v>
      </c>
      <c r="C545" s="165"/>
    </row>
    <row r="546" spans="1:3" ht="16.8">
      <c r="A546" s="159"/>
      <c r="B546" s="166" t="s">
        <v>635</v>
      </c>
      <c r="C546" s="165"/>
    </row>
    <row r="547" spans="1:3" ht="16.8">
      <c r="A547" s="159"/>
      <c r="B547" s="166" t="s">
        <v>636</v>
      </c>
      <c r="C547" s="165"/>
    </row>
    <row r="548" spans="1:3" ht="16.8">
      <c r="A548" s="159"/>
      <c r="B548" s="166" t="s">
        <v>637</v>
      </c>
      <c r="C548" s="165"/>
    </row>
    <row r="549" spans="1:3" ht="16.8">
      <c r="A549" s="159"/>
      <c r="B549" s="166" t="s">
        <v>638</v>
      </c>
      <c r="C549" s="165"/>
    </row>
    <row r="550" spans="1:3" ht="16.8">
      <c r="A550" s="159"/>
      <c r="B550" s="166" t="s">
        <v>639</v>
      </c>
      <c r="C550" s="165"/>
    </row>
    <row r="551" spans="1:3" ht="16.8">
      <c r="A551" s="159"/>
      <c r="B551" s="166" t="s">
        <v>640</v>
      </c>
      <c r="C551" s="165"/>
    </row>
    <row r="552" spans="1:3" ht="16.8">
      <c r="A552" s="159"/>
      <c r="B552" s="166" t="s">
        <v>641</v>
      </c>
      <c r="C552" s="165"/>
    </row>
    <row r="553" spans="1:3" ht="16.8">
      <c r="A553" s="159"/>
      <c r="B553" s="166" t="s">
        <v>642</v>
      </c>
      <c r="C553" s="165"/>
    </row>
    <row r="554" spans="1:3" ht="16.8">
      <c r="A554" s="159"/>
      <c r="B554" s="166" t="s">
        <v>643</v>
      </c>
      <c r="C554" s="165"/>
    </row>
    <row r="555" spans="1:3" ht="16.8">
      <c r="A555" s="159"/>
      <c r="B555" s="166" t="s">
        <v>644</v>
      </c>
      <c r="C555" s="165"/>
    </row>
    <row r="556" spans="1:3" ht="16.8">
      <c r="A556" s="159"/>
      <c r="B556" s="166" t="s">
        <v>645</v>
      </c>
      <c r="C556" s="165"/>
    </row>
    <row r="557" spans="1:3" ht="16.8">
      <c r="A557" s="159"/>
      <c r="B557" s="166" t="s">
        <v>646</v>
      </c>
      <c r="C557" s="165"/>
    </row>
    <row r="558" spans="1:3" ht="16.8">
      <c r="A558" s="159"/>
      <c r="B558" s="166" t="s">
        <v>647</v>
      </c>
      <c r="C558" s="165"/>
    </row>
    <row r="559" spans="1:3" ht="16.8">
      <c r="A559" s="159"/>
      <c r="B559" s="166" t="s">
        <v>648</v>
      </c>
      <c r="C559" s="165"/>
    </row>
    <row r="560" spans="1:3" ht="16.8">
      <c r="A560" s="159"/>
      <c r="B560" s="166" t="s">
        <v>649</v>
      </c>
      <c r="C560" s="165"/>
    </row>
    <row r="561" spans="1:3" ht="16.8">
      <c r="A561" s="159"/>
      <c r="B561" s="166" t="s">
        <v>650</v>
      </c>
      <c r="C561" s="165"/>
    </row>
    <row r="562" spans="1:3" ht="16.8">
      <c r="A562" s="159"/>
      <c r="B562" s="166" t="s">
        <v>651</v>
      </c>
      <c r="C562" s="165"/>
    </row>
    <row r="563" spans="1:3" ht="16.8">
      <c r="A563" s="159"/>
      <c r="B563" s="166" t="s">
        <v>652</v>
      </c>
      <c r="C563" s="165"/>
    </row>
    <row r="564" spans="1:3" ht="16.8">
      <c r="A564" s="159"/>
      <c r="B564" s="166" t="s">
        <v>653</v>
      </c>
      <c r="C564" s="165"/>
    </row>
    <row r="565" spans="1:3" ht="16.8">
      <c r="A565" s="159"/>
      <c r="B565" s="166" t="s">
        <v>654</v>
      </c>
      <c r="C565" s="165"/>
    </row>
    <row r="566" spans="1:3" ht="16.8">
      <c r="A566" s="159"/>
      <c r="B566" s="166" t="s">
        <v>655</v>
      </c>
      <c r="C566" s="165"/>
    </row>
    <row r="567" spans="1:3" ht="16.8">
      <c r="A567" s="159"/>
      <c r="B567" s="166" t="s">
        <v>656</v>
      </c>
      <c r="C567" s="165"/>
    </row>
    <row r="568" spans="1:3" ht="16.8">
      <c r="A568" s="159"/>
      <c r="B568" s="166" t="s">
        <v>657</v>
      </c>
      <c r="C568" s="165"/>
    </row>
    <row r="569" spans="1:3" ht="16.8">
      <c r="A569" s="159"/>
      <c r="B569" s="166" t="s">
        <v>658</v>
      </c>
      <c r="C569" s="165"/>
    </row>
    <row r="570" spans="1:3" ht="16.8">
      <c r="A570" s="159"/>
      <c r="B570" s="166" t="s">
        <v>659</v>
      </c>
      <c r="C570" s="165"/>
    </row>
    <row r="571" spans="1:3" ht="16.8">
      <c r="A571" s="159"/>
      <c r="B571" s="166" t="s">
        <v>660</v>
      </c>
      <c r="C571" s="165"/>
    </row>
    <row r="572" spans="1:3" ht="16.8">
      <c r="A572" s="159"/>
      <c r="B572" s="166" t="s">
        <v>661</v>
      </c>
      <c r="C572" s="165"/>
    </row>
    <row r="573" spans="1:3" ht="16.8">
      <c r="A573" s="159"/>
      <c r="B573" s="166" t="s">
        <v>662</v>
      </c>
      <c r="C573" s="165"/>
    </row>
    <row r="574" spans="1:3" ht="16.8">
      <c r="A574" s="159"/>
      <c r="B574" s="166" t="s">
        <v>663</v>
      </c>
      <c r="C574" s="165"/>
    </row>
    <row r="575" spans="1:3" ht="16.8">
      <c r="A575" s="159"/>
      <c r="B575" s="166" t="s">
        <v>664</v>
      </c>
      <c r="C575" s="165"/>
    </row>
    <row r="576" spans="1:3" ht="16.8">
      <c r="A576" s="159"/>
      <c r="B576" s="166" t="s">
        <v>665</v>
      </c>
      <c r="C576" s="165"/>
    </row>
    <row r="577" spans="1:3" ht="16.8">
      <c r="A577" s="159"/>
      <c r="B577" s="166" t="s">
        <v>666</v>
      </c>
      <c r="C577" s="165"/>
    </row>
    <row r="578" spans="1:3" ht="16.8">
      <c r="A578" s="159"/>
      <c r="B578" s="166" t="s">
        <v>667</v>
      </c>
      <c r="C578" s="165"/>
    </row>
    <row r="579" spans="1:3" ht="16.8">
      <c r="A579" s="159"/>
      <c r="B579" s="166" t="s">
        <v>668</v>
      </c>
      <c r="C579" s="165"/>
    </row>
    <row r="580" spans="1:3" ht="16.8">
      <c r="A580" s="159"/>
      <c r="B580" s="166" t="s">
        <v>669</v>
      </c>
      <c r="C580" s="165"/>
    </row>
    <row r="581" spans="1:3" ht="16.8">
      <c r="A581" s="159"/>
      <c r="B581" s="166" t="s">
        <v>670</v>
      </c>
      <c r="C581" s="165"/>
    </row>
    <row r="582" spans="1:3" ht="16.8">
      <c r="A582" s="159"/>
      <c r="B582" s="166" t="s">
        <v>671</v>
      </c>
      <c r="C582" s="165"/>
    </row>
    <row r="583" spans="1:3" ht="16.8">
      <c r="A583" s="159"/>
      <c r="B583" s="166" t="s">
        <v>672</v>
      </c>
      <c r="C583" s="165"/>
    </row>
    <row r="584" spans="1:3" ht="16.8">
      <c r="A584" s="159"/>
      <c r="B584" s="166" t="s">
        <v>673</v>
      </c>
      <c r="C584" s="165"/>
    </row>
    <row r="585" spans="1:3" ht="16.8">
      <c r="A585" s="159"/>
      <c r="B585" s="166" t="s">
        <v>674</v>
      </c>
      <c r="C585" s="165"/>
    </row>
    <row r="586" spans="1:3" ht="16.8">
      <c r="A586" s="159"/>
      <c r="B586" s="166" t="s">
        <v>675</v>
      </c>
      <c r="C586" s="165"/>
    </row>
    <row r="587" spans="1:3" ht="16.8">
      <c r="A587" s="159"/>
      <c r="B587" s="166" t="s">
        <v>676</v>
      </c>
      <c r="C587" s="165"/>
    </row>
    <row r="588" spans="1:3" ht="16.8">
      <c r="A588" s="159"/>
      <c r="B588" s="166" t="s">
        <v>677</v>
      </c>
      <c r="C588" s="165"/>
    </row>
    <row r="589" spans="1:3" ht="16.8">
      <c r="A589" s="159"/>
      <c r="B589" s="166" t="s">
        <v>678</v>
      </c>
      <c r="C589" s="165"/>
    </row>
    <row r="590" spans="1:3" ht="16.8">
      <c r="A590" s="159"/>
      <c r="B590" s="166" t="s">
        <v>679</v>
      </c>
      <c r="C590" s="165"/>
    </row>
    <row r="591" spans="1:3" ht="16.8">
      <c r="A591" s="159"/>
      <c r="B591" s="166" t="s">
        <v>680</v>
      </c>
      <c r="C591" s="165"/>
    </row>
    <row r="592" spans="1:3" ht="16.8">
      <c r="A592" s="159"/>
      <c r="B592" s="166" t="s">
        <v>681</v>
      </c>
      <c r="C592" s="165"/>
    </row>
    <row r="593" spans="1:3" ht="16.8">
      <c r="A593" s="159"/>
      <c r="B593" s="166" t="s">
        <v>682</v>
      </c>
      <c r="C593" s="165"/>
    </row>
    <row r="594" spans="1:3" ht="16.8">
      <c r="A594" s="159"/>
      <c r="B594" s="166" t="s">
        <v>683</v>
      </c>
      <c r="C594" s="165"/>
    </row>
    <row r="595" spans="1:3" ht="16.8">
      <c r="A595" s="159"/>
      <c r="B595" s="166" t="s">
        <v>684</v>
      </c>
      <c r="C595" s="165"/>
    </row>
    <row r="596" spans="1:3" ht="16.8">
      <c r="A596" s="159"/>
      <c r="B596" s="166" t="s">
        <v>685</v>
      </c>
      <c r="C596" s="165"/>
    </row>
    <row r="597" spans="1:3" ht="16.8">
      <c r="A597" s="159"/>
      <c r="B597" s="166" t="s">
        <v>686</v>
      </c>
      <c r="C597" s="165"/>
    </row>
    <row r="598" spans="1:3" ht="16.8">
      <c r="A598" s="159"/>
      <c r="B598" s="166" t="s">
        <v>687</v>
      </c>
      <c r="C598" s="165"/>
    </row>
    <row r="599" spans="1:3" ht="16.8">
      <c r="A599" s="159"/>
      <c r="B599" s="166" t="s">
        <v>688</v>
      </c>
      <c r="C599" s="165"/>
    </row>
    <row r="600" spans="1:3" ht="16.8">
      <c r="A600" s="159"/>
      <c r="B600" s="166" t="s">
        <v>689</v>
      </c>
      <c r="C600" s="165"/>
    </row>
    <row r="601" spans="1:3" ht="16.8">
      <c r="A601" s="159"/>
      <c r="B601" s="166" t="s">
        <v>690</v>
      </c>
      <c r="C601" s="165"/>
    </row>
    <row r="602" spans="1:3" ht="16.8">
      <c r="A602" s="159"/>
      <c r="B602" s="166" t="s">
        <v>691</v>
      </c>
      <c r="C602" s="165"/>
    </row>
    <row r="603" spans="1:3" ht="16.8">
      <c r="A603" s="159"/>
      <c r="B603" s="166" t="s">
        <v>692</v>
      </c>
      <c r="C603" s="165"/>
    </row>
    <row r="604" spans="1:3" ht="16.8">
      <c r="A604" s="159"/>
      <c r="B604" s="166" t="s">
        <v>693</v>
      </c>
      <c r="C604" s="165"/>
    </row>
    <row r="605" spans="1:3" ht="16.8">
      <c r="A605" s="159"/>
      <c r="B605" s="166" t="s">
        <v>694</v>
      </c>
      <c r="C605" s="165"/>
    </row>
    <row r="606" spans="1:3" ht="16.8">
      <c r="A606" s="159"/>
      <c r="B606" s="166" t="s">
        <v>695</v>
      </c>
      <c r="C606" s="165"/>
    </row>
    <row r="607" spans="1:3" ht="16.8">
      <c r="A607" s="159"/>
      <c r="B607" s="166" t="s">
        <v>696</v>
      </c>
      <c r="C607" s="165"/>
    </row>
    <row r="608" spans="1:3" ht="16.8">
      <c r="A608" s="159"/>
      <c r="B608" s="166" t="s">
        <v>697</v>
      </c>
      <c r="C608" s="165"/>
    </row>
    <row r="609" spans="1:3" ht="16.8">
      <c r="A609" s="159"/>
      <c r="B609" s="166" t="s">
        <v>698</v>
      </c>
      <c r="C609" s="165"/>
    </row>
    <row r="610" spans="1:3" ht="16.8">
      <c r="A610" s="159"/>
      <c r="B610" s="166" t="s">
        <v>699</v>
      </c>
      <c r="C610" s="165"/>
    </row>
    <row r="611" spans="1:3" ht="16.8">
      <c r="A611" s="159"/>
      <c r="B611" s="166" t="s">
        <v>700</v>
      </c>
      <c r="C611" s="165"/>
    </row>
    <row r="612" spans="1:3" ht="16.8">
      <c r="A612" s="159"/>
      <c r="B612" s="166" t="s">
        <v>701</v>
      </c>
      <c r="C612" s="165"/>
    </row>
    <row r="613" spans="1:3" ht="16.8">
      <c r="A613" s="159"/>
      <c r="B613" s="166" t="s">
        <v>702</v>
      </c>
      <c r="C613" s="165"/>
    </row>
    <row r="614" spans="1:3" ht="16.8">
      <c r="A614" s="159"/>
      <c r="B614" s="166" t="s">
        <v>703</v>
      </c>
      <c r="C614" s="165"/>
    </row>
    <row r="615" spans="1:3" ht="16.8">
      <c r="A615" s="159"/>
      <c r="B615" s="166" t="s">
        <v>704</v>
      </c>
      <c r="C615" s="165"/>
    </row>
    <row r="616" spans="1:3" ht="16.8">
      <c r="A616" s="159"/>
      <c r="B616" s="166" t="s">
        <v>705</v>
      </c>
      <c r="C616" s="165"/>
    </row>
    <row r="617" spans="1:3" ht="16.8">
      <c r="A617" s="159"/>
      <c r="B617" s="166" t="s">
        <v>706</v>
      </c>
      <c r="C617" s="165"/>
    </row>
    <row r="618" spans="1:3" ht="16.8">
      <c r="A618" s="159"/>
      <c r="B618" s="166" t="s">
        <v>707</v>
      </c>
      <c r="C618" s="165"/>
    </row>
    <row r="619" spans="1:3" ht="16.8">
      <c r="A619" s="159"/>
      <c r="B619" s="166" t="s">
        <v>708</v>
      </c>
      <c r="C619" s="165"/>
    </row>
    <row r="620" spans="1:3" ht="16.8">
      <c r="A620" s="159"/>
      <c r="B620" s="166" t="s">
        <v>709</v>
      </c>
      <c r="C620" s="165"/>
    </row>
    <row r="621" spans="1:3" ht="16.8">
      <c r="A621" s="159"/>
      <c r="B621" s="166" t="s">
        <v>710</v>
      </c>
      <c r="C621" s="165"/>
    </row>
    <row r="622" spans="1:3" ht="16.8">
      <c r="A622" s="159"/>
      <c r="B622" s="166" t="s">
        <v>711</v>
      </c>
      <c r="C622" s="165"/>
    </row>
    <row r="623" spans="1:3" ht="16.8">
      <c r="A623" s="159"/>
      <c r="B623" s="166" t="s">
        <v>712</v>
      </c>
      <c r="C623" s="165"/>
    </row>
    <row r="624" spans="1:3" ht="16.8">
      <c r="A624" s="159"/>
      <c r="B624" s="166" t="s">
        <v>713</v>
      </c>
      <c r="C624" s="165"/>
    </row>
    <row r="625" spans="1:3" ht="16.8">
      <c r="A625" s="159"/>
      <c r="B625" s="166" t="s">
        <v>714</v>
      </c>
      <c r="C625" s="165"/>
    </row>
    <row r="626" spans="1:3" ht="16.8">
      <c r="A626" s="159"/>
      <c r="B626" s="166" t="s">
        <v>715</v>
      </c>
      <c r="C626" s="165"/>
    </row>
    <row r="627" spans="1:3" ht="16.8">
      <c r="A627" s="159"/>
      <c r="B627" s="166" t="s">
        <v>716</v>
      </c>
      <c r="C627" s="165"/>
    </row>
    <row r="628" spans="1:3" ht="16.8">
      <c r="A628" s="159"/>
      <c r="B628" s="166" t="s">
        <v>717</v>
      </c>
      <c r="C628" s="165"/>
    </row>
    <row r="629" spans="1:3" ht="16.8">
      <c r="A629" s="159"/>
      <c r="B629" s="166" t="s">
        <v>718</v>
      </c>
      <c r="C629" s="165"/>
    </row>
    <row r="630" spans="1:3" ht="16.8">
      <c r="A630" s="159"/>
      <c r="B630" s="166" t="s">
        <v>719</v>
      </c>
      <c r="C630" s="165"/>
    </row>
    <row r="631" spans="1:3" ht="16.8">
      <c r="A631" s="159"/>
      <c r="B631" s="166" t="s">
        <v>720</v>
      </c>
      <c r="C631" s="165"/>
    </row>
    <row r="632" spans="1:3" ht="16.8">
      <c r="A632" s="159"/>
      <c r="B632" s="166" t="s">
        <v>721</v>
      </c>
      <c r="C632" s="165"/>
    </row>
    <row r="633" spans="1:3" ht="16.8">
      <c r="A633" s="159"/>
      <c r="B633" s="166" t="s">
        <v>722</v>
      </c>
      <c r="C633" s="165"/>
    </row>
    <row r="634" spans="1:3" ht="16.8">
      <c r="A634" s="159"/>
      <c r="B634" s="166" t="s">
        <v>723</v>
      </c>
      <c r="C634" s="165"/>
    </row>
    <row r="635" spans="1:3" ht="16.8">
      <c r="A635" s="159"/>
      <c r="B635" s="166" t="s">
        <v>724</v>
      </c>
      <c r="C635" s="165"/>
    </row>
    <row r="636" spans="1:3" ht="16.8">
      <c r="A636" s="159"/>
      <c r="B636" s="166" t="s">
        <v>725</v>
      </c>
      <c r="C636" s="165"/>
    </row>
    <row r="637" spans="1:3" ht="16.8">
      <c r="A637" s="159"/>
      <c r="B637" s="166" t="s">
        <v>726</v>
      </c>
      <c r="C637" s="165"/>
    </row>
    <row r="638" spans="1:3" ht="16.8">
      <c r="A638" s="159"/>
      <c r="B638" s="166" t="s">
        <v>727</v>
      </c>
      <c r="C638" s="165"/>
    </row>
    <row r="639" spans="1:3" ht="16.8">
      <c r="A639" s="159"/>
      <c r="B639" s="166" t="s">
        <v>728</v>
      </c>
      <c r="C639" s="165"/>
    </row>
    <row r="640" spans="1:3" ht="16.8">
      <c r="A640" s="159"/>
      <c r="B640" s="166" t="s">
        <v>729</v>
      </c>
      <c r="C640" s="165"/>
    </row>
    <row r="641" spans="1:3" ht="16.8">
      <c r="A641" s="159"/>
      <c r="B641" s="166" t="s">
        <v>730</v>
      </c>
      <c r="C641" s="165"/>
    </row>
    <row r="642" spans="1:3" ht="16.8">
      <c r="A642" s="159"/>
      <c r="B642" s="166" t="s">
        <v>731</v>
      </c>
      <c r="C642" s="165"/>
    </row>
    <row r="643" spans="1:3" ht="16.8">
      <c r="A643" s="159"/>
      <c r="B643" s="166" t="s">
        <v>732</v>
      </c>
      <c r="C643" s="165"/>
    </row>
    <row r="644" spans="1:3" ht="16.8">
      <c r="A644" s="159"/>
      <c r="B644" s="166" t="s">
        <v>733</v>
      </c>
      <c r="C644" s="165"/>
    </row>
    <row r="645" spans="1:3" ht="16.8">
      <c r="A645" s="159"/>
      <c r="B645" s="166" t="s">
        <v>734</v>
      </c>
      <c r="C645" s="165"/>
    </row>
    <row r="646" spans="1:3" ht="16.8">
      <c r="A646" s="159"/>
      <c r="B646" s="166" t="s">
        <v>735</v>
      </c>
      <c r="C646" s="165"/>
    </row>
    <row r="647" spans="1:3" ht="16.8">
      <c r="A647" s="159"/>
      <c r="B647" s="166" t="s">
        <v>736</v>
      </c>
      <c r="C647" s="165"/>
    </row>
    <row r="648" spans="1:3" ht="16.8">
      <c r="A648" s="159"/>
      <c r="B648" s="166" t="s">
        <v>737</v>
      </c>
      <c r="C648" s="165"/>
    </row>
    <row r="649" spans="1:3" ht="16.8">
      <c r="A649" s="159"/>
      <c r="B649" s="166" t="s">
        <v>738</v>
      </c>
      <c r="C649" s="165"/>
    </row>
    <row r="650" spans="1:3" ht="16.8">
      <c r="A650" s="159"/>
      <c r="B650" s="166" t="s">
        <v>739</v>
      </c>
      <c r="C650" s="165"/>
    </row>
    <row r="651" spans="1:3" ht="16.8">
      <c r="A651" s="159"/>
      <c r="B651" s="166" t="s">
        <v>740</v>
      </c>
      <c r="C651" s="165"/>
    </row>
    <row r="652" spans="1:3" ht="16.8">
      <c r="A652" s="159"/>
      <c r="B652" s="166" t="s">
        <v>741</v>
      </c>
      <c r="C652" s="165"/>
    </row>
    <row r="653" spans="1:3" ht="16.8">
      <c r="A653" s="159"/>
      <c r="B653" s="166" t="s">
        <v>742</v>
      </c>
      <c r="C653" s="165"/>
    </row>
    <row r="654" spans="1:3" ht="16.8">
      <c r="A654" s="159"/>
      <c r="B654" s="166" t="s">
        <v>743</v>
      </c>
      <c r="C654" s="165"/>
    </row>
    <row r="655" spans="1:3" ht="16.8">
      <c r="A655" s="159"/>
      <c r="B655" s="166" t="s">
        <v>744</v>
      </c>
      <c r="C655" s="165"/>
    </row>
    <row r="656" spans="1:3" ht="16.8">
      <c r="A656" s="159"/>
      <c r="B656" s="166" t="s">
        <v>745</v>
      </c>
      <c r="C656" s="165"/>
    </row>
    <row r="657" spans="1:3" ht="16.8">
      <c r="A657" s="159"/>
      <c r="B657" s="166" t="s">
        <v>746</v>
      </c>
      <c r="C657" s="165"/>
    </row>
    <row r="658" spans="1:3" ht="16.8">
      <c r="A658" s="159"/>
      <c r="B658" s="166" t="s">
        <v>747</v>
      </c>
      <c r="C658" s="165"/>
    </row>
    <row r="659" spans="1:3" ht="16.8">
      <c r="A659" s="159"/>
      <c r="B659" s="166" t="s">
        <v>748</v>
      </c>
      <c r="C659" s="165"/>
    </row>
    <row r="660" spans="1:3" ht="16.8">
      <c r="A660" s="159"/>
      <c r="B660" s="166" t="s">
        <v>749</v>
      </c>
      <c r="C660" s="165"/>
    </row>
    <row r="661" spans="1:3" ht="16.8">
      <c r="A661" s="159"/>
      <c r="B661" s="166" t="s">
        <v>750</v>
      </c>
      <c r="C661" s="165"/>
    </row>
    <row r="662" spans="1:3" ht="16.8">
      <c r="A662" s="159"/>
      <c r="B662" s="166" t="s">
        <v>751</v>
      </c>
      <c r="C662" s="165"/>
    </row>
    <row r="663" spans="1:3" ht="16.8">
      <c r="A663" s="159"/>
      <c r="B663" s="166" t="s">
        <v>752</v>
      </c>
      <c r="C663" s="165"/>
    </row>
    <row r="664" spans="1:3" ht="16.8">
      <c r="A664" s="159"/>
      <c r="B664" s="166" t="s">
        <v>753</v>
      </c>
      <c r="C664" s="165"/>
    </row>
    <row r="665" spans="1:3" ht="16.8">
      <c r="A665" s="159"/>
      <c r="B665" s="166" t="s">
        <v>754</v>
      </c>
      <c r="C665" s="165"/>
    </row>
    <row r="666" spans="1:3" ht="16.8">
      <c r="A666" s="159"/>
      <c r="B666" s="166" t="s">
        <v>755</v>
      </c>
      <c r="C666" s="165"/>
    </row>
    <row r="667" spans="1:3" ht="16.8">
      <c r="A667" s="159"/>
      <c r="B667" s="166" t="s">
        <v>756</v>
      </c>
      <c r="C667" s="165"/>
    </row>
    <row r="668" spans="1:3" ht="16.8">
      <c r="A668" s="159"/>
      <c r="B668" s="166" t="s">
        <v>757</v>
      </c>
      <c r="C668" s="165"/>
    </row>
    <row r="669" spans="1:3" ht="16.8">
      <c r="A669" s="159"/>
      <c r="B669" s="166" t="s">
        <v>758</v>
      </c>
      <c r="C669" s="165"/>
    </row>
    <row r="670" spans="1:3" ht="16.8">
      <c r="A670" s="159"/>
      <c r="B670" s="166" t="s">
        <v>759</v>
      </c>
      <c r="C670" s="165"/>
    </row>
    <row r="671" spans="1:3" ht="16.8">
      <c r="A671" s="159"/>
      <c r="B671" s="166" t="s">
        <v>760</v>
      </c>
      <c r="C671" s="165"/>
    </row>
    <row r="672" spans="1:3" ht="16.8">
      <c r="A672" s="159"/>
      <c r="B672" s="166" t="s">
        <v>761</v>
      </c>
      <c r="C672" s="165"/>
    </row>
    <row r="673" spans="1:3" ht="16.8">
      <c r="A673" s="159"/>
      <c r="B673" s="166" t="s">
        <v>762</v>
      </c>
      <c r="C673" s="165"/>
    </row>
    <row r="674" spans="1:3" ht="16.8">
      <c r="A674" s="159"/>
      <c r="B674" s="166" t="s">
        <v>763</v>
      </c>
      <c r="C674" s="165"/>
    </row>
    <row r="675" spans="1:3" ht="16.8">
      <c r="A675" s="159"/>
      <c r="B675" s="166" t="s">
        <v>764</v>
      </c>
      <c r="C675" s="165"/>
    </row>
    <row r="676" spans="1:3" ht="16.8">
      <c r="A676" s="159"/>
      <c r="B676" s="166" t="s">
        <v>765</v>
      </c>
      <c r="C676" s="165"/>
    </row>
    <row r="677" spans="1:3" ht="16.8">
      <c r="A677" s="159"/>
      <c r="B677" s="166" t="s">
        <v>766</v>
      </c>
      <c r="C677" s="165"/>
    </row>
    <row r="678" spans="1:3" ht="16.8">
      <c r="A678" s="159"/>
      <c r="B678" s="166" t="s">
        <v>767</v>
      </c>
      <c r="C678" s="165"/>
    </row>
    <row r="679" spans="1:3" ht="16.8">
      <c r="A679" s="159"/>
      <c r="B679" s="166" t="s">
        <v>768</v>
      </c>
      <c r="C679" s="165"/>
    </row>
    <row r="680" spans="1:3" ht="16.8">
      <c r="A680" s="159"/>
      <c r="B680" s="166" t="s">
        <v>769</v>
      </c>
      <c r="C680" s="165"/>
    </row>
    <row r="681" spans="1:3" ht="16.8">
      <c r="A681" s="159"/>
      <c r="B681" s="166" t="s">
        <v>770</v>
      </c>
      <c r="C681" s="165"/>
    </row>
    <row r="682" spans="1:3" ht="16.8">
      <c r="A682" s="159"/>
      <c r="B682" s="166" t="s">
        <v>771</v>
      </c>
      <c r="C682" s="165"/>
    </row>
    <row r="683" spans="1:3" ht="16.8">
      <c r="A683" s="159"/>
      <c r="B683" s="166" t="s">
        <v>772</v>
      </c>
      <c r="C683" s="165"/>
    </row>
    <row r="684" spans="1:3" ht="16.8">
      <c r="A684" s="159"/>
      <c r="B684" s="166" t="s">
        <v>773</v>
      </c>
      <c r="C684" s="165"/>
    </row>
    <row r="685" spans="1:3" ht="16.8">
      <c r="A685" s="159"/>
      <c r="B685" s="166" t="s">
        <v>774</v>
      </c>
      <c r="C685" s="165"/>
    </row>
    <row r="686" spans="1:3" ht="16.8">
      <c r="A686" s="159"/>
      <c r="B686" s="166" t="s">
        <v>775</v>
      </c>
      <c r="C686" s="165"/>
    </row>
    <row r="687" spans="1:3" ht="16.8">
      <c r="A687" s="159"/>
      <c r="B687" s="166" t="s">
        <v>776</v>
      </c>
      <c r="C687" s="165"/>
    </row>
    <row r="688" spans="1:3" ht="16.8">
      <c r="A688" s="159"/>
      <c r="B688" s="166" t="s">
        <v>777</v>
      </c>
      <c r="C688" s="165"/>
    </row>
    <row r="689" spans="1:3" ht="16.8">
      <c r="A689" s="159"/>
      <c r="B689" s="166" t="s">
        <v>778</v>
      </c>
      <c r="C689" s="165"/>
    </row>
    <row r="690" spans="1:3" ht="16.8">
      <c r="A690" s="159"/>
      <c r="B690" s="166" t="s">
        <v>779</v>
      </c>
      <c r="C690" s="165"/>
    </row>
    <row r="691" spans="1:3" ht="16.8">
      <c r="A691" s="159"/>
      <c r="B691" s="166" t="s">
        <v>780</v>
      </c>
      <c r="C691" s="165"/>
    </row>
    <row r="692" spans="1:3" ht="16.8">
      <c r="A692" s="159"/>
      <c r="B692" s="166" t="s">
        <v>781</v>
      </c>
      <c r="C692" s="165"/>
    </row>
    <row r="693" spans="1:3" ht="16.8">
      <c r="A693" s="159"/>
      <c r="B693" s="166" t="s">
        <v>782</v>
      </c>
      <c r="C693" s="165"/>
    </row>
    <row r="694" spans="1:3" ht="16.8">
      <c r="A694" s="159"/>
      <c r="B694" s="166" t="s">
        <v>783</v>
      </c>
      <c r="C694" s="165"/>
    </row>
    <row r="695" spans="1:3" ht="16.8">
      <c r="A695" s="159"/>
      <c r="B695" s="166" t="s">
        <v>784</v>
      </c>
      <c r="C695" s="165"/>
    </row>
    <row r="696" spans="1:3" ht="16.8">
      <c r="A696" s="159"/>
      <c r="B696" s="166" t="s">
        <v>785</v>
      </c>
      <c r="C696" s="165"/>
    </row>
    <row r="697" spans="1:3" ht="16.8">
      <c r="A697" s="159"/>
      <c r="B697" s="166" t="s">
        <v>786</v>
      </c>
      <c r="C697" s="165"/>
    </row>
    <row r="698" spans="1:3" ht="16.8">
      <c r="A698" s="159"/>
      <c r="B698" s="166" t="s">
        <v>787</v>
      </c>
      <c r="C698" s="165"/>
    </row>
    <row r="699" spans="1:3" ht="16.8">
      <c r="A699" s="159"/>
      <c r="B699" s="166" t="s">
        <v>788</v>
      </c>
      <c r="C699" s="165"/>
    </row>
    <row r="700" spans="1:3" ht="16.8">
      <c r="A700" s="159"/>
      <c r="B700" s="166" t="s">
        <v>789</v>
      </c>
      <c r="C700" s="165"/>
    </row>
    <row r="701" spans="1:3" ht="16.8">
      <c r="A701" s="159"/>
      <c r="B701" s="166" t="s">
        <v>790</v>
      </c>
      <c r="C701" s="165"/>
    </row>
    <row r="702" spans="1:3" ht="16.8">
      <c r="A702" s="159"/>
      <c r="B702" s="166" t="s">
        <v>791</v>
      </c>
      <c r="C702" s="165"/>
    </row>
    <row r="703" spans="1:3" ht="16.8">
      <c r="A703" s="159"/>
      <c r="B703" s="166" t="s">
        <v>792</v>
      </c>
      <c r="C703" s="165"/>
    </row>
    <row r="704" spans="1:3" ht="16.8">
      <c r="A704" s="159"/>
      <c r="B704" s="166" t="s">
        <v>793</v>
      </c>
      <c r="C704" s="165"/>
    </row>
    <row r="705" spans="1:3" ht="16.8">
      <c r="A705" s="159"/>
      <c r="B705" s="166" t="s">
        <v>794</v>
      </c>
      <c r="C705" s="165"/>
    </row>
    <row r="706" spans="1:3" ht="16.8">
      <c r="A706" s="159"/>
      <c r="B706" s="166" t="s">
        <v>795</v>
      </c>
      <c r="C706" s="165"/>
    </row>
    <row r="707" spans="1:3" ht="16.8">
      <c r="A707" s="159"/>
      <c r="B707" s="166" t="s">
        <v>796</v>
      </c>
      <c r="C707" s="165"/>
    </row>
    <row r="708" spans="1:3" ht="16.8">
      <c r="A708" s="159"/>
      <c r="B708" s="166" t="s">
        <v>797</v>
      </c>
      <c r="C708" s="165"/>
    </row>
    <row r="709" spans="1:3" ht="16.8">
      <c r="A709" s="159"/>
      <c r="B709" s="166" t="s">
        <v>798</v>
      </c>
      <c r="C709" s="165"/>
    </row>
    <row r="710" spans="1:3" ht="16.8">
      <c r="A710" s="159"/>
      <c r="B710" s="166" t="s">
        <v>799</v>
      </c>
      <c r="C710" s="165"/>
    </row>
    <row r="711" spans="1:3" ht="16.8">
      <c r="A711" s="159"/>
      <c r="B711" s="166" t="s">
        <v>800</v>
      </c>
      <c r="C711" s="165"/>
    </row>
    <row r="712" spans="1:3" ht="16.8">
      <c r="A712" s="159"/>
      <c r="B712" s="166" t="s">
        <v>801</v>
      </c>
      <c r="C712" s="165"/>
    </row>
    <row r="713" spans="1:3" ht="16.8">
      <c r="A713" s="159"/>
      <c r="B713" s="166" t="s">
        <v>802</v>
      </c>
      <c r="C713" s="165"/>
    </row>
    <row r="714" spans="1:3" ht="16.8">
      <c r="A714" s="159"/>
      <c r="B714" s="166" t="s">
        <v>803</v>
      </c>
      <c r="C714" s="165"/>
    </row>
    <row r="715" spans="1:3" ht="16.8">
      <c r="A715" s="159"/>
      <c r="B715" s="166" t="s">
        <v>804</v>
      </c>
      <c r="C715" s="165"/>
    </row>
    <row r="716" spans="1:3" ht="16.8">
      <c r="A716" s="159"/>
      <c r="B716" s="166" t="s">
        <v>805</v>
      </c>
      <c r="C716" s="165"/>
    </row>
    <row r="717" spans="1:3" ht="16.8">
      <c r="A717" s="159"/>
      <c r="B717" s="166" t="s">
        <v>806</v>
      </c>
      <c r="C717" s="165"/>
    </row>
    <row r="718" spans="1:3" ht="16.8">
      <c r="A718" s="159"/>
      <c r="B718" s="166" t="s">
        <v>807</v>
      </c>
      <c r="C718" s="165"/>
    </row>
    <row r="719" spans="1:3" ht="16.8">
      <c r="A719" s="159"/>
      <c r="B719" s="166" t="s">
        <v>808</v>
      </c>
      <c r="C719" s="165"/>
    </row>
    <row r="720" spans="1:3" ht="16.8">
      <c r="A720" s="159"/>
      <c r="B720" s="166" t="s">
        <v>809</v>
      </c>
      <c r="C720" s="165"/>
    </row>
    <row r="721" spans="1:3" ht="16.8">
      <c r="A721" s="159"/>
      <c r="B721" s="166" t="s">
        <v>810</v>
      </c>
      <c r="C721" s="165"/>
    </row>
    <row r="722" spans="1:3" ht="16.8">
      <c r="A722" s="159"/>
      <c r="B722" s="166" t="s">
        <v>811</v>
      </c>
      <c r="C722" s="165"/>
    </row>
    <row r="723" spans="1:3" ht="16.8">
      <c r="A723" s="159"/>
      <c r="B723" s="166" t="s">
        <v>812</v>
      </c>
      <c r="C723" s="165"/>
    </row>
    <row r="724" spans="1:3" ht="16.8">
      <c r="A724" s="159"/>
      <c r="B724" s="166" t="s">
        <v>813</v>
      </c>
      <c r="C724" s="165"/>
    </row>
    <row r="725" spans="1:3" ht="16.8">
      <c r="A725" s="159"/>
      <c r="B725" s="166" t="s">
        <v>814</v>
      </c>
      <c r="C725" s="165"/>
    </row>
    <row r="726" spans="1:3" ht="16.8">
      <c r="A726" s="159"/>
      <c r="B726" s="166" t="s">
        <v>815</v>
      </c>
      <c r="C726" s="165"/>
    </row>
    <row r="727" spans="1:3" ht="16.8">
      <c r="A727" s="159"/>
      <c r="B727" s="166" t="s">
        <v>816</v>
      </c>
      <c r="C727" s="165"/>
    </row>
    <row r="728" spans="1:3" ht="16.8">
      <c r="A728" s="159"/>
      <c r="B728" s="166" t="s">
        <v>817</v>
      </c>
      <c r="C728" s="165"/>
    </row>
    <row r="729" spans="1:3" ht="16.8">
      <c r="A729" s="159"/>
      <c r="B729" s="166" t="s">
        <v>818</v>
      </c>
      <c r="C729" s="165"/>
    </row>
    <row r="730" spans="1:3" ht="16.8">
      <c r="A730" s="159"/>
      <c r="B730" s="166" t="s">
        <v>819</v>
      </c>
      <c r="C730" s="165"/>
    </row>
    <row r="731" spans="1:3" ht="16.8">
      <c r="A731" s="159"/>
      <c r="B731" s="166" t="s">
        <v>820</v>
      </c>
      <c r="C731" s="165"/>
    </row>
    <row r="732" spans="1:3" ht="16.8">
      <c r="A732" s="159"/>
      <c r="B732" s="166" t="s">
        <v>821</v>
      </c>
      <c r="C732" s="165"/>
    </row>
    <row r="733" spans="1:3" ht="16.8">
      <c r="A733" s="159"/>
      <c r="B733" s="166" t="s">
        <v>822</v>
      </c>
      <c r="C733" s="165"/>
    </row>
    <row r="734" spans="1:3" ht="16.8">
      <c r="A734" s="159"/>
      <c r="B734" s="166" t="s">
        <v>823</v>
      </c>
      <c r="C734" s="165"/>
    </row>
    <row r="735" spans="1:3" ht="16.8">
      <c r="A735" s="159"/>
      <c r="B735" s="166" t="s">
        <v>824</v>
      </c>
      <c r="C735" s="165"/>
    </row>
    <row r="736" spans="1:3" ht="16.8">
      <c r="A736" s="159"/>
      <c r="B736" s="166" t="s">
        <v>825</v>
      </c>
      <c r="C736" s="165"/>
    </row>
    <row r="737" spans="1:3" ht="16.8">
      <c r="A737" s="159"/>
      <c r="B737" s="166" t="s">
        <v>826</v>
      </c>
      <c r="C737" s="165"/>
    </row>
    <row r="738" spans="1:3" ht="16.8">
      <c r="A738" s="159"/>
      <c r="B738" s="166" t="s">
        <v>827</v>
      </c>
      <c r="C738" s="165"/>
    </row>
    <row r="739" spans="1:3" ht="16.8">
      <c r="A739" s="159"/>
      <c r="B739" s="166" t="s">
        <v>828</v>
      </c>
      <c r="C739" s="165"/>
    </row>
    <row r="740" spans="1:3" ht="16.8">
      <c r="A740" s="159"/>
      <c r="B740" s="166" t="s">
        <v>829</v>
      </c>
      <c r="C740" s="165"/>
    </row>
    <row r="741" spans="1:3" ht="16.8">
      <c r="A741" s="159"/>
      <c r="B741" s="166" t="s">
        <v>830</v>
      </c>
      <c r="C741" s="165"/>
    </row>
    <row r="742" spans="1:3" ht="16.8">
      <c r="A742" s="159"/>
      <c r="B742" s="166" t="s">
        <v>831</v>
      </c>
      <c r="C742" s="165"/>
    </row>
    <row r="743" spans="1:3" ht="16.8">
      <c r="A743" s="159"/>
      <c r="B743" s="166" t="s">
        <v>832</v>
      </c>
      <c r="C743" s="165"/>
    </row>
    <row r="744" spans="1:3" ht="16.8">
      <c r="A744" s="159"/>
      <c r="B744" s="166" t="s">
        <v>833</v>
      </c>
      <c r="C744" s="165"/>
    </row>
    <row r="745" spans="1:3" ht="16.8">
      <c r="A745" s="159"/>
      <c r="B745" s="166" t="s">
        <v>834</v>
      </c>
      <c r="C745" s="165"/>
    </row>
    <row r="746" spans="1:3" ht="16.8">
      <c r="A746" s="159"/>
      <c r="B746" s="166" t="s">
        <v>835</v>
      </c>
      <c r="C746" s="165"/>
    </row>
    <row r="747" spans="1:3" ht="16.8">
      <c r="A747" s="159"/>
      <c r="B747" s="166" t="s">
        <v>836</v>
      </c>
      <c r="C747" s="165"/>
    </row>
    <row r="748" spans="1:3" ht="16.8">
      <c r="A748" s="159"/>
      <c r="B748" s="166" t="s">
        <v>837</v>
      </c>
      <c r="C748" s="165"/>
    </row>
    <row r="749" spans="1:3" ht="16.8">
      <c r="A749" s="159"/>
      <c r="B749" s="166" t="s">
        <v>838</v>
      </c>
      <c r="C749" s="165"/>
    </row>
    <row r="750" spans="1:3" ht="16.8">
      <c r="A750" s="159"/>
      <c r="B750" s="166" t="s">
        <v>839</v>
      </c>
      <c r="C750" s="165"/>
    </row>
    <row r="751" spans="1:3" ht="16.8">
      <c r="A751" s="159"/>
      <c r="B751" s="166" t="s">
        <v>840</v>
      </c>
      <c r="C751" s="165"/>
    </row>
    <row r="752" spans="1:3" ht="16.8">
      <c r="A752" s="159"/>
      <c r="B752" s="166" t="s">
        <v>841</v>
      </c>
      <c r="C752" s="165"/>
    </row>
    <row r="753" spans="1:3" ht="16.8">
      <c r="A753" s="159"/>
      <c r="B753" s="166" t="s">
        <v>842</v>
      </c>
      <c r="C753" s="165"/>
    </row>
    <row r="754" spans="1:3" ht="16.8">
      <c r="A754" s="159"/>
      <c r="B754" s="166" t="s">
        <v>843</v>
      </c>
      <c r="C754" s="165"/>
    </row>
    <row r="755" spans="1:3" ht="16.8">
      <c r="A755" s="159"/>
      <c r="B755" s="166" t="s">
        <v>844</v>
      </c>
      <c r="C755" s="165"/>
    </row>
    <row r="756" spans="1:3" ht="16.8">
      <c r="A756" s="159"/>
      <c r="B756" s="166" t="s">
        <v>845</v>
      </c>
      <c r="C756" s="165"/>
    </row>
    <row r="757" spans="1:3" ht="16.8">
      <c r="A757" s="159"/>
      <c r="B757" s="166" t="s">
        <v>846</v>
      </c>
      <c r="C757" s="165"/>
    </row>
    <row r="758" spans="1:3" ht="16.8">
      <c r="A758" s="159"/>
      <c r="B758" s="166" t="s">
        <v>847</v>
      </c>
      <c r="C758" s="165"/>
    </row>
    <row r="759" spans="1:3" ht="16.8">
      <c r="A759" s="159"/>
      <c r="B759" s="166" t="s">
        <v>848</v>
      </c>
      <c r="C759" s="165"/>
    </row>
    <row r="760" spans="1:3" ht="16.8">
      <c r="A760" s="159"/>
      <c r="B760" s="166" t="s">
        <v>849</v>
      </c>
      <c r="C760" s="165"/>
    </row>
    <row r="761" spans="1:3" ht="16.8">
      <c r="A761" s="159"/>
      <c r="B761" s="166" t="s">
        <v>850</v>
      </c>
      <c r="C761" s="165"/>
    </row>
    <row r="762" spans="1:3" ht="16.8">
      <c r="A762" s="159"/>
      <c r="B762" s="166" t="s">
        <v>851</v>
      </c>
      <c r="C762" s="165"/>
    </row>
    <row r="763" spans="1:3" ht="16.8">
      <c r="A763" s="159"/>
      <c r="B763" s="166" t="s">
        <v>852</v>
      </c>
      <c r="C763" s="165"/>
    </row>
    <row r="764" spans="1:3" ht="16.8">
      <c r="A764" s="159"/>
      <c r="B764" s="166" t="s">
        <v>853</v>
      </c>
      <c r="C764" s="165"/>
    </row>
    <row r="765" spans="1:3" ht="16.8">
      <c r="A765" s="159"/>
      <c r="B765" s="166" t="s">
        <v>854</v>
      </c>
      <c r="C765" s="165"/>
    </row>
    <row r="766" spans="1:3" ht="16.8">
      <c r="A766" s="159"/>
      <c r="B766" s="166" t="s">
        <v>855</v>
      </c>
      <c r="C766" s="165"/>
    </row>
    <row r="767" spans="1:3" ht="16.8">
      <c r="A767" s="159"/>
      <c r="B767" s="166" t="s">
        <v>856</v>
      </c>
      <c r="C767" s="165"/>
    </row>
    <row r="768" spans="1:3" ht="16.8">
      <c r="A768" s="159"/>
      <c r="B768" s="166" t="s">
        <v>857</v>
      </c>
      <c r="C768" s="165"/>
    </row>
    <row r="769" spans="1:3" ht="16.8">
      <c r="A769" s="159"/>
      <c r="B769" s="166" t="s">
        <v>858</v>
      </c>
      <c r="C769" s="165"/>
    </row>
    <row r="770" spans="1:3" ht="16.8">
      <c r="A770" s="159"/>
      <c r="B770" s="166" t="s">
        <v>859</v>
      </c>
      <c r="C770" s="165"/>
    </row>
    <row r="771" spans="1:3" ht="16.8">
      <c r="A771" s="159"/>
      <c r="B771" s="166" t="s">
        <v>860</v>
      </c>
      <c r="C771" s="165"/>
    </row>
    <row r="772" spans="1:3" ht="16.8">
      <c r="A772" s="159"/>
      <c r="B772" s="166" t="s">
        <v>861</v>
      </c>
      <c r="C772" s="165"/>
    </row>
    <row r="773" spans="1:3" ht="16.8">
      <c r="A773" s="159"/>
      <c r="B773" s="166" t="s">
        <v>862</v>
      </c>
      <c r="C773" s="165"/>
    </row>
    <row r="774" spans="1:3" ht="16.8">
      <c r="A774" s="159"/>
      <c r="B774" s="166" t="s">
        <v>863</v>
      </c>
      <c r="C774" s="165"/>
    </row>
    <row r="775" spans="1:3" ht="16.8">
      <c r="A775" s="159"/>
      <c r="B775" s="166" t="s">
        <v>864</v>
      </c>
      <c r="C775" s="165"/>
    </row>
    <row r="776" spans="1:3" ht="16.8">
      <c r="A776" s="159"/>
      <c r="B776" s="166" t="s">
        <v>865</v>
      </c>
      <c r="C776" s="165"/>
    </row>
    <row r="777" spans="1:3" ht="16.8">
      <c r="A777" s="159"/>
      <c r="B777" s="166" t="s">
        <v>866</v>
      </c>
      <c r="C777" s="165"/>
    </row>
    <row r="778" spans="1:3" ht="16.8">
      <c r="A778" s="159"/>
      <c r="B778" s="166" t="s">
        <v>867</v>
      </c>
      <c r="C778" s="165"/>
    </row>
    <row r="779" spans="1:3" ht="16.8">
      <c r="A779" s="159"/>
      <c r="B779" s="166" t="s">
        <v>868</v>
      </c>
      <c r="C779" s="165"/>
    </row>
    <row r="780" spans="1:3" ht="16.8">
      <c r="A780" s="159"/>
      <c r="B780" s="166" t="s">
        <v>869</v>
      </c>
      <c r="C780" s="165"/>
    </row>
    <row r="781" spans="1:3" ht="16.8">
      <c r="A781" s="159"/>
      <c r="B781" s="166" t="s">
        <v>870</v>
      </c>
      <c r="C781" s="165"/>
    </row>
    <row r="782" spans="1:3" ht="16.8">
      <c r="A782" s="159"/>
      <c r="B782" s="166" t="s">
        <v>871</v>
      </c>
      <c r="C782" s="165"/>
    </row>
    <row r="783" spans="1:3" ht="16.8">
      <c r="A783" s="159"/>
      <c r="B783" s="166" t="s">
        <v>872</v>
      </c>
      <c r="C783" s="165"/>
    </row>
    <row r="784" spans="1:3" ht="16.8">
      <c r="A784" s="159"/>
      <c r="B784" s="166" t="s">
        <v>873</v>
      </c>
      <c r="C784" s="165"/>
    </row>
    <row r="785" spans="1:3" ht="16.8">
      <c r="A785" s="159"/>
      <c r="B785" s="166" t="s">
        <v>874</v>
      </c>
      <c r="C785" s="165"/>
    </row>
    <row r="786" spans="1:3" ht="16.8">
      <c r="A786" s="159"/>
      <c r="B786" s="166" t="s">
        <v>875</v>
      </c>
      <c r="C786" s="165"/>
    </row>
    <row r="787" spans="1:3" ht="16.8">
      <c r="A787" s="159"/>
      <c r="B787" s="166" t="s">
        <v>876</v>
      </c>
      <c r="C787" s="165"/>
    </row>
    <row r="788" spans="1:3" ht="16.8">
      <c r="A788" s="159"/>
      <c r="B788" s="166" t="s">
        <v>877</v>
      </c>
      <c r="C788" s="165"/>
    </row>
    <row r="789" spans="1:3" ht="16.8">
      <c r="A789" s="159"/>
      <c r="B789" s="166" t="s">
        <v>878</v>
      </c>
      <c r="C789" s="165"/>
    </row>
    <row r="790" spans="1:3" ht="16.8">
      <c r="A790" s="159"/>
      <c r="B790" s="166" t="s">
        <v>879</v>
      </c>
      <c r="C790" s="165"/>
    </row>
    <row r="791" spans="1:3" ht="16.8">
      <c r="A791" s="159"/>
      <c r="B791" s="166" t="s">
        <v>880</v>
      </c>
      <c r="C791" s="165"/>
    </row>
    <row r="792" spans="1:3" ht="16.8">
      <c r="A792" s="159"/>
      <c r="B792" s="166" t="s">
        <v>881</v>
      </c>
      <c r="C792" s="165"/>
    </row>
    <row r="793" spans="1:3" ht="16.8">
      <c r="A793" s="159"/>
      <c r="B793" s="166" t="s">
        <v>882</v>
      </c>
      <c r="C793" s="165"/>
    </row>
    <row r="794" spans="1:3" ht="16.8">
      <c r="A794" s="159"/>
      <c r="B794" s="166" t="s">
        <v>883</v>
      </c>
      <c r="C794" s="165"/>
    </row>
    <row r="795" spans="1:3" ht="16.8">
      <c r="A795" s="159"/>
      <c r="B795" s="166" t="s">
        <v>884</v>
      </c>
      <c r="C795" s="165"/>
    </row>
    <row r="796" spans="1:3" ht="16.8">
      <c r="A796" s="159"/>
      <c r="B796" s="166" t="s">
        <v>885</v>
      </c>
      <c r="C796" s="165"/>
    </row>
    <row r="797" spans="1:3" ht="16.8">
      <c r="A797" s="159"/>
      <c r="B797" s="166" t="s">
        <v>886</v>
      </c>
      <c r="C797" s="165"/>
    </row>
    <row r="798" spans="1:3" ht="16.8">
      <c r="A798" s="159"/>
      <c r="B798" s="166" t="s">
        <v>887</v>
      </c>
      <c r="C798" s="165"/>
    </row>
    <row r="799" spans="1:3" ht="16.8">
      <c r="A799" s="159"/>
      <c r="B799" s="166" t="s">
        <v>888</v>
      </c>
      <c r="C799" s="165"/>
    </row>
    <row r="800" spans="1:3" ht="16.8">
      <c r="A800" s="159"/>
      <c r="B800" s="166" t="s">
        <v>889</v>
      </c>
      <c r="C800" s="165"/>
    </row>
    <row r="801" spans="1:3" ht="16.8">
      <c r="A801" s="159"/>
      <c r="B801" s="166" t="s">
        <v>890</v>
      </c>
      <c r="C801" s="165"/>
    </row>
    <row r="802" spans="1:3" ht="16.8">
      <c r="A802" s="159"/>
      <c r="B802" s="166" t="s">
        <v>891</v>
      </c>
      <c r="C802" s="165"/>
    </row>
    <row r="803" spans="1:3" ht="16.8">
      <c r="A803" s="159"/>
      <c r="B803" s="166" t="s">
        <v>892</v>
      </c>
      <c r="C803" s="165"/>
    </row>
    <row r="804" spans="1:3" ht="16.8">
      <c r="A804" s="159"/>
      <c r="B804" s="166" t="s">
        <v>893</v>
      </c>
      <c r="C804" s="165"/>
    </row>
    <row r="805" spans="1:3" ht="16.8">
      <c r="A805" s="159"/>
      <c r="B805" s="166" t="s">
        <v>894</v>
      </c>
      <c r="C805" s="165"/>
    </row>
    <row r="806" spans="1:3" ht="16.8">
      <c r="A806" s="159"/>
      <c r="B806" s="166" t="s">
        <v>895</v>
      </c>
      <c r="C806" s="165"/>
    </row>
    <row r="807" spans="1:3" ht="16.8">
      <c r="A807" s="159"/>
      <c r="B807" s="166" t="s">
        <v>896</v>
      </c>
      <c r="C807" s="165"/>
    </row>
    <row r="808" spans="1:3" ht="16.8">
      <c r="A808" s="159"/>
      <c r="B808" s="166" t="s">
        <v>897</v>
      </c>
      <c r="C808" s="165"/>
    </row>
    <row r="809" spans="1:3" ht="16.8">
      <c r="A809" s="159"/>
      <c r="B809" s="166" t="s">
        <v>898</v>
      </c>
      <c r="C809" s="165"/>
    </row>
    <row r="810" spans="1:3" ht="16.8">
      <c r="A810" s="159"/>
      <c r="B810" s="166" t="s">
        <v>899</v>
      </c>
      <c r="C810" s="165"/>
    </row>
    <row r="811" spans="1:3" ht="16.8">
      <c r="A811" s="159"/>
      <c r="B811" s="166" t="s">
        <v>900</v>
      </c>
      <c r="C811" s="165"/>
    </row>
    <row r="812" spans="1:3" ht="16.8">
      <c r="A812" s="159"/>
      <c r="B812" s="166" t="s">
        <v>901</v>
      </c>
      <c r="C812" s="165"/>
    </row>
    <row r="813" spans="1:3" ht="16.8">
      <c r="A813" s="159"/>
      <c r="B813" s="166" t="s">
        <v>902</v>
      </c>
      <c r="C813" s="165"/>
    </row>
    <row r="814" spans="1:3" ht="16.8">
      <c r="A814" s="159"/>
      <c r="B814" s="166" t="s">
        <v>903</v>
      </c>
      <c r="C814" s="165"/>
    </row>
    <row r="815" spans="1:3" ht="16.8">
      <c r="A815" s="159"/>
      <c r="B815" s="166" t="s">
        <v>904</v>
      </c>
      <c r="C815" s="165"/>
    </row>
    <row r="816" spans="1:3" ht="16.8">
      <c r="A816" s="159"/>
      <c r="B816" s="166" t="s">
        <v>905</v>
      </c>
      <c r="C816" s="165"/>
    </row>
    <row r="817" spans="1:3" ht="16.8">
      <c r="A817" s="159"/>
      <c r="B817" s="166" t="s">
        <v>906</v>
      </c>
      <c r="C817" s="165"/>
    </row>
    <row r="818" spans="1:3" ht="16.8">
      <c r="A818" s="159"/>
      <c r="B818" s="166" t="s">
        <v>907</v>
      </c>
      <c r="C818" s="165"/>
    </row>
    <row r="819" spans="1:3" ht="16.8">
      <c r="A819" s="159"/>
      <c r="B819" s="166" t="s">
        <v>908</v>
      </c>
      <c r="C819" s="165"/>
    </row>
    <row r="820" spans="1:3" ht="16.8">
      <c r="A820" s="159"/>
      <c r="B820" s="166" t="s">
        <v>909</v>
      </c>
      <c r="C820" s="165"/>
    </row>
    <row r="821" spans="1:3" ht="16.8">
      <c r="A821" s="159"/>
      <c r="B821" s="166" t="s">
        <v>910</v>
      </c>
      <c r="C821" s="165"/>
    </row>
    <row r="822" spans="1:3" ht="16.8">
      <c r="A822" s="159"/>
      <c r="B822" s="166" t="s">
        <v>911</v>
      </c>
      <c r="C822" s="165"/>
    </row>
    <row r="823" spans="1:3" ht="16.8">
      <c r="A823" s="159"/>
      <c r="B823" s="166" t="s">
        <v>912</v>
      </c>
      <c r="C823" s="165"/>
    </row>
    <row r="824" spans="1:3" ht="16.8">
      <c r="A824" s="159"/>
      <c r="B824" s="166" t="s">
        <v>913</v>
      </c>
      <c r="C824" s="165"/>
    </row>
    <row r="825" spans="1:3" ht="16.8">
      <c r="A825" s="159"/>
      <c r="B825" s="166" t="s">
        <v>914</v>
      </c>
      <c r="C825" s="165"/>
    </row>
    <row r="826" spans="1:3" ht="16.8">
      <c r="A826" s="159"/>
      <c r="B826" s="166" t="s">
        <v>915</v>
      </c>
      <c r="C826" s="165"/>
    </row>
    <row r="827" spans="1:3" ht="16.8">
      <c r="A827" s="159"/>
      <c r="B827" s="166" t="s">
        <v>916</v>
      </c>
      <c r="C827" s="165"/>
    </row>
    <row r="828" spans="1:3" ht="16.8">
      <c r="A828" s="159"/>
      <c r="B828" s="166" t="s">
        <v>917</v>
      </c>
      <c r="C828" s="165"/>
    </row>
    <row r="829" spans="1:3" ht="16.8">
      <c r="A829" s="159"/>
      <c r="B829" s="166" t="s">
        <v>918</v>
      </c>
      <c r="C829" s="165"/>
    </row>
    <row r="830" spans="1:3" ht="16.8">
      <c r="A830" s="159"/>
      <c r="B830" s="166" t="s">
        <v>919</v>
      </c>
      <c r="C830" s="165"/>
    </row>
    <row r="831" spans="1:3" ht="16.8">
      <c r="A831" s="159"/>
      <c r="B831" s="166" t="s">
        <v>920</v>
      </c>
      <c r="C831" s="165"/>
    </row>
    <row r="832" spans="1:3" ht="16.8">
      <c r="A832" s="159"/>
      <c r="B832" s="166" t="s">
        <v>921</v>
      </c>
      <c r="C832" s="165"/>
    </row>
    <row r="833" spans="1:3" ht="16.8">
      <c r="A833" s="159"/>
      <c r="B833" s="166" t="s">
        <v>922</v>
      </c>
      <c r="C833" s="165"/>
    </row>
    <row r="834" spans="1:3" ht="16.8">
      <c r="A834" s="159"/>
      <c r="B834" s="166" t="s">
        <v>923</v>
      </c>
      <c r="C834" s="165"/>
    </row>
    <row r="835" spans="1:3" ht="16.8">
      <c r="A835" s="159"/>
      <c r="B835" s="166" t="s">
        <v>924</v>
      </c>
      <c r="C835" s="165"/>
    </row>
    <row r="836" spans="1:3" ht="16.8">
      <c r="A836" s="159"/>
      <c r="B836" s="166" t="s">
        <v>925</v>
      </c>
      <c r="C836" s="165"/>
    </row>
    <row r="837" spans="1:3" ht="16.8">
      <c r="A837" s="159"/>
      <c r="B837" s="166" t="s">
        <v>926</v>
      </c>
      <c r="C837" s="165"/>
    </row>
    <row r="838" spans="1:3" ht="16.8">
      <c r="A838" s="159"/>
      <c r="B838" s="166" t="s">
        <v>927</v>
      </c>
      <c r="C838" s="165"/>
    </row>
    <row r="839" spans="1:3" ht="16.8">
      <c r="A839" s="159"/>
      <c r="B839" s="166" t="s">
        <v>928</v>
      </c>
      <c r="C839" s="165"/>
    </row>
    <row r="840" spans="1:3" ht="16.8">
      <c r="A840" s="159"/>
      <c r="B840" s="166" t="s">
        <v>929</v>
      </c>
      <c r="C840" s="165"/>
    </row>
    <row r="841" spans="1:3" ht="16.8">
      <c r="A841" s="159"/>
      <c r="B841" s="166" t="s">
        <v>930</v>
      </c>
      <c r="C841" s="165"/>
    </row>
    <row r="842" spans="1:3" ht="16.8">
      <c r="A842" s="159"/>
      <c r="B842" s="166" t="s">
        <v>931</v>
      </c>
      <c r="C842" s="165"/>
    </row>
    <row r="843" spans="1:3" ht="16.8">
      <c r="A843" s="159"/>
      <c r="B843" s="166" t="s">
        <v>932</v>
      </c>
      <c r="C843" s="165"/>
    </row>
    <row r="844" spans="1:3" ht="16.8">
      <c r="A844" s="159"/>
      <c r="B844" s="166" t="s">
        <v>933</v>
      </c>
      <c r="C844" s="165"/>
    </row>
    <row r="845" spans="1:3" ht="16.8">
      <c r="A845" s="159"/>
      <c r="B845" s="166" t="s">
        <v>934</v>
      </c>
      <c r="C845" s="165"/>
    </row>
    <row r="846" spans="1:3" ht="16.8">
      <c r="A846" s="159"/>
      <c r="B846" s="166" t="s">
        <v>935</v>
      </c>
      <c r="C846" s="165"/>
    </row>
    <row r="847" spans="1:3" ht="16.8">
      <c r="A847" s="159"/>
      <c r="B847" s="166" t="s">
        <v>936</v>
      </c>
      <c r="C847" s="165"/>
    </row>
    <row r="848" spans="1:3" ht="16.8">
      <c r="A848" s="159"/>
      <c r="B848" s="166" t="s">
        <v>937</v>
      </c>
      <c r="C848" s="165"/>
    </row>
    <row r="849" spans="1:3" ht="16.8">
      <c r="A849" s="159"/>
      <c r="B849" s="166" t="s">
        <v>938</v>
      </c>
      <c r="C849" s="165"/>
    </row>
    <row r="850" spans="1:3" ht="16.8">
      <c r="A850" s="159"/>
      <c r="B850" s="166" t="s">
        <v>939</v>
      </c>
      <c r="C850" s="165"/>
    </row>
    <row r="851" spans="1:3" ht="16.8">
      <c r="A851" s="159"/>
      <c r="B851" s="166" t="s">
        <v>940</v>
      </c>
      <c r="C851" s="165"/>
    </row>
    <row r="852" spans="1:3" ht="16.8">
      <c r="A852" s="159"/>
      <c r="B852" s="166" t="s">
        <v>941</v>
      </c>
      <c r="C852" s="165"/>
    </row>
    <row r="853" spans="1:3" ht="16.8">
      <c r="A853" s="159"/>
      <c r="B853" s="166" t="s">
        <v>942</v>
      </c>
      <c r="C853" s="165"/>
    </row>
    <row r="854" spans="1:3" ht="16.8">
      <c r="A854" s="159"/>
      <c r="B854" s="166" t="s">
        <v>943</v>
      </c>
      <c r="C854" s="165"/>
    </row>
    <row r="855" spans="1:3" ht="16.8">
      <c r="A855" s="159"/>
      <c r="B855" s="166" t="s">
        <v>944</v>
      </c>
      <c r="C855" s="165"/>
    </row>
    <row r="856" spans="1:3" ht="16.8">
      <c r="A856" s="159"/>
      <c r="B856" s="166" t="s">
        <v>945</v>
      </c>
      <c r="C856" s="165"/>
    </row>
    <row r="857" spans="1:3" ht="16.8">
      <c r="A857" s="159"/>
      <c r="B857" s="166" t="s">
        <v>946</v>
      </c>
      <c r="C857" s="165"/>
    </row>
    <row r="858" spans="1:3" ht="16.8">
      <c r="A858" s="159"/>
      <c r="B858" s="166" t="s">
        <v>947</v>
      </c>
      <c r="C858" s="165"/>
    </row>
    <row r="859" spans="1:3" ht="16.8">
      <c r="A859" s="159"/>
      <c r="B859" s="166" t="s">
        <v>948</v>
      </c>
      <c r="C859" s="165"/>
    </row>
    <row r="860" spans="1:3" ht="16.8">
      <c r="A860" s="159"/>
      <c r="B860" s="166" t="s">
        <v>949</v>
      </c>
      <c r="C860" s="165"/>
    </row>
    <row r="861" spans="1:3" ht="16.8">
      <c r="A861" s="159"/>
      <c r="B861" s="166" t="s">
        <v>950</v>
      </c>
      <c r="C861" s="165"/>
    </row>
    <row r="862" spans="1:3" ht="16.8">
      <c r="A862" s="159"/>
      <c r="B862" s="166" t="s">
        <v>951</v>
      </c>
      <c r="C862" s="165"/>
    </row>
    <row r="863" spans="1:3" ht="16.8">
      <c r="A863" s="159"/>
      <c r="B863" s="166" t="s">
        <v>952</v>
      </c>
      <c r="C863" s="165"/>
    </row>
    <row r="864" spans="1:3" ht="16.8">
      <c r="A864" s="159"/>
      <c r="B864" s="166" t="s">
        <v>953</v>
      </c>
      <c r="C864" s="165"/>
    </row>
    <row r="865" spans="1:3" ht="16.8">
      <c r="A865" s="159"/>
      <c r="B865" s="166" t="s">
        <v>954</v>
      </c>
      <c r="C865" s="165"/>
    </row>
    <row r="866" spans="1:3" ht="16.8">
      <c r="A866" s="159"/>
      <c r="B866" s="166" t="s">
        <v>955</v>
      </c>
      <c r="C866" s="165"/>
    </row>
    <row r="867" spans="1:3" ht="16.8">
      <c r="A867" s="159"/>
      <c r="B867" s="166" t="s">
        <v>956</v>
      </c>
      <c r="C867" s="165"/>
    </row>
    <row r="868" spans="1:3" ht="16.8">
      <c r="A868" s="159"/>
      <c r="B868" s="166" t="s">
        <v>957</v>
      </c>
      <c r="C868" s="165"/>
    </row>
    <row r="869" spans="1:3" ht="16.8">
      <c r="A869" s="159"/>
      <c r="B869" s="166" t="s">
        <v>958</v>
      </c>
      <c r="C869" s="165"/>
    </row>
    <row r="870" spans="1:3" ht="16.8">
      <c r="A870" s="159"/>
      <c r="B870" s="166" t="s">
        <v>959</v>
      </c>
      <c r="C870" s="165"/>
    </row>
    <row r="871" spans="1:3" ht="16.8">
      <c r="A871" s="159"/>
      <c r="B871" s="166" t="s">
        <v>960</v>
      </c>
      <c r="C871" s="165"/>
    </row>
    <row r="872" spans="1:3" ht="16.8">
      <c r="A872" s="159"/>
      <c r="B872" s="166" t="s">
        <v>961</v>
      </c>
      <c r="C872" s="165"/>
    </row>
    <row r="873" spans="1:3" ht="16.8">
      <c r="A873" s="159"/>
      <c r="B873" s="166" t="s">
        <v>962</v>
      </c>
      <c r="C873" s="165"/>
    </row>
    <row r="874" spans="1:3" ht="16.8">
      <c r="A874" s="159"/>
      <c r="B874" s="166" t="s">
        <v>963</v>
      </c>
      <c r="C874" s="165"/>
    </row>
    <row r="875" spans="1:3" ht="16.8">
      <c r="A875" s="159"/>
      <c r="B875" s="166" t="s">
        <v>964</v>
      </c>
      <c r="C875" s="165"/>
    </row>
    <row r="876" spans="1:3" ht="16.8">
      <c r="A876" s="159"/>
      <c r="B876" s="166" t="s">
        <v>965</v>
      </c>
      <c r="C876" s="165"/>
    </row>
    <row r="877" spans="1:3" ht="16.8">
      <c r="A877" s="159"/>
      <c r="B877" s="166" t="s">
        <v>966</v>
      </c>
      <c r="C877" s="165"/>
    </row>
    <row r="878" spans="1:3" ht="16.8">
      <c r="A878" s="159"/>
      <c r="B878" s="166" t="s">
        <v>967</v>
      </c>
      <c r="C878" s="165"/>
    </row>
    <row r="879" spans="1:3" ht="16.8">
      <c r="A879" s="159"/>
      <c r="B879" s="166" t="s">
        <v>968</v>
      </c>
      <c r="C879" s="165"/>
    </row>
    <row r="880" spans="1:3" ht="16.8">
      <c r="A880" s="159"/>
      <c r="B880" s="166" t="s">
        <v>969</v>
      </c>
      <c r="C880" s="165"/>
    </row>
    <row r="881" spans="1:3" ht="16.8">
      <c r="A881" s="159"/>
      <c r="B881" s="166" t="s">
        <v>970</v>
      </c>
      <c r="C881" s="165"/>
    </row>
    <row r="882" spans="1:3" ht="16.8">
      <c r="A882" s="159"/>
      <c r="B882" s="166" t="s">
        <v>971</v>
      </c>
      <c r="C882" s="165"/>
    </row>
    <row r="883" spans="1:3" ht="16.8">
      <c r="A883" s="159"/>
      <c r="B883" s="166" t="s">
        <v>972</v>
      </c>
      <c r="C883" s="165"/>
    </row>
    <row r="884" spans="1:3" ht="16.8">
      <c r="A884" s="159"/>
      <c r="B884" s="166" t="s">
        <v>973</v>
      </c>
      <c r="C884" s="165"/>
    </row>
    <row r="885" spans="1:3" ht="16.8">
      <c r="A885" s="159"/>
      <c r="B885" s="166" t="s">
        <v>974</v>
      </c>
      <c r="C885" s="165"/>
    </row>
    <row r="886" spans="1:3" ht="16.8">
      <c r="A886" s="159"/>
      <c r="B886" s="166" t="s">
        <v>975</v>
      </c>
      <c r="C886" s="165"/>
    </row>
    <row r="887" spans="1:3" ht="16.8">
      <c r="A887" s="159"/>
      <c r="B887" s="166" t="s">
        <v>976</v>
      </c>
      <c r="C887" s="165"/>
    </row>
    <row r="888" spans="1:3" ht="16.8">
      <c r="A888" s="159"/>
      <c r="B888" s="166" t="s">
        <v>977</v>
      </c>
      <c r="C888" s="165"/>
    </row>
    <row r="889" spans="1:3" ht="16.8">
      <c r="A889" s="159"/>
      <c r="B889" s="166" t="s">
        <v>978</v>
      </c>
      <c r="C889" s="165"/>
    </row>
    <row r="890" spans="1:3" ht="16.8">
      <c r="A890" s="159"/>
      <c r="B890" s="166" t="s">
        <v>979</v>
      </c>
      <c r="C890" s="165"/>
    </row>
    <row r="891" spans="1:3" ht="16.8">
      <c r="A891" s="159"/>
      <c r="B891" s="166" t="s">
        <v>980</v>
      </c>
      <c r="C891" s="165"/>
    </row>
    <row r="892" spans="1:3" ht="16.8">
      <c r="A892" s="159"/>
      <c r="B892" s="166" t="s">
        <v>981</v>
      </c>
      <c r="C892" s="165"/>
    </row>
    <row r="893" spans="1:3" ht="16.8">
      <c r="A893" s="159"/>
      <c r="B893" s="166" t="s">
        <v>982</v>
      </c>
      <c r="C893" s="165"/>
    </row>
    <row r="894" spans="1:3" ht="16.8">
      <c r="A894" s="159"/>
      <c r="B894" s="166" t="s">
        <v>983</v>
      </c>
      <c r="C894" s="165"/>
    </row>
    <row r="895" spans="1:3" ht="16.8">
      <c r="A895" s="159"/>
      <c r="B895" s="166" t="s">
        <v>984</v>
      </c>
      <c r="C895" s="165"/>
    </row>
    <row r="896" spans="1:3" ht="16.8">
      <c r="A896" s="159"/>
      <c r="B896" s="166" t="s">
        <v>985</v>
      </c>
      <c r="C896" s="165"/>
    </row>
    <row r="897" spans="1:3" ht="16.8">
      <c r="A897" s="159"/>
      <c r="B897" s="166" t="s">
        <v>986</v>
      </c>
      <c r="C897" s="165"/>
    </row>
    <row r="898" spans="1:3" ht="16.8">
      <c r="A898" s="159"/>
      <c r="B898" s="166" t="s">
        <v>987</v>
      </c>
      <c r="C898" s="165"/>
    </row>
    <row r="899" spans="1:3" ht="16.8">
      <c r="A899" s="159"/>
      <c r="B899" s="166" t="s">
        <v>988</v>
      </c>
      <c r="C899" s="165"/>
    </row>
    <row r="900" spans="1:3" ht="16.8">
      <c r="A900" s="159"/>
      <c r="B900" s="166" t="s">
        <v>989</v>
      </c>
      <c r="C900" s="165"/>
    </row>
    <row r="901" spans="1:3" ht="16.8">
      <c r="A901" s="159"/>
      <c r="B901" s="166" t="s">
        <v>990</v>
      </c>
      <c r="C901" s="165"/>
    </row>
    <row r="902" spans="1:3" ht="16.8">
      <c r="A902" s="159"/>
      <c r="B902" s="166" t="s">
        <v>991</v>
      </c>
      <c r="C902" s="165"/>
    </row>
    <row r="903" spans="1:3" ht="16.8">
      <c r="A903" s="159"/>
      <c r="B903" s="166" t="s">
        <v>992</v>
      </c>
      <c r="C903" s="165"/>
    </row>
    <row r="904" spans="1:3" ht="16.8">
      <c r="A904" s="159"/>
      <c r="B904" s="166" t="s">
        <v>993</v>
      </c>
      <c r="C904" s="165"/>
    </row>
    <row r="905" spans="1:3" ht="16.8">
      <c r="A905" s="159"/>
      <c r="B905" s="166" t="s">
        <v>994</v>
      </c>
      <c r="C905" s="165"/>
    </row>
    <row r="906" spans="1:3" ht="16.8">
      <c r="A906" s="159"/>
      <c r="B906" s="166" t="s">
        <v>995</v>
      </c>
      <c r="C906" s="165"/>
    </row>
    <row r="907" spans="1:3" ht="16.8">
      <c r="A907" s="159"/>
      <c r="B907" s="166" t="s">
        <v>996</v>
      </c>
      <c r="C907" s="165"/>
    </row>
    <row r="908" spans="1:3" ht="16.8">
      <c r="A908" s="159"/>
      <c r="B908" s="166" t="s">
        <v>997</v>
      </c>
      <c r="C908" s="165"/>
    </row>
    <row r="909" spans="1:3" ht="16.8">
      <c r="A909" s="159"/>
      <c r="B909" s="166" t="s">
        <v>998</v>
      </c>
      <c r="C909" s="165"/>
    </row>
    <row r="910" spans="1:3" ht="16.8">
      <c r="A910" s="159"/>
      <c r="B910" s="166" t="s">
        <v>999</v>
      </c>
      <c r="C910" s="165"/>
    </row>
    <row r="911" spans="1:3" ht="16.8">
      <c r="A911" s="159"/>
      <c r="B911" s="166" t="s">
        <v>1000</v>
      </c>
      <c r="C911" s="165"/>
    </row>
    <row r="912" spans="1:3" ht="16.8">
      <c r="A912" s="159"/>
      <c r="B912" s="166" t="s">
        <v>1001</v>
      </c>
      <c r="C912" s="165"/>
    </row>
    <row r="913" spans="1:3" ht="16.8">
      <c r="A913" s="159"/>
      <c r="B913" s="166" t="s">
        <v>1002</v>
      </c>
      <c r="C913" s="165"/>
    </row>
    <row r="914" spans="1:3" ht="16.8">
      <c r="A914" s="159"/>
      <c r="B914" s="166" t="s">
        <v>1003</v>
      </c>
      <c r="C914" s="165"/>
    </row>
    <row r="915" spans="1:3" ht="16.8">
      <c r="A915" s="159"/>
      <c r="B915" s="166" t="s">
        <v>1004</v>
      </c>
      <c r="C915" s="165"/>
    </row>
    <row r="916" spans="1:3" ht="16.8">
      <c r="A916" s="159"/>
      <c r="B916" s="166" t="s">
        <v>1005</v>
      </c>
      <c r="C916" s="165"/>
    </row>
    <row r="917" spans="1:3" ht="16.8">
      <c r="A917" s="159"/>
      <c r="B917" s="166" t="s">
        <v>1006</v>
      </c>
      <c r="C917" s="165"/>
    </row>
    <row r="918" spans="1:3" ht="16.8">
      <c r="A918" s="159"/>
      <c r="B918" s="166" t="s">
        <v>1007</v>
      </c>
      <c r="C918" s="165"/>
    </row>
    <row r="919" spans="1:3" ht="16.8">
      <c r="A919" s="159"/>
      <c r="B919" s="166" t="s">
        <v>1008</v>
      </c>
      <c r="C919" s="165"/>
    </row>
    <row r="920" spans="1:3" ht="16.8">
      <c r="A920" s="159"/>
      <c r="B920" s="166" t="s">
        <v>1009</v>
      </c>
      <c r="C920" s="165"/>
    </row>
    <row r="921" spans="1:3" ht="16.8">
      <c r="A921" s="159"/>
      <c r="B921" s="166" t="s">
        <v>1010</v>
      </c>
      <c r="C921" s="165"/>
    </row>
    <row r="922" spans="1:3" ht="16.8">
      <c r="A922" s="159"/>
      <c r="B922" s="166" t="s">
        <v>1011</v>
      </c>
      <c r="C922" s="165"/>
    </row>
    <row r="923" spans="1:3" ht="16.8">
      <c r="A923" s="159"/>
      <c r="B923" s="166" t="s">
        <v>1012</v>
      </c>
      <c r="C923" s="165"/>
    </row>
    <row r="924" spans="1:3" ht="16.8">
      <c r="A924" s="159"/>
      <c r="B924" s="166" t="s">
        <v>1013</v>
      </c>
      <c r="C924" s="165"/>
    </row>
    <row r="925" spans="1:3" ht="16.8">
      <c r="A925" s="159"/>
      <c r="B925" s="166" t="s">
        <v>1014</v>
      </c>
      <c r="C925" s="165"/>
    </row>
    <row r="926" spans="1:3" ht="16.8">
      <c r="A926" s="159"/>
      <c r="B926" s="166" t="s">
        <v>1015</v>
      </c>
      <c r="C926" s="165"/>
    </row>
    <row r="927" spans="1:3" ht="16.8">
      <c r="A927" s="159"/>
      <c r="B927" s="166" t="s">
        <v>1016</v>
      </c>
      <c r="C927" s="165"/>
    </row>
    <row r="928" spans="1:3" ht="16.8">
      <c r="A928" s="159"/>
      <c r="B928" s="166" t="s">
        <v>1017</v>
      </c>
      <c r="C928" s="165"/>
    </row>
    <row r="929" spans="1:3" ht="16.8">
      <c r="A929" s="159"/>
      <c r="B929" s="166" t="s">
        <v>1018</v>
      </c>
      <c r="C929" s="165"/>
    </row>
    <row r="930" spans="1:3" ht="16.8">
      <c r="A930" s="159"/>
      <c r="B930" s="166" t="s">
        <v>1019</v>
      </c>
      <c r="C930" s="165"/>
    </row>
    <row r="931" spans="1:3" ht="16.8">
      <c r="A931" s="159"/>
      <c r="B931" s="166" t="s">
        <v>1020</v>
      </c>
      <c r="C931" s="165"/>
    </row>
    <row r="932" spans="1:3" ht="16.8">
      <c r="A932" s="159"/>
      <c r="B932" s="166" t="s">
        <v>1021</v>
      </c>
      <c r="C932" s="165"/>
    </row>
    <row r="933" spans="1:3" ht="16.8">
      <c r="A933" s="159"/>
      <c r="B933" s="166" t="s">
        <v>1022</v>
      </c>
      <c r="C933" s="165"/>
    </row>
    <row r="934" spans="1:3" ht="16.8">
      <c r="A934" s="159"/>
      <c r="B934" s="166" t="s">
        <v>1023</v>
      </c>
      <c r="C934" s="165"/>
    </row>
    <row r="935" spans="1:3" ht="16.8">
      <c r="A935" s="159"/>
      <c r="B935" s="166" t="s">
        <v>1024</v>
      </c>
      <c r="C935" s="165"/>
    </row>
    <row r="936" spans="1:3" ht="16.8">
      <c r="A936" s="159"/>
      <c r="B936" s="166" t="s">
        <v>1025</v>
      </c>
      <c r="C936" s="165"/>
    </row>
    <row r="937" spans="1:3" ht="16.8">
      <c r="A937" s="159"/>
      <c r="B937" s="166" t="s">
        <v>1026</v>
      </c>
      <c r="C937" s="165"/>
    </row>
    <row r="938" spans="1:3" ht="16.8">
      <c r="A938" s="159"/>
      <c r="B938" s="166" t="s">
        <v>1027</v>
      </c>
      <c r="C938" s="165"/>
    </row>
    <row r="939" spans="1:3" ht="16.8">
      <c r="A939" s="159"/>
      <c r="B939" s="166" t="s">
        <v>1028</v>
      </c>
      <c r="C939" s="165"/>
    </row>
    <row r="940" spans="1:3" ht="16.8">
      <c r="A940" s="159"/>
      <c r="B940" s="166" t="s">
        <v>1029</v>
      </c>
      <c r="C940" s="165"/>
    </row>
    <row r="941" spans="1:3" ht="16.8">
      <c r="A941" s="159"/>
      <c r="B941" s="166" t="s">
        <v>1030</v>
      </c>
      <c r="C941" s="165"/>
    </row>
    <row r="942" spans="1:3" ht="16.8">
      <c r="A942" s="159"/>
      <c r="B942" s="166" t="s">
        <v>1031</v>
      </c>
      <c r="C942" s="165"/>
    </row>
    <row r="943" spans="1:3" ht="16.8">
      <c r="A943" s="159"/>
      <c r="B943" s="166" t="s">
        <v>1032</v>
      </c>
      <c r="C943" s="165"/>
    </row>
    <row r="944" spans="1:3" ht="16.8">
      <c r="A944" s="159"/>
      <c r="B944" s="166" t="s">
        <v>1033</v>
      </c>
      <c r="C944" s="165"/>
    </row>
    <row r="945" spans="1:3" ht="16.8">
      <c r="A945" s="159"/>
      <c r="B945" s="166" t="s">
        <v>1034</v>
      </c>
      <c r="C945" s="165"/>
    </row>
    <row r="946" spans="1:3" ht="16.8">
      <c r="A946" s="159"/>
      <c r="B946" s="166" t="s">
        <v>1035</v>
      </c>
      <c r="C946" s="165"/>
    </row>
    <row r="947" spans="1:3" ht="16.8">
      <c r="A947" s="159"/>
      <c r="B947" s="166" t="s">
        <v>1036</v>
      </c>
      <c r="C947" s="165"/>
    </row>
    <row r="948" spans="1:3" ht="16.8">
      <c r="A948" s="159"/>
      <c r="B948" s="166" t="s">
        <v>1037</v>
      </c>
      <c r="C948" s="165"/>
    </row>
    <row r="949" spans="1:3" ht="16.8">
      <c r="A949" s="159"/>
      <c r="B949" s="166" t="s">
        <v>1038</v>
      </c>
      <c r="C949" s="165"/>
    </row>
    <row r="950" spans="1:3" ht="16.8">
      <c r="A950" s="159"/>
      <c r="B950" s="166" t="s">
        <v>1039</v>
      </c>
      <c r="C950" s="165"/>
    </row>
    <row r="951" spans="1:3" ht="16.8">
      <c r="A951" s="159"/>
      <c r="B951" s="166" t="s">
        <v>1040</v>
      </c>
      <c r="C951" s="165"/>
    </row>
    <row r="952" spans="1:3" ht="16.8">
      <c r="A952" s="159"/>
      <c r="B952" s="166" t="s">
        <v>1041</v>
      </c>
      <c r="C952" s="165"/>
    </row>
    <row r="953" spans="1:3" ht="16.8">
      <c r="A953" s="159"/>
      <c r="B953" s="166" t="s">
        <v>1042</v>
      </c>
      <c r="C953" s="165"/>
    </row>
    <row r="954" spans="1:3" ht="16.8">
      <c r="A954" s="159"/>
      <c r="B954" s="166" t="s">
        <v>1043</v>
      </c>
      <c r="C954" s="165"/>
    </row>
    <row r="955" spans="1:3" ht="16.8">
      <c r="A955" s="159"/>
      <c r="B955" s="166" t="s">
        <v>1044</v>
      </c>
      <c r="C955" s="165"/>
    </row>
    <row r="956" spans="1:3" ht="16.8">
      <c r="A956" s="159"/>
      <c r="B956" s="166" t="s">
        <v>1045</v>
      </c>
      <c r="C956" s="165"/>
    </row>
    <row r="957" spans="1:3" ht="16.8">
      <c r="A957" s="159"/>
      <c r="B957" s="166" t="s">
        <v>1046</v>
      </c>
      <c r="C957" s="165"/>
    </row>
    <row r="958" spans="1:3" ht="16.8">
      <c r="A958" s="159"/>
      <c r="B958" s="166" t="s">
        <v>1047</v>
      </c>
      <c r="C958" s="165"/>
    </row>
    <row r="959" spans="1:3" ht="16.8">
      <c r="A959" s="159"/>
      <c r="B959" s="166" t="s">
        <v>1048</v>
      </c>
      <c r="C959" s="165"/>
    </row>
    <row r="960" spans="1:3" ht="16.8">
      <c r="A960" s="159"/>
      <c r="B960" s="166" t="s">
        <v>1049</v>
      </c>
      <c r="C960" s="165"/>
    </row>
    <row r="961" spans="1:3" ht="16.8">
      <c r="A961" s="159"/>
      <c r="B961" s="166" t="s">
        <v>1050</v>
      </c>
      <c r="C961" s="165"/>
    </row>
    <row r="962" spans="1:3" ht="16.8">
      <c r="A962" s="159"/>
      <c r="B962" s="166" t="s">
        <v>1051</v>
      </c>
      <c r="C962" s="165"/>
    </row>
    <row r="963" spans="1:3" ht="16.8">
      <c r="A963" s="159"/>
      <c r="B963" s="166" t="s">
        <v>1052</v>
      </c>
      <c r="C963" s="165"/>
    </row>
    <row r="964" spans="1:3" ht="16.8">
      <c r="A964" s="159"/>
      <c r="B964" s="166" t="s">
        <v>1053</v>
      </c>
      <c r="C964" s="165"/>
    </row>
    <row r="965" spans="1:3" ht="16.8">
      <c r="A965" s="159"/>
      <c r="B965" s="166" t="s">
        <v>1054</v>
      </c>
      <c r="C965" s="165"/>
    </row>
    <row r="966" spans="1:3" ht="16.8">
      <c r="A966" s="159"/>
      <c r="B966" s="166" t="s">
        <v>1055</v>
      </c>
      <c r="C966" s="165"/>
    </row>
    <row r="967" spans="1:3" ht="16.8">
      <c r="A967" s="159"/>
      <c r="B967" s="166" t="s">
        <v>1056</v>
      </c>
      <c r="C967" s="165"/>
    </row>
    <row r="968" spans="1:3" ht="16.8">
      <c r="A968" s="159"/>
      <c r="B968" s="166" t="s">
        <v>1057</v>
      </c>
      <c r="C968" s="165"/>
    </row>
    <row r="969" spans="1:3" ht="16.8">
      <c r="A969" s="159"/>
      <c r="B969" s="166" t="s">
        <v>1058</v>
      </c>
      <c r="C969" s="165"/>
    </row>
    <row r="970" spans="1:3" ht="16.8">
      <c r="A970" s="159"/>
      <c r="B970" s="166" t="s">
        <v>1059</v>
      </c>
      <c r="C970" s="165"/>
    </row>
    <row r="971" spans="1:3" ht="16.8">
      <c r="A971" s="159"/>
      <c r="B971" s="166" t="s">
        <v>1060</v>
      </c>
      <c r="C971" s="165"/>
    </row>
    <row r="972" spans="1:3" ht="16.8">
      <c r="A972" s="159"/>
      <c r="B972" s="166" t="s">
        <v>1061</v>
      </c>
      <c r="C972" s="165"/>
    </row>
    <row r="973" spans="1:3" ht="16.8">
      <c r="A973" s="159"/>
      <c r="B973" s="166" t="s">
        <v>1062</v>
      </c>
      <c r="C973" s="165"/>
    </row>
    <row r="974" spans="1:3" ht="16.8">
      <c r="A974" s="159"/>
      <c r="B974" s="166" t="s">
        <v>1063</v>
      </c>
      <c r="C974" s="165"/>
    </row>
    <row r="975" spans="1:3" ht="16.8">
      <c r="A975" s="159"/>
      <c r="B975" s="166" t="s">
        <v>1064</v>
      </c>
      <c r="C975" s="165"/>
    </row>
    <row r="976" spans="1:3" ht="16.8">
      <c r="A976" s="159"/>
      <c r="B976" s="166" t="s">
        <v>1065</v>
      </c>
      <c r="C976" s="165"/>
    </row>
    <row r="977" spans="1:3" ht="16.8">
      <c r="A977" s="159"/>
      <c r="B977" s="166" t="s">
        <v>1066</v>
      </c>
      <c r="C977" s="165"/>
    </row>
    <row r="978" spans="1:3" ht="16.8">
      <c r="A978" s="159"/>
      <c r="B978" s="166" t="s">
        <v>1067</v>
      </c>
      <c r="C978" s="165"/>
    </row>
    <row r="979" spans="1:3" ht="16.8">
      <c r="A979" s="159"/>
      <c r="B979" s="166" t="s">
        <v>1068</v>
      </c>
      <c r="C979" s="165"/>
    </row>
    <row r="980" spans="1:3" ht="16.8">
      <c r="A980" s="159"/>
      <c r="B980" s="166" t="s">
        <v>1069</v>
      </c>
      <c r="C980" s="165"/>
    </row>
    <row r="981" spans="1:3" ht="16.8">
      <c r="A981" s="159"/>
      <c r="B981" s="166" t="s">
        <v>1070</v>
      </c>
      <c r="C981" s="165"/>
    </row>
    <row r="982" spans="1:3" ht="16.8">
      <c r="A982" s="159"/>
      <c r="B982" s="166" t="s">
        <v>1071</v>
      </c>
      <c r="C982" s="165"/>
    </row>
    <row r="983" spans="1:3" ht="16.8">
      <c r="A983" s="159"/>
      <c r="B983" s="166" t="s">
        <v>1072</v>
      </c>
      <c r="C983" s="165"/>
    </row>
    <row r="984" spans="1:3" ht="16.8">
      <c r="A984" s="159"/>
      <c r="B984" s="166" t="s">
        <v>1073</v>
      </c>
      <c r="C984" s="165"/>
    </row>
    <row r="985" spans="1:3" ht="16.8">
      <c r="A985" s="159"/>
      <c r="B985" s="166" t="s">
        <v>1074</v>
      </c>
      <c r="C985" s="165"/>
    </row>
    <row r="986" spans="1:3" ht="16.8">
      <c r="A986" s="159"/>
      <c r="B986" s="166" t="s">
        <v>1075</v>
      </c>
      <c r="C986" s="165"/>
    </row>
    <row r="987" spans="1:3" ht="16.8">
      <c r="A987" s="159"/>
      <c r="B987" s="166" t="s">
        <v>1076</v>
      </c>
      <c r="C987" s="165"/>
    </row>
    <row r="988" spans="1:3" ht="16.8">
      <c r="A988" s="159"/>
      <c r="B988" s="166" t="s">
        <v>1077</v>
      </c>
      <c r="C988" s="165"/>
    </row>
    <row r="989" spans="1:3" ht="16.8">
      <c r="A989" s="159"/>
      <c r="B989" s="166" t="s">
        <v>1078</v>
      </c>
      <c r="C989" s="165"/>
    </row>
    <row r="990" spans="1:3" ht="16.8">
      <c r="A990" s="159"/>
      <c r="B990" s="166" t="s">
        <v>1079</v>
      </c>
      <c r="C990" s="165"/>
    </row>
    <row r="991" spans="1:3" ht="16.8">
      <c r="A991" s="159"/>
      <c r="B991" s="166" t="s">
        <v>1080</v>
      </c>
      <c r="C991" s="165"/>
    </row>
    <row r="992" spans="1:3" ht="16.8">
      <c r="A992" s="159"/>
      <c r="B992" s="166" t="s">
        <v>1081</v>
      </c>
      <c r="C992" s="165"/>
    </row>
    <row r="993" spans="1:3" ht="16.8">
      <c r="A993" s="159"/>
      <c r="B993" s="166" t="s">
        <v>1082</v>
      </c>
      <c r="C993" s="165"/>
    </row>
    <row r="994" spans="1:3" ht="16.8">
      <c r="A994" s="159"/>
      <c r="B994" s="166" t="s">
        <v>1083</v>
      </c>
      <c r="C994" s="165"/>
    </row>
    <row r="995" spans="1:3" ht="16.8">
      <c r="A995" s="159"/>
      <c r="B995" s="166" t="s">
        <v>1084</v>
      </c>
      <c r="C995" s="165"/>
    </row>
    <row r="996" spans="1:3" ht="16.8">
      <c r="A996" s="159"/>
      <c r="B996" s="166" t="s">
        <v>1085</v>
      </c>
      <c r="C996" s="165"/>
    </row>
    <row r="997" spans="1:3" ht="16.8">
      <c r="A997" s="159"/>
      <c r="B997" s="166" t="s">
        <v>1086</v>
      </c>
      <c r="C997" s="165"/>
    </row>
    <row r="998" spans="1:3" ht="16.8">
      <c r="A998" s="159"/>
      <c r="B998" s="166" t="s">
        <v>1087</v>
      </c>
      <c r="C998" s="165"/>
    </row>
    <row r="999" spans="1:3" ht="16.8">
      <c r="A999" s="159"/>
      <c r="B999" s="166" t="s">
        <v>1088</v>
      </c>
      <c r="C999" s="165"/>
    </row>
    <row r="1000" spans="1:3" ht="16.8">
      <c r="A1000" s="159"/>
      <c r="B1000" s="166" t="s">
        <v>1089</v>
      </c>
      <c r="C1000" s="165"/>
    </row>
    <row r="1001" spans="1:3" ht="16.8">
      <c r="A1001" s="159"/>
      <c r="B1001" s="166" t="s">
        <v>1090</v>
      </c>
      <c r="C1001" s="165"/>
    </row>
    <row r="1002" spans="1:3" ht="16.8">
      <c r="A1002" s="159"/>
      <c r="B1002" s="166" t="s">
        <v>1091</v>
      </c>
      <c r="C1002" s="165"/>
    </row>
    <row r="1003" spans="1:3" ht="16.8">
      <c r="A1003" s="159"/>
      <c r="B1003" s="166" t="s">
        <v>1092</v>
      </c>
      <c r="C1003" s="165"/>
    </row>
    <row r="1004" spans="1:3" ht="16.8">
      <c r="A1004" s="159"/>
      <c r="B1004" s="166" t="s">
        <v>1093</v>
      </c>
      <c r="C1004" s="165"/>
    </row>
    <row r="1005" spans="1:3" ht="16.8">
      <c r="A1005" s="159"/>
      <c r="B1005" s="166" t="s">
        <v>1094</v>
      </c>
      <c r="C1005" s="165"/>
    </row>
    <row r="1006" spans="1:3" ht="16.8">
      <c r="A1006" s="159"/>
      <c r="B1006" s="166" t="s">
        <v>1095</v>
      </c>
      <c r="C1006" s="165"/>
    </row>
    <row r="1007" spans="1:3" ht="16.8">
      <c r="A1007" s="159"/>
      <c r="B1007" s="166" t="s">
        <v>1096</v>
      </c>
      <c r="C1007" s="165"/>
    </row>
    <row r="1008" spans="1:3" ht="16.8">
      <c r="A1008" s="159"/>
      <c r="B1008" s="166" t="s">
        <v>1097</v>
      </c>
      <c r="C1008" s="165"/>
    </row>
    <row r="1009" spans="1:3" ht="16.8">
      <c r="A1009" s="159"/>
      <c r="B1009" s="166" t="s">
        <v>1098</v>
      </c>
      <c r="C1009" s="165"/>
    </row>
    <row r="1010" spans="1:3" ht="16.8">
      <c r="A1010" s="159"/>
      <c r="B1010" s="166" t="s">
        <v>1099</v>
      </c>
      <c r="C1010" s="165"/>
    </row>
    <row r="1011" spans="1:3" ht="16.8">
      <c r="A1011" s="159"/>
      <c r="B1011" s="166" t="s">
        <v>1100</v>
      </c>
      <c r="C1011" s="165"/>
    </row>
    <row r="1012" spans="1:3" ht="16.8">
      <c r="A1012" s="159"/>
      <c r="B1012" s="166" t="s">
        <v>1101</v>
      </c>
      <c r="C1012" s="165"/>
    </row>
    <row r="1013" spans="1:3" ht="16.8">
      <c r="A1013" s="159"/>
      <c r="B1013" s="166" t="s">
        <v>1102</v>
      </c>
      <c r="C1013" s="165"/>
    </row>
    <row r="1014" spans="1:3" ht="16.8">
      <c r="A1014" s="159"/>
      <c r="B1014" s="166" t="s">
        <v>1103</v>
      </c>
      <c r="C1014" s="165"/>
    </row>
    <row r="1015" spans="1:3" ht="16.8">
      <c r="A1015" s="159"/>
      <c r="B1015" s="166" t="s">
        <v>1104</v>
      </c>
      <c r="C1015" s="165"/>
    </row>
    <row r="1016" spans="1:3" ht="16.8">
      <c r="A1016" s="159"/>
      <c r="B1016" s="166" t="s">
        <v>1105</v>
      </c>
      <c r="C1016" s="165"/>
    </row>
    <row r="1017" spans="1:3" ht="16.8">
      <c r="A1017" s="159"/>
      <c r="B1017" s="166" t="s">
        <v>1106</v>
      </c>
      <c r="C1017" s="165"/>
    </row>
    <row r="1018" spans="1:3" ht="17.399999999999999">
      <c r="A1018" s="159"/>
      <c r="B1018" s="170" t="s">
        <v>1107</v>
      </c>
      <c r="C1018" s="165"/>
    </row>
    <row r="1019" spans="1:3" ht="17.399999999999999">
      <c r="A1019" s="159"/>
      <c r="B1019" s="170" t="s">
        <v>1108</v>
      </c>
      <c r="C1019" s="165"/>
    </row>
    <row r="1020" spans="1:3" ht="17.399999999999999">
      <c r="A1020" s="159"/>
      <c r="B1020" s="170" t="s">
        <v>1109</v>
      </c>
      <c r="C1020" s="165"/>
    </row>
    <row r="1021" spans="1:3" ht="17.399999999999999">
      <c r="A1021" s="159"/>
      <c r="B1021" s="170" t="s">
        <v>1110</v>
      </c>
      <c r="C1021" s="165"/>
    </row>
    <row r="1022" spans="1:3" ht="17.399999999999999">
      <c r="A1022" s="159"/>
      <c r="B1022" s="170" t="s">
        <v>1111</v>
      </c>
      <c r="C1022" s="165"/>
    </row>
    <row r="1023" spans="1:3" ht="17.399999999999999">
      <c r="A1023" s="159"/>
      <c r="B1023" s="170" t="s">
        <v>1112</v>
      </c>
      <c r="C1023" s="165"/>
    </row>
    <row r="1024" spans="1:3" ht="17.399999999999999">
      <c r="A1024" s="159"/>
      <c r="B1024" s="170" t="s">
        <v>1113</v>
      </c>
      <c r="C1024" s="165"/>
    </row>
    <row r="1025" spans="1:3" ht="17.399999999999999">
      <c r="A1025" s="159"/>
      <c r="B1025" s="170" t="s">
        <v>1114</v>
      </c>
      <c r="C1025" s="165"/>
    </row>
    <row r="1026" spans="1:3" ht="17.399999999999999">
      <c r="A1026" s="159"/>
      <c r="B1026" s="170" t="s">
        <v>1115</v>
      </c>
      <c r="C1026" s="165"/>
    </row>
    <row r="1027" spans="1:3" ht="17.399999999999999">
      <c r="A1027" s="159"/>
      <c r="B1027" s="170" t="s">
        <v>1116</v>
      </c>
      <c r="C1027" s="165"/>
    </row>
    <row r="1028" spans="1:3" ht="17.399999999999999">
      <c r="A1028" s="159"/>
      <c r="B1028" s="170" t="s">
        <v>1117</v>
      </c>
      <c r="C1028" s="165"/>
    </row>
    <row r="1029" spans="1:3" ht="17.399999999999999">
      <c r="A1029" s="159"/>
      <c r="B1029" s="170" t="s">
        <v>1118</v>
      </c>
      <c r="C1029" s="165"/>
    </row>
    <row r="1030" spans="1:3" ht="17.399999999999999">
      <c r="A1030" s="159"/>
      <c r="B1030" s="170" t="s">
        <v>1119</v>
      </c>
      <c r="C1030" s="165"/>
    </row>
    <row r="1031" spans="1:3" ht="17.399999999999999">
      <c r="A1031" s="159"/>
      <c r="B1031" s="170" t="s">
        <v>1120</v>
      </c>
      <c r="C1031" s="165"/>
    </row>
    <row r="1032" spans="1:3" ht="17.399999999999999">
      <c r="A1032" s="159"/>
      <c r="B1032" s="170" t="s">
        <v>1121</v>
      </c>
      <c r="C1032" s="165"/>
    </row>
    <row r="1033" spans="1:3" ht="17.399999999999999">
      <c r="A1033" s="159"/>
      <c r="B1033" s="170" t="s">
        <v>1122</v>
      </c>
      <c r="C1033" s="165"/>
    </row>
    <row r="1034" spans="1:3" ht="17.399999999999999">
      <c r="A1034" s="159"/>
      <c r="B1034" s="170" t="s">
        <v>1123</v>
      </c>
      <c r="C1034" s="165"/>
    </row>
    <row r="1035" spans="1:3" ht="17.399999999999999">
      <c r="A1035" s="159"/>
      <c r="B1035" s="170" t="s">
        <v>1124</v>
      </c>
      <c r="C1035" s="165"/>
    </row>
    <row r="1036" spans="1:3" ht="17.399999999999999">
      <c r="A1036" s="159"/>
      <c r="B1036" s="170" t="s">
        <v>1125</v>
      </c>
      <c r="C1036" s="165"/>
    </row>
    <row r="1037" spans="1:3" ht="17.399999999999999">
      <c r="A1037" s="159"/>
      <c r="B1037" s="170" t="s">
        <v>1126</v>
      </c>
      <c r="C1037" s="165"/>
    </row>
    <row r="1038" spans="1:3" ht="17.399999999999999">
      <c r="A1038" s="159"/>
      <c r="B1038" s="170" t="s">
        <v>1127</v>
      </c>
      <c r="C1038" s="165"/>
    </row>
    <row r="1039" spans="1:3" ht="17.399999999999999">
      <c r="A1039" s="159"/>
      <c r="B1039" s="170" t="s">
        <v>1128</v>
      </c>
      <c r="C1039" s="165"/>
    </row>
    <row r="1040" spans="1:3" ht="17.399999999999999">
      <c r="A1040" s="159"/>
      <c r="B1040" s="170" t="s">
        <v>1129</v>
      </c>
      <c r="C1040" s="165"/>
    </row>
    <row r="1041" spans="1:3" ht="17.399999999999999">
      <c r="A1041" s="159"/>
      <c r="B1041" s="170" t="s">
        <v>1130</v>
      </c>
      <c r="C1041" s="165"/>
    </row>
    <row r="1042" spans="1:3" ht="17.399999999999999">
      <c r="A1042" s="159"/>
      <c r="B1042" s="170" t="s">
        <v>1131</v>
      </c>
      <c r="C1042" s="165"/>
    </row>
    <row r="1043" spans="1:3" ht="17.399999999999999">
      <c r="A1043" s="159"/>
      <c r="B1043" s="170" t="s">
        <v>1132</v>
      </c>
      <c r="C1043" s="165"/>
    </row>
    <row r="1044" spans="1:3" ht="17.399999999999999">
      <c r="A1044" s="159"/>
      <c r="B1044" s="170" t="s">
        <v>1133</v>
      </c>
      <c r="C1044" s="165"/>
    </row>
    <row r="1045" spans="1:3" ht="17.399999999999999">
      <c r="A1045" s="159"/>
      <c r="B1045" s="170" t="s">
        <v>1134</v>
      </c>
      <c r="C1045" s="165"/>
    </row>
    <row r="1046" spans="1:3" ht="17.399999999999999">
      <c r="A1046" s="159"/>
      <c r="B1046" s="170" t="s">
        <v>1135</v>
      </c>
      <c r="C1046" s="165"/>
    </row>
    <row r="1047" spans="1:3" ht="17.399999999999999">
      <c r="A1047" s="159"/>
      <c r="B1047" s="170" t="s">
        <v>1136</v>
      </c>
      <c r="C1047" s="165"/>
    </row>
    <row r="1048" spans="1:3" ht="17.399999999999999">
      <c r="A1048" s="159"/>
      <c r="B1048" s="170" t="s">
        <v>1137</v>
      </c>
      <c r="C1048" s="165"/>
    </row>
    <row r="1049" spans="1:3" ht="17.399999999999999">
      <c r="A1049" s="159"/>
      <c r="B1049" s="170" t="s">
        <v>1138</v>
      </c>
      <c r="C1049" s="165"/>
    </row>
    <row r="1050" spans="1:3" ht="17.399999999999999">
      <c r="A1050" s="159"/>
      <c r="B1050" s="170" t="s">
        <v>1139</v>
      </c>
      <c r="C1050" s="165"/>
    </row>
    <row r="1051" spans="1:3" ht="17.399999999999999">
      <c r="A1051" s="159"/>
      <c r="B1051" s="170" t="s">
        <v>1140</v>
      </c>
      <c r="C1051" s="165"/>
    </row>
    <row r="1052" spans="1:3" ht="17.399999999999999">
      <c r="A1052" s="159"/>
      <c r="B1052" s="170" t="s">
        <v>1141</v>
      </c>
      <c r="C1052" s="165"/>
    </row>
    <row r="1053" spans="1:3" ht="17.399999999999999">
      <c r="A1053" s="159"/>
      <c r="B1053" s="170" t="s">
        <v>1142</v>
      </c>
      <c r="C1053" s="165"/>
    </row>
    <row r="1054" spans="1:3" ht="17.399999999999999">
      <c r="A1054" s="159"/>
      <c r="B1054" s="170" t="s">
        <v>1143</v>
      </c>
      <c r="C1054" s="165"/>
    </row>
    <row r="1055" spans="1:3" ht="17.399999999999999">
      <c r="A1055" s="159"/>
      <c r="B1055" s="170" t="s">
        <v>1144</v>
      </c>
      <c r="C1055" s="165"/>
    </row>
    <row r="1056" spans="1:3" ht="17.399999999999999">
      <c r="A1056" s="159"/>
      <c r="B1056" s="170" t="s">
        <v>1145</v>
      </c>
      <c r="C1056" s="165"/>
    </row>
    <row r="1057" spans="1:3" ht="17.399999999999999">
      <c r="A1057" s="159"/>
      <c r="B1057" s="170" t="s">
        <v>1146</v>
      </c>
      <c r="C1057" s="165"/>
    </row>
    <row r="1058" spans="1:3" ht="17.399999999999999">
      <c r="A1058" s="159"/>
      <c r="B1058" s="170" t="s">
        <v>1147</v>
      </c>
      <c r="C1058" s="165"/>
    </row>
    <row r="1059" spans="1:3" ht="17.399999999999999">
      <c r="A1059" s="159"/>
      <c r="B1059" s="170" t="s">
        <v>1148</v>
      </c>
      <c r="C1059" s="165"/>
    </row>
    <row r="1060" spans="1:3" ht="17.399999999999999">
      <c r="A1060" s="159"/>
      <c r="B1060" s="170" t="s">
        <v>1149</v>
      </c>
      <c r="C1060" s="165"/>
    </row>
    <row r="1061" spans="1:3" ht="17.399999999999999">
      <c r="A1061" s="159"/>
      <c r="B1061" s="170" t="s">
        <v>1150</v>
      </c>
      <c r="C1061" s="165"/>
    </row>
    <row r="1062" spans="1:3" ht="17.399999999999999">
      <c r="A1062" s="159"/>
      <c r="B1062" s="170" t="s">
        <v>1151</v>
      </c>
      <c r="C1062" s="165"/>
    </row>
    <row r="1063" spans="1:3" ht="17.399999999999999">
      <c r="A1063" s="159"/>
      <c r="B1063" s="170" t="s">
        <v>1152</v>
      </c>
      <c r="C1063" s="165"/>
    </row>
    <row r="1064" spans="1:3" ht="17.399999999999999">
      <c r="A1064" s="159"/>
      <c r="B1064" s="170" t="s">
        <v>1153</v>
      </c>
      <c r="C1064" s="165"/>
    </row>
    <row r="1065" spans="1:3" ht="17.399999999999999">
      <c r="A1065" s="159"/>
      <c r="B1065" s="170" t="s">
        <v>1154</v>
      </c>
      <c r="C1065" s="165"/>
    </row>
    <row r="1066" spans="1:3" ht="17.399999999999999">
      <c r="A1066" s="159"/>
      <c r="B1066" s="170" t="s">
        <v>1155</v>
      </c>
      <c r="C1066" s="165"/>
    </row>
    <row r="1067" spans="1:3" ht="17.399999999999999">
      <c r="A1067" s="159"/>
      <c r="B1067" s="170" t="s">
        <v>1156</v>
      </c>
      <c r="C1067" s="165"/>
    </row>
    <row r="1068" spans="1:3" ht="17.399999999999999">
      <c r="A1068" s="159"/>
      <c r="B1068" s="170" t="s">
        <v>1157</v>
      </c>
      <c r="C1068" s="165"/>
    </row>
    <row r="1069" spans="1:3" ht="17.399999999999999">
      <c r="A1069" s="159"/>
      <c r="B1069" s="170" t="s">
        <v>1158</v>
      </c>
      <c r="C1069" s="165"/>
    </row>
    <row r="1070" spans="1:3" ht="17.399999999999999">
      <c r="A1070" s="159"/>
      <c r="B1070" s="170" t="s">
        <v>1159</v>
      </c>
      <c r="C1070" s="165"/>
    </row>
    <row r="1071" spans="1:3" ht="17.399999999999999">
      <c r="A1071" s="159"/>
      <c r="B1071" s="170" t="s">
        <v>1160</v>
      </c>
      <c r="C1071" s="165"/>
    </row>
    <row r="1072" spans="1:3" ht="17.399999999999999">
      <c r="A1072" s="159"/>
      <c r="B1072" s="170" t="s">
        <v>1161</v>
      </c>
      <c r="C1072" s="165"/>
    </row>
    <row r="1073" spans="1:3" ht="17.399999999999999">
      <c r="A1073" s="159"/>
      <c r="B1073" s="170" t="s">
        <v>1162</v>
      </c>
      <c r="C1073" s="165"/>
    </row>
    <row r="1074" spans="1:3" ht="17.399999999999999">
      <c r="A1074" s="159"/>
      <c r="B1074" s="170" t="s">
        <v>1163</v>
      </c>
      <c r="C1074" s="165"/>
    </row>
    <row r="1075" spans="1:3" ht="17.399999999999999">
      <c r="A1075" s="159"/>
      <c r="B1075" s="170" t="s">
        <v>1164</v>
      </c>
      <c r="C1075" s="165"/>
    </row>
    <row r="1076" spans="1:3" ht="17.399999999999999">
      <c r="A1076" s="159"/>
      <c r="B1076" s="170" t="s">
        <v>1165</v>
      </c>
      <c r="C1076" s="165"/>
    </row>
    <row r="1077" spans="1:3" ht="17.399999999999999">
      <c r="A1077" s="159"/>
      <c r="B1077" s="170" t="s">
        <v>1166</v>
      </c>
      <c r="C1077" s="165"/>
    </row>
    <row r="1078" spans="1:3" ht="17.399999999999999">
      <c r="A1078" s="159"/>
      <c r="B1078" s="170" t="s">
        <v>1167</v>
      </c>
      <c r="C1078" s="165"/>
    </row>
    <row r="1079" spans="1:3" ht="17.399999999999999">
      <c r="A1079" s="159"/>
      <c r="B1079" s="170" t="s">
        <v>1168</v>
      </c>
      <c r="C1079" s="165"/>
    </row>
    <row r="1080" spans="1:3" ht="17.399999999999999">
      <c r="A1080" s="159"/>
      <c r="B1080" s="170" t="s">
        <v>1169</v>
      </c>
      <c r="C1080" s="165"/>
    </row>
    <row r="1081" spans="1:3" ht="17.399999999999999">
      <c r="A1081" s="159"/>
      <c r="B1081" s="170" t="s">
        <v>1170</v>
      </c>
      <c r="C1081" s="165"/>
    </row>
    <row r="1082" spans="1:3" ht="17.399999999999999">
      <c r="A1082" s="159"/>
      <c r="B1082" s="170" t="s">
        <v>1171</v>
      </c>
      <c r="C1082" s="165"/>
    </row>
    <row r="1083" spans="1:3" ht="17.399999999999999">
      <c r="A1083" s="159"/>
      <c r="B1083" s="170" t="s">
        <v>1172</v>
      </c>
      <c r="C1083" s="165"/>
    </row>
    <row r="1084" spans="1:3" ht="17.399999999999999">
      <c r="A1084" s="159"/>
      <c r="B1084" s="170" t="s">
        <v>1173</v>
      </c>
      <c r="C1084" s="165"/>
    </row>
    <row r="1085" spans="1:3" ht="17.399999999999999">
      <c r="A1085" s="159"/>
      <c r="B1085" s="170" t="s">
        <v>1174</v>
      </c>
      <c r="C1085" s="165"/>
    </row>
    <row r="1086" spans="1:3" ht="17.399999999999999">
      <c r="A1086" s="159"/>
      <c r="B1086" s="170" t="s">
        <v>1175</v>
      </c>
      <c r="C1086" s="165"/>
    </row>
    <row r="1087" spans="1:3" ht="17.399999999999999">
      <c r="A1087" s="159"/>
      <c r="B1087" s="170" t="s">
        <v>1176</v>
      </c>
      <c r="C1087" s="165"/>
    </row>
    <row r="1088" spans="1:3" ht="17.399999999999999">
      <c r="A1088" s="159"/>
      <c r="B1088" s="170" t="s">
        <v>1177</v>
      </c>
      <c r="C1088" s="165"/>
    </row>
    <row r="1089" spans="1:3" ht="17.399999999999999">
      <c r="A1089" s="159"/>
      <c r="B1089" s="170" t="s">
        <v>1178</v>
      </c>
      <c r="C1089" s="165"/>
    </row>
    <row r="1090" spans="1:3" ht="17.399999999999999">
      <c r="A1090" s="159"/>
      <c r="B1090" s="170" t="s">
        <v>1179</v>
      </c>
      <c r="C1090" s="165"/>
    </row>
    <row r="1091" spans="1:3" ht="17.399999999999999">
      <c r="A1091" s="159"/>
      <c r="B1091" s="170" t="s">
        <v>1180</v>
      </c>
      <c r="C1091" s="165"/>
    </row>
    <row r="1092" spans="1:3" ht="17.399999999999999">
      <c r="A1092" s="159"/>
      <c r="B1092" s="170" t="s">
        <v>1181</v>
      </c>
      <c r="C1092" s="165"/>
    </row>
    <row r="1093" spans="1:3" ht="17.399999999999999">
      <c r="A1093" s="159"/>
      <c r="B1093" s="170" t="s">
        <v>1182</v>
      </c>
      <c r="C1093" s="165"/>
    </row>
    <row r="1094" spans="1:3" ht="17.399999999999999">
      <c r="A1094" s="159"/>
      <c r="B1094" s="170" t="s">
        <v>1183</v>
      </c>
      <c r="C1094" s="165"/>
    </row>
    <row r="1095" spans="1:3" ht="17.399999999999999">
      <c r="A1095" s="159"/>
      <c r="B1095" s="170" t="s">
        <v>1184</v>
      </c>
      <c r="C1095" s="165"/>
    </row>
    <row r="1096" spans="1:3" ht="17.399999999999999">
      <c r="A1096" s="159"/>
      <c r="B1096" s="170" t="s">
        <v>1185</v>
      </c>
      <c r="C1096" s="165"/>
    </row>
    <row r="1097" spans="1:3" ht="17.399999999999999">
      <c r="A1097" s="159"/>
      <c r="B1097" s="170" t="s">
        <v>1186</v>
      </c>
      <c r="C1097" s="165"/>
    </row>
    <row r="1098" spans="1:3" ht="17.399999999999999">
      <c r="A1098" s="159"/>
      <c r="B1098" s="170" t="s">
        <v>1187</v>
      </c>
      <c r="C1098" s="165"/>
    </row>
    <row r="1099" spans="1:3" ht="17.399999999999999">
      <c r="A1099" s="159"/>
      <c r="B1099" s="170" t="s">
        <v>1188</v>
      </c>
      <c r="C1099" s="165"/>
    </row>
    <row r="1100" spans="1:3" ht="17.399999999999999">
      <c r="A1100" s="159"/>
      <c r="B1100" s="170" t="s">
        <v>1189</v>
      </c>
      <c r="C1100" s="165"/>
    </row>
    <row r="1101" spans="1:3" ht="17.399999999999999">
      <c r="A1101" s="159"/>
      <c r="B1101" s="170" t="s">
        <v>1190</v>
      </c>
      <c r="C1101" s="165"/>
    </row>
    <row r="1102" spans="1:3" ht="17.399999999999999">
      <c r="A1102" s="159"/>
      <c r="B1102" s="170" t="s">
        <v>1191</v>
      </c>
      <c r="C1102" s="165"/>
    </row>
    <row r="1103" spans="1:3" ht="17.399999999999999">
      <c r="A1103" s="159"/>
      <c r="B1103" s="170" t="s">
        <v>1192</v>
      </c>
      <c r="C1103" s="165"/>
    </row>
    <row r="1104" spans="1:3" ht="17.399999999999999">
      <c r="A1104" s="159"/>
      <c r="B1104" s="170" t="s">
        <v>1193</v>
      </c>
      <c r="C1104" s="165"/>
    </row>
    <row r="1105" spans="1:3" ht="17.399999999999999">
      <c r="A1105" s="159"/>
      <c r="B1105" s="170" t="s">
        <v>1194</v>
      </c>
      <c r="C1105" s="165"/>
    </row>
    <row r="1106" spans="1:3" ht="17.399999999999999">
      <c r="A1106" s="159"/>
      <c r="B1106" s="170" t="s">
        <v>1195</v>
      </c>
      <c r="C1106" s="165"/>
    </row>
    <row r="1107" spans="1:3" ht="17.399999999999999">
      <c r="A1107" s="159"/>
      <c r="B1107" s="170" t="s">
        <v>1196</v>
      </c>
      <c r="C1107" s="165"/>
    </row>
    <row r="1108" spans="1:3" ht="17.399999999999999">
      <c r="A1108" s="159"/>
      <c r="B1108" s="170" t="s">
        <v>1197</v>
      </c>
      <c r="C1108" s="165"/>
    </row>
    <row r="1109" spans="1:3" ht="17.399999999999999">
      <c r="A1109" s="159"/>
      <c r="B1109" s="170" t="s">
        <v>1198</v>
      </c>
      <c r="C1109" s="165"/>
    </row>
    <row r="1110" spans="1:3" ht="17.399999999999999">
      <c r="A1110" s="159"/>
      <c r="B1110" s="170" t="s">
        <v>1199</v>
      </c>
      <c r="C1110" s="165"/>
    </row>
    <row r="1111" spans="1:3" ht="17.399999999999999">
      <c r="A1111" s="159"/>
      <c r="B1111" s="170" t="s">
        <v>1200</v>
      </c>
      <c r="C1111" s="165"/>
    </row>
    <row r="1112" spans="1:3" ht="17.399999999999999">
      <c r="A1112" s="159"/>
      <c r="B1112" s="170" t="s">
        <v>1201</v>
      </c>
      <c r="C1112" s="165"/>
    </row>
    <row r="1113" spans="1:3" ht="17.399999999999999">
      <c r="A1113" s="159"/>
      <c r="B1113" s="170" t="s">
        <v>1202</v>
      </c>
      <c r="C1113" s="165"/>
    </row>
    <row r="1114" spans="1:3" ht="17.399999999999999">
      <c r="A1114" s="159"/>
      <c r="B1114" s="170" t="s">
        <v>1203</v>
      </c>
      <c r="C1114" s="165"/>
    </row>
    <row r="1115" spans="1:3" ht="17.399999999999999">
      <c r="A1115" s="159"/>
      <c r="B1115" s="170" t="s">
        <v>1204</v>
      </c>
      <c r="C1115" s="165"/>
    </row>
    <row r="1116" spans="1:3" ht="17.399999999999999">
      <c r="A1116" s="159"/>
      <c r="B1116" s="170" t="s">
        <v>1205</v>
      </c>
      <c r="C1116" s="165"/>
    </row>
    <row r="1117" spans="1:3" ht="17.399999999999999">
      <c r="A1117" s="159"/>
      <c r="B1117" s="170" t="s">
        <v>1206</v>
      </c>
      <c r="C1117" s="165"/>
    </row>
    <row r="1118" spans="1:3" ht="17.399999999999999">
      <c r="A1118" s="159"/>
      <c r="B1118" s="170" t="s">
        <v>1207</v>
      </c>
      <c r="C1118" s="165"/>
    </row>
    <row r="1119" spans="1:3" ht="17.399999999999999">
      <c r="A1119" s="159"/>
      <c r="B1119" s="170" t="s">
        <v>1208</v>
      </c>
      <c r="C1119" s="165"/>
    </row>
    <row r="1120" spans="1:3" ht="17.399999999999999">
      <c r="A1120" s="159"/>
      <c r="B1120" s="170" t="s">
        <v>1209</v>
      </c>
      <c r="C1120" s="165"/>
    </row>
    <row r="1121" spans="1:3" ht="17.399999999999999">
      <c r="A1121" s="159"/>
      <c r="B1121" s="170" t="s">
        <v>1210</v>
      </c>
      <c r="C1121" s="165"/>
    </row>
    <row r="1122" spans="1:3" ht="17.399999999999999">
      <c r="A1122" s="159"/>
      <c r="B1122" s="170" t="s">
        <v>1211</v>
      </c>
      <c r="C1122" s="165"/>
    </row>
    <row r="1123" spans="1:3" ht="17.399999999999999">
      <c r="A1123" s="159"/>
      <c r="B1123" s="170" t="s">
        <v>1212</v>
      </c>
      <c r="C1123" s="165"/>
    </row>
    <row r="1124" spans="1:3" ht="17.399999999999999">
      <c r="A1124" s="159"/>
      <c r="B1124" s="170" t="s">
        <v>1213</v>
      </c>
      <c r="C1124" s="165"/>
    </row>
    <row r="1125" spans="1:3" ht="17.399999999999999">
      <c r="A1125" s="159"/>
      <c r="B1125" s="170" t="s">
        <v>1214</v>
      </c>
      <c r="C1125" s="165"/>
    </row>
    <row r="1126" spans="1:3" ht="17.399999999999999">
      <c r="A1126" s="159"/>
      <c r="B1126" s="170" t="s">
        <v>1215</v>
      </c>
      <c r="C1126" s="165"/>
    </row>
    <row r="1127" spans="1:3" ht="17.399999999999999">
      <c r="A1127" s="159"/>
      <c r="B1127" s="170" t="s">
        <v>1216</v>
      </c>
      <c r="C1127" s="165"/>
    </row>
    <row r="1128" spans="1:3" ht="17.399999999999999">
      <c r="A1128" s="159"/>
      <c r="B1128" s="170" t="s">
        <v>1217</v>
      </c>
      <c r="C1128" s="165"/>
    </row>
    <row r="1129" spans="1:3" ht="17.399999999999999">
      <c r="A1129" s="159"/>
      <c r="B1129" s="170" t="s">
        <v>1218</v>
      </c>
      <c r="C1129" s="165"/>
    </row>
    <row r="1130" spans="1:3" ht="17.399999999999999">
      <c r="A1130" s="159"/>
      <c r="B1130" s="170" t="s">
        <v>1219</v>
      </c>
      <c r="C1130" s="165"/>
    </row>
    <row r="1131" spans="1:3" ht="17.399999999999999">
      <c r="A1131" s="159"/>
      <c r="B1131" s="170" t="s">
        <v>1220</v>
      </c>
      <c r="C1131" s="165"/>
    </row>
    <row r="1132" spans="1:3" ht="17.399999999999999">
      <c r="A1132" s="159"/>
      <c r="B1132" s="170" t="s">
        <v>1221</v>
      </c>
      <c r="C1132" s="165"/>
    </row>
    <row r="1133" spans="1:3" ht="17.399999999999999">
      <c r="A1133" s="159"/>
      <c r="B1133" s="170" t="s">
        <v>1222</v>
      </c>
      <c r="C1133" s="165"/>
    </row>
    <row r="1134" spans="1:3" ht="17.399999999999999">
      <c r="A1134" s="159"/>
      <c r="B1134" s="170" t="s">
        <v>1223</v>
      </c>
      <c r="C1134" s="165"/>
    </row>
    <row r="1135" spans="1:3" ht="17.399999999999999">
      <c r="A1135" s="159"/>
      <c r="B1135" s="170" t="s">
        <v>1224</v>
      </c>
      <c r="C1135" s="165"/>
    </row>
    <row r="1136" spans="1:3" ht="17.399999999999999">
      <c r="A1136" s="159"/>
      <c r="B1136" s="170" t="s">
        <v>1225</v>
      </c>
      <c r="C1136" s="165"/>
    </row>
    <row r="1137" spans="1:3" ht="17.399999999999999">
      <c r="A1137" s="159"/>
      <c r="B1137" s="170" t="s">
        <v>1226</v>
      </c>
      <c r="C1137" s="165"/>
    </row>
    <row r="1138" spans="1:3" ht="17.399999999999999">
      <c r="A1138" s="159"/>
      <c r="B1138" s="170" t="s">
        <v>1227</v>
      </c>
      <c r="C1138" s="165"/>
    </row>
    <row r="1139" spans="1:3" ht="17.399999999999999">
      <c r="A1139" s="159"/>
      <c r="B1139" s="170" t="s">
        <v>1228</v>
      </c>
      <c r="C1139" s="165"/>
    </row>
    <row r="1140" spans="1:3" ht="17.399999999999999">
      <c r="A1140" s="159"/>
      <c r="B1140" s="170" t="s">
        <v>1229</v>
      </c>
      <c r="C1140" s="165"/>
    </row>
    <row r="1141" spans="1:3" ht="17.399999999999999">
      <c r="A1141" s="159"/>
      <c r="B1141" s="170" t="s">
        <v>1230</v>
      </c>
      <c r="C1141" s="165"/>
    </row>
    <row r="1142" spans="1:3" ht="17.399999999999999">
      <c r="A1142" s="159"/>
      <c r="B1142" s="170" t="s">
        <v>1231</v>
      </c>
      <c r="C1142" s="165"/>
    </row>
    <row r="1143" spans="1:3" ht="17.399999999999999">
      <c r="A1143" s="159"/>
      <c r="B1143" s="170" t="s">
        <v>1232</v>
      </c>
      <c r="C1143" s="165"/>
    </row>
    <row r="1144" spans="1:3" ht="17.399999999999999">
      <c r="A1144" s="159"/>
      <c r="B1144" s="170" t="s">
        <v>1233</v>
      </c>
      <c r="C1144" s="165"/>
    </row>
    <row r="1145" spans="1:3" ht="17.399999999999999">
      <c r="A1145" s="159"/>
      <c r="B1145" s="170" t="s">
        <v>1234</v>
      </c>
      <c r="C1145" s="165"/>
    </row>
    <row r="1146" spans="1:3" ht="17.399999999999999">
      <c r="A1146" s="159"/>
      <c r="B1146" s="170" t="s">
        <v>1235</v>
      </c>
      <c r="C1146" s="165"/>
    </row>
    <row r="1147" spans="1:3" ht="17.399999999999999">
      <c r="A1147" s="159"/>
      <c r="B1147" s="170" t="s">
        <v>1236</v>
      </c>
      <c r="C1147" s="165"/>
    </row>
    <row r="1148" spans="1:3" ht="17.399999999999999">
      <c r="A1148" s="159"/>
      <c r="B1148" s="170" t="s">
        <v>1237</v>
      </c>
      <c r="C1148" s="165"/>
    </row>
    <row r="1149" spans="1:3" ht="17.399999999999999">
      <c r="A1149" s="159"/>
      <c r="B1149" s="170" t="s">
        <v>1238</v>
      </c>
      <c r="C1149" s="165"/>
    </row>
    <row r="1150" spans="1:3" ht="17.399999999999999">
      <c r="A1150" s="159"/>
      <c r="B1150" s="170" t="s">
        <v>1239</v>
      </c>
      <c r="C1150" s="165"/>
    </row>
    <row r="1151" spans="1:3" ht="17.399999999999999">
      <c r="A1151" s="159"/>
      <c r="B1151" s="170" t="s">
        <v>1240</v>
      </c>
      <c r="C1151" s="165"/>
    </row>
    <row r="1152" spans="1:3" ht="17.399999999999999">
      <c r="A1152" s="159"/>
      <c r="B1152" s="170" t="s">
        <v>1241</v>
      </c>
      <c r="C1152" s="165"/>
    </row>
    <row r="1153" spans="1:3" ht="17.399999999999999">
      <c r="A1153" s="159"/>
      <c r="B1153" s="170" t="s">
        <v>1242</v>
      </c>
      <c r="C1153" s="165"/>
    </row>
    <row r="1154" spans="1:3" ht="17.399999999999999">
      <c r="A1154" s="159"/>
      <c r="B1154" s="170" t="s">
        <v>1243</v>
      </c>
      <c r="C1154" s="165"/>
    </row>
    <row r="1155" spans="1:3" ht="17.399999999999999">
      <c r="A1155" s="159"/>
      <c r="B1155" s="170" t="s">
        <v>1244</v>
      </c>
      <c r="C1155" s="165"/>
    </row>
    <row r="1156" spans="1:3" ht="17.399999999999999">
      <c r="A1156" s="159"/>
      <c r="B1156" s="170" t="s">
        <v>1245</v>
      </c>
      <c r="C1156" s="165"/>
    </row>
    <row r="1157" spans="1:3" ht="17.399999999999999">
      <c r="A1157" s="159"/>
      <c r="B1157" s="170" t="s">
        <v>1246</v>
      </c>
      <c r="C1157" s="165"/>
    </row>
    <row r="1158" spans="1:3" ht="17.399999999999999">
      <c r="A1158" s="159"/>
      <c r="B1158" s="170" t="s">
        <v>1247</v>
      </c>
      <c r="C1158" s="165"/>
    </row>
    <row r="1159" spans="1:3" ht="17.399999999999999">
      <c r="A1159" s="159"/>
      <c r="B1159" s="170" t="s">
        <v>1248</v>
      </c>
      <c r="C1159" s="165"/>
    </row>
    <row r="1160" spans="1:3" ht="17.399999999999999">
      <c r="A1160" s="159"/>
      <c r="B1160" s="170" t="s">
        <v>1249</v>
      </c>
      <c r="C1160" s="165"/>
    </row>
    <row r="1161" spans="1:3" ht="17.399999999999999">
      <c r="A1161" s="159"/>
      <c r="B1161" s="170" t="s">
        <v>1250</v>
      </c>
      <c r="C1161" s="165"/>
    </row>
    <row r="1162" spans="1:3" ht="17.399999999999999">
      <c r="A1162" s="159"/>
      <c r="B1162" s="170" t="s">
        <v>1251</v>
      </c>
      <c r="C1162" s="165"/>
    </row>
    <row r="1163" spans="1:3" ht="17.399999999999999">
      <c r="A1163" s="159"/>
      <c r="B1163" s="170" t="s">
        <v>1252</v>
      </c>
      <c r="C1163" s="165"/>
    </row>
    <row r="1164" spans="1:3" ht="17.399999999999999">
      <c r="A1164" s="159"/>
      <c r="B1164" s="170" t="s">
        <v>1253</v>
      </c>
      <c r="C1164" s="165"/>
    </row>
    <row r="1165" spans="1:3" ht="17.399999999999999">
      <c r="A1165" s="159"/>
      <c r="B1165" s="170" t="s">
        <v>1254</v>
      </c>
      <c r="C1165" s="165"/>
    </row>
    <row r="1166" spans="1:3" ht="17.399999999999999">
      <c r="A1166" s="159"/>
      <c r="B1166" s="170" t="s">
        <v>1255</v>
      </c>
      <c r="C1166" s="165"/>
    </row>
    <row r="1167" spans="1:3" ht="17.399999999999999">
      <c r="A1167" s="159"/>
      <c r="B1167" s="170" t="s">
        <v>1256</v>
      </c>
      <c r="C1167" s="165"/>
    </row>
    <row r="1168" spans="1:3" ht="17.399999999999999">
      <c r="A1168" s="159"/>
      <c r="B1168" s="170" t="s">
        <v>1257</v>
      </c>
      <c r="C1168" s="165"/>
    </row>
    <row r="1169" spans="1:3" ht="17.399999999999999">
      <c r="A1169" s="159"/>
      <c r="B1169" s="170" t="s">
        <v>1258</v>
      </c>
      <c r="C1169" s="165"/>
    </row>
    <row r="1170" spans="1:3" ht="17.399999999999999">
      <c r="A1170" s="159"/>
      <c r="B1170" s="170" t="s">
        <v>1259</v>
      </c>
      <c r="C1170" s="165"/>
    </row>
    <row r="1171" spans="1:3" ht="17.399999999999999">
      <c r="A1171" s="159"/>
      <c r="B1171" s="170" t="s">
        <v>1260</v>
      </c>
      <c r="C1171" s="165"/>
    </row>
    <row r="1172" spans="1:3" ht="17.399999999999999">
      <c r="A1172" s="159"/>
      <c r="B1172" s="170" t="s">
        <v>1261</v>
      </c>
      <c r="C1172" s="165"/>
    </row>
    <row r="1173" spans="1:3" ht="17.399999999999999">
      <c r="A1173" s="159"/>
      <c r="B1173" s="170" t="s">
        <v>1262</v>
      </c>
      <c r="C1173" s="165"/>
    </row>
    <row r="1174" spans="1:3" ht="17.399999999999999">
      <c r="A1174" s="159"/>
      <c r="B1174" s="170" t="s">
        <v>1263</v>
      </c>
      <c r="C1174" s="165"/>
    </row>
    <row r="1175" spans="1:3" ht="17.399999999999999">
      <c r="A1175" s="159"/>
      <c r="B1175" s="170" t="s">
        <v>1264</v>
      </c>
      <c r="C1175" s="165"/>
    </row>
    <row r="1176" spans="1:3" ht="17.399999999999999">
      <c r="A1176" s="159"/>
      <c r="B1176" s="170" t="s">
        <v>1265</v>
      </c>
      <c r="C1176" s="165"/>
    </row>
    <row r="1177" spans="1:3" ht="17.399999999999999">
      <c r="A1177" s="159"/>
      <c r="B1177" s="170" t="s">
        <v>1266</v>
      </c>
      <c r="C1177" s="165"/>
    </row>
    <row r="1178" spans="1:3" ht="17.399999999999999">
      <c r="A1178" s="159"/>
      <c r="B1178" s="170" t="s">
        <v>1267</v>
      </c>
      <c r="C1178" s="165"/>
    </row>
    <row r="1179" spans="1:3" ht="17.399999999999999">
      <c r="A1179" s="159"/>
      <c r="B1179" s="170" t="s">
        <v>1268</v>
      </c>
      <c r="C1179" s="165"/>
    </row>
    <row r="1180" spans="1:3" ht="17.399999999999999">
      <c r="A1180" s="159"/>
      <c r="B1180" s="170" t="s">
        <v>1269</v>
      </c>
      <c r="C1180" s="165"/>
    </row>
    <row r="1181" spans="1:3" ht="17.399999999999999">
      <c r="A1181" s="159"/>
      <c r="B1181" s="170" t="s">
        <v>1270</v>
      </c>
      <c r="C1181" s="165"/>
    </row>
    <row r="1182" spans="1:3" ht="17.399999999999999">
      <c r="A1182" s="159"/>
      <c r="B1182" s="170" t="s">
        <v>1271</v>
      </c>
      <c r="C1182" s="165"/>
    </row>
    <row r="1183" spans="1:3" ht="17.399999999999999">
      <c r="A1183" s="159"/>
      <c r="B1183" s="170" t="s">
        <v>1272</v>
      </c>
      <c r="C1183" s="165"/>
    </row>
    <row r="1184" spans="1:3" ht="17.399999999999999">
      <c r="A1184" s="159"/>
      <c r="B1184" s="170" t="s">
        <v>1273</v>
      </c>
      <c r="C1184" s="165"/>
    </row>
    <row r="1185" spans="1:3" ht="17.399999999999999">
      <c r="A1185" s="159"/>
      <c r="B1185" s="170" t="s">
        <v>1274</v>
      </c>
      <c r="C1185" s="165"/>
    </row>
    <row r="1186" spans="1:3" ht="17.399999999999999">
      <c r="A1186" s="159"/>
      <c r="B1186" s="170" t="s">
        <v>1275</v>
      </c>
      <c r="C1186" s="165"/>
    </row>
    <row r="1187" spans="1:3" ht="17.399999999999999">
      <c r="A1187" s="159"/>
      <c r="B1187" s="170" t="s">
        <v>1276</v>
      </c>
      <c r="C1187" s="165"/>
    </row>
    <row r="1188" spans="1:3" ht="17.399999999999999">
      <c r="A1188" s="159"/>
      <c r="B1188" s="170" t="s">
        <v>1277</v>
      </c>
      <c r="C1188" s="165"/>
    </row>
    <row r="1189" spans="1:3" ht="17.399999999999999">
      <c r="A1189" s="159"/>
      <c r="B1189" s="170" t="s">
        <v>1278</v>
      </c>
      <c r="C1189" s="165"/>
    </row>
    <row r="1190" spans="1:3" ht="17.399999999999999">
      <c r="A1190" s="159"/>
      <c r="B1190" s="170" t="s">
        <v>1279</v>
      </c>
      <c r="C1190" s="165"/>
    </row>
    <row r="1191" spans="1:3" ht="17.399999999999999">
      <c r="A1191" s="159"/>
      <c r="B1191" s="170" t="s">
        <v>1280</v>
      </c>
      <c r="C1191" s="165"/>
    </row>
    <row r="1192" spans="1:3" ht="17.399999999999999">
      <c r="A1192" s="159"/>
      <c r="B1192" s="170" t="s">
        <v>1281</v>
      </c>
      <c r="C1192" s="165"/>
    </row>
    <row r="1193" spans="1:3" ht="17.399999999999999">
      <c r="A1193" s="159"/>
      <c r="B1193" s="170" t="s">
        <v>1282</v>
      </c>
      <c r="C1193" s="165"/>
    </row>
    <row r="1194" spans="1:3" ht="17.399999999999999">
      <c r="A1194" s="159"/>
      <c r="B1194" s="170" t="s">
        <v>1283</v>
      </c>
      <c r="C1194" s="165"/>
    </row>
    <row r="1195" spans="1:3" ht="17.399999999999999">
      <c r="A1195" s="159"/>
      <c r="B1195" s="170" t="s">
        <v>1284</v>
      </c>
      <c r="C1195" s="165"/>
    </row>
    <row r="1196" spans="1:3" ht="17.399999999999999">
      <c r="A1196" s="159"/>
      <c r="B1196" s="170" t="s">
        <v>1285</v>
      </c>
      <c r="C1196" s="165"/>
    </row>
    <row r="1197" spans="1:3" ht="17.399999999999999">
      <c r="A1197" s="159"/>
      <c r="B1197" s="170" t="s">
        <v>1286</v>
      </c>
      <c r="C1197" s="165"/>
    </row>
    <row r="1198" spans="1:3" ht="17.399999999999999">
      <c r="A1198" s="159"/>
      <c r="B1198" s="170" t="s">
        <v>1287</v>
      </c>
      <c r="C1198" s="165"/>
    </row>
    <row r="1199" spans="1:3" ht="17.399999999999999">
      <c r="A1199" s="159"/>
      <c r="B1199" s="170" t="s">
        <v>1288</v>
      </c>
      <c r="C1199" s="165"/>
    </row>
    <row r="1200" spans="1:3" ht="17.399999999999999">
      <c r="A1200" s="159"/>
      <c r="B1200" s="170" t="s">
        <v>1289</v>
      </c>
      <c r="C1200" s="165"/>
    </row>
    <row r="1201" spans="1:3" ht="17.399999999999999">
      <c r="A1201" s="159"/>
      <c r="B1201" s="170" t="s">
        <v>1290</v>
      </c>
      <c r="C1201" s="165"/>
    </row>
    <row r="1202" spans="1:3" ht="17.399999999999999">
      <c r="A1202" s="159"/>
      <c r="B1202" s="170" t="s">
        <v>1291</v>
      </c>
      <c r="C1202" s="165"/>
    </row>
    <row r="1203" spans="1:3" ht="17.399999999999999">
      <c r="A1203" s="159"/>
      <c r="B1203" s="170" t="s">
        <v>1292</v>
      </c>
      <c r="C1203" s="165"/>
    </row>
    <row r="1204" spans="1:3" ht="17.399999999999999">
      <c r="A1204" s="159"/>
      <c r="B1204" s="170" t="s">
        <v>1293</v>
      </c>
      <c r="C1204" s="165"/>
    </row>
    <row r="1205" spans="1:3" ht="17.399999999999999">
      <c r="A1205" s="159"/>
      <c r="B1205" s="170" t="s">
        <v>1294</v>
      </c>
      <c r="C1205" s="165"/>
    </row>
    <row r="1206" spans="1:3" ht="17.399999999999999">
      <c r="A1206" s="159"/>
      <c r="B1206" s="170" t="s">
        <v>1295</v>
      </c>
      <c r="C1206" s="165"/>
    </row>
    <row r="1207" spans="1:3" ht="17.399999999999999">
      <c r="A1207" s="159"/>
      <c r="B1207" s="170" t="s">
        <v>1296</v>
      </c>
      <c r="C1207" s="165"/>
    </row>
    <row r="1208" spans="1:3" ht="17.399999999999999">
      <c r="A1208" s="159"/>
      <c r="B1208" s="170" t="s">
        <v>1297</v>
      </c>
      <c r="C1208" s="165"/>
    </row>
    <row r="1209" spans="1:3" ht="17.399999999999999">
      <c r="A1209" s="159"/>
      <c r="B1209" s="170" t="s">
        <v>1298</v>
      </c>
      <c r="C1209" s="165"/>
    </row>
    <row r="1210" spans="1:3" ht="17.399999999999999">
      <c r="A1210" s="159"/>
      <c r="B1210" s="170" t="s">
        <v>1299</v>
      </c>
      <c r="C1210" s="165"/>
    </row>
    <row r="1211" spans="1:3" ht="17.399999999999999">
      <c r="A1211" s="159"/>
      <c r="B1211" s="170" t="s">
        <v>1300</v>
      </c>
      <c r="C1211" s="165"/>
    </row>
    <row r="1212" spans="1:3" ht="17.399999999999999">
      <c r="A1212" s="159"/>
      <c r="B1212" s="170" t="s">
        <v>1301</v>
      </c>
      <c r="C1212" s="165"/>
    </row>
    <row r="1213" spans="1:3" ht="17.399999999999999">
      <c r="A1213" s="159"/>
      <c r="B1213" s="170" t="s">
        <v>1302</v>
      </c>
      <c r="C1213" s="165"/>
    </row>
    <row r="1214" spans="1:3" ht="17.399999999999999">
      <c r="A1214" s="159"/>
      <c r="B1214" s="170" t="s">
        <v>1303</v>
      </c>
      <c r="C1214" s="165"/>
    </row>
    <row r="1215" spans="1:3" ht="17.399999999999999">
      <c r="A1215" s="159"/>
      <c r="B1215" s="170" t="s">
        <v>1304</v>
      </c>
      <c r="C1215" s="165"/>
    </row>
    <row r="1216" spans="1:3" ht="17.399999999999999">
      <c r="A1216" s="159"/>
      <c r="B1216" s="170" t="s">
        <v>1305</v>
      </c>
      <c r="C1216" s="165"/>
    </row>
    <row r="1217" spans="1:3" ht="17.399999999999999">
      <c r="A1217" s="159"/>
      <c r="B1217" s="170" t="s">
        <v>1306</v>
      </c>
      <c r="C1217" s="165"/>
    </row>
    <row r="1218" spans="1:3" ht="17.399999999999999">
      <c r="A1218" s="159"/>
      <c r="B1218" s="170" t="s">
        <v>1307</v>
      </c>
      <c r="C1218" s="165"/>
    </row>
    <row r="1219" spans="1:3" ht="17.399999999999999">
      <c r="A1219" s="159"/>
      <c r="B1219" s="170" t="s">
        <v>1308</v>
      </c>
      <c r="C1219" s="165"/>
    </row>
    <row r="1220" spans="1:3" ht="17.399999999999999">
      <c r="A1220" s="159"/>
      <c r="B1220" s="170" t="s">
        <v>1309</v>
      </c>
      <c r="C1220" s="165"/>
    </row>
    <row r="1221" spans="1:3" ht="17.399999999999999">
      <c r="A1221" s="159"/>
      <c r="B1221" s="170" t="s">
        <v>1310</v>
      </c>
      <c r="C1221" s="165"/>
    </row>
    <row r="1222" spans="1:3" ht="17.399999999999999">
      <c r="A1222" s="159"/>
      <c r="B1222" s="170" t="s">
        <v>1311</v>
      </c>
      <c r="C1222" s="165"/>
    </row>
    <row r="1223" spans="1:3" ht="17.399999999999999">
      <c r="A1223" s="159"/>
      <c r="B1223" s="170" t="s">
        <v>1312</v>
      </c>
      <c r="C1223" s="165"/>
    </row>
    <row r="1224" spans="1:3" ht="17.399999999999999">
      <c r="A1224" s="159"/>
      <c r="B1224" s="170" t="s">
        <v>1313</v>
      </c>
      <c r="C1224" s="165"/>
    </row>
    <row r="1225" spans="1:3" ht="17.399999999999999">
      <c r="A1225" s="159"/>
      <c r="B1225" s="170" t="s">
        <v>1314</v>
      </c>
      <c r="C1225" s="165"/>
    </row>
    <row r="1226" spans="1:3" ht="17.399999999999999">
      <c r="A1226" s="159"/>
      <c r="B1226" s="170" t="s">
        <v>1315</v>
      </c>
      <c r="C1226" s="165"/>
    </row>
    <row r="1227" spans="1:3" ht="17.399999999999999">
      <c r="A1227" s="159"/>
      <c r="B1227" s="170" t="s">
        <v>1316</v>
      </c>
      <c r="C1227" s="165"/>
    </row>
    <row r="1228" spans="1:3" ht="17.399999999999999">
      <c r="A1228" s="159"/>
      <c r="B1228" s="170" t="s">
        <v>1317</v>
      </c>
      <c r="C1228" s="165"/>
    </row>
    <row r="1229" spans="1:3" ht="17.399999999999999">
      <c r="A1229" s="159"/>
      <c r="B1229" s="170" t="s">
        <v>1318</v>
      </c>
      <c r="C1229" s="165"/>
    </row>
    <row r="1230" spans="1:3" ht="17.399999999999999">
      <c r="A1230" s="159"/>
      <c r="B1230" s="170" t="s">
        <v>1319</v>
      </c>
      <c r="C1230" s="165"/>
    </row>
    <row r="1231" spans="1:3" ht="17.399999999999999">
      <c r="A1231" s="159"/>
      <c r="B1231" s="170" t="s">
        <v>1320</v>
      </c>
      <c r="C1231" s="165"/>
    </row>
    <row r="1232" spans="1:3" ht="17.399999999999999">
      <c r="A1232" s="159"/>
      <c r="B1232" s="170" t="s">
        <v>1321</v>
      </c>
      <c r="C1232" s="165"/>
    </row>
    <row r="1233" spans="1:3" ht="17.399999999999999">
      <c r="A1233" s="159"/>
      <c r="B1233" s="170" t="s">
        <v>1322</v>
      </c>
      <c r="C1233" s="165"/>
    </row>
    <row r="1234" spans="1:3" ht="17.399999999999999">
      <c r="A1234" s="159"/>
      <c r="B1234" s="170" t="s">
        <v>1323</v>
      </c>
      <c r="C1234" s="165"/>
    </row>
    <row r="1235" spans="1:3" ht="17.399999999999999">
      <c r="A1235" s="159"/>
      <c r="B1235" s="170" t="s">
        <v>1324</v>
      </c>
      <c r="C1235" s="165"/>
    </row>
    <row r="1236" spans="1:3" ht="17.399999999999999">
      <c r="A1236" s="159"/>
      <c r="B1236" s="170" t="s">
        <v>1325</v>
      </c>
      <c r="C1236" s="165"/>
    </row>
    <row r="1237" spans="1:3" ht="17.399999999999999">
      <c r="A1237" s="159"/>
      <c r="B1237" s="170" t="s">
        <v>1326</v>
      </c>
      <c r="C1237" s="165"/>
    </row>
    <row r="1238" spans="1:3" ht="17.399999999999999">
      <c r="A1238" s="159"/>
      <c r="B1238" s="170" t="s">
        <v>1327</v>
      </c>
      <c r="C1238" s="165"/>
    </row>
    <row r="1239" spans="1:3" ht="17.399999999999999">
      <c r="A1239" s="159"/>
      <c r="B1239" s="170" t="s">
        <v>1328</v>
      </c>
      <c r="C1239" s="165"/>
    </row>
    <row r="1240" spans="1:3" ht="17.399999999999999">
      <c r="A1240" s="159"/>
      <c r="B1240" s="170" t="s">
        <v>1329</v>
      </c>
      <c r="C1240" s="165"/>
    </row>
    <row r="1241" spans="1:3" ht="17.399999999999999">
      <c r="A1241" s="159"/>
      <c r="B1241" s="170" t="s">
        <v>1330</v>
      </c>
      <c r="C1241" s="165"/>
    </row>
    <row r="1242" spans="1:3" ht="17.399999999999999">
      <c r="A1242" s="159"/>
      <c r="B1242" s="170" t="s">
        <v>1331</v>
      </c>
      <c r="C1242" s="165"/>
    </row>
    <row r="1243" spans="1:3" ht="17.399999999999999">
      <c r="A1243" s="159"/>
      <c r="B1243" s="170" t="s">
        <v>1332</v>
      </c>
      <c r="C1243" s="165"/>
    </row>
    <row r="1244" spans="1:3" ht="17.399999999999999">
      <c r="A1244" s="159"/>
      <c r="B1244" s="170" t="s">
        <v>1333</v>
      </c>
      <c r="C1244" s="165"/>
    </row>
    <row r="1245" spans="1:3" ht="17.399999999999999">
      <c r="A1245" s="159"/>
      <c r="B1245" s="170" t="s">
        <v>1334</v>
      </c>
      <c r="C1245" s="165"/>
    </row>
    <row r="1246" spans="1:3" ht="17.399999999999999">
      <c r="A1246" s="159"/>
      <c r="B1246" s="170" t="s">
        <v>1335</v>
      </c>
      <c r="C1246" s="165"/>
    </row>
    <row r="1247" spans="1:3" ht="17.399999999999999">
      <c r="A1247" s="159"/>
      <c r="B1247" s="170" t="s">
        <v>1336</v>
      </c>
      <c r="C1247" s="165"/>
    </row>
    <row r="1248" spans="1:3" ht="17.399999999999999">
      <c r="A1248" s="159"/>
      <c r="B1248" s="170" t="s">
        <v>1337</v>
      </c>
      <c r="C1248" s="165"/>
    </row>
    <row r="1249" spans="1:3" ht="17.399999999999999">
      <c r="A1249" s="159"/>
      <c r="B1249" s="170" t="s">
        <v>1338</v>
      </c>
      <c r="C1249" s="165"/>
    </row>
    <row r="1250" spans="1:3" ht="17.399999999999999">
      <c r="A1250" s="159"/>
      <c r="B1250" s="170" t="s">
        <v>1339</v>
      </c>
      <c r="C1250" s="165"/>
    </row>
    <row r="1251" spans="1:3" ht="17.399999999999999">
      <c r="A1251" s="159"/>
      <c r="B1251" s="170" t="s">
        <v>1340</v>
      </c>
      <c r="C1251" s="165"/>
    </row>
    <row r="1252" spans="1:3" ht="17.399999999999999">
      <c r="A1252" s="159"/>
      <c r="B1252" s="170" t="s">
        <v>1341</v>
      </c>
      <c r="C1252" s="165"/>
    </row>
    <row r="1253" spans="1:3" ht="17.399999999999999">
      <c r="A1253" s="159"/>
      <c r="B1253" s="170" t="s">
        <v>1342</v>
      </c>
      <c r="C1253" s="165"/>
    </row>
    <row r="1254" spans="1:3" ht="17.399999999999999">
      <c r="A1254" s="159"/>
      <c r="B1254" s="170" t="s">
        <v>1343</v>
      </c>
      <c r="C1254" s="165"/>
    </row>
    <row r="1255" spans="1:3" ht="17.399999999999999">
      <c r="A1255" s="159"/>
      <c r="B1255" s="170" t="s">
        <v>1344</v>
      </c>
      <c r="C1255" s="165"/>
    </row>
    <row r="1256" spans="1:3" ht="17.399999999999999">
      <c r="A1256" s="159"/>
      <c r="B1256" s="170" t="s">
        <v>1345</v>
      </c>
      <c r="C1256" s="165"/>
    </row>
    <row r="1257" spans="1:3" ht="17.399999999999999">
      <c r="A1257" s="159"/>
      <c r="B1257" s="170" t="s">
        <v>1346</v>
      </c>
      <c r="C1257" s="165"/>
    </row>
    <row r="1258" spans="1:3" ht="17.399999999999999">
      <c r="A1258" s="159"/>
      <c r="B1258" s="170" t="s">
        <v>1347</v>
      </c>
      <c r="C1258" s="165"/>
    </row>
    <row r="1259" spans="1:3" ht="17.399999999999999">
      <c r="A1259" s="159"/>
      <c r="B1259" s="170" t="s">
        <v>1348</v>
      </c>
      <c r="C1259" s="165"/>
    </row>
    <row r="1260" spans="1:3" ht="17.399999999999999">
      <c r="A1260" s="159"/>
      <c r="B1260" s="170" t="s">
        <v>1349</v>
      </c>
      <c r="C1260" s="165"/>
    </row>
    <row r="1261" spans="1:3" ht="17.399999999999999">
      <c r="A1261" s="159"/>
      <c r="B1261" s="170" t="s">
        <v>1350</v>
      </c>
      <c r="C1261" s="165"/>
    </row>
    <row r="1262" spans="1:3" ht="17.399999999999999">
      <c r="A1262" s="159"/>
      <c r="B1262" s="170" t="s">
        <v>1351</v>
      </c>
      <c r="C1262" s="165"/>
    </row>
    <row r="1263" spans="1:3" ht="17.399999999999999">
      <c r="A1263" s="159"/>
      <c r="B1263" s="170" t="s">
        <v>1352</v>
      </c>
      <c r="C1263" s="165"/>
    </row>
    <row r="1264" spans="1:3" ht="17.399999999999999">
      <c r="A1264" s="159"/>
      <c r="B1264" s="170" t="s">
        <v>1353</v>
      </c>
      <c r="C1264" s="165"/>
    </row>
    <row r="1265" spans="1:3" ht="17.399999999999999">
      <c r="A1265" s="159"/>
      <c r="B1265" s="170" t="s">
        <v>1354</v>
      </c>
      <c r="C1265" s="165"/>
    </row>
    <row r="1266" spans="1:3" ht="17.399999999999999">
      <c r="A1266" s="159"/>
      <c r="B1266" s="170" t="s">
        <v>1355</v>
      </c>
      <c r="C1266" s="165"/>
    </row>
    <row r="1267" spans="1:3" ht="17.399999999999999">
      <c r="A1267" s="159"/>
      <c r="B1267" s="170" t="s">
        <v>1356</v>
      </c>
      <c r="C1267" s="165"/>
    </row>
    <row r="1268" spans="1:3" ht="17.399999999999999">
      <c r="A1268" s="159"/>
      <c r="B1268" s="170" t="s">
        <v>1357</v>
      </c>
      <c r="C1268" s="165"/>
    </row>
    <row r="1269" spans="1:3" ht="17.399999999999999">
      <c r="A1269" s="159"/>
      <c r="B1269" s="170" t="s">
        <v>1358</v>
      </c>
      <c r="C1269" s="165"/>
    </row>
    <row r="1270" spans="1:3" ht="17.399999999999999">
      <c r="A1270" s="159"/>
      <c r="B1270" s="170" t="s">
        <v>1359</v>
      </c>
      <c r="C1270" s="165"/>
    </row>
    <row r="1271" spans="1:3" ht="17.399999999999999">
      <c r="A1271" s="159"/>
      <c r="B1271" s="170" t="s">
        <v>1360</v>
      </c>
      <c r="C1271" s="165"/>
    </row>
    <row r="1272" spans="1:3" ht="17.399999999999999">
      <c r="A1272" s="159"/>
      <c r="B1272" s="170" t="s">
        <v>1361</v>
      </c>
      <c r="C1272" s="165"/>
    </row>
    <row r="1273" spans="1:3" ht="17.399999999999999">
      <c r="A1273" s="159"/>
      <c r="B1273" s="170" t="s">
        <v>1362</v>
      </c>
      <c r="C1273" s="165"/>
    </row>
    <row r="1274" spans="1:3" ht="17.399999999999999">
      <c r="A1274" s="159"/>
      <c r="B1274" s="170" t="s">
        <v>1363</v>
      </c>
      <c r="C1274" s="165"/>
    </row>
    <row r="1275" spans="1:3" ht="17.399999999999999">
      <c r="A1275" s="159"/>
      <c r="B1275" s="170" t="s">
        <v>1364</v>
      </c>
      <c r="C1275" s="165"/>
    </row>
    <row r="1276" spans="1:3" ht="17.399999999999999">
      <c r="A1276" s="159"/>
      <c r="B1276" s="170" t="s">
        <v>1365</v>
      </c>
      <c r="C1276" s="165"/>
    </row>
    <row r="1277" spans="1:3" ht="17.399999999999999">
      <c r="A1277" s="159"/>
      <c r="B1277" s="170" t="s">
        <v>1366</v>
      </c>
      <c r="C1277" s="165"/>
    </row>
    <row r="1278" spans="1:3" ht="17.399999999999999">
      <c r="A1278" s="159"/>
      <c r="B1278" s="170" t="s">
        <v>1367</v>
      </c>
      <c r="C1278" s="165"/>
    </row>
    <row r="1279" spans="1:3" ht="17.399999999999999">
      <c r="A1279" s="159"/>
      <c r="B1279" s="170" t="s">
        <v>1368</v>
      </c>
      <c r="C1279" s="165"/>
    </row>
    <row r="1280" spans="1:3" ht="17.399999999999999">
      <c r="A1280" s="159"/>
      <c r="B1280" s="170" t="s">
        <v>1369</v>
      </c>
      <c r="C1280" s="165"/>
    </row>
    <row r="1281" spans="1:3" ht="17.399999999999999">
      <c r="A1281" s="159"/>
      <c r="B1281" s="170" t="s">
        <v>1370</v>
      </c>
      <c r="C1281" s="165"/>
    </row>
    <row r="1282" spans="1:3" ht="17.399999999999999">
      <c r="A1282" s="159"/>
      <c r="B1282" s="170" t="s">
        <v>1371</v>
      </c>
      <c r="C1282" s="165"/>
    </row>
    <row r="1283" spans="1:3" ht="17.399999999999999">
      <c r="A1283" s="159"/>
      <c r="B1283" s="170" t="s">
        <v>1372</v>
      </c>
      <c r="C1283" s="165"/>
    </row>
    <row r="1284" spans="1:3" ht="17.399999999999999">
      <c r="A1284" s="159"/>
      <c r="B1284" s="170" t="s">
        <v>1373</v>
      </c>
      <c r="C1284" s="165"/>
    </row>
    <row r="1285" spans="1:3" ht="17.399999999999999">
      <c r="A1285" s="159"/>
      <c r="B1285" s="170" t="s">
        <v>1374</v>
      </c>
      <c r="C1285" s="165"/>
    </row>
    <row r="1286" spans="1:3" ht="17.399999999999999">
      <c r="A1286" s="159"/>
      <c r="B1286" s="170" t="s">
        <v>1375</v>
      </c>
      <c r="C1286" s="165"/>
    </row>
    <row r="1287" spans="1:3" ht="17.399999999999999">
      <c r="A1287" s="159"/>
      <c r="B1287" s="170" t="s">
        <v>1376</v>
      </c>
      <c r="C1287" s="165"/>
    </row>
    <row r="1288" spans="1:3" ht="17.399999999999999">
      <c r="A1288" s="159"/>
      <c r="B1288" s="170" t="s">
        <v>1377</v>
      </c>
      <c r="C1288" s="165"/>
    </row>
    <row r="1289" spans="1:3" ht="17.399999999999999">
      <c r="A1289" s="159"/>
      <c r="B1289" s="170" t="s">
        <v>1378</v>
      </c>
      <c r="C1289" s="165"/>
    </row>
    <row r="1290" spans="1:3" ht="17.399999999999999">
      <c r="A1290" s="159"/>
      <c r="B1290" s="170" t="s">
        <v>1379</v>
      </c>
      <c r="C1290" s="165"/>
    </row>
    <row r="1291" spans="1:3" ht="17.399999999999999">
      <c r="A1291" s="159"/>
      <c r="B1291" s="170" t="s">
        <v>1380</v>
      </c>
      <c r="C1291" s="165"/>
    </row>
    <row r="1292" spans="1:3" ht="17.399999999999999">
      <c r="A1292" s="159"/>
      <c r="B1292" s="170" t="s">
        <v>1381</v>
      </c>
      <c r="C1292" s="165"/>
    </row>
    <row r="1293" spans="1:3" ht="17.399999999999999">
      <c r="A1293" s="159"/>
      <c r="B1293" s="170" t="s">
        <v>1382</v>
      </c>
      <c r="C1293" s="165"/>
    </row>
    <row r="1294" spans="1:3" ht="17.399999999999999">
      <c r="A1294" s="159"/>
      <c r="B1294" s="170" t="s">
        <v>1383</v>
      </c>
      <c r="C1294" s="165"/>
    </row>
    <row r="1295" spans="1:3" ht="17.399999999999999">
      <c r="A1295" s="159"/>
      <c r="B1295" s="170" t="s">
        <v>1384</v>
      </c>
      <c r="C1295" s="165"/>
    </row>
    <row r="1296" spans="1:3" ht="17.399999999999999">
      <c r="A1296" s="159"/>
      <c r="B1296" s="170" t="s">
        <v>1385</v>
      </c>
      <c r="C1296" s="165"/>
    </row>
    <row r="1297" spans="1:3" ht="17.399999999999999">
      <c r="A1297" s="159"/>
      <c r="B1297" s="170" t="s">
        <v>1386</v>
      </c>
      <c r="C1297" s="165"/>
    </row>
    <row r="1298" spans="1:3" ht="17.399999999999999">
      <c r="A1298" s="159"/>
      <c r="B1298" s="170" t="s">
        <v>1387</v>
      </c>
      <c r="C1298" s="165"/>
    </row>
    <row r="1299" spans="1:3" ht="17.399999999999999">
      <c r="A1299" s="159"/>
      <c r="B1299" s="170" t="s">
        <v>1388</v>
      </c>
      <c r="C1299" s="165"/>
    </row>
    <row r="1300" spans="1:3" ht="17.399999999999999">
      <c r="A1300" s="159"/>
      <c r="B1300" s="170" t="s">
        <v>1389</v>
      </c>
      <c r="C1300" s="165"/>
    </row>
    <row r="1301" spans="1:3" ht="17.399999999999999">
      <c r="A1301" s="159"/>
      <c r="B1301" s="170" t="s">
        <v>1390</v>
      </c>
      <c r="C1301" s="165"/>
    </row>
    <row r="1302" spans="1:3" ht="17.399999999999999">
      <c r="A1302" s="159"/>
      <c r="B1302" s="170" t="s">
        <v>1391</v>
      </c>
      <c r="C1302" s="165"/>
    </row>
    <row r="1303" spans="1:3" ht="17.399999999999999">
      <c r="A1303" s="159"/>
      <c r="B1303" s="170" t="s">
        <v>1392</v>
      </c>
      <c r="C1303" s="165"/>
    </row>
    <row r="1304" spans="1:3" ht="17.399999999999999">
      <c r="A1304" s="159"/>
      <c r="B1304" s="170" t="s">
        <v>1393</v>
      </c>
      <c r="C1304" s="165"/>
    </row>
    <row r="1305" spans="1:3" ht="17.399999999999999">
      <c r="A1305" s="159"/>
      <c r="B1305" s="170" t="s">
        <v>1394</v>
      </c>
      <c r="C1305" s="165"/>
    </row>
    <row r="1306" spans="1:3" ht="17.399999999999999">
      <c r="A1306" s="159"/>
      <c r="B1306" s="170" t="s">
        <v>1395</v>
      </c>
      <c r="C1306" s="165"/>
    </row>
    <row r="1307" spans="1:3" ht="17.399999999999999">
      <c r="A1307" s="159"/>
      <c r="B1307" s="170" t="s">
        <v>1396</v>
      </c>
      <c r="C1307" s="165"/>
    </row>
    <row r="1308" spans="1:3" ht="17.399999999999999">
      <c r="A1308" s="159"/>
      <c r="B1308" s="170" t="s">
        <v>1397</v>
      </c>
      <c r="C1308" s="165"/>
    </row>
    <row r="1309" spans="1:3" ht="17.399999999999999">
      <c r="A1309" s="159"/>
      <c r="B1309" s="170" t="s">
        <v>1398</v>
      </c>
      <c r="C1309" s="165"/>
    </row>
    <row r="1310" spans="1:3" ht="17.399999999999999">
      <c r="A1310" s="159"/>
      <c r="B1310" s="170" t="s">
        <v>1399</v>
      </c>
      <c r="C1310" s="165"/>
    </row>
    <row r="1311" spans="1:3" ht="17.399999999999999">
      <c r="A1311" s="159"/>
      <c r="B1311" s="170" t="s">
        <v>1400</v>
      </c>
      <c r="C1311" s="165"/>
    </row>
    <row r="1312" spans="1:3" ht="17.399999999999999">
      <c r="A1312" s="159"/>
      <c r="B1312" s="170" t="s">
        <v>1401</v>
      </c>
      <c r="C1312" s="165"/>
    </row>
    <row r="1313" spans="1:3" ht="17.399999999999999">
      <c r="A1313" s="159"/>
      <c r="B1313" s="170" t="s">
        <v>1402</v>
      </c>
      <c r="C1313" s="165"/>
    </row>
    <row r="1314" spans="1:3" ht="17.399999999999999">
      <c r="A1314" s="159"/>
      <c r="B1314" s="170" t="s">
        <v>1403</v>
      </c>
      <c r="C1314" s="165"/>
    </row>
    <row r="1315" spans="1:3" ht="17.399999999999999">
      <c r="A1315" s="159"/>
      <c r="B1315" s="170" t="s">
        <v>1404</v>
      </c>
      <c r="C1315" s="165"/>
    </row>
    <row r="1316" spans="1:3" ht="17.399999999999999">
      <c r="A1316" s="159"/>
      <c r="B1316" s="170" t="s">
        <v>1405</v>
      </c>
      <c r="C1316" s="165"/>
    </row>
    <row r="1317" spans="1:3" ht="17.399999999999999">
      <c r="A1317" s="159"/>
      <c r="B1317" s="170" t="s">
        <v>1406</v>
      </c>
      <c r="C1317" s="165"/>
    </row>
    <row r="1318" spans="1:3" ht="17.399999999999999">
      <c r="A1318" s="159"/>
      <c r="B1318" s="170" t="s">
        <v>1407</v>
      </c>
      <c r="C1318" s="165"/>
    </row>
    <row r="1319" spans="1:3" ht="17.399999999999999">
      <c r="A1319" s="159"/>
      <c r="B1319" s="170" t="s">
        <v>1408</v>
      </c>
      <c r="C1319" s="165"/>
    </row>
    <row r="1320" spans="1:3" ht="17.399999999999999">
      <c r="A1320" s="159"/>
      <c r="B1320" s="170" t="s">
        <v>1409</v>
      </c>
      <c r="C1320" s="165"/>
    </row>
    <row r="1321" spans="1:3" ht="17.399999999999999">
      <c r="A1321" s="159"/>
      <c r="B1321" s="170" t="s">
        <v>1410</v>
      </c>
      <c r="C1321" s="165"/>
    </row>
    <row r="1322" spans="1:3" ht="17.399999999999999">
      <c r="A1322" s="159"/>
      <c r="B1322" s="170" t="s">
        <v>1411</v>
      </c>
      <c r="C1322" s="165"/>
    </row>
    <row r="1323" spans="1:3" ht="17.399999999999999">
      <c r="A1323" s="159"/>
      <c r="B1323" s="170" t="s">
        <v>1412</v>
      </c>
      <c r="C1323" s="165"/>
    </row>
    <row r="1324" spans="1:3" ht="17.399999999999999">
      <c r="A1324" s="159"/>
      <c r="B1324" s="170" t="s">
        <v>1413</v>
      </c>
      <c r="C1324" s="165"/>
    </row>
    <row r="1325" spans="1:3" ht="17.399999999999999">
      <c r="A1325" s="159"/>
      <c r="B1325" s="170" t="s">
        <v>1414</v>
      </c>
      <c r="C1325" s="165"/>
    </row>
    <row r="1326" spans="1:3" ht="17.399999999999999">
      <c r="A1326" s="159"/>
      <c r="B1326" s="170" t="s">
        <v>1415</v>
      </c>
      <c r="C1326" s="165"/>
    </row>
    <row r="1327" spans="1:3" ht="17.399999999999999">
      <c r="A1327" s="159"/>
      <c r="B1327" s="170" t="s">
        <v>1416</v>
      </c>
      <c r="C1327" s="165"/>
    </row>
    <row r="1328" spans="1:3" ht="17.399999999999999">
      <c r="A1328" s="159"/>
      <c r="B1328" s="170" t="s">
        <v>1417</v>
      </c>
      <c r="C1328" s="165"/>
    </row>
    <row r="1329" spans="1:3" ht="17.399999999999999">
      <c r="A1329" s="159"/>
      <c r="B1329" s="170" t="s">
        <v>1418</v>
      </c>
      <c r="C1329" s="165"/>
    </row>
    <row r="1330" spans="1:3" ht="17.399999999999999">
      <c r="A1330" s="159"/>
      <c r="B1330" s="170" t="s">
        <v>1419</v>
      </c>
      <c r="C1330" s="165"/>
    </row>
    <row r="1331" spans="1:3" ht="17.399999999999999">
      <c r="A1331" s="159"/>
      <c r="B1331" s="170" t="s">
        <v>1420</v>
      </c>
      <c r="C1331" s="165"/>
    </row>
    <row r="1332" spans="1:3" ht="17.399999999999999">
      <c r="A1332" s="159"/>
      <c r="B1332" s="170" t="s">
        <v>1421</v>
      </c>
      <c r="C1332" s="165"/>
    </row>
    <row r="1333" spans="1:3" ht="17.399999999999999">
      <c r="A1333" s="159"/>
      <c r="B1333" s="170" t="s">
        <v>1422</v>
      </c>
      <c r="C1333" s="165"/>
    </row>
    <row r="1334" spans="1:3" ht="17.399999999999999">
      <c r="A1334" s="159"/>
      <c r="B1334" s="170" t="s">
        <v>1423</v>
      </c>
      <c r="C1334" s="165"/>
    </row>
    <row r="1335" spans="1:3" ht="17.399999999999999">
      <c r="A1335" s="159"/>
      <c r="B1335" s="170" t="s">
        <v>1424</v>
      </c>
      <c r="C1335" s="165"/>
    </row>
    <row r="1336" spans="1:3" ht="17.399999999999999">
      <c r="A1336" s="159"/>
      <c r="B1336" s="170" t="s">
        <v>1425</v>
      </c>
      <c r="C1336" s="165"/>
    </row>
    <row r="1337" spans="1:3" ht="17.399999999999999">
      <c r="A1337" s="159"/>
      <c r="B1337" s="170" t="s">
        <v>1426</v>
      </c>
      <c r="C1337" s="165"/>
    </row>
    <row r="1338" spans="1:3" ht="17.399999999999999">
      <c r="A1338" s="159"/>
      <c r="B1338" s="170" t="s">
        <v>1427</v>
      </c>
      <c r="C1338" s="165"/>
    </row>
    <row r="1339" spans="1:3" ht="17.399999999999999">
      <c r="A1339" s="159"/>
      <c r="B1339" s="170" t="s">
        <v>1428</v>
      </c>
      <c r="C1339" s="165"/>
    </row>
    <row r="1340" spans="1:3" ht="17.399999999999999">
      <c r="A1340" s="159"/>
      <c r="B1340" s="170" t="s">
        <v>1429</v>
      </c>
      <c r="C1340" s="165"/>
    </row>
    <row r="1341" spans="1:3" ht="17.399999999999999">
      <c r="A1341" s="159"/>
      <c r="B1341" s="170" t="s">
        <v>1430</v>
      </c>
      <c r="C1341" s="165"/>
    </row>
    <row r="1342" spans="1:3" ht="17.399999999999999">
      <c r="A1342" s="159"/>
      <c r="B1342" s="170" t="s">
        <v>1431</v>
      </c>
      <c r="C1342" s="165"/>
    </row>
    <row r="1343" spans="1:3" ht="17.399999999999999">
      <c r="A1343" s="159"/>
      <c r="B1343" s="170" t="s">
        <v>1432</v>
      </c>
      <c r="C1343" s="165"/>
    </row>
    <row r="1344" spans="1:3" ht="17.399999999999999">
      <c r="A1344" s="159"/>
      <c r="B1344" s="170" t="s">
        <v>1433</v>
      </c>
      <c r="C1344" s="165"/>
    </row>
    <row r="1345" spans="1:3" ht="17.399999999999999">
      <c r="A1345" s="159"/>
      <c r="B1345" s="170" t="s">
        <v>1434</v>
      </c>
      <c r="C1345" s="165"/>
    </row>
    <row r="1346" spans="1:3" ht="17.399999999999999">
      <c r="A1346" s="159"/>
      <c r="B1346" s="170" t="s">
        <v>1435</v>
      </c>
      <c r="C1346" s="165"/>
    </row>
    <row r="1347" spans="1:3" ht="17.399999999999999">
      <c r="A1347" s="159"/>
      <c r="B1347" s="170" t="s">
        <v>1436</v>
      </c>
      <c r="C1347" s="165"/>
    </row>
    <row r="1348" spans="1:3" ht="17.399999999999999">
      <c r="A1348" s="159"/>
      <c r="B1348" s="170" t="s">
        <v>1437</v>
      </c>
      <c r="C1348" s="165"/>
    </row>
    <row r="1349" spans="1:3" ht="17.399999999999999">
      <c r="A1349" s="159"/>
      <c r="B1349" s="170" t="s">
        <v>1438</v>
      </c>
      <c r="C1349" s="165"/>
    </row>
    <row r="1350" spans="1:3" ht="17.399999999999999">
      <c r="A1350" s="159"/>
      <c r="B1350" s="170" t="s">
        <v>1439</v>
      </c>
      <c r="C1350" s="165"/>
    </row>
    <row r="1351" spans="1:3" ht="17.399999999999999">
      <c r="A1351" s="159"/>
      <c r="B1351" s="170" t="s">
        <v>1440</v>
      </c>
      <c r="C1351" s="165"/>
    </row>
    <row r="1352" spans="1:3" ht="17.399999999999999">
      <c r="A1352" s="159"/>
      <c r="B1352" s="170" t="s">
        <v>1441</v>
      </c>
      <c r="C1352" s="165"/>
    </row>
    <row r="1353" spans="1:3" ht="17.399999999999999">
      <c r="A1353" s="159"/>
      <c r="B1353" s="170" t="s">
        <v>1442</v>
      </c>
      <c r="C1353" s="165"/>
    </row>
    <row r="1354" spans="1:3" ht="17.399999999999999">
      <c r="A1354" s="159"/>
      <c r="B1354" s="170" t="s">
        <v>1443</v>
      </c>
      <c r="C1354" s="165"/>
    </row>
    <row r="1355" spans="1:3" ht="17.399999999999999">
      <c r="A1355" s="159"/>
      <c r="B1355" s="170" t="s">
        <v>1444</v>
      </c>
      <c r="C1355" s="165"/>
    </row>
    <row r="1356" spans="1:3" ht="17.399999999999999">
      <c r="A1356" s="159"/>
      <c r="B1356" s="170" t="s">
        <v>1445</v>
      </c>
      <c r="C1356" s="165"/>
    </row>
    <row r="1357" spans="1:3" ht="17.399999999999999">
      <c r="A1357" s="159"/>
      <c r="B1357" s="170" t="s">
        <v>1446</v>
      </c>
      <c r="C1357" s="165"/>
    </row>
    <row r="1358" spans="1:3" ht="17.399999999999999">
      <c r="A1358" s="159"/>
      <c r="B1358" s="170" t="s">
        <v>1447</v>
      </c>
      <c r="C1358" s="165"/>
    </row>
    <row r="1359" spans="1:3" ht="17.399999999999999">
      <c r="A1359" s="159"/>
      <c r="B1359" s="170" t="s">
        <v>1448</v>
      </c>
      <c r="C1359" s="165"/>
    </row>
    <row r="1360" spans="1:3" ht="17.399999999999999">
      <c r="A1360" s="159"/>
      <c r="B1360" s="170" t="s">
        <v>1449</v>
      </c>
      <c r="C1360" s="165"/>
    </row>
    <row r="1361" spans="1:3" ht="17.399999999999999">
      <c r="A1361" s="159"/>
      <c r="B1361" s="170" t="s">
        <v>1450</v>
      </c>
      <c r="C1361" s="165"/>
    </row>
    <row r="1362" spans="1:3" ht="17.399999999999999">
      <c r="A1362" s="159"/>
      <c r="B1362" s="170" t="s">
        <v>1451</v>
      </c>
      <c r="C1362" s="165"/>
    </row>
    <row r="1363" spans="1:3" ht="17.399999999999999">
      <c r="A1363" s="159"/>
      <c r="B1363" s="170" t="s">
        <v>1452</v>
      </c>
      <c r="C1363" s="165"/>
    </row>
    <row r="1364" spans="1:3" ht="17.399999999999999">
      <c r="A1364" s="159"/>
      <c r="B1364" s="170" t="s">
        <v>1453</v>
      </c>
      <c r="C1364" s="165"/>
    </row>
    <row r="1365" spans="1:3" ht="17.399999999999999">
      <c r="A1365" s="159"/>
      <c r="B1365" s="170" t="s">
        <v>1454</v>
      </c>
      <c r="C1365" s="165"/>
    </row>
    <row r="1366" spans="1:3" ht="16.8">
      <c r="A1366" s="165"/>
      <c r="B1366" s="171" t="s">
        <v>1455</v>
      </c>
      <c r="C1366" s="165"/>
    </row>
    <row r="1367" spans="1:3" ht="16.8">
      <c r="A1367" s="165"/>
      <c r="B1367" s="171" t="s">
        <v>1456</v>
      </c>
      <c r="C1367" s="165"/>
    </row>
    <row r="1368" spans="1:3" ht="16.8">
      <c r="A1368" s="165"/>
      <c r="B1368" s="171" t="s">
        <v>1457</v>
      </c>
      <c r="C1368" s="165"/>
    </row>
    <row r="1369" spans="1:3" ht="16.8">
      <c r="A1369" s="165"/>
      <c r="B1369" s="171" t="s">
        <v>1458</v>
      </c>
      <c r="C1369" s="165"/>
    </row>
    <row r="1370" spans="1:3" ht="16.8">
      <c r="A1370" s="165"/>
      <c r="B1370" s="171" t="s">
        <v>1459</v>
      </c>
      <c r="C1370" s="165"/>
    </row>
    <row r="1371" spans="1:3" ht="16.8">
      <c r="A1371" s="165"/>
      <c r="B1371" s="171" t="s">
        <v>1460</v>
      </c>
      <c r="C1371" s="165"/>
    </row>
    <row r="1372" spans="1:3" ht="16.8">
      <c r="A1372" s="165"/>
      <c r="B1372" s="171" t="s">
        <v>1461</v>
      </c>
      <c r="C1372" s="165"/>
    </row>
    <row r="1373" spans="1:3" ht="16.8">
      <c r="A1373" s="165"/>
      <c r="B1373" s="171" t="s">
        <v>1462</v>
      </c>
      <c r="C1373" s="165"/>
    </row>
    <row r="1374" spans="1:3" ht="16.8">
      <c r="A1374" s="165"/>
      <c r="B1374" s="171" t="s">
        <v>1463</v>
      </c>
      <c r="C1374" s="165"/>
    </row>
    <row r="1375" spans="1:3" ht="16.8">
      <c r="A1375" s="165"/>
      <c r="B1375" s="171" t="s">
        <v>1464</v>
      </c>
      <c r="C1375" s="165"/>
    </row>
    <row r="1376" spans="1:3" ht="16.8">
      <c r="A1376" s="165"/>
      <c r="B1376" s="171" t="s">
        <v>1465</v>
      </c>
      <c r="C1376" s="165"/>
    </row>
    <row r="1377" spans="1:3" ht="16.8">
      <c r="A1377" s="165"/>
      <c r="B1377" s="171" t="s">
        <v>1466</v>
      </c>
      <c r="C1377" s="165"/>
    </row>
    <row r="1378" spans="1:3" ht="16.8">
      <c r="A1378" s="165"/>
      <c r="B1378" s="171" t="s">
        <v>1467</v>
      </c>
      <c r="C1378" s="165"/>
    </row>
    <row r="1379" spans="1:3" ht="16.8">
      <c r="A1379" s="165"/>
      <c r="B1379" s="171" t="s">
        <v>1468</v>
      </c>
      <c r="C1379" s="165"/>
    </row>
    <row r="1380" spans="1:3" ht="16.8">
      <c r="A1380" s="165"/>
      <c r="B1380" s="171" t="s">
        <v>1469</v>
      </c>
      <c r="C1380" s="165"/>
    </row>
    <row r="1381" spans="1:3" ht="16.8">
      <c r="A1381" s="165"/>
      <c r="B1381" s="171" t="s">
        <v>1470</v>
      </c>
      <c r="C1381" s="165"/>
    </row>
    <row r="1382" spans="1:3" ht="16.8">
      <c r="A1382" s="165"/>
      <c r="B1382" s="171" t="s">
        <v>1471</v>
      </c>
      <c r="C1382" s="165"/>
    </row>
    <row r="1383" spans="1:3" ht="16.8">
      <c r="A1383" s="165"/>
      <c r="B1383" s="171" t="s">
        <v>1472</v>
      </c>
      <c r="C1383" s="165"/>
    </row>
    <row r="1384" spans="1:3" ht="16.8">
      <c r="A1384" s="165"/>
      <c r="B1384" s="171" t="s">
        <v>1473</v>
      </c>
      <c r="C1384" s="165"/>
    </row>
    <row r="1385" spans="1:3" ht="16.8">
      <c r="A1385" s="165"/>
      <c r="B1385" s="171" t="s">
        <v>1474</v>
      </c>
      <c r="C1385" s="165"/>
    </row>
    <row r="1386" spans="1:3" ht="16.8">
      <c r="A1386" s="165"/>
      <c r="B1386" s="171" t="s">
        <v>1475</v>
      </c>
      <c r="C1386" s="165"/>
    </row>
    <row r="1387" spans="1:3" ht="16.8">
      <c r="A1387" s="165"/>
      <c r="B1387" s="171" t="s">
        <v>1476</v>
      </c>
      <c r="C1387" s="165"/>
    </row>
    <row r="1388" spans="1:3" ht="16.8">
      <c r="A1388" s="165"/>
      <c r="B1388" s="171" t="s">
        <v>1477</v>
      </c>
      <c r="C1388" s="165"/>
    </row>
    <row r="1389" spans="1:3" ht="16.8">
      <c r="A1389" s="165"/>
      <c r="B1389" s="171" t="s">
        <v>1478</v>
      </c>
      <c r="C1389" s="165"/>
    </row>
    <row r="1390" spans="1:3" ht="16.8">
      <c r="A1390" s="165"/>
      <c r="B1390" s="171" t="s">
        <v>1479</v>
      </c>
      <c r="C1390" s="165"/>
    </row>
    <row r="1391" spans="1:3" ht="16.8">
      <c r="A1391" s="165"/>
      <c r="B1391" s="171" t="s">
        <v>1480</v>
      </c>
      <c r="C1391" s="165"/>
    </row>
    <row r="1392" spans="1:3" ht="16.8">
      <c r="A1392" s="165"/>
      <c r="B1392" s="171" t="s">
        <v>1481</v>
      </c>
      <c r="C1392" s="165"/>
    </row>
    <row r="1393" spans="1:3" ht="16.8">
      <c r="A1393" s="165"/>
      <c r="B1393" s="171" t="s">
        <v>1482</v>
      </c>
      <c r="C1393" s="165"/>
    </row>
    <row r="1394" spans="1:3" ht="16.8">
      <c r="A1394" s="165"/>
      <c r="B1394" s="171" t="s">
        <v>1483</v>
      </c>
      <c r="C1394" s="165"/>
    </row>
    <row r="1395" spans="1:3" ht="16.8">
      <c r="A1395" s="165"/>
      <c r="B1395" s="171" t="s">
        <v>1484</v>
      </c>
      <c r="C1395" s="165"/>
    </row>
    <row r="1396" spans="1:3" ht="16.8">
      <c r="A1396" s="165"/>
      <c r="B1396" s="171" t="s">
        <v>1485</v>
      </c>
      <c r="C1396" s="165"/>
    </row>
    <row r="1397" spans="1:3" ht="16.8">
      <c r="A1397" s="165"/>
      <c r="B1397" s="171" t="s">
        <v>1486</v>
      </c>
      <c r="C1397" s="165"/>
    </row>
    <row r="1398" spans="1:3" ht="16.8">
      <c r="A1398" s="165"/>
      <c r="B1398" s="171" t="s">
        <v>1487</v>
      </c>
      <c r="C1398" s="165"/>
    </row>
    <row r="1399" spans="1:3" ht="16.8">
      <c r="A1399" s="165"/>
      <c r="B1399" s="171" t="s">
        <v>1488</v>
      </c>
      <c r="C1399" s="165"/>
    </row>
    <row r="1400" spans="1:3" ht="16.8">
      <c r="A1400" s="165"/>
      <c r="B1400" s="171" t="s">
        <v>1489</v>
      </c>
      <c r="C1400" s="165"/>
    </row>
    <row r="1401" spans="1:3" ht="16.8">
      <c r="A1401" s="165"/>
      <c r="B1401" s="171" t="s">
        <v>1490</v>
      </c>
      <c r="C1401" s="165"/>
    </row>
    <row r="1402" spans="1:3" ht="16.8">
      <c r="A1402" s="165"/>
      <c r="B1402" s="171" t="s">
        <v>1491</v>
      </c>
      <c r="C1402" s="165"/>
    </row>
    <row r="1403" spans="1:3" ht="16.8">
      <c r="A1403" s="165"/>
      <c r="B1403" s="171" t="s">
        <v>1492</v>
      </c>
      <c r="C1403" s="165"/>
    </row>
    <row r="1404" spans="1:3" ht="16.8">
      <c r="A1404" s="165"/>
      <c r="B1404" s="171" t="s">
        <v>1493</v>
      </c>
      <c r="C1404" s="165"/>
    </row>
    <row r="1405" spans="1:3" ht="16.8">
      <c r="A1405" s="165"/>
      <c r="B1405" s="171" t="s">
        <v>1494</v>
      </c>
      <c r="C1405" s="165"/>
    </row>
    <row r="1406" spans="1:3" ht="16.8">
      <c r="A1406" s="165"/>
      <c r="B1406" s="171"/>
      <c r="C1406" s="165"/>
    </row>
    <row r="1407" spans="1:3" ht="16.8">
      <c r="A1407" s="165"/>
      <c r="B1407" s="171"/>
      <c r="C1407" s="165"/>
    </row>
    <row r="1408" spans="1:3" ht="16.8">
      <c r="A1408" s="165"/>
      <c r="B1408" s="171"/>
      <c r="C1408" s="165"/>
    </row>
    <row r="1409" spans="1:3" ht="16.8">
      <c r="A1409" s="165"/>
      <c r="B1409" s="171"/>
      <c r="C1409" s="165"/>
    </row>
    <row r="1410" spans="1:3" ht="16.8">
      <c r="A1410" s="165"/>
      <c r="B1410" s="171"/>
      <c r="C1410" s="165"/>
    </row>
    <row r="1411" spans="1:3" ht="16.8">
      <c r="A1411" s="165"/>
      <c r="B1411" s="171"/>
      <c r="C1411" s="165"/>
    </row>
    <row r="1412" spans="1:3" ht="16.8">
      <c r="A1412" s="165"/>
      <c r="B1412" s="171"/>
      <c r="C1412" s="165"/>
    </row>
    <row r="1413" spans="1:3" ht="16.8">
      <c r="A1413" s="165"/>
      <c r="B1413" s="171"/>
      <c r="C1413" s="165"/>
    </row>
    <row r="1414" spans="1:3" ht="16.8">
      <c r="A1414" s="165"/>
      <c r="B1414" s="171"/>
      <c r="C1414" s="165"/>
    </row>
    <row r="1415" spans="1:3" ht="16.8">
      <c r="A1415" s="165"/>
      <c r="B1415" s="171"/>
      <c r="C1415" s="165"/>
    </row>
    <row r="1416" spans="1:3" ht="16.8">
      <c r="A1416" s="165"/>
      <c r="B1416" s="171"/>
      <c r="C1416" s="165"/>
    </row>
    <row r="1417" spans="1:3" ht="16.8">
      <c r="A1417" s="165"/>
      <c r="B1417" s="171"/>
      <c r="C1417" s="165"/>
    </row>
    <row r="1418" spans="1:3" ht="16.8">
      <c r="A1418" s="165"/>
      <c r="B1418" s="171"/>
      <c r="C1418" s="165"/>
    </row>
    <row r="1419" spans="1:3" ht="16.8">
      <c r="A1419" s="165"/>
      <c r="B1419" s="171"/>
      <c r="C1419" s="165"/>
    </row>
    <row r="1420" spans="1:3" ht="16.8">
      <c r="A1420" s="165"/>
      <c r="B1420" s="171"/>
      <c r="C1420" s="165"/>
    </row>
    <row r="1421" spans="1:3" ht="16.8">
      <c r="A1421" s="165"/>
      <c r="B1421" s="171"/>
      <c r="C1421" s="165"/>
    </row>
    <row r="1422" spans="1:3" ht="16.8">
      <c r="A1422" s="165"/>
      <c r="B1422" s="171"/>
      <c r="C1422" s="165"/>
    </row>
    <row r="1423" spans="1:3" ht="16.8">
      <c r="A1423" s="165"/>
      <c r="B1423" s="171"/>
      <c r="C1423" s="165"/>
    </row>
    <row r="1424" spans="1:3" ht="16.8">
      <c r="A1424" s="165"/>
      <c r="B1424" s="171"/>
      <c r="C1424" s="165"/>
    </row>
    <row r="1425" spans="1:3" ht="16.8">
      <c r="A1425" s="165"/>
      <c r="B1425" s="171"/>
      <c r="C1425" s="165"/>
    </row>
    <row r="1426" spans="1:3" ht="16.8">
      <c r="A1426" s="165"/>
      <c r="B1426" s="171"/>
      <c r="C1426" s="165"/>
    </row>
    <row r="1427" spans="1:3" ht="16.8">
      <c r="A1427" s="165"/>
      <c r="B1427" s="171"/>
      <c r="C1427" s="165"/>
    </row>
    <row r="1428" spans="1:3" ht="16.8">
      <c r="A1428" s="165"/>
      <c r="B1428" s="171"/>
      <c r="C1428" s="165"/>
    </row>
    <row r="1429" spans="1:3" ht="16.8">
      <c r="A1429" s="165"/>
      <c r="B1429" s="171"/>
      <c r="C1429" s="165"/>
    </row>
    <row r="1430" spans="1:3" ht="16.8">
      <c r="A1430" s="165"/>
      <c r="B1430" s="171"/>
      <c r="C1430" s="165"/>
    </row>
    <row r="1431" spans="1:3" ht="16.8">
      <c r="A1431" s="165"/>
      <c r="B1431" s="171"/>
      <c r="C1431" s="165"/>
    </row>
    <row r="1432" spans="1:3" ht="16.8">
      <c r="A1432" s="165"/>
      <c r="B1432" s="171"/>
      <c r="C1432" s="165"/>
    </row>
    <row r="1433" spans="1:3" ht="16.8">
      <c r="A1433" s="165"/>
      <c r="B1433" s="171"/>
      <c r="C1433" s="165"/>
    </row>
    <row r="1434" spans="1:3" ht="16.8">
      <c r="A1434" s="165"/>
      <c r="B1434" s="171"/>
      <c r="C1434" s="165"/>
    </row>
    <row r="1435" spans="1:3" ht="16.8">
      <c r="A1435" s="165"/>
      <c r="B1435" s="171"/>
      <c r="C1435" s="165"/>
    </row>
    <row r="1436" spans="1:3" ht="16.8">
      <c r="A1436" s="165"/>
      <c r="B1436" s="171"/>
      <c r="C1436" s="165"/>
    </row>
    <row r="1437" spans="1:3" ht="16.8">
      <c r="A1437" s="165"/>
      <c r="B1437" s="171"/>
      <c r="C1437" s="165"/>
    </row>
    <row r="1438" spans="1:3" ht="16.8">
      <c r="A1438" s="165"/>
      <c r="B1438" s="171"/>
      <c r="C1438" s="165"/>
    </row>
    <row r="1439" spans="1:3" ht="16.8">
      <c r="A1439" s="165"/>
      <c r="B1439" s="171"/>
      <c r="C1439" s="165"/>
    </row>
    <row r="1440" spans="1:3" ht="16.8">
      <c r="A1440" s="165"/>
      <c r="B1440" s="171"/>
      <c r="C1440" s="165"/>
    </row>
    <row r="1441" spans="1:3" ht="16.8">
      <c r="A1441" s="165"/>
      <c r="B1441" s="171"/>
      <c r="C1441" s="165"/>
    </row>
    <row r="1442" spans="1:3" ht="16.8">
      <c r="A1442" s="165"/>
      <c r="B1442" s="171"/>
      <c r="C1442" s="165"/>
    </row>
    <row r="1443" spans="1:3" ht="16.8">
      <c r="A1443" s="165"/>
      <c r="B1443" s="171"/>
      <c r="C1443" s="165"/>
    </row>
    <row r="1444" spans="1:3" ht="16.8">
      <c r="A1444" s="165"/>
      <c r="B1444" s="171"/>
      <c r="C1444" s="165"/>
    </row>
    <row r="1445" spans="1:3" ht="16.8">
      <c r="A1445" s="165"/>
      <c r="B1445" s="171"/>
      <c r="C1445" s="165"/>
    </row>
    <row r="1446" spans="1:3" ht="16.8">
      <c r="A1446" s="165"/>
      <c r="B1446" s="171"/>
      <c r="C1446" s="165"/>
    </row>
    <row r="1447" spans="1:3" ht="16.8">
      <c r="A1447" s="165"/>
      <c r="B1447" s="171"/>
      <c r="C1447" s="165"/>
    </row>
    <row r="1448" spans="1:3" ht="16.8">
      <c r="A1448" s="165"/>
      <c r="B1448" s="171"/>
      <c r="C1448" s="165"/>
    </row>
    <row r="1449" spans="1:3" ht="16.8">
      <c r="A1449" s="165"/>
      <c r="B1449" s="171"/>
      <c r="C1449" s="165"/>
    </row>
    <row r="1450" spans="1:3" ht="16.8">
      <c r="A1450" s="165"/>
      <c r="B1450" s="171"/>
      <c r="C1450" s="165"/>
    </row>
    <row r="1451" spans="1:3" ht="16.8">
      <c r="A1451" s="165"/>
      <c r="B1451" s="171"/>
      <c r="C1451" s="165"/>
    </row>
    <row r="1452" spans="1:3" ht="16.8">
      <c r="A1452" s="165"/>
      <c r="B1452" s="171"/>
      <c r="C1452" s="165"/>
    </row>
    <row r="1453" spans="1:3" ht="16.8">
      <c r="A1453" s="165"/>
      <c r="B1453" s="171"/>
      <c r="C1453" s="165"/>
    </row>
    <row r="1454" spans="1:3" ht="16.8">
      <c r="A1454" s="165"/>
      <c r="B1454" s="171"/>
      <c r="C1454" s="165"/>
    </row>
    <row r="1455" spans="1:3" ht="16.8">
      <c r="A1455" s="165"/>
      <c r="B1455" s="171"/>
      <c r="C1455" s="165"/>
    </row>
    <row r="1456" spans="1:3" ht="16.8">
      <c r="A1456" s="165"/>
      <c r="B1456" s="171"/>
      <c r="C1456" s="165"/>
    </row>
    <row r="1457" spans="1:3" ht="16.8">
      <c r="A1457" s="165"/>
      <c r="B1457" s="171"/>
      <c r="C1457" s="165"/>
    </row>
    <row r="1458" spans="1:3" ht="16.8">
      <c r="A1458" s="165"/>
      <c r="B1458" s="171"/>
      <c r="C1458" s="165"/>
    </row>
    <row r="1459" spans="1:3" ht="16.8">
      <c r="A1459" s="165"/>
      <c r="B1459" s="171"/>
      <c r="C1459" s="165"/>
    </row>
    <row r="1460" spans="1:3" ht="16.8">
      <c r="A1460" s="165"/>
      <c r="B1460" s="171"/>
      <c r="C1460" s="165"/>
    </row>
    <row r="1461" spans="1:3" ht="16.8">
      <c r="A1461" s="165"/>
      <c r="B1461" s="171"/>
      <c r="C1461" s="165"/>
    </row>
    <row r="1462" spans="1:3" ht="16.8">
      <c r="A1462" s="165"/>
      <c r="B1462" s="171"/>
      <c r="C1462" s="165"/>
    </row>
    <row r="1463" spans="1:3" ht="16.8">
      <c r="A1463" s="165"/>
      <c r="B1463" s="171"/>
      <c r="C1463" s="165"/>
    </row>
    <row r="1464" spans="1:3" ht="16.8">
      <c r="A1464" s="165"/>
      <c r="B1464" s="171"/>
      <c r="C1464" s="165"/>
    </row>
    <row r="1465" spans="1:3" ht="16.8">
      <c r="A1465" s="165"/>
      <c r="B1465" s="171"/>
      <c r="C1465" s="165"/>
    </row>
    <row r="1466" spans="1:3" ht="16.8">
      <c r="A1466" s="165"/>
      <c r="B1466" s="171"/>
      <c r="C1466" s="165"/>
    </row>
    <row r="1467" spans="1:3" ht="16.8">
      <c r="A1467" s="165"/>
      <c r="B1467" s="171"/>
      <c r="C1467" s="165"/>
    </row>
    <row r="1468" spans="1:3" ht="16.8">
      <c r="A1468" s="165"/>
      <c r="B1468" s="171"/>
      <c r="C1468" s="165"/>
    </row>
    <row r="1469" spans="1:3" ht="16.8">
      <c r="A1469" s="165"/>
      <c r="B1469" s="171"/>
      <c r="C1469" s="165"/>
    </row>
    <row r="1470" spans="1:3" ht="16.8">
      <c r="A1470" s="165"/>
      <c r="B1470" s="171"/>
      <c r="C1470" s="165"/>
    </row>
    <row r="1471" spans="1:3" ht="16.8">
      <c r="A1471" s="165"/>
      <c r="B1471" s="171"/>
      <c r="C1471" s="165"/>
    </row>
    <row r="1472" spans="1:3" ht="16.8">
      <c r="A1472" s="165"/>
      <c r="B1472" s="171"/>
      <c r="C1472" s="165"/>
    </row>
    <row r="1473" spans="1:3" ht="16.8">
      <c r="A1473" s="165"/>
      <c r="B1473" s="171"/>
      <c r="C1473" s="165"/>
    </row>
    <row r="1474" spans="1:3" ht="16.8">
      <c r="A1474" s="165"/>
      <c r="B1474" s="171"/>
      <c r="C1474" s="165"/>
    </row>
    <row r="1475" spans="1:3" ht="16.8">
      <c r="A1475" s="165"/>
      <c r="B1475" s="171"/>
      <c r="C1475" s="165"/>
    </row>
    <row r="1476" spans="1:3" ht="16.8">
      <c r="A1476" s="165"/>
      <c r="B1476" s="171"/>
      <c r="C1476" s="165"/>
    </row>
    <row r="1477" spans="1:3" ht="16.8">
      <c r="A1477" s="165"/>
      <c r="B1477" s="171"/>
      <c r="C1477" s="165"/>
    </row>
    <row r="1478" spans="1:3" ht="16.8">
      <c r="A1478" s="165"/>
      <c r="B1478" s="171"/>
      <c r="C1478" s="165"/>
    </row>
    <row r="1479" spans="1:3" ht="16.8">
      <c r="A1479" s="165"/>
      <c r="B1479" s="171"/>
      <c r="C1479" s="165"/>
    </row>
    <row r="1480" spans="1:3" ht="16.8">
      <c r="A1480" s="165"/>
      <c r="B1480" s="171"/>
      <c r="C1480" s="165"/>
    </row>
    <row r="1481" spans="1:3" ht="16.8">
      <c r="A1481" s="165"/>
      <c r="B1481" s="171"/>
      <c r="C1481" s="165"/>
    </row>
    <row r="1482" spans="1:3" ht="16.8">
      <c r="A1482" s="165"/>
      <c r="B1482" s="171"/>
      <c r="C1482" s="165"/>
    </row>
    <row r="1483" spans="1:3" ht="16.8">
      <c r="A1483" s="165"/>
      <c r="B1483" s="171"/>
      <c r="C1483" s="165"/>
    </row>
    <row r="1484" spans="1:3" ht="16.8">
      <c r="A1484" s="165"/>
      <c r="B1484" s="171"/>
      <c r="C1484" s="165"/>
    </row>
    <row r="1485" spans="1:3" ht="16.8">
      <c r="A1485" s="165"/>
      <c r="B1485" s="171"/>
      <c r="C1485" s="165"/>
    </row>
    <row r="1486" spans="1:3" ht="16.8">
      <c r="A1486" s="165"/>
      <c r="B1486" s="171"/>
      <c r="C1486" s="165"/>
    </row>
    <row r="1487" spans="1:3" ht="16.8">
      <c r="A1487" s="165"/>
      <c r="B1487" s="171"/>
      <c r="C1487" s="165"/>
    </row>
    <row r="1488" spans="1:3" ht="16.8">
      <c r="A1488" s="165"/>
      <c r="B1488" s="171"/>
      <c r="C1488" s="165"/>
    </row>
    <row r="1489" spans="1:3" ht="16.8">
      <c r="A1489" s="165"/>
      <c r="B1489" s="171"/>
      <c r="C1489" s="165"/>
    </row>
    <row r="1490" spans="1:3" ht="16.8">
      <c r="A1490" s="165"/>
      <c r="B1490" s="171"/>
      <c r="C1490" s="165"/>
    </row>
    <row r="1491" spans="1:3" ht="16.8">
      <c r="A1491" s="165"/>
      <c r="B1491" s="171"/>
      <c r="C1491" s="165"/>
    </row>
    <row r="1492" spans="1:3" ht="16.8">
      <c r="A1492" s="165"/>
      <c r="B1492" s="171"/>
      <c r="C1492" s="165"/>
    </row>
    <row r="1493" spans="1:3" ht="16.8">
      <c r="A1493" s="165"/>
      <c r="B1493" s="171"/>
      <c r="C1493" s="165"/>
    </row>
    <row r="1494" spans="1:3" ht="16.8">
      <c r="A1494" s="165"/>
      <c r="B1494" s="171"/>
      <c r="C1494" s="165"/>
    </row>
    <row r="1495" spans="1:3" ht="16.8">
      <c r="A1495" s="165"/>
      <c r="B1495" s="171"/>
      <c r="C1495" s="165"/>
    </row>
    <row r="1496" spans="1:3" ht="16.8">
      <c r="A1496" s="165"/>
      <c r="B1496" s="171"/>
      <c r="C1496" s="165"/>
    </row>
    <row r="1497" spans="1:3" ht="16.8">
      <c r="A1497" s="165"/>
      <c r="B1497" s="171"/>
      <c r="C1497" s="165"/>
    </row>
    <row r="1498" spans="1:3" ht="16.8">
      <c r="A1498" s="165"/>
      <c r="B1498" s="171"/>
      <c r="C1498" s="165"/>
    </row>
    <row r="1499" spans="1:3" ht="16.8">
      <c r="A1499" s="165"/>
      <c r="B1499" s="171"/>
      <c r="C1499" s="165"/>
    </row>
    <row r="1500" spans="1:3" ht="16.8">
      <c r="A1500" s="165"/>
      <c r="B1500" s="171"/>
      <c r="C1500" s="165"/>
    </row>
    <row r="1501" spans="1:3" ht="16.8">
      <c r="A1501" s="165"/>
      <c r="B1501" s="171"/>
      <c r="C1501" s="165"/>
    </row>
    <row r="1502" spans="1:3" ht="16.8">
      <c r="A1502" s="165"/>
      <c r="B1502" s="171"/>
      <c r="C1502" s="165"/>
    </row>
    <row r="1503" spans="1:3" ht="16.8">
      <c r="A1503" s="165"/>
      <c r="B1503" s="171"/>
      <c r="C1503" s="165"/>
    </row>
    <row r="1504" spans="1:3" ht="16.8">
      <c r="A1504" s="165"/>
      <c r="B1504" s="171"/>
      <c r="C1504" s="165"/>
    </row>
    <row r="1505" spans="1:3" ht="16.8">
      <c r="A1505" s="165"/>
      <c r="B1505" s="171"/>
      <c r="C1505" s="165"/>
    </row>
    <row r="1506" spans="1:3" ht="16.8">
      <c r="A1506" s="165"/>
      <c r="B1506" s="171"/>
      <c r="C1506" s="165"/>
    </row>
    <row r="1507" spans="1:3" ht="16.8">
      <c r="A1507" s="165"/>
      <c r="B1507" s="171"/>
      <c r="C1507" s="165"/>
    </row>
    <row r="1508" spans="1:3" ht="16.8">
      <c r="A1508" s="165"/>
      <c r="B1508" s="171"/>
      <c r="C1508" s="165"/>
    </row>
    <row r="1509" spans="1:3" ht="16.8">
      <c r="A1509" s="165"/>
      <c r="B1509" s="171"/>
      <c r="C1509" s="165"/>
    </row>
    <row r="1510" spans="1:3" ht="16.8">
      <c r="A1510" s="165"/>
      <c r="B1510" s="171"/>
      <c r="C1510" s="165"/>
    </row>
    <row r="1511" spans="1:3" ht="16.8">
      <c r="A1511" s="165"/>
      <c r="B1511" s="171"/>
      <c r="C1511" s="165"/>
    </row>
    <row r="1512" spans="1:3" ht="16.8">
      <c r="A1512" s="165"/>
      <c r="B1512" s="171"/>
      <c r="C1512" s="165"/>
    </row>
    <row r="1513" spans="1:3" ht="16.8">
      <c r="A1513" s="165"/>
      <c r="B1513" s="171"/>
      <c r="C1513" s="165"/>
    </row>
    <row r="1514" spans="1:3" ht="16.8">
      <c r="A1514" s="165"/>
      <c r="B1514" s="171"/>
      <c r="C1514" s="165"/>
    </row>
    <row r="1515" spans="1:3" ht="16.8">
      <c r="A1515" s="165"/>
      <c r="B1515" s="171"/>
      <c r="C1515" s="165"/>
    </row>
    <row r="1516" spans="1:3" ht="16.8">
      <c r="A1516" s="165"/>
      <c r="B1516" s="171"/>
      <c r="C1516" s="165"/>
    </row>
    <row r="1517" spans="1:3" ht="16.8">
      <c r="A1517" s="165"/>
      <c r="B1517" s="171"/>
      <c r="C1517" s="165"/>
    </row>
    <row r="1518" spans="1:3" ht="16.8">
      <c r="A1518" s="165"/>
      <c r="B1518" s="171"/>
      <c r="C1518" s="165"/>
    </row>
    <row r="1519" spans="1:3" ht="16.8">
      <c r="A1519" s="165"/>
      <c r="B1519" s="171"/>
      <c r="C1519" s="165"/>
    </row>
    <row r="1520" spans="1:3" ht="16.8">
      <c r="A1520" s="165"/>
      <c r="B1520" s="171"/>
      <c r="C1520" s="165"/>
    </row>
    <row r="1521" spans="1:3" ht="16.8">
      <c r="A1521" s="165"/>
      <c r="B1521" s="171"/>
      <c r="C1521" s="165"/>
    </row>
    <row r="1522" spans="1:3" ht="16.8">
      <c r="A1522" s="165"/>
      <c r="B1522" s="171"/>
      <c r="C1522" s="165"/>
    </row>
    <row r="1523" spans="1:3" ht="16.8">
      <c r="A1523" s="165"/>
      <c r="B1523" s="171"/>
      <c r="C1523" s="165"/>
    </row>
    <row r="1524" spans="1:3" ht="16.8">
      <c r="A1524" s="165"/>
      <c r="B1524" s="171"/>
      <c r="C1524" s="165"/>
    </row>
    <row r="1525" spans="1:3" ht="16.8">
      <c r="A1525" s="165"/>
      <c r="B1525" s="171"/>
      <c r="C1525" s="165"/>
    </row>
    <row r="1526" spans="1:3" ht="16.8">
      <c r="A1526" s="165"/>
      <c r="B1526" s="171"/>
      <c r="C1526" s="165"/>
    </row>
    <row r="1527" spans="1:3" ht="16.8">
      <c r="A1527" s="165"/>
      <c r="B1527" s="171"/>
      <c r="C1527" s="165"/>
    </row>
    <row r="1528" spans="1:3" ht="16.8">
      <c r="A1528" s="165"/>
      <c r="B1528" s="171"/>
      <c r="C1528" s="165"/>
    </row>
    <row r="1529" spans="1:3" ht="16.8">
      <c r="A1529" s="165"/>
      <c r="B1529" s="171"/>
      <c r="C1529" s="165"/>
    </row>
    <row r="1530" spans="1:3" ht="16.8">
      <c r="A1530" s="165"/>
      <c r="B1530" s="171"/>
      <c r="C1530" s="165"/>
    </row>
    <row r="1531" spans="1:3" ht="16.8">
      <c r="A1531" s="165"/>
      <c r="B1531" s="171"/>
      <c r="C1531" s="165"/>
    </row>
    <row r="1532" spans="1:3" ht="16.8">
      <c r="A1532" s="165"/>
      <c r="B1532" s="171"/>
      <c r="C1532" s="165"/>
    </row>
    <row r="1533" spans="1:3" ht="16.8">
      <c r="A1533" s="165"/>
      <c r="B1533" s="171"/>
      <c r="C1533" s="165"/>
    </row>
    <row r="1534" spans="1:3" ht="16.8">
      <c r="A1534" s="165"/>
      <c r="B1534" s="171"/>
      <c r="C1534" s="165"/>
    </row>
    <row r="1535" spans="1:3" ht="16.8">
      <c r="A1535" s="165"/>
      <c r="B1535" s="171"/>
      <c r="C1535" s="165"/>
    </row>
    <row r="1536" spans="1:3" ht="16.8">
      <c r="A1536" s="165"/>
      <c r="B1536" s="171"/>
      <c r="C1536" s="165"/>
    </row>
    <row r="1537" spans="1:3" ht="16.8">
      <c r="A1537" s="165"/>
      <c r="B1537" s="171"/>
      <c r="C1537" s="165"/>
    </row>
    <row r="1538" spans="1:3" ht="16.8">
      <c r="A1538" s="165"/>
      <c r="B1538" s="171"/>
      <c r="C1538" s="165"/>
    </row>
    <row r="1539" spans="1:3" ht="16.8">
      <c r="A1539" s="165"/>
      <c r="B1539" s="171"/>
      <c r="C1539" s="165"/>
    </row>
    <row r="1540" spans="1:3" ht="16.8">
      <c r="A1540" s="165"/>
      <c r="B1540" s="171"/>
      <c r="C1540" s="165"/>
    </row>
    <row r="1541" spans="1:3" ht="16.8">
      <c r="A1541" s="165"/>
      <c r="B1541" s="171"/>
      <c r="C1541" s="165"/>
    </row>
    <row r="1542" spans="1:3" ht="16.8">
      <c r="A1542" s="165"/>
      <c r="B1542" s="171"/>
      <c r="C1542" s="165"/>
    </row>
    <row r="1543" spans="1:3" ht="16.8">
      <c r="A1543" s="165"/>
      <c r="B1543" s="171"/>
      <c r="C1543" s="165"/>
    </row>
    <row r="1544" spans="1:3" ht="16.8">
      <c r="A1544" s="165"/>
      <c r="B1544" s="171"/>
      <c r="C1544" s="165"/>
    </row>
    <row r="1545" spans="1:3" ht="16.8">
      <c r="A1545" s="165"/>
      <c r="B1545" s="171"/>
      <c r="C1545" s="165"/>
    </row>
    <row r="1546" spans="1:3" ht="16.8">
      <c r="A1546" s="165"/>
      <c r="B1546" s="171"/>
      <c r="C1546" s="165"/>
    </row>
    <row r="1547" spans="1:3" ht="16.8">
      <c r="A1547" s="165"/>
      <c r="B1547" s="171"/>
      <c r="C1547" s="165"/>
    </row>
    <row r="1548" spans="1:3" ht="16.8">
      <c r="A1548" s="165"/>
      <c r="B1548" s="171"/>
      <c r="C1548" s="165"/>
    </row>
    <row r="1549" spans="1:3" ht="16.8">
      <c r="A1549" s="165"/>
      <c r="B1549" s="171"/>
      <c r="C1549" s="165"/>
    </row>
    <row r="1550" spans="1:3" ht="16.8">
      <c r="A1550" s="165"/>
      <c r="B1550" s="171"/>
      <c r="C1550" s="165"/>
    </row>
    <row r="1551" spans="1:3" ht="16.8">
      <c r="A1551" s="165"/>
      <c r="B1551" s="171"/>
      <c r="C1551" s="165"/>
    </row>
    <row r="1552" spans="1:3" ht="16.8">
      <c r="A1552" s="165"/>
      <c r="B1552" s="171"/>
      <c r="C1552" s="165"/>
    </row>
    <row r="1553" spans="1:3" ht="16.8">
      <c r="A1553" s="165"/>
      <c r="B1553" s="171"/>
      <c r="C1553" s="165"/>
    </row>
    <row r="1554" spans="1:3" ht="16.8">
      <c r="A1554" s="165"/>
      <c r="B1554" s="171"/>
      <c r="C1554" s="165"/>
    </row>
    <row r="1555" spans="1:3" ht="16.8">
      <c r="A1555" s="165"/>
      <c r="B1555" s="171"/>
      <c r="C1555" s="165"/>
    </row>
    <row r="1556" spans="1:3" ht="16.8">
      <c r="A1556" s="165"/>
      <c r="B1556" s="171"/>
      <c r="C1556" s="165"/>
    </row>
    <row r="1557" spans="1:3" ht="16.8">
      <c r="A1557" s="165"/>
      <c r="B1557" s="171"/>
      <c r="C1557" s="165"/>
    </row>
    <row r="1558" spans="1:3" ht="16.8">
      <c r="A1558" s="165"/>
      <c r="B1558" s="171"/>
      <c r="C1558" s="165"/>
    </row>
    <row r="1559" spans="1:3" ht="16.8">
      <c r="A1559" s="165"/>
      <c r="B1559" s="171"/>
      <c r="C1559" s="165"/>
    </row>
    <row r="1560" spans="1:3" ht="16.8">
      <c r="A1560" s="165"/>
      <c r="B1560" s="171"/>
      <c r="C1560" s="165"/>
    </row>
    <row r="1561" spans="1:3" ht="16.8">
      <c r="A1561" s="165"/>
      <c r="B1561" s="171"/>
      <c r="C1561" s="165"/>
    </row>
    <row r="1562" spans="1:3" ht="16.8">
      <c r="A1562" s="165"/>
      <c r="B1562" s="171"/>
      <c r="C1562" s="165"/>
    </row>
    <row r="1563" spans="1:3" ht="16.8">
      <c r="A1563" s="165"/>
      <c r="B1563" s="171"/>
      <c r="C1563" s="165"/>
    </row>
    <row r="1564" spans="1:3" ht="16.8">
      <c r="A1564" s="165"/>
      <c r="B1564" s="171"/>
      <c r="C1564" s="165"/>
    </row>
    <row r="1565" spans="1:3" ht="16.8">
      <c r="A1565" s="165"/>
      <c r="B1565" s="171"/>
      <c r="C1565" s="165"/>
    </row>
    <row r="1566" spans="1:3" ht="16.8">
      <c r="A1566" s="165"/>
      <c r="B1566" s="171"/>
      <c r="C1566" s="165"/>
    </row>
    <row r="1567" spans="1:3" ht="16.8">
      <c r="A1567" s="165"/>
      <c r="B1567" s="171"/>
      <c r="C1567" s="165"/>
    </row>
    <row r="1568" spans="1:3" ht="16.8">
      <c r="A1568" s="165"/>
      <c r="B1568" s="171"/>
      <c r="C1568" s="165"/>
    </row>
    <row r="1569" spans="1:3" ht="16.8">
      <c r="A1569" s="165"/>
      <c r="B1569" s="171"/>
      <c r="C1569" s="165"/>
    </row>
    <row r="1570" spans="1:3" ht="16.8">
      <c r="A1570" s="165"/>
      <c r="B1570" s="171"/>
      <c r="C1570" s="165"/>
    </row>
    <row r="1571" spans="1:3" ht="16.8">
      <c r="A1571" s="165"/>
      <c r="B1571" s="171"/>
      <c r="C1571" s="165"/>
    </row>
    <row r="1572" spans="1:3" ht="16.8">
      <c r="A1572" s="165"/>
      <c r="B1572" s="171"/>
      <c r="C1572" s="165"/>
    </row>
    <row r="1573" spans="1:3" ht="16.8">
      <c r="A1573" s="165"/>
      <c r="B1573" s="171"/>
      <c r="C1573" s="165"/>
    </row>
    <row r="1574" spans="1:3" ht="16.8">
      <c r="A1574" s="165"/>
      <c r="B1574" s="171"/>
      <c r="C1574" s="165"/>
    </row>
    <row r="1575" spans="1:3" ht="16.8">
      <c r="A1575" s="165"/>
      <c r="B1575" s="171"/>
      <c r="C1575" s="165"/>
    </row>
    <row r="1576" spans="1:3" ht="16.8">
      <c r="A1576" s="165"/>
      <c r="B1576" s="171"/>
      <c r="C1576" s="165"/>
    </row>
    <row r="1577" spans="1:3" ht="16.8">
      <c r="A1577" s="165"/>
      <c r="B1577" s="171"/>
      <c r="C1577" s="165"/>
    </row>
    <row r="1578" spans="1:3" ht="16.8">
      <c r="A1578" s="165"/>
      <c r="B1578" s="171"/>
      <c r="C1578" s="165"/>
    </row>
    <row r="1579" spans="1:3" ht="16.8">
      <c r="A1579" s="165"/>
      <c r="B1579" s="171"/>
      <c r="C1579" s="165"/>
    </row>
    <row r="1580" spans="1:3" ht="16.8">
      <c r="A1580" s="165"/>
      <c r="B1580" s="171"/>
      <c r="C1580" s="165"/>
    </row>
    <row r="1581" spans="1:3" ht="16.8">
      <c r="A1581" s="165"/>
      <c r="B1581" s="171"/>
      <c r="C1581" s="165"/>
    </row>
    <row r="1582" spans="1:3" ht="16.8">
      <c r="A1582" s="165"/>
      <c r="B1582" s="171"/>
      <c r="C1582" s="165"/>
    </row>
    <row r="1583" spans="1:3" ht="16.8">
      <c r="A1583" s="165"/>
      <c r="B1583" s="171"/>
      <c r="C1583" s="165"/>
    </row>
    <row r="1584" spans="1:3" ht="16.8">
      <c r="A1584" s="165"/>
      <c r="B1584" s="171"/>
      <c r="C1584" s="165"/>
    </row>
    <row r="1585" spans="1:3" ht="16.8">
      <c r="A1585" s="165"/>
      <c r="B1585" s="171"/>
      <c r="C1585" s="165"/>
    </row>
    <row r="1586" spans="1:3" ht="16.8">
      <c r="A1586" s="165"/>
      <c r="B1586" s="171"/>
      <c r="C1586" s="165"/>
    </row>
    <row r="1587" spans="1:3" ht="16.8">
      <c r="A1587" s="165"/>
      <c r="B1587" s="171"/>
      <c r="C1587" s="165"/>
    </row>
    <row r="1588" spans="1:3" ht="16.8">
      <c r="A1588" s="165"/>
      <c r="B1588" s="171"/>
      <c r="C1588" s="165"/>
    </row>
    <row r="1589" spans="1:3" ht="16.8">
      <c r="A1589" s="165"/>
      <c r="B1589" s="171"/>
      <c r="C1589" s="165"/>
    </row>
    <row r="1590" spans="1:3" ht="16.8">
      <c r="A1590" s="165"/>
      <c r="B1590" s="171"/>
      <c r="C1590" s="165"/>
    </row>
    <row r="1591" spans="1:3" ht="16.8">
      <c r="A1591" s="165"/>
      <c r="B1591" s="171"/>
      <c r="C1591" s="165"/>
    </row>
    <row r="1592" spans="1:3" ht="16.8">
      <c r="A1592" s="165"/>
      <c r="B1592" s="171"/>
      <c r="C1592" s="165"/>
    </row>
    <row r="1593" spans="1:3" ht="16.8">
      <c r="A1593" s="165"/>
      <c r="B1593" s="171"/>
      <c r="C1593" s="165"/>
    </row>
    <row r="1594" spans="1:3" ht="16.8">
      <c r="A1594" s="165"/>
      <c r="B1594" s="171"/>
      <c r="C1594" s="165"/>
    </row>
    <row r="1595" spans="1:3" ht="16.8">
      <c r="A1595" s="165"/>
      <c r="B1595" s="171"/>
      <c r="C1595" s="165"/>
    </row>
    <row r="1596" spans="1:3" ht="16.8">
      <c r="A1596" s="165"/>
      <c r="B1596" s="171"/>
      <c r="C1596" s="165"/>
    </row>
    <row r="1597" spans="1:3" ht="16.8">
      <c r="A1597" s="165"/>
      <c r="B1597" s="171"/>
      <c r="C1597" s="165"/>
    </row>
    <row r="1598" spans="1:3" ht="16.8">
      <c r="A1598" s="165"/>
      <c r="B1598" s="171"/>
      <c r="C1598" s="165"/>
    </row>
    <row r="1599" spans="1:3" ht="16.8">
      <c r="A1599" s="165"/>
      <c r="B1599" s="171"/>
      <c r="C1599" s="165"/>
    </row>
    <row r="1600" spans="1:3" ht="16.8">
      <c r="A1600" s="165"/>
      <c r="B1600" s="171"/>
      <c r="C1600" s="165"/>
    </row>
    <row r="1601" spans="1:3" ht="16.8">
      <c r="A1601" s="165"/>
      <c r="B1601" s="171"/>
      <c r="C1601" s="165"/>
    </row>
    <row r="1602" spans="1:3" ht="16.8">
      <c r="A1602" s="165"/>
      <c r="B1602" s="171"/>
      <c r="C1602" s="165"/>
    </row>
    <row r="1603" spans="1:3" ht="16.8">
      <c r="A1603" s="165"/>
      <c r="B1603" s="171"/>
      <c r="C1603" s="165"/>
    </row>
    <row r="1604" spans="1:3" ht="16.8">
      <c r="A1604" s="165"/>
      <c r="B1604" s="171"/>
      <c r="C1604" s="165"/>
    </row>
    <row r="1605" spans="1:3" ht="16.8">
      <c r="A1605" s="165"/>
      <c r="B1605" s="171"/>
      <c r="C1605" s="165"/>
    </row>
    <row r="1606" spans="1:3" ht="16.8">
      <c r="A1606" s="165"/>
      <c r="B1606" s="171"/>
      <c r="C1606" s="165"/>
    </row>
    <row r="1607" spans="1:3" ht="16.8">
      <c r="A1607" s="165"/>
      <c r="B1607" s="171"/>
      <c r="C1607" s="165"/>
    </row>
    <row r="1608" spans="1:3" ht="16.8">
      <c r="A1608" s="165"/>
      <c r="B1608" s="171"/>
      <c r="C1608" s="165"/>
    </row>
    <row r="1609" spans="1:3" ht="16.8">
      <c r="A1609" s="165"/>
      <c r="B1609" s="171"/>
      <c r="C1609" s="165"/>
    </row>
    <row r="1610" spans="1:3" ht="16.8">
      <c r="A1610" s="165"/>
      <c r="B1610" s="171"/>
      <c r="C1610" s="165"/>
    </row>
    <row r="1611" spans="1:3" ht="16.8">
      <c r="A1611" s="165"/>
      <c r="B1611" s="171"/>
      <c r="C1611" s="165"/>
    </row>
    <row r="1612" spans="1:3" ht="16.8">
      <c r="A1612" s="165"/>
      <c r="B1612" s="171"/>
      <c r="C1612" s="165"/>
    </row>
    <row r="1613" spans="1:3" ht="16.8">
      <c r="A1613" s="165"/>
      <c r="B1613" s="171"/>
      <c r="C1613" s="165"/>
    </row>
    <row r="1614" spans="1:3" ht="16.8">
      <c r="A1614" s="165"/>
      <c r="B1614" s="171"/>
      <c r="C1614" s="165"/>
    </row>
    <row r="1615" spans="1:3" ht="16.8">
      <c r="A1615" s="165"/>
      <c r="B1615" s="171"/>
      <c r="C1615" s="165"/>
    </row>
    <row r="1616" spans="1:3" ht="16.8">
      <c r="A1616" s="165"/>
      <c r="B1616" s="171"/>
      <c r="C1616" s="165"/>
    </row>
    <row r="1617" spans="1:3" ht="16.8">
      <c r="A1617" s="165"/>
      <c r="B1617" s="171"/>
      <c r="C1617" s="165"/>
    </row>
    <row r="1618" spans="1:3" ht="16.8">
      <c r="A1618" s="165"/>
      <c r="B1618" s="171"/>
      <c r="C1618" s="165"/>
    </row>
    <row r="1619" spans="1:3" ht="16.8">
      <c r="A1619" s="165"/>
      <c r="B1619" s="171"/>
      <c r="C1619" s="165"/>
    </row>
    <row r="1620" spans="1:3" ht="16.8">
      <c r="A1620" s="165"/>
      <c r="B1620" s="171"/>
      <c r="C1620" s="165"/>
    </row>
    <row r="1621" spans="1:3" ht="16.8">
      <c r="A1621" s="165"/>
      <c r="B1621" s="171"/>
      <c r="C1621" s="165"/>
    </row>
    <row r="1622" spans="1:3" ht="16.8">
      <c r="A1622" s="165"/>
      <c r="B1622" s="171"/>
      <c r="C1622" s="165"/>
    </row>
    <row r="1623" spans="1:3" ht="16.8">
      <c r="A1623" s="165"/>
      <c r="B1623" s="171"/>
      <c r="C1623" s="165"/>
    </row>
    <row r="1624" spans="1:3" ht="16.8">
      <c r="A1624" s="165"/>
      <c r="B1624" s="171"/>
      <c r="C1624" s="165"/>
    </row>
    <row r="1625" spans="1:3" ht="16.8">
      <c r="A1625" s="165"/>
      <c r="B1625" s="171"/>
      <c r="C1625" s="165"/>
    </row>
    <row r="1626" spans="1:3" ht="16.8">
      <c r="A1626" s="165"/>
      <c r="B1626" s="171"/>
      <c r="C1626" s="165"/>
    </row>
    <row r="1627" spans="1:3" ht="16.8">
      <c r="A1627" s="165"/>
      <c r="B1627" s="171"/>
      <c r="C1627" s="165"/>
    </row>
    <row r="1628" spans="1:3" ht="16.8">
      <c r="A1628" s="165"/>
      <c r="B1628" s="171"/>
      <c r="C1628" s="165"/>
    </row>
    <row r="1629" spans="1:3" ht="16.8">
      <c r="A1629" s="165"/>
      <c r="B1629" s="171"/>
      <c r="C1629" s="165"/>
    </row>
    <row r="1630" spans="1:3" ht="16.8">
      <c r="A1630" s="165"/>
      <c r="B1630" s="171"/>
      <c r="C1630" s="165"/>
    </row>
    <row r="1631" spans="1:3" ht="16.8">
      <c r="A1631" s="165"/>
      <c r="B1631" s="171"/>
      <c r="C1631" s="165"/>
    </row>
    <row r="1632" spans="1:3" ht="16.8">
      <c r="A1632" s="165"/>
      <c r="B1632" s="171"/>
      <c r="C1632" s="165"/>
    </row>
    <row r="1633" spans="1:3" ht="16.8">
      <c r="A1633" s="165"/>
      <c r="B1633" s="171"/>
      <c r="C1633" s="165"/>
    </row>
    <row r="1634" spans="1:3" ht="16.8">
      <c r="A1634" s="165"/>
      <c r="B1634" s="171"/>
      <c r="C1634" s="165"/>
    </row>
    <row r="1635" spans="1:3" ht="16.8">
      <c r="A1635" s="165"/>
      <c r="B1635" s="171"/>
      <c r="C1635" s="165"/>
    </row>
    <row r="1636" spans="1:3" ht="16.8">
      <c r="A1636" s="165"/>
      <c r="B1636" s="171"/>
      <c r="C1636" s="165"/>
    </row>
    <row r="1637" spans="1:3" ht="16.8">
      <c r="A1637" s="165"/>
      <c r="B1637" s="171"/>
      <c r="C1637" s="165"/>
    </row>
    <row r="1638" spans="1:3" ht="16.8">
      <c r="A1638" s="165"/>
      <c r="B1638" s="171"/>
      <c r="C1638" s="165"/>
    </row>
    <row r="1639" spans="1:3" ht="16.8">
      <c r="A1639" s="165"/>
      <c r="B1639" s="171"/>
      <c r="C1639" s="165"/>
    </row>
    <row r="1640" spans="1:3" ht="16.8">
      <c r="A1640" s="165"/>
      <c r="B1640" s="171"/>
      <c r="C1640" s="165"/>
    </row>
    <row r="1641" spans="1:3" ht="16.8">
      <c r="A1641" s="165"/>
      <c r="B1641" s="171"/>
      <c r="C1641" s="165"/>
    </row>
    <row r="1642" spans="1:3" ht="16.8">
      <c r="A1642" s="165"/>
      <c r="B1642" s="171"/>
      <c r="C1642" s="165"/>
    </row>
    <row r="1643" spans="1:3" ht="16.8">
      <c r="A1643" s="165"/>
      <c r="B1643" s="171"/>
      <c r="C1643" s="165"/>
    </row>
    <row r="1644" spans="1:3" ht="16.8">
      <c r="A1644" s="165"/>
      <c r="B1644" s="171"/>
      <c r="C1644" s="165"/>
    </row>
    <row r="1645" spans="1:3" ht="16.8">
      <c r="A1645" s="165"/>
      <c r="B1645" s="171"/>
      <c r="C1645" s="165"/>
    </row>
    <row r="1646" spans="1:3" ht="16.8">
      <c r="A1646" s="165"/>
      <c r="B1646" s="171"/>
      <c r="C1646" s="165"/>
    </row>
    <row r="1647" spans="1:3" ht="16.8">
      <c r="A1647" s="165"/>
      <c r="B1647" s="171"/>
      <c r="C1647" s="165"/>
    </row>
    <row r="1648" spans="1:3" ht="16.8">
      <c r="A1648" s="165"/>
      <c r="B1648" s="171"/>
      <c r="C1648" s="165"/>
    </row>
    <row r="1649" spans="1:3" ht="16.8">
      <c r="A1649" s="165"/>
      <c r="B1649" s="171"/>
      <c r="C1649" s="165"/>
    </row>
    <row r="1650" spans="1:3" ht="16.8">
      <c r="A1650" s="165"/>
      <c r="B1650" s="171"/>
      <c r="C1650" s="165"/>
    </row>
    <row r="1651" spans="1:3" ht="16.8">
      <c r="A1651" s="165"/>
      <c r="B1651" s="171"/>
      <c r="C1651" s="165"/>
    </row>
    <row r="1652" spans="1:3" ht="16.8">
      <c r="A1652" s="165"/>
      <c r="B1652" s="171"/>
      <c r="C1652" s="165"/>
    </row>
    <row r="1653" spans="1:3" ht="16.8">
      <c r="A1653" s="165"/>
      <c r="B1653" s="171"/>
      <c r="C1653" s="165"/>
    </row>
    <row r="1654" spans="1:3" ht="16.8">
      <c r="A1654" s="165"/>
      <c r="B1654" s="171"/>
      <c r="C1654" s="165"/>
    </row>
    <row r="1655" spans="1:3" ht="16.8">
      <c r="A1655" s="165"/>
      <c r="B1655" s="171"/>
      <c r="C1655" s="165"/>
    </row>
    <row r="1656" spans="1:3" ht="16.8">
      <c r="A1656" s="165"/>
      <c r="B1656" s="171"/>
      <c r="C1656" s="165"/>
    </row>
    <row r="1657" spans="1:3" ht="16.8">
      <c r="A1657" s="165"/>
      <c r="B1657" s="171"/>
      <c r="C1657" s="165"/>
    </row>
    <row r="1658" spans="1:3" ht="16.8">
      <c r="A1658" s="165"/>
      <c r="B1658" s="171"/>
      <c r="C1658" s="165"/>
    </row>
    <row r="1659" spans="1:3" ht="16.8">
      <c r="A1659" s="165"/>
      <c r="B1659" s="171"/>
      <c r="C1659" s="165"/>
    </row>
    <row r="1660" spans="1:3" ht="16.8">
      <c r="A1660" s="165"/>
      <c r="B1660" s="171"/>
      <c r="C1660" s="165"/>
    </row>
    <row r="1661" spans="1:3" ht="16.8">
      <c r="A1661" s="165"/>
      <c r="B1661" s="171"/>
      <c r="C1661" s="165"/>
    </row>
    <row r="1662" spans="1:3" ht="16.8">
      <c r="A1662" s="165"/>
      <c r="B1662" s="171"/>
      <c r="C1662" s="165"/>
    </row>
    <row r="1663" spans="1:3" ht="16.8">
      <c r="A1663" s="165"/>
      <c r="B1663" s="171"/>
      <c r="C1663" s="165"/>
    </row>
    <row r="1664" spans="1:3" ht="16.8">
      <c r="A1664" s="165"/>
      <c r="B1664" s="171"/>
      <c r="C1664" s="165"/>
    </row>
    <row r="1665" spans="1:3" ht="16.8">
      <c r="A1665" s="165"/>
      <c r="B1665" s="171"/>
      <c r="C1665" s="165"/>
    </row>
    <row r="1666" spans="1:3" ht="16.8">
      <c r="A1666" s="165"/>
      <c r="B1666" s="171"/>
      <c r="C1666" s="165"/>
    </row>
    <row r="1667" spans="1:3" ht="16.8">
      <c r="A1667" s="165"/>
      <c r="B1667" s="171"/>
      <c r="C1667" s="165"/>
    </row>
    <row r="1668" spans="1:3" ht="16.8">
      <c r="A1668" s="165"/>
      <c r="B1668" s="171"/>
      <c r="C1668" s="165"/>
    </row>
    <row r="1669" spans="1:3" ht="16.8">
      <c r="A1669" s="165"/>
      <c r="B1669" s="171"/>
      <c r="C1669" s="165"/>
    </row>
    <row r="1670" spans="1:3" ht="16.8">
      <c r="A1670" s="165"/>
      <c r="B1670" s="171"/>
      <c r="C1670" s="165"/>
    </row>
    <row r="1671" spans="1:3" ht="16.8">
      <c r="A1671" s="165"/>
      <c r="B1671" s="171"/>
      <c r="C1671" s="165"/>
    </row>
    <row r="1672" spans="1:3" ht="16.8">
      <c r="A1672" s="165"/>
      <c r="B1672" s="171"/>
      <c r="C1672" s="165"/>
    </row>
    <row r="1673" spans="1:3" ht="16.8">
      <c r="A1673" s="165"/>
      <c r="B1673" s="171"/>
      <c r="C1673" s="165"/>
    </row>
    <row r="1674" spans="1:3" ht="16.8">
      <c r="A1674" s="165"/>
      <c r="B1674" s="171"/>
      <c r="C1674" s="165"/>
    </row>
    <row r="1675" spans="1:3" ht="16.8">
      <c r="A1675" s="165"/>
      <c r="B1675" s="171"/>
      <c r="C1675" s="165"/>
    </row>
    <row r="1676" spans="1:3" ht="16.8">
      <c r="A1676" s="165"/>
      <c r="B1676" s="171"/>
      <c r="C1676" s="165"/>
    </row>
    <row r="1677" spans="1:3" ht="16.8">
      <c r="A1677" s="165"/>
      <c r="B1677" s="171"/>
      <c r="C1677" s="165"/>
    </row>
    <row r="1678" spans="1:3" ht="16.8">
      <c r="A1678" s="165"/>
      <c r="B1678" s="171"/>
      <c r="C1678" s="165"/>
    </row>
    <row r="1679" spans="1:3" ht="16.8">
      <c r="A1679" s="165"/>
      <c r="B1679" s="171"/>
      <c r="C1679" s="165"/>
    </row>
    <row r="1680" spans="1:3" ht="16.8">
      <c r="A1680" s="165"/>
      <c r="B1680" s="171"/>
      <c r="C1680" s="165"/>
    </row>
    <row r="1681" spans="1:3" ht="16.8">
      <c r="A1681" s="165"/>
      <c r="B1681" s="171"/>
      <c r="C1681" s="165"/>
    </row>
    <row r="1682" spans="1:3" ht="16.8">
      <c r="A1682" s="165"/>
      <c r="B1682" s="171"/>
      <c r="C1682" s="165"/>
    </row>
    <row r="1683" spans="1:3" ht="16.8">
      <c r="A1683" s="165"/>
      <c r="B1683" s="171"/>
      <c r="C1683" s="165"/>
    </row>
    <row r="1684" spans="1:3" ht="16.8">
      <c r="A1684" s="165"/>
      <c r="B1684" s="171"/>
      <c r="C1684" s="165"/>
    </row>
    <row r="1685" spans="1:3" ht="16.8">
      <c r="A1685" s="165"/>
      <c r="B1685" s="171"/>
      <c r="C1685" s="165"/>
    </row>
    <row r="1686" spans="1:3" ht="16.8">
      <c r="A1686" s="165"/>
      <c r="B1686" s="171"/>
      <c r="C1686" s="165"/>
    </row>
    <row r="1687" spans="1:3" ht="16.8">
      <c r="A1687" s="165"/>
      <c r="B1687" s="171"/>
      <c r="C1687" s="165"/>
    </row>
    <row r="1688" spans="1:3" ht="16.8">
      <c r="A1688" s="165"/>
      <c r="B1688" s="171"/>
      <c r="C1688" s="165"/>
    </row>
    <row r="1689" spans="1:3" ht="16.8">
      <c r="A1689" s="165"/>
      <c r="B1689" s="171"/>
      <c r="C1689" s="165"/>
    </row>
    <row r="1690" spans="1:3" ht="16.8">
      <c r="A1690" s="165"/>
      <c r="B1690" s="171"/>
      <c r="C1690" s="165"/>
    </row>
    <row r="1691" spans="1:3" ht="16.8">
      <c r="A1691" s="165"/>
      <c r="B1691" s="171"/>
      <c r="C1691" s="165"/>
    </row>
    <row r="1692" spans="1:3" ht="16.8">
      <c r="A1692" s="165"/>
      <c r="B1692" s="171"/>
      <c r="C1692" s="165"/>
    </row>
    <row r="1693" spans="1:3" ht="16.8">
      <c r="A1693" s="165"/>
      <c r="B1693" s="171"/>
      <c r="C1693" s="165"/>
    </row>
    <row r="1694" spans="1:3" ht="16.8">
      <c r="A1694" s="165"/>
      <c r="B1694" s="171"/>
      <c r="C1694" s="165"/>
    </row>
    <row r="1695" spans="1:3" ht="16.8">
      <c r="A1695" s="165"/>
      <c r="B1695" s="171"/>
      <c r="C1695" s="165"/>
    </row>
    <row r="1696" spans="1:3" ht="16.8">
      <c r="A1696" s="165"/>
      <c r="B1696" s="171"/>
      <c r="C1696" s="165"/>
    </row>
    <row r="1697" spans="1:3" ht="16.8">
      <c r="A1697" s="165"/>
      <c r="B1697" s="171"/>
      <c r="C1697" s="165"/>
    </row>
    <row r="1698" spans="1:3" ht="16.8">
      <c r="A1698" s="165"/>
      <c r="B1698" s="171"/>
      <c r="C1698" s="165"/>
    </row>
    <row r="1699" spans="1:3" ht="16.8">
      <c r="A1699" s="165"/>
      <c r="B1699" s="171"/>
      <c r="C1699" s="165"/>
    </row>
    <row r="1700" spans="1:3" ht="16.8">
      <c r="A1700" s="165"/>
      <c r="B1700" s="171"/>
      <c r="C1700" s="165"/>
    </row>
    <row r="1701" spans="1:3" ht="16.8">
      <c r="A1701" s="165"/>
      <c r="B1701" s="171"/>
      <c r="C1701" s="165"/>
    </row>
    <row r="1702" spans="1:3" ht="16.8">
      <c r="A1702" s="165"/>
      <c r="B1702" s="171"/>
      <c r="C1702" s="165"/>
    </row>
    <row r="1703" spans="1:3" ht="16.8">
      <c r="A1703" s="165"/>
      <c r="B1703" s="171"/>
      <c r="C1703" s="165"/>
    </row>
    <row r="1704" spans="1:3" ht="16.8">
      <c r="A1704" s="165"/>
      <c r="B1704" s="171"/>
      <c r="C1704" s="165"/>
    </row>
    <row r="1705" spans="1:3" ht="16.8">
      <c r="A1705" s="165"/>
      <c r="B1705" s="171"/>
      <c r="C1705" s="165"/>
    </row>
    <row r="1706" spans="1:3" ht="16.8">
      <c r="A1706" s="165"/>
      <c r="B1706" s="171"/>
      <c r="C1706" s="165"/>
    </row>
    <row r="1707" spans="1:3" ht="16.8">
      <c r="A1707" s="165"/>
      <c r="B1707" s="171"/>
      <c r="C1707" s="165"/>
    </row>
    <row r="1708" spans="1:3" ht="16.8">
      <c r="A1708" s="165"/>
      <c r="B1708" s="171"/>
      <c r="C1708" s="165"/>
    </row>
    <row r="1709" spans="1:3" ht="16.8">
      <c r="A1709" s="165"/>
      <c r="B1709" s="171"/>
      <c r="C1709" s="165"/>
    </row>
    <row r="1710" spans="1:3" ht="16.8">
      <c r="A1710" s="165"/>
      <c r="B1710" s="171"/>
      <c r="C1710" s="165"/>
    </row>
    <row r="1711" spans="1:3" ht="16.8">
      <c r="A1711" s="165"/>
      <c r="B1711" s="171"/>
      <c r="C1711" s="165"/>
    </row>
    <row r="1712" spans="1:3" ht="16.8">
      <c r="A1712" s="165"/>
      <c r="B1712" s="171"/>
      <c r="C1712" s="165"/>
    </row>
    <row r="1713" spans="1:3" ht="16.8">
      <c r="A1713" s="165"/>
      <c r="B1713" s="171"/>
      <c r="C1713" s="165"/>
    </row>
    <row r="1714" spans="1:3" ht="16.8">
      <c r="A1714" s="165"/>
      <c r="B1714" s="171"/>
      <c r="C1714" s="165"/>
    </row>
    <row r="1715" spans="1:3" ht="16.8">
      <c r="A1715" s="165"/>
      <c r="B1715" s="171"/>
      <c r="C1715" s="165"/>
    </row>
    <row r="1716" spans="1:3" ht="16.8">
      <c r="A1716" s="165"/>
      <c r="B1716" s="171"/>
      <c r="C1716" s="165"/>
    </row>
    <row r="1717" spans="1:3" ht="16.8">
      <c r="A1717" s="165"/>
      <c r="B1717" s="171"/>
      <c r="C1717" s="165"/>
    </row>
    <row r="1718" spans="1:3" ht="16.8">
      <c r="A1718" s="165"/>
      <c r="B1718" s="171"/>
      <c r="C1718" s="165"/>
    </row>
    <row r="1719" spans="1:3" ht="16.8">
      <c r="A1719" s="165"/>
      <c r="B1719" s="171"/>
      <c r="C1719" s="165"/>
    </row>
    <row r="1720" spans="1:3" ht="16.8">
      <c r="A1720" s="165"/>
      <c r="B1720" s="171"/>
      <c r="C1720" s="165"/>
    </row>
    <row r="1721" spans="1:3" ht="16.8">
      <c r="A1721" s="165"/>
      <c r="B1721" s="171"/>
      <c r="C1721" s="165"/>
    </row>
    <row r="1722" spans="1:3" ht="16.8">
      <c r="A1722" s="165"/>
      <c r="B1722" s="171"/>
      <c r="C1722" s="165"/>
    </row>
    <row r="1723" spans="1:3" ht="16.8">
      <c r="A1723" s="165"/>
      <c r="B1723" s="171"/>
      <c r="C1723" s="165"/>
    </row>
    <row r="1724" spans="1:3" ht="16.8">
      <c r="A1724" s="165"/>
      <c r="B1724" s="171"/>
      <c r="C1724" s="165"/>
    </row>
    <row r="1725" spans="1:3" ht="16.8">
      <c r="A1725" s="165"/>
      <c r="B1725" s="171"/>
      <c r="C1725" s="165"/>
    </row>
    <row r="1726" spans="1:3" ht="16.8">
      <c r="A1726" s="165"/>
      <c r="B1726" s="171"/>
      <c r="C1726" s="165"/>
    </row>
    <row r="1727" spans="1:3" ht="16.8">
      <c r="A1727" s="165"/>
      <c r="B1727" s="171"/>
      <c r="C1727" s="165"/>
    </row>
    <row r="1728" spans="1:3" ht="16.8">
      <c r="A1728" s="165"/>
      <c r="B1728" s="171"/>
      <c r="C1728" s="165"/>
    </row>
    <row r="1729" spans="1:3" ht="16.8">
      <c r="A1729" s="165"/>
      <c r="B1729" s="171"/>
      <c r="C1729" s="165"/>
    </row>
    <row r="1730" spans="1:3" ht="16.8">
      <c r="A1730" s="165"/>
      <c r="B1730" s="171"/>
      <c r="C1730" s="165"/>
    </row>
    <row r="1731" spans="1:3" ht="16.8">
      <c r="A1731" s="165"/>
      <c r="B1731" s="171"/>
      <c r="C1731" s="165"/>
    </row>
    <row r="1732" spans="1:3" ht="16.8">
      <c r="A1732" s="165"/>
      <c r="B1732" s="171"/>
      <c r="C1732" s="165"/>
    </row>
    <row r="1733" spans="1:3" ht="16.8">
      <c r="A1733" s="165"/>
      <c r="B1733" s="171"/>
      <c r="C1733" s="165"/>
    </row>
    <row r="1734" spans="1:3" ht="16.8">
      <c r="A1734" s="165"/>
      <c r="B1734" s="171"/>
      <c r="C1734" s="165"/>
    </row>
    <row r="1735" spans="1:3" ht="16.8">
      <c r="A1735" s="165"/>
      <c r="B1735" s="171"/>
      <c r="C1735" s="165"/>
    </row>
    <row r="1736" spans="1:3" ht="16.8">
      <c r="A1736" s="165"/>
      <c r="B1736" s="171"/>
      <c r="C1736" s="165"/>
    </row>
    <row r="1737" spans="1:3" ht="16.8">
      <c r="A1737" s="165"/>
      <c r="B1737" s="171"/>
      <c r="C1737" s="165"/>
    </row>
    <row r="1738" spans="1:3" ht="16.8">
      <c r="A1738" s="165"/>
      <c r="B1738" s="171"/>
      <c r="C1738" s="165"/>
    </row>
    <row r="1739" spans="1:3" ht="16.8">
      <c r="A1739" s="165"/>
      <c r="B1739" s="171"/>
      <c r="C1739" s="165"/>
    </row>
    <row r="1740" spans="1:3" ht="16.8">
      <c r="A1740" s="165"/>
      <c r="B1740" s="171"/>
      <c r="C1740" s="165"/>
    </row>
    <row r="1741" spans="1:3" ht="16.8">
      <c r="A1741" s="165"/>
      <c r="B1741" s="171"/>
      <c r="C1741" s="165"/>
    </row>
    <row r="1742" spans="1:3" ht="16.8">
      <c r="A1742" s="165"/>
      <c r="B1742" s="171"/>
      <c r="C1742" s="165"/>
    </row>
    <row r="1743" spans="1:3" ht="16.8">
      <c r="A1743" s="165"/>
      <c r="B1743" s="171"/>
      <c r="C1743" s="165"/>
    </row>
    <row r="1744" spans="1:3" ht="16.8">
      <c r="A1744" s="165"/>
      <c r="B1744" s="171"/>
      <c r="C1744" s="165"/>
    </row>
    <row r="1745" spans="1:3" ht="16.8">
      <c r="A1745" s="165"/>
      <c r="B1745" s="171"/>
      <c r="C1745" s="165"/>
    </row>
    <row r="1746" spans="1:3" ht="16.8">
      <c r="A1746" s="165"/>
      <c r="B1746" s="171"/>
      <c r="C1746" s="165"/>
    </row>
    <row r="1747" spans="1:3" ht="16.8">
      <c r="A1747" s="165"/>
      <c r="B1747" s="171"/>
      <c r="C1747" s="165"/>
    </row>
    <row r="1748" spans="1:3" ht="16.8">
      <c r="A1748" s="165"/>
      <c r="B1748" s="171"/>
      <c r="C1748" s="165"/>
    </row>
    <row r="1749" spans="1:3" ht="16.8">
      <c r="A1749" s="165"/>
      <c r="B1749" s="171"/>
      <c r="C1749" s="165"/>
    </row>
    <row r="1750" spans="1:3" ht="16.8">
      <c r="A1750" s="165"/>
      <c r="B1750" s="171"/>
      <c r="C1750" s="165"/>
    </row>
    <row r="1751" spans="1:3" ht="16.8">
      <c r="A1751" s="165"/>
      <c r="B1751" s="171"/>
      <c r="C1751" s="165"/>
    </row>
    <row r="1752" spans="1:3" ht="16.8">
      <c r="A1752" s="165"/>
      <c r="B1752" s="171"/>
      <c r="C1752" s="165"/>
    </row>
    <row r="1753" spans="1:3" ht="16.8">
      <c r="A1753" s="165"/>
      <c r="B1753" s="171"/>
      <c r="C1753" s="165"/>
    </row>
    <row r="1754" spans="1:3" ht="16.8">
      <c r="A1754" s="165"/>
      <c r="B1754" s="171"/>
      <c r="C1754" s="165"/>
    </row>
    <row r="1755" spans="1:3" ht="16.8">
      <c r="A1755" s="165"/>
      <c r="B1755" s="171"/>
      <c r="C1755" s="165"/>
    </row>
    <row r="1756" spans="1:3" ht="16.8">
      <c r="A1756" s="165"/>
      <c r="B1756" s="171"/>
      <c r="C1756" s="165"/>
    </row>
    <row r="1757" spans="1:3" ht="16.8">
      <c r="A1757" s="165"/>
      <c r="B1757" s="171"/>
      <c r="C1757" s="165"/>
    </row>
    <row r="1758" spans="1:3" ht="16.8">
      <c r="A1758" s="165"/>
      <c r="B1758" s="171"/>
      <c r="C1758" s="165"/>
    </row>
    <row r="1759" spans="1:3" ht="16.8">
      <c r="A1759" s="165"/>
      <c r="B1759" s="171"/>
      <c r="C1759" s="165"/>
    </row>
    <row r="1760" spans="1:3" ht="16.8">
      <c r="A1760" s="165"/>
      <c r="B1760" s="171"/>
      <c r="C1760" s="165"/>
    </row>
    <row r="1761" spans="1:3" ht="16.8">
      <c r="A1761" s="165"/>
      <c r="B1761" s="171"/>
      <c r="C1761" s="165"/>
    </row>
    <row r="1762" spans="1:3" ht="16.8">
      <c r="A1762" s="165"/>
      <c r="B1762" s="171"/>
      <c r="C1762" s="165"/>
    </row>
    <row r="1763" spans="1:3" ht="16.8">
      <c r="A1763" s="165"/>
      <c r="B1763" s="171"/>
      <c r="C1763" s="165"/>
    </row>
    <row r="1764" spans="1:3" ht="16.8">
      <c r="A1764" s="165"/>
      <c r="B1764" s="171"/>
      <c r="C1764" s="165"/>
    </row>
    <row r="1765" spans="1:3" ht="16.8">
      <c r="A1765" s="165"/>
      <c r="B1765" s="171"/>
      <c r="C1765" s="165"/>
    </row>
    <row r="1766" spans="1:3" ht="16.8">
      <c r="A1766" s="165"/>
      <c r="B1766" s="171"/>
      <c r="C1766" s="165"/>
    </row>
    <row r="1767" spans="1:3" ht="16.8">
      <c r="A1767" s="165"/>
      <c r="B1767" s="171"/>
      <c r="C1767" s="165"/>
    </row>
    <row r="1768" spans="1:3" ht="16.8">
      <c r="A1768" s="165"/>
      <c r="B1768" s="171"/>
      <c r="C1768" s="165"/>
    </row>
    <row r="1769" spans="1:3" ht="16.8">
      <c r="A1769" s="165"/>
      <c r="B1769" s="171"/>
      <c r="C1769" s="165"/>
    </row>
    <row r="1770" spans="1:3" ht="16.8">
      <c r="A1770" s="165"/>
      <c r="B1770" s="171"/>
      <c r="C1770" s="165"/>
    </row>
    <row r="1771" spans="1:3" ht="16.8">
      <c r="A1771" s="165"/>
      <c r="B1771" s="171"/>
      <c r="C1771" s="165"/>
    </row>
    <row r="1772" spans="1:3" ht="16.8">
      <c r="A1772" s="165"/>
      <c r="B1772" s="171"/>
      <c r="C1772" s="165"/>
    </row>
    <row r="1773" spans="1:3" ht="16.8">
      <c r="A1773" s="165"/>
      <c r="B1773" s="171"/>
      <c r="C1773" s="165"/>
    </row>
    <row r="1774" spans="1:3" ht="16.8">
      <c r="A1774" s="165"/>
      <c r="B1774" s="171"/>
      <c r="C1774" s="165"/>
    </row>
    <row r="1775" spans="1:3" ht="16.8">
      <c r="A1775" s="165"/>
      <c r="B1775" s="171"/>
      <c r="C1775" s="165"/>
    </row>
    <row r="1776" spans="1:3" ht="16.8">
      <c r="A1776" s="165"/>
      <c r="B1776" s="171"/>
      <c r="C1776" s="165"/>
    </row>
    <row r="1777" spans="1:3" ht="16.8">
      <c r="A1777" s="165"/>
      <c r="B1777" s="171"/>
      <c r="C1777" s="165"/>
    </row>
    <row r="1778" spans="1:3" ht="16.8">
      <c r="A1778" s="165"/>
      <c r="B1778" s="171"/>
      <c r="C1778" s="165"/>
    </row>
    <row r="1779" spans="1:3" ht="16.8">
      <c r="A1779" s="165"/>
      <c r="B1779" s="171"/>
      <c r="C1779" s="165"/>
    </row>
    <row r="1780" spans="1:3" ht="16.8">
      <c r="A1780" s="165"/>
      <c r="B1780" s="171"/>
      <c r="C1780" s="165"/>
    </row>
    <row r="1781" spans="1:3" ht="16.8">
      <c r="A1781" s="165"/>
      <c r="B1781" s="171"/>
      <c r="C1781" s="165"/>
    </row>
    <row r="1782" spans="1:3" ht="16.8">
      <c r="A1782" s="165"/>
      <c r="B1782" s="171"/>
      <c r="C1782" s="165"/>
    </row>
    <row r="1783" spans="1:3" ht="16.8">
      <c r="A1783" s="165"/>
      <c r="B1783" s="171"/>
      <c r="C1783" s="165"/>
    </row>
    <row r="1784" spans="1:3" ht="16.8">
      <c r="A1784" s="165"/>
      <c r="B1784" s="171"/>
      <c r="C1784" s="165"/>
    </row>
    <row r="1785" spans="1:3" ht="16.8">
      <c r="A1785" s="165"/>
      <c r="B1785" s="171"/>
      <c r="C1785" s="165"/>
    </row>
    <row r="1786" spans="1:3" ht="16.8">
      <c r="A1786" s="165"/>
      <c r="B1786" s="171"/>
      <c r="C1786" s="165"/>
    </row>
    <row r="1787" spans="1:3" ht="16.8">
      <c r="A1787" s="165"/>
      <c r="B1787" s="171"/>
      <c r="C1787" s="165"/>
    </row>
    <row r="1788" spans="1:3" ht="16.8">
      <c r="A1788" s="165"/>
      <c r="B1788" s="171"/>
      <c r="C1788" s="165"/>
    </row>
    <row r="1789" spans="1:3" ht="16.8">
      <c r="A1789" s="165"/>
      <c r="B1789" s="171"/>
      <c r="C1789" s="165"/>
    </row>
    <row r="1790" spans="1:3" ht="16.8">
      <c r="A1790" s="165"/>
      <c r="B1790" s="171"/>
      <c r="C1790" s="165"/>
    </row>
    <row r="1791" spans="1:3" ht="16.8">
      <c r="A1791" s="165"/>
      <c r="B1791" s="171"/>
      <c r="C1791" s="165"/>
    </row>
    <row r="1792" spans="1:3" ht="16.8">
      <c r="A1792" s="165"/>
      <c r="B1792" s="171"/>
      <c r="C1792" s="165"/>
    </row>
    <row r="1793" spans="1:3" ht="16.8">
      <c r="A1793" s="165"/>
      <c r="B1793" s="171"/>
      <c r="C1793" s="165"/>
    </row>
    <row r="1794" spans="1:3" ht="16.8">
      <c r="A1794" s="165"/>
      <c r="B1794" s="171"/>
      <c r="C1794" s="165"/>
    </row>
    <row r="1795" spans="1:3" ht="16.8">
      <c r="A1795" s="165"/>
      <c r="B1795" s="171"/>
      <c r="C1795" s="165"/>
    </row>
    <row r="1796" spans="1:3" ht="16.8">
      <c r="A1796" s="165"/>
      <c r="B1796" s="171"/>
      <c r="C1796" s="165"/>
    </row>
    <row r="1797" spans="1:3" ht="16.8">
      <c r="A1797" s="165"/>
      <c r="B1797" s="171"/>
      <c r="C1797" s="165"/>
    </row>
    <row r="1798" spans="1:3" ht="16.8">
      <c r="A1798" s="165"/>
      <c r="B1798" s="171"/>
      <c r="C1798" s="165"/>
    </row>
    <row r="1799" spans="1:3" ht="16.8">
      <c r="A1799" s="165"/>
      <c r="B1799" s="171"/>
      <c r="C1799" s="165"/>
    </row>
    <row r="1800" spans="1:3" ht="16.8">
      <c r="A1800" s="165"/>
      <c r="B1800" s="171"/>
      <c r="C1800" s="165"/>
    </row>
    <row r="1801" spans="1:3" ht="16.8">
      <c r="A1801" s="165"/>
      <c r="B1801" s="171"/>
      <c r="C1801" s="165"/>
    </row>
    <row r="1802" spans="1:3" ht="16.8">
      <c r="A1802" s="165"/>
      <c r="B1802" s="171"/>
      <c r="C1802" s="165"/>
    </row>
    <row r="1803" spans="1:3" ht="16.8">
      <c r="A1803" s="165"/>
      <c r="B1803" s="171"/>
      <c r="C1803" s="165"/>
    </row>
    <row r="1804" spans="1:3" ht="16.8">
      <c r="A1804" s="165"/>
      <c r="B1804" s="171"/>
      <c r="C1804" s="165"/>
    </row>
    <row r="1805" spans="1:3" ht="16.8">
      <c r="A1805" s="165"/>
      <c r="B1805" s="171"/>
      <c r="C1805" s="165"/>
    </row>
    <row r="1806" spans="1:3" ht="16.8">
      <c r="A1806" s="165"/>
      <c r="B1806" s="171"/>
      <c r="C1806" s="165"/>
    </row>
    <row r="1807" spans="1:3" ht="16.8">
      <c r="A1807" s="165"/>
      <c r="B1807" s="171"/>
      <c r="C1807" s="165"/>
    </row>
    <row r="1808" spans="1:3" ht="16.8">
      <c r="A1808" s="165"/>
      <c r="B1808" s="171"/>
      <c r="C1808" s="165"/>
    </row>
    <row r="1809" spans="1:3" ht="16.8">
      <c r="A1809" s="165"/>
      <c r="B1809" s="171"/>
      <c r="C1809" s="165"/>
    </row>
    <row r="1810" spans="1:3" ht="16.8">
      <c r="A1810" s="165"/>
      <c r="B1810" s="171"/>
      <c r="C1810" s="165"/>
    </row>
    <row r="1811" spans="1:3" ht="16.8">
      <c r="A1811" s="165"/>
      <c r="B1811" s="171"/>
      <c r="C1811" s="165"/>
    </row>
    <row r="1812" spans="1:3" ht="16.8">
      <c r="A1812" s="165"/>
      <c r="B1812" s="171"/>
      <c r="C1812" s="165"/>
    </row>
    <row r="1813" spans="1:3" ht="16.8">
      <c r="A1813" s="165"/>
      <c r="B1813" s="171"/>
      <c r="C1813" s="165"/>
    </row>
    <row r="1814" spans="1:3" ht="16.8">
      <c r="A1814" s="165"/>
      <c r="B1814" s="171"/>
      <c r="C1814" s="165"/>
    </row>
    <row r="1815" spans="1:3" ht="16.8">
      <c r="A1815" s="165"/>
      <c r="B1815" s="171"/>
      <c r="C1815" s="165"/>
    </row>
    <row r="1816" spans="1:3" ht="16.8">
      <c r="A1816" s="165"/>
      <c r="B1816" s="171"/>
      <c r="C1816" s="165"/>
    </row>
    <row r="1817" spans="1:3" ht="16.8">
      <c r="A1817" s="165"/>
      <c r="B1817" s="171"/>
      <c r="C1817" s="165"/>
    </row>
    <row r="1818" spans="1:3" ht="16.8">
      <c r="A1818" s="165"/>
      <c r="B1818" s="171"/>
      <c r="C1818" s="165"/>
    </row>
    <row r="1819" spans="1:3" ht="16.8">
      <c r="A1819" s="165"/>
      <c r="B1819" s="171"/>
      <c r="C1819" s="165"/>
    </row>
    <row r="1820" spans="1:3" ht="16.8">
      <c r="A1820" s="165"/>
      <c r="B1820" s="171"/>
      <c r="C1820" s="165"/>
    </row>
    <row r="1821" spans="1:3" ht="16.8">
      <c r="A1821" s="165"/>
      <c r="B1821" s="171"/>
      <c r="C1821" s="165"/>
    </row>
    <row r="1822" spans="1:3" ht="16.8">
      <c r="A1822" s="165"/>
      <c r="B1822" s="171"/>
      <c r="C1822" s="165"/>
    </row>
    <row r="1823" spans="1:3" ht="16.8">
      <c r="A1823" s="165"/>
      <c r="B1823" s="171"/>
      <c r="C1823" s="165"/>
    </row>
    <row r="1824" spans="1:3" ht="16.8">
      <c r="A1824" s="165"/>
      <c r="B1824" s="171"/>
      <c r="C1824" s="165"/>
    </row>
    <row r="1825" spans="1:3" ht="16.8">
      <c r="A1825" s="165"/>
      <c r="B1825" s="171"/>
      <c r="C1825" s="165"/>
    </row>
    <row r="1826" spans="1:3" ht="16.8">
      <c r="A1826" s="165"/>
      <c r="B1826" s="171"/>
      <c r="C1826" s="165"/>
    </row>
    <row r="1827" spans="1:3" ht="16.8">
      <c r="A1827" s="165"/>
      <c r="B1827" s="171"/>
      <c r="C1827" s="165"/>
    </row>
    <row r="1828" spans="1:3" ht="16.8">
      <c r="A1828" s="165"/>
      <c r="B1828" s="171"/>
      <c r="C1828" s="165"/>
    </row>
    <row r="1829" spans="1:3" ht="16.8">
      <c r="A1829" s="165"/>
      <c r="B1829" s="171"/>
      <c r="C1829" s="165"/>
    </row>
    <row r="1830" spans="1:3" ht="16.8">
      <c r="A1830" s="165"/>
      <c r="B1830" s="171"/>
      <c r="C1830" s="165"/>
    </row>
    <row r="1831" spans="1:3" ht="16.8">
      <c r="A1831" s="165"/>
      <c r="B1831" s="171"/>
      <c r="C1831" s="165"/>
    </row>
    <row r="1832" spans="1:3" ht="16.8">
      <c r="A1832" s="165"/>
      <c r="B1832" s="171"/>
      <c r="C1832" s="165"/>
    </row>
    <row r="1833" spans="1:3" ht="16.8">
      <c r="A1833" s="165"/>
      <c r="B1833" s="171"/>
      <c r="C1833" s="165"/>
    </row>
    <row r="1834" spans="1:3" ht="16.8">
      <c r="A1834" s="165"/>
      <c r="B1834" s="171"/>
      <c r="C1834" s="165"/>
    </row>
    <row r="1835" spans="1:3" ht="16.8">
      <c r="A1835" s="165"/>
      <c r="B1835" s="171"/>
      <c r="C1835" s="165"/>
    </row>
    <row r="1836" spans="1:3" ht="16.8">
      <c r="A1836" s="165"/>
      <c r="B1836" s="171"/>
      <c r="C1836" s="165"/>
    </row>
    <row r="1837" spans="1:3" ht="16.8">
      <c r="A1837" s="165"/>
      <c r="B1837" s="171"/>
      <c r="C1837" s="165"/>
    </row>
    <row r="1838" spans="1:3" ht="16.8">
      <c r="A1838" s="165"/>
      <c r="B1838" s="171"/>
      <c r="C1838" s="165"/>
    </row>
    <row r="1839" spans="1:3" ht="16.8">
      <c r="A1839" s="165"/>
      <c r="B1839" s="171"/>
      <c r="C1839" s="165"/>
    </row>
    <row r="1840" spans="1:3" ht="16.8">
      <c r="A1840" s="165"/>
      <c r="B1840" s="171"/>
      <c r="C1840" s="165"/>
    </row>
    <row r="1841" spans="1:3" ht="16.8">
      <c r="A1841" s="165"/>
      <c r="B1841" s="171"/>
      <c r="C1841" s="165"/>
    </row>
    <row r="1842" spans="1:3" ht="16.8">
      <c r="A1842" s="165"/>
      <c r="B1842" s="171"/>
      <c r="C1842" s="165"/>
    </row>
    <row r="1843" spans="1:3" ht="16.8">
      <c r="A1843" s="165"/>
      <c r="B1843" s="171"/>
      <c r="C1843" s="165"/>
    </row>
    <row r="1844" spans="1:3" ht="16.8">
      <c r="A1844" s="165"/>
      <c r="B1844" s="171"/>
      <c r="C1844" s="165"/>
    </row>
    <row r="1845" spans="1:3" ht="16.8">
      <c r="A1845" s="165"/>
      <c r="B1845" s="171"/>
      <c r="C1845" s="165"/>
    </row>
    <row r="1846" spans="1:3" ht="16.8">
      <c r="A1846" s="165"/>
      <c r="B1846" s="171"/>
      <c r="C1846" s="165"/>
    </row>
    <row r="1847" spans="1:3" ht="16.8">
      <c r="A1847" s="165"/>
      <c r="B1847" s="171"/>
      <c r="C1847" s="165"/>
    </row>
    <row r="1848" spans="1:3" ht="16.8">
      <c r="A1848" s="165"/>
      <c r="B1848" s="171"/>
      <c r="C1848" s="165"/>
    </row>
    <row r="1849" spans="1:3" ht="16.8">
      <c r="A1849" s="165"/>
      <c r="B1849" s="171"/>
      <c r="C1849" s="165"/>
    </row>
    <row r="1850" spans="1:3" ht="16.8">
      <c r="A1850" s="165"/>
      <c r="B1850" s="171"/>
      <c r="C1850" s="165"/>
    </row>
    <row r="1851" spans="1:3" ht="16.8">
      <c r="A1851" s="165"/>
      <c r="B1851" s="171"/>
      <c r="C1851" s="165"/>
    </row>
    <row r="1852" spans="1:3" ht="16.8">
      <c r="A1852" s="165"/>
      <c r="B1852" s="171"/>
      <c r="C1852" s="165"/>
    </row>
    <row r="1853" spans="1:3" ht="16.8">
      <c r="A1853" s="165"/>
      <c r="B1853" s="171"/>
      <c r="C1853" s="165"/>
    </row>
    <row r="1854" spans="1:3" ht="16.8">
      <c r="A1854" s="165"/>
      <c r="B1854" s="171"/>
      <c r="C1854" s="165"/>
    </row>
    <row r="1855" spans="1:3" ht="16.8">
      <c r="A1855" s="165"/>
      <c r="B1855" s="171"/>
      <c r="C1855" s="165"/>
    </row>
    <row r="1856" spans="1:3" ht="16.8">
      <c r="A1856" s="165"/>
      <c r="B1856" s="171"/>
      <c r="C1856" s="165"/>
    </row>
    <row r="1857" spans="1:3" ht="16.8">
      <c r="A1857" s="165"/>
      <c r="B1857" s="171"/>
      <c r="C1857" s="165"/>
    </row>
    <row r="1858" spans="1:3" ht="16.8">
      <c r="A1858" s="165"/>
      <c r="B1858" s="171"/>
      <c r="C1858" s="165"/>
    </row>
    <row r="1859" spans="1:3" ht="16.8">
      <c r="A1859" s="165"/>
      <c r="B1859" s="171"/>
      <c r="C1859" s="165"/>
    </row>
    <row r="1860" spans="1:3" ht="16.8">
      <c r="A1860" s="165"/>
      <c r="B1860" s="171"/>
      <c r="C1860" s="165"/>
    </row>
    <row r="1861" spans="1:3" ht="16.8">
      <c r="A1861" s="165"/>
      <c r="B1861" s="171"/>
      <c r="C1861" s="165"/>
    </row>
    <row r="1862" spans="1:3" ht="16.8">
      <c r="A1862" s="165"/>
      <c r="B1862" s="171"/>
      <c r="C1862" s="165"/>
    </row>
    <row r="1863" spans="1:3" ht="16.8">
      <c r="A1863" s="165"/>
      <c r="B1863" s="171"/>
      <c r="C1863" s="165"/>
    </row>
    <row r="1864" spans="1:3" ht="16.8">
      <c r="A1864" s="165"/>
      <c r="B1864" s="171"/>
      <c r="C1864" s="165"/>
    </row>
    <row r="1865" spans="1:3" ht="16.8">
      <c r="A1865" s="165"/>
      <c r="B1865" s="171"/>
      <c r="C1865" s="165"/>
    </row>
    <row r="1866" spans="1:3" ht="16.8">
      <c r="A1866" s="165"/>
      <c r="B1866" s="171"/>
      <c r="C1866" s="165"/>
    </row>
    <row r="1867" spans="1:3" ht="16.8">
      <c r="A1867" s="165"/>
      <c r="B1867" s="171"/>
      <c r="C1867" s="165"/>
    </row>
    <row r="1868" spans="1:3" ht="16.8">
      <c r="A1868" s="165"/>
      <c r="B1868" s="171"/>
      <c r="C1868" s="165"/>
    </row>
    <row r="1869" spans="1:3" ht="16.8">
      <c r="A1869" s="165"/>
      <c r="B1869" s="171"/>
      <c r="C1869" s="165"/>
    </row>
    <row r="1870" spans="1:3" ht="16.8">
      <c r="A1870" s="165"/>
      <c r="B1870" s="171"/>
      <c r="C1870" s="165"/>
    </row>
    <row r="1871" spans="1:3" ht="16.8">
      <c r="A1871" s="165"/>
      <c r="B1871" s="171"/>
      <c r="C1871" s="165"/>
    </row>
    <row r="1872" spans="1:3" ht="16.8">
      <c r="A1872" s="165"/>
      <c r="B1872" s="171"/>
      <c r="C1872" s="165"/>
    </row>
    <row r="1873" spans="1:3" ht="16.8">
      <c r="A1873" s="165"/>
      <c r="B1873" s="171"/>
      <c r="C1873" s="165"/>
    </row>
    <row r="1874" spans="1:3" ht="16.8">
      <c r="A1874" s="165"/>
      <c r="B1874" s="171"/>
      <c r="C1874" s="165"/>
    </row>
    <row r="1875" spans="1:3" ht="16.8">
      <c r="A1875" s="165"/>
      <c r="B1875" s="171"/>
      <c r="C1875" s="165"/>
    </row>
    <row r="1876" spans="1:3" ht="16.8">
      <c r="A1876" s="165"/>
      <c r="B1876" s="171"/>
      <c r="C1876" s="165"/>
    </row>
    <row r="1877" spans="1:3" ht="16.8">
      <c r="A1877" s="165"/>
      <c r="B1877" s="171"/>
      <c r="C1877" s="165"/>
    </row>
    <row r="1878" spans="1:3" ht="16.8">
      <c r="A1878" s="165"/>
      <c r="B1878" s="171"/>
      <c r="C1878" s="165"/>
    </row>
    <row r="1879" spans="1:3" ht="16.8">
      <c r="A1879" s="165"/>
      <c r="B1879" s="171"/>
      <c r="C1879" s="165"/>
    </row>
    <row r="1880" spans="1:3" ht="16.8">
      <c r="A1880" s="165"/>
      <c r="B1880" s="171"/>
      <c r="C1880" s="165"/>
    </row>
    <row r="1881" spans="1:3" ht="16.8">
      <c r="A1881" s="165"/>
      <c r="B1881" s="171"/>
      <c r="C1881" s="165"/>
    </row>
    <row r="1882" spans="1:3" ht="16.8">
      <c r="A1882" s="165"/>
      <c r="B1882" s="171"/>
      <c r="C1882" s="165"/>
    </row>
    <row r="1883" spans="1:3" ht="16.8">
      <c r="A1883" s="165"/>
      <c r="B1883" s="171"/>
      <c r="C1883" s="165"/>
    </row>
    <row r="1884" spans="1:3" ht="16.8">
      <c r="A1884" s="165"/>
      <c r="B1884" s="171"/>
      <c r="C1884" s="165"/>
    </row>
    <row r="1885" spans="1:3" ht="16.8">
      <c r="A1885" s="165"/>
      <c r="B1885" s="171"/>
      <c r="C1885" s="165"/>
    </row>
    <row r="1886" spans="1:3" ht="16.8">
      <c r="A1886" s="165"/>
      <c r="B1886" s="171"/>
      <c r="C1886" s="165"/>
    </row>
    <row r="1887" spans="1:3" ht="16.8">
      <c r="A1887" s="165"/>
      <c r="B1887" s="171"/>
      <c r="C1887" s="165"/>
    </row>
    <row r="1888" spans="1:3" ht="16.8">
      <c r="A1888" s="165"/>
      <c r="B1888" s="171"/>
      <c r="C1888" s="165"/>
    </row>
    <row r="1889" spans="1:3" ht="16.8">
      <c r="A1889" s="165"/>
      <c r="B1889" s="171"/>
      <c r="C1889" s="165"/>
    </row>
    <row r="1890" spans="1:3" ht="16.8">
      <c r="A1890" s="165"/>
      <c r="B1890" s="171"/>
      <c r="C1890" s="165"/>
    </row>
    <row r="1891" spans="1:3" ht="16.8">
      <c r="A1891" s="165"/>
      <c r="B1891" s="171"/>
      <c r="C1891" s="165"/>
    </row>
    <row r="1892" spans="1:3" ht="16.8">
      <c r="A1892" s="165"/>
      <c r="B1892" s="171"/>
      <c r="C1892" s="165"/>
    </row>
    <row r="1893" spans="1:3" ht="16.8">
      <c r="A1893" s="165"/>
      <c r="B1893" s="171"/>
      <c r="C1893" s="165"/>
    </row>
    <row r="1894" spans="1:3" ht="16.8">
      <c r="A1894" s="165"/>
      <c r="B1894" s="171"/>
      <c r="C1894" s="165"/>
    </row>
    <row r="1895" spans="1:3" ht="16.8">
      <c r="A1895" s="165"/>
      <c r="B1895" s="171"/>
      <c r="C1895" s="165"/>
    </row>
    <row r="1896" spans="1:3" ht="16.8">
      <c r="A1896" s="165"/>
      <c r="B1896" s="171"/>
      <c r="C1896" s="165"/>
    </row>
    <row r="1897" spans="1:3" ht="16.8">
      <c r="A1897" s="165"/>
      <c r="B1897" s="171"/>
      <c r="C1897" s="165"/>
    </row>
    <row r="1898" spans="1:3" ht="16.8">
      <c r="A1898" s="165"/>
      <c r="B1898" s="171"/>
      <c r="C1898" s="165"/>
    </row>
    <row r="1899" spans="1:3" ht="16.8">
      <c r="A1899" s="165"/>
      <c r="B1899" s="171"/>
      <c r="C1899" s="165"/>
    </row>
    <row r="1900" spans="1:3" ht="16.8">
      <c r="A1900" s="165"/>
      <c r="B1900" s="171"/>
      <c r="C1900" s="165"/>
    </row>
    <row r="1901" spans="1:3" ht="16.8">
      <c r="A1901" s="165"/>
      <c r="B1901" s="171"/>
      <c r="C1901" s="165"/>
    </row>
    <row r="1902" spans="1:3" ht="16.8">
      <c r="A1902" s="165"/>
      <c r="B1902" s="171"/>
      <c r="C1902" s="165"/>
    </row>
    <row r="1903" spans="1:3" ht="16.8">
      <c r="A1903" s="165"/>
      <c r="B1903" s="171"/>
      <c r="C1903" s="165"/>
    </row>
    <row r="1904" spans="1:3" ht="16.8">
      <c r="A1904" s="165"/>
      <c r="B1904" s="171"/>
      <c r="C1904" s="165"/>
    </row>
    <row r="1905" spans="1:3" ht="16.8">
      <c r="A1905" s="165"/>
      <c r="B1905" s="171"/>
      <c r="C1905" s="165"/>
    </row>
    <row r="1906" spans="1:3" ht="16.8">
      <c r="A1906" s="165"/>
      <c r="B1906" s="171"/>
      <c r="C1906" s="165"/>
    </row>
    <row r="1907" spans="1:3" ht="16.8">
      <c r="A1907" s="165"/>
      <c r="B1907" s="171"/>
      <c r="C1907" s="165"/>
    </row>
    <row r="1908" spans="1:3" ht="16.8">
      <c r="A1908" s="165"/>
      <c r="B1908" s="171"/>
      <c r="C1908" s="165"/>
    </row>
    <row r="1909" spans="1:3" ht="16.8">
      <c r="A1909" s="165"/>
      <c r="B1909" s="171"/>
      <c r="C1909" s="165"/>
    </row>
    <row r="1910" spans="1:3" ht="16.8">
      <c r="A1910" s="165"/>
      <c r="B1910" s="171"/>
      <c r="C1910" s="165"/>
    </row>
    <row r="1911" spans="1:3" ht="16.8">
      <c r="A1911" s="165"/>
      <c r="B1911" s="171"/>
      <c r="C1911" s="165"/>
    </row>
    <row r="1912" spans="1:3" ht="16.8">
      <c r="A1912" s="165"/>
      <c r="B1912" s="171"/>
      <c r="C1912" s="165"/>
    </row>
    <row r="1913" spans="1:3" ht="16.8">
      <c r="A1913" s="165"/>
      <c r="B1913" s="171"/>
      <c r="C1913" s="165"/>
    </row>
    <row r="1914" spans="1:3" ht="16.8">
      <c r="A1914" s="165"/>
      <c r="B1914" s="171"/>
      <c r="C1914" s="165"/>
    </row>
    <row r="1915" spans="1:3" ht="16.8">
      <c r="A1915" s="165"/>
      <c r="B1915" s="171"/>
      <c r="C1915" s="165"/>
    </row>
    <row r="1916" spans="1:3" ht="16.8">
      <c r="A1916" s="165"/>
      <c r="B1916" s="171"/>
      <c r="C1916" s="165"/>
    </row>
    <row r="1917" spans="1:3" ht="16.8">
      <c r="A1917" s="165"/>
      <c r="B1917" s="171"/>
      <c r="C1917" s="165"/>
    </row>
    <row r="1918" spans="1:3" ht="16.8">
      <c r="A1918" s="165"/>
      <c r="B1918" s="171"/>
      <c r="C1918" s="165"/>
    </row>
    <row r="1919" spans="1:3" ht="16.8">
      <c r="A1919" s="165"/>
      <c r="B1919" s="171"/>
      <c r="C1919" s="165"/>
    </row>
    <row r="1920" spans="1:3" ht="16.8">
      <c r="A1920" s="165"/>
      <c r="B1920" s="171"/>
      <c r="C1920" s="165"/>
    </row>
    <row r="1921" spans="1:3" ht="16.8">
      <c r="A1921" s="165"/>
      <c r="B1921" s="171"/>
      <c r="C1921" s="165"/>
    </row>
    <row r="1922" spans="1:3" ht="16.8">
      <c r="A1922" s="165"/>
      <c r="B1922" s="171"/>
      <c r="C1922" s="165"/>
    </row>
    <row r="1923" spans="1:3" ht="16.8">
      <c r="A1923" s="165"/>
      <c r="B1923" s="171"/>
      <c r="C1923" s="165"/>
    </row>
    <row r="1924" spans="1:3" ht="16.8">
      <c r="A1924" s="165"/>
      <c r="B1924" s="171"/>
      <c r="C1924" s="165"/>
    </row>
    <row r="1925" spans="1:3" ht="16.8">
      <c r="A1925" s="165"/>
      <c r="B1925" s="171"/>
      <c r="C1925" s="165"/>
    </row>
    <row r="1926" spans="1:3" ht="16.8">
      <c r="A1926" s="165"/>
      <c r="B1926" s="171"/>
      <c r="C1926" s="165"/>
    </row>
    <row r="1927" spans="1:3" ht="16.8">
      <c r="A1927" s="165"/>
      <c r="B1927" s="171"/>
      <c r="C1927" s="165"/>
    </row>
    <row r="1928" spans="1:3" ht="16.8">
      <c r="A1928" s="165"/>
      <c r="B1928" s="171"/>
      <c r="C1928" s="165"/>
    </row>
    <row r="1929" spans="1:3" ht="16.8">
      <c r="A1929" s="165"/>
      <c r="B1929" s="171"/>
      <c r="C1929" s="165"/>
    </row>
    <row r="1930" spans="1:3" ht="16.8">
      <c r="A1930" s="165"/>
      <c r="B1930" s="171"/>
      <c r="C1930" s="165"/>
    </row>
    <row r="1931" spans="1:3" ht="16.8">
      <c r="A1931" s="165"/>
      <c r="B1931" s="171"/>
      <c r="C1931" s="165"/>
    </row>
    <row r="1932" spans="1:3" ht="16.8">
      <c r="A1932" s="165"/>
      <c r="B1932" s="171"/>
      <c r="C1932" s="165"/>
    </row>
    <row r="1933" spans="1:3" ht="16.8">
      <c r="A1933" s="165"/>
      <c r="B1933" s="171"/>
      <c r="C1933" s="165"/>
    </row>
    <row r="1934" spans="1:3" ht="16.8">
      <c r="A1934" s="165"/>
      <c r="B1934" s="171"/>
      <c r="C1934" s="165"/>
    </row>
    <row r="1935" spans="1:3" ht="16.8">
      <c r="A1935" s="165"/>
      <c r="B1935" s="171"/>
      <c r="C1935" s="165"/>
    </row>
    <row r="1936" spans="1:3" ht="16.8">
      <c r="A1936" s="165"/>
      <c r="B1936" s="171"/>
      <c r="C1936" s="165"/>
    </row>
    <row r="1937" spans="1:3" ht="16.8">
      <c r="A1937" s="165"/>
      <c r="B1937" s="171"/>
      <c r="C1937" s="165"/>
    </row>
    <row r="1938" spans="1:3" ht="16.8">
      <c r="A1938" s="165"/>
      <c r="B1938" s="171"/>
      <c r="C1938" s="165"/>
    </row>
    <row r="1939" spans="1:3" ht="16.8">
      <c r="A1939" s="165"/>
      <c r="B1939" s="171"/>
      <c r="C1939" s="165"/>
    </row>
    <row r="1940" spans="1:3" ht="16.8">
      <c r="A1940" s="165"/>
      <c r="B1940" s="171"/>
      <c r="C1940" s="165"/>
    </row>
    <row r="1941" spans="1:3" ht="16.8">
      <c r="A1941" s="165"/>
      <c r="B1941" s="171"/>
      <c r="C1941" s="165"/>
    </row>
    <row r="1942" spans="1:3" ht="16.8">
      <c r="A1942" s="165"/>
      <c r="B1942" s="171"/>
      <c r="C1942" s="165"/>
    </row>
    <row r="1943" spans="1:3" ht="16.8">
      <c r="A1943" s="165"/>
      <c r="B1943" s="171"/>
      <c r="C1943" s="165"/>
    </row>
    <row r="1944" spans="1:3" ht="16.8">
      <c r="A1944" s="165"/>
      <c r="B1944" s="171"/>
      <c r="C1944" s="165"/>
    </row>
    <row r="1945" spans="1:3" ht="16.8">
      <c r="A1945" s="165"/>
      <c r="B1945" s="171"/>
      <c r="C1945" s="165"/>
    </row>
    <row r="1946" spans="1:3" ht="16.8">
      <c r="A1946" s="165"/>
      <c r="B1946" s="171"/>
      <c r="C1946" s="165"/>
    </row>
    <row r="1947" spans="1:3" ht="16.8">
      <c r="A1947" s="165"/>
      <c r="B1947" s="171"/>
      <c r="C1947" s="165"/>
    </row>
    <row r="1948" spans="1:3" ht="16.8">
      <c r="A1948" s="165"/>
      <c r="B1948" s="171"/>
      <c r="C1948" s="165"/>
    </row>
    <row r="1949" spans="1:3" ht="16.8">
      <c r="A1949" s="165"/>
      <c r="B1949" s="171"/>
      <c r="C1949" s="165"/>
    </row>
    <row r="1950" spans="1:3" ht="16.8">
      <c r="A1950" s="165"/>
      <c r="B1950" s="171"/>
      <c r="C1950" s="165"/>
    </row>
    <row r="1951" spans="1:3" ht="16.8">
      <c r="A1951" s="165"/>
      <c r="B1951" s="171"/>
      <c r="C1951" s="165"/>
    </row>
    <row r="1952" spans="1:3" ht="16.8">
      <c r="A1952" s="165"/>
      <c r="B1952" s="171"/>
      <c r="C1952" s="165"/>
    </row>
    <row r="1953" spans="1:3" ht="16.8">
      <c r="A1953" s="165"/>
      <c r="B1953" s="171"/>
      <c r="C1953" s="165"/>
    </row>
    <row r="1954" spans="1:3" ht="16.8">
      <c r="A1954" s="165"/>
      <c r="B1954" s="171"/>
      <c r="C1954" s="165"/>
    </row>
    <row r="1955" spans="1:3" ht="16.8">
      <c r="A1955" s="165"/>
      <c r="B1955" s="171"/>
      <c r="C1955" s="165"/>
    </row>
    <row r="1956" spans="1:3" ht="16.8">
      <c r="A1956" s="165"/>
      <c r="B1956" s="171"/>
      <c r="C1956" s="165"/>
    </row>
    <row r="1957" spans="1:3" ht="16.8">
      <c r="A1957" s="165"/>
      <c r="B1957" s="171"/>
      <c r="C1957" s="165"/>
    </row>
    <row r="1958" spans="1:3" ht="16.8">
      <c r="A1958" s="165"/>
      <c r="B1958" s="171"/>
      <c r="C1958" s="165"/>
    </row>
    <row r="1959" spans="1:3" ht="16.8">
      <c r="A1959" s="165"/>
      <c r="B1959" s="171"/>
      <c r="C1959" s="165"/>
    </row>
    <row r="1960" spans="1:3" ht="16.8">
      <c r="A1960" s="165"/>
      <c r="B1960" s="171"/>
      <c r="C1960" s="165"/>
    </row>
    <row r="1961" spans="1:3" ht="16.8">
      <c r="A1961" s="165"/>
      <c r="B1961" s="171"/>
      <c r="C1961" s="165"/>
    </row>
    <row r="1962" spans="1:3" ht="16.8">
      <c r="A1962" s="165"/>
      <c r="B1962" s="171"/>
      <c r="C1962" s="165"/>
    </row>
    <row r="1963" spans="1:3" ht="16.8">
      <c r="A1963" s="165"/>
      <c r="B1963" s="171"/>
      <c r="C1963" s="165"/>
    </row>
    <row r="1964" spans="1:3" ht="16.8">
      <c r="A1964" s="165"/>
      <c r="B1964" s="171"/>
      <c r="C1964" s="165"/>
    </row>
    <row r="1965" spans="1:3" ht="16.8">
      <c r="A1965" s="165"/>
      <c r="B1965" s="171"/>
      <c r="C1965" s="165"/>
    </row>
    <row r="1966" spans="1:3" ht="16.8">
      <c r="A1966" s="165"/>
      <c r="B1966" s="171"/>
      <c r="C1966" s="165"/>
    </row>
    <row r="1967" spans="1:3" ht="16.8">
      <c r="A1967" s="165"/>
      <c r="B1967" s="171"/>
      <c r="C1967" s="165"/>
    </row>
    <row r="1968" spans="1:3" ht="16.8">
      <c r="A1968" s="165"/>
      <c r="B1968" s="171"/>
      <c r="C1968" s="165"/>
    </row>
    <row r="1969" spans="1:3" ht="16.8">
      <c r="A1969" s="165"/>
      <c r="B1969" s="171"/>
      <c r="C1969" s="165"/>
    </row>
    <row r="1970" spans="1:3" ht="16.8">
      <c r="A1970" s="165"/>
      <c r="B1970" s="171"/>
      <c r="C1970" s="165"/>
    </row>
    <row r="1971" spans="1:3" ht="16.8">
      <c r="A1971" s="165"/>
      <c r="B1971" s="171"/>
      <c r="C1971" s="165"/>
    </row>
    <row r="1972" spans="1:3" ht="16.8">
      <c r="A1972" s="165"/>
      <c r="B1972" s="171"/>
      <c r="C1972" s="165"/>
    </row>
    <row r="1973" spans="1:3" ht="16.8">
      <c r="A1973" s="165"/>
      <c r="B1973" s="171"/>
      <c r="C1973" s="165"/>
    </row>
    <row r="1974" spans="1:3" ht="16.8">
      <c r="A1974" s="165"/>
      <c r="B1974" s="171"/>
      <c r="C1974" s="165"/>
    </row>
    <row r="1975" spans="1:3" ht="16.8">
      <c r="A1975" s="165"/>
      <c r="B1975" s="171"/>
      <c r="C1975" s="165"/>
    </row>
    <row r="1976" spans="1:3" ht="16.8">
      <c r="A1976" s="165"/>
      <c r="B1976" s="171"/>
      <c r="C1976" s="165"/>
    </row>
    <row r="1977" spans="1:3" ht="16.8">
      <c r="A1977" s="165"/>
      <c r="B1977" s="171"/>
      <c r="C1977" s="165"/>
    </row>
    <row r="1978" spans="1:3" ht="16.8">
      <c r="A1978" s="165"/>
      <c r="B1978" s="171"/>
      <c r="C1978" s="165"/>
    </row>
    <row r="1979" spans="1:3" ht="16.8">
      <c r="A1979" s="165"/>
      <c r="B1979" s="171"/>
      <c r="C1979" s="165"/>
    </row>
    <row r="1980" spans="1:3" ht="16.8">
      <c r="A1980" s="165"/>
      <c r="B1980" s="171"/>
      <c r="C1980" s="165"/>
    </row>
    <row r="1981" spans="1:3" ht="16.8">
      <c r="A1981" s="165"/>
      <c r="B1981" s="171"/>
      <c r="C1981" s="165"/>
    </row>
    <row r="1982" spans="1:3" ht="16.8">
      <c r="A1982" s="165"/>
      <c r="B1982" s="171"/>
      <c r="C1982" s="165"/>
    </row>
    <row r="1983" spans="1:3" ht="16.8">
      <c r="A1983" s="165"/>
      <c r="B1983" s="171"/>
      <c r="C1983" s="165"/>
    </row>
    <row r="1984" spans="1:3" ht="16.8">
      <c r="A1984" s="165"/>
      <c r="B1984" s="171"/>
      <c r="C1984" s="165"/>
    </row>
    <row r="1985" spans="1:3" ht="16.8">
      <c r="A1985" s="165"/>
      <c r="B1985" s="171"/>
      <c r="C1985" s="165"/>
    </row>
    <row r="1986" spans="1:3" ht="16.8">
      <c r="A1986" s="165"/>
      <c r="B1986" s="171"/>
      <c r="C1986" s="165"/>
    </row>
    <row r="1987" spans="1:3" ht="16.8">
      <c r="A1987" s="165"/>
      <c r="B1987" s="171"/>
      <c r="C1987" s="165"/>
    </row>
    <row r="1988" spans="1:3" ht="16.8">
      <c r="A1988" s="165"/>
      <c r="B1988" s="171"/>
      <c r="C1988" s="165"/>
    </row>
    <row r="1989" spans="1:3" ht="16.8">
      <c r="A1989" s="165"/>
      <c r="B1989" s="171"/>
      <c r="C1989" s="165"/>
    </row>
    <row r="1990" spans="1:3" ht="16.8">
      <c r="A1990" s="165"/>
      <c r="B1990" s="171"/>
      <c r="C1990" s="165"/>
    </row>
    <row r="1991" spans="1:3" ht="16.8">
      <c r="A1991" s="165"/>
      <c r="B1991" s="171"/>
      <c r="C1991" s="165"/>
    </row>
    <row r="1992" spans="1:3" ht="16.8">
      <c r="A1992" s="165"/>
      <c r="B1992" s="171"/>
      <c r="C1992" s="165"/>
    </row>
    <row r="1993" spans="1:3" ht="16.8">
      <c r="A1993" s="165"/>
      <c r="B1993" s="171"/>
      <c r="C1993" s="165"/>
    </row>
    <row r="1994" spans="1:3" ht="16.8">
      <c r="A1994" s="165"/>
      <c r="B1994" s="171"/>
      <c r="C1994" s="165"/>
    </row>
    <row r="1995" spans="1:3" ht="16.8">
      <c r="A1995" s="165"/>
      <c r="B1995" s="171"/>
      <c r="C1995" s="165"/>
    </row>
    <row r="1996" spans="1:3" ht="16.8">
      <c r="A1996" s="165"/>
      <c r="B1996" s="171"/>
      <c r="C1996" s="165"/>
    </row>
    <row r="1997" spans="1:3" ht="16.8">
      <c r="A1997" s="165"/>
      <c r="B1997" s="171"/>
      <c r="C1997" s="165"/>
    </row>
    <row r="1998" spans="1:3" ht="16.8">
      <c r="A1998" s="165"/>
      <c r="B1998" s="171"/>
      <c r="C1998" s="165"/>
    </row>
    <row r="1999" spans="1:3" ht="16.8">
      <c r="A1999" s="165"/>
      <c r="B1999" s="171"/>
      <c r="C1999" s="165"/>
    </row>
    <row r="2000" spans="1:3" ht="16.8">
      <c r="A2000" s="165"/>
      <c r="B2000" s="171"/>
      <c r="C2000" s="165"/>
    </row>
    <row r="2001" spans="1:3" ht="16.8">
      <c r="A2001" s="165"/>
      <c r="B2001" s="171"/>
      <c r="C2001" s="165"/>
    </row>
    <row r="2002" spans="1:3" ht="16.8">
      <c r="A2002" s="165"/>
      <c r="B2002" s="171"/>
      <c r="C2002" s="165"/>
    </row>
    <row r="2003" spans="1:3" ht="16.8">
      <c r="A2003" s="165"/>
      <c r="B2003" s="171"/>
      <c r="C2003" s="165"/>
    </row>
    <row r="2004" spans="1:3" ht="16.8">
      <c r="A2004" s="165"/>
      <c r="B2004" s="171"/>
      <c r="C2004" s="165"/>
    </row>
    <row r="2005" spans="1:3" ht="16.8">
      <c r="A2005" s="165"/>
      <c r="B2005" s="171"/>
      <c r="C2005" s="165"/>
    </row>
    <row r="2006" spans="1:3" ht="16.8">
      <c r="A2006" s="165"/>
      <c r="B2006" s="171"/>
      <c r="C2006" s="165"/>
    </row>
    <row r="2007" spans="1:3" ht="16.8">
      <c r="A2007" s="165"/>
      <c r="B2007" s="171"/>
      <c r="C2007" s="165"/>
    </row>
    <row r="2008" spans="1:3" ht="16.8">
      <c r="A2008" s="165"/>
      <c r="B2008" s="171"/>
      <c r="C2008" s="165"/>
    </row>
    <row r="2009" spans="1:3" ht="16.8">
      <c r="A2009" s="165"/>
      <c r="B2009" s="171"/>
      <c r="C2009" s="165"/>
    </row>
    <row r="2010" spans="1:3" ht="16.8">
      <c r="A2010" s="165"/>
      <c r="B2010" s="171"/>
      <c r="C2010" s="165"/>
    </row>
    <row r="2011" spans="1:3" ht="16.8">
      <c r="A2011" s="165"/>
      <c r="B2011" s="171"/>
      <c r="C2011" s="165"/>
    </row>
    <row r="2012" spans="1:3" ht="16.8">
      <c r="A2012" s="165"/>
      <c r="B2012" s="171"/>
      <c r="C2012" s="165"/>
    </row>
    <row r="2013" spans="1:3" ht="16.8">
      <c r="A2013" s="165"/>
      <c r="B2013" s="171"/>
      <c r="C2013" s="165"/>
    </row>
    <row r="2014" spans="1:3" ht="16.8">
      <c r="A2014" s="165"/>
      <c r="B2014" s="171"/>
      <c r="C2014" s="165"/>
    </row>
    <row r="2015" spans="1:3" ht="16.8">
      <c r="A2015" s="165"/>
      <c r="B2015" s="171"/>
      <c r="C2015" s="165"/>
    </row>
    <row r="2016" spans="1:3" ht="16.8">
      <c r="A2016" s="165"/>
      <c r="B2016" s="171"/>
      <c r="C2016" s="165"/>
    </row>
    <row r="2017" spans="1:3" ht="16.8">
      <c r="A2017" s="165"/>
      <c r="B2017" s="171"/>
      <c r="C2017" s="165"/>
    </row>
    <row r="2018" spans="1:3" ht="16.8">
      <c r="A2018" s="165"/>
      <c r="B2018" s="171"/>
      <c r="C2018" s="165"/>
    </row>
    <row r="2019" spans="1:3" ht="16.8">
      <c r="A2019" s="165"/>
      <c r="B2019" s="171"/>
      <c r="C2019" s="165"/>
    </row>
    <row r="2020" spans="1:3" ht="16.8">
      <c r="A2020" s="165"/>
      <c r="B2020" s="171"/>
      <c r="C2020" s="165"/>
    </row>
    <row r="2021" spans="1:3" ht="16.8">
      <c r="A2021" s="165"/>
      <c r="B2021" s="171"/>
      <c r="C2021" s="165"/>
    </row>
    <row r="2022" spans="1:3" ht="16.8">
      <c r="A2022" s="165"/>
      <c r="B2022" s="171"/>
      <c r="C2022" s="165"/>
    </row>
    <row r="2023" spans="1:3" ht="16.8">
      <c r="A2023" s="165"/>
      <c r="B2023" s="171"/>
      <c r="C2023" s="165"/>
    </row>
    <row r="2024" spans="1:3" ht="16.8">
      <c r="A2024" s="165"/>
      <c r="B2024" s="171"/>
      <c r="C2024" s="165"/>
    </row>
    <row r="2025" spans="1:3" ht="16.8">
      <c r="A2025" s="165"/>
      <c r="B2025" s="171"/>
      <c r="C2025" s="165"/>
    </row>
    <row r="2026" spans="1:3" ht="16.8">
      <c r="A2026" s="165"/>
      <c r="B2026" s="171"/>
      <c r="C2026" s="165"/>
    </row>
    <row r="2027" spans="1:3" ht="16.8">
      <c r="A2027" s="165"/>
      <c r="B2027" s="171"/>
      <c r="C2027" s="165"/>
    </row>
    <row r="2028" spans="1:3" ht="16.8">
      <c r="A2028" s="165"/>
      <c r="B2028" s="171"/>
      <c r="C2028" s="165"/>
    </row>
    <row r="2029" spans="1:3" ht="16.8">
      <c r="A2029" s="165"/>
      <c r="B2029" s="171"/>
      <c r="C2029" s="165"/>
    </row>
    <row r="2030" spans="1:3" ht="16.8">
      <c r="A2030" s="165"/>
      <c r="B2030" s="171"/>
      <c r="C2030" s="165"/>
    </row>
    <row r="2031" spans="1:3" ht="16.8">
      <c r="A2031" s="165"/>
      <c r="B2031" s="171"/>
      <c r="C2031" s="165"/>
    </row>
    <row r="2032" spans="1:3" ht="16.8">
      <c r="A2032" s="165"/>
      <c r="B2032" s="171"/>
      <c r="C2032" s="165"/>
    </row>
    <row r="2033" spans="1:3" ht="16.8">
      <c r="A2033" s="165"/>
      <c r="B2033" s="171"/>
      <c r="C2033" s="165"/>
    </row>
    <row r="2034" spans="1:3" ht="16.8">
      <c r="A2034" s="165"/>
      <c r="B2034" s="171"/>
      <c r="C2034" s="165"/>
    </row>
    <row r="2035" spans="1:3" ht="16.8">
      <c r="A2035" s="165"/>
      <c r="B2035" s="171"/>
      <c r="C2035" s="165"/>
    </row>
    <row r="2036" spans="1:3" ht="16.8">
      <c r="A2036" s="165"/>
      <c r="B2036" s="171"/>
      <c r="C2036" s="165"/>
    </row>
    <row r="2037" spans="1:3" ht="16.8">
      <c r="A2037" s="165"/>
      <c r="B2037" s="171"/>
      <c r="C2037" s="165"/>
    </row>
    <row r="2038" spans="1:3" ht="16.8">
      <c r="A2038" s="165"/>
      <c r="B2038" s="171"/>
      <c r="C2038" s="165"/>
    </row>
    <row r="2039" spans="1:3" ht="16.8">
      <c r="A2039" s="165"/>
      <c r="B2039" s="171"/>
      <c r="C2039" s="165"/>
    </row>
    <row r="2040" spans="1:3" ht="16.8">
      <c r="A2040" s="165"/>
      <c r="B2040" s="171"/>
      <c r="C2040" s="165"/>
    </row>
    <row r="2041" spans="1:3" ht="16.8">
      <c r="A2041" s="165"/>
      <c r="B2041" s="171"/>
      <c r="C2041" s="165"/>
    </row>
    <row r="2042" spans="1:3" ht="16.8">
      <c r="A2042" s="165"/>
      <c r="B2042" s="171"/>
      <c r="C2042" s="165"/>
    </row>
    <row r="2043" spans="1:3" ht="16.8">
      <c r="A2043" s="165"/>
      <c r="B2043" s="171"/>
      <c r="C2043" s="165"/>
    </row>
    <row r="2044" spans="1:3" ht="16.8">
      <c r="A2044" s="165"/>
      <c r="B2044" s="171"/>
      <c r="C2044" s="165"/>
    </row>
    <row r="2045" spans="1:3" ht="16.8">
      <c r="A2045" s="165"/>
      <c r="B2045" s="171"/>
      <c r="C2045" s="165"/>
    </row>
    <row r="2046" spans="1:3" ht="16.8">
      <c r="A2046" s="165"/>
      <c r="B2046" s="171"/>
      <c r="C2046" s="165"/>
    </row>
    <row r="2047" spans="1:3" ht="16.8">
      <c r="A2047" s="165"/>
      <c r="B2047" s="171"/>
      <c r="C2047" s="165"/>
    </row>
    <row r="2048" spans="1:3" ht="16.8">
      <c r="A2048" s="165"/>
      <c r="B2048" s="171"/>
      <c r="C2048" s="165"/>
    </row>
    <row r="2049" spans="1:3" ht="16.8">
      <c r="A2049" s="165"/>
      <c r="B2049" s="171"/>
      <c r="C2049" s="165"/>
    </row>
    <row r="2050" spans="1:3" ht="16.8">
      <c r="A2050" s="165"/>
      <c r="B2050" s="171"/>
      <c r="C2050" s="165"/>
    </row>
    <row r="2051" spans="1:3" ht="16.8">
      <c r="A2051" s="165"/>
      <c r="B2051" s="171"/>
      <c r="C2051" s="165"/>
    </row>
    <row r="2052" spans="1:3" ht="16.8">
      <c r="A2052" s="165"/>
      <c r="B2052" s="171"/>
      <c r="C2052" s="165"/>
    </row>
    <row r="2053" spans="1:3" ht="16.8">
      <c r="A2053" s="165"/>
      <c r="B2053" s="171"/>
      <c r="C2053" s="165"/>
    </row>
    <row r="2054" spans="1:3" ht="16.8">
      <c r="A2054" s="165"/>
      <c r="B2054" s="171"/>
      <c r="C2054" s="165"/>
    </row>
    <row r="2055" spans="1:3" ht="16.8">
      <c r="A2055" s="165"/>
      <c r="B2055" s="171"/>
      <c r="C2055" s="165"/>
    </row>
    <row r="2056" spans="1:3" ht="16.8">
      <c r="A2056" s="165"/>
      <c r="B2056" s="171"/>
      <c r="C2056" s="165"/>
    </row>
    <row r="2057" spans="1:3" ht="16.8">
      <c r="A2057" s="165"/>
      <c r="B2057" s="171"/>
      <c r="C2057" s="165"/>
    </row>
    <row r="2058" spans="1:3" ht="16.8">
      <c r="A2058" s="165"/>
      <c r="B2058" s="171"/>
      <c r="C2058" s="165"/>
    </row>
    <row r="2059" spans="1:3" ht="16.8">
      <c r="A2059" s="165"/>
      <c r="B2059" s="171"/>
      <c r="C2059" s="165"/>
    </row>
    <row r="2060" spans="1:3" ht="16.8">
      <c r="A2060" s="165"/>
      <c r="B2060" s="171"/>
      <c r="C2060" s="165"/>
    </row>
    <row r="2061" spans="1:3" ht="16.8">
      <c r="A2061" s="165"/>
      <c r="B2061" s="171"/>
      <c r="C2061" s="165"/>
    </row>
    <row r="2062" spans="1:3" ht="16.8">
      <c r="A2062" s="165"/>
      <c r="B2062" s="171"/>
      <c r="C2062" s="165"/>
    </row>
    <row r="2063" spans="1:3" ht="16.8">
      <c r="A2063" s="165"/>
      <c r="B2063" s="171"/>
      <c r="C2063" s="165"/>
    </row>
    <row r="2064" spans="1:3" ht="16.8">
      <c r="A2064" s="165"/>
      <c r="B2064" s="171"/>
      <c r="C2064" s="165"/>
    </row>
    <row r="2065" spans="1:3" ht="16.8">
      <c r="A2065" s="165"/>
      <c r="B2065" s="171"/>
      <c r="C2065" s="165"/>
    </row>
    <row r="2066" spans="1:3" ht="16.8">
      <c r="A2066" s="165"/>
      <c r="B2066" s="171"/>
      <c r="C2066" s="165"/>
    </row>
    <row r="2067" spans="1:3" ht="16.8">
      <c r="A2067" s="165"/>
      <c r="B2067" s="171"/>
      <c r="C2067" s="165"/>
    </row>
    <row r="2068" spans="1:3" ht="16.8">
      <c r="A2068" s="165"/>
      <c r="B2068" s="171"/>
      <c r="C2068" s="165"/>
    </row>
    <row r="2069" spans="1:3" ht="16.8">
      <c r="A2069" s="165"/>
      <c r="B2069" s="171"/>
      <c r="C2069" s="165"/>
    </row>
    <row r="2070" spans="1:3" ht="16.8">
      <c r="A2070" s="165"/>
      <c r="B2070" s="171"/>
      <c r="C2070" s="165"/>
    </row>
    <row r="2071" spans="1:3" ht="16.8">
      <c r="A2071" s="165"/>
      <c r="B2071" s="171"/>
      <c r="C2071" s="165"/>
    </row>
    <row r="2072" spans="1:3" ht="16.8">
      <c r="A2072" s="165"/>
      <c r="B2072" s="171"/>
      <c r="C2072" s="165"/>
    </row>
    <row r="2073" spans="1:3" ht="16.8">
      <c r="A2073" s="165"/>
      <c r="B2073" s="171"/>
      <c r="C2073" s="165"/>
    </row>
    <row r="2074" spans="1:3" ht="16.8">
      <c r="A2074" s="165"/>
      <c r="B2074" s="171"/>
      <c r="C2074" s="165"/>
    </row>
    <row r="2075" spans="1:3" ht="16.8">
      <c r="A2075" s="165"/>
      <c r="B2075" s="171"/>
      <c r="C2075" s="165"/>
    </row>
    <row r="2076" spans="1:3" ht="16.8">
      <c r="A2076" s="165"/>
      <c r="B2076" s="171"/>
      <c r="C2076" s="165"/>
    </row>
    <row r="2077" spans="1:3" ht="16.8">
      <c r="A2077" s="165"/>
      <c r="B2077" s="171"/>
      <c r="C2077" s="165"/>
    </row>
    <row r="2078" spans="1:3" ht="16.8">
      <c r="A2078" s="165"/>
      <c r="B2078" s="171"/>
      <c r="C2078" s="165"/>
    </row>
    <row r="2079" spans="1:3" ht="16.8">
      <c r="A2079" s="165"/>
      <c r="B2079" s="171"/>
      <c r="C2079" s="165"/>
    </row>
    <row r="2080" spans="1:3" ht="16.8">
      <c r="A2080" s="165"/>
      <c r="B2080" s="171"/>
      <c r="C2080" s="165"/>
    </row>
    <row r="2081" spans="1:3" ht="16.8">
      <c r="A2081" s="165"/>
      <c r="B2081" s="171"/>
      <c r="C2081" s="165"/>
    </row>
    <row r="2082" spans="1:3" ht="16.8">
      <c r="A2082" s="165"/>
      <c r="B2082" s="171"/>
      <c r="C2082" s="165"/>
    </row>
    <row r="2083" spans="1:3" ht="16.8">
      <c r="A2083" s="165"/>
      <c r="B2083" s="171"/>
      <c r="C2083" s="165"/>
    </row>
    <row r="2084" spans="1:3" ht="16.8">
      <c r="A2084" s="165"/>
      <c r="B2084" s="171"/>
      <c r="C2084" s="165"/>
    </row>
    <row r="2085" spans="1:3" ht="16.8">
      <c r="A2085" s="165"/>
      <c r="B2085" s="171"/>
      <c r="C2085" s="165"/>
    </row>
    <row r="2086" spans="1:3" ht="16.8">
      <c r="A2086" s="165"/>
      <c r="B2086" s="171"/>
      <c r="C2086" s="165"/>
    </row>
    <row r="2087" spans="1:3" ht="16.8">
      <c r="A2087" s="165"/>
      <c r="B2087" s="171"/>
      <c r="C2087" s="165"/>
    </row>
    <row r="2088" spans="1:3" ht="16.8">
      <c r="A2088" s="165"/>
      <c r="B2088" s="171"/>
      <c r="C2088" s="165"/>
    </row>
    <row r="2089" spans="1:3" ht="16.8">
      <c r="A2089" s="165"/>
      <c r="B2089" s="171"/>
      <c r="C2089" s="165"/>
    </row>
    <row r="2090" spans="1:3" ht="16.8">
      <c r="A2090" s="165"/>
      <c r="B2090" s="171"/>
      <c r="C2090" s="165"/>
    </row>
    <row r="2091" spans="1:3" ht="16.8">
      <c r="A2091" s="165"/>
      <c r="B2091" s="171"/>
      <c r="C2091" s="165"/>
    </row>
    <row r="2092" spans="1:3" ht="16.8">
      <c r="A2092" s="165"/>
      <c r="B2092" s="171"/>
      <c r="C2092" s="165"/>
    </row>
    <row r="2093" spans="1:3" ht="16.8">
      <c r="A2093" s="165"/>
      <c r="B2093" s="171"/>
      <c r="C2093" s="165"/>
    </row>
    <row r="2094" spans="1:3" ht="16.8">
      <c r="A2094" s="165"/>
      <c r="B2094" s="171"/>
      <c r="C2094" s="165"/>
    </row>
    <row r="2095" spans="1:3" ht="16.8">
      <c r="A2095" s="165"/>
      <c r="B2095" s="171"/>
      <c r="C2095" s="165"/>
    </row>
    <row r="2096" spans="1:3" ht="16.8">
      <c r="A2096" s="165"/>
      <c r="B2096" s="171"/>
      <c r="C2096" s="165"/>
    </row>
    <row r="2097" spans="1:3" ht="16.8">
      <c r="A2097" s="165"/>
      <c r="B2097" s="171"/>
      <c r="C2097" s="165"/>
    </row>
    <row r="2098" spans="1:3" ht="16.8">
      <c r="A2098" s="165"/>
      <c r="B2098" s="171"/>
      <c r="C2098" s="165"/>
    </row>
    <row r="2099" spans="1:3" ht="16.8">
      <c r="A2099" s="165"/>
      <c r="B2099" s="171"/>
      <c r="C2099" s="165"/>
    </row>
    <row r="2100" spans="1:3" ht="16.8">
      <c r="A2100" s="165"/>
      <c r="B2100" s="171"/>
      <c r="C2100" s="165"/>
    </row>
    <row r="2101" spans="1:3" ht="16.8">
      <c r="A2101" s="165"/>
      <c r="B2101" s="171"/>
      <c r="C2101" s="165"/>
    </row>
    <row r="2102" spans="1:3" ht="16.8">
      <c r="A2102" s="165"/>
      <c r="B2102" s="171"/>
      <c r="C2102" s="165"/>
    </row>
    <row r="2103" spans="1:3" ht="16.8">
      <c r="A2103" s="165"/>
      <c r="B2103" s="171"/>
      <c r="C2103" s="165"/>
    </row>
    <row r="2104" spans="1:3" ht="16.8">
      <c r="A2104" s="165"/>
      <c r="B2104" s="171"/>
      <c r="C2104" s="165"/>
    </row>
    <row r="2105" spans="1:3" ht="16.8">
      <c r="A2105" s="165"/>
      <c r="B2105" s="171"/>
      <c r="C2105" s="165"/>
    </row>
    <row r="2106" spans="1:3" ht="16.8">
      <c r="A2106" s="165"/>
      <c r="B2106" s="171"/>
      <c r="C2106" s="165"/>
    </row>
    <row r="2107" spans="1:3" ht="16.8">
      <c r="A2107" s="165"/>
      <c r="B2107" s="171"/>
      <c r="C2107" s="165"/>
    </row>
    <row r="2108" spans="1:3" ht="16.8">
      <c r="A2108" s="165"/>
      <c r="B2108" s="171"/>
      <c r="C2108" s="165"/>
    </row>
    <row r="2109" spans="1:3" ht="16.8">
      <c r="A2109" s="165"/>
      <c r="B2109" s="171"/>
      <c r="C2109" s="165"/>
    </row>
    <row r="2110" spans="1:3" ht="16.8">
      <c r="A2110" s="165"/>
      <c r="B2110" s="171"/>
      <c r="C2110" s="165"/>
    </row>
    <row r="2111" spans="1:3" ht="16.8">
      <c r="A2111" s="165"/>
      <c r="B2111" s="171"/>
      <c r="C2111" s="165"/>
    </row>
    <row r="2112" spans="1:3" ht="16.8">
      <c r="A2112" s="165"/>
      <c r="B2112" s="171"/>
      <c r="C2112" s="165"/>
    </row>
    <row r="2113" spans="1:3" ht="16.8">
      <c r="A2113" s="165"/>
      <c r="B2113" s="171"/>
      <c r="C2113" s="165"/>
    </row>
    <row r="2114" spans="1:3" ht="16.8">
      <c r="A2114" s="165"/>
      <c r="B2114" s="171"/>
      <c r="C2114" s="165"/>
    </row>
    <row r="2115" spans="1:3" ht="16.8">
      <c r="A2115" s="165"/>
      <c r="B2115" s="171"/>
      <c r="C2115" s="165"/>
    </row>
    <row r="2116" spans="1:3" ht="16.8">
      <c r="A2116" s="165"/>
      <c r="B2116" s="171"/>
      <c r="C2116" s="165"/>
    </row>
    <row r="2117" spans="1:3" ht="16.8">
      <c r="A2117" s="165"/>
      <c r="B2117" s="171"/>
      <c r="C2117" s="165"/>
    </row>
    <row r="2118" spans="1:3" ht="16.8">
      <c r="A2118" s="165"/>
      <c r="B2118" s="171"/>
      <c r="C2118" s="165"/>
    </row>
    <row r="2119" spans="1:3" ht="16.8">
      <c r="A2119" s="165"/>
      <c r="B2119" s="171"/>
      <c r="C2119" s="165"/>
    </row>
    <row r="2120" spans="1:3" ht="16.8">
      <c r="A2120" s="165"/>
      <c r="B2120" s="171"/>
      <c r="C2120" s="165"/>
    </row>
    <row r="2121" spans="1:3" ht="16.8">
      <c r="A2121" s="165"/>
      <c r="B2121" s="171"/>
      <c r="C2121" s="165"/>
    </row>
    <row r="2122" spans="1:3" ht="16.8">
      <c r="A2122" s="165"/>
      <c r="B2122" s="171"/>
      <c r="C2122" s="165"/>
    </row>
    <row r="2123" spans="1:3" ht="16.8">
      <c r="A2123" s="165"/>
      <c r="B2123" s="171"/>
      <c r="C2123" s="165"/>
    </row>
    <row r="2124" spans="1:3" ht="16.8">
      <c r="A2124" s="165"/>
      <c r="B2124" s="171"/>
      <c r="C2124" s="165"/>
    </row>
    <row r="2125" spans="1:3" ht="16.8">
      <c r="A2125" s="165"/>
      <c r="B2125" s="171"/>
      <c r="C2125" s="165"/>
    </row>
    <row r="2126" spans="1:3" ht="16.8">
      <c r="A2126" s="165"/>
      <c r="B2126" s="171"/>
      <c r="C2126" s="165"/>
    </row>
    <row r="2127" spans="1:3" ht="16.8">
      <c r="A2127" s="165"/>
      <c r="B2127" s="171"/>
      <c r="C2127" s="165"/>
    </row>
    <row r="2128" spans="1:3" ht="16.8">
      <c r="A2128" s="165"/>
      <c r="B2128" s="171"/>
      <c r="C2128" s="165"/>
    </row>
    <row r="2129" spans="1:3" ht="16.8">
      <c r="A2129" s="165"/>
      <c r="B2129" s="171"/>
      <c r="C2129" s="165"/>
    </row>
    <row r="2130" spans="1:3" ht="16.8">
      <c r="A2130" s="165"/>
      <c r="B2130" s="171"/>
      <c r="C2130" s="165"/>
    </row>
    <row r="2131" spans="1:3" ht="16.8">
      <c r="A2131" s="165"/>
      <c r="B2131" s="171"/>
      <c r="C2131" s="165"/>
    </row>
    <row r="2132" spans="1:3" ht="16.8">
      <c r="A2132" s="165"/>
      <c r="B2132" s="171"/>
      <c r="C2132" s="165"/>
    </row>
    <row r="2133" spans="1:3" ht="16.8">
      <c r="A2133" s="165"/>
      <c r="B2133" s="171"/>
      <c r="C2133" s="165"/>
    </row>
    <row r="2134" spans="1:3" ht="16.8">
      <c r="A2134" s="165"/>
      <c r="B2134" s="171"/>
      <c r="C2134" s="165"/>
    </row>
    <row r="2135" spans="1:3" ht="16.8">
      <c r="A2135" s="165"/>
      <c r="B2135" s="171"/>
      <c r="C2135" s="165"/>
    </row>
    <row r="2136" spans="1:3" ht="16.8">
      <c r="A2136" s="165"/>
      <c r="B2136" s="171"/>
      <c r="C2136" s="165"/>
    </row>
    <row r="2137" spans="1:3" ht="16.8">
      <c r="A2137" s="165"/>
      <c r="B2137" s="171"/>
      <c r="C2137" s="165"/>
    </row>
    <row r="2138" spans="1:3" ht="16.8">
      <c r="A2138" s="165"/>
      <c r="B2138" s="171"/>
      <c r="C2138" s="165"/>
    </row>
    <row r="2139" spans="1:3" ht="16.8">
      <c r="A2139" s="165"/>
      <c r="B2139" s="171"/>
      <c r="C2139" s="165"/>
    </row>
    <row r="2140" spans="1:3" ht="16.8">
      <c r="A2140" s="165"/>
      <c r="B2140" s="171"/>
      <c r="C2140" s="165"/>
    </row>
    <row r="2141" spans="1:3" ht="16.8">
      <c r="A2141" s="165"/>
      <c r="B2141" s="171"/>
      <c r="C2141" s="165"/>
    </row>
    <row r="2142" spans="1:3" ht="16.8">
      <c r="A2142" s="165"/>
      <c r="B2142" s="171"/>
      <c r="C2142" s="165"/>
    </row>
    <row r="2143" spans="1:3" ht="16.8">
      <c r="A2143" s="165"/>
      <c r="B2143" s="171"/>
      <c r="C2143" s="165"/>
    </row>
    <row r="2144" spans="1:3" ht="16.8">
      <c r="A2144" s="165"/>
      <c r="B2144" s="171"/>
      <c r="C2144" s="165"/>
    </row>
    <row r="2145" spans="1:3" ht="16.8">
      <c r="A2145" s="165"/>
      <c r="B2145" s="171"/>
      <c r="C2145" s="165"/>
    </row>
    <row r="2146" spans="1:3" ht="16.8">
      <c r="A2146" s="165"/>
      <c r="B2146" s="171"/>
      <c r="C2146" s="165"/>
    </row>
    <row r="2147" spans="1:3" ht="16.8">
      <c r="A2147" s="165"/>
      <c r="B2147" s="171"/>
      <c r="C2147" s="165"/>
    </row>
    <row r="2148" spans="1:3" ht="16.8">
      <c r="A2148" s="165"/>
      <c r="B2148" s="171"/>
      <c r="C2148" s="165"/>
    </row>
    <row r="2149" spans="1:3" ht="16.8">
      <c r="A2149" s="165"/>
      <c r="B2149" s="171"/>
      <c r="C2149" s="165"/>
    </row>
    <row r="2150" spans="1:3" ht="16.8">
      <c r="A2150" s="165"/>
      <c r="B2150" s="171"/>
      <c r="C2150" s="165"/>
    </row>
    <row r="2151" spans="1:3" ht="16.8">
      <c r="A2151" s="165"/>
      <c r="B2151" s="171"/>
      <c r="C2151" s="165"/>
    </row>
    <row r="2152" spans="1:3" ht="16.8">
      <c r="A2152" s="165"/>
      <c r="B2152" s="171"/>
      <c r="C2152" s="165"/>
    </row>
    <row r="2153" spans="1:3" ht="16.8">
      <c r="A2153" s="165"/>
      <c r="B2153" s="171"/>
      <c r="C2153" s="165"/>
    </row>
    <row r="2154" spans="1:3" ht="16.8">
      <c r="A2154" s="165"/>
      <c r="B2154" s="171"/>
      <c r="C2154" s="165"/>
    </row>
    <row r="2155" spans="1:3" ht="16.8">
      <c r="A2155" s="165"/>
      <c r="B2155" s="171"/>
      <c r="C2155" s="165"/>
    </row>
    <row r="2156" spans="1:3" ht="16.8">
      <c r="A2156" s="165"/>
      <c r="B2156" s="171"/>
      <c r="C2156" s="165"/>
    </row>
    <row r="2157" spans="1:3" ht="16.8">
      <c r="A2157" s="165"/>
      <c r="B2157" s="171"/>
      <c r="C2157" s="165"/>
    </row>
    <row r="2158" spans="1:3" ht="16.8">
      <c r="A2158" s="165"/>
      <c r="B2158" s="171"/>
      <c r="C2158" s="165"/>
    </row>
    <row r="2159" spans="1:3" ht="16.8">
      <c r="A2159" s="165"/>
      <c r="B2159" s="171"/>
      <c r="C2159" s="165"/>
    </row>
    <row r="2160" spans="1:3" ht="16.8">
      <c r="A2160" s="165"/>
      <c r="B2160" s="171"/>
      <c r="C2160" s="165"/>
    </row>
    <row r="2161" spans="1:3" ht="16.8">
      <c r="A2161" s="165"/>
      <c r="B2161" s="171"/>
      <c r="C2161" s="165"/>
    </row>
    <row r="2162" spans="1:3" ht="16.8">
      <c r="A2162" s="165"/>
      <c r="B2162" s="171"/>
      <c r="C2162" s="165"/>
    </row>
    <row r="2163" spans="1:3" ht="16.8">
      <c r="A2163" s="165"/>
      <c r="B2163" s="171"/>
      <c r="C2163" s="165"/>
    </row>
    <row r="2164" spans="1:3" ht="16.8">
      <c r="A2164" s="165"/>
      <c r="B2164" s="171"/>
      <c r="C2164" s="165"/>
    </row>
    <row r="2165" spans="1:3" ht="16.8">
      <c r="A2165" s="165"/>
      <c r="B2165" s="171"/>
      <c r="C2165" s="165"/>
    </row>
    <row r="2166" spans="1:3" ht="16.8">
      <c r="A2166" s="165"/>
      <c r="B2166" s="171"/>
      <c r="C2166" s="165"/>
    </row>
    <row r="2167" spans="1:3" ht="16.8">
      <c r="A2167" s="165"/>
      <c r="B2167" s="171"/>
      <c r="C2167" s="165"/>
    </row>
    <row r="2168" spans="1:3" ht="16.8">
      <c r="A2168" s="165"/>
      <c r="B2168" s="171"/>
      <c r="C2168" s="165"/>
    </row>
    <row r="2169" spans="1:3" ht="16.8">
      <c r="A2169" s="165"/>
      <c r="B2169" s="171"/>
      <c r="C2169" s="165"/>
    </row>
    <row r="2170" spans="1:3" ht="16.8">
      <c r="A2170" s="165"/>
      <c r="B2170" s="171"/>
      <c r="C2170" s="165"/>
    </row>
    <row r="2171" spans="1:3" ht="16.8">
      <c r="A2171" s="165"/>
      <c r="B2171" s="171"/>
      <c r="C2171" s="165"/>
    </row>
    <row r="2172" spans="1:3" ht="16.8">
      <c r="A2172" s="165"/>
      <c r="B2172" s="171"/>
      <c r="C2172" s="165"/>
    </row>
    <row r="2173" spans="1:3" ht="16.8">
      <c r="A2173" s="165"/>
      <c r="B2173" s="171"/>
      <c r="C2173" s="165"/>
    </row>
    <row r="2174" spans="1:3" ht="16.8">
      <c r="A2174" s="165"/>
      <c r="B2174" s="171"/>
      <c r="C2174" s="165"/>
    </row>
    <row r="2175" spans="1:3" ht="16.8">
      <c r="A2175" s="165"/>
      <c r="B2175" s="171"/>
      <c r="C2175" s="165"/>
    </row>
    <row r="2176" spans="1:3" ht="16.8">
      <c r="A2176" s="165"/>
      <c r="B2176" s="171"/>
      <c r="C2176" s="165"/>
    </row>
    <row r="2177" spans="1:3" ht="16.8">
      <c r="A2177" s="165"/>
      <c r="B2177" s="171"/>
      <c r="C2177" s="165"/>
    </row>
    <row r="2178" spans="1:3" ht="16.8">
      <c r="A2178" s="165"/>
      <c r="B2178" s="171"/>
      <c r="C2178" s="165"/>
    </row>
    <row r="2179" spans="1:3" ht="16.8">
      <c r="A2179" s="165"/>
      <c r="B2179" s="171"/>
      <c r="C2179" s="165"/>
    </row>
    <row r="2180" spans="1:3" ht="16.8">
      <c r="A2180" s="165"/>
      <c r="B2180" s="171"/>
      <c r="C2180" s="165"/>
    </row>
    <row r="2181" spans="1:3" ht="16.8">
      <c r="A2181" s="165"/>
      <c r="B2181" s="171"/>
      <c r="C2181" s="165"/>
    </row>
    <row r="2182" spans="1:3" ht="16.8">
      <c r="A2182" s="165"/>
      <c r="B2182" s="171"/>
      <c r="C2182" s="165"/>
    </row>
    <row r="2183" spans="1:3" ht="16.8">
      <c r="A2183" s="165"/>
      <c r="B2183" s="171"/>
      <c r="C2183" s="165"/>
    </row>
    <row r="2184" spans="1:3" ht="16.8">
      <c r="A2184" s="165"/>
      <c r="B2184" s="171"/>
      <c r="C2184" s="165"/>
    </row>
    <row r="2185" spans="1:3" ht="16.8">
      <c r="A2185" s="165"/>
      <c r="B2185" s="171"/>
      <c r="C2185" s="165"/>
    </row>
    <row r="2186" spans="1:3" ht="16.8">
      <c r="A2186" s="165"/>
      <c r="B2186" s="171"/>
      <c r="C2186" s="165"/>
    </row>
    <row r="2187" spans="1:3" ht="16.8">
      <c r="A2187" s="165"/>
      <c r="B2187" s="171"/>
      <c r="C2187" s="165"/>
    </row>
    <row r="2188" spans="1:3" ht="16.8">
      <c r="A2188" s="165"/>
      <c r="B2188" s="171"/>
      <c r="C2188" s="165"/>
    </row>
    <row r="2189" spans="1:3" ht="16.8">
      <c r="A2189" s="165"/>
      <c r="B2189" s="171"/>
      <c r="C2189" s="165"/>
    </row>
    <row r="2190" spans="1:3" ht="16.8">
      <c r="A2190" s="165"/>
      <c r="B2190" s="171"/>
      <c r="C2190" s="165"/>
    </row>
    <row r="2191" spans="1:3" ht="16.8">
      <c r="A2191" s="165"/>
      <c r="B2191" s="171"/>
      <c r="C2191" s="165"/>
    </row>
    <row r="2192" spans="1:3" ht="16.8">
      <c r="A2192" s="165"/>
      <c r="B2192" s="171"/>
      <c r="C2192" s="165"/>
    </row>
    <row r="2193" spans="1:3" ht="16.8">
      <c r="A2193" s="165"/>
      <c r="B2193" s="171"/>
      <c r="C2193" s="165"/>
    </row>
    <row r="2194" spans="1:3" ht="16.8">
      <c r="A2194" s="165"/>
      <c r="B2194" s="171"/>
      <c r="C2194" s="165"/>
    </row>
    <row r="2195" spans="1:3" ht="16.8">
      <c r="A2195" s="165"/>
      <c r="B2195" s="171"/>
      <c r="C2195" s="165"/>
    </row>
    <row r="2196" spans="1:3" ht="16.8">
      <c r="A2196" s="165"/>
      <c r="B2196" s="171"/>
      <c r="C2196" s="165"/>
    </row>
    <row r="2197" spans="1:3" ht="16.8">
      <c r="A2197" s="165"/>
      <c r="B2197" s="171"/>
      <c r="C2197" s="165"/>
    </row>
    <row r="2198" spans="1:3" ht="16.8">
      <c r="A2198" s="165"/>
      <c r="B2198" s="171"/>
      <c r="C2198" s="165"/>
    </row>
    <row r="2199" spans="1:3" ht="16.8">
      <c r="A2199" s="165"/>
      <c r="B2199" s="171"/>
      <c r="C2199" s="165"/>
    </row>
    <row r="2200" spans="1:3" ht="16.8">
      <c r="A2200" s="165"/>
      <c r="B2200" s="171"/>
      <c r="C2200" s="165"/>
    </row>
    <row r="2201" spans="1:3" ht="16.8">
      <c r="A2201" s="165"/>
      <c r="B2201" s="171"/>
      <c r="C2201" s="165"/>
    </row>
    <row r="2202" spans="1:3" ht="16.8">
      <c r="A2202" s="165"/>
      <c r="B2202" s="171"/>
      <c r="C2202" s="165"/>
    </row>
    <row r="2203" spans="1:3" ht="16.8">
      <c r="A2203" s="165"/>
      <c r="B2203" s="171"/>
      <c r="C2203" s="165"/>
    </row>
    <row r="2204" spans="1:3" ht="16.8">
      <c r="A2204" s="165"/>
      <c r="B2204" s="171"/>
      <c r="C2204" s="165"/>
    </row>
    <row r="2205" spans="1:3" ht="16.8">
      <c r="A2205" s="165"/>
      <c r="B2205" s="171"/>
      <c r="C2205" s="165"/>
    </row>
    <row r="2206" spans="1:3" ht="16.8">
      <c r="A2206" s="165"/>
      <c r="B2206" s="171"/>
      <c r="C2206" s="165"/>
    </row>
    <row r="2207" spans="1:3" ht="16.8">
      <c r="A2207" s="165"/>
      <c r="B2207" s="171"/>
      <c r="C2207" s="165"/>
    </row>
    <row r="2208" spans="1:3" ht="16.8">
      <c r="A2208" s="165"/>
      <c r="B2208" s="171"/>
      <c r="C2208" s="165"/>
    </row>
    <row r="2209" spans="1:3" ht="16.8">
      <c r="A2209" s="165"/>
      <c r="B2209" s="171"/>
      <c r="C2209" s="165"/>
    </row>
    <row r="2210" spans="1:3" ht="16.8">
      <c r="A2210" s="165"/>
      <c r="B2210" s="171"/>
      <c r="C2210" s="165"/>
    </row>
    <row r="2211" spans="1:3" ht="16.8">
      <c r="A2211" s="165"/>
      <c r="B2211" s="171"/>
      <c r="C2211" s="165"/>
    </row>
    <row r="2212" spans="1:3" ht="16.8">
      <c r="A2212" s="165"/>
      <c r="B2212" s="171"/>
      <c r="C2212" s="165"/>
    </row>
    <row r="2213" spans="1:3" ht="16.8">
      <c r="A2213" s="165"/>
      <c r="B2213" s="171"/>
      <c r="C2213" s="165"/>
    </row>
    <row r="2214" spans="1:3" ht="16.8">
      <c r="A2214" s="165"/>
      <c r="B2214" s="171"/>
      <c r="C2214" s="165"/>
    </row>
    <row r="2215" spans="1:3" ht="16.8">
      <c r="A2215" s="165"/>
      <c r="B2215" s="171"/>
      <c r="C2215" s="165"/>
    </row>
    <row r="2216" spans="1:3" ht="16.8">
      <c r="A2216" s="165"/>
      <c r="B2216" s="171"/>
      <c r="C2216" s="165"/>
    </row>
    <row r="2217" spans="1:3" ht="16.8">
      <c r="A2217" s="165"/>
      <c r="B2217" s="171"/>
      <c r="C2217" s="165"/>
    </row>
    <row r="2218" spans="1:3" ht="16.8">
      <c r="A2218" s="165"/>
      <c r="B2218" s="171"/>
      <c r="C2218" s="165"/>
    </row>
    <row r="2219" spans="1:3" ht="16.8">
      <c r="A2219" s="165"/>
      <c r="B2219" s="171"/>
      <c r="C2219" s="165"/>
    </row>
    <row r="2220" spans="1:3" ht="16.8">
      <c r="A2220" s="165"/>
      <c r="B2220" s="171"/>
      <c r="C2220" s="165"/>
    </row>
    <row r="2221" spans="1:3" ht="16.8">
      <c r="A2221" s="165"/>
      <c r="B2221" s="171"/>
      <c r="C2221" s="165"/>
    </row>
    <row r="2222" spans="1:3" ht="16.8">
      <c r="A2222" s="165"/>
      <c r="B2222" s="171"/>
      <c r="C2222" s="165"/>
    </row>
    <row r="2223" spans="1:3" ht="16.8">
      <c r="A2223" s="165"/>
      <c r="B2223" s="171"/>
      <c r="C2223" s="165"/>
    </row>
    <row r="2224" spans="1:3" ht="16.8">
      <c r="A2224" s="165"/>
      <c r="B2224" s="171"/>
      <c r="C2224" s="165"/>
    </row>
    <row r="2225" spans="1:3" ht="16.8">
      <c r="A2225" s="165"/>
      <c r="B2225" s="171"/>
      <c r="C2225" s="165"/>
    </row>
    <row r="2226" spans="1:3" ht="16.8">
      <c r="A2226" s="165"/>
      <c r="B2226" s="171"/>
      <c r="C2226" s="165"/>
    </row>
    <row r="2227" spans="1:3" ht="16.8">
      <c r="A2227" s="165"/>
      <c r="B2227" s="171"/>
      <c r="C2227" s="165"/>
    </row>
    <row r="2228" spans="1:3" ht="16.8">
      <c r="A2228" s="165"/>
      <c r="B2228" s="171"/>
      <c r="C2228" s="165"/>
    </row>
    <row r="2229" spans="1:3" ht="16.8">
      <c r="A2229" s="165"/>
      <c r="B2229" s="171"/>
      <c r="C2229" s="165"/>
    </row>
    <row r="2230" spans="1:3" ht="16.8">
      <c r="A2230" s="165"/>
      <c r="B2230" s="171"/>
      <c r="C2230" s="165"/>
    </row>
    <row r="2231" spans="1:3" ht="16.8">
      <c r="A2231" s="165"/>
      <c r="B2231" s="171"/>
      <c r="C2231" s="165"/>
    </row>
    <row r="2232" spans="1:3" ht="16.8">
      <c r="A2232" s="165"/>
      <c r="B2232" s="171"/>
      <c r="C2232" s="165"/>
    </row>
    <row r="2233" spans="1:3" ht="16.8">
      <c r="A2233" s="165"/>
      <c r="B2233" s="171"/>
      <c r="C2233" s="165"/>
    </row>
    <row r="2234" spans="1:3" ht="16.8">
      <c r="A2234" s="165"/>
      <c r="B2234" s="171"/>
      <c r="C2234" s="165"/>
    </row>
    <row r="2235" spans="1:3" ht="16.8">
      <c r="A2235" s="165"/>
      <c r="B2235" s="171"/>
      <c r="C2235" s="165"/>
    </row>
    <row r="2236" spans="1:3" ht="16.8">
      <c r="A2236" s="165"/>
      <c r="B2236" s="171"/>
      <c r="C2236" s="165"/>
    </row>
    <row r="2237" spans="1:3" ht="16.8">
      <c r="A2237" s="165"/>
      <c r="B2237" s="171"/>
      <c r="C2237" s="165"/>
    </row>
    <row r="2238" spans="1:3" ht="16.8">
      <c r="A2238" s="165"/>
      <c r="B2238" s="171"/>
      <c r="C2238" s="165"/>
    </row>
    <row r="2239" spans="1:3" ht="16.8">
      <c r="A2239" s="165"/>
      <c r="B2239" s="171"/>
      <c r="C2239" s="165"/>
    </row>
    <row r="2240" spans="1:3" ht="16.8">
      <c r="A2240" s="165"/>
      <c r="B2240" s="171"/>
      <c r="C2240" s="165"/>
    </row>
    <row r="2241" spans="1:3" ht="16.8">
      <c r="A2241" s="165"/>
      <c r="B2241" s="171"/>
      <c r="C2241" s="165"/>
    </row>
    <row r="2242" spans="1:3" ht="16.8">
      <c r="A2242" s="165"/>
      <c r="B2242" s="171"/>
      <c r="C2242" s="165"/>
    </row>
    <row r="2243" spans="1:3" ht="16.8">
      <c r="A2243" s="165"/>
      <c r="B2243" s="171"/>
      <c r="C2243" s="165"/>
    </row>
    <row r="2244" spans="1:3" ht="16.8">
      <c r="A2244" s="165"/>
      <c r="B2244" s="171"/>
      <c r="C2244" s="165"/>
    </row>
    <row r="2245" spans="1:3" ht="16.8">
      <c r="A2245" s="165"/>
      <c r="B2245" s="171"/>
      <c r="C2245" s="165"/>
    </row>
    <row r="2246" spans="1:3" ht="16.8">
      <c r="A2246" s="165"/>
      <c r="B2246" s="171"/>
      <c r="C2246" s="165"/>
    </row>
    <row r="2247" spans="1:3" ht="16.8">
      <c r="A2247" s="165"/>
      <c r="B2247" s="171"/>
      <c r="C2247" s="165"/>
    </row>
    <row r="2248" spans="1:3" ht="16.8">
      <c r="A2248" s="165"/>
      <c r="B2248" s="171"/>
      <c r="C2248" s="165"/>
    </row>
    <row r="2249" spans="1:3" ht="16.8">
      <c r="A2249" s="165"/>
      <c r="B2249" s="171"/>
      <c r="C2249" s="165"/>
    </row>
    <row r="2250" spans="1:3" ht="16.8">
      <c r="A2250" s="165"/>
      <c r="B2250" s="171"/>
      <c r="C2250" s="165"/>
    </row>
    <row r="2251" spans="1:3" ht="16.8">
      <c r="A2251" s="165"/>
      <c r="B2251" s="171"/>
      <c r="C2251" s="165"/>
    </row>
    <row r="2252" spans="1:3" ht="16.8">
      <c r="A2252" s="165"/>
      <c r="B2252" s="171"/>
      <c r="C2252" s="165"/>
    </row>
    <row r="2253" spans="1:3" ht="16.8">
      <c r="A2253" s="165"/>
      <c r="B2253" s="171"/>
      <c r="C2253" s="165"/>
    </row>
    <row r="2254" spans="1:3" ht="16.8">
      <c r="A2254" s="165"/>
      <c r="B2254" s="171"/>
      <c r="C2254" s="165"/>
    </row>
    <row r="2255" spans="1:3" ht="16.8">
      <c r="A2255" s="165"/>
      <c r="B2255" s="171"/>
      <c r="C2255" s="165"/>
    </row>
    <row r="2256" spans="1:3" ht="16.8">
      <c r="A2256" s="165"/>
      <c r="B2256" s="171"/>
      <c r="C2256" s="165"/>
    </row>
    <row r="2257" spans="1:3" ht="16.8">
      <c r="A2257" s="165"/>
      <c r="B2257" s="171"/>
      <c r="C2257" s="165"/>
    </row>
    <row r="2258" spans="1:3" ht="16.8">
      <c r="A2258" s="165"/>
      <c r="B2258" s="171"/>
      <c r="C2258" s="165"/>
    </row>
    <row r="2259" spans="1:3" ht="16.8">
      <c r="A2259" s="165"/>
      <c r="B2259" s="171"/>
      <c r="C2259" s="165"/>
    </row>
    <row r="2260" spans="1:3" ht="16.8">
      <c r="A2260" s="165"/>
      <c r="B2260" s="171"/>
      <c r="C2260" s="165"/>
    </row>
    <row r="2261" spans="1:3" ht="16.8">
      <c r="A2261" s="165"/>
      <c r="B2261" s="171"/>
      <c r="C2261" s="165"/>
    </row>
    <row r="2262" spans="1:3" ht="16.8">
      <c r="A2262" s="165"/>
      <c r="B2262" s="171"/>
      <c r="C2262" s="165"/>
    </row>
    <row r="2263" spans="1:3" ht="16.8">
      <c r="A2263" s="165"/>
      <c r="B2263" s="171"/>
      <c r="C2263" s="165"/>
    </row>
    <row r="2264" spans="1:3" ht="16.8">
      <c r="A2264" s="165"/>
      <c r="B2264" s="171"/>
      <c r="C2264" s="165"/>
    </row>
    <row r="2265" spans="1:3" ht="16.8">
      <c r="A2265" s="165"/>
      <c r="B2265" s="171"/>
      <c r="C2265" s="165"/>
    </row>
    <row r="2266" spans="1:3" ht="16.8">
      <c r="A2266" s="165"/>
      <c r="B2266" s="171"/>
      <c r="C2266" s="165"/>
    </row>
    <row r="2267" spans="1:3" ht="16.8">
      <c r="A2267" s="165"/>
      <c r="B2267" s="171"/>
      <c r="C2267" s="165"/>
    </row>
    <row r="2268" spans="1:3" ht="16.8">
      <c r="A2268" s="165"/>
      <c r="B2268" s="171"/>
      <c r="C2268" s="165"/>
    </row>
    <row r="2269" spans="1:3" ht="16.8">
      <c r="A2269" s="165"/>
      <c r="B2269" s="171"/>
      <c r="C2269" s="165"/>
    </row>
    <row r="2270" spans="1:3" ht="16.8">
      <c r="A2270" s="165"/>
      <c r="B2270" s="171"/>
      <c r="C2270" s="165"/>
    </row>
    <row r="2271" spans="1:3" ht="16.8">
      <c r="A2271" s="165"/>
      <c r="B2271" s="171"/>
      <c r="C2271" s="165"/>
    </row>
    <row r="2272" spans="1:3" ht="16.8">
      <c r="A2272" s="165"/>
      <c r="B2272" s="171"/>
      <c r="C2272" s="165"/>
    </row>
    <row r="2273" spans="1:3" ht="16.8">
      <c r="A2273" s="165"/>
      <c r="B2273" s="171"/>
      <c r="C2273" s="165"/>
    </row>
    <row r="2274" spans="1:3" ht="16.8">
      <c r="A2274" s="165"/>
      <c r="B2274" s="171"/>
      <c r="C2274" s="165"/>
    </row>
    <row r="2275" spans="1:3" ht="16.8">
      <c r="A2275" s="165"/>
      <c r="B2275" s="171"/>
      <c r="C2275" s="165"/>
    </row>
    <row r="2276" spans="1:3" ht="16.8">
      <c r="A2276" s="165"/>
      <c r="B2276" s="171"/>
      <c r="C2276" s="165"/>
    </row>
    <row r="2277" spans="1:3" ht="16.8">
      <c r="A2277" s="165"/>
      <c r="B2277" s="171"/>
      <c r="C2277" s="165"/>
    </row>
    <row r="2278" spans="1:3" ht="16.8">
      <c r="A2278" s="165"/>
      <c r="B2278" s="171"/>
      <c r="C2278" s="165"/>
    </row>
    <row r="2279" spans="1:3" ht="16.8">
      <c r="A2279" s="165"/>
      <c r="B2279" s="171"/>
      <c r="C2279" s="165"/>
    </row>
    <row r="2280" spans="1:3" ht="16.8">
      <c r="A2280" s="165"/>
      <c r="B2280" s="171"/>
      <c r="C2280" s="165"/>
    </row>
    <row r="2281" spans="1:3" ht="16.8">
      <c r="A2281" s="165"/>
      <c r="B2281" s="171"/>
      <c r="C2281" s="165"/>
    </row>
    <row r="2282" spans="1:3" ht="16.8">
      <c r="A2282" s="165"/>
      <c r="B2282" s="171"/>
      <c r="C2282" s="165"/>
    </row>
    <row r="2283" spans="1:3" ht="16.8">
      <c r="A2283" s="165"/>
      <c r="B2283" s="171"/>
      <c r="C2283" s="165"/>
    </row>
    <row r="2284" spans="1:3" ht="16.8">
      <c r="A2284" s="165"/>
      <c r="B2284" s="171"/>
      <c r="C2284" s="165"/>
    </row>
    <row r="2285" spans="1:3" ht="16.8">
      <c r="A2285" s="165"/>
      <c r="B2285" s="171"/>
      <c r="C2285" s="165"/>
    </row>
    <row r="2286" spans="1:3" ht="16.8">
      <c r="A2286" s="165"/>
      <c r="B2286" s="171"/>
      <c r="C2286" s="165"/>
    </row>
    <row r="2287" spans="1:3" ht="16.8">
      <c r="A2287" s="165"/>
      <c r="B2287" s="171"/>
      <c r="C2287" s="165"/>
    </row>
    <row r="2288" spans="1:3" ht="16.8">
      <c r="A2288" s="165"/>
      <c r="B2288" s="171"/>
      <c r="C2288" s="165"/>
    </row>
    <row r="2289" spans="1:3" ht="16.8">
      <c r="A2289" s="165"/>
      <c r="B2289" s="171"/>
      <c r="C2289" s="165"/>
    </row>
    <row r="2290" spans="1:3" ht="16.8">
      <c r="A2290" s="165"/>
      <c r="B2290" s="171"/>
      <c r="C2290" s="165"/>
    </row>
    <row r="2291" spans="1:3" ht="16.8">
      <c r="A2291" s="165"/>
      <c r="B2291" s="171"/>
      <c r="C2291" s="165"/>
    </row>
    <row r="2292" spans="1:3" ht="16.8">
      <c r="A2292" s="165"/>
      <c r="B2292" s="171"/>
      <c r="C2292" s="165"/>
    </row>
    <row r="2293" spans="1:3" ht="16.8">
      <c r="A2293" s="165"/>
      <c r="B2293" s="171"/>
      <c r="C2293" s="165"/>
    </row>
    <row r="2294" spans="1:3" ht="16.8">
      <c r="A2294" s="165"/>
      <c r="B2294" s="171"/>
      <c r="C2294" s="165"/>
    </row>
    <row r="2295" spans="1:3" ht="16.8">
      <c r="A2295" s="165"/>
      <c r="B2295" s="171"/>
      <c r="C2295" s="165"/>
    </row>
    <row r="2296" spans="1:3" ht="16.8">
      <c r="A2296" s="165"/>
      <c r="B2296" s="171"/>
      <c r="C2296" s="165"/>
    </row>
    <row r="2297" spans="1:3" ht="16.8">
      <c r="A2297" s="165"/>
      <c r="B2297" s="171"/>
      <c r="C2297" s="165"/>
    </row>
    <row r="2298" spans="1:3" ht="16.8">
      <c r="A2298" s="165"/>
      <c r="B2298" s="171"/>
      <c r="C2298" s="165"/>
    </row>
    <row r="2299" spans="1:3" ht="16.8">
      <c r="A2299" s="165"/>
      <c r="B2299" s="171"/>
      <c r="C2299" s="165"/>
    </row>
    <row r="2300" spans="1:3" ht="16.8">
      <c r="A2300" s="165"/>
      <c r="B2300" s="171"/>
      <c r="C2300" s="165"/>
    </row>
    <row r="2301" spans="1:3" ht="16.8">
      <c r="A2301" s="165"/>
      <c r="B2301" s="171"/>
      <c r="C2301" s="165"/>
    </row>
    <row r="2302" spans="1:3" ht="16.8">
      <c r="A2302" s="165"/>
      <c r="B2302" s="171"/>
      <c r="C2302" s="165"/>
    </row>
    <row r="2303" spans="1:3" ht="16.8">
      <c r="A2303" s="165"/>
      <c r="B2303" s="171"/>
      <c r="C2303" s="165"/>
    </row>
    <row r="2304" spans="1:3" ht="16.8">
      <c r="A2304" s="165"/>
      <c r="B2304" s="171"/>
      <c r="C2304" s="165"/>
    </row>
    <row r="2305" spans="1:3" ht="16.8">
      <c r="A2305" s="165"/>
      <c r="B2305" s="171"/>
      <c r="C2305" s="165"/>
    </row>
    <row r="2306" spans="1:3" ht="16.8">
      <c r="A2306" s="165"/>
      <c r="B2306" s="171"/>
      <c r="C2306" s="165"/>
    </row>
    <row r="2307" spans="1:3" ht="16.8">
      <c r="A2307" s="165"/>
      <c r="B2307" s="171"/>
      <c r="C2307" s="165"/>
    </row>
    <row r="2308" spans="1:3" ht="16.8">
      <c r="A2308" s="165"/>
      <c r="B2308" s="171"/>
      <c r="C2308" s="165"/>
    </row>
    <row r="2309" spans="1:3" ht="16.8">
      <c r="A2309" s="165"/>
      <c r="B2309" s="171"/>
      <c r="C2309" s="165"/>
    </row>
    <row r="2310" spans="1:3" ht="16.8">
      <c r="A2310" s="165"/>
      <c r="B2310" s="171"/>
      <c r="C2310" s="165"/>
    </row>
    <row r="2311" spans="1:3" ht="16.8">
      <c r="A2311" s="165"/>
      <c r="B2311" s="171"/>
      <c r="C2311" s="165"/>
    </row>
    <row r="2312" spans="1:3" ht="16.8">
      <c r="A2312" s="165"/>
      <c r="B2312" s="171"/>
      <c r="C2312" s="165"/>
    </row>
    <row r="2313" spans="1:3" ht="16.8">
      <c r="A2313" s="165"/>
      <c r="B2313" s="171"/>
      <c r="C2313" s="165"/>
    </row>
    <row r="2314" spans="1:3" ht="16.8">
      <c r="A2314" s="165"/>
      <c r="B2314" s="171"/>
      <c r="C2314" s="165"/>
    </row>
    <row r="2315" spans="1:3" ht="16.8">
      <c r="A2315" s="165"/>
      <c r="B2315" s="171"/>
      <c r="C2315" s="165"/>
    </row>
    <row r="2316" spans="1:3" ht="16.8">
      <c r="A2316" s="165"/>
      <c r="B2316" s="171"/>
      <c r="C2316" s="165"/>
    </row>
    <row r="2317" spans="1:3" ht="16.8">
      <c r="A2317" s="165"/>
      <c r="B2317" s="171"/>
      <c r="C2317" s="165"/>
    </row>
    <row r="2318" spans="1:3" ht="16.8">
      <c r="A2318" s="165"/>
      <c r="B2318" s="171"/>
      <c r="C2318" s="165"/>
    </row>
    <row r="2319" spans="1:3" ht="16.8">
      <c r="A2319" s="165"/>
      <c r="B2319" s="171"/>
      <c r="C2319" s="165"/>
    </row>
    <row r="2320" spans="1:3" ht="16.8">
      <c r="A2320" s="165"/>
      <c r="B2320" s="171"/>
      <c r="C2320" s="165"/>
    </row>
    <row r="2321" spans="1:3" ht="16.8">
      <c r="A2321" s="165"/>
      <c r="B2321" s="171"/>
      <c r="C2321" s="165"/>
    </row>
    <row r="2322" spans="1:3" ht="16.8">
      <c r="A2322" s="165"/>
      <c r="B2322" s="171"/>
      <c r="C2322" s="165"/>
    </row>
    <row r="2323" spans="1:3" ht="16.8">
      <c r="A2323" s="165"/>
      <c r="B2323" s="171"/>
      <c r="C2323" s="165"/>
    </row>
    <row r="2324" spans="1:3" ht="16.8">
      <c r="A2324" s="165"/>
      <c r="B2324" s="171"/>
      <c r="C2324" s="165"/>
    </row>
    <row r="2325" spans="1:3" ht="16.8">
      <c r="A2325" s="165"/>
      <c r="B2325" s="171"/>
      <c r="C2325" s="165"/>
    </row>
    <row r="2326" spans="1:3" ht="16.8">
      <c r="A2326" s="165"/>
      <c r="B2326" s="171"/>
      <c r="C2326" s="165"/>
    </row>
    <row r="2327" spans="1:3" ht="16.8">
      <c r="A2327" s="165"/>
      <c r="B2327" s="171"/>
      <c r="C2327" s="165"/>
    </row>
    <row r="2328" spans="1:3" ht="16.8">
      <c r="A2328" s="165"/>
      <c r="B2328" s="171"/>
      <c r="C2328" s="165"/>
    </row>
    <row r="2329" spans="1:3" ht="16.8">
      <c r="A2329" s="165"/>
      <c r="B2329" s="171"/>
      <c r="C2329" s="165"/>
    </row>
    <row r="2330" spans="1:3" ht="16.8">
      <c r="A2330" s="165"/>
      <c r="B2330" s="171"/>
      <c r="C2330" s="165"/>
    </row>
    <row r="2331" spans="1:3" ht="16.8">
      <c r="A2331" s="165"/>
      <c r="B2331" s="171"/>
      <c r="C2331" s="165"/>
    </row>
    <row r="2332" spans="1:3" ht="16.8">
      <c r="A2332" s="165"/>
      <c r="B2332" s="171"/>
      <c r="C2332" s="165"/>
    </row>
    <row r="2333" spans="1:3" ht="16.8">
      <c r="A2333" s="165"/>
      <c r="B2333" s="171"/>
      <c r="C2333" s="165"/>
    </row>
    <row r="2334" spans="1:3" ht="16.8">
      <c r="A2334" s="165"/>
      <c r="B2334" s="171"/>
      <c r="C2334" s="165"/>
    </row>
    <row r="2335" spans="1:3" ht="16.8">
      <c r="A2335" s="165"/>
      <c r="B2335" s="171"/>
      <c r="C2335" s="165"/>
    </row>
    <row r="2336" spans="1:3" ht="16.8">
      <c r="A2336" s="165"/>
      <c r="B2336" s="171"/>
      <c r="C2336" s="165"/>
    </row>
    <row r="2337" spans="1:3" ht="16.8">
      <c r="A2337" s="165"/>
      <c r="B2337" s="171"/>
      <c r="C2337" s="165"/>
    </row>
    <row r="2338" spans="1:3" ht="16.8">
      <c r="A2338" s="165"/>
      <c r="B2338" s="171"/>
      <c r="C2338" s="165"/>
    </row>
    <row r="2339" spans="1:3" ht="16.8">
      <c r="A2339" s="165"/>
      <c r="B2339" s="171"/>
      <c r="C2339" s="165"/>
    </row>
    <row r="2340" spans="1:3" ht="16.8">
      <c r="A2340" s="165"/>
      <c r="B2340" s="171"/>
      <c r="C2340" s="165"/>
    </row>
    <row r="2341" spans="1:3" ht="16.8">
      <c r="A2341" s="165"/>
      <c r="B2341" s="171"/>
      <c r="C2341" s="165"/>
    </row>
    <row r="2342" spans="1:3" ht="16.8">
      <c r="A2342" s="165"/>
      <c r="B2342" s="171"/>
      <c r="C2342" s="165"/>
    </row>
    <row r="2343" spans="1:3" ht="16.8">
      <c r="A2343" s="165"/>
      <c r="B2343" s="171"/>
      <c r="C2343" s="165"/>
    </row>
    <row r="2344" spans="1:3" ht="16.8">
      <c r="A2344" s="165"/>
      <c r="B2344" s="171"/>
      <c r="C2344" s="165"/>
    </row>
    <row r="2345" spans="1:3" ht="16.8">
      <c r="A2345" s="165"/>
      <c r="B2345" s="171"/>
      <c r="C2345" s="165"/>
    </row>
    <row r="2346" spans="1:3" ht="16.8">
      <c r="A2346" s="165"/>
      <c r="B2346" s="171"/>
      <c r="C2346" s="165"/>
    </row>
    <row r="2347" spans="1:3" ht="16.8">
      <c r="A2347" s="165"/>
      <c r="B2347" s="171"/>
      <c r="C2347" s="165"/>
    </row>
    <row r="2348" spans="1:3" ht="16.8">
      <c r="A2348" s="165"/>
      <c r="B2348" s="171"/>
      <c r="C2348" s="165"/>
    </row>
    <row r="2349" spans="1:3" ht="16.8">
      <c r="A2349" s="165"/>
      <c r="B2349" s="171"/>
      <c r="C2349" s="165"/>
    </row>
    <row r="2350" spans="1:3" ht="16.8">
      <c r="A2350" s="165"/>
      <c r="B2350" s="171"/>
      <c r="C2350" s="165"/>
    </row>
    <row r="2351" spans="1:3" ht="16.8">
      <c r="A2351" s="165"/>
      <c r="B2351" s="171"/>
      <c r="C2351" s="165"/>
    </row>
    <row r="2352" spans="1:3" ht="16.8">
      <c r="A2352" s="165"/>
      <c r="B2352" s="171"/>
      <c r="C2352" s="165"/>
    </row>
    <row r="2353" spans="1:3" ht="16.8">
      <c r="A2353" s="165"/>
      <c r="B2353" s="171"/>
      <c r="C2353" s="165"/>
    </row>
    <row r="2354" spans="1:3" ht="16.8">
      <c r="A2354" s="165"/>
      <c r="B2354" s="171"/>
      <c r="C2354" s="165"/>
    </row>
    <row r="2355" spans="1:3" ht="16.8">
      <c r="A2355" s="165"/>
      <c r="B2355" s="171"/>
      <c r="C2355" s="165"/>
    </row>
    <row r="2356" spans="1:3" ht="16.8">
      <c r="A2356" s="165"/>
      <c r="B2356" s="171"/>
      <c r="C2356" s="165"/>
    </row>
    <row r="2357" spans="1:3" ht="16.8">
      <c r="A2357" s="165"/>
      <c r="B2357" s="171"/>
      <c r="C2357" s="165"/>
    </row>
    <row r="2358" spans="1:3" ht="16.8">
      <c r="A2358" s="165"/>
      <c r="B2358" s="171"/>
      <c r="C2358" s="165"/>
    </row>
    <row r="2359" spans="1:3" ht="16.8">
      <c r="A2359" s="165"/>
      <c r="B2359" s="171"/>
      <c r="C2359" s="165"/>
    </row>
    <row r="2360" spans="1:3" ht="16.8">
      <c r="A2360" s="165"/>
      <c r="B2360" s="171"/>
      <c r="C2360" s="165"/>
    </row>
    <row r="2361" spans="1:3" ht="16.8">
      <c r="A2361" s="165"/>
      <c r="B2361" s="171"/>
      <c r="C2361" s="165"/>
    </row>
    <row r="2362" spans="1:3" ht="16.8">
      <c r="A2362" s="165"/>
      <c r="B2362" s="171"/>
      <c r="C2362" s="165"/>
    </row>
    <row r="2363" spans="1:3" ht="16.8">
      <c r="A2363" s="165"/>
      <c r="B2363" s="171"/>
      <c r="C2363" s="165"/>
    </row>
    <row r="2364" spans="1:3" ht="16.8">
      <c r="A2364" s="165"/>
      <c r="B2364" s="171"/>
      <c r="C2364" s="165"/>
    </row>
    <row r="2365" spans="1:3" ht="16.8">
      <c r="A2365" s="165"/>
      <c r="B2365" s="171"/>
      <c r="C2365" s="165"/>
    </row>
    <row r="2366" spans="1:3" ht="16.8">
      <c r="A2366" s="165"/>
      <c r="B2366" s="171"/>
      <c r="C2366" s="165"/>
    </row>
    <row r="2367" spans="1:3" ht="16.8">
      <c r="A2367" s="165"/>
      <c r="B2367" s="171"/>
      <c r="C2367" s="165"/>
    </row>
    <row r="2368" spans="1:3" ht="16.8">
      <c r="A2368" s="165"/>
      <c r="B2368" s="171"/>
      <c r="C2368" s="165"/>
    </row>
    <row r="2369" spans="1:3" ht="16.8">
      <c r="A2369" s="165"/>
      <c r="B2369" s="171"/>
      <c r="C2369" s="165"/>
    </row>
    <row r="2370" spans="1:3" ht="16.8">
      <c r="A2370" s="165"/>
      <c r="B2370" s="171"/>
      <c r="C2370" s="165"/>
    </row>
    <row r="2371" spans="1:3" ht="16.8">
      <c r="A2371" s="165"/>
      <c r="B2371" s="171"/>
      <c r="C2371" s="165"/>
    </row>
    <row r="2372" spans="1:3" ht="16.8">
      <c r="A2372" s="165"/>
      <c r="B2372" s="171"/>
      <c r="C2372" s="165"/>
    </row>
    <row r="2373" spans="1:3" ht="16.8">
      <c r="A2373" s="165"/>
      <c r="B2373" s="171"/>
      <c r="C2373" s="165"/>
    </row>
    <row r="2374" spans="1:3" ht="16.8">
      <c r="A2374" s="165"/>
      <c r="B2374" s="171"/>
      <c r="C2374" s="165"/>
    </row>
    <row r="2375" spans="1:3" ht="16.8">
      <c r="A2375" s="165"/>
      <c r="B2375" s="171"/>
      <c r="C2375" s="165"/>
    </row>
    <row r="2376" spans="1:3" ht="16.8">
      <c r="A2376" s="165"/>
      <c r="B2376" s="171"/>
      <c r="C2376" s="165"/>
    </row>
    <row r="2377" spans="1:3" ht="16.8">
      <c r="A2377" s="165"/>
      <c r="B2377" s="171"/>
      <c r="C2377" s="165"/>
    </row>
    <row r="2378" spans="1:3" ht="16.8">
      <c r="A2378" s="165"/>
      <c r="B2378" s="171"/>
      <c r="C2378" s="165"/>
    </row>
    <row r="2379" spans="1:3" ht="16.8">
      <c r="A2379" s="165"/>
      <c r="B2379" s="171"/>
      <c r="C2379" s="165"/>
    </row>
    <row r="2380" spans="1:3" ht="16.8">
      <c r="A2380" s="165"/>
      <c r="B2380" s="171"/>
      <c r="C2380" s="165"/>
    </row>
    <row r="2381" spans="1:3" ht="16.8">
      <c r="A2381" s="165"/>
      <c r="B2381" s="171"/>
      <c r="C2381" s="165"/>
    </row>
    <row r="2382" spans="1:3" ht="16.8">
      <c r="A2382" s="165"/>
      <c r="B2382" s="171"/>
      <c r="C2382" s="165"/>
    </row>
    <row r="2383" spans="1:3" ht="16.8">
      <c r="A2383" s="165"/>
      <c r="B2383" s="171"/>
      <c r="C2383" s="165"/>
    </row>
    <row r="2384" spans="1:3" ht="16.8">
      <c r="A2384" s="165"/>
      <c r="B2384" s="171"/>
      <c r="C2384" s="165"/>
    </row>
    <row r="2385" spans="1:3" ht="16.8">
      <c r="A2385" s="165"/>
      <c r="B2385" s="171"/>
      <c r="C2385" s="165"/>
    </row>
    <row r="2386" spans="1:3" ht="16.8">
      <c r="A2386" s="165"/>
      <c r="B2386" s="171"/>
      <c r="C2386" s="165"/>
    </row>
    <row r="2387" spans="1:3" ht="16.8">
      <c r="A2387" s="165"/>
      <c r="B2387" s="171"/>
      <c r="C2387" s="165"/>
    </row>
    <row r="2388" spans="1:3" ht="16.8">
      <c r="A2388" s="165"/>
      <c r="B2388" s="171"/>
      <c r="C2388" s="165"/>
    </row>
    <row r="2389" spans="1:3" ht="16.8">
      <c r="A2389" s="165"/>
      <c r="B2389" s="171"/>
      <c r="C2389" s="165"/>
    </row>
    <row r="2390" spans="1:3" ht="16.8">
      <c r="A2390" s="165"/>
      <c r="B2390" s="171"/>
      <c r="C2390" s="165"/>
    </row>
    <row r="2391" spans="1:3" ht="16.8">
      <c r="A2391" s="165"/>
      <c r="B2391" s="171"/>
      <c r="C2391" s="165"/>
    </row>
    <row r="2392" spans="1:3" ht="16.8">
      <c r="A2392" s="165"/>
      <c r="B2392" s="171"/>
      <c r="C2392" s="165"/>
    </row>
    <row r="2393" spans="1:3" ht="16.8">
      <c r="A2393" s="165"/>
      <c r="B2393" s="171"/>
      <c r="C2393" s="165"/>
    </row>
    <row r="2394" spans="1:3" ht="16.8">
      <c r="A2394" s="165"/>
      <c r="B2394" s="171"/>
      <c r="C2394" s="165"/>
    </row>
    <row r="2395" spans="1:3" ht="16.8">
      <c r="A2395" s="165"/>
      <c r="B2395" s="171"/>
      <c r="C2395" s="165"/>
    </row>
    <row r="2396" spans="1:3" ht="16.8">
      <c r="A2396" s="165"/>
      <c r="B2396" s="171"/>
      <c r="C2396" s="165"/>
    </row>
    <row r="2397" spans="1:3" ht="16.8">
      <c r="A2397" s="165"/>
      <c r="B2397" s="171"/>
      <c r="C2397" s="165"/>
    </row>
    <row r="2398" spans="1:3" ht="16.8">
      <c r="A2398" s="165"/>
      <c r="B2398" s="171"/>
      <c r="C2398" s="165"/>
    </row>
    <row r="2399" spans="1:3" ht="16.8">
      <c r="A2399" s="165"/>
      <c r="B2399" s="171"/>
      <c r="C2399" s="165"/>
    </row>
    <row r="2400" spans="1:3" ht="16.8">
      <c r="A2400" s="165"/>
      <c r="B2400" s="171"/>
      <c r="C2400" s="165"/>
    </row>
    <row r="2401" spans="1:3" ht="16.8">
      <c r="A2401" s="165"/>
      <c r="B2401" s="171"/>
      <c r="C2401" s="165"/>
    </row>
    <row r="2402" spans="1:3" ht="16.8">
      <c r="A2402" s="165"/>
      <c r="B2402" s="171"/>
      <c r="C2402" s="165"/>
    </row>
    <row r="2403" spans="1:3" ht="16.8">
      <c r="A2403" s="165"/>
      <c r="B2403" s="171"/>
      <c r="C2403" s="165"/>
    </row>
    <row r="2404" spans="1:3" ht="16.8">
      <c r="A2404" s="165"/>
      <c r="B2404" s="171"/>
      <c r="C2404" s="165"/>
    </row>
    <row r="2405" spans="1:3" ht="16.8">
      <c r="A2405" s="165"/>
      <c r="B2405" s="171"/>
      <c r="C2405" s="165"/>
    </row>
    <row r="2406" spans="1:3" ht="16.8">
      <c r="A2406" s="165"/>
      <c r="B2406" s="171"/>
      <c r="C2406" s="165"/>
    </row>
    <row r="2407" spans="1:3" ht="16.8">
      <c r="A2407" s="165"/>
      <c r="B2407" s="171"/>
      <c r="C2407" s="165"/>
    </row>
    <row r="2408" spans="1:3" ht="16.8">
      <c r="A2408" s="165"/>
      <c r="B2408" s="171"/>
      <c r="C2408" s="165"/>
    </row>
    <row r="2409" spans="1:3" ht="16.8">
      <c r="A2409" s="165"/>
      <c r="B2409" s="171"/>
      <c r="C2409" s="165"/>
    </row>
    <row r="2410" spans="1:3" ht="16.8">
      <c r="A2410" s="165"/>
      <c r="B2410" s="171"/>
      <c r="C2410" s="165"/>
    </row>
    <row r="2411" spans="1:3" ht="16.8">
      <c r="A2411" s="165"/>
      <c r="B2411" s="171"/>
      <c r="C2411" s="165"/>
    </row>
    <row r="2412" spans="1:3" ht="16.8">
      <c r="A2412" s="165"/>
      <c r="B2412" s="171"/>
      <c r="C2412" s="165"/>
    </row>
    <row r="2413" spans="1:3" ht="16.8">
      <c r="A2413" s="165"/>
      <c r="B2413" s="171"/>
      <c r="C2413" s="165"/>
    </row>
    <row r="2414" spans="1:3" ht="16.8">
      <c r="A2414" s="165"/>
      <c r="B2414" s="171"/>
      <c r="C2414" s="165"/>
    </row>
    <row r="2415" spans="1:3" ht="16.8">
      <c r="A2415" s="165"/>
      <c r="B2415" s="171"/>
      <c r="C2415" s="165"/>
    </row>
    <row r="2416" spans="1:3" ht="16.8">
      <c r="A2416" s="165"/>
      <c r="B2416" s="171"/>
      <c r="C2416" s="165"/>
    </row>
    <row r="2417" spans="1:3" ht="16.8">
      <c r="A2417" s="165"/>
      <c r="B2417" s="171"/>
      <c r="C2417" s="165"/>
    </row>
    <row r="2418" spans="1:3" ht="16.8">
      <c r="A2418" s="165"/>
      <c r="B2418" s="171"/>
      <c r="C2418" s="165"/>
    </row>
    <row r="2419" spans="1:3" ht="16.8">
      <c r="A2419" s="165"/>
      <c r="B2419" s="171"/>
      <c r="C2419" s="165"/>
    </row>
    <row r="2420" spans="1:3" ht="16.8">
      <c r="A2420" s="165"/>
      <c r="B2420" s="171"/>
      <c r="C2420" s="165"/>
    </row>
    <row r="2421" spans="1:3" ht="16.8">
      <c r="A2421" s="165"/>
      <c r="B2421" s="171"/>
      <c r="C2421" s="165"/>
    </row>
    <row r="2422" spans="1:3" ht="16.8">
      <c r="A2422" s="165"/>
      <c r="B2422" s="171"/>
      <c r="C2422" s="165"/>
    </row>
    <row r="2423" spans="1:3" ht="16.8">
      <c r="A2423" s="165"/>
      <c r="B2423" s="171"/>
      <c r="C2423" s="165"/>
    </row>
    <row r="2424" spans="1:3" ht="16.8">
      <c r="A2424" s="165"/>
      <c r="B2424" s="171"/>
      <c r="C2424" s="165"/>
    </row>
    <row r="2425" spans="1:3" ht="16.8">
      <c r="A2425" s="165"/>
      <c r="B2425" s="171"/>
      <c r="C2425" s="165"/>
    </row>
    <row r="2426" spans="1:3" ht="16.8">
      <c r="A2426" s="165"/>
      <c r="B2426" s="171"/>
      <c r="C2426" s="165"/>
    </row>
    <row r="2427" spans="1:3" ht="16.8">
      <c r="A2427" s="165"/>
      <c r="B2427" s="171"/>
      <c r="C2427" s="165"/>
    </row>
    <row r="2428" spans="1:3" ht="16.8">
      <c r="A2428" s="165"/>
      <c r="B2428" s="171"/>
      <c r="C2428" s="165"/>
    </row>
    <row r="2429" spans="1:3" ht="16.8">
      <c r="A2429" s="165"/>
      <c r="B2429" s="171"/>
      <c r="C2429" s="165"/>
    </row>
    <row r="2430" spans="1:3" ht="16.8">
      <c r="A2430" s="165"/>
      <c r="B2430" s="171"/>
      <c r="C2430" s="165"/>
    </row>
    <row r="2431" spans="1:3" ht="16.8">
      <c r="A2431" s="165"/>
      <c r="B2431" s="171"/>
      <c r="C2431" s="165"/>
    </row>
    <row r="2432" spans="1:3" ht="16.8">
      <c r="A2432" s="165"/>
      <c r="B2432" s="171"/>
      <c r="C2432" s="165"/>
    </row>
    <row r="2433" spans="1:3" ht="16.8">
      <c r="A2433" s="165"/>
      <c r="B2433" s="171"/>
      <c r="C2433" s="165"/>
    </row>
    <row r="2434" spans="1:3" ht="16.8">
      <c r="A2434" s="165"/>
      <c r="B2434" s="171"/>
      <c r="C2434" s="165"/>
    </row>
    <row r="2435" spans="1:3" ht="16.8">
      <c r="A2435" s="165"/>
      <c r="B2435" s="171"/>
      <c r="C2435" s="165"/>
    </row>
    <row r="2436" spans="1:3" ht="16.8">
      <c r="A2436" s="165"/>
      <c r="B2436" s="171"/>
      <c r="C2436" s="165"/>
    </row>
    <row r="2437" spans="1:3" ht="16.8">
      <c r="A2437" s="165"/>
      <c r="B2437" s="171"/>
      <c r="C2437" s="165"/>
    </row>
    <row r="2438" spans="1:3" ht="16.8">
      <c r="A2438" s="165"/>
      <c r="B2438" s="171"/>
      <c r="C2438" s="165"/>
    </row>
    <row r="2439" spans="1:3" ht="16.8">
      <c r="A2439" s="165"/>
      <c r="B2439" s="171"/>
      <c r="C2439" s="165"/>
    </row>
    <row r="2440" spans="1:3" ht="16.8">
      <c r="A2440" s="165"/>
      <c r="B2440" s="171"/>
      <c r="C2440" s="165"/>
    </row>
    <row r="2441" spans="1:3" ht="16.8">
      <c r="A2441" s="165"/>
      <c r="B2441" s="171"/>
      <c r="C2441" s="165"/>
    </row>
    <row r="2442" spans="1:3" ht="16.8">
      <c r="A2442" s="165"/>
      <c r="B2442" s="171"/>
      <c r="C2442" s="165"/>
    </row>
    <row r="2443" spans="1:3" ht="16.8">
      <c r="A2443" s="165"/>
      <c r="B2443" s="171"/>
      <c r="C2443" s="165"/>
    </row>
    <row r="2444" spans="1:3" ht="16.8">
      <c r="A2444" s="165"/>
      <c r="B2444" s="171"/>
      <c r="C2444" s="165"/>
    </row>
    <row r="2445" spans="1:3" ht="16.8">
      <c r="A2445" s="165"/>
      <c r="B2445" s="171"/>
      <c r="C2445" s="165"/>
    </row>
    <row r="2446" spans="1:3" ht="16.8">
      <c r="A2446" s="165"/>
      <c r="B2446" s="171"/>
      <c r="C2446" s="165"/>
    </row>
    <row r="2447" spans="1:3" ht="16.8">
      <c r="A2447" s="165"/>
      <c r="B2447" s="171"/>
      <c r="C2447" s="165"/>
    </row>
    <row r="2448" spans="1:3" ht="16.8">
      <c r="A2448" s="165"/>
      <c r="B2448" s="171"/>
      <c r="C2448" s="165"/>
    </row>
    <row r="2449" spans="1:3" ht="16.8">
      <c r="A2449" s="165"/>
      <c r="B2449" s="171"/>
      <c r="C2449" s="165"/>
    </row>
    <row r="2450" spans="1:3" ht="16.8">
      <c r="A2450" s="165"/>
      <c r="B2450" s="171"/>
      <c r="C2450" s="165"/>
    </row>
    <row r="2451" spans="1:3" ht="16.8">
      <c r="A2451" s="165"/>
      <c r="B2451" s="171"/>
      <c r="C2451" s="165"/>
    </row>
    <row r="2452" spans="1:3" ht="16.8">
      <c r="A2452" s="165"/>
      <c r="B2452" s="171"/>
      <c r="C2452" s="165"/>
    </row>
    <row r="2453" spans="1:3" ht="16.8">
      <c r="A2453" s="165"/>
      <c r="B2453" s="171"/>
      <c r="C2453" s="165"/>
    </row>
    <row r="2454" spans="1:3" ht="16.8">
      <c r="A2454" s="165"/>
      <c r="B2454" s="171"/>
      <c r="C2454" s="165"/>
    </row>
    <row r="2455" spans="1:3" ht="16.8">
      <c r="A2455" s="165"/>
      <c r="B2455" s="171"/>
      <c r="C2455" s="165"/>
    </row>
    <row r="2456" spans="1:3" ht="16.8">
      <c r="A2456" s="165"/>
      <c r="B2456" s="171"/>
      <c r="C2456" s="165"/>
    </row>
    <row r="2457" spans="1:3" ht="16.8">
      <c r="A2457" s="165"/>
      <c r="B2457" s="171"/>
      <c r="C2457" s="165"/>
    </row>
    <row r="2458" spans="1:3" ht="16.8">
      <c r="A2458" s="165"/>
      <c r="B2458" s="171"/>
      <c r="C2458" s="165"/>
    </row>
    <row r="2459" spans="1:3" ht="16.8">
      <c r="A2459" s="165"/>
      <c r="B2459" s="171"/>
      <c r="C2459" s="165"/>
    </row>
    <row r="2460" spans="1:3" ht="16.8">
      <c r="A2460" s="165"/>
      <c r="B2460" s="171"/>
      <c r="C2460" s="165"/>
    </row>
    <row r="2461" spans="1:3" ht="16.8">
      <c r="A2461" s="165"/>
      <c r="B2461" s="171"/>
      <c r="C2461" s="165"/>
    </row>
    <row r="2462" spans="1:3" ht="16.8">
      <c r="A2462" s="165"/>
      <c r="B2462" s="171"/>
      <c r="C2462" s="165"/>
    </row>
    <row r="2463" spans="1:3" ht="16.8">
      <c r="A2463" s="165"/>
      <c r="B2463" s="171"/>
      <c r="C2463" s="165"/>
    </row>
    <row r="2464" spans="1:3" ht="16.8">
      <c r="A2464" s="165"/>
      <c r="B2464" s="171"/>
      <c r="C2464" s="165"/>
    </row>
    <row r="2465" spans="1:3" ht="16.8">
      <c r="A2465" s="165"/>
      <c r="B2465" s="171"/>
      <c r="C2465" s="165"/>
    </row>
    <row r="2466" spans="1:3" ht="16.8">
      <c r="A2466" s="165"/>
      <c r="B2466" s="171"/>
      <c r="C2466" s="165"/>
    </row>
    <row r="2467" spans="1:3" ht="16.8">
      <c r="A2467" s="165"/>
      <c r="B2467" s="171"/>
      <c r="C2467" s="165"/>
    </row>
    <row r="2468" spans="1:3" ht="16.8">
      <c r="A2468" s="165"/>
      <c r="B2468" s="171"/>
      <c r="C2468" s="165"/>
    </row>
    <row r="2469" spans="1:3" ht="16.8">
      <c r="A2469" s="165"/>
      <c r="B2469" s="171"/>
      <c r="C2469" s="165"/>
    </row>
    <row r="2470" spans="1:3" ht="16.8">
      <c r="A2470" s="165"/>
      <c r="B2470" s="171"/>
      <c r="C2470" s="165"/>
    </row>
    <row r="2471" spans="1:3" ht="16.8">
      <c r="A2471" s="165"/>
      <c r="B2471" s="171"/>
      <c r="C2471" s="165"/>
    </row>
    <row r="2472" spans="1:3" ht="16.8">
      <c r="A2472" s="165"/>
      <c r="B2472" s="171"/>
      <c r="C2472" s="165"/>
    </row>
    <row r="2473" spans="1:3" ht="16.8">
      <c r="A2473" s="165"/>
      <c r="B2473" s="171"/>
      <c r="C2473" s="165"/>
    </row>
    <row r="2474" spans="1:3" ht="16.8">
      <c r="A2474" s="165"/>
      <c r="B2474" s="171"/>
      <c r="C2474" s="165"/>
    </row>
    <row r="2475" spans="1:3" ht="16.8">
      <c r="A2475" s="165"/>
      <c r="B2475" s="171"/>
      <c r="C2475" s="165"/>
    </row>
    <row r="2476" spans="1:3" ht="16.8">
      <c r="A2476" s="165"/>
      <c r="B2476" s="171"/>
      <c r="C2476" s="165"/>
    </row>
    <row r="2477" spans="1:3" ht="16.8">
      <c r="A2477" s="165"/>
      <c r="B2477" s="171"/>
      <c r="C2477" s="165"/>
    </row>
    <row r="2478" spans="1:3" ht="16.8">
      <c r="A2478" s="165"/>
      <c r="B2478" s="171"/>
      <c r="C2478" s="165"/>
    </row>
    <row r="2479" spans="1:3" ht="16.8">
      <c r="A2479" s="165"/>
      <c r="B2479" s="171"/>
      <c r="C2479" s="165"/>
    </row>
    <row r="2480" spans="1:3" ht="16.8">
      <c r="A2480" s="165"/>
      <c r="B2480" s="171"/>
      <c r="C2480" s="165"/>
    </row>
    <row r="2481" spans="1:3" ht="16.8">
      <c r="A2481" s="165"/>
      <c r="B2481" s="171"/>
      <c r="C2481" s="165"/>
    </row>
    <row r="2482" spans="1:3" ht="16.8">
      <c r="A2482" s="165"/>
      <c r="B2482" s="171"/>
      <c r="C2482" s="165"/>
    </row>
    <row r="2483" spans="1:3" ht="16.8">
      <c r="A2483" s="165"/>
      <c r="B2483" s="171"/>
      <c r="C2483" s="165"/>
    </row>
    <row r="2484" spans="1:3" ht="16.8">
      <c r="A2484" s="165"/>
      <c r="B2484" s="171"/>
      <c r="C2484" s="165"/>
    </row>
    <row r="2485" spans="1:3" ht="16.8">
      <c r="A2485" s="165"/>
      <c r="B2485" s="171"/>
      <c r="C2485" s="165"/>
    </row>
    <row r="2486" spans="1:3" ht="16.8">
      <c r="A2486" s="165"/>
      <c r="B2486" s="171"/>
      <c r="C2486" s="165"/>
    </row>
    <row r="2487" spans="1:3" ht="16.8">
      <c r="A2487" s="165"/>
      <c r="B2487" s="171"/>
      <c r="C2487" s="165"/>
    </row>
    <row r="2488" spans="1:3" ht="16.8">
      <c r="A2488" s="165"/>
      <c r="B2488" s="171"/>
      <c r="C2488" s="165"/>
    </row>
    <row r="2489" spans="1:3" ht="16.8">
      <c r="A2489" s="165"/>
      <c r="B2489" s="171"/>
      <c r="C2489" s="165"/>
    </row>
    <row r="2490" spans="1:3" ht="16.8">
      <c r="A2490" s="165"/>
      <c r="B2490" s="171"/>
      <c r="C2490" s="165"/>
    </row>
    <row r="2491" spans="1:3" ht="16.8">
      <c r="A2491" s="165"/>
      <c r="B2491" s="171"/>
      <c r="C2491" s="165"/>
    </row>
    <row r="2492" spans="1:3" ht="16.8">
      <c r="A2492" s="165"/>
      <c r="B2492" s="171"/>
      <c r="C2492" s="165"/>
    </row>
    <row r="2493" spans="1:3" ht="16.8">
      <c r="A2493" s="165"/>
      <c r="B2493" s="171"/>
      <c r="C2493" s="165"/>
    </row>
    <row r="2494" spans="1:3" ht="16.8">
      <c r="A2494" s="165"/>
      <c r="B2494" s="171"/>
      <c r="C2494" s="165"/>
    </row>
    <row r="2495" spans="1:3" ht="16.8">
      <c r="A2495" s="165"/>
      <c r="B2495" s="171"/>
      <c r="C2495" s="165"/>
    </row>
    <row r="2496" spans="1:3" ht="16.8">
      <c r="A2496" s="165"/>
      <c r="B2496" s="171"/>
      <c r="C2496" s="165"/>
    </row>
    <row r="2497" spans="1:3" ht="16.8">
      <c r="A2497" s="165"/>
      <c r="B2497" s="171"/>
      <c r="C2497" s="165"/>
    </row>
    <row r="2498" spans="1:3" ht="16.8">
      <c r="A2498" s="165"/>
      <c r="B2498" s="171"/>
      <c r="C2498" s="165"/>
    </row>
    <row r="2499" spans="1:3" ht="16.8">
      <c r="A2499" s="165"/>
      <c r="B2499" s="171"/>
      <c r="C2499" s="165"/>
    </row>
    <row r="2500" spans="1:3" ht="16.8">
      <c r="A2500" s="165"/>
      <c r="B2500" s="171"/>
      <c r="C2500" s="165"/>
    </row>
    <row r="2501" spans="1:3" ht="16.8">
      <c r="A2501" s="165"/>
      <c r="B2501" s="171"/>
      <c r="C2501" s="165"/>
    </row>
    <row r="2502" spans="1:3" ht="16.8">
      <c r="A2502" s="165"/>
      <c r="B2502" s="171"/>
      <c r="C2502" s="165"/>
    </row>
    <row r="2503" spans="1:3" ht="16.8">
      <c r="A2503" s="165"/>
      <c r="B2503" s="171"/>
      <c r="C2503" s="165"/>
    </row>
    <row r="2504" spans="1:3" ht="16.8">
      <c r="A2504" s="165"/>
      <c r="B2504" s="171"/>
      <c r="C2504" s="165"/>
    </row>
    <row r="2505" spans="1:3" ht="16.8">
      <c r="A2505" s="165"/>
      <c r="B2505" s="171"/>
      <c r="C2505" s="165"/>
    </row>
    <row r="2506" spans="1:3" ht="16.8">
      <c r="A2506" s="165"/>
      <c r="B2506" s="171"/>
      <c r="C2506" s="165"/>
    </row>
    <row r="2507" spans="1:3" ht="16.8">
      <c r="A2507" s="165"/>
      <c r="B2507" s="171"/>
      <c r="C2507" s="165"/>
    </row>
    <row r="2508" spans="1:3" ht="16.8">
      <c r="A2508" s="165"/>
      <c r="B2508" s="171"/>
      <c r="C2508" s="165"/>
    </row>
    <row r="2509" spans="1:3" ht="16.8">
      <c r="A2509" s="165"/>
      <c r="B2509" s="171"/>
      <c r="C2509" s="165"/>
    </row>
    <row r="2510" spans="1:3" ht="16.8">
      <c r="A2510" s="165"/>
      <c r="B2510" s="171"/>
      <c r="C2510" s="165"/>
    </row>
    <row r="2511" spans="1:3" ht="16.8">
      <c r="A2511" s="165"/>
      <c r="B2511" s="171"/>
      <c r="C2511" s="165"/>
    </row>
    <row r="2512" spans="1:3" ht="16.8">
      <c r="A2512" s="165"/>
      <c r="B2512" s="171"/>
      <c r="C2512" s="165"/>
    </row>
    <row r="2513" spans="1:3" ht="16.8">
      <c r="A2513" s="165"/>
      <c r="B2513" s="171"/>
      <c r="C2513" s="165"/>
    </row>
    <row r="2514" spans="1:3" ht="16.8">
      <c r="A2514" s="165"/>
      <c r="B2514" s="171"/>
      <c r="C2514" s="165"/>
    </row>
    <row r="2515" spans="1:3" ht="16.8">
      <c r="A2515" s="165"/>
      <c r="B2515" s="171"/>
      <c r="C2515" s="165"/>
    </row>
    <row r="2516" spans="1:3" ht="16.8">
      <c r="A2516" s="165"/>
      <c r="B2516" s="171"/>
      <c r="C2516" s="165"/>
    </row>
    <row r="2517" spans="1:3" ht="16.8">
      <c r="A2517" s="165"/>
      <c r="B2517" s="171"/>
      <c r="C2517" s="165"/>
    </row>
    <row r="2518" spans="1:3" ht="16.8">
      <c r="A2518" s="165"/>
      <c r="B2518" s="171"/>
      <c r="C2518" s="165"/>
    </row>
    <row r="2519" spans="1:3" ht="16.8">
      <c r="A2519" s="165"/>
      <c r="B2519" s="171"/>
      <c r="C2519" s="165"/>
    </row>
    <row r="2520" spans="1:3" ht="16.8">
      <c r="A2520" s="165"/>
      <c r="B2520" s="171"/>
      <c r="C2520" s="165"/>
    </row>
    <row r="2521" spans="1:3" ht="16.8">
      <c r="A2521" s="165"/>
      <c r="B2521" s="171"/>
      <c r="C2521" s="165"/>
    </row>
    <row r="2522" spans="1:3" ht="16.8">
      <c r="A2522" s="165"/>
      <c r="B2522" s="171"/>
      <c r="C2522" s="165"/>
    </row>
    <row r="2523" spans="1:3" ht="16.8">
      <c r="A2523" s="165"/>
      <c r="B2523" s="171"/>
      <c r="C2523" s="165"/>
    </row>
    <row r="2524" spans="1:3" ht="16.8">
      <c r="A2524" s="165"/>
      <c r="B2524" s="171"/>
      <c r="C2524" s="165"/>
    </row>
    <row r="2525" spans="1:3" ht="16.8">
      <c r="A2525" s="165"/>
      <c r="B2525" s="171"/>
      <c r="C2525" s="165"/>
    </row>
    <row r="2526" spans="1:3" ht="16.8">
      <c r="A2526" s="165"/>
      <c r="B2526" s="171"/>
      <c r="C2526" s="165"/>
    </row>
    <row r="2527" spans="1:3" ht="16.8">
      <c r="A2527" s="165"/>
      <c r="B2527" s="171"/>
      <c r="C2527" s="165"/>
    </row>
    <row r="2528" spans="1:3" ht="16.8">
      <c r="A2528" s="165"/>
      <c r="B2528" s="171"/>
      <c r="C2528" s="165"/>
    </row>
    <row r="2529" spans="1:3" ht="16.8">
      <c r="A2529" s="165"/>
      <c r="B2529" s="171"/>
      <c r="C2529" s="165"/>
    </row>
    <row r="2530" spans="1:3" ht="16.8">
      <c r="A2530" s="165"/>
      <c r="B2530" s="171"/>
      <c r="C2530" s="165"/>
    </row>
    <row r="2531" spans="1:3" ht="16.8">
      <c r="A2531" s="165"/>
      <c r="B2531" s="171"/>
      <c r="C2531" s="165"/>
    </row>
    <row r="2532" spans="1:3" ht="16.8">
      <c r="A2532" s="165"/>
      <c r="B2532" s="171"/>
      <c r="C2532" s="165"/>
    </row>
    <row r="2533" spans="1:3" ht="16.8">
      <c r="A2533" s="165"/>
      <c r="B2533" s="171"/>
      <c r="C2533" s="165"/>
    </row>
    <row r="2534" spans="1:3" ht="16.8">
      <c r="A2534" s="165"/>
      <c r="B2534" s="171"/>
      <c r="C2534" s="165"/>
    </row>
    <row r="2535" spans="1:3" ht="16.8">
      <c r="A2535" s="165"/>
      <c r="B2535" s="171"/>
      <c r="C2535" s="165"/>
    </row>
    <row r="2536" spans="1:3" ht="16.8">
      <c r="A2536" s="165"/>
      <c r="B2536" s="171"/>
      <c r="C2536" s="165"/>
    </row>
    <row r="2537" spans="1:3" ht="16.8">
      <c r="A2537" s="165"/>
      <c r="B2537" s="171"/>
      <c r="C2537" s="165"/>
    </row>
    <row r="2538" spans="1:3" ht="16.8">
      <c r="A2538" s="165"/>
      <c r="B2538" s="171"/>
      <c r="C2538" s="165"/>
    </row>
    <row r="2539" spans="1:3" ht="16.8">
      <c r="A2539" s="165"/>
      <c r="B2539" s="171"/>
      <c r="C2539" s="165"/>
    </row>
    <row r="2540" spans="1:3" ht="16.8">
      <c r="A2540" s="165"/>
      <c r="B2540" s="171"/>
      <c r="C2540" s="165"/>
    </row>
    <row r="2541" spans="1:3" ht="16.8">
      <c r="A2541" s="165"/>
      <c r="B2541" s="171"/>
      <c r="C2541" s="165"/>
    </row>
    <row r="2542" spans="1:3" ht="16.8">
      <c r="A2542" s="165"/>
      <c r="B2542" s="171"/>
      <c r="C2542" s="165"/>
    </row>
    <row r="2543" spans="1:3" ht="16.8">
      <c r="A2543" s="165"/>
      <c r="B2543" s="171"/>
      <c r="C2543" s="165"/>
    </row>
    <row r="2544" spans="1:3" ht="16.8">
      <c r="A2544" s="165"/>
      <c r="B2544" s="171"/>
      <c r="C2544" s="165"/>
    </row>
    <row r="2545" spans="1:3" ht="16.8">
      <c r="A2545" s="165"/>
      <c r="B2545" s="171"/>
      <c r="C2545" s="165"/>
    </row>
    <row r="2546" spans="1:3" ht="16.8">
      <c r="A2546" s="165"/>
      <c r="B2546" s="171"/>
      <c r="C2546" s="165"/>
    </row>
    <row r="2547" spans="1:3" ht="16.8">
      <c r="A2547" s="165"/>
      <c r="B2547" s="171"/>
      <c r="C2547" s="165"/>
    </row>
    <row r="2548" spans="1:3" ht="16.8">
      <c r="A2548" s="165"/>
      <c r="B2548" s="171"/>
      <c r="C2548" s="165"/>
    </row>
    <row r="2549" spans="1:3" ht="16.8">
      <c r="A2549" s="165"/>
      <c r="B2549" s="171"/>
      <c r="C2549" s="165"/>
    </row>
    <row r="2550" spans="1:3" ht="16.8">
      <c r="A2550" s="165"/>
      <c r="B2550" s="171"/>
      <c r="C2550" s="165"/>
    </row>
    <row r="2551" spans="1:3" ht="16.8">
      <c r="A2551" s="165"/>
      <c r="B2551" s="171"/>
      <c r="C2551" s="165"/>
    </row>
    <row r="2552" spans="1:3" ht="16.8">
      <c r="A2552" s="165"/>
      <c r="B2552" s="171"/>
      <c r="C2552" s="165"/>
    </row>
    <row r="2553" spans="1:3" ht="16.8">
      <c r="A2553" s="165"/>
      <c r="B2553" s="171"/>
      <c r="C2553" s="165"/>
    </row>
    <row r="2554" spans="1:3" ht="16.8">
      <c r="A2554" s="165"/>
      <c r="B2554" s="171"/>
      <c r="C2554" s="165"/>
    </row>
    <row r="2555" spans="1:3" ht="16.8">
      <c r="A2555" s="165"/>
      <c r="B2555" s="171"/>
      <c r="C2555" s="165"/>
    </row>
    <row r="2556" spans="1:3" ht="16.8">
      <c r="A2556" s="165"/>
      <c r="B2556" s="171"/>
      <c r="C2556" s="165"/>
    </row>
    <row r="2557" spans="1:3" ht="16.8">
      <c r="A2557" s="165"/>
      <c r="B2557" s="171"/>
      <c r="C2557" s="165"/>
    </row>
    <row r="2558" spans="1:3" ht="16.8">
      <c r="A2558" s="165"/>
      <c r="B2558" s="171"/>
      <c r="C2558" s="165"/>
    </row>
    <row r="2559" spans="1:3" ht="16.8">
      <c r="A2559" s="165"/>
      <c r="B2559" s="171"/>
      <c r="C2559" s="165"/>
    </row>
    <row r="2560" spans="1:3" ht="16.8">
      <c r="A2560" s="165"/>
      <c r="B2560" s="171"/>
      <c r="C2560" s="165"/>
    </row>
    <row r="2561" spans="1:3" ht="16.8">
      <c r="A2561" s="165"/>
      <c r="B2561" s="171"/>
      <c r="C2561" s="165"/>
    </row>
    <row r="2562" spans="1:3" ht="16.8">
      <c r="A2562" s="165"/>
      <c r="B2562" s="171"/>
      <c r="C2562" s="165"/>
    </row>
    <row r="2563" spans="1:3" ht="16.8">
      <c r="A2563" s="165"/>
      <c r="B2563" s="171"/>
      <c r="C2563" s="165"/>
    </row>
    <row r="2564" spans="1:3" ht="16.8">
      <c r="A2564" s="165"/>
      <c r="B2564" s="171"/>
      <c r="C2564" s="165"/>
    </row>
    <row r="2565" spans="1:3" ht="16.8">
      <c r="A2565" s="165"/>
      <c r="B2565" s="171"/>
      <c r="C2565" s="165"/>
    </row>
    <row r="2566" spans="1:3" ht="16.8">
      <c r="A2566" s="165"/>
      <c r="B2566" s="171"/>
      <c r="C2566" s="165"/>
    </row>
    <row r="2567" spans="1:3" ht="16.8">
      <c r="A2567" s="165"/>
      <c r="B2567" s="171"/>
      <c r="C2567" s="165"/>
    </row>
    <row r="2568" spans="1:3" ht="16.8">
      <c r="A2568" s="165"/>
      <c r="B2568" s="171"/>
      <c r="C2568" s="165"/>
    </row>
    <row r="2569" spans="1:3" ht="16.8">
      <c r="A2569" s="165"/>
      <c r="B2569" s="171"/>
      <c r="C2569" s="165"/>
    </row>
    <row r="2570" spans="1:3" ht="16.8">
      <c r="A2570" s="165"/>
      <c r="B2570" s="171"/>
      <c r="C2570" s="165"/>
    </row>
    <row r="2571" spans="1:3" ht="16.8">
      <c r="A2571" s="165"/>
      <c r="B2571" s="171"/>
      <c r="C2571" s="165"/>
    </row>
    <row r="2572" spans="1:3" ht="16.8">
      <c r="A2572" s="165"/>
      <c r="B2572" s="171"/>
      <c r="C2572" s="165"/>
    </row>
    <row r="2573" spans="1:3" ht="16.8">
      <c r="A2573" s="165"/>
      <c r="B2573" s="171"/>
      <c r="C2573" s="165"/>
    </row>
    <row r="2574" spans="1:3" ht="16.8">
      <c r="A2574" s="165"/>
      <c r="B2574" s="171"/>
      <c r="C2574" s="165"/>
    </row>
    <row r="2575" spans="1:3" ht="16.8">
      <c r="A2575" s="165"/>
      <c r="B2575" s="171"/>
      <c r="C2575" s="165"/>
    </row>
    <row r="2576" spans="1:3" ht="16.8">
      <c r="A2576" s="165"/>
      <c r="B2576" s="171"/>
      <c r="C2576" s="165"/>
    </row>
    <row r="2577" spans="1:3" ht="16.8">
      <c r="A2577" s="165"/>
      <c r="B2577" s="171"/>
      <c r="C2577" s="165"/>
    </row>
    <row r="2578" spans="1:3" ht="16.8">
      <c r="A2578" s="165"/>
      <c r="B2578" s="171"/>
      <c r="C2578" s="165"/>
    </row>
    <row r="2579" spans="1:3" ht="16.8">
      <c r="A2579" s="165"/>
      <c r="B2579" s="171"/>
      <c r="C2579" s="165"/>
    </row>
    <row r="2580" spans="1:3" ht="16.8">
      <c r="A2580" s="165"/>
      <c r="B2580" s="171"/>
      <c r="C2580" s="165"/>
    </row>
    <row r="2581" spans="1:3" ht="16.8">
      <c r="A2581" s="165"/>
      <c r="B2581" s="171"/>
      <c r="C2581" s="165"/>
    </row>
    <row r="2582" spans="1:3" ht="16.8">
      <c r="A2582" s="165"/>
      <c r="B2582" s="171"/>
      <c r="C2582" s="165"/>
    </row>
    <row r="2583" spans="1:3" ht="16.8">
      <c r="A2583" s="165"/>
      <c r="B2583" s="171"/>
      <c r="C2583" s="165"/>
    </row>
    <row r="2584" spans="1:3" ht="16.8">
      <c r="A2584" s="165"/>
      <c r="B2584" s="171"/>
      <c r="C2584" s="165"/>
    </row>
    <row r="2585" spans="1:3" ht="16.8">
      <c r="A2585" s="165"/>
      <c r="B2585" s="171"/>
      <c r="C2585" s="165"/>
    </row>
    <row r="2586" spans="1:3" ht="16.8">
      <c r="A2586" s="165"/>
      <c r="B2586" s="171"/>
      <c r="C2586" s="165"/>
    </row>
    <row r="2587" spans="1:3" ht="16.8">
      <c r="A2587" s="165"/>
      <c r="B2587" s="171"/>
      <c r="C2587" s="165"/>
    </row>
    <row r="2588" spans="1:3" ht="16.8">
      <c r="A2588" s="165"/>
      <c r="B2588" s="171"/>
      <c r="C2588" s="165"/>
    </row>
    <row r="2589" spans="1:3" ht="16.8">
      <c r="A2589" s="165"/>
      <c r="B2589" s="171"/>
      <c r="C2589" s="165"/>
    </row>
    <row r="2590" spans="1:3" ht="16.8">
      <c r="A2590" s="165"/>
      <c r="B2590" s="171"/>
      <c r="C2590" s="165"/>
    </row>
    <row r="2591" spans="1:3" ht="16.8">
      <c r="A2591" s="165"/>
      <c r="B2591" s="171"/>
      <c r="C2591" s="165"/>
    </row>
    <row r="2592" spans="1:3" ht="16.8">
      <c r="A2592" s="165"/>
      <c r="B2592" s="171"/>
      <c r="C2592" s="165"/>
    </row>
    <row r="2593" spans="1:3" ht="16.8">
      <c r="A2593" s="165"/>
      <c r="B2593" s="171"/>
      <c r="C2593" s="165"/>
    </row>
    <row r="2594" spans="1:3" ht="16.8">
      <c r="A2594" s="165"/>
      <c r="B2594" s="171"/>
      <c r="C2594" s="165"/>
    </row>
    <row r="2595" spans="1:3" ht="16.8">
      <c r="A2595" s="165"/>
      <c r="B2595" s="171"/>
      <c r="C2595" s="165"/>
    </row>
    <row r="2596" spans="1:3" ht="16.8">
      <c r="A2596" s="165"/>
      <c r="B2596" s="171"/>
      <c r="C2596" s="165"/>
    </row>
    <row r="2597" spans="1:3" ht="16.8">
      <c r="A2597" s="165"/>
      <c r="B2597" s="171"/>
      <c r="C2597" s="165"/>
    </row>
    <row r="2598" spans="1:3" ht="16.8">
      <c r="A2598" s="165"/>
      <c r="B2598" s="171"/>
      <c r="C2598" s="165"/>
    </row>
    <row r="2599" spans="1:3" ht="16.8">
      <c r="A2599" s="165"/>
      <c r="B2599" s="171"/>
      <c r="C2599" s="165"/>
    </row>
    <row r="2600" spans="1:3" ht="16.8">
      <c r="A2600" s="165"/>
      <c r="B2600" s="171"/>
      <c r="C2600" s="165"/>
    </row>
    <row r="2601" spans="1:3" ht="16.8">
      <c r="A2601" s="165"/>
      <c r="B2601" s="171"/>
      <c r="C2601" s="165"/>
    </row>
    <row r="2602" spans="1:3" ht="16.8">
      <c r="A2602" s="165"/>
      <c r="B2602" s="171"/>
      <c r="C2602" s="165"/>
    </row>
    <row r="2603" spans="1:3" ht="16.8">
      <c r="A2603" s="165"/>
      <c r="B2603" s="171"/>
      <c r="C2603" s="165"/>
    </row>
    <row r="2604" spans="1:3" ht="16.8">
      <c r="A2604" s="165"/>
      <c r="B2604" s="171"/>
      <c r="C2604" s="165"/>
    </row>
    <row r="2605" spans="1:3" ht="16.8">
      <c r="A2605" s="165"/>
      <c r="B2605" s="171"/>
      <c r="C2605" s="165"/>
    </row>
    <row r="2606" spans="1:3" ht="16.8">
      <c r="A2606" s="165"/>
      <c r="B2606" s="171"/>
      <c r="C2606" s="165"/>
    </row>
    <row r="2607" spans="1:3" ht="16.8">
      <c r="A2607" s="165"/>
      <c r="B2607" s="171"/>
      <c r="C2607" s="165"/>
    </row>
    <row r="2608" spans="1:3" ht="16.8">
      <c r="A2608" s="165"/>
      <c r="B2608" s="171"/>
      <c r="C2608" s="165"/>
    </row>
    <row r="2609" spans="1:3" ht="16.8">
      <c r="A2609" s="165"/>
      <c r="B2609" s="171"/>
      <c r="C2609" s="165"/>
    </row>
    <row r="2610" spans="1:3" ht="16.8">
      <c r="A2610" s="165"/>
      <c r="B2610" s="171"/>
      <c r="C2610" s="165"/>
    </row>
    <row r="2611" spans="1:3" ht="16.8">
      <c r="A2611" s="165"/>
      <c r="B2611" s="171"/>
      <c r="C2611" s="165"/>
    </row>
    <row r="2612" spans="1:3" ht="16.8">
      <c r="A2612" s="165"/>
      <c r="B2612" s="171"/>
      <c r="C2612" s="165"/>
    </row>
    <row r="2613" spans="1:3" ht="16.8">
      <c r="A2613" s="165"/>
      <c r="B2613" s="171"/>
      <c r="C2613" s="165"/>
    </row>
    <row r="2614" spans="1:3" ht="16.8">
      <c r="A2614" s="165"/>
      <c r="B2614" s="171"/>
      <c r="C2614" s="165"/>
    </row>
    <row r="2615" spans="1:3" ht="16.8">
      <c r="A2615" s="165"/>
      <c r="B2615" s="171"/>
      <c r="C2615" s="165"/>
    </row>
    <row r="2616" spans="1:3" ht="16.8">
      <c r="A2616" s="165"/>
      <c r="B2616" s="171"/>
      <c r="C2616" s="165"/>
    </row>
    <row r="2617" spans="1:3" ht="16.8">
      <c r="A2617" s="165"/>
      <c r="B2617" s="171"/>
      <c r="C2617" s="165"/>
    </row>
    <row r="2618" spans="1:3" ht="16.8">
      <c r="A2618" s="165"/>
      <c r="B2618" s="171"/>
      <c r="C2618" s="165"/>
    </row>
    <row r="2619" spans="1:3" ht="16.8">
      <c r="A2619" s="165"/>
      <c r="B2619" s="171"/>
      <c r="C2619" s="165"/>
    </row>
    <row r="2620" spans="1:3" ht="16.8">
      <c r="A2620" s="165"/>
      <c r="B2620" s="171"/>
      <c r="C2620" s="165"/>
    </row>
    <row r="2621" spans="1:3" ht="16.8">
      <c r="A2621" s="165"/>
      <c r="B2621" s="171"/>
      <c r="C2621" s="165"/>
    </row>
    <row r="2622" spans="1:3" ht="16.8">
      <c r="A2622" s="165"/>
      <c r="B2622" s="171"/>
      <c r="C2622" s="165"/>
    </row>
    <row r="2623" spans="1:3" ht="16.8">
      <c r="A2623" s="165"/>
      <c r="B2623" s="171"/>
      <c r="C2623" s="165"/>
    </row>
    <row r="2624" spans="1:3" ht="16.8">
      <c r="A2624" s="165"/>
      <c r="B2624" s="171"/>
      <c r="C2624" s="165"/>
    </row>
    <row r="2625" spans="1:3" ht="16.8">
      <c r="A2625" s="165"/>
      <c r="B2625" s="171"/>
      <c r="C2625" s="165"/>
    </row>
    <row r="2626" spans="1:3" ht="16.8">
      <c r="A2626" s="165"/>
      <c r="B2626" s="171"/>
      <c r="C2626" s="165"/>
    </row>
    <row r="2627" spans="1:3" ht="16.8">
      <c r="A2627" s="165"/>
      <c r="B2627" s="171"/>
      <c r="C2627" s="165"/>
    </row>
    <row r="2628" spans="1:3" ht="16.8">
      <c r="A2628" s="165"/>
      <c r="B2628" s="171"/>
      <c r="C2628" s="165"/>
    </row>
    <row r="2629" spans="1:3" ht="16.8">
      <c r="A2629" s="165"/>
      <c r="B2629" s="171"/>
      <c r="C2629" s="165"/>
    </row>
    <row r="2630" spans="1:3" ht="16.8">
      <c r="A2630" s="165"/>
      <c r="B2630" s="171"/>
      <c r="C2630" s="165"/>
    </row>
    <row r="2631" spans="1:3" ht="16.8">
      <c r="A2631" s="165"/>
      <c r="B2631" s="171"/>
      <c r="C2631" s="165"/>
    </row>
    <row r="2632" spans="1:3" ht="16.8">
      <c r="A2632" s="165"/>
      <c r="B2632" s="171"/>
      <c r="C2632" s="165"/>
    </row>
    <row r="2633" spans="1:3" ht="16.8">
      <c r="A2633" s="165"/>
      <c r="B2633" s="171"/>
      <c r="C2633" s="165"/>
    </row>
    <row r="2634" spans="1:3" ht="16.8">
      <c r="A2634" s="165"/>
      <c r="B2634" s="171"/>
      <c r="C2634" s="165"/>
    </row>
    <row r="2635" spans="1:3" ht="16.8">
      <c r="A2635" s="165"/>
      <c r="B2635" s="171"/>
      <c r="C2635" s="165"/>
    </row>
    <row r="2636" spans="1:3" ht="16.8">
      <c r="A2636" s="165"/>
      <c r="B2636" s="171"/>
      <c r="C2636" s="165"/>
    </row>
    <row r="2637" spans="1:3" ht="16.8">
      <c r="A2637" s="165"/>
      <c r="B2637" s="171"/>
      <c r="C2637" s="165"/>
    </row>
    <row r="2638" spans="1:3" ht="16.8">
      <c r="A2638" s="165"/>
      <c r="B2638" s="171"/>
      <c r="C2638" s="165"/>
    </row>
    <row r="2639" spans="1:3" ht="16.8">
      <c r="A2639" s="165"/>
      <c r="B2639" s="171"/>
      <c r="C2639" s="165"/>
    </row>
    <row r="2640" spans="1:3" ht="16.8">
      <c r="A2640" s="165"/>
      <c r="B2640" s="171"/>
      <c r="C2640" s="165"/>
    </row>
    <row r="2641" spans="1:3" ht="16.8">
      <c r="A2641" s="165"/>
      <c r="B2641" s="171"/>
      <c r="C2641" s="165"/>
    </row>
    <row r="2642" spans="1:3" ht="16.8">
      <c r="A2642" s="165"/>
      <c r="B2642" s="171"/>
      <c r="C2642" s="165"/>
    </row>
    <row r="2643" spans="1:3" ht="16.8">
      <c r="A2643" s="165"/>
      <c r="B2643" s="171"/>
      <c r="C2643" s="165"/>
    </row>
    <row r="2644" spans="1:3" ht="16.8">
      <c r="A2644" s="165"/>
      <c r="B2644" s="171"/>
      <c r="C2644" s="165"/>
    </row>
    <row r="2645" spans="1:3" ht="16.8">
      <c r="A2645" s="165"/>
      <c r="B2645" s="171"/>
      <c r="C2645" s="165"/>
    </row>
    <row r="2646" spans="1:3" ht="16.8">
      <c r="A2646" s="165"/>
      <c r="B2646" s="171"/>
      <c r="C2646" s="165"/>
    </row>
    <row r="2647" spans="1:3" ht="16.8">
      <c r="A2647" s="165"/>
      <c r="B2647" s="171"/>
      <c r="C2647" s="165"/>
    </row>
    <row r="2648" spans="1:3" ht="16.8">
      <c r="A2648" s="165"/>
      <c r="B2648" s="171"/>
      <c r="C2648" s="165"/>
    </row>
    <row r="2649" spans="1:3" ht="16.8">
      <c r="A2649" s="165"/>
      <c r="B2649" s="171"/>
      <c r="C2649" s="165"/>
    </row>
    <row r="2650" spans="1:3" ht="16.8">
      <c r="A2650" s="165"/>
      <c r="B2650" s="171"/>
      <c r="C2650" s="165"/>
    </row>
    <row r="2651" spans="1:3" ht="16.8">
      <c r="A2651" s="165"/>
      <c r="B2651" s="171"/>
      <c r="C2651" s="165"/>
    </row>
    <row r="2652" spans="1:3" ht="16.8">
      <c r="A2652" s="165"/>
      <c r="B2652" s="171"/>
      <c r="C2652" s="165"/>
    </row>
    <row r="2653" spans="1:3" ht="16.8">
      <c r="A2653" s="165"/>
      <c r="B2653" s="171"/>
      <c r="C2653" s="165"/>
    </row>
    <row r="2654" spans="1:3" ht="16.8">
      <c r="A2654" s="165"/>
      <c r="B2654" s="171"/>
      <c r="C2654" s="165"/>
    </row>
    <row r="2655" spans="1:3" ht="16.8">
      <c r="A2655" s="165"/>
      <c r="B2655" s="171"/>
      <c r="C2655" s="165"/>
    </row>
    <row r="2656" spans="1:3" ht="16.8">
      <c r="A2656" s="165"/>
      <c r="B2656" s="171"/>
      <c r="C2656" s="165"/>
    </row>
    <row r="2657" spans="1:3" ht="16.8">
      <c r="A2657" s="165"/>
      <c r="B2657" s="171"/>
      <c r="C2657" s="165"/>
    </row>
    <row r="2658" spans="1:3" ht="16.8">
      <c r="A2658" s="165"/>
      <c r="B2658" s="171"/>
      <c r="C2658" s="165"/>
    </row>
    <row r="2659" spans="1:3" ht="16.8">
      <c r="A2659" s="165"/>
      <c r="B2659" s="171"/>
      <c r="C2659" s="165"/>
    </row>
    <row r="2660" spans="1:3" ht="16.8">
      <c r="A2660" s="165"/>
      <c r="B2660" s="171"/>
      <c r="C2660" s="165"/>
    </row>
    <row r="2661" spans="1:3" ht="16.8">
      <c r="A2661" s="165"/>
      <c r="B2661" s="171"/>
      <c r="C2661" s="165"/>
    </row>
    <row r="2662" spans="1:3" ht="16.8">
      <c r="A2662" s="165"/>
      <c r="B2662" s="171"/>
      <c r="C2662" s="165"/>
    </row>
    <row r="2663" spans="1:3" ht="16.8">
      <c r="A2663" s="165"/>
      <c r="B2663" s="171"/>
      <c r="C2663" s="165"/>
    </row>
    <row r="2664" spans="1:3" ht="16.8">
      <c r="A2664" s="165"/>
      <c r="B2664" s="171"/>
      <c r="C2664" s="165"/>
    </row>
    <row r="2665" spans="1:3" ht="16.8">
      <c r="A2665" s="165"/>
      <c r="B2665" s="171"/>
      <c r="C2665" s="165"/>
    </row>
    <row r="2666" spans="1:3" ht="16.8">
      <c r="A2666" s="165"/>
      <c r="B2666" s="171"/>
      <c r="C2666" s="165"/>
    </row>
    <row r="2667" spans="1:3" ht="16.8">
      <c r="A2667" s="165"/>
      <c r="B2667" s="171"/>
      <c r="C2667" s="165"/>
    </row>
    <row r="2668" spans="1:3" ht="16.8">
      <c r="A2668" s="165"/>
      <c r="B2668" s="171"/>
      <c r="C2668" s="165"/>
    </row>
    <row r="2669" spans="1:3" ht="16.8">
      <c r="A2669" s="165"/>
      <c r="B2669" s="171"/>
      <c r="C2669" s="165"/>
    </row>
    <row r="2670" spans="1:3" ht="16.8">
      <c r="A2670" s="165"/>
      <c r="B2670" s="171"/>
      <c r="C2670" s="165"/>
    </row>
    <row r="2671" spans="1:3" ht="16.8">
      <c r="A2671" s="165"/>
      <c r="B2671" s="171"/>
      <c r="C2671" s="165"/>
    </row>
    <row r="2672" spans="1:3" ht="16.8">
      <c r="A2672" s="165"/>
      <c r="B2672" s="171"/>
      <c r="C2672" s="165"/>
    </row>
    <row r="2673" spans="1:3" ht="16.8">
      <c r="A2673" s="165"/>
      <c r="B2673" s="171"/>
      <c r="C2673" s="165"/>
    </row>
    <row r="2674" spans="1:3" ht="16.8">
      <c r="A2674" s="165"/>
      <c r="B2674" s="171"/>
      <c r="C2674" s="165"/>
    </row>
    <row r="2675" spans="1:3" ht="16.8">
      <c r="A2675" s="165"/>
      <c r="B2675" s="171"/>
      <c r="C2675" s="165"/>
    </row>
    <row r="2676" spans="1:3" ht="16.8">
      <c r="A2676" s="165"/>
      <c r="B2676" s="171"/>
      <c r="C2676" s="165"/>
    </row>
    <row r="2677" spans="1:3" ht="16.8">
      <c r="A2677" s="165"/>
      <c r="B2677" s="171"/>
      <c r="C2677" s="165"/>
    </row>
    <row r="2678" spans="1:3" ht="16.8">
      <c r="A2678" s="165"/>
      <c r="B2678" s="171"/>
      <c r="C2678" s="165"/>
    </row>
    <row r="2679" spans="1:3" ht="16.8">
      <c r="A2679" s="165"/>
      <c r="B2679" s="171"/>
      <c r="C2679" s="165"/>
    </row>
    <row r="2680" spans="1:3" ht="16.8">
      <c r="A2680" s="165"/>
      <c r="B2680" s="171"/>
      <c r="C2680" s="165"/>
    </row>
    <row r="2681" spans="1:3" ht="16.8">
      <c r="A2681" s="165"/>
      <c r="B2681" s="171"/>
      <c r="C2681" s="165"/>
    </row>
    <row r="2682" spans="1:3" ht="16.8">
      <c r="A2682" s="165"/>
      <c r="B2682" s="171"/>
      <c r="C2682" s="165"/>
    </row>
    <row r="2683" spans="1:3" ht="16.8">
      <c r="A2683" s="165"/>
      <c r="B2683" s="171"/>
      <c r="C2683" s="165"/>
    </row>
    <row r="2684" spans="1:3" ht="16.8">
      <c r="A2684" s="165"/>
      <c r="B2684" s="171"/>
      <c r="C2684" s="165"/>
    </row>
    <row r="2685" spans="1:3" ht="16.8">
      <c r="A2685" s="165"/>
      <c r="B2685" s="171"/>
      <c r="C2685" s="165"/>
    </row>
    <row r="2686" spans="1:3" ht="16.8">
      <c r="A2686" s="165"/>
      <c r="B2686" s="171"/>
      <c r="C2686" s="165"/>
    </row>
    <row r="2687" spans="1:3" ht="16.8">
      <c r="A2687" s="165"/>
      <c r="B2687" s="171"/>
      <c r="C2687" s="165"/>
    </row>
    <row r="2688" spans="1:3" ht="16.8">
      <c r="A2688" s="165"/>
      <c r="B2688" s="171"/>
      <c r="C2688" s="165"/>
    </row>
    <row r="2689" spans="1:3" ht="16.8">
      <c r="A2689" s="165"/>
      <c r="B2689" s="171"/>
      <c r="C2689" s="165"/>
    </row>
    <row r="2690" spans="1:3" ht="16.8">
      <c r="A2690" s="165"/>
      <c r="B2690" s="171"/>
      <c r="C2690" s="165"/>
    </row>
    <row r="2691" spans="1:3" ht="16.8">
      <c r="A2691" s="165"/>
      <c r="B2691" s="171"/>
      <c r="C2691" s="165"/>
    </row>
    <row r="2692" spans="1:3" ht="16.8">
      <c r="A2692" s="165"/>
      <c r="B2692" s="171"/>
      <c r="C2692" s="165"/>
    </row>
    <row r="2693" spans="1:3" ht="16.8">
      <c r="A2693" s="165"/>
      <c r="B2693" s="171"/>
      <c r="C2693" s="165"/>
    </row>
    <row r="2694" spans="1:3" ht="16.8">
      <c r="A2694" s="165"/>
      <c r="B2694" s="171"/>
      <c r="C2694" s="165"/>
    </row>
    <row r="2695" spans="1:3" ht="16.8">
      <c r="A2695" s="165"/>
      <c r="B2695" s="171"/>
      <c r="C2695" s="165"/>
    </row>
    <row r="2696" spans="1:3" ht="16.8">
      <c r="A2696" s="165"/>
      <c r="B2696" s="171"/>
      <c r="C2696" s="165"/>
    </row>
    <row r="2697" spans="1:3" ht="16.8">
      <c r="A2697" s="165"/>
      <c r="B2697" s="171"/>
      <c r="C2697" s="165"/>
    </row>
    <row r="2698" spans="1:3" ht="16.8">
      <c r="A2698" s="165"/>
      <c r="B2698" s="171"/>
      <c r="C2698" s="165"/>
    </row>
    <row r="2699" spans="1:3" ht="16.8">
      <c r="A2699" s="165"/>
      <c r="B2699" s="171"/>
      <c r="C2699" s="165"/>
    </row>
    <row r="2700" spans="1:3" ht="16.8">
      <c r="A2700" s="165"/>
      <c r="B2700" s="171"/>
      <c r="C2700" s="165"/>
    </row>
    <row r="2701" spans="1:3" ht="16.8">
      <c r="A2701" s="165"/>
      <c r="B2701" s="171"/>
      <c r="C2701" s="165"/>
    </row>
    <row r="2702" spans="1:3" ht="16.8">
      <c r="A2702" s="165"/>
      <c r="B2702" s="171"/>
      <c r="C2702" s="165"/>
    </row>
    <row r="2703" spans="1:3" ht="16.8">
      <c r="A2703" s="165"/>
      <c r="B2703" s="171"/>
      <c r="C2703" s="165"/>
    </row>
    <row r="2704" spans="1:3" ht="16.8">
      <c r="A2704" s="165"/>
      <c r="B2704" s="171"/>
      <c r="C2704" s="165"/>
    </row>
    <row r="2705" spans="1:3" ht="16.8">
      <c r="A2705" s="165"/>
      <c r="B2705" s="171"/>
      <c r="C2705" s="165"/>
    </row>
    <row r="2706" spans="1:3" ht="16.8">
      <c r="A2706" s="165"/>
      <c r="B2706" s="171"/>
      <c r="C2706" s="165"/>
    </row>
    <row r="2707" spans="1:3" ht="16.8">
      <c r="A2707" s="165"/>
      <c r="B2707" s="171"/>
      <c r="C2707" s="165"/>
    </row>
    <row r="2708" spans="1:3" ht="16.8">
      <c r="A2708" s="165"/>
      <c r="B2708" s="171"/>
      <c r="C2708" s="165"/>
    </row>
    <row r="2709" spans="1:3" ht="16.8">
      <c r="A2709" s="165"/>
      <c r="B2709" s="171"/>
      <c r="C2709" s="165"/>
    </row>
    <row r="2710" spans="1:3" ht="16.8">
      <c r="A2710" s="165"/>
      <c r="B2710" s="171"/>
      <c r="C2710" s="165"/>
    </row>
    <row r="2711" spans="1:3" ht="16.8">
      <c r="A2711" s="165"/>
      <c r="B2711" s="171"/>
      <c r="C2711" s="165"/>
    </row>
    <row r="2712" spans="1:3" ht="16.8">
      <c r="A2712" s="165"/>
      <c r="B2712" s="171"/>
      <c r="C2712" s="165"/>
    </row>
    <row r="2713" spans="1:3" ht="16.8">
      <c r="A2713" s="165"/>
      <c r="B2713" s="171"/>
      <c r="C2713" s="165"/>
    </row>
    <row r="2714" spans="1:3" ht="16.8">
      <c r="A2714" s="165"/>
      <c r="B2714" s="171"/>
      <c r="C2714" s="165"/>
    </row>
    <row r="2715" spans="1:3" ht="16.8">
      <c r="A2715" s="165"/>
      <c r="B2715" s="171"/>
      <c r="C2715" s="165"/>
    </row>
    <row r="2716" spans="1:3" ht="16.8">
      <c r="A2716" s="165"/>
      <c r="B2716" s="171"/>
      <c r="C2716" s="165"/>
    </row>
    <row r="2717" spans="1:3" ht="16.8">
      <c r="A2717" s="165"/>
      <c r="B2717" s="171"/>
      <c r="C2717" s="165"/>
    </row>
    <row r="2718" spans="1:3" ht="16.8">
      <c r="A2718" s="165"/>
      <c r="B2718" s="171"/>
      <c r="C2718" s="165"/>
    </row>
    <row r="2719" spans="1:3" ht="16.8">
      <c r="A2719" s="165"/>
      <c r="B2719" s="171"/>
      <c r="C2719" s="165"/>
    </row>
    <row r="2720" spans="1:3" ht="16.8">
      <c r="A2720" s="165"/>
      <c r="B2720" s="171"/>
      <c r="C2720" s="165"/>
    </row>
    <row r="2721" spans="1:3" ht="16.8">
      <c r="A2721" s="165"/>
      <c r="B2721" s="171"/>
      <c r="C2721" s="165"/>
    </row>
    <row r="2722" spans="1:3" ht="16.8">
      <c r="A2722" s="165"/>
      <c r="B2722" s="171"/>
      <c r="C2722" s="165"/>
    </row>
    <row r="2723" spans="1:3" ht="16.8">
      <c r="A2723" s="165"/>
      <c r="B2723" s="171"/>
      <c r="C2723" s="165"/>
    </row>
    <row r="2724" spans="1:3" ht="16.8">
      <c r="A2724" s="165"/>
      <c r="B2724" s="171"/>
      <c r="C2724" s="165"/>
    </row>
    <row r="2725" spans="1:3" ht="16.8">
      <c r="A2725" s="165"/>
      <c r="B2725" s="171"/>
      <c r="C2725" s="165"/>
    </row>
    <row r="2726" spans="1:3" ht="16.8">
      <c r="A2726" s="165"/>
      <c r="B2726" s="171"/>
      <c r="C2726" s="165"/>
    </row>
    <row r="2727" spans="1:3" ht="16.8">
      <c r="A2727" s="165"/>
      <c r="B2727" s="171"/>
      <c r="C2727" s="165"/>
    </row>
    <row r="2728" spans="1:3" ht="16.8">
      <c r="A2728" s="165"/>
      <c r="B2728" s="171"/>
      <c r="C2728" s="165"/>
    </row>
    <row r="2729" spans="1:3" ht="16.8">
      <c r="A2729" s="165"/>
      <c r="B2729" s="171"/>
      <c r="C2729" s="165"/>
    </row>
    <row r="2730" spans="1:3" ht="16.8">
      <c r="A2730" s="165"/>
      <c r="B2730" s="171"/>
      <c r="C2730" s="165"/>
    </row>
    <row r="2731" spans="1:3" ht="16.8">
      <c r="A2731" s="165"/>
      <c r="B2731" s="171"/>
      <c r="C2731" s="165"/>
    </row>
    <row r="2732" spans="1:3" ht="16.8">
      <c r="A2732" s="165"/>
      <c r="B2732" s="171"/>
      <c r="C2732" s="165"/>
    </row>
    <row r="2733" spans="1:3" ht="16.8">
      <c r="A2733" s="165"/>
      <c r="B2733" s="171"/>
      <c r="C2733" s="165"/>
    </row>
    <row r="2734" spans="1:3" ht="16.8">
      <c r="A2734" s="165"/>
      <c r="B2734" s="171"/>
      <c r="C2734" s="165"/>
    </row>
    <row r="2735" spans="1:3" ht="16.8">
      <c r="A2735" s="165"/>
      <c r="B2735" s="171"/>
      <c r="C2735" s="165"/>
    </row>
    <row r="2736" spans="1:3" ht="16.8">
      <c r="A2736" s="165"/>
      <c r="B2736" s="171"/>
      <c r="C2736" s="165"/>
    </row>
    <row r="2737" spans="1:3" ht="16.8">
      <c r="A2737" s="165"/>
      <c r="B2737" s="171"/>
      <c r="C2737" s="165"/>
    </row>
    <row r="2738" spans="1:3" ht="16.8">
      <c r="A2738" s="165"/>
      <c r="B2738" s="171"/>
      <c r="C2738" s="165"/>
    </row>
    <row r="2739" spans="1:3" ht="16.8">
      <c r="A2739" s="165"/>
      <c r="B2739" s="171"/>
      <c r="C2739" s="165"/>
    </row>
    <row r="2740" spans="1:3" ht="16.8">
      <c r="A2740" s="165"/>
      <c r="B2740" s="171"/>
      <c r="C2740" s="165"/>
    </row>
    <row r="2741" spans="1:3" ht="16.8">
      <c r="A2741" s="165"/>
      <c r="B2741" s="171"/>
      <c r="C2741" s="165"/>
    </row>
    <row r="2742" spans="1:3" ht="16.8">
      <c r="A2742" s="165"/>
      <c r="B2742" s="171"/>
      <c r="C2742" s="165"/>
    </row>
    <row r="2743" spans="1:3" ht="16.8">
      <c r="A2743" s="165"/>
      <c r="B2743" s="171"/>
      <c r="C2743" s="165"/>
    </row>
    <row r="2744" spans="1:3" ht="16.8">
      <c r="A2744" s="165"/>
      <c r="B2744" s="171"/>
      <c r="C2744" s="165"/>
    </row>
    <row r="2745" spans="1:3" ht="16.8">
      <c r="A2745" s="165"/>
      <c r="B2745" s="171"/>
      <c r="C2745" s="165"/>
    </row>
    <row r="2746" spans="1:3" ht="16.8">
      <c r="A2746" s="165"/>
      <c r="B2746" s="171"/>
      <c r="C2746" s="165"/>
    </row>
    <row r="2747" spans="1:3" ht="16.8">
      <c r="A2747" s="165"/>
      <c r="B2747" s="171"/>
      <c r="C2747" s="165"/>
    </row>
    <row r="2748" spans="1:3" ht="16.8">
      <c r="A2748" s="165"/>
      <c r="B2748" s="171"/>
      <c r="C2748" s="165"/>
    </row>
    <row r="2749" spans="1:3" ht="16.8">
      <c r="A2749" s="165"/>
      <c r="B2749" s="171"/>
      <c r="C2749" s="165"/>
    </row>
    <row r="2750" spans="1:3" ht="16.8">
      <c r="A2750" s="165"/>
      <c r="B2750" s="171"/>
      <c r="C2750" s="165"/>
    </row>
    <row r="2751" spans="1:3" ht="16.8">
      <c r="A2751" s="165"/>
      <c r="B2751" s="171"/>
      <c r="C2751" s="165"/>
    </row>
    <row r="2752" spans="1:3" ht="16.8">
      <c r="A2752" s="165"/>
      <c r="B2752" s="171"/>
      <c r="C2752" s="165"/>
    </row>
    <row r="2753" spans="1:3" ht="16.8">
      <c r="A2753" s="165"/>
      <c r="B2753" s="171"/>
      <c r="C2753" s="165"/>
    </row>
    <row r="2754" spans="1:3" ht="16.8">
      <c r="A2754" s="165"/>
      <c r="B2754" s="171"/>
      <c r="C2754" s="165"/>
    </row>
    <row r="2755" spans="1:3" ht="16.8">
      <c r="A2755" s="165"/>
      <c r="B2755" s="171"/>
      <c r="C2755" s="165"/>
    </row>
    <row r="2756" spans="1:3" ht="16.8">
      <c r="A2756" s="165"/>
      <c r="B2756" s="171"/>
      <c r="C2756" s="165"/>
    </row>
    <row r="2757" spans="1:3" ht="16.8">
      <c r="A2757" s="165"/>
      <c r="B2757" s="171"/>
      <c r="C2757" s="165"/>
    </row>
    <row r="2758" spans="1:3" ht="16.8">
      <c r="A2758" s="165"/>
      <c r="B2758" s="171"/>
      <c r="C2758" s="165"/>
    </row>
    <row r="2759" spans="1:3" ht="16.8">
      <c r="A2759" s="165"/>
      <c r="B2759" s="171"/>
      <c r="C2759" s="165"/>
    </row>
    <row r="2760" spans="1:3" ht="16.8">
      <c r="A2760" s="165"/>
      <c r="B2760" s="171"/>
      <c r="C2760" s="165"/>
    </row>
    <row r="2761" spans="1:3" ht="16.8">
      <c r="A2761" s="165"/>
      <c r="B2761" s="171"/>
      <c r="C2761" s="165"/>
    </row>
    <row r="2762" spans="1:3" ht="16.8">
      <c r="A2762" s="165"/>
      <c r="B2762" s="171"/>
      <c r="C2762" s="165"/>
    </row>
    <row r="2763" spans="1:3" ht="16.8">
      <c r="A2763" s="165"/>
      <c r="B2763" s="171"/>
      <c r="C2763" s="165"/>
    </row>
    <row r="2764" spans="1:3" ht="16.8">
      <c r="A2764" s="165"/>
      <c r="B2764" s="171"/>
      <c r="C2764" s="165"/>
    </row>
    <row r="2765" spans="1:3" ht="16.8">
      <c r="A2765" s="165"/>
      <c r="B2765" s="171"/>
      <c r="C2765" s="165"/>
    </row>
    <row r="2766" spans="1:3" ht="16.8">
      <c r="A2766" s="165"/>
      <c r="B2766" s="171"/>
      <c r="C2766" s="165"/>
    </row>
    <row r="2767" spans="1:3" ht="16.8">
      <c r="A2767" s="165"/>
      <c r="B2767" s="171"/>
      <c r="C2767" s="165"/>
    </row>
    <row r="2768" spans="1:3" ht="16.8">
      <c r="A2768" s="165"/>
      <c r="B2768" s="171"/>
      <c r="C2768" s="165"/>
    </row>
    <row r="2769" spans="1:3" ht="16.8">
      <c r="A2769" s="165"/>
      <c r="B2769" s="171"/>
      <c r="C2769" s="165"/>
    </row>
    <row r="2770" spans="1:3" ht="16.8">
      <c r="A2770" s="165"/>
      <c r="B2770" s="171"/>
      <c r="C2770" s="165"/>
    </row>
    <row r="2771" spans="1:3" ht="16.8">
      <c r="A2771" s="165"/>
      <c r="B2771" s="171"/>
      <c r="C2771" s="165"/>
    </row>
    <row r="2772" spans="1:3" ht="16.8">
      <c r="A2772" s="165"/>
      <c r="B2772" s="171"/>
      <c r="C2772" s="165"/>
    </row>
    <row r="2773" spans="1:3" ht="16.8">
      <c r="A2773" s="165"/>
      <c r="B2773" s="171"/>
      <c r="C2773" s="165"/>
    </row>
    <row r="2774" spans="1:3" ht="16.8">
      <c r="A2774" s="165"/>
      <c r="B2774" s="171"/>
      <c r="C2774" s="165"/>
    </row>
    <row r="2775" spans="1:3" ht="16.8">
      <c r="A2775" s="165"/>
      <c r="B2775" s="171"/>
      <c r="C2775" s="165"/>
    </row>
    <row r="2776" spans="1:3" ht="16.8">
      <c r="A2776" s="165"/>
      <c r="B2776" s="171"/>
      <c r="C2776" s="165"/>
    </row>
    <row r="2777" spans="1:3" ht="16.8">
      <c r="A2777" s="165"/>
      <c r="B2777" s="171"/>
      <c r="C2777" s="165"/>
    </row>
    <row r="2778" spans="1:3" ht="16.8">
      <c r="A2778" s="165"/>
      <c r="B2778" s="171"/>
      <c r="C2778" s="165"/>
    </row>
    <row r="2779" spans="1:3" ht="16.8">
      <c r="A2779" s="165"/>
      <c r="B2779" s="171"/>
      <c r="C2779" s="165"/>
    </row>
    <row r="2780" spans="1:3" ht="16.8">
      <c r="A2780" s="165"/>
      <c r="B2780" s="171"/>
      <c r="C2780" s="165"/>
    </row>
    <row r="2781" spans="1:3" ht="16.8">
      <c r="A2781" s="165"/>
      <c r="B2781" s="171"/>
      <c r="C2781" s="165"/>
    </row>
    <row r="2782" spans="1:3" ht="16.8">
      <c r="A2782" s="165"/>
      <c r="B2782" s="171"/>
      <c r="C2782" s="165"/>
    </row>
    <row r="2783" spans="1:3" ht="16.8">
      <c r="A2783" s="165"/>
      <c r="B2783" s="171"/>
      <c r="C2783" s="165"/>
    </row>
    <row r="2784" spans="1:3" ht="16.8">
      <c r="A2784" s="165"/>
      <c r="B2784" s="171"/>
      <c r="C2784" s="165"/>
    </row>
    <row r="2785" spans="1:3" ht="16.8">
      <c r="A2785" s="165"/>
      <c r="B2785" s="171"/>
      <c r="C2785" s="165"/>
    </row>
    <row r="2786" spans="1:3" ht="16.8">
      <c r="A2786" s="165"/>
      <c r="B2786" s="171"/>
      <c r="C2786" s="165"/>
    </row>
    <row r="2787" spans="1:3" ht="16.8">
      <c r="A2787" s="165"/>
      <c r="B2787" s="171"/>
      <c r="C2787" s="165"/>
    </row>
    <row r="2788" spans="1:3" ht="16.8">
      <c r="A2788" s="165"/>
      <c r="B2788" s="171"/>
      <c r="C2788" s="165"/>
    </row>
    <row r="2789" spans="1:3" ht="16.8">
      <c r="A2789" s="165"/>
      <c r="B2789" s="171"/>
      <c r="C2789" s="165"/>
    </row>
    <row r="2790" spans="1:3" ht="16.8">
      <c r="A2790" s="165"/>
      <c r="B2790" s="171"/>
      <c r="C2790" s="165"/>
    </row>
    <row r="2791" spans="1:3" ht="16.8">
      <c r="A2791" s="165"/>
      <c r="B2791" s="171"/>
      <c r="C2791" s="165"/>
    </row>
    <row r="2792" spans="1:3" ht="16.8">
      <c r="A2792" s="165"/>
      <c r="B2792" s="171"/>
      <c r="C2792" s="165"/>
    </row>
    <row r="2793" spans="1:3" ht="16.8">
      <c r="A2793" s="165"/>
      <c r="B2793" s="171"/>
      <c r="C2793" s="165"/>
    </row>
    <row r="2794" spans="1:3" ht="16.8">
      <c r="A2794" s="165"/>
      <c r="B2794" s="171"/>
      <c r="C2794" s="165"/>
    </row>
    <row r="2795" spans="1:3" ht="16.8">
      <c r="A2795" s="165"/>
      <c r="B2795" s="171"/>
      <c r="C2795" s="165"/>
    </row>
    <row r="2796" spans="1:3" ht="16.8">
      <c r="A2796" s="165"/>
      <c r="B2796" s="171"/>
      <c r="C2796" s="165"/>
    </row>
    <row r="2797" spans="1:3" ht="16.8">
      <c r="A2797" s="165"/>
      <c r="B2797" s="171"/>
      <c r="C2797" s="165"/>
    </row>
    <row r="2798" spans="1:3" ht="16.8">
      <c r="A2798" s="165"/>
      <c r="B2798" s="171"/>
      <c r="C2798" s="165"/>
    </row>
    <row r="2799" spans="1:3" ht="16.8">
      <c r="A2799" s="165"/>
      <c r="B2799" s="171"/>
      <c r="C2799" s="165"/>
    </row>
    <row r="2800" spans="1:3" ht="16.8">
      <c r="A2800" s="165"/>
      <c r="B2800" s="171"/>
      <c r="C2800" s="165"/>
    </row>
    <row r="2801" spans="1:3" ht="16.8">
      <c r="A2801" s="165"/>
      <c r="B2801" s="171"/>
      <c r="C2801" s="165"/>
    </row>
    <row r="2802" spans="1:3" ht="16.8">
      <c r="A2802" s="165"/>
      <c r="B2802" s="171"/>
      <c r="C2802" s="165"/>
    </row>
    <row r="2803" spans="1:3" ht="16.8">
      <c r="A2803" s="165"/>
      <c r="B2803" s="171"/>
      <c r="C2803" s="165"/>
    </row>
    <row r="2804" spans="1:3" ht="16.8">
      <c r="A2804" s="165"/>
      <c r="B2804" s="171"/>
      <c r="C2804" s="165"/>
    </row>
    <row r="2805" spans="1:3" ht="16.8">
      <c r="A2805" s="165"/>
      <c r="B2805" s="171"/>
      <c r="C2805" s="165"/>
    </row>
    <row r="2806" spans="1:3" ht="16.8">
      <c r="A2806" s="165"/>
      <c r="B2806" s="171"/>
      <c r="C2806" s="165"/>
    </row>
    <row r="2807" spans="1:3" ht="16.8">
      <c r="A2807" s="165"/>
      <c r="B2807" s="171"/>
      <c r="C2807" s="165"/>
    </row>
    <row r="2808" spans="1:3" ht="16.8">
      <c r="A2808" s="165"/>
      <c r="B2808" s="171"/>
      <c r="C2808" s="165"/>
    </row>
    <row r="2809" spans="1:3" ht="16.8">
      <c r="A2809" s="165"/>
      <c r="B2809" s="171"/>
      <c r="C2809" s="165"/>
    </row>
    <row r="2810" spans="1:3" ht="16.8">
      <c r="A2810" s="165"/>
      <c r="B2810" s="171"/>
      <c r="C2810" s="165"/>
    </row>
    <row r="2811" spans="1:3" ht="16.8">
      <c r="A2811" s="165"/>
      <c r="B2811" s="171"/>
      <c r="C2811" s="165"/>
    </row>
    <row r="2812" spans="1:3" ht="16.8">
      <c r="A2812" s="165"/>
      <c r="B2812" s="171"/>
      <c r="C2812" s="165"/>
    </row>
    <row r="2813" spans="1:3" ht="16.8">
      <c r="A2813" s="165"/>
      <c r="B2813" s="171"/>
      <c r="C2813" s="165"/>
    </row>
    <row r="2814" spans="1:3" ht="16.8">
      <c r="A2814" s="165"/>
      <c r="B2814" s="171"/>
      <c r="C2814" s="165"/>
    </row>
    <row r="2815" spans="1:3" ht="16.8">
      <c r="A2815" s="165"/>
      <c r="B2815" s="171"/>
      <c r="C2815" s="165"/>
    </row>
    <row r="2816" spans="1:3" ht="16.8">
      <c r="A2816" s="165"/>
      <c r="B2816" s="171"/>
      <c r="C2816" s="165"/>
    </row>
    <row r="2817" spans="1:3" ht="16.8">
      <c r="A2817" s="165"/>
      <c r="B2817" s="171"/>
      <c r="C2817" s="165"/>
    </row>
    <row r="2818" spans="1:3" ht="16.8">
      <c r="A2818" s="165"/>
      <c r="B2818" s="171"/>
      <c r="C2818" s="165"/>
    </row>
    <row r="2819" spans="1:3" ht="16.8">
      <c r="A2819" s="165"/>
      <c r="B2819" s="171"/>
      <c r="C2819" s="165"/>
    </row>
    <row r="2820" spans="1:3" ht="16.8">
      <c r="A2820" s="165"/>
      <c r="B2820" s="171"/>
      <c r="C2820" s="165"/>
    </row>
    <row r="2821" spans="1:3" ht="16.8">
      <c r="A2821" s="165"/>
      <c r="B2821" s="171"/>
      <c r="C2821" s="165"/>
    </row>
    <row r="2822" spans="1:3" ht="16.8">
      <c r="A2822" s="165"/>
      <c r="B2822" s="171"/>
      <c r="C2822" s="165"/>
    </row>
    <row r="2823" spans="1:3" ht="16.8">
      <c r="A2823" s="165"/>
      <c r="B2823" s="171"/>
      <c r="C2823" s="165"/>
    </row>
    <row r="2824" spans="1:3" ht="16.8">
      <c r="A2824" s="165"/>
      <c r="B2824" s="171"/>
      <c r="C2824" s="165"/>
    </row>
    <row r="2825" spans="1:3" ht="16.8">
      <c r="A2825" s="165"/>
      <c r="B2825" s="171"/>
      <c r="C2825" s="165"/>
    </row>
    <row r="2826" spans="1:3" ht="16.8">
      <c r="A2826" s="165"/>
      <c r="B2826" s="171"/>
      <c r="C2826" s="165"/>
    </row>
    <row r="2827" spans="1:3" ht="16.8">
      <c r="A2827" s="165"/>
      <c r="B2827" s="171"/>
      <c r="C2827" s="165"/>
    </row>
    <row r="2828" spans="1:3" ht="16.8">
      <c r="A2828" s="165"/>
      <c r="B2828" s="171"/>
      <c r="C2828" s="165"/>
    </row>
    <row r="2829" spans="1:3" ht="16.8">
      <c r="A2829" s="165"/>
      <c r="B2829" s="171"/>
      <c r="C2829" s="165"/>
    </row>
    <row r="2830" spans="1:3" ht="16.8">
      <c r="A2830" s="165"/>
      <c r="B2830" s="171"/>
      <c r="C2830" s="165"/>
    </row>
    <row r="2831" spans="1:3" ht="16.8">
      <c r="A2831" s="165"/>
      <c r="B2831" s="171"/>
      <c r="C2831" s="165"/>
    </row>
    <row r="2832" spans="1:3" ht="16.8">
      <c r="A2832" s="165"/>
      <c r="B2832" s="171"/>
      <c r="C2832" s="165"/>
    </row>
    <row r="2833" spans="1:3" ht="16.8">
      <c r="A2833" s="165"/>
      <c r="B2833" s="171"/>
      <c r="C2833" s="165"/>
    </row>
    <row r="2834" spans="1:3" ht="16.8">
      <c r="A2834" s="165"/>
      <c r="B2834" s="171"/>
      <c r="C2834" s="165"/>
    </row>
    <row r="2835" spans="1:3" ht="16.8">
      <c r="A2835" s="165"/>
      <c r="B2835" s="171"/>
      <c r="C2835" s="165"/>
    </row>
    <row r="2836" spans="1:3" ht="16.8">
      <c r="A2836" s="165"/>
      <c r="B2836" s="171"/>
      <c r="C2836" s="165"/>
    </row>
    <row r="2837" spans="1:3" ht="16.8">
      <c r="A2837" s="165"/>
      <c r="B2837" s="171"/>
      <c r="C2837" s="165"/>
    </row>
    <row r="2838" spans="1:3" ht="16.8">
      <c r="A2838" s="165"/>
      <c r="B2838" s="171"/>
      <c r="C2838" s="165"/>
    </row>
    <row r="2839" spans="1:3" ht="16.8">
      <c r="A2839" s="165"/>
      <c r="B2839" s="171"/>
      <c r="C2839" s="165"/>
    </row>
    <row r="2840" spans="1:3" ht="16.8">
      <c r="A2840" s="165"/>
      <c r="B2840" s="171"/>
      <c r="C2840" s="165"/>
    </row>
    <row r="2841" spans="1:3" ht="16.8">
      <c r="A2841" s="165"/>
      <c r="B2841" s="171"/>
      <c r="C2841" s="165"/>
    </row>
    <row r="2842" spans="1:3" ht="16.8">
      <c r="A2842" s="165"/>
      <c r="B2842" s="171"/>
      <c r="C2842" s="165"/>
    </row>
    <row r="2843" spans="1:3" ht="16.8">
      <c r="A2843" s="165"/>
      <c r="B2843" s="171"/>
      <c r="C2843" s="165"/>
    </row>
    <row r="2844" spans="1:3" ht="16.8">
      <c r="A2844" s="165"/>
      <c r="B2844" s="171"/>
      <c r="C2844" s="165"/>
    </row>
    <row r="2845" spans="1:3" ht="16.8">
      <c r="A2845" s="165"/>
      <c r="B2845" s="171"/>
      <c r="C2845" s="165"/>
    </row>
    <row r="2846" spans="1:3" ht="16.8">
      <c r="A2846" s="165"/>
      <c r="B2846" s="171"/>
      <c r="C2846" s="165"/>
    </row>
    <row r="2847" spans="1:3" ht="16.8">
      <c r="A2847" s="165"/>
      <c r="B2847" s="171"/>
      <c r="C2847" s="165"/>
    </row>
    <row r="2848" spans="1:3" ht="16.8">
      <c r="A2848" s="165"/>
      <c r="B2848" s="171"/>
      <c r="C2848" s="165"/>
    </row>
    <row r="2849" spans="1:3" ht="16.8">
      <c r="A2849" s="165"/>
      <c r="B2849" s="171"/>
      <c r="C2849" s="165"/>
    </row>
    <row r="2850" spans="1:3" ht="16.8">
      <c r="A2850" s="165"/>
      <c r="B2850" s="171"/>
      <c r="C2850" s="165"/>
    </row>
    <row r="2851" spans="1:3" ht="16.8">
      <c r="A2851" s="165"/>
      <c r="B2851" s="171"/>
      <c r="C2851" s="165"/>
    </row>
    <row r="2852" spans="1:3" ht="16.8">
      <c r="A2852" s="165"/>
      <c r="B2852" s="171"/>
      <c r="C2852" s="165"/>
    </row>
    <row r="2853" spans="1:3" ht="16.8">
      <c r="A2853" s="165"/>
      <c r="B2853" s="171"/>
      <c r="C2853" s="165"/>
    </row>
    <row r="2854" spans="1:3" ht="16.8">
      <c r="A2854" s="165"/>
      <c r="B2854" s="171"/>
      <c r="C2854" s="165"/>
    </row>
    <row r="2855" spans="1:3" ht="16.8">
      <c r="A2855" s="165"/>
      <c r="B2855" s="171"/>
      <c r="C2855" s="165"/>
    </row>
    <row r="2856" spans="1:3" ht="16.8">
      <c r="A2856" s="165"/>
      <c r="B2856" s="171"/>
      <c r="C2856" s="165"/>
    </row>
    <row r="2857" spans="1:3" ht="16.8">
      <c r="A2857" s="165"/>
      <c r="B2857" s="171"/>
      <c r="C2857" s="165"/>
    </row>
    <row r="2858" spans="1:3" ht="16.8">
      <c r="A2858" s="165"/>
      <c r="B2858" s="171"/>
      <c r="C2858" s="165"/>
    </row>
    <row r="2859" spans="1:3" ht="16.8">
      <c r="A2859" s="165"/>
      <c r="B2859" s="171"/>
      <c r="C2859" s="165"/>
    </row>
    <row r="2860" spans="1:3" ht="16.8">
      <c r="A2860" s="165"/>
      <c r="B2860" s="171"/>
      <c r="C2860" s="165"/>
    </row>
    <row r="2861" spans="1:3" ht="16.8">
      <c r="A2861" s="165"/>
      <c r="B2861" s="171"/>
      <c r="C2861" s="165"/>
    </row>
    <row r="2862" spans="1:3" ht="16.8">
      <c r="A2862" s="165"/>
      <c r="B2862" s="171"/>
      <c r="C2862" s="165"/>
    </row>
    <row r="2863" spans="1:3" ht="16.8">
      <c r="A2863" s="165"/>
      <c r="B2863" s="171"/>
      <c r="C2863" s="165"/>
    </row>
    <row r="2864" spans="1:3" ht="16.8">
      <c r="A2864" s="165"/>
      <c r="B2864" s="171"/>
      <c r="C2864" s="165"/>
    </row>
    <row r="2865" spans="1:3" ht="16.8">
      <c r="A2865" s="165"/>
      <c r="B2865" s="171"/>
      <c r="C2865" s="165"/>
    </row>
    <row r="2866" spans="1:3" ht="16.8">
      <c r="A2866" s="165"/>
      <c r="B2866" s="171"/>
      <c r="C2866" s="165"/>
    </row>
    <row r="2867" spans="1:3" ht="16.8">
      <c r="A2867" s="165"/>
      <c r="B2867" s="171"/>
      <c r="C2867" s="165"/>
    </row>
    <row r="2868" spans="1:3" ht="16.8">
      <c r="A2868" s="165"/>
      <c r="B2868" s="171"/>
      <c r="C2868" s="165"/>
    </row>
    <row r="2869" spans="1:3" ht="16.8">
      <c r="A2869" s="165"/>
      <c r="B2869" s="171"/>
      <c r="C2869" s="165"/>
    </row>
    <row r="2870" spans="1:3" ht="16.8">
      <c r="A2870" s="165"/>
      <c r="B2870" s="171"/>
      <c r="C2870" s="165"/>
    </row>
    <row r="2871" spans="1:3" ht="16.8">
      <c r="A2871" s="165"/>
      <c r="B2871" s="171"/>
      <c r="C2871" s="165"/>
    </row>
    <row r="2872" spans="1:3" ht="16.8">
      <c r="A2872" s="165"/>
      <c r="B2872" s="171"/>
      <c r="C2872" s="165"/>
    </row>
    <row r="2873" spans="1:3" ht="16.8">
      <c r="A2873" s="165"/>
      <c r="B2873" s="171"/>
      <c r="C2873" s="165"/>
    </row>
    <row r="2874" spans="1:3" ht="16.8">
      <c r="A2874" s="165"/>
      <c r="B2874" s="171"/>
      <c r="C2874" s="165"/>
    </row>
    <row r="2875" spans="1:3" ht="16.8">
      <c r="A2875" s="165"/>
      <c r="B2875" s="171"/>
      <c r="C2875" s="165"/>
    </row>
    <row r="2876" spans="1:3" ht="16.8">
      <c r="A2876" s="165"/>
      <c r="B2876" s="171"/>
      <c r="C2876" s="165"/>
    </row>
    <row r="2877" spans="1:3" ht="16.8">
      <c r="A2877" s="165"/>
      <c r="B2877" s="171"/>
      <c r="C2877" s="165"/>
    </row>
    <row r="2878" spans="1:3" ht="16.8">
      <c r="A2878" s="165"/>
      <c r="B2878" s="171"/>
      <c r="C2878" s="165"/>
    </row>
    <row r="2879" spans="1:3" ht="16.8">
      <c r="A2879" s="165"/>
      <c r="B2879" s="171"/>
      <c r="C2879" s="165"/>
    </row>
    <row r="2880" spans="1:3" ht="16.8">
      <c r="A2880" s="165"/>
      <c r="B2880" s="171"/>
      <c r="C2880" s="165"/>
    </row>
    <row r="2881" spans="1:3" ht="16.8">
      <c r="A2881" s="165"/>
      <c r="B2881" s="171"/>
      <c r="C2881" s="165"/>
    </row>
    <row r="2882" spans="1:3" ht="16.8">
      <c r="A2882" s="165"/>
      <c r="B2882" s="171"/>
      <c r="C2882" s="165"/>
    </row>
    <row r="2883" spans="1:3" ht="16.8">
      <c r="A2883" s="165"/>
      <c r="B2883" s="171"/>
      <c r="C2883" s="165"/>
    </row>
    <row r="2884" spans="1:3" ht="16.8">
      <c r="A2884" s="165"/>
      <c r="B2884" s="171"/>
      <c r="C2884" s="165"/>
    </row>
    <row r="2885" spans="1:3" ht="16.8">
      <c r="A2885" s="165"/>
      <c r="B2885" s="171"/>
      <c r="C2885" s="165"/>
    </row>
    <row r="2886" spans="1:3" ht="16.8">
      <c r="A2886" s="165"/>
      <c r="B2886" s="171"/>
      <c r="C2886" s="165"/>
    </row>
    <row r="2887" spans="1:3" ht="16.8">
      <c r="A2887" s="165"/>
      <c r="B2887" s="171"/>
      <c r="C2887" s="165"/>
    </row>
    <row r="2888" spans="1:3" ht="16.8">
      <c r="A2888" s="165"/>
      <c r="B2888" s="171"/>
      <c r="C2888" s="165"/>
    </row>
    <row r="2889" spans="1:3" ht="16.8">
      <c r="A2889" s="165"/>
      <c r="B2889" s="171"/>
      <c r="C2889" s="165"/>
    </row>
    <row r="2890" spans="1:3" ht="16.8">
      <c r="A2890" s="165"/>
      <c r="B2890" s="171"/>
      <c r="C2890" s="165"/>
    </row>
    <row r="2891" spans="1:3" ht="16.8">
      <c r="A2891" s="165"/>
      <c r="B2891" s="171"/>
      <c r="C2891" s="165"/>
    </row>
    <row r="2892" spans="1:3" ht="16.8">
      <c r="A2892" s="165"/>
      <c r="B2892" s="171"/>
      <c r="C2892" s="165"/>
    </row>
    <row r="2893" spans="1:3" ht="16.8">
      <c r="A2893" s="165"/>
      <c r="B2893" s="171"/>
      <c r="C2893" s="165"/>
    </row>
    <row r="2894" spans="1:3" ht="16.8">
      <c r="A2894" s="165"/>
      <c r="B2894" s="171"/>
      <c r="C2894" s="165"/>
    </row>
    <row r="2895" spans="1:3" ht="16.8">
      <c r="A2895" s="165"/>
      <c r="B2895" s="171"/>
      <c r="C2895" s="165"/>
    </row>
    <row r="2896" spans="1:3" ht="16.8">
      <c r="A2896" s="165"/>
      <c r="B2896" s="171"/>
      <c r="C2896" s="165"/>
    </row>
    <row r="2897" spans="1:3" ht="16.8">
      <c r="A2897" s="165"/>
      <c r="B2897" s="171"/>
      <c r="C2897" s="165"/>
    </row>
    <row r="2898" spans="1:3" ht="16.8">
      <c r="A2898" s="165"/>
      <c r="B2898" s="171"/>
      <c r="C2898" s="165"/>
    </row>
    <row r="2899" spans="1:3" ht="16.8">
      <c r="A2899" s="165"/>
      <c r="B2899" s="171"/>
      <c r="C2899" s="165"/>
    </row>
    <row r="2900" spans="1:3" ht="16.8">
      <c r="A2900" s="165"/>
      <c r="B2900" s="171"/>
      <c r="C2900" s="165"/>
    </row>
    <row r="2901" spans="1:3" ht="16.8">
      <c r="A2901" s="165"/>
      <c r="B2901" s="171"/>
      <c r="C2901" s="165"/>
    </row>
    <row r="2902" spans="1:3" ht="16.8">
      <c r="A2902" s="165"/>
      <c r="B2902" s="171"/>
      <c r="C2902" s="165"/>
    </row>
    <row r="2903" spans="1:3" ht="16.8">
      <c r="A2903" s="165"/>
      <c r="B2903" s="171"/>
      <c r="C2903" s="165"/>
    </row>
    <row r="2904" spans="1:3" ht="16.8">
      <c r="A2904" s="165"/>
      <c r="B2904" s="171"/>
      <c r="C2904" s="165"/>
    </row>
    <row r="2905" spans="1:3" ht="16.8">
      <c r="A2905" s="165"/>
      <c r="B2905" s="171"/>
      <c r="C2905" s="165"/>
    </row>
    <row r="2906" spans="1:3" ht="16.8">
      <c r="A2906" s="165"/>
      <c r="B2906" s="171"/>
      <c r="C2906" s="165"/>
    </row>
    <row r="2907" spans="1:3" ht="16.8">
      <c r="A2907" s="165"/>
      <c r="B2907" s="171"/>
      <c r="C2907" s="165"/>
    </row>
    <row r="2908" spans="1:3" ht="16.8">
      <c r="A2908" s="165"/>
      <c r="B2908" s="171"/>
      <c r="C2908" s="165"/>
    </row>
    <row r="2909" spans="1:3" ht="16.8">
      <c r="A2909" s="165"/>
      <c r="B2909" s="171"/>
      <c r="C2909" s="165"/>
    </row>
    <row r="2910" spans="1:3" ht="16.8">
      <c r="A2910" s="165"/>
      <c r="B2910" s="171"/>
      <c r="C2910" s="165"/>
    </row>
    <row r="2911" spans="1:3" ht="16.8">
      <c r="A2911" s="165"/>
      <c r="B2911" s="171"/>
      <c r="C2911" s="165"/>
    </row>
    <row r="2912" spans="1:3" ht="16.8">
      <c r="A2912" s="165"/>
      <c r="B2912" s="171"/>
      <c r="C2912" s="165"/>
    </row>
    <row r="2913" spans="1:3" ht="16.8">
      <c r="A2913" s="165"/>
      <c r="B2913" s="171"/>
      <c r="C2913" s="165"/>
    </row>
    <row r="2914" spans="1:3" ht="16.8">
      <c r="A2914" s="165"/>
      <c r="B2914" s="171"/>
      <c r="C2914" s="165"/>
    </row>
    <row r="2915" spans="1:3" ht="16.8">
      <c r="A2915" s="165"/>
      <c r="B2915" s="171"/>
      <c r="C2915" s="165"/>
    </row>
    <row r="2916" spans="1:3" ht="16.8">
      <c r="A2916" s="165"/>
      <c r="B2916" s="171"/>
      <c r="C2916" s="165"/>
    </row>
    <row r="2917" spans="1:3" ht="16.8">
      <c r="A2917" s="165"/>
      <c r="B2917" s="171"/>
      <c r="C2917" s="165"/>
    </row>
    <row r="2918" spans="1:3" ht="16.8">
      <c r="A2918" s="165"/>
      <c r="B2918" s="171"/>
      <c r="C2918" s="165"/>
    </row>
    <row r="2919" spans="1:3" ht="16.8">
      <c r="A2919" s="165"/>
      <c r="B2919" s="171"/>
      <c r="C2919" s="165"/>
    </row>
    <row r="2920" spans="1:3" ht="16.8">
      <c r="A2920" s="165"/>
      <c r="B2920" s="171"/>
      <c r="C2920" s="165"/>
    </row>
    <row r="2921" spans="1:3" ht="16.8">
      <c r="A2921" s="165"/>
      <c r="B2921" s="171"/>
      <c r="C2921" s="165"/>
    </row>
    <row r="2922" spans="1:3" ht="16.8">
      <c r="A2922" s="165"/>
      <c r="B2922" s="171"/>
      <c r="C2922" s="165"/>
    </row>
    <row r="2923" spans="1:3" ht="16.8">
      <c r="A2923" s="165"/>
      <c r="B2923" s="171"/>
      <c r="C2923" s="165"/>
    </row>
    <row r="2924" spans="1:3" ht="16.8">
      <c r="A2924" s="165"/>
      <c r="B2924" s="171"/>
      <c r="C2924" s="165"/>
    </row>
    <row r="2925" spans="1:3" ht="16.8">
      <c r="A2925" s="165"/>
      <c r="B2925" s="171"/>
      <c r="C2925" s="165"/>
    </row>
    <row r="2926" spans="1:3" ht="16.8">
      <c r="A2926" s="165"/>
      <c r="B2926" s="171"/>
      <c r="C2926" s="165"/>
    </row>
    <row r="2927" spans="1:3" ht="16.8">
      <c r="A2927" s="165"/>
      <c r="B2927" s="171"/>
      <c r="C2927" s="165"/>
    </row>
    <row r="2928" spans="1:3" ht="16.8">
      <c r="A2928" s="165"/>
      <c r="B2928" s="171"/>
      <c r="C2928" s="165"/>
    </row>
    <row r="2929" spans="1:3" ht="16.8">
      <c r="A2929" s="165"/>
      <c r="B2929" s="171"/>
      <c r="C2929" s="165"/>
    </row>
    <row r="2930" spans="1:3" ht="16.8">
      <c r="A2930" s="165"/>
      <c r="B2930" s="171"/>
      <c r="C2930" s="165"/>
    </row>
    <row r="2931" spans="1:3" ht="16.8">
      <c r="A2931" s="165"/>
      <c r="B2931" s="171"/>
      <c r="C2931" s="165"/>
    </row>
    <row r="2932" spans="1:3" ht="16.8">
      <c r="A2932" s="165"/>
      <c r="B2932" s="171"/>
      <c r="C2932" s="165"/>
    </row>
    <row r="2933" spans="1:3" ht="16.8">
      <c r="A2933" s="165"/>
      <c r="B2933" s="171"/>
      <c r="C2933" s="165"/>
    </row>
    <row r="2934" spans="1:3" ht="16.8">
      <c r="A2934" s="165"/>
      <c r="B2934" s="171"/>
      <c r="C2934" s="165"/>
    </row>
    <row r="2935" spans="1:3" ht="16.8">
      <c r="A2935" s="165"/>
      <c r="B2935" s="171"/>
      <c r="C2935" s="165"/>
    </row>
    <row r="2936" spans="1:3" ht="16.8">
      <c r="A2936" s="165"/>
      <c r="B2936" s="171"/>
      <c r="C2936" s="165"/>
    </row>
    <row r="2937" spans="1:3" ht="16.8">
      <c r="A2937" s="165"/>
      <c r="B2937" s="171"/>
      <c r="C2937" s="165"/>
    </row>
    <row r="2938" spans="1:3" ht="16.8">
      <c r="A2938" s="165"/>
      <c r="B2938" s="171"/>
      <c r="C2938" s="165"/>
    </row>
    <row r="2939" spans="1:3" ht="16.8">
      <c r="A2939" s="165"/>
      <c r="B2939" s="171"/>
      <c r="C2939" s="165"/>
    </row>
    <row r="2940" spans="1:3" ht="16.8">
      <c r="A2940" s="165"/>
      <c r="B2940" s="171"/>
      <c r="C2940" s="165"/>
    </row>
    <row r="2941" spans="1:3" ht="16.8">
      <c r="A2941" s="165"/>
      <c r="B2941" s="171"/>
      <c r="C2941" s="165"/>
    </row>
    <row r="2942" spans="1:3" ht="16.8">
      <c r="A2942" s="165"/>
      <c r="B2942" s="171"/>
      <c r="C2942" s="165"/>
    </row>
    <row r="2943" spans="1:3" ht="16.8">
      <c r="A2943" s="165"/>
      <c r="B2943" s="171"/>
      <c r="C2943" s="165"/>
    </row>
    <row r="2944" spans="1:3" ht="16.8">
      <c r="A2944" s="165"/>
      <c r="B2944" s="171"/>
      <c r="C2944" s="165"/>
    </row>
    <row r="2945" spans="1:3" ht="16.8">
      <c r="A2945" s="165"/>
      <c r="B2945" s="171"/>
      <c r="C2945" s="165"/>
    </row>
    <row r="2946" spans="1:3" ht="16.8">
      <c r="A2946" s="165"/>
      <c r="B2946" s="171"/>
      <c r="C2946" s="165"/>
    </row>
    <row r="2947" spans="1:3" ht="16.8">
      <c r="A2947" s="165"/>
      <c r="B2947" s="171"/>
      <c r="C2947" s="165"/>
    </row>
    <row r="2948" spans="1:3" ht="16.8">
      <c r="A2948" s="165"/>
      <c r="B2948" s="171"/>
      <c r="C2948" s="165"/>
    </row>
    <row r="2949" spans="1:3" ht="16.8">
      <c r="A2949" s="165"/>
      <c r="B2949" s="171"/>
      <c r="C2949" s="165"/>
    </row>
    <row r="2950" spans="1:3" ht="16.8">
      <c r="A2950" s="165"/>
      <c r="B2950" s="171"/>
      <c r="C2950" s="165"/>
    </row>
    <row r="2951" spans="1:3" ht="16.8">
      <c r="A2951" s="165"/>
      <c r="B2951" s="171"/>
      <c r="C2951" s="165"/>
    </row>
    <row r="2952" spans="1:3" ht="16.8">
      <c r="A2952" s="165"/>
      <c r="B2952" s="171"/>
      <c r="C2952" s="165"/>
    </row>
    <row r="2953" spans="1:3" ht="16.8">
      <c r="A2953" s="165"/>
      <c r="B2953" s="171"/>
      <c r="C2953" s="165"/>
    </row>
    <row r="2954" spans="1:3" ht="16.8">
      <c r="A2954" s="165"/>
      <c r="B2954" s="171"/>
      <c r="C2954" s="165"/>
    </row>
    <row r="2955" spans="1:3" ht="16.8">
      <c r="A2955" s="165"/>
      <c r="B2955" s="171"/>
      <c r="C2955" s="165"/>
    </row>
    <row r="2956" spans="1:3" ht="16.8">
      <c r="A2956" s="165"/>
      <c r="B2956" s="171"/>
      <c r="C2956" s="165"/>
    </row>
    <row r="2957" spans="1:3" ht="16.8">
      <c r="A2957" s="165"/>
      <c r="B2957" s="171"/>
      <c r="C2957" s="165"/>
    </row>
    <row r="2958" spans="1:3" ht="16.8">
      <c r="A2958" s="165"/>
      <c r="B2958" s="171"/>
      <c r="C2958" s="165"/>
    </row>
    <row r="2959" spans="1:3" ht="16.8">
      <c r="A2959" s="165"/>
      <c r="B2959" s="171"/>
      <c r="C2959" s="165"/>
    </row>
    <row r="2960" spans="1:3" ht="16.8">
      <c r="A2960" s="165"/>
      <c r="B2960" s="171"/>
      <c r="C2960" s="165"/>
    </row>
    <row r="2961" spans="1:3" ht="16.8">
      <c r="A2961" s="165"/>
      <c r="B2961" s="171"/>
      <c r="C2961" s="165"/>
    </row>
    <row r="2962" spans="1:3" ht="16.8">
      <c r="A2962" s="165"/>
      <c r="B2962" s="171"/>
      <c r="C2962" s="165"/>
    </row>
    <row r="2963" spans="1:3" ht="16.8">
      <c r="A2963" s="165"/>
      <c r="B2963" s="171"/>
      <c r="C2963" s="165"/>
    </row>
    <row r="2964" spans="1:3" ht="16.8">
      <c r="A2964" s="165"/>
      <c r="B2964" s="171"/>
      <c r="C2964" s="165"/>
    </row>
    <row r="2965" spans="1:3" ht="16.8">
      <c r="A2965" s="165"/>
      <c r="B2965" s="171"/>
      <c r="C2965" s="165"/>
    </row>
    <row r="2966" spans="1:3" ht="16.8">
      <c r="A2966" s="165"/>
      <c r="B2966" s="171"/>
      <c r="C2966" s="165"/>
    </row>
    <row r="2967" spans="1:3" ht="16.8">
      <c r="A2967" s="165"/>
      <c r="B2967" s="171"/>
      <c r="C2967" s="165"/>
    </row>
    <row r="2968" spans="1:3" ht="16.8">
      <c r="A2968" s="165"/>
      <c r="B2968" s="171"/>
      <c r="C2968" s="165"/>
    </row>
    <row r="2969" spans="1:3" ht="16.8">
      <c r="A2969" s="165"/>
      <c r="B2969" s="171"/>
      <c r="C2969" s="165"/>
    </row>
    <row r="2970" spans="1:3" ht="16.8">
      <c r="A2970" s="165"/>
      <c r="B2970" s="171"/>
      <c r="C2970" s="165"/>
    </row>
    <row r="2971" spans="1:3" ht="16.8">
      <c r="A2971" s="165"/>
      <c r="B2971" s="171"/>
      <c r="C2971" s="165"/>
    </row>
    <row r="2972" spans="1:3" ht="16.8">
      <c r="A2972" s="165"/>
      <c r="B2972" s="171"/>
      <c r="C2972" s="165"/>
    </row>
    <row r="2973" spans="1:3" ht="16.8">
      <c r="A2973" s="165"/>
      <c r="B2973" s="171"/>
      <c r="C2973" s="165"/>
    </row>
    <row r="2974" spans="1:3" ht="16.8">
      <c r="A2974" s="165"/>
      <c r="B2974" s="171"/>
      <c r="C2974" s="165"/>
    </row>
    <row r="2975" spans="1:3" ht="16.8">
      <c r="A2975" s="165"/>
      <c r="B2975" s="171"/>
      <c r="C2975" s="165"/>
    </row>
    <row r="2976" spans="1:3" ht="16.8">
      <c r="A2976" s="165"/>
      <c r="B2976" s="171"/>
      <c r="C2976" s="165"/>
    </row>
    <row r="2977" spans="1:3" ht="16.8">
      <c r="A2977" s="165"/>
      <c r="B2977" s="171"/>
      <c r="C2977" s="165"/>
    </row>
    <row r="2978" spans="1:3" ht="16.8">
      <c r="A2978" s="165"/>
      <c r="B2978" s="171"/>
      <c r="C2978" s="165"/>
    </row>
    <row r="2979" spans="1:3" ht="16.8">
      <c r="A2979" s="165"/>
      <c r="B2979" s="171"/>
      <c r="C2979" s="165"/>
    </row>
    <row r="2980" spans="1:3" ht="16.8">
      <c r="A2980" s="165"/>
      <c r="B2980" s="171"/>
      <c r="C2980" s="165"/>
    </row>
    <row r="2981" spans="1:3" ht="16.8">
      <c r="A2981" s="165"/>
      <c r="B2981" s="171"/>
      <c r="C2981" s="165"/>
    </row>
    <row r="2982" spans="1:3" ht="16.8">
      <c r="A2982" s="165"/>
      <c r="B2982" s="171"/>
      <c r="C2982" s="165"/>
    </row>
    <row r="2983" spans="1:3" ht="16.8">
      <c r="A2983" s="165"/>
      <c r="B2983" s="171"/>
      <c r="C2983" s="165"/>
    </row>
    <row r="2984" spans="1:3" ht="16.8">
      <c r="A2984" s="165"/>
      <c r="B2984" s="171"/>
      <c r="C2984" s="165"/>
    </row>
    <row r="2985" spans="1:3" ht="16.8">
      <c r="A2985" s="165"/>
      <c r="B2985" s="171"/>
      <c r="C2985" s="165"/>
    </row>
    <row r="2986" spans="1:3" ht="16.8">
      <c r="A2986" s="165"/>
      <c r="B2986" s="171"/>
      <c r="C2986" s="165"/>
    </row>
    <row r="2987" spans="1:3" ht="16.8">
      <c r="A2987" s="165"/>
      <c r="B2987" s="171"/>
      <c r="C2987" s="165"/>
    </row>
    <row r="2988" spans="1:3" ht="16.8">
      <c r="A2988" s="165"/>
      <c r="B2988" s="171"/>
      <c r="C2988" s="165"/>
    </row>
    <row r="2989" spans="1:3" ht="16.8">
      <c r="A2989" s="165"/>
      <c r="B2989" s="171"/>
      <c r="C2989" s="165"/>
    </row>
    <row r="2990" spans="1:3" ht="16.8">
      <c r="A2990" s="165"/>
      <c r="B2990" s="171"/>
      <c r="C2990" s="165"/>
    </row>
    <row r="2991" spans="1:3" ht="16.8">
      <c r="A2991" s="165"/>
      <c r="B2991" s="171"/>
      <c r="C2991" s="165"/>
    </row>
    <row r="2992" spans="1:3" ht="16.8">
      <c r="A2992" s="165"/>
      <c r="B2992" s="171"/>
      <c r="C2992" s="165"/>
    </row>
    <row r="2993" spans="1:3" ht="16.8">
      <c r="A2993" s="165"/>
      <c r="B2993" s="171"/>
      <c r="C2993" s="165"/>
    </row>
    <row r="2994" spans="1:3" ht="16.8">
      <c r="A2994" s="165"/>
      <c r="B2994" s="171"/>
      <c r="C2994" s="165"/>
    </row>
    <row r="2995" spans="1:3" ht="16.8">
      <c r="A2995" s="165"/>
      <c r="B2995" s="171"/>
      <c r="C2995" s="165"/>
    </row>
    <row r="2996" spans="1:3" ht="16.8">
      <c r="A2996" s="165"/>
      <c r="B2996" s="171"/>
      <c r="C2996" s="165"/>
    </row>
    <row r="2997" spans="1:3" ht="16.8">
      <c r="A2997" s="165"/>
      <c r="B2997" s="171"/>
      <c r="C2997" s="165"/>
    </row>
    <row r="2998" spans="1:3" ht="16.8">
      <c r="A2998" s="165"/>
      <c r="B2998" s="171"/>
      <c r="C2998" s="165"/>
    </row>
    <row r="2999" spans="1:3" ht="16.8">
      <c r="A2999" s="165"/>
      <c r="B2999" s="171"/>
      <c r="C2999" s="165"/>
    </row>
    <row r="3000" spans="1:3" ht="16.8">
      <c r="A3000" s="165"/>
      <c r="B3000" s="171"/>
      <c r="C3000" s="165"/>
    </row>
    <row r="3001" spans="1:3" ht="16.8">
      <c r="A3001" s="165"/>
      <c r="B3001" s="171"/>
      <c r="C3001" s="165"/>
    </row>
    <row r="3002" spans="1:3" ht="16.8">
      <c r="A3002" s="165"/>
      <c r="B3002" s="171"/>
      <c r="C3002" s="165"/>
    </row>
    <row r="3003" spans="1:3" ht="16.8">
      <c r="A3003" s="165"/>
      <c r="B3003" s="171"/>
      <c r="C3003" s="165"/>
    </row>
    <row r="3004" spans="1:3" ht="16.8">
      <c r="A3004" s="165"/>
      <c r="B3004" s="171"/>
      <c r="C3004" s="165"/>
    </row>
    <row r="3005" spans="1:3" ht="16.8">
      <c r="A3005" s="165"/>
      <c r="B3005" s="171"/>
      <c r="C3005" s="165"/>
    </row>
    <row r="3006" spans="1:3" ht="16.8">
      <c r="A3006" s="165"/>
      <c r="B3006" s="171"/>
      <c r="C3006" s="165"/>
    </row>
    <row r="3007" spans="1:3" ht="16.8">
      <c r="A3007" s="165"/>
      <c r="B3007" s="171"/>
      <c r="C3007" s="165"/>
    </row>
    <row r="3008" spans="1:3" ht="16.8">
      <c r="A3008" s="165"/>
      <c r="B3008" s="171"/>
      <c r="C3008" s="165"/>
    </row>
    <row r="3009" spans="1:3" ht="16.8">
      <c r="A3009" s="165"/>
      <c r="B3009" s="171"/>
      <c r="C3009" s="165"/>
    </row>
    <row r="3010" spans="1:3" ht="16.8">
      <c r="A3010" s="165"/>
      <c r="B3010" s="171"/>
      <c r="C3010" s="165"/>
    </row>
    <row r="3011" spans="1:3" ht="16.8">
      <c r="A3011" s="165"/>
      <c r="B3011" s="171"/>
      <c r="C3011" s="165"/>
    </row>
    <row r="3012" spans="1:3" ht="16.8">
      <c r="A3012" s="165"/>
      <c r="B3012" s="171"/>
      <c r="C3012" s="165"/>
    </row>
    <row r="3013" spans="1:3" ht="16.8">
      <c r="A3013" s="165"/>
      <c r="B3013" s="171"/>
      <c r="C3013" s="165"/>
    </row>
    <row r="3014" spans="1:3" ht="16.8">
      <c r="A3014" s="165"/>
      <c r="B3014" s="171"/>
      <c r="C3014" s="165"/>
    </row>
    <row r="3015" spans="1:3" ht="16.8">
      <c r="A3015" s="165"/>
      <c r="B3015" s="171"/>
      <c r="C3015" s="165"/>
    </row>
    <row r="3016" spans="1:3" ht="16.8">
      <c r="A3016" s="165"/>
      <c r="B3016" s="171"/>
      <c r="C3016" s="165"/>
    </row>
    <row r="3017" spans="1:3" ht="16.8">
      <c r="A3017" s="165"/>
      <c r="B3017" s="171"/>
      <c r="C3017" s="165"/>
    </row>
    <row r="3018" spans="1:3" ht="16.8">
      <c r="A3018" s="165"/>
      <c r="B3018" s="171"/>
      <c r="C3018" s="165"/>
    </row>
    <row r="3019" spans="1:3" ht="16.8">
      <c r="A3019" s="165"/>
      <c r="B3019" s="171"/>
      <c r="C3019" s="165"/>
    </row>
    <row r="3020" spans="1:3" ht="16.8">
      <c r="A3020" s="165"/>
      <c r="B3020" s="171"/>
      <c r="C3020" s="165"/>
    </row>
    <row r="3021" spans="1:3" ht="16.8">
      <c r="A3021" s="165"/>
      <c r="B3021" s="171"/>
      <c r="C3021" s="165"/>
    </row>
    <row r="3022" spans="1:3" ht="16.8">
      <c r="A3022" s="165"/>
      <c r="B3022" s="171"/>
      <c r="C3022" s="165"/>
    </row>
    <row r="3023" spans="1:3" ht="16.8">
      <c r="A3023" s="165"/>
      <c r="B3023" s="171"/>
      <c r="C3023" s="165"/>
    </row>
    <row r="3024" spans="1:3" ht="16.8">
      <c r="A3024" s="165"/>
      <c r="B3024" s="171"/>
      <c r="C3024" s="165"/>
    </row>
    <row r="3025" spans="1:3" ht="16.8">
      <c r="A3025" s="165"/>
      <c r="B3025" s="171"/>
      <c r="C3025" s="165"/>
    </row>
    <row r="3026" spans="1:3" ht="16.8">
      <c r="A3026" s="165"/>
      <c r="B3026" s="171"/>
      <c r="C3026" s="165"/>
    </row>
    <row r="3027" spans="1:3" ht="16.8">
      <c r="A3027" s="165"/>
      <c r="B3027" s="171"/>
      <c r="C3027" s="165"/>
    </row>
    <row r="3028" spans="1:3" ht="16.8">
      <c r="A3028" s="165"/>
      <c r="B3028" s="171"/>
      <c r="C3028" s="165"/>
    </row>
    <row r="3029" spans="1:3" ht="16.8">
      <c r="A3029" s="165"/>
      <c r="B3029" s="171"/>
      <c r="C3029" s="165"/>
    </row>
    <row r="3030" spans="1:3" ht="16.8">
      <c r="A3030" s="165"/>
      <c r="B3030" s="171"/>
      <c r="C3030" s="165"/>
    </row>
    <row r="3031" spans="1:3" ht="16.8">
      <c r="A3031" s="165"/>
      <c r="B3031" s="171"/>
      <c r="C3031" s="165"/>
    </row>
    <row r="3032" spans="1:3" ht="16.8">
      <c r="A3032" s="165"/>
      <c r="B3032" s="171"/>
      <c r="C3032" s="165"/>
    </row>
    <row r="3033" spans="1:3" ht="16.8">
      <c r="A3033" s="165"/>
      <c r="B3033" s="171"/>
      <c r="C3033" s="165"/>
    </row>
    <row r="3034" spans="1:3" ht="16.8">
      <c r="A3034" s="165"/>
      <c r="B3034" s="171"/>
      <c r="C3034" s="165"/>
    </row>
    <row r="3035" spans="1:3" ht="16.8">
      <c r="A3035" s="165"/>
      <c r="B3035" s="171"/>
      <c r="C3035" s="165"/>
    </row>
    <row r="3036" spans="1:3" ht="16.8">
      <c r="A3036" s="165"/>
      <c r="B3036" s="171"/>
      <c r="C3036" s="165"/>
    </row>
    <row r="3037" spans="1:3" ht="16.8">
      <c r="A3037" s="165"/>
      <c r="B3037" s="171"/>
      <c r="C3037" s="165"/>
    </row>
    <row r="3038" spans="1:3" ht="16.8">
      <c r="A3038" s="165"/>
      <c r="B3038" s="171"/>
      <c r="C3038" s="165"/>
    </row>
    <row r="3039" spans="1:3" ht="16.8">
      <c r="A3039" s="165"/>
      <c r="B3039" s="171"/>
      <c r="C3039" s="165"/>
    </row>
    <row r="3040" spans="1:3" ht="16.8">
      <c r="A3040" s="165"/>
      <c r="B3040" s="171"/>
      <c r="C3040" s="165"/>
    </row>
    <row r="3041" spans="1:3" ht="16.8">
      <c r="A3041" s="165"/>
      <c r="B3041" s="171"/>
      <c r="C3041" s="165"/>
    </row>
    <row r="3042" spans="1:3" ht="16.8">
      <c r="A3042" s="165"/>
      <c r="B3042" s="171"/>
      <c r="C3042" s="165"/>
    </row>
    <row r="3043" spans="1:3" ht="16.8">
      <c r="A3043" s="165"/>
      <c r="B3043" s="171"/>
      <c r="C3043" s="165"/>
    </row>
    <row r="3044" spans="1:3" ht="16.8">
      <c r="A3044" s="165"/>
      <c r="B3044" s="171"/>
      <c r="C3044" s="165"/>
    </row>
    <row r="3045" spans="1:3" ht="16.8">
      <c r="A3045" s="165"/>
      <c r="B3045" s="171"/>
      <c r="C3045" s="165"/>
    </row>
    <row r="3046" spans="1:3" ht="16.8">
      <c r="A3046" s="165"/>
      <c r="B3046" s="171"/>
      <c r="C3046" s="165"/>
    </row>
    <row r="3047" spans="1:3" ht="16.8">
      <c r="A3047" s="165"/>
      <c r="B3047" s="171"/>
      <c r="C3047" s="165"/>
    </row>
    <row r="3048" spans="1:3" ht="16.8">
      <c r="A3048" s="165"/>
      <c r="B3048" s="171"/>
      <c r="C3048" s="165"/>
    </row>
    <row r="3049" spans="1:3" ht="16.8">
      <c r="A3049" s="165"/>
      <c r="B3049" s="171"/>
      <c r="C3049" s="165"/>
    </row>
    <row r="3050" spans="1:3" ht="16.8">
      <c r="A3050" s="165"/>
      <c r="B3050" s="171"/>
      <c r="C3050" s="165"/>
    </row>
    <row r="3051" spans="1:3" ht="16.8">
      <c r="A3051" s="165"/>
      <c r="B3051" s="171"/>
      <c r="C3051" s="165"/>
    </row>
    <row r="3052" spans="1:3" ht="16.8">
      <c r="A3052" s="165"/>
      <c r="B3052" s="171"/>
      <c r="C3052" s="165"/>
    </row>
    <row r="3053" spans="1:3" ht="16.8">
      <c r="A3053" s="165"/>
      <c r="B3053" s="171"/>
      <c r="C3053" s="165"/>
    </row>
    <row r="3054" spans="1:3" ht="16.8">
      <c r="A3054" s="165"/>
      <c r="B3054" s="171"/>
      <c r="C3054" s="165"/>
    </row>
    <row r="3055" spans="1:3" ht="16.8">
      <c r="A3055" s="165"/>
      <c r="B3055" s="171"/>
      <c r="C3055" s="165"/>
    </row>
    <row r="3056" spans="1:3" ht="16.8">
      <c r="A3056" s="165"/>
      <c r="B3056" s="171"/>
      <c r="C3056" s="165"/>
    </row>
    <row r="3057" spans="1:3" ht="16.8">
      <c r="A3057" s="165"/>
      <c r="B3057" s="171"/>
      <c r="C3057" s="165"/>
    </row>
    <row r="3058" spans="1:3" ht="16.8">
      <c r="A3058" s="165"/>
      <c r="B3058" s="171"/>
      <c r="C3058" s="165"/>
    </row>
    <row r="3059" spans="1:3" ht="16.8">
      <c r="A3059" s="165"/>
      <c r="B3059" s="171"/>
      <c r="C3059" s="165"/>
    </row>
    <row r="3060" spans="1:3" ht="16.8">
      <c r="A3060" s="165"/>
      <c r="B3060" s="171"/>
      <c r="C3060" s="165"/>
    </row>
    <row r="3061" spans="1:3" ht="16.8">
      <c r="A3061" s="165"/>
      <c r="B3061" s="171"/>
      <c r="C3061" s="165"/>
    </row>
    <row r="3062" spans="1:3" ht="16.8">
      <c r="A3062" s="165"/>
      <c r="B3062" s="171"/>
      <c r="C3062" s="165"/>
    </row>
    <row r="3063" spans="1:3" ht="16.8">
      <c r="A3063" s="165"/>
      <c r="B3063" s="171"/>
      <c r="C3063" s="165"/>
    </row>
    <row r="3064" spans="1:3" ht="16.8">
      <c r="A3064" s="165"/>
      <c r="B3064" s="171"/>
      <c r="C3064" s="165"/>
    </row>
    <row r="3065" spans="1:3" ht="16.8">
      <c r="A3065" s="165"/>
      <c r="B3065" s="171"/>
      <c r="C3065" s="165"/>
    </row>
    <row r="3066" spans="1:3" ht="16.8">
      <c r="A3066" s="165"/>
      <c r="B3066" s="171"/>
      <c r="C3066" s="165"/>
    </row>
    <row r="3067" spans="1:3" ht="16.8">
      <c r="A3067" s="165"/>
      <c r="B3067" s="171"/>
      <c r="C3067" s="165"/>
    </row>
    <row r="3068" spans="1:3" ht="16.8">
      <c r="A3068" s="165"/>
      <c r="B3068" s="171"/>
      <c r="C3068" s="165"/>
    </row>
    <row r="3069" spans="1:3" ht="16.8">
      <c r="A3069" s="165"/>
      <c r="B3069" s="171"/>
      <c r="C3069" s="165"/>
    </row>
    <row r="3070" spans="1:3" ht="16.8">
      <c r="A3070" s="165"/>
      <c r="B3070" s="171"/>
      <c r="C3070" s="165"/>
    </row>
    <row r="3071" spans="1:3" ht="16.8">
      <c r="A3071" s="165"/>
      <c r="B3071" s="171"/>
      <c r="C3071" s="165"/>
    </row>
    <row r="3072" spans="1:3" ht="16.8">
      <c r="A3072" s="165"/>
      <c r="B3072" s="171"/>
      <c r="C3072" s="165"/>
    </row>
    <row r="3073" spans="1:3" ht="16.8">
      <c r="A3073" s="165"/>
      <c r="B3073" s="171"/>
      <c r="C3073" s="165"/>
    </row>
    <row r="3074" spans="1:3" ht="16.8">
      <c r="A3074" s="165"/>
      <c r="B3074" s="171"/>
      <c r="C3074" s="165"/>
    </row>
    <row r="3075" spans="1:3" ht="16.8">
      <c r="A3075" s="165"/>
      <c r="B3075" s="171"/>
      <c r="C3075" s="165"/>
    </row>
    <row r="3076" spans="1:3" ht="16.8">
      <c r="A3076" s="165"/>
      <c r="B3076" s="171"/>
      <c r="C3076" s="165"/>
    </row>
    <row r="3077" spans="1:3" ht="16.8">
      <c r="A3077" s="165"/>
      <c r="B3077" s="171"/>
      <c r="C3077" s="165"/>
    </row>
    <row r="3078" spans="1:3" ht="16.8">
      <c r="A3078" s="165"/>
      <c r="B3078" s="171"/>
      <c r="C3078" s="165"/>
    </row>
    <row r="3079" spans="1:3" ht="16.8">
      <c r="A3079" s="165"/>
      <c r="B3079" s="171"/>
      <c r="C3079" s="165"/>
    </row>
    <row r="3080" spans="1:3" ht="16.8">
      <c r="A3080" s="165"/>
      <c r="B3080" s="171"/>
      <c r="C3080" s="165"/>
    </row>
    <row r="3081" spans="1:3" ht="16.8">
      <c r="A3081" s="165"/>
      <c r="B3081" s="171"/>
      <c r="C3081" s="165"/>
    </row>
    <row r="3082" spans="1:3" ht="16.8">
      <c r="A3082" s="165"/>
      <c r="B3082" s="171"/>
      <c r="C3082" s="165"/>
    </row>
    <row r="3083" spans="1:3" ht="16.8">
      <c r="A3083" s="165"/>
      <c r="B3083" s="171"/>
      <c r="C3083" s="165"/>
    </row>
    <row r="3084" spans="1:3" ht="16.8">
      <c r="A3084" s="165"/>
      <c r="B3084" s="171"/>
      <c r="C3084" s="165"/>
    </row>
    <row r="3085" spans="1:3" ht="16.8">
      <c r="A3085" s="165"/>
      <c r="B3085" s="171"/>
      <c r="C3085" s="165"/>
    </row>
    <row r="3086" spans="1:3" ht="16.8">
      <c r="A3086" s="165"/>
      <c r="B3086" s="171"/>
      <c r="C3086" s="165"/>
    </row>
    <row r="3087" spans="1:3" ht="16.8">
      <c r="A3087" s="165"/>
      <c r="B3087" s="171"/>
      <c r="C3087" s="165"/>
    </row>
    <row r="3088" spans="1:3" ht="16.8">
      <c r="A3088" s="165"/>
      <c r="B3088" s="171"/>
      <c r="C3088" s="165"/>
    </row>
    <row r="3089" spans="1:3" ht="16.8">
      <c r="A3089" s="165"/>
      <c r="B3089" s="171"/>
      <c r="C3089" s="165"/>
    </row>
    <row r="3090" spans="1:3" ht="16.8">
      <c r="A3090" s="165"/>
      <c r="B3090" s="171"/>
      <c r="C3090" s="165"/>
    </row>
    <row r="3091" spans="1:3" ht="16.8">
      <c r="A3091" s="165"/>
      <c r="B3091" s="171"/>
      <c r="C3091" s="165"/>
    </row>
    <row r="3092" spans="1:3" ht="16.8">
      <c r="A3092" s="165"/>
      <c r="B3092" s="171"/>
      <c r="C3092" s="165"/>
    </row>
    <row r="3093" spans="1:3" ht="16.8">
      <c r="A3093" s="165"/>
      <c r="B3093" s="171"/>
      <c r="C3093" s="165"/>
    </row>
    <row r="3094" spans="1:3" ht="16.8">
      <c r="A3094" s="165"/>
      <c r="B3094" s="171"/>
      <c r="C3094" s="165"/>
    </row>
    <row r="3095" spans="1:3" ht="16.8">
      <c r="A3095" s="165"/>
      <c r="B3095" s="171"/>
      <c r="C3095" s="165"/>
    </row>
    <row r="3096" spans="1:3" ht="16.8">
      <c r="A3096" s="165"/>
      <c r="B3096" s="171"/>
      <c r="C3096" s="165"/>
    </row>
    <row r="3097" spans="1:3" ht="16.8">
      <c r="A3097" s="165"/>
      <c r="B3097" s="171"/>
      <c r="C3097" s="165"/>
    </row>
    <row r="3098" spans="1:3" ht="16.8">
      <c r="A3098" s="165"/>
      <c r="B3098" s="171"/>
      <c r="C3098" s="165"/>
    </row>
    <row r="3099" spans="1:3" ht="16.8">
      <c r="A3099" s="165"/>
      <c r="B3099" s="171"/>
      <c r="C3099" s="165"/>
    </row>
    <row r="3100" spans="1:3" ht="16.8">
      <c r="A3100" s="165"/>
      <c r="B3100" s="171"/>
      <c r="C3100" s="165"/>
    </row>
    <row r="3101" spans="1:3" ht="16.8">
      <c r="A3101" s="165"/>
      <c r="B3101" s="171"/>
      <c r="C3101" s="165"/>
    </row>
    <row r="3102" spans="1:3" ht="16.8">
      <c r="A3102" s="165"/>
      <c r="B3102" s="171"/>
      <c r="C3102" s="165"/>
    </row>
    <row r="3103" spans="1:3" ht="16.8">
      <c r="A3103" s="165"/>
      <c r="B3103" s="171"/>
      <c r="C3103" s="165"/>
    </row>
    <row r="3104" spans="1:3" ht="16.8">
      <c r="A3104" s="165"/>
      <c r="B3104" s="171"/>
      <c r="C3104" s="165"/>
    </row>
    <row r="3105" spans="1:3" ht="16.8">
      <c r="A3105" s="165"/>
      <c r="B3105" s="171"/>
      <c r="C3105" s="165"/>
    </row>
    <row r="3106" spans="1:3" ht="16.8">
      <c r="A3106" s="165"/>
      <c r="B3106" s="171"/>
      <c r="C3106" s="165"/>
    </row>
    <row r="3107" spans="1:3" ht="16.8">
      <c r="A3107" s="165"/>
      <c r="B3107" s="171"/>
      <c r="C3107" s="165"/>
    </row>
    <row r="3108" spans="1:3" ht="16.8">
      <c r="A3108" s="165"/>
      <c r="B3108" s="171"/>
      <c r="C3108" s="165"/>
    </row>
    <row r="3109" spans="1:3" ht="16.8">
      <c r="A3109" s="165"/>
      <c r="B3109" s="171"/>
      <c r="C3109" s="165"/>
    </row>
    <row r="3110" spans="1:3" ht="16.8">
      <c r="A3110" s="165"/>
      <c r="B3110" s="171"/>
      <c r="C3110" s="165"/>
    </row>
    <row r="3111" spans="1:3" ht="16.8">
      <c r="A3111" s="165"/>
      <c r="B3111" s="171"/>
      <c r="C3111" s="165"/>
    </row>
    <row r="3112" spans="1:3" ht="16.8">
      <c r="A3112" s="165"/>
      <c r="B3112" s="171"/>
      <c r="C3112" s="165"/>
    </row>
    <row r="3113" spans="1:3" ht="16.8">
      <c r="A3113" s="165"/>
      <c r="B3113" s="171"/>
      <c r="C3113" s="165"/>
    </row>
    <row r="3114" spans="1:3" ht="16.8">
      <c r="A3114" s="165"/>
      <c r="B3114" s="171"/>
      <c r="C3114" s="165"/>
    </row>
    <row r="3115" spans="1:3" ht="16.8">
      <c r="A3115" s="165"/>
      <c r="B3115" s="171"/>
      <c r="C3115" s="165"/>
    </row>
    <row r="3116" spans="1:3" ht="16.8">
      <c r="A3116" s="165"/>
      <c r="B3116" s="171"/>
      <c r="C3116" s="165"/>
    </row>
    <row r="3117" spans="1:3" ht="16.8">
      <c r="A3117" s="165"/>
      <c r="B3117" s="171"/>
      <c r="C3117" s="165"/>
    </row>
    <row r="3118" spans="1:3" ht="16.8">
      <c r="A3118" s="165"/>
      <c r="B3118" s="171"/>
      <c r="C3118" s="165"/>
    </row>
    <row r="3119" spans="1:3" ht="16.8">
      <c r="A3119" s="165"/>
      <c r="B3119" s="171"/>
      <c r="C3119" s="165"/>
    </row>
    <row r="3120" spans="1:3" ht="16.8">
      <c r="A3120" s="165"/>
      <c r="B3120" s="171"/>
      <c r="C3120" s="165"/>
    </row>
    <row r="3121" spans="1:3" ht="16.8">
      <c r="A3121" s="165"/>
      <c r="B3121" s="171"/>
      <c r="C3121" s="165"/>
    </row>
    <row r="3122" spans="1:3" ht="16.8">
      <c r="A3122" s="165"/>
      <c r="B3122" s="171"/>
      <c r="C3122" s="165"/>
    </row>
    <row r="3123" spans="1:3" ht="16.8">
      <c r="A3123" s="165"/>
      <c r="B3123" s="171"/>
      <c r="C3123" s="165"/>
    </row>
    <row r="3124" spans="1:3" ht="16.8">
      <c r="A3124" s="165"/>
      <c r="B3124" s="171"/>
      <c r="C3124" s="165"/>
    </row>
    <row r="3125" spans="1:3" ht="16.8">
      <c r="A3125" s="165"/>
      <c r="B3125" s="171"/>
      <c r="C3125" s="165"/>
    </row>
    <row r="3126" spans="1:3" ht="16.8">
      <c r="A3126" s="165"/>
      <c r="B3126" s="171"/>
      <c r="C3126" s="165"/>
    </row>
    <row r="3127" spans="1:3" ht="16.8">
      <c r="A3127" s="165"/>
      <c r="B3127" s="171"/>
      <c r="C3127" s="165"/>
    </row>
    <row r="3128" spans="1:3" ht="16.8">
      <c r="A3128" s="165"/>
      <c r="B3128" s="171"/>
      <c r="C3128" s="165"/>
    </row>
    <row r="3129" spans="1:3" ht="16.8">
      <c r="A3129" s="165"/>
      <c r="B3129" s="171"/>
      <c r="C3129" s="165"/>
    </row>
    <row r="3130" spans="1:3" ht="16.8">
      <c r="A3130" s="165"/>
      <c r="B3130" s="171"/>
      <c r="C3130" s="165"/>
    </row>
    <row r="3131" spans="1:3" ht="16.8">
      <c r="A3131" s="165"/>
      <c r="B3131" s="171"/>
      <c r="C3131" s="165"/>
    </row>
    <row r="3132" spans="1:3" ht="16.8">
      <c r="A3132" s="165"/>
      <c r="B3132" s="171"/>
      <c r="C3132" s="165"/>
    </row>
    <row r="3133" spans="1:3" ht="16.8">
      <c r="A3133" s="165"/>
      <c r="B3133" s="171"/>
      <c r="C3133" s="165"/>
    </row>
    <row r="3134" spans="1:3" ht="16.8">
      <c r="A3134" s="165"/>
      <c r="B3134" s="171"/>
      <c r="C3134" s="165"/>
    </row>
    <row r="3135" spans="1:3" ht="16.8">
      <c r="A3135" s="165"/>
      <c r="B3135" s="171"/>
      <c r="C3135" s="165"/>
    </row>
    <row r="3136" spans="1:3" ht="16.8">
      <c r="A3136" s="165"/>
      <c r="B3136" s="171"/>
      <c r="C3136" s="165"/>
    </row>
    <row r="3137" spans="1:3" ht="16.8">
      <c r="A3137" s="165"/>
      <c r="B3137" s="171"/>
      <c r="C3137" s="165"/>
    </row>
    <row r="3138" spans="1:3" ht="16.8">
      <c r="A3138" s="165"/>
      <c r="B3138" s="171"/>
      <c r="C3138" s="165"/>
    </row>
    <row r="3139" spans="1:3" ht="16.8">
      <c r="A3139" s="165"/>
      <c r="B3139" s="171"/>
      <c r="C3139" s="165"/>
    </row>
    <row r="3140" spans="1:3" ht="16.8">
      <c r="A3140" s="165"/>
      <c r="B3140" s="171"/>
      <c r="C3140" s="165"/>
    </row>
    <row r="3141" spans="1:3" ht="16.8">
      <c r="A3141" s="165"/>
      <c r="B3141" s="171"/>
      <c r="C3141" s="165"/>
    </row>
    <row r="3142" spans="1:3" ht="16.8">
      <c r="A3142" s="165"/>
      <c r="B3142" s="171"/>
      <c r="C3142" s="165"/>
    </row>
    <row r="3143" spans="1:3" ht="16.8">
      <c r="A3143" s="165"/>
      <c r="B3143" s="171"/>
      <c r="C3143" s="165"/>
    </row>
    <row r="3144" spans="1:3" ht="16.8">
      <c r="A3144" s="165"/>
      <c r="B3144" s="171"/>
      <c r="C3144" s="165"/>
    </row>
    <row r="3145" spans="1:3" ht="16.8">
      <c r="A3145" s="165"/>
      <c r="B3145" s="171"/>
      <c r="C3145" s="165"/>
    </row>
    <row r="3146" spans="1:3" ht="16.8">
      <c r="A3146" s="165"/>
      <c r="B3146" s="171"/>
      <c r="C3146" s="165"/>
    </row>
    <row r="3147" spans="1:3" ht="16.8">
      <c r="A3147" s="165"/>
      <c r="B3147" s="171"/>
      <c r="C3147" s="165"/>
    </row>
    <row r="3148" spans="1:3" ht="16.8">
      <c r="A3148" s="165"/>
      <c r="B3148" s="171"/>
      <c r="C3148" s="165"/>
    </row>
    <row r="3149" spans="1:3" ht="16.8">
      <c r="A3149" s="165"/>
      <c r="B3149" s="171"/>
      <c r="C3149" s="165"/>
    </row>
    <row r="3150" spans="1:3" ht="16.8">
      <c r="A3150" s="165"/>
      <c r="B3150" s="171"/>
      <c r="C3150" s="165"/>
    </row>
    <row r="3151" spans="1:3" ht="16.8">
      <c r="A3151" s="165"/>
      <c r="B3151" s="171"/>
      <c r="C3151" s="165"/>
    </row>
    <row r="3152" spans="1:3" ht="16.8">
      <c r="A3152" s="165"/>
      <c r="B3152" s="171"/>
      <c r="C3152" s="165"/>
    </row>
    <row r="3153" spans="1:3" ht="16.8">
      <c r="A3153" s="165"/>
      <c r="B3153" s="171"/>
      <c r="C3153" s="165"/>
    </row>
    <row r="3154" spans="1:3" ht="16.8">
      <c r="A3154" s="165"/>
      <c r="B3154" s="171"/>
      <c r="C3154" s="165"/>
    </row>
    <row r="3155" spans="1:3" ht="16.8">
      <c r="A3155" s="165"/>
      <c r="B3155" s="171"/>
      <c r="C3155" s="165"/>
    </row>
    <row r="3156" spans="1:3" ht="16.8">
      <c r="A3156" s="165"/>
      <c r="B3156" s="171"/>
      <c r="C3156" s="165"/>
    </row>
    <row r="3157" spans="1:3" ht="16.8">
      <c r="A3157" s="165"/>
      <c r="B3157" s="171"/>
      <c r="C3157" s="165"/>
    </row>
    <row r="3158" spans="1:3" ht="16.8">
      <c r="A3158" s="165"/>
      <c r="B3158" s="171"/>
      <c r="C3158" s="165"/>
    </row>
    <row r="3159" spans="1:3" ht="16.8">
      <c r="A3159" s="165"/>
      <c r="B3159" s="171"/>
      <c r="C3159" s="165"/>
    </row>
    <row r="3160" spans="1:3" ht="16.8">
      <c r="A3160" s="165"/>
      <c r="B3160" s="171"/>
      <c r="C3160" s="165"/>
    </row>
    <row r="3161" spans="1:3" ht="16.8">
      <c r="A3161" s="165"/>
      <c r="B3161" s="171"/>
      <c r="C3161" s="165"/>
    </row>
    <row r="3162" spans="1:3" ht="16.8">
      <c r="A3162" s="165"/>
      <c r="B3162" s="171"/>
      <c r="C3162" s="165"/>
    </row>
    <row r="3163" spans="1:3" ht="16.8">
      <c r="A3163" s="165"/>
      <c r="B3163" s="171"/>
      <c r="C3163" s="165"/>
    </row>
    <row r="3164" spans="1:3" ht="16.8">
      <c r="A3164" s="165"/>
      <c r="B3164" s="171"/>
      <c r="C3164" s="165"/>
    </row>
    <row r="3165" spans="1:3" ht="16.8">
      <c r="A3165" s="165"/>
      <c r="B3165" s="171"/>
      <c r="C3165" s="165"/>
    </row>
    <row r="3166" spans="1:3" ht="16.8">
      <c r="A3166" s="165"/>
      <c r="B3166" s="171"/>
      <c r="C3166" s="165"/>
    </row>
    <row r="3167" spans="1:3" ht="16.8">
      <c r="A3167" s="165"/>
      <c r="B3167" s="171"/>
      <c r="C3167" s="165"/>
    </row>
    <row r="3168" spans="1:3" ht="16.8">
      <c r="A3168" s="165"/>
      <c r="B3168" s="171"/>
      <c r="C3168" s="165"/>
    </row>
    <row r="3169" spans="1:3" ht="16.8">
      <c r="A3169" s="165"/>
      <c r="B3169" s="171"/>
      <c r="C3169" s="165"/>
    </row>
    <row r="3170" spans="1:3" ht="16.8">
      <c r="A3170" s="165"/>
      <c r="B3170" s="171"/>
      <c r="C3170" s="165"/>
    </row>
    <row r="3171" spans="1:3" ht="16.8">
      <c r="A3171" s="165"/>
      <c r="B3171" s="171"/>
      <c r="C3171" s="165"/>
    </row>
    <row r="3172" spans="1:3" ht="16.8">
      <c r="A3172" s="165"/>
      <c r="B3172" s="171"/>
      <c r="C3172" s="165"/>
    </row>
    <row r="3173" spans="1:3" ht="16.8">
      <c r="A3173" s="165"/>
      <c r="B3173" s="171"/>
      <c r="C3173" s="165"/>
    </row>
    <row r="3174" spans="1:3" ht="16.8">
      <c r="A3174" s="165"/>
      <c r="B3174" s="171"/>
      <c r="C3174" s="165"/>
    </row>
    <row r="3175" spans="1:3" ht="16.8">
      <c r="A3175" s="165"/>
      <c r="B3175" s="171"/>
      <c r="C3175" s="165"/>
    </row>
    <row r="3176" spans="1:3" ht="16.8">
      <c r="A3176" s="165"/>
      <c r="B3176" s="171"/>
      <c r="C3176" s="165"/>
    </row>
    <row r="3177" spans="1:3" ht="16.8">
      <c r="A3177" s="165"/>
      <c r="B3177" s="171"/>
      <c r="C3177" s="165"/>
    </row>
    <row r="3178" spans="1:3" ht="16.8">
      <c r="A3178" s="165"/>
      <c r="B3178" s="171"/>
      <c r="C3178" s="165"/>
    </row>
    <row r="3179" spans="1:3" ht="16.8">
      <c r="A3179" s="165"/>
      <c r="B3179" s="171"/>
      <c r="C3179" s="165"/>
    </row>
    <row r="3180" spans="1:3" ht="16.8">
      <c r="A3180" s="165"/>
      <c r="B3180" s="171"/>
      <c r="C3180" s="165"/>
    </row>
    <row r="3181" spans="1:3" ht="16.8">
      <c r="A3181" s="165"/>
      <c r="B3181" s="171"/>
      <c r="C3181" s="165"/>
    </row>
    <row r="3182" spans="1:3" ht="16.8">
      <c r="A3182" s="165"/>
      <c r="B3182" s="171"/>
      <c r="C3182" s="165"/>
    </row>
    <row r="3183" spans="1:3" ht="16.8">
      <c r="A3183" s="165"/>
      <c r="B3183" s="171"/>
      <c r="C3183" s="165"/>
    </row>
    <row r="3184" spans="1:3" ht="16.8">
      <c r="A3184" s="165"/>
      <c r="B3184" s="171"/>
      <c r="C3184" s="165"/>
    </row>
    <row r="3185" spans="1:3" ht="16.8">
      <c r="A3185" s="165"/>
      <c r="B3185" s="171"/>
      <c r="C3185" s="165"/>
    </row>
    <row r="3186" spans="1:3" ht="16.8">
      <c r="A3186" s="165"/>
      <c r="B3186" s="171"/>
      <c r="C3186" s="165"/>
    </row>
    <row r="3187" spans="1:3" ht="16.8">
      <c r="A3187" s="165"/>
      <c r="B3187" s="171"/>
      <c r="C3187" s="165"/>
    </row>
    <row r="3188" spans="1:3" ht="16.8">
      <c r="A3188" s="165"/>
      <c r="B3188" s="171"/>
      <c r="C3188" s="165"/>
    </row>
    <row r="3189" spans="1:3" ht="16.8">
      <c r="A3189" s="165"/>
      <c r="B3189" s="171"/>
      <c r="C3189" s="165"/>
    </row>
    <row r="3190" spans="1:3" ht="16.8">
      <c r="A3190" s="165"/>
      <c r="B3190" s="171"/>
      <c r="C3190" s="165"/>
    </row>
    <row r="3191" spans="1:3" ht="16.8">
      <c r="A3191" s="165"/>
      <c r="B3191" s="171"/>
      <c r="C3191" s="165"/>
    </row>
    <row r="3192" spans="1:3" ht="16.8">
      <c r="A3192" s="165"/>
      <c r="B3192" s="171"/>
      <c r="C3192" s="165"/>
    </row>
    <row r="3193" spans="1:3" ht="16.8">
      <c r="A3193" s="165"/>
      <c r="B3193" s="171"/>
      <c r="C3193" s="165"/>
    </row>
    <row r="3194" spans="1:3" ht="16.8">
      <c r="A3194" s="165"/>
      <c r="B3194" s="171"/>
      <c r="C3194" s="165"/>
    </row>
    <row r="3195" spans="1:3" ht="16.8">
      <c r="A3195" s="165"/>
      <c r="B3195" s="171"/>
      <c r="C3195" s="165"/>
    </row>
    <row r="3196" spans="1:3" ht="16.8">
      <c r="A3196" s="165"/>
      <c r="B3196" s="171"/>
      <c r="C3196" s="165"/>
    </row>
    <row r="3197" spans="1:3" ht="16.8">
      <c r="A3197" s="165"/>
      <c r="B3197" s="171"/>
      <c r="C3197" s="165"/>
    </row>
    <row r="3198" spans="1:3" ht="16.8">
      <c r="A3198" s="165"/>
      <c r="B3198" s="171"/>
      <c r="C3198" s="165"/>
    </row>
    <row r="3199" spans="1:3" ht="16.8">
      <c r="A3199" s="165"/>
      <c r="B3199" s="171"/>
      <c r="C3199" s="165"/>
    </row>
    <row r="3200" spans="1:3" ht="16.8">
      <c r="A3200" s="165"/>
      <c r="B3200" s="171"/>
      <c r="C3200" s="165"/>
    </row>
    <row r="3201" spans="1:3" ht="16.8">
      <c r="A3201" s="165"/>
      <c r="B3201" s="171"/>
      <c r="C3201" s="165"/>
    </row>
    <row r="3202" spans="1:3" ht="16.8">
      <c r="A3202" s="165"/>
      <c r="B3202" s="171"/>
      <c r="C3202" s="165"/>
    </row>
    <row r="3203" spans="1:3" ht="16.8">
      <c r="A3203" s="165"/>
      <c r="B3203" s="171"/>
      <c r="C3203" s="165"/>
    </row>
    <row r="3204" spans="1:3" ht="16.8">
      <c r="A3204" s="165"/>
      <c r="B3204" s="171"/>
      <c r="C3204" s="165"/>
    </row>
    <row r="3205" spans="1:3" ht="16.8">
      <c r="A3205" s="165"/>
      <c r="B3205" s="171"/>
      <c r="C3205" s="165"/>
    </row>
    <row r="3206" spans="1:3" ht="16.8">
      <c r="A3206" s="165"/>
      <c r="B3206" s="171"/>
      <c r="C3206" s="165"/>
    </row>
    <row r="3207" spans="1:3" ht="16.8">
      <c r="A3207" s="165"/>
      <c r="B3207" s="171"/>
      <c r="C3207" s="165"/>
    </row>
    <row r="3208" spans="1:3" ht="16.8">
      <c r="A3208" s="165"/>
      <c r="B3208" s="171"/>
      <c r="C3208" s="165"/>
    </row>
    <row r="3209" spans="1:3" ht="16.8">
      <c r="A3209" s="165"/>
      <c r="B3209" s="171"/>
      <c r="C3209" s="165"/>
    </row>
    <row r="3210" spans="1:3" ht="16.8">
      <c r="A3210" s="165"/>
      <c r="B3210" s="171"/>
      <c r="C3210" s="165"/>
    </row>
    <row r="3211" spans="1:3" ht="16.8">
      <c r="A3211" s="165"/>
      <c r="B3211" s="171"/>
      <c r="C3211" s="165"/>
    </row>
    <row r="3212" spans="1:3" ht="16.8">
      <c r="A3212" s="165"/>
      <c r="B3212" s="171"/>
      <c r="C3212" s="165"/>
    </row>
    <row r="3213" spans="1:3" ht="16.8">
      <c r="A3213" s="165"/>
      <c r="B3213" s="171"/>
      <c r="C3213" s="165"/>
    </row>
    <row r="3214" spans="1:3" ht="16.8">
      <c r="A3214" s="165"/>
      <c r="B3214" s="171"/>
      <c r="C3214" s="165"/>
    </row>
    <row r="3215" spans="1:3" ht="16.8">
      <c r="A3215" s="165"/>
      <c r="B3215" s="171"/>
      <c r="C3215" s="165"/>
    </row>
    <row r="3216" spans="1:3" ht="16.8">
      <c r="A3216" s="165"/>
      <c r="B3216" s="171"/>
      <c r="C3216" s="165"/>
    </row>
    <row r="3217" spans="1:3" ht="16.8">
      <c r="A3217" s="165"/>
      <c r="B3217" s="171"/>
      <c r="C3217" s="165"/>
    </row>
    <row r="3218" spans="1:3" ht="16.8">
      <c r="A3218" s="165"/>
      <c r="B3218" s="171"/>
      <c r="C3218" s="165"/>
    </row>
    <row r="3219" spans="1:3" ht="16.8">
      <c r="A3219" s="165"/>
      <c r="B3219" s="171"/>
      <c r="C3219" s="165"/>
    </row>
    <row r="3220" spans="1:3" ht="16.8">
      <c r="A3220" s="165"/>
      <c r="B3220" s="171"/>
      <c r="C3220" s="165"/>
    </row>
    <row r="3221" spans="1:3" ht="16.8">
      <c r="A3221" s="165"/>
      <c r="B3221" s="171"/>
      <c r="C3221" s="165"/>
    </row>
    <row r="3222" spans="1:3" ht="16.8">
      <c r="A3222" s="165"/>
      <c r="B3222" s="171"/>
      <c r="C3222" s="165"/>
    </row>
    <row r="3223" spans="1:3" ht="16.8">
      <c r="A3223" s="165"/>
      <c r="B3223" s="171"/>
      <c r="C3223" s="165"/>
    </row>
    <row r="3224" spans="1:3" ht="16.8">
      <c r="A3224" s="165"/>
      <c r="B3224" s="171"/>
      <c r="C3224" s="165"/>
    </row>
    <row r="3225" spans="1:3" ht="16.8">
      <c r="A3225" s="165"/>
      <c r="B3225" s="171"/>
      <c r="C3225" s="165"/>
    </row>
    <row r="3226" spans="1:3" ht="16.8">
      <c r="A3226" s="165"/>
      <c r="B3226" s="171"/>
      <c r="C3226" s="165"/>
    </row>
    <row r="3227" spans="1:3" ht="16.8">
      <c r="A3227" s="165"/>
      <c r="B3227" s="171"/>
      <c r="C3227" s="165"/>
    </row>
    <row r="3228" spans="1:3" ht="16.8">
      <c r="A3228" s="165"/>
      <c r="B3228" s="171"/>
      <c r="C3228" s="165"/>
    </row>
    <row r="3229" spans="1:3" ht="16.8">
      <c r="A3229" s="165"/>
      <c r="B3229" s="171"/>
      <c r="C3229" s="165"/>
    </row>
    <row r="3230" spans="1:3" ht="16.8">
      <c r="A3230" s="165"/>
      <c r="B3230" s="171"/>
      <c r="C3230" s="165"/>
    </row>
    <row r="3231" spans="1:3" ht="16.8">
      <c r="A3231" s="165"/>
      <c r="B3231" s="171"/>
      <c r="C3231" s="165"/>
    </row>
    <row r="3232" spans="1:3" ht="16.8">
      <c r="A3232" s="165"/>
      <c r="B3232" s="171"/>
      <c r="C3232" s="165"/>
    </row>
    <row r="3233" spans="1:3" ht="16.8">
      <c r="A3233" s="165"/>
      <c r="B3233" s="171"/>
      <c r="C3233" s="165"/>
    </row>
    <row r="3234" spans="1:3" ht="16.8">
      <c r="A3234" s="165"/>
      <c r="B3234" s="171"/>
      <c r="C3234" s="165"/>
    </row>
    <row r="3235" spans="1:3" ht="16.8">
      <c r="A3235" s="165"/>
      <c r="B3235" s="171"/>
      <c r="C3235" s="165"/>
    </row>
    <row r="3236" spans="1:3" ht="16.8">
      <c r="A3236" s="165"/>
      <c r="B3236" s="171"/>
      <c r="C3236" s="165"/>
    </row>
    <row r="3237" spans="1:3" ht="16.8">
      <c r="A3237" s="165"/>
      <c r="B3237" s="171"/>
      <c r="C3237" s="165"/>
    </row>
    <row r="3238" spans="1:3" ht="16.8">
      <c r="A3238" s="165"/>
      <c r="B3238" s="171"/>
      <c r="C3238" s="165"/>
    </row>
    <row r="3239" spans="1:3" ht="16.8">
      <c r="A3239" s="165"/>
      <c r="B3239" s="171"/>
      <c r="C3239" s="165"/>
    </row>
    <row r="3240" spans="1:3" ht="16.8">
      <c r="A3240" s="165"/>
      <c r="B3240" s="171"/>
      <c r="C3240" s="165"/>
    </row>
    <row r="3241" spans="1:3" ht="16.8">
      <c r="A3241" s="165"/>
      <c r="B3241" s="171"/>
      <c r="C3241" s="165"/>
    </row>
    <row r="3242" spans="1:3" ht="16.8">
      <c r="A3242" s="165"/>
      <c r="B3242" s="171"/>
      <c r="C3242" s="165"/>
    </row>
    <row r="3243" spans="1:3" ht="16.8">
      <c r="A3243" s="165"/>
      <c r="B3243" s="171"/>
      <c r="C3243" s="165"/>
    </row>
    <row r="3244" spans="1:3" ht="16.8">
      <c r="A3244" s="165"/>
      <c r="B3244" s="171"/>
      <c r="C3244" s="165"/>
    </row>
    <row r="3245" spans="1:3" ht="16.8">
      <c r="A3245" s="165"/>
      <c r="B3245" s="171"/>
      <c r="C3245" s="165"/>
    </row>
    <row r="3246" spans="1:3" ht="16.8">
      <c r="A3246" s="165"/>
      <c r="B3246" s="171"/>
      <c r="C3246" s="165"/>
    </row>
    <row r="3247" spans="1:3" ht="16.8">
      <c r="A3247" s="165"/>
      <c r="B3247" s="171"/>
      <c r="C3247" s="165"/>
    </row>
    <row r="3248" spans="1:3" ht="16.8">
      <c r="A3248" s="165"/>
      <c r="B3248" s="171"/>
      <c r="C3248" s="165"/>
    </row>
    <row r="3249" spans="1:3" ht="16.8">
      <c r="A3249" s="165"/>
      <c r="B3249" s="171"/>
      <c r="C3249" s="165"/>
    </row>
    <row r="3250" spans="1:3" ht="16.8">
      <c r="A3250" s="165"/>
      <c r="B3250" s="171"/>
      <c r="C3250" s="165"/>
    </row>
    <row r="3251" spans="1:3" ht="16.8">
      <c r="A3251" s="165"/>
      <c r="B3251" s="171"/>
      <c r="C3251" s="165"/>
    </row>
    <row r="3252" spans="1:3" ht="16.8">
      <c r="A3252" s="165"/>
      <c r="B3252" s="171"/>
      <c r="C3252" s="165"/>
    </row>
    <row r="3253" spans="1:3" ht="16.8">
      <c r="A3253" s="165"/>
      <c r="B3253" s="171"/>
      <c r="C3253" s="165"/>
    </row>
    <row r="3254" spans="1:3" ht="16.8">
      <c r="A3254" s="165"/>
      <c r="B3254" s="171"/>
      <c r="C3254" s="165"/>
    </row>
    <row r="3255" spans="1:3" ht="16.8">
      <c r="A3255" s="165"/>
      <c r="B3255" s="171"/>
      <c r="C3255" s="165"/>
    </row>
    <row r="3256" spans="1:3" ht="16.8">
      <c r="A3256" s="165"/>
      <c r="B3256" s="171"/>
      <c r="C3256" s="165"/>
    </row>
    <row r="3257" spans="1:3" ht="16.8">
      <c r="A3257" s="165"/>
      <c r="B3257" s="171"/>
      <c r="C3257" s="165"/>
    </row>
    <row r="3258" spans="1:3" ht="16.8">
      <c r="A3258" s="165"/>
      <c r="B3258" s="171"/>
      <c r="C3258" s="165"/>
    </row>
    <row r="3259" spans="1:3" ht="16.8">
      <c r="A3259" s="165"/>
      <c r="B3259" s="171"/>
      <c r="C3259" s="165"/>
    </row>
    <row r="3260" spans="1:3" ht="16.8">
      <c r="A3260" s="165"/>
      <c r="B3260" s="171"/>
      <c r="C3260" s="165"/>
    </row>
    <row r="3261" spans="1:3" ht="16.8">
      <c r="A3261" s="165"/>
      <c r="B3261" s="171"/>
      <c r="C3261" s="165"/>
    </row>
    <row r="3262" spans="1:3" ht="16.8">
      <c r="A3262" s="165"/>
      <c r="B3262" s="171"/>
      <c r="C3262" s="165"/>
    </row>
    <row r="3263" spans="1:3" ht="16.8">
      <c r="A3263" s="165"/>
      <c r="B3263" s="171"/>
      <c r="C3263" s="165"/>
    </row>
    <row r="3264" spans="1:3" ht="16.8">
      <c r="A3264" s="165"/>
      <c r="B3264" s="171"/>
      <c r="C3264" s="165"/>
    </row>
    <row r="3265" spans="1:3" ht="16.8">
      <c r="A3265" s="165"/>
      <c r="B3265" s="171"/>
      <c r="C3265" s="165"/>
    </row>
    <row r="3266" spans="1:3" ht="16.8">
      <c r="A3266" s="165"/>
      <c r="B3266" s="171"/>
      <c r="C3266" s="165"/>
    </row>
    <row r="3267" spans="1:3" ht="16.8">
      <c r="A3267" s="165"/>
      <c r="B3267" s="171"/>
      <c r="C3267" s="165"/>
    </row>
    <row r="3268" spans="1:3" ht="16.8">
      <c r="A3268" s="165"/>
      <c r="B3268" s="171"/>
      <c r="C3268" s="165"/>
    </row>
    <row r="3269" spans="1:3" ht="16.8">
      <c r="A3269" s="165"/>
      <c r="B3269" s="171"/>
      <c r="C3269" s="165"/>
    </row>
    <row r="3270" spans="1:3" ht="16.8">
      <c r="A3270" s="165"/>
      <c r="B3270" s="171"/>
      <c r="C3270" s="165"/>
    </row>
    <row r="3271" spans="1:3" ht="16.8">
      <c r="A3271" s="165"/>
      <c r="B3271" s="171"/>
      <c r="C3271" s="165"/>
    </row>
    <row r="3272" spans="1:3" ht="16.8">
      <c r="A3272" s="165"/>
      <c r="B3272" s="171"/>
      <c r="C3272" s="165"/>
    </row>
    <row r="3273" spans="1:3" ht="16.8">
      <c r="A3273" s="165"/>
      <c r="B3273" s="171"/>
      <c r="C3273" s="165"/>
    </row>
    <row r="3274" spans="1:3" ht="16.8">
      <c r="A3274" s="165"/>
      <c r="B3274" s="171"/>
      <c r="C3274" s="165"/>
    </row>
    <row r="3275" spans="1:3" ht="16.8">
      <c r="A3275" s="165"/>
      <c r="B3275" s="171"/>
      <c r="C3275" s="165"/>
    </row>
    <row r="3276" spans="1:3" ht="16.8">
      <c r="A3276" s="165"/>
      <c r="B3276" s="171"/>
      <c r="C3276" s="165"/>
    </row>
    <row r="3277" spans="1:3" ht="16.8">
      <c r="A3277" s="165"/>
      <c r="B3277" s="171"/>
      <c r="C3277" s="165"/>
    </row>
    <row r="3278" spans="1:3" ht="16.8">
      <c r="A3278" s="165"/>
      <c r="B3278" s="171"/>
      <c r="C3278" s="165"/>
    </row>
    <row r="3279" spans="1:3" ht="16.8">
      <c r="A3279" s="165"/>
      <c r="B3279" s="171"/>
      <c r="C3279" s="165"/>
    </row>
    <row r="3280" spans="1:3" ht="16.8">
      <c r="A3280" s="165"/>
      <c r="B3280" s="171"/>
      <c r="C3280" s="165"/>
    </row>
    <row r="3281" spans="1:3" ht="16.8">
      <c r="A3281" s="165"/>
      <c r="B3281" s="171"/>
      <c r="C3281" s="165"/>
    </row>
    <row r="3282" spans="1:3" ht="16.8">
      <c r="A3282" s="165"/>
      <c r="B3282" s="171"/>
      <c r="C3282" s="165"/>
    </row>
    <row r="3283" spans="1:3" ht="16.8">
      <c r="A3283" s="165"/>
      <c r="B3283" s="171"/>
      <c r="C3283" s="165"/>
    </row>
    <row r="3284" spans="1:3" ht="16.8">
      <c r="A3284" s="165"/>
      <c r="B3284" s="171"/>
      <c r="C3284" s="165"/>
    </row>
    <row r="3285" spans="1:3" ht="16.8">
      <c r="A3285" s="165"/>
      <c r="B3285" s="171"/>
      <c r="C3285" s="165"/>
    </row>
    <row r="3286" spans="1:3" ht="16.8">
      <c r="A3286" s="165"/>
      <c r="B3286" s="171"/>
      <c r="C3286" s="165"/>
    </row>
    <row r="3287" spans="1:3" ht="16.8">
      <c r="A3287" s="165"/>
      <c r="B3287" s="171"/>
      <c r="C3287" s="165"/>
    </row>
    <row r="3288" spans="1:3" ht="16.8">
      <c r="A3288" s="165"/>
      <c r="B3288" s="171"/>
      <c r="C3288" s="165"/>
    </row>
    <row r="3289" spans="1:3" ht="16.8">
      <c r="A3289" s="165"/>
      <c r="B3289" s="171"/>
      <c r="C3289" s="165"/>
    </row>
    <row r="3290" spans="1:3" ht="16.8">
      <c r="A3290" s="165"/>
      <c r="B3290" s="171"/>
      <c r="C3290" s="165"/>
    </row>
    <row r="3291" spans="1:3" ht="16.8">
      <c r="A3291" s="165"/>
      <c r="B3291" s="171"/>
      <c r="C3291" s="165"/>
    </row>
    <row r="3292" spans="1:3" ht="16.8">
      <c r="A3292" s="165"/>
      <c r="B3292" s="171"/>
      <c r="C3292" s="165"/>
    </row>
    <row r="3293" spans="1:3" ht="16.8">
      <c r="A3293" s="165"/>
      <c r="B3293" s="171"/>
      <c r="C3293" s="165"/>
    </row>
    <row r="3294" spans="1:3" ht="16.8">
      <c r="A3294" s="165"/>
      <c r="B3294" s="171"/>
      <c r="C3294" s="165"/>
    </row>
    <row r="3295" spans="1:3" ht="16.8">
      <c r="A3295" s="165"/>
      <c r="B3295" s="171"/>
      <c r="C3295" s="165"/>
    </row>
    <row r="3296" spans="1:3" ht="16.8">
      <c r="A3296" s="165"/>
      <c r="B3296" s="171"/>
      <c r="C3296" s="165"/>
    </row>
    <row r="3297" spans="1:3" ht="16.8">
      <c r="A3297" s="165"/>
      <c r="B3297" s="171"/>
      <c r="C3297" s="165"/>
    </row>
    <row r="3298" spans="1:3" ht="16.8">
      <c r="A3298" s="165"/>
      <c r="B3298" s="171"/>
      <c r="C3298" s="165"/>
    </row>
    <row r="3299" spans="1:3" ht="16.8">
      <c r="A3299" s="165"/>
      <c r="B3299" s="171"/>
      <c r="C3299" s="165"/>
    </row>
    <row r="3300" spans="1:3" ht="16.8">
      <c r="A3300" s="165"/>
      <c r="B3300" s="171"/>
      <c r="C3300" s="165"/>
    </row>
    <row r="3301" spans="1:3" ht="16.8">
      <c r="A3301" s="165"/>
      <c r="B3301" s="171"/>
      <c r="C3301" s="165"/>
    </row>
    <row r="3302" spans="1:3" ht="16.8">
      <c r="A3302" s="165"/>
      <c r="B3302" s="171"/>
      <c r="C3302" s="165"/>
    </row>
    <row r="3303" spans="1:3" ht="16.8">
      <c r="A3303" s="165"/>
      <c r="B3303" s="171"/>
      <c r="C3303" s="165"/>
    </row>
    <row r="3304" spans="1:3" ht="16.8">
      <c r="A3304" s="165"/>
      <c r="B3304" s="171"/>
      <c r="C3304" s="165"/>
    </row>
    <row r="3305" spans="1:3" ht="16.8">
      <c r="A3305" s="165"/>
      <c r="B3305" s="171"/>
      <c r="C3305" s="165"/>
    </row>
    <row r="3306" spans="1:3" ht="16.8">
      <c r="A3306" s="165"/>
      <c r="B3306" s="171"/>
      <c r="C3306" s="165"/>
    </row>
    <row r="3307" spans="1:3" ht="16.8">
      <c r="A3307" s="165"/>
      <c r="B3307" s="171"/>
      <c r="C3307" s="165"/>
    </row>
    <row r="3308" spans="1:3" ht="16.8">
      <c r="A3308" s="165"/>
      <c r="B3308" s="171"/>
      <c r="C3308" s="165"/>
    </row>
    <row r="3309" spans="1:3" ht="16.8">
      <c r="A3309" s="165"/>
      <c r="B3309" s="171"/>
      <c r="C3309" s="165"/>
    </row>
    <row r="3310" spans="1:3" ht="16.8">
      <c r="A3310" s="165"/>
      <c r="B3310" s="171"/>
      <c r="C3310" s="165"/>
    </row>
    <row r="3311" spans="1:3" ht="16.8">
      <c r="A3311" s="165"/>
      <c r="B3311" s="171"/>
      <c r="C3311" s="165"/>
    </row>
    <row r="3312" spans="1:3" ht="16.8">
      <c r="A3312" s="165"/>
      <c r="B3312" s="171"/>
      <c r="C3312" s="165"/>
    </row>
    <row r="3313" spans="1:3" ht="16.8">
      <c r="A3313" s="165"/>
      <c r="B3313" s="171"/>
      <c r="C3313" s="165"/>
    </row>
    <row r="3314" spans="1:3" ht="16.8">
      <c r="A3314" s="165"/>
      <c r="B3314" s="171"/>
      <c r="C3314" s="165"/>
    </row>
    <row r="3315" spans="1:3" ht="16.8">
      <c r="A3315" s="165"/>
      <c r="B3315" s="171"/>
      <c r="C3315" s="165"/>
    </row>
    <row r="3316" spans="1:3" ht="16.8">
      <c r="A3316" s="165"/>
      <c r="B3316" s="171"/>
      <c r="C3316" s="165"/>
    </row>
    <row r="3317" spans="1:3" ht="16.8">
      <c r="A3317" s="165"/>
      <c r="B3317" s="171"/>
      <c r="C3317" s="165"/>
    </row>
    <row r="3318" spans="1:3" ht="16.8">
      <c r="A3318" s="165"/>
      <c r="B3318" s="171"/>
      <c r="C3318" s="165"/>
    </row>
    <row r="3319" spans="1:3" ht="16.8">
      <c r="A3319" s="165"/>
      <c r="B3319" s="171"/>
      <c r="C3319" s="165"/>
    </row>
    <row r="3320" spans="1:3" ht="16.8">
      <c r="A3320" s="165"/>
      <c r="B3320" s="171"/>
      <c r="C3320" s="165"/>
    </row>
    <row r="3321" spans="1:3" ht="16.8">
      <c r="A3321" s="165"/>
      <c r="B3321" s="171"/>
      <c r="C3321" s="165"/>
    </row>
    <row r="3322" spans="1:3" ht="16.8">
      <c r="A3322" s="165"/>
      <c r="B3322" s="171"/>
      <c r="C3322" s="165"/>
    </row>
    <row r="3323" spans="1:3" ht="16.8">
      <c r="A3323" s="165"/>
      <c r="B3323" s="171"/>
      <c r="C3323" s="165"/>
    </row>
    <row r="3324" spans="1:3" ht="16.8">
      <c r="A3324" s="165"/>
      <c r="B3324" s="171"/>
      <c r="C3324" s="165"/>
    </row>
    <row r="3325" spans="1:3" ht="16.8">
      <c r="A3325" s="165"/>
      <c r="B3325" s="171"/>
      <c r="C3325" s="165"/>
    </row>
    <row r="3326" spans="1:3" ht="16.8">
      <c r="A3326" s="165"/>
      <c r="B3326" s="171"/>
      <c r="C3326" s="165"/>
    </row>
    <row r="3327" spans="1:3" ht="16.8">
      <c r="A3327" s="165"/>
      <c r="B3327" s="171"/>
      <c r="C3327" s="165"/>
    </row>
    <row r="3328" spans="1:3" ht="16.8">
      <c r="A3328" s="165"/>
      <c r="B3328" s="171"/>
      <c r="C3328" s="165"/>
    </row>
    <row r="3329" spans="1:3" ht="16.8">
      <c r="A3329" s="165"/>
      <c r="B3329" s="171"/>
      <c r="C3329" s="165"/>
    </row>
    <row r="3330" spans="1:3" ht="16.8">
      <c r="A3330" s="165"/>
      <c r="B3330" s="171"/>
      <c r="C3330" s="165"/>
    </row>
    <row r="3331" spans="1:3" ht="16.8">
      <c r="A3331" s="165"/>
      <c r="B3331" s="171"/>
      <c r="C3331" s="165"/>
    </row>
    <row r="3332" spans="1:3" ht="16.8">
      <c r="A3332" s="165"/>
      <c r="B3332" s="171"/>
      <c r="C3332" s="165"/>
    </row>
    <row r="3333" spans="1:3" ht="16.8">
      <c r="A3333" s="165"/>
      <c r="B3333" s="171"/>
      <c r="C3333" s="165"/>
    </row>
    <row r="3334" spans="1:3" ht="16.8">
      <c r="A3334" s="165"/>
      <c r="B3334" s="171"/>
      <c r="C3334" s="165"/>
    </row>
    <row r="3335" spans="1:3" ht="16.8">
      <c r="A3335" s="165"/>
      <c r="B3335" s="171"/>
      <c r="C3335" s="165"/>
    </row>
    <row r="3336" spans="1:3" ht="16.8">
      <c r="A3336" s="165"/>
      <c r="B3336" s="171"/>
      <c r="C3336" s="165"/>
    </row>
    <row r="3337" spans="1:3" ht="16.8">
      <c r="A3337" s="165"/>
      <c r="B3337" s="171"/>
      <c r="C3337" s="165"/>
    </row>
    <row r="3338" spans="1:3" ht="16.8">
      <c r="A3338" s="165"/>
      <c r="B3338" s="171"/>
      <c r="C3338" s="165"/>
    </row>
    <row r="3339" spans="1:3" ht="16.8">
      <c r="A3339" s="165"/>
      <c r="B3339" s="171"/>
      <c r="C3339" s="165"/>
    </row>
    <row r="3340" spans="1:3" ht="16.8">
      <c r="A3340" s="165"/>
      <c r="B3340" s="171"/>
      <c r="C3340" s="165"/>
    </row>
    <row r="3341" spans="1:3" ht="16.8">
      <c r="A3341" s="165"/>
      <c r="B3341" s="171"/>
      <c r="C3341" s="165"/>
    </row>
    <row r="3342" spans="1:3" ht="16.8">
      <c r="A3342" s="165"/>
      <c r="B3342" s="171"/>
      <c r="C3342" s="165"/>
    </row>
    <row r="3343" spans="1:3" ht="16.8">
      <c r="A3343" s="165"/>
      <c r="B3343" s="171"/>
      <c r="C3343" s="165"/>
    </row>
    <row r="3344" spans="1:3" ht="16.8">
      <c r="A3344" s="165"/>
      <c r="B3344" s="171"/>
      <c r="C3344" s="165"/>
    </row>
    <row r="3345" spans="1:3" ht="16.8">
      <c r="A3345" s="165"/>
      <c r="B3345" s="171"/>
      <c r="C3345" s="165"/>
    </row>
    <row r="3346" spans="1:3" ht="16.8">
      <c r="A3346" s="165"/>
      <c r="B3346" s="171"/>
      <c r="C3346" s="165"/>
    </row>
    <row r="3347" spans="1:3" ht="16.8">
      <c r="A3347" s="165"/>
      <c r="B3347" s="171"/>
      <c r="C3347" s="165"/>
    </row>
    <row r="3348" spans="1:3" ht="16.8">
      <c r="A3348" s="165"/>
      <c r="B3348" s="171"/>
      <c r="C3348" s="165"/>
    </row>
    <row r="3349" spans="1:3" ht="16.8">
      <c r="A3349" s="165"/>
      <c r="B3349" s="171"/>
      <c r="C3349" s="165"/>
    </row>
    <row r="3350" spans="1:3" ht="16.8">
      <c r="A3350" s="165"/>
      <c r="B3350" s="171"/>
      <c r="C3350" s="165"/>
    </row>
    <row r="3351" spans="1:3" ht="16.8">
      <c r="A3351" s="165"/>
      <c r="B3351" s="171"/>
      <c r="C3351" s="165"/>
    </row>
    <row r="3352" spans="1:3" ht="16.8">
      <c r="A3352" s="165"/>
      <c r="B3352" s="171"/>
      <c r="C3352" s="165"/>
    </row>
    <row r="3353" spans="1:3" ht="16.8">
      <c r="A3353" s="165"/>
      <c r="B3353" s="171"/>
      <c r="C3353" s="165"/>
    </row>
    <row r="3354" spans="1:3" ht="16.8">
      <c r="A3354" s="165"/>
      <c r="B3354" s="171"/>
      <c r="C3354" s="165"/>
    </row>
    <row r="3355" spans="1:3" ht="16.8">
      <c r="A3355" s="165"/>
      <c r="B3355" s="171"/>
      <c r="C3355" s="165"/>
    </row>
    <row r="3356" spans="1:3" ht="16.8">
      <c r="A3356" s="165"/>
      <c r="B3356" s="171"/>
      <c r="C3356" s="165"/>
    </row>
    <row r="3357" spans="1:3" ht="16.8">
      <c r="A3357" s="165"/>
      <c r="B3357" s="171"/>
      <c r="C3357" s="165"/>
    </row>
    <row r="3358" spans="1:3" ht="16.8">
      <c r="A3358" s="165"/>
      <c r="B3358" s="171"/>
      <c r="C3358" s="165"/>
    </row>
    <row r="3359" spans="1:3" ht="16.8">
      <c r="A3359" s="165"/>
      <c r="B3359" s="171"/>
      <c r="C3359" s="165"/>
    </row>
    <row r="3360" spans="1:3" ht="16.8">
      <c r="A3360" s="165"/>
      <c r="B3360" s="171"/>
      <c r="C3360" s="165"/>
    </row>
    <row r="3361" spans="1:3" ht="16.8">
      <c r="A3361" s="165"/>
      <c r="B3361" s="171"/>
      <c r="C3361" s="165"/>
    </row>
    <row r="3362" spans="1:3" ht="16.8">
      <c r="A3362" s="165"/>
      <c r="B3362" s="171"/>
      <c r="C3362" s="165"/>
    </row>
    <row r="3363" spans="1:3" ht="16.8">
      <c r="A3363" s="165"/>
      <c r="B3363" s="171"/>
      <c r="C3363" s="165"/>
    </row>
    <row r="3364" spans="1:3" ht="16.8">
      <c r="A3364" s="165"/>
      <c r="B3364" s="171"/>
      <c r="C3364" s="165"/>
    </row>
    <row r="3365" spans="1:3" ht="16.8">
      <c r="A3365" s="165"/>
      <c r="B3365" s="171"/>
      <c r="C3365" s="165"/>
    </row>
    <row r="3366" spans="1:3" ht="16.8">
      <c r="A3366" s="165"/>
      <c r="B3366" s="171"/>
      <c r="C3366" s="165"/>
    </row>
    <row r="3367" spans="1:3" ht="16.8">
      <c r="A3367" s="165"/>
      <c r="B3367" s="171"/>
      <c r="C3367" s="165"/>
    </row>
    <row r="3368" spans="1:3" ht="16.8">
      <c r="A3368" s="165"/>
      <c r="B3368" s="171"/>
      <c r="C3368" s="165"/>
    </row>
    <row r="3369" spans="1:3" ht="16.8">
      <c r="A3369" s="165"/>
      <c r="B3369" s="171"/>
      <c r="C3369" s="165"/>
    </row>
    <row r="3370" spans="1:3" ht="16.8">
      <c r="A3370" s="165"/>
      <c r="B3370" s="171"/>
      <c r="C3370" s="165"/>
    </row>
    <row r="3371" spans="1:3" ht="16.8">
      <c r="A3371" s="165"/>
      <c r="B3371" s="171"/>
      <c r="C3371" s="165"/>
    </row>
    <row r="3372" spans="1:3" ht="16.8">
      <c r="A3372" s="165"/>
      <c r="B3372" s="171"/>
      <c r="C3372" s="165"/>
    </row>
    <row r="3373" spans="1:3" ht="16.8">
      <c r="A3373" s="165"/>
      <c r="B3373" s="171"/>
      <c r="C3373" s="165"/>
    </row>
    <row r="3374" spans="1:3" ht="16.8">
      <c r="A3374" s="165"/>
      <c r="B3374" s="171"/>
      <c r="C3374" s="165"/>
    </row>
    <row r="3375" spans="1:3" ht="16.8">
      <c r="A3375" s="165"/>
      <c r="B3375" s="171"/>
      <c r="C3375" s="165"/>
    </row>
    <row r="3376" spans="1:3" ht="16.8">
      <c r="A3376" s="165"/>
      <c r="B3376" s="171"/>
      <c r="C3376" s="165"/>
    </row>
    <row r="3377" spans="1:3" ht="16.8">
      <c r="A3377" s="165"/>
      <c r="B3377" s="171"/>
      <c r="C3377" s="165"/>
    </row>
    <row r="3378" spans="1:3" ht="16.8">
      <c r="A3378" s="165"/>
      <c r="B3378" s="171"/>
      <c r="C3378" s="165"/>
    </row>
    <row r="3379" spans="1:3" ht="16.8">
      <c r="A3379" s="165"/>
      <c r="B3379" s="171"/>
      <c r="C3379" s="165"/>
    </row>
    <row r="3380" spans="1:3" ht="16.8">
      <c r="A3380" s="165"/>
      <c r="B3380" s="171"/>
      <c r="C3380" s="165"/>
    </row>
    <row r="3381" spans="1:3" ht="16.8">
      <c r="A3381" s="165"/>
      <c r="B3381" s="171"/>
      <c r="C3381" s="165"/>
    </row>
    <row r="3382" spans="1:3" ht="16.8">
      <c r="A3382" s="165"/>
      <c r="B3382" s="171"/>
      <c r="C3382" s="165"/>
    </row>
    <row r="3383" spans="1:3" ht="16.8">
      <c r="A3383" s="165"/>
      <c r="B3383" s="171"/>
      <c r="C3383" s="165"/>
    </row>
    <row r="3384" spans="1:3" ht="16.8">
      <c r="A3384" s="165"/>
      <c r="B3384" s="171"/>
      <c r="C3384" s="165"/>
    </row>
    <row r="3385" spans="1:3" ht="16.8">
      <c r="A3385" s="165"/>
      <c r="B3385" s="171"/>
      <c r="C3385" s="165"/>
    </row>
    <row r="3386" spans="1:3" ht="16.8">
      <c r="A3386" s="165"/>
      <c r="B3386" s="171"/>
      <c r="C3386" s="165"/>
    </row>
    <row r="3387" spans="1:3" ht="16.8">
      <c r="A3387" s="165"/>
      <c r="B3387" s="171"/>
      <c r="C3387" s="165"/>
    </row>
    <row r="3388" spans="1:3" ht="16.8">
      <c r="A3388" s="165"/>
      <c r="B3388" s="171"/>
      <c r="C3388" s="165"/>
    </row>
    <row r="3389" spans="1:3" ht="16.8">
      <c r="A3389" s="165"/>
      <c r="B3389" s="171"/>
      <c r="C3389" s="165"/>
    </row>
    <row r="3390" spans="1:3" ht="16.8">
      <c r="A3390" s="165"/>
      <c r="B3390" s="171"/>
      <c r="C3390" s="165"/>
    </row>
    <row r="3391" spans="1:3" ht="16.8">
      <c r="A3391" s="165"/>
      <c r="B3391" s="171"/>
      <c r="C3391" s="165"/>
    </row>
    <row r="3392" spans="1:3" ht="16.8">
      <c r="A3392" s="165"/>
      <c r="B3392" s="171"/>
      <c r="C3392" s="165"/>
    </row>
    <row r="3393" spans="1:3" ht="16.8">
      <c r="A3393" s="165"/>
      <c r="B3393" s="171"/>
      <c r="C3393" s="165"/>
    </row>
    <row r="3394" spans="1:3" ht="16.8">
      <c r="A3394" s="165"/>
      <c r="B3394" s="171"/>
      <c r="C3394" s="165"/>
    </row>
    <row r="3395" spans="1:3" ht="16.8">
      <c r="A3395" s="165"/>
      <c r="B3395" s="171"/>
      <c r="C3395" s="165"/>
    </row>
    <row r="3396" spans="1:3" ht="16.8">
      <c r="A3396" s="165"/>
      <c r="B3396" s="171"/>
      <c r="C3396" s="165"/>
    </row>
    <row r="3397" spans="1:3" ht="16.8">
      <c r="A3397" s="165"/>
      <c r="B3397" s="171"/>
      <c r="C3397" s="165"/>
    </row>
    <row r="3398" spans="1:3" ht="16.8">
      <c r="A3398" s="165"/>
      <c r="B3398" s="171"/>
      <c r="C3398" s="165"/>
    </row>
    <row r="3399" spans="1:3" ht="16.8">
      <c r="A3399" s="165"/>
      <c r="B3399" s="171"/>
      <c r="C3399" s="165"/>
    </row>
    <row r="3400" spans="1:3" ht="16.8">
      <c r="A3400" s="165"/>
      <c r="B3400" s="171"/>
      <c r="C3400" s="165"/>
    </row>
    <row r="3401" spans="1:3" ht="16.8">
      <c r="A3401" s="165"/>
      <c r="B3401" s="171"/>
      <c r="C3401" s="165"/>
    </row>
    <row r="3402" spans="1:3" ht="16.8">
      <c r="A3402" s="165"/>
      <c r="B3402" s="171"/>
      <c r="C3402" s="165"/>
    </row>
    <row r="3403" spans="1:3" ht="16.8">
      <c r="A3403" s="165"/>
      <c r="B3403" s="171"/>
      <c r="C3403" s="165"/>
    </row>
    <row r="3404" spans="1:3" ht="16.8">
      <c r="A3404" s="165"/>
      <c r="B3404" s="171"/>
      <c r="C3404" s="165"/>
    </row>
    <row r="3405" spans="1:3" ht="16.8">
      <c r="A3405" s="165"/>
      <c r="B3405" s="171"/>
      <c r="C3405" s="165"/>
    </row>
    <row r="3406" spans="1:3" ht="16.8">
      <c r="A3406" s="165"/>
      <c r="B3406" s="171"/>
      <c r="C3406" s="165"/>
    </row>
    <row r="3407" spans="1:3" ht="16.8">
      <c r="A3407" s="165"/>
      <c r="B3407" s="171"/>
      <c r="C3407" s="165"/>
    </row>
    <row r="3408" spans="1:3" ht="16.8">
      <c r="A3408" s="165"/>
      <c r="B3408" s="171"/>
      <c r="C3408" s="165"/>
    </row>
    <row r="3409" spans="1:3" ht="16.8">
      <c r="A3409" s="165"/>
      <c r="B3409" s="171"/>
      <c r="C3409" s="165"/>
    </row>
    <row r="3410" spans="1:3" ht="16.8">
      <c r="A3410" s="165"/>
      <c r="B3410" s="171"/>
      <c r="C3410" s="165"/>
    </row>
    <row r="3411" spans="1:3" ht="16.8">
      <c r="A3411" s="165"/>
      <c r="B3411" s="171"/>
      <c r="C3411" s="165"/>
    </row>
    <row r="3412" spans="1:3" ht="16.8">
      <c r="A3412" s="165"/>
      <c r="B3412" s="171"/>
      <c r="C3412" s="165"/>
    </row>
    <row r="3413" spans="1:3" ht="16.8">
      <c r="A3413" s="165"/>
      <c r="B3413" s="171"/>
      <c r="C3413" s="165"/>
    </row>
    <row r="3414" spans="1:3" ht="16.8">
      <c r="A3414" s="165"/>
      <c r="B3414" s="171"/>
      <c r="C3414" s="165"/>
    </row>
    <row r="3415" spans="1:3" ht="16.8">
      <c r="A3415" s="165"/>
      <c r="B3415" s="171"/>
      <c r="C3415" s="165"/>
    </row>
    <row r="3416" spans="1:3" ht="16.8">
      <c r="A3416" s="165"/>
      <c r="B3416" s="171"/>
      <c r="C3416" s="165"/>
    </row>
    <row r="3417" spans="1:3" ht="16.8">
      <c r="A3417" s="165"/>
      <c r="B3417" s="171"/>
      <c r="C3417" s="165"/>
    </row>
    <row r="3418" spans="1:3" ht="16.8">
      <c r="A3418" s="165"/>
      <c r="B3418" s="171"/>
      <c r="C3418" s="165"/>
    </row>
    <row r="3419" spans="1:3" ht="16.8">
      <c r="A3419" s="165"/>
      <c r="B3419" s="171"/>
      <c r="C3419" s="165"/>
    </row>
    <row r="3420" spans="1:3" ht="16.8">
      <c r="A3420" s="165"/>
      <c r="B3420" s="171"/>
      <c r="C3420" s="165"/>
    </row>
    <row r="3421" spans="1:3" ht="16.8">
      <c r="A3421" s="165"/>
      <c r="B3421" s="171"/>
      <c r="C3421" s="165"/>
    </row>
    <row r="3422" spans="1:3" ht="16.8">
      <c r="A3422" s="165"/>
      <c r="B3422" s="171"/>
      <c r="C3422" s="165"/>
    </row>
    <row r="3423" spans="1:3" ht="16.8">
      <c r="A3423" s="165"/>
      <c r="B3423" s="171"/>
      <c r="C3423" s="165"/>
    </row>
    <row r="3424" spans="1:3" ht="16.8">
      <c r="A3424" s="165"/>
      <c r="B3424" s="171"/>
      <c r="C3424" s="165"/>
    </row>
    <row r="3425" spans="1:3" ht="16.8">
      <c r="A3425" s="165"/>
      <c r="B3425" s="171"/>
      <c r="C3425" s="165"/>
    </row>
    <row r="3426" spans="1:3" ht="16.8">
      <c r="A3426" s="165"/>
      <c r="B3426" s="171"/>
      <c r="C3426" s="165"/>
    </row>
    <row r="3427" spans="1:3" ht="16.8">
      <c r="A3427" s="165"/>
      <c r="B3427" s="171"/>
      <c r="C3427" s="165"/>
    </row>
    <row r="3428" spans="1:3" ht="16.8">
      <c r="A3428" s="165"/>
      <c r="B3428" s="171"/>
      <c r="C3428" s="165"/>
    </row>
    <row r="3429" spans="1:3" ht="16.8">
      <c r="A3429" s="165"/>
      <c r="B3429" s="171"/>
      <c r="C3429" s="165"/>
    </row>
    <row r="3430" spans="1:3" ht="16.8">
      <c r="A3430" s="165"/>
      <c r="B3430" s="171"/>
      <c r="C3430" s="165"/>
    </row>
    <row r="3431" spans="1:3" ht="16.8">
      <c r="A3431" s="165"/>
      <c r="B3431" s="171"/>
      <c r="C3431" s="165"/>
    </row>
    <row r="3432" spans="1:3" ht="16.8">
      <c r="A3432" s="165"/>
      <c r="B3432" s="171"/>
      <c r="C3432" s="165"/>
    </row>
    <row r="3433" spans="1:3" ht="16.8">
      <c r="A3433" s="165"/>
      <c r="B3433" s="171"/>
      <c r="C3433" s="165"/>
    </row>
    <row r="3434" spans="1:3" ht="16.8">
      <c r="A3434" s="165"/>
      <c r="B3434" s="171"/>
      <c r="C3434" s="165"/>
    </row>
    <row r="3435" spans="1:3" ht="16.8">
      <c r="A3435" s="165"/>
      <c r="B3435" s="171"/>
      <c r="C3435" s="165"/>
    </row>
    <row r="3436" spans="1:3" ht="16.8">
      <c r="A3436" s="165"/>
      <c r="B3436" s="171"/>
      <c r="C3436" s="165"/>
    </row>
    <row r="3437" spans="1:3" ht="16.8">
      <c r="A3437" s="165"/>
      <c r="B3437" s="171"/>
      <c r="C3437" s="165"/>
    </row>
    <row r="3438" spans="1:3" ht="16.8">
      <c r="A3438" s="165"/>
      <c r="B3438" s="171"/>
      <c r="C3438" s="165"/>
    </row>
    <row r="3439" spans="1:3" ht="16.8">
      <c r="A3439" s="165"/>
      <c r="B3439" s="171"/>
      <c r="C3439" s="165"/>
    </row>
    <row r="3440" spans="1:3" ht="16.8">
      <c r="A3440" s="165"/>
      <c r="B3440" s="171"/>
      <c r="C3440" s="165"/>
    </row>
    <row r="3441" spans="1:3" ht="16.8">
      <c r="A3441" s="165"/>
      <c r="B3441" s="171"/>
      <c r="C3441" s="165"/>
    </row>
    <row r="3442" spans="1:3" ht="16.8">
      <c r="A3442" s="165"/>
      <c r="B3442" s="171"/>
      <c r="C3442" s="165"/>
    </row>
    <row r="3443" spans="1:3" ht="16.8">
      <c r="A3443" s="165"/>
      <c r="B3443" s="171"/>
      <c r="C3443" s="165"/>
    </row>
    <row r="3444" spans="1:3" ht="16.8">
      <c r="A3444" s="165"/>
      <c r="B3444" s="171"/>
      <c r="C3444" s="165"/>
    </row>
    <row r="3445" spans="1:3" ht="16.8">
      <c r="A3445" s="165"/>
      <c r="B3445" s="171"/>
      <c r="C3445" s="165"/>
    </row>
    <row r="3446" spans="1:3" ht="16.8">
      <c r="A3446" s="165"/>
      <c r="B3446" s="171"/>
      <c r="C3446" s="165"/>
    </row>
    <row r="3447" spans="1:3" ht="16.8">
      <c r="A3447" s="165"/>
      <c r="B3447" s="171"/>
      <c r="C3447" s="165"/>
    </row>
    <row r="3448" spans="1:3" ht="16.8">
      <c r="A3448" s="165"/>
      <c r="B3448" s="171"/>
      <c r="C3448" s="165"/>
    </row>
    <row r="3449" spans="1:3" ht="16.8">
      <c r="A3449" s="165"/>
      <c r="B3449" s="171"/>
      <c r="C3449" s="165"/>
    </row>
    <row r="3450" spans="1:3" ht="16.8">
      <c r="A3450" s="165"/>
      <c r="B3450" s="171"/>
      <c r="C3450" s="165"/>
    </row>
    <row r="3451" spans="1:3" ht="16.8">
      <c r="A3451" s="165"/>
      <c r="B3451" s="171"/>
      <c r="C3451" s="165"/>
    </row>
    <row r="3452" spans="1:3" ht="16.8">
      <c r="A3452" s="165"/>
      <c r="B3452" s="171"/>
      <c r="C3452" s="165"/>
    </row>
    <row r="3453" spans="1:3" ht="16.8">
      <c r="A3453" s="165"/>
      <c r="B3453" s="171"/>
      <c r="C3453" s="165"/>
    </row>
    <row r="3454" spans="1:3" ht="16.8">
      <c r="A3454" s="165"/>
      <c r="B3454" s="171"/>
      <c r="C3454" s="165"/>
    </row>
    <row r="3455" spans="1:3" ht="16.8">
      <c r="A3455" s="165"/>
      <c r="B3455" s="171"/>
      <c r="C3455" s="165"/>
    </row>
    <row r="3456" spans="1:3" ht="16.8">
      <c r="A3456" s="165"/>
      <c r="B3456" s="171"/>
      <c r="C3456" s="165"/>
    </row>
    <row r="3457" spans="1:3" ht="16.8">
      <c r="A3457" s="165"/>
      <c r="B3457" s="171"/>
      <c r="C3457" s="165"/>
    </row>
    <row r="3458" spans="1:3" ht="16.8">
      <c r="A3458" s="165"/>
      <c r="B3458" s="171"/>
      <c r="C3458" s="165"/>
    </row>
    <row r="3459" spans="1:3" ht="16.8">
      <c r="A3459" s="165"/>
      <c r="B3459" s="171"/>
      <c r="C3459" s="165"/>
    </row>
    <row r="3460" spans="1:3" ht="16.8">
      <c r="A3460" s="165"/>
      <c r="B3460" s="171"/>
      <c r="C3460" s="165"/>
    </row>
    <row r="3461" spans="1:3" ht="16.8">
      <c r="A3461" s="165"/>
      <c r="B3461" s="171"/>
      <c r="C3461" s="165"/>
    </row>
    <row r="3462" spans="1:3" ht="16.8">
      <c r="A3462" s="165"/>
      <c r="B3462" s="171"/>
      <c r="C3462" s="165"/>
    </row>
    <row r="3463" spans="1:3" ht="16.8">
      <c r="A3463" s="165"/>
      <c r="B3463" s="171"/>
      <c r="C3463" s="165"/>
    </row>
    <row r="3464" spans="1:3" ht="16.8">
      <c r="A3464" s="165"/>
      <c r="B3464" s="171"/>
      <c r="C3464" s="165"/>
    </row>
    <row r="3465" spans="1:3" ht="16.8">
      <c r="A3465" s="165"/>
      <c r="B3465" s="171"/>
      <c r="C3465" s="165"/>
    </row>
    <row r="3466" spans="1:3" ht="16.8">
      <c r="A3466" s="165"/>
      <c r="B3466" s="171"/>
      <c r="C3466" s="165"/>
    </row>
    <row r="3467" spans="1:3" ht="16.8">
      <c r="A3467" s="165"/>
      <c r="B3467" s="171"/>
      <c r="C3467" s="165"/>
    </row>
    <row r="3468" spans="1:3" ht="16.8">
      <c r="A3468" s="165"/>
      <c r="B3468" s="171"/>
      <c r="C3468" s="165"/>
    </row>
    <row r="3469" spans="1:3" ht="16.8">
      <c r="A3469" s="165"/>
      <c r="B3469" s="171"/>
      <c r="C3469" s="165"/>
    </row>
    <row r="3470" spans="1:3" ht="16.8">
      <c r="A3470" s="165"/>
      <c r="B3470" s="171"/>
      <c r="C3470" s="165"/>
    </row>
    <row r="3471" spans="1:3" ht="16.8">
      <c r="A3471" s="165"/>
      <c r="B3471" s="171"/>
      <c r="C3471" s="165"/>
    </row>
    <row r="3472" spans="1:3" ht="16.8">
      <c r="A3472" s="165"/>
      <c r="B3472" s="171"/>
      <c r="C3472" s="165"/>
    </row>
    <row r="3473" spans="1:3" ht="16.8">
      <c r="A3473" s="165"/>
      <c r="B3473" s="171"/>
      <c r="C3473" s="165"/>
    </row>
    <row r="3474" spans="1:3" ht="16.8">
      <c r="A3474" s="165"/>
      <c r="B3474" s="171"/>
      <c r="C3474" s="165"/>
    </row>
    <row r="3475" spans="1:3" ht="16.8">
      <c r="A3475" s="165"/>
      <c r="B3475" s="171"/>
      <c r="C3475" s="165"/>
    </row>
    <row r="3476" spans="1:3" ht="16.8">
      <c r="A3476" s="165"/>
      <c r="B3476" s="171"/>
      <c r="C3476" s="165"/>
    </row>
    <row r="3477" spans="1:3" ht="16.8">
      <c r="A3477" s="165"/>
      <c r="B3477" s="171"/>
      <c r="C3477" s="165"/>
    </row>
    <row r="3478" spans="1:3" ht="16.8">
      <c r="A3478" s="165"/>
      <c r="B3478" s="171"/>
      <c r="C3478" s="165"/>
    </row>
    <row r="3479" spans="1:3" ht="16.8">
      <c r="A3479" s="165"/>
      <c r="B3479" s="171"/>
      <c r="C3479" s="165"/>
    </row>
    <row r="3480" spans="1:3" ht="16.8">
      <c r="A3480" s="165"/>
      <c r="B3480" s="171"/>
      <c r="C3480" s="165"/>
    </row>
    <row r="3481" spans="1:3" ht="16.8">
      <c r="A3481" s="165"/>
      <c r="B3481" s="171"/>
      <c r="C3481" s="165"/>
    </row>
    <row r="3482" spans="1:3" ht="16.8">
      <c r="A3482" s="165"/>
      <c r="B3482" s="171"/>
      <c r="C3482" s="165"/>
    </row>
    <row r="3483" spans="1:3" ht="16.8">
      <c r="A3483" s="165"/>
      <c r="B3483" s="171"/>
      <c r="C3483" s="165"/>
    </row>
    <row r="3484" spans="1:3" ht="16.8">
      <c r="A3484" s="165"/>
      <c r="B3484" s="171"/>
      <c r="C3484" s="165"/>
    </row>
    <row r="3485" spans="1:3" ht="16.8">
      <c r="A3485" s="165"/>
      <c r="B3485" s="171"/>
      <c r="C3485" s="165"/>
    </row>
    <row r="3486" spans="1:3" ht="16.8">
      <c r="A3486" s="165"/>
      <c r="B3486" s="171"/>
      <c r="C3486" s="165"/>
    </row>
    <row r="3487" spans="1:3" ht="16.8">
      <c r="A3487" s="165"/>
      <c r="B3487" s="171"/>
      <c r="C3487" s="165"/>
    </row>
    <row r="3488" spans="1:3" ht="16.8">
      <c r="A3488" s="165"/>
      <c r="B3488" s="171"/>
      <c r="C3488" s="165"/>
    </row>
    <row r="3489" spans="1:3" ht="16.8">
      <c r="A3489" s="165"/>
      <c r="B3489" s="171"/>
      <c r="C3489" s="165"/>
    </row>
    <row r="3490" spans="1:3" ht="16.8">
      <c r="A3490" s="165"/>
      <c r="B3490" s="171"/>
      <c r="C3490" s="165"/>
    </row>
    <row r="3491" spans="1:3" ht="16.8">
      <c r="A3491" s="165"/>
      <c r="B3491" s="171"/>
      <c r="C3491" s="165"/>
    </row>
    <row r="3492" spans="1:3" ht="16.8">
      <c r="A3492" s="165"/>
      <c r="B3492" s="171"/>
      <c r="C3492" s="165"/>
    </row>
    <row r="3493" spans="1:3" ht="16.8">
      <c r="A3493" s="165"/>
      <c r="B3493" s="171"/>
      <c r="C3493" s="165"/>
    </row>
    <row r="3494" spans="1:3" ht="16.8">
      <c r="A3494" s="165"/>
      <c r="B3494" s="171"/>
      <c r="C3494" s="165"/>
    </row>
    <row r="3495" spans="1:3" ht="16.8">
      <c r="A3495" s="165"/>
      <c r="B3495" s="171"/>
      <c r="C3495" s="165"/>
    </row>
    <row r="3496" spans="1:3" ht="16.8">
      <c r="A3496" s="165"/>
      <c r="B3496" s="171"/>
      <c r="C3496" s="165"/>
    </row>
    <row r="3497" spans="1:3" ht="16.8">
      <c r="A3497" s="165"/>
      <c r="B3497" s="171"/>
      <c r="C3497" s="165"/>
    </row>
    <row r="3498" spans="1:3" ht="16.8">
      <c r="A3498" s="165"/>
      <c r="B3498" s="171"/>
      <c r="C3498" s="165"/>
    </row>
    <row r="3499" spans="1:3" ht="16.8">
      <c r="A3499" s="165"/>
      <c r="B3499" s="171"/>
      <c r="C3499" s="165"/>
    </row>
    <row r="3500" spans="1:3" ht="16.8">
      <c r="A3500" s="165"/>
      <c r="B3500" s="171"/>
      <c r="C3500" s="165"/>
    </row>
    <row r="3501" spans="1:3" ht="16.8">
      <c r="A3501" s="165"/>
      <c r="B3501" s="171"/>
      <c r="C3501" s="165"/>
    </row>
    <row r="3502" spans="1:3" ht="16.8">
      <c r="A3502" s="165"/>
      <c r="B3502" s="171"/>
      <c r="C3502" s="165"/>
    </row>
    <row r="3503" spans="1:3" ht="16.8">
      <c r="A3503" s="165"/>
      <c r="B3503" s="171"/>
      <c r="C3503" s="165"/>
    </row>
    <row r="3504" spans="1:3" ht="16.8">
      <c r="A3504" s="165"/>
      <c r="B3504" s="171"/>
      <c r="C3504" s="165"/>
    </row>
    <row r="3505" spans="1:3" ht="16.8">
      <c r="A3505" s="165"/>
      <c r="B3505" s="171"/>
      <c r="C3505" s="165"/>
    </row>
    <row r="3506" spans="1:3" ht="16.8">
      <c r="A3506" s="165"/>
      <c r="B3506" s="171"/>
      <c r="C3506" s="165"/>
    </row>
    <row r="3507" spans="1:3" ht="16.8">
      <c r="A3507" s="165"/>
      <c r="B3507" s="171"/>
      <c r="C3507" s="165"/>
    </row>
    <row r="3508" spans="1:3" ht="16.8">
      <c r="A3508" s="165"/>
      <c r="B3508" s="171"/>
      <c r="C3508" s="165"/>
    </row>
    <row r="3509" spans="1:3" ht="16.8">
      <c r="A3509" s="165"/>
      <c r="B3509" s="171"/>
      <c r="C3509" s="165"/>
    </row>
    <row r="3510" spans="1:3" ht="16.8">
      <c r="A3510" s="165"/>
      <c r="B3510" s="171"/>
      <c r="C3510" s="165"/>
    </row>
    <row r="3511" spans="1:3" ht="16.8">
      <c r="A3511" s="165"/>
      <c r="B3511" s="171"/>
      <c r="C3511" s="165"/>
    </row>
    <row r="3512" spans="1:3" ht="16.8">
      <c r="A3512" s="165"/>
      <c r="B3512" s="171"/>
      <c r="C3512" s="165"/>
    </row>
    <row r="3513" spans="1:3" ht="16.8">
      <c r="A3513" s="165"/>
      <c r="B3513" s="171"/>
      <c r="C3513" s="165"/>
    </row>
    <row r="3514" spans="1:3" ht="16.8">
      <c r="A3514" s="165"/>
      <c r="B3514" s="171"/>
      <c r="C3514" s="165"/>
    </row>
    <row r="3515" spans="1:3" ht="16.8">
      <c r="A3515" s="165"/>
      <c r="B3515" s="171"/>
      <c r="C3515" s="165"/>
    </row>
    <row r="3516" spans="1:3" ht="16.8">
      <c r="A3516" s="165"/>
      <c r="B3516" s="171"/>
      <c r="C3516" s="165"/>
    </row>
    <row r="3517" spans="1:3" ht="16.8">
      <c r="A3517" s="165"/>
      <c r="B3517" s="171"/>
      <c r="C3517" s="165"/>
    </row>
    <row r="3518" spans="1:3" ht="16.8">
      <c r="A3518" s="165"/>
      <c r="B3518" s="171"/>
      <c r="C3518" s="165"/>
    </row>
    <row r="3519" spans="1:3" ht="16.8">
      <c r="A3519" s="165"/>
      <c r="B3519" s="171"/>
      <c r="C3519" s="165"/>
    </row>
    <row r="3520" spans="1:3" ht="16.8">
      <c r="A3520" s="165"/>
      <c r="B3520" s="171"/>
      <c r="C3520" s="165"/>
    </row>
    <row r="3521" spans="1:3" ht="16.8">
      <c r="A3521" s="165"/>
      <c r="B3521" s="171"/>
      <c r="C3521" s="165"/>
    </row>
    <row r="3522" spans="1:3" ht="16.8">
      <c r="A3522" s="165"/>
      <c r="B3522" s="171"/>
      <c r="C3522" s="165"/>
    </row>
    <row r="3523" spans="1:3" ht="16.8">
      <c r="A3523" s="165"/>
      <c r="B3523" s="171"/>
      <c r="C3523" s="165"/>
    </row>
    <row r="3524" spans="1:3" ht="16.8">
      <c r="A3524" s="165"/>
      <c r="B3524" s="171"/>
      <c r="C3524" s="165"/>
    </row>
    <row r="3525" spans="1:3" ht="16.8">
      <c r="A3525" s="165"/>
      <c r="B3525" s="171"/>
      <c r="C3525" s="165"/>
    </row>
    <row r="3526" spans="1:3" ht="16.8">
      <c r="A3526" s="165"/>
      <c r="B3526" s="171"/>
      <c r="C3526" s="165"/>
    </row>
    <row r="3527" spans="1:3" ht="16.8">
      <c r="A3527" s="165"/>
      <c r="B3527" s="171"/>
      <c r="C3527" s="165"/>
    </row>
    <row r="3528" spans="1:3" ht="16.8">
      <c r="A3528" s="165"/>
      <c r="B3528" s="171"/>
      <c r="C3528" s="165"/>
    </row>
    <row r="3529" spans="1:3" ht="16.8">
      <c r="A3529" s="165"/>
      <c r="B3529" s="171"/>
      <c r="C3529" s="165"/>
    </row>
    <row r="3530" spans="1:3" ht="16.8">
      <c r="A3530" s="165"/>
      <c r="B3530" s="171"/>
      <c r="C3530" s="165"/>
    </row>
    <row r="3531" spans="1:3" ht="16.8">
      <c r="A3531" s="165"/>
      <c r="B3531" s="171"/>
      <c r="C3531" s="165"/>
    </row>
    <row r="3532" spans="1:3" ht="16.8">
      <c r="A3532" s="165"/>
      <c r="B3532" s="171"/>
      <c r="C3532" s="165"/>
    </row>
    <row r="3533" spans="1:3" ht="16.8">
      <c r="A3533" s="165"/>
      <c r="B3533" s="171"/>
      <c r="C3533" s="165"/>
    </row>
    <row r="3534" spans="1:3" ht="16.8">
      <c r="A3534" s="165"/>
      <c r="B3534" s="171"/>
      <c r="C3534" s="165"/>
    </row>
    <row r="3535" spans="1:3" ht="16.8">
      <c r="A3535" s="165"/>
      <c r="B3535" s="171"/>
      <c r="C3535" s="165"/>
    </row>
    <row r="3536" spans="1:3" ht="16.8">
      <c r="A3536" s="165"/>
      <c r="B3536" s="171"/>
      <c r="C3536" s="165"/>
    </row>
    <row r="3537" spans="1:3" ht="16.8">
      <c r="A3537" s="165"/>
      <c r="B3537" s="171"/>
      <c r="C3537" s="165"/>
    </row>
    <row r="3538" spans="1:3" ht="16.8">
      <c r="A3538" s="165"/>
      <c r="B3538" s="171"/>
      <c r="C3538" s="165"/>
    </row>
    <row r="3539" spans="1:3" ht="16.8">
      <c r="A3539" s="165"/>
      <c r="B3539" s="171"/>
      <c r="C3539" s="165"/>
    </row>
    <row r="3540" spans="1:3" ht="16.8">
      <c r="A3540" s="165"/>
      <c r="B3540" s="171"/>
      <c r="C3540" s="165"/>
    </row>
    <row r="3541" spans="1:3" ht="16.8">
      <c r="A3541" s="165"/>
      <c r="B3541" s="171"/>
      <c r="C3541" s="165"/>
    </row>
    <row r="3542" spans="1:3" ht="16.8">
      <c r="A3542" s="165"/>
      <c r="B3542" s="171"/>
      <c r="C3542" s="165"/>
    </row>
    <row r="3543" spans="1:3" ht="16.8">
      <c r="A3543" s="165"/>
      <c r="B3543" s="171"/>
      <c r="C3543" s="165"/>
    </row>
    <row r="3544" spans="1:3" ht="16.8">
      <c r="A3544" s="165"/>
      <c r="B3544" s="171"/>
      <c r="C3544" s="165"/>
    </row>
    <row r="3545" spans="1:3" ht="16.8">
      <c r="A3545" s="165"/>
      <c r="B3545" s="171"/>
      <c r="C3545" s="165"/>
    </row>
    <row r="3546" spans="1:3" ht="16.8">
      <c r="A3546" s="165"/>
      <c r="B3546" s="171"/>
      <c r="C3546" s="165"/>
    </row>
    <row r="3547" spans="1:3" ht="16.8">
      <c r="A3547" s="165"/>
      <c r="B3547" s="171"/>
      <c r="C3547" s="165"/>
    </row>
    <row r="3548" spans="1:3" ht="16.8">
      <c r="A3548" s="165"/>
      <c r="B3548" s="171"/>
      <c r="C3548" s="165"/>
    </row>
    <row r="3549" spans="1:3" ht="16.8">
      <c r="A3549" s="165"/>
      <c r="B3549" s="171"/>
      <c r="C3549" s="165"/>
    </row>
    <row r="3550" spans="1:3" ht="16.8">
      <c r="A3550" s="165"/>
      <c r="B3550" s="171"/>
      <c r="C3550" s="165"/>
    </row>
    <row r="3551" spans="1:3" ht="16.8">
      <c r="A3551" s="165"/>
      <c r="B3551" s="171"/>
      <c r="C3551" s="165"/>
    </row>
    <row r="3552" spans="1:3" ht="16.8">
      <c r="A3552" s="165"/>
      <c r="B3552" s="171"/>
      <c r="C3552" s="165"/>
    </row>
    <row r="3553" spans="1:3" ht="16.8">
      <c r="A3553" s="165"/>
      <c r="B3553" s="171"/>
      <c r="C3553" s="165"/>
    </row>
    <row r="3554" spans="1:3" ht="16.8">
      <c r="A3554" s="165"/>
      <c r="B3554" s="171"/>
      <c r="C3554" s="165"/>
    </row>
    <row r="3555" spans="1:3" ht="16.8">
      <c r="A3555" s="165"/>
      <c r="B3555" s="171"/>
      <c r="C3555" s="165"/>
    </row>
    <row r="3556" spans="1:3" ht="16.8">
      <c r="A3556" s="165"/>
      <c r="B3556" s="171"/>
      <c r="C3556" s="165"/>
    </row>
    <row r="3557" spans="1:3" ht="16.8">
      <c r="A3557" s="165"/>
      <c r="B3557" s="171"/>
      <c r="C3557" s="165"/>
    </row>
    <row r="3558" spans="1:3" ht="16.8">
      <c r="A3558" s="165"/>
      <c r="B3558" s="171"/>
      <c r="C3558" s="165"/>
    </row>
    <row r="3559" spans="1:3" ht="16.8">
      <c r="A3559" s="165"/>
      <c r="B3559" s="171"/>
      <c r="C3559" s="165"/>
    </row>
    <row r="3560" spans="1:3" ht="16.8">
      <c r="A3560" s="165"/>
      <c r="B3560" s="171"/>
      <c r="C3560" s="165"/>
    </row>
    <row r="3561" spans="1:3" ht="16.8">
      <c r="A3561" s="165"/>
      <c r="B3561" s="171"/>
      <c r="C3561" s="165"/>
    </row>
    <row r="3562" spans="1:3" ht="16.8">
      <c r="A3562" s="165"/>
      <c r="B3562" s="171"/>
      <c r="C3562" s="165"/>
    </row>
    <row r="3563" spans="1:3" ht="16.8">
      <c r="A3563" s="165"/>
      <c r="B3563" s="171"/>
      <c r="C3563" s="165"/>
    </row>
    <row r="3564" spans="1:3" ht="16.8">
      <c r="A3564" s="165"/>
      <c r="B3564" s="171"/>
      <c r="C3564" s="165"/>
    </row>
    <row r="3565" spans="1:3" ht="16.8">
      <c r="A3565" s="165"/>
      <c r="B3565" s="171"/>
      <c r="C3565" s="165"/>
    </row>
    <row r="3566" spans="1:3" ht="16.8">
      <c r="A3566" s="165"/>
      <c r="B3566" s="171"/>
      <c r="C3566" s="165"/>
    </row>
    <row r="3567" spans="1:3" ht="16.8">
      <c r="A3567" s="165"/>
      <c r="B3567" s="171"/>
      <c r="C3567" s="165"/>
    </row>
    <row r="3568" spans="1:3" ht="16.8">
      <c r="A3568" s="165"/>
      <c r="B3568" s="171"/>
      <c r="C3568" s="165"/>
    </row>
    <row r="3569" spans="1:3" ht="16.8">
      <c r="A3569" s="165"/>
      <c r="B3569" s="171"/>
      <c r="C3569" s="165"/>
    </row>
    <row r="3570" spans="1:3" ht="16.8">
      <c r="A3570" s="165"/>
      <c r="B3570" s="171"/>
      <c r="C3570" s="165"/>
    </row>
    <row r="3571" spans="1:3" ht="16.8">
      <c r="A3571" s="165"/>
      <c r="B3571" s="171"/>
      <c r="C3571" s="165"/>
    </row>
    <row r="3572" spans="1:3" ht="16.8">
      <c r="A3572" s="165"/>
      <c r="B3572" s="171"/>
      <c r="C3572" s="165"/>
    </row>
    <row r="3573" spans="1:3" ht="16.8">
      <c r="A3573" s="165"/>
      <c r="B3573" s="171"/>
      <c r="C3573" s="165"/>
    </row>
    <row r="3574" spans="1:3" ht="16.8">
      <c r="A3574" s="165"/>
      <c r="B3574" s="171"/>
      <c r="C3574" s="165"/>
    </row>
    <row r="3575" spans="1:3" ht="16.8">
      <c r="A3575" s="165"/>
      <c r="B3575" s="171"/>
      <c r="C3575" s="165"/>
    </row>
    <row r="3576" spans="1:3" ht="16.8">
      <c r="A3576" s="165"/>
      <c r="B3576" s="171"/>
      <c r="C3576" s="165"/>
    </row>
    <row r="3577" spans="1:3" ht="16.8">
      <c r="A3577" s="165"/>
      <c r="B3577" s="171"/>
      <c r="C3577" s="165"/>
    </row>
    <row r="3578" spans="1:3" ht="16.8">
      <c r="A3578" s="165"/>
      <c r="B3578" s="171"/>
      <c r="C3578" s="165"/>
    </row>
    <row r="3579" spans="1:3" ht="16.8">
      <c r="A3579" s="165"/>
      <c r="B3579" s="171"/>
      <c r="C3579" s="165"/>
    </row>
    <row r="3580" spans="1:3" ht="16.8">
      <c r="A3580" s="165"/>
      <c r="B3580" s="171"/>
      <c r="C3580" s="165"/>
    </row>
    <row r="3581" spans="1:3" ht="16.8">
      <c r="A3581" s="165"/>
      <c r="B3581" s="171"/>
      <c r="C3581" s="165"/>
    </row>
    <row r="3582" spans="1:3" ht="16.8">
      <c r="A3582" s="165"/>
      <c r="B3582" s="171"/>
      <c r="C3582" s="165"/>
    </row>
    <row r="3583" spans="1:3" ht="16.8">
      <c r="A3583" s="165"/>
      <c r="B3583" s="171"/>
      <c r="C3583" s="165"/>
    </row>
    <row r="3584" spans="1:3" ht="16.8">
      <c r="A3584" s="165"/>
      <c r="B3584" s="171"/>
      <c r="C3584" s="165"/>
    </row>
    <row r="3585" spans="1:3" ht="16.8">
      <c r="A3585" s="165"/>
      <c r="B3585" s="171"/>
      <c r="C3585" s="165"/>
    </row>
    <row r="3586" spans="1:3" ht="16.8">
      <c r="A3586" s="165"/>
      <c r="B3586" s="171"/>
      <c r="C3586" s="165"/>
    </row>
    <row r="3587" spans="1:3" ht="16.8">
      <c r="A3587" s="165"/>
      <c r="B3587" s="171"/>
      <c r="C3587" s="165"/>
    </row>
    <row r="3588" spans="1:3" ht="16.8">
      <c r="A3588" s="165"/>
      <c r="B3588" s="171"/>
      <c r="C3588" s="165"/>
    </row>
    <row r="3589" spans="1:3" ht="16.8">
      <c r="A3589" s="165"/>
      <c r="B3589" s="171"/>
      <c r="C3589" s="165"/>
    </row>
    <row r="3590" spans="1:3" ht="16.8">
      <c r="A3590" s="165"/>
      <c r="B3590" s="171"/>
      <c r="C3590" s="165"/>
    </row>
    <row r="3591" spans="1:3" ht="16.8">
      <c r="A3591" s="165"/>
      <c r="B3591" s="171"/>
      <c r="C3591" s="165"/>
    </row>
    <row r="3592" spans="1:3" ht="16.8">
      <c r="A3592" s="165"/>
      <c r="B3592" s="171"/>
      <c r="C3592" s="165"/>
    </row>
    <row r="3593" spans="1:3" ht="16.8">
      <c r="A3593" s="165"/>
      <c r="B3593" s="171"/>
      <c r="C3593" s="165"/>
    </row>
    <row r="3594" spans="1:3" ht="16.8">
      <c r="A3594" s="165"/>
      <c r="B3594" s="171"/>
      <c r="C3594" s="165"/>
    </row>
    <row r="3595" spans="1:3" ht="16.8">
      <c r="A3595" s="165"/>
      <c r="B3595" s="171"/>
      <c r="C3595" s="165"/>
    </row>
    <row r="3596" spans="1:3" ht="16.8">
      <c r="A3596" s="165"/>
      <c r="B3596" s="171"/>
      <c r="C3596" s="165"/>
    </row>
    <row r="3597" spans="1:3" ht="16.8">
      <c r="A3597" s="165"/>
      <c r="B3597" s="171"/>
      <c r="C3597" s="165"/>
    </row>
    <row r="3598" spans="1:3" ht="16.8">
      <c r="A3598" s="165"/>
      <c r="B3598" s="171"/>
      <c r="C3598" s="165"/>
    </row>
    <row r="3599" spans="1:3" ht="16.8">
      <c r="A3599" s="165"/>
      <c r="B3599" s="171"/>
      <c r="C3599" s="165"/>
    </row>
    <row r="3600" spans="1:3" ht="16.8">
      <c r="A3600" s="165"/>
      <c r="B3600" s="171"/>
      <c r="C3600" s="165"/>
    </row>
    <row r="3601" spans="1:3" ht="16.8">
      <c r="A3601" s="165"/>
      <c r="B3601" s="171"/>
      <c r="C3601" s="165"/>
    </row>
    <row r="3602" spans="1:3" ht="16.8">
      <c r="A3602" s="165"/>
      <c r="B3602" s="171"/>
      <c r="C3602" s="165"/>
    </row>
    <row r="3603" spans="1:3" ht="16.8">
      <c r="A3603" s="165"/>
      <c r="B3603" s="171"/>
      <c r="C3603" s="165"/>
    </row>
    <row r="3604" spans="1:3" ht="16.8">
      <c r="A3604" s="165"/>
      <c r="B3604" s="171"/>
      <c r="C3604" s="165"/>
    </row>
    <row r="3605" spans="1:3" ht="16.8">
      <c r="A3605" s="165"/>
      <c r="B3605" s="171"/>
      <c r="C3605" s="165"/>
    </row>
    <row r="3606" spans="1:3" ht="16.8">
      <c r="A3606" s="165"/>
      <c r="B3606" s="171"/>
      <c r="C3606" s="165"/>
    </row>
    <row r="3607" spans="1:3" ht="16.8">
      <c r="A3607" s="165"/>
      <c r="B3607" s="171"/>
      <c r="C3607" s="165"/>
    </row>
    <row r="3608" spans="1:3" ht="16.8">
      <c r="A3608" s="165"/>
      <c r="B3608" s="171"/>
      <c r="C3608" s="165"/>
    </row>
    <row r="3609" spans="1:3" ht="16.8">
      <c r="A3609" s="165"/>
      <c r="B3609" s="171"/>
      <c r="C3609" s="165"/>
    </row>
    <row r="3610" spans="1:3" ht="16.8">
      <c r="A3610" s="165"/>
      <c r="B3610" s="171"/>
      <c r="C3610" s="165"/>
    </row>
    <row r="3611" spans="1:3" ht="16.8">
      <c r="A3611" s="165"/>
      <c r="B3611" s="171"/>
      <c r="C3611" s="165"/>
    </row>
    <row r="3612" spans="1:3" ht="16.8">
      <c r="A3612" s="165"/>
      <c r="B3612" s="171"/>
      <c r="C3612" s="165"/>
    </row>
    <row r="3613" spans="1:3" ht="16.8">
      <c r="A3613" s="165"/>
      <c r="B3613" s="171"/>
      <c r="C3613" s="165"/>
    </row>
    <row r="3614" spans="1:3" ht="16.8">
      <c r="A3614" s="165"/>
      <c r="B3614" s="171"/>
      <c r="C3614" s="165"/>
    </row>
    <row r="3615" spans="1:3" ht="16.8">
      <c r="A3615" s="165"/>
      <c r="B3615" s="171"/>
      <c r="C3615" s="165"/>
    </row>
    <row r="3616" spans="1:3" ht="16.8">
      <c r="A3616" s="165"/>
      <c r="B3616" s="171"/>
      <c r="C3616" s="165"/>
    </row>
    <row r="3617" spans="1:3" ht="16.8">
      <c r="A3617" s="165"/>
      <c r="B3617" s="171"/>
      <c r="C3617" s="165"/>
    </row>
    <row r="3618" spans="1:3" ht="16.8">
      <c r="A3618" s="165"/>
      <c r="B3618" s="171"/>
      <c r="C3618" s="165"/>
    </row>
    <row r="3619" spans="1:3" ht="16.8">
      <c r="A3619" s="165"/>
      <c r="B3619" s="171"/>
      <c r="C3619" s="165"/>
    </row>
    <row r="3620" spans="1:3" ht="16.8">
      <c r="A3620" s="165"/>
      <c r="B3620" s="171"/>
      <c r="C3620" s="165"/>
    </row>
    <row r="3621" spans="1:3" ht="16.8">
      <c r="A3621" s="165"/>
      <c r="B3621" s="171"/>
      <c r="C3621" s="165"/>
    </row>
    <row r="3622" spans="1:3" ht="16.8">
      <c r="A3622" s="165"/>
      <c r="B3622" s="171"/>
      <c r="C3622" s="165"/>
    </row>
    <row r="3623" spans="1:3" ht="16.8">
      <c r="A3623" s="165"/>
      <c r="B3623" s="171"/>
      <c r="C3623" s="165"/>
    </row>
    <row r="3624" spans="1:3" ht="16.8">
      <c r="A3624" s="165"/>
      <c r="B3624" s="171"/>
      <c r="C3624" s="165"/>
    </row>
    <row r="3625" spans="1:3" ht="16.8">
      <c r="A3625" s="165"/>
      <c r="B3625" s="171"/>
      <c r="C3625" s="165"/>
    </row>
    <row r="3626" spans="1:3" ht="16.8">
      <c r="A3626" s="165"/>
      <c r="B3626" s="171"/>
      <c r="C3626" s="165"/>
    </row>
    <row r="3627" spans="1:3" ht="16.8">
      <c r="A3627" s="165"/>
      <c r="B3627" s="171"/>
      <c r="C3627" s="165"/>
    </row>
    <row r="3628" spans="1:3" ht="16.8">
      <c r="A3628" s="165"/>
      <c r="B3628" s="171"/>
      <c r="C3628" s="165"/>
    </row>
    <row r="3629" spans="1:3" ht="16.8">
      <c r="A3629" s="165"/>
      <c r="B3629" s="171"/>
      <c r="C3629" s="165"/>
    </row>
    <row r="3630" spans="1:3" ht="16.8">
      <c r="A3630" s="165"/>
      <c r="B3630" s="171"/>
      <c r="C3630" s="165"/>
    </row>
    <row r="3631" spans="1:3" ht="16.8">
      <c r="A3631" s="165"/>
      <c r="B3631" s="171"/>
      <c r="C3631" s="165"/>
    </row>
    <row r="3632" spans="1:3" ht="16.8">
      <c r="A3632" s="165"/>
      <c r="B3632" s="171"/>
      <c r="C3632" s="165"/>
    </row>
    <row r="3633" spans="1:3" ht="16.8">
      <c r="A3633" s="165"/>
      <c r="B3633" s="171"/>
      <c r="C3633" s="165"/>
    </row>
    <row r="3634" spans="1:3" ht="16.8">
      <c r="A3634" s="165"/>
      <c r="B3634" s="171"/>
      <c r="C3634" s="165"/>
    </row>
    <row r="3635" spans="1:3" ht="16.8">
      <c r="A3635" s="165"/>
      <c r="B3635" s="171"/>
      <c r="C3635" s="165"/>
    </row>
    <row r="3636" spans="1:3" ht="16.8">
      <c r="A3636" s="165"/>
      <c r="B3636" s="171"/>
      <c r="C3636" s="165"/>
    </row>
    <row r="3637" spans="1:3" ht="16.8">
      <c r="A3637" s="165"/>
      <c r="B3637" s="171"/>
      <c r="C3637" s="165"/>
    </row>
    <row r="3638" spans="1:3" ht="16.8">
      <c r="A3638" s="165"/>
      <c r="B3638" s="171"/>
      <c r="C3638" s="165"/>
    </row>
    <row r="3639" spans="1:3" ht="16.8">
      <c r="A3639" s="165"/>
      <c r="B3639" s="171"/>
      <c r="C3639" s="165"/>
    </row>
    <row r="3640" spans="1:3" ht="16.8">
      <c r="A3640" s="165"/>
      <c r="B3640" s="171"/>
      <c r="C3640" s="165"/>
    </row>
    <row r="3641" spans="1:3" ht="16.8">
      <c r="A3641" s="165"/>
      <c r="B3641" s="171"/>
      <c r="C3641" s="165"/>
    </row>
    <row r="3642" spans="1:3" ht="16.8">
      <c r="A3642" s="165"/>
      <c r="B3642" s="171"/>
      <c r="C3642" s="165"/>
    </row>
    <row r="3643" spans="1:3" ht="16.8">
      <c r="A3643" s="165"/>
      <c r="B3643" s="171"/>
      <c r="C3643" s="165"/>
    </row>
    <row r="3644" spans="1:3" ht="16.8">
      <c r="A3644" s="165"/>
      <c r="B3644" s="171"/>
      <c r="C3644" s="165"/>
    </row>
    <row r="3645" spans="1:3" ht="16.8">
      <c r="A3645" s="165"/>
      <c r="B3645" s="171"/>
      <c r="C3645" s="165"/>
    </row>
    <row r="3646" spans="1:3" ht="16.8">
      <c r="A3646" s="165"/>
      <c r="B3646" s="171"/>
      <c r="C3646" s="165"/>
    </row>
    <row r="3647" spans="1:3" ht="16.8">
      <c r="A3647" s="165"/>
      <c r="B3647" s="171"/>
      <c r="C3647" s="165"/>
    </row>
    <row r="3648" spans="1:3" ht="16.8">
      <c r="A3648" s="165"/>
      <c r="B3648" s="171"/>
      <c r="C3648" s="165"/>
    </row>
    <row r="3649" spans="1:3" ht="16.8">
      <c r="A3649" s="165"/>
      <c r="B3649" s="171"/>
      <c r="C3649" s="165"/>
    </row>
    <row r="3650" spans="1:3" ht="16.8">
      <c r="A3650" s="165"/>
      <c r="B3650" s="171"/>
      <c r="C3650" s="165"/>
    </row>
    <row r="3651" spans="1:3" ht="16.8">
      <c r="A3651" s="165"/>
      <c r="B3651" s="171"/>
      <c r="C3651" s="165"/>
    </row>
    <row r="3652" spans="1:3" ht="16.8">
      <c r="A3652" s="165"/>
      <c r="B3652" s="171"/>
      <c r="C3652" s="165"/>
    </row>
    <row r="3653" spans="1:3" ht="16.8">
      <c r="A3653" s="165"/>
      <c r="B3653" s="171"/>
      <c r="C3653" s="165"/>
    </row>
    <row r="3654" spans="1:3" ht="16.8">
      <c r="A3654" s="165"/>
      <c r="B3654" s="171"/>
      <c r="C3654" s="165"/>
    </row>
    <row r="3655" spans="1:3" ht="16.8">
      <c r="A3655" s="165"/>
      <c r="B3655" s="171"/>
      <c r="C3655" s="165"/>
    </row>
    <row r="3656" spans="1:3" ht="16.8">
      <c r="A3656" s="165"/>
      <c r="B3656" s="171"/>
      <c r="C3656" s="165"/>
    </row>
    <row r="3657" spans="1:3" ht="16.8">
      <c r="A3657" s="165"/>
      <c r="B3657" s="171"/>
      <c r="C3657" s="165"/>
    </row>
    <row r="3658" spans="1:3" ht="16.8">
      <c r="A3658" s="165"/>
      <c r="B3658" s="171"/>
      <c r="C3658" s="165"/>
    </row>
    <row r="3659" spans="1:3" ht="16.8">
      <c r="A3659" s="165"/>
      <c r="B3659" s="171"/>
      <c r="C3659" s="165"/>
    </row>
    <row r="3660" spans="1:3" ht="16.8">
      <c r="A3660" s="165"/>
      <c r="B3660" s="171"/>
      <c r="C3660" s="165"/>
    </row>
    <row r="3661" spans="1:3" ht="16.8">
      <c r="A3661" s="165"/>
      <c r="B3661" s="171"/>
      <c r="C3661" s="165"/>
    </row>
    <row r="3662" spans="1:3" ht="16.8">
      <c r="A3662" s="165"/>
      <c r="B3662" s="171"/>
      <c r="C3662" s="165"/>
    </row>
    <row r="3663" spans="1:3" ht="16.8">
      <c r="A3663" s="165"/>
      <c r="B3663" s="171"/>
      <c r="C3663" s="165"/>
    </row>
    <row r="3664" spans="1:3" ht="16.8">
      <c r="A3664" s="165"/>
      <c r="B3664" s="171"/>
      <c r="C3664" s="165"/>
    </row>
    <row r="3665" spans="1:3" ht="16.8">
      <c r="A3665" s="165"/>
      <c r="B3665" s="171"/>
      <c r="C3665" s="165"/>
    </row>
    <row r="3666" spans="1:3" ht="16.8">
      <c r="A3666" s="165"/>
      <c r="B3666" s="171"/>
      <c r="C3666" s="165"/>
    </row>
    <row r="3667" spans="1:3" ht="16.8">
      <c r="A3667" s="165"/>
      <c r="B3667" s="171"/>
      <c r="C3667" s="165"/>
    </row>
    <row r="3668" spans="1:3" ht="16.8">
      <c r="A3668" s="165"/>
      <c r="B3668" s="171"/>
      <c r="C3668" s="165"/>
    </row>
    <row r="3669" spans="1:3" ht="16.8">
      <c r="A3669" s="165"/>
      <c r="B3669" s="171"/>
      <c r="C3669" s="165"/>
    </row>
    <row r="3670" spans="1:3" ht="16.8">
      <c r="A3670" s="165"/>
      <c r="B3670" s="171"/>
      <c r="C3670" s="165"/>
    </row>
    <row r="3671" spans="1:3" ht="16.8">
      <c r="A3671" s="165"/>
      <c r="B3671" s="171"/>
      <c r="C3671" s="165"/>
    </row>
    <row r="3672" spans="1:3" ht="16.8">
      <c r="A3672" s="165"/>
      <c r="B3672" s="171"/>
      <c r="C3672" s="165"/>
    </row>
    <row r="3673" spans="1:3" ht="16.8">
      <c r="A3673" s="165"/>
      <c r="B3673" s="171"/>
      <c r="C3673" s="165"/>
    </row>
    <row r="3674" spans="1:3" ht="16.8">
      <c r="A3674" s="165"/>
      <c r="B3674" s="171"/>
      <c r="C3674" s="165"/>
    </row>
    <row r="3675" spans="1:3" ht="16.8">
      <c r="A3675" s="165"/>
      <c r="B3675" s="171"/>
      <c r="C3675" s="165"/>
    </row>
    <row r="3676" spans="1:3" ht="16.8">
      <c r="A3676" s="165"/>
      <c r="B3676" s="171"/>
      <c r="C3676" s="165"/>
    </row>
    <row r="3677" spans="1:3" ht="16.8">
      <c r="A3677" s="165"/>
      <c r="B3677" s="171"/>
      <c r="C3677" s="165"/>
    </row>
    <row r="3678" spans="1:3" ht="16.8">
      <c r="A3678" s="165"/>
      <c r="B3678" s="171"/>
      <c r="C3678" s="165"/>
    </row>
    <row r="3679" spans="1:3" ht="16.8">
      <c r="A3679" s="165"/>
      <c r="B3679" s="171"/>
      <c r="C3679" s="165"/>
    </row>
    <row r="3680" spans="1:3" ht="16.8">
      <c r="A3680" s="165"/>
      <c r="B3680" s="171"/>
      <c r="C3680" s="165"/>
    </row>
    <row r="3681" spans="1:3" ht="16.8">
      <c r="A3681" s="165"/>
      <c r="B3681" s="171"/>
      <c r="C3681" s="165"/>
    </row>
    <row r="3682" spans="1:3" ht="16.8">
      <c r="A3682" s="165"/>
      <c r="B3682" s="171"/>
      <c r="C3682" s="165"/>
    </row>
    <row r="3683" spans="1:3" ht="16.8">
      <c r="A3683" s="165"/>
      <c r="B3683" s="171"/>
      <c r="C3683" s="165"/>
    </row>
    <row r="3684" spans="1:3" ht="16.8">
      <c r="A3684" s="165"/>
      <c r="B3684" s="171"/>
      <c r="C3684" s="165"/>
    </row>
    <row r="3685" spans="1:3" ht="16.8">
      <c r="A3685" s="165"/>
      <c r="B3685" s="171"/>
      <c r="C3685" s="165"/>
    </row>
    <row r="3686" spans="1:3" ht="16.8">
      <c r="A3686" s="165"/>
      <c r="B3686" s="171"/>
      <c r="C3686" s="165"/>
    </row>
    <row r="3687" spans="1:3" ht="16.8">
      <c r="A3687" s="165"/>
      <c r="B3687" s="171"/>
      <c r="C3687" s="165"/>
    </row>
    <row r="3688" spans="1:3" ht="16.8">
      <c r="A3688" s="165"/>
      <c r="B3688" s="171"/>
      <c r="C3688" s="165"/>
    </row>
    <row r="3689" spans="1:3" ht="16.8">
      <c r="A3689" s="165"/>
      <c r="B3689" s="171"/>
      <c r="C3689" s="165"/>
    </row>
    <row r="3690" spans="1:3" ht="16.8">
      <c r="A3690" s="165"/>
      <c r="B3690" s="171"/>
      <c r="C3690" s="165"/>
    </row>
    <row r="3691" spans="1:3" ht="16.8">
      <c r="A3691" s="165"/>
      <c r="B3691" s="171"/>
      <c r="C3691" s="165"/>
    </row>
    <row r="3692" spans="1:3" ht="16.8">
      <c r="A3692" s="165"/>
      <c r="B3692" s="171"/>
      <c r="C3692" s="165"/>
    </row>
    <row r="3693" spans="1:3" ht="16.8">
      <c r="A3693" s="165"/>
      <c r="B3693" s="171"/>
      <c r="C3693" s="165"/>
    </row>
    <row r="3694" spans="1:3" ht="16.8">
      <c r="A3694" s="165"/>
      <c r="B3694" s="171"/>
      <c r="C3694" s="165"/>
    </row>
    <row r="3695" spans="1:3" ht="16.8">
      <c r="A3695" s="165"/>
      <c r="B3695" s="171"/>
      <c r="C3695" s="165"/>
    </row>
    <row r="3696" spans="1:3" ht="16.8">
      <c r="A3696" s="165"/>
      <c r="B3696" s="171"/>
      <c r="C3696" s="165"/>
    </row>
    <row r="3697" spans="1:3" ht="16.8">
      <c r="A3697" s="165"/>
      <c r="B3697" s="171"/>
      <c r="C3697" s="165"/>
    </row>
    <row r="3698" spans="1:3" ht="16.8">
      <c r="A3698" s="165"/>
      <c r="B3698" s="171"/>
      <c r="C3698" s="165"/>
    </row>
    <row r="3699" spans="1:3" ht="16.8">
      <c r="A3699" s="165"/>
      <c r="B3699" s="171"/>
      <c r="C3699" s="165"/>
    </row>
    <row r="3700" spans="1:3" ht="16.8">
      <c r="A3700" s="165"/>
      <c r="B3700" s="171"/>
      <c r="C3700" s="165"/>
    </row>
    <row r="3701" spans="1:3" ht="16.8">
      <c r="A3701" s="165"/>
      <c r="B3701" s="171"/>
      <c r="C3701" s="165"/>
    </row>
    <row r="3702" spans="1:3" ht="16.8">
      <c r="A3702" s="165"/>
      <c r="B3702" s="171"/>
      <c r="C3702" s="165"/>
    </row>
    <row r="3703" spans="1:3" ht="16.8">
      <c r="A3703" s="165"/>
      <c r="B3703" s="171"/>
      <c r="C3703" s="165"/>
    </row>
    <row r="3704" spans="1:3" ht="16.8">
      <c r="A3704" s="165"/>
      <c r="B3704" s="171"/>
      <c r="C3704" s="165"/>
    </row>
    <row r="3705" spans="1:3" ht="16.8">
      <c r="A3705" s="165"/>
      <c r="B3705" s="171"/>
      <c r="C3705" s="165"/>
    </row>
    <row r="3706" spans="1:3" ht="16.8">
      <c r="A3706" s="165"/>
      <c r="B3706" s="171"/>
      <c r="C3706" s="165"/>
    </row>
    <row r="3707" spans="1:3" ht="16.8">
      <c r="A3707" s="165"/>
      <c r="B3707" s="171"/>
      <c r="C3707" s="165"/>
    </row>
    <row r="3708" spans="1:3" ht="16.8">
      <c r="A3708" s="165"/>
      <c r="B3708" s="171"/>
      <c r="C3708" s="165"/>
    </row>
    <row r="3709" spans="1:3" ht="16.8">
      <c r="A3709" s="165"/>
      <c r="B3709" s="171"/>
      <c r="C3709" s="165"/>
    </row>
    <row r="3710" spans="1:3" ht="16.8">
      <c r="A3710" s="165"/>
      <c r="B3710" s="171"/>
      <c r="C3710" s="165"/>
    </row>
    <row r="3711" spans="1:3" ht="16.8">
      <c r="A3711" s="165"/>
      <c r="B3711" s="171"/>
      <c r="C3711" s="165"/>
    </row>
    <row r="3712" spans="1:3" ht="16.8">
      <c r="A3712" s="165"/>
      <c r="B3712" s="171"/>
      <c r="C3712" s="165"/>
    </row>
    <row r="3713" spans="1:3" ht="16.8">
      <c r="A3713" s="165"/>
      <c r="B3713" s="171"/>
      <c r="C3713" s="165"/>
    </row>
    <row r="3714" spans="1:3" ht="16.8">
      <c r="A3714" s="165"/>
      <c r="B3714" s="171"/>
      <c r="C3714" s="165"/>
    </row>
    <row r="3715" spans="1:3" ht="16.8">
      <c r="A3715" s="165"/>
      <c r="B3715" s="171"/>
      <c r="C3715" s="165"/>
    </row>
    <row r="3716" spans="1:3" ht="16.8">
      <c r="A3716" s="165"/>
      <c r="B3716" s="171"/>
      <c r="C3716" s="165"/>
    </row>
    <row r="3717" spans="1:3" ht="16.8">
      <c r="A3717" s="165"/>
      <c r="B3717" s="171"/>
      <c r="C3717" s="165"/>
    </row>
    <row r="3718" spans="1:3" ht="16.8">
      <c r="A3718" s="165"/>
      <c r="B3718" s="171"/>
      <c r="C3718" s="165"/>
    </row>
    <row r="3719" spans="1:3" ht="16.8">
      <c r="A3719" s="165"/>
      <c r="B3719" s="171"/>
      <c r="C3719" s="165"/>
    </row>
    <row r="3720" spans="1:3" ht="16.8">
      <c r="A3720" s="165"/>
      <c r="B3720" s="171"/>
      <c r="C3720" s="165"/>
    </row>
    <row r="3721" spans="1:3" ht="16.8">
      <c r="A3721" s="165"/>
      <c r="B3721" s="171"/>
      <c r="C3721" s="165"/>
    </row>
    <row r="3722" spans="1:3" ht="16.8">
      <c r="A3722" s="165"/>
      <c r="B3722" s="171"/>
      <c r="C3722" s="165"/>
    </row>
    <row r="3723" spans="1:3" ht="16.8">
      <c r="A3723" s="165"/>
      <c r="B3723" s="171"/>
      <c r="C3723" s="165"/>
    </row>
    <row r="3724" spans="1:3" ht="16.8">
      <c r="A3724" s="165"/>
      <c r="B3724" s="171"/>
      <c r="C3724" s="165"/>
    </row>
    <row r="3725" spans="1:3" ht="16.8">
      <c r="A3725" s="165"/>
      <c r="B3725" s="171"/>
      <c r="C3725" s="165"/>
    </row>
    <row r="3726" spans="1:3" ht="16.8">
      <c r="A3726" s="165"/>
      <c r="B3726" s="171"/>
      <c r="C3726" s="165"/>
    </row>
    <row r="3727" spans="1:3" ht="16.8">
      <c r="A3727" s="165"/>
      <c r="B3727" s="171"/>
      <c r="C3727" s="165"/>
    </row>
    <row r="3728" spans="1:3" ht="16.8">
      <c r="A3728" s="165"/>
      <c r="B3728" s="171"/>
      <c r="C3728" s="165"/>
    </row>
    <row r="3729" spans="1:3" ht="16.8">
      <c r="A3729" s="165"/>
      <c r="B3729" s="171"/>
      <c r="C3729" s="165"/>
    </row>
    <row r="3730" spans="1:3" ht="16.8">
      <c r="A3730" s="165"/>
      <c r="B3730" s="171"/>
      <c r="C3730" s="165"/>
    </row>
    <row r="3731" spans="1:3" ht="16.8">
      <c r="A3731" s="165"/>
      <c r="B3731" s="171"/>
      <c r="C3731" s="165"/>
    </row>
    <row r="3732" spans="1:3" ht="16.8">
      <c r="A3732" s="165"/>
      <c r="B3732" s="171"/>
      <c r="C3732" s="165"/>
    </row>
    <row r="3733" spans="1:3" ht="16.8">
      <c r="A3733" s="165"/>
      <c r="B3733" s="171"/>
      <c r="C3733" s="165"/>
    </row>
    <row r="3734" spans="1:3" ht="16.8">
      <c r="A3734" s="165"/>
      <c r="B3734" s="171"/>
      <c r="C3734" s="165"/>
    </row>
    <row r="3735" spans="1:3" ht="16.8">
      <c r="A3735" s="165"/>
      <c r="B3735" s="171"/>
      <c r="C3735" s="165"/>
    </row>
    <row r="3736" spans="1:3" ht="16.8">
      <c r="A3736" s="165"/>
      <c r="B3736" s="171"/>
      <c r="C3736" s="165"/>
    </row>
    <row r="3737" spans="1:3" ht="16.8">
      <c r="A3737" s="165"/>
      <c r="B3737" s="171"/>
      <c r="C3737" s="165"/>
    </row>
    <row r="3738" spans="1:3" ht="16.8">
      <c r="A3738" s="165"/>
      <c r="B3738" s="171"/>
      <c r="C3738" s="165"/>
    </row>
    <row r="3739" spans="1:3" ht="16.8">
      <c r="A3739" s="165"/>
      <c r="B3739" s="171"/>
      <c r="C3739" s="165"/>
    </row>
    <row r="3740" spans="1:3" ht="16.8">
      <c r="A3740" s="165"/>
      <c r="B3740" s="171"/>
      <c r="C3740" s="165"/>
    </row>
    <row r="3741" spans="1:3" ht="16.8">
      <c r="A3741" s="165"/>
      <c r="B3741" s="171"/>
      <c r="C3741" s="165"/>
    </row>
    <row r="3742" spans="1:3" ht="16.8">
      <c r="A3742" s="165"/>
      <c r="B3742" s="171"/>
      <c r="C3742" s="165"/>
    </row>
    <row r="3743" spans="1:3" ht="16.8">
      <c r="A3743" s="165"/>
      <c r="B3743" s="171"/>
      <c r="C3743" s="165"/>
    </row>
    <row r="3744" spans="1:3" ht="16.8">
      <c r="A3744" s="165"/>
      <c r="B3744" s="171"/>
      <c r="C3744" s="165"/>
    </row>
    <row r="3745" spans="1:3" ht="16.8">
      <c r="A3745" s="165"/>
      <c r="B3745" s="171"/>
      <c r="C3745" s="165"/>
    </row>
    <row r="3746" spans="1:3" ht="16.8">
      <c r="A3746" s="165"/>
      <c r="B3746" s="171"/>
      <c r="C3746" s="165"/>
    </row>
    <row r="3747" spans="1:3" ht="16.8">
      <c r="A3747" s="165"/>
      <c r="B3747" s="171"/>
      <c r="C3747" s="165"/>
    </row>
    <row r="3748" spans="1:3" ht="16.8">
      <c r="A3748" s="165"/>
      <c r="B3748" s="171"/>
      <c r="C3748" s="165"/>
    </row>
    <row r="3749" spans="1:3" ht="16.8">
      <c r="A3749" s="165"/>
      <c r="B3749" s="171"/>
      <c r="C3749" s="165"/>
    </row>
    <row r="3750" spans="1:3" ht="16.8">
      <c r="A3750" s="165"/>
      <c r="B3750" s="171"/>
      <c r="C3750" s="165"/>
    </row>
    <row r="3751" spans="1:3" ht="16.8">
      <c r="A3751" s="165"/>
      <c r="B3751" s="171"/>
      <c r="C3751" s="165"/>
    </row>
    <row r="3752" spans="1:3" ht="16.8">
      <c r="A3752" s="165"/>
      <c r="B3752" s="171"/>
      <c r="C3752" s="165"/>
    </row>
    <row r="3753" spans="1:3" ht="16.8">
      <c r="A3753" s="165"/>
      <c r="B3753" s="171"/>
      <c r="C3753" s="165"/>
    </row>
    <row r="3754" spans="1:3" ht="16.8">
      <c r="A3754" s="165"/>
      <c r="B3754" s="171"/>
      <c r="C3754" s="165"/>
    </row>
    <row r="3755" spans="1:3" ht="16.8">
      <c r="A3755" s="165"/>
      <c r="B3755" s="171"/>
      <c r="C3755" s="165"/>
    </row>
    <row r="3756" spans="1:3" ht="16.8">
      <c r="A3756" s="165"/>
      <c r="B3756" s="171"/>
      <c r="C3756" s="165"/>
    </row>
    <row r="3757" spans="1:3" ht="16.8">
      <c r="A3757" s="165"/>
      <c r="B3757" s="171"/>
      <c r="C3757" s="165"/>
    </row>
    <row r="3758" spans="1:3" ht="16.8">
      <c r="A3758" s="165"/>
      <c r="B3758" s="171"/>
      <c r="C3758" s="165"/>
    </row>
    <row r="3759" spans="1:3" ht="16.8">
      <c r="A3759" s="165"/>
      <c r="B3759" s="171"/>
      <c r="C3759" s="165"/>
    </row>
    <row r="3760" spans="1:3" ht="16.8">
      <c r="A3760" s="165"/>
      <c r="B3760" s="171"/>
      <c r="C3760" s="165"/>
    </row>
    <row r="3761" spans="1:3" ht="16.8">
      <c r="A3761" s="165"/>
      <c r="B3761" s="171"/>
      <c r="C3761" s="165"/>
    </row>
    <row r="3762" spans="1:3" ht="16.8">
      <c r="A3762" s="165"/>
      <c r="B3762" s="171"/>
      <c r="C3762" s="165"/>
    </row>
    <row r="3763" spans="1:3" ht="16.8">
      <c r="A3763" s="165"/>
      <c r="B3763" s="171"/>
      <c r="C3763" s="165"/>
    </row>
    <row r="3764" spans="1:3" ht="16.8">
      <c r="A3764" s="165"/>
      <c r="B3764" s="171"/>
      <c r="C3764" s="165"/>
    </row>
    <row r="3765" spans="1:3" ht="16.8">
      <c r="A3765" s="165"/>
      <c r="B3765" s="171"/>
      <c r="C3765" s="165"/>
    </row>
    <row r="3766" spans="1:3" ht="16.8">
      <c r="A3766" s="165"/>
      <c r="B3766" s="171"/>
      <c r="C3766" s="165"/>
    </row>
    <row r="3767" spans="1:3" ht="16.8">
      <c r="A3767" s="165"/>
      <c r="B3767" s="171"/>
      <c r="C3767" s="165"/>
    </row>
    <row r="3768" spans="1:3" ht="16.8">
      <c r="A3768" s="165"/>
      <c r="B3768" s="171"/>
      <c r="C3768" s="165"/>
    </row>
    <row r="3769" spans="1:3" ht="16.8">
      <c r="A3769" s="165"/>
      <c r="B3769" s="171"/>
      <c r="C3769" s="165"/>
    </row>
    <row r="3770" spans="1:3" ht="16.8">
      <c r="A3770" s="165"/>
      <c r="B3770" s="171"/>
      <c r="C3770" s="165"/>
    </row>
    <row r="3771" spans="1:3" ht="16.8">
      <c r="A3771" s="165"/>
      <c r="B3771" s="171"/>
      <c r="C3771" s="165"/>
    </row>
    <row r="3772" spans="1:3" ht="16.8">
      <c r="A3772" s="165"/>
      <c r="B3772" s="171"/>
      <c r="C3772" s="165"/>
    </row>
    <row r="3773" spans="1:3" ht="16.8">
      <c r="A3773" s="165"/>
      <c r="B3773" s="171"/>
      <c r="C3773" s="165"/>
    </row>
    <row r="3774" spans="1:3" ht="16.8">
      <c r="A3774" s="165"/>
      <c r="B3774" s="171"/>
      <c r="C3774" s="165"/>
    </row>
    <row r="3775" spans="1:3" ht="16.8">
      <c r="A3775" s="165"/>
      <c r="B3775" s="171"/>
      <c r="C3775" s="165"/>
    </row>
    <row r="3776" spans="1:3" ht="16.8">
      <c r="A3776" s="165"/>
      <c r="B3776" s="171"/>
      <c r="C3776" s="165"/>
    </row>
    <row r="3777" spans="1:3" ht="16.8">
      <c r="A3777" s="165"/>
      <c r="B3777" s="171"/>
      <c r="C3777" s="165"/>
    </row>
    <row r="3778" spans="1:3" ht="16.8">
      <c r="A3778" s="165"/>
      <c r="B3778" s="171"/>
      <c r="C3778" s="165"/>
    </row>
    <row r="3779" spans="1:3" ht="16.8">
      <c r="A3779" s="165"/>
      <c r="B3779" s="171"/>
      <c r="C3779" s="165"/>
    </row>
    <row r="3780" spans="1:3" ht="16.8">
      <c r="A3780" s="165"/>
      <c r="B3780" s="171"/>
      <c r="C3780" s="165"/>
    </row>
    <row r="3781" spans="1:3" ht="16.8">
      <c r="A3781" s="165"/>
      <c r="B3781" s="171"/>
      <c r="C3781" s="165"/>
    </row>
    <row r="3782" spans="1:3" ht="16.8">
      <c r="A3782" s="165"/>
      <c r="B3782" s="171"/>
      <c r="C3782" s="165"/>
    </row>
    <row r="3783" spans="1:3" ht="16.8">
      <c r="A3783" s="165"/>
      <c r="B3783" s="171"/>
      <c r="C3783" s="165"/>
    </row>
    <row r="3784" spans="1:3" ht="16.8">
      <c r="A3784" s="165"/>
      <c r="B3784" s="171"/>
      <c r="C3784" s="165"/>
    </row>
    <row r="3785" spans="1:3" ht="16.8">
      <c r="A3785" s="165"/>
      <c r="B3785" s="171"/>
      <c r="C3785" s="165"/>
    </row>
    <row r="3786" spans="1:3" ht="16.8">
      <c r="A3786" s="165"/>
      <c r="B3786" s="171"/>
      <c r="C3786" s="165"/>
    </row>
    <row r="3787" spans="1:3" ht="16.8">
      <c r="A3787" s="165"/>
      <c r="B3787" s="171"/>
      <c r="C3787" s="165"/>
    </row>
    <row r="3788" spans="1:3" ht="16.8">
      <c r="A3788" s="165"/>
      <c r="B3788" s="171"/>
      <c r="C3788" s="165"/>
    </row>
    <row r="3789" spans="1:3" ht="16.8">
      <c r="A3789" s="165"/>
      <c r="B3789" s="171"/>
      <c r="C3789" s="165"/>
    </row>
    <row r="3790" spans="1:3" ht="16.8">
      <c r="A3790" s="165"/>
      <c r="B3790" s="171"/>
      <c r="C3790" s="165"/>
    </row>
    <row r="3791" spans="1:3" ht="16.8">
      <c r="A3791" s="165"/>
      <c r="B3791" s="171"/>
      <c r="C3791" s="165"/>
    </row>
    <row r="3792" spans="1:3" ht="16.8">
      <c r="A3792" s="165"/>
      <c r="B3792" s="171"/>
      <c r="C3792" s="165"/>
    </row>
    <row r="3793" spans="1:3" ht="16.8">
      <c r="A3793" s="165"/>
      <c r="B3793" s="171"/>
      <c r="C3793" s="165"/>
    </row>
    <row r="3794" spans="1:3" ht="16.8">
      <c r="A3794" s="165"/>
      <c r="B3794" s="171"/>
      <c r="C3794" s="165"/>
    </row>
    <row r="3795" spans="1:3" ht="16.8">
      <c r="A3795" s="165"/>
      <c r="B3795" s="171"/>
      <c r="C3795" s="165"/>
    </row>
    <row r="3796" spans="1:3" ht="16.8">
      <c r="A3796" s="165"/>
      <c r="B3796" s="171"/>
      <c r="C3796" s="165"/>
    </row>
    <row r="3797" spans="1:3" ht="16.8">
      <c r="A3797" s="165"/>
      <c r="B3797" s="171"/>
      <c r="C3797" s="165"/>
    </row>
    <row r="3798" spans="1:3" ht="16.8">
      <c r="A3798" s="165"/>
      <c r="B3798" s="171"/>
      <c r="C3798" s="165"/>
    </row>
    <row r="3799" spans="1:3" ht="16.8">
      <c r="A3799" s="165"/>
      <c r="B3799" s="171"/>
      <c r="C3799" s="165"/>
    </row>
    <row r="3800" spans="1:3" ht="16.8">
      <c r="A3800" s="165"/>
      <c r="B3800" s="171"/>
      <c r="C3800" s="165"/>
    </row>
    <row r="3801" spans="1:3" ht="16.8">
      <c r="A3801" s="165"/>
      <c r="B3801" s="171"/>
      <c r="C3801" s="165"/>
    </row>
    <row r="3802" spans="1:3" ht="16.8">
      <c r="A3802" s="165"/>
      <c r="B3802" s="171"/>
      <c r="C3802" s="165"/>
    </row>
    <row r="3803" spans="1:3" ht="16.8">
      <c r="A3803" s="165"/>
      <c r="B3803" s="171"/>
      <c r="C3803" s="165"/>
    </row>
    <row r="3804" spans="1:3" ht="16.8">
      <c r="A3804" s="165"/>
      <c r="B3804" s="171"/>
      <c r="C3804" s="165"/>
    </row>
    <row r="3805" spans="1:3" ht="16.8">
      <c r="A3805" s="165"/>
      <c r="B3805" s="171"/>
      <c r="C3805" s="165"/>
    </row>
    <row r="3806" spans="1:3" ht="16.8">
      <c r="A3806" s="165"/>
      <c r="B3806" s="171"/>
      <c r="C3806" s="165"/>
    </row>
    <row r="3807" spans="1:3" ht="16.8">
      <c r="A3807" s="165"/>
      <c r="B3807" s="171"/>
      <c r="C3807" s="165"/>
    </row>
    <row r="3808" spans="1:3" ht="16.8">
      <c r="A3808" s="165"/>
      <c r="B3808" s="171"/>
      <c r="C3808" s="165"/>
    </row>
    <row r="3809" spans="1:3" ht="16.8">
      <c r="A3809" s="165"/>
      <c r="B3809" s="171"/>
      <c r="C3809" s="165"/>
    </row>
    <row r="3810" spans="1:3" ht="16.8">
      <c r="A3810" s="165"/>
      <c r="B3810" s="171"/>
      <c r="C3810" s="165"/>
    </row>
    <row r="3811" spans="1:3" ht="16.8">
      <c r="A3811" s="165"/>
      <c r="B3811" s="171"/>
      <c r="C3811" s="165"/>
    </row>
    <row r="3812" spans="1:3" ht="16.8">
      <c r="A3812" s="165"/>
      <c r="B3812" s="171"/>
      <c r="C3812" s="165"/>
    </row>
    <row r="3813" spans="1:3" ht="16.8">
      <c r="A3813" s="165"/>
      <c r="B3813" s="171"/>
      <c r="C3813" s="165"/>
    </row>
    <row r="3814" spans="1:3" ht="16.8">
      <c r="A3814" s="165"/>
      <c r="B3814" s="171"/>
      <c r="C3814" s="165"/>
    </row>
    <row r="3815" spans="1:3" ht="16.8">
      <c r="A3815" s="165"/>
      <c r="B3815" s="171"/>
      <c r="C3815" s="165"/>
    </row>
    <row r="3816" spans="1:3" ht="16.8">
      <c r="A3816" s="165"/>
      <c r="B3816" s="171"/>
      <c r="C3816" s="165"/>
    </row>
    <row r="3817" spans="1:3" ht="16.8">
      <c r="A3817" s="165"/>
      <c r="B3817" s="171"/>
      <c r="C3817" s="165"/>
    </row>
    <row r="3818" spans="1:3" ht="16.8">
      <c r="A3818" s="165"/>
      <c r="B3818" s="171"/>
      <c r="C3818" s="165"/>
    </row>
    <row r="3819" spans="1:3" ht="16.8">
      <c r="A3819" s="165"/>
      <c r="B3819" s="171"/>
      <c r="C3819" s="165"/>
    </row>
    <row r="3820" spans="1:3" ht="16.8">
      <c r="A3820" s="165"/>
      <c r="B3820" s="171"/>
      <c r="C3820" s="165"/>
    </row>
    <row r="3821" spans="1:3" ht="16.8">
      <c r="A3821" s="165"/>
      <c r="B3821" s="171"/>
      <c r="C3821" s="165"/>
    </row>
    <row r="3822" spans="1:3" ht="16.8">
      <c r="A3822" s="165"/>
      <c r="B3822" s="171"/>
      <c r="C3822" s="165"/>
    </row>
    <row r="3823" spans="1:3" ht="16.8">
      <c r="A3823" s="165"/>
      <c r="B3823" s="171"/>
      <c r="C3823" s="165"/>
    </row>
    <row r="3824" spans="1:3" ht="16.8">
      <c r="A3824" s="165"/>
      <c r="B3824" s="171"/>
      <c r="C3824" s="165"/>
    </row>
    <row r="3825" spans="1:3" ht="16.8">
      <c r="A3825" s="165"/>
      <c r="B3825" s="171"/>
      <c r="C3825" s="165"/>
    </row>
    <row r="3826" spans="1:3" ht="16.8">
      <c r="A3826" s="165"/>
      <c r="B3826" s="171"/>
      <c r="C3826" s="165"/>
    </row>
    <row r="3827" spans="1:3" ht="16.8">
      <c r="A3827" s="165"/>
      <c r="B3827" s="171"/>
      <c r="C3827" s="165"/>
    </row>
    <row r="3828" spans="1:3" ht="16.8">
      <c r="A3828" s="165"/>
      <c r="B3828" s="171"/>
      <c r="C3828" s="165"/>
    </row>
    <row r="3829" spans="1:3" ht="16.8">
      <c r="A3829" s="165"/>
      <c r="B3829" s="171"/>
      <c r="C3829" s="165"/>
    </row>
    <row r="3830" spans="1:3" ht="16.8">
      <c r="A3830" s="165"/>
      <c r="B3830" s="171"/>
      <c r="C3830" s="165"/>
    </row>
    <row r="3831" spans="1:3" ht="16.8">
      <c r="A3831" s="165"/>
      <c r="B3831" s="171"/>
      <c r="C3831" s="165"/>
    </row>
    <row r="3832" spans="1:3" ht="16.8">
      <c r="A3832" s="165"/>
      <c r="B3832" s="171"/>
      <c r="C3832" s="165"/>
    </row>
    <row r="3833" spans="1:3" ht="16.8">
      <c r="A3833" s="165"/>
      <c r="B3833" s="171"/>
      <c r="C3833" s="165"/>
    </row>
    <row r="3834" spans="1:3" ht="16.8">
      <c r="A3834" s="165"/>
      <c r="B3834" s="171"/>
      <c r="C3834" s="165"/>
    </row>
    <row r="3835" spans="1:3" ht="16.8">
      <c r="A3835" s="165"/>
      <c r="B3835" s="171"/>
      <c r="C3835" s="165"/>
    </row>
    <row r="3836" spans="1:3" ht="16.8">
      <c r="A3836" s="165"/>
      <c r="B3836" s="171"/>
      <c r="C3836" s="165"/>
    </row>
    <row r="3837" spans="1:3" ht="16.8">
      <c r="A3837" s="165"/>
      <c r="B3837" s="171"/>
      <c r="C3837" s="165"/>
    </row>
    <row r="3838" spans="1:3" ht="16.8">
      <c r="A3838" s="165"/>
      <c r="B3838" s="171"/>
      <c r="C3838" s="165"/>
    </row>
    <row r="3839" spans="1:3" ht="16.8">
      <c r="A3839" s="165"/>
      <c r="B3839" s="171"/>
      <c r="C3839" s="165"/>
    </row>
    <row r="3840" spans="1:3" ht="16.8">
      <c r="A3840" s="165"/>
      <c r="B3840" s="171"/>
      <c r="C3840" s="165"/>
    </row>
    <row r="3841" spans="1:3" ht="16.8">
      <c r="A3841" s="165"/>
      <c r="B3841" s="171"/>
      <c r="C3841" s="165"/>
    </row>
    <row r="3842" spans="1:3" ht="16.8">
      <c r="A3842" s="165"/>
      <c r="B3842" s="171"/>
      <c r="C3842" s="165"/>
    </row>
    <row r="3843" spans="1:3" ht="16.8">
      <c r="A3843" s="165"/>
      <c r="B3843" s="171"/>
      <c r="C3843" s="165"/>
    </row>
    <row r="3844" spans="1:3" ht="16.8">
      <c r="A3844" s="165"/>
      <c r="B3844" s="171"/>
      <c r="C3844" s="165"/>
    </row>
    <row r="3845" spans="1:3" ht="16.8">
      <c r="A3845" s="165"/>
      <c r="B3845" s="171"/>
      <c r="C3845" s="165"/>
    </row>
    <row r="3846" spans="1:3" ht="16.8">
      <c r="A3846" s="165"/>
      <c r="B3846" s="171"/>
      <c r="C3846" s="165"/>
    </row>
    <row r="3847" spans="1:3" ht="16.8">
      <c r="A3847" s="165"/>
      <c r="B3847" s="171"/>
      <c r="C3847" s="165"/>
    </row>
    <row r="3848" spans="1:3" ht="16.8">
      <c r="A3848" s="165"/>
      <c r="B3848" s="171"/>
      <c r="C3848" s="165"/>
    </row>
    <row r="3849" spans="1:3" ht="16.8">
      <c r="A3849" s="165"/>
      <c r="B3849" s="171"/>
      <c r="C3849" s="165"/>
    </row>
    <row r="3850" spans="1:3" ht="16.8">
      <c r="A3850" s="165"/>
      <c r="B3850" s="171"/>
      <c r="C3850" s="165"/>
    </row>
    <row r="3851" spans="1:3" ht="16.8">
      <c r="A3851" s="165"/>
      <c r="B3851" s="171"/>
      <c r="C3851" s="165"/>
    </row>
    <row r="3852" spans="1:3" ht="16.8">
      <c r="A3852" s="165"/>
      <c r="B3852" s="171"/>
      <c r="C3852" s="165"/>
    </row>
    <row r="3853" spans="1:3" ht="16.8">
      <c r="A3853" s="165"/>
      <c r="B3853" s="171"/>
      <c r="C3853" s="165"/>
    </row>
    <row r="3854" spans="1:3" ht="16.8">
      <c r="A3854" s="165"/>
      <c r="B3854" s="171"/>
      <c r="C3854" s="165"/>
    </row>
    <row r="3855" spans="1:3" ht="16.8">
      <c r="A3855" s="165"/>
      <c r="B3855" s="171"/>
      <c r="C3855" s="165"/>
    </row>
    <row r="3856" spans="1:3" ht="16.8">
      <c r="A3856" s="165"/>
      <c r="B3856" s="171"/>
      <c r="C3856" s="165"/>
    </row>
    <row r="3857" spans="1:3" ht="16.8">
      <c r="A3857" s="165"/>
      <c r="B3857" s="171"/>
      <c r="C3857" s="165"/>
    </row>
    <row r="3858" spans="1:3" ht="16.8">
      <c r="A3858" s="165"/>
      <c r="B3858" s="171"/>
      <c r="C3858" s="165"/>
    </row>
    <row r="3859" spans="1:3" ht="16.8">
      <c r="A3859" s="165"/>
      <c r="B3859" s="171"/>
      <c r="C3859" s="165"/>
    </row>
    <row r="3860" spans="1:3" ht="16.8">
      <c r="A3860" s="165"/>
      <c r="B3860" s="171"/>
      <c r="C3860" s="165"/>
    </row>
    <row r="3861" spans="1:3" ht="16.8">
      <c r="A3861" s="165"/>
      <c r="B3861" s="171"/>
      <c r="C3861" s="165"/>
    </row>
    <row r="3862" spans="1:3" ht="16.8">
      <c r="A3862" s="165"/>
      <c r="B3862" s="171"/>
      <c r="C3862" s="165"/>
    </row>
    <row r="3863" spans="1:3" ht="16.8">
      <c r="A3863" s="165"/>
      <c r="B3863" s="171"/>
      <c r="C3863" s="165"/>
    </row>
    <row r="3864" spans="1:3" ht="16.8">
      <c r="A3864" s="165"/>
      <c r="B3864" s="171"/>
      <c r="C3864" s="165"/>
    </row>
    <row r="3865" spans="1:3" ht="16.8">
      <c r="A3865" s="165"/>
      <c r="B3865" s="171"/>
      <c r="C3865" s="165"/>
    </row>
    <row r="3866" spans="1:3" ht="16.8">
      <c r="A3866" s="165"/>
      <c r="B3866" s="171"/>
      <c r="C3866" s="165"/>
    </row>
    <row r="3867" spans="1:3" ht="16.8">
      <c r="A3867" s="165"/>
      <c r="B3867" s="171"/>
      <c r="C3867" s="165"/>
    </row>
    <row r="3868" spans="1:3" ht="16.8">
      <c r="A3868" s="165"/>
      <c r="B3868" s="171"/>
      <c r="C3868" s="165"/>
    </row>
    <row r="3869" spans="1:3" ht="16.8">
      <c r="A3869" s="165"/>
      <c r="B3869" s="171"/>
      <c r="C3869" s="165"/>
    </row>
    <row r="3870" spans="1:3" ht="16.8">
      <c r="A3870" s="165"/>
      <c r="B3870" s="171"/>
      <c r="C3870" s="165"/>
    </row>
    <row r="3871" spans="1:3" ht="16.8">
      <c r="A3871" s="165"/>
      <c r="B3871" s="171"/>
      <c r="C3871" s="165"/>
    </row>
    <row r="3872" spans="1:3" ht="16.8">
      <c r="A3872" s="165"/>
      <c r="B3872" s="171"/>
      <c r="C3872" s="165"/>
    </row>
    <row r="3873" spans="1:3" ht="16.8">
      <c r="A3873" s="165"/>
      <c r="B3873" s="171"/>
      <c r="C3873" s="165"/>
    </row>
    <row r="3874" spans="1:3" ht="16.8">
      <c r="A3874" s="165"/>
      <c r="B3874" s="171"/>
      <c r="C3874" s="165"/>
    </row>
    <row r="3875" spans="1:3" ht="16.8">
      <c r="A3875" s="165"/>
      <c r="B3875" s="171"/>
      <c r="C3875" s="165"/>
    </row>
    <row r="3876" spans="1:3" ht="16.8">
      <c r="A3876" s="165"/>
      <c r="B3876" s="171"/>
      <c r="C3876" s="165"/>
    </row>
    <row r="3877" spans="1:3" ht="16.8">
      <c r="A3877" s="165"/>
      <c r="B3877" s="171"/>
      <c r="C3877" s="165"/>
    </row>
    <row r="3878" spans="1:3" ht="16.8">
      <c r="A3878" s="165"/>
      <c r="B3878" s="171"/>
      <c r="C3878" s="165"/>
    </row>
    <row r="3879" spans="1:3" ht="16.8">
      <c r="A3879" s="165"/>
      <c r="B3879" s="171"/>
      <c r="C3879" s="165"/>
    </row>
    <row r="3880" spans="1:3" ht="16.8">
      <c r="A3880" s="165"/>
      <c r="B3880" s="171"/>
      <c r="C3880" s="165"/>
    </row>
    <row r="3881" spans="1:3" ht="16.8">
      <c r="A3881" s="165"/>
      <c r="B3881" s="171"/>
      <c r="C3881" s="165"/>
    </row>
    <row r="3882" spans="1:3" ht="16.8">
      <c r="A3882" s="165"/>
      <c r="B3882" s="171"/>
      <c r="C3882" s="165"/>
    </row>
    <row r="3883" spans="1:3" ht="16.8">
      <c r="A3883" s="165"/>
      <c r="B3883" s="171"/>
      <c r="C3883" s="165"/>
    </row>
    <row r="3884" spans="1:3" ht="16.8">
      <c r="A3884" s="165"/>
      <c r="B3884" s="171"/>
      <c r="C3884" s="165"/>
    </row>
    <row r="3885" spans="1:3" ht="16.8">
      <c r="A3885" s="165"/>
      <c r="B3885" s="171"/>
      <c r="C3885" s="165"/>
    </row>
    <row r="3886" spans="1:3" ht="16.8">
      <c r="A3886" s="165"/>
      <c r="B3886" s="171"/>
      <c r="C3886" s="165"/>
    </row>
    <row r="3887" spans="1:3" ht="16.8">
      <c r="A3887" s="165"/>
      <c r="B3887" s="171"/>
      <c r="C3887" s="165"/>
    </row>
    <row r="3888" spans="1:3" ht="16.8">
      <c r="A3888" s="165"/>
      <c r="B3888" s="171"/>
      <c r="C3888" s="165"/>
    </row>
    <row r="3889" spans="1:3" ht="16.8">
      <c r="A3889" s="165"/>
      <c r="B3889" s="171"/>
      <c r="C3889" s="165"/>
    </row>
    <row r="3890" spans="1:3" ht="16.8">
      <c r="A3890" s="165"/>
      <c r="B3890" s="171"/>
      <c r="C3890" s="165"/>
    </row>
    <row r="3891" spans="1:3" ht="16.8">
      <c r="A3891" s="165"/>
      <c r="B3891" s="171"/>
      <c r="C3891" s="165"/>
    </row>
    <row r="3892" spans="1:3" ht="16.8">
      <c r="A3892" s="165"/>
      <c r="B3892" s="171"/>
      <c r="C3892" s="165"/>
    </row>
    <row r="3893" spans="1:3" ht="16.8">
      <c r="A3893" s="165"/>
      <c r="B3893" s="171"/>
      <c r="C3893" s="165"/>
    </row>
    <row r="3894" spans="1:3" ht="16.8">
      <c r="A3894" s="165"/>
      <c r="B3894" s="171"/>
      <c r="C3894" s="165"/>
    </row>
    <row r="3895" spans="1:3" ht="16.8">
      <c r="A3895" s="165"/>
      <c r="B3895" s="171"/>
      <c r="C3895" s="165"/>
    </row>
    <row r="3896" spans="1:3" ht="16.8">
      <c r="A3896" s="165"/>
      <c r="B3896" s="171"/>
      <c r="C3896" s="165"/>
    </row>
    <row r="3897" spans="1:3" ht="16.8">
      <c r="A3897" s="165"/>
      <c r="B3897" s="171"/>
      <c r="C3897" s="165"/>
    </row>
    <row r="3898" spans="1:3" ht="16.8">
      <c r="A3898" s="165"/>
      <c r="B3898" s="171"/>
      <c r="C3898" s="165"/>
    </row>
    <row r="3899" spans="1:3" ht="16.8">
      <c r="A3899" s="165"/>
      <c r="B3899" s="171"/>
      <c r="C3899" s="165"/>
    </row>
    <row r="3900" spans="1:3" ht="16.8">
      <c r="A3900" s="165"/>
      <c r="B3900" s="171"/>
      <c r="C3900" s="165"/>
    </row>
    <row r="3901" spans="1:3" ht="16.8">
      <c r="A3901" s="165"/>
      <c r="B3901" s="171"/>
      <c r="C3901" s="165"/>
    </row>
    <row r="3902" spans="1:3" ht="16.8">
      <c r="A3902" s="165"/>
      <c r="B3902" s="171"/>
      <c r="C3902" s="165"/>
    </row>
    <row r="3903" spans="1:3" ht="16.8">
      <c r="A3903" s="165"/>
      <c r="B3903" s="171"/>
      <c r="C3903" s="165"/>
    </row>
    <row r="3904" spans="1:3" ht="16.8">
      <c r="A3904" s="165"/>
      <c r="B3904" s="171"/>
      <c r="C3904" s="165"/>
    </row>
    <row r="3905" spans="1:3" ht="16.8">
      <c r="A3905" s="165"/>
      <c r="B3905" s="171"/>
      <c r="C3905" s="165"/>
    </row>
    <row r="3906" spans="1:3" ht="16.8">
      <c r="A3906" s="165"/>
      <c r="B3906" s="171"/>
      <c r="C3906" s="165"/>
    </row>
    <row r="3907" spans="1:3" ht="16.8">
      <c r="A3907" s="165"/>
      <c r="B3907" s="171"/>
      <c r="C3907" s="165"/>
    </row>
    <row r="3908" spans="1:3" ht="16.8">
      <c r="A3908" s="165"/>
      <c r="B3908" s="171"/>
      <c r="C3908" s="165"/>
    </row>
    <row r="3909" spans="1:3" ht="16.8">
      <c r="A3909" s="165"/>
      <c r="B3909" s="171"/>
      <c r="C3909" s="165"/>
    </row>
    <row r="3910" spans="1:3" ht="16.8">
      <c r="A3910" s="165"/>
      <c r="B3910" s="171"/>
      <c r="C3910" s="165"/>
    </row>
    <row r="3911" spans="1:3" ht="16.8">
      <c r="A3911" s="165"/>
      <c r="B3911" s="171"/>
      <c r="C3911" s="165"/>
    </row>
    <row r="3912" spans="1:3" ht="16.8">
      <c r="A3912" s="165"/>
      <c r="B3912" s="171"/>
      <c r="C3912" s="165"/>
    </row>
    <row r="3913" spans="1:3" ht="16.8">
      <c r="A3913" s="165"/>
      <c r="B3913" s="171"/>
      <c r="C3913" s="165"/>
    </row>
    <row r="3914" spans="1:3" ht="16.8">
      <c r="A3914" s="165"/>
      <c r="B3914" s="171"/>
      <c r="C3914" s="165"/>
    </row>
    <row r="3915" spans="1:3" ht="16.8">
      <c r="A3915" s="165"/>
      <c r="B3915" s="171"/>
      <c r="C3915" s="165"/>
    </row>
    <row r="3916" spans="1:3" ht="16.8">
      <c r="A3916" s="165"/>
      <c r="B3916" s="171"/>
      <c r="C3916" s="165"/>
    </row>
    <row r="3917" spans="1:3" ht="16.8">
      <c r="A3917" s="165"/>
      <c r="B3917" s="171"/>
      <c r="C3917" s="165"/>
    </row>
    <row r="3918" spans="1:3" ht="16.8">
      <c r="A3918" s="165"/>
      <c r="B3918" s="171"/>
      <c r="C3918" s="165"/>
    </row>
    <row r="3919" spans="1:3" ht="16.8">
      <c r="A3919" s="165"/>
      <c r="B3919" s="171"/>
      <c r="C3919" s="165"/>
    </row>
    <row r="3920" spans="1:3" ht="16.8">
      <c r="A3920" s="165"/>
      <c r="B3920" s="171"/>
      <c r="C3920" s="165"/>
    </row>
    <row r="3921" spans="1:3" ht="16.8">
      <c r="A3921" s="165"/>
      <c r="B3921" s="171"/>
      <c r="C3921" s="165"/>
    </row>
    <row r="3922" spans="1:3" ht="16.8">
      <c r="A3922" s="165"/>
      <c r="B3922" s="171"/>
      <c r="C3922" s="165"/>
    </row>
    <row r="3923" spans="1:3" ht="16.8">
      <c r="A3923" s="165"/>
      <c r="B3923" s="171"/>
      <c r="C3923" s="165"/>
    </row>
    <row r="3924" spans="1:3" ht="16.8">
      <c r="A3924" s="165"/>
      <c r="B3924" s="171"/>
      <c r="C3924" s="165"/>
    </row>
    <row r="3925" spans="1:3" ht="16.8">
      <c r="A3925" s="165"/>
      <c r="B3925" s="171"/>
      <c r="C3925" s="165"/>
    </row>
    <row r="3926" spans="1:3" ht="16.8">
      <c r="A3926" s="165"/>
      <c r="B3926" s="171"/>
      <c r="C3926" s="165"/>
    </row>
    <row r="3927" spans="1:3" ht="16.8">
      <c r="A3927" s="165"/>
      <c r="B3927" s="171"/>
      <c r="C3927" s="165"/>
    </row>
    <row r="3928" spans="1:3" ht="16.8">
      <c r="A3928" s="165"/>
      <c r="B3928" s="171"/>
      <c r="C3928" s="165"/>
    </row>
    <row r="3929" spans="1:3" ht="16.8">
      <c r="A3929" s="165"/>
      <c r="B3929" s="171"/>
      <c r="C3929" s="165"/>
    </row>
    <row r="3930" spans="1:3" ht="16.8">
      <c r="A3930" s="165"/>
      <c r="B3930" s="171"/>
      <c r="C3930" s="165"/>
    </row>
    <row r="3931" spans="1:3" ht="16.8">
      <c r="A3931" s="165"/>
      <c r="B3931" s="171"/>
      <c r="C3931" s="165"/>
    </row>
    <row r="3932" spans="1:3" ht="16.8">
      <c r="A3932" s="165"/>
      <c r="B3932" s="171"/>
      <c r="C3932" s="165"/>
    </row>
    <row r="3933" spans="1:3" ht="16.8">
      <c r="A3933" s="165"/>
      <c r="B3933" s="171"/>
      <c r="C3933" s="165"/>
    </row>
    <row r="3934" spans="1:3" ht="16.8">
      <c r="A3934" s="165"/>
      <c r="B3934" s="171"/>
      <c r="C3934" s="165"/>
    </row>
    <row r="3935" spans="1:3" ht="16.8">
      <c r="A3935" s="165"/>
      <c r="B3935" s="171"/>
      <c r="C3935" s="165"/>
    </row>
    <row r="3936" spans="1:3" ht="16.8">
      <c r="A3936" s="165"/>
      <c r="B3936" s="171"/>
      <c r="C3936" s="165"/>
    </row>
    <row r="3937" spans="1:3" ht="16.8">
      <c r="A3937" s="165"/>
      <c r="B3937" s="171"/>
      <c r="C3937" s="165"/>
    </row>
    <row r="3938" spans="1:3" ht="16.8">
      <c r="A3938" s="165"/>
      <c r="B3938" s="171"/>
      <c r="C3938" s="165"/>
    </row>
    <row r="3939" spans="1:3" ht="16.8">
      <c r="A3939" s="165"/>
      <c r="B3939" s="171"/>
      <c r="C3939" s="165"/>
    </row>
    <row r="3940" spans="1:3" ht="16.8">
      <c r="A3940" s="165"/>
      <c r="B3940" s="171"/>
      <c r="C3940" s="165"/>
    </row>
    <row r="3941" spans="1:3" ht="16.8">
      <c r="A3941" s="165"/>
      <c r="B3941" s="171"/>
      <c r="C3941" s="165"/>
    </row>
    <row r="3942" spans="1:3" ht="16.8">
      <c r="A3942" s="165"/>
      <c r="B3942" s="171"/>
      <c r="C3942" s="165"/>
    </row>
    <row r="3943" spans="1:3" ht="16.8">
      <c r="A3943" s="165"/>
      <c r="B3943" s="171"/>
      <c r="C3943" s="165"/>
    </row>
    <row r="3944" spans="1:3" ht="16.8">
      <c r="A3944" s="165"/>
      <c r="B3944" s="171"/>
      <c r="C3944" s="165"/>
    </row>
    <row r="3945" spans="1:3" ht="16.8">
      <c r="A3945" s="165"/>
      <c r="B3945" s="171"/>
      <c r="C3945" s="165"/>
    </row>
    <row r="3946" spans="1:3" ht="16.8">
      <c r="A3946" s="165"/>
      <c r="B3946" s="171"/>
      <c r="C3946" s="165"/>
    </row>
    <row r="3947" spans="1:3" ht="16.8">
      <c r="A3947" s="165"/>
      <c r="B3947" s="171"/>
      <c r="C3947" s="165"/>
    </row>
    <row r="3948" spans="1:3" ht="16.8">
      <c r="A3948" s="165"/>
      <c r="B3948" s="171"/>
      <c r="C3948" s="165"/>
    </row>
    <row r="3949" spans="1:3" ht="16.8">
      <c r="A3949" s="165"/>
      <c r="B3949" s="171"/>
      <c r="C3949" s="165"/>
    </row>
    <row r="3950" spans="1:3" ht="16.8">
      <c r="A3950" s="165"/>
      <c r="B3950" s="171"/>
      <c r="C3950" s="165"/>
    </row>
    <row r="3951" spans="1:3" ht="16.8">
      <c r="A3951" s="165"/>
      <c r="B3951" s="171"/>
      <c r="C3951" s="165"/>
    </row>
    <row r="3952" spans="1:3" ht="16.8">
      <c r="A3952" s="165"/>
      <c r="B3952" s="171"/>
      <c r="C3952" s="165"/>
    </row>
    <row r="3953" spans="1:3" ht="16.8">
      <c r="A3953" s="165"/>
      <c r="B3953" s="171"/>
      <c r="C3953" s="165"/>
    </row>
    <row r="3954" spans="1:3" ht="16.8">
      <c r="A3954" s="165"/>
      <c r="B3954" s="171"/>
      <c r="C3954" s="165"/>
    </row>
    <row r="3955" spans="1:3" ht="16.8">
      <c r="A3955" s="165"/>
      <c r="B3955" s="171"/>
      <c r="C3955" s="165"/>
    </row>
    <row r="3956" spans="1:3" ht="16.8">
      <c r="A3956" s="165"/>
      <c r="B3956" s="171"/>
      <c r="C3956" s="165"/>
    </row>
    <row r="3957" spans="1:3" ht="16.8">
      <c r="A3957" s="165"/>
      <c r="B3957" s="171"/>
      <c r="C3957" s="165"/>
    </row>
    <row r="3958" spans="1:3" ht="16.8">
      <c r="A3958" s="165"/>
      <c r="B3958" s="171"/>
      <c r="C3958" s="165"/>
    </row>
    <row r="3959" spans="1:3" ht="16.8">
      <c r="A3959" s="165"/>
      <c r="B3959" s="171"/>
      <c r="C3959" s="165"/>
    </row>
    <row r="3960" spans="1:3" ht="16.8">
      <c r="A3960" s="165"/>
      <c r="B3960" s="171"/>
      <c r="C3960" s="165"/>
    </row>
    <row r="3961" spans="1:3" ht="16.8">
      <c r="A3961" s="165"/>
      <c r="B3961" s="171"/>
      <c r="C3961" s="165"/>
    </row>
    <row r="3962" spans="1:3" ht="16.8">
      <c r="A3962" s="165"/>
      <c r="B3962" s="171"/>
      <c r="C3962" s="165"/>
    </row>
    <row r="3963" spans="1:3" ht="16.8">
      <c r="A3963" s="165"/>
      <c r="B3963" s="171"/>
      <c r="C3963" s="165"/>
    </row>
    <row r="3964" spans="1:3" ht="16.8">
      <c r="A3964" s="165"/>
      <c r="B3964" s="171"/>
      <c r="C3964" s="165"/>
    </row>
    <row r="3965" spans="1:3" ht="16.8">
      <c r="A3965" s="165"/>
      <c r="B3965" s="171"/>
      <c r="C3965" s="165"/>
    </row>
    <row r="3966" spans="1:3" ht="16.8">
      <c r="A3966" s="165"/>
      <c r="B3966" s="171"/>
      <c r="C3966" s="165"/>
    </row>
    <row r="3967" spans="1:3" ht="16.8">
      <c r="A3967" s="165"/>
      <c r="B3967" s="171"/>
      <c r="C3967" s="165"/>
    </row>
    <row r="3968" spans="1:3" ht="16.8">
      <c r="A3968" s="165"/>
      <c r="B3968" s="171"/>
      <c r="C3968" s="165"/>
    </row>
    <row r="3969" spans="1:3" ht="16.8">
      <c r="A3969" s="165"/>
      <c r="B3969" s="171"/>
      <c r="C3969" s="165"/>
    </row>
    <row r="3970" spans="1:3" ht="16.8">
      <c r="A3970" s="165"/>
      <c r="B3970" s="171"/>
      <c r="C3970" s="165"/>
    </row>
    <row r="3971" spans="1:3" ht="16.8">
      <c r="A3971" s="165"/>
      <c r="B3971" s="171"/>
      <c r="C3971" s="165"/>
    </row>
    <row r="3972" spans="1:3" ht="16.8">
      <c r="A3972" s="165"/>
      <c r="B3972" s="171"/>
      <c r="C3972" s="165"/>
    </row>
    <row r="3973" spans="1:3" ht="16.8">
      <c r="A3973" s="165"/>
      <c r="B3973" s="171"/>
      <c r="C3973" s="165"/>
    </row>
    <row r="3974" spans="1:3" ht="16.8">
      <c r="A3974" s="165"/>
      <c r="B3974" s="171"/>
      <c r="C3974" s="165"/>
    </row>
    <row r="3975" spans="1:3" ht="16.8">
      <c r="A3975" s="165"/>
      <c r="B3975" s="171"/>
      <c r="C3975" s="165"/>
    </row>
    <row r="3976" spans="1:3" ht="16.8">
      <c r="A3976" s="165"/>
      <c r="B3976" s="171"/>
      <c r="C3976" s="165"/>
    </row>
    <row r="3977" spans="1:3" ht="16.8">
      <c r="A3977" s="165"/>
      <c r="B3977" s="171"/>
      <c r="C3977" s="165"/>
    </row>
    <row r="3978" spans="1:3" ht="16.8">
      <c r="A3978" s="165"/>
      <c r="B3978" s="171"/>
      <c r="C3978" s="165"/>
    </row>
    <row r="3979" spans="1:3" ht="16.8">
      <c r="A3979" s="165"/>
      <c r="B3979" s="171"/>
      <c r="C3979" s="165"/>
    </row>
    <row r="3980" spans="1:3" ht="16.8">
      <c r="A3980" s="165"/>
      <c r="B3980" s="171"/>
      <c r="C3980" s="165"/>
    </row>
    <row r="3981" spans="1:3" ht="16.8">
      <c r="A3981" s="165"/>
      <c r="B3981" s="171"/>
      <c r="C3981" s="165"/>
    </row>
    <row r="3982" spans="1:3" ht="16.8">
      <c r="A3982" s="165"/>
      <c r="B3982" s="171"/>
      <c r="C3982" s="165"/>
    </row>
    <row r="3983" spans="1:3" ht="16.8">
      <c r="A3983" s="165"/>
      <c r="B3983" s="171"/>
      <c r="C3983" s="165"/>
    </row>
    <row r="3984" spans="1:3" ht="16.8">
      <c r="A3984" s="165"/>
      <c r="B3984" s="171"/>
      <c r="C3984" s="165"/>
    </row>
    <row r="3985" spans="1:3" ht="16.8">
      <c r="A3985" s="165"/>
      <c r="B3985" s="171"/>
      <c r="C3985" s="165"/>
    </row>
    <row r="3986" spans="1:3" ht="16.8">
      <c r="A3986" s="165"/>
      <c r="B3986" s="171"/>
      <c r="C3986" s="165"/>
    </row>
    <row r="3987" spans="1:3" ht="16.8">
      <c r="A3987" s="165"/>
      <c r="B3987" s="171"/>
      <c r="C3987" s="165"/>
    </row>
    <row r="3988" spans="1:3" ht="16.8">
      <c r="A3988" s="165"/>
      <c r="B3988" s="171"/>
      <c r="C3988" s="165"/>
    </row>
    <row r="3989" spans="1:3" ht="16.8">
      <c r="A3989" s="165"/>
      <c r="B3989" s="171"/>
      <c r="C3989" s="165"/>
    </row>
    <row r="3990" spans="1:3" ht="16.8">
      <c r="A3990" s="165"/>
      <c r="B3990" s="171"/>
      <c r="C3990" s="165"/>
    </row>
    <row r="3991" spans="1:3" ht="16.8">
      <c r="A3991" s="165"/>
      <c r="B3991" s="171"/>
      <c r="C3991" s="165"/>
    </row>
    <row r="3992" spans="1:3" ht="16.8">
      <c r="A3992" s="165"/>
      <c r="B3992" s="171"/>
      <c r="C3992" s="165"/>
    </row>
    <row r="3993" spans="1:3" ht="16.8">
      <c r="A3993" s="165"/>
      <c r="B3993" s="171"/>
      <c r="C3993" s="165"/>
    </row>
    <row r="3994" spans="1:3" ht="16.8">
      <c r="A3994" s="165"/>
      <c r="B3994" s="171"/>
      <c r="C3994" s="165"/>
    </row>
    <row r="3995" spans="1:3" ht="16.8">
      <c r="A3995" s="165"/>
      <c r="B3995" s="171"/>
      <c r="C3995" s="165"/>
    </row>
    <row r="3996" spans="1:3" ht="16.8">
      <c r="A3996" s="165"/>
      <c r="B3996" s="171"/>
      <c r="C3996" s="165"/>
    </row>
    <row r="3997" spans="1:3" ht="16.8">
      <c r="A3997" s="165"/>
      <c r="B3997" s="171"/>
      <c r="C3997" s="165"/>
    </row>
    <row r="3998" spans="1:3" ht="16.8">
      <c r="A3998" s="165"/>
      <c r="B3998" s="171"/>
      <c r="C3998" s="165"/>
    </row>
    <row r="3999" spans="1:3" ht="16.8">
      <c r="A3999" s="165"/>
      <c r="B3999" s="171"/>
      <c r="C3999" s="165"/>
    </row>
    <row r="4000" spans="1:3" ht="16.8">
      <c r="A4000" s="165"/>
      <c r="B4000" s="171"/>
      <c r="C4000" s="165"/>
    </row>
    <row r="4001" spans="1:3" ht="16.8">
      <c r="A4001" s="165"/>
      <c r="B4001" s="171"/>
      <c r="C4001" s="165"/>
    </row>
    <row r="4002" spans="1:3" ht="16.8">
      <c r="A4002" s="165"/>
      <c r="B4002" s="171"/>
      <c r="C4002" s="165"/>
    </row>
    <row r="4003" spans="1:3" ht="16.8">
      <c r="A4003" s="165"/>
      <c r="B4003" s="171"/>
      <c r="C4003" s="165"/>
    </row>
    <row r="4004" spans="1:3" ht="16.8">
      <c r="A4004" s="165"/>
      <c r="B4004" s="171"/>
      <c r="C4004" s="165"/>
    </row>
    <row r="4005" spans="1:3" ht="16.8">
      <c r="A4005" s="165"/>
      <c r="B4005" s="171"/>
      <c r="C4005" s="165"/>
    </row>
    <row r="4006" spans="1:3" ht="16.8">
      <c r="A4006" s="165"/>
      <c r="B4006" s="171"/>
      <c r="C4006" s="165"/>
    </row>
    <row r="4007" spans="1:3" ht="16.8">
      <c r="A4007" s="165"/>
      <c r="B4007" s="171"/>
      <c r="C4007" s="165"/>
    </row>
    <row r="4008" spans="1:3" ht="16.8">
      <c r="A4008" s="165"/>
      <c r="B4008" s="171"/>
      <c r="C4008" s="165"/>
    </row>
    <row r="4009" spans="1:3" ht="16.8">
      <c r="A4009" s="165"/>
      <c r="B4009" s="171"/>
      <c r="C4009" s="165"/>
    </row>
    <row r="4010" spans="1:3" ht="16.8">
      <c r="A4010" s="165"/>
      <c r="B4010" s="171"/>
      <c r="C4010" s="165"/>
    </row>
    <row r="4011" spans="1:3" ht="16.8">
      <c r="A4011" s="165"/>
      <c r="B4011" s="171"/>
      <c r="C4011" s="165"/>
    </row>
    <row r="4012" spans="1:3" ht="16.8">
      <c r="A4012" s="165"/>
      <c r="B4012" s="171"/>
      <c r="C4012" s="165"/>
    </row>
    <row r="4013" spans="1:3" ht="16.8">
      <c r="A4013" s="165"/>
      <c r="B4013" s="171"/>
      <c r="C4013" s="165"/>
    </row>
    <row r="4014" spans="1:3" ht="16.8">
      <c r="A4014" s="165"/>
      <c r="B4014" s="171"/>
      <c r="C4014" s="165"/>
    </row>
    <row r="4015" spans="1:3" ht="16.8">
      <c r="A4015" s="165"/>
      <c r="B4015" s="171"/>
      <c r="C4015" s="165"/>
    </row>
    <row r="4016" spans="1:3" ht="16.8">
      <c r="A4016" s="165"/>
      <c r="B4016" s="171"/>
      <c r="C4016" s="165"/>
    </row>
    <row r="4017" spans="1:3" ht="16.8">
      <c r="A4017" s="165"/>
      <c r="B4017" s="171"/>
      <c r="C4017" s="165"/>
    </row>
    <row r="4018" spans="1:3" ht="16.8">
      <c r="A4018" s="165"/>
      <c r="B4018" s="171"/>
      <c r="C4018" s="165"/>
    </row>
    <row r="4019" spans="1:3" ht="16.8">
      <c r="A4019" s="165"/>
      <c r="B4019" s="171"/>
      <c r="C4019" s="165"/>
    </row>
    <row r="4020" spans="1:3" ht="16.8">
      <c r="A4020" s="165"/>
      <c r="B4020" s="171"/>
      <c r="C4020" s="165"/>
    </row>
    <row r="4021" spans="1:3" ht="16.8">
      <c r="A4021" s="165"/>
      <c r="B4021" s="171"/>
      <c r="C4021" s="165"/>
    </row>
    <row r="4022" spans="1:3" ht="16.8">
      <c r="A4022" s="165"/>
      <c r="B4022" s="171"/>
      <c r="C4022" s="165"/>
    </row>
    <row r="4023" spans="1:3" ht="16.8">
      <c r="A4023" s="165"/>
      <c r="B4023" s="171"/>
      <c r="C4023" s="165"/>
    </row>
    <row r="4024" spans="1:3" ht="16.8">
      <c r="A4024" s="165"/>
      <c r="B4024" s="171"/>
      <c r="C4024" s="165"/>
    </row>
    <row r="4025" spans="1:3" ht="16.8">
      <c r="A4025" s="165"/>
      <c r="B4025" s="171"/>
      <c r="C4025" s="165"/>
    </row>
    <row r="4026" spans="1:3" ht="16.8">
      <c r="A4026" s="165"/>
      <c r="B4026" s="171"/>
      <c r="C4026" s="165"/>
    </row>
    <row r="4027" spans="1:3" ht="16.8">
      <c r="A4027" s="165"/>
      <c r="B4027" s="171"/>
      <c r="C4027" s="165"/>
    </row>
    <row r="4028" spans="1:3" ht="16.8">
      <c r="A4028" s="165"/>
      <c r="B4028" s="171"/>
      <c r="C4028" s="165"/>
    </row>
    <row r="4029" spans="1:3" ht="16.8">
      <c r="A4029" s="165"/>
      <c r="B4029" s="171"/>
      <c r="C4029" s="165"/>
    </row>
    <row r="4030" spans="1:3" ht="16.8">
      <c r="A4030" s="165"/>
      <c r="B4030" s="171"/>
      <c r="C4030" s="165"/>
    </row>
    <row r="4031" spans="1:3" ht="16.8">
      <c r="A4031" s="165"/>
      <c r="B4031" s="171"/>
      <c r="C4031" s="165"/>
    </row>
    <row r="4032" spans="1:3" ht="16.8">
      <c r="A4032" s="165"/>
      <c r="B4032" s="171"/>
      <c r="C4032" s="165"/>
    </row>
    <row r="4033" spans="1:3" ht="16.8">
      <c r="A4033" s="165"/>
      <c r="B4033" s="171"/>
      <c r="C4033" s="165"/>
    </row>
    <row r="4034" spans="1:3" ht="16.8">
      <c r="A4034" s="165"/>
      <c r="B4034" s="171"/>
      <c r="C4034" s="165"/>
    </row>
    <row r="4035" spans="1:3" ht="16.8">
      <c r="A4035" s="165"/>
      <c r="B4035" s="171"/>
      <c r="C4035" s="165"/>
    </row>
    <row r="4036" spans="1:3" ht="16.8">
      <c r="A4036" s="165"/>
      <c r="B4036" s="171"/>
      <c r="C4036" s="165"/>
    </row>
    <row r="4037" spans="1:3" ht="16.8">
      <c r="A4037" s="165"/>
      <c r="B4037" s="171"/>
      <c r="C4037" s="165"/>
    </row>
    <row r="4038" spans="1:3" ht="16.8">
      <c r="A4038" s="165"/>
      <c r="B4038" s="171"/>
      <c r="C4038" s="165"/>
    </row>
    <row r="4039" spans="1:3" ht="16.8">
      <c r="A4039" s="165"/>
      <c r="B4039" s="171"/>
      <c r="C4039" s="165"/>
    </row>
    <row r="4040" spans="1:3" ht="16.8">
      <c r="A4040" s="165"/>
      <c r="B4040" s="171"/>
      <c r="C4040" s="165"/>
    </row>
    <row r="4041" spans="1:3" ht="16.8">
      <c r="A4041" s="165"/>
      <c r="B4041" s="171"/>
      <c r="C4041" s="165"/>
    </row>
    <row r="4042" spans="1:3" ht="16.8">
      <c r="A4042" s="165"/>
      <c r="B4042" s="171"/>
      <c r="C4042" s="165"/>
    </row>
    <row r="4043" spans="1:3" ht="16.8">
      <c r="A4043" s="165"/>
      <c r="B4043" s="171"/>
      <c r="C4043" s="165"/>
    </row>
    <row r="4044" spans="1:3" ht="16.8">
      <c r="A4044" s="165"/>
      <c r="B4044" s="171"/>
      <c r="C4044" s="165"/>
    </row>
    <row r="4045" spans="1:3" ht="16.8">
      <c r="A4045" s="165"/>
      <c r="B4045" s="171"/>
      <c r="C4045" s="165"/>
    </row>
    <row r="4046" spans="1:3" ht="16.8">
      <c r="A4046" s="165"/>
      <c r="B4046" s="171"/>
      <c r="C4046" s="165"/>
    </row>
    <row r="4047" spans="1:3" ht="16.8">
      <c r="A4047" s="165"/>
      <c r="B4047" s="171"/>
      <c r="C4047" s="165"/>
    </row>
    <row r="4048" spans="1:3" ht="16.8">
      <c r="A4048" s="165"/>
      <c r="B4048" s="171"/>
      <c r="C4048" s="165"/>
    </row>
    <row r="4049" spans="1:3" ht="16.8">
      <c r="A4049" s="165"/>
      <c r="B4049" s="171"/>
      <c r="C4049" s="165"/>
    </row>
    <row r="4050" spans="1:3" ht="16.8">
      <c r="A4050" s="165"/>
      <c r="B4050" s="171"/>
      <c r="C4050" s="165"/>
    </row>
    <row r="4051" spans="1:3" ht="16.8">
      <c r="A4051" s="165"/>
      <c r="B4051" s="171"/>
      <c r="C4051" s="165"/>
    </row>
    <row r="4052" spans="1:3" ht="16.8">
      <c r="A4052" s="165"/>
      <c r="B4052" s="171"/>
      <c r="C4052" s="165"/>
    </row>
    <row r="4053" spans="1:3" ht="16.8">
      <c r="A4053" s="165"/>
      <c r="B4053" s="171"/>
      <c r="C4053" s="165"/>
    </row>
    <row r="4054" spans="1:3" ht="16.8">
      <c r="A4054" s="165"/>
      <c r="B4054" s="171"/>
      <c r="C4054" s="165"/>
    </row>
    <row r="4055" spans="1:3" ht="16.8">
      <c r="A4055" s="165"/>
      <c r="B4055" s="171"/>
      <c r="C4055" s="165"/>
    </row>
    <row r="4056" spans="1:3" ht="16.8">
      <c r="A4056" s="165"/>
      <c r="B4056" s="171"/>
      <c r="C4056" s="165"/>
    </row>
    <row r="4057" spans="1:3" ht="16.8">
      <c r="A4057" s="165"/>
      <c r="B4057" s="171"/>
      <c r="C4057" s="165"/>
    </row>
    <row r="4058" spans="1:3" ht="16.8">
      <c r="A4058" s="165"/>
      <c r="B4058" s="171"/>
      <c r="C4058" s="165"/>
    </row>
    <row r="4059" spans="1:3" ht="16.8">
      <c r="A4059" s="165"/>
      <c r="B4059" s="171"/>
      <c r="C4059" s="165"/>
    </row>
    <row r="4060" spans="1:3" ht="16.8">
      <c r="A4060" s="165"/>
      <c r="B4060" s="171"/>
      <c r="C4060" s="165"/>
    </row>
    <row r="4061" spans="1:3" ht="16.8">
      <c r="A4061" s="165"/>
      <c r="B4061" s="171"/>
      <c r="C4061" s="165"/>
    </row>
    <row r="4062" spans="1:3" ht="16.8">
      <c r="A4062" s="165"/>
      <c r="B4062" s="171"/>
      <c r="C4062" s="165"/>
    </row>
    <row r="4063" spans="1:3" ht="16.8">
      <c r="A4063" s="165"/>
      <c r="B4063" s="171"/>
      <c r="C4063" s="165"/>
    </row>
    <row r="4064" spans="1:3" ht="16.8">
      <c r="A4064" s="165"/>
      <c r="B4064" s="171"/>
      <c r="C4064" s="165"/>
    </row>
    <row r="4065" spans="1:3" ht="16.8">
      <c r="A4065" s="165"/>
      <c r="B4065" s="171"/>
      <c r="C4065" s="165"/>
    </row>
    <row r="4066" spans="1:3" ht="16.8">
      <c r="A4066" s="165"/>
      <c r="B4066" s="171"/>
      <c r="C4066" s="165"/>
    </row>
    <row r="4067" spans="1:3" ht="16.8">
      <c r="A4067" s="165"/>
      <c r="B4067" s="171"/>
      <c r="C4067" s="165"/>
    </row>
    <row r="4068" spans="1:3" ht="16.8">
      <c r="A4068" s="165"/>
      <c r="B4068" s="171"/>
      <c r="C4068" s="165"/>
    </row>
    <row r="4069" spans="1:3" ht="16.8">
      <c r="A4069" s="165"/>
      <c r="B4069" s="171"/>
      <c r="C4069" s="165"/>
    </row>
    <row r="4070" spans="1:3" ht="16.8">
      <c r="A4070" s="165"/>
      <c r="B4070" s="171"/>
      <c r="C4070" s="165"/>
    </row>
    <row r="4071" spans="1:3" ht="16.8">
      <c r="A4071" s="165"/>
      <c r="B4071" s="171"/>
      <c r="C4071" s="165"/>
    </row>
    <row r="4072" spans="1:3" ht="16.8">
      <c r="A4072" s="165"/>
      <c r="B4072" s="171"/>
      <c r="C4072" s="165"/>
    </row>
    <row r="4073" spans="1:3" ht="16.8">
      <c r="A4073" s="165"/>
      <c r="B4073" s="171"/>
      <c r="C4073" s="165"/>
    </row>
    <row r="4074" spans="1:3" ht="16.8">
      <c r="A4074" s="165"/>
      <c r="B4074" s="171"/>
      <c r="C4074" s="165"/>
    </row>
    <row r="4075" spans="1:3" ht="16.8">
      <c r="A4075" s="165"/>
      <c r="B4075" s="171"/>
      <c r="C4075" s="165"/>
    </row>
    <row r="4076" spans="1:3" ht="16.8">
      <c r="A4076" s="165"/>
      <c r="B4076" s="171"/>
      <c r="C4076" s="165"/>
    </row>
    <row r="4077" spans="1:3" ht="16.8">
      <c r="A4077" s="165"/>
      <c r="B4077" s="171"/>
      <c r="C4077" s="165"/>
    </row>
    <row r="4078" spans="1:3" ht="16.8">
      <c r="A4078" s="165"/>
      <c r="B4078" s="171"/>
      <c r="C4078" s="165"/>
    </row>
    <row r="4079" spans="1:3" ht="16.8">
      <c r="A4079" s="165"/>
      <c r="B4079" s="171"/>
      <c r="C4079" s="165"/>
    </row>
    <row r="4080" spans="1:3" ht="16.8">
      <c r="A4080" s="165"/>
      <c r="B4080" s="171"/>
      <c r="C4080" s="165"/>
    </row>
    <row r="4081" spans="1:3" ht="16.8">
      <c r="A4081" s="165"/>
      <c r="B4081" s="171"/>
      <c r="C4081" s="165"/>
    </row>
    <row r="4082" spans="1:3" ht="16.8">
      <c r="A4082" s="165"/>
      <c r="B4082" s="171"/>
      <c r="C4082" s="165"/>
    </row>
    <row r="4083" spans="1:3" ht="16.8">
      <c r="A4083" s="165"/>
      <c r="B4083" s="171"/>
      <c r="C4083" s="165"/>
    </row>
    <row r="4084" spans="1:3" ht="16.8">
      <c r="A4084" s="165"/>
      <c r="B4084" s="171"/>
      <c r="C4084" s="165"/>
    </row>
    <row r="4085" spans="1:3" ht="16.8">
      <c r="A4085" s="165"/>
      <c r="B4085" s="171"/>
      <c r="C4085" s="165"/>
    </row>
    <row r="4086" spans="1:3" ht="16.8">
      <c r="A4086" s="165"/>
      <c r="B4086" s="171"/>
      <c r="C4086" s="165"/>
    </row>
    <row r="4087" spans="1:3" ht="16.8">
      <c r="A4087" s="165"/>
      <c r="B4087" s="171"/>
      <c r="C4087" s="165"/>
    </row>
    <row r="4088" spans="1:3" ht="16.8">
      <c r="A4088" s="165"/>
      <c r="B4088" s="171"/>
      <c r="C4088" s="165"/>
    </row>
    <row r="4089" spans="1:3" ht="16.8">
      <c r="A4089" s="165"/>
      <c r="B4089" s="171"/>
      <c r="C4089" s="165"/>
    </row>
    <row r="4090" spans="1:3" ht="16.8">
      <c r="A4090" s="165"/>
      <c r="B4090" s="171"/>
      <c r="C4090" s="165"/>
    </row>
    <row r="4091" spans="1:3" ht="16.8">
      <c r="A4091" s="165"/>
      <c r="B4091" s="171"/>
      <c r="C4091" s="165"/>
    </row>
    <row r="4092" spans="1:3" ht="16.8">
      <c r="A4092" s="165"/>
      <c r="B4092" s="171"/>
      <c r="C4092" s="165"/>
    </row>
    <row r="4093" spans="1:3" ht="16.8">
      <c r="A4093" s="165"/>
      <c r="B4093" s="171"/>
      <c r="C4093" s="165"/>
    </row>
    <row r="4094" spans="1:3" ht="16.8">
      <c r="A4094" s="165"/>
      <c r="B4094" s="171"/>
      <c r="C4094" s="165"/>
    </row>
    <row r="4095" spans="1:3" ht="16.8">
      <c r="A4095" s="165"/>
      <c r="B4095" s="171"/>
      <c r="C4095" s="165"/>
    </row>
    <row r="4096" spans="1:3" ht="16.8">
      <c r="A4096" s="165"/>
      <c r="B4096" s="171"/>
      <c r="C4096" s="165"/>
    </row>
    <row r="4097" spans="1:3" ht="16.8">
      <c r="A4097" s="165"/>
      <c r="B4097" s="171"/>
      <c r="C4097" s="165"/>
    </row>
    <row r="4098" spans="1:3" ht="16.8">
      <c r="A4098" s="165"/>
      <c r="B4098" s="171"/>
      <c r="C4098" s="165"/>
    </row>
    <row r="4099" spans="1:3" ht="16.8">
      <c r="A4099" s="165"/>
      <c r="B4099" s="171"/>
      <c r="C4099" s="165"/>
    </row>
    <row r="4100" spans="1:3" ht="16.8">
      <c r="A4100" s="165"/>
      <c r="B4100" s="171"/>
      <c r="C4100" s="165"/>
    </row>
    <row r="4101" spans="1:3" ht="16.8">
      <c r="A4101" s="165"/>
      <c r="B4101" s="171"/>
      <c r="C4101" s="165"/>
    </row>
    <row r="4102" spans="1:3" ht="16.8">
      <c r="A4102" s="165"/>
      <c r="B4102" s="171"/>
      <c r="C4102" s="165"/>
    </row>
    <row r="4103" spans="1:3" ht="16.8">
      <c r="A4103" s="165"/>
      <c r="B4103" s="171"/>
      <c r="C4103" s="165"/>
    </row>
    <row r="4104" spans="1:3" ht="16.8">
      <c r="A4104" s="165"/>
      <c r="B4104" s="171"/>
      <c r="C4104" s="165"/>
    </row>
    <row r="4105" spans="1:3" ht="16.8">
      <c r="A4105" s="165"/>
      <c r="B4105" s="171"/>
      <c r="C4105" s="165"/>
    </row>
    <row r="4106" spans="1:3" ht="16.8">
      <c r="A4106" s="165"/>
      <c r="B4106" s="171"/>
      <c r="C4106" s="165"/>
    </row>
    <row r="4107" spans="1:3" ht="16.8">
      <c r="A4107" s="165"/>
      <c r="B4107" s="171"/>
      <c r="C4107" s="165"/>
    </row>
    <row r="4108" spans="1:3" ht="16.8">
      <c r="A4108" s="165"/>
      <c r="B4108" s="171"/>
      <c r="C4108" s="165"/>
    </row>
    <row r="4109" spans="1:3" ht="16.8">
      <c r="A4109" s="165"/>
      <c r="B4109" s="171"/>
      <c r="C4109" s="165"/>
    </row>
    <row r="4110" spans="1:3" ht="16.8">
      <c r="A4110" s="165"/>
      <c r="B4110" s="171"/>
      <c r="C4110" s="165"/>
    </row>
    <row r="4111" spans="1:3" ht="16.8">
      <c r="A4111" s="165"/>
      <c r="B4111" s="171"/>
      <c r="C4111" s="165"/>
    </row>
    <row r="4112" spans="1:3" ht="16.8">
      <c r="A4112" s="165"/>
      <c r="B4112" s="171"/>
      <c r="C4112" s="165"/>
    </row>
    <row r="4113" spans="1:3" ht="16.8">
      <c r="A4113" s="165"/>
      <c r="B4113" s="171"/>
      <c r="C4113" s="165"/>
    </row>
    <row r="4114" spans="1:3" ht="16.8">
      <c r="A4114" s="165"/>
      <c r="B4114" s="171"/>
      <c r="C4114" s="165"/>
    </row>
    <row r="4115" spans="1:3" ht="16.8">
      <c r="A4115" s="165"/>
      <c r="B4115" s="171"/>
      <c r="C4115" s="165"/>
    </row>
    <row r="4116" spans="1:3" ht="16.8">
      <c r="A4116" s="165"/>
      <c r="B4116" s="171"/>
      <c r="C4116" s="165"/>
    </row>
    <row r="4117" spans="1:3" ht="16.8">
      <c r="A4117" s="165"/>
      <c r="B4117" s="171"/>
      <c r="C4117" s="165"/>
    </row>
    <row r="4118" spans="1:3" ht="16.8">
      <c r="A4118" s="165"/>
      <c r="B4118" s="171"/>
      <c r="C4118" s="165"/>
    </row>
    <row r="4119" spans="1:3" ht="16.8">
      <c r="A4119" s="165"/>
      <c r="B4119" s="171"/>
      <c r="C4119" s="165"/>
    </row>
    <row r="4120" spans="1:3" ht="16.8">
      <c r="A4120" s="165"/>
      <c r="B4120" s="171"/>
      <c r="C4120" s="165"/>
    </row>
    <row r="4121" spans="1:3" ht="16.8">
      <c r="A4121" s="165"/>
      <c r="B4121" s="171"/>
      <c r="C4121" s="165"/>
    </row>
    <row r="4122" spans="1:3" ht="16.8">
      <c r="A4122" s="165"/>
      <c r="B4122" s="171"/>
      <c r="C4122" s="165"/>
    </row>
    <row r="4123" spans="1:3" ht="16.8">
      <c r="A4123" s="165"/>
      <c r="B4123" s="171"/>
      <c r="C4123" s="165"/>
    </row>
    <row r="4124" spans="1:3" ht="16.8">
      <c r="A4124" s="165"/>
      <c r="B4124" s="171"/>
      <c r="C4124" s="165"/>
    </row>
    <row r="4125" spans="1:3" ht="16.8">
      <c r="A4125" s="165"/>
      <c r="B4125" s="171"/>
      <c r="C4125" s="165"/>
    </row>
    <row r="4126" spans="1:3" ht="16.8">
      <c r="A4126" s="165"/>
      <c r="B4126" s="171"/>
      <c r="C4126" s="165"/>
    </row>
    <row r="4127" spans="1:3" ht="16.8">
      <c r="A4127" s="165"/>
      <c r="B4127" s="171"/>
      <c r="C4127" s="165"/>
    </row>
    <row r="4128" spans="1:3" ht="16.8">
      <c r="A4128" s="165"/>
      <c r="B4128" s="171"/>
      <c r="C4128" s="165"/>
    </row>
    <row r="4129" spans="1:3" ht="16.8">
      <c r="A4129" s="165"/>
      <c r="B4129" s="171"/>
      <c r="C4129" s="165"/>
    </row>
    <row r="4130" spans="1:3" ht="16.8">
      <c r="A4130" s="165"/>
      <c r="B4130" s="171"/>
      <c r="C4130" s="165"/>
    </row>
    <row r="4131" spans="1:3" ht="16.8">
      <c r="A4131" s="165"/>
      <c r="B4131" s="171"/>
      <c r="C4131" s="165"/>
    </row>
    <row r="4132" spans="1:3" ht="16.8">
      <c r="A4132" s="165"/>
      <c r="B4132" s="171"/>
      <c r="C4132" s="165"/>
    </row>
    <row r="4133" spans="1:3" ht="16.8">
      <c r="A4133" s="165"/>
      <c r="B4133" s="171"/>
      <c r="C4133" s="165"/>
    </row>
    <row r="4134" spans="1:3" ht="16.8">
      <c r="A4134" s="165"/>
      <c r="B4134" s="171"/>
      <c r="C4134" s="165"/>
    </row>
    <row r="4135" spans="1:3" ht="16.8">
      <c r="A4135" s="165"/>
      <c r="B4135" s="171"/>
      <c r="C4135" s="165"/>
    </row>
    <row r="4136" spans="1:3" ht="16.8">
      <c r="A4136" s="165"/>
      <c r="B4136" s="171"/>
      <c r="C4136" s="165"/>
    </row>
    <row r="4137" spans="1:3" ht="16.8">
      <c r="A4137" s="165"/>
      <c r="B4137" s="171"/>
      <c r="C4137" s="165"/>
    </row>
    <row r="4138" spans="1:3" ht="16.8">
      <c r="A4138" s="165"/>
      <c r="B4138" s="171"/>
      <c r="C4138" s="165"/>
    </row>
    <row r="4139" spans="1:3" ht="16.8">
      <c r="A4139" s="165"/>
      <c r="B4139" s="171"/>
      <c r="C4139" s="165"/>
    </row>
    <row r="4140" spans="1:3" ht="16.8">
      <c r="A4140" s="165"/>
      <c r="B4140" s="171"/>
      <c r="C4140" s="165"/>
    </row>
    <row r="4141" spans="1:3" ht="16.8">
      <c r="A4141" s="165"/>
      <c r="B4141" s="171"/>
      <c r="C4141" s="165"/>
    </row>
    <row r="4142" spans="1:3" ht="16.8">
      <c r="A4142" s="165"/>
      <c r="B4142" s="171"/>
      <c r="C4142" s="165"/>
    </row>
    <row r="4143" spans="1:3" ht="16.8">
      <c r="A4143" s="165"/>
      <c r="B4143" s="171"/>
      <c r="C4143" s="165"/>
    </row>
    <row r="4144" spans="1:3" ht="16.8">
      <c r="A4144" s="165"/>
      <c r="B4144" s="171"/>
      <c r="C4144" s="165"/>
    </row>
    <row r="4145" spans="1:3" ht="16.8">
      <c r="A4145" s="165"/>
      <c r="B4145" s="171"/>
      <c r="C4145" s="165"/>
    </row>
    <row r="4146" spans="1:3" ht="16.8">
      <c r="A4146" s="165"/>
      <c r="B4146" s="171"/>
      <c r="C4146" s="165"/>
    </row>
    <row r="4147" spans="1:3" ht="16.8">
      <c r="A4147" s="165"/>
      <c r="B4147" s="171"/>
      <c r="C4147" s="165"/>
    </row>
    <row r="4148" spans="1:3" ht="16.8">
      <c r="A4148" s="165"/>
      <c r="B4148" s="171"/>
      <c r="C4148" s="165"/>
    </row>
    <row r="4149" spans="1:3" ht="16.8">
      <c r="A4149" s="165"/>
      <c r="B4149" s="171"/>
      <c r="C4149" s="165"/>
    </row>
    <row r="4150" spans="1:3" ht="16.8">
      <c r="A4150" s="165"/>
      <c r="B4150" s="171"/>
      <c r="C4150" s="165"/>
    </row>
    <row r="4151" spans="1:3" ht="16.8">
      <c r="A4151" s="165"/>
      <c r="B4151" s="171"/>
      <c r="C4151" s="165"/>
    </row>
    <row r="4152" spans="1:3" ht="16.8">
      <c r="A4152" s="165"/>
      <c r="B4152" s="171"/>
      <c r="C4152" s="165"/>
    </row>
    <row r="4153" spans="1:3" ht="16.8">
      <c r="A4153" s="165"/>
      <c r="B4153" s="171"/>
      <c r="C4153" s="165"/>
    </row>
    <row r="4154" spans="1:3" ht="16.8">
      <c r="A4154" s="165"/>
      <c r="B4154" s="171"/>
      <c r="C4154" s="165"/>
    </row>
    <row r="4155" spans="1:3" ht="16.8">
      <c r="A4155" s="165"/>
      <c r="B4155" s="171"/>
      <c r="C4155" s="165"/>
    </row>
    <row r="4156" spans="1:3" ht="16.8">
      <c r="A4156" s="165"/>
      <c r="B4156" s="171"/>
      <c r="C4156" s="165"/>
    </row>
    <row r="4157" spans="1:3" ht="16.8">
      <c r="A4157" s="165"/>
      <c r="B4157" s="171"/>
      <c r="C4157" s="165"/>
    </row>
    <row r="4158" spans="1:3" ht="16.8">
      <c r="A4158" s="165"/>
      <c r="B4158" s="171"/>
      <c r="C4158" s="165"/>
    </row>
    <row r="4159" spans="1:3" ht="16.8">
      <c r="A4159" s="165"/>
      <c r="B4159" s="171"/>
      <c r="C4159" s="165"/>
    </row>
    <row r="4160" spans="1:3" ht="16.8">
      <c r="A4160" s="165"/>
      <c r="B4160" s="171"/>
      <c r="C4160" s="165"/>
    </row>
    <row r="4161" spans="1:3" ht="16.8">
      <c r="A4161" s="165"/>
      <c r="B4161" s="171"/>
      <c r="C4161" s="165"/>
    </row>
    <row r="4162" spans="1:3" ht="16.8">
      <c r="A4162" s="165"/>
      <c r="B4162" s="171"/>
      <c r="C4162" s="165"/>
    </row>
    <row r="4163" spans="1:3" ht="16.8">
      <c r="A4163" s="165"/>
      <c r="B4163" s="171"/>
      <c r="C4163" s="165"/>
    </row>
    <row r="4164" spans="1:3" ht="16.8">
      <c r="A4164" s="165"/>
      <c r="B4164" s="171"/>
      <c r="C4164" s="165"/>
    </row>
    <row r="4165" spans="1:3" ht="16.8">
      <c r="A4165" s="165"/>
      <c r="B4165" s="171"/>
      <c r="C4165" s="165"/>
    </row>
    <row r="4166" spans="1:3" ht="16.8">
      <c r="A4166" s="165"/>
      <c r="B4166" s="171"/>
      <c r="C4166" s="165"/>
    </row>
    <row r="4167" spans="1:3" ht="16.8">
      <c r="A4167" s="165"/>
      <c r="B4167" s="171"/>
      <c r="C4167" s="165"/>
    </row>
    <row r="4168" spans="1:3" ht="16.8">
      <c r="A4168" s="165"/>
      <c r="B4168" s="171"/>
      <c r="C4168" s="165"/>
    </row>
    <row r="4169" spans="1:3" ht="16.8">
      <c r="A4169" s="165"/>
      <c r="B4169" s="171"/>
      <c r="C4169" s="165"/>
    </row>
    <row r="4170" spans="1:3" ht="16.8">
      <c r="A4170" s="165"/>
      <c r="B4170" s="171"/>
      <c r="C4170" s="165"/>
    </row>
    <row r="4171" spans="1:3" ht="16.8">
      <c r="A4171" s="165"/>
      <c r="B4171" s="171"/>
      <c r="C4171" s="165"/>
    </row>
    <row r="4172" spans="1:3" ht="16.8">
      <c r="A4172" s="165"/>
      <c r="B4172" s="171"/>
      <c r="C4172" s="165"/>
    </row>
    <row r="4173" spans="1:3" ht="16.8">
      <c r="A4173" s="165"/>
      <c r="B4173" s="171"/>
      <c r="C4173" s="165"/>
    </row>
    <row r="4174" spans="1:3" ht="16.8">
      <c r="A4174" s="165"/>
      <c r="B4174" s="171"/>
      <c r="C4174" s="165"/>
    </row>
    <row r="4175" spans="1:3" ht="16.8">
      <c r="A4175" s="165"/>
      <c r="B4175" s="171"/>
      <c r="C4175" s="165"/>
    </row>
    <row r="4176" spans="1:3" ht="16.8">
      <c r="A4176" s="165"/>
      <c r="B4176" s="171"/>
      <c r="C4176" s="165"/>
    </row>
    <row r="4177" spans="1:3" ht="16.8">
      <c r="A4177" s="165"/>
      <c r="B4177" s="171"/>
      <c r="C4177" s="165"/>
    </row>
    <row r="4178" spans="1:3" ht="16.8">
      <c r="A4178" s="165"/>
      <c r="B4178" s="171"/>
      <c r="C4178" s="165"/>
    </row>
    <row r="4179" spans="1:3" ht="16.8">
      <c r="A4179" s="165"/>
      <c r="B4179" s="171"/>
      <c r="C4179" s="165"/>
    </row>
    <row r="4180" spans="1:3" ht="16.8">
      <c r="A4180" s="165"/>
      <c r="B4180" s="171"/>
      <c r="C4180" s="165"/>
    </row>
    <row r="4181" spans="1:3" ht="16.8">
      <c r="A4181" s="165"/>
      <c r="B4181" s="171"/>
      <c r="C4181" s="165"/>
    </row>
    <row r="4182" spans="1:3" ht="16.8">
      <c r="A4182" s="165"/>
      <c r="B4182" s="171"/>
      <c r="C4182" s="165"/>
    </row>
    <row r="4183" spans="1:3" ht="16.8">
      <c r="A4183" s="165"/>
      <c r="B4183" s="171"/>
      <c r="C4183" s="165"/>
    </row>
    <row r="4184" spans="1:3" ht="16.8">
      <c r="A4184" s="165"/>
      <c r="B4184" s="171"/>
      <c r="C4184" s="165"/>
    </row>
    <row r="4185" spans="1:3" ht="16.8">
      <c r="A4185" s="165"/>
      <c r="B4185" s="171"/>
      <c r="C4185" s="165"/>
    </row>
    <row r="4186" spans="1:3" ht="16.8">
      <c r="A4186" s="165"/>
      <c r="B4186" s="171"/>
      <c r="C4186" s="165"/>
    </row>
    <row r="4187" spans="1:3" ht="16.8">
      <c r="A4187" s="165"/>
      <c r="B4187" s="171"/>
      <c r="C4187" s="165"/>
    </row>
    <row r="4188" spans="1:3" ht="16.8">
      <c r="A4188" s="165"/>
      <c r="B4188" s="171"/>
      <c r="C4188" s="165"/>
    </row>
    <row r="4189" spans="1:3" ht="16.8">
      <c r="A4189" s="165"/>
      <c r="B4189" s="171"/>
      <c r="C4189" s="165"/>
    </row>
    <row r="4190" spans="1:3" ht="16.8">
      <c r="A4190" s="165"/>
      <c r="B4190" s="171"/>
      <c r="C4190" s="165"/>
    </row>
    <row r="4191" spans="1:3" ht="16.8">
      <c r="A4191" s="165"/>
      <c r="B4191" s="171"/>
      <c r="C4191" s="165"/>
    </row>
    <row r="4192" spans="1:3" ht="16.8">
      <c r="A4192" s="165"/>
      <c r="B4192" s="171"/>
      <c r="C4192" s="165"/>
    </row>
    <row r="4193" spans="1:3" ht="16.8">
      <c r="A4193" s="165"/>
      <c r="B4193" s="171"/>
      <c r="C4193" s="165"/>
    </row>
    <row r="4194" spans="1:3" ht="16.8">
      <c r="A4194" s="165"/>
      <c r="B4194" s="171"/>
      <c r="C4194" s="165"/>
    </row>
    <row r="4195" spans="1:3" ht="16.8">
      <c r="A4195" s="165"/>
      <c r="B4195" s="171"/>
      <c r="C4195" s="165"/>
    </row>
    <row r="4196" spans="1:3" ht="16.8">
      <c r="A4196" s="165"/>
      <c r="B4196" s="171"/>
      <c r="C4196" s="165"/>
    </row>
    <row r="4197" spans="1:3" ht="16.8">
      <c r="A4197" s="165"/>
      <c r="B4197" s="171"/>
      <c r="C4197" s="165"/>
    </row>
    <row r="4198" spans="1:3" ht="16.8">
      <c r="A4198" s="165"/>
      <c r="B4198" s="171"/>
      <c r="C4198" s="165"/>
    </row>
    <row r="4199" spans="1:3" ht="16.8">
      <c r="A4199" s="165"/>
      <c r="B4199" s="171"/>
      <c r="C4199" s="165"/>
    </row>
    <row r="4200" spans="1:3" ht="16.8">
      <c r="A4200" s="165"/>
      <c r="B4200" s="171"/>
      <c r="C4200" s="165"/>
    </row>
    <row r="4201" spans="1:3" ht="16.8">
      <c r="A4201" s="165"/>
      <c r="B4201" s="171"/>
      <c r="C4201" s="165"/>
    </row>
    <row r="4202" spans="1:3" ht="16.8">
      <c r="A4202" s="165"/>
      <c r="B4202" s="171"/>
      <c r="C4202" s="165"/>
    </row>
    <row r="4203" spans="1:3" ht="16.8">
      <c r="A4203" s="165"/>
      <c r="B4203" s="171"/>
      <c r="C4203" s="165"/>
    </row>
    <row r="4204" spans="1:3" ht="16.8">
      <c r="A4204" s="165"/>
      <c r="B4204" s="171"/>
      <c r="C4204" s="165"/>
    </row>
    <row r="4205" spans="1:3" ht="16.8">
      <c r="A4205" s="165"/>
      <c r="B4205" s="171"/>
      <c r="C4205" s="165"/>
    </row>
    <row r="4206" spans="1:3" ht="16.8">
      <c r="A4206" s="165"/>
      <c r="B4206" s="171"/>
      <c r="C4206" s="165"/>
    </row>
    <row r="4207" spans="1:3" ht="16.8">
      <c r="A4207" s="165"/>
      <c r="B4207" s="171"/>
      <c r="C4207" s="165"/>
    </row>
    <row r="4208" spans="1:3" ht="16.8">
      <c r="A4208" s="165"/>
      <c r="B4208" s="171"/>
      <c r="C4208" s="165"/>
    </row>
    <row r="4209" spans="1:3" ht="16.8">
      <c r="A4209" s="165"/>
      <c r="B4209" s="171"/>
      <c r="C4209" s="165"/>
    </row>
    <row r="4210" spans="1:3" ht="16.8">
      <c r="A4210" s="165"/>
      <c r="B4210" s="171"/>
      <c r="C4210" s="165"/>
    </row>
    <row r="4211" spans="1:3" ht="16.8">
      <c r="A4211" s="165"/>
      <c r="B4211" s="171"/>
      <c r="C4211" s="165"/>
    </row>
    <row r="4212" spans="1:3" ht="16.8">
      <c r="A4212" s="165"/>
      <c r="B4212" s="171"/>
      <c r="C4212" s="165"/>
    </row>
    <row r="4213" spans="1:3" ht="16.8">
      <c r="A4213" s="165"/>
      <c r="B4213" s="171"/>
      <c r="C4213" s="165"/>
    </row>
    <row r="4214" spans="1:3" ht="16.8">
      <c r="A4214" s="165"/>
      <c r="B4214" s="171"/>
      <c r="C4214" s="165"/>
    </row>
    <row r="4215" spans="1:3" ht="16.8">
      <c r="A4215" s="165"/>
      <c r="B4215" s="171"/>
      <c r="C4215" s="165"/>
    </row>
    <row r="4216" spans="1:3" ht="16.8">
      <c r="A4216" s="165"/>
      <c r="B4216" s="171"/>
      <c r="C4216" s="165"/>
    </row>
    <row r="4217" spans="1:3" ht="16.8">
      <c r="A4217" s="165"/>
      <c r="B4217" s="171"/>
      <c r="C4217" s="165"/>
    </row>
    <row r="4218" spans="1:3" ht="16.8">
      <c r="A4218" s="165"/>
      <c r="B4218" s="171"/>
      <c r="C4218" s="165"/>
    </row>
    <row r="4219" spans="1:3" ht="16.8">
      <c r="A4219" s="165"/>
      <c r="B4219" s="171"/>
      <c r="C4219" s="165"/>
    </row>
    <row r="4220" spans="1:3" ht="16.8">
      <c r="A4220" s="165"/>
      <c r="B4220" s="171"/>
      <c r="C4220" s="165"/>
    </row>
    <row r="4221" spans="1:3" ht="16.8">
      <c r="A4221" s="165"/>
      <c r="B4221" s="171"/>
      <c r="C4221" s="165"/>
    </row>
    <row r="4222" spans="1:3" ht="16.8">
      <c r="A4222" s="165"/>
      <c r="B4222" s="171"/>
      <c r="C4222" s="165"/>
    </row>
    <row r="4223" spans="1:3" ht="16.8">
      <c r="A4223" s="165"/>
      <c r="B4223" s="171"/>
      <c r="C4223" s="165"/>
    </row>
    <row r="4224" spans="1:3" ht="16.8">
      <c r="A4224" s="165"/>
      <c r="B4224" s="171"/>
      <c r="C4224" s="165"/>
    </row>
    <row r="4225" spans="1:3" ht="16.8">
      <c r="A4225" s="165"/>
      <c r="B4225" s="171"/>
      <c r="C4225" s="165"/>
    </row>
    <row r="4226" spans="1:3" ht="16.8">
      <c r="A4226" s="165"/>
      <c r="B4226" s="171"/>
      <c r="C4226" s="165"/>
    </row>
    <row r="4227" spans="1:3" ht="16.8">
      <c r="A4227" s="165"/>
      <c r="B4227" s="171"/>
      <c r="C4227" s="165"/>
    </row>
    <row r="4228" spans="1:3" ht="16.8">
      <c r="A4228" s="165"/>
      <c r="B4228" s="171"/>
      <c r="C4228" s="165"/>
    </row>
    <row r="4229" spans="1:3" ht="16.8">
      <c r="A4229" s="165"/>
      <c r="B4229" s="171"/>
      <c r="C4229" s="165"/>
    </row>
    <row r="4230" spans="1:3" ht="16.8">
      <c r="A4230" s="165"/>
      <c r="B4230" s="171"/>
      <c r="C4230" s="165"/>
    </row>
    <row r="4231" spans="1:3" ht="16.8">
      <c r="A4231" s="165"/>
      <c r="B4231" s="171"/>
      <c r="C4231" s="165"/>
    </row>
    <row r="4232" spans="1:3" ht="16.8">
      <c r="A4232" s="165"/>
      <c r="B4232" s="171"/>
      <c r="C4232" s="165"/>
    </row>
    <row r="4233" spans="1:3" ht="16.8">
      <c r="A4233" s="165"/>
      <c r="B4233" s="171"/>
      <c r="C4233" s="165"/>
    </row>
    <row r="4234" spans="1:3" ht="16.8">
      <c r="A4234" s="165"/>
      <c r="B4234" s="171"/>
      <c r="C4234" s="165"/>
    </row>
    <row r="4235" spans="1:3" ht="16.8">
      <c r="A4235" s="165"/>
      <c r="B4235" s="171"/>
      <c r="C4235" s="165"/>
    </row>
    <row r="4236" spans="1:3" ht="16.8">
      <c r="A4236" s="165"/>
      <c r="B4236" s="171"/>
      <c r="C4236" s="165"/>
    </row>
    <row r="4237" spans="1:3" ht="16.8">
      <c r="A4237" s="165"/>
      <c r="B4237" s="171"/>
      <c r="C4237" s="165"/>
    </row>
    <row r="4238" spans="1:3" ht="16.8">
      <c r="A4238" s="165"/>
      <c r="B4238" s="171"/>
      <c r="C4238" s="165"/>
    </row>
    <row r="4239" spans="1:3" ht="16.8">
      <c r="A4239" s="165"/>
      <c r="B4239" s="171"/>
      <c r="C4239" s="165"/>
    </row>
    <row r="4240" spans="1:3" ht="16.8">
      <c r="A4240" s="165"/>
      <c r="B4240" s="171"/>
      <c r="C4240" s="165"/>
    </row>
    <row r="4241" spans="1:3" ht="16.8">
      <c r="A4241" s="165"/>
      <c r="B4241" s="171"/>
      <c r="C4241" s="165"/>
    </row>
    <row r="4242" spans="1:3" ht="16.8">
      <c r="A4242" s="165"/>
      <c r="B4242" s="171"/>
      <c r="C4242" s="165"/>
    </row>
    <row r="4243" spans="1:3" ht="16.8">
      <c r="A4243" s="165"/>
      <c r="B4243" s="171"/>
      <c r="C4243" s="165"/>
    </row>
    <row r="4244" spans="1:3" ht="16.8">
      <c r="A4244" s="165"/>
      <c r="B4244" s="171"/>
      <c r="C4244" s="165"/>
    </row>
    <row r="4245" spans="1:3" ht="16.8">
      <c r="A4245" s="165"/>
      <c r="B4245" s="171"/>
      <c r="C4245" s="165"/>
    </row>
    <row r="4246" spans="1:3" ht="16.8">
      <c r="A4246" s="165"/>
      <c r="B4246" s="171"/>
      <c r="C4246" s="165"/>
    </row>
    <row r="4247" spans="1:3" ht="16.8">
      <c r="A4247" s="165"/>
      <c r="B4247" s="171"/>
      <c r="C4247" s="165"/>
    </row>
    <row r="4248" spans="1:3" ht="16.8">
      <c r="A4248" s="165"/>
      <c r="B4248" s="171"/>
      <c r="C4248" s="165"/>
    </row>
    <row r="4249" spans="1:3" ht="16.8">
      <c r="A4249" s="165"/>
      <c r="B4249" s="171"/>
      <c r="C4249" s="165"/>
    </row>
    <row r="4250" spans="1:3" ht="16.8">
      <c r="A4250" s="165"/>
      <c r="B4250" s="171"/>
      <c r="C4250" s="165"/>
    </row>
    <row r="4251" spans="1:3" ht="16.8">
      <c r="A4251" s="165"/>
      <c r="B4251" s="171"/>
      <c r="C4251" s="165"/>
    </row>
    <row r="4252" spans="1:3" ht="16.8">
      <c r="A4252" s="165"/>
      <c r="B4252" s="171"/>
      <c r="C4252" s="165"/>
    </row>
    <row r="4253" spans="1:3" ht="16.8">
      <c r="A4253" s="165"/>
      <c r="B4253" s="171"/>
      <c r="C4253" s="165"/>
    </row>
    <row r="4254" spans="1:3" ht="16.8">
      <c r="A4254" s="165"/>
      <c r="B4254" s="171"/>
      <c r="C4254" s="165"/>
    </row>
    <row r="4255" spans="1:3" ht="16.8">
      <c r="A4255" s="165"/>
      <c r="B4255" s="171"/>
      <c r="C4255" s="165"/>
    </row>
    <row r="4256" spans="1:3" ht="16.8">
      <c r="A4256" s="165"/>
      <c r="B4256" s="171"/>
      <c r="C4256" s="165"/>
    </row>
    <row r="4257" spans="1:3" ht="16.8">
      <c r="A4257" s="165"/>
      <c r="B4257" s="171"/>
      <c r="C4257" s="165"/>
    </row>
    <row r="4258" spans="1:3" ht="16.8">
      <c r="A4258" s="165"/>
      <c r="B4258" s="171"/>
      <c r="C4258" s="165"/>
    </row>
    <row r="4259" spans="1:3" ht="16.8">
      <c r="A4259" s="165"/>
      <c r="B4259" s="171"/>
      <c r="C4259" s="165"/>
    </row>
    <row r="4260" spans="1:3" ht="16.8">
      <c r="A4260" s="165"/>
      <c r="B4260" s="171"/>
      <c r="C4260" s="165"/>
    </row>
    <row r="4261" spans="1:3" ht="16.8">
      <c r="A4261" s="165"/>
      <c r="B4261" s="171"/>
      <c r="C4261" s="165"/>
    </row>
    <row r="4262" spans="1:3" ht="16.8">
      <c r="A4262" s="165"/>
      <c r="B4262" s="171"/>
      <c r="C4262" s="165"/>
    </row>
    <row r="4263" spans="1:3" ht="16.8">
      <c r="A4263" s="165"/>
      <c r="B4263" s="171"/>
      <c r="C4263" s="165"/>
    </row>
    <row r="4264" spans="1:3" ht="16.8">
      <c r="A4264" s="165"/>
      <c r="B4264" s="171"/>
      <c r="C4264" s="165"/>
    </row>
    <row r="4265" spans="1:3" ht="16.8">
      <c r="A4265" s="165"/>
      <c r="B4265" s="171"/>
      <c r="C4265" s="165"/>
    </row>
    <row r="4266" spans="1:3" ht="16.8">
      <c r="A4266" s="165"/>
      <c r="B4266" s="171"/>
      <c r="C4266" s="165"/>
    </row>
    <row r="4267" spans="1:3" ht="16.8">
      <c r="A4267" s="165"/>
      <c r="B4267" s="171"/>
      <c r="C4267" s="165"/>
    </row>
    <row r="4268" spans="1:3" ht="16.8">
      <c r="A4268" s="165"/>
      <c r="B4268" s="171"/>
      <c r="C4268" s="165"/>
    </row>
    <row r="4269" spans="1:3" ht="16.8">
      <c r="A4269" s="165"/>
      <c r="B4269" s="171"/>
      <c r="C4269" s="165"/>
    </row>
    <row r="4270" spans="1:3" ht="16.8">
      <c r="A4270" s="165"/>
      <c r="B4270" s="171"/>
      <c r="C4270" s="165"/>
    </row>
    <row r="4271" spans="1:3" ht="16.8">
      <c r="A4271" s="165"/>
      <c r="B4271" s="171"/>
      <c r="C4271" s="165"/>
    </row>
    <row r="4272" spans="1:3" ht="16.8">
      <c r="A4272" s="165"/>
      <c r="B4272" s="171"/>
      <c r="C4272" s="165"/>
    </row>
    <row r="4273" spans="1:3" ht="16.8">
      <c r="A4273" s="165"/>
      <c r="B4273" s="171"/>
      <c r="C4273" s="165"/>
    </row>
    <row r="4274" spans="1:3" ht="16.8">
      <c r="A4274" s="165"/>
      <c r="B4274" s="171"/>
      <c r="C4274" s="165"/>
    </row>
    <row r="4275" spans="1:3" ht="16.8">
      <c r="A4275" s="165"/>
      <c r="B4275" s="171"/>
      <c r="C4275" s="165"/>
    </row>
    <row r="4276" spans="1:3" ht="16.8">
      <c r="A4276" s="165"/>
      <c r="B4276" s="171"/>
      <c r="C4276" s="165"/>
    </row>
    <row r="4277" spans="1:3" ht="16.8">
      <c r="A4277" s="165"/>
      <c r="B4277" s="171"/>
      <c r="C4277" s="165"/>
    </row>
    <row r="4278" spans="1:3" ht="16.8">
      <c r="A4278" s="165"/>
      <c r="B4278" s="171"/>
      <c r="C4278" s="165"/>
    </row>
    <row r="4279" spans="1:3" ht="16.8">
      <c r="A4279" s="165"/>
      <c r="B4279" s="171"/>
      <c r="C4279" s="165"/>
    </row>
    <row r="4280" spans="1:3" ht="16.8">
      <c r="A4280" s="165"/>
      <c r="B4280" s="171"/>
      <c r="C4280" s="165"/>
    </row>
    <row r="4281" spans="1:3" ht="16.8">
      <c r="A4281" s="165"/>
      <c r="B4281" s="171"/>
      <c r="C4281" s="165"/>
    </row>
    <row r="4282" spans="1:3" ht="16.8">
      <c r="A4282" s="165"/>
      <c r="B4282" s="171"/>
      <c r="C4282" s="165"/>
    </row>
    <row r="4283" spans="1:3" ht="16.8">
      <c r="A4283" s="165"/>
      <c r="B4283" s="171"/>
      <c r="C4283" s="165"/>
    </row>
    <row r="4284" spans="1:3" ht="16.8">
      <c r="A4284" s="165"/>
      <c r="B4284" s="171"/>
      <c r="C4284" s="165"/>
    </row>
    <row r="4285" spans="1:3" ht="16.8">
      <c r="A4285" s="165"/>
      <c r="B4285" s="171"/>
      <c r="C4285" s="165"/>
    </row>
    <row r="4286" spans="1:3" ht="16.8">
      <c r="A4286" s="165"/>
      <c r="B4286" s="171"/>
      <c r="C4286" s="165"/>
    </row>
    <row r="4287" spans="1:3" ht="16.8">
      <c r="A4287" s="165"/>
      <c r="B4287" s="171"/>
      <c r="C4287" s="165"/>
    </row>
    <row r="4288" spans="1:3" ht="16.8">
      <c r="A4288" s="165"/>
      <c r="B4288" s="171"/>
      <c r="C4288" s="165"/>
    </row>
    <row r="4289" spans="1:3" ht="16.8">
      <c r="A4289" s="165"/>
      <c r="B4289" s="171"/>
      <c r="C4289" s="165"/>
    </row>
    <row r="4290" spans="1:3" ht="16.8">
      <c r="A4290" s="165"/>
      <c r="B4290" s="171"/>
      <c r="C4290" s="165"/>
    </row>
    <row r="4291" spans="1:3" ht="16.8">
      <c r="A4291" s="165"/>
      <c r="B4291" s="171"/>
      <c r="C4291" s="165"/>
    </row>
    <row r="4292" spans="1:3" ht="16.8">
      <c r="A4292" s="165"/>
      <c r="B4292" s="171"/>
      <c r="C4292" s="165"/>
    </row>
    <row r="4293" spans="1:3" ht="16.8">
      <c r="A4293" s="165"/>
      <c r="B4293" s="171"/>
      <c r="C4293" s="165"/>
    </row>
    <row r="4294" spans="1:3" ht="16.8">
      <c r="A4294" s="165"/>
      <c r="B4294" s="171"/>
      <c r="C4294" s="165"/>
    </row>
    <row r="4295" spans="1:3" ht="16.8">
      <c r="A4295" s="165"/>
      <c r="B4295" s="171"/>
      <c r="C4295" s="165"/>
    </row>
    <row r="4296" spans="1:3" ht="16.8">
      <c r="A4296" s="165"/>
      <c r="B4296" s="171"/>
      <c r="C4296" s="165"/>
    </row>
    <row r="4297" spans="1:3" ht="16.8">
      <c r="A4297" s="165"/>
      <c r="B4297" s="171"/>
      <c r="C4297" s="165"/>
    </row>
    <row r="4298" spans="1:3" ht="16.8">
      <c r="A4298" s="165"/>
      <c r="B4298" s="171"/>
      <c r="C4298" s="165"/>
    </row>
    <row r="4299" spans="1:3" ht="16.8">
      <c r="A4299" s="165"/>
      <c r="B4299" s="171"/>
      <c r="C4299" s="165"/>
    </row>
    <row r="4300" spans="1:3" ht="16.8">
      <c r="A4300" s="165"/>
      <c r="B4300" s="171"/>
      <c r="C4300" s="165"/>
    </row>
    <row r="4301" spans="1:3" ht="16.8">
      <c r="A4301" s="165"/>
      <c r="B4301" s="171"/>
      <c r="C4301" s="165"/>
    </row>
    <row r="4302" spans="1:3" ht="16.8">
      <c r="A4302" s="165"/>
      <c r="B4302" s="171"/>
      <c r="C4302" s="165"/>
    </row>
    <row r="4303" spans="1:3" ht="16.8">
      <c r="A4303" s="165"/>
      <c r="B4303" s="171"/>
      <c r="C4303" s="165"/>
    </row>
    <row r="4304" spans="1:3" ht="16.8">
      <c r="A4304" s="165"/>
      <c r="B4304" s="171"/>
      <c r="C4304" s="165"/>
    </row>
    <row r="4305" spans="1:3" ht="16.8">
      <c r="A4305" s="165"/>
      <c r="B4305" s="171"/>
      <c r="C4305" s="165"/>
    </row>
    <row r="4306" spans="1:3" ht="16.8">
      <c r="A4306" s="165"/>
      <c r="B4306" s="171"/>
      <c r="C4306" s="165"/>
    </row>
    <row r="4307" spans="1:3" ht="16.8">
      <c r="A4307" s="165"/>
      <c r="B4307" s="171"/>
      <c r="C4307" s="165"/>
    </row>
    <row r="4308" spans="1:3" ht="16.8">
      <c r="A4308" s="165"/>
      <c r="B4308" s="171"/>
      <c r="C4308" s="165"/>
    </row>
    <row r="4309" spans="1:3" ht="16.8">
      <c r="A4309" s="165"/>
      <c r="B4309" s="171"/>
      <c r="C4309" s="165"/>
    </row>
    <row r="4310" spans="1:3" ht="16.8">
      <c r="A4310" s="165"/>
      <c r="B4310" s="171"/>
      <c r="C4310" s="165"/>
    </row>
    <row r="4311" spans="1:3" ht="16.8">
      <c r="A4311" s="165"/>
      <c r="B4311" s="171"/>
      <c r="C4311" s="165"/>
    </row>
    <row r="4312" spans="1:3" ht="16.8">
      <c r="A4312" s="165"/>
      <c r="B4312" s="171"/>
      <c r="C4312" s="165"/>
    </row>
    <row r="4313" spans="1:3" ht="16.8">
      <c r="A4313" s="165"/>
      <c r="B4313" s="171"/>
      <c r="C4313" s="165"/>
    </row>
    <row r="4314" spans="1:3" ht="16.8">
      <c r="A4314" s="165"/>
      <c r="B4314" s="171"/>
      <c r="C4314" s="165"/>
    </row>
    <row r="4315" spans="1:3" ht="16.8">
      <c r="A4315" s="165"/>
      <c r="B4315" s="171"/>
      <c r="C4315" s="165"/>
    </row>
    <row r="4316" spans="1:3" ht="16.8">
      <c r="A4316" s="165"/>
      <c r="B4316" s="171"/>
      <c r="C4316" s="165"/>
    </row>
    <row r="4317" spans="1:3" ht="16.8">
      <c r="A4317" s="165"/>
      <c r="B4317" s="171"/>
      <c r="C4317" s="165"/>
    </row>
    <row r="4318" spans="1:3" ht="16.8">
      <c r="A4318" s="165"/>
      <c r="B4318" s="171"/>
      <c r="C4318" s="165"/>
    </row>
    <row r="4319" spans="1:3" ht="16.8">
      <c r="A4319" s="165"/>
      <c r="B4319" s="171"/>
      <c r="C4319" s="165"/>
    </row>
    <row r="4320" spans="1:3" ht="16.8">
      <c r="A4320" s="165"/>
      <c r="B4320" s="171"/>
      <c r="C4320" s="165"/>
    </row>
    <row r="4321" spans="1:3" ht="16.8">
      <c r="A4321" s="165"/>
      <c r="B4321" s="171"/>
      <c r="C4321" s="165"/>
    </row>
    <row r="4322" spans="1:3" ht="16.8">
      <c r="A4322" s="165"/>
      <c r="B4322" s="171"/>
      <c r="C4322" s="165"/>
    </row>
    <row r="4323" spans="1:3" ht="16.8">
      <c r="A4323" s="165"/>
      <c r="B4323" s="171"/>
      <c r="C4323" s="165"/>
    </row>
    <row r="4324" spans="1:3" ht="16.8">
      <c r="A4324" s="165"/>
      <c r="B4324" s="171"/>
      <c r="C4324" s="165"/>
    </row>
    <row r="4325" spans="1:3" ht="16.8">
      <c r="A4325" s="165"/>
      <c r="B4325" s="171"/>
      <c r="C4325" s="165"/>
    </row>
    <row r="4326" spans="1:3" ht="16.8">
      <c r="A4326" s="165"/>
      <c r="B4326" s="171"/>
      <c r="C4326" s="165"/>
    </row>
    <row r="4327" spans="1:3" ht="16.8">
      <c r="A4327" s="165"/>
      <c r="B4327" s="171"/>
      <c r="C4327" s="165"/>
    </row>
    <row r="4328" spans="1:3" ht="16.8">
      <c r="A4328" s="165"/>
      <c r="B4328" s="171"/>
      <c r="C4328" s="165"/>
    </row>
    <row r="4329" spans="1:3" ht="16.8">
      <c r="A4329" s="165"/>
      <c r="B4329" s="171"/>
      <c r="C4329" s="165"/>
    </row>
    <row r="4330" spans="1:3" ht="16.8">
      <c r="A4330" s="165"/>
      <c r="B4330" s="171"/>
      <c r="C4330" s="165"/>
    </row>
    <row r="4331" spans="1:3" ht="16.8">
      <c r="A4331" s="165"/>
      <c r="B4331" s="171"/>
      <c r="C4331" s="165"/>
    </row>
    <row r="4332" spans="1:3" ht="16.8">
      <c r="A4332" s="165"/>
      <c r="B4332" s="171"/>
      <c r="C4332" s="165"/>
    </row>
    <row r="4333" spans="1:3" ht="16.8">
      <c r="A4333" s="165"/>
      <c r="B4333" s="171"/>
      <c r="C4333" s="165"/>
    </row>
    <row r="4334" spans="1:3" ht="16.8">
      <c r="A4334" s="165"/>
      <c r="B4334" s="171"/>
      <c r="C4334" s="165"/>
    </row>
    <row r="4335" spans="1:3" ht="16.8">
      <c r="A4335" s="165"/>
      <c r="B4335" s="171"/>
      <c r="C4335" s="165"/>
    </row>
    <row r="4336" spans="1:3" ht="16.8">
      <c r="A4336" s="165"/>
      <c r="B4336" s="171"/>
      <c r="C4336" s="165"/>
    </row>
    <row r="4337" spans="1:3" ht="16.8">
      <c r="A4337" s="165"/>
      <c r="B4337" s="171"/>
      <c r="C4337" s="165"/>
    </row>
    <row r="4338" spans="1:3" ht="16.8">
      <c r="A4338" s="165"/>
      <c r="B4338" s="171"/>
      <c r="C4338" s="165"/>
    </row>
    <row r="4339" spans="1:3" ht="16.8">
      <c r="A4339" s="165"/>
      <c r="B4339" s="171"/>
      <c r="C4339" s="165"/>
    </row>
    <row r="4340" spans="1:3" ht="16.8">
      <c r="A4340" s="165"/>
      <c r="B4340" s="171"/>
      <c r="C4340" s="165"/>
    </row>
    <row r="4341" spans="1:3" ht="16.8">
      <c r="A4341" s="165"/>
      <c r="B4341" s="171"/>
      <c r="C4341" s="165"/>
    </row>
    <row r="4342" spans="1:3" ht="16.8">
      <c r="A4342" s="165"/>
      <c r="B4342" s="171"/>
      <c r="C4342" s="165"/>
    </row>
    <row r="4343" spans="1:3" ht="16.8">
      <c r="A4343" s="165"/>
      <c r="B4343" s="171"/>
      <c r="C4343" s="165"/>
    </row>
    <row r="4344" spans="1:3" ht="16.8">
      <c r="A4344" s="165"/>
      <c r="B4344" s="171"/>
      <c r="C4344" s="165"/>
    </row>
    <row r="4345" spans="1:3" ht="16.8">
      <c r="A4345" s="165"/>
      <c r="B4345" s="171"/>
      <c r="C4345" s="165"/>
    </row>
    <row r="4346" spans="1:3" ht="16.8">
      <c r="A4346" s="165"/>
      <c r="B4346" s="171"/>
      <c r="C4346" s="165"/>
    </row>
    <row r="4347" spans="1:3" ht="16.8">
      <c r="A4347" s="165"/>
      <c r="B4347" s="171"/>
      <c r="C4347" s="165"/>
    </row>
    <row r="4348" spans="1:3" ht="16.8">
      <c r="A4348" s="165"/>
      <c r="B4348" s="171"/>
      <c r="C4348" s="165"/>
    </row>
    <row r="4349" spans="1:3" ht="16.8">
      <c r="A4349" s="165"/>
      <c r="B4349" s="171"/>
      <c r="C4349" s="165"/>
    </row>
    <row r="4350" spans="1:3" ht="16.8">
      <c r="A4350" s="165"/>
      <c r="B4350" s="171"/>
      <c r="C4350" s="165"/>
    </row>
    <row r="4351" spans="1:3" ht="16.8">
      <c r="A4351" s="165"/>
      <c r="B4351" s="171"/>
      <c r="C4351" s="165"/>
    </row>
    <row r="4352" spans="1:3" ht="16.8">
      <c r="A4352" s="165"/>
      <c r="B4352" s="171"/>
      <c r="C4352" s="165"/>
    </row>
    <row r="4353" spans="1:3" ht="16.8">
      <c r="A4353" s="165"/>
      <c r="B4353" s="171"/>
      <c r="C4353" s="165"/>
    </row>
    <row r="4354" spans="1:3" ht="16.8">
      <c r="A4354" s="165"/>
      <c r="B4354" s="171"/>
      <c r="C4354" s="165"/>
    </row>
    <row r="4355" spans="1:3" ht="16.8">
      <c r="A4355" s="165"/>
      <c r="B4355" s="171"/>
      <c r="C4355" s="165"/>
    </row>
    <row r="4356" spans="1:3" ht="16.8">
      <c r="A4356" s="165"/>
      <c r="B4356" s="171"/>
      <c r="C4356" s="165"/>
    </row>
    <row r="4357" spans="1:3" ht="16.8">
      <c r="A4357" s="165"/>
      <c r="B4357" s="171"/>
      <c r="C4357" s="165"/>
    </row>
    <row r="4358" spans="1:3" ht="16.8">
      <c r="A4358" s="165"/>
      <c r="B4358" s="171"/>
      <c r="C4358" s="165"/>
    </row>
    <row r="4359" spans="1:3" ht="16.8">
      <c r="A4359" s="165"/>
      <c r="B4359" s="171"/>
      <c r="C4359" s="165"/>
    </row>
    <row r="4360" spans="1:3" ht="16.8">
      <c r="A4360" s="165"/>
      <c r="B4360" s="171"/>
      <c r="C4360" s="165"/>
    </row>
    <row r="4361" spans="1:3" ht="16.8">
      <c r="A4361" s="165"/>
      <c r="B4361" s="171"/>
      <c r="C4361" s="165"/>
    </row>
    <row r="4362" spans="1:3" ht="16.8">
      <c r="A4362" s="165"/>
      <c r="B4362" s="171"/>
      <c r="C4362" s="165"/>
    </row>
    <row r="4363" spans="1:3" ht="16.8">
      <c r="A4363" s="165"/>
      <c r="B4363" s="171"/>
      <c r="C4363" s="165"/>
    </row>
    <row r="4364" spans="1:3" ht="16.8">
      <c r="A4364" s="165"/>
      <c r="B4364" s="171"/>
      <c r="C4364" s="165"/>
    </row>
    <row r="4365" spans="1:3" ht="16.8">
      <c r="A4365" s="165"/>
      <c r="B4365" s="171"/>
      <c r="C4365" s="165"/>
    </row>
    <row r="4366" spans="1:3" ht="16.8">
      <c r="A4366" s="165"/>
      <c r="B4366" s="171"/>
      <c r="C4366" s="165"/>
    </row>
    <row r="4367" spans="1:3" ht="16.8">
      <c r="A4367" s="165"/>
      <c r="B4367" s="171"/>
      <c r="C4367" s="165"/>
    </row>
    <row r="4368" spans="1:3" ht="16.8">
      <c r="A4368" s="165"/>
      <c r="B4368" s="171"/>
      <c r="C4368" s="165"/>
    </row>
    <row r="4369" spans="1:3" ht="16.8">
      <c r="A4369" s="165"/>
      <c r="B4369" s="171"/>
      <c r="C4369" s="165"/>
    </row>
    <row r="4370" spans="1:3" ht="16.8">
      <c r="A4370" s="165"/>
      <c r="B4370" s="171"/>
      <c r="C4370" s="165"/>
    </row>
    <row r="4371" spans="1:3" ht="16.8">
      <c r="A4371" s="165"/>
      <c r="B4371" s="171"/>
      <c r="C4371" s="165"/>
    </row>
    <row r="4372" spans="1:3" ht="16.8">
      <c r="A4372" s="165"/>
      <c r="B4372" s="171"/>
      <c r="C4372" s="165"/>
    </row>
    <row r="4373" spans="1:3" ht="16.8">
      <c r="A4373" s="165"/>
      <c r="B4373" s="171"/>
      <c r="C4373" s="165"/>
    </row>
    <row r="4374" spans="1:3" ht="16.8">
      <c r="A4374" s="165"/>
      <c r="B4374" s="171"/>
      <c r="C4374" s="165"/>
    </row>
    <row r="4375" spans="1:3" ht="16.8">
      <c r="A4375" s="165"/>
      <c r="B4375" s="171"/>
      <c r="C4375" s="165"/>
    </row>
    <row r="4376" spans="1:3" ht="16.8">
      <c r="A4376" s="165"/>
      <c r="B4376" s="171"/>
      <c r="C4376" s="165"/>
    </row>
    <row r="4377" spans="1:3" ht="16.8">
      <c r="A4377" s="165"/>
      <c r="B4377" s="171"/>
      <c r="C4377" s="165"/>
    </row>
    <row r="4378" spans="1:3" ht="16.8">
      <c r="A4378" s="165"/>
      <c r="B4378" s="171"/>
      <c r="C4378" s="165"/>
    </row>
    <row r="4379" spans="1:3" ht="16.8">
      <c r="A4379" s="165"/>
      <c r="B4379" s="171"/>
      <c r="C4379" s="165"/>
    </row>
    <row r="4380" spans="1:3" ht="16.8">
      <c r="A4380" s="165"/>
      <c r="B4380" s="171"/>
      <c r="C4380" s="165"/>
    </row>
    <row r="4381" spans="1:3" ht="16.8">
      <c r="A4381" s="165"/>
      <c r="B4381" s="171"/>
      <c r="C4381" s="165"/>
    </row>
    <row r="4382" spans="1:3" ht="16.8">
      <c r="A4382" s="165"/>
      <c r="B4382" s="171"/>
      <c r="C4382" s="165"/>
    </row>
    <row r="4383" spans="1:3" ht="16.8">
      <c r="A4383" s="165"/>
      <c r="B4383" s="171"/>
      <c r="C4383" s="165"/>
    </row>
    <row r="4384" spans="1:3" ht="16.8">
      <c r="A4384" s="165"/>
      <c r="B4384" s="171"/>
      <c r="C4384" s="165"/>
    </row>
    <row r="4385" spans="1:3" ht="16.8">
      <c r="A4385" s="165"/>
      <c r="B4385" s="171"/>
      <c r="C4385" s="165"/>
    </row>
    <row r="4386" spans="1:3" ht="16.8">
      <c r="A4386" s="165"/>
      <c r="B4386" s="171"/>
      <c r="C4386" s="165"/>
    </row>
    <row r="4387" spans="1:3" ht="16.8">
      <c r="A4387" s="165"/>
      <c r="B4387" s="171"/>
      <c r="C4387" s="165"/>
    </row>
    <row r="4388" spans="1:3" ht="16.8">
      <c r="A4388" s="165"/>
      <c r="B4388" s="171"/>
      <c r="C4388" s="165"/>
    </row>
    <row r="4389" spans="1:3" ht="16.8">
      <c r="A4389" s="165"/>
      <c r="B4389" s="171"/>
      <c r="C4389" s="165"/>
    </row>
    <row r="4390" spans="1:3" ht="16.8">
      <c r="A4390" s="165"/>
      <c r="B4390" s="171"/>
      <c r="C4390" s="165"/>
    </row>
    <row r="4391" spans="1:3" ht="16.8">
      <c r="A4391" s="165"/>
      <c r="B4391" s="171"/>
      <c r="C4391" s="165"/>
    </row>
    <row r="4392" spans="1:3" ht="16.8">
      <c r="A4392" s="165"/>
      <c r="B4392" s="171"/>
      <c r="C4392" s="165"/>
    </row>
    <row r="4393" spans="1:3" ht="16.8">
      <c r="A4393" s="165"/>
      <c r="B4393" s="171"/>
      <c r="C4393" s="165"/>
    </row>
    <row r="4394" spans="1:3" ht="16.8">
      <c r="A4394" s="165"/>
      <c r="B4394" s="171"/>
      <c r="C4394" s="165"/>
    </row>
    <row r="4395" spans="1:3" ht="16.8">
      <c r="A4395" s="165"/>
      <c r="B4395" s="171"/>
      <c r="C4395" s="165"/>
    </row>
    <row r="4396" spans="1:3" ht="16.8">
      <c r="A4396" s="165"/>
      <c r="B4396" s="171"/>
      <c r="C4396" s="165"/>
    </row>
    <row r="4397" spans="1:3" ht="16.8">
      <c r="A4397" s="165"/>
      <c r="B4397" s="171"/>
      <c r="C4397" s="165"/>
    </row>
    <row r="4398" spans="1:3" ht="16.8">
      <c r="A4398" s="165"/>
      <c r="B4398" s="171"/>
      <c r="C4398" s="165"/>
    </row>
    <row r="4399" spans="1:3" ht="16.8">
      <c r="A4399" s="165"/>
      <c r="B4399" s="171"/>
      <c r="C4399" s="165"/>
    </row>
    <row r="4400" spans="1:3" ht="16.8">
      <c r="A4400" s="165"/>
      <c r="B4400" s="171"/>
      <c r="C4400" s="165"/>
    </row>
    <row r="4401" spans="1:3" ht="16.8">
      <c r="A4401" s="165"/>
      <c r="B4401" s="171"/>
      <c r="C4401" s="165"/>
    </row>
    <row r="4402" spans="1:3" ht="16.8">
      <c r="A4402" s="165"/>
      <c r="B4402" s="171"/>
      <c r="C4402" s="165"/>
    </row>
    <row r="4403" spans="1:3" ht="16.8">
      <c r="A4403" s="165"/>
      <c r="B4403" s="171"/>
      <c r="C4403" s="165"/>
    </row>
    <row r="4404" spans="1:3" ht="16.8">
      <c r="A4404" s="165"/>
      <c r="B4404" s="171"/>
      <c r="C4404" s="165"/>
    </row>
    <row r="4405" spans="1:3" ht="16.8">
      <c r="A4405" s="165"/>
      <c r="B4405" s="171"/>
      <c r="C4405" s="165"/>
    </row>
    <row r="4406" spans="1:3" ht="16.8">
      <c r="A4406" s="165"/>
      <c r="B4406" s="171"/>
      <c r="C4406" s="165"/>
    </row>
    <row r="4407" spans="1:3" ht="16.8">
      <c r="A4407" s="165"/>
      <c r="B4407" s="171"/>
      <c r="C4407" s="165"/>
    </row>
    <row r="4408" spans="1:3" ht="16.8">
      <c r="A4408" s="165"/>
      <c r="B4408" s="171"/>
      <c r="C4408" s="165"/>
    </row>
    <row r="4409" spans="1:3" ht="16.8">
      <c r="A4409" s="165"/>
      <c r="B4409" s="171"/>
      <c r="C4409" s="165"/>
    </row>
    <row r="4410" spans="1:3" ht="16.8">
      <c r="A4410" s="165"/>
      <c r="B4410" s="171"/>
      <c r="C4410" s="165"/>
    </row>
    <row r="4411" spans="1:3" ht="16.8">
      <c r="A4411" s="165"/>
      <c r="B4411" s="171"/>
      <c r="C4411" s="165"/>
    </row>
    <row r="4412" spans="1:3" ht="16.8">
      <c r="A4412" s="165"/>
      <c r="B4412" s="171"/>
      <c r="C4412" s="165"/>
    </row>
    <row r="4413" spans="1:3" ht="16.8">
      <c r="A4413" s="165"/>
      <c r="B4413" s="171"/>
      <c r="C4413" s="165"/>
    </row>
    <row r="4414" spans="1:3" ht="16.8">
      <c r="A4414" s="165"/>
      <c r="B4414" s="171"/>
      <c r="C4414" s="165"/>
    </row>
    <row r="4415" spans="1:3" ht="16.8">
      <c r="A4415" s="165"/>
      <c r="B4415" s="171"/>
      <c r="C4415" s="165"/>
    </row>
    <row r="4416" spans="1:3" ht="16.8">
      <c r="A4416" s="165"/>
      <c r="B4416" s="171"/>
      <c r="C4416" s="165"/>
    </row>
    <row r="4417" spans="1:3" ht="16.8">
      <c r="A4417" s="165"/>
      <c r="B4417" s="171"/>
      <c r="C4417" s="165"/>
    </row>
    <row r="4418" spans="1:3" ht="16.8">
      <c r="A4418" s="165"/>
      <c r="B4418" s="171"/>
      <c r="C4418" s="165"/>
    </row>
    <row r="4419" spans="1:3" ht="16.8">
      <c r="A4419" s="165"/>
      <c r="B4419" s="171"/>
      <c r="C4419" s="165"/>
    </row>
    <row r="4420" spans="1:3" ht="16.8">
      <c r="A4420" s="165"/>
      <c r="B4420" s="171"/>
      <c r="C4420" s="165"/>
    </row>
    <row r="4421" spans="1:3" ht="16.8">
      <c r="A4421" s="165"/>
      <c r="B4421" s="171"/>
      <c r="C4421" s="165"/>
    </row>
    <row r="4422" spans="1:3" ht="16.8">
      <c r="A4422" s="165"/>
      <c r="B4422" s="171"/>
      <c r="C4422" s="165"/>
    </row>
    <row r="4423" spans="1:3" ht="16.8">
      <c r="A4423" s="165"/>
      <c r="B4423" s="171"/>
      <c r="C4423" s="165"/>
    </row>
    <row r="4424" spans="1:3" ht="16.8">
      <c r="A4424" s="165"/>
      <c r="B4424" s="171"/>
      <c r="C4424" s="165"/>
    </row>
    <row r="4425" spans="1:3" ht="16.8">
      <c r="A4425" s="165"/>
      <c r="B4425" s="171"/>
      <c r="C4425" s="165"/>
    </row>
    <row r="4426" spans="1:3" ht="16.8">
      <c r="A4426" s="165"/>
      <c r="B4426" s="171"/>
      <c r="C4426" s="165"/>
    </row>
    <row r="4427" spans="1:3" ht="16.8">
      <c r="A4427" s="165"/>
      <c r="B4427" s="171"/>
      <c r="C4427" s="165"/>
    </row>
    <row r="4428" spans="1:3" ht="16.8">
      <c r="A4428" s="165"/>
      <c r="B4428" s="171"/>
      <c r="C4428" s="165"/>
    </row>
    <row r="4429" spans="1:3" ht="16.8">
      <c r="A4429" s="165"/>
      <c r="B4429" s="171"/>
      <c r="C4429" s="165"/>
    </row>
    <row r="4430" spans="1:3" ht="16.8">
      <c r="A4430" s="165"/>
      <c r="B4430" s="171"/>
      <c r="C4430" s="165"/>
    </row>
    <row r="4431" spans="1:3" ht="16.8">
      <c r="A4431" s="165"/>
      <c r="B4431" s="171"/>
      <c r="C4431" s="165"/>
    </row>
    <row r="4432" spans="1:3" ht="16.8">
      <c r="A4432" s="165"/>
      <c r="B4432" s="171"/>
      <c r="C4432" s="165"/>
    </row>
    <row r="4433" spans="1:3" ht="16.8">
      <c r="A4433" s="165"/>
      <c r="B4433" s="171"/>
      <c r="C4433" s="165"/>
    </row>
    <row r="4434" spans="1:3" ht="16.8">
      <c r="A4434" s="165"/>
      <c r="B4434" s="171"/>
      <c r="C4434" s="165"/>
    </row>
    <row r="4435" spans="1:3" ht="16.8">
      <c r="A4435" s="165"/>
      <c r="B4435" s="171"/>
      <c r="C4435" s="165"/>
    </row>
    <row r="4436" spans="1:3" ht="16.8">
      <c r="A4436" s="165"/>
      <c r="B4436" s="171"/>
      <c r="C4436" s="165"/>
    </row>
    <row r="4437" spans="1:3" ht="16.8">
      <c r="A4437" s="165"/>
      <c r="B4437" s="171"/>
      <c r="C4437" s="165"/>
    </row>
    <row r="4438" spans="1:3" ht="16.8">
      <c r="A4438" s="165"/>
      <c r="B4438" s="171"/>
      <c r="C4438" s="165"/>
    </row>
    <row r="4439" spans="1:3" ht="16.8">
      <c r="A4439" s="165"/>
      <c r="B4439" s="171"/>
      <c r="C4439" s="165"/>
    </row>
    <row r="4440" spans="1:3" ht="16.8">
      <c r="A4440" s="165"/>
      <c r="B4440" s="171"/>
      <c r="C4440" s="165"/>
    </row>
    <row r="4441" spans="1:3" ht="16.8">
      <c r="A4441" s="165"/>
      <c r="B4441" s="171"/>
      <c r="C4441" s="165"/>
    </row>
    <row r="4442" spans="1:3" ht="16.8">
      <c r="A4442" s="165"/>
      <c r="B4442" s="171"/>
      <c r="C4442" s="165"/>
    </row>
    <row r="4443" spans="1:3" ht="16.8">
      <c r="A4443" s="165"/>
      <c r="B4443" s="171"/>
      <c r="C4443" s="165"/>
    </row>
    <row r="4444" spans="1:3" ht="16.8">
      <c r="A4444" s="165"/>
      <c r="B4444" s="171"/>
      <c r="C4444" s="165"/>
    </row>
    <row r="4445" spans="1:3" ht="16.8">
      <c r="A4445" s="165"/>
      <c r="B4445" s="171"/>
      <c r="C4445" s="165"/>
    </row>
    <row r="4446" spans="1:3" ht="16.8">
      <c r="A4446" s="165"/>
      <c r="B4446" s="171"/>
      <c r="C4446" s="165"/>
    </row>
    <row r="4447" spans="1:3" ht="16.8">
      <c r="A4447" s="165"/>
      <c r="B4447" s="171"/>
      <c r="C4447" s="165"/>
    </row>
    <row r="4448" spans="1:3" ht="16.8">
      <c r="A4448" s="165"/>
      <c r="B4448" s="171"/>
      <c r="C4448" s="165"/>
    </row>
    <row r="4449" spans="1:3" ht="16.8">
      <c r="A4449" s="165"/>
      <c r="B4449" s="171"/>
      <c r="C4449" s="165"/>
    </row>
    <row r="4450" spans="1:3" ht="16.8">
      <c r="A4450" s="165"/>
      <c r="B4450" s="171"/>
      <c r="C4450" s="165"/>
    </row>
    <row r="4451" spans="1:3" ht="16.8">
      <c r="A4451" s="165"/>
      <c r="B4451" s="171"/>
      <c r="C4451" s="165"/>
    </row>
    <row r="4452" spans="1:3" ht="16.8">
      <c r="A4452" s="165"/>
      <c r="B4452" s="171"/>
      <c r="C4452" s="165"/>
    </row>
    <row r="4453" spans="1:3" ht="16.8">
      <c r="A4453" s="165"/>
      <c r="B4453" s="171"/>
      <c r="C4453" s="165"/>
    </row>
    <row r="4454" spans="1:3" ht="16.8">
      <c r="A4454" s="165"/>
      <c r="B4454" s="171"/>
      <c r="C4454" s="165"/>
    </row>
    <row r="4455" spans="1:3" ht="16.8">
      <c r="A4455" s="165"/>
      <c r="B4455" s="171"/>
      <c r="C4455" s="165"/>
    </row>
    <row r="4456" spans="1:3" ht="16.8">
      <c r="A4456" s="165"/>
      <c r="B4456" s="171"/>
      <c r="C4456" s="165"/>
    </row>
    <row r="4457" spans="1:3" ht="16.8">
      <c r="A4457" s="165"/>
      <c r="B4457" s="171"/>
      <c r="C4457" s="165"/>
    </row>
    <row r="4458" spans="1:3" ht="16.8">
      <c r="A4458" s="165"/>
      <c r="B4458" s="171"/>
      <c r="C4458" s="165"/>
    </row>
    <row r="4459" spans="1:3" ht="16.8">
      <c r="A4459" s="165"/>
      <c r="B4459" s="171"/>
      <c r="C4459" s="165"/>
    </row>
    <row r="4460" spans="1:3" ht="16.8">
      <c r="A4460" s="165"/>
      <c r="B4460" s="171"/>
      <c r="C4460" s="165"/>
    </row>
    <row r="4461" spans="1:3" ht="16.8">
      <c r="A4461" s="165"/>
      <c r="B4461" s="171"/>
      <c r="C4461" s="165"/>
    </row>
    <row r="4462" spans="1:3" ht="16.8">
      <c r="A4462" s="165"/>
      <c r="B4462" s="171"/>
      <c r="C4462" s="165"/>
    </row>
    <row r="4463" spans="1:3" ht="16.8">
      <c r="A4463" s="165"/>
      <c r="B4463" s="171"/>
      <c r="C4463" s="165"/>
    </row>
    <row r="4464" spans="1:3" ht="16.8">
      <c r="A4464" s="165"/>
      <c r="B4464" s="171"/>
      <c r="C4464" s="165"/>
    </row>
    <row r="4465" spans="1:3" ht="16.8">
      <c r="A4465" s="165"/>
      <c r="B4465" s="171"/>
      <c r="C4465" s="165"/>
    </row>
    <row r="4466" spans="1:3" ht="16.8">
      <c r="A4466" s="165"/>
      <c r="B4466" s="171"/>
      <c r="C4466" s="165"/>
    </row>
    <row r="4467" spans="1:3" ht="16.8">
      <c r="A4467" s="165"/>
      <c r="B4467" s="171"/>
      <c r="C4467" s="165"/>
    </row>
    <row r="4468" spans="1:3" ht="16.8">
      <c r="A4468" s="165"/>
      <c r="B4468" s="171"/>
      <c r="C4468" s="165"/>
    </row>
    <row r="4469" spans="1:3" ht="16.8">
      <c r="A4469" s="165"/>
      <c r="B4469" s="171"/>
      <c r="C4469" s="165"/>
    </row>
    <row r="4470" spans="1:3" ht="16.8">
      <c r="A4470" s="165"/>
      <c r="B4470" s="171"/>
      <c r="C4470" s="165"/>
    </row>
    <row r="4471" spans="1:3" ht="16.8">
      <c r="A4471" s="165"/>
      <c r="B4471" s="171"/>
      <c r="C4471" s="165"/>
    </row>
    <row r="4472" spans="1:3" ht="16.8">
      <c r="A4472" s="165"/>
      <c r="B4472" s="171"/>
      <c r="C4472" s="165"/>
    </row>
    <row r="4473" spans="1:3" ht="16.8">
      <c r="A4473" s="165"/>
      <c r="B4473" s="171"/>
      <c r="C4473" s="165"/>
    </row>
    <row r="4474" spans="1:3" ht="16.8">
      <c r="A4474" s="165"/>
      <c r="B4474" s="171"/>
      <c r="C4474" s="165"/>
    </row>
    <row r="4475" spans="1:3" ht="16.8">
      <c r="A4475" s="165"/>
      <c r="B4475" s="171"/>
      <c r="C4475" s="165"/>
    </row>
    <row r="4476" spans="1:3" ht="16.8">
      <c r="A4476" s="165"/>
      <c r="B4476" s="171"/>
      <c r="C4476" s="165"/>
    </row>
    <row r="4477" spans="1:3" ht="16.8">
      <c r="A4477" s="165"/>
      <c r="B4477" s="171"/>
      <c r="C4477" s="165"/>
    </row>
    <row r="4478" spans="1:3" ht="16.8">
      <c r="A4478" s="165"/>
      <c r="B4478" s="171"/>
      <c r="C4478" s="165"/>
    </row>
    <row r="4479" spans="1:3" ht="16.8">
      <c r="A4479" s="165"/>
      <c r="B4479" s="171"/>
      <c r="C4479" s="165"/>
    </row>
    <row r="4480" spans="1:3" ht="16.8">
      <c r="A4480" s="165"/>
      <c r="B4480" s="171"/>
      <c r="C4480" s="165"/>
    </row>
    <row r="4481" spans="1:3" ht="16.8">
      <c r="A4481" s="165"/>
      <c r="B4481" s="171"/>
      <c r="C4481" s="165"/>
    </row>
    <row r="4482" spans="1:3" ht="16.8">
      <c r="A4482" s="165"/>
      <c r="B4482" s="171"/>
      <c r="C4482" s="165"/>
    </row>
    <row r="4483" spans="1:3" ht="16.8">
      <c r="A4483" s="165"/>
      <c r="B4483" s="171"/>
      <c r="C4483" s="165"/>
    </row>
    <row r="4484" spans="1:3" ht="16.8">
      <c r="A4484" s="165"/>
      <c r="B4484" s="171"/>
      <c r="C4484" s="165"/>
    </row>
    <row r="4485" spans="1:3" ht="16.8">
      <c r="A4485" s="165"/>
      <c r="B4485" s="171"/>
      <c r="C4485" s="165"/>
    </row>
    <row r="4486" spans="1:3" ht="16.8">
      <c r="A4486" s="165"/>
      <c r="B4486" s="171"/>
      <c r="C4486" s="165"/>
    </row>
    <row r="4487" spans="1:3" ht="16.8">
      <c r="A4487" s="165"/>
      <c r="B4487" s="171"/>
      <c r="C4487" s="165"/>
    </row>
    <row r="4488" spans="1:3" ht="16.8">
      <c r="A4488" s="165"/>
      <c r="B4488" s="171"/>
      <c r="C4488" s="165"/>
    </row>
    <row r="4489" spans="1:3" ht="16.8">
      <c r="A4489" s="165"/>
      <c r="B4489" s="171"/>
      <c r="C4489" s="165"/>
    </row>
    <row r="4490" spans="1:3" ht="16.8">
      <c r="A4490" s="165"/>
      <c r="B4490" s="171"/>
      <c r="C4490" s="165"/>
    </row>
    <row r="4491" spans="1:3" ht="16.8">
      <c r="A4491" s="165"/>
      <c r="B4491" s="171"/>
      <c r="C4491" s="165"/>
    </row>
    <row r="4492" spans="1:3" ht="16.8">
      <c r="A4492" s="165"/>
      <c r="B4492" s="171"/>
      <c r="C4492" s="165"/>
    </row>
    <row r="4493" spans="1:3" ht="16.8">
      <c r="A4493" s="165"/>
      <c r="B4493" s="171"/>
      <c r="C4493" s="165"/>
    </row>
    <row r="4494" spans="1:3" ht="16.8">
      <c r="A4494" s="165"/>
      <c r="B4494" s="171"/>
      <c r="C4494" s="165"/>
    </row>
    <row r="4495" spans="1:3" ht="16.8">
      <c r="A4495" s="165"/>
      <c r="B4495" s="171"/>
      <c r="C4495" s="165"/>
    </row>
    <row r="4496" spans="1:3" ht="16.8">
      <c r="A4496" s="165"/>
      <c r="B4496" s="171"/>
      <c r="C4496" s="165"/>
    </row>
    <row r="4497" spans="1:3" ht="16.8">
      <c r="A4497" s="165"/>
      <c r="B4497" s="171"/>
      <c r="C4497" s="165"/>
    </row>
    <row r="4498" spans="1:3" ht="16.8">
      <c r="A4498" s="165"/>
      <c r="B4498" s="171"/>
      <c r="C4498" s="165"/>
    </row>
    <row r="4499" spans="1:3" ht="16.8">
      <c r="A4499" s="165"/>
      <c r="B4499" s="171"/>
      <c r="C4499" s="165"/>
    </row>
    <row r="4500" spans="1:3" ht="16.8">
      <c r="A4500" s="165"/>
      <c r="B4500" s="171"/>
      <c r="C4500" s="165"/>
    </row>
    <row r="4501" spans="1:3" ht="16.8">
      <c r="A4501" s="165"/>
      <c r="B4501" s="171"/>
      <c r="C4501" s="165"/>
    </row>
    <row r="4502" spans="1:3" ht="16.8">
      <c r="A4502" s="165"/>
      <c r="B4502" s="171"/>
      <c r="C4502" s="165"/>
    </row>
    <row r="4503" spans="1:3" ht="16.8">
      <c r="A4503" s="165"/>
      <c r="B4503" s="171"/>
      <c r="C4503" s="165"/>
    </row>
    <row r="4504" spans="1:3" ht="16.8">
      <c r="A4504" s="165"/>
      <c r="B4504" s="171"/>
      <c r="C4504" s="165"/>
    </row>
    <row r="4505" spans="1:3" ht="16.8">
      <c r="A4505" s="165"/>
      <c r="B4505" s="171"/>
      <c r="C4505" s="165"/>
    </row>
    <row r="4506" spans="1:3" ht="16.8">
      <c r="A4506" s="165"/>
      <c r="B4506" s="171"/>
      <c r="C4506" s="165"/>
    </row>
    <row r="4507" spans="1:3" ht="16.8">
      <c r="A4507" s="165"/>
      <c r="B4507" s="171"/>
      <c r="C4507" s="165"/>
    </row>
    <row r="4508" spans="1:3" ht="16.8">
      <c r="A4508" s="165"/>
      <c r="B4508" s="171"/>
      <c r="C4508" s="165"/>
    </row>
    <row r="4509" spans="1:3" ht="16.8">
      <c r="A4509" s="165"/>
      <c r="B4509" s="171"/>
      <c r="C4509" s="165"/>
    </row>
    <row r="4510" spans="1:3" ht="16.8">
      <c r="A4510" s="165"/>
      <c r="B4510" s="171"/>
      <c r="C4510" s="165"/>
    </row>
    <row r="4511" spans="1:3" ht="16.8">
      <c r="A4511" s="165"/>
      <c r="B4511" s="171"/>
      <c r="C4511" s="165"/>
    </row>
    <row r="4512" spans="1:3" ht="16.8">
      <c r="A4512" s="165"/>
      <c r="B4512" s="171"/>
      <c r="C4512" s="165"/>
    </row>
    <row r="4513" spans="1:3" ht="16.8">
      <c r="A4513" s="165"/>
      <c r="B4513" s="171"/>
      <c r="C4513" s="165"/>
    </row>
    <row r="4514" spans="1:3" ht="16.8">
      <c r="A4514" s="165"/>
      <c r="B4514" s="171"/>
      <c r="C4514" s="165"/>
    </row>
    <row r="4515" spans="1:3" ht="16.8">
      <c r="A4515" s="165"/>
      <c r="B4515" s="171"/>
      <c r="C4515" s="165"/>
    </row>
    <row r="4516" spans="1:3" ht="16.8">
      <c r="A4516" s="165"/>
      <c r="B4516" s="171"/>
      <c r="C4516" s="165"/>
    </row>
    <row r="4517" spans="1:3" ht="16.8">
      <c r="A4517" s="165"/>
      <c r="B4517" s="171"/>
      <c r="C4517" s="165"/>
    </row>
    <row r="4518" spans="1:3" ht="16.8">
      <c r="A4518" s="165"/>
      <c r="B4518" s="171"/>
      <c r="C4518" s="165"/>
    </row>
    <row r="4519" spans="1:3" ht="16.8">
      <c r="A4519" s="165"/>
      <c r="B4519" s="171"/>
      <c r="C4519" s="165"/>
    </row>
    <row r="4520" spans="1:3" ht="16.8">
      <c r="A4520" s="165"/>
      <c r="B4520" s="171"/>
      <c r="C4520" s="165"/>
    </row>
    <row r="4521" spans="1:3" ht="16.8">
      <c r="A4521" s="165"/>
      <c r="B4521" s="171"/>
      <c r="C4521" s="165"/>
    </row>
    <row r="4522" spans="1:3" ht="16.8">
      <c r="A4522" s="165"/>
      <c r="B4522" s="171"/>
      <c r="C4522" s="165"/>
    </row>
    <row r="4523" spans="1:3" ht="16.8">
      <c r="A4523" s="165"/>
      <c r="B4523" s="171"/>
      <c r="C4523" s="165"/>
    </row>
    <row r="4524" spans="1:3" ht="16.8">
      <c r="A4524" s="165"/>
      <c r="B4524" s="171"/>
      <c r="C4524" s="165"/>
    </row>
    <row r="4525" spans="1:3" ht="16.8">
      <c r="A4525" s="165"/>
      <c r="B4525" s="171"/>
      <c r="C4525" s="165"/>
    </row>
    <row r="4526" spans="1:3" ht="16.8">
      <c r="A4526" s="165"/>
      <c r="B4526" s="171"/>
      <c r="C4526" s="165"/>
    </row>
    <row r="4527" spans="1:3" ht="16.8">
      <c r="A4527" s="165"/>
      <c r="B4527" s="171"/>
      <c r="C4527" s="165"/>
    </row>
    <row r="4528" spans="1:3" ht="16.8">
      <c r="A4528" s="165"/>
      <c r="B4528" s="171"/>
      <c r="C4528" s="165"/>
    </row>
    <row r="4529" spans="1:3" ht="16.8">
      <c r="A4529" s="165"/>
      <c r="B4529" s="171"/>
      <c r="C4529" s="165"/>
    </row>
    <row r="4530" spans="1:3" ht="16.8">
      <c r="A4530" s="165"/>
      <c r="B4530" s="171"/>
      <c r="C4530" s="165"/>
    </row>
    <row r="4531" spans="1:3" ht="16.8">
      <c r="A4531" s="165"/>
      <c r="B4531" s="171"/>
      <c r="C4531" s="165"/>
    </row>
    <row r="4532" spans="1:3" ht="16.8">
      <c r="A4532" s="165"/>
      <c r="B4532" s="171"/>
      <c r="C4532" s="165"/>
    </row>
    <row r="4533" spans="1:3" ht="16.8">
      <c r="A4533" s="165"/>
      <c r="B4533" s="171"/>
      <c r="C4533" s="165"/>
    </row>
    <row r="4534" spans="1:3" ht="16.8">
      <c r="A4534" s="165"/>
      <c r="B4534" s="171"/>
      <c r="C4534" s="165"/>
    </row>
    <row r="4535" spans="1:3" ht="16.8">
      <c r="A4535" s="165"/>
      <c r="B4535" s="171"/>
      <c r="C4535" s="165"/>
    </row>
    <row r="4536" spans="1:3" ht="16.8">
      <c r="A4536" s="165"/>
      <c r="B4536" s="171"/>
      <c r="C4536" s="165"/>
    </row>
    <row r="4537" spans="1:3" ht="16.8">
      <c r="A4537" s="165"/>
      <c r="B4537" s="171"/>
      <c r="C4537" s="165"/>
    </row>
    <row r="4538" spans="1:3" ht="16.8">
      <c r="A4538" s="165"/>
      <c r="B4538" s="171"/>
      <c r="C4538" s="165"/>
    </row>
    <row r="4539" spans="1:3" ht="16.8">
      <c r="A4539" s="165"/>
      <c r="B4539" s="171"/>
      <c r="C4539" s="165"/>
    </row>
    <row r="4540" spans="1:3" ht="16.8">
      <c r="A4540" s="165"/>
      <c r="B4540" s="171"/>
      <c r="C4540" s="165"/>
    </row>
    <row r="4541" spans="1:3" ht="16.8">
      <c r="A4541" s="165"/>
      <c r="B4541" s="171"/>
      <c r="C4541" s="165"/>
    </row>
    <row r="4542" spans="1:3" ht="16.8">
      <c r="A4542" s="165"/>
      <c r="B4542" s="171"/>
      <c r="C4542" s="165"/>
    </row>
    <row r="4543" spans="1:3" ht="16.8">
      <c r="A4543" s="165"/>
      <c r="B4543" s="171"/>
      <c r="C4543" s="165"/>
    </row>
    <row r="4544" spans="1:3" ht="16.8">
      <c r="A4544" s="165"/>
      <c r="B4544" s="171"/>
      <c r="C4544" s="165"/>
    </row>
    <row r="4545" spans="1:3" ht="16.8">
      <c r="A4545" s="165"/>
      <c r="B4545" s="171"/>
      <c r="C4545" s="165"/>
    </row>
    <row r="4546" spans="1:3" ht="16.8">
      <c r="A4546" s="165"/>
      <c r="B4546" s="171"/>
      <c r="C4546" s="165"/>
    </row>
    <row r="4547" spans="1:3" ht="16.8">
      <c r="A4547" s="165"/>
      <c r="B4547" s="171"/>
      <c r="C4547" s="165"/>
    </row>
    <row r="4548" spans="1:3" ht="16.8">
      <c r="A4548" s="165"/>
      <c r="B4548" s="171"/>
      <c r="C4548" s="165"/>
    </row>
    <row r="4549" spans="1:3" ht="16.8">
      <c r="A4549" s="165"/>
      <c r="B4549" s="171"/>
      <c r="C4549" s="165"/>
    </row>
    <row r="4550" spans="1:3" ht="16.8">
      <c r="A4550" s="165"/>
      <c r="B4550" s="171"/>
      <c r="C4550" s="165"/>
    </row>
    <row r="4551" spans="1:3" ht="16.8">
      <c r="A4551" s="165"/>
      <c r="B4551" s="171"/>
      <c r="C4551" s="165"/>
    </row>
    <row r="4552" spans="1:3" ht="16.8">
      <c r="A4552" s="165"/>
      <c r="B4552" s="171"/>
      <c r="C4552" s="165"/>
    </row>
    <row r="4553" spans="1:3" ht="16.8">
      <c r="A4553" s="165"/>
      <c r="B4553" s="171"/>
      <c r="C4553" s="165"/>
    </row>
    <row r="4554" spans="1:3" ht="16.8">
      <c r="A4554" s="165"/>
      <c r="B4554" s="171"/>
      <c r="C4554" s="165"/>
    </row>
    <row r="4555" spans="1:3" ht="16.8">
      <c r="A4555" s="165"/>
      <c r="B4555" s="171"/>
      <c r="C4555" s="165"/>
    </row>
    <row r="4556" spans="1:3" ht="16.8">
      <c r="A4556" s="165"/>
      <c r="B4556" s="171"/>
      <c r="C4556" s="165"/>
    </row>
    <row r="4557" spans="1:3" ht="16.8">
      <c r="A4557" s="165"/>
      <c r="B4557" s="171"/>
      <c r="C4557" s="165"/>
    </row>
    <row r="4558" spans="1:3" ht="16.8">
      <c r="A4558" s="165"/>
      <c r="B4558" s="171"/>
      <c r="C4558" s="165"/>
    </row>
    <row r="4559" spans="1:3" ht="16.8">
      <c r="A4559" s="165"/>
      <c r="B4559" s="171"/>
      <c r="C4559" s="165"/>
    </row>
    <row r="4560" spans="1:3" ht="16.8">
      <c r="A4560" s="165"/>
      <c r="B4560" s="171"/>
      <c r="C4560" s="165"/>
    </row>
    <row r="4561" spans="1:3" ht="16.8">
      <c r="A4561" s="165"/>
      <c r="B4561" s="171"/>
      <c r="C4561" s="165"/>
    </row>
    <row r="4562" spans="1:3" ht="16.8">
      <c r="A4562" s="165"/>
      <c r="B4562" s="171"/>
      <c r="C4562" s="165"/>
    </row>
    <row r="4563" spans="1:3" ht="16.8">
      <c r="A4563" s="165"/>
      <c r="B4563" s="171"/>
      <c r="C4563" s="165"/>
    </row>
    <row r="4564" spans="1:3" ht="16.8">
      <c r="A4564" s="165"/>
      <c r="B4564" s="171"/>
      <c r="C4564" s="165"/>
    </row>
    <row r="4565" spans="1:3" ht="16.8">
      <c r="A4565" s="165"/>
      <c r="B4565" s="171"/>
      <c r="C4565" s="165"/>
    </row>
    <row r="4566" spans="1:3" ht="16.8">
      <c r="A4566" s="165"/>
      <c r="B4566" s="171"/>
      <c r="C4566" s="165"/>
    </row>
    <row r="4567" spans="1:3" ht="16.8">
      <c r="A4567" s="165"/>
      <c r="B4567" s="171"/>
      <c r="C4567" s="165"/>
    </row>
    <row r="4568" spans="1:3" ht="16.8">
      <c r="A4568" s="165"/>
      <c r="B4568" s="171"/>
      <c r="C4568" s="165"/>
    </row>
    <row r="4569" spans="1:3" ht="16.8">
      <c r="A4569" s="165"/>
      <c r="B4569" s="171"/>
      <c r="C4569" s="165"/>
    </row>
    <row r="4570" spans="1:3" ht="16.8">
      <c r="A4570" s="165"/>
      <c r="B4570" s="171"/>
      <c r="C4570" s="165"/>
    </row>
    <row r="4571" spans="1:3" ht="16.8">
      <c r="A4571" s="165"/>
      <c r="B4571" s="171"/>
      <c r="C4571" s="165"/>
    </row>
    <row r="4572" spans="1:3" ht="16.8">
      <c r="A4572" s="165"/>
      <c r="B4572" s="171"/>
      <c r="C4572" s="165"/>
    </row>
    <row r="4573" spans="1:3" ht="16.8">
      <c r="A4573" s="165"/>
      <c r="B4573" s="171"/>
      <c r="C4573" s="165"/>
    </row>
    <row r="4574" spans="1:3" ht="16.8">
      <c r="A4574" s="165"/>
      <c r="B4574" s="171"/>
      <c r="C4574" s="165"/>
    </row>
    <row r="4575" spans="1:3" ht="16.8">
      <c r="A4575" s="165"/>
      <c r="B4575" s="171"/>
      <c r="C4575" s="165"/>
    </row>
    <row r="4576" spans="1:3" ht="16.8">
      <c r="A4576" s="165"/>
      <c r="B4576" s="171"/>
      <c r="C4576" s="165"/>
    </row>
    <row r="4577" spans="1:3" ht="16.8">
      <c r="A4577" s="165"/>
      <c r="B4577" s="171"/>
      <c r="C4577" s="165"/>
    </row>
    <row r="4578" spans="1:3" ht="16.8">
      <c r="A4578" s="165"/>
      <c r="B4578" s="171"/>
      <c r="C4578" s="165"/>
    </row>
    <row r="4579" spans="1:3" ht="16.8">
      <c r="A4579" s="165"/>
      <c r="B4579" s="171"/>
      <c r="C4579" s="165"/>
    </row>
    <row r="4580" spans="1:3" ht="16.8">
      <c r="A4580" s="165"/>
      <c r="B4580" s="171"/>
      <c r="C4580" s="165"/>
    </row>
    <row r="4581" spans="1:3" ht="16.8">
      <c r="A4581" s="165"/>
      <c r="B4581" s="171"/>
      <c r="C4581" s="165"/>
    </row>
    <row r="4582" spans="1:3" ht="16.8">
      <c r="A4582" s="165"/>
      <c r="B4582" s="171"/>
      <c r="C4582" s="165"/>
    </row>
    <row r="4583" spans="1:3" ht="16.8">
      <c r="A4583" s="165"/>
      <c r="B4583" s="171"/>
      <c r="C4583" s="165"/>
    </row>
    <row r="4584" spans="1:3" ht="16.8">
      <c r="A4584" s="165"/>
      <c r="B4584" s="171"/>
      <c r="C4584" s="165"/>
    </row>
    <row r="4585" spans="1:3" ht="16.8">
      <c r="A4585" s="165"/>
      <c r="B4585" s="171"/>
      <c r="C4585" s="165"/>
    </row>
    <row r="4586" spans="1:3" ht="16.8">
      <c r="A4586" s="165"/>
      <c r="B4586" s="171"/>
      <c r="C4586" s="165"/>
    </row>
    <row r="4587" spans="1:3" ht="16.8">
      <c r="A4587" s="165"/>
      <c r="B4587" s="171"/>
      <c r="C4587" s="165"/>
    </row>
    <row r="4588" spans="1:3" ht="16.8">
      <c r="A4588" s="165"/>
      <c r="B4588" s="171"/>
      <c r="C4588" s="165"/>
    </row>
    <row r="4589" spans="1:3" ht="16.8">
      <c r="A4589" s="165"/>
      <c r="B4589" s="171"/>
      <c r="C4589" s="165"/>
    </row>
    <row r="4590" spans="1:3" ht="16.8">
      <c r="A4590" s="165"/>
      <c r="B4590" s="171"/>
      <c r="C4590" s="165"/>
    </row>
    <row r="4591" spans="1:3" ht="16.8">
      <c r="A4591" s="165"/>
      <c r="B4591" s="171"/>
      <c r="C4591" s="165"/>
    </row>
    <row r="4592" spans="1:3" ht="16.8">
      <c r="A4592" s="165"/>
      <c r="B4592" s="171"/>
      <c r="C4592" s="165"/>
    </row>
    <row r="4593" spans="1:3" ht="16.8">
      <c r="A4593" s="165"/>
      <c r="B4593" s="171"/>
      <c r="C4593" s="165"/>
    </row>
    <row r="4594" spans="1:3" ht="16.8">
      <c r="A4594" s="165"/>
      <c r="B4594" s="171"/>
      <c r="C4594" s="165"/>
    </row>
    <row r="4595" spans="1:3" ht="16.8">
      <c r="A4595" s="165"/>
      <c r="B4595" s="171"/>
      <c r="C4595" s="165"/>
    </row>
    <row r="4596" spans="1:3" ht="16.8">
      <c r="A4596" s="165"/>
      <c r="B4596" s="171"/>
      <c r="C4596" s="165"/>
    </row>
    <row r="4597" spans="1:3" ht="16.8">
      <c r="A4597" s="165"/>
      <c r="B4597" s="171"/>
      <c r="C4597" s="165"/>
    </row>
    <row r="4598" spans="1:3" ht="16.8">
      <c r="A4598" s="165"/>
      <c r="B4598" s="171"/>
      <c r="C4598" s="165"/>
    </row>
    <row r="4599" spans="1:3" ht="16.8">
      <c r="A4599" s="165"/>
      <c r="B4599" s="171"/>
      <c r="C4599" s="165"/>
    </row>
    <row r="4600" spans="1:3" ht="16.8">
      <c r="A4600" s="165"/>
      <c r="B4600" s="171"/>
      <c r="C4600" s="165"/>
    </row>
    <row r="4601" spans="1:3" ht="16.8">
      <c r="A4601" s="165"/>
      <c r="B4601" s="171"/>
      <c r="C4601" s="165"/>
    </row>
    <row r="4602" spans="1:3" ht="16.8">
      <c r="A4602" s="165"/>
      <c r="B4602" s="171"/>
      <c r="C4602" s="165"/>
    </row>
    <row r="4603" spans="1:3" ht="16.8">
      <c r="A4603" s="165"/>
      <c r="B4603" s="171"/>
      <c r="C4603" s="165"/>
    </row>
    <row r="4604" spans="1:3" ht="16.8">
      <c r="A4604" s="165"/>
      <c r="B4604" s="171"/>
      <c r="C4604" s="165"/>
    </row>
    <row r="4605" spans="1:3" ht="16.8">
      <c r="A4605" s="165"/>
      <c r="B4605" s="171"/>
      <c r="C4605" s="165"/>
    </row>
    <row r="4606" spans="1:3" ht="16.8">
      <c r="A4606" s="165"/>
      <c r="B4606" s="171"/>
      <c r="C4606" s="165"/>
    </row>
    <row r="4607" spans="1:3" ht="16.8">
      <c r="A4607" s="165"/>
      <c r="B4607" s="171"/>
      <c r="C4607" s="165"/>
    </row>
    <row r="4608" spans="1:3" ht="16.8">
      <c r="A4608" s="165"/>
      <c r="B4608" s="171"/>
      <c r="C4608" s="165"/>
    </row>
    <row r="4609" spans="1:3" ht="16.8">
      <c r="A4609" s="165"/>
      <c r="B4609" s="171"/>
      <c r="C4609" s="165"/>
    </row>
    <row r="4610" spans="1:3" ht="16.8">
      <c r="A4610" s="165"/>
      <c r="B4610" s="171"/>
      <c r="C4610" s="165"/>
    </row>
    <row r="4611" spans="1:3" ht="16.8">
      <c r="A4611" s="165"/>
      <c r="B4611" s="171"/>
      <c r="C4611" s="165"/>
    </row>
    <row r="4612" spans="1:3" ht="16.8">
      <c r="A4612" s="165"/>
      <c r="B4612" s="171"/>
      <c r="C4612" s="165"/>
    </row>
    <row r="4613" spans="1:3" ht="16.8">
      <c r="A4613" s="165"/>
      <c r="B4613" s="171"/>
      <c r="C4613" s="165"/>
    </row>
    <row r="4614" spans="1:3" ht="16.8">
      <c r="A4614" s="165"/>
      <c r="B4614" s="171"/>
      <c r="C4614" s="165"/>
    </row>
    <row r="4615" spans="1:3" ht="16.8">
      <c r="A4615" s="165"/>
      <c r="B4615" s="171"/>
      <c r="C4615" s="165"/>
    </row>
    <row r="4616" spans="1:3" ht="16.8">
      <c r="A4616" s="165"/>
      <c r="B4616" s="171"/>
      <c r="C4616" s="165"/>
    </row>
    <row r="4617" spans="1:3" ht="16.8">
      <c r="A4617" s="165"/>
      <c r="B4617" s="171"/>
      <c r="C4617" s="165"/>
    </row>
    <row r="4618" spans="1:3" ht="16.8">
      <c r="A4618" s="165"/>
      <c r="B4618" s="171"/>
      <c r="C4618" s="165"/>
    </row>
    <row r="4619" spans="1:3" ht="16.8">
      <c r="A4619" s="165"/>
      <c r="B4619" s="171"/>
      <c r="C4619" s="165"/>
    </row>
    <row r="4620" spans="1:3" ht="16.8">
      <c r="A4620" s="165"/>
      <c r="B4620" s="171"/>
      <c r="C4620" s="165"/>
    </row>
    <row r="4621" spans="1:3" ht="16.8">
      <c r="A4621" s="165"/>
      <c r="B4621" s="171"/>
      <c r="C4621" s="165"/>
    </row>
    <row r="4622" spans="1:3" ht="16.8">
      <c r="A4622" s="165"/>
      <c r="B4622" s="171"/>
      <c r="C4622" s="165"/>
    </row>
    <row r="4623" spans="1:3" ht="16.8">
      <c r="A4623" s="165"/>
      <c r="B4623" s="171"/>
      <c r="C4623" s="165"/>
    </row>
    <row r="4624" spans="1:3" ht="16.8">
      <c r="A4624" s="165"/>
      <c r="B4624" s="171"/>
      <c r="C4624" s="165"/>
    </row>
    <row r="4625" spans="1:3" ht="16.8">
      <c r="A4625" s="165"/>
      <c r="B4625" s="171"/>
      <c r="C4625" s="165"/>
    </row>
    <row r="4626" spans="1:3" ht="16.8">
      <c r="A4626" s="165"/>
      <c r="B4626" s="171"/>
      <c r="C4626" s="165"/>
    </row>
    <row r="4627" spans="1:3" ht="16.8">
      <c r="A4627" s="165"/>
      <c r="B4627" s="171"/>
      <c r="C4627" s="165"/>
    </row>
    <row r="4628" spans="1:3" ht="16.8">
      <c r="A4628" s="165"/>
      <c r="B4628" s="171"/>
      <c r="C4628" s="165"/>
    </row>
    <row r="4629" spans="1:3" ht="16.8">
      <c r="A4629" s="165"/>
      <c r="B4629" s="171"/>
      <c r="C4629" s="165"/>
    </row>
    <row r="4630" spans="1:3" ht="16.8">
      <c r="A4630" s="165"/>
      <c r="B4630" s="171"/>
      <c r="C4630" s="165"/>
    </row>
    <row r="4631" spans="1:3" ht="16.8">
      <c r="A4631" s="165"/>
      <c r="B4631" s="171"/>
      <c r="C4631" s="165"/>
    </row>
    <row r="4632" spans="1:3" ht="16.8">
      <c r="A4632" s="165"/>
      <c r="B4632" s="171"/>
      <c r="C4632" s="165"/>
    </row>
    <row r="4633" spans="1:3" ht="16.8">
      <c r="A4633" s="165"/>
      <c r="B4633" s="171"/>
      <c r="C4633" s="165"/>
    </row>
    <row r="4634" spans="1:3" ht="16.8">
      <c r="A4634" s="165"/>
      <c r="B4634" s="171"/>
      <c r="C4634" s="165"/>
    </row>
    <row r="4635" spans="1:3" ht="16.8">
      <c r="A4635" s="165"/>
      <c r="B4635" s="171"/>
      <c r="C4635" s="165"/>
    </row>
    <row r="4636" spans="1:3" ht="16.8">
      <c r="A4636" s="165"/>
      <c r="B4636" s="171"/>
      <c r="C4636" s="165"/>
    </row>
    <row r="4637" spans="1:3" ht="16.8">
      <c r="A4637" s="165"/>
      <c r="B4637" s="171"/>
      <c r="C4637" s="165"/>
    </row>
    <row r="4638" spans="1:3" ht="16.8">
      <c r="A4638" s="165"/>
      <c r="B4638" s="171"/>
      <c r="C4638" s="165"/>
    </row>
    <row r="4639" spans="1:3" ht="16.8">
      <c r="A4639" s="165"/>
      <c r="B4639" s="171"/>
      <c r="C4639" s="165"/>
    </row>
    <row r="4640" spans="1:3" ht="16.8">
      <c r="A4640" s="165"/>
      <c r="B4640" s="171"/>
      <c r="C4640" s="165"/>
    </row>
    <row r="4641" spans="1:3" ht="16.8">
      <c r="A4641" s="165"/>
      <c r="B4641" s="171"/>
      <c r="C4641" s="165"/>
    </row>
    <row r="4642" spans="1:3" ht="16.8">
      <c r="A4642" s="165"/>
      <c r="B4642" s="171"/>
      <c r="C4642" s="165"/>
    </row>
    <row r="4643" spans="1:3" ht="16.8">
      <c r="A4643" s="165"/>
      <c r="B4643" s="171"/>
      <c r="C4643" s="165"/>
    </row>
    <row r="4644" spans="1:3" ht="16.8">
      <c r="A4644" s="165"/>
      <c r="B4644" s="171"/>
      <c r="C4644" s="165"/>
    </row>
    <row r="4645" spans="1:3" ht="16.8">
      <c r="A4645" s="165"/>
      <c r="B4645" s="171"/>
      <c r="C4645" s="165"/>
    </row>
    <row r="4646" spans="1:3" ht="16.8">
      <c r="A4646" s="165"/>
      <c r="B4646" s="171"/>
      <c r="C4646" s="165"/>
    </row>
    <row r="4647" spans="1:3" ht="16.8">
      <c r="A4647" s="165"/>
      <c r="B4647" s="171"/>
      <c r="C4647" s="165"/>
    </row>
    <row r="4648" spans="1:3" ht="16.8">
      <c r="A4648" s="165"/>
      <c r="B4648" s="171"/>
      <c r="C4648" s="165"/>
    </row>
    <row r="4649" spans="1:3" ht="16.8">
      <c r="A4649" s="165"/>
      <c r="B4649" s="171"/>
      <c r="C4649" s="165"/>
    </row>
    <row r="4650" spans="1:3" ht="16.8">
      <c r="A4650" s="165"/>
      <c r="B4650" s="171"/>
      <c r="C4650" s="165"/>
    </row>
    <row r="4651" spans="1:3" ht="16.8">
      <c r="A4651" s="165"/>
      <c r="B4651" s="171"/>
      <c r="C4651" s="165"/>
    </row>
    <row r="4652" spans="1:3" ht="16.8">
      <c r="A4652" s="165"/>
      <c r="B4652" s="171"/>
      <c r="C4652" s="165"/>
    </row>
    <row r="4653" spans="1:3" ht="16.8">
      <c r="A4653" s="165"/>
      <c r="B4653" s="171"/>
      <c r="C4653" s="165"/>
    </row>
    <row r="4654" spans="1:3" ht="16.8">
      <c r="A4654" s="165"/>
      <c r="B4654" s="171"/>
      <c r="C4654" s="165"/>
    </row>
    <row r="4655" spans="1:3" ht="16.8">
      <c r="A4655" s="165"/>
      <c r="B4655" s="171"/>
      <c r="C4655" s="165"/>
    </row>
    <row r="4656" spans="1:3" ht="16.8">
      <c r="A4656" s="165"/>
      <c r="B4656" s="171"/>
      <c r="C4656" s="165"/>
    </row>
    <row r="4657" spans="1:3" ht="16.8">
      <c r="A4657" s="165"/>
      <c r="B4657" s="171"/>
      <c r="C4657" s="165"/>
    </row>
    <row r="4658" spans="1:3" ht="16.8">
      <c r="A4658" s="165"/>
      <c r="B4658" s="171"/>
      <c r="C4658" s="165"/>
    </row>
    <row r="4659" spans="1:3" ht="16.8">
      <c r="A4659" s="165"/>
      <c r="B4659" s="171"/>
      <c r="C4659" s="165"/>
    </row>
    <row r="4660" spans="1:3" ht="16.8">
      <c r="A4660" s="165"/>
      <c r="B4660" s="171"/>
      <c r="C4660" s="165"/>
    </row>
    <row r="4661" spans="1:3" ht="16.8">
      <c r="A4661" s="165"/>
      <c r="B4661" s="171"/>
      <c r="C4661" s="165"/>
    </row>
    <row r="4662" spans="1:3" ht="16.8">
      <c r="A4662" s="165"/>
      <c r="B4662" s="171"/>
      <c r="C4662" s="165"/>
    </row>
    <row r="4663" spans="1:3" ht="16.8">
      <c r="A4663" s="165"/>
      <c r="B4663" s="171"/>
      <c r="C4663" s="165"/>
    </row>
    <row r="4664" spans="1:3" ht="16.8">
      <c r="A4664" s="165"/>
      <c r="B4664" s="171"/>
      <c r="C4664" s="165"/>
    </row>
    <row r="4665" spans="1:3" ht="16.8">
      <c r="A4665" s="165"/>
      <c r="B4665" s="171"/>
      <c r="C4665" s="165"/>
    </row>
    <row r="4666" spans="1:3" ht="16.8">
      <c r="A4666" s="165"/>
      <c r="B4666" s="171"/>
      <c r="C4666" s="165"/>
    </row>
    <row r="4667" spans="1:3" ht="16.8">
      <c r="A4667" s="165"/>
      <c r="B4667" s="171"/>
      <c r="C4667" s="165"/>
    </row>
    <row r="4668" spans="1:3" ht="16.8">
      <c r="A4668" s="165"/>
      <c r="B4668" s="171"/>
      <c r="C4668" s="165"/>
    </row>
    <row r="4669" spans="1:3" ht="16.8">
      <c r="A4669" s="165"/>
      <c r="B4669" s="171"/>
      <c r="C4669" s="165"/>
    </row>
    <row r="4670" spans="1:3" ht="16.8">
      <c r="A4670" s="165"/>
      <c r="B4670" s="171"/>
      <c r="C4670" s="165"/>
    </row>
    <row r="4671" spans="1:3" ht="16.8">
      <c r="A4671" s="165"/>
      <c r="B4671" s="171"/>
      <c r="C4671" s="165"/>
    </row>
    <row r="4672" spans="1:3" ht="16.8">
      <c r="A4672" s="165"/>
      <c r="B4672" s="171"/>
      <c r="C4672" s="165"/>
    </row>
    <row r="4673" spans="1:3" ht="16.8">
      <c r="A4673" s="165"/>
      <c r="B4673" s="171"/>
      <c r="C4673" s="165"/>
    </row>
    <row r="4674" spans="1:3" ht="16.8">
      <c r="A4674" s="165"/>
      <c r="B4674" s="171"/>
      <c r="C4674" s="165"/>
    </row>
    <row r="4675" spans="1:3" ht="16.8">
      <c r="A4675" s="165"/>
      <c r="B4675" s="171"/>
      <c r="C4675" s="165"/>
    </row>
    <row r="4676" spans="1:3" ht="16.8">
      <c r="A4676" s="165"/>
      <c r="B4676" s="171"/>
      <c r="C4676" s="165"/>
    </row>
    <row r="4677" spans="1:3" ht="16.8">
      <c r="A4677" s="165"/>
      <c r="B4677" s="171"/>
      <c r="C4677" s="165"/>
    </row>
    <row r="4678" spans="1:3" ht="16.8">
      <c r="A4678" s="165"/>
      <c r="B4678" s="171"/>
      <c r="C4678" s="165"/>
    </row>
    <row r="4679" spans="1:3" ht="16.8">
      <c r="A4679" s="165"/>
      <c r="B4679" s="171"/>
      <c r="C4679" s="165"/>
    </row>
    <row r="4680" spans="1:3" ht="16.8">
      <c r="A4680" s="165"/>
      <c r="B4680" s="171"/>
      <c r="C4680" s="165"/>
    </row>
    <row r="4681" spans="1:3" ht="16.8">
      <c r="A4681" s="165"/>
      <c r="B4681" s="171"/>
      <c r="C4681" s="165"/>
    </row>
    <row r="4682" spans="1:3" ht="16.8">
      <c r="A4682" s="165"/>
      <c r="B4682" s="171"/>
      <c r="C4682" s="165"/>
    </row>
    <row r="4683" spans="1:3" ht="16.8">
      <c r="A4683" s="165"/>
      <c r="B4683" s="171"/>
      <c r="C4683" s="165"/>
    </row>
    <row r="4684" spans="1:3" ht="16.8">
      <c r="A4684" s="165"/>
      <c r="B4684" s="171"/>
      <c r="C4684" s="165"/>
    </row>
    <row r="4685" spans="1:3" ht="16.8">
      <c r="A4685" s="165"/>
      <c r="B4685" s="171"/>
      <c r="C4685" s="165"/>
    </row>
    <row r="4686" spans="1:3" ht="16.8">
      <c r="A4686" s="165"/>
      <c r="B4686" s="171"/>
      <c r="C4686" s="165"/>
    </row>
    <row r="4687" spans="1:3" ht="16.8">
      <c r="A4687" s="165"/>
      <c r="B4687" s="171"/>
      <c r="C4687" s="165"/>
    </row>
    <row r="4688" spans="1:3" ht="16.8">
      <c r="A4688" s="165"/>
      <c r="B4688" s="171"/>
      <c r="C4688" s="165"/>
    </row>
    <row r="4689" spans="1:3" ht="16.8">
      <c r="A4689" s="165"/>
      <c r="B4689" s="171"/>
      <c r="C4689" s="165"/>
    </row>
    <row r="4690" spans="1:3" ht="16.8">
      <c r="A4690" s="165"/>
      <c r="B4690" s="171"/>
      <c r="C4690" s="165"/>
    </row>
    <row r="4691" spans="1:3" ht="16.8">
      <c r="A4691" s="165"/>
      <c r="B4691" s="171"/>
      <c r="C4691" s="165"/>
    </row>
    <row r="4692" spans="1:3" ht="16.8">
      <c r="A4692" s="165"/>
      <c r="B4692" s="171"/>
      <c r="C4692" s="165"/>
    </row>
    <row r="4693" spans="1:3" ht="16.8">
      <c r="A4693" s="165"/>
      <c r="B4693" s="171"/>
      <c r="C4693" s="165"/>
    </row>
    <row r="4694" spans="1:3" ht="16.8">
      <c r="A4694" s="165"/>
      <c r="B4694" s="171"/>
      <c r="C4694" s="165"/>
    </row>
    <row r="4695" spans="1:3" ht="16.8">
      <c r="A4695" s="165"/>
      <c r="B4695" s="171"/>
      <c r="C4695" s="165"/>
    </row>
    <row r="4696" spans="1:3" ht="16.8">
      <c r="A4696" s="165"/>
      <c r="B4696" s="171"/>
      <c r="C4696" s="165"/>
    </row>
    <row r="4697" spans="1:3" ht="16.8">
      <c r="A4697" s="165"/>
      <c r="B4697" s="171"/>
      <c r="C4697" s="165"/>
    </row>
    <row r="4698" spans="1:3" ht="16.8">
      <c r="A4698" s="165"/>
      <c r="B4698" s="171"/>
      <c r="C4698" s="165"/>
    </row>
    <row r="4699" spans="1:3" ht="16.8">
      <c r="A4699" s="165"/>
      <c r="B4699" s="171"/>
      <c r="C4699" s="165"/>
    </row>
    <row r="4700" spans="1:3" ht="16.8">
      <c r="A4700" s="165"/>
      <c r="B4700" s="171"/>
      <c r="C4700" s="165"/>
    </row>
    <row r="4701" spans="1:3" ht="16.8">
      <c r="A4701" s="165"/>
      <c r="B4701" s="171"/>
      <c r="C4701" s="165"/>
    </row>
    <row r="4702" spans="1:3" ht="16.8">
      <c r="A4702" s="165"/>
      <c r="B4702" s="171"/>
      <c r="C4702" s="165"/>
    </row>
    <row r="4703" spans="1:3" ht="16.8">
      <c r="A4703" s="165"/>
      <c r="B4703" s="171"/>
      <c r="C4703" s="165"/>
    </row>
    <row r="4704" spans="1:3" ht="16.8">
      <c r="A4704" s="165"/>
      <c r="B4704" s="171"/>
      <c r="C4704" s="165"/>
    </row>
    <row r="4705" spans="1:3" ht="16.8">
      <c r="A4705" s="165"/>
      <c r="B4705" s="171"/>
      <c r="C4705" s="165"/>
    </row>
    <row r="4706" spans="1:3" ht="16.8">
      <c r="A4706" s="165"/>
      <c r="B4706" s="171"/>
      <c r="C4706" s="165"/>
    </row>
    <row r="4707" spans="1:3" ht="16.8">
      <c r="A4707" s="165"/>
      <c r="B4707" s="171"/>
      <c r="C4707" s="165"/>
    </row>
    <row r="4708" spans="1:3" ht="16.8">
      <c r="A4708" s="165"/>
      <c r="B4708" s="171"/>
      <c r="C4708" s="165"/>
    </row>
    <row r="4709" spans="1:3" ht="16.8">
      <c r="A4709" s="165"/>
      <c r="B4709" s="171"/>
      <c r="C4709" s="165"/>
    </row>
    <row r="4710" spans="1:3" ht="16.8">
      <c r="A4710" s="165"/>
      <c r="B4710" s="171"/>
      <c r="C4710" s="165"/>
    </row>
    <row r="4711" spans="1:3" ht="16.8">
      <c r="A4711" s="165"/>
      <c r="B4711" s="171"/>
      <c r="C4711" s="165"/>
    </row>
    <row r="4712" spans="1:3" ht="16.8">
      <c r="A4712" s="165"/>
      <c r="B4712" s="171"/>
      <c r="C4712" s="165"/>
    </row>
    <row r="4713" spans="1:3" ht="16.8">
      <c r="A4713" s="165"/>
      <c r="B4713" s="171"/>
      <c r="C4713" s="165"/>
    </row>
    <row r="4714" spans="1:3" ht="16.8">
      <c r="A4714" s="165"/>
      <c r="B4714" s="171"/>
      <c r="C4714" s="165"/>
    </row>
    <row r="4715" spans="1:3" ht="16.8">
      <c r="A4715" s="165"/>
      <c r="B4715" s="171"/>
      <c r="C4715" s="165"/>
    </row>
    <row r="4716" spans="1:3" ht="16.8">
      <c r="A4716" s="165"/>
      <c r="B4716" s="171"/>
      <c r="C4716" s="165"/>
    </row>
    <row r="4717" spans="1:3" ht="16.8">
      <c r="A4717" s="165"/>
      <c r="B4717" s="171"/>
      <c r="C4717" s="165"/>
    </row>
    <row r="4718" spans="1:3" ht="16.8">
      <c r="A4718" s="165"/>
      <c r="B4718" s="171"/>
      <c r="C4718" s="165"/>
    </row>
    <row r="4719" spans="1:3" ht="16.8">
      <c r="A4719" s="165"/>
      <c r="B4719" s="171"/>
      <c r="C4719" s="165"/>
    </row>
    <row r="4720" spans="1:3" ht="16.8">
      <c r="A4720" s="165"/>
      <c r="B4720" s="171"/>
      <c r="C4720" s="165"/>
    </row>
    <row r="4721" spans="1:3" ht="16.8">
      <c r="A4721" s="165"/>
      <c r="B4721" s="171"/>
      <c r="C4721" s="165"/>
    </row>
    <row r="4722" spans="1:3" ht="16.8">
      <c r="A4722" s="165"/>
      <c r="B4722" s="171"/>
      <c r="C4722" s="165"/>
    </row>
    <row r="4723" spans="1:3" ht="16.8">
      <c r="A4723" s="165"/>
      <c r="B4723" s="171"/>
      <c r="C4723" s="165"/>
    </row>
    <row r="4724" spans="1:3" ht="16.8">
      <c r="A4724" s="165"/>
      <c r="B4724" s="171"/>
      <c r="C4724" s="165"/>
    </row>
    <row r="4725" spans="1:3" ht="16.8">
      <c r="A4725" s="165"/>
      <c r="B4725" s="171"/>
      <c r="C4725" s="165"/>
    </row>
    <row r="4726" spans="1:3" ht="16.8">
      <c r="A4726" s="165"/>
      <c r="B4726" s="171"/>
      <c r="C4726" s="165"/>
    </row>
    <row r="4727" spans="1:3" ht="16.8">
      <c r="A4727" s="165"/>
      <c r="B4727" s="171"/>
      <c r="C4727" s="165"/>
    </row>
    <row r="4728" spans="1:3" ht="16.8">
      <c r="A4728" s="165"/>
      <c r="B4728" s="171"/>
      <c r="C4728" s="165"/>
    </row>
    <row r="4729" spans="1:3" ht="16.8">
      <c r="A4729" s="165"/>
      <c r="B4729" s="171"/>
      <c r="C4729" s="165"/>
    </row>
    <row r="4730" spans="1:3" ht="16.8">
      <c r="A4730" s="165"/>
      <c r="B4730" s="171"/>
      <c r="C4730" s="165"/>
    </row>
    <row r="4731" spans="1:3" ht="16.8">
      <c r="A4731" s="165"/>
      <c r="B4731" s="171"/>
      <c r="C4731" s="165"/>
    </row>
    <row r="4732" spans="1:3" ht="16.8">
      <c r="A4732" s="165"/>
      <c r="B4732" s="171"/>
      <c r="C4732" s="165"/>
    </row>
    <row r="4733" spans="1:3" ht="16.8">
      <c r="A4733" s="165"/>
      <c r="B4733" s="171"/>
      <c r="C4733" s="165"/>
    </row>
    <row r="4734" spans="1:3" ht="16.8">
      <c r="A4734" s="165"/>
      <c r="B4734" s="171"/>
      <c r="C4734" s="165"/>
    </row>
    <row r="4735" spans="1:3" ht="16.8">
      <c r="A4735" s="165"/>
      <c r="B4735" s="171"/>
      <c r="C4735" s="165"/>
    </row>
    <row r="4736" spans="1:3" ht="16.8">
      <c r="A4736" s="165"/>
      <c r="B4736" s="171"/>
      <c r="C4736" s="165"/>
    </row>
    <row r="4737" spans="1:3" ht="16.8">
      <c r="A4737" s="165"/>
      <c r="B4737" s="171"/>
      <c r="C4737" s="165"/>
    </row>
    <row r="4738" spans="1:3" ht="16.8">
      <c r="A4738" s="165"/>
      <c r="B4738" s="171"/>
      <c r="C4738" s="165"/>
    </row>
    <row r="4739" spans="1:3" ht="16.8">
      <c r="A4739" s="165"/>
      <c r="B4739" s="171"/>
      <c r="C4739" s="165"/>
    </row>
    <row r="4740" spans="1:3" ht="16.8">
      <c r="A4740" s="165"/>
      <c r="B4740" s="171"/>
      <c r="C4740" s="165"/>
    </row>
    <row r="4741" spans="1:3" ht="16.8">
      <c r="A4741" s="165"/>
      <c r="B4741" s="171"/>
      <c r="C4741" s="165"/>
    </row>
    <row r="4742" spans="1:3" ht="16.8">
      <c r="A4742" s="165"/>
      <c r="B4742" s="171"/>
      <c r="C4742" s="165"/>
    </row>
    <row r="4743" spans="1:3" ht="16.8">
      <c r="A4743" s="165"/>
      <c r="B4743" s="171"/>
      <c r="C4743" s="165"/>
    </row>
    <row r="4744" spans="1:3" ht="16.8">
      <c r="A4744" s="165"/>
      <c r="B4744" s="171"/>
      <c r="C4744" s="165"/>
    </row>
    <row r="4745" spans="1:3" ht="16.8">
      <c r="A4745" s="165"/>
      <c r="B4745" s="171"/>
      <c r="C4745" s="165"/>
    </row>
    <row r="4746" spans="1:3" ht="16.8">
      <c r="A4746" s="165"/>
      <c r="B4746" s="171"/>
      <c r="C4746" s="165"/>
    </row>
    <row r="4747" spans="1:3" ht="16.8">
      <c r="A4747" s="165"/>
      <c r="B4747" s="171"/>
      <c r="C4747" s="165"/>
    </row>
    <row r="4748" spans="1:3" ht="16.8">
      <c r="A4748" s="165"/>
      <c r="B4748" s="171"/>
      <c r="C4748" s="165"/>
    </row>
    <row r="4749" spans="1:3" ht="16.8">
      <c r="A4749" s="165"/>
      <c r="B4749" s="171"/>
      <c r="C4749" s="165"/>
    </row>
    <row r="4750" spans="1:3" ht="16.8">
      <c r="A4750" s="165"/>
      <c r="B4750" s="171"/>
      <c r="C4750" s="165"/>
    </row>
    <row r="4751" spans="1:3" ht="16.8">
      <c r="A4751" s="165"/>
      <c r="B4751" s="171"/>
      <c r="C4751" s="165"/>
    </row>
    <row r="4752" spans="1:3" ht="16.8">
      <c r="A4752" s="165"/>
      <c r="B4752" s="171"/>
      <c r="C4752" s="165"/>
    </row>
    <row r="4753" spans="1:3" ht="16.8">
      <c r="A4753" s="165"/>
      <c r="B4753" s="171"/>
      <c r="C4753" s="165"/>
    </row>
    <row r="4754" spans="1:3" ht="16.8">
      <c r="A4754" s="165"/>
      <c r="B4754" s="171"/>
      <c r="C4754" s="165"/>
    </row>
    <row r="4755" spans="1:3" ht="16.8">
      <c r="A4755" s="165"/>
      <c r="B4755" s="171"/>
      <c r="C4755" s="165"/>
    </row>
    <row r="4756" spans="1:3" ht="16.8">
      <c r="A4756" s="165"/>
      <c r="B4756" s="171"/>
      <c r="C4756" s="165"/>
    </row>
    <row r="4757" spans="1:3" ht="16.8">
      <c r="A4757" s="165"/>
      <c r="B4757" s="171"/>
      <c r="C4757" s="165"/>
    </row>
    <row r="4758" spans="1:3" ht="16.8">
      <c r="A4758" s="165"/>
      <c r="B4758" s="171"/>
      <c r="C4758" s="165"/>
    </row>
    <row r="4759" spans="1:3" ht="16.8">
      <c r="A4759" s="165"/>
      <c r="B4759" s="171"/>
      <c r="C4759" s="165"/>
    </row>
    <row r="4760" spans="1:3" ht="16.8">
      <c r="A4760" s="165"/>
      <c r="B4760" s="171"/>
      <c r="C4760" s="165"/>
    </row>
    <row r="4761" spans="1:3" ht="16.8">
      <c r="A4761" s="165"/>
      <c r="B4761" s="171"/>
      <c r="C4761" s="165"/>
    </row>
    <row r="4762" spans="1:3" ht="16.8">
      <c r="A4762" s="165"/>
      <c r="B4762" s="171"/>
      <c r="C4762" s="165"/>
    </row>
    <row r="4763" spans="1:3" ht="16.8">
      <c r="A4763" s="165"/>
      <c r="B4763" s="171"/>
      <c r="C4763" s="165"/>
    </row>
    <row r="4764" spans="1:3" ht="16.8">
      <c r="A4764" s="165"/>
      <c r="B4764" s="171"/>
      <c r="C4764" s="165"/>
    </row>
    <row r="4765" spans="1:3" ht="16.8">
      <c r="A4765" s="165"/>
      <c r="B4765" s="171"/>
      <c r="C4765" s="165"/>
    </row>
    <row r="4766" spans="1:3" ht="16.8">
      <c r="A4766" s="165"/>
      <c r="B4766" s="171"/>
      <c r="C4766" s="165"/>
    </row>
    <row r="4767" spans="1:3" ht="16.8">
      <c r="A4767" s="165"/>
      <c r="B4767" s="171"/>
      <c r="C4767" s="165"/>
    </row>
    <row r="4768" spans="1:3" ht="16.8">
      <c r="A4768" s="165"/>
      <c r="B4768" s="171"/>
      <c r="C4768" s="165"/>
    </row>
    <row r="4769" spans="1:3" ht="16.8">
      <c r="A4769" s="165"/>
      <c r="B4769" s="171"/>
      <c r="C4769" s="165"/>
    </row>
    <row r="4770" spans="1:3" ht="16.8">
      <c r="A4770" s="165"/>
      <c r="B4770" s="171"/>
      <c r="C4770" s="165"/>
    </row>
    <row r="4771" spans="1:3" ht="16.8">
      <c r="A4771" s="165"/>
      <c r="B4771" s="171"/>
      <c r="C4771" s="165"/>
    </row>
    <row r="4772" spans="1:3" ht="16.8">
      <c r="A4772" s="165"/>
      <c r="B4772" s="171"/>
      <c r="C4772" s="165"/>
    </row>
    <row r="4773" spans="1:3" ht="16.8">
      <c r="A4773" s="165"/>
      <c r="B4773" s="171"/>
      <c r="C4773" s="165"/>
    </row>
    <row r="4774" spans="1:3" ht="16.8">
      <c r="A4774" s="165"/>
      <c r="B4774" s="171"/>
      <c r="C4774" s="165"/>
    </row>
    <row r="4775" spans="1:3" ht="16.8">
      <c r="A4775" s="165"/>
      <c r="B4775" s="171"/>
      <c r="C4775" s="165"/>
    </row>
    <row r="4776" spans="1:3" ht="16.8">
      <c r="A4776" s="165"/>
      <c r="B4776" s="171"/>
      <c r="C4776" s="165"/>
    </row>
    <row r="4777" spans="1:3" ht="16.8">
      <c r="A4777" s="165"/>
      <c r="B4777" s="171"/>
      <c r="C4777" s="165"/>
    </row>
    <row r="4778" spans="1:3" ht="16.8">
      <c r="A4778" s="165"/>
      <c r="B4778" s="171"/>
      <c r="C4778" s="165"/>
    </row>
    <row r="4779" spans="1:3" ht="16.8">
      <c r="A4779" s="165"/>
      <c r="B4779" s="171"/>
      <c r="C4779" s="165"/>
    </row>
    <row r="4780" spans="1:3" ht="16.8">
      <c r="A4780" s="165"/>
      <c r="B4780" s="171"/>
      <c r="C4780" s="165"/>
    </row>
    <row r="4781" spans="1:3" ht="16.8">
      <c r="A4781" s="165"/>
      <c r="B4781" s="171"/>
      <c r="C4781" s="165"/>
    </row>
    <row r="4782" spans="1:3" ht="16.8">
      <c r="A4782" s="165"/>
      <c r="B4782" s="171"/>
      <c r="C4782" s="165"/>
    </row>
    <row r="4783" spans="1:3" ht="16.8">
      <c r="A4783" s="165"/>
      <c r="B4783" s="171"/>
      <c r="C4783" s="165"/>
    </row>
    <row r="4784" spans="1:3" ht="16.8">
      <c r="A4784" s="165"/>
      <c r="B4784" s="171"/>
      <c r="C4784" s="165"/>
    </row>
    <row r="4785" spans="1:3" ht="16.8">
      <c r="A4785" s="165"/>
      <c r="B4785" s="171"/>
      <c r="C4785" s="165"/>
    </row>
    <row r="4786" spans="1:3" ht="16.8">
      <c r="A4786" s="165"/>
      <c r="B4786" s="171"/>
      <c r="C4786" s="165"/>
    </row>
    <row r="4787" spans="1:3" ht="16.8">
      <c r="A4787" s="165"/>
      <c r="B4787" s="171"/>
      <c r="C4787" s="165"/>
    </row>
    <row r="4788" spans="1:3" ht="16.8">
      <c r="A4788" s="165"/>
      <c r="B4788" s="171"/>
      <c r="C4788" s="165"/>
    </row>
    <row r="4789" spans="1:3" ht="16.8">
      <c r="A4789" s="165"/>
      <c r="B4789" s="171"/>
      <c r="C4789" s="165"/>
    </row>
    <row r="4790" spans="1:3" ht="16.8">
      <c r="A4790" s="165"/>
      <c r="B4790" s="171"/>
      <c r="C4790" s="165"/>
    </row>
    <row r="4791" spans="1:3" ht="16.8">
      <c r="A4791" s="165"/>
      <c r="B4791" s="171"/>
      <c r="C4791" s="165"/>
    </row>
    <row r="4792" spans="1:3" ht="16.8">
      <c r="A4792" s="165"/>
      <c r="B4792" s="171"/>
      <c r="C4792" s="165"/>
    </row>
    <row r="4793" spans="1:3" ht="16.8">
      <c r="A4793" s="165"/>
      <c r="B4793" s="171"/>
      <c r="C4793" s="165"/>
    </row>
    <row r="4794" spans="1:3" ht="16.8">
      <c r="A4794" s="165"/>
      <c r="B4794" s="171"/>
      <c r="C4794" s="165"/>
    </row>
    <row r="4795" spans="1:3" ht="16.8">
      <c r="A4795" s="165"/>
      <c r="B4795" s="171"/>
      <c r="C4795" s="165"/>
    </row>
    <row r="4796" spans="1:3" ht="16.8">
      <c r="A4796" s="165"/>
      <c r="B4796" s="171"/>
      <c r="C4796" s="165"/>
    </row>
    <row r="4797" spans="1:3" ht="16.8">
      <c r="A4797" s="165"/>
      <c r="B4797" s="171"/>
      <c r="C4797" s="165"/>
    </row>
    <row r="4798" spans="1:3" ht="16.8">
      <c r="A4798" s="165"/>
      <c r="B4798" s="171"/>
      <c r="C4798" s="165"/>
    </row>
    <row r="4799" spans="1:3" ht="16.8">
      <c r="A4799" s="165"/>
      <c r="B4799" s="171"/>
      <c r="C4799" s="165"/>
    </row>
    <row r="4800" spans="1:3" ht="16.8">
      <c r="A4800" s="165"/>
      <c r="B4800" s="171"/>
      <c r="C4800" s="165"/>
    </row>
    <row r="4801" spans="1:3" ht="16.8">
      <c r="A4801" s="165"/>
      <c r="B4801" s="171"/>
      <c r="C4801" s="165"/>
    </row>
    <row r="4802" spans="1:3" ht="16.8">
      <c r="A4802" s="165"/>
      <c r="B4802" s="171"/>
      <c r="C4802" s="165"/>
    </row>
    <row r="4803" spans="1:3" ht="16.8">
      <c r="A4803" s="165"/>
      <c r="B4803" s="171"/>
      <c r="C4803" s="165"/>
    </row>
    <row r="4804" spans="1:3" ht="16.8">
      <c r="A4804" s="165"/>
      <c r="B4804" s="171"/>
      <c r="C4804" s="165"/>
    </row>
    <row r="4805" spans="1:3" ht="16.8">
      <c r="A4805" s="165"/>
      <c r="B4805" s="171"/>
      <c r="C4805" s="165"/>
    </row>
    <row r="4806" spans="1:3" ht="16.8">
      <c r="A4806" s="165"/>
      <c r="B4806" s="171"/>
      <c r="C4806" s="165"/>
    </row>
    <row r="4807" spans="1:3" ht="16.8">
      <c r="A4807" s="165"/>
      <c r="B4807" s="171"/>
      <c r="C4807" s="165"/>
    </row>
    <row r="4808" spans="1:3" ht="16.8">
      <c r="A4808" s="165"/>
      <c r="B4808" s="171"/>
      <c r="C4808" s="165"/>
    </row>
    <row r="4809" spans="1:3" ht="16.8">
      <c r="A4809" s="165"/>
      <c r="B4809" s="171"/>
      <c r="C4809" s="165"/>
    </row>
    <row r="4810" spans="1:3" ht="16.8">
      <c r="A4810" s="165"/>
      <c r="B4810" s="171"/>
      <c r="C4810" s="165"/>
    </row>
    <row r="4811" spans="1:3" ht="16.8">
      <c r="A4811" s="165"/>
      <c r="B4811" s="171"/>
      <c r="C4811" s="165"/>
    </row>
    <row r="4812" spans="1:3" ht="16.8">
      <c r="A4812" s="165"/>
      <c r="B4812" s="171"/>
      <c r="C4812" s="165"/>
    </row>
    <row r="4813" spans="1:3" ht="16.8">
      <c r="A4813" s="165"/>
      <c r="B4813" s="171"/>
      <c r="C4813" s="165"/>
    </row>
    <row r="4814" spans="1:3" ht="16.8">
      <c r="A4814" s="165"/>
      <c r="B4814" s="171"/>
      <c r="C4814" s="165"/>
    </row>
    <row r="4815" spans="1:3" ht="16.8">
      <c r="A4815" s="165"/>
      <c r="B4815" s="171"/>
      <c r="C4815" s="165"/>
    </row>
    <row r="4816" spans="1:3" ht="16.8">
      <c r="A4816" s="165"/>
      <c r="B4816" s="171"/>
      <c r="C4816" s="165"/>
    </row>
    <row r="4817" spans="1:3" ht="16.8">
      <c r="A4817" s="165"/>
      <c r="B4817" s="171"/>
      <c r="C4817" s="165"/>
    </row>
    <row r="4818" spans="1:3" ht="16.8">
      <c r="A4818" s="165"/>
      <c r="B4818" s="171"/>
      <c r="C4818" s="165"/>
    </row>
    <row r="4819" spans="1:3" ht="16.8">
      <c r="A4819" s="165"/>
      <c r="B4819" s="171"/>
      <c r="C4819" s="165"/>
    </row>
    <row r="4820" spans="1:3" ht="16.8">
      <c r="A4820" s="165"/>
      <c r="B4820" s="171"/>
      <c r="C4820" s="165"/>
    </row>
    <row r="4821" spans="1:3" ht="16.8">
      <c r="A4821" s="165"/>
      <c r="B4821" s="171"/>
      <c r="C4821" s="165"/>
    </row>
    <row r="4822" spans="1:3" ht="16.8">
      <c r="A4822" s="165"/>
      <c r="B4822" s="171"/>
      <c r="C4822" s="165"/>
    </row>
    <row r="4823" spans="1:3" ht="16.8">
      <c r="A4823" s="165"/>
      <c r="B4823" s="171"/>
      <c r="C4823" s="165"/>
    </row>
    <row r="4824" spans="1:3" ht="16.8">
      <c r="A4824" s="165"/>
      <c r="B4824" s="171"/>
      <c r="C4824" s="165"/>
    </row>
    <row r="4825" spans="1:3" ht="16.8">
      <c r="A4825" s="165"/>
      <c r="B4825" s="171"/>
      <c r="C4825" s="165"/>
    </row>
    <row r="4826" spans="1:3" ht="16.8">
      <c r="A4826" s="165"/>
      <c r="B4826" s="171"/>
      <c r="C4826" s="165"/>
    </row>
    <row r="4827" spans="1:3" ht="16.8">
      <c r="A4827" s="165"/>
      <c r="B4827" s="171"/>
      <c r="C4827" s="165"/>
    </row>
    <row r="4828" spans="1:3" ht="16.8">
      <c r="A4828" s="165"/>
      <c r="B4828" s="171"/>
      <c r="C4828" s="165"/>
    </row>
    <row r="4829" spans="1:3" ht="16.8">
      <c r="A4829" s="165"/>
      <c r="B4829" s="171"/>
      <c r="C4829" s="165"/>
    </row>
    <row r="4830" spans="1:3" ht="16.8">
      <c r="A4830" s="165"/>
      <c r="B4830" s="171"/>
      <c r="C4830" s="165"/>
    </row>
    <row r="4831" spans="1:3" ht="16.8">
      <c r="A4831" s="165"/>
      <c r="B4831" s="171"/>
      <c r="C4831" s="165"/>
    </row>
    <row r="4832" spans="1:3" ht="16.8">
      <c r="A4832" s="165"/>
      <c r="B4832" s="171"/>
      <c r="C4832" s="165"/>
    </row>
    <row r="4833" spans="1:3" ht="16.8">
      <c r="A4833" s="165"/>
      <c r="B4833" s="171"/>
      <c r="C4833" s="165"/>
    </row>
    <row r="4834" spans="1:3" ht="16.8">
      <c r="A4834" s="165"/>
      <c r="B4834" s="171"/>
      <c r="C4834" s="165"/>
    </row>
    <row r="4835" spans="1:3" ht="16.8">
      <c r="A4835" s="165"/>
      <c r="B4835" s="171"/>
      <c r="C4835" s="165"/>
    </row>
    <row r="4836" spans="1:3" ht="16.8">
      <c r="A4836" s="165"/>
      <c r="B4836" s="171"/>
      <c r="C4836" s="165"/>
    </row>
    <row r="4837" spans="1:3" ht="16.8">
      <c r="A4837" s="165"/>
      <c r="B4837" s="171"/>
      <c r="C4837" s="165"/>
    </row>
    <row r="4838" spans="1:3" ht="16.8">
      <c r="A4838" s="165"/>
      <c r="B4838" s="171"/>
      <c r="C4838" s="165"/>
    </row>
    <row r="4839" spans="1:3" ht="16.8">
      <c r="A4839" s="165"/>
      <c r="B4839" s="171"/>
      <c r="C4839" s="165"/>
    </row>
    <row r="4840" spans="1:3" ht="16.8">
      <c r="A4840" s="165"/>
      <c r="B4840" s="171"/>
      <c r="C4840" s="165"/>
    </row>
    <row r="4841" spans="1:3" ht="16.8">
      <c r="A4841" s="165"/>
      <c r="B4841" s="171"/>
      <c r="C4841" s="165"/>
    </row>
    <row r="4842" spans="1:3" ht="16.8">
      <c r="A4842" s="165"/>
      <c r="B4842" s="171"/>
      <c r="C4842" s="165"/>
    </row>
    <row r="4843" spans="1:3" ht="16.8">
      <c r="A4843" s="165"/>
      <c r="B4843" s="171"/>
      <c r="C4843" s="165"/>
    </row>
    <row r="4844" spans="1:3" ht="16.8">
      <c r="A4844" s="165"/>
      <c r="B4844" s="171"/>
      <c r="C4844" s="165"/>
    </row>
    <row r="4845" spans="1:3" ht="16.8">
      <c r="A4845" s="165"/>
      <c r="B4845" s="171"/>
      <c r="C4845" s="165"/>
    </row>
    <row r="4846" spans="1:3" ht="16.8">
      <c r="A4846" s="165"/>
      <c r="B4846" s="171"/>
      <c r="C4846" s="165"/>
    </row>
    <row r="4847" spans="1:3" ht="16.8">
      <c r="A4847" s="165"/>
      <c r="B4847" s="171"/>
      <c r="C4847" s="165"/>
    </row>
    <row r="4848" spans="1:3" ht="16.8">
      <c r="A4848" s="165"/>
      <c r="B4848" s="171"/>
      <c r="C4848" s="165"/>
    </row>
    <row r="4849" spans="1:3" ht="16.8">
      <c r="A4849" s="165"/>
      <c r="B4849" s="171"/>
      <c r="C4849" s="165"/>
    </row>
    <row r="4850" spans="1:3" ht="16.8">
      <c r="A4850" s="165"/>
      <c r="B4850" s="171"/>
      <c r="C4850" s="165"/>
    </row>
    <row r="4851" spans="1:3" ht="16.8">
      <c r="A4851" s="165"/>
      <c r="B4851" s="171"/>
      <c r="C4851" s="165"/>
    </row>
    <row r="4852" spans="1:3" ht="16.8">
      <c r="A4852" s="165"/>
      <c r="B4852" s="171"/>
      <c r="C4852" s="165"/>
    </row>
    <row r="4853" spans="1:3" ht="16.8">
      <c r="A4853" s="165"/>
      <c r="B4853" s="171"/>
      <c r="C4853" s="165"/>
    </row>
    <row r="4854" spans="1:3" ht="16.8">
      <c r="A4854" s="165"/>
      <c r="B4854" s="171"/>
      <c r="C4854" s="165"/>
    </row>
    <row r="4855" spans="1:3" ht="16.8">
      <c r="A4855" s="165"/>
      <c r="B4855" s="171"/>
      <c r="C4855" s="165"/>
    </row>
    <row r="4856" spans="1:3" ht="16.8">
      <c r="A4856" s="165"/>
      <c r="B4856" s="171"/>
      <c r="C4856" s="165"/>
    </row>
    <row r="4857" spans="1:3" ht="16.8">
      <c r="A4857" s="165"/>
      <c r="B4857" s="171"/>
      <c r="C4857" s="165"/>
    </row>
    <row r="4858" spans="1:3" ht="16.8">
      <c r="A4858" s="165"/>
      <c r="B4858" s="171"/>
      <c r="C4858" s="165"/>
    </row>
    <row r="4859" spans="1:3" ht="16.8">
      <c r="A4859" s="165"/>
      <c r="B4859" s="171"/>
      <c r="C4859" s="165"/>
    </row>
    <row r="4860" spans="1:3" ht="16.8">
      <c r="A4860" s="165"/>
      <c r="B4860" s="171"/>
      <c r="C4860" s="165"/>
    </row>
    <row r="4861" spans="1:3" ht="16.8">
      <c r="A4861" s="165"/>
      <c r="B4861" s="171"/>
      <c r="C4861" s="165"/>
    </row>
    <row r="4862" spans="1:3" ht="16.8">
      <c r="A4862" s="165"/>
      <c r="B4862" s="171"/>
      <c r="C4862" s="165"/>
    </row>
    <row r="4863" spans="1:3" ht="16.8">
      <c r="A4863" s="165"/>
      <c r="B4863" s="171"/>
      <c r="C4863" s="165"/>
    </row>
    <row r="4864" spans="1:3" ht="16.8">
      <c r="A4864" s="165"/>
      <c r="B4864" s="171"/>
      <c r="C4864" s="165"/>
    </row>
    <row r="4865" spans="1:3" ht="16.8">
      <c r="A4865" s="165"/>
      <c r="B4865" s="171"/>
      <c r="C4865" s="165"/>
    </row>
    <row r="4866" spans="1:3" ht="16.8">
      <c r="A4866" s="165"/>
      <c r="B4866" s="171"/>
      <c r="C4866" s="165"/>
    </row>
    <row r="4867" spans="1:3" ht="16.8">
      <c r="A4867" s="165"/>
      <c r="B4867" s="171"/>
      <c r="C4867" s="165"/>
    </row>
    <row r="4868" spans="1:3" ht="16.8">
      <c r="A4868" s="165"/>
      <c r="B4868" s="171"/>
      <c r="C4868" s="165"/>
    </row>
    <row r="4869" spans="1:3" ht="16.8">
      <c r="A4869" s="165"/>
      <c r="B4869" s="171"/>
      <c r="C4869" s="165"/>
    </row>
    <row r="4870" spans="1:3" ht="16.8">
      <c r="A4870" s="165"/>
      <c r="B4870" s="171"/>
      <c r="C4870" s="165"/>
    </row>
    <row r="4871" spans="1:3" ht="16.8">
      <c r="A4871" s="165"/>
      <c r="B4871" s="171"/>
      <c r="C4871" s="165"/>
    </row>
    <row r="4872" spans="1:3" ht="16.8">
      <c r="A4872" s="165"/>
      <c r="B4872" s="171"/>
      <c r="C4872" s="165"/>
    </row>
    <row r="4873" spans="1:3" ht="16.8">
      <c r="A4873" s="165"/>
      <c r="B4873" s="171"/>
      <c r="C4873" s="165"/>
    </row>
    <row r="4874" spans="1:3" ht="16.8">
      <c r="A4874" s="165"/>
      <c r="B4874" s="171"/>
      <c r="C4874" s="165"/>
    </row>
    <row r="4875" spans="1:3" ht="16.8">
      <c r="A4875" s="165"/>
      <c r="B4875" s="171"/>
      <c r="C4875" s="165"/>
    </row>
    <row r="4876" spans="1:3" ht="16.8">
      <c r="A4876" s="165"/>
      <c r="B4876" s="171"/>
      <c r="C4876" s="165"/>
    </row>
    <row r="4877" spans="1:3" ht="16.8">
      <c r="A4877" s="165"/>
      <c r="B4877" s="171"/>
      <c r="C4877" s="165"/>
    </row>
    <row r="4878" spans="1:3" ht="16.8">
      <c r="A4878" s="165"/>
      <c r="B4878" s="171"/>
      <c r="C4878" s="165"/>
    </row>
    <row r="4879" spans="1:3" ht="16.8">
      <c r="A4879" s="165"/>
      <c r="B4879" s="171"/>
      <c r="C4879" s="165"/>
    </row>
    <row r="4880" spans="1:3" ht="16.8">
      <c r="A4880" s="165"/>
      <c r="B4880" s="171"/>
      <c r="C4880" s="165"/>
    </row>
    <row r="4881" spans="1:3" ht="16.8">
      <c r="A4881" s="165"/>
      <c r="B4881" s="171"/>
      <c r="C4881" s="165"/>
    </row>
    <row r="4882" spans="1:3" ht="16.8">
      <c r="A4882" s="165"/>
      <c r="B4882" s="171"/>
      <c r="C4882" s="165"/>
    </row>
    <row r="4883" spans="1:3" ht="16.8">
      <c r="A4883" s="165"/>
      <c r="B4883" s="171"/>
      <c r="C4883" s="165"/>
    </row>
    <row r="4884" spans="1:3" ht="16.8">
      <c r="A4884" s="165"/>
      <c r="B4884" s="171"/>
      <c r="C4884" s="165"/>
    </row>
    <row r="4885" spans="1:3" ht="16.8">
      <c r="A4885" s="165"/>
      <c r="B4885" s="171"/>
      <c r="C4885" s="165"/>
    </row>
    <row r="4886" spans="1:3" ht="16.8">
      <c r="A4886" s="165"/>
      <c r="B4886" s="171"/>
      <c r="C4886" s="165"/>
    </row>
    <row r="4887" spans="1:3" ht="16.8">
      <c r="A4887" s="165"/>
      <c r="B4887" s="171"/>
      <c r="C4887" s="165"/>
    </row>
    <row r="4888" spans="1:3" ht="16.8">
      <c r="A4888" s="165"/>
      <c r="B4888" s="171"/>
      <c r="C4888" s="165"/>
    </row>
    <row r="4889" spans="1:3" ht="16.8">
      <c r="A4889" s="165"/>
      <c r="B4889" s="171"/>
      <c r="C4889" s="165"/>
    </row>
    <row r="4890" spans="1:3" ht="16.8">
      <c r="A4890" s="165"/>
      <c r="B4890" s="171"/>
      <c r="C4890" s="165"/>
    </row>
    <row r="4891" spans="1:3" ht="16.8">
      <c r="A4891" s="165"/>
      <c r="B4891" s="171"/>
      <c r="C4891" s="165"/>
    </row>
    <row r="4892" spans="1:3" ht="16.8">
      <c r="A4892" s="165"/>
      <c r="B4892" s="171"/>
      <c r="C4892" s="165"/>
    </row>
    <row r="4893" spans="1:3" ht="16.8">
      <c r="A4893" s="165"/>
      <c r="B4893" s="171"/>
      <c r="C4893" s="165"/>
    </row>
    <row r="4894" spans="1:3" ht="16.8">
      <c r="A4894" s="165"/>
      <c r="B4894" s="171"/>
      <c r="C4894" s="165"/>
    </row>
    <row r="4895" spans="1:3" ht="16.8">
      <c r="A4895" s="165"/>
      <c r="B4895" s="171"/>
      <c r="C4895" s="165"/>
    </row>
    <row r="4896" spans="1:3" ht="16.8">
      <c r="A4896" s="165"/>
      <c r="B4896" s="171"/>
      <c r="C4896" s="165"/>
    </row>
    <row r="4897" spans="1:3" ht="16.8">
      <c r="A4897" s="165"/>
      <c r="B4897" s="171"/>
      <c r="C4897" s="165"/>
    </row>
    <row r="4898" spans="1:3" ht="16.8">
      <c r="A4898" s="165"/>
      <c r="B4898" s="171"/>
      <c r="C4898" s="165"/>
    </row>
    <row r="4899" spans="1:3" ht="16.8">
      <c r="A4899" s="165"/>
      <c r="B4899" s="171"/>
      <c r="C4899" s="165"/>
    </row>
    <row r="4900" spans="1:3" ht="16.8">
      <c r="A4900" s="165"/>
      <c r="B4900" s="171"/>
      <c r="C4900" s="165"/>
    </row>
    <row r="4901" spans="1:3" ht="16.8">
      <c r="A4901" s="165"/>
      <c r="B4901" s="171"/>
      <c r="C4901" s="165"/>
    </row>
    <row r="4902" spans="1:3" ht="16.8">
      <c r="A4902" s="165"/>
      <c r="B4902" s="171"/>
      <c r="C4902" s="165"/>
    </row>
    <row r="4903" spans="1:3" ht="16.8">
      <c r="A4903" s="165"/>
      <c r="B4903" s="171"/>
      <c r="C4903" s="165"/>
    </row>
    <row r="4904" spans="1:3" ht="16.8">
      <c r="A4904" s="165"/>
      <c r="B4904" s="171"/>
      <c r="C4904" s="165"/>
    </row>
    <row r="4905" spans="1:3" ht="16.8">
      <c r="A4905" s="165"/>
      <c r="B4905" s="171"/>
      <c r="C4905" s="165"/>
    </row>
    <row r="4906" spans="1:3" ht="16.8">
      <c r="A4906" s="165"/>
      <c r="B4906" s="171"/>
      <c r="C4906" s="165"/>
    </row>
    <row r="4907" spans="1:3" ht="16.8">
      <c r="A4907" s="165"/>
      <c r="B4907" s="171"/>
      <c r="C4907" s="165"/>
    </row>
    <row r="4908" spans="1:3" ht="16.8">
      <c r="A4908" s="165"/>
      <c r="B4908" s="171"/>
      <c r="C4908" s="165"/>
    </row>
    <row r="4909" spans="1:3" ht="16.8">
      <c r="A4909" s="165"/>
      <c r="B4909" s="171"/>
      <c r="C4909" s="165"/>
    </row>
    <row r="4910" spans="1:3" ht="16.8">
      <c r="A4910" s="165"/>
      <c r="B4910" s="171"/>
      <c r="C4910" s="165"/>
    </row>
    <row r="4911" spans="1:3" ht="16.8">
      <c r="A4911" s="165"/>
      <c r="B4911" s="171"/>
      <c r="C4911" s="165"/>
    </row>
    <row r="4912" spans="1:3" ht="16.8">
      <c r="A4912" s="165"/>
      <c r="B4912" s="171"/>
      <c r="C4912" s="165"/>
    </row>
    <row r="4913" spans="1:3" ht="16.8">
      <c r="A4913" s="165"/>
      <c r="B4913" s="171"/>
      <c r="C4913" s="165"/>
    </row>
    <row r="4914" spans="1:3" ht="16.8">
      <c r="A4914" s="165"/>
      <c r="B4914" s="171"/>
      <c r="C4914" s="165"/>
    </row>
    <row r="4915" spans="1:3" ht="16.8">
      <c r="A4915" s="165"/>
      <c r="B4915" s="171"/>
      <c r="C4915" s="165"/>
    </row>
    <row r="4916" spans="1:3" ht="16.8">
      <c r="A4916" s="165"/>
      <c r="B4916" s="171"/>
      <c r="C4916" s="165"/>
    </row>
    <row r="4917" spans="1:3" ht="16.8">
      <c r="A4917" s="165"/>
      <c r="B4917" s="171"/>
      <c r="C4917" s="165"/>
    </row>
    <row r="4918" spans="1:3" ht="16.8">
      <c r="A4918" s="165"/>
      <c r="B4918" s="171"/>
      <c r="C4918" s="165"/>
    </row>
    <row r="4919" spans="1:3" ht="16.8">
      <c r="A4919" s="165"/>
      <c r="B4919" s="171"/>
      <c r="C4919" s="165"/>
    </row>
    <row r="4920" spans="1:3" ht="16.8">
      <c r="A4920" s="165"/>
      <c r="B4920" s="171"/>
      <c r="C4920" s="165"/>
    </row>
    <row r="4921" spans="1:3" ht="16.8">
      <c r="A4921" s="165"/>
      <c r="B4921" s="171"/>
      <c r="C4921" s="165"/>
    </row>
    <row r="4922" spans="1:3" ht="16.8">
      <c r="A4922" s="165"/>
      <c r="B4922" s="171"/>
      <c r="C4922" s="165"/>
    </row>
    <row r="4923" spans="1:3" ht="16.8">
      <c r="A4923" s="165"/>
      <c r="B4923" s="171"/>
      <c r="C4923" s="165"/>
    </row>
    <row r="4924" spans="1:3" ht="16.8">
      <c r="A4924" s="165"/>
      <c r="B4924" s="171"/>
      <c r="C4924" s="165"/>
    </row>
    <row r="4925" spans="1:3" ht="16.8">
      <c r="A4925" s="165"/>
      <c r="B4925" s="171"/>
      <c r="C4925" s="165"/>
    </row>
    <row r="4926" spans="1:3" ht="16.8">
      <c r="A4926" s="165"/>
      <c r="B4926" s="171"/>
      <c r="C4926" s="165"/>
    </row>
    <row r="4927" spans="1:3" ht="16.8">
      <c r="A4927" s="165"/>
      <c r="B4927" s="171"/>
      <c r="C4927" s="165"/>
    </row>
    <row r="4928" spans="1:3" ht="16.8">
      <c r="A4928" s="165"/>
      <c r="B4928" s="171"/>
      <c r="C4928" s="165"/>
    </row>
    <row r="4929" spans="1:3" ht="16.8">
      <c r="A4929" s="165"/>
      <c r="B4929" s="171"/>
      <c r="C4929" s="165"/>
    </row>
    <row r="4930" spans="1:3" ht="16.8">
      <c r="A4930" s="165"/>
      <c r="B4930" s="171"/>
      <c r="C4930" s="165"/>
    </row>
    <row r="4931" spans="1:3" ht="16.8">
      <c r="A4931" s="165"/>
      <c r="B4931" s="171"/>
      <c r="C4931" s="165"/>
    </row>
    <row r="4932" spans="1:3" ht="16.8">
      <c r="A4932" s="165"/>
      <c r="B4932" s="171"/>
      <c r="C4932" s="165"/>
    </row>
    <row r="4933" spans="1:3" ht="16.8">
      <c r="A4933" s="165"/>
      <c r="B4933" s="171"/>
      <c r="C4933" s="165"/>
    </row>
    <row r="4934" spans="1:3" ht="16.8">
      <c r="A4934" s="165"/>
      <c r="B4934" s="171"/>
      <c r="C4934" s="165"/>
    </row>
    <row r="4935" spans="1:3" ht="16.8">
      <c r="A4935" s="165"/>
      <c r="B4935" s="171"/>
      <c r="C4935" s="165"/>
    </row>
    <row r="4936" spans="1:3" ht="16.8">
      <c r="A4936" s="165"/>
      <c r="B4936" s="171"/>
      <c r="C4936" s="165"/>
    </row>
    <row r="4937" spans="1:3" ht="16.8">
      <c r="A4937" s="165"/>
      <c r="B4937" s="171"/>
      <c r="C4937" s="165"/>
    </row>
    <row r="4938" spans="1:3" ht="16.8">
      <c r="A4938" s="165"/>
      <c r="B4938" s="171"/>
      <c r="C4938" s="165"/>
    </row>
    <row r="4939" spans="1:3" ht="16.8">
      <c r="A4939" s="165"/>
      <c r="B4939" s="171"/>
      <c r="C4939" s="165"/>
    </row>
    <row r="4940" spans="1:3" ht="16.8">
      <c r="A4940" s="165"/>
      <c r="B4940" s="171"/>
      <c r="C4940" s="165"/>
    </row>
    <row r="4941" spans="1:3" ht="16.8">
      <c r="A4941" s="165"/>
      <c r="B4941" s="171"/>
      <c r="C4941" s="165"/>
    </row>
    <row r="4942" spans="1:3" ht="16.8">
      <c r="A4942" s="165"/>
      <c r="B4942" s="171"/>
      <c r="C4942" s="165"/>
    </row>
    <row r="4943" spans="1:3" ht="16.8">
      <c r="A4943" s="165"/>
      <c r="B4943" s="171"/>
      <c r="C4943" s="165"/>
    </row>
    <row r="4944" spans="1:3" ht="16.8">
      <c r="A4944" s="165"/>
      <c r="B4944" s="171"/>
      <c r="C4944" s="165"/>
    </row>
    <row r="4945" spans="1:3" ht="16.8">
      <c r="A4945" s="165"/>
      <c r="B4945" s="171"/>
      <c r="C4945" s="165"/>
    </row>
    <row r="4946" spans="1:3" ht="16.8">
      <c r="A4946" s="165"/>
      <c r="B4946" s="171"/>
      <c r="C4946" s="165"/>
    </row>
    <row r="4947" spans="1:3" ht="16.8">
      <c r="A4947" s="165"/>
      <c r="B4947" s="171"/>
      <c r="C4947" s="165"/>
    </row>
    <row r="4948" spans="1:3" ht="16.8">
      <c r="A4948" s="165"/>
      <c r="B4948" s="171"/>
      <c r="C4948" s="165"/>
    </row>
    <row r="4949" spans="1:3" ht="16.8">
      <c r="A4949" s="165"/>
      <c r="B4949" s="171"/>
      <c r="C4949" s="165"/>
    </row>
    <row r="4950" spans="1:3" ht="16.8">
      <c r="A4950" s="165"/>
      <c r="B4950" s="171"/>
      <c r="C4950" s="165"/>
    </row>
    <row r="4951" spans="1:3" ht="16.8">
      <c r="A4951" s="165"/>
      <c r="B4951" s="171"/>
      <c r="C4951" s="165"/>
    </row>
    <row r="4952" spans="1:3" ht="16.8">
      <c r="A4952" s="165"/>
      <c r="B4952" s="171"/>
      <c r="C4952" s="165"/>
    </row>
    <row r="4953" spans="1:3" ht="16.8">
      <c r="A4953" s="165"/>
      <c r="B4953" s="171"/>
      <c r="C4953" s="165"/>
    </row>
    <row r="4954" spans="1:3" ht="16.8">
      <c r="A4954" s="165"/>
      <c r="B4954" s="171"/>
      <c r="C4954" s="165"/>
    </row>
    <row r="4955" spans="1:3" ht="16.8">
      <c r="A4955" s="165"/>
      <c r="B4955" s="171"/>
      <c r="C4955" s="165"/>
    </row>
    <row r="4956" spans="1:3" ht="16.8">
      <c r="A4956" s="165"/>
      <c r="B4956" s="171"/>
      <c r="C4956" s="165"/>
    </row>
    <row r="4957" spans="1:3" ht="16.8">
      <c r="A4957" s="165"/>
      <c r="B4957" s="171"/>
      <c r="C4957" s="165"/>
    </row>
    <row r="4958" spans="1:3" ht="16.8">
      <c r="A4958" s="165"/>
      <c r="B4958" s="171"/>
      <c r="C4958" s="165"/>
    </row>
    <row r="4959" spans="1:3" ht="16.8">
      <c r="A4959" s="165"/>
      <c r="B4959" s="171"/>
      <c r="C4959" s="165"/>
    </row>
    <row r="4960" spans="1:3" ht="16.8">
      <c r="A4960" s="165"/>
      <c r="B4960" s="171"/>
      <c r="C4960" s="165"/>
    </row>
    <row r="4961" spans="1:3" ht="16.8">
      <c r="A4961" s="165"/>
      <c r="B4961" s="171"/>
      <c r="C4961" s="165"/>
    </row>
    <row r="4962" spans="1:3" ht="16.8">
      <c r="A4962" s="165"/>
      <c r="B4962" s="171"/>
      <c r="C4962" s="165"/>
    </row>
    <row r="4963" spans="1:3" ht="16.8">
      <c r="A4963" s="165"/>
      <c r="B4963" s="171"/>
      <c r="C4963" s="165"/>
    </row>
    <row r="4964" spans="1:3" ht="16.8">
      <c r="A4964" s="165"/>
      <c r="B4964" s="171"/>
      <c r="C4964" s="165"/>
    </row>
    <row r="4965" spans="1:3" ht="16.8">
      <c r="A4965" s="165"/>
      <c r="B4965" s="171"/>
      <c r="C4965" s="165"/>
    </row>
    <row r="4966" spans="1:3" ht="16.8">
      <c r="A4966" s="165"/>
      <c r="B4966" s="171"/>
      <c r="C4966" s="165"/>
    </row>
    <row r="4967" spans="1:3" ht="16.8">
      <c r="A4967" s="165"/>
      <c r="B4967" s="171"/>
      <c r="C4967" s="165"/>
    </row>
    <row r="4968" spans="1:3" ht="16.8">
      <c r="A4968" s="165"/>
      <c r="B4968" s="171"/>
      <c r="C4968" s="165"/>
    </row>
    <row r="4969" spans="1:3" ht="16.8">
      <c r="A4969" s="165"/>
      <c r="B4969" s="171"/>
      <c r="C4969" s="165"/>
    </row>
    <row r="4970" spans="1:3" ht="16.8">
      <c r="A4970" s="165"/>
      <c r="B4970" s="171"/>
      <c r="C4970" s="165"/>
    </row>
    <row r="4971" spans="1:3" ht="16.8">
      <c r="A4971" s="165"/>
      <c r="B4971" s="171"/>
      <c r="C4971" s="165"/>
    </row>
    <row r="4972" spans="1:3" ht="16.8">
      <c r="A4972" s="165"/>
      <c r="B4972" s="171"/>
      <c r="C4972" s="165"/>
    </row>
    <row r="4973" spans="1:3" ht="16.8">
      <c r="A4973" s="165"/>
      <c r="B4973" s="171"/>
      <c r="C4973" s="165"/>
    </row>
    <row r="4974" spans="1:3" ht="16.8">
      <c r="A4974" s="165"/>
      <c r="B4974" s="171"/>
      <c r="C4974" s="165"/>
    </row>
    <row r="4975" spans="1:3" ht="16.8">
      <c r="A4975" s="165"/>
      <c r="B4975" s="171"/>
      <c r="C4975" s="165"/>
    </row>
    <row r="4976" spans="1:3" ht="16.8">
      <c r="A4976" s="165"/>
      <c r="B4976" s="171"/>
      <c r="C4976" s="165"/>
    </row>
    <row r="4977" spans="1:3" ht="16.8">
      <c r="A4977" s="165"/>
      <c r="B4977" s="171"/>
      <c r="C4977" s="165"/>
    </row>
    <row r="4978" spans="1:3" ht="16.8">
      <c r="A4978" s="165"/>
      <c r="B4978" s="171"/>
      <c r="C4978" s="165"/>
    </row>
    <row r="4979" spans="1:3" ht="16.8">
      <c r="A4979" s="165"/>
      <c r="B4979" s="171"/>
      <c r="C4979" s="165"/>
    </row>
    <row r="4980" spans="1:3" ht="16.8">
      <c r="A4980" s="165"/>
      <c r="B4980" s="171"/>
      <c r="C4980" s="165"/>
    </row>
    <row r="4981" spans="1:3" ht="16.8">
      <c r="A4981" s="165"/>
      <c r="B4981" s="171"/>
      <c r="C4981" s="165"/>
    </row>
    <row r="4982" spans="1:3" ht="16.8">
      <c r="A4982" s="165"/>
      <c r="B4982" s="171"/>
      <c r="C4982" s="165"/>
    </row>
    <row r="4983" spans="1:3" ht="16.8">
      <c r="A4983" s="165"/>
      <c r="B4983" s="171"/>
      <c r="C4983" s="165"/>
    </row>
    <row r="4984" spans="1:3" ht="16.8">
      <c r="A4984" s="165"/>
      <c r="B4984" s="171"/>
      <c r="C4984" s="165"/>
    </row>
    <row r="4985" spans="1:3" ht="16.8">
      <c r="A4985" s="165"/>
      <c r="B4985" s="171"/>
      <c r="C4985" s="165"/>
    </row>
    <row r="4986" spans="1:3" ht="16.8">
      <c r="A4986" s="165"/>
      <c r="B4986" s="171"/>
      <c r="C4986" s="165"/>
    </row>
    <row r="4987" spans="1:3" ht="16.8">
      <c r="A4987" s="165"/>
      <c r="B4987" s="171"/>
      <c r="C4987" s="165"/>
    </row>
    <row r="4988" spans="1:3" ht="16.8">
      <c r="A4988" s="165"/>
      <c r="B4988" s="171"/>
      <c r="C4988" s="165"/>
    </row>
    <row r="4989" spans="1:3" ht="16.8">
      <c r="A4989" s="165"/>
      <c r="B4989" s="171"/>
      <c r="C4989" s="165"/>
    </row>
    <row r="4990" spans="1:3" ht="16.8">
      <c r="A4990" s="165"/>
      <c r="B4990" s="171"/>
      <c r="C4990" s="165"/>
    </row>
    <row r="4991" spans="1:3" ht="16.8">
      <c r="A4991" s="165"/>
      <c r="B4991" s="171"/>
      <c r="C4991" s="165"/>
    </row>
    <row r="4992" spans="1:3" ht="16.8">
      <c r="A4992" s="165"/>
      <c r="B4992" s="171"/>
      <c r="C4992" s="165"/>
    </row>
    <row r="4993" spans="1:3" ht="16.8">
      <c r="A4993" s="165"/>
      <c r="B4993" s="171"/>
      <c r="C4993" s="165"/>
    </row>
    <row r="4994" spans="1:3" ht="16.8">
      <c r="A4994" s="165"/>
      <c r="B4994" s="171"/>
      <c r="C4994" s="165"/>
    </row>
    <row r="4995" spans="1:3" ht="16.8">
      <c r="A4995" s="165"/>
      <c r="B4995" s="171"/>
      <c r="C4995" s="165"/>
    </row>
    <row r="4996" spans="1:3" ht="16.8">
      <c r="A4996" s="165"/>
      <c r="B4996" s="171"/>
      <c r="C4996" s="165"/>
    </row>
    <row r="4997" spans="1:3" ht="16.8">
      <c r="A4997" s="165"/>
      <c r="B4997" s="171"/>
      <c r="C4997" s="165"/>
    </row>
    <row r="4998" spans="1:3" ht="16.8">
      <c r="A4998" s="165"/>
      <c r="B4998" s="171"/>
      <c r="C4998" s="165"/>
    </row>
    <row r="4999" spans="1:3" ht="16.8">
      <c r="A4999" s="165"/>
      <c r="B4999" s="171"/>
      <c r="C4999" s="165"/>
    </row>
    <row r="5000" spans="1:3" ht="16.8">
      <c r="A5000" s="165"/>
      <c r="B5000" s="171"/>
      <c r="C5000" s="165"/>
    </row>
    <row r="5001" spans="1:3" ht="16.8">
      <c r="A5001" s="165"/>
      <c r="B5001" s="171"/>
      <c r="C5001" s="165"/>
    </row>
    <row r="5002" spans="1:3" ht="16.8">
      <c r="A5002" s="165"/>
      <c r="B5002" s="171"/>
      <c r="C5002" s="165"/>
    </row>
    <row r="5003" spans="1:3" ht="16.8">
      <c r="A5003" s="165"/>
      <c r="B5003" s="171"/>
      <c r="C5003" s="165"/>
    </row>
    <row r="5004" spans="1:3" ht="16.8">
      <c r="A5004" s="165"/>
      <c r="B5004" s="171"/>
      <c r="C5004" s="165"/>
    </row>
    <row r="5005" spans="1:3" ht="16.8">
      <c r="A5005" s="165"/>
      <c r="B5005" s="171"/>
      <c r="C5005" s="165"/>
    </row>
    <row r="5006" spans="1:3" ht="16.8">
      <c r="A5006" s="165"/>
      <c r="B5006" s="171"/>
      <c r="C5006" s="165"/>
    </row>
    <row r="5007" spans="1:3" ht="16.8">
      <c r="A5007" s="165"/>
      <c r="B5007" s="171"/>
      <c r="C5007" s="165"/>
    </row>
    <row r="5008" spans="1:3" ht="16.8">
      <c r="A5008" s="165"/>
      <c r="B5008" s="171"/>
      <c r="C5008" s="165"/>
    </row>
    <row r="5009" spans="1:3" ht="16.8">
      <c r="A5009" s="165"/>
      <c r="B5009" s="171"/>
      <c r="C5009" s="165"/>
    </row>
    <row r="5010" spans="1:3" ht="16.8">
      <c r="A5010" s="165"/>
      <c r="B5010" s="171"/>
      <c r="C5010" s="165"/>
    </row>
    <row r="5011" spans="1:3" ht="16.8">
      <c r="A5011" s="165"/>
      <c r="B5011" s="171"/>
      <c r="C5011" s="165"/>
    </row>
    <row r="5012" spans="1:3" ht="16.8">
      <c r="A5012" s="165"/>
      <c r="B5012" s="171"/>
      <c r="C5012" s="165"/>
    </row>
    <row r="5013" spans="1:3" ht="16.8">
      <c r="A5013" s="165"/>
      <c r="B5013" s="171"/>
      <c r="C5013" s="165"/>
    </row>
    <row r="5014" spans="1:3" ht="16.8">
      <c r="A5014" s="165"/>
      <c r="B5014" s="171"/>
      <c r="C5014" s="165"/>
    </row>
    <row r="5015" spans="1:3" ht="16.8">
      <c r="A5015" s="165"/>
      <c r="B5015" s="171"/>
      <c r="C5015" s="165"/>
    </row>
    <row r="5016" spans="1:3" ht="16.8">
      <c r="A5016" s="165"/>
      <c r="B5016" s="171"/>
      <c r="C5016" s="165"/>
    </row>
    <row r="5017" spans="1:3" ht="16.8">
      <c r="A5017" s="165"/>
      <c r="B5017" s="171"/>
      <c r="C5017" s="165"/>
    </row>
    <row r="5018" spans="1:3" ht="16.8">
      <c r="A5018" s="165"/>
      <c r="B5018" s="171"/>
      <c r="C5018" s="165"/>
    </row>
    <row r="5019" spans="1:3" ht="16.8">
      <c r="A5019" s="165"/>
      <c r="B5019" s="171"/>
      <c r="C5019" s="165"/>
    </row>
    <row r="5020" spans="1:3" ht="16.8">
      <c r="A5020" s="165"/>
      <c r="B5020" s="171"/>
      <c r="C5020" s="165"/>
    </row>
    <row r="5021" spans="1:3" ht="16.8">
      <c r="A5021" s="165"/>
      <c r="B5021" s="171"/>
      <c r="C5021" s="165"/>
    </row>
    <row r="5022" spans="1:3" ht="16.8">
      <c r="A5022" s="165"/>
      <c r="B5022" s="171"/>
      <c r="C5022" s="165"/>
    </row>
    <row r="5023" spans="1:3" ht="16.8">
      <c r="A5023" s="165"/>
      <c r="B5023" s="171"/>
      <c r="C5023" s="165"/>
    </row>
    <row r="5024" spans="1:3" ht="16.8">
      <c r="A5024" s="165"/>
      <c r="B5024" s="171"/>
      <c r="C5024" s="165"/>
    </row>
    <row r="5025" spans="1:3" ht="16.8">
      <c r="A5025" s="165"/>
      <c r="B5025" s="171"/>
      <c r="C5025" s="165"/>
    </row>
    <row r="5026" spans="1:3" ht="16.8">
      <c r="A5026" s="165"/>
      <c r="B5026" s="171"/>
      <c r="C5026" s="165"/>
    </row>
    <row r="5027" spans="1:3" ht="16.8">
      <c r="A5027" s="165"/>
      <c r="B5027" s="171"/>
      <c r="C5027" s="165"/>
    </row>
    <row r="5028" spans="1:3" ht="16.8">
      <c r="A5028" s="165"/>
      <c r="B5028" s="171"/>
      <c r="C5028" s="165"/>
    </row>
    <row r="5029" spans="1:3" ht="16.8">
      <c r="A5029" s="165"/>
      <c r="B5029" s="171"/>
      <c r="C5029" s="165"/>
    </row>
    <row r="5030" spans="1:3" ht="16.8">
      <c r="A5030" s="165"/>
      <c r="B5030" s="171"/>
      <c r="C5030" s="165"/>
    </row>
    <row r="5031" spans="1:3" ht="16.8">
      <c r="A5031" s="165"/>
      <c r="B5031" s="171"/>
      <c r="C5031" s="165"/>
    </row>
    <row r="5032" spans="1:3" ht="16.8">
      <c r="A5032" s="165"/>
      <c r="B5032" s="171"/>
      <c r="C5032" s="165"/>
    </row>
    <row r="5033" spans="1:3" ht="16.8">
      <c r="A5033" s="165"/>
      <c r="B5033" s="171"/>
      <c r="C5033" s="165"/>
    </row>
    <row r="5034" spans="1:3" ht="16.8">
      <c r="A5034" s="165"/>
      <c r="B5034" s="171"/>
      <c r="C5034" s="165"/>
    </row>
    <row r="5035" spans="1:3" ht="16.8">
      <c r="A5035" s="165"/>
      <c r="B5035" s="171"/>
      <c r="C5035" s="165"/>
    </row>
    <row r="5036" spans="1:3" ht="16.8">
      <c r="A5036" s="165"/>
      <c r="B5036" s="171"/>
      <c r="C5036" s="165"/>
    </row>
    <row r="5037" spans="1:3" ht="16.8">
      <c r="A5037" s="165"/>
      <c r="B5037" s="171"/>
      <c r="C5037" s="165"/>
    </row>
    <row r="5038" spans="1:3" ht="16.8">
      <c r="A5038" s="165"/>
      <c r="B5038" s="171"/>
      <c r="C5038" s="165"/>
    </row>
    <row r="5039" spans="1:3" ht="16.8">
      <c r="A5039" s="165"/>
      <c r="B5039" s="171"/>
      <c r="C5039" s="165"/>
    </row>
    <row r="5040" spans="1:3" ht="16.8">
      <c r="A5040" s="165"/>
      <c r="B5040" s="171"/>
      <c r="C5040" s="165"/>
    </row>
    <row r="5041" spans="1:3" ht="16.8">
      <c r="A5041" s="165"/>
      <c r="B5041" s="171"/>
      <c r="C5041" s="165"/>
    </row>
    <row r="5042" spans="1:3" ht="16.8">
      <c r="A5042" s="165"/>
      <c r="B5042" s="171"/>
      <c r="C5042" s="165"/>
    </row>
    <row r="5043" spans="1:3" ht="16.8">
      <c r="A5043" s="165"/>
      <c r="B5043" s="171"/>
      <c r="C5043" s="165"/>
    </row>
    <row r="5044" spans="1:3" ht="16.8">
      <c r="A5044" s="165"/>
      <c r="B5044" s="171"/>
      <c r="C5044" s="165"/>
    </row>
    <row r="5045" spans="1:3" ht="16.8">
      <c r="A5045" s="165"/>
      <c r="B5045" s="171"/>
      <c r="C5045" s="165"/>
    </row>
    <row r="5046" spans="1:3" ht="16.8">
      <c r="A5046" s="165"/>
      <c r="B5046" s="171"/>
      <c r="C5046" s="165"/>
    </row>
    <row r="5047" spans="1:3" ht="16.8">
      <c r="A5047" s="165"/>
      <c r="B5047" s="171"/>
      <c r="C5047" s="165"/>
    </row>
    <row r="5048" spans="1:3" ht="16.8">
      <c r="A5048" s="165"/>
      <c r="B5048" s="171"/>
      <c r="C5048" s="165"/>
    </row>
    <row r="5049" spans="1:3" ht="16.8">
      <c r="A5049" s="165"/>
      <c r="B5049" s="171"/>
      <c r="C5049" s="165"/>
    </row>
    <row r="5050" spans="1:3" ht="16.8">
      <c r="A5050" s="165"/>
      <c r="B5050" s="171"/>
      <c r="C5050" s="165"/>
    </row>
    <row r="5051" spans="1:3" ht="16.8">
      <c r="A5051" s="165"/>
      <c r="B5051" s="171"/>
      <c r="C5051" s="165"/>
    </row>
    <row r="5052" spans="1:3" ht="16.8">
      <c r="A5052" s="165"/>
      <c r="B5052" s="171"/>
      <c r="C5052" s="165"/>
    </row>
    <row r="5053" spans="1:3" ht="16.8">
      <c r="A5053" s="165"/>
      <c r="B5053" s="171"/>
      <c r="C5053" s="165"/>
    </row>
    <row r="5054" spans="1:3" ht="16.8">
      <c r="A5054" s="165"/>
      <c r="B5054" s="171"/>
      <c r="C5054" s="165"/>
    </row>
    <row r="5055" spans="1:3" ht="16.8">
      <c r="A5055" s="165"/>
      <c r="B5055" s="171"/>
      <c r="C5055" s="165"/>
    </row>
    <row r="5056" spans="1:3" ht="16.8">
      <c r="A5056" s="165"/>
      <c r="B5056" s="171"/>
      <c r="C5056" s="165"/>
    </row>
    <row r="5057" spans="1:3" ht="16.8">
      <c r="A5057" s="165"/>
      <c r="B5057" s="171"/>
      <c r="C5057" s="165"/>
    </row>
    <row r="5058" spans="1:3" ht="16.8">
      <c r="A5058" s="165"/>
      <c r="B5058" s="171"/>
      <c r="C5058" s="165"/>
    </row>
    <row r="5059" spans="1:3" ht="16.8">
      <c r="A5059" s="165"/>
      <c r="B5059" s="171"/>
      <c r="C5059" s="165"/>
    </row>
    <row r="5060" spans="1:3" ht="16.8">
      <c r="A5060" s="165"/>
      <c r="B5060" s="171"/>
      <c r="C5060" s="165"/>
    </row>
    <row r="5061" spans="1:3" ht="16.8">
      <c r="A5061" s="165"/>
      <c r="B5061" s="171"/>
      <c r="C5061" s="165"/>
    </row>
    <row r="5062" spans="1:3" ht="16.8">
      <c r="A5062" s="165"/>
      <c r="B5062" s="171"/>
      <c r="C5062" s="165"/>
    </row>
    <row r="5063" spans="1:3" ht="16.8">
      <c r="A5063" s="165"/>
      <c r="B5063" s="171"/>
      <c r="C5063" s="165"/>
    </row>
    <row r="5064" spans="1:3" ht="16.8">
      <c r="A5064" s="165"/>
      <c r="B5064" s="171"/>
      <c r="C5064" s="165"/>
    </row>
    <row r="5065" spans="1:3" ht="16.8">
      <c r="A5065" s="165"/>
      <c r="B5065" s="171"/>
      <c r="C5065" s="165"/>
    </row>
    <row r="5066" spans="1:3" ht="16.8">
      <c r="A5066" s="165"/>
      <c r="B5066" s="171"/>
      <c r="C5066" s="165"/>
    </row>
    <row r="5067" spans="1:3" ht="16.8">
      <c r="A5067" s="165"/>
      <c r="B5067" s="171"/>
      <c r="C5067" s="165"/>
    </row>
    <row r="5068" spans="1:3" ht="16.8">
      <c r="A5068" s="165"/>
      <c r="B5068" s="171"/>
      <c r="C5068" s="165"/>
    </row>
    <row r="5069" spans="1:3" ht="16.8">
      <c r="A5069" s="165"/>
      <c r="B5069" s="171"/>
      <c r="C5069" s="165"/>
    </row>
    <row r="5070" spans="1:3" ht="16.8">
      <c r="A5070" s="165"/>
      <c r="B5070" s="171"/>
      <c r="C5070" s="165"/>
    </row>
    <row r="5071" spans="1:3" ht="16.8">
      <c r="A5071" s="165"/>
      <c r="B5071" s="171"/>
      <c r="C5071" s="165"/>
    </row>
    <row r="5072" spans="1:3" ht="16.8">
      <c r="A5072" s="165"/>
      <c r="B5072" s="171"/>
      <c r="C5072" s="165"/>
    </row>
    <row r="5073" spans="1:3" ht="16.8">
      <c r="A5073" s="165"/>
      <c r="B5073" s="171"/>
      <c r="C5073" s="165"/>
    </row>
    <row r="5074" spans="1:3" ht="16.8">
      <c r="A5074" s="165"/>
      <c r="B5074" s="171"/>
      <c r="C5074" s="165"/>
    </row>
    <row r="5075" spans="1:3" ht="16.8">
      <c r="A5075" s="165"/>
      <c r="B5075" s="171"/>
      <c r="C5075" s="165"/>
    </row>
    <row r="5076" spans="1:3" ht="16.8">
      <c r="A5076" s="165"/>
      <c r="B5076" s="171"/>
      <c r="C5076" s="165"/>
    </row>
    <row r="5077" spans="1:3" ht="16.8">
      <c r="A5077" s="165"/>
      <c r="B5077" s="171"/>
      <c r="C5077" s="165"/>
    </row>
    <row r="5078" spans="1:3" ht="16.8">
      <c r="A5078" s="165"/>
      <c r="B5078" s="171"/>
      <c r="C5078" s="165"/>
    </row>
    <row r="5079" spans="1:3" ht="16.8">
      <c r="A5079" s="165"/>
      <c r="B5079" s="171"/>
      <c r="C5079" s="165"/>
    </row>
    <row r="5080" spans="1:3" ht="16.8">
      <c r="A5080" s="165"/>
      <c r="B5080" s="171"/>
      <c r="C5080" s="165"/>
    </row>
    <row r="5081" spans="1:3" ht="16.8">
      <c r="A5081" s="165"/>
      <c r="B5081" s="171"/>
      <c r="C5081" s="165"/>
    </row>
    <row r="5082" spans="1:3" ht="16.8">
      <c r="A5082" s="165"/>
      <c r="B5082" s="171"/>
      <c r="C5082" s="165"/>
    </row>
    <row r="5083" spans="1:3" ht="16.8">
      <c r="A5083" s="165"/>
      <c r="B5083" s="171"/>
      <c r="C5083" s="165"/>
    </row>
    <row r="5084" spans="1:3" ht="16.8">
      <c r="A5084" s="165"/>
      <c r="B5084" s="171"/>
      <c r="C5084" s="165"/>
    </row>
    <row r="5085" spans="1:3" ht="16.8">
      <c r="A5085" s="165"/>
      <c r="B5085" s="171"/>
      <c r="C5085" s="165"/>
    </row>
    <row r="5086" spans="1:3" ht="16.8">
      <c r="A5086" s="165"/>
      <c r="B5086" s="171"/>
      <c r="C5086" s="165"/>
    </row>
    <row r="5087" spans="1:3" ht="16.8">
      <c r="A5087" s="165"/>
      <c r="B5087" s="171"/>
      <c r="C5087" s="165"/>
    </row>
    <row r="5088" spans="1:3" ht="16.8">
      <c r="A5088" s="165"/>
      <c r="B5088" s="171"/>
      <c r="C5088" s="165"/>
    </row>
    <row r="5089" spans="1:3" ht="16.8">
      <c r="A5089" s="165"/>
      <c r="B5089" s="171"/>
      <c r="C5089" s="165"/>
    </row>
    <row r="5090" spans="1:3" ht="16.8">
      <c r="A5090" s="165"/>
      <c r="B5090" s="171"/>
      <c r="C5090" s="165"/>
    </row>
    <row r="5091" spans="1:3" ht="16.8">
      <c r="A5091" s="165"/>
      <c r="B5091" s="171"/>
      <c r="C5091" s="165"/>
    </row>
    <row r="5092" spans="1:3" ht="16.8">
      <c r="A5092" s="165"/>
      <c r="B5092" s="171"/>
      <c r="C5092" s="165"/>
    </row>
    <row r="5093" spans="1:3" ht="16.8">
      <c r="A5093" s="165"/>
      <c r="B5093" s="171"/>
      <c r="C5093" s="165"/>
    </row>
    <row r="5094" spans="1:3" ht="16.8">
      <c r="A5094" s="165"/>
      <c r="B5094" s="171"/>
      <c r="C5094" s="165"/>
    </row>
    <row r="5095" spans="1:3" ht="16.8">
      <c r="A5095" s="165"/>
      <c r="B5095" s="171"/>
      <c r="C5095" s="165"/>
    </row>
    <row r="5096" spans="1:3" ht="16.8">
      <c r="A5096" s="165"/>
      <c r="B5096" s="171"/>
      <c r="C5096" s="165"/>
    </row>
    <row r="5097" spans="1:3" ht="16.8">
      <c r="A5097" s="165"/>
      <c r="B5097" s="171"/>
      <c r="C5097" s="165"/>
    </row>
    <row r="5098" spans="1:3" ht="16.8">
      <c r="A5098" s="165"/>
      <c r="B5098" s="171"/>
      <c r="C5098" s="165"/>
    </row>
    <row r="5099" spans="1:3" ht="16.8">
      <c r="A5099" s="165"/>
      <c r="B5099" s="171"/>
      <c r="C5099" s="165"/>
    </row>
    <row r="5100" spans="1:3" ht="16.8">
      <c r="A5100" s="165"/>
      <c r="B5100" s="171"/>
      <c r="C5100" s="165"/>
    </row>
    <row r="5101" spans="1:3" ht="16.8">
      <c r="A5101" s="165"/>
      <c r="B5101" s="171"/>
      <c r="C5101" s="165"/>
    </row>
    <row r="5102" spans="1:3" ht="16.8">
      <c r="A5102" s="165"/>
      <c r="B5102" s="171"/>
      <c r="C5102" s="165"/>
    </row>
    <row r="5103" spans="1:3" ht="16.8">
      <c r="A5103" s="165"/>
      <c r="B5103" s="171"/>
      <c r="C5103" s="165"/>
    </row>
    <row r="5104" spans="1:3" ht="16.8">
      <c r="A5104" s="165"/>
      <c r="B5104" s="171"/>
      <c r="C5104" s="165"/>
    </row>
    <row r="5105" spans="1:3" ht="16.8">
      <c r="A5105" s="165"/>
      <c r="B5105" s="171"/>
      <c r="C5105" s="165"/>
    </row>
    <row r="5106" spans="1:3" ht="16.8">
      <c r="A5106" s="165"/>
      <c r="B5106" s="171"/>
      <c r="C5106" s="165"/>
    </row>
    <row r="5107" spans="1:3" ht="16.8">
      <c r="A5107" s="165"/>
      <c r="B5107" s="171"/>
      <c r="C5107" s="165"/>
    </row>
    <row r="5108" spans="1:3" ht="16.8">
      <c r="A5108" s="165"/>
      <c r="B5108" s="171"/>
      <c r="C5108" s="165"/>
    </row>
    <row r="5109" spans="1:3" ht="16.8">
      <c r="A5109" s="165"/>
      <c r="B5109" s="171"/>
      <c r="C5109" s="165"/>
    </row>
    <row r="5110" spans="1:3" ht="16.8">
      <c r="A5110" s="165"/>
      <c r="B5110" s="171"/>
      <c r="C5110" s="165"/>
    </row>
    <row r="5111" spans="1:3" ht="16.8">
      <c r="A5111" s="165"/>
      <c r="B5111" s="171"/>
      <c r="C5111" s="165"/>
    </row>
    <row r="5112" spans="1:3" ht="16.8">
      <c r="A5112" s="165"/>
      <c r="B5112" s="171"/>
      <c r="C5112" s="165"/>
    </row>
    <row r="5113" spans="1:3" ht="16.8">
      <c r="A5113" s="165"/>
      <c r="B5113" s="171"/>
      <c r="C5113" s="165"/>
    </row>
    <row r="5114" spans="1:3" ht="16.8">
      <c r="A5114" s="165"/>
      <c r="B5114" s="171"/>
      <c r="C5114" s="165"/>
    </row>
    <row r="5115" spans="1:3" ht="16.8">
      <c r="A5115" s="165"/>
      <c r="B5115" s="171"/>
      <c r="C5115" s="165"/>
    </row>
    <row r="5116" spans="1:3" ht="16.8">
      <c r="A5116" s="165"/>
      <c r="B5116" s="171"/>
      <c r="C5116" s="165"/>
    </row>
    <row r="5117" spans="1:3" ht="16.8">
      <c r="A5117" s="165"/>
      <c r="B5117" s="171"/>
      <c r="C5117" s="165"/>
    </row>
    <row r="5118" spans="1:3" ht="16.8">
      <c r="A5118" s="165"/>
      <c r="B5118" s="171"/>
      <c r="C5118" s="165"/>
    </row>
    <row r="5119" spans="1:3" ht="16.8">
      <c r="A5119" s="165"/>
      <c r="B5119" s="171"/>
      <c r="C5119" s="165"/>
    </row>
    <row r="5120" spans="1:3" ht="16.8">
      <c r="A5120" s="165"/>
      <c r="B5120" s="171"/>
      <c r="C5120" s="165"/>
    </row>
    <row r="5121" spans="1:3" ht="16.8">
      <c r="A5121" s="165"/>
      <c r="B5121" s="171"/>
      <c r="C5121" s="165"/>
    </row>
    <row r="5122" spans="1:3" ht="16.8">
      <c r="A5122" s="165"/>
      <c r="B5122" s="171"/>
      <c r="C5122" s="165"/>
    </row>
    <row r="5123" spans="1:3" ht="16.8">
      <c r="A5123" s="165"/>
      <c r="B5123" s="171"/>
      <c r="C5123" s="165"/>
    </row>
    <row r="5124" spans="1:3" ht="16.8">
      <c r="A5124" s="165"/>
      <c r="B5124" s="171"/>
      <c r="C5124" s="165"/>
    </row>
    <row r="5125" spans="1:3" ht="16.8">
      <c r="A5125" s="165"/>
      <c r="B5125" s="171"/>
      <c r="C5125" s="165"/>
    </row>
    <row r="5126" spans="1:3" ht="16.8">
      <c r="A5126" s="165"/>
      <c r="B5126" s="171"/>
      <c r="C5126" s="165"/>
    </row>
    <row r="5127" spans="1:3" ht="16.8">
      <c r="A5127" s="165"/>
      <c r="B5127" s="171"/>
      <c r="C5127" s="165"/>
    </row>
    <row r="5128" spans="1:3" ht="16.8">
      <c r="A5128" s="165"/>
      <c r="B5128" s="171"/>
      <c r="C5128" s="165"/>
    </row>
    <row r="5129" spans="1:3" ht="16.8">
      <c r="A5129" s="165"/>
      <c r="B5129" s="171"/>
      <c r="C5129" s="165"/>
    </row>
    <row r="5130" spans="1:3" ht="16.8">
      <c r="A5130" s="165"/>
      <c r="B5130" s="171"/>
      <c r="C5130" s="165"/>
    </row>
    <row r="5131" spans="1:3" ht="16.8">
      <c r="A5131" s="165"/>
      <c r="B5131" s="171"/>
      <c r="C5131" s="165"/>
    </row>
    <row r="5132" spans="1:3" ht="16.8">
      <c r="A5132" s="165"/>
      <c r="B5132" s="171"/>
      <c r="C5132" s="165"/>
    </row>
    <row r="5133" spans="1:3" ht="16.8">
      <c r="A5133" s="165"/>
      <c r="B5133" s="171"/>
      <c r="C5133" s="165"/>
    </row>
    <row r="5134" spans="1:3" ht="16.8">
      <c r="A5134" s="165"/>
      <c r="B5134" s="171"/>
      <c r="C5134" s="165"/>
    </row>
    <row r="5135" spans="1:3" ht="16.8">
      <c r="A5135" s="165"/>
      <c r="B5135" s="171"/>
      <c r="C5135" s="165"/>
    </row>
    <row r="5136" spans="1:3" ht="16.8">
      <c r="A5136" s="165"/>
      <c r="B5136" s="171"/>
      <c r="C5136" s="165"/>
    </row>
    <row r="5137" spans="1:3" ht="16.8">
      <c r="A5137" s="165"/>
      <c r="B5137" s="171"/>
      <c r="C5137" s="165"/>
    </row>
    <row r="5138" spans="1:3" ht="16.8">
      <c r="A5138" s="165"/>
      <c r="B5138" s="171"/>
      <c r="C5138" s="165"/>
    </row>
    <row r="5139" spans="1:3" ht="16.8">
      <c r="A5139" s="165"/>
      <c r="B5139" s="171"/>
      <c r="C5139" s="165"/>
    </row>
    <row r="5140" spans="1:3" ht="16.8">
      <c r="A5140" s="165"/>
      <c r="B5140" s="171"/>
      <c r="C5140" s="165"/>
    </row>
    <row r="5141" spans="1:3" ht="16.8">
      <c r="A5141" s="165"/>
      <c r="B5141" s="171"/>
      <c r="C5141" s="165"/>
    </row>
    <row r="5142" spans="1:3" ht="16.8">
      <c r="A5142" s="165"/>
      <c r="B5142" s="171"/>
      <c r="C5142" s="165"/>
    </row>
    <row r="5143" spans="1:3" ht="16.8">
      <c r="A5143" s="165"/>
      <c r="B5143" s="171"/>
      <c r="C5143" s="165"/>
    </row>
    <row r="5144" spans="1:3" ht="16.8">
      <c r="A5144" s="165"/>
      <c r="B5144" s="171"/>
      <c r="C5144" s="165"/>
    </row>
    <row r="5145" spans="1:3" ht="16.8">
      <c r="A5145" s="165"/>
      <c r="B5145" s="171"/>
      <c r="C5145" s="165"/>
    </row>
    <row r="5146" spans="1:3" ht="16.8">
      <c r="A5146" s="165"/>
      <c r="B5146" s="171"/>
      <c r="C5146" s="165"/>
    </row>
    <row r="5147" spans="1:3" ht="16.8">
      <c r="A5147" s="165"/>
      <c r="B5147" s="171"/>
      <c r="C5147" s="165"/>
    </row>
    <row r="5148" spans="1:3" ht="16.8">
      <c r="A5148" s="165"/>
      <c r="B5148" s="171"/>
      <c r="C5148" s="165"/>
    </row>
    <row r="5149" spans="1:3" ht="16.8">
      <c r="A5149" s="165"/>
      <c r="B5149" s="171"/>
      <c r="C5149" s="165"/>
    </row>
    <row r="5150" spans="1:3" ht="16.8">
      <c r="A5150" s="165"/>
      <c r="B5150" s="171"/>
      <c r="C5150" s="165"/>
    </row>
    <row r="5151" spans="1:3" ht="16.8">
      <c r="A5151" s="165"/>
      <c r="B5151" s="171"/>
      <c r="C5151" s="165"/>
    </row>
    <row r="5152" spans="1:3" ht="16.8">
      <c r="A5152" s="165"/>
      <c r="B5152" s="171"/>
      <c r="C5152" s="165"/>
    </row>
    <row r="5153" spans="1:3" ht="16.8">
      <c r="A5153" s="165"/>
      <c r="B5153" s="171"/>
      <c r="C5153" s="165"/>
    </row>
    <row r="5154" spans="1:3" ht="16.8">
      <c r="A5154" s="165"/>
      <c r="B5154" s="171"/>
      <c r="C5154" s="165"/>
    </row>
    <row r="5155" spans="1:3" ht="16.8">
      <c r="A5155" s="165"/>
      <c r="B5155" s="171"/>
      <c r="C5155" s="165"/>
    </row>
    <row r="5156" spans="1:3" ht="16.8">
      <c r="A5156" s="165"/>
      <c r="B5156" s="171"/>
      <c r="C5156" s="165"/>
    </row>
    <row r="5157" spans="1:3" ht="16.8">
      <c r="A5157" s="165"/>
      <c r="B5157" s="171"/>
      <c r="C5157" s="165"/>
    </row>
    <row r="5158" spans="1:3" ht="16.8">
      <c r="A5158" s="165"/>
      <c r="B5158" s="171"/>
      <c r="C5158" s="165"/>
    </row>
    <row r="5159" spans="1:3" ht="16.8">
      <c r="A5159" s="165"/>
      <c r="B5159" s="171"/>
      <c r="C5159" s="165"/>
    </row>
    <row r="5160" spans="1:3" ht="16.8">
      <c r="A5160" s="165"/>
      <c r="B5160" s="171"/>
      <c r="C5160" s="165"/>
    </row>
    <row r="5161" spans="1:3" ht="16.8">
      <c r="A5161" s="165"/>
      <c r="B5161" s="171"/>
      <c r="C5161" s="165"/>
    </row>
    <row r="5162" spans="1:3" ht="16.8">
      <c r="A5162" s="165"/>
      <c r="B5162" s="171"/>
      <c r="C5162" s="165"/>
    </row>
    <row r="5163" spans="1:3" ht="16.8">
      <c r="A5163" s="165"/>
      <c r="B5163" s="171"/>
      <c r="C5163" s="165"/>
    </row>
    <row r="5164" spans="1:3" ht="16.8">
      <c r="A5164" s="165"/>
      <c r="B5164" s="171"/>
      <c r="C5164" s="165"/>
    </row>
    <row r="5165" spans="1:3" ht="16.8">
      <c r="A5165" s="165"/>
      <c r="B5165" s="171"/>
      <c r="C5165" s="165"/>
    </row>
    <row r="5166" spans="1:3" ht="16.8">
      <c r="A5166" s="165"/>
      <c r="B5166" s="171"/>
      <c r="C5166" s="165"/>
    </row>
    <row r="5167" spans="1:3" ht="16.8">
      <c r="A5167" s="165"/>
      <c r="B5167" s="171"/>
      <c r="C5167" s="165"/>
    </row>
    <row r="5168" spans="1:3" ht="16.8">
      <c r="A5168" s="165"/>
      <c r="B5168" s="171"/>
      <c r="C5168" s="165"/>
    </row>
    <row r="5169" spans="1:3" ht="16.8">
      <c r="A5169" s="165"/>
      <c r="B5169" s="171"/>
      <c r="C5169" s="165"/>
    </row>
    <row r="5170" spans="1:3" ht="16.8">
      <c r="A5170" s="165"/>
      <c r="B5170" s="171"/>
      <c r="C5170" s="165"/>
    </row>
    <row r="5171" spans="1:3" ht="16.8">
      <c r="A5171" s="165"/>
      <c r="B5171" s="171"/>
      <c r="C5171" s="165"/>
    </row>
    <row r="5172" spans="1:3" ht="16.8">
      <c r="A5172" s="165"/>
      <c r="B5172" s="171"/>
      <c r="C5172" s="165"/>
    </row>
    <row r="5173" spans="1:3" ht="16.8">
      <c r="A5173" s="165"/>
      <c r="B5173" s="171"/>
      <c r="C5173" s="165"/>
    </row>
    <row r="5174" spans="1:3" ht="16.8">
      <c r="A5174" s="165"/>
      <c r="B5174" s="171"/>
      <c r="C5174" s="165"/>
    </row>
    <row r="5175" spans="1:3" ht="16.8">
      <c r="A5175" s="165"/>
      <c r="B5175" s="171"/>
      <c r="C5175" s="165"/>
    </row>
    <row r="5176" spans="1:3" ht="16.8">
      <c r="A5176" s="165"/>
      <c r="B5176" s="171"/>
      <c r="C5176" s="165"/>
    </row>
    <row r="5177" spans="1:3" ht="16.8">
      <c r="A5177" s="165"/>
      <c r="B5177" s="171"/>
      <c r="C5177" s="165"/>
    </row>
    <row r="5178" spans="1:3" ht="16.8">
      <c r="A5178" s="165"/>
      <c r="B5178" s="171"/>
      <c r="C5178" s="165"/>
    </row>
    <row r="5179" spans="1:3" ht="16.8">
      <c r="A5179" s="165"/>
      <c r="B5179" s="171"/>
      <c r="C5179" s="165"/>
    </row>
    <row r="5180" spans="1:3" ht="16.8">
      <c r="A5180" s="165"/>
      <c r="B5180" s="171"/>
      <c r="C5180" s="165"/>
    </row>
    <row r="5181" spans="1:3" ht="16.8">
      <c r="A5181" s="165"/>
      <c r="B5181" s="171"/>
      <c r="C5181" s="165"/>
    </row>
    <row r="5182" spans="1:3" ht="16.8">
      <c r="A5182" s="165"/>
      <c r="B5182" s="171"/>
      <c r="C5182" s="165"/>
    </row>
    <row r="5183" spans="1:3" ht="16.8">
      <c r="A5183" s="165"/>
      <c r="B5183" s="171"/>
      <c r="C5183" s="165"/>
    </row>
    <row r="5184" spans="1:3" ht="16.8">
      <c r="A5184" s="165"/>
      <c r="B5184" s="171"/>
      <c r="C5184" s="165"/>
    </row>
    <row r="5185" spans="1:3" ht="16.8">
      <c r="A5185" s="165"/>
      <c r="B5185" s="171"/>
      <c r="C5185" s="165"/>
    </row>
    <row r="5186" spans="1:3" ht="16.8">
      <c r="A5186" s="165"/>
      <c r="B5186" s="171"/>
      <c r="C5186" s="165"/>
    </row>
    <row r="5187" spans="1:3" ht="16.8">
      <c r="A5187" s="165"/>
      <c r="B5187" s="171"/>
      <c r="C5187" s="165"/>
    </row>
    <row r="5188" spans="1:3" ht="16.8">
      <c r="A5188" s="165"/>
      <c r="B5188" s="171"/>
      <c r="C5188" s="165"/>
    </row>
    <row r="5189" spans="1:3" ht="16.8">
      <c r="A5189" s="165"/>
      <c r="B5189" s="171"/>
      <c r="C5189" s="165"/>
    </row>
    <row r="5190" spans="1:3" ht="16.8">
      <c r="A5190" s="165"/>
      <c r="B5190" s="171"/>
      <c r="C5190" s="165"/>
    </row>
    <row r="5191" spans="1:3" ht="16.8">
      <c r="A5191" s="165"/>
      <c r="B5191" s="171"/>
      <c r="C5191" s="165"/>
    </row>
    <row r="5192" spans="1:3" ht="16.8">
      <c r="A5192" s="165"/>
      <c r="B5192" s="171"/>
      <c r="C5192" s="165"/>
    </row>
    <row r="5193" spans="1:3" ht="16.8">
      <c r="A5193" s="165"/>
      <c r="B5193" s="171"/>
      <c r="C5193" s="165"/>
    </row>
    <row r="5194" spans="1:3" ht="16.8">
      <c r="A5194" s="165"/>
      <c r="B5194" s="171"/>
      <c r="C5194" s="165"/>
    </row>
    <row r="5195" spans="1:3" ht="16.8">
      <c r="A5195" s="165"/>
      <c r="B5195" s="171"/>
      <c r="C5195" s="165"/>
    </row>
    <row r="5196" spans="1:3" ht="16.8">
      <c r="A5196" s="165"/>
      <c r="B5196" s="171"/>
      <c r="C5196" s="165"/>
    </row>
    <row r="5197" spans="1:3" ht="16.8">
      <c r="A5197" s="165"/>
      <c r="B5197" s="171"/>
      <c r="C5197" s="165"/>
    </row>
    <row r="5198" spans="1:3" ht="16.8">
      <c r="A5198" s="165"/>
      <c r="B5198" s="171"/>
      <c r="C5198" s="165"/>
    </row>
    <row r="5199" spans="1:3" ht="16.8">
      <c r="A5199" s="165"/>
      <c r="B5199" s="171"/>
      <c r="C5199" s="165"/>
    </row>
    <row r="5200" spans="1:3" ht="16.8">
      <c r="A5200" s="165"/>
      <c r="B5200" s="171"/>
      <c r="C5200" s="165"/>
    </row>
    <row r="5201" spans="1:3" ht="16.8">
      <c r="A5201" s="165"/>
      <c r="B5201" s="171"/>
      <c r="C5201" s="165"/>
    </row>
    <row r="5202" spans="1:3" ht="16.8">
      <c r="A5202" s="165"/>
      <c r="B5202" s="171"/>
      <c r="C5202" s="165"/>
    </row>
    <row r="5203" spans="1:3" ht="16.8">
      <c r="A5203" s="165"/>
      <c r="B5203" s="171"/>
      <c r="C5203" s="165"/>
    </row>
    <row r="5204" spans="1:3" ht="16.8">
      <c r="A5204" s="165"/>
      <c r="B5204" s="171"/>
      <c r="C5204" s="165"/>
    </row>
    <row r="5205" spans="1:3" ht="16.8">
      <c r="A5205" s="165"/>
      <c r="B5205" s="171"/>
      <c r="C5205" s="165"/>
    </row>
    <row r="5206" spans="1:3" ht="16.8">
      <c r="A5206" s="165"/>
      <c r="B5206" s="171"/>
      <c r="C5206" s="165"/>
    </row>
    <row r="5207" spans="1:3" ht="16.8">
      <c r="A5207" s="165"/>
      <c r="B5207" s="171"/>
      <c r="C5207" s="165"/>
    </row>
    <row r="5208" spans="1:3" ht="16.8">
      <c r="A5208" s="165"/>
      <c r="B5208" s="171"/>
      <c r="C5208" s="165"/>
    </row>
    <row r="5209" spans="1:3" ht="16.8">
      <c r="A5209" s="165"/>
      <c r="B5209" s="171"/>
      <c r="C5209" s="165"/>
    </row>
    <row r="5210" spans="1:3" ht="16.8">
      <c r="A5210" s="165"/>
      <c r="B5210" s="171"/>
      <c r="C5210" s="165"/>
    </row>
    <row r="5211" spans="1:3" ht="16.8">
      <c r="A5211" s="165"/>
      <c r="B5211" s="171"/>
      <c r="C5211" s="165"/>
    </row>
    <row r="5212" spans="1:3" ht="16.8">
      <c r="A5212" s="165"/>
      <c r="B5212" s="171"/>
      <c r="C5212" s="165"/>
    </row>
    <row r="5213" spans="1:3" ht="16.8">
      <c r="A5213" s="165"/>
      <c r="B5213" s="171"/>
      <c r="C5213" s="165"/>
    </row>
    <row r="5214" spans="1:3" ht="16.8">
      <c r="A5214" s="165"/>
      <c r="B5214" s="171"/>
      <c r="C5214" s="165"/>
    </row>
    <row r="5215" spans="1:3" ht="16.8">
      <c r="A5215" s="165"/>
      <c r="B5215" s="171"/>
      <c r="C5215" s="165"/>
    </row>
    <row r="5216" spans="1:3" ht="16.8">
      <c r="A5216" s="165"/>
      <c r="B5216" s="171"/>
      <c r="C5216" s="165"/>
    </row>
    <row r="5217" spans="1:3" ht="16.8">
      <c r="A5217" s="165"/>
      <c r="B5217" s="171"/>
      <c r="C5217" s="165"/>
    </row>
    <row r="5218" spans="1:3" ht="16.8">
      <c r="A5218" s="165"/>
      <c r="B5218" s="171"/>
      <c r="C5218" s="165"/>
    </row>
    <row r="5219" spans="1:3" ht="16.8">
      <c r="A5219" s="165"/>
      <c r="B5219" s="171"/>
      <c r="C5219" s="165"/>
    </row>
    <row r="5220" spans="1:3" ht="16.8">
      <c r="A5220" s="165"/>
      <c r="B5220" s="171"/>
      <c r="C5220" s="165"/>
    </row>
    <row r="5221" spans="1:3" ht="16.8">
      <c r="A5221" s="165"/>
      <c r="B5221" s="171"/>
      <c r="C5221" s="165"/>
    </row>
    <row r="5222" spans="1:3" ht="16.8">
      <c r="A5222" s="165"/>
      <c r="B5222" s="171"/>
      <c r="C5222" s="165"/>
    </row>
    <row r="5223" spans="1:3" ht="16.8">
      <c r="A5223" s="165"/>
      <c r="B5223" s="171"/>
      <c r="C5223" s="165"/>
    </row>
    <row r="5224" spans="1:3" ht="16.8">
      <c r="A5224" s="165"/>
      <c r="B5224" s="171"/>
      <c r="C5224" s="165"/>
    </row>
    <row r="5225" spans="1:3" ht="16.8">
      <c r="A5225" s="165"/>
      <c r="B5225" s="171"/>
      <c r="C5225" s="165"/>
    </row>
    <row r="5226" spans="1:3" ht="16.8">
      <c r="A5226" s="165"/>
      <c r="B5226" s="171"/>
      <c r="C5226" s="165"/>
    </row>
    <row r="5227" spans="1:3" ht="16.8">
      <c r="A5227" s="165"/>
      <c r="B5227" s="171"/>
      <c r="C5227" s="165"/>
    </row>
    <row r="5228" spans="1:3" ht="16.8">
      <c r="A5228" s="165"/>
      <c r="B5228" s="171"/>
      <c r="C5228" s="165"/>
    </row>
    <row r="5229" spans="1:3" ht="16.8">
      <c r="A5229" s="165"/>
      <c r="B5229" s="171"/>
      <c r="C5229" s="165"/>
    </row>
    <row r="5230" spans="1:3" ht="16.8">
      <c r="A5230" s="165"/>
      <c r="B5230" s="171"/>
      <c r="C5230" s="165"/>
    </row>
    <row r="5231" spans="1:3" ht="16.8">
      <c r="A5231" s="165"/>
      <c r="B5231" s="171"/>
      <c r="C5231" s="165"/>
    </row>
    <row r="5232" spans="1:3" ht="16.8">
      <c r="A5232" s="165"/>
      <c r="B5232" s="171"/>
      <c r="C5232" s="165"/>
    </row>
    <row r="5233" spans="1:3" ht="16.8">
      <c r="A5233" s="165"/>
      <c r="B5233" s="171"/>
      <c r="C5233" s="165"/>
    </row>
    <row r="5234" spans="1:3" ht="16.8">
      <c r="A5234" s="165"/>
      <c r="B5234" s="171"/>
      <c r="C5234" s="165"/>
    </row>
    <row r="5235" spans="1:3" ht="16.8">
      <c r="A5235" s="165"/>
      <c r="B5235" s="171"/>
      <c r="C5235" s="165"/>
    </row>
    <row r="5236" spans="1:3" ht="16.8">
      <c r="A5236" s="165"/>
      <c r="B5236" s="171"/>
      <c r="C5236" s="165"/>
    </row>
    <row r="5237" spans="1:3" ht="16.8">
      <c r="A5237" s="165"/>
      <c r="B5237" s="171"/>
      <c r="C5237" s="165"/>
    </row>
    <row r="5238" spans="1:3" ht="16.8">
      <c r="A5238" s="165"/>
      <c r="B5238" s="171"/>
      <c r="C5238" s="165"/>
    </row>
    <row r="5239" spans="1:3" ht="16.8">
      <c r="A5239" s="165"/>
      <c r="B5239" s="171"/>
      <c r="C5239" s="165"/>
    </row>
    <row r="5240" spans="1:3" ht="16.8">
      <c r="A5240" s="165"/>
      <c r="B5240" s="171"/>
      <c r="C5240" s="165"/>
    </row>
    <row r="5241" spans="1:3" ht="16.8">
      <c r="A5241" s="165"/>
      <c r="B5241" s="171"/>
      <c r="C5241" s="165"/>
    </row>
    <row r="5242" spans="1:3" ht="16.8">
      <c r="A5242" s="165"/>
      <c r="B5242" s="171"/>
      <c r="C5242" s="165"/>
    </row>
    <row r="5243" spans="1:3" ht="16.8">
      <c r="A5243" s="165"/>
      <c r="B5243" s="171"/>
      <c r="C5243" s="165"/>
    </row>
    <row r="5244" spans="1:3" ht="16.8">
      <c r="A5244" s="165"/>
      <c r="B5244" s="171"/>
      <c r="C5244" s="165"/>
    </row>
    <row r="5245" spans="1:3" ht="16.8">
      <c r="A5245" s="165"/>
      <c r="B5245" s="171"/>
      <c r="C5245" s="165"/>
    </row>
    <row r="5246" spans="1:3" ht="16.8">
      <c r="A5246" s="165"/>
      <c r="B5246" s="171"/>
      <c r="C5246" s="165"/>
    </row>
    <row r="5247" spans="1:3" ht="16.8">
      <c r="A5247" s="165"/>
      <c r="B5247" s="171"/>
      <c r="C5247" s="165"/>
    </row>
    <row r="5248" spans="1:3" ht="16.8">
      <c r="A5248" s="165"/>
      <c r="B5248" s="171"/>
      <c r="C5248" s="165"/>
    </row>
    <row r="5249" spans="1:3" ht="16.8">
      <c r="A5249" s="165"/>
      <c r="B5249" s="171"/>
      <c r="C5249" s="165"/>
    </row>
    <row r="5250" spans="1:3" ht="16.8">
      <c r="A5250" s="165"/>
      <c r="B5250" s="171"/>
      <c r="C5250" s="165"/>
    </row>
    <row r="5251" spans="1:3" ht="16.8">
      <c r="A5251" s="165"/>
      <c r="B5251" s="171"/>
      <c r="C5251" s="165"/>
    </row>
    <row r="5252" spans="1:3" ht="16.8">
      <c r="A5252" s="165"/>
      <c r="B5252" s="171"/>
      <c r="C5252" s="165"/>
    </row>
    <row r="5253" spans="1:3" ht="16.8">
      <c r="A5253" s="165"/>
      <c r="B5253" s="171"/>
      <c r="C5253" s="165"/>
    </row>
    <row r="5254" spans="1:3" ht="16.8">
      <c r="A5254" s="165"/>
      <c r="B5254" s="171"/>
      <c r="C5254" s="165"/>
    </row>
    <row r="5255" spans="1:3" ht="16.8">
      <c r="A5255" s="165"/>
      <c r="B5255" s="171"/>
      <c r="C5255" s="165"/>
    </row>
    <row r="5256" spans="1:3" ht="16.8">
      <c r="A5256" s="165"/>
      <c r="B5256" s="171"/>
      <c r="C5256" s="165"/>
    </row>
    <row r="5257" spans="1:3" ht="16.8">
      <c r="A5257" s="165"/>
      <c r="B5257" s="171"/>
      <c r="C5257" s="165"/>
    </row>
    <row r="5258" spans="1:3" ht="16.8">
      <c r="A5258" s="165"/>
      <c r="B5258" s="171"/>
      <c r="C5258" s="165"/>
    </row>
    <row r="5259" spans="1:3" ht="16.8">
      <c r="A5259" s="165"/>
      <c r="B5259" s="171"/>
      <c r="C5259" s="165"/>
    </row>
    <row r="5260" spans="1:3" ht="16.8">
      <c r="A5260" s="165"/>
      <c r="B5260" s="171"/>
      <c r="C5260" s="165"/>
    </row>
    <row r="5261" spans="1:3" ht="16.8">
      <c r="A5261" s="165"/>
      <c r="B5261" s="171"/>
      <c r="C5261" s="165"/>
    </row>
    <row r="5262" spans="1:3" ht="16.8">
      <c r="A5262" s="165"/>
      <c r="B5262" s="171"/>
      <c r="C5262" s="165"/>
    </row>
    <row r="5263" spans="1:3" ht="16.8">
      <c r="A5263" s="165"/>
      <c r="B5263" s="171"/>
      <c r="C5263" s="165"/>
    </row>
    <row r="5264" spans="1:3" ht="16.8">
      <c r="A5264" s="165"/>
      <c r="B5264" s="171"/>
      <c r="C5264" s="165"/>
    </row>
    <row r="5265" spans="1:3" ht="16.8">
      <c r="A5265" s="165"/>
      <c r="B5265" s="171"/>
      <c r="C5265" s="165"/>
    </row>
    <row r="5266" spans="1:3" ht="16.8">
      <c r="A5266" s="165"/>
      <c r="B5266" s="171"/>
      <c r="C5266" s="165"/>
    </row>
    <row r="5267" spans="1:3" ht="16.8">
      <c r="A5267" s="165"/>
      <c r="B5267" s="171"/>
      <c r="C5267" s="165"/>
    </row>
    <row r="5268" spans="1:3" ht="16.8">
      <c r="A5268" s="165"/>
      <c r="B5268" s="171"/>
      <c r="C5268" s="165"/>
    </row>
    <row r="5269" spans="1:3" ht="16.8">
      <c r="A5269" s="165"/>
      <c r="B5269" s="171"/>
      <c r="C5269" s="165"/>
    </row>
    <row r="5270" spans="1:3" ht="16.8">
      <c r="A5270" s="165"/>
      <c r="B5270" s="171"/>
      <c r="C5270" s="165"/>
    </row>
    <row r="5271" spans="1:3" ht="16.8">
      <c r="A5271" s="165"/>
      <c r="B5271" s="171"/>
      <c r="C5271" s="165"/>
    </row>
    <row r="5272" spans="1:3" ht="16.8">
      <c r="A5272" s="165"/>
      <c r="B5272" s="171"/>
      <c r="C5272" s="165"/>
    </row>
    <row r="5273" spans="1:3" ht="16.8">
      <c r="A5273" s="165"/>
      <c r="B5273" s="171"/>
      <c r="C5273" s="165"/>
    </row>
    <row r="5274" spans="1:3" ht="16.8">
      <c r="A5274" s="165"/>
      <c r="B5274" s="171"/>
      <c r="C5274" s="165"/>
    </row>
    <row r="5275" spans="1:3" ht="16.8">
      <c r="A5275" s="165"/>
      <c r="B5275" s="171"/>
      <c r="C5275" s="165"/>
    </row>
    <row r="5276" spans="1:3" ht="16.8">
      <c r="A5276" s="165"/>
      <c r="B5276" s="171"/>
      <c r="C5276" s="165"/>
    </row>
    <row r="5277" spans="1:3" ht="16.8">
      <c r="A5277" s="165"/>
      <c r="B5277" s="171"/>
      <c r="C5277" s="165"/>
    </row>
    <row r="5278" spans="1:3" ht="16.8">
      <c r="A5278" s="165"/>
      <c r="B5278" s="171"/>
      <c r="C5278" s="165"/>
    </row>
    <row r="5279" spans="1:3" ht="16.8">
      <c r="A5279" s="165"/>
      <c r="B5279" s="171"/>
      <c r="C5279" s="165"/>
    </row>
    <row r="5280" spans="1:3" ht="16.8">
      <c r="A5280" s="165"/>
      <c r="B5280" s="171"/>
      <c r="C5280" s="165"/>
    </row>
    <row r="5281" spans="1:3" ht="16.8">
      <c r="A5281" s="165"/>
      <c r="B5281" s="171"/>
      <c r="C5281" s="165"/>
    </row>
    <row r="5282" spans="1:3" ht="16.8">
      <c r="A5282" s="165"/>
      <c r="B5282" s="171"/>
      <c r="C5282" s="165"/>
    </row>
    <row r="5283" spans="1:3" ht="16.8">
      <c r="A5283" s="165"/>
      <c r="B5283" s="171"/>
      <c r="C5283" s="165"/>
    </row>
    <row r="5284" spans="1:3" ht="16.8">
      <c r="A5284" s="165"/>
      <c r="B5284" s="171"/>
      <c r="C5284" s="165"/>
    </row>
    <row r="5285" spans="1:3" ht="16.8">
      <c r="A5285" s="165"/>
      <c r="B5285" s="171"/>
      <c r="C5285" s="165"/>
    </row>
    <row r="5286" spans="1:3" ht="16.8">
      <c r="A5286" s="165"/>
      <c r="B5286" s="171"/>
      <c r="C5286" s="165"/>
    </row>
    <row r="5287" spans="1:3" ht="16.8">
      <c r="A5287" s="165"/>
      <c r="B5287" s="171"/>
      <c r="C5287" s="165"/>
    </row>
    <row r="5288" spans="1:3" ht="16.8">
      <c r="A5288" s="165"/>
      <c r="B5288" s="171"/>
      <c r="C5288" s="165"/>
    </row>
    <row r="5289" spans="1:3" ht="16.8">
      <c r="A5289" s="165"/>
      <c r="B5289" s="171"/>
      <c r="C5289" s="165"/>
    </row>
    <row r="5290" spans="1:3" ht="16.8">
      <c r="A5290" s="165"/>
      <c r="B5290" s="171"/>
      <c r="C5290" s="165"/>
    </row>
    <row r="5291" spans="1:3" ht="16.8">
      <c r="A5291" s="165"/>
      <c r="B5291" s="171"/>
      <c r="C5291" s="165"/>
    </row>
    <row r="5292" spans="1:3" ht="16.8">
      <c r="A5292" s="165"/>
      <c r="B5292" s="171"/>
      <c r="C5292" s="165"/>
    </row>
    <row r="5293" spans="1:3" ht="16.8">
      <c r="A5293" s="165"/>
      <c r="B5293" s="171"/>
      <c r="C5293" s="165"/>
    </row>
    <row r="5294" spans="1:3" ht="16.8">
      <c r="A5294" s="165"/>
      <c r="B5294" s="171"/>
      <c r="C5294" s="165"/>
    </row>
    <row r="5295" spans="1:3" ht="16.8">
      <c r="A5295" s="165"/>
      <c r="B5295" s="171"/>
      <c r="C5295" s="165"/>
    </row>
    <row r="5296" spans="1:3" ht="16.8">
      <c r="A5296" s="165"/>
      <c r="B5296" s="171"/>
      <c r="C5296" s="165"/>
    </row>
    <row r="5297" spans="1:3" ht="16.8">
      <c r="A5297" s="165"/>
      <c r="B5297" s="171"/>
      <c r="C5297" s="165"/>
    </row>
    <row r="5298" spans="1:3" ht="16.8">
      <c r="A5298" s="165"/>
      <c r="B5298" s="171"/>
      <c r="C5298" s="165"/>
    </row>
    <row r="5299" spans="1:3" ht="16.8">
      <c r="A5299" s="165"/>
      <c r="B5299" s="171"/>
      <c r="C5299" s="165"/>
    </row>
    <row r="5300" spans="1:3" ht="16.8">
      <c r="A5300" s="165"/>
      <c r="B5300" s="171"/>
      <c r="C5300" s="165"/>
    </row>
    <row r="5301" spans="1:3" ht="16.8">
      <c r="A5301" s="165"/>
      <c r="B5301" s="171"/>
      <c r="C5301" s="165"/>
    </row>
    <row r="5302" spans="1:3" ht="16.8">
      <c r="A5302" s="165"/>
      <c r="B5302" s="171"/>
      <c r="C5302" s="165"/>
    </row>
    <row r="5303" spans="1:3" ht="16.8">
      <c r="A5303" s="165"/>
      <c r="B5303" s="171"/>
      <c r="C5303" s="165"/>
    </row>
    <row r="5304" spans="1:3" ht="16.8">
      <c r="A5304" s="165"/>
      <c r="B5304" s="171"/>
      <c r="C5304" s="165"/>
    </row>
    <row r="5305" spans="1:3" ht="16.8">
      <c r="A5305" s="165"/>
      <c r="B5305" s="171"/>
      <c r="C5305" s="165"/>
    </row>
    <row r="5306" spans="1:3" ht="16.8">
      <c r="A5306" s="165"/>
      <c r="B5306" s="171"/>
      <c r="C5306" s="165"/>
    </row>
    <row r="5307" spans="1:3" ht="16.8">
      <c r="A5307" s="165"/>
      <c r="B5307" s="171"/>
      <c r="C5307" s="165"/>
    </row>
    <row r="5308" spans="1:3" ht="16.8">
      <c r="A5308" s="165"/>
      <c r="B5308" s="171"/>
      <c r="C5308" s="165"/>
    </row>
    <row r="5309" spans="1:3" ht="16.8">
      <c r="A5309" s="165"/>
      <c r="B5309" s="171"/>
      <c r="C5309" s="165"/>
    </row>
    <row r="5310" spans="1:3" ht="16.8">
      <c r="A5310" s="165"/>
      <c r="B5310" s="171"/>
      <c r="C5310" s="165"/>
    </row>
    <row r="5311" spans="1:3" ht="16.8">
      <c r="A5311" s="165"/>
      <c r="B5311" s="171"/>
      <c r="C5311" s="165"/>
    </row>
    <row r="5312" spans="1:3" ht="16.8">
      <c r="A5312" s="165"/>
      <c r="B5312" s="171"/>
      <c r="C5312" s="165"/>
    </row>
    <row r="5313" spans="1:3" ht="16.8">
      <c r="A5313" s="165"/>
      <c r="B5313" s="171"/>
      <c r="C5313" s="165"/>
    </row>
    <row r="5314" spans="1:3" ht="16.8">
      <c r="A5314" s="165"/>
      <c r="B5314" s="171"/>
      <c r="C5314" s="165"/>
    </row>
    <row r="5315" spans="1:3" ht="16.8">
      <c r="A5315" s="165"/>
      <c r="B5315" s="171"/>
      <c r="C5315" s="165"/>
    </row>
    <row r="5316" spans="1:3" ht="16.8">
      <c r="A5316" s="165"/>
      <c r="B5316" s="171"/>
      <c r="C5316" s="165"/>
    </row>
    <row r="5317" spans="1:3" ht="16.8">
      <c r="A5317" s="165"/>
      <c r="B5317" s="171"/>
      <c r="C5317" s="165"/>
    </row>
    <row r="5318" spans="1:3" ht="16.8">
      <c r="A5318" s="165"/>
      <c r="B5318" s="171"/>
      <c r="C5318" s="165"/>
    </row>
    <row r="5319" spans="1:3" ht="16.8">
      <c r="A5319" s="165"/>
      <c r="B5319" s="171"/>
      <c r="C5319" s="165"/>
    </row>
    <row r="5320" spans="1:3" ht="16.8">
      <c r="A5320" s="165"/>
      <c r="B5320" s="171"/>
      <c r="C5320" s="165"/>
    </row>
    <row r="5321" spans="1:3" ht="16.8">
      <c r="A5321" s="165"/>
      <c r="B5321" s="171"/>
      <c r="C5321" s="165"/>
    </row>
    <row r="5322" spans="1:3" ht="16.8">
      <c r="A5322" s="165"/>
      <c r="B5322" s="171"/>
      <c r="C5322" s="165"/>
    </row>
    <row r="5323" spans="1:3" ht="16.8">
      <c r="A5323" s="165"/>
      <c r="B5323" s="171"/>
      <c r="C5323" s="165"/>
    </row>
    <row r="5324" spans="1:3" ht="16.8">
      <c r="A5324" s="165"/>
      <c r="B5324" s="171"/>
      <c r="C5324" s="165"/>
    </row>
    <row r="5325" spans="1:3" ht="16.8">
      <c r="A5325" s="165"/>
      <c r="B5325" s="171"/>
      <c r="C5325" s="165"/>
    </row>
    <row r="5326" spans="1:3" ht="16.8">
      <c r="A5326" s="165"/>
      <c r="B5326" s="171"/>
      <c r="C5326" s="165"/>
    </row>
    <row r="5327" spans="1:3" ht="16.8">
      <c r="A5327" s="165"/>
      <c r="B5327" s="171"/>
      <c r="C5327" s="165"/>
    </row>
    <row r="5328" spans="1:3" ht="16.8">
      <c r="A5328" s="165"/>
      <c r="B5328" s="171"/>
      <c r="C5328" s="165"/>
    </row>
    <row r="5329" spans="1:3" ht="16.8">
      <c r="A5329" s="165"/>
      <c r="B5329" s="171"/>
      <c r="C5329" s="165"/>
    </row>
    <row r="5330" spans="1:3" ht="16.8">
      <c r="A5330" s="165"/>
      <c r="B5330" s="171"/>
      <c r="C5330" s="165"/>
    </row>
    <row r="5331" spans="1:3" ht="16.8">
      <c r="A5331" s="165"/>
      <c r="B5331" s="171"/>
      <c r="C5331" s="165"/>
    </row>
    <row r="5332" spans="1:3" ht="16.8">
      <c r="A5332" s="165"/>
      <c r="B5332" s="171"/>
      <c r="C5332" s="165"/>
    </row>
    <row r="5333" spans="1:3" ht="16.8">
      <c r="A5333" s="165"/>
      <c r="B5333" s="171"/>
      <c r="C5333" s="165"/>
    </row>
    <row r="5334" spans="1:3" ht="16.8">
      <c r="A5334" s="165"/>
      <c r="B5334" s="171"/>
      <c r="C5334" s="165"/>
    </row>
    <row r="5335" spans="1:3" ht="16.8">
      <c r="A5335" s="165"/>
      <c r="B5335" s="171"/>
      <c r="C5335" s="165"/>
    </row>
    <row r="5336" spans="1:3" ht="16.8">
      <c r="A5336" s="165"/>
      <c r="B5336" s="171"/>
      <c r="C5336" s="165"/>
    </row>
    <row r="5337" spans="1:3" ht="16.8">
      <c r="A5337" s="165"/>
      <c r="B5337" s="171"/>
      <c r="C5337" s="165"/>
    </row>
    <row r="5338" spans="1:3" ht="16.8">
      <c r="A5338" s="165"/>
      <c r="B5338" s="171"/>
      <c r="C5338" s="165"/>
    </row>
    <row r="5339" spans="1:3" ht="16.8">
      <c r="A5339" s="165"/>
      <c r="B5339" s="171"/>
      <c r="C5339" s="165"/>
    </row>
    <row r="5340" spans="1:3" ht="16.8">
      <c r="A5340" s="165"/>
      <c r="B5340" s="171"/>
      <c r="C5340" s="165"/>
    </row>
    <row r="5341" spans="1:3" ht="16.8">
      <c r="A5341" s="165"/>
      <c r="B5341" s="171"/>
      <c r="C5341" s="165"/>
    </row>
    <row r="5342" spans="1:3" ht="16.8">
      <c r="A5342" s="165"/>
      <c r="B5342" s="171"/>
      <c r="C5342" s="165"/>
    </row>
    <row r="5343" spans="1:3" ht="16.8">
      <c r="A5343" s="165"/>
      <c r="B5343" s="171"/>
      <c r="C5343" s="165"/>
    </row>
    <row r="5344" spans="1:3" ht="16.8">
      <c r="A5344" s="165"/>
      <c r="B5344" s="171"/>
      <c r="C5344" s="165"/>
    </row>
    <row r="5345" spans="1:3" ht="16.8">
      <c r="A5345" s="165"/>
      <c r="B5345" s="171"/>
      <c r="C5345" s="165"/>
    </row>
    <row r="5346" spans="1:3" ht="16.8">
      <c r="A5346" s="165"/>
      <c r="B5346" s="171"/>
      <c r="C5346" s="165"/>
    </row>
    <row r="5347" spans="1:3" ht="16.8">
      <c r="A5347" s="165"/>
      <c r="B5347" s="171"/>
      <c r="C5347" s="165"/>
    </row>
    <row r="5348" spans="1:3" ht="16.8">
      <c r="A5348" s="165"/>
      <c r="B5348" s="171"/>
      <c r="C5348" s="165"/>
    </row>
    <row r="5349" spans="1:3" ht="16.8">
      <c r="A5349" s="165"/>
      <c r="B5349" s="171"/>
      <c r="C5349" s="165"/>
    </row>
    <row r="5350" spans="1:3" ht="16.8">
      <c r="A5350" s="165"/>
      <c r="B5350" s="171"/>
      <c r="C5350" s="165"/>
    </row>
    <row r="5351" spans="1:3" ht="16.8">
      <c r="A5351" s="165"/>
      <c r="B5351" s="171"/>
      <c r="C5351" s="165"/>
    </row>
    <row r="5352" spans="1:3" ht="16.8">
      <c r="A5352" s="165"/>
      <c r="B5352" s="171"/>
      <c r="C5352" s="165"/>
    </row>
    <row r="5353" spans="1:3" ht="16.8">
      <c r="A5353" s="165"/>
      <c r="B5353" s="171"/>
      <c r="C5353" s="165"/>
    </row>
    <row r="5354" spans="1:3" ht="16.8">
      <c r="A5354" s="165"/>
      <c r="B5354" s="171"/>
      <c r="C5354" s="165"/>
    </row>
    <row r="5355" spans="1:3" ht="16.8">
      <c r="A5355" s="165"/>
      <c r="B5355" s="171"/>
      <c r="C5355" s="165"/>
    </row>
    <row r="5356" spans="1:3" ht="16.8">
      <c r="A5356" s="165"/>
      <c r="B5356" s="171"/>
      <c r="C5356" s="165"/>
    </row>
    <row r="5357" spans="1:3" ht="16.8">
      <c r="A5357" s="165"/>
      <c r="B5357" s="171"/>
      <c r="C5357" s="165"/>
    </row>
    <row r="5358" spans="1:3" ht="16.8">
      <c r="A5358" s="165"/>
      <c r="B5358" s="171"/>
      <c r="C5358" s="165"/>
    </row>
    <row r="5359" spans="1:3" ht="16.8">
      <c r="A5359" s="165"/>
      <c r="B5359" s="171"/>
      <c r="C5359" s="165"/>
    </row>
    <row r="5360" spans="1:3" ht="16.8">
      <c r="A5360" s="165"/>
      <c r="B5360" s="171"/>
      <c r="C5360" s="165"/>
    </row>
    <row r="5361" spans="1:3" ht="16.8">
      <c r="A5361" s="165"/>
      <c r="B5361" s="171"/>
      <c r="C5361" s="165"/>
    </row>
    <row r="5362" spans="1:3" ht="16.8">
      <c r="A5362" s="165"/>
      <c r="B5362" s="171"/>
      <c r="C5362" s="165"/>
    </row>
    <row r="5363" spans="1:3" ht="16.8">
      <c r="A5363" s="165"/>
      <c r="B5363" s="171"/>
      <c r="C5363" s="165"/>
    </row>
    <row r="5364" spans="1:3" ht="16.8">
      <c r="A5364" s="165"/>
      <c r="B5364" s="171"/>
      <c r="C5364" s="165"/>
    </row>
    <row r="5365" spans="1:3" ht="16.8">
      <c r="A5365" s="165"/>
      <c r="B5365" s="171"/>
      <c r="C5365" s="165"/>
    </row>
    <row r="5366" spans="1:3" ht="16.8">
      <c r="A5366" s="165"/>
      <c r="B5366" s="171"/>
      <c r="C5366" s="165"/>
    </row>
    <row r="5367" spans="1:3" ht="16.8">
      <c r="A5367" s="165"/>
      <c r="B5367" s="171"/>
      <c r="C5367" s="165"/>
    </row>
    <row r="5368" spans="1:3" ht="16.8">
      <c r="A5368" s="165"/>
      <c r="B5368" s="171"/>
      <c r="C5368" s="165"/>
    </row>
    <row r="5369" spans="1:3" ht="16.8">
      <c r="A5369" s="165"/>
      <c r="B5369" s="171"/>
      <c r="C5369" s="165"/>
    </row>
    <row r="5370" spans="1:3" ht="16.8">
      <c r="A5370" s="165"/>
      <c r="B5370" s="171"/>
      <c r="C5370" s="165"/>
    </row>
    <row r="5371" spans="1:3" ht="16.8">
      <c r="A5371" s="165"/>
      <c r="B5371" s="171"/>
      <c r="C5371" s="165"/>
    </row>
    <row r="5372" spans="1:3" ht="16.8">
      <c r="A5372" s="165"/>
      <c r="B5372" s="171"/>
      <c r="C5372" s="165"/>
    </row>
    <row r="5373" spans="1:3" ht="16.8">
      <c r="A5373" s="165"/>
      <c r="B5373" s="171"/>
      <c r="C5373" s="165"/>
    </row>
    <row r="5374" spans="1:3" ht="16.8">
      <c r="A5374" s="165"/>
      <c r="B5374" s="171"/>
      <c r="C5374" s="165"/>
    </row>
    <row r="5375" spans="1:3" ht="16.8">
      <c r="A5375" s="165"/>
      <c r="B5375" s="171"/>
      <c r="C5375" s="165"/>
    </row>
    <row r="5376" spans="1:3" ht="16.8">
      <c r="A5376" s="165"/>
      <c r="B5376" s="171"/>
      <c r="C5376" s="165"/>
    </row>
    <row r="5377" spans="1:3" ht="16.8">
      <c r="A5377" s="165"/>
      <c r="B5377" s="171"/>
      <c r="C5377" s="165"/>
    </row>
    <row r="5378" spans="1:3" ht="16.8">
      <c r="A5378" s="165"/>
      <c r="B5378" s="171"/>
      <c r="C5378" s="165"/>
    </row>
    <row r="5379" spans="1:3" ht="16.8">
      <c r="A5379" s="165"/>
      <c r="B5379" s="171"/>
      <c r="C5379" s="165"/>
    </row>
    <row r="5380" spans="1:3" ht="16.8">
      <c r="A5380" s="165"/>
      <c r="B5380" s="171"/>
      <c r="C5380" s="165"/>
    </row>
    <row r="5381" spans="1:3" ht="16.8">
      <c r="A5381" s="165"/>
      <c r="B5381" s="171"/>
      <c r="C5381" s="165"/>
    </row>
    <row r="5382" spans="1:3" ht="16.8">
      <c r="A5382" s="165"/>
      <c r="B5382" s="171"/>
      <c r="C5382" s="165"/>
    </row>
    <row r="5383" spans="1:3" ht="16.8">
      <c r="A5383" s="165"/>
      <c r="B5383" s="171"/>
      <c r="C5383" s="165"/>
    </row>
    <row r="5384" spans="1:3" ht="16.8">
      <c r="A5384" s="165"/>
      <c r="B5384" s="171"/>
      <c r="C5384" s="165"/>
    </row>
    <row r="5385" spans="1:3" ht="16.8">
      <c r="A5385" s="165"/>
      <c r="B5385" s="171"/>
      <c r="C5385" s="165"/>
    </row>
    <row r="5386" spans="1:3" ht="16.8">
      <c r="A5386" s="165"/>
      <c r="B5386" s="171"/>
      <c r="C5386" s="165"/>
    </row>
    <row r="5387" spans="1:3" ht="16.8">
      <c r="A5387" s="165"/>
      <c r="B5387" s="171"/>
      <c r="C5387" s="165"/>
    </row>
    <row r="5388" spans="1:3" ht="16.8">
      <c r="A5388" s="165"/>
      <c r="B5388" s="171"/>
      <c r="C5388" s="165"/>
    </row>
    <row r="5389" spans="1:3" ht="16.8">
      <c r="A5389" s="165"/>
      <c r="B5389" s="171"/>
      <c r="C5389" s="165"/>
    </row>
    <row r="5390" spans="1:3" ht="16.8">
      <c r="A5390" s="165"/>
      <c r="B5390" s="171"/>
      <c r="C5390" s="165"/>
    </row>
    <row r="5391" spans="1:3" ht="16.8">
      <c r="A5391" s="165"/>
      <c r="B5391" s="171"/>
      <c r="C5391" s="165"/>
    </row>
    <row r="5392" spans="1:3" ht="16.8">
      <c r="A5392" s="165"/>
      <c r="B5392" s="171"/>
      <c r="C5392" s="165"/>
    </row>
    <row r="5393" spans="1:3" ht="16.8">
      <c r="A5393" s="165"/>
      <c r="B5393" s="171"/>
      <c r="C5393" s="165"/>
    </row>
    <row r="5394" spans="1:3" ht="16.8">
      <c r="A5394" s="165"/>
      <c r="B5394" s="171"/>
      <c r="C5394" s="165"/>
    </row>
    <row r="5395" spans="1:3" ht="16.8">
      <c r="A5395" s="165"/>
      <c r="B5395" s="171"/>
      <c r="C5395" s="165"/>
    </row>
    <row r="5396" spans="1:3" ht="16.8">
      <c r="A5396" s="165"/>
      <c r="B5396" s="171"/>
      <c r="C5396" s="165"/>
    </row>
    <row r="5397" spans="1:3" ht="16.8">
      <c r="A5397" s="165"/>
      <c r="B5397" s="171"/>
      <c r="C5397" s="165"/>
    </row>
    <row r="5398" spans="1:3" ht="16.8">
      <c r="A5398" s="165"/>
      <c r="B5398" s="171"/>
      <c r="C5398" s="165"/>
    </row>
    <row r="5399" spans="1:3" ht="16.8">
      <c r="A5399" s="165"/>
      <c r="B5399" s="171"/>
      <c r="C5399" s="165"/>
    </row>
    <row r="5400" spans="1:3" ht="16.8">
      <c r="A5400" s="165"/>
      <c r="B5400" s="171"/>
      <c r="C5400" s="165"/>
    </row>
    <row r="5401" spans="1:3" ht="16.8">
      <c r="A5401" s="165"/>
      <c r="B5401" s="171"/>
      <c r="C5401" s="165"/>
    </row>
    <row r="5402" spans="1:3" ht="16.8">
      <c r="A5402" s="165"/>
      <c r="B5402" s="171"/>
      <c r="C5402" s="165"/>
    </row>
    <row r="5403" spans="1:3" ht="16.8">
      <c r="A5403" s="165"/>
      <c r="B5403" s="171"/>
      <c r="C5403" s="165"/>
    </row>
    <row r="5404" spans="1:3" ht="16.8">
      <c r="A5404" s="165"/>
      <c r="B5404" s="171"/>
      <c r="C5404" s="165"/>
    </row>
    <row r="5405" spans="1:3" ht="16.8">
      <c r="A5405" s="165"/>
      <c r="B5405" s="171"/>
      <c r="C5405" s="165"/>
    </row>
    <row r="5406" spans="1:3" ht="16.8">
      <c r="A5406" s="165"/>
      <c r="B5406" s="171"/>
      <c r="C5406" s="165"/>
    </row>
    <row r="5407" spans="1:3" ht="16.8">
      <c r="A5407" s="165"/>
      <c r="B5407" s="171"/>
      <c r="C5407" s="165"/>
    </row>
    <row r="5408" spans="1:3" ht="16.8">
      <c r="A5408" s="165"/>
      <c r="B5408" s="171"/>
      <c r="C5408" s="165"/>
    </row>
    <row r="5409" spans="1:3" ht="16.8">
      <c r="A5409" s="165"/>
      <c r="B5409" s="171"/>
      <c r="C5409" s="165"/>
    </row>
    <row r="5410" spans="1:3" ht="16.8">
      <c r="A5410" s="165"/>
      <c r="B5410" s="171"/>
      <c r="C5410" s="165"/>
    </row>
    <row r="5411" spans="1:3" ht="16.8">
      <c r="A5411" s="165"/>
      <c r="B5411" s="171"/>
      <c r="C5411" s="165"/>
    </row>
    <row r="5412" spans="1:3" ht="16.8">
      <c r="A5412" s="165"/>
      <c r="B5412" s="171"/>
      <c r="C5412" s="165"/>
    </row>
    <row r="5413" spans="1:3" ht="16.8">
      <c r="A5413" s="165"/>
      <c r="B5413" s="171"/>
      <c r="C5413" s="165"/>
    </row>
    <row r="5414" spans="1:3" ht="16.8">
      <c r="A5414" s="165"/>
      <c r="B5414" s="171"/>
      <c r="C5414" s="165"/>
    </row>
    <row r="5415" spans="1:3" ht="16.8">
      <c r="A5415" s="165"/>
      <c r="B5415" s="171"/>
      <c r="C5415" s="165"/>
    </row>
    <row r="5416" spans="1:3" ht="16.8">
      <c r="A5416" s="165"/>
      <c r="B5416" s="171"/>
      <c r="C5416" s="165"/>
    </row>
    <row r="5417" spans="1:3" ht="16.8">
      <c r="A5417" s="165"/>
      <c r="B5417" s="171"/>
      <c r="C5417" s="165"/>
    </row>
    <row r="5418" spans="1:3" ht="16.8">
      <c r="A5418" s="165"/>
      <c r="B5418" s="171"/>
      <c r="C5418" s="165"/>
    </row>
    <row r="5419" spans="1:3" ht="16.8">
      <c r="A5419" s="165"/>
      <c r="B5419" s="171"/>
      <c r="C5419" s="165"/>
    </row>
    <row r="5420" spans="1:3" ht="16.8">
      <c r="A5420" s="165"/>
      <c r="B5420" s="171"/>
      <c r="C5420" s="165"/>
    </row>
    <row r="5421" spans="1:3" ht="16.8">
      <c r="A5421" s="165"/>
      <c r="B5421" s="171"/>
      <c r="C5421" s="165"/>
    </row>
    <row r="5422" spans="1:3" ht="16.8">
      <c r="A5422" s="165"/>
      <c r="B5422" s="171"/>
      <c r="C5422" s="165"/>
    </row>
    <row r="5423" spans="1:3" ht="16.8">
      <c r="A5423" s="165"/>
      <c r="B5423" s="171"/>
      <c r="C5423" s="165"/>
    </row>
    <row r="5424" spans="1:3" ht="16.8">
      <c r="A5424" s="165"/>
      <c r="B5424" s="171"/>
      <c r="C5424" s="165"/>
    </row>
    <row r="5425" spans="1:3" ht="16.8">
      <c r="A5425" s="165"/>
      <c r="B5425" s="171"/>
      <c r="C5425" s="165"/>
    </row>
    <row r="5426" spans="1:3" ht="16.8">
      <c r="A5426" s="165"/>
      <c r="B5426" s="171"/>
      <c r="C5426" s="165"/>
    </row>
    <row r="5427" spans="1:3" ht="16.8">
      <c r="A5427" s="165"/>
      <c r="B5427" s="171"/>
      <c r="C5427" s="165"/>
    </row>
    <row r="5428" spans="1:3" ht="16.8">
      <c r="A5428" s="165"/>
      <c r="B5428" s="171"/>
      <c r="C5428" s="165"/>
    </row>
    <row r="5429" spans="1:3" ht="16.8">
      <c r="A5429" s="165"/>
      <c r="B5429" s="171"/>
      <c r="C5429" s="165"/>
    </row>
    <row r="5430" spans="1:3" ht="16.8">
      <c r="A5430" s="165"/>
      <c r="B5430" s="171"/>
      <c r="C5430" s="165"/>
    </row>
    <row r="5431" spans="1:3" ht="16.8">
      <c r="A5431" s="165"/>
      <c r="B5431" s="171"/>
      <c r="C5431" s="165"/>
    </row>
    <row r="5432" spans="1:3" ht="16.8">
      <c r="A5432" s="165"/>
      <c r="B5432" s="171"/>
      <c r="C5432" s="165"/>
    </row>
    <row r="5433" spans="1:3" ht="16.8">
      <c r="A5433" s="165"/>
      <c r="B5433" s="171"/>
      <c r="C5433" s="165"/>
    </row>
    <row r="5434" spans="1:3" ht="16.8">
      <c r="A5434" s="165"/>
      <c r="B5434" s="171"/>
      <c r="C5434" s="165"/>
    </row>
    <row r="5435" spans="1:3" ht="16.8">
      <c r="A5435" s="165"/>
      <c r="B5435" s="171"/>
      <c r="C5435" s="165"/>
    </row>
    <row r="5436" spans="1:3" ht="16.8">
      <c r="A5436" s="165"/>
      <c r="B5436" s="171"/>
      <c r="C5436" s="165"/>
    </row>
    <row r="5437" spans="1:3" ht="16.8">
      <c r="A5437" s="165"/>
      <c r="B5437" s="171"/>
      <c r="C5437" s="165"/>
    </row>
    <row r="5438" spans="1:3" ht="16.8">
      <c r="A5438" s="165"/>
      <c r="B5438" s="171"/>
      <c r="C5438" s="165"/>
    </row>
    <row r="5439" spans="1:3" ht="16.8">
      <c r="A5439" s="165"/>
      <c r="B5439" s="171"/>
      <c r="C5439" s="165"/>
    </row>
    <row r="5440" spans="1:3" ht="16.8">
      <c r="A5440" s="165"/>
      <c r="B5440" s="171"/>
      <c r="C5440" s="165"/>
    </row>
    <row r="5441" spans="1:3" ht="16.8">
      <c r="A5441" s="165"/>
      <c r="B5441" s="171"/>
      <c r="C5441" s="165"/>
    </row>
    <row r="5442" spans="1:3" ht="16.8">
      <c r="A5442" s="165"/>
      <c r="B5442" s="171"/>
      <c r="C5442" s="165"/>
    </row>
    <row r="5443" spans="1:3" ht="16.8">
      <c r="A5443" s="165"/>
      <c r="B5443" s="171"/>
      <c r="C5443" s="165"/>
    </row>
    <row r="5444" spans="1:3" ht="16.8">
      <c r="A5444" s="165"/>
      <c r="B5444" s="171"/>
      <c r="C5444" s="165"/>
    </row>
    <row r="5445" spans="1:3" ht="16.8">
      <c r="A5445" s="165"/>
      <c r="B5445" s="171"/>
      <c r="C5445" s="165"/>
    </row>
    <row r="5446" spans="1:3" ht="16.8">
      <c r="A5446" s="165"/>
      <c r="B5446" s="171"/>
      <c r="C5446" s="165"/>
    </row>
    <row r="5447" spans="1:3" ht="16.8">
      <c r="A5447" s="165"/>
      <c r="B5447" s="171"/>
      <c r="C5447" s="165"/>
    </row>
    <row r="5448" spans="1:3" ht="16.8">
      <c r="A5448" s="165"/>
      <c r="B5448" s="171"/>
      <c r="C5448" s="165"/>
    </row>
    <row r="5449" spans="1:3" ht="16.8">
      <c r="A5449" s="165"/>
      <c r="B5449" s="171"/>
      <c r="C5449" s="165"/>
    </row>
    <row r="5450" spans="1:3" ht="16.8">
      <c r="A5450" s="165"/>
      <c r="B5450" s="171"/>
      <c r="C5450" s="165"/>
    </row>
    <row r="5451" spans="1:3" ht="16.8">
      <c r="A5451" s="165"/>
      <c r="B5451" s="171"/>
      <c r="C5451" s="165"/>
    </row>
    <row r="5452" spans="1:3" ht="16.8">
      <c r="A5452" s="165"/>
      <c r="B5452" s="171"/>
      <c r="C5452" s="165"/>
    </row>
    <row r="5453" spans="1:3" ht="16.8">
      <c r="A5453" s="165"/>
      <c r="B5453" s="171"/>
      <c r="C5453" s="165"/>
    </row>
    <row r="5454" spans="1:3" ht="16.8">
      <c r="A5454" s="165"/>
      <c r="B5454" s="171"/>
      <c r="C5454" s="165"/>
    </row>
    <row r="5455" spans="1:3" ht="16.8">
      <c r="A5455" s="165"/>
      <c r="B5455" s="171"/>
      <c r="C5455" s="165"/>
    </row>
    <row r="5456" spans="1:3" ht="16.8">
      <c r="A5456" s="165"/>
      <c r="B5456" s="171"/>
      <c r="C5456" s="165"/>
    </row>
    <row r="5457" spans="1:3" ht="16.8">
      <c r="A5457" s="165"/>
      <c r="B5457" s="171"/>
      <c r="C5457" s="165"/>
    </row>
    <row r="5458" spans="1:3" ht="16.8">
      <c r="A5458" s="165"/>
      <c r="B5458" s="171"/>
      <c r="C5458" s="165"/>
    </row>
    <row r="5459" spans="1:3" ht="16.8">
      <c r="A5459" s="165"/>
      <c r="B5459" s="171"/>
      <c r="C5459" s="165"/>
    </row>
    <row r="5460" spans="1:3" ht="16.8">
      <c r="A5460" s="165"/>
      <c r="B5460" s="171"/>
      <c r="C5460" s="165"/>
    </row>
    <row r="5461" spans="1:3" ht="16.8">
      <c r="A5461" s="165"/>
      <c r="B5461" s="171"/>
      <c r="C5461" s="165"/>
    </row>
    <row r="5462" spans="1:3" ht="16.8">
      <c r="A5462" s="165"/>
      <c r="B5462" s="171"/>
      <c r="C5462" s="165"/>
    </row>
    <row r="5463" spans="1:3" ht="16.8">
      <c r="A5463" s="165"/>
      <c r="B5463" s="171"/>
      <c r="C5463" s="165"/>
    </row>
    <row r="5464" spans="1:3" ht="16.8">
      <c r="A5464" s="165"/>
      <c r="B5464" s="171"/>
      <c r="C5464" s="165"/>
    </row>
    <row r="5465" spans="1:3" ht="16.8">
      <c r="A5465" s="165"/>
      <c r="B5465" s="171"/>
      <c r="C5465" s="165"/>
    </row>
    <row r="5466" spans="1:3" ht="16.8">
      <c r="A5466" s="165"/>
      <c r="B5466" s="171"/>
      <c r="C5466" s="165"/>
    </row>
    <row r="5467" spans="1:3" ht="16.8">
      <c r="A5467" s="165"/>
      <c r="B5467" s="171"/>
      <c r="C5467" s="165"/>
    </row>
    <row r="5468" spans="1:3" ht="16.8">
      <c r="A5468" s="165"/>
      <c r="B5468" s="171"/>
      <c r="C5468" s="165"/>
    </row>
    <row r="5469" spans="1:3" ht="16.8">
      <c r="A5469" s="165"/>
      <c r="B5469" s="171"/>
      <c r="C5469" s="165"/>
    </row>
    <row r="5470" spans="1:3" ht="16.8">
      <c r="A5470" s="165"/>
      <c r="B5470" s="171"/>
      <c r="C5470" s="165"/>
    </row>
    <row r="5471" spans="1:3" ht="16.8">
      <c r="A5471" s="165"/>
      <c r="B5471" s="171"/>
      <c r="C5471" s="165"/>
    </row>
    <row r="5472" spans="1:3" ht="16.8">
      <c r="A5472" s="165"/>
      <c r="B5472" s="171"/>
      <c r="C5472" s="165"/>
    </row>
    <row r="5473" spans="1:3" ht="16.8">
      <c r="A5473" s="165"/>
      <c r="B5473" s="171"/>
      <c r="C5473" s="165"/>
    </row>
    <row r="5474" spans="1:3" ht="16.8">
      <c r="A5474" s="165"/>
      <c r="B5474" s="171"/>
      <c r="C5474" s="165"/>
    </row>
    <row r="5475" spans="1:3" ht="16.8">
      <c r="A5475" s="165"/>
      <c r="B5475" s="171"/>
      <c r="C5475" s="165"/>
    </row>
    <row r="5476" spans="1:3" ht="16.8">
      <c r="A5476" s="165"/>
      <c r="B5476" s="171"/>
      <c r="C5476" s="165"/>
    </row>
    <row r="5477" spans="1:3" ht="16.8">
      <c r="A5477" s="165"/>
      <c r="B5477" s="171"/>
      <c r="C5477" s="165"/>
    </row>
    <row r="5478" spans="1:3" ht="16.8">
      <c r="A5478" s="165"/>
      <c r="B5478" s="171"/>
      <c r="C5478" s="165"/>
    </row>
    <row r="5479" spans="1:3" ht="16.8">
      <c r="A5479" s="165"/>
      <c r="B5479" s="171"/>
      <c r="C5479" s="165"/>
    </row>
    <row r="5480" spans="1:3" ht="16.8">
      <c r="A5480" s="165"/>
      <c r="B5480" s="171"/>
      <c r="C5480" s="165"/>
    </row>
    <row r="5481" spans="1:3" ht="16.8">
      <c r="A5481" s="165"/>
      <c r="B5481" s="171"/>
      <c r="C5481" s="165"/>
    </row>
    <row r="5482" spans="1:3" ht="16.8">
      <c r="A5482" s="165"/>
      <c r="B5482" s="171"/>
      <c r="C5482" s="165"/>
    </row>
    <row r="5483" spans="1:3" ht="16.8">
      <c r="A5483" s="165"/>
      <c r="B5483" s="171"/>
      <c r="C5483" s="165"/>
    </row>
    <row r="5484" spans="1:3" ht="16.8">
      <c r="A5484" s="165"/>
      <c r="B5484" s="171"/>
      <c r="C5484" s="165"/>
    </row>
    <row r="5485" spans="1:3" ht="16.8">
      <c r="A5485" s="165"/>
      <c r="B5485" s="171"/>
      <c r="C5485" s="165"/>
    </row>
    <row r="5486" spans="1:3" ht="16.8">
      <c r="A5486" s="165"/>
      <c r="B5486" s="171"/>
      <c r="C5486" s="165"/>
    </row>
    <row r="5487" spans="1:3" ht="16.8">
      <c r="A5487" s="165"/>
      <c r="B5487" s="171"/>
      <c r="C5487" s="165"/>
    </row>
    <row r="5488" spans="1:3" ht="16.8">
      <c r="A5488" s="165"/>
      <c r="B5488" s="171"/>
      <c r="C5488" s="165"/>
    </row>
    <row r="5489" spans="1:3" ht="16.8">
      <c r="A5489" s="165"/>
      <c r="B5489" s="171"/>
      <c r="C5489" s="165"/>
    </row>
    <row r="5490" spans="1:3" ht="16.8">
      <c r="A5490" s="165"/>
      <c r="B5490" s="171"/>
      <c r="C5490" s="165"/>
    </row>
    <row r="5491" spans="1:3" ht="16.8">
      <c r="A5491" s="165"/>
      <c r="B5491" s="171"/>
      <c r="C5491" s="165"/>
    </row>
    <row r="5492" spans="1:3" ht="16.8">
      <c r="A5492" s="165"/>
      <c r="B5492" s="171"/>
      <c r="C5492" s="165"/>
    </row>
    <row r="5493" spans="1:3" ht="16.8">
      <c r="A5493" s="165"/>
      <c r="B5493" s="171"/>
      <c r="C5493" s="165"/>
    </row>
    <row r="5494" spans="1:3" ht="16.8">
      <c r="A5494" s="165"/>
      <c r="B5494" s="171"/>
      <c r="C5494" s="165"/>
    </row>
    <row r="5495" spans="1:3" ht="16.8">
      <c r="A5495" s="165"/>
      <c r="B5495" s="171"/>
      <c r="C5495" s="165"/>
    </row>
    <row r="5496" spans="1:3" ht="16.8">
      <c r="A5496" s="165"/>
      <c r="B5496" s="171"/>
      <c r="C5496" s="165"/>
    </row>
    <row r="5497" spans="1:3" ht="16.8">
      <c r="A5497" s="165"/>
      <c r="B5497" s="171"/>
      <c r="C5497" s="165"/>
    </row>
    <row r="5498" spans="1:3" ht="16.8">
      <c r="A5498" s="165"/>
      <c r="B5498" s="171"/>
      <c r="C5498" s="165"/>
    </row>
    <row r="5499" spans="1:3" ht="16.8">
      <c r="A5499" s="165"/>
      <c r="B5499" s="171"/>
      <c r="C5499" s="165"/>
    </row>
    <row r="5500" spans="1:3" ht="16.8">
      <c r="A5500" s="165"/>
      <c r="B5500" s="171"/>
      <c r="C5500" s="165"/>
    </row>
    <row r="5501" spans="1:3" ht="16.8">
      <c r="A5501" s="165"/>
      <c r="B5501" s="171"/>
      <c r="C5501" s="165"/>
    </row>
    <row r="5502" spans="1:3" ht="16.8">
      <c r="A5502" s="165"/>
      <c r="B5502" s="171"/>
      <c r="C5502" s="165"/>
    </row>
    <row r="5503" spans="1:3" ht="16.8">
      <c r="A5503" s="165"/>
      <c r="B5503" s="171"/>
      <c r="C5503" s="165"/>
    </row>
    <row r="5504" spans="1:3" ht="16.8">
      <c r="A5504" s="165"/>
      <c r="B5504" s="171"/>
      <c r="C5504" s="165"/>
    </row>
    <row r="5505" spans="1:3" ht="16.8">
      <c r="A5505" s="165"/>
      <c r="B5505" s="171"/>
      <c r="C5505" s="165"/>
    </row>
    <row r="5506" spans="1:3" ht="16.8">
      <c r="A5506" s="165"/>
      <c r="B5506" s="171"/>
      <c r="C5506" s="165"/>
    </row>
    <row r="5507" spans="1:3" ht="16.8">
      <c r="A5507" s="165"/>
      <c r="B5507" s="171"/>
      <c r="C5507" s="165"/>
    </row>
    <row r="5508" spans="1:3" ht="16.8">
      <c r="A5508" s="165"/>
      <c r="B5508" s="171"/>
      <c r="C5508" s="165"/>
    </row>
    <row r="5509" spans="1:3" ht="16.8">
      <c r="A5509" s="165"/>
      <c r="B5509" s="171"/>
      <c r="C5509" s="165"/>
    </row>
    <row r="5510" spans="1:3" ht="16.8">
      <c r="A5510" s="165"/>
      <c r="B5510" s="171"/>
      <c r="C5510" s="165"/>
    </row>
    <row r="5511" spans="1:3" ht="16.8">
      <c r="A5511" s="165"/>
      <c r="B5511" s="171"/>
      <c r="C5511" s="165"/>
    </row>
    <row r="5512" spans="1:3" ht="16.8">
      <c r="A5512" s="165"/>
      <c r="B5512" s="171"/>
      <c r="C5512" s="165"/>
    </row>
    <row r="5513" spans="1:3" ht="16.8">
      <c r="A5513" s="165"/>
      <c r="B5513" s="171"/>
      <c r="C5513" s="165"/>
    </row>
    <row r="5514" spans="1:3" ht="16.8">
      <c r="A5514" s="165"/>
      <c r="B5514" s="171"/>
      <c r="C5514" s="165"/>
    </row>
    <row r="5515" spans="1:3" ht="16.8">
      <c r="A5515" s="165"/>
      <c r="B5515" s="171"/>
      <c r="C5515" s="165"/>
    </row>
    <row r="5516" spans="1:3" ht="16.8">
      <c r="A5516" s="165"/>
      <c r="B5516" s="171"/>
      <c r="C5516" s="165"/>
    </row>
    <row r="5517" spans="1:3" ht="16.8">
      <c r="A5517" s="165"/>
      <c r="B5517" s="171"/>
      <c r="C5517" s="165"/>
    </row>
    <row r="5518" spans="1:3" ht="16.8">
      <c r="A5518" s="165"/>
      <c r="B5518" s="171"/>
      <c r="C5518" s="165"/>
    </row>
    <row r="5519" spans="1:3" ht="16.8">
      <c r="A5519" s="165"/>
      <c r="B5519" s="171"/>
      <c r="C5519" s="165"/>
    </row>
    <row r="5520" spans="1:3" ht="16.8">
      <c r="A5520" s="165"/>
      <c r="B5520" s="171"/>
      <c r="C5520" s="165"/>
    </row>
    <row r="5521" spans="1:3" ht="16.8">
      <c r="A5521" s="165"/>
      <c r="B5521" s="171"/>
      <c r="C5521" s="165"/>
    </row>
    <row r="5522" spans="1:3" ht="16.8">
      <c r="A5522" s="165"/>
      <c r="B5522" s="171"/>
      <c r="C5522" s="165"/>
    </row>
    <row r="5523" spans="1:3" ht="16.8">
      <c r="A5523" s="165"/>
      <c r="B5523" s="171"/>
      <c r="C5523" s="165"/>
    </row>
    <row r="5524" spans="1:3" ht="16.8">
      <c r="A5524" s="165"/>
      <c r="B5524" s="171"/>
      <c r="C5524" s="165"/>
    </row>
    <row r="5525" spans="1:3" ht="16.8">
      <c r="A5525" s="165"/>
      <c r="B5525" s="171"/>
      <c r="C5525" s="165"/>
    </row>
    <row r="5526" spans="1:3" ht="16.8">
      <c r="A5526" s="165"/>
      <c r="B5526" s="171"/>
      <c r="C5526" s="165"/>
    </row>
    <row r="5527" spans="1:3" ht="16.8">
      <c r="A5527" s="165"/>
      <c r="B5527" s="171"/>
      <c r="C5527" s="165"/>
    </row>
    <row r="5528" spans="1:3" ht="16.8">
      <c r="A5528" s="165"/>
      <c r="B5528" s="171"/>
      <c r="C5528" s="165"/>
    </row>
    <row r="5529" spans="1:3" ht="16.8">
      <c r="A5529" s="165"/>
      <c r="B5529" s="171"/>
      <c r="C5529" s="165"/>
    </row>
    <row r="5530" spans="1:3" ht="16.8">
      <c r="A5530" s="165"/>
      <c r="B5530" s="171"/>
      <c r="C5530" s="165"/>
    </row>
    <row r="5531" spans="1:3" ht="16.8">
      <c r="A5531" s="165"/>
      <c r="B5531" s="171"/>
      <c r="C5531" s="165"/>
    </row>
    <row r="5532" spans="1:3" ht="16.8">
      <c r="A5532" s="165"/>
      <c r="B5532" s="171"/>
      <c r="C5532" s="165"/>
    </row>
    <row r="5533" spans="1:3" ht="16.8">
      <c r="A5533" s="165"/>
      <c r="B5533" s="171"/>
      <c r="C5533" s="165"/>
    </row>
    <row r="5534" spans="1:3" ht="16.8">
      <c r="A5534" s="165"/>
      <c r="B5534" s="171"/>
      <c r="C5534" s="165"/>
    </row>
    <row r="5535" spans="1:3" ht="16.8">
      <c r="A5535" s="165"/>
      <c r="B5535" s="171"/>
      <c r="C5535" s="165"/>
    </row>
    <row r="5536" spans="1:3" ht="16.8">
      <c r="A5536" s="165"/>
      <c r="B5536" s="171"/>
      <c r="C5536" s="165"/>
    </row>
    <row r="5537" spans="1:3" ht="16.8">
      <c r="A5537" s="165"/>
      <c r="B5537" s="171"/>
      <c r="C5537" s="165"/>
    </row>
    <row r="5538" spans="1:3" ht="16.8">
      <c r="A5538" s="165"/>
      <c r="B5538" s="171"/>
      <c r="C5538" s="165"/>
    </row>
    <row r="5539" spans="1:3" ht="16.8">
      <c r="A5539" s="165"/>
      <c r="B5539" s="171"/>
      <c r="C5539" s="165"/>
    </row>
    <row r="5540" spans="1:3" ht="16.8">
      <c r="A5540" s="165"/>
      <c r="B5540" s="171"/>
      <c r="C5540" s="165"/>
    </row>
    <row r="5541" spans="1:3" ht="16.8">
      <c r="A5541" s="165"/>
      <c r="B5541" s="171"/>
      <c r="C5541" s="165"/>
    </row>
    <row r="5542" spans="1:3" ht="16.8">
      <c r="A5542" s="165"/>
      <c r="B5542" s="171"/>
      <c r="C5542" s="165"/>
    </row>
    <row r="5543" spans="1:3" ht="16.8">
      <c r="A5543" s="165"/>
      <c r="B5543" s="171"/>
      <c r="C5543" s="165"/>
    </row>
    <row r="5544" spans="1:3" ht="16.8">
      <c r="A5544" s="165"/>
      <c r="B5544" s="171"/>
      <c r="C5544" s="165"/>
    </row>
    <row r="5545" spans="1:3" ht="16.8">
      <c r="A5545" s="165"/>
      <c r="B5545" s="171"/>
      <c r="C5545" s="165"/>
    </row>
    <row r="5546" spans="1:3" ht="16.8">
      <c r="A5546" s="165"/>
      <c r="B5546" s="171"/>
      <c r="C5546" s="165"/>
    </row>
    <row r="5547" spans="1:3" ht="16.8">
      <c r="A5547" s="165"/>
      <c r="B5547" s="171"/>
      <c r="C5547" s="165"/>
    </row>
    <row r="5548" spans="1:3" ht="16.8">
      <c r="A5548" s="165"/>
      <c r="B5548" s="171"/>
      <c r="C5548" s="165"/>
    </row>
    <row r="5549" spans="1:3" ht="16.8">
      <c r="A5549" s="165"/>
      <c r="B5549" s="171"/>
      <c r="C5549" s="165"/>
    </row>
    <row r="5550" spans="1:3" ht="16.8">
      <c r="A5550" s="165"/>
      <c r="B5550" s="171"/>
      <c r="C5550" s="165"/>
    </row>
    <row r="5551" spans="1:3" ht="16.8">
      <c r="A5551" s="165"/>
      <c r="B5551" s="171"/>
      <c r="C5551" s="165"/>
    </row>
    <row r="5552" spans="1:3" ht="16.8">
      <c r="A5552" s="165"/>
      <c r="B5552" s="171"/>
      <c r="C5552" s="165"/>
    </row>
    <row r="5553" spans="1:3" ht="16.8">
      <c r="A5553" s="165"/>
      <c r="B5553" s="171"/>
      <c r="C5553" s="165"/>
    </row>
    <row r="5554" spans="1:3" ht="16.8">
      <c r="A5554" s="165"/>
      <c r="B5554" s="171"/>
      <c r="C5554" s="165"/>
    </row>
    <row r="5555" spans="1:3" ht="16.8">
      <c r="A5555" s="165"/>
      <c r="B5555" s="171"/>
      <c r="C5555" s="165"/>
    </row>
    <row r="5556" spans="1:3" ht="16.8">
      <c r="A5556" s="165"/>
      <c r="B5556" s="171"/>
      <c r="C5556" s="165"/>
    </row>
    <row r="5557" spans="1:3" ht="16.8">
      <c r="A5557" s="165"/>
      <c r="B5557" s="171"/>
      <c r="C5557" s="165"/>
    </row>
    <row r="5558" spans="1:3" ht="16.8">
      <c r="A5558" s="165"/>
      <c r="B5558" s="171"/>
      <c r="C5558" s="165"/>
    </row>
    <row r="5559" spans="1:3" ht="16.8">
      <c r="A5559" s="165"/>
      <c r="B5559" s="171"/>
      <c r="C5559" s="165"/>
    </row>
    <row r="5560" spans="1:3" ht="16.8">
      <c r="A5560" s="165"/>
      <c r="B5560" s="171"/>
      <c r="C5560" s="165"/>
    </row>
    <row r="5561" spans="1:3" ht="16.8">
      <c r="A5561" s="165"/>
      <c r="B5561" s="171"/>
      <c r="C5561" s="165"/>
    </row>
    <row r="5562" spans="1:3" ht="16.8">
      <c r="A5562" s="165"/>
      <c r="B5562" s="171"/>
      <c r="C5562" s="165"/>
    </row>
    <row r="5563" spans="1:3" ht="16.8">
      <c r="A5563" s="165"/>
      <c r="B5563" s="171"/>
      <c r="C5563" s="165"/>
    </row>
    <row r="5564" spans="1:3" ht="16.8">
      <c r="A5564" s="165"/>
      <c r="B5564" s="171"/>
      <c r="C5564" s="165"/>
    </row>
    <row r="5565" spans="1:3" ht="16.8">
      <c r="A5565" s="165"/>
      <c r="B5565" s="171"/>
      <c r="C5565" s="165"/>
    </row>
    <row r="5566" spans="1:3" ht="16.8">
      <c r="A5566" s="165"/>
      <c r="B5566" s="171"/>
      <c r="C5566" s="165"/>
    </row>
    <row r="5567" spans="1:3" ht="16.8">
      <c r="A5567" s="165"/>
      <c r="B5567" s="171"/>
      <c r="C5567" s="165"/>
    </row>
    <row r="5568" spans="1:3" ht="16.8">
      <c r="A5568" s="165"/>
      <c r="B5568" s="171"/>
      <c r="C5568" s="165"/>
    </row>
    <row r="5569" spans="1:3" ht="16.8">
      <c r="A5569" s="165"/>
      <c r="B5569" s="171"/>
      <c r="C5569" s="165"/>
    </row>
    <row r="5570" spans="1:3" ht="16.8">
      <c r="A5570" s="165"/>
      <c r="B5570" s="171"/>
      <c r="C5570" s="165"/>
    </row>
    <row r="5571" spans="1:3" ht="16.8">
      <c r="A5571" s="165"/>
      <c r="B5571" s="171"/>
      <c r="C5571" s="165"/>
    </row>
    <row r="5572" spans="1:3" ht="16.8">
      <c r="A5572" s="165"/>
      <c r="B5572" s="171"/>
      <c r="C5572" s="165"/>
    </row>
    <row r="5573" spans="1:3" ht="16.8">
      <c r="A5573" s="165"/>
      <c r="B5573" s="171"/>
      <c r="C5573" s="165"/>
    </row>
    <row r="5574" spans="1:3" ht="16.8">
      <c r="A5574" s="165"/>
      <c r="B5574" s="171"/>
      <c r="C5574" s="165"/>
    </row>
    <row r="5575" spans="1:3" ht="16.8">
      <c r="A5575" s="165"/>
      <c r="B5575" s="171"/>
      <c r="C5575" s="165"/>
    </row>
    <row r="5576" spans="1:3" ht="16.8">
      <c r="A5576" s="165"/>
      <c r="B5576" s="171"/>
      <c r="C5576" s="165"/>
    </row>
    <row r="5577" spans="1:3" ht="16.8">
      <c r="A5577" s="165"/>
      <c r="B5577" s="171"/>
      <c r="C5577" s="165"/>
    </row>
    <row r="5578" spans="1:3" ht="16.8">
      <c r="A5578" s="165"/>
      <c r="B5578" s="171"/>
      <c r="C5578" s="165"/>
    </row>
    <row r="5579" spans="1:3" ht="16.8">
      <c r="A5579" s="165"/>
      <c r="B5579" s="171"/>
      <c r="C5579" s="165"/>
    </row>
    <row r="5580" spans="1:3" ht="16.8">
      <c r="A5580" s="165"/>
      <c r="B5580" s="171"/>
      <c r="C5580" s="165"/>
    </row>
    <row r="5581" spans="1:3" ht="16.8">
      <c r="A5581" s="165"/>
      <c r="B5581" s="171"/>
      <c r="C5581" s="165"/>
    </row>
    <row r="5582" spans="1:3" ht="16.8">
      <c r="A5582" s="165"/>
      <c r="B5582" s="171"/>
      <c r="C5582" s="165"/>
    </row>
    <row r="5583" spans="1:3" ht="16.8">
      <c r="A5583" s="165"/>
      <c r="B5583" s="171"/>
      <c r="C5583" s="165"/>
    </row>
    <row r="5584" spans="1:3" ht="16.8">
      <c r="A5584" s="165"/>
      <c r="B5584" s="171"/>
      <c r="C5584" s="165"/>
    </row>
    <row r="5585" spans="1:3" ht="16.8">
      <c r="A5585" s="165"/>
      <c r="B5585" s="171"/>
      <c r="C5585" s="165"/>
    </row>
    <row r="5586" spans="1:3" ht="16.8">
      <c r="A5586" s="165"/>
      <c r="B5586" s="171"/>
      <c r="C5586" s="165"/>
    </row>
    <row r="5587" spans="1:3" ht="16.8">
      <c r="A5587" s="165"/>
      <c r="B5587" s="171"/>
      <c r="C5587" s="165"/>
    </row>
    <row r="5588" spans="1:3" ht="16.8">
      <c r="A5588" s="165"/>
      <c r="B5588" s="171"/>
      <c r="C5588" s="165"/>
    </row>
    <row r="5589" spans="1:3" ht="16.8">
      <c r="A5589" s="165"/>
      <c r="B5589" s="171"/>
      <c r="C5589" s="165"/>
    </row>
    <row r="5590" spans="1:3" ht="16.8">
      <c r="A5590" s="165"/>
      <c r="B5590" s="171"/>
      <c r="C5590" s="165"/>
    </row>
    <row r="5591" spans="1:3" ht="16.8">
      <c r="A5591" s="165"/>
      <c r="B5591" s="171"/>
      <c r="C5591" s="165"/>
    </row>
    <row r="5592" spans="1:3" ht="16.8">
      <c r="A5592" s="165"/>
      <c r="B5592" s="171"/>
      <c r="C5592" s="165"/>
    </row>
    <row r="5593" spans="1:3" ht="16.8">
      <c r="A5593" s="165"/>
      <c r="B5593" s="171"/>
      <c r="C5593" s="165"/>
    </row>
    <row r="5594" spans="1:3" ht="16.8">
      <c r="A5594" s="165"/>
      <c r="B5594" s="171"/>
      <c r="C5594" s="165"/>
    </row>
    <row r="5595" spans="1:3" ht="16.8">
      <c r="A5595" s="165"/>
      <c r="B5595" s="171"/>
      <c r="C5595" s="165"/>
    </row>
    <row r="5596" spans="1:3" ht="16.8">
      <c r="A5596" s="165"/>
      <c r="B5596" s="171"/>
      <c r="C5596" s="165"/>
    </row>
    <row r="5597" spans="1:3" ht="16.8">
      <c r="A5597" s="165"/>
      <c r="B5597" s="171"/>
      <c r="C5597" s="165"/>
    </row>
    <row r="5598" spans="1:3" ht="16.8">
      <c r="A5598" s="165"/>
      <c r="B5598" s="171"/>
      <c r="C5598" s="165"/>
    </row>
    <row r="5599" spans="1:3" ht="16.8">
      <c r="A5599" s="165"/>
      <c r="B5599" s="171"/>
      <c r="C5599" s="165"/>
    </row>
    <row r="5600" spans="1:3" ht="16.8">
      <c r="A5600" s="165"/>
      <c r="B5600" s="171"/>
      <c r="C5600" s="165"/>
    </row>
    <row r="5601" spans="1:3" ht="16.8">
      <c r="A5601" s="165"/>
      <c r="B5601" s="171"/>
      <c r="C5601" s="165"/>
    </row>
    <row r="5602" spans="1:3" ht="16.8">
      <c r="A5602" s="165"/>
      <c r="B5602" s="171"/>
      <c r="C5602" s="165"/>
    </row>
    <row r="5603" spans="1:3" ht="16.8">
      <c r="A5603" s="165"/>
      <c r="B5603" s="171"/>
      <c r="C5603" s="165"/>
    </row>
    <row r="5604" spans="1:3" ht="16.8">
      <c r="A5604" s="165"/>
      <c r="B5604" s="171"/>
      <c r="C5604" s="165"/>
    </row>
    <row r="5605" spans="1:3" ht="16.8">
      <c r="A5605" s="165"/>
      <c r="B5605" s="171"/>
      <c r="C5605" s="165"/>
    </row>
    <row r="5606" spans="1:3" ht="16.8">
      <c r="A5606" s="165"/>
      <c r="B5606" s="171"/>
      <c r="C5606" s="165"/>
    </row>
    <row r="5607" spans="1:3" ht="16.8">
      <c r="A5607" s="165"/>
      <c r="B5607" s="171"/>
      <c r="C5607" s="165"/>
    </row>
    <row r="5608" spans="1:3" ht="16.8">
      <c r="A5608" s="165"/>
      <c r="B5608" s="171"/>
      <c r="C5608" s="165"/>
    </row>
    <row r="5609" spans="1:3" ht="16.8">
      <c r="A5609" s="165"/>
      <c r="B5609" s="171"/>
      <c r="C5609" s="165"/>
    </row>
    <row r="5610" spans="1:3" ht="16.8">
      <c r="A5610" s="165"/>
      <c r="B5610" s="171"/>
      <c r="C5610" s="165"/>
    </row>
    <row r="5611" spans="1:3" ht="16.8">
      <c r="A5611" s="165"/>
      <c r="B5611" s="171"/>
      <c r="C5611" s="165"/>
    </row>
    <row r="5612" spans="1:3" ht="16.8">
      <c r="A5612" s="165"/>
      <c r="B5612" s="171"/>
      <c r="C5612" s="165"/>
    </row>
    <row r="5613" spans="1:3" ht="16.8">
      <c r="A5613" s="165"/>
      <c r="B5613" s="171"/>
      <c r="C5613" s="165"/>
    </row>
    <row r="5614" spans="1:3" ht="16.8">
      <c r="A5614" s="165"/>
      <c r="B5614" s="171"/>
      <c r="C5614" s="165"/>
    </row>
    <row r="5615" spans="1:3" ht="16.8">
      <c r="A5615" s="165"/>
      <c r="B5615" s="171"/>
      <c r="C5615" s="165"/>
    </row>
    <row r="5616" spans="1:3" ht="16.8">
      <c r="A5616" s="165"/>
      <c r="B5616" s="171"/>
      <c r="C5616" s="165"/>
    </row>
    <row r="5617" spans="1:3" ht="16.8">
      <c r="A5617" s="165"/>
      <c r="B5617" s="171"/>
      <c r="C5617" s="165"/>
    </row>
    <row r="5618" spans="1:3" ht="16.8">
      <c r="A5618" s="165"/>
      <c r="B5618" s="171"/>
      <c r="C5618" s="165"/>
    </row>
    <row r="5619" spans="1:3" ht="16.8">
      <c r="A5619" s="165"/>
      <c r="B5619" s="171"/>
      <c r="C5619" s="165"/>
    </row>
    <row r="5620" spans="1:3" ht="16.8">
      <c r="A5620" s="165"/>
      <c r="B5620" s="171"/>
      <c r="C5620" s="165"/>
    </row>
    <row r="5621" spans="1:3" ht="16.8">
      <c r="A5621" s="165"/>
      <c r="B5621" s="171"/>
      <c r="C5621" s="165"/>
    </row>
    <row r="5622" spans="1:3" ht="16.8">
      <c r="A5622" s="165"/>
      <c r="B5622" s="171"/>
      <c r="C5622" s="165"/>
    </row>
    <row r="5623" spans="1:3" ht="16.8">
      <c r="A5623" s="165"/>
      <c r="B5623" s="171"/>
      <c r="C5623" s="165"/>
    </row>
    <row r="5624" spans="1:3" ht="16.8">
      <c r="A5624" s="165"/>
      <c r="B5624" s="171"/>
      <c r="C5624" s="165"/>
    </row>
    <row r="5625" spans="1:3" ht="16.8">
      <c r="A5625" s="165"/>
      <c r="B5625" s="171"/>
      <c r="C5625" s="165"/>
    </row>
    <row r="5626" spans="1:3" ht="16.8">
      <c r="A5626" s="165"/>
      <c r="B5626" s="171"/>
      <c r="C5626" s="165"/>
    </row>
    <row r="5627" spans="1:3" ht="16.8">
      <c r="A5627" s="165"/>
      <c r="B5627" s="171"/>
      <c r="C5627" s="165"/>
    </row>
    <row r="5628" spans="1:3" ht="16.8">
      <c r="A5628" s="165"/>
      <c r="B5628" s="171"/>
      <c r="C5628" s="165"/>
    </row>
    <row r="5629" spans="1:3" ht="16.8">
      <c r="A5629" s="165"/>
      <c r="B5629" s="171"/>
      <c r="C5629" s="165"/>
    </row>
    <row r="5630" spans="1:3" ht="16.8">
      <c r="A5630" s="165"/>
      <c r="B5630" s="171"/>
      <c r="C5630" s="165"/>
    </row>
    <row r="5631" spans="1:3" ht="16.8">
      <c r="A5631" s="165"/>
      <c r="B5631" s="171"/>
      <c r="C5631" s="165"/>
    </row>
    <row r="5632" spans="1:3" ht="16.8">
      <c r="A5632" s="165"/>
      <c r="B5632" s="171"/>
      <c r="C5632" s="165"/>
    </row>
    <row r="5633" spans="1:3" ht="16.8">
      <c r="A5633" s="165"/>
      <c r="B5633" s="171"/>
      <c r="C5633" s="165"/>
    </row>
    <row r="5634" spans="1:3" ht="16.8">
      <c r="A5634" s="165"/>
      <c r="B5634" s="171"/>
      <c r="C5634" s="165"/>
    </row>
    <row r="5635" spans="1:3" ht="16.8">
      <c r="A5635" s="165"/>
      <c r="B5635" s="171"/>
      <c r="C5635" s="165"/>
    </row>
    <row r="5636" spans="1:3" ht="16.8">
      <c r="A5636" s="165"/>
      <c r="B5636" s="171"/>
      <c r="C5636" s="165"/>
    </row>
    <row r="5637" spans="1:3" ht="16.8">
      <c r="A5637" s="165"/>
      <c r="B5637" s="171"/>
      <c r="C5637" s="165"/>
    </row>
    <row r="5638" spans="1:3" ht="16.8">
      <c r="A5638" s="165"/>
      <c r="B5638" s="171"/>
      <c r="C5638" s="165"/>
    </row>
    <row r="5639" spans="1:3" ht="16.8">
      <c r="A5639" s="165"/>
      <c r="B5639" s="171"/>
      <c r="C5639" s="165"/>
    </row>
    <row r="5640" spans="1:3" ht="16.8">
      <c r="A5640" s="165"/>
      <c r="B5640" s="171"/>
      <c r="C5640" s="165"/>
    </row>
    <row r="5641" spans="1:3" ht="16.8">
      <c r="A5641" s="165"/>
      <c r="B5641" s="171"/>
      <c r="C5641" s="165"/>
    </row>
    <row r="5642" spans="1:3" ht="16.8">
      <c r="A5642" s="165"/>
      <c r="B5642" s="171"/>
      <c r="C5642" s="165"/>
    </row>
    <row r="5643" spans="1:3" ht="16.8">
      <c r="A5643" s="165"/>
      <c r="B5643" s="171"/>
      <c r="C5643" s="165"/>
    </row>
    <row r="5644" spans="1:3" ht="16.8">
      <c r="A5644" s="165"/>
      <c r="B5644" s="171"/>
      <c r="C5644" s="165"/>
    </row>
    <row r="5645" spans="1:3" ht="16.8">
      <c r="A5645" s="165"/>
      <c r="B5645" s="171"/>
      <c r="C5645" s="165"/>
    </row>
    <row r="5646" spans="1:3" ht="16.8">
      <c r="A5646" s="165"/>
      <c r="B5646" s="171"/>
      <c r="C5646" s="165"/>
    </row>
    <row r="5647" spans="1:3" ht="16.8">
      <c r="A5647" s="165"/>
      <c r="B5647" s="171"/>
      <c r="C5647" s="165"/>
    </row>
    <row r="5648" spans="1:3" ht="16.8">
      <c r="A5648" s="165"/>
      <c r="B5648" s="171"/>
      <c r="C5648" s="165"/>
    </row>
    <row r="5649" spans="1:3" ht="16.8">
      <c r="A5649" s="165"/>
      <c r="B5649" s="171"/>
      <c r="C5649" s="165"/>
    </row>
    <row r="5650" spans="1:3" ht="16.8">
      <c r="A5650" s="165"/>
      <c r="B5650" s="171"/>
      <c r="C5650" s="165"/>
    </row>
    <row r="5651" spans="1:3" ht="16.8">
      <c r="A5651" s="165"/>
      <c r="B5651" s="171"/>
      <c r="C5651" s="165"/>
    </row>
    <row r="5652" spans="1:3" ht="16.8">
      <c r="A5652" s="165"/>
      <c r="B5652" s="171"/>
      <c r="C5652" s="165"/>
    </row>
    <row r="5653" spans="1:3" ht="16.8">
      <c r="A5653" s="165"/>
      <c r="B5653" s="171"/>
      <c r="C5653" s="165"/>
    </row>
    <row r="5654" spans="1:3" ht="16.8">
      <c r="A5654" s="165"/>
      <c r="B5654" s="171"/>
      <c r="C5654" s="165"/>
    </row>
    <row r="5655" spans="1:3" ht="16.8">
      <c r="A5655" s="165"/>
      <c r="B5655" s="171"/>
      <c r="C5655" s="165"/>
    </row>
    <row r="5656" spans="1:3" ht="16.8">
      <c r="A5656" s="165"/>
      <c r="B5656" s="171"/>
      <c r="C5656" s="165"/>
    </row>
    <row r="5657" spans="1:3" ht="16.8">
      <c r="A5657" s="165"/>
      <c r="B5657" s="171"/>
      <c r="C5657" s="165"/>
    </row>
    <row r="5658" spans="1:3" ht="16.8">
      <c r="A5658" s="165"/>
      <c r="B5658" s="171"/>
      <c r="C5658" s="165"/>
    </row>
    <row r="5659" spans="1:3" ht="16.8">
      <c r="A5659" s="165"/>
      <c r="B5659" s="171"/>
      <c r="C5659" s="165"/>
    </row>
    <row r="5660" spans="1:3" ht="16.8">
      <c r="A5660" s="165"/>
      <c r="B5660" s="171"/>
      <c r="C5660" s="165"/>
    </row>
    <row r="5661" spans="1:3" ht="16.8">
      <c r="A5661" s="165"/>
      <c r="B5661" s="171"/>
      <c r="C5661" s="165"/>
    </row>
    <row r="5662" spans="1:3" ht="16.8">
      <c r="A5662" s="165"/>
      <c r="B5662" s="171"/>
      <c r="C5662" s="165"/>
    </row>
    <row r="5663" spans="1:3" ht="16.8">
      <c r="A5663" s="165"/>
      <c r="B5663" s="171"/>
      <c r="C5663" s="165"/>
    </row>
    <row r="5664" spans="1:3" ht="16.8">
      <c r="A5664" s="165"/>
      <c r="B5664" s="171"/>
      <c r="C5664" s="165"/>
    </row>
    <row r="5665" spans="1:3" ht="16.8">
      <c r="A5665" s="165"/>
      <c r="B5665" s="171"/>
      <c r="C5665" s="165"/>
    </row>
    <row r="5666" spans="1:3" ht="16.8">
      <c r="A5666" s="165"/>
      <c r="B5666" s="171"/>
      <c r="C5666" s="165"/>
    </row>
    <row r="5667" spans="1:3" ht="16.8">
      <c r="A5667" s="165"/>
      <c r="B5667" s="171"/>
      <c r="C5667" s="165"/>
    </row>
    <row r="5668" spans="1:3" ht="16.8">
      <c r="A5668" s="165"/>
      <c r="B5668" s="171"/>
      <c r="C5668" s="165"/>
    </row>
    <row r="5669" spans="1:3" ht="16.8">
      <c r="A5669" s="165"/>
      <c r="B5669" s="171"/>
      <c r="C5669" s="165"/>
    </row>
    <row r="5670" spans="1:3" ht="16.8">
      <c r="A5670" s="165"/>
      <c r="B5670" s="171"/>
      <c r="C5670" s="165"/>
    </row>
    <row r="5671" spans="1:3" ht="16.8">
      <c r="A5671" s="165"/>
      <c r="B5671" s="171"/>
      <c r="C5671" s="165"/>
    </row>
    <row r="5672" spans="1:3" ht="16.8">
      <c r="A5672" s="165"/>
      <c r="B5672" s="171"/>
      <c r="C5672" s="165"/>
    </row>
    <row r="5673" spans="1:3" ht="16.8">
      <c r="A5673" s="165"/>
      <c r="B5673" s="171"/>
      <c r="C5673" s="165"/>
    </row>
    <row r="5674" spans="1:3" ht="16.8">
      <c r="A5674" s="165"/>
      <c r="B5674" s="171"/>
      <c r="C5674" s="165"/>
    </row>
    <row r="5675" spans="1:3" ht="16.8">
      <c r="A5675" s="165"/>
      <c r="B5675" s="171"/>
      <c r="C5675" s="165"/>
    </row>
    <row r="5676" spans="1:3" ht="16.8">
      <c r="A5676" s="165"/>
      <c r="B5676" s="171"/>
      <c r="C5676" s="165"/>
    </row>
    <row r="5677" spans="1:3" ht="16.8">
      <c r="A5677" s="165"/>
      <c r="B5677" s="171"/>
      <c r="C5677" s="165"/>
    </row>
    <row r="5678" spans="1:3" ht="16.8">
      <c r="A5678" s="165"/>
      <c r="B5678" s="171"/>
      <c r="C5678" s="165"/>
    </row>
    <row r="5679" spans="1:3" ht="16.8">
      <c r="A5679" s="165"/>
      <c r="B5679" s="171"/>
      <c r="C5679" s="165"/>
    </row>
    <row r="5680" spans="1:3" ht="16.8">
      <c r="A5680" s="165"/>
      <c r="B5680" s="171"/>
      <c r="C5680" s="165"/>
    </row>
    <row r="5681" spans="1:3" ht="16.8">
      <c r="A5681" s="165"/>
      <c r="B5681" s="171"/>
      <c r="C5681" s="165"/>
    </row>
    <row r="5682" spans="1:3" ht="16.8">
      <c r="A5682" s="165"/>
      <c r="B5682" s="171"/>
      <c r="C5682" s="165"/>
    </row>
    <row r="5683" spans="1:3" ht="16.8">
      <c r="A5683" s="165"/>
      <c r="B5683" s="171"/>
      <c r="C5683" s="165"/>
    </row>
    <row r="5684" spans="1:3" ht="16.8">
      <c r="A5684" s="165"/>
      <c r="B5684" s="171"/>
      <c r="C5684" s="165"/>
    </row>
    <row r="5685" spans="1:3" ht="16.8">
      <c r="A5685" s="165"/>
      <c r="B5685" s="171"/>
      <c r="C5685" s="165"/>
    </row>
    <row r="5686" spans="1:3" ht="16.8">
      <c r="A5686" s="165"/>
      <c r="B5686" s="171"/>
      <c r="C5686" s="165"/>
    </row>
    <row r="5687" spans="1:3" ht="16.8">
      <c r="A5687" s="165"/>
      <c r="B5687" s="171"/>
      <c r="C5687" s="165"/>
    </row>
    <row r="5688" spans="1:3" ht="16.8">
      <c r="A5688" s="165"/>
      <c r="B5688" s="171"/>
      <c r="C5688" s="165"/>
    </row>
    <row r="5689" spans="1:3" ht="16.8">
      <c r="A5689" s="165"/>
      <c r="B5689" s="171"/>
      <c r="C5689" s="165"/>
    </row>
    <row r="5690" spans="1:3" ht="16.8">
      <c r="A5690" s="165"/>
      <c r="B5690" s="171"/>
      <c r="C5690" s="165"/>
    </row>
    <row r="5691" spans="1:3" ht="16.8">
      <c r="A5691" s="165"/>
      <c r="B5691" s="171"/>
      <c r="C5691" s="165"/>
    </row>
    <row r="5692" spans="1:3" ht="16.8">
      <c r="A5692" s="165"/>
      <c r="B5692" s="171"/>
      <c r="C5692" s="165"/>
    </row>
    <row r="5693" spans="1:3" ht="16.8">
      <c r="A5693" s="165"/>
      <c r="B5693" s="171"/>
      <c r="C5693" s="165"/>
    </row>
    <row r="5694" spans="1:3" ht="16.8">
      <c r="A5694" s="165"/>
      <c r="B5694" s="171"/>
      <c r="C5694" s="165"/>
    </row>
    <row r="5695" spans="1:3" ht="16.8">
      <c r="A5695" s="165"/>
      <c r="B5695" s="171"/>
      <c r="C5695" s="165"/>
    </row>
    <row r="5696" spans="1:3" ht="16.8">
      <c r="A5696" s="165"/>
      <c r="B5696" s="171"/>
      <c r="C5696" s="165"/>
    </row>
    <row r="5697" spans="1:3" ht="16.8">
      <c r="A5697" s="165"/>
      <c r="B5697" s="171"/>
      <c r="C5697" s="165"/>
    </row>
    <row r="5698" spans="1:3" ht="16.8">
      <c r="A5698" s="165"/>
      <c r="B5698" s="171"/>
      <c r="C5698" s="165"/>
    </row>
    <row r="5699" spans="1:3" ht="16.8">
      <c r="A5699" s="165"/>
      <c r="B5699" s="171"/>
      <c r="C5699" s="165"/>
    </row>
    <row r="5700" spans="1:3" ht="16.8">
      <c r="A5700" s="165"/>
      <c r="B5700" s="171"/>
      <c r="C5700" s="165"/>
    </row>
    <row r="5701" spans="1:3" ht="16.8">
      <c r="A5701" s="165"/>
      <c r="B5701" s="171"/>
      <c r="C5701" s="165"/>
    </row>
    <row r="5702" spans="1:3" ht="16.8">
      <c r="A5702" s="165"/>
      <c r="B5702" s="171"/>
      <c r="C5702" s="165"/>
    </row>
    <row r="5703" spans="1:3" ht="16.8">
      <c r="A5703" s="165"/>
      <c r="B5703" s="171"/>
      <c r="C5703" s="165"/>
    </row>
    <row r="5704" spans="1:3" ht="16.8">
      <c r="A5704" s="165"/>
      <c r="B5704" s="171"/>
      <c r="C5704" s="165"/>
    </row>
    <row r="5705" spans="1:3" ht="16.8">
      <c r="A5705" s="165"/>
      <c r="B5705" s="171"/>
      <c r="C5705" s="165"/>
    </row>
    <row r="5706" spans="1:3" ht="16.8">
      <c r="A5706" s="165"/>
      <c r="B5706" s="171"/>
      <c r="C5706" s="165"/>
    </row>
    <row r="5707" spans="1:3" ht="16.8">
      <c r="A5707" s="165"/>
      <c r="B5707" s="171"/>
      <c r="C5707" s="165"/>
    </row>
    <row r="5708" spans="1:3" ht="16.8">
      <c r="A5708" s="165"/>
      <c r="B5708" s="171"/>
      <c r="C5708" s="165"/>
    </row>
    <row r="5709" spans="1:3" ht="16.8">
      <c r="A5709" s="165"/>
      <c r="B5709" s="171"/>
      <c r="C5709" s="165"/>
    </row>
    <row r="5710" spans="1:3" ht="16.8">
      <c r="A5710" s="165"/>
      <c r="B5710" s="171"/>
      <c r="C5710" s="165"/>
    </row>
    <row r="5711" spans="1:3" ht="16.8">
      <c r="A5711" s="165"/>
      <c r="B5711" s="171"/>
      <c r="C5711" s="165"/>
    </row>
    <row r="5712" spans="1:3" ht="16.8">
      <c r="A5712" s="165"/>
      <c r="B5712" s="171"/>
      <c r="C5712" s="165"/>
    </row>
    <row r="5713" spans="1:3" ht="16.8">
      <c r="A5713" s="165"/>
      <c r="B5713" s="171"/>
      <c r="C5713" s="165"/>
    </row>
    <row r="5714" spans="1:3" ht="16.8">
      <c r="A5714" s="165"/>
      <c r="B5714" s="171"/>
      <c r="C5714" s="165"/>
    </row>
    <row r="5715" spans="1:3" ht="16.8">
      <c r="A5715" s="165"/>
      <c r="B5715" s="171"/>
      <c r="C5715" s="165"/>
    </row>
    <row r="5716" spans="1:3" ht="16.8">
      <c r="A5716" s="165"/>
      <c r="B5716" s="171"/>
      <c r="C5716" s="165"/>
    </row>
    <row r="5717" spans="1:3" ht="16.8">
      <c r="A5717" s="165"/>
      <c r="B5717" s="171"/>
      <c r="C5717" s="165"/>
    </row>
    <row r="5718" spans="1:3" ht="16.8">
      <c r="A5718" s="165"/>
      <c r="B5718" s="171"/>
      <c r="C5718" s="165"/>
    </row>
    <row r="5719" spans="1:3" ht="16.8">
      <c r="A5719" s="165"/>
      <c r="B5719" s="171"/>
      <c r="C5719" s="165"/>
    </row>
    <row r="5720" spans="1:3" ht="16.8">
      <c r="A5720" s="165"/>
      <c r="B5720" s="171"/>
      <c r="C5720" s="165"/>
    </row>
    <row r="5721" spans="1:3" ht="16.8">
      <c r="A5721" s="165"/>
      <c r="B5721" s="171"/>
      <c r="C5721" s="165"/>
    </row>
    <row r="5722" spans="1:3" ht="16.8">
      <c r="A5722" s="165"/>
      <c r="B5722" s="171"/>
      <c r="C5722" s="165"/>
    </row>
    <row r="5723" spans="1:3" ht="16.8">
      <c r="A5723" s="165"/>
      <c r="B5723" s="171"/>
      <c r="C5723" s="165"/>
    </row>
    <row r="5724" spans="1:3" ht="16.8">
      <c r="A5724" s="165"/>
      <c r="B5724" s="171"/>
      <c r="C5724" s="165"/>
    </row>
    <row r="5725" spans="1:3" ht="16.8">
      <c r="A5725" s="165"/>
      <c r="B5725" s="171"/>
      <c r="C5725" s="165"/>
    </row>
    <row r="5726" spans="1:3" ht="16.8">
      <c r="A5726" s="165"/>
      <c r="B5726" s="171"/>
      <c r="C5726" s="165"/>
    </row>
    <row r="5727" spans="1:3" ht="16.8">
      <c r="A5727" s="165"/>
      <c r="B5727" s="171"/>
      <c r="C5727" s="165"/>
    </row>
    <row r="5728" spans="1:3" ht="16.8">
      <c r="A5728" s="165"/>
      <c r="B5728" s="171"/>
      <c r="C5728" s="165"/>
    </row>
    <row r="5729" spans="1:3" ht="16.8">
      <c r="A5729" s="165"/>
      <c r="B5729" s="171"/>
      <c r="C5729" s="165"/>
    </row>
    <row r="5730" spans="1:3" ht="16.8">
      <c r="A5730" s="165"/>
      <c r="B5730" s="171"/>
      <c r="C5730" s="165"/>
    </row>
    <row r="5731" spans="1:3" ht="16.8">
      <c r="A5731" s="165"/>
      <c r="B5731" s="171"/>
      <c r="C5731" s="165"/>
    </row>
    <row r="5732" spans="1:3" ht="16.8">
      <c r="A5732" s="165"/>
      <c r="B5732" s="171"/>
      <c r="C5732" s="165"/>
    </row>
    <row r="5733" spans="1:3" ht="16.8">
      <c r="A5733" s="165"/>
      <c r="B5733" s="171"/>
      <c r="C5733" s="165"/>
    </row>
    <row r="5734" spans="1:3" ht="16.8">
      <c r="A5734" s="165"/>
      <c r="B5734" s="171"/>
      <c r="C5734" s="165"/>
    </row>
    <row r="5735" spans="1:3" ht="16.8">
      <c r="A5735" s="165"/>
      <c r="B5735" s="171"/>
      <c r="C5735" s="165"/>
    </row>
    <row r="5736" spans="1:3" ht="16.8">
      <c r="A5736" s="165"/>
      <c r="B5736" s="171"/>
      <c r="C5736" s="165"/>
    </row>
    <row r="5737" spans="1:3" ht="16.8">
      <c r="A5737" s="165"/>
      <c r="B5737" s="171"/>
      <c r="C5737" s="165"/>
    </row>
    <row r="5738" spans="1:3" ht="16.8">
      <c r="A5738" s="165"/>
      <c r="B5738" s="171"/>
      <c r="C5738" s="165"/>
    </row>
    <row r="5739" spans="1:3" ht="16.8">
      <c r="A5739" s="165"/>
      <c r="B5739" s="171"/>
      <c r="C5739" s="165"/>
    </row>
    <row r="5740" spans="1:3" ht="16.8">
      <c r="A5740" s="165"/>
      <c r="B5740" s="171"/>
      <c r="C5740" s="165"/>
    </row>
    <row r="5741" spans="1:3" ht="16.8">
      <c r="A5741" s="165"/>
      <c r="B5741" s="171"/>
      <c r="C5741" s="165"/>
    </row>
    <row r="5742" spans="1:3" ht="16.8">
      <c r="A5742" s="165"/>
      <c r="B5742" s="171"/>
      <c r="C5742" s="165"/>
    </row>
    <row r="5743" spans="1:3" ht="16.8">
      <c r="A5743" s="165"/>
      <c r="B5743" s="171"/>
      <c r="C5743" s="165"/>
    </row>
    <row r="5744" spans="1:3" ht="16.8">
      <c r="A5744" s="165"/>
      <c r="B5744" s="171"/>
      <c r="C5744" s="165"/>
    </row>
    <row r="5745" spans="1:3" ht="16.8">
      <c r="A5745" s="165"/>
      <c r="B5745" s="171"/>
      <c r="C5745" s="165"/>
    </row>
    <row r="5746" spans="1:3" ht="16.8">
      <c r="A5746" s="165"/>
      <c r="B5746" s="171"/>
      <c r="C5746" s="165"/>
    </row>
    <row r="5747" spans="1:3" ht="16.8">
      <c r="A5747" s="165"/>
      <c r="B5747" s="171"/>
      <c r="C5747" s="165"/>
    </row>
    <row r="5748" spans="1:3" ht="16.8">
      <c r="A5748" s="165"/>
      <c r="B5748" s="171"/>
      <c r="C5748" s="165"/>
    </row>
    <row r="5749" spans="1:3" ht="16.8">
      <c r="A5749" s="165"/>
      <c r="B5749" s="171"/>
      <c r="C5749" s="165"/>
    </row>
    <row r="5750" spans="1:3" ht="16.8">
      <c r="A5750" s="165"/>
      <c r="B5750" s="171"/>
      <c r="C5750" s="165"/>
    </row>
    <row r="5751" spans="1:3" ht="16.8">
      <c r="A5751" s="165"/>
      <c r="B5751" s="171"/>
      <c r="C5751" s="165"/>
    </row>
    <row r="5752" spans="1:3" ht="16.8">
      <c r="A5752" s="165"/>
      <c r="B5752" s="171"/>
      <c r="C5752" s="165"/>
    </row>
    <row r="5753" spans="1:3" ht="16.8">
      <c r="A5753" s="165"/>
      <c r="B5753" s="171"/>
      <c r="C5753" s="165"/>
    </row>
    <row r="5754" spans="1:3" ht="16.8">
      <c r="A5754" s="165"/>
      <c r="B5754" s="171"/>
      <c r="C5754" s="165"/>
    </row>
    <row r="5755" spans="1:3" ht="16.8">
      <c r="A5755" s="165"/>
      <c r="B5755" s="171"/>
      <c r="C5755" s="165"/>
    </row>
    <row r="5756" spans="1:3" ht="16.8">
      <c r="A5756" s="165"/>
      <c r="B5756" s="171"/>
      <c r="C5756" s="165"/>
    </row>
    <row r="5757" spans="1:3" ht="16.8">
      <c r="A5757" s="165"/>
      <c r="B5757" s="171"/>
      <c r="C5757" s="165"/>
    </row>
    <row r="5758" spans="1:3" ht="16.8">
      <c r="A5758" s="165"/>
      <c r="B5758" s="171"/>
      <c r="C5758" s="165"/>
    </row>
    <row r="5759" spans="1:3" ht="16.8">
      <c r="A5759" s="165"/>
      <c r="B5759" s="171"/>
      <c r="C5759" s="165"/>
    </row>
    <row r="5760" spans="1:3" ht="16.8">
      <c r="A5760" s="165"/>
      <c r="B5760" s="171"/>
      <c r="C5760" s="165"/>
    </row>
    <row r="5761" spans="1:3" ht="16.8">
      <c r="A5761" s="165"/>
      <c r="B5761" s="171"/>
      <c r="C5761" s="165"/>
    </row>
    <row r="5762" spans="1:3" ht="16.8">
      <c r="A5762" s="165"/>
      <c r="B5762" s="171"/>
      <c r="C5762" s="165"/>
    </row>
    <row r="5763" spans="1:3" ht="16.8">
      <c r="A5763" s="165"/>
      <c r="B5763" s="171"/>
      <c r="C5763" s="165"/>
    </row>
    <row r="5764" spans="1:3" ht="16.8">
      <c r="A5764" s="165"/>
      <c r="B5764" s="171"/>
      <c r="C5764" s="165"/>
    </row>
    <row r="5765" spans="1:3" ht="16.8">
      <c r="A5765" s="165"/>
      <c r="B5765" s="171"/>
      <c r="C5765" s="165"/>
    </row>
    <row r="5766" spans="1:3" ht="16.8">
      <c r="A5766" s="165"/>
      <c r="B5766" s="171"/>
      <c r="C5766" s="165"/>
    </row>
    <row r="5767" spans="1:3" ht="16.8">
      <c r="A5767" s="165"/>
      <c r="B5767" s="171"/>
      <c r="C5767" s="165"/>
    </row>
    <row r="5768" spans="1:3" ht="16.8">
      <c r="A5768" s="165"/>
      <c r="B5768" s="171"/>
      <c r="C5768" s="165"/>
    </row>
    <row r="5769" spans="1:3" ht="16.8">
      <c r="A5769" s="165"/>
      <c r="B5769" s="171"/>
      <c r="C5769" s="165"/>
    </row>
    <row r="5770" spans="1:3" ht="16.8">
      <c r="A5770" s="165"/>
      <c r="B5770" s="171"/>
      <c r="C5770" s="165"/>
    </row>
    <row r="5771" spans="1:3" ht="16.8">
      <c r="A5771" s="165"/>
      <c r="B5771" s="171"/>
      <c r="C5771" s="165"/>
    </row>
    <row r="5772" spans="1:3" ht="16.8">
      <c r="A5772" s="165"/>
      <c r="B5772" s="171"/>
      <c r="C5772" s="165"/>
    </row>
    <row r="5773" spans="1:3" ht="16.8">
      <c r="A5773" s="165"/>
      <c r="B5773" s="171"/>
      <c r="C5773" s="165"/>
    </row>
    <row r="5774" spans="1:3" ht="16.8">
      <c r="A5774" s="165"/>
      <c r="B5774" s="171"/>
      <c r="C5774" s="165"/>
    </row>
    <row r="5775" spans="1:3" ht="16.8">
      <c r="A5775" s="165"/>
      <c r="B5775" s="171"/>
      <c r="C5775" s="165"/>
    </row>
    <row r="5776" spans="1:3" ht="16.8">
      <c r="A5776" s="165"/>
      <c r="B5776" s="171"/>
      <c r="C5776" s="165"/>
    </row>
    <row r="5777" spans="1:3" ht="16.8">
      <c r="A5777" s="165"/>
      <c r="B5777" s="171"/>
      <c r="C5777" s="165"/>
    </row>
    <row r="5778" spans="1:3" ht="16.8">
      <c r="A5778" s="165"/>
      <c r="B5778" s="171"/>
      <c r="C5778" s="165"/>
    </row>
    <row r="5779" spans="1:3" ht="16.8">
      <c r="A5779" s="165"/>
      <c r="B5779" s="171"/>
      <c r="C5779" s="165"/>
    </row>
    <row r="5780" spans="1:3" ht="16.8">
      <c r="A5780" s="165"/>
      <c r="B5780" s="171"/>
      <c r="C5780" s="165"/>
    </row>
    <row r="5781" spans="1:3" ht="16.8">
      <c r="A5781" s="165"/>
      <c r="B5781" s="171"/>
      <c r="C5781" s="165"/>
    </row>
    <row r="5782" spans="1:3" ht="16.8">
      <c r="A5782" s="165"/>
      <c r="B5782" s="171"/>
      <c r="C5782" s="165"/>
    </row>
    <row r="5783" spans="1:3" ht="16.8">
      <c r="A5783" s="165"/>
      <c r="B5783" s="171"/>
      <c r="C5783" s="165"/>
    </row>
    <row r="5784" spans="1:3" ht="16.8">
      <c r="A5784" s="165"/>
      <c r="B5784" s="171"/>
      <c r="C5784" s="165"/>
    </row>
    <row r="5785" spans="1:3" ht="16.8">
      <c r="A5785" s="165"/>
      <c r="B5785" s="171"/>
      <c r="C5785" s="165"/>
    </row>
    <row r="5786" spans="1:3" ht="16.8">
      <c r="A5786" s="165"/>
      <c r="B5786" s="171"/>
      <c r="C5786" s="165"/>
    </row>
    <row r="5787" spans="1:3" ht="16.8">
      <c r="A5787" s="165"/>
      <c r="B5787" s="171"/>
      <c r="C5787" s="165"/>
    </row>
    <row r="5788" spans="1:3" ht="16.8">
      <c r="A5788" s="165"/>
      <c r="B5788" s="171"/>
      <c r="C5788" s="165"/>
    </row>
    <row r="5789" spans="1:3" ht="16.8">
      <c r="A5789" s="165"/>
      <c r="B5789" s="171"/>
      <c r="C5789" s="165"/>
    </row>
    <row r="5790" spans="1:3" ht="16.8">
      <c r="A5790" s="165"/>
      <c r="B5790" s="171"/>
      <c r="C5790" s="165"/>
    </row>
    <row r="5791" spans="1:3" ht="16.8">
      <c r="A5791" s="165"/>
      <c r="B5791" s="171"/>
      <c r="C5791" s="165"/>
    </row>
    <row r="5792" spans="1:3" ht="16.8">
      <c r="A5792" s="165"/>
      <c r="B5792" s="171"/>
      <c r="C5792" s="165"/>
    </row>
    <row r="5793" spans="1:3" ht="16.8">
      <c r="A5793" s="165"/>
      <c r="B5793" s="171"/>
      <c r="C5793" s="165"/>
    </row>
    <row r="5794" spans="1:3" ht="16.8">
      <c r="A5794" s="165"/>
      <c r="B5794" s="171"/>
      <c r="C5794" s="165"/>
    </row>
    <row r="5795" spans="1:3" ht="16.8">
      <c r="A5795" s="165"/>
      <c r="B5795" s="171"/>
      <c r="C5795" s="165"/>
    </row>
    <row r="5796" spans="1:3" ht="16.8">
      <c r="A5796" s="165"/>
      <c r="B5796" s="171"/>
      <c r="C5796" s="165"/>
    </row>
    <row r="5797" spans="1:3" ht="16.8">
      <c r="A5797" s="165"/>
      <c r="B5797" s="171"/>
      <c r="C5797" s="165"/>
    </row>
    <row r="5798" spans="1:3" ht="16.8">
      <c r="A5798" s="165"/>
      <c r="B5798" s="171"/>
      <c r="C5798" s="165"/>
    </row>
    <row r="5799" spans="1:3" ht="16.8">
      <c r="A5799" s="165"/>
      <c r="B5799" s="171"/>
      <c r="C5799" s="165"/>
    </row>
    <row r="5800" spans="1:3" ht="16.8">
      <c r="A5800" s="165"/>
      <c r="B5800" s="171"/>
      <c r="C5800" s="165"/>
    </row>
    <row r="5801" spans="1:3" ht="16.8">
      <c r="A5801" s="165"/>
      <c r="B5801" s="171"/>
      <c r="C5801" s="165"/>
    </row>
    <row r="5802" spans="1:3" ht="16.8">
      <c r="A5802" s="165"/>
      <c r="B5802" s="171"/>
      <c r="C5802" s="165"/>
    </row>
    <row r="5803" spans="1:3" ht="16.8">
      <c r="A5803" s="165"/>
      <c r="B5803" s="171"/>
      <c r="C5803" s="165"/>
    </row>
    <row r="5804" spans="1:3" ht="16.8">
      <c r="A5804" s="165"/>
      <c r="B5804" s="171"/>
      <c r="C5804" s="165"/>
    </row>
    <row r="5805" spans="1:3" ht="16.8">
      <c r="A5805" s="165"/>
      <c r="B5805" s="171"/>
      <c r="C5805" s="165"/>
    </row>
    <row r="5806" spans="1:3" ht="16.8">
      <c r="A5806" s="165"/>
      <c r="B5806" s="171"/>
      <c r="C5806" s="165"/>
    </row>
    <row r="5807" spans="1:3" ht="16.8">
      <c r="A5807" s="165"/>
      <c r="B5807" s="171"/>
      <c r="C5807" s="165"/>
    </row>
    <row r="5808" spans="1:3" ht="16.8">
      <c r="A5808" s="165"/>
      <c r="B5808" s="171"/>
      <c r="C5808" s="165"/>
    </row>
    <row r="5809" spans="1:3" ht="16.8">
      <c r="A5809" s="165"/>
      <c r="B5809" s="171"/>
      <c r="C5809" s="165"/>
    </row>
    <row r="5810" spans="1:3" ht="16.8">
      <c r="A5810" s="165"/>
      <c r="B5810" s="171"/>
      <c r="C5810" s="165"/>
    </row>
    <row r="5811" spans="1:3" ht="16.8">
      <c r="A5811" s="165"/>
      <c r="B5811" s="171"/>
      <c r="C5811" s="165"/>
    </row>
    <row r="5812" spans="1:3" ht="16.8">
      <c r="A5812" s="165"/>
      <c r="B5812" s="171"/>
      <c r="C5812" s="165"/>
    </row>
    <row r="5813" spans="1:3" ht="16.8">
      <c r="A5813" s="165"/>
      <c r="B5813" s="171"/>
      <c r="C5813" s="165"/>
    </row>
    <row r="5814" spans="1:3" ht="16.8">
      <c r="A5814" s="165"/>
      <c r="B5814" s="171"/>
      <c r="C5814" s="165"/>
    </row>
    <row r="5815" spans="1:3" ht="16.8">
      <c r="A5815" s="165"/>
      <c r="B5815" s="171"/>
      <c r="C5815" s="165"/>
    </row>
    <row r="5816" spans="1:3" ht="16.8">
      <c r="A5816" s="165"/>
      <c r="B5816" s="171"/>
      <c r="C5816" s="165"/>
    </row>
    <row r="5817" spans="1:3" ht="16.8">
      <c r="A5817" s="165"/>
      <c r="B5817" s="171"/>
      <c r="C5817" s="165"/>
    </row>
    <row r="5818" spans="1:3" ht="16.8">
      <c r="A5818" s="165"/>
      <c r="B5818" s="171"/>
      <c r="C5818" s="165"/>
    </row>
    <row r="5819" spans="1:3" ht="16.8">
      <c r="A5819" s="165"/>
      <c r="B5819" s="171"/>
      <c r="C5819" s="165"/>
    </row>
    <row r="5820" spans="1:3" ht="16.8">
      <c r="A5820" s="165"/>
      <c r="B5820" s="171"/>
      <c r="C5820" s="165"/>
    </row>
    <row r="5821" spans="1:3" ht="16.8">
      <c r="A5821" s="165"/>
      <c r="B5821" s="171"/>
      <c r="C5821" s="165"/>
    </row>
    <row r="5822" spans="1:3" ht="16.8">
      <c r="A5822" s="165"/>
      <c r="B5822" s="171"/>
      <c r="C5822" s="165"/>
    </row>
    <row r="5823" spans="1:3" ht="16.8">
      <c r="A5823" s="165"/>
      <c r="B5823" s="171"/>
      <c r="C5823" s="165"/>
    </row>
    <row r="5824" spans="1:3" ht="16.8">
      <c r="A5824" s="165"/>
      <c r="B5824" s="171"/>
      <c r="C5824" s="165"/>
    </row>
    <row r="5825" spans="1:3" ht="16.8">
      <c r="A5825" s="165"/>
      <c r="B5825" s="171"/>
      <c r="C5825" s="165"/>
    </row>
    <row r="5826" spans="1:3" ht="16.8">
      <c r="A5826" s="165"/>
      <c r="B5826" s="171"/>
      <c r="C5826" s="165"/>
    </row>
    <row r="5827" spans="1:3" ht="16.8">
      <c r="A5827" s="165"/>
      <c r="B5827" s="171"/>
      <c r="C5827" s="165"/>
    </row>
    <row r="5828" spans="1:3" ht="16.8">
      <c r="A5828" s="165"/>
      <c r="B5828" s="171"/>
      <c r="C5828" s="165"/>
    </row>
    <row r="5829" spans="1:3" ht="16.8">
      <c r="A5829" s="165"/>
      <c r="B5829" s="171"/>
      <c r="C5829" s="165"/>
    </row>
    <row r="5830" spans="1:3" ht="16.8">
      <c r="A5830" s="165"/>
      <c r="B5830" s="171"/>
      <c r="C5830" s="165"/>
    </row>
    <row r="5831" spans="1:3" ht="16.8">
      <c r="A5831" s="165"/>
      <c r="B5831" s="171"/>
      <c r="C5831" s="165"/>
    </row>
    <row r="5832" spans="1:3" ht="16.8">
      <c r="A5832" s="165"/>
      <c r="B5832" s="171"/>
      <c r="C5832" s="165"/>
    </row>
    <row r="5833" spans="1:3" ht="16.8">
      <c r="A5833" s="165"/>
      <c r="B5833" s="171"/>
      <c r="C5833" s="165"/>
    </row>
    <row r="5834" spans="1:3" ht="16.8">
      <c r="A5834" s="165"/>
      <c r="B5834" s="171"/>
      <c r="C5834" s="165"/>
    </row>
    <row r="5835" spans="1:3" ht="16.8">
      <c r="A5835" s="165"/>
      <c r="B5835" s="171"/>
      <c r="C5835" s="165"/>
    </row>
    <row r="5836" spans="1:3" ht="16.8">
      <c r="A5836" s="165"/>
      <c r="B5836" s="171"/>
      <c r="C5836" s="165"/>
    </row>
    <row r="5837" spans="1:3" ht="16.8">
      <c r="A5837" s="165"/>
      <c r="B5837" s="171"/>
      <c r="C5837" s="165"/>
    </row>
    <row r="5838" spans="1:3" ht="16.8">
      <c r="A5838" s="165"/>
      <c r="B5838" s="171"/>
      <c r="C5838" s="165"/>
    </row>
    <row r="5839" spans="1:3" ht="16.8">
      <c r="A5839" s="165"/>
      <c r="B5839" s="171"/>
      <c r="C5839" s="165"/>
    </row>
    <row r="5840" spans="1:3" ht="16.8">
      <c r="A5840" s="165"/>
      <c r="B5840" s="171"/>
      <c r="C5840" s="165"/>
    </row>
    <row r="5841" spans="1:3" ht="16.8">
      <c r="A5841" s="165"/>
      <c r="B5841" s="171"/>
      <c r="C5841" s="165"/>
    </row>
    <row r="5842" spans="1:3" ht="16.8">
      <c r="A5842" s="165"/>
      <c r="B5842" s="171"/>
      <c r="C5842" s="165"/>
    </row>
    <row r="5843" spans="1:3" ht="16.8">
      <c r="A5843" s="165"/>
      <c r="B5843" s="171"/>
      <c r="C5843" s="165"/>
    </row>
    <row r="5844" spans="1:3" ht="16.8">
      <c r="A5844" s="165"/>
      <c r="B5844" s="171"/>
      <c r="C5844" s="165"/>
    </row>
    <row r="5845" spans="1:3" ht="16.8">
      <c r="A5845" s="165"/>
      <c r="B5845" s="171"/>
      <c r="C5845" s="165"/>
    </row>
    <row r="5846" spans="1:3" ht="16.8">
      <c r="A5846" s="165"/>
      <c r="B5846" s="171"/>
      <c r="C5846" s="165"/>
    </row>
    <row r="5847" spans="1:3" ht="16.8">
      <c r="A5847" s="165"/>
      <c r="B5847" s="171"/>
      <c r="C5847" s="165"/>
    </row>
    <row r="5848" spans="1:3" ht="16.8">
      <c r="A5848" s="165"/>
      <c r="B5848" s="171"/>
      <c r="C5848" s="165"/>
    </row>
    <row r="5849" spans="1:3" ht="16.8">
      <c r="A5849" s="165"/>
      <c r="B5849" s="171"/>
      <c r="C5849" s="165"/>
    </row>
    <row r="5850" spans="1:3" ht="16.8">
      <c r="A5850" s="165"/>
      <c r="B5850" s="171"/>
      <c r="C5850" s="165"/>
    </row>
    <row r="5851" spans="1:3" ht="16.8">
      <c r="A5851" s="165"/>
      <c r="B5851" s="171"/>
      <c r="C5851" s="165"/>
    </row>
    <row r="5852" spans="1:3" ht="16.8">
      <c r="A5852" s="165"/>
      <c r="B5852" s="171"/>
      <c r="C5852" s="165"/>
    </row>
    <row r="5853" spans="1:3" ht="16.8">
      <c r="A5853" s="165"/>
      <c r="B5853" s="171"/>
      <c r="C5853" s="165"/>
    </row>
    <row r="5854" spans="1:3" ht="16.8">
      <c r="A5854" s="165"/>
      <c r="B5854" s="171"/>
      <c r="C5854" s="165"/>
    </row>
    <row r="5855" spans="1:3" ht="16.8">
      <c r="A5855" s="165"/>
      <c r="B5855" s="171"/>
      <c r="C5855" s="165"/>
    </row>
    <row r="5856" spans="1:3" ht="16.8">
      <c r="A5856" s="165"/>
      <c r="B5856" s="171"/>
      <c r="C5856" s="165"/>
    </row>
    <row r="5857" spans="1:3" ht="16.8">
      <c r="A5857" s="165"/>
      <c r="B5857" s="171"/>
      <c r="C5857" s="165"/>
    </row>
    <row r="5858" spans="1:3" ht="16.8">
      <c r="A5858" s="165"/>
      <c r="B5858" s="171"/>
      <c r="C5858" s="165"/>
    </row>
    <row r="5859" spans="1:3" ht="16.8">
      <c r="A5859" s="165"/>
      <c r="B5859" s="171"/>
      <c r="C5859" s="165"/>
    </row>
    <row r="5860" spans="1:3" ht="16.8">
      <c r="A5860" s="165"/>
      <c r="B5860" s="171"/>
      <c r="C5860" s="165"/>
    </row>
    <row r="5861" spans="1:3" ht="16.8">
      <c r="A5861" s="165"/>
      <c r="B5861" s="171"/>
      <c r="C5861" s="165"/>
    </row>
    <row r="5862" spans="1:3" ht="16.8">
      <c r="A5862" s="165"/>
      <c r="B5862" s="171"/>
      <c r="C5862" s="165"/>
    </row>
    <row r="5863" spans="1:3" ht="16.8">
      <c r="A5863" s="165"/>
      <c r="B5863" s="171"/>
      <c r="C5863" s="165"/>
    </row>
    <row r="5864" spans="1:3" ht="16.8">
      <c r="A5864" s="165"/>
      <c r="B5864" s="171"/>
      <c r="C5864" s="165"/>
    </row>
    <row r="5865" spans="1:3" ht="16.8">
      <c r="A5865" s="165"/>
      <c r="B5865" s="171"/>
      <c r="C5865" s="165"/>
    </row>
    <row r="5866" spans="1:3" ht="16.8">
      <c r="A5866" s="165"/>
      <c r="B5866" s="171"/>
      <c r="C5866" s="165"/>
    </row>
    <row r="5867" spans="1:3" ht="16.8">
      <c r="A5867" s="165"/>
      <c r="B5867" s="171"/>
      <c r="C5867" s="165"/>
    </row>
    <row r="5868" spans="1:3" ht="16.8">
      <c r="A5868" s="165"/>
      <c r="B5868" s="171"/>
      <c r="C5868" s="165"/>
    </row>
    <row r="5869" spans="1:3" ht="16.8">
      <c r="A5869" s="165"/>
      <c r="B5869" s="171"/>
      <c r="C5869" s="165"/>
    </row>
    <row r="5870" spans="1:3" ht="16.8">
      <c r="A5870" s="165"/>
      <c r="B5870" s="171"/>
      <c r="C5870" s="165"/>
    </row>
    <row r="5871" spans="1:3" ht="16.8">
      <c r="A5871" s="165"/>
      <c r="B5871" s="171"/>
      <c r="C5871" s="165"/>
    </row>
    <row r="5872" spans="1:3" ht="16.8">
      <c r="A5872" s="165"/>
      <c r="B5872" s="171"/>
      <c r="C5872" s="165"/>
    </row>
    <row r="5873" spans="1:3" ht="16.8">
      <c r="A5873" s="165"/>
      <c r="B5873" s="171"/>
      <c r="C5873" s="165"/>
    </row>
    <row r="5874" spans="1:3" ht="16.8">
      <c r="A5874" s="165"/>
      <c r="B5874" s="171"/>
      <c r="C5874" s="165"/>
    </row>
    <row r="5875" spans="1:3" ht="16.8">
      <c r="A5875" s="165"/>
      <c r="B5875" s="171"/>
      <c r="C5875" s="165"/>
    </row>
    <row r="5876" spans="1:3" ht="16.8">
      <c r="A5876" s="165"/>
      <c r="B5876" s="171"/>
      <c r="C5876" s="165"/>
    </row>
    <row r="5877" spans="1:3" ht="16.8">
      <c r="A5877" s="165"/>
      <c r="B5877" s="171"/>
      <c r="C5877" s="165"/>
    </row>
    <row r="5878" spans="1:3" ht="16.8">
      <c r="A5878" s="165"/>
      <c r="B5878" s="171"/>
      <c r="C5878" s="165"/>
    </row>
    <row r="5879" spans="1:3" ht="16.8">
      <c r="A5879" s="165"/>
      <c r="B5879" s="171"/>
      <c r="C5879" s="165"/>
    </row>
    <row r="5880" spans="1:3" ht="16.8">
      <c r="A5880" s="165"/>
      <c r="B5880" s="171"/>
      <c r="C5880" s="165"/>
    </row>
    <row r="5881" spans="1:3" ht="16.8">
      <c r="A5881" s="165"/>
      <c r="B5881" s="171"/>
      <c r="C5881" s="165"/>
    </row>
    <row r="5882" spans="1:3" ht="16.8">
      <c r="A5882" s="165"/>
      <c r="B5882" s="171"/>
      <c r="C5882" s="165"/>
    </row>
    <row r="5883" spans="1:3" ht="16.8">
      <c r="A5883" s="165"/>
      <c r="B5883" s="171"/>
      <c r="C5883" s="165"/>
    </row>
    <row r="5884" spans="1:3" ht="16.8">
      <c r="A5884" s="165"/>
      <c r="B5884" s="171"/>
      <c r="C5884" s="165"/>
    </row>
    <row r="5885" spans="1:3" ht="16.8">
      <c r="A5885" s="165"/>
      <c r="B5885" s="171"/>
      <c r="C5885" s="165"/>
    </row>
    <row r="5886" spans="1:3" ht="16.8">
      <c r="A5886" s="165"/>
      <c r="B5886" s="171"/>
      <c r="C5886" s="165"/>
    </row>
    <row r="5887" spans="1:3" ht="16.8">
      <c r="A5887" s="165"/>
      <c r="B5887" s="171"/>
      <c r="C5887" s="165"/>
    </row>
    <row r="5888" spans="1:3" ht="16.8">
      <c r="A5888" s="165"/>
      <c r="B5888" s="171"/>
      <c r="C5888" s="165"/>
    </row>
    <row r="5889" spans="1:3" ht="16.8">
      <c r="A5889" s="165"/>
      <c r="B5889" s="171"/>
      <c r="C5889" s="165"/>
    </row>
    <row r="5890" spans="1:3" ht="16.8">
      <c r="A5890" s="165"/>
      <c r="B5890" s="171"/>
      <c r="C5890" s="165"/>
    </row>
    <row r="5891" spans="1:3" ht="16.8">
      <c r="A5891" s="165"/>
      <c r="B5891" s="171"/>
      <c r="C5891" s="165"/>
    </row>
    <row r="5892" spans="1:3" ht="16.8">
      <c r="A5892" s="165"/>
      <c r="B5892" s="171"/>
      <c r="C5892" s="165"/>
    </row>
    <row r="5893" spans="1:3" ht="16.8">
      <c r="A5893" s="165"/>
      <c r="B5893" s="171"/>
      <c r="C5893" s="165"/>
    </row>
    <row r="5894" spans="1:3" ht="16.8">
      <c r="A5894" s="165"/>
      <c r="B5894" s="171"/>
      <c r="C5894" s="165"/>
    </row>
    <row r="5895" spans="1:3" ht="16.8">
      <c r="A5895" s="165"/>
      <c r="B5895" s="171"/>
      <c r="C5895" s="165"/>
    </row>
    <row r="5896" spans="1:3" ht="16.8">
      <c r="A5896" s="165"/>
      <c r="B5896" s="171"/>
      <c r="C5896" s="165"/>
    </row>
    <row r="5897" spans="1:3" ht="16.8">
      <c r="A5897" s="165"/>
      <c r="B5897" s="171"/>
      <c r="C5897" s="165"/>
    </row>
    <row r="5898" spans="1:3" ht="16.8">
      <c r="A5898" s="165"/>
      <c r="B5898" s="171"/>
      <c r="C5898" s="165"/>
    </row>
    <row r="5899" spans="1:3" ht="16.8">
      <c r="A5899" s="165"/>
      <c r="B5899" s="171"/>
      <c r="C5899" s="165"/>
    </row>
    <row r="5900" spans="1:3" ht="16.8">
      <c r="A5900" s="165"/>
      <c r="B5900" s="171"/>
      <c r="C5900" s="165"/>
    </row>
    <row r="5901" spans="1:3" ht="16.8">
      <c r="A5901" s="165"/>
      <c r="B5901" s="171"/>
      <c r="C5901" s="165"/>
    </row>
    <row r="5902" spans="1:3" ht="16.8">
      <c r="A5902" s="165"/>
      <c r="B5902" s="171"/>
      <c r="C5902" s="165"/>
    </row>
    <row r="5903" spans="1:3" ht="16.8">
      <c r="A5903" s="165"/>
      <c r="B5903" s="171"/>
      <c r="C5903" s="165"/>
    </row>
    <row r="5904" spans="1:3" ht="16.8">
      <c r="A5904" s="165"/>
      <c r="B5904" s="171"/>
      <c r="C5904" s="165"/>
    </row>
    <row r="5905" spans="1:3" ht="16.8">
      <c r="A5905" s="165"/>
      <c r="B5905" s="171"/>
      <c r="C5905" s="165"/>
    </row>
    <row r="5906" spans="1:3" ht="16.8">
      <c r="A5906" s="165"/>
      <c r="B5906" s="171"/>
      <c r="C5906" s="165"/>
    </row>
    <row r="5907" spans="1:3" ht="16.8">
      <c r="A5907" s="165"/>
      <c r="B5907" s="171"/>
      <c r="C5907" s="165"/>
    </row>
    <row r="5908" spans="1:3" ht="16.8">
      <c r="A5908" s="165"/>
      <c r="B5908" s="171"/>
      <c r="C5908" s="165"/>
    </row>
    <row r="5909" spans="1:3" ht="16.8">
      <c r="A5909" s="165"/>
      <c r="B5909" s="171"/>
      <c r="C5909" s="165"/>
    </row>
    <row r="5910" spans="1:3" ht="16.8">
      <c r="A5910" s="165"/>
      <c r="B5910" s="171"/>
      <c r="C5910" s="165"/>
    </row>
    <row r="5911" spans="1:3" ht="16.8">
      <c r="A5911" s="165"/>
      <c r="B5911" s="171"/>
      <c r="C5911" s="165"/>
    </row>
    <row r="5912" spans="1:3" ht="16.8">
      <c r="A5912" s="165"/>
      <c r="B5912" s="171"/>
      <c r="C5912" s="165"/>
    </row>
    <row r="5913" spans="1:3" ht="16.8">
      <c r="A5913" s="165"/>
      <c r="B5913" s="171"/>
      <c r="C5913" s="165"/>
    </row>
    <row r="5914" spans="1:3" ht="16.8">
      <c r="A5914" s="165"/>
      <c r="B5914" s="171"/>
      <c r="C5914" s="165"/>
    </row>
    <row r="5915" spans="1:3" ht="16.8">
      <c r="A5915" s="165"/>
      <c r="B5915" s="171"/>
      <c r="C5915" s="165"/>
    </row>
    <row r="5916" spans="1:3" ht="16.8">
      <c r="A5916" s="165"/>
      <c r="B5916" s="171"/>
      <c r="C5916" s="165"/>
    </row>
    <row r="5917" spans="1:3" ht="16.8">
      <c r="A5917" s="165"/>
      <c r="B5917" s="171"/>
      <c r="C5917" s="165"/>
    </row>
    <row r="5918" spans="1:3" ht="16.8">
      <c r="A5918" s="165"/>
      <c r="B5918" s="171"/>
      <c r="C5918" s="165"/>
    </row>
    <row r="5919" spans="1:3" ht="16.8">
      <c r="A5919" s="165"/>
      <c r="B5919" s="171"/>
      <c r="C5919" s="165"/>
    </row>
    <row r="5920" spans="1:3" ht="16.8">
      <c r="A5920" s="165"/>
      <c r="B5920" s="171"/>
      <c r="C5920" s="165"/>
    </row>
    <row r="5921" spans="1:3" ht="16.8">
      <c r="A5921" s="165"/>
      <c r="B5921" s="171"/>
      <c r="C5921" s="165"/>
    </row>
    <row r="5922" spans="1:3" ht="16.8">
      <c r="A5922" s="165"/>
      <c r="B5922" s="171"/>
      <c r="C5922" s="165"/>
    </row>
    <row r="5923" spans="1:3" ht="16.8">
      <c r="A5923" s="165"/>
      <c r="B5923" s="171"/>
      <c r="C5923" s="165"/>
    </row>
    <row r="5924" spans="1:3" ht="16.8">
      <c r="A5924" s="165"/>
      <c r="B5924" s="171"/>
      <c r="C5924" s="165"/>
    </row>
    <row r="5925" spans="1:3" ht="16.8">
      <c r="A5925" s="165"/>
      <c r="B5925" s="171"/>
      <c r="C5925" s="165"/>
    </row>
    <row r="5926" spans="1:3" ht="16.8">
      <c r="A5926" s="165"/>
      <c r="B5926" s="171"/>
      <c r="C5926" s="165"/>
    </row>
    <row r="5927" spans="1:3" ht="16.8">
      <c r="A5927" s="165"/>
      <c r="B5927" s="171"/>
      <c r="C5927" s="165"/>
    </row>
    <row r="5928" spans="1:3" ht="16.8">
      <c r="A5928" s="165"/>
      <c r="B5928" s="171"/>
      <c r="C5928" s="165"/>
    </row>
    <row r="5929" spans="1:3" ht="16.8">
      <c r="A5929" s="165"/>
      <c r="B5929" s="171"/>
      <c r="C5929" s="165"/>
    </row>
    <row r="5930" spans="1:3" ht="16.8">
      <c r="A5930" s="165"/>
      <c r="B5930" s="171"/>
      <c r="C5930" s="165"/>
    </row>
    <row r="5931" spans="1:3" ht="16.8">
      <c r="A5931" s="165"/>
      <c r="B5931" s="171"/>
      <c r="C5931" s="165"/>
    </row>
    <row r="5932" spans="1:3" ht="16.8">
      <c r="A5932" s="165"/>
      <c r="B5932" s="171"/>
      <c r="C5932" s="165"/>
    </row>
    <row r="5933" spans="1:3" ht="16.8">
      <c r="A5933" s="165"/>
      <c r="B5933" s="171"/>
      <c r="C5933" s="165"/>
    </row>
    <row r="5934" spans="1:3" ht="16.8">
      <c r="A5934" s="165"/>
      <c r="B5934" s="171"/>
      <c r="C5934" s="165"/>
    </row>
    <row r="5935" spans="1:3" ht="16.8">
      <c r="A5935" s="165"/>
      <c r="B5935" s="171"/>
      <c r="C5935" s="165"/>
    </row>
    <row r="5936" spans="1:3" ht="16.8">
      <c r="A5936" s="165"/>
      <c r="B5936" s="171"/>
      <c r="C5936" s="165"/>
    </row>
    <row r="5937" spans="1:3" ht="16.8">
      <c r="A5937" s="165"/>
      <c r="B5937" s="171"/>
      <c r="C5937" s="165"/>
    </row>
    <row r="5938" spans="1:3" ht="16.8">
      <c r="A5938" s="165"/>
      <c r="B5938" s="171"/>
      <c r="C5938" s="165"/>
    </row>
    <row r="5939" spans="1:3" ht="16.8">
      <c r="A5939" s="165"/>
      <c r="B5939" s="171"/>
      <c r="C5939" s="165"/>
    </row>
    <row r="5940" spans="1:3" ht="16.8">
      <c r="A5940" s="165"/>
      <c r="B5940" s="171"/>
      <c r="C5940" s="165"/>
    </row>
    <row r="5941" spans="1:3" ht="16.8">
      <c r="A5941" s="165"/>
      <c r="B5941" s="171"/>
      <c r="C5941" s="165"/>
    </row>
    <row r="5942" spans="1:3" ht="16.8">
      <c r="A5942" s="165"/>
      <c r="B5942" s="171"/>
      <c r="C5942" s="165"/>
    </row>
    <row r="5943" spans="1:3" ht="16.8">
      <c r="A5943" s="165"/>
      <c r="B5943" s="171"/>
      <c r="C5943" s="165"/>
    </row>
    <row r="5944" spans="1:3" ht="16.8">
      <c r="A5944" s="165"/>
      <c r="B5944" s="171"/>
      <c r="C5944" s="165"/>
    </row>
    <row r="5945" spans="1:3" ht="16.8">
      <c r="A5945" s="165"/>
      <c r="B5945" s="171"/>
      <c r="C5945" s="165"/>
    </row>
    <row r="5946" spans="1:3" ht="16.8">
      <c r="A5946" s="165"/>
      <c r="B5946" s="171"/>
      <c r="C5946" s="165"/>
    </row>
    <row r="5947" spans="1:3" ht="16.8">
      <c r="A5947" s="165"/>
      <c r="B5947" s="171"/>
      <c r="C5947" s="165"/>
    </row>
    <row r="5948" spans="1:3" ht="16.8">
      <c r="A5948" s="165"/>
      <c r="B5948" s="171"/>
      <c r="C5948" s="165"/>
    </row>
    <row r="5949" spans="1:3" ht="16.8">
      <c r="A5949" s="165"/>
      <c r="B5949" s="171"/>
      <c r="C5949" s="165"/>
    </row>
    <row r="5950" spans="1:3" ht="16.8">
      <c r="A5950" s="165"/>
      <c r="B5950" s="171"/>
      <c r="C5950" s="165"/>
    </row>
    <row r="5951" spans="1:3" ht="16.8">
      <c r="A5951" s="165"/>
      <c r="B5951" s="171"/>
      <c r="C5951" s="165"/>
    </row>
    <row r="5952" spans="1:3" ht="16.8">
      <c r="A5952" s="165"/>
      <c r="B5952" s="171"/>
      <c r="C5952" s="165"/>
    </row>
    <row r="5953" spans="1:3" ht="16.8">
      <c r="A5953" s="165"/>
      <c r="B5953" s="171"/>
      <c r="C5953" s="165"/>
    </row>
    <row r="5954" spans="1:3" ht="16.8">
      <c r="A5954" s="165"/>
      <c r="B5954" s="171"/>
      <c r="C5954" s="165"/>
    </row>
    <row r="5955" spans="1:3" ht="16.8">
      <c r="A5955" s="165"/>
      <c r="B5955" s="171"/>
      <c r="C5955" s="165"/>
    </row>
    <row r="5956" spans="1:3" ht="16.8">
      <c r="A5956" s="165"/>
      <c r="B5956" s="171"/>
      <c r="C5956" s="165"/>
    </row>
    <row r="5957" spans="1:3" ht="16.8">
      <c r="A5957" s="165"/>
      <c r="B5957" s="171"/>
      <c r="C5957" s="165"/>
    </row>
    <row r="5958" spans="1:3" ht="16.8">
      <c r="A5958" s="165"/>
      <c r="B5958" s="171"/>
      <c r="C5958" s="165"/>
    </row>
    <row r="5959" spans="1:3" ht="16.8">
      <c r="A5959" s="165"/>
      <c r="B5959" s="171"/>
      <c r="C5959" s="165"/>
    </row>
    <row r="5960" spans="1:3" ht="16.8">
      <c r="A5960" s="165"/>
      <c r="B5960" s="171"/>
      <c r="C5960" s="165"/>
    </row>
    <row r="5961" spans="1:3" ht="16.8">
      <c r="A5961" s="165"/>
      <c r="B5961" s="171"/>
      <c r="C5961" s="165"/>
    </row>
    <row r="5962" spans="1:3" ht="16.8">
      <c r="A5962" s="165"/>
      <c r="B5962" s="171"/>
      <c r="C5962" s="165"/>
    </row>
    <row r="5963" spans="1:3" ht="16.8">
      <c r="A5963" s="165"/>
      <c r="B5963" s="171"/>
      <c r="C5963" s="165"/>
    </row>
    <row r="5964" spans="1:3" ht="16.8">
      <c r="A5964" s="165"/>
      <c r="B5964" s="171"/>
      <c r="C5964" s="165"/>
    </row>
    <row r="5965" spans="1:3" ht="16.8">
      <c r="A5965" s="165"/>
      <c r="B5965" s="171"/>
      <c r="C5965" s="165"/>
    </row>
    <row r="5966" spans="1:3" ht="16.8">
      <c r="A5966" s="165"/>
      <c r="B5966" s="171"/>
      <c r="C5966" s="165"/>
    </row>
    <row r="5967" spans="1:3" ht="16.8">
      <c r="A5967" s="165"/>
      <c r="B5967" s="171"/>
      <c r="C5967" s="165"/>
    </row>
    <row r="5968" spans="1:3" ht="16.8">
      <c r="A5968" s="165"/>
      <c r="B5968" s="171"/>
      <c r="C5968" s="165"/>
    </row>
    <row r="5969" spans="1:3" ht="16.8">
      <c r="A5969" s="165"/>
      <c r="B5969" s="171"/>
      <c r="C5969" s="165"/>
    </row>
    <row r="5970" spans="1:3" ht="16.8">
      <c r="A5970" s="165"/>
      <c r="B5970" s="171"/>
      <c r="C5970" s="165"/>
    </row>
    <row r="5971" spans="1:3" ht="16.8">
      <c r="A5971" s="165"/>
      <c r="B5971" s="171"/>
      <c r="C5971" s="165"/>
    </row>
    <row r="5972" spans="1:3" ht="16.8">
      <c r="A5972" s="165"/>
      <c r="B5972" s="171"/>
      <c r="C5972" s="165"/>
    </row>
    <row r="5973" spans="1:3" ht="16.8">
      <c r="A5973" s="165"/>
      <c r="B5973" s="171"/>
      <c r="C5973" s="165"/>
    </row>
    <row r="5974" spans="1:3" ht="16.8">
      <c r="A5974" s="165"/>
      <c r="B5974" s="171"/>
      <c r="C5974" s="165"/>
    </row>
    <row r="5975" spans="1:3" ht="16.8">
      <c r="A5975" s="165"/>
      <c r="B5975" s="171"/>
      <c r="C5975" s="165"/>
    </row>
    <row r="5976" spans="1:3" ht="16.8">
      <c r="A5976" s="165"/>
      <c r="B5976" s="171"/>
      <c r="C5976" s="165"/>
    </row>
    <row r="5977" spans="1:3" ht="16.8">
      <c r="A5977" s="165"/>
      <c r="B5977" s="171"/>
      <c r="C5977" s="165"/>
    </row>
    <row r="5978" spans="1:3" ht="16.8">
      <c r="A5978" s="165"/>
      <c r="B5978" s="171"/>
      <c r="C5978" s="165"/>
    </row>
    <row r="5979" spans="1:3" ht="16.8">
      <c r="A5979" s="165"/>
      <c r="B5979" s="171"/>
      <c r="C5979" s="165"/>
    </row>
    <row r="5980" spans="1:3" ht="16.8">
      <c r="A5980" s="165"/>
      <c r="B5980" s="171"/>
      <c r="C5980" s="165"/>
    </row>
    <row r="5981" spans="1:3" ht="16.8">
      <c r="A5981" s="165"/>
      <c r="B5981" s="171"/>
      <c r="C5981" s="165"/>
    </row>
    <row r="5982" spans="1:3" ht="16.8">
      <c r="A5982" s="165"/>
      <c r="B5982" s="171"/>
      <c r="C5982" s="165"/>
    </row>
    <row r="5983" spans="1:3" ht="16.8">
      <c r="A5983" s="165"/>
      <c r="B5983" s="171"/>
      <c r="C5983" s="165"/>
    </row>
    <row r="5984" spans="1:3" ht="16.8">
      <c r="A5984" s="165"/>
      <c r="B5984" s="171"/>
      <c r="C5984" s="165"/>
    </row>
    <row r="5985" spans="1:3" ht="16.8">
      <c r="A5985" s="165"/>
      <c r="B5985" s="171"/>
      <c r="C5985" s="165"/>
    </row>
    <row r="5986" spans="1:3" ht="16.8">
      <c r="A5986" s="165"/>
      <c r="B5986" s="171"/>
      <c r="C5986" s="165"/>
    </row>
    <row r="5987" spans="1:3" ht="16.8">
      <c r="A5987" s="165"/>
      <c r="B5987" s="171"/>
      <c r="C5987" s="165"/>
    </row>
    <row r="5988" spans="1:3" ht="16.8">
      <c r="A5988" s="165"/>
      <c r="B5988" s="171"/>
      <c r="C5988" s="165"/>
    </row>
    <row r="5989" spans="1:3" ht="16.8">
      <c r="A5989" s="165"/>
      <c r="B5989" s="171"/>
      <c r="C5989" s="165"/>
    </row>
    <row r="5990" spans="1:3" ht="16.8">
      <c r="A5990" s="165"/>
      <c r="B5990" s="171"/>
      <c r="C5990" s="165"/>
    </row>
    <row r="5991" spans="1:3" ht="16.8">
      <c r="A5991" s="165"/>
      <c r="B5991" s="171"/>
      <c r="C5991" s="165"/>
    </row>
    <row r="5992" spans="1:3" ht="16.8">
      <c r="A5992" s="165"/>
      <c r="B5992" s="171"/>
      <c r="C5992" s="165"/>
    </row>
    <row r="5993" spans="1:3" ht="16.8">
      <c r="A5993" s="165"/>
      <c r="B5993" s="171"/>
      <c r="C5993" s="165"/>
    </row>
    <row r="5994" spans="1:3" ht="16.8">
      <c r="A5994" s="165"/>
      <c r="B5994" s="171"/>
      <c r="C5994" s="165"/>
    </row>
    <row r="5995" spans="1:3" ht="16.8">
      <c r="A5995" s="165"/>
      <c r="B5995" s="171"/>
      <c r="C5995" s="165"/>
    </row>
    <row r="5996" spans="1:3" ht="16.8">
      <c r="A5996" s="165"/>
      <c r="B5996" s="171"/>
      <c r="C5996" s="165"/>
    </row>
    <row r="5997" spans="1:3" ht="16.8">
      <c r="A5997" s="165"/>
      <c r="B5997" s="171"/>
      <c r="C5997" s="165"/>
    </row>
    <row r="5998" spans="1:3" ht="16.8">
      <c r="A5998" s="165"/>
      <c r="B5998" s="171"/>
      <c r="C5998" s="165"/>
    </row>
    <row r="5999" spans="1:3" ht="16.8">
      <c r="A5999" s="165"/>
      <c r="B5999" s="171"/>
      <c r="C5999" s="165"/>
    </row>
    <row r="6000" spans="1:3" ht="16.8">
      <c r="A6000" s="165"/>
      <c r="B6000" s="171"/>
      <c r="C6000" s="165"/>
    </row>
    <row r="6001" spans="1:3" ht="16.8">
      <c r="A6001" s="165"/>
      <c r="B6001" s="171"/>
      <c r="C6001" s="165"/>
    </row>
    <row r="6002" spans="1:3" ht="16.8">
      <c r="A6002" s="165"/>
      <c r="B6002" s="171"/>
      <c r="C6002" s="165"/>
    </row>
    <row r="6003" spans="1:3" ht="16.8">
      <c r="A6003" s="165"/>
      <c r="B6003" s="171"/>
      <c r="C6003" s="165"/>
    </row>
    <row r="6004" spans="1:3" ht="16.8">
      <c r="A6004" s="165"/>
      <c r="B6004" s="171"/>
      <c r="C6004" s="165"/>
    </row>
    <row r="6005" spans="1:3" ht="16.8">
      <c r="A6005" s="165"/>
      <c r="B6005" s="171"/>
      <c r="C6005" s="165"/>
    </row>
    <row r="6006" spans="1:3" ht="16.8">
      <c r="A6006" s="165"/>
      <c r="B6006" s="171"/>
      <c r="C6006" s="165"/>
    </row>
    <row r="6007" spans="1:3" ht="16.8">
      <c r="A6007" s="165"/>
      <c r="B6007" s="171"/>
      <c r="C6007" s="165"/>
    </row>
    <row r="6008" spans="1:3" ht="16.8">
      <c r="A6008" s="165"/>
      <c r="B6008" s="171"/>
      <c r="C6008" s="165"/>
    </row>
    <row r="6009" spans="1:3" ht="16.8">
      <c r="A6009" s="165"/>
      <c r="B6009" s="171"/>
      <c r="C6009" s="165"/>
    </row>
    <row r="6010" spans="1:3" ht="16.8">
      <c r="A6010" s="165"/>
      <c r="B6010" s="171"/>
      <c r="C6010" s="165"/>
    </row>
    <row r="6011" spans="1:3" ht="16.8">
      <c r="A6011" s="165"/>
      <c r="B6011" s="171"/>
      <c r="C6011" s="165"/>
    </row>
    <row r="6012" spans="1:3" ht="16.8">
      <c r="A6012" s="165"/>
      <c r="B6012" s="171"/>
      <c r="C6012" s="165"/>
    </row>
    <row r="6013" spans="1:3" ht="16.8">
      <c r="A6013" s="165"/>
      <c r="B6013" s="171"/>
      <c r="C6013" s="165"/>
    </row>
    <row r="6014" spans="1:3" ht="16.8">
      <c r="A6014" s="165"/>
      <c r="B6014" s="171"/>
      <c r="C6014" s="165"/>
    </row>
    <row r="6015" spans="1:3" ht="16.8">
      <c r="A6015" s="165"/>
      <c r="B6015" s="171"/>
      <c r="C6015" s="165"/>
    </row>
    <row r="6016" spans="1:3" ht="16.8">
      <c r="A6016" s="165"/>
      <c r="B6016" s="171"/>
      <c r="C6016" s="165"/>
    </row>
    <row r="6017" spans="1:3" ht="16.8">
      <c r="A6017" s="165"/>
      <c r="B6017" s="171"/>
      <c r="C6017" s="165"/>
    </row>
    <row r="6018" spans="1:3" ht="16.8">
      <c r="A6018" s="165"/>
      <c r="B6018" s="171"/>
      <c r="C6018" s="165"/>
    </row>
    <row r="6019" spans="1:3" ht="16.8">
      <c r="A6019" s="165"/>
      <c r="B6019" s="171"/>
      <c r="C6019" s="165"/>
    </row>
    <row r="6020" spans="1:3" ht="16.8">
      <c r="A6020" s="165"/>
      <c r="B6020" s="171"/>
      <c r="C6020" s="165"/>
    </row>
    <row r="6021" spans="1:3" ht="16.8">
      <c r="A6021" s="165"/>
      <c r="B6021" s="171"/>
      <c r="C6021" s="165"/>
    </row>
    <row r="6022" spans="1:3" ht="16.8">
      <c r="A6022" s="165"/>
      <c r="B6022" s="171"/>
      <c r="C6022" s="165"/>
    </row>
    <row r="6023" spans="1:3" ht="16.8">
      <c r="A6023" s="165"/>
      <c r="B6023" s="171"/>
      <c r="C6023" s="165"/>
    </row>
    <row r="6024" spans="1:3" ht="16.8">
      <c r="A6024" s="165"/>
      <c r="B6024" s="171"/>
      <c r="C6024" s="165"/>
    </row>
    <row r="6025" spans="1:3" ht="16.8">
      <c r="A6025" s="165"/>
      <c r="B6025" s="171"/>
      <c r="C6025" s="165"/>
    </row>
    <row r="6026" spans="1:3" ht="16.8">
      <c r="A6026" s="165"/>
      <c r="B6026" s="171"/>
      <c r="C6026" s="165"/>
    </row>
    <row r="6027" spans="1:3" ht="16.8">
      <c r="A6027" s="165"/>
      <c r="B6027" s="171"/>
      <c r="C6027" s="165"/>
    </row>
    <row r="6028" spans="1:3" ht="16.8">
      <c r="A6028" s="165"/>
      <c r="B6028" s="171"/>
      <c r="C6028" s="165"/>
    </row>
    <row r="6029" spans="1:3" ht="16.8">
      <c r="A6029" s="165"/>
      <c r="B6029" s="171"/>
      <c r="C6029" s="165"/>
    </row>
    <row r="6030" spans="1:3" ht="16.8">
      <c r="A6030" s="165"/>
      <c r="B6030" s="171"/>
      <c r="C6030" s="165"/>
    </row>
    <row r="6031" spans="1:3" ht="16.8">
      <c r="A6031" s="165"/>
      <c r="B6031" s="171"/>
      <c r="C6031" s="165"/>
    </row>
    <row r="6032" spans="1:3" ht="16.8">
      <c r="A6032" s="165"/>
      <c r="B6032" s="171"/>
      <c r="C6032" s="165"/>
    </row>
    <row r="6033" spans="1:3" ht="16.8">
      <c r="A6033" s="165"/>
      <c r="B6033" s="171"/>
      <c r="C6033" s="165"/>
    </row>
    <row r="6034" spans="1:3" ht="16.8">
      <c r="A6034" s="165"/>
      <c r="B6034" s="171"/>
      <c r="C6034" s="165"/>
    </row>
    <row r="6035" spans="1:3" ht="16.8">
      <c r="A6035" s="165"/>
      <c r="B6035" s="171"/>
      <c r="C6035" s="165"/>
    </row>
    <row r="6036" spans="1:3" ht="16.8">
      <c r="A6036" s="165"/>
      <c r="B6036" s="171"/>
      <c r="C6036" s="165"/>
    </row>
    <row r="6037" spans="1:3" ht="16.8">
      <c r="A6037" s="165"/>
      <c r="B6037" s="171"/>
      <c r="C6037" s="165"/>
    </row>
    <row r="6038" spans="1:3" ht="16.8">
      <c r="A6038" s="165"/>
      <c r="B6038" s="171"/>
      <c r="C6038" s="165"/>
    </row>
    <row r="6039" spans="1:3" ht="16.8">
      <c r="A6039" s="165"/>
      <c r="B6039" s="171"/>
      <c r="C6039" s="165"/>
    </row>
    <row r="6040" spans="1:3" ht="16.8">
      <c r="A6040" s="165"/>
      <c r="B6040" s="171"/>
      <c r="C6040" s="165"/>
    </row>
    <row r="6041" spans="1:3" ht="16.8">
      <c r="A6041" s="165"/>
      <c r="B6041" s="171"/>
      <c r="C6041" s="165"/>
    </row>
    <row r="6042" spans="1:3" ht="16.8">
      <c r="A6042" s="165"/>
      <c r="B6042" s="171"/>
      <c r="C6042" s="165"/>
    </row>
    <row r="6043" spans="1:3" ht="16.8">
      <c r="A6043" s="165"/>
      <c r="B6043" s="171"/>
      <c r="C6043" s="165"/>
    </row>
    <row r="6044" spans="1:3" ht="16.8">
      <c r="A6044" s="165"/>
      <c r="B6044" s="171"/>
      <c r="C6044" s="165"/>
    </row>
    <row r="6045" spans="1:3" ht="16.8">
      <c r="A6045" s="165"/>
      <c r="B6045" s="171"/>
      <c r="C6045" s="165"/>
    </row>
    <row r="6046" spans="1:3" ht="16.8">
      <c r="A6046" s="165"/>
      <c r="B6046" s="171"/>
      <c r="C6046" s="165"/>
    </row>
    <row r="6047" spans="1:3" ht="16.8">
      <c r="A6047" s="165"/>
      <c r="B6047" s="171"/>
      <c r="C6047" s="165"/>
    </row>
    <row r="6048" spans="1:3" ht="16.8">
      <c r="A6048" s="165"/>
      <c r="B6048" s="171"/>
      <c r="C6048" s="165"/>
    </row>
    <row r="6049" spans="1:3" ht="16.8">
      <c r="A6049" s="165"/>
      <c r="B6049" s="171"/>
      <c r="C6049" s="165"/>
    </row>
    <row r="6050" spans="1:3" ht="16.8">
      <c r="A6050" s="165"/>
      <c r="B6050" s="171"/>
      <c r="C6050" s="165"/>
    </row>
    <row r="6051" spans="1:3" ht="16.8">
      <c r="A6051" s="165"/>
      <c r="B6051" s="171"/>
      <c r="C6051" s="165"/>
    </row>
    <row r="6052" spans="1:3" ht="16.8">
      <c r="A6052" s="165"/>
      <c r="B6052" s="171"/>
      <c r="C6052" s="165"/>
    </row>
    <row r="6053" spans="1:3" ht="16.8">
      <c r="A6053" s="165"/>
      <c r="B6053" s="171"/>
      <c r="C6053" s="165"/>
    </row>
    <row r="6054" spans="1:3" ht="16.8">
      <c r="A6054" s="165"/>
      <c r="B6054" s="171"/>
      <c r="C6054" s="165"/>
    </row>
    <row r="6055" spans="1:3" ht="16.8">
      <c r="A6055" s="165"/>
      <c r="B6055" s="171"/>
      <c r="C6055" s="165"/>
    </row>
    <row r="6056" spans="1:3" ht="16.8">
      <c r="A6056" s="165"/>
      <c r="B6056" s="171"/>
      <c r="C6056" s="165"/>
    </row>
    <row r="6057" spans="1:3" ht="16.8">
      <c r="A6057" s="165"/>
      <c r="B6057" s="171"/>
      <c r="C6057" s="165"/>
    </row>
    <row r="6058" spans="1:3" ht="16.8">
      <c r="A6058" s="165"/>
      <c r="B6058" s="171"/>
      <c r="C6058" s="165"/>
    </row>
    <row r="6059" spans="1:3" ht="16.8">
      <c r="A6059" s="165"/>
      <c r="B6059" s="171"/>
      <c r="C6059" s="165"/>
    </row>
    <row r="6060" spans="1:3" ht="16.8">
      <c r="A6060" s="165"/>
      <c r="B6060" s="171"/>
      <c r="C6060" s="165"/>
    </row>
    <row r="6061" spans="1:3" ht="16.8">
      <c r="A6061" s="165"/>
      <c r="B6061" s="171"/>
      <c r="C6061" s="165"/>
    </row>
    <row r="6062" spans="1:3" ht="16.8">
      <c r="A6062" s="165"/>
      <c r="B6062" s="171"/>
      <c r="C6062" s="165"/>
    </row>
    <row r="6063" spans="1:3" ht="16.8">
      <c r="A6063" s="165"/>
      <c r="B6063" s="171"/>
      <c r="C6063" s="165"/>
    </row>
    <row r="6064" spans="1:3" ht="16.8">
      <c r="A6064" s="165"/>
      <c r="B6064" s="171"/>
      <c r="C6064" s="165"/>
    </row>
    <row r="6065" spans="1:3" ht="16.8">
      <c r="A6065" s="165"/>
      <c r="B6065" s="171"/>
      <c r="C6065" s="165"/>
    </row>
    <row r="6066" spans="1:3" ht="16.8">
      <c r="A6066" s="165"/>
      <c r="B6066" s="171"/>
      <c r="C6066" s="165"/>
    </row>
    <row r="6067" spans="1:3" ht="16.8">
      <c r="A6067" s="165"/>
      <c r="B6067" s="171"/>
      <c r="C6067" s="165"/>
    </row>
    <row r="6068" spans="1:3" ht="16.8">
      <c r="A6068" s="165"/>
      <c r="B6068" s="171"/>
      <c r="C6068" s="165"/>
    </row>
    <row r="6069" spans="1:3" ht="16.8">
      <c r="A6069" s="165"/>
      <c r="B6069" s="171"/>
      <c r="C6069" s="165"/>
    </row>
    <row r="6070" spans="1:3" ht="16.8">
      <c r="A6070" s="165"/>
      <c r="B6070" s="171"/>
      <c r="C6070" s="165"/>
    </row>
    <row r="6071" spans="1:3" ht="16.8">
      <c r="A6071" s="165"/>
      <c r="B6071" s="171"/>
      <c r="C6071" s="165"/>
    </row>
    <row r="6072" spans="1:3" ht="16.8">
      <c r="A6072" s="165"/>
      <c r="B6072" s="171"/>
      <c r="C6072" s="165"/>
    </row>
    <row r="6073" spans="1:3" ht="16.8">
      <c r="A6073" s="165"/>
      <c r="B6073" s="171"/>
      <c r="C6073" s="165"/>
    </row>
    <row r="6074" spans="1:3" ht="16.8">
      <c r="A6074" s="165"/>
      <c r="B6074" s="171"/>
      <c r="C6074" s="165"/>
    </row>
    <row r="6075" spans="1:3" ht="16.8">
      <c r="A6075" s="165"/>
      <c r="B6075" s="171"/>
      <c r="C6075" s="165"/>
    </row>
    <row r="6076" spans="1:3" ht="16.8">
      <c r="A6076" s="165"/>
      <c r="B6076" s="171"/>
      <c r="C6076" s="165"/>
    </row>
    <row r="6077" spans="1:3" ht="16.8">
      <c r="A6077" s="165"/>
      <c r="B6077" s="171"/>
      <c r="C6077" s="165"/>
    </row>
    <row r="6078" spans="1:3" ht="16.8">
      <c r="A6078" s="165"/>
      <c r="B6078" s="171"/>
      <c r="C6078" s="165"/>
    </row>
    <row r="6079" spans="1:3" ht="16.8">
      <c r="A6079" s="165"/>
      <c r="B6079" s="171"/>
      <c r="C6079" s="165"/>
    </row>
    <row r="6080" spans="1:3" ht="16.8">
      <c r="A6080" s="165"/>
      <c r="B6080" s="171"/>
      <c r="C6080" s="165"/>
    </row>
    <row r="6081" spans="1:3" ht="16.8">
      <c r="A6081" s="165"/>
      <c r="B6081" s="171"/>
      <c r="C6081" s="165"/>
    </row>
    <row r="6082" spans="1:3" ht="16.8">
      <c r="A6082" s="165"/>
      <c r="B6082" s="171"/>
      <c r="C6082" s="165"/>
    </row>
    <row r="6083" spans="1:3" ht="16.8">
      <c r="A6083" s="165"/>
      <c r="B6083" s="171"/>
      <c r="C6083" s="165"/>
    </row>
    <row r="6084" spans="1:3" ht="16.8">
      <c r="A6084" s="165"/>
      <c r="B6084" s="171"/>
      <c r="C6084" s="165"/>
    </row>
    <row r="6085" spans="1:3" ht="16.8">
      <c r="A6085" s="165"/>
      <c r="B6085" s="171"/>
      <c r="C6085" s="165"/>
    </row>
    <row r="6086" spans="1:3" ht="16.8">
      <c r="A6086" s="165"/>
      <c r="B6086" s="171"/>
      <c r="C6086" s="165"/>
    </row>
    <row r="6087" spans="1:3" ht="16.8">
      <c r="A6087" s="165"/>
      <c r="B6087" s="171"/>
      <c r="C6087" s="165"/>
    </row>
    <row r="6088" spans="1:3" ht="16.8">
      <c r="A6088" s="165"/>
      <c r="B6088" s="171"/>
      <c r="C6088" s="165"/>
    </row>
    <row r="6089" spans="1:3" ht="16.8">
      <c r="A6089" s="165"/>
      <c r="B6089" s="171"/>
      <c r="C6089" s="165"/>
    </row>
    <row r="6090" spans="1:3" ht="16.8">
      <c r="A6090" s="165"/>
      <c r="B6090" s="171"/>
      <c r="C6090" s="165"/>
    </row>
    <row r="6091" spans="1:3" ht="16.8">
      <c r="A6091" s="165"/>
      <c r="B6091" s="171"/>
      <c r="C6091" s="165"/>
    </row>
    <row r="6092" spans="1:3" ht="16.8">
      <c r="A6092" s="165"/>
      <c r="B6092" s="171"/>
      <c r="C6092" s="165"/>
    </row>
    <row r="6093" spans="1:3" ht="16.8">
      <c r="A6093" s="165"/>
      <c r="B6093" s="171"/>
      <c r="C6093" s="165"/>
    </row>
    <row r="6094" spans="1:3" ht="16.8">
      <c r="A6094" s="165"/>
      <c r="B6094" s="171"/>
      <c r="C6094" s="165"/>
    </row>
    <row r="6095" spans="1:3" ht="16.8">
      <c r="A6095" s="165"/>
      <c r="B6095" s="171"/>
      <c r="C6095" s="165"/>
    </row>
    <row r="6096" spans="1:3" ht="16.8">
      <c r="A6096" s="165"/>
      <c r="B6096" s="171"/>
      <c r="C6096" s="165"/>
    </row>
    <row r="6097" spans="1:3" ht="16.8">
      <c r="A6097" s="165"/>
      <c r="B6097" s="171"/>
      <c r="C6097" s="165"/>
    </row>
    <row r="6098" spans="1:3" ht="16.8">
      <c r="A6098" s="165"/>
      <c r="B6098" s="171"/>
      <c r="C6098" s="165"/>
    </row>
    <row r="6099" spans="1:3" ht="16.8">
      <c r="A6099" s="165"/>
      <c r="B6099" s="171"/>
      <c r="C6099" s="165"/>
    </row>
    <row r="6100" spans="1:3" ht="16.8">
      <c r="A6100" s="165"/>
      <c r="B6100" s="171"/>
      <c r="C6100" s="165"/>
    </row>
    <row r="6101" spans="1:3" ht="16.8">
      <c r="A6101" s="165"/>
      <c r="B6101" s="171"/>
      <c r="C6101" s="165"/>
    </row>
    <row r="6102" spans="1:3" ht="16.8">
      <c r="A6102" s="165"/>
      <c r="B6102" s="171"/>
      <c r="C6102" s="165"/>
    </row>
    <row r="6103" spans="1:3" ht="16.8">
      <c r="A6103" s="165"/>
      <c r="B6103" s="171"/>
      <c r="C6103" s="165"/>
    </row>
    <row r="6104" spans="1:3" ht="16.8">
      <c r="A6104" s="165"/>
      <c r="B6104" s="171"/>
      <c r="C6104" s="165"/>
    </row>
    <row r="6105" spans="1:3" ht="16.8">
      <c r="A6105" s="165"/>
      <c r="B6105" s="171"/>
      <c r="C6105" s="165"/>
    </row>
    <row r="6106" spans="1:3" ht="16.8">
      <c r="A6106" s="165"/>
      <c r="B6106" s="171"/>
      <c r="C6106" s="165"/>
    </row>
    <row r="6107" spans="1:3" ht="16.8">
      <c r="A6107" s="165"/>
      <c r="B6107" s="171"/>
      <c r="C6107" s="165"/>
    </row>
    <row r="6108" spans="1:3" ht="16.8">
      <c r="A6108" s="165"/>
      <c r="B6108" s="171"/>
      <c r="C6108" s="165"/>
    </row>
    <row r="6109" spans="1:3" ht="16.8">
      <c r="A6109" s="165"/>
      <c r="B6109" s="171"/>
      <c r="C6109" s="165"/>
    </row>
    <row r="6110" spans="1:3" ht="16.8">
      <c r="A6110" s="165"/>
      <c r="B6110" s="171"/>
      <c r="C6110" s="165"/>
    </row>
    <row r="6111" spans="1:3" ht="16.8">
      <c r="A6111" s="165"/>
      <c r="B6111" s="171"/>
      <c r="C6111" s="165"/>
    </row>
    <row r="6112" spans="1:3" ht="16.8">
      <c r="A6112" s="165"/>
      <c r="B6112" s="171"/>
      <c r="C6112" s="165"/>
    </row>
    <row r="6113" spans="1:3" ht="16.8">
      <c r="A6113" s="165"/>
      <c r="B6113" s="171"/>
      <c r="C6113" s="165"/>
    </row>
    <row r="6114" spans="1:3" ht="16.8">
      <c r="A6114" s="165"/>
      <c r="B6114" s="171"/>
      <c r="C6114" s="165"/>
    </row>
    <row r="6115" spans="1:3" ht="16.8">
      <c r="A6115" s="165"/>
      <c r="B6115" s="171"/>
      <c r="C6115" s="165"/>
    </row>
    <row r="6116" spans="1:3" ht="16.8">
      <c r="A6116" s="165"/>
      <c r="B6116" s="171"/>
      <c r="C6116" s="165"/>
    </row>
    <row r="6117" spans="1:3" ht="16.8">
      <c r="A6117" s="165"/>
      <c r="B6117" s="171"/>
      <c r="C6117" s="165"/>
    </row>
    <row r="6118" spans="1:3" ht="16.8">
      <c r="A6118" s="165"/>
      <c r="B6118" s="171"/>
      <c r="C6118" s="165"/>
    </row>
    <row r="6119" spans="1:3" ht="16.8">
      <c r="A6119" s="165"/>
      <c r="B6119" s="171"/>
      <c r="C6119" s="165"/>
    </row>
    <row r="6120" spans="1:3" ht="16.8">
      <c r="A6120" s="165"/>
      <c r="B6120" s="171"/>
      <c r="C6120" s="165"/>
    </row>
    <row r="6121" spans="1:3" ht="16.8">
      <c r="A6121" s="165"/>
      <c r="B6121" s="171"/>
      <c r="C6121" s="165"/>
    </row>
    <row r="6122" spans="1:3" ht="16.8">
      <c r="A6122" s="165"/>
      <c r="B6122" s="171"/>
      <c r="C6122" s="165"/>
    </row>
    <row r="6123" spans="1:3" ht="16.8">
      <c r="A6123" s="165"/>
      <c r="B6123" s="171"/>
      <c r="C6123" s="165"/>
    </row>
    <row r="6124" spans="1:3" ht="16.8">
      <c r="A6124" s="165"/>
      <c r="B6124" s="171"/>
      <c r="C6124" s="165"/>
    </row>
    <row r="6125" spans="1:3" ht="16.8">
      <c r="A6125" s="165"/>
      <c r="B6125" s="171"/>
      <c r="C6125" s="165"/>
    </row>
    <row r="6126" spans="1:3" ht="16.8">
      <c r="A6126" s="165"/>
      <c r="B6126" s="171"/>
      <c r="C6126" s="165"/>
    </row>
    <row r="6127" spans="1:3" ht="16.8">
      <c r="A6127" s="165"/>
      <c r="B6127" s="171"/>
      <c r="C6127" s="165"/>
    </row>
    <row r="6128" spans="1:3" ht="16.8">
      <c r="A6128" s="165"/>
      <c r="B6128" s="171"/>
      <c r="C6128" s="165"/>
    </row>
    <row r="6129" spans="1:3" ht="16.8">
      <c r="A6129" s="165"/>
      <c r="B6129" s="171"/>
      <c r="C6129" s="165"/>
    </row>
    <row r="6130" spans="1:3" ht="16.8">
      <c r="A6130" s="165"/>
      <c r="B6130" s="171"/>
      <c r="C6130" s="165"/>
    </row>
    <row r="6131" spans="1:3" ht="16.8">
      <c r="A6131" s="165"/>
      <c r="B6131" s="171"/>
      <c r="C6131" s="165"/>
    </row>
    <row r="6132" spans="1:3" ht="16.8">
      <c r="A6132" s="165"/>
      <c r="B6132" s="171"/>
      <c r="C6132" s="165"/>
    </row>
    <row r="6133" spans="1:3" ht="16.8">
      <c r="A6133" s="165"/>
      <c r="B6133" s="171"/>
      <c r="C6133" s="165"/>
    </row>
    <row r="6134" spans="1:3" ht="16.8">
      <c r="A6134" s="165"/>
      <c r="B6134" s="171"/>
      <c r="C6134" s="165"/>
    </row>
    <row r="6135" spans="1:3" ht="16.8">
      <c r="A6135" s="165"/>
      <c r="B6135" s="171"/>
      <c r="C6135" s="165"/>
    </row>
    <row r="6136" spans="1:3" ht="16.8">
      <c r="A6136" s="165"/>
      <c r="B6136" s="171"/>
      <c r="C6136" s="165"/>
    </row>
    <row r="6137" spans="1:3" ht="16.8">
      <c r="A6137" s="165"/>
      <c r="B6137" s="171"/>
      <c r="C6137" s="165"/>
    </row>
    <row r="6138" spans="1:3" ht="16.8">
      <c r="A6138" s="165"/>
      <c r="B6138" s="171"/>
      <c r="C6138" s="165"/>
    </row>
    <row r="6139" spans="1:3" ht="16.8">
      <c r="A6139" s="165"/>
      <c r="B6139" s="171"/>
      <c r="C6139" s="165"/>
    </row>
    <row r="6140" spans="1:3" ht="16.8">
      <c r="A6140" s="165"/>
      <c r="B6140" s="171"/>
      <c r="C6140" s="165"/>
    </row>
    <row r="6141" spans="1:3" ht="16.8">
      <c r="A6141" s="165"/>
      <c r="B6141" s="171"/>
      <c r="C6141" s="165"/>
    </row>
    <row r="6142" spans="1:3" ht="16.8">
      <c r="A6142" s="165"/>
      <c r="B6142" s="171"/>
      <c r="C6142" s="165"/>
    </row>
    <row r="6143" spans="1:3" ht="16.8">
      <c r="A6143" s="165"/>
      <c r="B6143" s="171"/>
      <c r="C6143" s="165"/>
    </row>
    <row r="6144" spans="1:3" ht="16.8">
      <c r="A6144" s="165"/>
      <c r="B6144" s="171"/>
      <c r="C6144" s="165"/>
    </row>
    <row r="6145" spans="1:3" ht="16.8">
      <c r="A6145" s="165"/>
      <c r="B6145" s="171"/>
      <c r="C6145" s="165"/>
    </row>
    <row r="6146" spans="1:3" ht="16.8">
      <c r="A6146" s="165"/>
      <c r="B6146" s="171"/>
      <c r="C6146" s="165"/>
    </row>
    <row r="6147" spans="1:3" ht="16.8">
      <c r="A6147" s="165"/>
      <c r="B6147" s="171"/>
      <c r="C6147" s="165"/>
    </row>
    <row r="6148" spans="1:3" ht="16.8">
      <c r="A6148" s="165"/>
      <c r="B6148" s="171"/>
      <c r="C6148" s="165"/>
    </row>
    <row r="6149" spans="1:3" ht="16.8">
      <c r="A6149" s="165"/>
      <c r="B6149" s="171"/>
      <c r="C6149" s="165"/>
    </row>
    <row r="6150" spans="1:3" ht="16.8">
      <c r="A6150" s="165"/>
      <c r="B6150" s="171"/>
      <c r="C6150" s="165"/>
    </row>
    <row r="6151" spans="1:3" ht="16.8">
      <c r="A6151" s="165"/>
      <c r="B6151" s="171"/>
      <c r="C6151" s="165"/>
    </row>
    <row r="6152" spans="1:3" ht="16.8">
      <c r="A6152" s="165"/>
      <c r="B6152" s="171"/>
      <c r="C6152" s="165"/>
    </row>
    <row r="6153" spans="1:3" ht="16.8">
      <c r="A6153" s="165"/>
      <c r="B6153" s="171"/>
      <c r="C6153" s="165"/>
    </row>
    <row r="6154" spans="1:3" ht="16.8">
      <c r="A6154" s="165"/>
      <c r="B6154" s="171"/>
      <c r="C6154" s="165"/>
    </row>
    <row r="6155" spans="1:3" ht="16.8">
      <c r="A6155" s="165"/>
      <c r="B6155" s="171"/>
      <c r="C6155" s="165"/>
    </row>
    <row r="6156" spans="1:3" ht="16.8">
      <c r="A6156" s="165"/>
      <c r="B6156" s="171"/>
      <c r="C6156" s="165"/>
    </row>
    <row r="6157" spans="1:3" ht="16.8">
      <c r="A6157" s="165"/>
      <c r="B6157" s="171"/>
      <c r="C6157" s="165"/>
    </row>
    <row r="6158" spans="1:3" ht="16.8">
      <c r="A6158" s="165"/>
      <c r="B6158" s="171"/>
      <c r="C6158" s="165"/>
    </row>
    <row r="6159" spans="1:3" ht="16.8">
      <c r="A6159" s="165"/>
      <c r="B6159" s="171"/>
      <c r="C6159" s="165"/>
    </row>
    <row r="6160" spans="1:3" ht="16.8">
      <c r="A6160" s="165"/>
      <c r="B6160" s="171"/>
      <c r="C6160" s="165"/>
    </row>
    <row r="6161" spans="1:3" ht="16.8">
      <c r="A6161" s="165"/>
      <c r="B6161" s="171"/>
      <c r="C6161" s="165"/>
    </row>
    <row r="6162" spans="1:3" ht="16.8">
      <c r="A6162" s="165"/>
      <c r="B6162" s="171"/>
      <c r="C6162" s="165"/>
    </row>
    <row r="6163" spans="1:3" ht="16.8">
      <c r="A6163" s="165"/>
      <c r="B6163" s="171"/>
      <c r="C6163" s="165"/>
    </row>
    <row r="6164" spans="1:3" ht="16.8">
      <c r="A6164" s="165"/>
      <c r="B6164" s="171"/>
      <c r="C6164" s="165"/>
    </row>
    <row r="6165" spans="1:3" ht="16.8">
      <c r="A6165" s="165"/>
      <c r="B6165" s="171"/>
      <c r="C6165" s="165"/>
    </row>
    <row r="6166" spans="1:3" ht="16.8">
      <c r="A6166" s="165"/>
      <c r="B6166" s="171"/>
      <c r="C6166" s="165"/>
    </row>
    <row r="6167" spans="1:3" ht="16.8">
      <c r="A6167" s="165"/>
      <c r="B6167" s="171"/>
      <c r="C6167" s="165"/>
    </row>
    <row r="6168" spans="1:3" ht="16.8">
      <c r="A6168" s="165"/>
      <c r="B6168" s="171"/>
      <c r="C6168" s="165"/>
    </row>
    <row r="6169" spans="1:3" ht="16.8">
      <c r="A6169" s="165"/>
      <c r="B6169" s="171"/>
      <c r="C6169" s="165"/>
    </row>
    <row r="6170" spans="1:3" ht="16.8">
      <c r="A6170" s="165"/>
      <c r="B6170" s="171"/>
      <c r="C6170" s="165"/>
    </row>
    <row r="6171" spans="1:3" ht="16.8">
      <c r="A6171" s="165"/>
      <c r="B6171" s="171"/>
      <c r="C6171" s="165"/>
    </row>
    <row r="6172" spans="1:3" ht="16.8">
      <c r="A6172" s="165"/>
      <c r="B6172" s="171"/>
      <c r="C6172" s="165"/>
    </row>
    <row r="6173" spans="1:3" ht="16.8">
      <c r="A6173" s="165"/>
      <c r="B6173" s="171"/>
      <c r="C6173" s="165"/>
    </row>
    <row r="6174" spans="1:3" ht="16.8">
      <c r="A6174" s="165"/>
      <c r="B6174" s="171"/>
      <c r="C6174" s="165"/>
    </row>
    <row r="6175" spans="1:3" ht="16.8">
      <c r="A6175" s="165"/>
      <c r="B6175" s="171"/>
      <c r="C6175" s="165"/>
    </row>
    <row r="6176" spans="1:3" ht="16.8">
      <c r="A6176" s="165"/>
      <c r="B6176" s="171"/>
      <c r="C6176" s="165"/>
    </row>
    <row r="6177" spans="1:3" ht="16.8">
      <c r="A6177" s="165"/>
      <c r="B6177" s="171"/>
      <c r="C6177" s="165"/>
    </row>
    <row r="6178" spans="1:3" ht="16.8">
      <c r="A6178" s="165"/>
      <c r="B6178" s="171"/>
      <c r="C6178" s="165"/>
    </row>
    <row r="6179" spans="1:3" ht="16.8">
      <c r="A6179" s="165"/>
      <c r="B6179" s="171"/>
      <c r="C6179" s="165"/>
    </row>
    <row r="6180" spans="1:3" ht="16.8">
      <c r="A6180" s="165"/>
      <c r="B6180" s="171"/>
      <c r="C6180" s="165"/>
    </row>
    <row r="6181" spans="1:3" ht="16.8">
      <c r="A6181" s="165"/>
      <c r="B6181" s="171"/>
      <c r="C6181" s="165"/>
    </row>
    <row r="6182" spans="1:3" ht="16.8">
      <c r="A6182" s="165"/>
      <c r="B6182" s="171"/>
      <c r="C6182" s="165"/>
    </row>
    <row r="6183" spans="1:3" ht="16.8">
      <c r="A6183" s="165"/>
      <c r="B6183" s="171"/>
      <c r="C6183" s="165"/>
    </row>
    <row r="6184" spans="1:3" ht="16.8">
      <c r="A6184" s="165"/>
      <c r="B6184" s="171"/>
      <c r="C6184" s="165"/>
    </row>
    <row r="6185" spans="1:3" ht="16.8">
      <c r="A6185" s="165"/>
      <c r="B6185" s="171"/>
      <c r="C6185" s="165"/>
    </row>
    <row r="6186" spans="1:3" ht="16.8">
      <c r="A6186" s="165"/>
      <c r="B6186" s="171"/>
      <c r="C6186" s="165"/>
    </row>
    <row r="6187" spans="1:3" ht="16.8">
      <c r="A6187" s="165"/>
      <c r="B6187" s="171"/>
      <c r="C6187" s="165"/>
    </row>
    <row r="6188" spans="1:3" ht="16.8">
      <c r="A6188" s="165"/>
      <c r="B6188" s="171"/>
      <c r="C6188" s="165"/>
    </row>
    <row r="6189" spans="1:3" ht="16.8">
      <c r="A6189" s="165"/>
      <c r="B6189" s="171"/>
      <c r="C6189" s="165"/>
    </row>
    <row r="6190" spans="1:3" ht="16.8">
      <c r="A6190" s="165"/>
      <c r="B6190" s="171"/>
      <c r="C6190" s="165"/>
    </row>
    <row r="6191" spans="1:3" ht="16.8">
      <c r="A6191" s="165"/>
      <c r="B6191" s="171"/>
      <c r="C6191" s="165"/>
    </row>
    <row r="6192" spans="1:3" ht="16.8">
      <c r="A6192" s="165"/>
      <c r="B6192" s="171"/>
      <c r="C6192" s="165"/>
    </row>
    <row r="6193" spans="1:3" ht="16.8">
      <c r="A6193" s="165"/>
      <c r="B6193" s="171"/>
      <c r="C6193" s="165"/>
    </row>
    <row r="6194" spans="1:3" ht="16.8">
      <c r="A6194" s="165"/>
      <c r="B6194" s="171"/>
      <c r="C6194" s="165"/>
    </row>
    <row r="6195" spans="1:3" ht="16.8">
      <c r="A6195" s="165"/>
      <c r="B6195" s="171"/>
      <c r="C6195" s="165"/>
    </row>
    <row r="6196" spans="1:3" ht="16.8">
      <c r="A6196" s="165"/>
      <c r="B6196" s="171"/>
      <c r="C6196" s="165"/>
    </row>
    <row r="6197" spans="1:3" ht="16.8">
      <c r="A6197" s="165"/>
      <c r="B6197" s="171"/>
      <c r="C6197" s="165"/>
    </row>
    <row r="6198" spans="1:3" ht="16.8">
      <c r="A6198" s="165"/>
      <c r="B6198" s="171"/>
      <c r="C6198" s="165"/>
    </row>
    <row r="6199" spans="1:3" ht="16.8">
      <c r="A6199" s="165"/>
      <c r="B6199" s="171"/>
      <c r="C6199" s="165"/>
    </row>
    <row r="6200" spans="1:3" ht="16.8">
      <c r="A6200" s="165"/>
      <c r="B6200" s="171"/>
      <c r="C6200" s="165"/>
    </row>
    <row r="6201" spans="1:3" ht="16.8">
      <c r="A6201" s="165"/>
      <c r="B6201" s="171"/>
      <c r="C6201" s="165"/>
    </row>
    <row r="6202" spans="1:3" ht="16.8">
      <c r="A6202" s="165"/>
      <c r="B6202" s="171"/>
      <c r="C6202" s="165"/>
    </row>
    <row r="6203" spans="1:3" ht="16.8">
      <c r="A6203" s="165"/>
      <c r="B6203" s="171"/>
      <c r="C6203" s="165"/>
    </row>
    <row r="6204" spans="1:3" ht="16.8">
      <c r="A6204" s="165"/>
      <c r="B6204" s="171"/>
      <c r="C6204" s="165"/>
    </row>
    <row r="6205" spans="1:3" ht="16.8">
      <c r="A6205" s="165"/>
      <c r="B6205" s="171"/>
      <c r="C6205" s="165"/>
    </row>
    <row r="6206" spans="1:3" ht="16.8">
      <c r="A6206" s="165"/>
      <c r="B6206" s="171"/>
      <c r="C6206" s="165"/>
    </row>
    <row r="6207" spans="1:3" ht="16.8">
      <c r="A6207" s="165"/>
      <c r="B6207" s="171"/>
      <c r="C6207" s="165"/>
    </row>
    <row r="6208" spans="1:3" ht="16.8">
      <c r="A6208" s="165"/>
      <c r="B6208" s="171"/>
      <c r="C6208" s="165"/>
    </row>
    <row r="6209" spans="1:3" ht="16.8">
      <c r="A6209" s="165"/>
      <c r="B6209" s="171"/>
      <c r="C6209" s="165"/>
    </row>
    <row r="6210" spans="1:3" ht="16.8">
      <c r="A6210" s="165"/>
      <c r="B6210" s="171"/>
      <c r="C6210" s="165"/>
    </row>
    <row r="6211" spans="1:3" ht="16.8">
      <c r="A6211" s="165"/>
      <c r="B6211" s="171"/>
      <c r="C6211" s="165"/>
    </row>
    <row r="6212" spans="1:3" ht="16.8">
      <c r="A6212" s="165"/>
      <c r="B6212" s="171"/>
      <c r="C6212" s="165"/>
    </row>
    <row r="6213" spans="1:3" ht="16.8">
      <c r="A6213" s="165"/>
      <c r="B6213" s="171"/>
      <c r="C6213" s="165"/>
    </row>
    <row r="6214" spans="1:3" ht="16.8">
      <c r="A6214" s="165"/>
      <c r="B6214" s="171"/>
      <c r="C6214" s="165"/>
    </row>
    <row r="6215" spans="1:3" ht="16.8">
      <c r="A6215" s="165"/>
      <c r="B6215" s="171"/>
      <c r="C6215" s="165"/>
    </row>
    <row r="6216" spans="1:3" ht="16.8">
      <c r="A6216" s="165"/>
      <c r="B6216" s="171"/>
      <c r="C6216" s="165"/>
    </row>
    <row r="6217" spans="1:3" ht="16.8">
      <c r="A6217" s="165"/>
      <c r="B6217" s="171"/>
      <c r="C6217" s="165"/>
    </row>
    <row r="6218" spans="1:3" ht="16.8">
      <c r="A6218" s="165"/>
      <c r="B6218" s="171"/>
      <c r="C6218" s="165"/>
    </row>
    <row r="6219" spans="1:3" ht="16.8">
      <c r="A6219" s="165"/>
      <c r="B6219" s="171"/>
      <c r="C6219" s="165"/>
    </row>
    <row r="6220" spans="1:3" ht="16.8">
      <c r="A6220" s="165"/>
      <c r="B6220" s="171"/>
      <c r="C6220" s="165"/>
    </row>
    <row r="6221" spans="1:3" ht="16.8">
      <c r="A6221" s="165"/>
      <c r="B6221" s="171"/>
      <c r="C6221" s="165"/>
    </row>
    <row r="6222" spans="1:3" ht="16.8">
      <c r="A6222" s="165"/>
      <c r="B6222" s="171"/>
      <c r="C6222" s="165"/>
    </row>
    <row r="6223" spans="1:3" ht="16.8">
      <c r="A6223" s="165"/>
      <c r="B6223" s="171"/>
      <c r="C6223" s="165"/>
    </row>
    <row r="6224" spans="1:3" ht="16.8">
      <c r="A6224" s="165"/>
      <c r="B6224" s="171"/>
      <c r="C6224" s="165"/>
    </row>
    <row r="6225" spans="1:3" ht="16.8">
      <c r="A6225" s="165"/>
      <c r="B6225" s="171"/>
      <c r="C6225" s="165"/>
    </row>
    <row r="6226" spans="1:3" ht="16.8">
      <c r="A6226" s="165"/>
      <c r="B6226" s="171"/>
      <c r="C6226" s="165"/>
    </row>
    <row r="6227" spans="1:3" ht="16.8">
      <c r="A6227" s="165"/>
      <c r="B6227" s="171"/>
      <c r="C6227" s="165"/>
    </row>
    <row r="6228" spans="1:3" ht="16.8">
      <c r="A6228" s="165"/>
      <c r="B6228" s="171"/>
      <c r="C6228" s="165"/>
    </row>
    <row r="6229" spans="1:3" ht="16.8">
      <c r="A6229" s="165"/>
      <c r="B6229" s="171"/>
      <c r="C6229" s="165"/>
    </row>
    <row r="6230" spans="1:3" ht="16.8">
      <c r="A6230" s="165"/>
      <c r="B6230" s="171"/>
      <c r="C6230" s="165"/>
    </row>
    <row r="6231" spans="1:3" ht="16.8">
      <c r="A6231" s="165"/>
      <c r="B6231" s="171"/>
      <c r="C6231" s="165"/>
    </row>
    <row r="6232" spans="1:3" ht="16.8">
      <c r="A6232" s="165"/>
      <c r="B6232" s="171"/>
      <c r="C6232" s="165"/>
    </row>
    <row r="6233" spans="1:3" ht="16.8">
      <c r="A6233" s="165"/>
      <c r="B6233" s="171"/>
      <c r="C6233" s="165"/>
    </row>
    <row r="6234" spans="1:3" ht="16.8">
      <c r="A6234" s="165"/>
      <c r="B6234" s="171"/>
      <c r="C6234" s="165"/>
    </row>
    <row r="6235" spans="1:3" ht="16.8">
      <c r="A6235" s="165"/>
      <c r="B6235" s="171"/>
      <c r="C6235" s="165"/>
    </row>
    <row r="6236" spans="1:3" ht="16.8">
      <c r="A6236" s="165"/>
      <c r="B6236" s="171"/>
      <c r="C6236" s="165"/>
    </row>
    <row r="6237" spans="1:3" ht="16.8">
      <c r="A6237" s="165"/>
      <c r="B6237" s="171"/>
      <c r="C6237" s="165"/>
    </row>
    <row r="6238" spans="1:3" ht="16.8">
      <c r="A6238" s="165"/>
      <c r="B6238" s="171"/>
      <c r="C6238" s="165"/>
    </row>
    <row r="6239" spans="1:3" ht="16.8">
      <c r="A6239" s="165"/>
      <c r="B6239" s="171"/>
      <c r="C6239" s="165"/>
    </row>
    <row r="6240" spans="1:3" ht="16.8">
      <c r="A6240" s="165"/>
      <c r="B6240" s="171"/>
      <c r="C6240" s="165"/>
    </row>
    <row r="6241" spans="1:3" ht="16.8">
      <c r="A6241" s="165"/>
      <c r="B6241" s="171"/>
      <c r="C6241" s="165"/>
    </row>
    <row r="6242" spans="1:3" ht="16.8">
      <c r="A6242" s="165"/>
      <c r="B6242" s="171"/>
      <c r="C6242" s="165"/>
    </row>
    <row r="6243" spans="1:3" ht="16.8">
      <c r="A6243" s="165"/>
      <c r="B6243" s="171"/>
      <c r="C6243" s="165"/>
    </row>
    <row r="6244" spans="1:3" ht="16.8">
      <c r="A6244" s="165"/>
      <c r="B6244" s="171"/>
      <c r="C6244" s="165"/>
    </row>
    <row r="6245" spans="1:3" ht="16.8">
      <c r="A6245" s="165"/>
      <c r="B6245" s="171"/>
      <c r="C6245" s="165"/>
    </row>
    <row r="6246" spans="1:3" ht="16.8">
      <c r="A6246" s="165"/>
      <c r="B6246" s="171"/>
      <c r="C6246" s="165"/>
    </row>
    <row r="6247" spans="1:3" ht="16.8">
      <c r="A6247" s="165"/>
      <c r="B6247" s="171"/>
      <c r="C6247" s="165"/>
    </row>
    <row r="6248" spans="1:3" ht="16.8">
      <c r="A6248" s="165"/>
      <c r="B6248" s="171"/>
      <c r="C6248" s="165"/>
    </row>
    <row r="6249" spans="1:3" ht="16.8">
      <c r="A6249" s="165"/>
      <c r="B6249" s="171"/>
      <c r="C6249" s="165"/>
    </row>
    <row r="6250" spans="1:3" ht="16.8">
      <c r="A6250" s="165"/>
      <c r="B6250" s="171"/>
      <c r="C6250" s="165"/>
    </row>
    <row r="6251" spans="1:3" ht="16.8">
      <c r="A6251" s="165"/>
      <c r="B6251" s="171"/>
      <c r="C6251" s="165"/>
    </row>
    <row r="6252" spans="1:3" ht="16.8">
      <c r="A6252" s="165"/>
      <c r="B6252" s="171"/>
      <c r="C6252" s="165"/>
    </row>
    <row r="6253" spans="1:3" ht="16.8">
      <c r="A6253" s="165"/>
      <c r="B6253" s="171"/>
      <c r="C6253" s="165"/>
    </row>
    <row r="6254" spans="1:3" ht="16.8">
      <c r="A6254" s="165"/>
      <c r="B6254" s="171"/>
      <c r="C6254" s="165"/>
    </row>
    <row r="6255" spans="1:3" ht="16.8">
      <c r="A6255" s="165"/>
      <c r="B6255" s="171"/>
      <c r="C6255" s="165"/>
    </row>
    <row r="6256" spans="1:3" ht="16.8">
      <c r="A6256" s="165"/>
      <c r="B6256" s="171"/>
      <c r="C6256" s="165"/>
    </row>
    <row r="6257" spans="1:3" ht="16.8">
      <c r="A6257" s="165"/>
      <c r="B6257" s="171"/>
      <c r="C6257" s="165"/>
    </row>
    <row r="6258" spans="1:3" ht="16.8">
      <c r="A6258" s="165"/>
      <c r="B6258" s="171"/>
      <c r="C6258" s="165"/>
    </row>
    <row r="6259" spans="1:3" ht="16.8">
      <c r="A6259" s="165"/>
      <c r="B6259" s="171"/>
      <c r="C6259" s="165"/>
    </row>
    <row r="6260" spans="1:3" ht="16.8">
      <c r="A6260" s="165"/>
      <c r="B6260" s="171"/>
      <c r="C6260" s="165"/>
    </row>
    <row r="6261" spans="1:3" ht="16.8">
      <c r="A6261" s="165"/>
      <c r="B6261" s="171"/>
      <c r="C6261" s="165"/>
    </row>
    <row r="6262" spans="1:3" ht="16.8">
      <c r="A6262" s="165"/>
      <c r="B6262" s="171"/>
      <c r="C6262" s="165"/>
    </row>
    <row r="6263" spans="1:3" ht="16.8">
      <c r="A6263" s="165"/>
      <c r="B6263" s="171"/>
      <c r="C6263" s="165"/>
    </row>
    <row r="6264" spans="1:3" ht="16.8">
      <c r="A6264" s="165"/>
      <c r="B6264" s="171"/>
      <c r="C6264" s="165"/>
    </row>
    <row r="6265" spans="1:3" ht="16.8">
      <c r="A6265" s="165"/>
      <c r="B6265" s="171"/>
      <c r="C6265" s="165"/>
    </row>
    <row r="6266" spans="1:3" ht="16.8">
      <c r="A6266" s="165"/>
      <c r="B6266" s="171"/>
      <c r="C6266" s="165"/>
    </row>
    <row r="6267" spans="1:3" ht="16.8">
      <c r="A6267" s="165"/>
      <c r="B6267" s="171"/>
      <c r="C6267" s="165"/>
    </row>
    <row r="6268" spans="1:3" ht="16.8">
      <c r="A6268" s="165"/>
      <c r="B6268" s="171"/>
      <c r="C6268" s="165"/>
    </row>
    <row r="6269" spans="1:3" ht="16.8">
      <c r="A6269" s="165"/>
      <c r="B6269" s="171"/>
      <c r="C6269" s="165"/>
    </row>
    <row r="6270" spans="1:3" ht="16.8">
      <c r="A6270" s="165"/>
      <c r="B6270" s="171"/>
      <c r="C6270" s="165"/>
    </row>
    <row r="6271" spans="1:3" ht="16.8">
      <c r="A6271" s="165"/>
      <c r="B6271" s="171"/>
      <c r="C6271" s="165"/>
    </row>
    <row r="6272" spans="1:3" ht="16.8">
      <c r="A6272" s="165"/>
      <c r="B6272" s="171"/>
      <c r="C6272" s="165"/>
    </row>
    <row r="6273" spans="1:3" ht="16.8">
      <c r="A6273" s="165"/>
      <c r="B6273" s="171"/>
      <c r="C6273" s="165"/>
    </row>
    <row r="6274" spans="1:3" ht="16.8">
      <c r="A6274" s="165"/>
      <c r="B6274" s="171"/>
      <c r="C6274" s="165"/>
    </row>
    <row r="6275" spans="1:3" ht="16.8">
      <c r="A6275" s="165"/>
      <c r="B6275" s="171"/>
      <c r="C6275" s="165"/>
    </row>
    <row r="6276" spans="1:3" ht="16.8">
      <c r="A6276" s="165"/>
      <c r="B6276" s="171"/>
      <c r="C6276" s="165"/>
    </row>
    <row r="6277" spans="1:3" ht="16.8">
      <c r="A6277" s="165"/>
      <c r="B6277" s="171"/>
      <c r="C6277" s="165"/>
    </row>
    <row r="6278" spans="1:3" ht="16.8">
      <c r="A6278" s="165"/>
      <c r="B6278" s="171"/>
      <c r="C6278" s="165"/>
    </row>
    <row r="6279" spans="1:3" ht="16.8">
      <c r="A6279" s="165"/>
      <c r="B6279" s="171"/>
      <c r="C6279" s="165"/>
    </row>
    <row r="6280" spans="1:3" ht="16.8">
      <c r="A6280" s="165"/>
      <c r="B6280" s="171"/>
      <c r="C6280" s="165"/>
    </row>
    <row r="6281" spans="1:3" ht="16.8">
      <c r="A6281" s="165"/>
      <c r="B6281" s="171"/>
      <c r="C6281" s="165"/>
    </row>
    <row r="6282" spans="1:3" ht="16.8">
      <c r="A6282" s="165"/>
      <c r="B6282" s="171"/>
      <c r="C6282" s="165"/>
    </row>
    <row r="6283" spans="1:3" ht="16.8">
      <c r="A6283" s="165"/>
      <c r="B6283" s="171"/>
      <c r="C6283" s="165"/>
    </row>
    <row r="6284" spans="1:3" ht="16.8">
      <c r="A6284" s="165"/>
      <c r="B6284" s="171"/>
      <c r="C6284" s="165"/>
    </row>
    <row r="6285" spans="1:3" ht="16.8">
      <c r="A6285" s="165"/>
      <c r="B6285" s="171"/>
      <c r="C6285" s="165"/>
    </row>
    <row r="6286" spans="1:3" ht="16.8">
      <c r="A6286" s="165"/>
      <c r="B6286" s="171"/>
      <c r="C6286" s="165"/>
    </row>
    <row r="6287" spans="1:3" ht="16.8">
      <c r="A6287" s="165"/>
      <c r="B6287" s="171"/>
      <c r="C6287" s="165"/>
    </row>
    <row r="6288" spans="1:3" ht="16.8">
      <c r="A6288" s="165"/>
      <c r="B6288" s="171"/>
      <c r="C6288" s="165"/>
    </row>
    <row r="6289" spans="1:3" ht="16.8">
      <c r="A6289" s="165"/>
      <c r="B6289" s="171"/>
      <c r="C6289" s="165"/>
    </row>
    <row r="6290" spans="1:3" ht="16.8">
      <c r="A6290" s="165"/>
      <c r="B6290" s="171"/>
      <c r="C6290" s="165"/>
    </row>
    <row r="6291" spans="1:3" ht="16.8">
      <c r="A6291" s="165"/>
      <c r="B6291" s="171"/>
      <c r="C6291" s="165"/>
    </row>
    <row r="6292" spans="1:3" ht="16.8">
      <c r="A6292" s="165"/>
      <c r="B6292" s="171"/>
      <c r="C6292" s="165"/>
    </row>
    <row r="6293" spans="1:3" ht="16.8">
      <c r="A6293" s="165"/>
      <c r="B6293" s="171"/>
      <c r="C6293" s="165"/>
    </row>
    <row r="6294" spans="1:3" ht="16.8">
      <c r="A6294" s="165"/>
      <c r="B6294" s="171"/>
      <c r="C6294" s="165"/>
    </row>
    <row r="6295" spans="1:3" ht="16.8">
      <c r="A6295" s="165"/>
      <c r="B6295" s="171"/>
      <c r="C6295" s="165"/>
    </row>
    <row r="6296" spans="1:3" ht="16.8">
      <c r="A6296" s="165"/>
      <c r="B6296" s="171"/>
      <c r="C6296" s="165"/>
    </row>
    <row r="6297" spans="1:3" ht="16.8">
      <c r="A6297" s="165"/>
      <c r="B6297" s="171"/>
      <c r="C6297" s="165"/>
    </row>
    <row r="6298" spans="1:3" ht="16.8">
      <c r="A6298" s="165"/>
      <c r="B6298" s="171"/>
      <c r="C6298" s="165"/>
    </row>
    <row r="6299" spans="1:3" ht="16.8">
      <c r="A6299" s="165"/>
      <c r="B6299" s="171"/>
      <c r="C6299" s="165"/>
    </row>
    <row r="6300" spans="1:3" ht="16.8">
      <c r="A6300" s="165"/>
      <c r="B6300" s="171"/>
      <c r="C6300" s="165"/>
    </row>
    <row r="6301" spans="1:3" ht="16.8">
      <c r="A6301" s="165"/>
      <c r="B6301" s="171"/>
      <c r="C6301" s="165"/>
    </row>
    <row r="6302" spans="1:3" ht="16.8">
      <c r="A6302" s="165"/>
      <c r="B6302" s="171"/>
      <c r="C6302" s="165"/>
    </row>
    <row r="6303" spans="1:3" ht="16.8">
      <c r="A6303" s="165"/>
      <c r="B6303" s="171"/>
      <c r="C6303" s="165"/>
    </row>
    <row r="6304" spans="1:3" ht="16.8">
      <c r="A6304" s="165"/>
      <c r="B6304" s="171"/>
      <c r="C6304" s="165"/>
    </row>
    <row r="6305" spans="1:3" ht="16.8">
      <c r="A6305" s="165"/>
      <c r="B6305" s="171"/>
      <c r="C6305" s="165"/>
    </row>
    <row r="6306" spans="1:3" ht="16.8">
      <c r="A6306" s="165"/>
      <c r="B6306" s="171"/>
      <c r="C6306" s="165"/>
    </row>
    <row r="6307" spans="1:3" ht="16.8">
      <c r="A6307" s="165"/>
      <c r="B6307" s="171"/>
      <c r="C6307" s="165"/>
    </row>
    <row r="6308" spans="1:3" ht="16.8">
      <c r="A6308" s="165"/>
      <c r="B6308" s="171"/>
      <c r="C6308" s="165"/>
    </row>
    <row r="6309" spans="1:3" ht="16.8">
      <c r="A6309" s="165"/>
      <c r="B6309" s="171"/>
      <c r="C6309" s="165"/>
    </row>
    <row r="6310" spans="1:3" ht="16.8">
      <c r="A6310" s="165"/>
      <c r="B6310" s="171"/>
      <c r="C6310" s="165"/>
    </row>
    <row r="6311" spans="1:3" ht="16.8">
      <c r="A6311" s="165"/>
      <c r="B6311" s="171"/>
      <c r="C6311" s="165"/>
    </row>
    <row r="6312" spans="1:3" ht="16.8">
      <c r="A6312" s="165"/>
      <c r="B6312" s="171"/>
      <c r="C6312" s="165"/>
    </row>
    <row r="6313" spans="1:3" ht="16.8">
      <c r="A6313" s="165"/>
      <c r="B6313" s="171"/>
      <c r="C6313" s="165"/>
    </row>
    <row r="6314" spans="1:3" ht="16.8">
      <c r="A6314" s="165"/>
      <c r="B6314" s="171"/>
      <c r="C6314" s="165"/>
    </row>
    <row r="6315" spans="1:3" ht="16.8">
      <c r="A6315" s="165"/>
      <c r="B6315" s="171"/>
      <c r="C6315" s="165"/>
    </row>
    <row r="6316" spans="1:3" ht="16.8">
      <c r="A6316" s="165"/>
      <c r="B6316" s="171"/>
      <c r="C6316" s="165"/>
    </row>
    <row r="6317" spans="1:3" ht="16.8">
      <c r="A6317" s="165"/>
      <c r="B6317" s="171"/>
      <c r="C6317" s="165"/>
    </row>
    <row r="6318" spans="1:3" ht="16.8">
      <c r="A6318" s="165"/>
      <c r="B6318" s="171"/>
      <c r="C6318" s="165"/>
    </row>
    <row r="6319" spans="1:3" ht="16.8">
      <c r="A6319" s="165"/>
      <c r="B6319" s="171"/>
      <c r="C6319" s="165"/>
    </row>
    <row r="6320" spans="1:3" ht="16.8">
      <c r="A6320" s="165"/>
      <c r="B6320" s="171"/>
      <c r="C6320" s="165"/>
    </row>
    <row r="6321" spans="1:3" ht="16.8">
      <c r="A6321" s="165"/>
      <c r="B6321" s="171"/>
      <c r="C6321" s="165"/>
    </row>
    <row r="6322" spans="1:3" ht="16.8">
      <c r="A6322" s="165"/>
      <c r="B6322" s="171"/>
      <c r="C6322" s="165"/>
    </row>
    <row r="6323" spans="1:3" ht="16.8">
      <c r="A6323" s="165"/>
      <c r="B6323" s="171"/>
      <c r="C6323" s="165"/>
    </row>
    <row r="6324" spans="1:3" ht="16.8">
      <c r="A6324" s="165"/>
      <c r="B6324" s="171"/>
      <c r="C6324" s="165"/>
    </row>
    <row r="6325" spans="1:3" ht="16.8">
      <c r="A6325" s="165"/>
      <c r="B6325" s="171"/>
      <c r="C6325" s="165"/>
    </row>
    <row r="6326" spans="1:3" ht="16.8">
      <c r="A6326" s="165"/>
      <c r="B6326" s="171"/>
      <c r="C6326" s="165"/>
    </row>
    <row r="6327" spans="1:3" ht="16.8">
      <c r="A6327" s="165"/>
      <c r="B6327" s="171"/>
      <c r="C6327" s="165"/>
    </row>
    <row r="6328" spans="1:3" ht="16.8">
      <c r="A6328" s="165"/>
      <c r="B6328" s="171"/>
      <c r="C6328" s="165"/>
    </row>
    <row r="6329" spans="1:3" ht="16.8">
      <c r="A6329" s="165"/>
      <c r="B6329" s="171"/>
      <c r="C6329" s="165"/>
    </row>
    <row r="6330" spans="1:3" ht="16.8">
      <c r="A6330" s="165"/>
      <c r="B6330" s="171"/>
      <c r="C6330" s="165"/>
    </row>
    <row r="6331" spans="1:3" ht="16.8">
      <c r="A6331" s="165"/>
      <c r="B6331" s="171"/>
      <c r="C6331" s="165"/>
    </row>
    <row r="6332" spans="1:3" ht="16.8">
      <c r="A6332" s="165"/>
      <c r="B6332" s="171"/>
      <c r="C6332" s="165"/>
    </row>
    <row r="6333" spans="1:3" ht="16.8">
      <c r="A6333" s="165"/>
      <c r="B6333" s="171"/>
      <c r="C6333" s="165"/>
    </row>
    <row r="6334" spans="1:3" ht="16.8">
      <c r="A6334" s="165"/>
      <c r="B6334" s="171"/>
      <c r="C6334" s="165"/>
    </row>
    <row r="6335" spans="1:3" ht="16.8">
      <c r="A6335" s="165"/>
      <c r="B6335" s="171"/>
      <c r="C6335" s="165"/>
    </row>
    <row r="6336" spans="1:3" ht="16.8">
      <c r="A6336" s="165"/>
      <c r="B6336" s="171"/>
      <c r="C6336" s="165"/>
    </row>
    <row r="6337" spans="1:3" ht="16.8">
      <c r="A6337" s="165"/>
      <c r="B6337" s="171"/>
      <c r="C6337" s="165"/>
    </row>
    <row r="6338" spans="1:3" ht="16.8">
      <c r="A6338" s="165"/>
      <c r="B6338" s="171"/>
      <c r="C6338" s="165"/>
    </row>
    <row r="6339" spans="1:3" ht="16.8">
      <c r="A6339" s="165"/>
      <c r="B6339" s="171"/>
      <c r="C6339" s="165"/>
    </row>
    <row r="6340" spans="1:3" ht="16.8">
      <c r="A6340" s="165"/>
      <c r="B6340" s="171"/>
      <c r="C6340" s="165"/>
    </row>
    <row r="6341" spans="1:3" ht="16.8">
      <c r="A6341" s="165"/>
      <c r="B6341" s="171"/>
      <c r="C6341" s="165"/>
    </row>
    <row r="6342" spans="1:3" ht="16.8">
      <c r="A6342" s="165"/>
      <c r="B6342" s="171"/>
      <c r="C6342" s="165"/>
    </row>
    <row r="6343" spans="1:3" ht="16.8">
      <c r="A6343" s="165"/>
      <c r="B6343" s="171"/>
      <c r="C6343" s="165"/>
    </row>
    <row r="6344" spans="1:3" ht="16.8">
      <c r="A6344" s="165"/>
      <c r="B6344" s="171"/>
      <c r="C6344" s="165"/>
    </row>
    <row r="6345" spans="1:3" ht="16.8">
      <c r="A6345" s="165"/>
      <c r="B6345" s="171"/>
      <c r="C6345" s="165"/>
    </row>
    <row r="6346" spans="1:3" ht="16.8">
      <c r="A6346" s="165"/>
      <c r="B6346" s="171"/>
      <c r="C6346" s="165"/>
    </row>
    <row r="6347" spans="1:3" ht="16.8">
      <c r="A6347" s="165"/>
      <c r="B6347" s="171"/>
      <c r="C6347" s="165"/>
    </row>
    <row r="6348" spans="1:3" ht="16.8">
      <c r="A6348" s="165"/>
      <c r="B6348" s="171"/>
      <c r="C6348" s="165"/>
    </row>
    <row r="6349" spans="1:3" ht="16.8">
      <c r="A6349" s="165"/>
      <c r="B6349" s="171"/>
      <c r="C6349" s="165"/>
    </row>
    <row r="6350" spans="1:3" ht="16.8">
      <c r="A6350" s="165"/>
      <c r="B6350" s="171"/>
      <c r="C6350" s="165"/>
    </row>
    <row r="6351" spans="1:3" ht="16.8">
      <c r="A6351" s="165"/>
      <c r="B6351" s="171"/>
      <c r="C6351" s="165"/>
    </row>
    <row r="6352" spans="1:3" ht="16.8">
      <c r="A6352" s="165"/>
      <c r="B6352" s="171"/>
      <c r="C6352" s="165"/>
    </row>
    <row r="6353" spans="1:3" ht="16.8">
      <c r="A6353" s="165"/>
      <c r="B6353" s="171"/>
      <c r="C6353" s="165"/>
    </row>
    <row r="6354" spans="1:3" ht="16.8">
      <c r="A6354" s="165"/>
      <c r="B6354" s="171"/>
      <c r="C6354" s="165"/>
    </row>
    <row r="6355" spans="1:3" ht="16.8">
      <c r="A6355" s="165"/>
      <c r="B6355" s="171"/>
      <c r="C6355" s="165"/>
    </row>
    <row r="6356" spans="1:3" ht="16.8">
      <c r="A6356" s="165"/>
      <c r="B6356" s="171"/>
      <c r="C6356" s="165"/>
    </row>
    <row r="6357" spans="1:3" ht="16.8">
      <c r="A6357" s="165"/>
      <c r="B6357" s="171"/>
      <c r="C6357" s="165"/>
    </row>
    <row r="6358" spans="1:3" ht="16.8">
      <c r="A6358" s="165"/>
      <c r="B6358" s="171"/>
      <c r="C6358" s="165"/>
    </row>
    <row r="6359" spans="1:3" ht="16.8">
      <c r="A6359" s="165"/>
      <c r="B6359" s="171"/>
      <c r="C6359" s="165"/>
    </row>
    <row r="6360" spans="1:3" ht="16.8">
      <c r="A6360" s="165"/>
      <c r="B6360" s="171"/>
      <c r="C6360" s="165"/>
    </row>
    <row r="6361" spans="1:3" ht="16.8">
      <c r="A6361" s="165"/>
      <c r="B6361" s="171"/>
      <c r="C6361" s="165"/>
    </row>
    <row r="6362" spans="1:3" ht="16.8">
      <c r="A6362" s="165"/>
      <c r="B6362" s="171"/>
      <c r="C6362" s="165"/>
    </row>
    <row r="6363" spans="1:3" ht="16.8">
      <c r="A6363" s="165"/>
      <c r="B6363" s="171"/>
      <c r="C6363" s="165"/>
    </row>
    <row r="6364" spans="1:3" ht="16.8">
      <c r="A6364" s="165"/>
      <c r="B6364" s="171"/>
      <c r="C6364" s="165"/>
    </row>
    <row r="6365" spans="1:3" ht="16.8">
      <c r="A6365" s="165"/>
      <c r="B6365" s="171"/>
      <c r="C6365" s="165"/>
    </row>
    <row r="6366" spans="1:3" ht="16.8">
      <c r="A6366" s="165"/>
      <c r="B6366" s="171"/>
      <c r="C6366" s="165"/>
    </row>
    <row r="6367" spans="1:3" ht="16.8">
      <c r="A6367" s="165"/>
      <c r="B6367" s="171"/>
      <c r="C6367" s="165"/>
    </row>
    <row r="6368" spans="1:3" ht="16.8">
      <c r="A6368" s="165"/>
      <c r="B6368" s="171"/>
      <c r="C6368" s="165"/>
    </row>
    <row r="6369" spans="1:3" ht="16.8">
      <c r="A6369" s="165"/>
      <c r="B6369" s="171"/>
      <c r="C6369" s="165"/>
    </row>
    <row r="6370" spans="1:3" ht="16.8">
      <c r="A6370" s="165"/>
      <c r="B6370" s="171"/>
      <c r="C6370" s="165"/>
    </row>
    <row r="6371" spans="1:3" ht="16.8">
      <c r="A6371" s="165"/>
      <c r="B6371" s="171"/>
      <c r="C6371" s="165"/>
    </row>
    <row r="6372" spans="1:3" ht="16.8">
      <c r="A6372" s="165"/>
      <c r="B6372" s="171"/>
      <c r="C6372" s="165"/>
    </row>
    <row r="6373" spans="1:3" ht="16.8">
      <c r="A6373" s="165"/>
      <c r="B6373" s="171"/>
      <c r="C6373" s="165"/>
    </row>
    <row r="6374" spans="1:3" ht="16.8">
      <c r="A6374" s="165"/>
      <c r="B6374" s="171"/>
      <c r="C6374" s="165"/>
    </row>
    <row r="6375" spans="1:3" ht="16.8">
      <c r="A6375" s="165"/>
      <c r="B6375" s="171"/>
      <c r="C6375" s="165"/>
    </row>
    <row r="6376" spans="1:3" ht="16.8">
      <c r="A6376" s="165"/>
      <c r="B6376" s="171"/>
      <c r="C6376" s="165"/>
    </row>
    <row r="6377" spans="1:3" ht="16.8">
      <c r="A6377" s="165"/>
      <c r="B6377" s="171"/>
      <c r="C6377" s="165"/>
    </row>
    <row r="6378" spans="1:3" ht="16.8">
      <c r="A6378" s="165"/>
      <c r="B6378" s="171"/>
      <c r="C6378" s="165"/>
    </row>
    <row r="6379" spans="1:3" ht="16.8">
      <c r="A6379" s="165"/>
      <c r="B6379" s="171"/>
      <c r="C6379" s="165"/>
    </row>
    <row r="6380" spans="1:3" ht="16.8">
      <c r="A6380" s="165"/>
      <c r="B6380" s="171"/>
      <c r="C6380" s="165"/>
    </row>
    <row r="6381" spans="1:3" ht="16.8">
      <c r="A6381" s="165"/>
      <c r="B6381" s="171"/>
      <c r="C6381" s="165"/>
    </row>
    <row r="6382" spans="1:3" ht="16.8">
      <c r="A6382" s="165"/>
      <c r="B6382" s="171"/>
      <c r="C6382" s="165"/>
    </row>
    <row r="6383" spans="1:3" ht="16.8">
      <c r="A6383" s="165"/>
      <c r="B6383" s="171"/>
      <c r="C6383" s="165"/>
    </row>
    <row r="6384" spans="1:3" ht="16.8">
      <c r="A6384" s="165"/>
      <c r="B6384" s="171"/>
      <c r="C6384" s="165"/>
    </row>
    <row r="6385" spans="1:3" ht="16.8">
      <c r="A6385" s="165"/>
      <c r="B6385" s="171"/>
      <c r="C6385" s="165"/>
    </row>
    <row r="6386" spans="1:3" ht="16.8">
      <c r="A6386" s="165"/>
      <c r="B6386" s="171"/>
      <c r="C6386" s="165"/>
    </row>
    <row r="6387" spans="1:3" ht="16.8">
      <c r="A6387" s="165"/>
      <c r="B6387" s="171"/>
      <c r="C6387" s="165"/>
    </row>
    <row r="6388" spans="1:3" ht="16.8">
      <c r="A6388" s="165"/>
      <c r="B6388" s="171"/>
      <c r="C6388" s="165"/>
    </row>
    <row r="6389" spans="1:3" ht="16.8">
      <c r="A6389" s="165"/>
      <c r="B6389" s="171"/>
      <c r="C6389" s="165"/>
    </row>
    <row r="6390" spans="1:3" ht="16.8">
      <c r="A6390" s="165"/>
      <c r="B6390" s="171"/>
      <c r="C6390" s="165"/>
    </row>
    <row r="6391" spans="1:3" ht="16.8">
      <c r="A6391" s="165"/>
      <c r="B6391" s="171"/>
      <c r="C6391" s="165"/>
    </row>
    <row r="6392" spans="1:3" ht="16.8">
      <c r="A6392" s="165"/>
      <c r="B6392" s="171"/>
      <c r="C6392" s="165"/>
    </row>
    <row r="6393" spans="1:3" ht="16.8">
      <c r="A6393" s="165"/>
      <c r="B6393" s="171"/>
      <c r="C6393" s="165"/>
    </row>
    <row r="6394" spans="1:3" ht="16.8">
      <c r="A6394" s="165"/>
      <c r="B6394" s="171"/>
      <c r="C6394" s="165"/>
    </row>
    <row r="6395" spans="1:3" ht="16.8">
      <c r="A6395" s="165"/>
      <c r="B6395" s="171"/>
      <c r="C6395" s="165"/>
    </row>
    <row r="6396" spans="1:3" ht="16.8">
      <c r="A6396" s="165"/>
      <c r="B6396" s="171"/>
      <c r="C6396" s="165"/>
    </row>
    <row r="6397" spans="1:3" ht="16.8">
      <c r="A6397" s="165"/>
      <c r="B6397" s="171"/>
      <c r="C6397" s="165"/>
    </row>
    <row r="6398" spans="1:3" ht="16.8">
      <c r="A6398" s="165"/>
      <c r="B6398" s="171"/>
      <c r="C6398" s="165"/>
    </row>
    <row r="6399" spans="1:3" ht="16.8">
      <c r="A6399" s="165"/>
      <c r="B6399" s="171"/>
      <c r="C6399" s="165"/>
    </row>
    <row r="6400" spans="1:3" ht="16.8">
      <c r="A6400" s="165"/>
      <c r="B6400" s="171"/>
      <c r="C6400" s="165"/>
    </row>
    <row r="6401" spans="1:3" ht="16.8">
      <c r="A6401" s="165"/>
      <c r="B6401" s="171"/>
      <c r="C6401" s="165"/>
    </row>
    <row r="6402" spans="1:3" ht="16.8">
      <c r="A6402" s="165"/>
      <c r="B6402" s="171"/>
      <c r="C6402" s="165"/>
    </row>
    <row r="6403" spans="1:3" ht="16.8">
      <c r="A6403" s="165"/>
      <c r="B6403" s="171"/>
      <c r="C6403" s="165"/>
    </row>
    <row r="6404" spans="1:3" ht="16.8">
      <c r="A6404" s="165"/>
      <c r="B6404" s="171"/>
      <c r="C6404" s="165"/>
    </row>
    <row r="6405" spans="1:3" ht="16.8">
      <c r="A6405" s="165"/>
      <c r="B6405" s="171"/>
      <c r="C6405" s="165"/>
    </row>
    <row r="6406" spans="1:3" ht="16.8">
      <c r="A6406" s="165"/>
      <c r="B6406" s="171"/>
      <c r="C6406" s="165"/>
    </row>
    <row r="6407" spans="1:3" ht="16.8">
      <c r="A6407" s="165"/>
      <c r="B6407" s="171"/>
      <c r="C6407" s="165"/>
    </row>
    <row r="6408" spans="1:3" ht="16.8">
      <c r="A6408" s="165"/>
      <c r="B6408" s="171"/>
      <c r="C6408" s="165"/>
    </row>
    <row r="6409" spans="1:3" ht="16.8">
      <c r="A6409" s="165"/>
      <c r="B6409" s="171"/>
      <c r="C6409" s="165"/>
    </row>
    <row r="6410" spans="1:3" ht="16.8">
      <c r="A6410" s="165"/>
      <c r="B6410" s="171"/>
      <c r="C6410" s="165"/>
    </row>
    <row r="6411" spans="1:3" ht="16.8">
      <c r="A6411" s="165"/>
      <c r="B6411" s="171"/>
      <c r="C6411" s="165"/>
    </row>
    <row r="6412" spans="1:3" ht="16.8">
      <c r="A6412" s="165"/>
      <c r="B6412" s="171"/>
      <c r="C6412" s="165"/>
    </row>
    <row r="6413" spans="1:3" ht="16.8">
      <c r="A6413" s="165"/>
      <c r="B6413" s="171"/>
      <c r="C6413" s="165"/>
    </row>
    <row r="6414" spans="1:3" ht="16.8">
      <c r="A6414" s="165"/>
      <c r="B6414" s="171"/>
      <c r="C6414" s="165"/>
    </row>
    <row r="6415" spans="1:3" ht="16.8">
      <c r="A6415" s="165"/>
      <c r="B6415" s="171"/>
      <c r="C6415" s="165"/>
    </row>
    <row r="6416" spans="1:3" ht="16.8">
      <c r="A6416" s="165"/>
      <c r="B6416" s="171"/>
      <c r="C6416" s="165"/>
    </row>
    <row r="6417" spans="1:3" ht="16.8">
      <c r="A6417" s="165"/>
      <c r="B6417" s="171"/>
      <c r="C6417" s="165"/>
    </row>
    <row r="6418" spans="1:3" ht="16.8">
      <c r="A6418" s="165"/>
      <c r="B6418" s="171"/>
      <c r="C6418" s="165"/>
    </row>
    <row r="6419" spans="1:3" ht="16.8">
      <c r="A6419" s="165"/>
      <c r="B6419" s="171"/>
      <c r="C6419" s="165"/>
    </row>
    <row r="6420" spans="1:3" ht="16.8">
      <c r="A6420" s="165"/>
      <c r="B6420" s="171"/>
      <c r="C6420" s="165"/>
    </row>
    <row r="6421" spans="1:3" ht="16.8">
      <c r="A6421" s="165"/>
      <c r="B6421" s="171"/>
      <c r="C6421" s="165"/>
    </row>
    <row r="6422" spans="1:3" ht="16.8">
      <c r="A6422" s="165"/>
      <c r="B6422" s="171"/>
      <c r="C6422" s="165"/>
    </row>
    <row r="6423" spans="1:3" ht="16.8">
      <c r="A6423" s="165"/>
      <c r="B6423" s="171"/>
      <c r="C6423" s="165"/>
    </row>
    <row r="6424" spans="1:3" ht="16.8">
      <c r="A6424" s="165"/>
      <c r="B6424" s="171"/>
      <c r="C6424" s="165"/>
    </row>
    <row r="6425" spans="1:3" ht="16.8">
      <c r="A6425" s="165"/>
      <c r="B6425" s="171"/>
      <c r="C6425" s="165"/>
    </row>
    <row r="6426" spans="1:3" ht="16.8">
      <c r="A6426" s="165"/>
      <c r="B6426" s="171"/>
      <c r="C6426" s="165"/>
    </row>
    <row r="6427" spans="1:3" ht="16.8">
      <c r="A6427" s="165"/>
      <c r="B6427" s="171"/>
      <c r="C6427" s="165"/>
    </row>
    <row r="6428" spans="1:3" ht="16.8">
      <c r="A6428" s="165"/>
      <c r="B6428" s="171"/>
      <c r="C6428" s="165"/>
    </row>
    <row r="6429" spans="1:3" ht="16.8">
      <c r="A6429" s="165"/>
      <c r="B6429" s="171"/>
      <c r="C6429" s="165"/>
    </row>
    <row r="6430" spans="1:3" ht="16.8">
      <c r="A6430" s="165"/>
      <c r="B6430" s="171"/>
      <c r="C6430" s="165"/>
    </row>
    <row r="6431" spans="1:3" ht="16.8">
      <c r="A6431" s="165"/>
      <c r="B6431" s="171"/>
      <c r="C6431" s="165"/>
    </row>
    <row r="6432" spans="1:3" ht="16.8">
      <c r="A6432" s="165"/>
      <c r="B6432" s="171"/>
      <c r="C6432" s="165"/>
    </row>
    <row r="6433" spans="1:3" ht="16.8">
      <c r="A6433" s="165"/>
      <c r="B6433" s="171"/>
      <c r="C6433" s="165"/>
    </row>
    <row r="6434" spans="1:3" ht="16.8">
      <c r="A6434" s="165"/>
      <c r="B6434" s="171"/>
      <c r="C6434" s="165"/>
    </row>
    <row r="6435" spans="1:3" ht="16.8">
      <c r="A6435" s="165"/>
      <c r="B6435" s="171"/>
      <c r="C6435" s="165"/>
    </row>
    <row r="6436" spans="1:3" ht="16.8">
      <c r="A6436" s="165"/>
      <c r="B6436" s="171"/>
      <c r="C6436" s="165"/>
    </row>
    <row r="6437" spans="1:3" ht="16.8">
      <c r="A6437" s="165"/>
      <c r="B6437" s="171"/>
      <c r="C6437" s="165"/>
    </row>
    <row r="6438" spans="1:3" ht="16.8">
      <c r="A6438" s="165"/>
      <c r="B6438" s="171"/>
      <c r="C6438" s="165"/>
    </row>
    <row r="6439" spans="1:3" ht="16.8">
      <c r="A6439" s="165"/>
      <c r="B6439" s="171"/>
      <c r="C6439" s="165"/>
    </row>
    <row r="6440" spans="1:3" ht="16.8">
      <c r="A6440" s="165"/>
      <c r="B6440" s="171"/>
      <c r="C6440" s="165"/>
    </row>
    <row r="6441" spans="1:3" ht="16.8">
      <c r="A6441" s="165"/>
      <c r="B6441" s="171"/>
      <c r="C6441" s="165"/>
    </row>
    <row r="6442" spans="1:3" ht="16.8">
      <c r="A6442" s="165"/>
      <c r="B6442" s="171"/>
      <c r="C6442" s="165"/>
    </row>
    <row r="6443" spans="1:3" ht="16.8">
      <c r="A6443" s="165"/>
      <c r="B6443" s="171"/>
      <c r="C6443" s="165"/>
    </row>
    <row r="6444" spans="1:3" ht="16.8">
      <c r="A6444" s="165"/>
      <c r="B6444" s="171"/>
      <c r="C6444" s="165"/>
    </row>
    <row r="6445" spans="1:3" ht="16.8">
      <c r="A6445" s="165"/>
      <c r="B6445" s="171"/>
      <c r="C6445" s="165"/>
    </row>
    <row r="6446" spans="1:3" ht="16.8">
      <c r="A6446" s="165"/>
      <c r="B6446" s="171"/>
      <c r="C6446" s="165"/>
    </row>
    <row r="6447" spans="1:3" ht="16.8">
      <c r="A6447" s="165"/>
      <c r="B6447" s="171"/>
      <c r="C6447" s="165"/>
    </row>
    <row r="6448" spans="1:3" ht="16.8">
      <c r="A6448" s="165"/>
      <c r="B6448" s="171"/>
      <c r="C6448" s="165"/>
    </row>
    <row r="6449" spans="1:3" ht="16.8">
      <c r="A6449" s="165"/>
      <c r="B6449" s="171"/>
      <c r="C6449" s="165"/>
    </row>
    <row r="6450" spans="1:3" ht="16.8">
      <c r="A6450" s="165"/>
      <c r="B6450" s="171"/>
      <c r="C6450" s="165"/>
    </row>
    <row r="6451" spans="1:3" ht="16.8">
      <c r="A6451" s="165"/>
      <c r="B6451" s="171"/>
      <c r="C6451" s="165"/>
    </row>
    <row r="6452" spans="1:3" ht="16.8">
      <c r="A6452" s="165"/>
      <c r="B6452" s="171"/>
      <c r="C6452" s="165"/>
    </row>
    <row r="6453" spans="1:3" ht="16.8">
      <c r="A6453" s="165"/>
      <c r="B6453" s="171"/>
      <c r="C6453" s="165"/>
    </row>
    <row r="6454" spans="1:3" ht="16.8">
      <c r="A6454" s="165"/>
      <c r="B6454" s="171"/>
      <c r="C6454" s="165"/>
    </row>
    <row r="6455" spans="1:3" ht="16.8">
      <c r="A6455" s="165"/>
      <c r="B6455" s="171"/>
      <c r="C6455" s="165"/>
    </row>
    <row r="6456" spans="1:3" ht="16.8">
      <c r="A6456" s="165"/>
      <c r="B6456" s="171"/>
      <c r="C6456" s="165"/>
    </row>
    <row r="6457" spans="1:3" ht="16.8">
      <c r="A6457" s="165"/>
      <c r="B6457" s="171"/>
      <c r="C6457" s="165"/>
    </row>
    <row r="6458" spans="1:3" ht="16.8">
      <c r="A6458" s="165"/>
      <c r="B6458" s="171"/>
      <c r="C6458" s="165"/>
    </row>
    <row r="6459" spans="1:3" ht="16.8">
      <c r="A6459" s="165"/>
      <c r="B6459" s="171"/>
      <c r="C6459" s="165"/>
    </row>
    <row r="6460" spans="1:3" ht="16.8">
      <c r="A6460" s="165"/>
      <c r="B6460" s="171"/>
      <c r="C6460" s="165"/>
    </row>
    <row r="6461" spans="1:3" ht="16.8">
      <c r="A6461" s="165"/>
      <c r="B6461" s="171"/>
      <c r="C6461" s="165"/>
    </row>
    <row r="6462" spans="1:3" ht="16.8">
      <c r="A6462" s="165"/>
      <c r="B6462" s="171"/>
      <c r="C6462" s="165"/>
    </row>
    <row r="6463" spans="1:3" ht="16.8">
      <c r="A6463" s="165"/>
      <c r="B6463" s="171"/>
      <c r="C6463" s="165"/>
    </row>
    <row r="6464" spans="1:3" ht="16.8">
      <c r="A6464" s="165"/>
      <c r="B6464" s="171"/>
      <c r="C6464" s="165"/>
    </row>
    <row r="6465" spans="1:3" ht="16.8">
      <c r="A6465" s="165"/>
      <c r="B6465" s="171"/>
      <c r="C6465" s="165"/>
    </row>
    <row r="6466" spans="1:3" ht="16.8">
      <c r="A6466" s="165"/>
      <c r="B6466" s="171"/>
      <c r="C6466" s="165"/>
    </row>
    <row r="6467" spans="1:3" ht="16.8">
      <c r="A6467" s="165"/>
      <c r="B6467" s="171"/>
      <c r="C6467" s="165"/>
    </row>
    <row r="6468" spans="1:3" ht="16.8">
      <c r="A6468" s="165"/>
      <c r="B6468" s="171"/>
      <c r="C6468" s="165"/>
    </row>
    <row r="6469" spans="1:3" ht="16.8">
      <c r="A6469" s="165"/>
      <c r="B6469" s="171"/>
      <c r="C6469" s="165"/>
    </row>
    <row r="6470" spans="1:3" ht="16.8">
      <c r="A6470" s="165"/>
      <c r="B6470" s="171"/>
      <c r="C6470" s="165"/>
    </row>
    <row r="6471" spans="1:3" ht="16.8">
      <c r="A6471" s="165"/>
      <c r="B6471" s="171"/>
      <c r="C6471" s="165"/>
    </row>
    <row r="6472" spans="1:3" ht="16.8">
      <c r="A6472" s="165"/>
      <c r="B6472" s="171"/>
      <c r="C6472" s="165"/>
    </row>
    <row r="6473" spans="1:3" ht="16.8">
      <c r="A6473" s="165"/>
      <c r="B6473" s="171"/>
      <c r="C6473" s="165"/>
    </row>
    <row r="6474" spans="1:3" ht="16.8">
      <c r="A6474" s="165"/>
      <c r="B6474" s="171"/>
      <c r="C6474" s="165"/>
    </row>
    <row r="6475" spans="1:3" ht="16.8">
      <c r="A6475" s="165"/>
      <c r="B6475" s="171"/>
      <c r="C6475" s="165"/>
    </row>
    <row r="6476" spans="1:3" ht="16.8">
      <c r="A6476" s="165"/>
      <c r="B6476" s="171"/>
      <c r="C6476" s="165"/>
    </row>
    <row r="6477" spans="1:3" ht="16.8">
      <c r="A6477" s="165"/>
      <c r="B6477" s="171"/>
      <c r="C6477" s="165"/>
    </row>
    <row r="6478" spans="1:3" ht="16.8">
      <c r="A6478" s="165"/>
      <c r="B6478" s="171"/>
      <c r="C6478" s="165"/>
    </row>
    <row r="6479" spans="1:3" ht="16.8">
      <c r="A6479" s="165"/>
      <c r="B6479" s="171"/>
      <c r="C6479" s="165"/>
    </row>
    <row r="6480" spans="1:3" ht="16.8">
      <c r="A6480" s="165"/>
      <c r="B6480" s="171"/>
      <c r="C6480" s="165"/>
    </row>
    <row r="6481" spans="1:3" ht="16.8">
      <c r="A6481" s="165"/>
      <c r="B6481" s="171"/>
      <c r="C6481" s="165"/>
    </row>
    <row r="6482" spans="1:3" ht="16.8">
      <c r="A6482" s="165"/>
      <c r="B6482" s="171"/>
      <c r="C6482" s="165"/>
    </row>
    <row r="6483" spans="1:3" ht="16.8">
      <c r="A6483" s="165"/>
      <c r="B6483" s="171"/>
      <c r="C6483" s="165"/>
    </row>
    <row r="6484" spans="1:3" ht="16.8">
      <c r="A6484" s="165"/>
      <c r="B6484" s="171"/>
      <c r="C6484" s="165"/>
    </row>
    <row r="6485" spans="1:3" ht="16.8">
      <c r="A6485" s="165"/>
      <c r="B6485" s="171"/>
      <c r="C6485" s="165"/>
    </row>
    <row r="6486" spans="1:3" ht="16.8">
      <c r="A6486" s="165"/>
      <c r="B6486" s="171"/>
      <c r="C6486" s="165"/>
    </row>
    <row r="6487" spans="1:3" ht="16.8">
      <c r="A6487" s="165"/>
      <c r="B6487" s="171"/>
      <c r="C6487" s="165"/>
    </row>
    <row r="6488" spans="1:3" ht="16.8">
      <c r="A6488" s="165"/>
      <c r="B6488" s="171"/>
      <c r="C6488" s="165"/>
    </row>
    <row r="6489" spans="1:3" ht="16.8">
      <c r="A6489" s="165"/>
      <c r="B6489" s="171"/>
      <c r="C6489" s="165"/>
    </row>
    <row r="6490" spans="1:3" ht="16.8">
      <c r="A6490" s="165"/>
      <c r="B6490" s="171"/>
      <c r="C6490" s="165"/>
    </row>
    <row r="6491" spans="1:3" ht="16.8">
      <c r="A6491" s="165"/>
      <c r="B6491" s="171"/>
      <c r="C6491" s="165"/>
    </row>
    <row r="6492" spans="1:3" ht="16.8">
      <c r="A6492" s="165"/>
      <c r="B6492" s="171"/>
      <c r="C6492" s="165"/>
    </row>
    <row r="6493" spans="1:3" ht="16.8">
      <c r="A6493" s="165"/>
      <c r="B6493" s="171"/>
      <c r="C6493" s="165"/>
    </row>
    <row r="6494" spans="1:3" ht="16.8">
      <c r="A6494" s="165"/>
      <c r="B6494" s="171"/>
      <c r="C6494" s="165"/>
    </row>
    <row r="6495" spans="1:3" ht="16.8">
      <c r="A6495" s="165"/>
      <c r="B6495" s="171"/>
      <c r="C6495" s="165"/>
    </row>
    <row r="6496" spans="1:3" ht="16.8">
      <c r="A6496" s="165"/>
      <c r="B6496" s="171"/>
      <c r="C6496" s="165"/>
    </row>
    <row r="6497" spans="1:3" ht="16.8">
      <c r="A6497" s="165"/>
      <c r="B6497" s="171"/>
      <c r="C6497" s="165"/>
    </row>
    <row r="6498" spans="1:3" ht="16.8">
      <c r="A6498" s="165"/>
      <c r="B6498" s="171"/>
      <c r="C6498" s="165"/>
    </row>
    <row r="6499" spans="1:3" ht="16.8">
      <c r="A6499" s="165"/>
      <c r="B6499" s="171"/>
      <c r="C6499" s="165"/>
    </row>
    <row r="6500" spans="1:3" ht="16.8">
      <c r="A6500" s="165"/>
      <c r="B6500" s="171"/>
      <c r="C6500" s="165"/>
    </row>
    <row r="6501" spans="1:3" ht="16.8">
      <c r="A6501" s="165"/>
      <c r="B6501" s="171"/>
      <c r="C6501" s="165"/>
    </row>
    <row r="6502" spans="1:3" ht="16.8">
      <c r="A6502" s="165"/>
      <c r="B6502" s="171"/>
      <c r="C6502" s="165"/>
    </row>
    <row r="6503" spans="1:3" ht="16.8">
      <c r="A6503" s="165"/>
      <c r="B6503" s="171"/>
      <c r="C6503" s="165"/>
    </row>
    <row r="6504" spans="1:3" ht="16.8">
      <c r="A6504" s="165"/>
      <c r="B6504" s="171"/>
      <c r="C6504" s="165"/>
    </row>
    <row r="6505" spans="1:3" ht="16.8">
      <c r="A6505" s="165"/>
      <c r="B6505" s="171"/>
      <c r="C6505" s="165"/>
    </row>
    <row r="6506" spans="1:3" ht="16.8">
      <c r="A6506" s="165"/>
      <c r="B6506" s="171"/>
      <c r="C6506" s="165"/>
    </row>
    <row r="6507" spans="1:3" ht="16.8">
      <c r="A6507" s="165"/>
      <c r="B6507" s="171"/>
      <c r="C6507" s="165"/>
    </row>
    <row r="6508" spans="1:3" ht="16.8">
      <c r="A6508" s="165"/>
      <c r="B6508" s="171"/>
      <c r="C6508" s="165"/>
    </row>
    <row r="6509" spans="1:3" ht="16.8">
      <c r="A6509" s="165"/>
      <c r="B6509" s="171"/>
      <c r="C6509" s="165"/>
    </row>
    <row r="6510" spans="1:3" ht="16.8">
      <c r="A6510" s="165"/>
      <c r="B6510" s="171"/>
      <c r="C6510" s="165"/>
    </row>
    <row r="6511" spans="1:3" ht="16.8">
      <c r="A6511" s="165"/>
      <c r="B6511" s="171"/>
      <c r="C6511" s="165"/>
    </row>
    <row r="6512" spans="1:3" ht="16.8">
      <c r="A6512" s="165"/>
      <c r="B6512" s="171"/>
      <c r="C6512" s="165"/>
    </row>
    <row r="6513" spans="1:3" ht="16.8">
      <c r="A6513" s="165"/>
      <c r="B6513" s="171"/>
      <c r="C6513" s="165"/>
    </row>
    <row r="6514" spans="1:3" ht="16.8">
      <c r="A6514" s="165"/>
      <c r="B6514" s="171"/>
      <c r="C6514" s="165"/>
    </row>
    <row r="6515" spans="1:3" ht="16.8">
      <c r="A6515" s="165"/>
      <c r="B6515" s="171"/>
      <c r="C6515" s="165"/>
    </row>
    <row r="6516" spans="1:3" ht="16.8">
      <c r="A6516" s="165"/>
      <c r="B6516" s="171"/>
      <c r="C6516" s="165"/>
    </row>
    <row r="6517" spans="1:3" ht="16.8">
      <c r="A6517" s="165"/>
      <c r="B6517" s="171"/>
      <c r="C6517" s="165"/>
    </row>
    <row r="6518" spans="1:3" ht="16.8">
      <c r="A6518" s="165"/>
      <c r="B6518" s="171"/>
      <c r="C6518" s="165"/>
    </row>
    <row r="6519" spans="1:3" ht="16.8">
      <c r="A6519" s="165"/>
      <c r="B6519" s="171"/>
      <c r="C6519" s="165"/>
    </row>
    <row r="6520" spans="1:3" ht="16.8">
      <c r="A6520" s="165"/>
      <c r="B6520" s="171"/>
      <c r="C6520" s="165"/>
    </row>
    <row r="6521" spans="1:3" ht="16.8">
      <c r="A6521" s="165"/>
      <c r="B6521" s="171"/>
      <c r="C6521" s="165"/>
    </row>
    <row r="6522" spans="1:3" ht="16.8">
      <c r="A6522" s="165"/>
      <c r="B6522" s="171"/>
      <c r="C6522" s="165"/>
    </row>
    <row r="6523" spans="1:3" ht="16.8">
      <c r="A6523" s="165"/>
      <c r="B6523" s="171"/>
      <c r="C6523" s="165"/>
    </row>
    <row r="6524" spans="1:3" ht="16.8">
      <c r="A6524" s="165"/>
      <c r="B6524" s="171"/>
      <c r="C6524" s="165"/>
    </row>
    <row r="6525" spans="1:3" ht="16.8">
      <c r="A6525" s="165"/>
      <c r="B6525" s="171"/>
      <c r="C6525" s="165"/>
    </row>
    <row r="6526" spans="1:3" ht="16.8">
      <c r="A6526" s="165"/>
      <c r="B6526" s="171"/>
      <c r="C6526" s="165"/>
    </row>
    <row r="6527" spans="1:3" ht="16.8">
      <c r="A6527" s="165"/>
      <c r="B6527" s="171"/>
      <c r="C6527" s="165"/>
    </row>
    <row r="6528" spans="1:3" ht="16.8">
      <c r="A6528" s="165"/>
      <c r="B6528" s="171"/>
      <c r="C6528" s="165"/>
    </row>
    <row r="6529" spans="1:3" ht="16.8">
      <c r="A6529" s="165"/>
      <c r="B6529" s="171"/>
      <c r="C6529" s="165"/>
    </row>
    <row r="6530" spans="1:3" ht="16.8">
      <c r="A6530" s="165"/>
      <c r="B6530" s="171"/>
      <c r="C6530" s="165"/>
    </row>
    <row r="6531" spans="1:3" ht="16.8">
      <c r="A6531" s="165"/>
      <c r="B6531" s="171"/>
      <c r="C6531" s="165"/>
    </row>
    <row r="6532" spans="1:3" ht="16.8">
      <c r="A6532" s="165"/>
      <c r="B6532" s="171"/>
      <c r="C6532" s="165"/>
    </row>
    <row r="6533" spans="1:3" ht="16.8">
      <c r="A6533" s="165"/>
      <c r="B6533" s="171"/>
      <c r="C6533" s="165"/>
    </row>
    <row r="6534" spans="1:3" ht="16.8">
      <c r="A6534" s="165"/>
      <c r="B6534" s="171"/>
      <c r="C6534" s="165"/>
    </row>
    <row r="6535" spans="1:3" ht="16.8">
      <c r="A6535" s="165"/>
      <c r="B6535" s="171"/>
      <c r="C6535" s="165"/>
    </row>
    <row r="6536" spans="1:3" ht="16.8">
      <c r="A6536" s="165"/>
      <c r="B6536" s="171"/>
      <c r="C6536" s="165"/>
    </row>
    <row r="6537" spans="1:3" ht="16.8">
      <c r="A6537" s="165"/>
      <c r="B6537" s="171"/>
      <c r="C6537" s="165"/>
    </row>
    <row r="6538" spans="1:3" ht="16.8">
      <c r="A6538" s="165"/>
      <c r="B6538" s="171"/>
      <c r="C6538" s="165"/>
    </row>
    <row r="6539" spans="1:3" ht="16.8">
      <c r="A6539" s="165"/>
      <c r="B6539" s="171"/>
      <c r="C6539" s="165"/>
    </row>
    <row r="6540" spans="1:3" ht="16.8">
      <c r="A6540" s="165"/>
      <c r="B6540" s="171"/>
      <c r="C6540" s="165"/>
    </row>
    <row r="6541" spans="1:3" ht="16.8">
      <c r="A6541" s="165"/>
      <c r="B6541" s="171"/>
      <c r="C6541" s="165"/>
    </row>
    <row r="6542" spans="1:3" ht="16.8">
      <c r="A6542" s="165"/>
      <c r="B6542" s="171"/>
      <c r="C6542" s="165"/>
    </row>
    <row r="6543" spans="1:3" ht="16.8">
      <c r="A6543" s="165"/>
      <c r="B6543" s="171"/>
      <c r="C6543" s="165"/>
    </row>
    <row r="6544" spans="1:3" ht="16.8">
      <c r="A6544" s="165"/>
      <c r="B6544" s="171"/>
      <c r="C6544" s="165"/>
    </row>
    <row r="6545" spans="1:3" ht="16.8">
      <c r="A6545" s="165"/>
      <c r="B6545" s="171"/>
      <c r="C6545" s="165"/>
    </row>
    <row r="6546" spans="1:3" ht="16.8">
      <c r="A6546" s="165"/>
      <c r="B6546" s="171"/>
      <c r="C6546" s="165"/>
    </row>
    <row r="6547" spans="1:3" ht="16.8">
      <c r="A6547" s="165"/>
      <c r="B6547" s="171"/>
      <c r="C6547" s="165"/>
    </row>
    <row r="6548" spans="1:3" ht="16.8">
      <c r="A6548" s="165"/>
      <c r="B6548" s="171"/>
      <c r="C6548" s="165"/>
    </row>
    <row r="6549" spans="1:3" ht="16.8">
      <c r="A6549" s="165"/>
      <c r="B6549" s="171"/>
      <c r="C6549" s="165"/>
    </row>
    <row r="6550" spans="1:3" ht="16.8">
      <c r="A6550" s="165"/>
      <c r="B6550" s="171"/>
      <c r="C6550" s="165"/>
    </row>
    <row r="6551" spans="1:3" ht="16.8">
      <c r="A6551" s="165"/>
      <c r="B6551" s="171"/>
      <c r="C6551" s="165"/>
    </row>
    <row r="6552" spans="1:3" ht="16.8">
      <c r="A6552" s="165"/>
      <c r="B6552" s="171"/>
      <c r="C6552" s="165"/>
    </row>
    <row r="6553" spans="1:3" ht="16.8">
      <c r="A6553" s="165"/>
      <c r="B6553" s="171"/>
      <c r="C6553" s="165"/>
    </row>
    <row r="6554" spans="1:3" ht="16.8">
      <c r="A6554" s="165"/>
      <c r="B6554" s="171"/>
      <c r="C6554" s="165"/>
    </row>
    <row r="6555" spans="1:3" ht="16.8">
      <c r="A6555" s="165"/>
      <c r="B6555" s="171"/>
      <c r="C6555" s="165"/>
    </row>
    <row r="6556" spans="1:3" ht="16.8">
      <c r="A6556" s="165"/>
      <c r="B6556" s="171"/>
      <c r="C6556" s="165"/>
    </row>
    <row r="6557" spans="1:3" ht="16.8">
      <c r="A6557" s="165"/>
      <c r="B6557" s="171"/>
      <c r="C6557" s="165"/>
    </row>
    <row r="6558" spans="1:3" ht="16.8">
      <c r="A6558" s="165"/>
      <c r="B6558" s="171"/>
      <c r="C6558" s="165"/>
    </row>
    <row r="6559" spans="1:3" ht="16.8">
      <c r="A6559" s="165"/>
      <c r="B6559" s="171"/>
      <c r="C6559" s="165"/>
    </row>
    <row r="6560" spans="1:3" ht="16.8">
      <c r="A6560" s="165"/>
      <c r="B6560" s="171"/>
      <c r="C6560" s="165"/>
    </row>
    <row r="6561" spans="1:3" ht="16.8">
      <c r="A6561" s="165"/>
      <c r="B6561" s="171"/>
      <c r="C6561" s="165"/>
    </row>
    <row r="6562" spans="1:3" ht="16.8">
      <c r="A6562" s="165"/>
      <c r="B6562" s="171"/>
      <c r="C6562" s="165"/>
    </row>
    <row r="6563" spans="1:3" ht="16.8">
      <c r="A6563" s="165"/>
      <c r="B6563" s="171"/>
      <c r="C6563" s="165"/>
    </row>
    <row r="6564" spans="1:3" ht="16.8">
      <c r="A6564" s="165"/>
      <c r="B6564" s="171"/>
      <c r="C6564" s="165"/>
    </row>
    <row r="6565" spans="1:3" ht="16.8">
      <c r="A6565" s="165"/>
      <c r="B6565" s="171"/>
      <c r="C6565" s="165"/>
    </row>
    <row r="6566" spans="1:3" ht="16.8">
      <c r="A6566" s="165"/>
      <c r="B6566" s="171"/>
      <c r="C6566" s="165"/>
    </row>
    <row r="6567" spans="1:3" ht="16.8">
      <c r="A6567" s="165"/>
      <c r="B6567" s="171"/>
      <c r="C6567" s="165"/>
    </row>
    <row r="6568" spans="1:3" ht="16.8">
      <c r="A6568" s="165"/>
      <c r="B6568" s="171"/>
      <c r="C6568" s="165"/>
    </row>
    <row r="6569" spans="1:3" ht="16.8">
      <c r="A6569" s="165"/>
      <c r="B6569" s="171"/>
      <c r="C6569" s="165"/>
    </row>
    <row r="6570" spans="1:3" ht="16.8">
      <c r="A6570" s="165"/>
      <c r="B6570" s="171"/>
      <c r="C6570" s="165"/>
    </row>
    <row r="6571" spans="1:3" ht="16.8">
      <c r="A6571" s="165"/>
      <c r="B6571" s="171"/>
      <c r="C6571" s="165"/>
    </row>
    <row r="6572" spans="1:3" ht="16.8">
      <c r="A6572" s="165"/>
      <c r="B6572" s="171"/>
      <c r="C6572" s="165"/>
    </row>
    <row r="6573" spans="1:3" ht="16.8">
      <c r="A6573" s="165"/>
      <c r="B6573" s="171"/>
      <c r="C6573" s="165"/>
    </row>
    <row r="6574" spans="1:3" ht="16.8">
      <c r="A6574" s="165"/>
      <c r="B6574" s="171"/>
      <c r="C6574" s="165"/>
    </row>
    <row r="6575" spans="1:3" ht="16.8">
      <c r="A6575" s="165"/>
      <c r="B6575" s="171"/>
      <c r="C6575" s="165"/>
    </row>
    <row r="6576" spans="1:3" ht="16.8">
      <c r="A6576" s="165"/>
      <c r="B6576" s="171"/>
      <c r="C6576" s="165"/>
    </row>
    <row r="6577" spans="1:3" ht="16.8">
      <c r="A6577" s="165"/>
      <c r="B6577" s="171"/>
      <c r="C6577" s="165"/>
    </row>
    <row r="6578" spans="1:3" ht="16.8">
      <c r="A6578" s="165"/>
      <c r="B6578" s="171"/>
      <c r="C6578" s="165"/>
    </row>
    <row r="6579" spans="1:3" ht="16.8">
      <c r="A6579" s="165"/>
      <c r="B6579" s="171"/>
      <c r="C6579" s="165"/>
    </row>
    <row r="6580" spans="1:3" ht="16.8">
      <c r="A6580" s="165"/>
      <c r="B6580" s="171"/>
      <c r="C6580" s="165"/>
    </row>
    <row r="6581" spans="1:3" ht="16.8">
      <c r="A6581" s="165"/>
      <c r="B6581" s="171"/>
      <c r="C6581" s="165"/>
    </row>
    <row r="6582" spans="1:3" ht="16.8">
      <c r="A6582" s="165"/>
      <c r="B6582" s="171"/>
      <c r="C6582" s="165"/>
    </row>
    <row r="6583" spans="1:3" ht="16.8">
      <c r="A6583" s="165"/>
      <c r="B6583" s="171"/>
      <c r="C6583" s="165"/>
    </row>
    <row r="6584" spans="1:3" ht="16.8">
      <c r="A6584" s="165"/>
      <c r="B6584" s="171"/>
      <c r="C6584" s="165"/>
    </row>
    <row r="6585" spans="1:3" ht="16.8">
      <c r="A6585" s="165"/>
      <c r="B6585" s="171"/>
      <c r="C6585" s="165"/>
    </row>
    <row r="6586" spans="1:3" ht="16.8">
      <c r="A6586" s="165"/>
      <c r="B6586" s="171"/>
      <c r="C6586" s="165"/>
    </row>
    <row r="6587" spans="1:3" ht="16.8">
      <c r="A6587" s="165"/>
      <c r="B6587" s="171"/>
      <c r="C6587" s="165"/>
    </row>
    <row r="6588" spans="1:3" ht="16.8">
      <c r="A6588" s="165"/>
      <c r="B6588" s="171"/>
      <c r="C6588" s="165"/>
    </row>
    <row r="6589" spans="1:3" ht="16.8">
      <c r="A6589" s="165"/>
      <c r="B6589" s="171"/>
      <c r="C6589" s="165"/>
    </row>
    <row r="6590" spans="1:3" ht="16.8">
      <c r="A6590" s="165"/>
      <c r="B6590" s="171"/>
      <c r="C6590" s="165"/>
    </row>
    <row r="6591" spans="1:3" ht="16.8">
      <c r="A6591" s="165"/>
      <c r="B6591" s="171"/>
      <c r="C6591" s="165"/>
    </row>
    <row r="6592" spans="1:3" ht="16.8">
      <c r="A6592" s="165"/>
      <c r="B6592" s="171"/>
      <c r="C6592" s="165"/>
    </row>
    <row r="6593" spans="1:3" ht="16.8">
      <c r="A6593" s="165"/>
      <c r="B6593" s="171"/>
      <c r="C6593" s="165"/>
    </row>
    <row r="6594" spans="1:3" ht="16.8">
      <c r="A6594" s="165"/>
      <c r="B6594" s="171"/>
      <c r="C6594" s="165"/>
    </row>
    <row r="6595" spans="1:3" ht="16.8">
      <c r="A6595" s="165"/>
      <c r="B6595" s="171"/>
      <c r="C6595" s="165"/>
    </row>
    <row r="6596" spans="1:3" ht="16.8">
      <c r="A6596" s="165"/>
      <c r="B6596" s="171"/>
      <c r="C6596" s="165"/>
    </row>
    <row r="6597" spans="1:3" ht="16.8">
      <c r="A6597" s="165"/>
      <c r="B6597" s="171"/>
      <c r="C6597" s="165"/>
    </row>
    <row r="6598" spans="1:3" ht="16.8">
      <c r="A6598" s="165"/>
      <c r="B6598" s="171"/>
      <c r="C6598" s="165"/>
    </row>
    <row r="6599" spans="1:3" ht="16.8">
      <c r="A6599" s="165"/>
      <c r="B6599" s="171"/>
      <c r="C6599" s="165"/>
    </row>
    <row r="6600" spans="1:3" ht="16.8">
      <c r="A6600" s="165"/>
      <c r="B6600" s="171"/>
      <c r="C6600" s="165"/>
    </row>
    <row r="6601" spans="1:3" ht="16.8">
      <c r="A6601" s="165"/>
      <c r="B6601" s="171"/>
      <c r="C6601" s="165"/>
    </row>
    <row r="6602" spans="1:3" ht="16.8">
      <c r="A6602" s="165"/>
      <c r="B6602" s="171"/>
      <c r="C6602" s="165"/>
    </row>
    <row r="6603" spans="1:3" ht="16.8">
      <c r="A6603" s="165"/>
      <c r="B6603" s="171"/>
      <c r="C6603" s="165"/>
    </row>
    <row r="6604" spans="1:3" ht="16.8">
      <c r="A6604" s="165"/>
      <c r="B6604" s="171"/>
      <c r="C6604" s="165"/>
    </row>
    <row r="6605" spans="1:3" ht="16.8">
      <c r="A6605" s="165"/>
      <c r="B6605" s="171"/>
      <c r="C6605" s="165"/>
    </row>
    <row r="6606" spans="1:3" ht="16.8">
      <c r="A6606" s="165"/>
      <c r="B6606" s="171"/>
      <c r="C6606" s="165"/>
    </row>
    <row r="6607" spans="1:3" ht="16.8">
      <c r="A6607" s="165"/>
      <c r="B6607" s="171"/>
      <c r="C6607" s="165"/>
    </row>
    <row r="6608" spans="1:3" ht="16.8">
      <c r="A6608" s="165"/>
      <c r="B6608" s="171"/>
      <c r="C6608" s="165"/>
    </row>
    <row r="6609" spans="1:3" ht="16.8">
      <c r="A6609" s="165"/>
      <c r="B6609" s="171"/>
      <c r="C6609" s="165"/>
    </row>
    <row r="6610" spans="1:3" ht="16.8">
      <c r="A6610" s="165"/>
      <c r="B6610" s="171"/>
      <c r="C6610" s="165"/>
    </row>
    <row r="6611" spans="1:3" ht="16.8">
      <c r="A6611" s="165"/>
      <c r="B6611" s="171"/>
      <c r="C6611" s="165"/>
    </row>
    <row r="6612" spans="1:3" ht="16.8">
      <c r="A6612" s="165"/>
      <c r="B6612" s="171"/>
      <c r="C6612" s="165"/>
    </row>
    <row r="6613" spans="1:3" ht="16.8">
      <c r="A6613" s="165"/>
      <c r="B6613" s="171"/>
      <c r="C6613" s="165"/>
    </row>
    <row r="6614" spans="1:3" ht="16.8">
      <c r="A6614" s="165"/>
      <c r="B6614" s="171"/>
      <c r="C6614" s="165"/>
    </row>
    <row r="6615" spans="1:3" ht="16.8">
      <c r="A6615" s="165"/>
      <c r="B6615" s="171"/>
      <c r="C6615" s="165"/>
    </row>
    <row r="6616" spans="1:3" ht="16.8">
      <c r="A6616" s="165"/>
      <c r="B6616" s="171"/>
      <c r="C6616" s="165"/>
    </row>
    <row r="6617" spans="1:3" ht="16.8">
      <c r="A6617" s="165"/>
      <c r="B6617" s="171"/>
      <c r="C6617" s="165"/>
    </row>
    <row r="6618" spans="1:3" ht="16.8">
      <c r="A6618" s="165"/>
      <c r="B6618" s="171"/>
      <c r="C6618" s="165"/>
    </row>
    <row r="6619" spans="1:3" ht="16.8">
      <c r="A6619" s="165"/>
      <c r="B6619" s="171"/>
      <c r="C6619" s="165"/>
    </row>
    <row r="6620" spans="1:3" ht="16.8">
      <c r="A6620" s="165"/>
      <c r="B6620" s="171"/>
      <c r="C6620" s="165"/>
    </row>
    <row r="6621" spans="1:3" ht="16.8">
      <c r="A6621" s="165"/>
      <c r="B6621" s="171"/>
      <c r="C6621" s="165"/>
    </row>
    <row r="6622" spans="1:3" ht="16.8">
      <c r="A6622" s="165"/>
      <c r="B6622" s="171"/>
      <c r="C6622" s="165"/>
    </row>
    <row r="6623" spans="1:3" ht="16.8">
      <c r="A6623" s="165"/>
      <c r="B6623" s="171"/>
      <c r="C6623" s="165"/>
    </row>
    <row r="6624" spans="1:3" ht="16.8">
      <c r="A6624" s="165"/>
      <c r="B6624" s="171"/>
      <c r="C6624" s="165"/>
    </row>
    <row r="6625" spans="1:3" ht="16.8">
      <c r="A6625" s="165"/>
      <c r="B6625" s="171"/>
      <c r="C6625" s="165"/>
    </row>
    <row r="6626" spans="1:3" ht="16.8">
      <c r="A6626" s="165"/>
      <c r="B6626" s="171"/>
      <c r="C6626" s="165"/>
    </row>
    <row r="6627" spans="1:3" ht="16.8">
      <c r="A6627" s="165"/>
      <c r="B6627" s="171"/>
      <c r="C6627" s="165"/>
    </row>
    <row r="6628" spans="1:3" ht="16.8">
      <c r="A6628" s="165"/>
      <c r="B6628" s="171"/>
      <c r="C6628" s="165"/>
    </row>
    <row r="6629" spans="1:3" ht="16.8">
      <c r="A6629" s="165"/>
      <c r="B6629" s="171"/>
      <c r="C6629" s="165"/>
    </row>
    <row r="6630" spans="1:3" ht="16.8">
      <c r="A6630" s="165"/>
      <c r="B6630" s="171"/>
      <c r="C6630" s="165"/>
    </row>
    <row r="6631" spans="1:3" ht="16.8">
      <c r="A6631" s="165"/>
      <c r="B6631" s="171"/>
      <c r="C6631" s="165"/>
    </row>
    <row r="6632" spans="1:3" ht="16.8">
      <c r="A6632" s="165"/>
      <c r="B6632" s="171"/>
      <c r="C6632" s="165"/>
    </row>
    <row r="6633" spans="1:3" ht="16.8">
      <c r="A6633" s="165"/>
      <c r="B6633" s="171"/>
      <c r="C6633" s="165"/>
    </row>
    <row r="6634" spans="1:3" ht="16.8">
      <c r="A6634" s="165"/>
      <c r="B6634" s="171"/>
      <c r="C6634" s="165"/>
    </row>
    <row r="6635" spans="1:3" ht="16.8">
      <c r="A6635" s="165"/>
      <c r="B6635" s="171"/>
      <c r="C6635" s="165"/>
    </row>
    <row r="6636" spans="1:3" ht="16.8">
      <c r="A6636" s="165"/>
      <c r="B6636" s="171"/>
      <c r="C6636" s="165"/>
    </row>
    <row r="6637" spans="1:3" ht="16.8">
      <c r="A6637" s="165"/>
      <c r="B6637" s="171"/>
      <c r="C6637" s="165"/>
    </row>
    <row r="6638" spans="1:3" ht="16.8">
      <c r="A6638" s="165"/>
      <c r="B6638" s="171"/>
      <c r="C6638" s="165"/>
    </row>
    <row r="6639" spans="1:3" ht="16.8">
      <c r="A6639" s="165"/>
      <c r="B6639" s="171"/>
      <c r="C6639" s="165"/>
    </row>
    <row r="6640" spans="1:3" ht="16.8">
      <c r="A6640" s="165"/>
      <c r="B6640" s="171"/>
      <c r="C6640" s="165"/>
    </row>
    <row r="6641" spans="1:3" ht="16.8">
      <c r="A6641" s="165"/>
      <c r="B6641" s="171"/>
      <c r="C6641" s="165"/>
    </row>
    <row r="6642" spans="1:3" ht="16.8">
      <c r="A6642" s="165"/>
      <c r="B6642" s="171"/>
      <c r="C6642" s="165"/>
    </row>
    <row r="6643" spans="1:3" ht="16.8">
      <c r="A6643" s="165"/>
      <c r="B6643" s="171"/>
      <c r="C6643" s="165"/>
    </row>
    <row r="6644" spans="1:3" ht="16.8">
      <c r="A6644" s="165"/>
      <c r="B6644" s="171"/>
      <c r="C6644" s="165"/>
    </row>
    <row r="6645" spans="1:3" ht="16.8">
      <c r="A6645" s="165"/>
      <c r="B6645" s="171"/>
      <c r="C6645" s="165"/>
    </row>
    <row r="6646" spans="1:3" ht="16.8">
      <c r="A6646" s="165"/>
      <c r="B6646" s="171"/>
      <c r="C6646" s="165"/>
    </row>
    <row r="6647" spans="1:3" ht="16.8">
      <c r="A6647" s="165"/>
      <c r="B6647" s="171"/>
      <c r="C6647" s="165"/>
    </row>
    <row r="6648" spans="1:3" ht="16.8">
      <c r="A6648" s="165"/>
      <c r="B6648" s="171"/>
      <c r="C6648" s="165"/>
    </row>
    <row r="6649" spans="1:3" ht="16.8">
      <c r="A6649" s="165"/>
      <c r="B6649" s="171"/>
      <c r="C6649" s="165"/>
    </row>
    <row r="6650" spans="1:3" ht="16.8">
      <c r="A6650" s="165"/>
      <c r="B6650" s="171"/>
      <c r="C6650" s="165"/>
    </row>
    <row r="6651" spans="1:3" ht="16.8">
      <c r="A6651" s="165"/>
      <c r="B6651" s="171"/>
      <c r="C6651" s="165"/>
    </row>
    <row r="6652" spans="1:3" ht="16.8">
      <c r="A6652" s="165"/>
      <c r="B6652" s="171"/>
      <c r="C6652" s="165"/>
    </row>
    <row r="6653" spans="1:3" ht="16.8">
      <c r="A6653" s="165"/>
      <c r="B6653" s="171"/>
      <c r="C6653" s="165"/>
    </row>
    <row r="6654" spans="1:3" ht="16.8">
      <c r="A6654" s="165"/>
      <c r="B6654" s="171"/>
      <c r="C6654" s="165"/>
    </row>
    <row r="6655" spans="1:3" ht="16.8">
      <c r="A6655" s="165"/>
      <c r="B6655" s="171"/>
      <c r="C6655" s="165"/>
    </row>
    <row r="6656" spans="1:3" ht="16.8">
      <c r="A6656" s="165"/>
      <c r="B6656" s="171"/>
      <c r="C6656" s="165"/>
    </row>
    <row r="6657" spans="1:3" ht="16.8">
      <c r="A6657" s="165"/>
      <c r="B6657" s="171"/>
      <c r="C6657" s="165"/>
    </row>
    <row r="6658" spans="1:3" ht="16.8">
      <c r="A6658" s="165"/>
      <c r="B6658" s="171"/>
      <c r="C6658" s="165"/>
    </row>
    <row r="6659" spans="1:3" ht="16.8">
      <c r="A6659" s="165"/>
      <c r="B6659" s="171"/>
      <c r="C6659" s="165"/>
    </row>
    <row r="6660" spans="1:3" ht="16.8">
      <c r="A6660" s="165"/>
      <c r="B6660" s="171"/>
      <c r="C6660" s="165"/>
    </row>
    <row r="6661" spans="1:3" ht="16.8">
      <c r="A6661" s="165"/>
      <c r="B6661" s="171"/>
      <c r="C6661" s="165"/>
    </row>
    <row r="6662" spans="1:3" ht="16.8">
      <c r="A6662" s="165"/>
      <c r="B6662" s="171"/>
      <c r="C6662" s="165"/>
    </row>
    <row r="6663" spans="1:3" ht="16.8">
      <c r="A6663" s="165"/>
      <c r="B6663" s="171"/>
      <c r="C6663" s="165"/>
    </row>
    <row r="6664" spans="1:3" ht="16.8">
      <c r="A6664" s="165"/>
      <c r="B6664" s="171"/>
      <c r="C6664" s="165"/>
    </row>
    <row r="6665" spans="1:3" ht="16.8">
      <c r="A6665" s="165"/>
      <c r="B6665" s="171"/>
      <c r="C6665" s="165"/>
    </row>
    <row r="6666" spans="1:3" ht="16.8">
      <c r="A6666" s="165"/>
      <c r="B6666" s="171"/>
      <c r="C6666" s="165"/>
    </row>
    <row r="6667" spans="1:3" ht="16.8">
      <c r="A6667" s="165"/>
      <c r="B6667" s="171"/>
      <c r="C6667" s="165"/>
    </row>
    <row r="6668" spans="1:3" ht="16.8">
      <c r="A6668" s="165"/>
      <c r="B6668" s="171"/>
      <c r="C6668" s="165"/>
    </row>
    <row r="6669" spans="1:3" ht="16.8">
      <c r="A6669" s="165"/>
      <c r="B6669" s="171"/>
      <c r="C6669" s="165"/>
    </row>
    <row r="6670" spans="1:3" ht="16.8">
      <c r="A6670" s="165"/>
      <c r="B6670" s="171"/>
      <c r="C6670" s="165"/>
    </row>
    <row r="6671" spans="1:3" ht="16.8">
      <c r="A6671" s="165"/>
      <c r="B6671" s="171"/>
      <c r="C6671" s="165"/>
    </row>
    <row r="6672" spans="1:3" ht="16.8">
      <c r="A6672" s="165"/>
      <c r="B6672" s="171"/>
      <c r="C6672" s="165"/>
    </row>
    <row r="6673" spans="1:3" ht="16.8">
      <c r="A6673" s="165"/>
      <c r="B6673" s="171"/>
      <c r="C6673" s="165"/>
    </row>
    <row r="6674" spans="1:3" ht="16.8">
      <c r="A6674" s="165"/>
      <c r="B6674" s="171"/>
      <c r="C6674" s="165"/>
    </row>
    <row r="6675" spans="1:3" ht="16.8">
      <c r="A6675" s="165"/>
      <c r="B6675" s="171"/>
      <c r="C6675" s="165"/>
    </row>
    <row r="6676" spans="1:3" ht="16.8">
      <c r="A6676" s="165"/>
      <c r="B6676" s="171"/>
      <c r="C6676" s="165"/>
    </row>
    <row r="6677" spans="1:3" ht="16.8">
      <c r="A6677" s="165"/>
      <c r="B6677" s="171"/>
      <c r="C6677" s="165"/>
    </row>
    <row r="6678" spans="1:3" ht="16.8">
      <c r="A6678" s="165"/>
      <c r="B6678" s="171"/>
      <c r="C6678" s="165"/>
    </row>
    <row r="6679" spans="1:3" ht="16.8">
      <c r="A6679" s="165"/>
      <c r="B6679" s="171"/>
      <c r="C6679" s="165"/>
    </row>
    <row r="6680" spans="1:3" ht="16.8">
      <c r="A6680" s="165"/>
      <c r="B6680" s="171"/>
      <c r="C6680" s="165"/>
    </row>
    <row r="6681" spans="1:3" ht="16.8">
      <c r="A6681" s="165"/>
      <c r="B6681" s="171"/>
      <c r="C6681" s="165"/>
    </row>
    <row r="6682" spans="1:3" ht="16.8">
      <c r="A6682" s="165"/>
      <c r="B6682" s="171"/>
      <c r="C6682" s="165"/>
    </row>
    <row r="6683" spans="1:3" ht="16.8">
      <c r="A6683" s="165"/>
      <c r="B6683" s="171"/>
      <c r="C6683" s="165"/>
    </row>
    <row r="6684" spans="1:3" ht="16.8">
      <c r="A6684" s="165"/>
      <c r="B6684" s="171"/>
      <c r="C6684" s="165"/>
    </row>
    <row r="6685" spans="1:3" ht="16.8">
      <c r="A6685" s="165"/>
      <c r="B6685" s="171"/>
      <c r="C6685" s="165"/>
    </row>
    <row r="6686" spans="1:3" ht="16.8">
      <c r="A6686" s="165"/>
      <c r="B6686" s="171"/>
      <c r="C6686" s="165"/>
    </row>
    <row r="6687" spans="1:3" ht="16.8">
      <c r="A6687" s="165"/>
      <c r="B6687" s="171"/>
      <c r="C6687" s="165"/>
    </row>
    <row r="6688" spans="1:3" ht="16.8">
      <c r="A6688" s="165"/>
      <c r="B6688" s="171"/>
      <c r="C6688" s="165"/>
    </row>
    <row r="6689" spans="1:3" ht="16.8">
      <c r="A6689" s="165"/>
      <c r="B6689" s="171"/>
      <c r="C6689" s="165"/>
    </row>
    <row r="6690" spans="1:3" ht="16.8">
      <c r="A6690" s="165"/>
      <c r="B6690" s="171"/>
      <c r="C6690" s="165"/>
    </row>
    <row r="6691" spans="1:3" ht="16.8">
      <c r="A6691" s="165"/>
      <c r="B6691" s="171"/>
      <c r="C6691" s="165"/>
    </row>
    <row r="6692" spans="1:3" ht="16.8">
      <c r="A6692" s="165"/>
      <c r="B6692" s="171"/>
      <c r="C6692" s="165"/>
    </row>
    <row r="6693" spans="1:3" ht="16.8">
      <c r="A6693" s="165"/>
      <c r="B6693" s="171"/>
      <c r="C6693" s="165"/>
    </row>
    <row r="6694" spans="1:3" ht="16.8">
      <c r="A6694" s="165"/>
      <c r="B6694" s="171"/>
      <c r="C6694" s="165"/>
    </row>
    <row r="6695" spans="1:3" ht="16.8">
      <c r="A6695" s="165"/>
      <c r="B6695" s="171"/>
      <c r="C6695" s="165"/>
    </row>
    <row r="6696" spans="1:3" ht="16.8">
      <c r="A6696" s="165"/>
      <c r="B6696" s="171"/>
      <c r="C6696" s="165"/>
    </row>
    <row r="6697" spans="1:3" ht="16.8">
      <c r="A6697" s="165"/>
      <c r="B6697" s="171"/>
      <c r="C6697" s="165"/>
    </row>
    <row r="6698" spans="1:3" ht="16.8">
      <c r="A6698" s="165"/>
      <c r="B6698" s="171"/>
      <c r="C6698" s="165"/>
    </row>
    <row r="6699" spans="1:3" ht="16.8">
      <c r="A6699" s="165"/>
      <c r="B6699" s="171"/>
      <c r="C6699" s="165"/>
    </row>
    <row r="6700" spans="1:3" ht="16.8">
      <c r="A6700" s="165"/>
      <c r="B6700" s="171"/>
      <c r="C6700" s="165"/>
    </row>
    <row r="6701" spans="1:3" ht="16.8">
      <c r="A6701" s="165"/>
      <c r="B6701" s="171"/>
      <c r="C6701" s="165"/>
    </row>
    <row r="6702" spans="1:3" ht="16.8">
      <c r="A6702" s="165"/>
      <c r="B6702" s="171"/>
      <c r="C6702" s="165"/>
    </row>
    <row r="6703" spans="1:3" ht="16.8">
      <c r="A6703" s="165"/>
      <c r="B6703" s="171"/>
      <c r="C6703" s="165"/>
    </row>
    <row r="6704" spans="1:3" ht="16.8">
      <c r="A6704" s="165"/>
      <c r="B6704" s="171"/>
      <c r="C6704" s="165"/>
    </row>
    <row r="6705" spans="1:3" ht="16.8">
      <c r="A6705" s="165"/>
      <c r="B6705" s="171"/>
      <c r="C6705" s="165"/>
    </row>
    <row r="6706" spans="1:3" ht="16.8">
      <c r="A6706" s="165"/>
      <c r="B6706" s="171"/>
      <c r="C6706" s="165"/>
    </row>
    <row r="6707" spans="1:3" ht="16.8">
      <c r="A6707" s="165"/>
      <c r="B6707" s="171"/>
      <c r="C6707" s="165"/>
    </row>
    <row r="6708" spans="1:3" ht="16.8">
      <c r="A6708" s="165"/>
      <c r="B6708" s="171"/>
      <c r="C6708" s="165"/>
    </row>
    <row r="6709" spans="1:3" ht="16.8">
      <c r="A6709" s="165"/>
      <c r="B6709" s="171"/>
      <c r="C6709" s="165"/>
    </row>
    <row r="6710" spans="1:3" ht="16.8">
      <c r="A6710" s="165"/>
      <c r="B6710" s="171"/>
      <c r="C6710" s="165"/>
    </row>
    <row r="6711" spans="1:3" ht="16.8">
      <c r="A6711" s="165"/>
      <c r="B6711" s="171"/>
      <c r="C6711" s="165"/>
    </row>
    <row r="6712" spans="1:3" ht="16.8">
      <c r="A6712" s="165"/>
      <c r="B6712" s="171"/>
      <c r="C6712" s="165"/>
    </row>
    <row r="6713" spans="1:3" ht="16.8">
      <c r="A6713" s="165"/>
      <c r="B6713" s="171"/>
      <c r="C6713" s="165"/>
    </row>
    <row r="6714" spans="1:3" ht="16.8">
      <c r="A6714" s="165"/>
      <c r="B6714" s="171"/>
      <c r="C6714" s="165"/>
    </row>
    <row r="6715" spans="1:3" ht="16.8">
      <c r="A6715" s="165"/>
      <c r="B6715" s="171"/>
      <c r="C6715" s="165"/>
    </row>
    <row r="6716" spans="1:3" ht="16.8">
      <c r="A6716" s="165"/>
      <c r="B6716" s="171"/>
      <c r="C6716" s="165"/>
    </row>
    <row r="6717" spans="1:3" ht="16.8">
      <c r="A6717" s="165"/>
      <c r="B6717" s="171"/>
      <c r="C6717" s="165"/>
    </row>
    <row r="6718" spans="1:3" ht="16.8">
      <c r="A6718" s="165"/>
      <c r="B6718" s="171"/>
      <c r="C6718" s="165"/>
    </row>
    <row r="6719" spans="1:3" ht="16.8">
      <c r="A6719" s="165"/>
      <c r="B6719" s="171"/>
      <c r="C6719" s="165"/>
    </row>
    <row r="6720" spans="1:3" ht="16.8">
      <c r="A6720" s="165"/>
      <c r="B6720" s="171"/>
      <c r="C6720" s="165"/>
    </row>
    <row r="6721" spans="1:3" ht="16.8">
      <c r="A6721" s="165"/>
      <c r="B6721" s="171"/>
      <c r="C6721" s="165"/>
    </row>
    <row r="6722" spans="1:3" ht="16.8">
      <c r="A6722" s="165"/>
      <c r="B6722" s="171"/>
      <c r="C6722" s="165"/>
    </row>
    <row r="6723" spans="1:3" ht="16.8">
      <c r="A6723" s="165"/>
      <c r="B6723" s="171"/>
      <c r="C6723" s="165"/>
    </row>
    <row r="6724" spans="1:3" ht="16.8">
      <c r="A6724" s="165"/>
      <c r="B6724" s="171"/>
      <c r="C6724" s="165"/>
    </row>
    <row r="6725" spans="1:3" ht="16.8">
      <c r="A6725" s="165"/>
      <c r="B6725" s="171"/>
      <c r="C6725" s="165"/>
    </row>
    <row r="6726" spans="1:3" ht="16.8">
      <c r="A6726" s="165"/>
      <c r="B6726" s="171"/>
      <c r="C6726" s="165"/>
    </row>
    <row r="6727" spans="1:3" ht="16.8">
      <c r="A6727" s="165"/>
      <c r="B6727" s="171"/>
      <c r="C6727" s="165"/>
    </row>
    <row r="6728" spans="1:3" ht="16.8">
      <c r="A6728" s="165"/>
      <c r="B6728" s="171"/>
      <c r="C6728" s="165"/>
    </row>
    <row r="6729" spans="1:3" ht="16.8">
      <c r="A6729" s="165"/>
      <c r="B6729" s="171"/>
      <c r="C6729" s="165"/>
    </row>
    <row r="6730" spans="1:3" ht="16.8">
      <c r="A6730" s="165"/>
      <c r="B6730" s="171"/>
      <c r="C6730" s="165"/>
    </row>
    <row r="6731" spans="1:3" ht="16.8">
      <c r="A6731" s="165"/>
      <c r="B6731" s="171"/>
      <c r="C6731" s="165"/>
    </row>
    <row r="6732" spans="1:3" ht="16.8">
      <c r="A6732" s="165"/>
      <c r="B6732" s="171"/>
      <c r="C6732" s="165"/>
    </row>
    <row r="6733" spans="1:3" ht="16.8">
      <c r="A6733" s="165"/>
      <c r="B6733" s="171"/>
      <c r="C6733" s="165"/>
    </row>
    <row r="6734" spans="1:3" ht="16.8">
      <c r="A6734" s="165"/>
      <c r="B6734" s="171"/>
      <c r="C6734" s="165"/>
    </row>
    <row r="6735" spans="1:3" ht="16.8">
      <c r="A6735" s="165"/>
      <c r="B6735" s="171"/>
      <c r="C6735" s="165"/>
    </row>
    <row r="6736" spans="1:3" ht="16.8">
      <c r="A6736" s="165"/>
      <c r="B6736" s="171"/>
      <c r="C6736" s="165"/>
    </row>
    <row r="6737" spans="1:3" ht="16.8">
      <c r="A6737" s="165"/>
      <c r="B6737" s="171"/>
      <c r="C6737" s="165"/>
    </row>
    <row r="6738" spans="1:3" ht="16.8">
      <c r="A6738" s="165"/>
      <c r="B6738" s="171"/>
      <c r="C6738" s="165"/>
    </row>
    <row r="6739" spans="1:3" ht="16.8">
      <c r="A6739" s="165"/>
      <c r="B6739" s="171"/>
      <c r="C6739" s="165"/>
    </row>
    <row r="6740" spans="1:3" ht="16.8">
      <c r="A6740" s="165"/>
      <c r="B6740" s="171"/>
      <c r="C6740" s="165"/>
    </row>
    <row r="6741" spans="1:3" ht="16.8">
      <c r="A6741" s="165"/>
      <c r="B6741" s="171"/>
      <c r="C6741" s="165"/>
    </row>
    <row r="6742" spans="1:3" ht="16.8">
      <c r="A6742" s="165"/>
      <c r="B6742" s="171"/>
      <c r="C6742" s="165"/>
    </row>
    <row r="6743" spans="1:3" ht="16.8">
      <c r="A6743" s="165"/>
      <c r="B6743" s="171"/>
      <c r="C6743" s="165"/>
    </row>
    <row r="6744" spans="1:3" ht="16.8">
      <c r="A6744" s="165"/>
      <c r="B6744" s="171"/>
      <c r="C6744" s="165"/>
    </row>
    <row r="6745" spans="1:3" ht="16.8">
      <c r="A6745" s="165"/>
      <c r="B6745" s="171"/>
      <c r="C6745" s="165"/>
    </row>
    <row r="6746" spans="1:3" ht="16.8">
      <c r="A6746" s="165"/>
      <c r="B6746" s="171"/>
      <c r="C6746" s="165"/>
    </row>
    <row r="6747" spans="1:3" ht="16.8">
      <c r="A6747" s="165"/>
      <c r="B6747" s="171"/>
      <c r="C6747" s="165"/>
    </row>
    <row r="6748" spans="1:3" ht="16.8">
      <c r="A6748" s="165"/>
      <c r="B6748" s="171"/>
      <c r="C6748" s="165"/>
    </row>
    <row r="6749" spans="1:3" ht="16.8">
      <c r="A6749" s="165"/>
      <c r="B6749" s="171"/>
      <c r="C6749" s="165"/>
    </row>
    <row r="6750" spans="1:3" ht="16.8">
      <c r="A6750" s="165"/>
      <c r="B6750" s="171"/>
      <c r="C6750" s="165"/>
    </row>
    <row r="6751" spans="1:3" ht="16.8">
      <c r="A6751" s="165"/>
      <c r="B6751" s="171"/>
      <c r="C6751" s="165"/>
    </row>
    <row r="6752" spans="1:3" ht="16.8">
      <c r="A6752" s="165"/>
      <c r="B6752" s="171"/>
      <c r="C6752" s="165"/>
    </row>
    <row r="6753" spans="1:3" ht="16.8">
      <c r="A6753" s="165"/>
      <c r="B6753" s="171"/>
      <c r="C6753" s="165"/>
    </row>
    <row r="6754" spans="1:3" ht="16.8">
      <c r="A6754" s="165"/>
      <c r="B6754" s="171"/>
      <c r="C6754" s="165"/>
    </row>
    <row r="6755" spans="1:3" ht="16.8">
      <c r="A6755" s="165"/>
      <c r="B6755" s="171"/>
      <c r="C6755" s="165"/>
    </row>
    <row r="6756" spans="1:3" ht="16.8">
      <c r="A6756" s="165"/>
      <c r="B6756" s="171"/>
      <c r="C6756" s="165"/>
    </row>
    <row r="6757" spans="1:3" ht="16.8">
      <c r="A6757" s="165"/>
      <c r="B6757" s="171"/>
      <c r="C6757" s="165"/>
    </row>
    <row r="6758" spans="1:3" ht="16.8">
      <c r="A6758" s="165"/>
      <c r="B6758" s="171"/>
      <c r="C6758" s="165"/>
    </row>
    <row r="6759" spans="1:3" ht="16.8">
      <c r="A6759" s="165"/>
      <c r="B6759" s="171"/>
      <c r="C6759" s="165"/>
    </row>
    <row r="6760" spans="1:3" ht="16.8">
      <c r="A6760" s="165"/>
      <c r="B6760" s="171"/>
      <c r="C6760" s="165"/>
    </row>
    <row r="6761" spans="1:3" ht="16.8">
      <c r="A6761" s="165"/>
      <c r="B6761" s="171"/>
      <c r="C6761" s="165"/>
    </row>
    <row r="6762" spans="1:3" ht="16.8">
      <c r="A6762" s="165"/>
      <c r="B6762" s="171"/>
      <c r="C6762" s="165"/>
    </row>
    <row r="6763" spans="1:3" ht="16.8">
      <c r="A6763" s="165"/>
      <c r="B6763" s="171"/>
      <c r="C6763" s="165"/>
    </row>
    <row r="6764" spans="1:3" ht="16.8">
      <c r="A6764" s="165"/>
      <c r="B6764" s="171"/>
      <c r="C6764" s="165"/>
    </row>
    <row r="6765" spans="1:3" ht="16.8">
      <c r="A6765" s="165"/>
      <c r="B6765" s="171"/>
      <c r="C6765" s="165"/>
    </row>
    <row r="6766" spans="1:3" ht="16.8">
      <c r="A6766" s="165"/>
      <c r="B6766" s="171"/>
      <c r="C6766" s="165"/>
    </row>
    <row r="6767" spans="1:3" ht="16.8">
      <c r="A6767" s="165"/>
      <c r="B6767" s="171"/>
      <c r="C6767" s="165"/>
    </row>
    <row r="6768" spans="1:3" ht="16.8">
      <c r="A6768" s="165"/>
      <c r="B6768" s="171"/>
      <c r="C6768" s="165"/>
    </row>
    <row r="6769" spans="1:3" ht="16.8">
      <c r="A6769" s="165"/>
      <c r="B6769" s="171"/>
      <c r="C6769" s="165"/>
    </row>
    <row r="6770" spans="1:3" ht="16.8">
      <c r="A6770" s="165"/>
      <c r="B6770" s="171"/>
      <c r="C6770" s="165"/>
    </row>
    <row r="6771" spans="1:3" ht="16.8">
      <c r="A6771" s="165"/>
      <c r="B6771" s="171"/>
      <c r="C6771" s="165"/>
    </row>
    <row r="6772" spans="1:3" ht="16.8">
      <c r="A6772" s="165"/>
      <c r="B6772" s="171"/>
      <c r="C6772" s="165"/>
    </row>
    <row r="6773" spans="1:3" ht="16.8">
      <c r="A6773" s="165"/>
      <c r="B6773" s="171"/>
      <c r="C6773" s="165"/>
    </row>
    <row r="6774" spans="1:3" ht="16.8">
      <c r="A6774" s="165"/>
      <c r="B6774" s="171"/>
      <c r="C6774" s="165"/>
    </row>
    <row r="6775" spans="1:3" ht="16.8">
      <c r="A6775" s="165"/>
      <c r="B6775" s="171"/>
      <c r="C6775" s="165"/>
    </row>
    <row r="6776" spans="1:3" ht="16.8">
      <c r="A6776" s="165"/>
      <c r="B6776" s="171"/>
      <c r="C6776" s="165"/>
    </row>
    <row r="6777" spans="1:3" ht="16.8">
      <c r="A6777" s="165"/>
      <c r="B6777" s="171"/>
      <c r="C6777" s="165"/>
    </row>
    <row r="6778" spans="1:3" ht="16.8">
      <c r="A6778" s="165"/>
      <c r="B6778" s="171"/>
      <c r="C6778" s="165"/>
    </row>
    <row r="6779" spans="1:3" ht="16.8">
      <c r="A6779" s="165"/>
      <c r="B6779" s="171"/>
      <c r="C6779" s="165"/>
    </row>
    <row r="6780" spans="1:3" ht="16.8">
      <c r="A6780" s="165"/>
      <c r="B6780" s="171"/>
      <c r="C6780" s="165"/>
    </row>
    <row r="6781" spans="1:3" ht="16.8">
      <c r="A6781" s="165"/>
      <c r="B6781" s="171"/>
      <c r="C6781" s="165"/>
    </row>
    <row r="6782" spans="1:3" ht="16.8">
      <c r="A6782" s="165"/>
      <c r="B6782" s="171"/>
      <c r="C6782" s="165"/>
    </row>
    <row r="6783" spans="1:3" ht="16.8">
      <c r="A6783" s="165"/>
      <c r="B6783" s="171"/>
      <c r="C6783" s="165"/>
    </row>
    <row r="6784" spans="1:3" ht="16.8">
      <c r="A6784" s="165"/>
      <c r="B6784" s="171"/>
      <c r="C6784" s="165"/>
    </row>
    <row r="6785" spans="1:3" ht="16.8">
      <c r="A6785" s="165"/>
      <c r="B6785" s="171"/>
      <c r="C6785" s="165"/>
    </row>
    <row r="6786" spans="1:3" ht="16.8">
      <c r="A6786" s="165"/>
      <c r="B6786" s="171"/>
      <c r="C6786" s="165"/>
    </row>
    <row r="6787" spans="1:3" ht="16.8">
      <c r="A6787" s="165"/>
      <c r="B6787" s="171"/>
      <c r="C6787" s="165"/>
    </row>
    <row r="6788" spans="1:3" ht="16.8">
      <c r="A6788" s="165"/>
      <c r="B6788" s="171"/>
      <c r="C6788" s="165"/>
    </row>
    <row r="6789" spans="1:3" ht="16.8">
      <c r="A6789" s="165"/>
      <c r="B6789" s="171"/>
      <c r="C6789" s="165"/>
    </row>
    <row r="6790" spans="1:3" ht="16.8">
      <c r="A6790" s="165"/>
      <c r="B6790" s="171"/>
      <c r="C6790" s="165"/>
    </row>
    <row r="6791" spans="1:3" ht="16.8">
      <c r="A6791" s="165"/>
      <c r="B6791" s="171"/>
      <c r="C6791" s="165"/>
    </row>
    <row r="6792" spans="1:3" ht="16.8">
      <c r="A6792" s="165"/>
      <c r="B6792" s="171"/>
      <c r="C6792" s="165"/>
    </row>
    <row r="6793" spans="1:3" ht="16.8">
      <c r="A6793" s="165"/>
      <c r="B6793" s="171"/>
      <c r="C6793" s="165"/>
    </row>
    <row r="6794" spans="1:3" ht="16.8">
      <c r="A6794" s="165"/>
      <c r="B6794" s="171"/>
      <c r="C6794" s="165"/>
    </row>
    <row r="6795" spans="1:3" ht="16.8">
      <c r="A6795" s="165"/>
      <c r="B6795" s="171"/>
      <c r="C6795" s="165"/>
    </row>
    <row r="6796" spans="1:3" ht="16.8">
      <c r="A6796" s="165"/>
      <c r="B6796" s="171"/>
      <c r="C6796" s="165"/>
    </row>
    <row r="6797" spans="1:3" ht="16.8">
      <c r="A6797" s="165"/>
      <c r="B6797" s="171"/>
      <c r="C6797" s="165"/>
    </row>
    <row r="6798" spans="1:3" ht="16.8">
      <c r="A6798" s="165"/>
      <c r="B6798" s="171"/>
      <c r="C6798" s="165"/>
    </row>
    <row r="6799" spans="1:3" ht="16.8">
      <c r="A6799" s="165"/>
      <c r="B6799" s="171"/>
      <c r="C6799" s="165"/>
    </row>
    <row r="6800" spans="1:3" ht="16.8">
      <c r="A6800" s="165"/>
      <c r="B6800" s="171"/>
      <c r="C6800" s="165"/>
    </row>
    <row r="6801" spans="1:3" ht="16.8">
      <c r="A6801" s="165"/>
      <c r="B6801" s="171"/>
      <c r="C6801" s="165"/>
    </row>
    <row r="6802" spans="1:3" ht="16.8">
      <c r="A6802" s="165"/>
      <c r="B6802" s="171"/>
      <c r="C6802" s="165"/>
    </row>
    <row r="6803" spans="1:3" ht="16.8">
      <c r="A6803" s="165"/>
      <c r="B6803" s="171"/>
      <c r="C6803" s="165"/>
    </row>
    <row r="6804" spans="1:3" ht="16.8">
      <c r="A6804" s="165"/>
      <c r="B6804" s="171"/>
      <c r="C6804" s="165"/>
    </row>
    <row r="6805" spans="1:3" ht="16.8">
      <c r="A6805" s="165"/>
      <c r="B6805" s="171"/>
      <c r="C6805" s="165"/>
    </row>
    <row r="6806" spans="1:3" ht="16.8">
      <c r="A6806" s="165"/>
      <c r="B6806" s="171"/>
      <c r="C6806" s="165"/>
    </row>
    <row r="6807" spans="1:3" ht="16.8">
      <c r="A6807" s="165"/>
      <c r="B6807" s="171"/>
      <c r="C6807" s="165"/>
    </row>
    <row r="6808" spans="1:3" ht="16.8">
      <c r="A6808" s="165"/>
      <c r="B6808" s="171"/>
      <c r="C6808" s="165"/>
    </row>
    <row r="6809" spans="1:3" ht="16.8">
      <c r="A6809" s="165"/>
      <c r="B6809" s="171"/>
      <c r="C6809" s="165"/>
    </row>
    <row r="6810" spans="1:3" ht="16.8">
      <c r="A6810" s="165"/>
      <c r="B6810" s="171"/>
      <c r="C6810" s="165"/>
    </row>
    <row r="6811" spans="1:3" ht="16.8">
      <c r="A6811" s="165"/>
      <c r="B6811" s="171"/>
      <c r="C6811" s="165"/>
    </row>
    <row r="6812" spans="1:3" ht="16.8">
      <c r="A6812" s="165"/>
      <c r="B6812" s="171"/>
      <c r="C6812" s="165"/>
    </row>
    <row r="6813" spans="1:3" ht="16.8">
      <c r="A6813" s="165"/>
      <c r="B6813" s="171"/>
      <c r="C6813" s="165"/>
    </row>
    <row r="6814" spans="1:3" ht="16.8">
      <c r="A6814" s="165"/>
      <c r="B6814" s="171"/>
      <c r="C6814" s="165"/>
    </row>
    <row r="6815" spans="1:3" ht="16.8">
      <c r="A6815" s="165"/>
      <c r="B6815" s="171"/>
      <c r="C6815" s="165"/>
    </row>
    <row r="6816" spans="1:3" ht="16.8">
      <c r="A6816" s="165"/>
      <c r="B6816" s="171"/>
      <c r="C6816" s="165"/>
    </row>
    <row r="6817" spans="1:3" ht="16.8">
      <c r="A6817" s="165"/>
      <c r="B6817" s="171"/>
      <c r="C6817" s="165"/>
    </row>
    <row r="6818" spans="1:3" ht="16.8">
      <c r="A6818" s="165"/>
      <c r="B6818" s="171"/>
      <c r="C6818" s="165"/>
    </row>
    <row r="6819" spans="1:3" ht="16.8">
      <c r="A6819" s="165"/>
      <c r="B6819" s="171"/>
      <c r="C6819" s="165"/>
    </row>
    <row r="6820" spans="1:3" ht="16.8">
      <c r="A6820" s="165"/>
      <c r="B6820" s="171"/>
      <c r="C6820" s="165"/>
    </row>
    <row r="6821" spans="1:3" ht="16.8">
      <c r="A6821" s="165"/>
      <c r="B6821" s="171"/>
      <c r="C6821" s="165"/>
    </row>
    <row r="6822" spans="1:3" ht="16.8">
      <c r="A6822" s="165"/>
      <c r="B6822" s="171"/>
      <c r="C6822" s="165"/>
    </row>
    <row r="6823" spans="1:3" ht="16.8">
      <c r="A6823" s="165"/>
      <c r="B6823" s="171"/>
      <c r="C6823" s="165"/>
    </row>
    <row r="6824" spans="1:3" ht="16.8">
      <c r="A6824" s="165"/>
      <c r="B6824" s="171"/>
      <c r="C6824" s="165"/>
    </row>
    <row r="6825" spans="1:3" ht="16.8">
      <c r="A6825" s="165"/>
      <c r="B6825" s="171"/>
      <c r="C6825" s="165"/>
    </row>
    <row r="6826" spans="1:3" ht="16.8">
      <c r="A6826" s="165"/>
      <c r="B6826" s="171"/>
      <c r="C6826" s="165"/>
    </row>
    <row r="6827" spans="1:3" ht="16.8">
      <c r="A6827" s="165"/>
      <c r="B6827" s="171"/>
      <c r="C6827" s="165"/>
    </row>
    <row r="6828" spans="1:3" ht="16.8">
      <c r="A6828" s="165"/>
      <c r="B6828" s="171"/>
      <c r="C6828" s="165"/>
    </row>
    <row r="6829" spans="1:3" ht="16.8">
      <c r="A6829" s="165"/>
      <c r="B6829" s="171"/>
      <c r="C6829" s="165"/>
    </row>
    <row r="6830" spans="1:3" ht="16.8">
      <c r="A6830" s="165"/>
      <c r="B6830" s="171"/>
      <c r="C6830" s="165"/>
    </row>
    <row r="6831" spans="1:3" ht="16.8">
      <c r="A6831" s="165"/>
      <c r="B6831" s="171"/>
      <c r="C6831" s="165"/>
    </row>
    <row r="6832" spans="1:3" ht="16.8">
      <c r="A6832" s="165"/>
      <c r="B6832" s="171"/>
      <c r="C6832" s="165"/>
    </row>
    <row r="6833" spans="1:3" ht="16.8">
      <c r="A6833" s="165"/>
      <c r="B6833" s="171"/>
      <c r="C6833" s="165"/>
    </row>
    <row r="6834" spans="1:3" ht="16.8">
      <c r="A6834" s="165"/>
      <c r="B6834" s="171"/>
      <c r="C6834" s="165"/>
    </row>
    <row r="6835" spans="1:3" ht="16.8">
      <c r="A6835" s="165"/>
      <c r="B6835" s="171"/>
      <c r="C6835" s="165"/>
    </row>
    <row r="6836" spans="1:3" ht="16.8">
      <c r="A6836" s="165"/>
      <c r="B6836" s="171"/>
      <c r="C6836" s="165"/>
    </row>
    <row r="6837" spans="1:3" ht="16.8">
      <c r="A6837" s="165"/>
      <c r="B6837" s="171"/>
      <c r="C6837" s="165"/>
    </row>
    <row r="6838" spans="1:3" ht="16.8">
      <c r="A6838" s="165"/>
      <c r="B6838" s="171"/>
      <c r="C6838" s="165"/>
    </row>
    <row r="6839" spans="1:3" ht="16.8">
      <c r="A6839" s="165"/>
      <c r="B6839" s="171"/>
      <c r="C6839" s="165"/>
    </row>
    <row r="6840" spans="1:3" ht="16.8">
      <c r="A6840" s="165"/>
      <c r="B6840" s="171"/>
      <c r="C6840" s="165"/>
    </row>
    <row r="6841" spans="1:3" ht="16.8">
      <c r="A6841" s="165"/>
      <c r="B6841" s="171"/>
      <c r="C6841" s="165"/>
    </row>
    <row r="6842" spans="1:3" ht="16.8">
      <c r="A6842" s="165"/>
      <c r="B6842" s="171"/>
      <c r="C6842" s="165"/>
    </row>
    <row r="6843" spans="1:3" ht="16.8">
      <c r="A6843" s="165"/>
      <c r="B6843" s="171"/>
      <c r="C6843" s="165"/>
    </row>
    <row r="6844" spans="1:3" ht="16.8">
      <c r="A6844" s="165"/>
      <c r="B6844" s="171"/>
      <c r="C6844" s="165"/>
    </row>
    <row r="6845" spans="1:3" ht="16.8">
      <c r="A6845" s="165"/>
      <c r="B6845" s="171"/>
      <c r="C6845" s="165"/>
    </row>
    <row r="6846" spans="1:3" ht="16.8">
      <c r="A6846" s="165"/>
      <c r="B6846" s="171"/>
      <c r="C6846" s="165"/>
    </row>
    <row r="6847" spans="1:3" ht="16.8">
      <c r="A6847" s="165"/>
      <c r="B6847" s="171"/>
      <c r="C6847" s="165"/>
    </row>
    <row r="6848" spans="1:3" ht="16.8">
      <c r="A6848" s="165"/>
      <c r="B6848" s="171"/>
      <c r="C6848" s="165"/>
    </row>
    <row r="6849" spans="1:3" ht="16.8">
      <c r="A6849" s="165"/>
      <c r="B6849" s="171"/>
      <c r="C6849" s="165"/>
    </row>
    <row r="6850" spans="1:3" ht="16.8">
      <c r="A6850" s="165"/>
      <c r="B6850" s="171"/>
      <c r="C6850" s="165"/>
    </row>
    <row r="6851" spans="1:3" ht="16.8">
      <c r="A6851" s="165"/>
      <c r="B6851" s="171"/>
      <c r="C6851" s="165"/>
    </row>
    <row r="6852" spans="1:3" ht="16.8">
      <c r="A6852" s="165"/>
      <c r="B6852" s="171"/>
      <c r="C6852" s="165"/>
    </row>
    <row r="6853" spans="1:3" ht="16.8">
      <c r="A6853" s="165"/>
      <c r="B6853" s="171"/>
      <c r="C6853" s="165"/>
    </row>
    <row r="6854" spans="1:3" ht="16.8">
      <c r="A6854" s="165"/>
      <c r="B6854" s="171"/>
      <c r="C6854" s="165"/>
    </row>
    <row r="6855" spans="1:3" ht="16.8">
      <c r="A6855" s="165"/>
      <c r="B6855" s="171"/>
      <c r="C6855" s="165"/>
    </row>
    <row r="6856" spans="1:3" ht="16.8">
      <c r="A6856" s="165"/>
      <c r="B6856" s="171"/>
      <c r="C6856" s="165"/>
    </row>
    <row r="6857" spans="1:3" ht="16.8">
      <c r="A6857" s="165"/>
      <c r="B6857" s="171"/>
      <c r="C6857" s="165"/>
    </row>
    <row r="6858" spans="1:3" ht="16.8">
      <c r="A6858" s="165"/>
      <c r="B6858" s="171"/>
      <c r="C6858" s="165"/>
    </row>
    <row r="6859" spans="1:3" ht="16.8">
      <c r="A6859" s="165"/>
      <c r="B6859" s="171"/>
      <c r="C6859" s="165"/>
    </row>
    <row r="6860" spans="1:3" ht="16.8">
      <c r="A6860" s="165"/>
      <c r="B6860" s="171"/>
      <c r="C6860" s="165"/>
    </row>
    <row r="6861" spans="1:3" ht="16.8">
      <c r="A6861" s="165"/>
      <c r="B6861" s="171"/>
      <c r="C6861" s="165"/>
    </row>
    <row r="6862" spans="1:3" ht="16.8">
      <c r="A6862" s="165"/>
      <c r="B6862" s="171"/>
      <c r="C6862" s="165"/>
    </row>
    <row r="6863" spans="1:3" ht="16.8">
      <c r="A6863" s="165"/>
      <c r="B6863" s="171"/>
      <c r="C6863" s="165"/>
    </row>
    <row r="6864" spans="1:3" ht="16.8">
      <c r="A6864" s="165"/>
      <c r="B6864" s="171"/>
      <c r="C6864" s="165"/>
    </row>
    <row r="6865" spans="1:3" ht="16.8">
      <c r="A6865" s="165"/>
      <c r="B6865" s="171"/>
      <c r="C6865" s="165"/>
    </row>
    <row r="6866" spans="1:3" ht="16.8">
      <c r="A6866" s="165"/>
      <c r="B6866" s="171"/>
      <c r="C6866" s="165"/>
    </row>
    <row r="6867" spans="1:3" ht="16.8">
      <c r="A6867" s="165"/>
      <c r="B6867" s="171"/>
      <c r="C6867" s="165"/>
    </row>
    <row r="6868" spans="1:3" ht="16.8">
      <c r="A6868" s="165"/>
      <c r="B6868" s="171"/>
      <c r="C6868" s="165"/>
    </row>
    <row r="6869" spans="1:3" ht="16.8">
      <c r="A6869" s="165"/>
      <c r="B6869" s="171"/>
      <c r="C6869" s="165"/>
    </row>
    <row r="6870" spans="1:3" ht="16.8">
      <c r="A6870" s="165"/>
      <c r="B6870" s="171"/>
      <c r="C6870" s="165"/>
    </row>
    <row r="6871" spans="1:3" ht="16.8">
      <c r="A6871" s="165"/>
      <c r="B6871" s="171"/>
      <c r="C6871" s="165"/>
    </row>
    <row r="6872" spans="1:3" ht="16.8">
      <c r="A6872" s="165"/>
      <c r="B6872" s="171"/>
      <c r="C6872" s="165"/>
    </row>
    <row r="6873" spans="1:3" ht="16.8">
      <c r="A6873" s="165"/>
      <c r="B6873" s="171"/>
      <c r="C6873" s="165"/>
    </row>
    <row r="6874" spans="1:3" ht="16.8">
      <c r="A6874" s="165"/>
      <c r="B6874" s="171"/>
      <c r="C6874" s="165"/>
    </row>
    <row r="6875" spans="1:3" ht="16.8">
      <c r="A6875" s="165"/>
      <c r="B6875" s="171"/>
      <c r="C6875" s="165"/>
    </row>
    <row r="6876" spans="1:3" ht="16.8">
      <c r="A6876" s="165"/>
      <c r="B6876" s="171"/>
      <c r="C6876" s="165"/>
    </row>
    <row r="6877" spans="1:3" ht="16.8">
      <c r="A6877" s="165"/>
      <c r="B6877" s="171"/>
      <c r="C6877" s="165"/>
    </row>
    <row r="6878" spans="1:3" ht="16.8">
      <c r="A6878" s="165"/>
      <c r="B6878" s="171"/>
      <c r="C6878" s="165"/>
    </row>
    <row r="6879" spans="1:3" ht="16.8">
      <c r="A6879" s="165"/>
      <c r="B6879" s="171"/>
      <c r="C6879" s="165"/>
    </row>
    <row r="6880" spans="1:3" ht="16.8">
      <c r="A6880" s="165"/>
      <c r="B6880" s="171"/>
      <c r="C6880" s="165"/>
    </row>
    <row r="6881" spans="1:3" ht="16.8">
      <c r="A6881" s="165"/>
      <c r="B6881" s="171"/>
      <c r="C6881" s="165"/>
    </row>
    <row r="6882" spans="1:3" ht="16.8">
      <c r="A6882" s="165"/>
      <c r="B6882" s="171"/>
      <c r="C6882" s="165"/>
    </row>
    <row r="6883" spans="1:3" ht="16.8">
      <c r="A6883" s="165"/>
      <c r="B6883" s="171"/>
      <c r="C6883" s="165"/>
    </row>
    <row r="6884" spans="1:3" ht="16.8">
      <c r="A6884" s="165"/>
      <c r="B6884" s="171"/>
      <c r="C6884" s="165"/>
    </row>
    <row r="6885" spans="1:3" ht="16.8">
      <c r="A6885" s="165"/>
      <c r="B6885" s="171"/>
      <c r="C6885" s="165"/>
    </row>
    <row r="6886" spans="1:3" ht="16.8">
      <c r="A6886" s="165"/>
      <c r="B6886" s="171"/>
      <c r="C6886" s="165"/>
    </row>
    <row r="6887" spans="1:3" ht="16.8">
      <c r="A6887" s="165"/>
      <c r="B6887" s="171"/>
      <c r="C6887" s="165"/>
    </row>
    <row r="6888" spans="1:3" ht="16.8">
      <c r="A6888" s="165"/>
      <c r="B6888" s="171"/>
      <c r="C6888" s="165"/>
    </row>
    <row r="6889" spans="1:3" ht="16.8">
      <c r="A6889" s="165"/>
      <c r="B6889" s="171"/>
      <c r="C6889" s="165"/>
    </row>
    <row r="6890" spans="1:3" ht="16.8">
      <c r="A6890" s="165"/>
      <c r="B6890" s="171"/>
      <c r="C6890" s="165"/>
    </row>
    <row r="6891" spans="1:3" ht="16.8">
      <c r="A6891" s="165"/>
      <c r="B6891" s="171"/>
      <c r="C6891" s="165"/>
    </row>
    <row r="6892" spans="1:3" ht="16.8">
      <c r="A6892" s="165"/>
      <c r="B6892" s="171"/>
      <c r="C6892" s="165"/>
    </row>
    <row r="6893" spans="1:3" ht="16.8">
      <c r="A6893" s="165"/>
      <c r="B6893" s="171"/>
      <c r="C6893" s="165"/>
    </row>
    <row r="6894" spans="1:3" ht="16.8">
      <c r="A6894" s="165"/>
      <c r="B6894" s="171"/>
      <c r="C6894" s="165"/>
    </row>
    <row r="6895" spans="1:3" ht="16.8">
      <c r="A6895" s="165"/>
      <c r="B6895" s="171"/>
      <c r="C6895" s="165"/>
    </row>
    <row r="6896" spans="1:3" ht="16.8">
      <c r="A6896" s="165"/>
      <c r="B6896" s="171"/>
      <c r="C6896" s="165"/>
    </row>
    <row r="6897" spans="1:3" ht="16.8">
      <c r="A6897" s="165"/>
      <c r="B6897" s="171"/>
      <c r="C6897" s="165"/>
    </row>
    <row r="6898" spans="1:3" ht="16.8">
      <c r="A6898" s="165"/>
      <c r="B6898" s="171"/>
      <c r="C6898" s="165"/>
    </row>
    <row r="6899" spans="1:3" ht="16.8">
      <c r="A6899" s="165"/>
      <c r="B6899" s="171"/>
      <c r="C6899" s="165"/>
    </row>
    <row r="6900" spans="1:3" ht="16.8">
      <c r="A6900" s="165"/>
      <c r="B6900" s="171"/>
      <c r="C6900" s="165"/>
    </row>
    <row r="6901" spans="1:3" ht="16.8">
      <c r="A6901" s="165"/>
      <c r="B6901" s="171"/>
      <c r="C6901" s="165"/>
    </row>
    <row r="6902" spans="1:3" ht="16.8">
      <c r="A6902" s="165"/>
      <c r="B6902" s="171"/>
      <c r="C6902" s="165"/>
    </row>
    <row r="6903" spans="1:3" ht="16.8">
      <c r="A6903" s="165"/>
      <c r="B6903" s="171"/>
      <c r="C6903" s="165"/>
    </row>
    <row r="6904" spans="1:3" ht="16.8">
      <c r="A6904" s="165"/>
      <c r="B6904" s="171"/>
      <c r="C6904" s="165"/>
    </row>
    <row r="6905" spans="1:3" ht="16.8">
      <c r="A6905" s="165"/>
      <c r="B6905" s="171"/>
      <c r="C6905" s="165"/>
    </row>
    <row r="6906" spans="1:3" ht="16.8">
      <c r="A6906" s="165"/>
      <c r="B6906" s="171"/>
      <c r="C6906" s="165"/>
    </row>
    <row r="6907" spans="1:3" ht="16.8">
      <c r="A6907" s="165"/>
      <c r="B6907" s="171"/>
      <c r="C6907" s="165"/>
    </row>
    <row r="6908" spans="1:3" ht="16.8">
      <c r="A6908" s="165"/>
      <c r="B6908" s="171"/>
      <c r="C6908" s="165"/>
    </row>
    <row r="6909" spans="1:3" ht="16.8">
      <c r="A6909" s="165"/>
      <c r="B6909" s="171"/>
      <c r="C6909" s="165"/>
    </row>
    <row r="6910" spans="1:3" ht="16.8">
      <c r="A6910" s="165"/>
      <c r="B6910" s="171"/>
      <c r="C6910" s="165"/>
    </row>
    <row r="6911" spans="1:3" ht="16.8">
      <c r="A6911" s="165"/>
      <c r="B6911" s="171"/>
      <c r="C6911" s="165"/>
    </row>
    <row r="6912" spans="1:3" ht="16.8">
      <c r="A6912" s="165"/>
      <c r="B6912" s="171"/>
      <c r="C6912" s="165"/>
    </row>
    <row r="6913" spans="1:3" ht="16.8">
      <c r="A6913" s="165"/>
      <c r="B6913" s="171"/>
      <c r="C6913" s="165"/>
    </row>
    <row r="6914" spans="1:3" ht="16.8">
      <c r="A6914" s="165"/>
      <c r="B6914" s="171"/>
      <c r="C6914" s="165"/>
    </row>
    <row r="6915" spans="1:3" ht="16.8">
      <c r="A6915" s="165"/>
      <c r="B6915" s="171"/>
      <c r="C6915" s="165"/>
    </row>
    <row r="6916" spans="1:3" ht="16.8">
      <c r="A6916" s="165"/>
      <c r="B6916" s="171"/>
      <c r="C6916" s="165"/>
    </row>
    <row r="6917" spans="1:3" ht="16.8">
      <c r="A6917" s="165"/>
      <c r="B6917" s="171"/>
      <c r="C6917" s="165"/>
    </row>
    <row r="6918" spans="1:3" ht="16.8">
      <c r="A6918" s="165"/>
      <c r="B6918" s="171"/>
      <c r="C6918" s="165"/>
    </row>
    <row r="6919" spans="1:3" ht="16.8">
      <c r="A6919" s="165"/>
      <c r="B6919" s="171"/>
      <c r="C6919" s="165"/>
    </row>
    <row r="6920" spans="1:3" ht="16.8">
      <c r="A6920" s="165"/>
      <c r="B6920" s="171"/>
      <c r="C6920" s="165"/>
    </row>
    <row r="6921" spans="1:3" ht="16.8">
      <c r="A6921" s="165"/>
      <c r="B6921" s="171"/>
      <c r="C6921" s="165"/>
    </row>
    <row r="6922" spans="1:3" ht="16.8">
      <c r="A6922" s="165"/>
      <c r="B6922" s="171"/>
      <c r="C6922" s="165"/>
    </row>
    <row r="6923" spans="1:3" ht="16.8">
      <c r="A6923" s="165"/>
      <c r="B6923" s="171"/>
      <c r="C6923" s="165"/>
    </row>
    <row r="6924" spans="1:3" ht="16.8">
      <c r="A6924" s="165"/>
      <c r="B6924" s="171"/>
      <c r="C6924" s="165"/>
    </row>
    <row r="6925" spans="1:3" ht="16.8">
      <c r="A6925" s="165"/>
      <c r="B6925" s="171"/>
      <c r="C6925" s="165"/>
    </row>
    <row r="6926" spans="1:3" ht="16.8">
      <c r="A6926" s="165"/>
      <c r="B6926" s="171"/>
      <c r="C6926" s="165"/>
    </row>
    <row r="6927" spans="1:3" ht="16.8">
      <c r="A6927" s="165"/>
      <c r="B6927" s="171"/>
      <c r="C6927" s="165"/>
    </row>
    <row r="6928" spans="1:3" ht="16.8">
      <c r="A6928" s="165"/>
      <c r="B6928" s="171"/>
      <c r="C6928" s="165"/>
    </row>
    <row r="6929" spans="1:3" ht="16.8">
      <c r="A6929" s="165"/>
      <c r="B6929" s="171"/>
      <c r="C6929" s="165"/>
    </row>
    <row r="6930" spans="1:3" ht="16.8">
      <c r="A6930" s="165"/>
      <c r="B6930" s="171"/>
      <c r="C6930" s="165"/>
    </row>
    <row r="6931" spans="1:3" ht="16.8">
      <c r="A6931" s="165"/>
      <c r="B6931" s="171"/>
      <c r="C6931" s="165"/>
    </row>
    <row r="6932" spans="1:3" ht="16.8">
      <c r="A6932" s="165"/>
      <c r="B6932" s="171"/>
      <c r="C6932" s="165"/>
    </row>
    <row r="6933" spans="1:3" ht="16.8">
      <c r="A6933" s="165"/>
      <c r="B6933" s="171"/>
      <c r="C6933" s="165"/>
    </row>
    <row r="6934" spans="1:3" ht="16.8">
      <c r="A6934" s="165"/>
      <c r="B6934" s="171"/>
      <c r="C6934" s="165"/>
    </row>
    <row r="6935" spans="1:3" ht="16.8">
      <c r="A6935" s="165"/>
      <c r="B6935" s="171"/>
      <c r="C6935" s="165"/>
    </row>
    <row r="6936" spans="1:3" ht="16.8">
      <c r="A6936" s="165"/>
      <c r="B6936" s="171"/>
      <c r="C6936" s="165"/>
    </row>
    <row r="6937" spans="1:3" ht="16.8">
      <c r="A6937" s="165"/>
      <c r="B6937" s="171"/>
      <c r="C6937" s="165"/>
    </row>
    <row r="6938" spans="1:3" ht="16.8">
      <c r="A6938" s="165"/>
      <c r="B6938" s="171"/>
      <c r="C6938" s="165"/>
    </row>
    <row r="6939" spans="1:3" ht="16.8">
      <c r="A6939" s="165"/>
      <c r="B6939" s="171"/>
      <c r="C6939" s="165"/>
    </row>
    <row r="6940" spans="1:3" ht="16.8">
      <c r="A6940" s="165"/>
      <c r="B6940" s="171"/>
      <c r="C6940" s="165"/>
    </row>
    <row r="6941" spans="1:3" ht="16.8">
      <c r="A6941" s="165"/>
      <c r="B6941" s="171"/>
      <c r="C6941" s="165"/>
    </row>
    <row r="6942" spans="1:3" ht="16.8">
      <c r="A6942" s="165"/>
      <c r="B6942" s="171"/>
      <c r="C6942" s="165"/>
    </row>
    <row r="6943" spans="1:3" ht="16.8">
      <c r="A6943" s="165"/>
      <c r="B6943" s="171"/>
      <c r="C6943" s="165"/>
    </row>
    <row r="6944" spans="1:3" ht="16.8">
      <c r="A6944" s="165"/>
      <c r="B6944" s="171"/>
      <c r="C6944" s="165"/>
    </row>
    <row r="6945" spans="1:3" ht="16.8">
      <c r="A6945" s="165"/>
      <c r="B6945" s="171"/>
      <c r="C6945" s="165"/>
    </row>
    <row r="6946" spans="1:3" ht="16.8">
      <c r="A6946" s="165"/>
      <c r="B6946" s="171"/>
      <c r="C6946" s="165"/>
    </row>
    <row r="6947" spans="1:3" ht="16.8">
      <c r="A6947" s="165"/>
      <c r="B6947" s="171"/>
      <c r="C6947" s="165"/>
    </row>
    <row r="6948" spans="1:3" ht="16.8">
      <c r="A6948" s="165"/>
      <c r="B6948" s="171"/>
      <c r="C6948" s="165"/>
    </row>
    <row r="6949" spans="1:3" ht="16.8">
      <c r="A6949" s="165"/>
      <c r="B6949" s="171"/>
      <c r="C6949" s="165"/>
    </row>
    <row r="6950" spans="1:3" ht="16.8">
      <c r="A6950" s="165"/>
      <c r="B6950" s="171"/>
      <c r="C6950" s="165"/>
    </row>
    <row r="6951" spans="1:3" ht="16.8">
      <c r="A6951" s="165"/>
      <c r="B6951" s="171"/>
      <c r="C6951" s="165"/>
    </row>
    <row r="6952" spans="1:3" ht="16.8">
      <c r="A6952" s="165"/>
      <c r="B6952" s="171"/>
      <c r="C6952" s="165"/>
    </row>
    <row r="6953" spans="1:3" ht="16.8">
      <c r="A6953" s="165"/>
      <c r="B6953" s="171"/>
      <c r="C6953" s="165"/>
    </row>
    <row r="6954" spans="1:3" ht="16.8">
      <c r="A6954" s="165"/>
      <c r="B6954" s="171"/>
      <c r="C6954" s="165"/>
    </row>
    <row r="6955" spans="1:3" ht="16.8">
      <c r="A6955" s="165"/>
      <c r="B6955" s="171"/>
      <c r="C6955" s="165"/>
    </row>
    <row r="6956" spans="1:3" ht="16.8">
      <c r="A6956" s="165"/>
      <c r="B6956" s="171"/>
      <c r="C6956" s="165"/>
    </row>
    <row r="6957" spans="1:3" ht="16.8">
      <c r="A6957" s="165"/>
      <c r="B6957" s="171"/>
      <c r="C6957" s="165"/>
    </row>
    <row r="6958" spans="1:3" ht="16.8">
      <c r="A6958" s="165"/>
      <c r="B6958" s="171"/>
      <c r="C6958" s="165"/>
    </row>
    <row r="6959" spans="1:3" ht="16.8">
      <c r="A6959" s="165"/>
      <c r="B6959" s="171"/>
      <c r="C6959" s="165"/>
    </row>
    <row r="6960" spans="1:3" ht="16.8">
      <c r="A6960" s="165"/>
      <c r="B6960" s="171"/>
      <c r="C6960" s="165"/>
    </row>
    <row r="6961" spans="1:3" ht="16.8">
      <c r="A6961" s="165"/>
      <c r="B6961" s="171"/>
      <c r="C6961" s="165"/>
    </row>
    <row r="6962" spans="1:3" ht="16.8">
      <c r="A6962" s="165"/>
      <c r="B6962" s="171"/>
      <c r="C6962" s="165"/>
    </row>
    <row r="6963" spans="1:3" ht="16.8">
      <c r="A6963" s="165"/>
      <c r="B6963" s="171"/>
      <c r="C6963" s="165"/>
    </row>
    <row r="6964" spans="1:3" ht="16.8">
      <c r="A6964" s="165"/>
      <c r="B6964" s="171"/>
      <c r="C6964" s="165"/>
    </row>
    <row r="6965" spans="1:3" ht="16.8">
      <c r="A6965" s="165"/>
      <c r="B6965" s="171"/>
      <c r="C6965" s="165"/>
    </row>
    <row r="6966" spans="1:3" ht="16.8">
      <c r="A6966" s="165"/>
      <c r="B6966" s="171"/>
      <c r="C6966" s="165"/>
    </row>
    <row r="6967" spans="1:3" ht="16.8">
      <c r="A6967" s="165"/>
      <c r="B6967" s="171"/>
      <c r="C6967" s="165"/>
    </row>
    <row r="6968" spans="1:3" ht="16.8">
      <c r="A6968" s="165"/>
      <c r="B6968" s="171"/>
      <c r="C6968" s="165"/>
    </row>
    <row r="6969" spans="1:3" ht="16.8">
      <c r="A6969" s="165"/>
      <c r="B6969" s="171"/>
      <c r="C6969" s="165"/>
    </row>
    <row r="6970" spans="1:3" ht="16.8">
      <c r="A6970" s="165"/>
      <c r="B6970" s="171"/>
      <c r="C6970" s="165"/>
    </row>
    <row r="6971" spans="1:3" ht="16.8">
      <c r="A6971" s="165"/>
      <c r="B6971" s="171"/>
      <c r="C6971" s="165"/>
    </row>
    <row r="6972" spans="1:3" ht="16.8">
      <c r="A6972" s="165"/>
      <c r="B6972" s="171"/>
      <c r="C6972" s="165"/>
    </row>
    <row r="6973" spans="1:3" ht="16.8">
      <c r="A6973" s="165"/>
      <c r="B6973" s="171"/>
      <c r="C6973" s="165"/>
    </row>
    <row r="6974" spans="1:3" ht="16.8">
      <c r="A6974" s="165"/>
      <c r="B6974" s="171"/>
      <c r="C6974" s="165"/>
    </row>
    <row r="6975" spans="1:3" ht="16.8">
      <c r="A6975" s="165"/>
      <c r="B6975" s="171"/>
      <c r="C6975" s="165"/>
    </row>
    <row r="6976" spans="1:3" ht="16.8">
      <c r="A6976" s="165"/>
      <c r="B6976" s="171"/>
      <c r="C6976" s="165"/>
    </row>
    <row r="6977" spans="1:3" ht="16.8">
      <c r="A6977" s="165"/>
      <c r="B6977" s="171"/>
      <c r="C6977" s="165"/>
    </row>
    <row r="6978" spans="1:3" ht="16.8">
      <c r="A6978" s="165"/>
      <c r="B6978" s="171"/>
      <c r="C6978" s="165"/>
    </row>
    <row r="6979" spans="1:3" ht="16.8">
      <c r="A6979" s="165"/>
      <c r="B6979" s="171"/>
      <c r="C6979" s="165"/>
    </row>
    <row r="6980" spans="1:3" ht="16.8">
      <c r="A6980" s="165"/>
      <c r="B6980" s="171"/>
      <c r="C6980" s="165"/>
    </row>
    <row r="6981" spans="1:3" ht="16.8">
      <c r="A6981" s="165"/>
      <c r="B6981" s="171"/>
      <c r="C6981" s="165"/>
    </row>
    <row r="6982" spans="1:3" ht="16.8">
      <c r="A6982" s="165"/>
      <c r="B6982" s="171"/>
      <c r="C6982" s="165"/>
    </row>
    <row r="6983" spans="1:3" ht="16.8">
      <c r="A6983" s="165"/>
      <c r="B6983" s="171"/>
      <c r="C6983" s="165"/>
    </row>
    <row r="6984" spans="1:3" ht="16.8">
      <c r="A6984" s="165"/>
      <c r="B6984" s="171"/>
      <c r="C6984" s="165"/>
    </row>
    <row r="6985" spans="1:3" ht="16.8">
      <c r="A6985" s="165"/>
      <c r="B6985" s="171"/>
      <c r="C6985" s="165"/>
    </row>
    <row r="6986" spans="1:3" ht="16.8">
      <c r="A6986" s="165"/>
      <c r="B6986" s="171"/>
      <c r="C6986" s="165"/>
    </row>
    <row r="6987" spans="1:3" ht="16.8">
      <c r="A6987" s="165"/>
      <c r="B6987" s="171"/>
      <c r="C6987" s="165"/>
    </row>
    <row r="6988" spans="1:3" ht="16.8">
      <c r="A6988" s="165"/>
      <c r="B6988" s="171"/>
      <c r="C6988" s="165"/>
    </row>
    <row r="6989" spans="1:3" ht="16.8">
      <c r="A6989" s="165"/>
      <c r="B6989" s="171"/>
      <c r="C6989" s="165"/>
    </row>
    <row r="6990" spans="1:3" ht="16.8">
      <c r="A6990" s="165"/>
      <c r="B6990" s="171"/>
      <c r="C6990" s="165"/>
    </row>
    <row r="6991" spans="1:3" ht="16.8">
      <c r="A6991" s="165"/>
      <c r="B6991" s="171"/>
      <c r="C6991" s="165"/>
    </row>
    <row r="6992" spans="1:3" ht="16.8">
      <c r="A6992" s="165"/>
      <c r="B6992" s="171"/>
      <c r="C6992" s="165"/>
    </row>
    <row r="6993" spans="1:3" ht="16.8">
      <c r="A6993" s="165"/>
      <c r="B6993" s="171"/>
      <c r="C6993" s="165"/>
    </row>
    <row r="6994" spans="1:3" ht="16.8">
      <c r="A6994" s="165"/>
      <c r="B6994" s="171"/>
      <c r="C6994" s="165"/>
    </row>
    <row r="6995" spans="1:3" ht="16.8">
      <c r="A6995" s="165"/>
      <c r="B6995" s="171"/>
      <c r="C6995" s="165"/>
    </row>
    <row r="6996" spans="1:3" ht="16.8">
      <c r="A6996" s="165"/>
      <c r="B6996" s="171"/>
      <c r="C6996" s="165"/>
    </row>
    <row r="6997" spans="1:3" ht="16.8">
      <c r="A6997" s="165"/>
      <c r="B6997" s="171"/>
      <c r="C6997" s="165"/>
    </row>
    <row r="6998" spans="1:3" ht="16.8">
      <c r="A6998" s="165"/>
      <c r="B6998" s="171"/>
      <c r="C6998" s="165"/>
    </row>
    <row r="6999" spans="1:3" ht="16.8">
      <c r="A6999" s="165"/>
      <c r="B6999" s="171"/>
      <c r="C6999" s="165"/>
    </row>
    <row r="7000" spans="1:3" ht="16.8">
      <c r="A7000" s="165"/>
      <c r="B7000" s="171"/>
      <c r="C7000" s="165"/>
    </row>
    <row r="7001" spans="1:3" ht="16.8">
      <c r="A7001" s="165"/>
      <c r="B7001" s="171"/>
      <c r="C7001" s="165"/>
    </row>
    <row r="7002" spans="1:3" ht="16.8">
      <c r="A7002" s="165"/>
      <c r="B7002" s="171"/>
      <c r="C7002" s="165"/>
    </row>
    <row r="7003" spans="1:3" ht="16.8">
      <c r="A7003" s="165"/>
      <c r="B7003" s="171"/>
      <c r="C7003" s="165"/>
    </row>
    <row r="7004" spans="1:3" ht="16.8">
      <c r="A7004" s="165"/>
      <c r="B7004" s="171"/>
      <c r="C7004" s="165"/>
    </row>
    <row r="7005" spans="1:3" ht="16.8">
      <c r="A7005" s="165"/>
      <c r="B7005" s="171"/>
      <c r="C7005" s="165"/>
    </row>
    <row r="7006" spans="1:3" ht="16.8">
      <c r="A7006" s="165"/>
      <c r="B7006" s="171"/>
      <c r="C7006" s="165"/>
    </row>
    <row r="7007" spans="1:3" ht="16.8">
      <c r="A7007" s="165"/>
      <c r="B7007" s="171"/>
      <c r="C7007" s="165"/>
    </row>
    <row r="7008" spans="1:3" ht="16.8">
      <c r="A7008" s="165"/>
      <c r="B7008" s="171"/>
      <c r="C7008" s="165"/>
    </row>
    <row r="7009" spans="1:3" ht="16.8">
      <c r="A7009" s="165"/>
      <c r="B7009" s="171"/>
      <c r="C7009" s="165"/>
    </row>
    <row r="7010" spans="1:3" ht="16.8">
      <c r="A7010" s="165"/>
      <c r="B7010" s="171"/>
      <c r="C7010" s="165"/>
    </row>
    <row r="7011" spans="1:3" ht="16.8">
      <c r="A7011" s="165"/>
      <c r="B7011" s="171"/>
      <c r="C7011" s="165"/>
    </row>
    <row r="7012" spans="1:3" ht="16.8">
      <c r="A7012" s="165"/>
      <c r="B7012" s="171"/>
      <c r="C7012" s="165"/>
    </row>
    <row r="7013" spans="1:3" ht="16.8">
      <c r="A7013" s="165"/>
      <c r="B7013" s="171"/>
      <c r="C7013" s="165"/>
    </row>
    <row r="7014" spans="1:3" ht="16.8">
      <c r="A7014" s="165"/>
      <c r="B7014" s="171"/>
      <c r="C7014" s="165"/>
    </row>
    <row r="7015" spans="1:3" ht="16.8">
      <c r="A7015" s="165"/>
      <c r="B7015" s="171"/>
      <c r="C7015" s="165"/>
    </row>
    <row r="7016" spans="1:3" ht="16.8">
      <c r="A7016" s="165"/>
      <c r="B7016" s="171"/>
      <c r="C7016" s="165"/>
    </row>
    <row r="7017" spans="1:3" ht="16.8">
      <c r="A7017" s="165"/>
      <c r="B7017" s="171"/>
      <c r="C7017" s="165"/>
    </row>
    <row r="7018" spans="1:3" ht="16.8">
      <c r="A7018" s="165"/>
      <c r="B7018" s="171"/>
      <c r="C7018" s="165"/>
    </row>
    <row r="7019" spans="1:3" ht="16.8">
      <c r="A7019" s="165"/>
      <c r="B7019" s="171"/>
      <c r="C7019" s="165"/>
    </row>
    <row r="7020" spans="1:3" ht="16.8">
      <c r="A7020" s="165"/>
      <c r="B7020" s="171"/>
      <c r="C7020" s="165"/>
    </row>
    <row r="7021" spans="1:3" ht="16.8">
      <c r="A7021" s="165"/>
      <c r="B7021" s="171"/>
      <c r="C7021" s="165"/>
    </row>
    <row r="7022" spans="1:3" ht="16.8">
      <c r="A7022" s="165"/>
      <c r="B7022" s="171"/>
      <c r="C7022" s="165"/>
    </row>
    <row r="7023" spans="1:3" ht="16.8">
      <c r="A7023" s="165"/>
      <c r="B7023" s="171"/>
      <c r="C7023" s="165"/>
    </row>
    <row r="7024" spans="1:3" ht="16.8">
      <c r="A7024" s="165"/>
      <c r="B7024" s="171"/>
      <c r="C7024" s="165"/>
    </row>
    <row r="7025" spans="1:3" ht="16.8">
      <c r="A7025" s="165"/>
      <c r="B7025" s="171"/>
      <c r="C7025" s="165"/>
    </row>
    <row r="7026" spans="1:3" ht="16.8">
      <c r="A7026" s="165"/>
      <c r="B7026" s="171"/>
      <c r="C7026" s="165"/>
    </row>
    <row r="7027" spans="1:3" ht="16.8">
      <c r="A7027" s="165"/>
      <c r="B7027" s="171"/>
      <c r="C7027" s="165"/>
    </row>
    <row r="7028" spans="1:3" ht="16.8">
      <c r="A7028" s="165"/>
      <c r="B7028" s="171"/>
      <c r="C7028" s="165"/>
    </row>
    <row r="7029" spans="1:3" ht="16.8">
      <c r="A7029" s="165"/>
      <c r="B7029" s="171"/>
      <c r="C7029" s="165"/>
    </row>
    <row r="7030" spans="1:3" ht="16.8">
      <c r="A7030" s="165"/>
      <c r="B7030" s="171"/>
      <c r="C7030" s="165"/>
    </row>
    <row r="7031" spans="1:3" ht="16.8">
      <c r="A7031" s="165"/>
      <c r="B7031" s="171"/>
      <c r="C7031" s="165"/>
    </row>
    <row r="7032" spans="1:3" ht="16.8">
      <c r="A7032" s="165"/>
      <c r="B7032" s="171"/>
      <c r="C7032" s="165"/>
    </row>
    <row r="7033" spans="1:3" ht="16.8">
      <c r="A7033" s="165"/>
      <c r="B7033" s="171"/>
      <c r="C7033" s="165"/>
    </row>
    <row r="7034" spans="1:3" ht="16.8">
      <c r="A7034" s="165"/>
      <c r="B7034" s="171"/>
      <c r="C7034" s="165"/>
    </row>
    <row r="7035" spans="1:3" ht="16.8">
      <c r="A7035" s="165"/>
      <c r="B7035" s="171"/>
      <c r="C7035" s="165"/>
    </row>
    <row r="7036" spans="1:3" ht="16.8">
      <c r="A7036" s="165"/>
      <c r="B7036" s="171"/>
      <c r="C7036" s="165"/>
    </row>
    <row r="7037" spans="1:3" ht="16.8">
      <c r="A7037" s="165"/>
      <c r="B7037" s="171"/>
      <c r="C7037" s="165"/>
    </row>
    <row r="7038" spans="1:3" ht="16.8">
      <c r="A7038" s="165"/>
      <c r="B7038" s="171"/>
      <c r="C7038" s="165"/>
    </row>
    <row r="7039" spans="1:3" ht="16.8">
      <c r="A7039" s="165"/>
      <c r="B7039" s="171"/>
      <c r="C7039" s="165"/>
    </row>
    <row r="7040" spans="1:3" ht="16.8">
      <c r="A7040" s="165"/>
      <c r="B7040" s="171"/>
      <c r="C7040" s="165"/>
    </row>
    <row r="7041" spans="1:3" ht="16.8">
      <c r="A7041" s="165"/>
      <c r="B7041" s="171"/>
      <c r="C7041" s="165"/>
    </row>
    <row r="7042" spans="1:3" ht="16.8">
      <c r="A7042" s="165"/>
      <c r="B7042" s="171"/>
      <c r="C7042" s="165"/>
    </row>
    <row r="7043" spans="1:3" ht="16.8">
      <c r="A7043" s="165"/>
      <c r="B7043" s="171"/>
      <c r="C7043" s="165"/>
    </row>
    <row r="7044" spans="1:3" ht="16.8">
      <c r="A7044" s="165"/>
      <c r="B7044" s="171"/>
      <c r="C7044" s="165"/>
    </row>
    <row r="7045" spans="1:3" ht="16.8">
      <c r="A7045" s="165"/>
      <c r="B7045" s="171"/>
      <c r="C7045" s="165"/>
    </row>
    <row r="7046" spans="1:3" ht="16.8">
      <c r="A7046" s="165"/>
      <c r="B7046" s="171"/>
      <c r="C7046" s="165"/>
    </row>
    <row r="7047" spans="1:3" ht="16.8">
      <c r="A7047" s="165"/>
      <c r="B7047" s="171"/>
      <c r="C7047" s="165"/>
    </row>
    <row r="7048" spans="1:3" ht="16.8">
      <c r="A7048" s="165"/>
      <c r="B7048" s="171"/>
      <c r="C7048" s="165"/>
    </row>
    <row r="7049" spans="1:3" ht="16.8">
      <c r="A7049" s="165"/>
      <c r="B7049" s="171"/>
      <c r="C7049" s="165"/>
    </row>
    <row r="7050" spans="1:3" ht="16.8">
      <c r="A7050" s="165"/>
      <c r="B7050" s="171"/>
      <c r="C7050" s="165"/>
    </row>
    <row r="7051" spans="1:3" ht="16.8">
      <c r="A7051" s="165"/>
      <c r="B7051" s="171"/>
      <c r="C7051" s="165"/>
    </row>
    <row r="7052" spans="1:3" ht="16.8">
      <c r="A7052" s="165"/>
      <c r="B7052" s="171"/>
      <c r="C7052" s="165"/>
    </row>
    <row r="7053" spans="1:3" ht="16.8">
      <c r="A7053" s="165"/>
      <c r="B7053" s="171"/>
      <c r="C7053" s="165"/>
    </row>
    <row r="7054" spans="1:3" ht="16.8">
      <c r="A7054" s="165"/>
      <c r="B7054" s="171"/>
      <c r="C7054" s="165"/>
    </row>
    <row r="7055" spans="1:3" ht="16.8">
      <c r="A7055" s="165"/>
      <c r="B7055" s="171"/>
      <c r="C7055" s="165"/>
    </row>
    <row r="7056" spans="1:3" ht="16.8">
      <c r="A7056" s="165"/>
      <c r="B7056" s="171"/>
      <c r="C7056" s="165"/>
    </row>
    <row r="7057" spans="1:3" ht="16.8">
      <c r="A7057" s="165"/>
      <c r="B7057" s="171"/>
      <c r="C7057" s="165"/>
    </row>
    <row r="7058" spans="1:3" ht="16.8">
      <c r="A7058" s="165"/>
      <c r="B7058" s="171"/>
      <c r="C7058" s="165"/>
    </row>
    <row r="7059" spans="1:3" ht="16.8">
      <c r="A7059" s="165"/>
      <c r="B7059" s="171"/>
      <c r="C7059" s="165"/>
    </row>
    <row r="7060" spans="1:3" ht="16.8">
      <c r="A7060" s="165"/>
      <c r="B7060" s="171"/>
      <c r="C7060" s="165"/>
    </row>
    <row r="7061" spans="1:3" ht="16.8">
      <c r="A7061" s="165"/>
      <c r="B7061" s="171"/>
      <c r="C7061" s="165"/>
    </row>
    <row r="7062" spans="1:3" ht="16.8">
      <c r="A7062" s="165"/>
      <c r="B7062" s="171"/>
      <c r="C7062" s="165"/>
    </row>
    <row r="7063" spans="1:3" ht="16.8">
      <c r="A7063" s="165"/>
      <c r="B7063" s="171"/>
      <c r="C7063" s="165"/>
    </row>
    <row r="7064" spans="1:3" ht="16.8">
      <c r="A7064" s="165"/>
      <c r="B7064" s="171"/>
      <c r="C7064" s="165"/>
    </row>
    <row r="7065" spans="1:3" ht="16.8">
      <c r="A7065" s="165"/>
      <c r="B7065" s="171"/>
      <c r="C7065" s="165"/>
    </row>
    <row r="7066" spans="1:3" ht="16.8">
      <c r="A7066" s="165"/>
      <c r="B7066" s="171"/>
      <c r="C7066" s="165"/>
    </row>
    <row r="7067" spans="1:3" ht="16.8">
      <c r="A7067" s="165"/>
      <c r="B7067" s="171"/>
      <c r="C7067" s="165"/>
    </row>
    <row r="7068" spans="1:3" ht="16.8">
      <c r="A7068" s="165"/>
      <c r="B7068" s="171"/>
      <c r="C7068" s="165"/>
    </row>
    <row r="7069" spans="1:3" ht="16.8">
      <c r="A7069" s="165"/>
      <c r="B7069" s="171"/>
      <c r="C7069" s="165"/>
    </row>
    <row r="7070" spans="1:3" ht="16.8">
      <c r="A7070" s="165"/>
      <c r="B7070" s="171"/>
      <c r="C7070" s="165"/>
    </row>
    <row r="7071" spans="1:3" ht="16.8">
      <c r="A7071" s="165"/>
      <c r="B7071" s="171"/>
      <c r="C7071" s="165"/>
    </row>
    <row r="7072" spans="1:3" ht="16.8">
      <c r="A7072" s="165"/>
      <c r="B7072" s="171"/>
      <c r="C7072" s="165"/>
    </row>
    <row r="7073" spans="1:3" ht="16.8">
      <c r="A7073" s="165"/>
      <c r="B7073" s="171"/>
      <c r="C7073" s="165"/>
    </row>
    <row r="7074" spans="1:3" ht="16.8">
      <c r="A7074" s="165"/>
      <c r="B7074" s="171"/>
      <c r="C7074" s="165"/>
    </row>
    <row r="7075" spans="1:3" ht="16.8">
      <c r="A7075" s="165"/>
      <c r="B7075" s="171"/>
      <c r="C7075" s="165"/>
    </row>
    <row r="7076" spans="1:3" ht="16.8">
      <c r="A7076" s="165"/>
      <c r="B7076" s="171"/>
      <c r="C7076" s="165"/>
    </row>
    <row r="7077" spans="1:3" ht="16.8">
      <c r="A7077" s="165"/>
      <c r="B7077" s="171"/>
      <c r="C7077" s="165"/>
    </row>
    <row r="7078" spans="1:3" ht="16.8">
      <c r="A7078" s="165"/>
      <c r="B7078" s="171"/>
      <c r="C7078" s="165"/>
    </row>
    <row r="7079" spans="1:3" ht="16.8">
      <c r="A7079" s="165"/>
      <c r="B7079" s="171"/>
      <c r="C7079" s="165"/>
    </row>
    <row r="7080" spans="1:3" ht="16.8">
      <c r="A7080" s="165"/>
      <c r="B7080" s="171"/>
      <c r="C7080" s="165"/>
    </row>
    <row r="7081" spans="1:3" ht="16.8">
      <c r="A7081" s="165"/>
      <c r="B7081" s="171"/>
      <c r="C7081" s="165"/>
    </row>
    <row r="7082" spans="1:3" ht="16.8">
      <c r="A7082" s="165"/>
      <c r="B7082" s="171"/>
      <c r="C7082" s="165"/>
    </row>
    <row r="7083" spans="1:3" ht="16.8">
      <c r="A7083" s="165"/>
      <c r="B7083" s="171"/>
      <c r="C7083" s="165"/>
    </row>
    <row r="7084" spans="1:3" ht="16.8">
      <c r="A7084" s="165"/>
      <c r="B7084" s="171"/>
      <c r="C7084" s="165"/>
    </row>
    <row r="7085" spans="1:3" ht="16.8">
      <c r="A7085" s="165"/>
      <c r="B7085" s="171"/>
      <c r="C7085" s="165"/>
    </row>
    <row r="7086" spans="1:3" ht="16.8">
      <c r="A7086" s="165"/>
      <c r="B7086" s="171"/>
      <c r="C7086" s="165"/>
    </row>
    <row r="7087" spans="1:3" ht="16.8">
      <c r="A7087" s="165"/>
      <c r="B7087" s="171"/>
      <c r="C7087" s="165"/>
    </row>
    <row r="7088" spans="1:3" ht="16.8">
      <c r="A7088" s="165"/>
      <c r="B7088" s="171"/>
      <c r="C7088" s="165"/>
    </row>
    <row r="7089" spans="1:3" ht="16.8">
      <c r="A7089" s="165"/>
      <c r="B7089" s="171"/>
      <c r="C7089" s="165"/>
    </row>
    <row r="7090" spans="1:3" ht="16.8">
      <c r="A7090" s="165"/>
      <c r="B7090" s="171"/>
      <c r="C7090" s="165"/>
    </row>
    <row r="7091" spans="1:3" ht="16.8">
      <c r="A7091" s="165"/>
      <c r="B7091" s="171"/>
      <c r="C7091" s="165"/>
    </row>
    <row r="7092" spans="1:3" ht="16.8">
      <c r="A7092" s="165"/>
      <c r="B7092" s="171"/>
      <c r="C7092" s="165"/>
    </row>
    <row r="7093" spans="1:3" ht="16.8">
      <c r="A7093" s="165"/>
      <c r="B7093" s="171"/>
      <c r="C7093" s="165"/>
    </row>
    <row r="7094" spans="1:3" ht="16.8">
      <c r="A7094" s="165"/>
      <c r="B7094" s="171"/>
      <c r="C7094" s="165"/>
    </row>
    <row r="7095" spans="1:3" ht="16.8">
      <c r="A7095" s="165"/>
      <c r="B7095" s="171"/>
      <c r="C7095" s="165"/>
    </row>
    <row r="7096" spans="1:3" ht="16.8">
      <c r="A7096" s="165"/>
      <c r="B7096" s="171"/>
      <c r="C7096" s="165"/>
    </row>
    <row r="7097" spans="1:3" ht="16.8">
      <c r="A7097" s="165"/>
      <c r="B7097" s="171"/>
      <c r="C7097" s="165"/>
    </row>
    <row r="7098" spans="1:3" ht="16.8">
      <c r="A7098" s="165"/>
      <c r="B7098" s="171"/>
      <c r="C7098" s="165"/>
    </row>
    <row r="7099" spans="1:3" ht="16.8">
      <c r="A7099" s="165"/>
      <c r="B7099" s="171"/>
      <c r="C7099" s="165"/>
    </row>
    <row r="7100" spans="1:3" ht="16.8">
      <c r="A7100" s="165"/>
      <c r="B7100" s="171"/>
      <c r="C7100" s="165"/>
    </row>
    <row r="7101" spans="1:3" ht="16.8">
      <c r="A7101" s="165"/>
      <c r="B7101" s="171"/>
      <c r="C7101" s="165"/>
    </row>
    <row r="7102" spans="1:3" ht="16.8">
      <c r="A7102" s="165"/>
      <c r="B7102" s="171"/>
      <c r="C7102" s="165"/>
    </row>
    <row r="7103" spans="1:3" ht="16.8">
      <c r="A7103" s="165"/>
      <c r="B7103" s="171"/>
      <c r="C7103" s="165"/>
    </row>
    <row r="7104" spans="1:3" ht="16.8">
      <c r="A7104" s="165"/>
      <c r="B7104" s="171"/>
      <c r="C7104" s="165"/>
    </row>
    <row r="7105" spans="1:3" ht="16.8">
      <c r="A7105" s="165"/>
      <c r="B7105" s="171"/>
      <c r="C7105" s="165"/>
    </row>
    <row r="7106" spans="1:3" ht="16.8">
      <c r="A7106" s="165"/>
      <c r="B7106" s="171"/>
      <c r="C7106" s="165"/>
    </row>
    <row r="7107" spans="1:3" ht="16.8">
      <c r="A7107" s="165"/>
      <c r="B7107" s="171"/>
      <c r="C7107" s="165"/>
    </row>
    <row r="7108" spans="1:3" ht="16.8">
      <c r="A7108" s="165"/>
      <c r="B7108" s="171"/>
      <c r="C7108" s="165"/>
    </row>
    <row r="7109" spans="1:3" ht="16.8">
      <c r="A7109" s="165"/>
      <c r="B7109" s="171"/>
      <c r="C7109" s="165"/>
    </row>
    <row r="7110" spans="1:3" ht="16.8">
      <c r="A7110" s="165"/>
      <c r="B7110" s="171"/>
      <c r="C7110" s="165"/>
    </row>
    <row r="7111" spans="1:3" ht="16.8">
      <c r="A7111" s="165"/>
      <c r="B7111" s="171"/>
      <c r="C7111" s="165"/>
    </row>
    <row r="7112" spans="1:3" ht="16.8">
      <c r="A7112" s="165"/>
      <c r="B7112" s="171"/>
      <c r="C7112" s="165"/>
    </row>
    <row r="7113" spans="1:3" ht="16.8">
      <c r="A7113" s="165"/>
      <c r="B7113" s="171"/>
      <c r="C7113" s="165"/>
    </row>
    <row r="7114" spans="1:3" ht="16.8">
      <c r="A7114" s="165"/>
      <c r="B7114" s="171"/>
      <c r="C7114" s="165"/>
    </row>
    <row r="7115" spans="1:3" ht="16.8">
      <c r="A7115" s="165"/>
      <c r="B7115" s="171"/>
      <c r="C7115" s="165"/>
    </row>
    <row r="7116" spans="1:3" ht="16.8">
      <c r="A7116" s="165"/>
      <c r="B7116" s="171"/>
      <c r="C7116" s="165"/>
    </row>
    <row r="7117" spans="1:3" ht="16.8">
      <c r="A7117" s="165"/>
      <c r="B7117" s="171"/>
      <c r="C7117" s="165"/>
    </row>
    <row r="7118" spans="1:3" ht="16.8">
      <c r="A7118" s="165"/>
      <c r="B7118" s="171"/>
      <c r="C7118" s="165"/>
    </row>
    <row r="7119" spans="1:3" ht="16.8">
      <c r="A7119" s="165"/>
      <c r="B7119" s="171"/>
      <c r="C7119" s="165"/>
    </row>
    <row r="7120" spans="1:3" ht="16.8">
      <c r="A7120" s="165"/>
      <c r="B7120" s="171"/>
      <c r="C7120" s="165"/>
    </row>
    <row r="7121" spans="1:3" ht="16.8">
      <c r="A7121" s="165"/>
      <c r="B7121" s="171"/>
      <c r="C7121" s="165"/>
    </row>
    <row r="7122" spans="1:3" ht="16.8">
      <c r="A7122" s="165"/>
      <c r="B7122" s="171"/>
      <c r="C7122" s="165"/>
    </row>
    <row r="7123" spans="1:3" ht="16.8">
      <c r="A7123" s="165"/>
      <c r="B7123" s="171"/>
      <c r="C7123" s="165"/>
    </row>
    <row r="7124" spans="1:3" ht="16.8">
      <c r="A7124" s="165"/>
      <c r="B7124" s="171"/>
      <c r="C7124" s="165"/>
    </row>
    <row r="7125" spans="1:3" ht="16.8">
      <c r="A7125" s="165"/>
      <c r="B7125" s="171"/>
      <c r="C7125" s="165"/>
    </row>
    <row r="7126" spans="1:3" ht="16.8">
      <c r="A7126" s="165"/>
      <c r="B7126" s="171"/>
      <c r="C7126" s="165"/>
    </row>
    <row r="7127" spans="1:3" ht="16.8">
      <c r="A7127" s="165"/>
      <c r="B7127" s="171"/>
      <c r="C7127" s="165"/>
    </row>
    <row r="7128" spans="1:3" ht="16.8">
      <c r="A7128" s="165"/>
      <c r="B7128" s="171"/>
      <c r="C7128" s="165"/>
    </row>
    <row r="7129" spans="1:3" ht="16.8">
      <c r="A7129" s="165"/>
      <c r="B7129" s="171"/>
      <c r="C7129" s="165"/>
    </row>
    <row r="7130" spans="1:3" ht="16.8">
      <c r="A7130" s="165"/>
      <c r="B7130" s="171"/>
      <c r="C7130" s="165"/>
    </row>
    <row r="7131" spans="1:3" ht="16.8">
      <c r="A7131" s="165"/>
      <c r="B7131" s="171"/>
      <c r="C7131" s="165"/>
    </row>
    <row r="7132" spans="1:3" ht="16.8">
      <c r="A7132" s="165"/>
      <c r="B7132" s="171"/>
      <c r="C7132" s="165"/>
    </row>
    <row r="7133" spans="1:3" ht="16.8">
      <c r="A7133" s="165"/>
      <c r="B7133" s="171"/>
      <c r="C7133" s="165"/>
    </row>
    <row r="7134" spans="1:3" ht="16.8">
      <c r="A7134" s="165"/>
      <c r="B7134" s="171"/>
      <c r="C7134" s="165"/>
    </row>
    <row r="7135" spans="1:3" ht="16.8">
      <c r="A7135" s="165"/>
      <c r="B7135" s="171"/>
      <c r="C7135" s="165"/>
    </row>
    <row r="7136" spans="1:3" ht="16.8">
      <c r="A7136" s="165"/>
      <c r="B7136" s="171"/>
      <c r="C7136" s="165"/>
    </row>
    <row r="7137" spans="1:3" ht="16.8">
      <c r="A7137" s="165"/>
      <c r="B7137" s="171"/>
      <c r="C7137" s="165"/>
    </row>
    <row r="7138" spans="1:3" ht="16.8">
      <c r="A7138" s="165"/>
      <c r="B7138" s="171"/>
      <c r="C7138" s="165"/>
    </row>
    <row r="7139" spans="1:3" ht="16.8">
      <c r="A7139" s="165"/>
      <c r="B7139" s="171"/>
      <c r="C7139" s="165"/>
    </row>
    <row r="7140" spans="1:3" ht="16.8">
      <c r="A7140" s="165"/>
      <c r="B7140" s="171"/>
      <c r="C7140" s="165"/>
    </row>
    <row r="7141" spans="1:3" ht="16.8">
      <c r="A7141" s="165"/>
      <c r="B7141" s="171"/>
      <c r="C7141" s="165"/>
    </row>
    <row r="7142" spans="1:3" ht="16.8">
      <c r="A7142" s="165"/>
      <c r="B7142" s="171"/>
      <c r="C7142" s="165"/>
    </row>
    <row r="7143" spans="1:3" ht="16.8">
      <c r="A7143" s="165"/>
      <c r="B7143" s="171"/>
      <c r="C7143" s="165"/>
    </row>
    <row r="7144" spans="1:3" ht="16.8">
      <c r="A7144" s="165"/>
      <c r="B7144" s="171"/>
      <c r="C7144" s="165"/>
    </row>
    <row r="7145" spans="1:3" ht="16.8">
      <c r="A7145" s="165"/>
      <c r="B7145" s="171"/>
      <c r="C7145" s="165"/>
    </row>
    <row r="7146" spans="1:3" ht="16.8">
      <c r="A7146" s="165"/>
      <c r="B7146" s="171"/>
      <c r="C7146" s="165"/>
    </row>
    <row r="7147" spans="1:3" ht="16.8">
      <c r="A7147" s="165"/>
      <c r="B7147" s="171"/>
      <c r="C7147" s="165"/>
    </row>
    <row r="7148" spans="1:3" ht="16.8">
      <c r="A7148" s="165"/>
      <c r="B7148" s="171"/>
      <c r="C7148" s="165"/>
    </row>
    <row r="7149" spans="1:3" ht="16.8">
      <c r="A7149" s="165"/>
      <c r="B7149" s="171"/>
      <c r="C7149" s="165"/>
    </row>
    <row r="7150" spans="1:3" ht="16.8">
      <c r="A7150" s="165"/>
      <c r="B7150" s="171"/>
      <c r="C7150" s="165"/>
    </row>
    <row r="7151" spans="1:3" ht="16.8">
      <c r="A7151" s="165"/>
      <c r="B7151" s="171"/>
      <c r="C7151" s="165"/>
    </row>
    <row r="7152" spans="1:3" ht="16.8">
      <c r="A7152" s="165"/>
      <c r="B7152" s="171"/>
      <c r="C7152" s="165"/>
    </row>
    <row r="7153" spans="1:3" ht="16.8">
      <c r="A7153" s="165"/>
      <c r="B7153" s="171"/>
      <c r="C7153" s="165"/>
    </row>
    <row r="7154" spans="1:3" ht="16.8">
      <c r="A7154" s="165"/>
      <c r="B7154" s="171"/>
      <c r="C7154" s="165"/>
    </row>
    <row r="7155" spans="1:3" ht="16.8">
      <c r="A7155" s="165"/>
      <c r="B7155" s="171"/>
      <c r="C7155" s="165"/>
    </row>
    <row r="7156" spans="1:3" ht="16.8">
      <c r="A7156" s="165"/>
      <c r="B7156" s="171"/>
      <c r="C7156" s="165"/>
    </row>
    <row r="7157" spans="1:3" ht="16.8">
      <c r="A7157" s="165"/>
      <c r="B7157" s="171"/>
      <c r="C7157" s="165"/>
    </row>
    <row r="7158" spans="1:3" ht="16.8">
      <c r="A7158" s="165"/>
      <c r="B7158" s="171"/>
      <c r="C7158" s="165"/>
    </row>
    <row r="7159" spans="1:3" ht="16.8">
      <c r="A7159" s="165"/>
      <c r="B7159" s="171"/>
      <c r="C7159" s="165"/>
    </row>
    <row r="7160" spans="1:3" ht="16.8">
      <c r="A7160" s="165"/>
      <c r="B7160" s="171"/>
      <c r="C7160" s="165"/>
    </row>
    <row r="7161" spans="1:3" ht="16.8">
      <c r="A7161" s="165"/>
      <c r="B7161" s="171"/>
      <c r="C7161" s="165"/>
    </row>
    <row r="7162" spans="1:3" ht="16.8">
      <c r="A7162" s="165"/>
      <c r="B7162" s="171"/>
      <c r="C7162" s="165"/>
    </row>
    <row r="7163" spans="1:3" ht="16.8">
      <c r="A7163" s="165"/>
      <c r="B7163" s="171"/>
      <c r="C7163" s="165"/>
    </row>
    <row r="7164" spans="1:3" ht="16.8">
      <c r="A7164" s="165"/>
      <c r="B7164" s="171"/>
      <c r="C7164" s="165"/>
    </row>
    <row r="7165" spans="1:3" ht="16.8">
      <c r="A7165" s="165"/>
      <c r="B7165" s="171"/>
      <c r="C7165" s="165"/>
    </row>
    <row r="7166" spans="1:3" ht="16.8">
      <c r="A7166" s="165"/>
      <c r="B7166" s="171"/>
      <c r="C7166" s="165"/>
    </row>
    <row r="7167" spans="1:3" ht="16.8">
      <c r="A7167" s="165"/>
      <c r="B7167" s="171"/>
      <c r="C7167" s="165"/>
    </row>
    <row r="7168" spans="1:3" ht="16.8">
      <c r="A7168" s="165"/>
      <c r="B7168" s="171"/>
      <c r="C7168" s="165"/>
    </row>
    <row r="7169" spans="1:3" ht="16.8">
      <c r="A7169" s="165"/>
      <c r="B7169" s="171"/>
      <c r="C7169" s="165"/>
    </row>
    <row r="7170" spans="1:3" ht="16.8">
      <c r="A7170" s="165"/>
      <c r="B7170" s="171"/>
      <c r="C7170" s="165"/>
    </row>
    <row r="7171" spans="1:3" ht="16.8">
      <c r="A7171" s="165"/>
      <c r="B7171" s="171"/>
      <c r="C7171" s="165"/>
    </row>
    <row r="7172" spans="1:3" ht="16.8">
      <c r="A7172" s="165"/>
      <c r="B7172" s="171"/>
      <c r="C7172" s="165"/>
    </row>
    <row r="7173" spans="1:3" ht="16.8">
      <c r="A7173" s="165"/>
      <c r="B7173" s="171"/>
      <c r="C7173" s="165"/>
    </row>
    <row r="7174" spans="1:3" ht="16.8">
      <c r="A7174" s="165"/>
      <c r="B7174" s="171"/>
      <c r="C7174" s="165"/>
    </row>
    <row r="7175" spans="1:3" ht="16.8">
      <c r="A7175" s="165"/>
      <c r="B7175" s="171"/>
      <c r="C7175" s="165"/>
    </row>
    <row r="7176" spans="1:3" ht="16.8">
      <c r="A7176" s="165"/>
      <c r="B7176" s="171"/>
      <c r="C7176" s="165"/>
    </row>
    <row r="7177" spans="1:3" ht="16.8">
      <c r="A7177" s="165"/>
      <c r="B7177" s="171"/>
      <c r="C7177" s="165"/>
    </row>
    <row r="7178" spans="1:3" ht="16.8">
      <c r="A7178" s="165"/>
      <c r="B7178" s="171"/>
      <c r="C7178" s="165"/>
    </row>
    <row r="7179" spans="1:3" ht="16.8">
      <c r="A7179" s="165"/>
      <c r="B7179" s="171"/>
      <c r="C7179" s="165"/>
    </row>
    <row r="7180" spans="1:3" ht="16.8">
      <c r="A7180" s="165"/>
      <c r="B7180" s="171"/>
      <c r="C7180" s="165"/>
    </row>
    <row r="7181" spans="1:3" ht="16.8">
      <c r="A7181" s="165"/>
      <c r="B7181" s="171"/>
      <c r="C7181" s="165"/>
    </row>
    <row r="7182" spans="1:3" ht="16.8">
      <c r="A7182" s="165"/>
      <c r="B7182" s="171"/>
      <c r="C7182" s="165"/>
    </row>
    <row r="7183" spans="1:3" ht="16.8">
      <c r="A7183" s="165"/>
      <c r="B7183" s="171"/>
      <c r="C7183" s="165"/>
    </row>
    <row r="7184" spans="1:3" ht="16.8">
      <c r="A7184" s="165"/>
      <c r="B7184" s="171"/>
      <c r="C7184" s="165"/>
    </row>
    <row r="7185" spans="1:3" ht="16.8">
      <c r="A7185" s="165"/>
      <c r="B7185" s="171"/>
      <c r="C7185" s="165"/>
    </row>
    <row r="7186" spans="1:3" ht="16.8">
      <c r="A7186" s="165"/>
      <c r="B7186" s="171"/>
      <c r="C7186" s="165"/>
    </row>
    <row r="7187" spans="1:3" ht="16.8">
      <c r="A7187" s="165"/>
      <c r="B7187" s="171"/>
      <c r="C7187" s="165"/>
    </row>
    <row r="7188" spans="1:3" ht="16.8">
      <c r="A7188" s="165"/>
      <c r="B7188" s="171"/>
      <c r="C7188" s="165"/>
    </row>
    <row r="7189" spans="1:3" ht="16.8">
      <c r="A7189" s="165"/>
      <c r="B7189" s="171"/>
      <c r="C7189" s="165"/>
    </row>
    <row r="7190" spans="1:3" ht="16.8">
      <c r="A7190" s="165"/>
      <c r="B7190" s="171"/>
      <c r="C7190" s="165"/>
    </row>
    <row r="7191" spans="1:3" ht="16.8">
      <c r="A7191" s="165"/>
      <c r="B7191" s="171"/>
      <c r="C7191" s="165"/>
    </row>
    <row r="7192" spans="1:3" ht="16.8">
      <c r="A7192" s="165"/>
      <c r="B7192" s="171"/>
      <c r="C7192" s="165"/>
    </row>
    <row r="7193" spans="1:3" ht="16.8">
      <c r="A7193" s="165"/>
      <c r="B7193" s="171"/>
      <c r="C7193" s="165"/>
    </row>
    <row r="7194" spans="1:3" ht="16.8">
      <c r="A7194" s="165"/>
      <c r="B7194" s="171"/>
      <c r="C7194" s="165"/>
    </row>
    <row r="7195" spans="1:3" ht="16.8">
      <c r="A7195" s="165"/>
      <c r="B7195" s="171"/>
      <c r="C7195" s="165"/>
    </row>
    <row r="7196" spans="1:3" ht="16.8">
      <c r="A7196" s="165"/>
      <c r="B7196" s="171"/>
      <c r="C7196" s="165"/>
    </row>
    <row r="7197" spans="1:3" ht="16.8">
      <c r="A7197" s="165"/>
      <c r="B7197" s="171"/>
      <c r="C7197" s="165"/>
    </row>
    <row r="7198" spans="1:3" ht="16.8">
      <c r="A7198" s="165"/>
      <c r="B7198" s="171"/>
      <c r="C7198" s="165"/>
    </row>
    <row r="7199" spans="1:3" ht="16.8">
      <c r="A7199" s="165"/>
      <c r="B7199" s="171"/>
      <c r="C7199" s="165"/>
    </row>
    <row r="7200" spans="1:3" ht="16.8">
      <c r="A7200" s="165"/>
      <c r="B7200" s="171"/>
      <c r="C7200" s="165"/>
    </row>
    <row r="7201" spans="1:3" ht="16.8">
      <c r="A7201" s="165"/>
      <c r="B7201" s="171"/>
      <c r="C7201" s="165"/>
    </row>
    <row r="7202" spans="1:3" ht="16.8">
      <c r="A7202" s="165"/>
      <c r="B7202" s="171"/>
      <c r="C7202" s="165"/>
    </row>
    <row r="7203" spans="1:3" ht="16.8">
      <c r="A7203" s="165"/>
      <c r="B7203" s="171"/>
      <c r="C7203" s="165"/>
    </row>
    <row r="7204" spans="1:3" ht="16.8">
      <c r="A7204" s="165"/>
      <c r="B7204" s="171"/>
      <c r="C7204" s="165"/>
    </row>
    <row r="7205" spans="1:3" ht="16.8">
      <c r="A7205" s="165"/>
      <c r="B7205" s="171"/>
      <c r="C7205" s="165"/>
    </row>
    <row r="7206" spans="1:3" ht="16.8">
      <c r="A7206" s="165"/>
      <c r="B7206" s="171"/>
      <c r="C7206" s="165"/>
    </row>
    <row r="7207" spans="1:3" ht="16.8">
      <c r="A7207" s="165"/>
      <c r="B7207" s="171"/>
      <c r="C7207" s="165"/>
    </row>
    <row r="7208" spans="1:3" ht="16.8">
      <c r="A7208" s="165"/>
      <c r="B7208" s="171"/>
      <c r="C7208" s="165"/>
    </row>
    <row r="7209" spans="1:3" ht="16.8">
      <c r="A7209" s="165"/>
      <c r="B7209" s="171"/>
      <c r="C7209" s="165"/>
    </row>
    <row r="7210" spans="1:3" ht="16.8">
      <c r="A7210" s="165"/>
      <c r="B7210" s="171"/>
      <c r="C7210" s="165"/>
    </row>
    <row r="7211" spans="1:3" ht="16.8">
      <c r="A7211" s="165"/>
      <c r="B7211" s="171"/>
      <c r="C7211" s="165"/>
    </row>
    <row r="7212" spans="1:3" ht="16.8">
      <c r="A7212" s="165"/>
      <c r="B7212" s="171"/>
      <c r="C7212" s="165"/>
    </row>
    <row r="7213" spans="1:3" ht="16.8">
      <c r="A7213" s="165"/>
      <c r="B7213" s="171"/>
      <c r="C7213" s="165"/>
    </row>
    <row r="7214" spans="1:3" ht="16.8">
      <c r="A7214" s="165"/>
      <c r="B7214" s="171"/>
      <c r="C7214" s="165"/>
    </row>
    <row r="7215" spans="1:3" ht="16.8">
      <c r="A7215" s="165"/>
      <c r="B7215" s="171"/>
      <c r="C7215" s="165"/>
    </row>
    <row r="7216" spans="1:3" ht="16.8">
      <c r="A7216" s="165"/>
      <c r="B7216" s="171"/>
      <c r="C7216" s="165"/>
    </row>
    <row r="7217" spans="1:3" ht="16.8">
      <c r="A7217" s="165"/>
      <c r="B7217" s="171"/>
      <c r="C7217" s="165"/>
    </row>
    <row r="7218" spans="1:3" ht="16.8">
      <c r="A7218" s="165"/>
      <c r="B7218" s="171"/>
      <c r="C7218" s="165"/>
    </row>
    <row r="7219" spans="1:3" ht="16.8">
      <c r="A7219" s="165"/>
      <c r="B7219" s="171"/>
      <c r="C7219" s="165"/>
    </row>
    <row r="7220" spans="1:3" ht="16.8">
      <c r="A7220" s="165"/>
      <c r="B7220" s="171"/>
      <c r="C7220" s="165"/>
    </row>
    <row r="7221" spans="1:3" ht="16.8">
      <c r="A7221" s="165"/>
      <c r="B7221" s="171"/>
      <c r="C7221" s="165"/>
    </row>
    <row r="7222" spans="1:3" ht="16.8">
      <c r="A7222" s="165"/>
      <c r="B7222" s="171"/>
      <c r="C7222" s="165"/>
    </row>
    <row r="7223" spans="1:3" ht="16.8">
      <c r="A7223" s="165"/>
      <c r="B7223" s="171"/>
      <c r="C7223" s="165"/>
    </row>
    <row r="7224" spans="1:3" ht="16.8">
      <c r="A7224" s="165"/>
      <c r="B7224" s="171"/>
      <c r="C7224" s="165"/>
    </row>
    <row r="7225" spans="1:3" ht="16.8">
      <c r="A7225" s="165"/>
      <c r="B7225" s="171"/>
      <c r="C7225" s="165"/>
    </row>
    <row r="7226" spans="1:3" ht="16.8">
      <c r="A7226" s="165"/>
      <c r="B7226" s="171"/>
      <c r="C7226" s="165"/>
    </row>
    <row r="7227" spans="1:3" ht="16.8">
      <c r="A7227" s="165"/>
      <c r="B7227" s="171"/>
      <c r="C7227" s="165"/>
    </row>
    <row r="7228" spans="1:3" ht="16.8">
      <c r="A7228" s="165"/>
      <c r="B7228" s="171"/>
      <c r="C7228" s="165"/>
    </row>
    <row r="7229" spans="1:3" ht="16.8">
      <c r="A7229" s="165"/>
      <c r="B7229" s="171"/>
      <c r="C7229" s="165"/>
    </row>
    <row r="7230" spans="1:3" ht="16.8">
      <c r="A7230" s="165"/>
      <c r="B7230" s="171"/>
      <c r="C7230" s="165"/>
    </row>
    <row r="7231" spans="1:3" ht="16.8">
      <c r="A7231" s="165"/>
      <c r="B7231" s="171"/>
      <c r="C7231" s="165"/>
    </row>
    <row r="7232" spans="1:3" ht="16.8">
      <c r="A7232" s="165"/>
      <c r="B7232" s="171"/>
      <c r="C7232" s="165"/>
    </row>
    <row r="7233" spans="1:3" ht="16.8">
      <c r="A7233" s="165"/>
      <c r="B7233" s="171"/>
      <c r="C7233" s="165"/>
    </row>
    <row r="7234" spans="1:3" ht="16.8">
      <c r="A7234" s="165"/>
      <c r="B7234" s="171"/>
      <c r="C7234" s="165"/>
    </row>
    <row r="7235" spans="1:3" ht="16.8">
      <c r="A7235" s="165"/>
      <c r="B7235" s="171"/>
      <c r="C7235" s="165"/>
    </row>
    <row r="7236" spans="1:3" ht="16.8">
      <c r="A7236" s="165"/>
      <c r="B7236" s="171"/>
      <c r="C7236" s="165"/>
    </row>
    <row r="7237" spans="1:3" ht="16.8">
      <c r="A7237" s="165"/>
      <c r="B7237" s="171"/>
      <c r="C7237" s="165"/>
    </row>
    <row r="7238" spans="1:3" ht="16.8">
      <c r="A7238" s="165"/>
      <c r="B7238" s="171"/>
      <c r="C7238" s="165"/>
    </row>
    <row r="7239" spans="1:3" ht="16.8">
      <c r="A7239" s="165"/>
      <c r="B7239" s="171"/>
      <c r="C7239" s="165"/>
    </row>
    <row r="7240" spans="1:3" ht="16.8">
      <c r="A7240" s="165"/>
      <c r="B7240" s="171"/>
      <c r="C7240" s="165"/>
    </row>
    <row r="7241" spans="1:3" ht="16.8">
      <c r="A7241" s="165"/>
      <c r="B7241" s="171"/>
      <c r="C7241" s="165"/>
    </row>
    <row r="7242" spans="1:3" ht="16.8">
      <c r="A7242" s="165"/>
      <c r="B7242" s="171"/>
      <c r="C7242" s="165"/>
    </row>
    <row r="7243" spans="1:3" ht="16.8">
      <c r="A7243" s="165"/>
      <c r="B7243" s="171"/>
      <c r="C7243" s="165"/>
    </row>
    <row r="7244" spans="1:3" ht="16.8">
      <c r="A7244" s="165"/>
      <c r="B7244" s="171"/>
      <c r="C7244" s="165"/>
    </row>
    <row r="7245" spans="1:3" ht="16.8">
      <c r="A7245" s="165"/>
      <c r="B7245" s="171"/>
      <c r="C7245" s="165"/>
    </row>
    <row r="7246" spans="1:3" ht="16.8">
      <c r="A7246" s="165"/>
      <c r="B7246" s="171"/>
      <c r="C7246" s="165"/>
    </row>
    <row r="7247" spans="1:3" ht="16.8">
      <c r="A7247" s="165"/>
      <c r="B7247" s="171"/>
      <c r="C7247" s="165"/>
    </row>
    <row r="7248" spans="1:3" ht="16.8">
      <c r="A7248" s="165"/>
      <c r="B7248" s="171"/>
      <c r="C7248" s="165"/>
    </row>
    <row r="7249" spans="1:3" ht="16.8">
      <c r="A7249" s="165"/>
      <c r="B7249" s="171"/>
      <c r="C7249" s="165"/>
    </row>
    <row r="7250" spans="1:3" ht="16.8">
      <c r="A7250" s="165"/>
      <c r="B7250" s="171"/>
      <c r="C7250" s="165"/>
    </row>
    <row r="7251" spans="1:3" ht="16.8">
      <c r="A7251" s="165"/>
      <c r="B7251" s="171"/>
      <c r="C7251" s="165"/>
    </row>
    <row r="7252" spans="1:3" ht="16.8">
      <c r="A7252" s="165"/>
      <c r="B7252" s="171"/>
      <c r="C7252" s="165"/>
    </row>
    <row r="7253" spans="1:3" ht="16.8">
      <c r="A7253" s="165"/>
      <c r="B7253" s="171"/>
      <c r="C7253" s="165"/>
    </row>
    <row r="7254" spans="1:3" ht="16.8">
      <c r="A7254" s="165"/>
      <c r="B7254" s="171"/>
      <c r="C7254" s="165"/>
    </row>
    <row r="7255" spans="1:3" ht="16.8">
      <c r="A7255" s="165"/>
      <c r="B7255" s="171"/>
      <c r="C7255" s="165"/>
    </row>
    <row r="7256" spans="1:3" ht="16.8">
      <c r="A7256" s="165"/>
      <c r="B7256" s="171"/>
      <c r="C7256" s="165"/>
    </row>
    <row r="7257" spans="1:3" ht="16.8">
      <c r="A7257" s="165"/>
      <c r="B7257" s="171"/>
      <c r="C7257" s="165"/>
    </row>
    <row r="7258" spans="1:3" ht="16.8">
      <c r="A7258" s="165"/>
      <c r="B7258" s="171"/>
      <c r="C7258" s="165"/>
    </row>
    <row r="7259" spans="1:3" ht="16.8">
      <c r="A7259" s="165"/>
      <c r="B7259" s="171"/>
      <c r="C7259" s="165"/>
    </row>
    <row r="7260" spans="1:3" ht="16.8">
      <c r="A7260" s="165"/>
      <c r="B7260" s="171"/>
      <c r="C7260" s="165"/>
    </row>
    <row r="7261" spans="1:3" ht="16.8">
      <c r="A7261" s="165"/>
      <c r="B7261" s="171"/>
      <c r="C7261" s="165"/>
    </row>
    <row r="7262" spans="1:3" ht="16.8">
      <c r="A7262" s="165"/>
      <c r="B7262" s="171"/>
      <c r="C7262" s="165"/>
    </row>
    <row r="7263" spans="1:3" ht="16.8">
      <c r="A7263" s="165"/>
      <c r="B7263" s="171"/>
      <c r="C7263" s="165"/>
    </row>
    <row r="7264" spans="1:3" ht="16.8">
      <c r="A7264" s="165"/>
      <c r="B7264" s="171"/>
      <c r="C7264" s="165"/>
    </row>
    <row r="7265" spans="1:3" ht="16.8">
      <c r="A7265" s="165"/>
      <c r="B7265" s="171"/>
      <c r="C7265" s="165"/>
    </row>
    <row r="7266" spans="1:3" ht="16.8">
      <c r="A7266" s="165"/>
      <c r="B7266" s="171"/>
      <c r="C7266" s="165"/>
    </row>
    <row r="7267" spans="1:3" ht="16.8">
      <c r="A7267" s="165"/>
      <c r="B7267" s="171"/>
      <c r="C7267" s="165"/>
    </row>
    <row r="7268" spans="1:3" ht="16.8">
      <c r="A7268" s="165"/>
      <c r="B7268" s="171"/>
      <c r="C7268" s="165"/>
    </row>
    <row r="7269" spans="1:3" ht="16.8">
      <c r="A7269" s="165"/>
      <c r="B7269" s="171"/>
      <c r="C7269" s="165"/>
    </row>
    <row r="7270" spans="1:3" ht="16.8">
      <c r="A7270" s="165"/>
      <c r="B7270" s="171"/>
      <c r="C7270" s="165"/>
    </row>
    <row r="7271" spans="1:3" ht="16.8">
      <c r="A7271" s="165"/>
      <c r="B7271" s="171"/>
      <c r="C7271" s="165"/>
    </row>
    <row r="7272" spans="1:3" ht="16.8">
      <c r="A7272" s="165"/>
      <c r="B7272" s="171"/>
      <c r="C7272" s="165"/>
    </row>
    <row r="7273" spans="1:3" ht="16.8">
      <c r="A7273" s="165"/>
      <c r="B7273" s="171"/>
      <c r="C7273" s="165"/>
    </row>
    <row r="7274" spans="1:3" ht="16.8">
      <c r="A7274" s="165"/>
      <c r="B7274" s="171"/>
      <c r="C7274" s="165"/>
    </row>
    <row r="7275" spans="1:3" ht="16.8">
      <c r="A7275" s="165"/>
      <c r="B7275" s="171"/>
      <c r="C7275" s="165"/>
    </row>
    <row r="7276" spans="1:3" ht="16.8">
      <c r="A7276" s="165"/>
      <c r="B7276" s="171"/>
      <c r="C7276" s="165"/>
    </row>
    <row r="7277" spans="1:3" ht="16.8">
      <c r="A7277" s="165"/>
      <c r="B7277" s="171"/>
      <c r="C7277" s="165"/>
    </row>
    <row r="7278" spans="1:3" ht="16.8">
      <c r="A7278" s="165"/>
      <c r="B7278" s="171"/>
      <c r="C7278" s="165"/>
    </row>
    <row r="7279" spans="1:3" ht="16.8">
      <c r="A7279" s="165"/>
      <c r="B7279" s="171"/>
      <c r="C7279" s="165"/>
    </row>
    <row r="7280" spans="1:3" ht="16.8">
      <c r="A7280" s="165"/>
      <c r="B7280" s="171"/>
      <c r="C7280" s="165"/>
    </row>
    <row r="7281" spans="1:3" ht="16.8">
      <c r="A7281" s="165"/>
      <c r="B7281" s="171"/>
      <c r="C7281" s="165"/>
    </row>
    <row r="7282" spans="1:3" ht="16.8">
      <c r="A7282" s="165"/>
      <c r="B7282" s="171"/>
      <c r="C7282" s="165"/>
    </row>
    <row r="7283" spans="1:3" ht="16.8">
      <c r="A7283" s="165"/>
      <c r="B7283" s="171"/>
      <c r="C7283" s="165"/>
    </row>
    <row r="7284" spans="1:3" ht="16.8">
      <c r="A7284" s="165"/>
      <c r="B7284" s="171"/>
      <c r="C7284" s="165"/>
    </row>
    <row r="7285" spans="1:3" ht="16.8">
      <c r="A7285" s="165"/>
      <c r="B7285" s="171"/>
      <c r="C7285" s="165"/>
    </row>
    <row r="7286" spans="1:3" ht="16.8">
      <c r="A7286" s="165"/>
      <c r="B7286" s="171"/>
      <c r="C7286" s="165"/>
    </row>
    <row r="7287" spans="1:3" ht="16.8">
      <c r="A7287" s="165"/>
      <c r="B7287" s="171"/>
      <c r="C7287" s="165"/>
    </row>
    <row r="7288" spans="1:3" ht="16.8">
      <c r="A7288" s="165"/>
      <c r="B7288" s="171"/>
      <c r="C7288" s="165"/>
    </row>
    <row r="7289" spans="1:3" ht="16.8">
      <c r="A7289" s="165"/>
      <c r="B7289" s="171"/>
      <c r="C7289" s="165"/>
    </row>
    <row r="7290" spans="1:3" ht="16.8">
      <c r="A7290" s="165"/>
      <c r="B7290" s="171"/>
      <c r="C7290" s="165"/>
    </row>
    <row r="7291" spans="1:3" ht="16.8">
      <c r="A7291" s="165"/>
      <c r="B7291" s="171"/>
      <c r="C7291" s="165"/>
    </row>
    <row r="7292" spans="1:3" ht="16.8">
      <c r="A7292" s="165"/>
      <c r="B7292" s="171"/>
      <c r="C7292" s="165"/>
    </row>
    <row r="7293" spans="1:3" ht="16.8">
      <c r="A7293" s="165"/>
      <c r="B7293" s="171"/>
      <c r="C7293" s="165"/>
    </row>
    <row r="7294" spans="1:3" ht="16.8">
      <c r="A7294" s="165"/>
      <c r="B7294" s="171"/>
      <c r="C7294" s="165"/>
    </row>
    <row r="7295" spans="1:3" ht="16.8">
      <c r="A7295" s="165"/>
      <c r="B7295" s="171"/>
      <c r="C7295" s="165"/>
    </row>
    <row r="7296" spans="1:3" ht="16.8">
      <c r="A7296" s="165"/>
      <c r="B7296" s="171"/>
      <c r="C7296" s="165"/>
    </row>
    <row r="7297" spans="1:3" ht="16.8">
      <c r="A7297" s="165"/>
      <c r="B7297" s="171"/>
      <c r="C7297" s="165"/>
    </row>
    <row r="7298" spans="1:3" ht="16.8">
      <c r="A7298" s="165"/>
      <c r="B7298" s="171"/>
      <c r="C7298" s="165"/>
    </row>
    <row r="7299" spans="1:3" ht="16.8">
      <c r="A7299" s="165"/>
      <c r="B7299" s="171"/>
      <c r="C7299" s="165"/>
    </row>
    <row r="7300" spans="1:3" ht="16.8">
      <c r="A7300" s="165"/>
      <c r="B7300" s="171"/>
      <c r="C7300" s="165"/>
    </row>
    <row r="7301" spans="1:3" ht="16.8">
      <c r="A7301" s="165"/>
      <c r="B7301" s="171"/>
      <c r="C7301" s="165"/>
    </row>
    <row r="7302" spans="1:3" ht="16.8">
      <c r="A7302" s="165"/>
      <c r="B7302" s="171"/>
      <c r="C7302" s="165"/>
    </row>
    <row r="7303" spans="1:3" ht="16.8">
      <c r="A7303" s="165"/>
      <c r="B7303" s="171"/>
      <c r="C7303" s="165"/>
    </row>
    <row r="7304" spans="1:3" ht="16.8">
      <c r="A7304" s="165"/>
      <c r="B7304" s="171"/>
      <c r="C7304" s="165"/>
    </row>
    <row r="7305" spans="1:3" ht="16.8">
      <c r="A7305" s="165"/>
      <c r="B7305" s="171"/>
      <c r="C7305" s="165"/>
    </row>
    <row r="7306" spans="1:3" ht="16.8">
      <c r="A7306" s="165"/>
      <c r="B7306" s="171"/>
      <c r="C7306" s="165"/>
    </row>
    <row r="7307" spans="1:3" ht="16.8">
      <c r="A7307" s="165"/>
      <c r="B7307" s="171"/>
      <c r="C7307" s="165"/>
    </row>
    <row r="7308" spans="1:3" ht="16.8">
      <c r="A7308" s="165"/>
      <c r="B7308" s="171"/>
      <c r="C7308" s="165"/>
    </row>
    <row r="7309" spans="1:3" ht="16.8">
      <c r="A7309" s="165"/>
      <c r="B7309" s="171"/>
      <c r="C7309" s="165"/>
    </row>
    <row r="7310" spans="1:3" ht="16.8">
      <c r="A7310" s="165"/>
      <c r="B7310" s="171"/>
      <c r="C7310" s="165"/>
    </row>
    <row r="7311" spans="1:3" ht="16.8">
      <c r="A7311" s="165"/>
      <c r="B7311" s="171"/>
      <c r="C7311" s="165"/>
    </row>
    <row r="7312" spans="1:3" ht="16.8">
      <c r="A7312" s="165"/>
      <c r="B7312" s="171"/>
      <c r="C7312" s="165"/>
    </row>
    <row r="7313" spans="1:3" ht="16.8">
      <c r="A7313" s="165"/>
      <c r="B7313" s="171"/>
      <c r="C7313" s="165"/>
    </row>
    <row r="7314" spans="1:3" ht="16.8">
      <c r="A7314" s="165"/>
      <c r="B7314" s="171"/>
      <c r="C7314" s="165"/>
    </row>
    <row r="7315" spans="1:3" ht="16.8">
      <c r="A7315" s="165"/>
      <c r="B7315" s="171"/>
      <c r="C7315" s="165"/>
    </row>
    <row r="7316" spans="1:3" ht="16.8">
      <c r="A7316" s="165"/>
      <c r="B7316" s="171"/>
      <c r="C7316" s="165"/>
    </row>
    <row r="7317" spans="1:3" ht="16.8">
      <c r="A7317" s="165"/>
      <c r="B7317" s="171"/>
      <c r="C7317" s="165"/>
    </row>
    <row r="7318" spans="1:3" ht="16.8">
      <c r="A7318" s="165"/>
      <c r="B7318" s="171"/>
      <c r="C7318" s="165"/>
    </row>
    <row r="7319" spans="1:3" ht="16.8">
      <c r="A7319" s="165"/>
      <c r="B7319" s="171"/>
      <c r="C7319" s="165"/>
    </row>
    <row r="7320" spans="1:3" ht="16.8">
      <c r="A7320" s="165"/>
      <c r="B7320" s="171"/>
      <c r="C7320" s="165"/>
    </row>
    <row r="7321" spans="1:3" ht="16.8">
      <c r="A7321" s="165"/>
      <c r="B7321" s="171"/>
      <c r="C7321" s="165"/>
    </row>
    <row r="7322" spans="1:3" ht="16.8">
      <c r="A7322" s="165"/>
      <c r="B7322" s="171"/>
      <c r="C7322" s="165"/>
    </row>
    <row r="7323" spans="1:3" ht="16.8">
      <c r="A7323" s="165"/>
      <c r="B7323" s="171"/>
      <c r="C7323" s="165"/>
    </row>
    <row r="7324" spans="1:3" ht="16.8">
      <c r="A7324" s="165"/>
      <c r="B7324" s="171"/>
      <c r="C7324" s="165"/>
    </row>
    <row r="7325" spans="1:3" ht="16.8">
      <c r="A7325" s="165"/>
      <c r="B7325" s="171"/>
      <c r="C7325" s="165"/>
    </row>
    <row r="7326" spans="1:3" ht="16.8">
      <c r="A7326" s="165"/>
      <c r="B7326" s="171"/>
      <c r="C7326" s="165"/>
    </row>
    <row r="7327" spans="1:3" ht="16.8">
      <c r="A7327" s="165"/>
      <c r="B7327" s="171"/>
      <c r="C7327" s="165"/>
    </row>
    <row r="7328" spans="1:3" ht="16.8">
      <c r="A7328" s="165"/>
      <c r="B7328" s="171"/>
      <c r="C7328" s="165"/>
    </row>
    <row r="7329" spans="1:3" ht="16.8">
      <c r="A7329" s="165"/>
      <c r="B7329" s="171"/>
      <c r="C7329" s="165"/>
    </row>
    <row r="7330" spans="1:3" ht="16.8">
      <c r="A7330" s="165"/>
      <c r="B7330" s="171"/>
      <c r="C7330" s="165"/>
    </row>
    <row r="7331" spans="1:3" ht="16.8">
      <c r="A7331" s="165"/>
      <c r="B7331" s="171"/>
      <c r="C7331" s="165"/>
    </row>
    <row r="7332" spans="1:3" ht="16.8">
      <c r="A7332" s="165"/>
      <c r="B7332" s="171"/>
      <c r="C7332" s="165"/>
    </row>
    <row r="7333" spans="1:3" ht="16.8">
      <c r="A7333" s="165"/>
      <c r="B7333" s="171"/>
      <c r="C7333" s="165"/>
    </row>
    <row r="7334" spans="1:3" ht="16.8">
      <c r="A7334" s="165"/>
      <c r="B7334" s="171"/>
      <c r="C7334" s="165"/>
    </row>
    <row r="7335" spans="1:3" ht="16.8">
      <c r="A7335" s="165"/>
      <c r="B7335" s="171"/>
      <c r="C7335" s="165"/>
    </row>
    <row r="7336" spans="1:3" ht="16.8">
      <c r="A7336" s="165"/>
      <c r="B7336" s="171"/>
      <c r="C7336" s="165"/>
    </row>
    <row r="7337" spans="1:3" ht="16.8">
      <c r="A7337" s="165"/>
      <c r="B7337" s="171"/>
      <c r="C7337" s="165"/>
    </row>
    <row r="7338" spans="1:3" ht="16.8">
      <c r="A7338" s="165"/>
      <c r="B7338" s="171"/>
      <c r="C7338" s="165"/>
    </row>
    <row r="7339" spans="1:3" ht="16.8">
      <c r="A7339" s="165"/>
      <c r="B7339" s="171"/>
      <c r="C7339" s="165"/>
    </row>
    <row r="7340" spans="1:3" ht="16.8">
      <c r="A7340" s="165"/>
      <c r="B7340" s="171"/>
      <c r="C7340" s="165"/>
    </row>
    <row r="7341" spans="1:3" ht="16.8">
      <c r="A7341" s="165"/>
      <c r="B7341" s="171"/>
      <c r="C7341" s="165"/>
    </row>
    <row r="7342" spans="1:3" ht="16.8">
      <c r="A7342" s="165"/>
      <c r="B7342" s="171"/>
      <c r="C7342" s="165"/>
    </row>
    <row r="7343" spans="1:3" ht="16.8">
      <c r="A7343" s="165"/>
      <c r="B7343" s="171"/>
      <c r="C7343" s="165"/>
    </row>
    <row r="7344" spans="1:3" ht="16.8">
      <c r="A7344" s="165"/>
      <c r="B7344" s="171"/>
      <c r="C7344" s="165"/>
    </row>
    <row r="7345" spans="1:3" ht="16.8">
      <c r="A7345" s="165"/>
      <c r="B7345" s="171"/>
      <c r="C7345" s="165"/>
    </row>
    <row r="7346" spans="1:3" ht="16.8">
      <c r="A7346" s="165"/>
      <c r="B7346" s="171"/>
      <c r="C7346" s="165"/>
    </row>
    <row r="7347" spans="1:3" ht="16.8">
      <c r="A7347" s="165"/>
      <c r="B7347" s="171"/>
      <c r="C7347" s="165"/>
    </row>
    <row r="7348" spans="1:3" ht="16.8">
      <c r="A7348" s="165"/>
      <c r="B7348" s="171"/>
      <c r="C7348" s="165"/>
    </row>
    <row r="7349" spans="1:3" ht="16.8">
      <c r="A7349" s="165"/>
      <c r="B7349" s="171"/>
      <c r="C7349" s="165"/>
    </row>
    <row r="7350" spans="1:3" ht="16.8">
      <c r="A7350" s="165"/>
      <c r="B7350" s="171"/>
      <c r="C7350" s="165"/>
    </row>
    <row r="7351" spans="1:3" ht="16.8">
      <c r="A7351" s="165"/>
      <c r="B7351" s="171"/>
      <c r="C7351" s="165"/>
    </row>
    <row r="7352" spans="1:3" ht="16.8">
      <c r="A7352" s="165"/>
      <c r="B7352" s="171"/>
      <c r="C7352" s="165"/>
    </row>
    <row r="7353" spans="1:3" ht="16.8">
      <c r="A7353" s="165"/>
      <c r="B7353" s="171"/>
      <c r="C7353" s="165"/>
    </row>
    <row r="7354" spans="1:3" ht="16.8">
      <c r="A7354" s="165"/>
      <c r="B7354" s="171"/>
      <c r="C7354" s="165"/>
    </row>
    <row r="7355" spans="1:3" ht="16.8">
      <c r="A7355" s="165"/>
      <c r="B7355" s="171"/>
      <c r="C7355" s="165"/>
    </row>
    <row r="7356" spans="1:3" ht="16.8">
      <c r="A7356" s="165"/>
      <c r="B7356" s="171"/>
      <c r="C7356" s="165"/>
    </row>
    <row r="7357" spans="1:3" ht="16.8">
      <c r="A7357" s="165"/>
      <c r="B7357" s="171"/>
      <c r="C7357" s="165"/>
    </row>
    <row r="7358" spans="1:3" ht="16.8">
      <c r="A7358" s="165"/>
      <c r="B7358" s="171"/>
      <c r="C7358" s="165"/>
    </row>
    <row r="7359" spans="1:3" ht="16.8">
      <c r="A7359" s="165"/>
      <c r="B7359" s="171"/>
      <c r="C7359" s="165"/>
    </row>
    <row r="7360" spans="1:3" ht="16.8">
      <c r="A7360" s="165"/>
      <c r="B7360" s="171"/>
      <c r="C7360" s="165"/>
    </row>
    <row r="7361" spans="1:3" ht="16.8">
      <c r="A7361" s="165"/>
      <c r="B7361" s="171"/>
      <c r="C7361" s="165"/>
    </row>
    <row r="7362" spans="1:3" ht="16.8">
      <c r="A7362" s="165"/>
      <c r="B7362" s="171"/>
      <c r="C7362" s="165"/>
    </row>
    <row r="7363" spans="1:3" ht="16.8">
      <c r="A7363" s="165"/>
      <c r="B7363" s="171"/>
      <c r="C7363" s="165"/>
    </row>
    <row r="7364" spans="1:3" ht="16.8">
      <c r="A7364" s="165"/>
      <c r="B7364" s="171"/>
      <c r="C7364" s="165"/>
    </row>
    <row r="7365" spans="1:3" ht="16.8">
      <c r="A7365" s="165"/>
      <c r="B7365" s="171"/>
      <c r="C7365" s="165"/>
    </row>
    <row r="7366" spans="1:3" ht="16.8">
      <c r="A7366" s="165"/>
      <c r="B7366" s="171"/>
      <c r="C7366" s="165"/>
    </row>
    <row r="7367" spans="1:3" ht="16.8">
      <c r="A7367" s="165"/>
      <c r="B7367" s="171"/>
      <c r="C7367" s="165"/>
    </row>
    <row r="7368" spans="1:3" ht="16.8">
      <c r="A7368" s="165"/>
      <c r="B7368" s="171"/>
      <c r="C7368" s="165"/>
    </row>
    <row r="7369" spans="1:3" ht="16.8">
      <c r="A7369" s="165"/>
      <c r="B7369" s="171"/>
      <c r="C7369" s="165"/>
    </row>
    <row r="7370" spans="1:3" ht="16.8">
      <c r="A7370" s="165"/>
      <c r="B7370" s="171"/>
      <c r="C7370" s="165"/>
    </row>
    <row r="7371" spans="1:3" ht="16.8">
      <c r="A7371" s="165"/>
      <c r="B7371" s="171"/>
      <c r="C7371" s="165"/>
    </row>
    <row r="7372" spans="1:3" ht="16.8">
      <c r="A7372" s="165"/>
      <c r="B7372" s="171"/>
      <c r="C7372" s="165"/>
    </row>
    <row r="7373" spans="1:3" ht="16.8">
      <c r="A7373" s="165"/>
      <c r="B7373" s="171"/>
      <c r="C7373" s="165"/>
    </row>
    <row r="7374" spans="1:3" ht="16.8">
      <c r="A7374" s="165"/>
      <c r="B7374" s="171"/>
      <c r="C7374" s="165"/>
    </row>
    <row r="7375" spans="1:3" ht="16.8">
      <c r="A7375" s="165"/>
      <c r="B7375" s="171"/>
      <c r="C7375" s="165"/>
    </row>
    <row r="7376" spans="1:3" ht="16.8">
      <c r="A7376" s="165"/>
      <c r="B7376" s="171"/>
      <c r="C7376" s="165"/>
    </row>
    <row r="7377" spans="1:3" ht="16.8">
      <c r="A7377" s="165"/>
      <c r="B7377" s="171"/>
      <c r="C7377" s="165"/>
    </row>
    <row r="7378" spans="1:3" ht="16.8">
      <c r="A7378" s="165"/>
      <c r="B7378" s="171"/>
      <c r="C7378" s="165"/>
    </row>
    <row r="7379" spans="1:3" ht="16.8">
      <c r="A7379" s="165"/>
      <c r="B7379" s="171"/>
      <c r="C7379" s="165"/>
    </row>
    <row r="7380" spans="1:3" ht="16.8">
      <c r="A7380" s="165"/>
      <c r="B7380" s="171"/>
      <c r="C7380" s="165"/>
    </row>
    <row r="7381" spans="1:3" ht="16.8">
      <c r="A7381" s="165"/>
      <c r="B7381" s="171"/>
      <c r="C7381" s="165"/>
    </row>
    <row r="7382" spans="1:3" ht="16.8">
      <c r="A7382" s="165"/>
      <c r="B7382" s="171"/>
      <c r="C7382" s="165"/>
    </row>
    <row r="7383" spans="1:3" ht="16.8">
      <c r="A7383" s="165"/>
      <c r="B7383" s="171"/>
      <c r="C7383" s="165"/>
    </row>
    <row r="7384" spans="1:3" ht="16.8">
      <c r="A7384" s="165"/>
      <c r="B7384" s="171"/>
      <c r="C7384" s="165"/>
    </row>
    <row r="7385" spans="1:3" ht="16.8">
      <c r="A7385" s="165"/>
      <c r="B7385" s="171"/>
      <c r="C7385" s="165"/>
    </row>
    <row r="7386" spans="1:3" ht="16.8">
      <c r="A7386" s="165"/>
      <c r="B7386" s="171"/>
      <c r="C7386" s="165"/>
    </row>
    <row r="7387" spans="1:3" ht="16.8">
      <c r="A7387" s="165"/>
      <c r="B7387" s="171"/>
      <c r="C7387" s="165"/>
    </row>
    <row r="7388" spans="1:3" ht="16.8">
      <c r="A7388" s="165"/>
      <c r="B7388" s="171"/>
      <c r="C7388" s="165"/>
    </row>
    <row r="7389" spans="1:3" ht="16.8">
      <c r="A7389" s="165"/>
      <c r="B7389" s="171"/>
      <c r="C7389" s="165"/>
    </row>
    <row r="7390" spans="1:3" ht="16.8">
      <c r="A7390" s="165"/>
      <c r="B7390" s="171"/>
      <c r="C7390" s="165"/>
    </row>
    <row r="7391" spans="1:3" ht="16.8">
      <c r="A7391" s="165"/>
      <c r="B7391" s="171"/>
      <c r="C7391" s="165"/>
    </row>
    <row r="7392" spans="1:3" ht="16.8">
      <c r="A7392" s="165"/>
      <c r="B7392" s="171"/>
      <c r="C7392" s="165"/>
    </row>
    <row r="7393" spans="1:3" ht="16.8">
      <c r="A7393" s="165"/>
      <c r="B7393" s="171"/>
      <c r="C7393" s="165"/>
    </row>
    <row r="7394" spans="1:3" ht="16.8">
      <c r="A7394" s="165"/>
      <c r="B7394" s="171"/>
      <c r="C7394" s="165"/>
    </row>
    <row r="7395" spans="1:3" ht="16.8">
      <c r="A7395" s="165"/>
      <c r="B7395" s="171"/>
      <c r="C7395" s="165"/>
    </row>
    <row r="7396" spans="1:3" ht="16.8">
      <c r="A7396" s="165"/>
      <c r="B7396" s="171"/>
      <c r="C7396" s="165"/>
    </row>
    <row r="7397" spans="1:3" ht="16.8">
      <c r="A7397" s="165"/>
      <c r="B7397" s="171"/>
      <c r="C7397" s="165"/>
    </row>
    <row r="7398" spans="1:3" ht="16.8">
      <c r="A7398" s="165"/>
      <c r="B7398" s="171"/>
      <c r="C7398" s="165"/>
    </row>
    <row r="7399" spans="1:3" ht="16.8">
      <c r="A7399" s="165"/>
      <c r="B7399" s="171"/>
      <c r="C7399" s="165"/>
    </row>
    <row r="7400" spans="1:3" ht="16.8">
      <c r="A7400" s="165"/>
      <c r="B7400" s="171"/>
      <c r="C7400" s="165"/>
    </row>
    <row r="7401" spans="1:3" ht="16.8">
      <c r="A7401" s="165"/>
      <c r="B7401" s="171"/>
      <c r="C7401" s="165"/>
    </row>
    <row r="7402" spans="1:3" ht="16.8">
      <c r="A7402" s="165"/>
      <c r="B7402" s="171"/>
      <c r="C7402" s="165"/>
    </row>
    <row r="7403" spans="1:3" ht="16.8">
      <c r="A7403" s="165"/>
      <c r="B7403" s="171"/>
      <c r="C7403" s="165"/>
    </row>
    <row r="7404" spans="1:3" ht="16.8">
      <c r="A7404" s="165"/>
      <c r="B7404" s="171"/>
      <c r="C7404" s="165"/>
    </row>
    <row r="7405" spans="1:3" ht="16.8">
      <c r="A7405" s="165"/>
      <c r="B7405" s="171"/>
      <c r="C7405" s="165"/>
    </row>
    <row r="7406" spans="1:3" ht="16.8">
      <c r="A7406" s="165"/>
      <c r="B7406" s="171"/>
      <c r="C7406" s="165"/>
    </row>
    <row r="7407" spans="1:3" ht="16.8">
      <c r="A7407" s="165"/>
      <c r="B7407" s="171"/>
      <c r="C7407" s="165"/>
    </row>
    <row r="7408" spans="1:3" ht="16.8">
      <c r="A7408" s="165"/>
      <c r="B7408" s="171"/>
      <c r="C7408" s="165"/>
    </row>
    <row r="7409" spans="1:3" ht="16.8">
      <c r="A7409" s="165"/>
      <c r="B7409" s="171"/>
      <c r="C7409" s="165"/>
    </row>
    <row r="7410" spans="1:3" ht="16.8">
      <c r="A7410" s="165"/>
      <c r="B7410" s="171"/>
      <c r="C7410" s="165"/>
    </row>
    <row r="7411" spans="1:3" ht="16.8">
      <c r="A7411" s="165"/>
      <c r="B7411" s="171"/>
      <c r="C7411" s="165"/>
    </row>
    <row r="7412" spans="1:3" ht="16.8">
      <c r="A7412" s="165"/>
      <c r="B7412" s="171"/>
      <c r="C7412" s="165"/>
    </row>
    <row r="7413" spans="1:3" ht="16.8">
      <c r="A7413" s="165"/>
      <c r="B7413" s="171"/>
      <c r="C7413" s="165"/>
    </row>
    <row r="7414" spans="1:3" ht="16.8">
      <c r="A7414" s="165"/>
      <c r="B7414" s="171"/>
      <c r="C7414" s="165"/>
    </row>
    <row r="7415" spans="1:3" ht="16.8">
      <c r="A7415" s="165"/>
      <c r="B7415" s="171"/>
      <c r="C7415" s="165"/>
    </row>
    <row r="7416" spans="1:3" ht="16.8">
      <c r="A7416" s="165"/>
      <c r="B7416" s="171"/>
      <c r="C7416" s="165"/>
    </row>
    <row r="7417" spans="1:3" ht="16.8">
      <c r="A7417" s="165"/>
      <c r="B7417" s="171"/>
      <c r="C7417" s="165"/>
    </row>
    <row r="7418" spans="1:3" ht="16.8">
      <c r="A7418" s="165"/>
      <c r="B7418" s="171"/>
      <c r="C7418" s="165"/>
    </row>
    <row r="7419" spans="1:3" ht="16.8">
      <c r="A7419" s="165"/>
      <c r="B7419" s="171"/>
      <c r="C7419" s="165"/>
    </row>
    <row r="7420" spans="1:3" ht="16.8">
      <c r="A7420" s="165"/>
      <c r="B7420" s="171"/>
      <c r="C7420" s="165"/>
    </row>
    <row r="7421" spans="1:3" ht="16.8">
      <c r="A7421" s="165"/>
      <c r="B7421" s="171"/>
      <c r="C7421" s="165"/>
    </row>
    <row r="7422" spans="1:3" ht="16.8">
      <c r="A7422" s="165"/>
      <c r="B7422" s="171"/>
      <c r="C7422" s="165"/>
    </row>
    <row r="7423" spans="1:3" ht="16.8">
      <c r="A7423" s="165"/>
      <c r="B7423" s="171"/>
      <c r="C7423" s="165"/>
    </row>
    <row r="7424" spans="1:3" ht="16.8">
      <c r="A7424" s="165"/>
      <c r="B7424" s="171"/>
      <c r="C7424" s="165"/>
    </row>
    <row r="7425" spans="1:3" ht="16.8">
      <c r="A7425" s="165"/>
      <c r="B7425" s="171"/>
      <c r="C7425" s="165"/>
    </row>
    <row r="7426" spans="1:3" ht="16.8">
      <c r="A7426" s="165"/>
      <c r="B7426" s="171"/>
      <c r="C7426" s="165"/>
    </row>
    <row r="7427" spans="1:3" ht="16.8">
      <c r="A7427" s="165"/>
      <c r="B7427" s="171"/>
      <c r="C7427" s="165"/>
    </row>
    <row r="7428" spans="1:3" ht="16.8">
      <c r="A7428" s="165"/>
      <c r="B7428" s="171"/>
      <c r="C7428" s="165"/>
    </row>
    <row r="7429" spans="1:3" ht="16.8">
      <c r="A7429" s="165"/>
      <c r="B7429" s="171"/>
      <c r="C7429" s="165"/>
    </row>
    <row r="7430" spans="1:3" ht="16.8">
      <c r="A7430" s="165"/>
      <c r="B7430" s="171"/>
      <c r="C7430" s="165"/>
    </row>
    <row r="7431" spans="1:3" ht="16.8">
      <c r="A7431" s="165"/>
      <c r="B7431" s="171"/>
      <c r="C7431" s="165"/>
    </row>
    <row r="7432" spans="1:3" ht="16.8">
      <c r="A7432" s="165"/>
      <c r="B7432" s="171"/>
      <c r="C7432" s="165"/>
    </row>
    <row r="7433" spans="1:3" ht="16.8">
      <c r="A7433" s="165"/>
      <c r="B7433" s="171"/>
      <c r="C7433" s="165"/>
    </row>
    <row r="7434" spans="1:3" ht="16.8">
      <c r="A7434" s="165"/>
      <c r="B7434" s="171"/>
      <c r="C7434" s="165"/>
    </row>
    <row r="7435" spans="1:3" ht="16.8">
      <c r="A7435" s="165"/>
      <c r="B7435" s="171"/>
      <c r="C7435" s="165"/>
    </row>
    <row r="7436" spans="1:3" ht="16.8">
      <c r="A7436" s="165"/>
      <c r="B7436" s="171"/>
      <c r="C7436" s="165"/>
    </row>
    <row r="7437" spans="1:3" ht="16.8">
      <c r="A7437" s="165"/>
      <c r="B7437" s="171"/>
      <c r="C7437" s="165"/>
    </row>
    <row r="7438" spans="1:3" ht="16.8">
      <c r="A7438" s="165"/>
      <c r="B7438" s="171"/>
      <c r="C7438" s="165"/>
    </row>
    <row r="7439" spans="1:3" ht="16.8">
      <c r="A7439" s="165"/>
      <c r="B7439" s="171"/>
      <c r="C7439" s="165"/>
    </row>
    <row r="7440" spans="1:3" ht="16.8">
      <c r="A7440" s="165"/>
      <c r="B7440" s="171"/>
      <c r="C7440" s="165"/>
    </row>
    <row r="7441" spans="1:3" ht="16.8">
      <c r="A7441" s="165"/>
      <c r="B7441" s="171"/>
      <c r="C7441" s="165"/>
    </row>
    <row r="7442" spans="1:3" ht="16.8">
      <c r="A7442" s="165"/>
      <c r="B7442" s="171"/>
      <c r="C7442" s="165"/>
    </row>
    <row r="7443" spans="1:3" ht="16.8">
      <c r="A7443" s="165"/>
      <c r="B7443" s="171"/>
      <c r="C7443" s="165"/>
    </row>
    <row r="7444" spans="1:3" ht="16.8">
      <c r="A7444" s="165"/>
      <c r="B7444" s="171"/>
      <c r="C7444" s="165"/>
    </row>
    <row r="7445" spans="1:3" ht="16.8">
      <c r="A7445" s="165"/>
      <c r="B7445" s="171"/>
      <c r="C7445" s="165"/>
    </row>
    <row r="7446" spans="1:3" ht="16.8">
      <c r="A7446" s="165"/>
      <c r="B7446" s="171"/>
      <c r="C7446" s="165"/>
    </row>
    <row r="7447" spans="1:3" ht="16.8">
      <c r="A7447" s="165"/>
      <c r="B7447" s="171"/>
      <c r="C7447" s="165"/>
    </row>
    <row r="7448" spans="1:3" ht="16.8">
      <c r="A7448" s="165"/>
      <c r="B7448" s="171"/>
      <c r="C7448" s="165"/>
    </row>
    <row r="7449" spans="1:3" ht="16.8">
      <c r="A7449" s="165"/>
      <c r="B7449" s="171"/>
      <c r="C7449" s="165"/>
    </row>
    <row r="7450" spans="1:3" ht="16.8">
      <c r="A7450" s="165"/>
      <c r="B7450" s="171"/>
      <c r="C7450" s="165"/>
    </row>
    <row r="7451" spans="1:3" ht="16.8">
      <c r="A7451" s="165"/>
      <c r="B7451" s="171"/>
      <c r="C7451" s="165"/>
    </row>
    <row r="7452" spans="1:3" ht="16.8">
      <c r="A7452" s="165"/>
      <c r="B7452" s="171"/>
      <c r="C7452" s="165"/>
    </row>
    <row r="7453" spans="1:3" ht="16.8">
      <c r="A7453" s="165"/>
      <c r="B7453" s="171"/>
      <c r="C7453" s="165"/>
    </row>
    <row r="7454" spans="1:3" ht="16.8">
      <c r="A7454" s="165"/>
      <c r="B7454" s="171"/>
      <c r="C7454" s="165"/>
    </row>
    <row r="7455" spans="1:3" ht="16.8">
      <c r="A7455" s="165"/>
      <c r="B7455" s="171"/>
      <c r="C7455" s="165"/>
    </row>
    <row r="7456" spans="1:3" ht="16.8">
      <c r="A7456" s="165"/>
      <c r="B7456" s="171"/>
      <c r="C7456" s="165"/>
    </row>
    <row r="7457" spans="1:3" ht="16.8">
      <c r="A7457" s="165"/>
      <c r="B7457" s="171"/>
      <c r="C7457" s="165"/>
    </row>
    <row r="7458" spans="1:3" ht="16.8">
      <c r="A7458" s="165"/>
      <c r="B7458" s="171"/>
      <c r="C7458" s="165"/>
    </row>
    <row r="7459" spans="1:3" ht="16.8">
      <c r="A7459" s="165"/>
      <c r="B7459" s="171"/>
      <c r="C7459" s="165"/>
    </row>
    <row r="7460" spans="1:3" ht="16.8">
      <c r="A7460" s="165"/>
      <c r="B7460" s="171"/>
      <c r="C7460" s="165"/>
    </row>
    <row r="7461" spans="1:3" ht="16.8">
      <c r="A7461" s="165"/>
      <c r="B7461" s="171"/>
      <c r="C7461" s="165"/>
    </row>
    <row r="7462" spans="1:3" ht="16.8">
      <c r="A7462" s="165"/>
      <c r="B7462" s="171"/>
      <c r="C7462" s="165"/>
    </row>
    <row r="7463" spans="1:3" ht="16.8">
      <c r="A7463" s="165"/>
      <c r="B7463" s="171"/>
      <c r="C7463" s="165"/>
    </row>
    <row r="7464" spans="1:3" ht="16.8">
      <c r="A7464" s="165"/>
      <c r="B7464" s="171"/>
      <c r="C7464" s="165"/>
    </row>
    <row r="7465" spans="1:3" ht="16.8">
      <c r="A7465" s="165"/>
      <c r="B7465" s="171"/>
      <c r="C7465" s="165"/>
    </row>
    <row r="7466" spans="1:3" ht="16.8">
      <c r="A7466" s="165"/>
      <c r="B7466" s="171"/>
      <c r="C7466" s="165"/>
    </row>
    <row r="7467" spans="1:3" ht="16.8">
      <c r="A7467" s="165"/>
      <c r="B7467" s="171"/>
      <c r="C7467" s="165"/>
    </row>
    <row r="7468" spans="1:3" ht="16.8">
      <c r="A7468" s="165"/>
      <c r="B7468" s="171"/>
      <c r="C7468" s="165"/>
    </row>
    <row r="7469" spans="1:3" ht="16.8">
      <c r="A7469" s="165"/>
      <c r="B7469" s="171"/>
      <c r="C7469" s="165"/>
    </row>
    <row r="7470" spans="1:3" ht="16.8">
      <c r="A7470" s="165"/>
      <c r="B7470" s="171"/>
      <c r="C7470" s="165"/>
    </row>
    <row r="7471" spans="1:3" ht="16.8">
      <c r="A7471" s="165"/>
      <c r="B7471" s="171"/>
      <c r="C7471" s="165"/>
    </row>
    <row r="7472" spans="1:3" ht="16.8">
      <c r="A7472" s="165"/>
      <c r="B7472" s="171"/>
      <c r="C7472" s="165"/>
    </row>
    <row r="7473" spans="1:3" ht="16.8">
      <c r="A7473" s="165"/>
      <c r="B7473" s="171"/>
      <c r="C7473" s="165"/>
    </row>
    <row r="7474" spans="1:3" ht="16.8">
      <c r="A7474" s="165"/>
      <c r="B7474" s="171"/>
      <c r="C7474" s="165"/>
    </row>
    <row r="7475" spans="1:3" ht="16.8">
      <c r="A7475" s="165"/>
      <c r="B7475" s="171"/>
      <c r="C7475" s="165"/>
    </row>
    <row r="7476" spans="1:3" ht="16.8">
      <c r="A7476" s="165"/>
      <c r="B7476" s="171"/>
      <c r="C7476" s="165"/>
    </row>
    <row r="7477" spans="1:3" ht="16.8">
      <c r="A7477" s="165"/>
      <c r="B7477" s="171"/>
      <c r="C7477" s="165"/>
    </row>
    <row r="7478" spans="1:3" ht="16.8">
      <c r="A7478" s="165"/>
      <c r="B7478" s="171"/>
      <c r="C7478" s="165"/>
    </row>
    <row r="7479" spans="1:3" ht="16.8">
      <c r="A7479" s="165"/>
      <c r="B7479" s="171"/>
      <c r="C7479" s="165"/>
    </row>
    <row r="7480" spans="1:3" ht="16.8">
      <c r="A7480" s="165"/>
      <c r="B7480" s="171"/>
      <c r="C7480" s="165"/>
    </row>
    <row r="7481" spans="1:3" ht="16.8">
      <c r="A7481" s="165"/>
      <c r="B7481" s="171"/>
      <c r="C7481" s="165"/>
    </row>
    <row r="7482" spans="1:3" ht="16.8">
      <c r="A7482" s="165"/>
      <c r="B7482" s="171"/>
      <c r="C7482" s="165"/>
    </row>
    <row r="7483" spans="1:3" ht="16.8">
      <c r="A7483" s="165"/>
      <c r="B7483" s="171"/>
      <c r="C7483" s="165"/>
    </row>
    <row r="7484" spans="1:3" ht="16.8">
      <c r="A7484" s="165"/>
      <c r="B7484" s="171"/>
      <c r="C7484" s="165"/>
    </row>
    <row r="7485" spans="1:3" ht="16.8">
      <c r="A7485" s="165"/>
      <c r="B7485" s="171"/>
      <c r="C7485" s="165"/>
    </row>
    <row r="7486" spans="1:3" ht="16.8">
      <c r="A7486" s="165"/>
      <c r="B7486" s="171"/>
      <c r="C7486" s="165"/>
    </row>
    <row r="7487" spans="1:3" ht="16.8">
      <c r="A7487" s="165"/>
      <c r="B7487" s="171"/>
      <c r="C7487" s="165"/>
    </row>
    <row r="7488" spans="1:3" ht="16.8">
      <c r="A7488" s="165"/>
      <c r="B7488" s="171"/>
      <c r="C7488" s="165"/>
    </row>
    <row r="7489" spans="1:3" ht="16.8">
      <c r="A7489" s="165"/>
      <c r="B7489" s="171"/>
      <c r="C7489" s="165"/>
    </row>
    <row r="7490" spans="1:3" ht="16.8">
      <c r="A7490" s="165"/>
      <c r="B7490" s="171"/>
      <c r="C7490" s="165"/>
    </row>
    <row r="7491" spans="1:3" ht="16.8">
      <c r="A7491" s="165"/>
      <c r="B7491" s="171"/>
      <c r="C7491" s="165"/>
    </row>
    <row r="7492" spans="1:3" ht="16.8">
      <c r="A7492" s="165"/>
      <c r="B7492" s="171"/>
      <c r="C7492" s="165"/>
    </row>
    <row r="7493" spans="1:3" ht="16.8">
      <c r="A7493" s="165"/>
      <c r="B7493" s="171"/>
      <c r="C7493" s="165"/>
    </row>
    <row r="7494" spans="1:3" ht="16.8">
      <c r="A7494" s="165"/>
      <c r="B7494" s="171"/>
      <c r="C7494" s="165"/>
    </row>
    <row r="7495" spans="1:3" ht="16.8">
      <c r="A7495" s="165"/>
      <c r="B7495" s="171"/>
      <c r="C7495" s="165"/>
    </row>
    <row r="7496" spans="1:3" ht="16.8">
      <c r="A7496" s="165"/>
      <c r="B7496" s="171"/>
      <c r="C7496" s="165"/>
    </row>
    <row r="7497" spans="1:3" ht="16.8">
      <c r="A7497" s="165"/>
      <c r="B7497" s="171"/>
      <c r="C7497" s="165"/>
    </row>
    <row r="7498" spans="1:3" ht="16.8">
      <c r="A7498" s="165"/>
      <c r="B7498" s="171"/>
      <c r="C7498" s="165"/>
    </row>
    <row r="7499" spans="1:3" ht="16.8">
      <c r="A7499" s="165"/>
      <c r="B7499" s="171"/>
      <c r="C7499" s="165"/>
    </row>
    <row r="7500" spans="1:3" ht="16.8">
      <c r="A7500" s="165"/>
      <c r="B7500" s="171"/>
      <c r="C7500" s="165"/>
    </row>
    <row r="7501" spans="1:3" ht="16.8">
      <c r="A7501" s="165"/>
      <c r="B7501" s="171"/>
      <c r="C7501" s="165"/>
    </row>
    <row r="7502" spans="1:3" ht="16.8">
      <c r="A7502" s="165"/>
      <c r="B7502" s="171"/>
      <c r="C7502" s="165"/>
    </row>
    <row r="7503" spans="1:3" ht="16.8">
      <c r="A7503" s="165"/>
      <c r="B7503" s="171"/>
      <c r="C7503" s="165"/>
    </row>
    <row r="7504" spans="1:3" ht="16.8">
      <c r="A7504" s="165"/>
      <c r="B7504" s="171"/>
      <c r="C7504" s="165"/>
    </row>
    <row r="7505" spans="1:3" ht="16.8">
      <c r="A7505" s="165"/>
      <c r="B7505" s="171"/>
      <c r="C7505" s="165"/>
    </row>
    <row r="7506" spans="1:3" ht="16.8">
      <c r="A7506" s="165"/>
      <c r="B7506" s="171"/>
      <c r="C7506" s="165"/>
    </row>
    <row r="7507" spans="1:3" ht="16.8">
      <c r="A7507" s="165"/>
      <c r="B7507" s="171"/>
      <c r="C7507" s="165"/>
    </row>
    <row r="7508" spans="1:3" ht="16.8">
      <c r="A7508" s="165"/>
      <c r="B7508" s="171"/>
      <c r="C7508" s="165"/>
    </row>
    <row r="7509" spans="1:3" ht="16.8">
      <c r="A7509" s="165"/>
      <c r="B7509" s="171"/>
      <c r="C7509" s="165"/>
    </row>
    <row r="7510" spans="1:3" ht="16.8">
      <c r="A7510" s="165"/>
      <c r="B7510" s="171"/>
      <c r="C7510" s="165"/>
    </row>
    <row r="7511" spans="1:3" ht="16.8">
      <c r="A7511" s="165"/>
      <c r="B7511" s="171"/>
      <c r="C7511" s="165"/>
    </row>
    <row r="7512" spans="1:3" ht="16.8">
      <c r="A7512" s="165"/>
      <c r="B7512" s="171"/>
      <c r="C7512" s="165"/>
    </row>
    <row r="7513" spans="1:3" ht="16.8">
      <c r="A7513" s="165"/>
      <c r="B7513" s="171"/>
      <c r="C7513" s="165"/>
    </row>
    <row r="7514" spans="1:3" ht="16.8">
      <c r="A7514" s="165"/>
      <c r="B7514" s="171"/>
      <c r="C7514" s="165"/>
    </row>
    <row r="7515" spans="1:3" ht="16.8">
      <c r="A7515" s="165"/>
      <c r="B7515" s="171"/>
      <c r="C7515" s="165"/>
    </row>
    <row r="7516" spans="1:3" ht="16.8">
      <c r="A7516" s="165"/>
      <c r="B7516" s="171"/>
      <c r="C7516" s="165"/>
    </row>
    <row r="7517" spans="1:3" ht="16.8">
      <c r="A7517" s="165"/>
      <c r="B7517" s="171"/>
      <c r="C7517" s="165"/>
    </row>
    <row r="7518" spans="1:3" ht="16.8">
      <c r="A7518" s="165"/>
      <c r="B7518" s="171"/>
      <c r="C7518" s="165"/>
    </row>
    <row r="7519" spans="1:3" ht="16.8">
      <c r="A7519" s="165"/>
      <c r="B7519" s="171"/>
      <c r="C7519" s="165"/>
    </row>
    <row r="7520" spans="1:3" ht="16.8">
      <c r="A7520" s="165"/>
      <c r="B7520" s="171"/>
      <c r="C7520" s="165"/>
    </row>
    <row r="7521" spans="1:3" ht="16.8">
      <c r="A7521" s="165"/>
      <c r="B7521" s="171"/>
      <c r="C7521" s="165"/>
    </row>
    <row r="7522" spans="1:3" ht="16.8">
      <c r="A7522" s="165"/>
      <c r="B7522" s="171"/>
      <c r="C7522" s="165"/>
    </row>
    <row r="7523" spans="1:3" ht="16.8">
      <c r="A7523" s="165"/>
      <c r="B7523" s="171"/>
      <c r="C7523" s="165"/>
    </row>
    <row r="7524" spans="1:3" ht="16.8">
      <c r="A7524" s="165"/>
      <c r="B7524" s="171"/>
      <c r="C7524" s="165"/>
    </row>
    <row r="7525" spans="1:3" ht="16.8">
      <c r="A7525" s="165"/>
      <c r="B7525" s="171"/>
      <c r="C7525" s="165"/>
    </row>
    <row r="7526" spans="1:3" ht="16.8">
      <c r="A7526" s="165"/>
      <c r="B7526" s="171"/>
      <c r="C7526" s="165"/>
    </row>
    <row r="7527" spans="1:3" ht="16.8">
      <c r="A7527" s="165"/>
      <c r="B7527" s="171"/>
      <c r="C7527" s="165"/>
    </row>
    <row r="7528" spans="1:3" ht="16.8">
      <c r="A7528" s="165"/>
      <c r="B7528" s="171"/>
      <c r="C7528" s="165"/>
    </row>
    <row r="7529" spans="1:3" ht="16.8">
      <c r="A7529" s="165"/>
      <c r="B7529" s="171"/>
      <c r="C7529" s="165"/>
    </row>
    <row r="7530" spans="1:3" ht="16.8">
      <c r="A7530" s="165"/>
      <c r="B7530" s="171"/>
      <c r="C7530" s="165"/>
    </row>
    <row r="7531" spans="1:3" ht="16.8">
      <c r="A7531" s="165"/>
      <c r="B7531" s="171"/>
      <c r="C7531" s="165"/>
    </row>
    <row r="7532" spans="1:3" ht="16.8">
      <c r="A7532" s="165"/>
      <c r="B7532" s="171"/>
      <c r="C7532" s="165"/>
    </row>
    <row r="7533" spans="1:3" ht="16.8">
      <c r="A7533" s="165"/>
      <c r="B7533" s="171"/>
      <c r="C7533" s="165"/>
    </row>
    <row r="7534" spans="1:3" ht="16.8">
      <c r="A7534" s="165"/>
      <c r="B7534" s="171"/>
      <c r="C7534" s="165"/>
    </row>
    <row r="7535" spans="1:3" ht="16.8">
      <c r="A7535" s="165"/>
      <c r="B7535" s="171"/>
      <c r="C7535" s="165"/>
    </row>
    <row r="7536" spans="1:3" ht="16.8">
      <c r="A7536" s="165"/>
      <c r="B7536" s="171"/>
      <c r="C7536" s="165"/>
    </row>
    <row r="7537" spans="1:3" ht="16.8">
      <c r="A7537" s="165"/>
      <c r="B7537" s="171"/>
      <c r="C7537" s="165"/>
    </row>
    <row r="7538" spans="1:3" ht="16.8">
      <c r="A7538" s="165"/>
      <c r="B7538" s="171"/>
      <c r="C7538" s="165"/>
    </row>
    <row r="7539" spans="1:3" ht="16.8">
      <c r="A7539" s="165"/>
      <c r="B7539" s="171"/>
      <c r="C7539" s="165"/>
    </row>
    <row r="7540" spans="1:3" ht="16.8">
      <c r="A7540" s="165"/>
      <c r="B7540" s="171"/>
      <c r="C7540" s="165"/>
    </row>
    <row r="7541" spans="1:3" ht="16.8">
      <c r="A7541" s="165"/>
      <c r="B7541" s="171"/>
      <c r="C7541" s="165"/>
    </row>
    <row r="7542" spans="1:3" ht="16.8">
      <c r="A7542" s="165"/>
      <c r="B7542" s="171"/>
      <c r="C7542" s="165"/>
    </row>
    <row r="7543" spans="1:3" ht="16.8">
      <c r="A7543" s="165"/>
      <c r="B7543" s="171"/>
      <c r="C7543" s="165"/>
    </row>
    <row r="7544" spans="1:3" ht="16.8">
      <c r="A7544" s="165"/>
      <c r="B7544" s="171"/>
      <c r="C7544" s="165"/>
    </row>
    <row r="7545" spans="1:3" ht="16.8">
      <c r="A7545" s="165"/>
      <c r="B7545" s="171"/>
      <c r="C7545" s="165"/>
    </row>
    <row r="7546" spans="1:3" ht="16.8">
      <c r="A7546" s="165"/>
      <c r="B7546" s="171"/>
      <c r="C7546" s="165"/>
    </row>
    <row r="7547" spans="1:3" ht="16.8">
      <c r="A7547" s="165"/>
      <c r="B7547" s="171"/>
      <c r="C7547" s="165"/>
    </row>
    <row r="7548" spans="1:3" ht="16.8">
      <c r="A7548" s="165"/>
      <c r="B7548" s="171"/>
      <c r="C7548" s="165"/>
    </row>
    <row r="7549" spans="1:3" ht="16.8">
      <c r="A7549" s="165"/>
      <c r="B7549" s="171"/>
      <c r="C7549" s="165"/>
    </row>
    <row r="7550" spans="1:3" ht="16.8">
      <c r="A7550" s="165"/>
      <c r="B7550" s="171"/>
      <c r="C7550" s="165"/>
    </row>
    <row r="7551" spans="1:3" ht="16.8">
      <c r="A7551" s="165"/>
      <c r="B7551" s="171"/>
      <c r="C7551" s="165"/>
    </row>
    <row r="7552" spans="1:3" ht="16.8">
      <c r="A7552" s="165"/>
      <c r="B7552" s="171"/>
      <c r="C7552" s="165"/>
    </row>
    <row r="7553" spans="1:3" ht="16.8">
      <c r="A7553" s="165"/>
      <c r="B7553" s="171"/>
      <c r="C7553" s="165"/>
    </row>
    <row r="7554" spans="1:3" ht="16.8">
      <c r="A7554" s="165"/>
      <c r="B7554" s="171"/>
      <c r="C7554" s="165"/>
    </row>
    <row r="7555" spans="1:3" ht="16.8">
      <c r="A7555" s="165"/>
      <c r="B7555" s="171"/>
      <c r="C7555" s="165"/>
    </row>
    <row r="7556" spans="1:3" ht="16.8">
      <c r="A7556" s="165"/>
      <c r="B7556" s="171"/>
      <c r="C7556" s="165"/>
    </row>
    <row r="7557" spans="1:3" ht="16.8">
      <c r="A7557" s="165"/>
      <c r="B7557" s="171"/>
      <c r="C7557" s="165"/>
    </row>
    <row r="7558" spans="1:3" ht="16.8">
      <c r="A7558" s="165"/>
      <c r="B7558" s="171"/>
      <c r="C7558" s="165"/>
    </row>
    <row r="7559" spans="1:3" ht="16.8">
      <c r="A7559" s="165"/>
      <c r="B7559" s="171"/>
      <c r="C7559" s="165"/>
    </row>
    <row r="7560" spans="1:3" ht="16.8">
      <c r="A7560" s="165"/>
      <c r="B7560" s="171"/>
      <c r="C7560" s="165"/>
    </row>
    <row r="7561" spans="1:3" ht="16.8">
      <c r="A7561" s="165"/>
      <c r="B7561" s="171"/>
      <c r="C7561" s="165"/>
    </row>
    <row r="7562" spans="1:3" ht="16.8">
      <c r="A7562" s="165"/>
      <c r="B7562" s="171"/>
      <c r="C7562" s="165"/>
    </row>
    <row r="7563" spans="1:3" ht="16.8">
      <c r="A7563" s="165"/>
      <c r="B7563" s="171"/>
      <c r="C7563" s="165"/>
    </row>
    <row r="7564" spans="1:3" ht="16.8">
      <c r="A7564" s="165"/>
      <c r="B7564" s="171"/>
      <c r="C7564" s="165"/>
    </row>
    <row r="7565" spans="1:3" ht="16.8">
      <c r="A7565" s="165"/>
      <c r="B7565" s="171"/>
      <c r="C7565" s="165"/>
    </row>
    <row r="7566" spans="1:3" ht="16.8">
      <c r="A7566" s="165"/>
      <c r="B7566" s="171"/>
      <c r="C7566" s="165"/>
    </row>
    <row r="7567" spans="1:3" ht="16.8">
      <c r="A7567" s="165"/>
      <c r="B7567" s="171"/>
      <c r="C7567" s="165"/>
    </row>
    <row r="7568" spans="1:3" ht="16.8">
      <c r="A7568" s="165"/>
      <c r="B7568" s="171"/>
      <c r="C7568" s="165"/>
    </row>
    <row r="7569" spans="1:3" ht="16.8">
      <c r="A7569" s="165"/>
      <c r="B7569" s="171"/>
      <c r="C7569" s="165"/>
    </row>
    <row r="7570" spans="1:3" ht="16.8">
      <c r="A7570" s="165"/>
      <c r="B7570" s="171"/>
      <c r="C7570" s="165"/>
    </row>
    <row r="7571" spans="1:3" ht="16.8">
      <c r="A7571" s="165"/>
      <c r="B7571" s="171"/>
      <c r="C7571" s="165"/>
    </row>
    <row r="7572" spans="1:3" ht="16.8">
      <c r="A7572" s="165"/>
      <c r="B7572" s="171"/>
      <c r="C7572" s="165"/>
    </row>
    <row r="7573" spans="1:3" ht="16.8">
      <c r="A7573" s="165"/>
      <c r="B7573" s="171"/>
      <c r="C7573" s="165"/>
    </row>
    <row r="7574" spans="1:3" ht="16.8">
      <c r="A7574" s="165"/>
      <c r="B7574" s="171"/>
      <c r="C7574" s="165"/>
    </row>
    <row r="7575" spans="1:3" ht="16.8">
      <c r="A7575" s="165"/>
      <c r="B7575" s="171"/>
      <c r="C7575" s="165"/>
    </row>
    <row r="7576" spans="1:3" ht="16.8">
      <c r="A7576" s="165"/>
      <c r="B7576" s="171"/>
      <c r="C7576" s="165"/>
    </row>
    <row r="7577" spans="1:3" ht="16.8">
      <c r="A7577" s="165"/>
      <c r="B7577" s="171"/>
      <c r="C7577" s="165"/>
    </row>
    <row r="7578" spans="1:3" ht="16.8">
      <c r="A7578" s="165"/>
      <c r="B7578" s="171"/>
      <c r="C7578" s="165"/>
    </row>
    <row r="7579" spans="1:3" ht="16.8">
      <c r="A7579" s="165"/>
      <c r="B7579" s="171"/>
      <c r="C7579" s="165"/>
    </row>
    <row r="7580" spans="1:3" ht="16.8">
      <c r="A7580" s="165"/>
      <c r="B7580" s="171"/>
      <c r="C7580" s="165"/>
    </row>
    <row r="7581" spans="1:3" ht="16.8">
      <c r="A7581" s="165"/>
      <c r="B7581" s="171"/>
      <c r="C7581" s="165"/>
    </row>
    <row r="7582" spans="1:3" ht="16.8">
      <c r="A7582" s="165"/>
      <c r="B7582" s="171"/>
      <c r="C7582" s="165"/>
    </row>
    <row r="7583" spans="1:3" ht="16.8">
      <c r="A7583" s="165"/>
      <c r="B7583" s="171"/>
      <c r="C7583" s="165"/>
    </row>
    <row r="7584" spans="1:3" ht="16.8">
      <c r="A7584" s="165"/>
      <c r="B7584" s="171"/>
      <c r="C7584" s="165"/>
    </row>
    <row r="7585" spans="1:3" ht="16.8">
      <c r="A7585" s="165"/>
      <c r="B7585" s="171"/>
      <c r="C7585" s="165"/>
    </row>
    <row r="7586" spans="1:3" ht="16.8">
      <c r="A7586" s="165"/>
      <c r="B7586" s="171"/>
      <c r="C7586" s="165"/>
    </row>
    <row r="7587" spans="1:3" ht="16.8">
      <c r="A7587" s="165"/>
      <c r="B7587" s="171"/>
      <c r="C7587" s="165"/>
    </row>
    <row r="7588" spans="1:3" ht="16.8">
      <c r="A7588" s="165"/>
      <c r="B7588" s="171"/>
      <c r="C7588" s="165"/>
    </row>
    <row r="7589" spans="1:3" ht="16.8">
      <c r="A7589" s="165"/>
      <c r="B7589" s="171"/>
      <c r="C7589" s="165"/>
    </row>
    <row r="7590" spans="1:3" ht="16.8">
      <c r="A7590" s="165"/>
      <c r="B7590" s="171"/>
      <c r="C7590" s="165"/>
    </row>
    <row r="7591" spans="1:3" ht="16.8">
      <c r="A7591" s="165"/>
      <c r="B7591" s="171"/>
      <c r="C7591" s="165"/>
    </row>
    <row r="7592" spans="1:3" ht="16.8">
      <c r="A7592" s="165"/>
      <c r="B7592" s="171"/>
      <c r="C7592" s="165"/>
    </row>
    <row r="7593" spans="1:3" ht="16.8">
      <c r="A7593" s="165"/>
      <c r="B7593" s="171"/>
      <c r="C7593" s="165"/>
    </row>
    <row r="7594" spans="1:3" ht="16.8">
      <c r="A7594" s="165"/>
      <c r="B7594" s="171"/>
      <c r="C7594" s="165"/>
    </row>
    <row r="7595" spans="1:3" ht="16.8">
      <c r="A7595" s="165"/>
      <c r="B7595" s="171"/>
      <c r="C7595" s="165"/>
    </row>
    <row r="7596" spans="1:3" ht="16.8">
      <c r="A7596" s="165"/>
      <c r="B7596" s="171"/>
      <c r="C7596" s="165"/>
    </row>
    <row r="7597" spans="1:3" ht="16.8">
      <c r="A7597" s="165"/>
      <c r="B7597" s="171"/>
      <c r="C7597" s="165"/>
    </row>
    <row r="7598" spans="1:3" ht="16.8">
      <c r="A7598" s="165"/>
      <c r="B7598" s="171"/>
      <c r="C7598" s="165"/>
    </row>
    <row r="7599" spans="1:3" ht="16.8">
      <c r="A7599" s="165"/>
      <c r="B7599" s="171"/>
      <c r="C7599" s="165"/>
    </row>
    <row r="7600" spans="1:3" ht="16.8">
      <c r="A7600" s="165"/>
      <c r="B7600" s="171"/>
      <c r="C7600" s="165"/>
    </row>
    <row r="7601" spans="1:3" ht="16.8">
      <c r="A7601" s="165"/>
      <c r="B7601" s="171"/>
      <c r="C7601" s="165"/>
    </row>
    <row r="7602" spans="1:3" ht="16.8">
      <c r="A7602" s="165"/>
      <c r="B7602" s="171"/>
      <c r="C7602" s="165"/>
    </row>
    <row r="7603" spans="1:3" ht="16.8">
      <c r="A7603" s="165"/>
      <c r="B7603" s="171"/>
      <c r="C7603" s="165"/>
    </row>
    <row r="7604" spans="1:3" ht="16.8">
      <c r="A7604" s="165"/>
      <c r="B7604" s="171"/>
      <c r="C7604" s="165"/>
    </row>
    <row r="7605" spans="1:3" ht="16.8">
      <c r="A7605" s="165"/>
      <c r="B7605" s="171"/>
      <c r="C7605" s="165"/>
    </row>
    <row r="7606" spans="1:3" ht="16.8">
      <c r="A7606" s="165"/>
      <c r="B7606" s="171"/>
      <c r="C7606" s="165"/>
    </row>
    <row r="7607" spans="1:3" ht="16.8">
      <c r="A7607" s="165"/>
      <c r="B7607" s="171"/>
      <c r="C7607" s="165"/>
    </row>
    <row r="7608" spans="1:3" ht="16.8">
      <c r="A7608" s="165"/>
      <c r="B7608" s="171"/>
      <c r="C7608" s="165"/>
    </row>
    <row r="7609" spans="1:3" ht="16.8">
      <c r="A7609" s="165"/>
      <c r="B7609" s="171"/>
      <c r="C7609" s="165"/>
    </row>
    <row r="7610" spans="1:3" ht="16.8">
      <c r="A7610" s="165"/>
      <c r="B7610" s="171"/>
      <c r="C7610" s="165"/>
    </row>
    <row r="7611" spans="1:3" ht="16.8">
      <c r="A7611" s="165"/>
      <c r="B7611" s="171"/>
      <c r="C7611" s="165"/>
    </row>
    <row r="7612" spans="1:3" ht="16.8">
      <c r="A7612" s="165"/>
      <c r="B7612" s="171"/>
      <c r="C7612" s="165"/>
    </row>
    <row r="7613" spans="1:3" ht="16.8">
      <c r="A7613" s="165"/>
      <c r="B7613" s="171"/>
      <c r="C7613" s="165"/>
    </row>
    <row r="7614" spans="1:3" ht="16.8">
      <c r="A7614" s="165"/>
      <c r="B7614" s="171"/>
      <c r="C7614" s="165"/>
    </row>
    <row r="7615" spans="1:3" ht="16.8">
      <c r="A7615" s="165"/>
      <c r="B7615" s="171"/>
      <c r="C7615" s="165"/>
    </row>
    <row r="7616" spans="1:3" ht="16.8">
      <c r="A7616" s="165"/>
      <c r="B7616" s="171"/>
      <c r="C7616" s="165"/>
    </row>
    <row r="7617" spans="1:3" ht="16.8">
      <c r="A7617" s="165"/>
      <c r="B7617" s="171"/>
      <c r="C7617" s="165"/>
    </row>
    <row r="7618" spans="1:3" ht="16.8">
      <c r="A7618" s="165"/>
      <c r="B7618" s="171"/>
      <c r="C7618" s="165"/>
    </row>
    <row r="7619" spans="1:3" ht="16.8">
      <c r="A7619" s="165"/>
      <c r="B7619" s="171"/>
      <c r="C7619" s="165"/>
    </row>
    <row r="7620" spans="1:3" ht="16.8">
      <c r="A7620" s="165"/>
      <c r="B7620" s="171"/>
      <c r="C7620" s="165"/>
    </row>
    <row r="7621" spans="1:3" ht="16.8">
      <c r="A7621" s="165"/>
      <c r="B7621" s="171"/>
      <c r="C7621" s="165"/>
    </row>
    <row r="7622" spans="1:3" ht="16.8">
      <c r="A7622" s="165"/>
      <c r="B7622" s="171"/>
      <c r="C7622" s="165"/>
    </row>
    <row r="7623" spans="1:3" ht="16.8">
      <c r="A7623" s="165"/>
      <c r="B7623" s="171"/>
      <c r="C7623" s="165"/>
    </row>
    <row r="7624" spans="1:3" ht="16.8">
      <c r="A7624" s="165"/>
      <c r="B7624" s="171"/>
      <c r="C7624" s="165"/>
    </row>
    <row r="7625" spans="1:3" ht="16.8">
      <c r="A7625" s="165"/>
      <c r="B7625" s="171"/>
      <c r="C7625" s="165"/>
    </row>
    <row r="7626" spans="1:3" ht="16.8">
      <c r="A7626" s="165"/>
      <c r="B7626" s="171"/>
      <c r="C7626" s="165"/>
    </row>
    <row r="7627" spans="1:3" ht="16.8">
      <c r="A7627" s="165"/>
      <c r="B7627" s="171"/>
      <c r="C7627" s="165"/>
    </row>
    <row r="7628" spans="1:3" ht="16.8">
      <c r="A7628" s="165"/>
      <c r="B7628" s="171"/>
      <c r="C7628" s="165"/>
    </row>
    <row r="7629" spans="1:3" ht="16.8">
      <c r="A7629" s="165"/>
      <c r="B7629" s="171"/>
      <c r="C7629" s="165"/>
    </row>
    <row r="7630" spans="1:3" ht="16.8">
      <c r="A7630" s="165"/>
      <c r="B7630" s="171"/>
      <c r="C7630" s="165"/>
    </row>
    <row r="7631" spans="1:3" ht="16.8">
      <c r="A7631" s="165"/>
      <c r="B7631" s="171"/>
      <c r="C7631" s="165"/>
    </row>
    <row r="7632" spans="1:3" ht="16.8">
      <c r="A7632" s="165"/>
      <c r="B7632" s="171"/>
      <c r="C7632" s="165"/>
    </row>
    <row r="7633" spans="1:3" ht="16.8">
      <c r="A7633" s="165"/>
      <c r="B7633" s="171"/>
      <c r="C7633" s="165"/>
    </row>
    <row r="7634" spans="1:3" ht="16.8">
      <c r="A7634" s="165"/>
      <c r="B7634" s="171"/>
      <c r="C7634" s="165"/>
    </row>
    <row r="7635" spans="1:3" ht="16.8">
      <c r="A7635" s="165"/>
      <c r="B7635" s="171"/>
      <c r="C7635" s="165"/>
    </row>
    <row r="7636" spans="1:3" ht="16.8">
      <c r="A7636" s="165"/>
      <c r="B7636" s="171"/>
      <c r="C7636" s="165"/>
    </row>
    <row r="7637" spans="1:3" ht="16.8">
      <c r="A7637" s="165"/>
      <c r="B7637" s="171"/>
      <c r="C7637" s="165"/>
    </row>
    <row r="7638" spans="1:3" ht="16.8">
      <c r="A7638" s="165"/>
      <c r="B7638" s="171"/>
      <c r="C7638" s="165"/>
    </row>
    <row r="7639" spans="1:3" ht="16.8">
      <c r="A7639" s="165"/>
      <c r="B7639" s="171"/>
      <c r="C7639" s="165"/>
    </row>
    <row r="7640" spans="1:3" ht="16.8">
      <c r="A7640" s="165"/>
      <c r="B7640" s="171"/>
      <c r="C7640" s="165"/>
    </row>
    <row r="7641" spans="1:3" ht="16.8">
      <c r="A7641" s="165"/>
      <c r="B7641" s="171"/>
      <c r="C7641" s="165"/>
    </row>
    <row r="7642" spans="1:3" ht="16.8">
      <c r="A7642" s="165"/>
      <c r="B7642" s="171"/>
      <c r="C7642" s="165"/>
    </row>
    <row r="7643" spans="1:3" ht="16.8">
      <c r="A7643" s="165"/>
      <c r="B7643" s="171"/>
      <c r="C7643" s="165"/>
    </row>
    <row r="7644" spans="1:3" ht="16.8">
      <c r="A7644" s="165"/>
      <c r="B7644" s="171"/>
      <c r="C7644" s="165"/>
    </row>
    <row r="7645" spans="1:3" ht="16.8">
      <c r="A7645" s="165"/>
      <c r="B7645" s="171"/>
      <c r="C7645" s="165"/>
    </row>
    <row r="7646" spans="1:3" ht="16.8">
      <c r="A7646" s="165"/>
      <c r="B7646" s="171"/>
      <c r="C7646" s="165"/>
    </row>
    <row r="7647" spans="1:3" ht="16.8">
      <c r="A7647" s="165"/>
      <c r="B7647" s="171"/>
      <c r="C7647" s="165"/>
    </row>
    <row r="7648" spans="1:3" ht="16.8">
      <c r="A7648" s="165"/>
      <c r="B7648" s="171"/>
      <c r="C7648" s="165"/>
    </row>
    <row r="7649" spans="1:3" ht="16.8">
      <c r="A7649" s="165"/>
      <c r="B7649" s="171"/>
      <c r="C7649" s="165"/>
    </row>
    <row r="7650" spans="1:3" ht="16.8">
      <c r="A7650" s="165"/>
      <c r="B7650" s="171"/>
      <c r="C7650" s="165"/>
    </row>
    <row r="7651" spans="1:3" ht="16.8">
      <c r="A7651" s="165"/>
      <c r="B7651" s="171"/>
      <c r="C7651" s="165"/>
    </row>
    <row r="7652" spans="1:3" ht="16.8">
      <c r="A7652" s="165"/>
      <c r="B7652" s="171"/>
      <c r="C7652" s="165"/>
    </row>
    <row r="7653" spans="1:3" ht="16.8">
      <c r="A7653" s="165"/>
      <c r="B7653" s="171"/>
      <c r="C7653" s="165"/>
    </row>
    <row r="7654" spans="1:3" ht="16.8">
      <c r="A7654" s="165"/>
      <c r="B7654" s="171"/>
      <c r="C7654" s="165"/>
    </row>
    <row r="7655" spans="1:3" ht="16.8">
      <c r="A7655" s="165"/>
      <c r="B7655" s="171"/>
      <c r="C7655" s="165"/>
    </row>
    <row r="7656" spans="1:3" ht="16.8">
      <c r="A7656" s="165"/>
      <c r="B7656" s="171"/>
      <c r="C7656" s="165"/>
    </row>
    <row r="7657" spans="1:3" ht="16.8">
      <c r="A7657" s="165"/>
      <c r="B7657" s="171"/>
      <c r="C7657" s="165"/>
    </row>
    <row r="7658" spans="1:3" ht="16.8">
      <c r="A7658" s="165"/>
      <c r="B7658" s="171"/>
      <c r="C7658" s="165"/>
    </row>
    <row r="7659" spans="1:3" ht="16.8">
      <c r="A7659" s="165"/>
      <c r="B7659" s="171"/>
      <c r="C7659" s="165"/>
    </row>
    <row r="7660" spans="1:3" ht="16.8">
      <c r="A7660" s="165"/>
      <c r="B7660" s="171"/>
      <c r="C7660" s="165"/>
    </row>
    <row r="7661" spans="1:3" ht="16.8">
      <c r="A7661" s="165"/>
      <c r="B7661" s="171"/>
      <c r="C7661" s="165"/>
    </row>
    <row r="7662" spans="1:3" ht="16.8">
      <c r="A7662" s="165"/>
      <c r="B7662" s="171"/>
      <c r="C7662" s="165"/>
    </row>
    <row r="7663" spans="1:3" ht="16.8">
      <c r="A7663" s="165"/>
      <c r="B7663" s="171"/>
      <c r="C7663" s="165"/>
    </row>
    <row r="7664" spans="1:3" ht="16.8">
      <c r="A7664" s="165"/>
      <c r="B7664" s="171"/>
      <c r="C7664" s="165"/>
    </row>
    <row r="7665" spans="1:3" ht="16.8">
      <c r="A7665" s="165"/>
      <c r="B7665" s="171"/>
      <c r="C7665" s="165"/>
    </row>
    <row r="7666" spans="1:3" ht="16.8">
      <c r="A7666" s="165"/>
      <c r="B7666" s="171"/>
      <c r="C7666" s="165"/>
    </row>
    <row r="7667" spans="1:3" ht="16.8">
      <c r="A7667" s="165"/>
      <c r="B7667" s="171"/>
      <c r="C7667" s="165"/>
    </row>
    <row r="7668" spans="1:3" ht="16.8">
      <c r="A7668" s="165"/>
      <c r="B7668" s="171"/>
      <c r="C7668" s="165"/>
    </row>
    <row r="7669" spans="1:3" ht="16.8">
      <c r="A7669" s="165"/>
      <c r="B7669" s="171"/>
      <c r="C7669" s="165"/>
    </row>
    <row r="7670" spans="1:3" ht="16.8">
      <c r="A7670" s="165"/>
      <c r="B7670" s="171"/>
      <c r="C7670" s="165"/>
    </row>
    <row r="7671" spans="1:3" ht="16.8">
      <c r="A7671" s="165"/>
      <c r="B7671" s="171"/>
      <c r="C7671" s="165"/>
    </row>
    <row r="7672" spans="1:3" ht="16.8">
      <c r="A7672" s="165"/>
      <c r="B7672" s="171"/>
      <c r="C7672" s="165"/>
    </row>
    <row r="7673" spans="1:3" ht="16.8">
      <c r="A7673" s="165"/>
      <c r="B7673" s="171"/>
      <c r="C7673" s="165"/>
    </row>
    <row r="7674" spans="1:3" ht="16.8">
      <c r="A7674" s="165"/>
      <c r="B7674" s="171"/>
      <c r="C7674" s="165"/>
    </row>
    <row r="7675" spans="1:3" ht="16.8">
      <c r="A7675" s="165"/>
      <c r="B7675" s="171"/>
      <c r="C7675" s="165"/>
    </row>
    <row r="7676" spans="1:3" ht="16.8">
      <c r="A7676" s="165"/>
      <c r="B7676" s="171"/>
      <c r="C7676" s="165"/>
    </row>
    <row r="7677" spans="1:3" ht="16.8">
      <c r="A7677" s="165"/>
      <c r="B7677" s="171"/>
      <c r="C7677" s="165"/>
    </row>
    <row r="7678" spans="1:3" ht="16.8">
      <c r="A7678" s="165"/>
      <c r="B7678" s="171"/>
      <c r="C7678" s="165"/>
    </row>
    <row r="7679" spans="1:3" ht="16.8">
      <c r="A7679" s="165"/>
      <c r="B7679" s="171"/>
      <c r="C7679" s="165"/>
    </row>
    <row r="7680" spans="1:3" ht="16.8">
      <c r="A7680" s="165"/>
      <c r="B7680" s="171"/>
      <c r="C7680" s="165"/>
    </row>
    <row r="7681" spans="1:3" ht="16.8">
      <c r="A7681" s="165"/>
      <c r="B7681" s="171"/>
      <c r="C7681" s="165"/>
    </row>
    <row r="7682" spans="1:3" ht="16.8">
      <c r="A7682" s="165"/>
      <c r="B7682" s="171"/>
      <c r="C7682" s="165"/>
    </row>
    <row r="7683" spans="1:3" ht="16.8">
      <c r="A7683" s="165"/>
      <c r="B7683" s="171"/>
      <c r="C7683" s="165"/>
    </row>
    <row r="7684" spans="1:3" ht="16.8">
      <c r="A7684" s="165"/>
      <c r="B7684" s="171"/>
      <c r="C7684" s="165"/>
    </row>
    <row r="7685" spans="1:3" ht="16.8">
      <c r="A7685" s="165"/>
      <c r="B7685" s="171"/>
      <c r="C7685" s="165"/>
    </row>
    <row r="7686" spans="1:3" ht="16.8">
      <c r="A7686" s="165"/>
      <c r="B7686" s="171"/>
      <c r="C7686" s="165"/>
    </row>
    <row r="7687" spans="1:3" ht="16.8">
      <c r="A7687" s="165"/>
      <c r="B7687" s="171"/>
      <c r="C7687" s="165"/>
    </row>
    <row r="7688" spans="1:3" ht="16.8">
      <c r="A7688" s="165"/>
      <c r="B7688" s="171"/>
      <c r="C7688" s="165"/>
    </row>
    <row r="7689" spans="1:3" ht="16.8">
      <c r="A7689" s="165"/>
      <c r="B7689" s="171"/>
      <c r="C7689" s="165"/>
    </row>
    <row r="7690" spans="1:3" ht="16.8">
      <c r="A7690" s="165"/>
      <c r="B7690" s="171"/>
      <c r="C7690" s="165"/>
    </row>
    <row r="7691" spans="1:3" ht="16.8">
      <c r="A7691" s="165"/>
      <c r="B7691" s="171"/>
      <c r="C7691" s="165"/>
    </row>
    <row r="7692" spans="1:3" ht="16.8">
      <c r="A7692" s="165"/>
      <c r="B7692" s="171"/>
      <c r="C7692" s="165"/>
    </row>
    <row r="7693" spans="1:3" ht="16.8">
      <c r="A7693" s="165"/>
      <c r="B7693" s="171"/>
      <c r="C7693" s="165"/>
    </row>
    <row r="7694" spans="1:3" ht="16.8">
      <c r="A7694" s="165"/>
      <c r="B7694" s="171"/>
      <c r="C7694" s="165"/>
    </row>
    <row r="7695" spans="1:3" ht="16.8">
      <c r="A7695" s="165"/>
      <c r="B7695" s="171"/>
      <c r="C7695" s="165"/>
    </row>
    <row r="7696" spans="1:3" ht="16.8">
      <c r="A7696" s="165"/>
      <c r="B7696" s="171"/>
      <c r="C7696" s="165"/>
    </row>
    <row r="7697" spans="1:3" ht="16.8">
      <c r="A7697" s="165"/>
      <c r="B7697" s="171"/>
      <c r="C7697" s="165"/>
    </row>
    <row r="7698" spans="1:3" ht="16.8">
      <c r="A7698" s="165"/>
      <c r="B7698" s="171"/>
      <c r="C7698" s="165"/>
    </row>
    <row r="7699" spans="1:3" ht="16.8">
      <c r="A7699" s="165"/>
      <c r="B7699" s="171"/>
      <c r="C7699" s="165"/>
    </row>
    <row r="7700" spans="1:3" ht="16.8">
      <c r="A7700" s="165"/>
      <c r="B7700" s="171"/>
      <c r="C7700" s="165"/>
    </row>
    <row r="7701" spans="1:3" ht="16.8">
      <c r="A7701" s="165"/>
      <c r="B7701" s="171"/>
      <c r="C7701" s="165"/>
    </row>
    <row r="7702" spans="1:3" ht="16.8">
      <c r="A7702" s="165"/>
      <c r="B7702" s="171"/>
      <c r="C7702" s="165"/>
    </row>
    <row r="7703" spans="1:3" ht="16.8">
      <c r="A7703" s="165"/>
      <c r="B7703" s="171"/>
      <c r="C7703" s="165"/>
    </row>
    <row r="7704" spans="1:3" ht="16.8">
      <c r="A7704" s="165"/>
      <c r="B7704" s="171"/>
      <c r="C7704" s="165"/>
    </row>
    <row r="7705" spans="1:3" ht="16.8">
      <c r="A7705" s="165"/>
      <c r="B7705" s="171"/>
      <c r="C7705" s="165"/>
    </row>
    <row r="7706" spans="1:3" ht="16.8">
      <c r="A7706" s="165"/>
      <c r="B7706" s="171"/>
      <c r="C7706" s="165"/>
    </row>
    <row r="7707" spans="1:3" ht="16.8">
      <c r="A7707" s="165"/>
      <c r="B7707" s="171"/>
      <c r="C7707" s="165"/>
    </row>
    <row r="7708" spans="1:3" ht="16.8">
      <c r="A7708" s="165"/>
      <c r="B7708" s="171"/>
      <c r="C7708" s="165"/>
    </row>
    <row r="7709" spans="1:3" ht="16.8">
      <c r="A7709" s="165"/>
      <c r="B7709" s="171"/>
      <c r="C7709" s="165"/>
    </row>
    <row r="7710" spans="1:3" ht="16.8">
      <c r="A7710" s="165"/>
      <c r="B7710" s="171"/>
      <c r="C7710" s="165"/>
    </row>
    <row r="7711" spans="1:3" ht="16.8">
      <c r="A7711" s="165"/>
      <c r="B7711" s="171"/>
      <c r="C7711" s="165"/>
    </row>
    <row r="7712" spans="1:3" ht="16.8">
      <c r="A7712" s="165"/>
      <c r="B7712" s="171"/>
      <c r="C7712" s="165"/>
    </row>
    <row r="7713" spans="1:3" ht="16.8">
      <c r="A7713" s="165"/>
      <c r="B7713" s="171"/>
      <c r="C7713" s="165"/>
    </row>
    <row r="7714" spans="1:3" ht="16.8">
      <c r="A7714" s="165"/>
      <c r="B7714" s="171"/>
      <c r="C7714" s="165"/>
    </row>
    <row r="7715" spans="1:3" ht="16.8">
      <c r="A7715" s="165"/>
      <c r="B7715" s="171"/>
      <c r="C7715" s="165"/>
    </row>
    <row r="7716" spans="1:3" ht="16.8">
      <c r="A7716" s="165"/>
      <c r="B7716" s="171"/>
      <c r="C7716" s="165"/>
    </row>
    <row r="7717" spans="1:3" ht="16.8">
      <c r="A7717" s="165"/>
      <c r="B7717" s="171"/>
      <c r="C7717" s="165"/>
    </row>
    <row r="7718" spans="1:3" ht="16.8">
      <c r="A7718" s="165"/>
      <c r="B7718" s="171"/>
      <c r="C7718" s="165"/>
    </row>
    <row r="7719" spans="1:3" ht="16.8">
      <c r="A7719" s="165"/>
      <c r="B7719" s="171"/>
      <c r="C7719" s="165"/>
    </row>
    <row r="7720" spans="1:3" ht="16.8">
      <c r="A7720" s="165"/>
      <c r="B7720" s="171"/>
      <c r="C7720" s="165"/>
    </row>
    <row r="7721" spans="1:3" ht="16.8">
      <c r="A7721" s="165"/>
      <c r="B7721" s="171"/>
      <c r="C7721" s="165"/>
    </row>
    <row r="7722" spans="1:3" ht="16.8">
      <c r="A7722" s="165"/>
      <c r="B7722" s="171"/>
      <c r="C7722" s="165"/>
    </row>
    <row r="7723" spans="1:3" ht="16.8">
      <c r="A7723" s="165"/>
      <c r="B7723" s="171"/>
      <c r="C7723" s="165"/>
    </row>
    <row r="7724" spans="1:3" ht="16.8">
      <c r="A7724" s="165"/>
      <c r="B7724" s="171"/>
      <c r="C7724" s="165"/>
    </row>
    <row r="7725" spans="1:3" ht="16.8">
      <c r="A7725" s="165"/>
      <c r="B7725" s="171"/>
      <c r="C7725" s="165"/>
    </row>
    <row r="7726" spans="1:3" ht="16.8">
      <c r="A7726" s="165"/>
      <c r="B7726" s="171"/>
      <c r="C7726" s="165"/>
    </row>
    <row r="7727" spans="1:3" ht="16.8">
      <c r="A7727" s="165"/>
      <c r="B7727" s="171"/>
      <c r="C7727" s="165"/>
    </row>
    <row r="7728" spans="1:3" ht="16.8">
      <c r="A7728" s="165"/>
      <c r="B7728" s="171"/>
      <c r="C7728" s="165"/>
    </row>
    <row r="7729" spans="1:3" ht="16.8">
      <c r="A7729" s="165"/>
      <c r="B7729" s="171"/>
      <c r="C7729" s="165"/>
    </row>
    <row r="7730" spans="1:3" ht="16.8">
      <c r="A7730" s="165"/>
      <c r="B7730" s="171"/>
      <c r="C7730" s="165"/>
    </row>
    <row r="7731" spans="1:3" ht="16.8">
      <c r="A7731" s="165"/>
      <c r="B7731" s="171"/>
      <c r="C7731" s="165"/>
    </row>
    <row r="7732" spans="1:3" ht="16.8">
      <c r="A7732" s="165"/>
      <c r="B7732" s="171"/>
      <c r="C7732" s="165"/>
    </row>
    <row r="7733" spans="1:3" ht="16.8">
      <c r="A7733" s="165"/>
      <c r="B7733" s="171"/>
      <c r="C7733" s="165"/>
    </row>
    <row r="7734" spans="1:3" ht="16.8">
      <c r="A7734" s="165"/>
      <c r="B7734" s="171"/>
      <c r="C7734" s="165"/>
    </row>
    <row r="7735" spans="1:3" ht="16.8">
      <c r="A7735" s="165"/>
      <c r="B7735" s="171"/>
      <c r="C7735" s="165"/>
    </row>
    <row r="7736" spans="1:3" ht="16.8">
      <c r="A7736" s="165"/>
      <c r="B7736" s="171"/>
      <c r="C7736" s="165"/>
    </row>
    <row r="7737" spans="1:3" ht="16.8">
      <c r="A7737" s="165"/>
      <c r="B7737" s="171"/>
      <c r="C7737" s="165"/>
    </row>
    <row r="7738" spans="1:3" ht="16.8">
      <c r="A7738" s="165"/>
      <c r="B7738" s="171"/>
      <c r="C7738" s="165"/>
    </row>
    <row r="7739" spans="1:3" ht="16.8">
      <c r="A7739" s="165"/>
      <c r="B7739" s="171"/>
      <c r="C7739" s="165"/>
    </row>
    <row r="7740" spans="1:3" ht="16.8">
      <c r="A7740" s="165"/>
      <c r="B7740" s="171"/>
      <c r="C7740" s="165"/>
    </row>
    <row r="7741" spans="1:3" ht="16.8">
      <c r="A7741" s="165"/>
      <c r="B7741" s="171"/>
      <c r="C7741" s="165"/>
    </row>
    <row r="7742" spans="1:3" ht="16.8">
      <c r="A7742" s="165"/>
      <c r="B7742" s="171"/>
      <c r="C7742" s="165"/>
    </row>
    <row r="7743" spans="1:3" ht="16.8">
      <c r="A7743" s="165"/>
      <c r="B7743" s="171"/>
      <c r="C7743" s="165"/>
    </row>
    <row r="7744" spans="1:3" ht="16.8">
      <c r="A7744" s="165"/>
      <c r="B7744" s="171"/>
      <c r="C7744" s="165"/>
    </row>
    <row r="7745" spans="1:3" ht="16.8">
      <c r="A7745" s="165"/>
      <c r="B7745" s="171"/>
      <c r="C7745" s="165"/>
    </row>
    <row r="7746" spans="1:3" ht="16.8">
      <c r="A7746" s="165"/>
      <c r="B7746" s="171"/>
      <c r="C7746" s="165"/>
    </row>
    <row r="7747" spans="1:3" ht="16.8">
      <c r="A7747" s="165"/>
      <c r="B7747" s="171"/>
      <c r="C7747" s="165"/>
    </row>
    <row r="7748" spans="1:3" ht="16.8">
      <c r="A7748" s="165"/>
      <c r="B7748" s="171"/>
      <c r="C7748" s="165"/>
    </row>
    <row r="7749" spans="1:3" ht="16.8">
      <c r="A7749" s="165"/>
      <c r="B7749" s="171"/>
      <c r="C7749" s="165"/>
    </row>
    <row r="7750" spans="1:3" ht="16.8">
      <c r="A7750" s="165"/>
      <c r="B7750" s="171"/>
      <c r="C7750" s="165"/>
    </row>
    <row r="7751" spans="1:3" ht="16.8">
      <c r="A7751" s="165"/>
      <c r="B7751" s="171"/>
      <c r="C7751" s="165"/>
    </row>
    <row r="7752" spans="1:3" ht="16.8">
      <c r="A7752" s="165"/>
      <c r="B7752" s="171"/>
      <c r="C7752" s="165"/>
    </row>
    <row r="7753" spans="1:3" ht="16.8">
      <c r="A7753" s="165"/>
      <c r="B7753" s="171"/>
      <c r="C7753" s="165"/>
    </row>
    <row r="7754" spans="1:3" ht="16.8">
      <c r="A7754" s="165"/>
      <c r="B7754" s="171"/>
      <c r="C7754" s="165"/>
    </row>
    <row r="7755" spans="1:3" ht="16.8">
      <c r="A7755" s="165"/>
      <c r="B7755" s="171"/>
      <c r="C7755" s="165"/>
    </row>
    <row r="7756" spans="1:3" ht="16.8">
      <c r="A7756" s="165"/>
      <c r="B7756" s="171"/>
      <c r="C7756" s="165"/>
    </row>
    <row r="7757" spans="1:3" ht="16.8">
      <c r="A7757" s="165"/>
      <c r="B7757" s="171"/>
      <c r="C7757" s="165"/>
    </row>
    <row r="7758" spans="1:3" ht="16.8">
      <c r="A7758" s="165"/>
      <c r="B7758" s="171"/>
      <c r="C7758" s="165"/>
    </row>
    <row r="7759" spans="1:3" ht="16.8">
      <c r="A7759" s="165"/>
      <c r="B7759" s="171"/>
      <c r="C7759" s="165"/>
    </row>
    <row r="7760" spans="1:3" ht="16.8">
      <c r="A7760" s="165"/>
      <c r="B7760" s="171"/>
      <c r="C7760" s="165"/>
    </row>
    <row r="7761" spans="1:3" ht="16.8">
      <c r="A7761" s="165"/>
      <c r="B7761" s="171"/>
      <c r="C7761" s="165"/>
    </row>
    <row r="7762" spans="1:3" ht="16.8">
      <c r="A7762" s="165"/>
      <c r="B7762" s="171"/>
      <c r="C7762" s="165"/>
    </row>
    <row r="7763" spans="1:3" ht="16.8">
      <c r="A7763" s="165"/>
      <c r="B7763" s="171"/>
      <c r="C7763" s="165"/>
    </row>
    <row r="7764" spans="1:3" ht="16.8">
      <c r="A7764" s="165"/>
      <c r="B7764" s="171"/>
      <c r="C7764" s="165"/>
    </row>
    <row r="7765" spans="1:3" ht="16.8">
      <c r="A7765" s="165"/>
      <c r="B7765" s="171"/>
      <c r="C7765" s="165"/>
    </row>
    <row r="7766" spans="1:3" ht="16.8">
      <c r="A7766" s="165"/>
      <c r="B7766" s="171"/>
      <c r="C7766" s="165"/>
    </row>
    <row r="7767" spans="1:3" ht="16.8">
      <c r="A7767" s="165"/>
      <c r="B7767" s="171"/>
      <c r="C7767" s="165"/>
    </row>
    <row r="7768" spans="1:3" ht="16.8">
      <c r="A7768" s="165"/>
      <c r="B7768" s="171"/>
      <c r="C7768" s="165"/>
    </row>
    <row r="7769" spans="1:3" ht="16.8">
      <c r="A7769" s="165"/>
      <c r="B7769" s="171"/>
      <c r="C7769" s="165"/>
    </row>
    <row r="7770" spans="1:3" ht="16.8">
      <c r="A7770" s="165"/>
      <c r="B7770" s="171"/>
      <c r="C7770" s="165"/>
    </row>
    <row r="7771" spans="1:3" ht="16.8">
      <c r="A7771" s="165"/>
      <c r="B7771" s="171"/>
      <c r="C7771" s="165"/>
    </row>
    <row r="7772" spans="1:3" ht="16.8">
      <c r="A7772" s="165"/>
      <c r="B7772" s="171"/>
      <c r="C7772" s="165"/>
    </row>
    <row r="7773" spans="1:3" ht="16.8">
      <c r="A7773" s="165"/>
      <c r="B7773" s="171"/>
      <c r="C7773" s="165"/>
    </row>
    <row r="7774" spans="1:3" ht="16.8">
      <c r="A7774" s="165"/>
      <c r="B7774" s="171"/>
      <c r="C7774" s="165"/>
    </row>
    <row r="7775" spans="1:3" ht="16.8">
      <c r="A7775" s="165"/>
      <c r="B7775" s="171"/>
      <c r="C7775" s="165"/>
    </row>
    <row r="7776" spans="1:3" ht="16.8">
      <c r="A7776" s="165"/>
      <c r="B7776" s="171"/>
      <c r="C7776" s="165"/>
    </row>
    <row r="7777" spans="1:3" ht="16.8">
      <c r="A7777" s="165"/>
      <c r="B7777" s="171"/>
      <c r="C7777" s="165"/>
    </row>
    <row r="7778" spans="1:3" ht="16.8">
      <c r="A7778" s="165"/>
      <c r="B7778" s="171"/>
      <c r="C7778" s="165"/>
    </row>
    <row r="7779" spans="1:3" ht="16.8">
      <c r="A7779" s="165"/>
      <c r="B7779" s="171"/>
      <c r="C7779" s="165"/>
    </row>
    <row r="7780" spans="1:3" ht="16.8">
      <c r="A7780" s="165"/>
      <c r="B7780" s="171"/>
      <c r="C7780" s="165"/>
    </row>
    <row r="7781" spans="1:3" ht="16.8">
      <c r="A7781" s="165"/>
      <c r="B7781" s="171"/>
      <c r="C7781" s="165"/>
    </row>
    <row r="7782" spans="1:3" ht="16.8">
      <c r="A7782" s="165"/>
      <c r="B7782" s="171"/>
      <c r="C7782" s="165"/>
    </row>
    <row r="7783" spans="1:3" ht="16.8">
      <c r="A7783" s="165"/>
      <c r="B7783" s="171"/>
      <c r="C7783" s="165"/>
    </row>
    <row r="7784" spans="1:3" ht="16.8">
      <c r="A7784" s="165"/>
      <c r="B7784" s="171"/>
      <c r="C7784" s="165"/>
    </row>
    <row r="7785" spans="1:3" ht="16.8">
      <c r="A7785" s="165"/>
      <c r="B7785" s="171"/>
      <c r="C7785" s="165"/>
    </row>
    <row r="7786" spans="1:3" ht="16.8">
      <c r="A7786" s="165"/>
      <c r="B7786" s="171"/>
      <c r="C7786" s="165"/>
    </row>
    <row r="7787" spans="1:3" ht="16.8">
      <c r="A7787" s="165"/>
      <c r="B7787" s="171"/>
      <c r="C7787" s="165"/>
    </row>
    <row r="7788" spans="1:3" ht="16.8">
      <c r="A7788" s="165"/>
      <c r="B7788" s="171"/>
      <c r="C7788" s="165"/>
    </row>
    <row r="7789" spans="1:3" ht="16.8">
      <c r="A7789" s="165"/>
      <c r="B7789" s="171"/>
      <c r="C7789" s="165"/>
    </row>
    <row r="7790" spans="1:3" ht="16.8">
      <c r="A7790" s="165"/>
      <c r="B7790" s="171"/>
      <c r="C7790" s="165"/>
    </row>
    <row r="7791" spans="1:3" ht="16.8">
      <c r="A7791" s="165"/>
      <c r="B7791" s="171"/>
      <c r="C7791" s="165"/>
    </row>
    <row r="7792" spans="1:3" ht="16.8">
      <c r="A7792" s="165"/>
      <c r="B7792" s="171"/>
      <c r="C7792" s="165"/>
    </row>
    <row r="7793" spans="1:3" ht="16.8">
      <c r="A7793" s="165"/>
      <c r="B7793" s="171"/>
      <c r="C7793" s="165"/>
    </row>
    <row r="7794" spans="1:3" ht="16.8">
      <c r="A7794" s="165"/>
      <c r="B7794" s="171"/>
      <c r="C7794" s="165"/>
    </row>
    <row r="7795" spans="1:3" ht="16.8">
      <c r="A7795" s="165"/>
      <c r="B7795" s="171"/>
      <c r="C7795" s="165"/>
    </row>
    <row r="7796" spans="1:3" ht="16.8">
      <c r="A7796" s="165"/>
      <c r="B7796" s="171"/>
      <c r="C7796" s="165"/>
    </row>
    <row r="7797" spans="1:3" ht="16.8">
      <c r="A7797" s="165"/>
      <c r="B7797" s="171"/>
      <c r="C7797" s="165"/>
    </row>
    <row r="7798" spans="1:3" ht="16.8">
      <c r="A7798" s="165"/>
      <c r="B7798" s="171"/>
      <c r="C7798" s="165"/>
    </row>
    <row r="7799" spans="1:3" ht="16.8">
      <c r="A7799" s="165"/>
      <c r="B7799" s="171"/>
      <c r="C7799" s="165"/>
    </row>
    <row r="7800" spans="1:3" ht="16.8">
      <c r="A7800" s="165"/>
      <c r="B7800" s="171"/>
      <c r="C7800" s="165"/>
    </row>
    <row r="7801" spans="1:3" ht="16.8">
      <c r="A7801" s="165"/>
      <c r="B7801" s="171"/>
      <c r="C7801" s="165"/>
    </row>
    <row r="7802" spans="1:3" ht="16.8">
      <c r="A7802" s="165"/>
      <c r="B7802" s="171"/>
      <c r="C7802" s="165"/>
    </row>
    <row r="7803" spans="1:3" ht="16.8">
      <c r="A7803" s="165"/>
      <c r="B7803" s="171"/>
      <c r="C7803" s="165"/>
    </row>
    <row r="7804" spans="1:3" ht="16.8">
      <c r="A7804" s="165"/>
      <c r="B7804" s="171"/>
      <c r="C7804" s="165"/>
    </row>
    <row r="7805" spans="1:3" ht="16.8">
      <c r="A7805" s="165"/>
      <c r="B7805" s="171"/>
      <c r="C7805" s="165"/>
    </row>
    <row r="7806" spans="1:3" ht="16.8">
      <c r="A7806" s="165"/>
      <c r="B7806" s="171"/>
      <c r="C7806" s="165"/>
    </row>
    <row r="7807" spans="1:3" ht="16.8">
      <c r="A7807" s="165"/>
      <c r="B7807" s="171"/>
      <c r="C7807" s="165"/>
    </row>
    <row r="7808" spans="1:3" ht="16.8">
      <c r="A7808" s="165"/>
      <c r="B7808" s="171"/>
      <c r="C7808" s="165"/>
    </row>
    <row r="7809" spans="1:3" ht="16.8">
      <c r="A7809" s="165"/>
      <c r="B7809" s="171"/>
      <c r="C7809" s="165"/>
    </row>
    <row r="7810" spans="1:3" ht="16.8">
      <c r="A7810" s="165"/>
      <c r="B7810" s="171"/>
      <c r="C7810" s="165"/>
    </row>
    <row r="7811" spans="1:3" ht="16.8">
      <c r="A7811" s="165"/>
      <c r="B7811" s="171"/>
      <c r="C7811" s="165"/>
    </row>
    <row r="7812" spans="1:3" ht="16.8">
      <c r="A7812" s="165"/>
      <c r="B7812" s="171"/>
      <c r="C7812" s="165"/>
    </row>
    <row r="7813" spans="1:3" ht="16.8">
      <c r="A7813" s="165"/>
      <c r="B7813" s="171"/>
      <c r="C7813" s="165"/>
    </row>
    <row r="7814" spans="1:3" ht="16.8">
      <c r="A7814" s="165"/>
      <c r="B7814" s="171"/>
      <c r="C7814" s="165"/>
    </row>
    <row r="7815" spans="1:3" ht="16.8">
      <c r="A7815" s="165"/>
      <c r="B7815" s="171"/>
      <c r="C7815" s="165"/>
    </row>
    <row r="7816" spans="1:3" ht="16.8">
      <c r="A7816" s="165"/>
      <c r="B7816" s="171"/>
      <c r="C7816" s="165"/>
    </row>
    <row r="7817" spans="1:3" ht="16.8">
      <c r="A7817" s="165"/>
      <c r="B7817" s="171"/>
      <c r="C7817" s="165"/>
    </row>
    <row r="7818" spans="1:3" ht="16.8">
      <c r="A7818" s="165"/>
      <c r="B7818" s="171"/>
      <c r="C7818" s="165"/>
    </row>
    <row r="7819" spans="1:3" ht="16.8">
      <c r="A7819" s="165"/>
      <c r="B7819" s="171"/>
      <c r="C7819" s="165"/>
    </row>
    <row r="7820" spans="1:3" ht="16.8">
      <c r="A7820" s="165"/>
      <c r="B7820" s="171"/>
      <c r="C7820" s="165"/>
    </row>
    <row r="7821" spans="1:3" ht="16.8">
      <c r="A7821" s="165"/>
      <c r="B7821" s="171"/>
      <c r="C7821" s="165"/>
    </row>
    <row r="7822" spans="1:3" ht="16.8">
      <c r="A7822" s="165"/>
      <c r="B7822" s="171"/>
      <c r="C7822" s="165"/>
    </row>
    <row r="7823" spans="1:3" ht="16.8">
      <c r="A7823" s="165"/>
      <c r="B7823" s="171"/>
      <c r="C7823" s="165"/>
    </row>
    <row r="7824" spans="1:3" ht="16.8">
      <c r="A7824" s="165"/>
      <c r="B7824" s="171"/>
      <c r="C7824" s="165"/>
    </row>
    <row r="7825" spans="1:3" ht="16.8">
      <c r="A7825" s="165"/>
      <c r="B7825" s="171"/>
      <c r="C7825" s="165"/>
    </row>
    <row r="7826" spans="1:3" ht="16.8">
      <c r="A7826" s="165"/>
      <c r="B7826" s="171"/>
      <c r="C7826" s="165"/>
    </row>
    <row r="7827" spans="1:3" ht="16.8">
      <c r="A7827" s="165"/>
      <c r="B7827" s="171"/>
      <c r="C7827" s="165"/>
    </row>
    <row r="7828" spans="1:3" ht="16.8">
      <c r="A7828" s="165"/>
      <c r="B7828" s="171"/>
      <c r="C7828" s="165"/>
    </row>
    <row r="7829" spans="1:3" ht="16.8">
      <c r="A7829" s="165"/>
      <c r="B7829" s="171"/>
      <c r="C7829" s="165"/>
    </row>
    <row r="7830" spans="1:3" ht="16.8">
      <c r="A7830" s="165"/>
      <c r="B7830" s="171"/>
      <c r="C7830" s="165"/>
    </row>
    <row r="7831" spans="1:3" ht="16.8">
      <c r="A7831" s="165"/>
      <c r="B7831" s="171"/>
      <c r="C7831" s="165"/>
    </row>
    <row r="7832" spans="1:3" ht="16.8">
      <c r="A7832" s="165"/>
      <c r="B7832" s="171"/>
      <c r="C7832" s="165"/>
    </row>
    <row r="7833" spans="1:3" ht="16.8">
      <c r="A7833" s="165"/>
      <c r="B7833" s="171"/>
      <c r="C7833" s="165"/>
    </row>
    <row r="7834" spans="1:3" ht="16.8">
      <c r="A7834" s="165"/>
      <c r="B7834" s="171"/>
      <c r="C7834" s="165"/>
    </row>
    <row r="7835" spans="1:3" ht="16.8">
      <c r="A7835" s="165"/>
      <c r="B7835" s="171"/>
      <c r="C7835" s="165"/>
    </row>
    <row r="7836" spans="1:3" ht="16.8">
      <c r="A7836" s="165"/>
      <c r="B7836" s="171"/>
      <c r="C7836" s="165"/>
    </row>
    <row r="7837" spans="1:3" ht="16.8">
      <c r="A7837" s="165"/>
      <c r="B7837" s="171"/>
      <c r="C7837" s="165"/>
    </row>
    <row r="7838" spans="1:3" ht="16.8">
      <c r="A7838" s="165"/>
      <c r="B7838" s="171"/>
      <c r="C7838" s="165"/>
    </row>
    <row r="7839" spans="1:3" ht="16.8">
      <c r="A7839" s="165"/>
      <c r="B7839" s="171"/>
      <c r="C7839" s="165"/>
    </row>
    <row r="7840" spans="1:3" ht="16.8">
      <c r="A7840" s="165"/>
      <c r="B7840" s="171"/>
      <c r="C7840" s="165"/>
    </row>
    <row r="7841" spans="1:3" ht="16.8">
      <c r="A7841" s="165"/>
      <c r="B7841" s="171"/>
      <c r="C7841" s="165"/>
    </row>
    <row r="7842" spans="1:3" ht="16.8">
      <c r="A7842" s="165"/>
      <c r="B7842" s="171"/>
      <c r="C7842" s="165"/>
    </row>
    <row r="7843" spans="1:3" ht="16.8">
      <c r="A7843" s="165"/>
      <c r="B7843" s="171"/>
      <c r="C7843" s="165"/>
    </row>
    <row r="7844" spans="1:3" ht="16.8">
      <c r="A7844" s="165"/>
      <c r="B7844" s="171"/>
      <c r="C7844" s="165"/>
    </row>
    <row r="7845" spans="1:3" ht="16.8">
      <c r="A7845" s="165"/>
      <c r="B7845" s="171"/>
      <c r="C7845" s="165"/>
    </row>
    <row r="7846" spans="1:3" ht="16.8">
      <c r="A7846" s="165"/>
      <c r="B7846" s="171"/>
      <c r="C7846" s="165"/>
    </row>
    <row r="7847" spans="1:3" ht="16.8">
      <c r="A7847" s="165"/>
      <c r="B7847" s="171"/>
      <c r="C7847" s="165"/>
    </row>
    <row r="7848" spans="1:3" ht="16.8">
      <c r="A7848" s="165"/>
      <c r="B7848" s="171"/>
      <c r="C7848" s="165"/>
    </row>
    <row r="7849" spans="1:3" ht="16.8">
      <c r="A7849" s="165"/>
      <c r="B7849" s="171"/>
      <c r="C7849" s="165"/>
    </row>
    <row r="7850" spans="1:3" ht="16.8">
      <c r="A7850" s="165"/>
      <c r="B7850" s="171"/>
      <c r="C7850" s="165"/>
    </row>
    <row r="7851" spans="1:3" ht="16.8">
      <c r="A7851" s="165"/>
      <c r="B7851" s="171"/>
      <c r="C7851" s="165"/>
    </row>
    <row r="7852" spans="1:3" ht="16.8">
      <c r="A7852" s="165"/>
      <c r="B7852" s="171"/>
      <c r="C7852" s="165"/>
    </row>
    <row r="7853" spans="1:3" ht="16.8">
      <c r="A7853" s="165"/>
      <c r="B7853" s="171"/>
      <c r="C7853" s="165"/>
    </row>
    <row r="7854" spans="1:3" ht="16.8">
      <c r="A7854" s="165"/>
      <c r="B7854" s="171"/>
      <c r="C7854" s="165"/>
    </row>
    <row r="7855" spans="1:3" ht="16.8">
      <c r="A7855" s="165"/>
      <c r="B7855" s="171"/>
      <c r="C7855" s="165"/>
    </row>
    <row r="7856" spans="1:3" ht="16.8">
      <c r="A7856" s="165"/>
      <c r="B7856" s="171"/>
      <c r="C7856" s="165"/>
    </row>
    <row r="7857" spans="1:3" ht="16.8">
      <c r="A7857" s="165"/>
      <c r="B7857" s="171"/>
      <c r="C7857" s="165"/>
    </row>
    <row r="7858" spans="1:3" ht="16.8">
      <c r="A7858" s="165"/>
      <c r="B7858" s="171"/>
      <c r="C7858" s="165"/>
    </row>
    <row r="7859" spans="1:3" ht="16.8">
      <c r="A7859" s="165"/>
      <c r="B7859" s="171"/>
      <c r="C7859" s="165"/>
    </row>
    <row r="7860" spans="1:3" ht="16.8">
      <c r="A7860" s="165"/>
      <c r="B7860" s="171"/>
      <c r="C7860" s="165"/>
    </row>
    <row r="7861" spans="1:3" ht="16.8">
      <c r="A7861" s="165"/>
      <c r="B7861" s="171"/>
      <c r="C7861" s="165"/>
    </row>
    <row r="7862" spans="1:3" ht="16.8">
      <c r="A7862" s="165"/>
      <c r="B7862" s="171"/>
      <c r="C7862" s="165"/>
    </row>
    <row r="7863" spans="1:3" ht="16.8">
      <c r="A7863" s="165"/>
      <c r="B7863" s="171"/>
      <c r="C7863" s="165"/>
    </row>
    <row r="7864" spans="1:3" ht="16.8">
      <c r="A7864" s="165"/>
      <c r="B7864" s="171"/>
      <c r="C7864" s="165"/>
    </row>
    <row r="7865" spans="1:3" ht="16.8">
      <c r="A7865" s="165"/>
      <c r="B7865" s="171"/>
      <c r="C7865" s="165"/>
    </row>
    <row r="7866" spans="1:3" ht="16.8">
      <c r="A7866" s="165"/>
      <c r="B7866" s="171"/>
      <c r="C7866" s="165"/>
    </row>
    <row r="7867" spans="1:3" ht="16.8">
      <c r="A7867" s="165"/>
      <c r="B7867" s="171"/>
      <c r="C7867" s="165"/>
    </row>
    <row r="7868" spans="1:3" ht="16.8">
      <c r="A7868" s="165"/>
      <c r="B7868" s="171"/>
      <c r="C7868" s="165"/>
    </row>
    <row r="7869" spans="1:3" ht="16.8">
      <c r="A7869" s="165"/>
      <c r="B7869" s="171"/>
      <c r="C7869" s="165"/>
    </row>
    <row r="7870" spans="1:3" ht="16.8">
      <c r="A7870" s="165"/>
      <c r="B7870" s="171"/>
      <c r="C7870" s="165"/>
    </row>
    <row r="7871" spans="1:3" ht="16.8">
      <c r="A7871" s="165"/>
      <c r="B7871" s="171"/>
      <c r="C7871" s="165"/>
    </row>
    <row r="7872" spans="1:3" ht="16.8">
      <c r="A7872" s="165"/>
      <c r="B7872" s="171"/>
      <c r="C7872" s="165"/>
    </row>
    <row r="7873" spans="1:3" ht="16.8">
      <c r="A7873" s="165"/>
      <c r="B7873" s="171"/>
      <c r="C7873" s="165"/>
    </row>
    <row r="7874" spans="1:3" ht="16.8">
      <c r="A7874" s="165"/>
      <c r="B7874" s="171"/>
      <c r="C7874" s="165"/>
    </row>
    <row r="7875" spans="1:3" ht="16.8">
      <c r="A7875" s="165"/>
      <c r="B7875" s="171"/>
      <c r="C7875" s="165"/>
    </row>
    <row r="7876" spans="1:3" ht="16.8">
      <c r="A7876" s="165"/>
      <c r="B7876" s="171"/>
      <c r="C7876" s="165"/>
    </row>
    <row r="7877" spans="1:3" ht="16.8">
      <c r="A7877" s="165"/>
      <c r="B7877" s="171"/>
      <c r="C7877" s="165"/>
    </row>
    <row r="7878" spans="1:3" ht="16.8">
      <c r="A7878" s="165"/>
      <c r="B7878" s="171"/>
      <c r="C7878" s="165"/>
    </row>
    <row r="7879" spans="1:3" ht="16.8">
      <c r="A7879" s="165"/>
      <c r="B7879" s="171"/>
      <c r="C7879" s="165"/>
    </row>
    <row r="7880" spans="1:3" ht="16.8">
      <c r="A7880" s="165"/>
      <c r="B7880" s="171"/>
      <c r="C7880" s="165"/>
    </row>
    <row r="7881" spans="1:3" ht="16.8">
      <c r="A7881" s="165"/>
      <c r="B7881" s="171"/>
      <c r="C7881" s="165"/>
    </row>
    <row r="7882" spans="1:3" ht="16.8">
      <c r="A7882" s="165"/>
      <c r="B7882" s="171"/>
      <c r="C7882" s="165"/>
    </row>
    <row r="7883" spans="1:3" ht="16.8">
      <c r="A7883" s="165"/>
      <c r="B7883" s="171"/>
      <c r="C7883" s="165"/>
    </row>
    <row r="7884" spans="1:3" ht="16.8">
      <c r="A7884" s="165"/>
      <c r="B7884" s="171"/>
      <c r="C7884" s="165"/>
    </row>
    <row r="7885" spans="1:3" ht="16.8">
      <c r="A7885" s="165"/>
      <c r="B7885" s="171"/>
      <c r="C7885" s="165"/>
    </row>
    <row r="7886" spans="1:3" ht="16.8">
      <c r="A7886" s="165"/>
      <c r="B7886" s="171"/>
      <c r="C7886" s="165"/>
    </row>
    <row r="7887" spans="1:3" ht="16.8">
      <c r="A7887" s="165"/>
      <c r="B7887" s="171"/>
      <c r="C7887" s="165"/>
    </row>
    <row r="7888" spans="1:3" ht="16.8">
      <c r="A7888" s="165"/>
      <c r="B7888" s="171"/>
      <c r="C7888" s="165"/>
    </row>
    <row r="7889" spans="1:3" ht="16.8">
      <c r="A7889" s="165"/>
      <c r="B7889" s="171"/>
      <c r="C7889" s="165"/>
    </row>
    <row r="7890" spans="1:3" ht="16.8">
      <c r="A7890" s="165"/>
      <c r="B7890" s="171"/>
      <c r="C7890" s="165"/>
    </row>
    <row r="7891" spans="1:3" ht="16.8">
      <c r="A7891" s="165"/>
      <c r="B7891" s="171"/>
      <c r="C7891" s="165"/>
    </row>
    <row r="7892" spans="1:3" ht="16.8">
      <c r="A7892" s="165"/>
      <c r="B7892" s="171"/>
      <c r="C7892" s="165"/>
    </row>
    <row r="7893" spans="1:3" ht="16.8">
      <c r="A7893" s="165"/>
      <c r="B7893" s="171"/>
      <c r="C7893" s="165"/>
    </row>
    <row r="7894" spans="1:3" ht="16.8">
      <c r="A7894" s="165"/>
      <c r="B7894" s="171"/>
      <c r="C7894" s="165"/>
    </row>
    <row r="7895" spans="1:3" ht="16.8">
      <c r="A7895" s="165"/>
      <c r="B7895" s="171"/>
      <c r="C7895" s="165"/>
    </row>
    <row r="7896" spans="1:3" ht="16.8">
      <c r="A7896" s="165"/>
      <c r="B7896" s="171"/>
      <c r="C7896" s="165"/>
    </row>
    <row r="7897" spans="1:3" ht="16.8">
      <c r="A7897" s="165"/>
      <c r="B7897" s="171"/>
      <c r="C7897" s="165"/>
    </row>
    <row r="7898" spans="1:3" ht="16.8">
      <c r="A7898" s="165"/>
      <c r="B7898" s="171"/>
      <c r="C7898" s="165"/>
    </row>
    <row r="7899" spans="1:3" ht="16.8">
      <c r="A7899" s="165"/>
      <c r="B7899" s="171"/>
      <c r="C7899" s="165"/>
    </row>
    <row r="7900" spans="1:3" ht="16.8">
      <c r="A7900" s="165"/>
      <c r="B7900" s="171"/>
      <c r="C7900" s="165"/>
    </row>
    <row r="7901" spans="1:3" ht="16.8">
      <c r="A7901" s="165"/>
      <c r="B7901" s="171"/>
      <c r="C7901" s="165"/>
    </row>
    <row r="7902" spans="1:3" ht="16.8">
      <c r="A7902" s="165"/>
      <c r="B7902" s="171"/>
      <c r="C7902" s="165"/>
    </row>
    <row r="7903" spans="1:3" ht="16.8">
      <c r="A7903" s="165"/>
      <c r="B7903" s="171"/>
      <c r="C7903" s="165"/>
    </row>
    <row r="7904" spans="1:3" ht="16.8">
      <c r="A7904" s="165"/>
      <c r="B7904" s="171"/>
      <c r="C7904" s="165"/>
    </row>
    <row r="7905" spans="1:3" ht="16.8">
      <c r="A7905" s="165"/>
      <c r="B7905" s="171"/>
      <c r="C7905" s="165"/>
    </row>
    <row r="7906" spans="1:3" ht="16.8">
      <c r="A7906" s="165"/>
      <c r="B7906" s="171"/>
      <c r="C7906" s="165"/>
    </row>
    <row r="7907" spans="1:3" ht="16.8">
      <c r="A7907" s="165"/>
      <c r="B7907" s="171"/>
      <c r="C7907" s="165"/>
    </row>
    <row r="7908" spans="1:3" ht="16.8">
      <c r="A7908" s="165"/>
      <c r="B7908" s="171"/>
      <c r="C7908" s="165"/>
    </row>
    <row r="7909" spans="1:3" ht="16.8">
      <c r="A7909" s="165"/>
      <c r="B7909" s="171"/>
      <c r="C7909" s="165"/>
    </row>
    <row r="7910" spans="1:3" ht="16.8">
      <c r="A7910" s="165"/>
      <c r="B7910" s="171"/>
      <c r="C7910" s="165"/>
    </row>
    <row r="7911" spans="1:3" ht="16.8">
      <c r="A7911" s="165"/>
      <c r="B7911" s="171"/>
      <c r="C7911" s="165"/>
    </row>
    <row r="7912" spans="1:3" ht="16.8">
      <c r="A7912" s="165"/>
      <c r="B7912" s="171"/>
      <c r="C7912" s="165"/>
    </row>
    <row r="7913" spans="1:3" ht="16.8">
      <c r="A7913" s="165"/>
      <c r="B7913" s="171"/>
      <c r="C7913" s="165"/>
    </row>
    <row r="7914" spans="1:3" ht="16.8">
      <c r="A7914" s="165"/>
      <c r="B7914" s="171"/>
      <c r="C7914" s="165"/>
    </row>
    <row r="7915" spans="1:3" ht="16.8">
      <c r="A7915" s="165"/>
      <c r="B7915" s="171"/>
      <c r="C7915" s="165"/>
    </row>
    <row r="7916" spans="1:3" ht="16.8">
      <c r="A7916" s="165"/>
      <c r="B7916" s="171"/>
      <c r="C7916" s="165"/>
    </row>
    <row r="7917" spans="1:3" ht="16.8">
      <c r="A7917" s="165"/>
      <c r="B7917" s="171"/>
      <c r="C7917" s="165"/>
    </row>
    <row r="7918" spans="1:3" ht="16.8">
      <c r="A7918" s="165"/>
      <c r="B7918" s="171"/>
      <c r="C7918" s="165"/>
    </row>
    <row r="7919" spans="1:3" ht="16.8">
      <c r="A7919" s="165"/>
      <c r="B7919" s="171"/>
      <c r="C7919" s="165"/>
    </row>
    <row r="7920" spans="1:3" ht="16.8">
      <c r="A7920" s="165"/>
      <c r="B7920" s="171"/>
      <c r="C7920" s="165"/>
    </row>
    <row r="7921" spans="1:3" ht="16.8">
      <c r="A7921" s="165"/>
      <c r="B7921" s="171"/>
      <c r="C7921" s="165"/>
    </row>
    <row r="7922" spans="1:3" ht="16.8">
      <c r="A7922" s="165"/>
      <c r="B7922" s="171"/>
      <c r="C7922" s="165"/>
    </row>
    <row r="7923" spans="1:3" ht="16.8">
      <c r="A7923" s="165"/>
      <c r="B7923" s="171"/>
      <c r="C7923" s="165"/>
    </row>
    <row r="7924" spans="1:3" ht="16.8">
      <c r="A7924" s="165"/>
      <c r="B7924" s="171"/>
      <c r="C7924" s="165"/>
    </row>
    <row r="7925" spans="1:3" ht="16.8">
      <c r="A7925" s="165"/>
      <c r="B7925" s="171"/>
      <c r="C7925" s="165"/>
    </row>
    <row r="7926" spans="1:3" ht="16.8">
      <c r="A7926" s="165"/>
      <c r="B7926" s="171"/>
      <c r="C7926" s="165"/>
    </row>
    <row r="7927" spans="1:3" ht="16.8">
      <c r="A7927" s="165"/>
      <c r="B7927" s="171"/>
      <c r="C7927" s="165"/>
    </row>
    <row r="7928" spans="1:3" ht="16.8">
      <c r="A7928" s="165"/>
      <c r="B7928" s="171"/>
      <c r="C7928" s="165"/>
    </row>
    <row r="7929" spans="1:3" ht="16.8">
      <c r="A7929" s="165"/>
      <c r="B7929" s="171"/>
      <c r="C7929" s="165"/>
    </row>
    <row r="7930" spans="1:3" ht="16.8">
      <c r="A7930" s="165"/>
      <c r="B7930" s="171"/>
      <c r="C7930" s="165"/>
    </row>
    <row r="7931" spans="1:3" ht="16.8">
      <c r="A7931" s="165"/>
      <c r="B7931" s="171"/>
      <c r="C7931" s="165"/>
    </row>
    <row r="7932" spans="1:3" ht="16.8">
      <c r="A7932" s="165"/>
      <c r="B7932" s="171"/>
      <c r="C7932" s="165"/>
    </row>
    <row r="7933" spans="1:3" ht="16.8">
      <c r="A7933" s="165"/>
      <c r="B7933" s="171"/>
      <c r="C7933" s="165"/>
    </row>
    <row r="7934" spans="1:3" ht="16.8">
      <c r="A7934" s="165"/>
      <c r="B7934" s="171"/>
      <c r="C7934" s="165"/>
    </row>
    <row r="7935" spans="1:3" ht="16.8">
      <c r="A7935" s="165"/>
      <c r="B7935" s="171"/>
      <c r="C7935" s="165"/>
    </row>
    <row r="7936" spans="1:3" ht="16.8">
      <c r="A7936" s="165"/>
      <c r="B7936" s="171"/>
      <c r="C7936" s="165"/>
    </row>
    <row r="7937" spans="1:3" ht="16.8">
      <c r="A7937" s="165"/>
      <c r="B7937" s="171"/>
      <c r="C7937" s="165"/>
    </row>
    <row r="7938" spans="1:3" ht="16.8">
      <c r="A7938" s="165"/>
      <c r="B7938" s="171"/>
      <c r="C7938" s="165"/>
    </row>
    <row r="7939" spans="1:3" ht="16.8">
      <c r="A7939" s="165"/>
      <c r="B7939" s="171"/>
      <c r="C7939" s="165"/>
    </row>
    <row r="7940" spans="1:3" ht="16.8">
      <c r="A7940" s="165"/>
      <c r="B7940" s="171"/>
      <c r="C7940" s="165"/>
    </row>
    <row r="7941" spans="1:3" ht="16.8">
      <c r="A7941" s="165"/>
      <c r="B7941" s="171"/>
      <c r="C7941" s="165"/>
    </row>
    <row r="7942" spans="1:3" ht="16.8">
      <c r="A7942" s="165"/>
      <c r="B7942" s="171"/>
      <c r="C7942" s="165"/>
    </row>
    <row r="7943" spans="1:3" ht="16.8">
      <c r="A7943" s="165"/>
      <c r="B7943" s="171"/>
      <c r="C7943" s="165"/>
    </row>
    <row r="7944" spans="1:3" ht="16.8">
      <c r="A7944" s="165"/>
      <c r="B7944" s="171"/>
      <c r="C7944" s="165"/>
    </row>
    <row r="7945" spans="1:3" ht="16.8">
      <c r="A7945" s="165"/>
      <c r="B7945" s="171"/>
      <c r="C7945" s="165"/>
    </row>
    <row r="7946" spans="1:3" ht="16.8">
      <c r="A7946" s="165"/>
      <c r="B7946" s="171"/>
      <c r="C7946" s="165"/>
    </row>
    <row r="7947" spans="1:3" ht="16.8">
      <c r="A7947" s="165"/>
      <c r="B7947" s="171"/>
      <c r="C7947" s="165"/>
    </row>
    <row r="7948" spans="1:3" ht="16.8">
      <c r="A7948" s="165"/>
      <c r="B7948" s="171"/>
      <c r="C7948" s="165"/>
    </row>
    <row r="7949" spans="1:3" ht="16.8">
      <c r="A7949" s="165"/>
      <c r="B7949" s="171"/>
      <c r="C7949" s="165"/>
    </row>
    <row r="7950" spans="1:3" ht="16.8">
      <c r="A7950" s="165"/>
      <c r="B7950" s="171"/>
      <c r="C7950" s="165"/>
    </row>
    <row r="7951" spans="1:3" ht="16.8">
      <c r="A7951" s="165"/>
      <c r="B7951" s="171"/>
      <c r="C7951" s="165"/>
    </row>
    <row r="7952" spans="1:3" ht="16.8">
      <c r="A7952" s="165"/>
      <c r="B7952" s="171"/>
      <c r="C7952" s="165"/>
    </row>
    <row r="7953" spans="1:3" ht="16.8">
      <c r="A7953" s="165"/>
      <c r="B7953" s="171"/>
      <c r="C7953" s="165"/>
    </row>
    <row r="7954" spans="1:3" ht="16.8">
      <c r="A7954" s="165"/>
      <c r="B7954" s="171"/>
      <c r="C7954" s="165"/>
    </row>
    <row r="7955" spans="1:3" ht="16.8">
      <c r="A7955" s="165"/>
      <c r="B7955" s="171"/>
      <c r="C7955" s="165"/>
    </row>
    <row r="7956" spans="1:3" ht="16.8">
      <c r="A7956" s="165"/>
      <c r="B7956" s="171"/>
      <c r="C7956" s="165"/>
    </row>
    <row r="7957" spans="1:3" ht="16.8">
      <c r="A7957" s="165"/>
      <c r="B7957" s="171"/>
      <c r="C7957" s="165"/>
    </row>
    <row r="7958" spans="1:3" ht="16.8">
      <c r="A7958" s="165"/>
      <c r="B7958" s="171"/>
      <c r="C7958" s="165"/>
    </row>
    <row r="7959" spans="1:3" ht="16.8">
      <c r="A7959" s="165"/>
      <c r="B7959" s="171"/>
      <c r="C7959" s="165"/>
    </row>
    <row r="7960" spans="1:3" ht="16.8">
      <c r="A7960" s="165"/>
      <c r="B7960" s="171"/>
      <c r="C7960" s="165"/>
    </row>
    <row r="7961" spans="1:3" ht="16.8">
      <c r="A7961" s="165"/>
      <c r="B7961" s="171"/>
      <c r="C7961" s="165"/>
    </row>
    <row r="7962" spans="1:3" ht="16.8">
      <c r="A7962" s="165"/>
      <c r="B7962" s="171"/>
      <c r="C7962" s="165"/>
    </row>
    <row r="7963" spans="1:3" ht="16.8">
      <c r="A7963" s="165"/>
      <c r="B7963" s="171"/>
      <c r="C7963" s="165"/>
    </row>
    <row r="7964" spans="1:3" ht="16.8">
      <c r="A7964" s="165"/>
      <c r="B7964" s="171"/>
      <c r="C7964" s="165"/>
    </row>
    <row r="7965" spans="1:3" ht="16.8">
      <c r="A7965" s="165"/>
      <c r="B7965" s="171"/>
      <c r="C7965" s="165"/>
    </row>
    <row r="7966" spans="1:3" ht="16.8">
      <c r="A7966" s="165"/>
      <c r="B7966" s="171"/>
      <c r="C7966" s="165"/>
    </row>
    <row r="7967" spans="1:3" ht="16.8">
      <c r="A7967" s="165"/>
      <c r="B7967" s="171"/>
      <c r="C7967" s="165"/>
    </row>
    <row r="7968" spans="1:3" ht="16.8">
      <c r="A7968" s="165"/>
      <c r="B7968" s="171"/>
      <c r="C7968" s="165"/>
    </row>
    <row r="7969" spans="1:3" ht="16.8">
      <c r="A7969" s="165"/>
      <c r="B7969" s="171"/>
      <c r="C7969" s="165"/>
    </row>
    <row r="7970" spans="1:3" ht="16.8">
      <c r="A7970" s="165"/>
      <c r="B7970" s="171"/>
      <c r="C7970" s="165"/>
    </row>
    <row r="7971" spans="1:3" ht="16.8">
      <c r="A7971" s="165"/>
      <c r="B7971" s="171"/>
      <c r="C7971" s="165"/>
    </row>
    <row r="7972" spans="1:3" ht="16.8">
      <c r="A7972" s="165"/>
      <c r="B7972" s="171"/>
      <c r="C7972" s="165"/>
    </row>
    <row r="7973" spans="1:3" ht="16.8">
      <c r="A7973" s="165"/>
      <c r="B7973" s="171"/>
      <c r="C7973" s="165"/>
    </row>
    <row r="7974" spans="1:3" ht="16.8">
      <c r="A7974" s="165"/>
      <c r="B7974" s="171"/>
      <c r="C7974" s="165"/>
    </row>
    <row r="7975" spans="1:3" ht="16.8">
      <c r="A7975" s="165"/>
      <c r="B7975" s="171"/>
      <c r="C7975" s="165"/>
    </row>
    <row r="7976" spans="1:3" ht="16.8">
      <c r="A7976" s="165"/>
      <c r="B7976" s="171"/>
      <c r="C7976" s="165"/>
    </row>
    <row r="7977" spans="1:3" ht="16.8">
      <c r="A7977" s="165"/>
      <c r="B7977" s="171"/>
      <c r="C7977" s="165"/>
    </row>
    <row r="7978" spans="1:3" ht="16.8">
      <c r="A7978" s="165"/>
      <c r="B7978" s="171"/>
      <c r="C7978" s="165"/>
    </row>
    <row r="7979" spans="1:3" ht="16.8">
      <c r="A7979" s="165"/>
      <c r="B7979" s="171"/>
      <c r="C7979" s="165"/>
    </row>
    <row r="7980" spans="1:3" ht="16.8">
      <c r="A7980" s="165"/>
      <c r="B7980" s="171"/>
      <c r="C7980" s="165"/>
    </row>
    <row r="7981" spans="1:3" ht="16.8">
      <c r="A7981" s="165"/>
      <c r="B7981" s="171"/>
      <c r="C7981" s="165"/>
    </row>
    <row r="7982" spans="1:3" ht="16.8">
      <c r="A7982" s="165"/>
      <c r="B7982" s="171"/>
      <c r="C7982" s="165"/>
    </row>
    <row r="7983" spans="1:3" ht="16.8">
      <c r="A7983" s="165"/>
      <c r="B7983" s="171"/>
      <c r="C7983" s="165"/>
    </row>
    <row r="7984" spans="1:3" ht="16.8">
      <c r="A7984" s="165"/>
      <c r="B7984" s="171"/>
      <c r="C7984" s="165"/>
    </row>
    <row r="7985" spans="1:3" ht="16.8">
      <c r="A7985" s="165"/>
      <c r="B7985" s="171"/>
      <c r="C7985" s="165"/>
    </row>
    <row r="7986" spans="1:3" ht="16.8">
      <c r="A7986" s="165"/>
      <c r="B7986" s="171"/>
      <c r="C7986" s="165"/>
    </row>
    <row r="7987" spans="1:3" ht="16.8">
      <c r="A7987" s="165"/>
      <c r="B7987" s="171"/>
      <c r="C7987" s="165"/>
    </row>
    <row r="7988" spans="1:3" ht="16.8">
      <c r="A7988" s="165"/>
      <c r="B7988" s="171"/>
      <c r="C7988" s="165"/>
    </row>
    <row r="7989" spans="1:3" ht="16.8">
      <c r="A7989" s="165"/>
      <c r="B7989" s="171"/>
      <c r="C7989" s="165"/>
    </row>
    <row r="7990" spans="1:3" ht="16.8">
      <c r="A7990" s="165"/>
      <c r="B7990" s="171"/>
      <c r="C7990" s="165"/>
    </row>
    <row r="7991" spans="1:3" ht="16.8">
      <c r="A7991" s="165"/>
      <c r="B7991" s="171"/>
      <c r="C7991" s="165"/>
    </row>
    <row r="7992" spans="1:3" ht="16.8">
      <c r="A7992" s="165"/>
      <c r="B7992" s="171"/>
      <c r="C7992" s="165"/>
    </row>
    <row r="7993" spans="1:3" ht="16.8">
      <c r="A7993" s="165"/>
      <c r="B7993" s="171"/>
      <c r="C7993" s="165"/>
    </row>
    <row r="7994" spans="1:3" ht="16.8">
      <c r="A7994" s="165"/>
      <c r="B7994" s="171"/>
      <c r="C7994" s="165"/>
    </row>
    <row r="7995" spans="1:3" ht="16.8">
      <c r="A7995" s="165"/>
      <c r="B7995" s="171"/>
      <c r="C7995" s="165"/>
    </row>
    <row r="7996" spans="1:3" ht="16.8">
      <c r="A7996" s="165"/>
      <c r="B7996" s="171"/>
      <c r="C7996" s="165"/>
    </row>
    <row r="7997" spans="1:3" ht="16.8">
      <c r="A7997" s="165"/>
      <c r="B7997" s="171"/>
      <c r="C7997" s="165"/>
    </row>
    <row r="7998" spans="1:3" ht="16.8">
      <c r="A7998" s="165"/>
      <c r="B7998" s="171"/>
      <c r="C7998" s="165"/>
    </row>
    <row r="7999" spans="1:3" ht="16.8">
      <c r="A7999" s="165"/>
      <c r="B7999" s="171"/>
      <c r="C7999" s="165"/>
    </row>
    <row r="8000" spans="1:3" ht="16.8">
      <c r="A8000" s="165"/>
      <c r="B8000" s="171"/>
      <c r="C8000" s="165"/>
    </row>
    <row r="8001" spans="1:3" ht="16.8">
      <c r="A8001" s="165"/>
      <c r="B8001" s="171"/>
      <c r="C8001" s="165"/>
    </row>
    <row r="8002" spans="1:3" ht="16.8">
      <c r="A8002" s="165"/>
      <c r="B8002" s="171"/>
      <c r="C8002" s="165"/>
    </row>
    <row r="8003" spans="1:3" ht="16.8">
      <c r="A8003" s="165"/>
      <c r="B8003" s="171"/>
      <c r="C8003" s="165"/>
    </row>
    <row r="8004" spans="1:3" ht="16.8">
      <c r="A8004" s="165"/>
      <c r="B8004" s="171"/>
      <c r="C8004" s="165"/>
    </row>
    <row r="8005" spans="1:3" ht="16.8">
      <c r="A8005" s="165"/>
      <c r="B8005" s="171"/>
      <c r="C8005" s="165"/>
    </row>
    <row r="8006" spans="1:3" ht="16.8">
      <c r="A8006" s="165"/>
      <c r="B8006" s="171"/>
      <c r="C8006" s="165"/>
    </row>
    <row r="8007" spans="1:3" ht="16.8">
      <c r="A8007" s="165"/>
      <c r="B8007" s="171"/>
      <c r="C8007" s="165"/>
    </row>
    <row r="8008" spans="1:3" ht="16.8">
      <c r="A8008" s="165"/>
      <c r="B8008" s="171"/>
      <c r="C8008" s="165"/>
    </row>
    <row r="8009" spans="1:3" ht="16.8">
      <c r="A8009" s="165"/>
      <c r="B8009" s="171"/>
      <c r="C8009" s="165"/>
    </row>
    <row r="8010" spans="1:3" ht="16.8">
      <c r="A8010" s="165"/>
      <c r="B8010" s="171"/>
      <c r="C8010" s="165"/>
    </row>
    <row r="8011" spans="1:3" ht="16.8">
      <c r="A8011" s="165"/>
      <c r="B8011" s="171"/>
      <c r="C8011" s="165"/>
    </row>
    <row r="8012" spans="1:3" ht="16.8">
      <c r="A8012" s="165"/>
      <c r="B8012" s="171"/>
      <c r="C8012" s="165"/>
    </row>
    <row r="8013" spans="1:3" ht="16.8">
      <c r="A8013" s="165"/>
      <c r="B8013" s="171"/>
      <c r="C8013" s="165"/>
    </row>
    <row r="8014" spans="1:3" ht="16.8">
      <c r="A8014" s="165"/>
      <c r="B8014" s="171"/>
      <c r="C8014" s="165"/>
    </row>
    <row r="8015" spans="1:3" ht="16.8">
      <c r="A8015" s="165"/>
      <c r="B8015" s="171"/>
      <c r="C8015" s="165"/>
    </row>
    <row r="8016" spans="1:3" ht="16.8">
      <c r="A8016" s="165"/>
      <c r="B8016" s="171"/>
      <c r="C8016" s="165"/>
    </row>
    <row r="8017" spans="1:3" ht="16.8">
      <c r="A8017" s="165"/>
      <c r="B8017" s="171"/>
      <c r="C8017" s="165"/>
    </row>
    <row r="8018" spans="1:3" ht="16.8">
      <c r="A8018" s="165"/>
      <c r="B8018" s="171"/>
      <c r="C8018" s="165"/>
    </row>
    <row r="8019" spans="1:3" ht="16.8">
      <c r="A8019" s="165"/>
      <c r="B8019" s="171"/>
      <c r="C8019" s="165"/>
    </row>
    <row r="8020" spans="1:3" ht="16.8">
      <c r="A8020" s="165"/>
      <c r="B8020" s="171"/>
      <c r="C8020" s="165"/>
    </row>
    <row r="8021" spans="1:3" ht="16.8">
      <c r="A8021" s="165"/>
      <c r="B8021" s="171"/>
      <c r="C8021" s="165"/>
    </row>
    <row r="8022" spans="1:3" ht="16.8">
      <c r="A8022" s="165"/>
      <c r="B8022" s="171"/>
      <c r="C8022" s="165"/>
    </row>
    <row r="8023" spans="1:3" ht="16.8">
      <c r="A8023" s="165"/>
      <c r="B8023" s="171"/>
      <c r="C8023" s="165"/>
    </row>
    <row r="8024" spans="1:3" ht="16.8">
      <c r="A8024" s="165"/>
      <c r="B8024" s="171"/>
      <c r="C8024" s="165"/>
    </row>
    <row r="8025" spans="1:3" ht="16.8">
      <c r="A8025" s="165"/>
      <c r="B8025" s="171"/>
      <c r="C8025" s="165"/>
    </row>
    <row r="8026" spans="1:3" ht="16.8">
      <c r="A8026" s="165"/>
      <c r="B8026" s="171"/>
      <c r="C8026" s="165"/>
    </row>
    <row r="8027" spans="1:3" ht="16.8">
      <c r="A8027" s="165"/>
      <c r="B8027" s="171"/>
      <c r="C8027" s="165"/>
    </row>
    <row r="8028" spans="1:3" ht="16.8">
      <c r="A8028" s="165"/>
      <c r="B8028" s="171"/>
      <c r="C8028" s="165"/>
    </row>
    <row r="8029" spans="1:3" ht="16.8">
      <c r="A8029" s="165"/>
      <c r="B8029" s="171"/>
      <c r="C8029" s="165"/>
    </row>
    <row r="8030" spans="1:3" ht="16.8">
      <c r="A8030" s="165"/>
      <c r="B8030" s="171"/>
      <c r="C8030" s="165"/>
    </row>
    <row r="8031" spans="1:3" ht="16.8">
      <c r="A8031" s="165"/>
      <c r="B8031" s="171"/>
      <c r="C8031" s="165"/>
    </row>
    <row r="8032" spans="1:3" ht="16.8">
      <c r="A8032" s="165"/>
      <c r="B8032" s="171"/>
      <c r="C8032" s="165"/>
    </row>
    <row r="8033" spans="1:3" ht="16.8">
      <c r="A8033" s="165"/>
      <c r="B8033" s="171"/>
      <c r="C8033" s="165"/>
    </row>
    <row r="8034" spans="1:3" ht="16.8">
      <c r="A8034" s="165"/>
      <c r="B8034" s="171"/>
      <c r="C8034" s="165"/>
    </row>
    <row r="8035" spans="1:3" ht="16.8">
      <c r="A8035" s="165"/>
      <c r="B8035" s="171"/>
      <c r="C8035" s="165"/>
    </row>
    <row r="8036" spans="1:3" ht="16.8">
      <c r="A8036" s="165"/>
      <c r="B8036" s="171"/>
      <c r="C8036" s="165"/>
    </row>
    <row r="8037" spans="1:3" ht="16.8">
      <c r="A8037" s="165"/>
      <c r="B8037" s="171"/>
      <c r="C8037" s="165"/>
    </row>
    <row r="8038" spans="1:3" ht="16.8">
      <c r="A8038" s="165"/>
      <c r="B8038" s="171"/>
      <c r="C8038" s="165"/>
    </row>
    <row r="8039" spans="1:3" ht="16.8">
      <c r="A8039" s="165"/>
      <c r="B8039" s="171"/>
      <c r="C8039" s="165"/>
    </row>
    <row r="8040" spans="1:3" ht="16.8">
      <c r="A8040" s="165"/>
      <c r="B8040" s="171"/>
      <c r="C8040" s="165"/>
    </row>
    <row r="8041" spans="1:3" ht="16.8">
      <c r="A8041" s="165"/>
      <c r="B8041" s="171"/>
      <c r="C8041" s="165"/>
    </row>
    <row r="8042" spans="1:3" ht="16.8">
      <c r="A8042" s="165"/>
      <c r="B8042" s="171"/>
      <c r="C8042" s="165"/>
    </row>
    <row r="8043" spans="1:3" ht="16.8">
      <c r="A8043" s="165"/>
      <c r="B8043" s="171"/>
      <c r="C8043" s="165"/>
    </row>
    <row r="8044" spans="1:3" ht="16.8">
      <c r="A8044" s="165"/>
      <c r="B8044" s="171"/>
      <c r="C8044" s="165"/>
    </row>
    <row r="8045" spans="1:3" ht="16.8">
      <c r="A8045" s="165"/>
      <c r="B8045" s="171"/>
      <c r="C8045" s="165"/>
    </row>
    <row r="8046" spans="1:3" ht="16.8">
      <c r="A8046" s="165"/>
      <c r="B8046" s="171"/>
      <c r="C8046" s="165"/>
    </row>
    <row r="8047" spans="1:3" ht="16.8">
      <c r="A8047" s="165"/>
      <c r="B8047" s="171"/>
      <c r="C8047" s="165"/>
    </row>
    <row r="8048" spans="1:3" ht="16.8">
      <c r="A8048" s="165"/>
      <c r="B8048" s="171"/>
      <c r="C8048" s="165"/>
    </row>
    <row r="8049" spans="1:3" ht="16.8">
      <c r="A8049" s="165"/>
      <c r="B8049" s="171"/>
      <c r="C8049" s="165"/>
    </row>
    <row r="8050" spans="1:3" ht="16.8">
      <c r="A8050" s="165"/>
      <c r="B8050" s="171"/>
      <c r="C8050" s="165"/>
    </row>
    <row r="8051" spans="1:3" ht="16.8">
      <c r="A8051" s="165"/>
      <c r="B8051" s="171"/>
      <c r="C8051" s="165"/>
    </row>
    <row r="8052" spans="1:3" ht="16.8">
      <c r="A8052" s="165"/>
      <c r="B8052" s="171"/>
      <c r="C8052" s="165"/>
    </row>
    <row r="8053" spans="1:3" ht="16.8">
      <c r="A8053" s="165"/>
      <c r="B8053" s="171"/>
      <c r="C8053" s="165"/>
    </row>
    <row r="8054" spans="1:3" ht="16.8">
      <c r="A8054" s="165"/>
      <c r="B8054" s="171"/>
      <c r="C8054" s="165"/>
    </row>
    <row r="8055" spans="1:3" ht="16.8">
      <c r="A8055" s="165"/>
      <c r="B8055" s="171"/>
      <c r="C8055" s="165"/>
    </row>
    <row r="8056" spans="1:3" ht="16.8">
      <c r="A8056" s="165"/>
      <c r="B8056" s="171"/>
      <c r="C8056" s="165"/>
    </row>
    <row r="8057" spans="1:3" ht="16.8">
      <c r="A8057" s="165"/>
      <c r="B8057" s="171"/>
      <c r="C8057" s="165"/>
    </row>
    <row r="8058" spans="1:3" ht="16.8">
      <c r="A8058" s="165"/>
      <c r="B8058" s="171"/>
      <c r="C8058" s="165"/>
    </row>
    <row r="8059" spans="1:3" ht="16.8">
      <c r="A8059" s="165"/>
      <c r="B8059" s="171"/>
      <c r="C8059" s="165"/>
    </row>
    <row r="8060" spans="1:3" ht="16.8">
      <c r="A8060" s="165"/>
      <c r="B8060" s="171"/>
      <c r="C8060" s="165"/>
    </row>
    <row r="8061" spans="1:3" ht="16.8">
      <c r="A8061" s="165"/>
      <c r="B8061" s="171"/>
      <c r="C8061" s="165"/>
    </row>
    <row r="8062" spans="1:3" ht="16.8">
      <c r="A8062" s="165"/>
      <c r="B8062" s="171"/>
      <c r="C8062" s="165"/>
    </row>
    <row r="8063" spans="1:3" ht="16.8">
      <c r="A8063" s="165"/>
      <c r="B8063" s="171"/>
      <c r="C8063" s="165"/>
    </row>
    <row r="8064" spans="1:3" ht="16.8">
      <c r="A8064" s="165"/>
      <c r="B8064" s="171"/>
      <c r="C8064" s="165"/>
    </row>
    <row r="8065" spans="1:3" ht="16.8">
      <c r="A8065" s="165"/>
      <c r="B8065" s="171"/>
      <c r="C8065" s="165"/>
    </row>
    <row r="8066" spans="1:3" ht="16.8">
      <c r="A8066" s="165"/>
      <c r="B8066" s="171"/>
      <c r="C8066" s="165"/>
    </row>
    <row r="8067" spans="1:3" ht="16.8">
      <c r="A8067" s="165"/>
      <c r="B8067" s="171"/>
      <c r="C8067" s="165"/>
    </row>
    <row r="8068" spans="1:3" ht="16.8">
      <c r="A8068" s="165"/>
      <c r="B8068" s="171"/>
      <c r="C8068" s="165"/>
    </row>
    <row r="8069" spans="1:3" ht="16.8">
      <c r="A8069" s="165"/>
      <c r="B8069" s="171"/>
      <c r="C8069" s="165"/>
    </row>
    <row r="8070" spans="1:3" ht="16.8">
      <c r="A8070" s="165"/>
      <c r="B8070" s="171"/>
      <c r="C8070" s="165"/>
    </row>
    <row r="8071" spans="1:3" ht="16.8">
      <c r="A8071" s="165"/>
      <c r="B8071" s="171"/>
      <c r="C8071" s="165"/>
    </row>
    <row r="8072" spans="1:3" ht="16.8">
      <c r="A8072" s="165"/>
      <c r="B8072" s="171"/>
      <c r="C8072" s="165"/>
    </row>
    <row r="8073" spans="1:3" ht="16.8">
      <c r="A8073" s="165"/>
      <c r="B8073" s="171"/>
      <c r="C8073" s="165"/>
    </row>
    <row r="8074" spans="1:3" ht="16.8">
      <c r="A8074" s="165"/>
      <c r="B8074" s="171"/>
      <c r="C8074" s="165"/>
    </row>
    <row r="8075" spans="1:3" ht="16.8">
      <c r="A8075" s="165"/>
      <c r="B8075" s="171"/>
      <c r="C8075" s="165"/>
    </row>
    <row r="8076" spans="1:3" ht="16.8">
      <c r="A8076" s="165"/>
      <c r="B8076" s="171"/>
      <c r="C8076" s="165"/>
    </row>
    <row r="8077" spans="1:3" ht="16.8">
      <c r="A8077" s="165"/>
      <c r="B8077" s="171"/>
      <c r="C8077" s="165"/>
    </row>
    <row r="8078" spans="1:3" ht="16.8">
      <c r="A8078" s="165"/>
      <c r="B8078" s="171"/>
      <c r="C8078" s="165"/>
    </row>
    <row r="8079" spans="1:3" ht="16.8">
      <c r="A8079" s="165"/>
      <c r="B8079" s="171"/>
      <c r="C8079" s="165"/>
    </row>
    <row r="8080" spans="1:3" ht="16.8">
      <c r="A8080" s="165"/>
      <c r="B8080" s="171"/>
      <c r="C8080" s="165"/>
    </row>
    <row r="8081" spans="1:3" ht="16.8">
      <c r="A8081" s="165"/>
      <c r="B8081" s="171"/>
      <c r="C8081" s="165"/>
    </row>
    <row r="8082" spans="1:3" ht="16.8">
      <c r="A8082" s="165"/>
      <c r="B8082" s="171"/>
      <c r="C8082" s="165"/>
    </row>
    <row r="8083" spans="1:3" ht="16.8">
      <c r="A8083" s="165"/>
      <c r="B8083" s="171"/>
      <c r="C8083" s="165"/>
    </row>
    <row r="8084" spans="1:3" ht="16.8">
      <c r="A8084" s="165"/>
      <c r="B8084" s="171"/>
      <c r="C8084" s="165"/>
    </row>
    <row r="8085" spans="1:3" ht="16.8">
      <c r="A8085" s="165"/>
      <c r="B8085" s="171"/>
      <c r="C8085" s="165"/>
    </row>
    <row r="8086" spans="1:3" ht="16.8">
      <c r="A8086" s="165"/>
      <c r="B8086" s="171"/>
      <c r="C8086" s="165"/>
    </row>
    <row r="8087" spans="1:3" ht="16.8">
      <c r="A8087" s="165"/>
      <c r="B8087" s="171"/>
      <c r="C8087" s="165"/>
    </row>
    <row r="8088" spans="1:3" ht="16.8">
      <c r="A8088" s="165"/>
      <c r="B8088" s="171"/>
      <c r="C8088" s="165"/>
    </row>
    <row r="8089" spans="1:3" ht="16.8">
      <c r="A8089" s="165"/>
      <c r="B8089" s="171"/>
      <c r="C8089" s="165"/>
    </row>
    <row r="8090" spans="1:3" ht="16.8">
      <c r="A8090" s="165"/>
      <c r="B8090" s="171"/>
      <c r="C8090" s="165"/>
    </row>
    <row r="8091" spans="1:3" ht="16.8">
      <c r="A8091" s="165"/>
      <c r="B8091" s="171"/>
      <c r="C8091" s="165"/>
    </row>
    <row r="8092" spans="1:3" ht="16.8">
      <c r="A8092" s="165"/>
      <c r="B8092" s="171"/>
      <c r="C8092" s="165"/>
    </row>
    <row r="8093" spans="1:3" ht="16.8">
      <c r="A8093" s="165"/>
      <c r="B8093" s="171"/>
      <c r="C8093" s="165"/>
    </row>
    <row r="8094" spans="1:3" ht="16.8">
      <c r="A8094" s="165"/>
      <c r="B8094" s="171"/>
      <c r="C8094" s="165"/>
    </row>
    <row r="8095" spans="1:3" ht="16.8">
      <c r="A8095" s="165"/>
      <c r="B8095" s="171"/>
      <c r="C8095" s="165"/>
    </row>
    <row r="8096" spans="1:3" ht="16.8">
      <c r="A8096" s="165"/>
      <c r="B8096" s="171"/>
      <c r="C8096" s="165"/>
    </row>
    <row r="8097" spans="1:3" ht="16.8">
      <c r="A8097" s="165"/>
      <c r="B8097" s="171"/>
      <c r="C8097" s="165"/>
    </row>
    <row r="8098" spans="1:3" ht="16.8">
      <c r="A8098" s="165"/>
      <c r="B8098" s="171"/>
      <c r="C8098" s="165"/>
    </row>
    <row r="8099" spans="1:3" ht="16.8">
      <c r="A8099" s="165"/>
      <c r="B8099" s="171"/>
      <c r="C8099" s="165"/>
    </row>
    <row r="8100" spans="1:3" ht="16.8">
      <c r="A8100" s="165"/>
      <c r="B8100" s="171"/>
      <c r="C8100" s="165"/>
    </row>
    <row r="8101" spans="1:3" ht="16.8">
      <c r="A8101" s="165"/>
      <c r="B8101" s="171"/>
      <c r="C8101" s="165"/>
    </row>
    <row r="8102" spans="1:3" ht="16.8">
      <c r="A8102" s="165"/>
      <c r="B8102" s="171"/>
      <c r="C8102" s="165"/>
    </row>
    <row r="8103" spans="1:3" ht="16.8">
      <c r="A8103" s="165"/>
      <c r="B8103" s="171"/>
      <c r="C8103" s="165"/>
    </row>
    <row r="8104" spans="1:3" ht="16.8">
      <c r="A8104" s="165"/>
      <c r="B8104" s="171"/>
      <c r="C8104" s="165"/>
    </row>
    <row r="8105" spans="1:3" ht="16.8">
      <c r="A8105" s="165"/>
      <c r="B8105" s="171"/>
      <c r="C8105" s="165"/>
    </row>
    <row r="8106" spans="1:3" ht="16.8">
      <c r="A8106" s="165"/>
      <c r="B8106" s="171"/>
      <c r="C8106" s="165"/>
    </row>
    <row r="8107" spans="1:3" ht="16.8">
      <c r="A8107" s="165"/>
      <c r="B8107" s="171"/>
      <c r="C8107" s="165"/>
    </row>
    <row r="8108" spans="1:3" ht="16.8">
      <c r="A8108" s="165"/>
      <c r="B8108" s="171"/>
      <c r="C8108" s="165"/>
    </row>
    <row r="8109" spans="1:3" ht="16.8">
      <c r="A8109" s="165"/>
      <c r="B8109" s="171"/>
      <c r="C8109" s="165"/>
    </row>
    <row r="8110" spans="1:3" ht="16.8">
      <c r="A8110" s="165"/>
      <c r="B8110" s="171"/>
      <c r="C8110" s="165"/>
    </row>
    <row r="8111" spans="1:3" ht="16.8">
      <c r="A8111" s="165"/>
      <c r="B8111" s="171"/>
      <c r="C8111" s="165"/>
    </row>
    <row r="8112" spans="1:3" ht="16.8">
      <c r="A8112" s="165"/>
      <c r="B8112" s="171"/>
      <c r="C8112" s="165"/>
    </row>
    <row r="8113" spans="1:3" ht="16.8">
      <c r="A8113" s="165"/>
      <c r="B8113" s="171"/>
      <c r="C8113" s="165"/>
    </row>
    <row r="8114" spans="1:3" ht="16.8">
      <c r="A8114" s="165"/>
      <c r="B8114" s="171"/>
      <c r="C8114" s="165"/>
    </row>
    <row r="8115" spans="1:3" ht="16.8">
      <c r="A8115" s="165"/>
      <c r="B8115" s="171"/>
      <c r="C8115" s="165"/>
    </row>
    <row r="8116" spans="1:3" ht="16.8">
      <c r="A8116" s="165"/>
      <c r="B8116" s="171"/>
      <c r="C8116" s="165"/>
    </row>
    <row r="8117" spans="1:3" ht="16.8">
      <c r="A8117" s="165"/>
      <c r="B8117" s="171"/>
      <c r="C8117" s="165"/>
    </row>
    <row r="8118" spans="1:3" ht="16.8">
      <c r="A8118" s="165"/>
      <c r="B8118" s="171"/>
      <c r="C8118" s="165"/>
    </row>
    <row r="8119" spans="1:3" ht="16.8">
      <c r="A8119" s="165"/>
      <c r="B8119" s="171"/>
      <c r="C8119" s="165"/>
    </row>
    <row r="8120" spans="1:3" ht="16.8">
      <c r="A8120" s="165"/>
      <c r="B8120" s="171"/>
      <c r="C8120" s="165"/>
    </row>
    <row r="8121" spans="1:3" ht="16.8">
      <c r="A8121" s="165"/>
      <c r="B8121" s="171"/>
      <c r="C8121" s="165"/>
    </row>
    <row r="8122" spans="1:3" ht="16.8">
      <c r="A8122" s="165"/>
      <c r="B8122" s="171"/>
      <c r="C8122" s="165"/>
    </row>
    <row r="8123" spans="1:3" ht="16.8">
      <c r="A8123" s="165"/>
      <c r="B8123" s="171"/>
      <c r="C8123" s="165"/>
    </row>
    <row r="8124" spans="1:3" ht="16.8">
      <c r="A8124" s="165"/>
      <c r="B8124" s="171"/>
      <c r="C8124" s="165"/>
    </row>
    <row r="8125" spans="1:3" ht="16.8">
      <c r="A8125" s="165"/>
      <c r="B8125" s="171"/>
      <c r="C8125" s="165"/>
    </row>
    <row r="8126" spans="1:3" ht="16.8">
      <c r="A8126" s="165"/>
      <c r="B8126" s="171"/>
      <c r="C8126" s="165"/>
    </row>
    <row r="8127" spans="1:3" ht="16.8">
      <c r="A8127" s="165"/>
      <c r="B8127" s="171"/>
      <c r="C8127" s="165"/>
    </row>
    <row r="8128" spans="1:3" ht="16.8">
      <c r="A8128" s="165"/>
      <c r="B8128" s="171"/>
      <c r="C8128" s="165"/>
    </row>
    <row r="8129" spans="1:3" ht="16.8">
      <c r="A8129" s="165"/>
      <c r="B8129" s="171"/>
      <c r="C8129" s="165"/>
    </row>
    <row r="8130" spans="1:3" ht="16.8">
      <c r="A8130" s="165"/>
      <c r="B8130" s="171"/>
      <c r="C8130" s="165"/>
    </row>
    <row r="8131" spans="1:3" ht="16.8">
      <c r="A8131" s="165"/>
      <c r="B8131" s="171"/>
      <c r="C8131" s="165"/>
    </row>
    <row r="8132" spans="1:3" ht="16.8">
      <c r="A8132" s="165"/>
      <c r="B8132" s="171"/>
      <c r="C8132" s="165"/>
    </row>
    <row r="8133" spans="1:3" ht="16.8">
      <c r="A8133" s="165"/>
      <c r="B8133" s="171"/>
      <c r="C8133" s="165"/>
    </row>
    <row r="8134" spans="1:3" ht="16.8">
      <c r="A8134" s="165"/>
      <c r="B8134" s="171"/>
      <c r="C8134" s="165"/>
    </row>
    <row r="8135" spans="1:3" ht="16.8">
      <c r="A8135" s="165"/>
      <c r="B8135" s="171"/>
      <c r="C8135" s="165"/>
    </row>
    <row r="8136" spans="1:3" ht="16.8">
      <c r="A8136" s="165"/>
      <c r="B8136" s="171"/>
      <c r="C8136" s="165"/>
    </row>
    <row r="8137" spans="1:3" ht="16.8">
      <c r="A8137" s="165"/>
      <c r="B8137" s="171"/>
      <c r="C8137" s="165"/>
    </row>
    <row r="8138" spans="1:3" ht="16.8">
      <c r="A8138" s="165"/>
      <c r="B8138" s="171"/>
      <c r="C8138" s="165"/>
    </row>
    <row r="8139" spans="1:3" ht="16.8">
      <c r="A8139" s="165"/>
      <c r="B8139" s="171"/>
      <c r="C8139" s="165"/>
    </row>
    <row r="8140" spans="1:3" ht="16.8">
      <c r="A8140" s="165"/>
      <c r="B8140" s="171"/>
      <c r="C8140" s="165"/>
    </row>
    <row r="8141" spans="1:3" ht="16.8">
      <c r="A8141" s="165"/>
      <c r="B8141" s="171"/>
      <c r="C8141" s="165"/>
    </row>
    <row r="8142" spans="1:3" ht="16.8">
      <c r="A8142" s="165"/>
      <c r="B8142" s="171"/>
      <c r="C8142" s="165"/>
    </row>
    <row r="8143" spans="1:3" ht="16.8">
      <c r="A8143" s="165"/>
      <c r="B8143" s="171"/>
      <c r="C8143" s="165"/>
    </row>
    <row r="8144" spans="1:3" ht="16.8">
      <c r="A8144" s="165"/>
      <c r="B8144" s="171"/>
      <c r="C8144" s="165"/>
    </row>
    <row r="8145" spans="1:3" ht="16.8">
      <c r="A8145" s="165"/>
      <c r="B8145" s="171"/>
      <c r="C8145" s="165"/>
    </row>
    <row r="8146" spans="1:3" ht="16.8">
      <c r="A8146" s="165"/>
      <c r="B8146" s="171"/>
      <c r="C8146" s="165"/>
    </row>
    <row r="8147" spans="1:3" ht="16.8">
      <c r="A8147" s="165"/>
      <c r="B8147" s="171"/>
      <c r="C8147" s="165"/>
    </row>
    <row r="8148" spans="1:3" ht="16.8">
      <c r="A8148" s="165"/>
      <c r="B8148" s="171"/>
      <c r="C8148" s="165"/>
    </row>
    <row r="8149" spans="1:3" ht="16.8">
      <c r="A8149" s="165"/>
      <c r="B8149" s="171"/>
      <c r="C8149" s="165"/>
    </row>
    <row r="8150" spans="1:3" ht="16.8">
      <c r="A8150" s="165"/>
      <c r="B8150" s="171"/>
      <c r="C8150" s="165"/>
    </row>
    <row r="8151" spans="1:3" ht="16.8">
      <c r="A8151" s="165"/>
      <c r="B8151" s="171"/>
      <c r="C8151" s="165"/>
    </row>
    <row r="8152" spans="1:3" ht="16.8">
      <c r="A8152" s="165"/>
      <c r="B8152" s="171"/>
      <c r="C8152" s="165"/>
    </row>
    <row r="8153" spans="1:3" ht="16.8">
      <c r="A8153" s="165"/>
      <c r="B8153" s="171"/>
      <c r="C8153" s="165"/>
    </row>
    <row r="8154" spans="1:3" ht="16.8">
      <c r="A8154" s="165"/>
      <c r="B8154" s="171"/>
      <c r="C8154" s="165"/>
    </row>
    <row r="8155" spans="1:3" ht="16.8">
      <c r="A8155" s="165"/>
      <c r="B8155" s="171"/>
      <c r="C8155" s="165"/>
    </row>
    <row r="8156" spans="1:3" ht="16.8">
      <c r="A8156" s="165"/>
      <c r="B8156" s="171"/>
      <c r="C8156" s="165"/>
    </row>
    <row r="8157" spans="1:3" ht="16.8">
      <c r="A8157" s="165"/>
      <c r="B8157" s="171"/>
      <c r="C8157" s="165"/>
    </row>
    <row r="8158" spans="1:3" ht="16.8">
      <c r="A8158" s="165"/>
      <c r="B8158" s="171"/>
      <c r="C8158" s="165"/>
    </row>
    <row r="8159" spans="1:3" ht="16.8">
      <c r="A8159" s="165"/>
      <c r="B8159" s="171"/>
      <c r="C8159" s="165"/>
    </row>
    <row r="8160" spans="1:3" ht="16.8">
      <c r="A8160" s="165"/>
      <c r="B8160" s="171"/>
      <c r="C8160" s="165"/>
    </row>
    <row r="8161" spans="1:3" ht="16.8">
      <c r="A8161" s="165"/>
      <c r="B8161" s="171"/>
      <c r="C8161" s="165"/>
    </row>
    <row r="8162" spans="1:3" ht="16.8">
      <c r="A8162" s="165"/>
      <c r="B8162" s="171"/>
      <c r="C8162" s="165"/>
    </row>
    <row r="8163" spans="1:3" ht="16.8">
      <c r="A8163" s="165"/>
      <c r="B8163" s="171"/>
      <c r="C8163" s="165"/>
    </row>
    <row r="8164" spans="1:3" ht="16.8">
      <c r="A8164" s="165"/>
      <c r="B8164" s="171"/>
      <c r="C8164" s="165"/>
    </row>
    <row r="8165" spans="1:3" ht="16.8">
      <c r="A8165" s="165"/>
      <c r="B8165" s="171"/>
      <c r="C8165" s="165"/>
    </row>
    <row r="8166" spans="1:3" ht="16.8">
      <c r="A8166" s="165"/>
      <c r="B8166" s="171"/>
      <c r="C8166" s="165"/>
    </row>
    <row r="8167" spans="1:3" ht="16.8">
      <c r="A8167" s="165"/>
      <c r="B8167" s="171"/>
      <c r="C8167" s="165"/>
    </row>
    <row r="8168" spans="1:3" ht="16.8">
      <c r="A8168" s="165"/>
      <c r="B8168" s="171"/>
      <c r="C8168" s="165"/>
    </row>
    <row r="8169" spans="1:3" ht="16.8">
      <c r="A8169" s="165"/>
      <c r="B8169" s="171"/>
      <c r="C8169" s="165"/>
    </row>
    <row r="8170" spans="1:3" ht="16.8">
      <c r="A8170" s="165"/>
      <c r="B8170" s="171"/>
      <c r="C8170" s="165"/>
    </row>
    <row r="8171" spans="1:3" ht="16.8">
      <c r="A8171" s="165"/>
      <c r="B8171" s="171"/>
      <c r="C8171" s="165"/>
    </row>
    <row r="8172" spans="1:3" ht="16.8">
      <c r="A8172" s="165"/>
      <c r="B8172" s="171"/>
      <c r="C8172" s="165"/>
    </row>
    <row r="8173" spans="1:3" ht="16.8">
      <c r="A8173" s="165"/>
      <c r="B8173" s="171"/>
      <c r="C8173" s="165"/>
    </row>
    <row r="8174" spans="1:3" ht="16.8">
      <c r="A8174" s="165"/>
      <c r="B8174" s="171"/>
      <c r="C8174" s="165"/>
    </row>
    <row r="8175" spans="1:3" ht="16.8">
      <c r="A8175" s="165"/>
      <c r="B8175" s="171"/>
      <c r="C8175" s="165"/>
    </row>
    <row r="8176" spans="1:3" ht="16.8">
      <c r="A8176" s="165"/>
      <c r="B8176" s="171"/>
      <c r="C8176" s="165"/>
    </row>
    <row r="8177" spans="1:3" ht="16.8">
      <c r="A8177" s="165"/>
      <c r="B8177" s="171"/>
      <c r="C8177" s="165"/>
    </row>
    <row r="8178" spans="1:3" ht="16.8">
      <c r="A8178" s="165"/>
      <c r="B8178" s="171"/>
      <c r="C8178" s="165"/>
    </row>
    <row r="8179" spans="1:3" ht="16.8">
      <c r="A8179" s="165"/>
      <c r="B8179" s="171"/>
      <c r="C8179" s="165"/>
    </row>
    <row r="8180" spans="1:3" ht="16.8">
      <c r="A8180" s="165"/>
      <c r="B8180" s="171"/>
      <c r="C8180" s="165"/>
    </row>
    <row r="8181" spans="1:3" ht="16.8">
      <c r="A8181" s="165"/>
      <c r="B8181" s="171"/>
      <c r="C8181" s="165"/>
    </row>
    <row r="8182" spans="1:3" ht="16.8">
      <c r="A8182" s="165"/>
      <c r="B8182" s="171"/>
      <c r="C8182" s="165"/>
    </row>
    <row r="8183" spans="1:3" ht="16.8">
      <c r="A8183" s="165"/>
      <c r="B8183" s="171"/>
      <c r="C8183" s="165"/>
    </row>
    <row r="8184" spans="1:3" ht="16.8">
      <c r="A8184" s="165"/>
      <c r="B8184" s="171"/>
      <c r="C8184" s="165"/>
    </row>
    <row r="8185" spans="1:3" ht="16.8">
      <c r="A8185" s="165"/>
      <c r="B8185" s="171"/>
      <c r="C8185" s="165"/>
    </row>
    <row r="8186" spans="1:3" ht="16.8">
      <c r="A8186" s="165"/>
      <c r="B8186" s="171"/>
      <c r="C8186" s="165"/>
    </row>
    <row r="8187" spans="1:3" ht="16.8">
      <c r="A8187" s="165"/>
      <c r="B8187" s="171"/>
      <c r="C8187" s="165"/>
    </row>
    <row r="8188" spans="1:3" ht="16.8">
      <c r="A8188" s="165"/>
      <c r="B8188" s="171"/>
      <c r="C8188" s="165"/>
    </row>
    <row r="8189" spans="1:3" ht="16.8">
      <c r="A8189" s="165"/>
      <c r="B8189" s="171"/>
      <c r="C8189" s="165"/>
    </row>
    <row r="8190" spans="1:3" ht="16.8">
      <c r="A8190" s="165"/>
      <c r="B8190" s="171"/>
      <c r="C8190" s="165"/>
    </row>
    <row r="8191" spans="1:3" ht="16.8">
      <c r="A8191" s="165"/>
      <c r="B8191" s="171"/>
      <c r="C8191" s="165"/>
    </row>
    <row r="8192" spans="1:3" ht="16.8">
      <c r="A8192" s="165"/>
      <c r="B8192" s="171"/>
      <c r="C8192" s="165"/>
    </row>
    <row r="8193" spans="1:3" ht="16.8">
      <c r="A8193" s="165"/>
      <c r="B8193" s="171"/>
      <c r="C8193" s="165"/>
    </row>
    <row r="8194" spans="1:3" ht="16.8">
      <c r="A8194" s="165"/>
      <c r="B8194" s="171"/>
      <c r="C8194" s="165"/>
    </row>
    <row r="8195" spans="1:3" ht="16.8">
      <c r="A8195" s="165"/>
      <c r="B8195" s="171"/>
      <c r="C8195" s="165"/>
    </row>
    <row r="8196" spans="1:3" ht="16.8">
      <c r="A8196" s="165"/>
      <c r="B8196" s="171"/>
      <c r="C8196" s="165"/>
    </row>
    <row r="8197" spans="1:3" ht="16.8">
      <c r="A8197" s="165"/>
      <c r="B8197" s="171"/>
      <c r="C8197" s="165"/>
    </row>
    <row r="8198" spans="1:3" ht="16.8">
      <c r="A8198" s="165"/>
      <c r="B8198" s="171"/>
      <c r="C8198" s="165"/>
    </row>
    <row r="8199" spans="1:3" ht="16.8">
      <c r="A8199" s="165"/>
      <c r="B8199" s="171"/>
      <c r="C8199" s="165"/>
    </row>
    <row r="8200" spans="1:3" ht="16.8">
      <c r="A8200" s="165"/>
      <c r="B8200" s="171"/>
      <c r="C8200" s="165"/>
    </row>
    <row r="8201" spans="1:3" ht="16.8">
      <c r="A8201" s="165"/>
      <c r="B8201" s="171"/>
      <c r="C8201" s="165"/>
    </row>
    <row r="8202" spans="1:3" ht="16.8">
      <c r="A8202" s="165"/>
      <c r="B8202" s="171"/>
      <c r="C8202" s="165"/>
    </row>
    <row r="8203" spans="1:3" ht="16.8">
      <c r="A8203" s="165"/>
      <c r="B8203" s="171"/>
      <c r="C8203" s="165"/>
    </row>
    <row r="8204" spans="1:3" ht="16.8">
      <c r="A8204" s="165"/>
      <c r="B8204" s="171"/>
      <c r="C8204" s="165"/>
    </row>
    <row r="8205" spans="1:3" ht="16.8">
      <c r="A8205" s="165"/>
      <c r="B8205" s="171"/>
      <c r="C8205" s="165"/>
    </row>
    <row r="8206" spans="1:3" ht="16.8">
      <c r="A8206" s="165"/>
      <c r="B8206" s="171"/>
      <c r="C8206" s="165"/>
    </row>
    <row r="8207" spans="1:3" ht="16.8">
      <c r="A8207" s="165"/>
      <c r="B8207" s="171"/>
      <c r="C8207" s="165"/>
    </row>
    <row r="8208" spans="1:3" ht="16.8">
      <c r="A8208" s="165"/>
      <c r="B8208" s="171"/>
      <c r="C8208" s="165"/>
    </row>
    <row r="8209" spans="1:3" ht="16.8">
      <c r="A8209" s="165"/>
      <c r="B8209" s="171"/>
      <c r="C8209" s="165"/>
    </row>
    <row r="8210" spans="1:3" ht="16.8">
      <c r="A8210" s="165"/>
      <c r="B8210" s="171"/>
      <c r="C8210" s="165"/>
    </row>
    <row r="8211" spans="1:3" ht="16.8">
      <c r="A8211" s="165"/>
      <c r="B8211" s="171"/>
      <c r="C8211" s="165"/>
    </row>
    <row r="8212" spans="1:3" ht="16.8">
      <c r="A8212" s="165"/>
      <c r="B8212" s="171"/>
      <c r="C8212" s="165"/>
    </row>
    <row r="8213" spans="1:3" ht="16.8">
      <c r="A8213" s="165"/>
      <c r="B8213" s="171"/>
      <c r="C8213" s="165"/>
    </row>
    <row r="8214" spans="1:3" ht="16.8">
      <c r="A8214" s="165"/>
      <c r="B8214" s="171"/>
      <c r="C8214" s="165"/>
    </row>
    <row r="8215" spans="1:3" ht="16.8">
      <c r="A8215" s="165"/>
      <c r="B8215" s="171"/>
      <c r="C8215" s="165"/>
    </row>
    <row r="8216" spans="1:3" ht="16.8">
      <c r="A8216" s="165"/>
      <c r="B8216" s="171"/>
      <c r="C8216" s="165"/>
    </row>
    <row r="8217" spans="1:3" ht="16.8">
      <c r="A8217" s="165"/>
      <c r="B8217" s="171"/>
      <c r="C8217" s="165"/>
    </row>
    <row r="8218" spans="1:3" ht="16.8">
      <c r="A8218" s="165"/>
      <c r="B8218" s="171"/>
      <c r="C8218" s="165"/>
    </row>
    <row r="8219" spans="1:3" ht="16.8">
      <c r="A8219" s="165"/>
      <c r="B8219" s="171"/>
      <c r="C8219" s="165"/>
    </row>
    <row r="8220" spans="1:3" ht="16.8">
      <c r="A8220" s="165"/>
      <c r="B8220" s="171"/>
      <c r="C8220" s="165"/>
    </row>
    <row r="8221" spans="1:3" ht="16.8">
      <c r="A8221" s="165"/>
      <c r="B8221" s="171"/>
      <c r="C8221" s="165"/>
    </row>
    <row r="8222" spans="1:3" ht="16.8">
      <c r="A8222" s="165"/>
      <c r="B8222" s="171"/>
      <c r="C8222" s="165"/>
    </row>
    <row r="8223" spans="1:3" ht="16.8">
      <c r="A8223" s="165"/>
      <c r="B8223" s="171"/>
      <c r="C8223" s="165"/>
    </row>
    <row r="8224" spans="1:3" ht="16.8">
      <c r="A8224" s="165"/>
      <c r="B8224" s="171"/>
      <c r="C8224" s="165"/>
    </row>
    <row r="8225" spans="1:3" ht="16.8">
      <c r="A8225" s="165"/>
      <c r="B8225" s="171"/>
      <c r="C8225" s="165"/>
    </row>
    <row r="8226" spans="1:3" ht="16.8">
      <c r="A8226" s="165"/>
      <c r="B8226" s="171"/>
      <c r="C8226" s="165"/>
    </row>
    <row r="8227" spans="1:3" ht="16.8">
      <c r="A8227" s="165"/>
      <c r="B8227" s="171"/>
      <c r="C8227" s="165"/>
    </row>
    <row r="8228" spans="1:3" ht="16.8">
      <c r="A8228" s="165"/>
      <c r="B8228" s="171"/>
      <c r="C8228" s="165"/>
    </row>
    <row r="8229" spans="1:3" ht="16.8">
      <c r="A8229" s="165"/>
      <c r="B8229" s="171"/>
      <c r="C8229" s="165"/>
    </row>
    <row r="8230" spans="1:3" ht="16.8">
      <c r="A8230" s="165"/>
      <c r="B8230" s="171"/>
      <c r="C8230" s="165"/>
    </row>
    <row r="8231" spans="1:3" ht="16.8">
      <c r="A8231" s="165"/>
      <c r="B8231" s="171"/>
      <c r="C8231" s="165"/>
    </row>
    <row r="8232" spans="1:3" ht="16.8">
      <c r="A8232" s="165"/>
      <c r="B8232" s="171"/>
      <c r="C8232" s="165"/>
    </row>
    <row r="8233" spans="1:3" ht="16.8">
      <c r="A8233" s="165"/>
      <c r="B8233" s="171"/>
      <c r="C8233" s="165"/>
    </row>
    <row r="8234" spans="1:3" ht="16.8">
      <c r="A8234" s="165"/>
      <c r="B8234" s="171"/>
      <c r="C8234" s="165"/>
    </row>
    <row r="8235" spans="1:3" ht="16.8">
      <c r="A8235" s="165"/>
      <c r="B8235" s="171"/>
      <c r="C8235" s="165"/>
    </row>
    <row r="8236" spans="1:3" ht="16.8">
      <c r="A8236" s="165"/>
      <c r="B8236" s="171"/>
      <c r="C8236" s="165"/>
    </row>
    <row r="8237" spans="1:3" ht="16.8">
      <c r="A8237" s="165"/>
      <c r="B8237" s="171"/>
      <c r="C8237" s="165"/>
    </row>
    <row r="8238" spans="1:3" ht="16.8">
      <c r="A8238" s="165"/>
      <c r="B8238" s="171"/>
      <c r="C8238" s="165"/>
    </row>
    <row r="8239" spans="1:3" ht="16.8">
      <c r="A8239" s="165"/>
      <c r="B8239" s="171"/>
      <c r="C8239" s="165"/>
    </row>
    <row r="8240" spans="1:3" ht="16.8">
      <c r="A8240" s="165"/>
      <c r="B8240" s="171"/>
      <c r="C8240" s="165"/>
    </row>
    <row r="8241" spans="1:3" ht="16.8">
      <c r="A8241" s="165"/>
      <c r="B8241" s="171"/>
      <c r="C8241" s="165"/>
    </row>
    <row r="8242" spans="1:3" ht="16.8">
      <c r="A8242" s="165"/>
      <c r="B8242" s="171"/>
      <c r="C8242" s="165"/>
    </row>
    <row r="8243" spans="1:3" ht="16.8">
      <c r="A8243" s="165"/>
      <c r="B8243" s="171"/>
      <c r="C8243" s="165"/>
    </row>
    <row r="8244" spans="1:3" ht="16.8">
      <c r="A8244" s="165"/>
      <c r="B8244" s="171"/>
      <c r="C8244" s="165"/>
    </row>
    <row r="8245" spans="1:3" ht="16.8">
      <c r="A8245" s="165"/>
      <c r="B8245" s="171"/>
      <c r="C8245" s="165"/>
    </row>
    <row r="8246" spans="1:3" ht="16.8">
      <c r="A8246" s="165"/>
      <c r="B8246" s="171"/>
      <c r="C8246" s="165"/>
    </row>
    <row r="8247" spans="1:3" ht="16.8">
      <c r="A8247" s="165"/>
      <c r="B8247" s="171"/>
      <c r="C8247" s="165"/>
    </row>
    <row r="8248" spans="1:3" ht="16.8">
      <c r="A8248" s="165"/>
      <c r="B8248" s="171"/>
      <c r="C8248" s="165"/>
    </row>
    <row r="8249" spans="1:3" ht="16.8">
      <c r="A8249" s="165"/>
      <c r="B8249" s="171"/>
      <c r="C8249" s="165"/>
    </row>
    <row r="8250" spans="1:3" ht="16.8">
      <c r="A8250" s="165"/>
      <c r="B8250" s="171"/>
      <c r="C8250" s="165"/>
    </row>
    <row r="8251" spans="1:3" ht="16.8">
      <c r="A8251" s="165"/>
      <c r="B8251" s="171"/>
      <c r="C8251" s="165"/>
    </row>
    <row r="8252" spans="1:3" ht="16.8">
      <c r="A8252" s="165"/>
      <c r="B8252" s="171"/>
      <c r="C8252" s="165"/>
    </row>
    <row r="8253" spans="1:3" ht="16.8">
      <c r="A8253" s="165"/>
      <c r="B8253" s="171"/>
      <c r="C8253" s="165"/>
    </row>
    <row r="8254" spans="1:3" ht="16.8">
      <c r="A8254" s="165"/>
      <c r="B8254" s="171"/>
      <c r="C8254" s="165"/>
    </row>
    <row r="8255" spans="1:3" ht="16.8">
      <c r="A8255" s="165"/>
      <c r="B8255" s="171"/>
      <c r="C8255" s="165"/>
    </row>
    <row r="8256" spans="1:3" ht="16.8">
      <c r="A8256" s="165"/>
      <c r="B8256" s="171"/>
      <c r="C8256" s="165"/>
    </row>
    <row r="8257" spans="1:3" ht="16.8">
      <c r="A8257" s="165"/>
      <c r="B8257" s="171"/>
      <c r="C8257" s="165"/>
    </row>
    <row r="8258" spans="1:3" ht="16.8">
      <c r="A8258" s="165"/>
      <c r="B8258" s="171"/>
      <c r="C8258" s="165"/>
    </row>
    <row r="8259" spans="1:3" ht="16.8">
      <c r="A8259" s="165"/>
      <c r="B8259" s="171"/>
      <c r="C8259" s="165"/>
    </row>
    <row r="8260" spans="1:3" ht="16.8">
      <c r="A8260" s="165"/>
      <c r="B8260" s="171"/>
      <c r="C8260" s="165"/>
    </row>
    <row r="8261" spans="1:3" ht="16.8">
      <c r="A8261" s="165"/>
      <c r="B8261" s="171"/>
      <c r="C8261" s="165"/>
    </row>
    <row r="8262" spans="1:3" ht="16.8">
      <c r="A8262" s="165"/>
      <c r="B8262" s="171"/>
      <c r="C8262" s="165"/>
    </row>
    <row r="8263" spans="1:3" ht="16.8">
      <c r="A8263" s="165"/>
      <c r="B8263" s="171"/>
      <c r="C8263" s="165"/>
    </row>
    <row r="8264" spans="1:3" ht="16.8">
      <c r="A8264" s="165"/>
      <c r="B8264" s="171"/>
      <c r="C8264" s="165"/>
    </row>
    <row r="8265" spans="1:3" ht="16.8">
      <c r="A8265" s="165"/>
      <c r="B8265" s="171"/>
      <c r="C8265" s="165"/>
    </row>
    <row r="8266" spans="1:3" ht="16.8">
      <c r="A8266" s="165"/>
      <c r="B8266" s="171"/>
      <c r="C8266" s="165"/>
    </row>
    <row r="8267" spans="1:3" ht="16.8">
      <c r="A8267" s="165"/>
      <c r="B8267" s="171"/>
      <c r="C8267" s="165"/>
    </row>
    <row r="8268" spans="1:3" ht="16.8">
      <c r="A8268" s="165"/>
      <c r="B8268" s="171"/>
      <c r="C8268" s="165"/>
    </row>
    <row r="8269" spans="1:3" ht="16.8">
      <c r="A8269" s="165"/>
      <c r="B8269" s="171"/>
      <c r="C8269" s="165"/>
    </row>
    <row r="8270" spans="1:3" ht="16.8">
      <c r="A8270" s="165"/>
      <c r="B8270" s="171"/>
      <c r="C8270" s="165"/>
    </row>
    <row r="8271" spans="1:3" ht="16.8">
      <c r="A8271" s="165"/>
      <c r="B8271" s="171"/>
      <c r="C8271" s="165"/>
    </row>
    <row r="8272" spans="1:3" ht="16.8">
      <c r="A8272" s="165"/>
      <c r="B8272" s="171"/>
      <c r="C8272" s="165"/>
    </row>
    <row r="8273" spans="1:3" ht="16.8">
      <c r="A8273" s="165"/>
      <c r="B8273" s="171"/>
      <c r="C8273" s="165"/>
    </row>
    <row r="8274" spans="1:3" ht="16.8">
      <c r="A8274" s="165"/>
      <c r="B8274" s="171"/>
      <c r="C8274" s="165"/>
    </row>
    <row r="8275" spans="1:3" ht="16.8">
      <c r="A8275" s="165"/>
      <c r="B8275" s="171"/>
      <c r="C8275" s="165"/>
    </row>
    <row r="8276" spans="1:3" ht="16.8">
      <c r="A8276" s="165"/>
      <c r="B8276" s="171"/>
      <c r="C8276" s="165"/>
    </row>
    <row r="8277" spans="1:3" ht="16.8">
      <c r="A8277" s="165"/>
      <c r="B8277" s="171"/>
      <c r="C8277" s="165"/>
    </row>
    <row r="8278" spans="1:3" ht="16.8">
      <c r="A8278" s="165"/>
      <c r="B8278" s="171"/>
      <c r="C8278" s="165"/>
    </row>
    <row r="8279" spans="1:3" ht="16.8">
      <c r="A8279" s="165"/>
      <c r="B8279" s="171"/>
      <c r="C8279" s="165"/>
    </row>
    <row r="8280" spans="1:3" ht="16.8">
      <c r="A8280" s="165"/>
      <c r="B8280" s="171"/>
      <c r="C8280" s="165"/>
    </row>
    <row r="8281" spans="1:3" ht="16.8">
      <c r="A8281" s="165"/>
      <c r="B8281" s="171"/>
      <c r="C8281" s="165"/>
    </row>
    <row r="8282" spans="1:3" ht="16.8">
      <c r="A8282" s="165"/>
      <c r="B8282" s="171"/>
      <c r="C8282" s="165"/>
    </row>
    <row r="8283" spans="1:3" ht="16.8">
      <c r="A8283" s="165"/>
      <c r="B8283" s="171"/>
      <c r="C8283" s="165"/>
    </row>
    <row r="8284" spans="1:3" ht="16.8">
      <c r="A8284" s="165"/>
      <c r="B8284" s="171"/>
      <c r="C8284" s="165"/>
    </row>
    <row r="8285" spans="1:3" ht="16.8">
      <c r="A8285" s="165"/>
      <c r="B8285" s="171"/>
      <c r="C8285" s="165"/>
    </row>
    <row r="8286" spans="1:3" ht="16.8">
      <c r="A8286" s="165"/>
      <c r="B8286" s="171"/>
      <c r="C8286" s="165"/>
    </row>
    <row r="8287" spans="1:3" ht="16.8">
      <c r="A8287" s="165"/>
      <c r="B8287" s="171"/>
      <c r="C8287" s="165"/>
    </row>
    <row r="8288" spans="1:3" ht="16.8">
      <c r="A8288" s="165"/>
      <c r="B8288" s="171"/>
      <c r="C8288" s="165"/>
    </row>
    <row r="8289" spans="1:3" ht="16.8">
      <c r="A8289" s="165"/>
      <c r="B8289" s="171"/>
      <c r="C8289" s="165"/>
    </row>
    <row r="8290" spans="1:3" ht="16.8">
      <c r="A8290" s="165"/>
      <c r="B8290" s="171"/>
      <c r="C8290" s="165"/>
    </row>
    <row r="8291" spans="1:3" ht="16.8">
      <c r="A8291" s="165"/>
      <c r="B8291" s="171"/>
      <c r="C8291" s="165"/>
    </row>
    <row r="8292" spans="1:3" ht="16.8">
      <c r="A8292" s="165"/>
      <c r="B8292" s="171"/>
      <c r="C8292" s="165"/>
    </row>
    <row r="8293" spans="1:3" ht="16.8">
      <c r="A8293" s="165"/>
      <c r="B8293" s="171"/>
      <c r="C8293" s="165"/>
    </row>
    <row r="8294" spans="1:3" ht="16.8">
      <c r="A8294" s="165"/>
      <c r="B8294" s="171"/>
      <c r="C8294" s="165"/>
    </row>
    <row r="8295" spans="1:3" ht="16.8">
      <c r="A8295" s="165"/>
      <c r="B8295" s="171"/>
      <c r="C8295" s="165"/>
    </row>
    <row r="8296" spans="1:3" ht="16.8">
      <c r="A8296" s="165"/>
      <c r="B8296" s="171"/>
      <c r="C8296" s="165"/>
    </row>
    <row r="8297" spans="1:3" ht="16.8">
      <c r="A8297" s="165"/>
      <c r="B8297" s="171"/>
      <c r="C8297" s="165"/>
    </row>
    <row r="8298" spans="1:3" ht="16.8">
      <c r="A8298" s="165"/>
      <c r="B8298" s="171"/>
      <c r="C8298" s="165"/>
    </row>
    <row r="8299" spans="1:3" ht="16.8">
      <c r="A8299" s="165"/>
      <c r="B8299" s="171"/>
      <c r="C8299" s="165"/>
    </row>
    <row r="8300" spans="1:3" ht="16.8">
      <c r="A8300" s="165"/>
      <c r="B8300" s="171"/>
      <c r="C8300" s="165"/>
    </row>
    <row r="8301" spans="1:3" ht="16.8">
      <c r="A8301" s="165"/>
      <c r="B8301" s="171"/>
      <c r="C8301" s="165"/>
    </row>
    <row r="8302" spans="1:3" ht="16.8">
      <c r="A8302" s="165"/>
      <c r="B8302" s="171"/>
      <c r="C8302" s="165"/>
    </row>
    <row r="8303" spans="1:3" ht="16.8">
      <c r="A8303" s="165"/>
      <c r="B8303" s="171"/>
      <c r="C8303" s="165"/>
    </row>
    <row r="8304" spans="1:3" ht="16.8">
      <c r="A8304" s="165"/>
      <c r="B8304" s="171"/>
      <c r="C8304" s="165"/>
    </row>
    <row r="8305" spans="1:3" ht="16.8">
      <c r="A8305" s="165"/>
      <c r="B8305" s="171"/>
      <c r="C8305" s="165"/>
    </row>
    <row r="8306" spans="1:3" ht="16.8">
      <c r="A8306" s="165"/>
      <c r="B8306" s="171"/>
      <c r="C8306" s="165"/>
    </row>
    <row r="8307" spans="1:3" ht="16.8">
      <c r="A8307" s="165"/>
      <c r="B8307" s="171"/>
      <c r="C8307" s="165"/>
    </row>
    <row r="8308" spans="1:3" ht="16.8">
      <c r="A8308" s="165"/>
      <c r="B8308" s="171"/>
      <c r="C8308" s="165"/>
    </row>
    <row r="8309" spans="1:3" ht="16.8">
      <c r="A8309" s="165"/>
      <c r="B8309" s="171"/>
      <c r="C8309" s="165"/>
    </row>
    <row r="8310" spans="1:3" ht="16.8">
      <c r="A8310" s="165"/>
      <c r="B8310" s="171"/>
      <c r="C8310" s="165"/>
    </row>
    <row r="8311" spans="1:3" ht="16.8">
      <c r="A8311" s="165"/>
      <c r="B8311" s="171"/>
      <c r="C8311" s="165"/>
    </row>
    <row r="8312" spans="1:3" ht="16.8">
      <c r="A8312" s="165"/>
      <c r="B8312" s="171"/>
      <c r="C8312" s="165"/>
    </row>
    <row r="8313" spans="1:3" ht="16.8">
      <c r="A8313" s="165"/>
      <c r="B8313" s="171"/>
      <c r="C8313" s="165"/>
    </row>
    <row r="8314" spans="1:3" ht="16.8">
      <c r="A8314" s="165"/>
      <c r="B8314" s="171"/>
      <c r="C8314" s="165"/>
    </row>
    <row r="8315" spans="1:3" ht="16.8">
      <c r="A8315" s="165"/>
      <c r="B8315" s="171"/>
      <c r="C8315" s="165"/>
    </row>
    <row r="8316" spans="1:3" ht="16.8">
      <c r="A8316" s="165"/>
      <c r="B8316" s="171"/>
      <c r="C8316" s="165"/>
    </row>
    <row r="8317" spans="1:3" ht="16.8">
      <c r="A8317" s="165"/>
      <c r="B8317" s="171"/>
      <c r="C8317" s="165"/>
    </row>
    <row r="8318" spans="1:3" ht="16.8">
      <c r="A8318" s="165"/>
      <c r="B8318" s="171"/>
      <c r="C8318" s="165"/>
    </row>
    <row r="8319" spans="1:3" ht="16.8">
      <c r="A8319" s="165"/>
      <c r="B8319" s="171"/>
      <c r="C8319" s="165"/>
    </row>
    <row r="8320" spans="1:3" ht="16.8">
      <c r="A8320" s="165"/>
      <c r="B8320" s="171"/>
      <c r="C8320" s="165"/>
    </row>
    <row r="8321" spans="1:3" ht="16.8">
      <c r="A8321" s="165"/>
      <c r="B8321" s="171"/>
      <c r="C8321" s="165"/>
    </row>
    <row r="8322" spans="1:3" ht="16.8">
      <c r="A8322" s="165"/>
      <c r="B8322" s="171"/>
      <c r="C8322" s="165"/>
    </row>
    <row r="8323" spans="1:3" ht="16.8">
      <c r="A8323" s="165"/>
      <c r="B8323" s="171"/>
      <c r="C8323" s="165"/>
    </row>
    <row r="8324" spans="1:3" ht="16.8">
      <c r="A8324" s="165"/>
      <c r="B8324" s="171"/>
      <c r="C8324" s="165"/>
    </row>
    <row r="8325" spans="1:3" ht="16.8">
      <c r="A8325" s="165"/>
      <c r="B8325" s="171"/>
      <c r="C8325" s="165"/>
    </row>
    <row r="8326" spans="1:3" ht="16.8">
      <c r="A8326" s="165"/>
      <c r="B8326" s="171"/>
      <c r="C8326" s="165"/>
    </row>
    <row r="8327" spans="1:3" ht="16.8">
      <c r="A8327" s="165"/>
      <c r="B8327" s="171"/>
      <c r="C8327" s="165"/>
    </row>
    <row r="8328" spans="1:3" ht="16.8">
      <c r="A8328" s="165"/>
      <c r="B8328" s="171"/>
      <c r="C8328" s="165"/>
    </row>
    <row r="8329" spans="1:3" ht="16.8">
      <c r="A8329" s="165"/>
      <c r="B8329" s="171"/>
      <c r="C8329" s="165"/>
    </row>
    <row r="8330" spans="1:3" ht="16.8">
      <c r="A8330" s="165"/>
      <c r="B8330" s="171"/>
      <c r="C8330" s="165"/>
    </row>
    <row r="8331" spans="1:3" ht="16.8">
      <c r="A8331" s="165"/>
      <c r="B8331" s="171"/>
      <c r="C8331" s="165"/>
    </row>
    <row r="8332" spans="1:3" ht="16.8">
      <c r="A8332" s="165"/>
      <c r="B8332" s="171"/>
      <c r="C8332" s="165"/>
    </row>
    <row r="8333" spans="1:3" ht="16.8">
      <c r="A8333" s="165"/>
      <c r="B8333" s="171"/>
      <c r="C8333" s="165"/>
    </row>
    <row r="8334" spans="1:3" ht="16.8">
      <c r="A8334" s="165"/>
      <c r="B8334" s="171"/>
      <c r="C8334" s="165"/>
    </row>
    <row r="8335" spans="1:3" ht="16.8">
      <c r="A8335" s="165"/>
      <c r="B8335" s="171"/>
      <c r="C8335" s="165"/>
    </row>
    <row r="8336" spans="1:3" ht="16.8">
      <c r="A8336" s="165"/>
      <c r="B8336" s="171"/>
      <c r="C8336" s="165"/>
    </row>
    <row r="8337" spans="1:3" ht="16.8">
      <c r="A8337" s="165"/>
      <c r="B8337" s="171"/>
      <c r="C8337" s="165"/>
    </row>
    <row r="8338" spans="1:3" ht="16.8">
      <c r="A8338" s="165"/>
      <c r="B8338" s="171"/>
      <c r="C8338" s="165"/>
    </row>
    <row r="8339" spans="1:3" ht="16.8">
      <c r="A8339" s="165"/>
      <c r="B8339" s="171"/>
      <c r="C8339" s="165"/>
    </row>
    <row r="8340" spans="1:3" ht="16.8">
      <c r="A8340" s="165"/>
      <c r="B8340" s="171"/>
      <c r="C8340" s="165"/>
    </row>
    <row r="8341" spans="1:3" ht="16.8">
      <c r="A8341" s="165"/>
      <c r="B8341" s="171"/>
      <c r="C8341" s="165"/>
    </row>
    <row r="8342" spans="1:3" ht="16.8">
      <c r="A8342" s="165"/>
      <c r="B8342" s="171"/>
      <c r="C8342" s="165"/>
    </row>
    <row r="8343" spans="1:3" ht="16.8">
      <c r="A8343" s="165"/>
      <c r="B8343" s="171"/>
      <c r="C8343" s="165"/>
    </row>
    <row r="8344" spans="1:3" ht="16.8">
      <c r="A8344" s="165"/>
      <c r="B8344" s="171"/>
      <c r="C8344" s="165"/>
    </row>
    <row r="8345" spans="1:3" ht="16.8">
      <c r="A8345" s="165"/>
      <c r="B8345" s="171"/>
      <c r="C8345" s="165"/>
    </row>
    <row r="8346" spans="1:3" ht="16.8">
      <c r="A8346" s="165"/>
      <c r="B8346" s="171"/>
      <c r="C8346" s="165"/>
    </row>
    <row r="8347" spans="1:3" ht="16.8">
      <c r="A8347" s="165"/>
      <c r="B8347" s="171"/>
      <c r="C8347" s="165"/>
    </row>
    <row r="8348" spans="1:3" ht="16.8">
      <c r="A8348" s="165"/>
      <c r="B8348" s="171"/>
      <c r="C8348" s="165"/>
    </row>
    <row r="8349" spans="1:3" ht="16.8">
      <c r="A8349" s="165"/>
      <c r="B8349" s="171"/>
      <c r="C8349" s="165"/>
    </row>
    <row r="8350" spans="1:3" ht="16.8">
      <c r="A8350" s="165"/>
      <c r="B8350" s="171"/>
      <c r="C8350" s="165"/>
    </row>
    <row r="8351" spans="1:3" ht="16.8">
      <c r="A8351" s="165"/>
      <c r="B8351" s="171"/>
      <c r="C8351" s="165"/>
    </row>
    <row r="8352" spans="1:3" ht="16.8">
      <c r="A8352" s="165"/>
      <c r="B8352" s="171"/>
      <c r="C8352" s="165"/>
    </row>
    <row r="8353" spans="1:3" ht="16.8">
      <c r="A8353" s="165"/>
      <c r="B8353" s="171"/>
      <c r="C8353" s="165"/>
    </row>
    <row r="8354" spans="1:3" ht="16.8">
      <c r="A8354" s="165"/>
      <c r="B8354" s="171"/>
      <c r="C8354" s="165"/>
    </row>
    <row r="8355" spans="1:3" ht="16.8">
      <c r="A8355" s="165"/>
      <c r="B8355" s="171"/>
      <c r="C8355" s="165"/>
    </row>
    <row r="8356" spans="1:3" ht="16.8">
      <c r="A8356" s="165"/>
      <c r="B8356" s="171"/>
      <c r="C8356" s="165"/>
    </row>
    <row r="8357" spans="1:3" ht="16.8">
      <c r="A8357" s="165"/>
      <c r="B8357" s="171"/>
      <c r="C8357" s="165"/>
    </row>
    <row r="8358" spans="1:3" ht="16.8">
      <c r="A8358" s="165"/>
      <c r="B8358" s="171"/>
      <c r="C8358" s="165"/>
    </row>
    <row r="8359" spans="1:3" ht="16.8">
      <c r="A8359" s="165"/>
      <c r="B8359" s="171"/>
      <c r="C8359" s="165"/>
    </row>
    <row r="8360" spans="1:3" ht="16.8">
      <c r="A8360" s="165"/>
      <c r="B8360" s="171"/>
      <c r="C8360" s="165"/>
    </row>
    <row r="8361" spans="1:3" ht="16.8">
      <c r="A8361" s="165"/>
      <c r="B8361" s="171"/>
      <c r="C8361" s="165"/>
    </row>
    <row r="8362" spans="1:3" ht="16.8">
      <c r="A8362" s="165"/>
      <c r="B8362" s="171"/>
      <c r="C8362" s="165"/>
    </row>
    <row r="8363" spans="1:3" ht="16.8">
      <c r="A8363" s="165"/>
      <c r="B8363" s="171"/>
      <c r="C8363" s="165"/>
    </row>
    <row r="8364" spans="1:3" ht="16.8">
      <c r="A8364" s="165"/>
      <c r="B8364" s="171"/>
      <c r="C8364" s="165"/>
    </row>
    <row r="8365" spans="1:3" ht="16.8">
      <c r="A8365" s="165"/>
      <c r="B8365" s="171"/>
      <c r="C8365" s="165"/>
    </row>
    <row r="8366" spans="1:3" ht="16.8">
      <c r="A8366" s="165"/>
      <c r="B8366" s="171"/>
      <c r="C8366" s="165"/>
    </row>
    <row r="8367" spans="1:3" ht="16.8">
      <c r="A8367" s="165"/>
      <c r="B8367" s="171"/>
      <c r="C8367" s="165"/>
    </row>
    <row r="8368" spans="1:3" ht="16.8">
      <c r="A8368" s="165"/>
      <c r="B8368" s="171"/>
      <c r="C8368" s="165"/>
    </row>
    <row r="8369" spans="1:3" ht="16.8">
      <c r="A8369" s="165"/>
      <c r="B8369" s="171"/>
      <c r="C8369" s="165"/>
    </row>
    <row r="8370" spans="1:3" ht="16.8">
      <c r="A8370" s="165"/>
      <c r="B8370" s="171"/>
      <c r="C8370" s="165"/>
    </row>
    <row r="8371" spans="1:3" ht="16.8">
      <c r="A8371" s="165"/>
      <c r="B8371" s="171"/>
      <c r="C8371" s="165"/>
    </row>
    <row r="8372" spans="1:3" ht="16.8">
      <c r="A8372" s="165"/>
      <c r="B8372" s="171"/>
      <c r="C8372" s="165"/>
    </row>
    <row r="8373" spans="1:3" ht="16.8">
      <c r="A8373" s="165"/>
      <c r="B8373" s="171"/>
      <c r="C8373" s="165"/>
    </row>
    <row r="8374" spans="1:3" ht="16.8">
      <c r="A8374" s="165"/>
      <c r="B8374" s="171"/>
      <c r="C8374" s="165"/>
    </row>
    <row r="8375" spans="1:3" ht="16.8">
      <c r="A8375" s="165"/>
      <c r="B8375" s="171"/>
      <c r="C8375" s="165"/>
    </row>
    <row r="8376" spans="1:3" ht="16.8">
      <c r="A8376" s="165"/>
      <c r="B8376" s="171"/>
      <c r="C8376" s="165"/>
    </row>
    <row r="8377" spans="1:3" ht="16.8">
      <c r="A8377" s="165"/>
      <c r="B8377" s="171"/>
      <c r="C8377" s="165"/>
    </row>
    <row r="8378" spans="1:3" ht="16.8">
      <c r="A8378" s="165"/>
      <c r="B8378" s="171"/>
      <c r="C8378" s="165"/>
    </row>
    <row r="8379" spans="1:3" ht="16.8">
      <c r="A8379" s="165"/>
      <c r="B8379" s="171"/>
      <c r="C8379" s="165"/>
    </row>
    <row r="8380" spans="1:3" ht="16.8">
      <c r="A8380" s="165"/>
      <c r="B8380" s="171"/>
      <c r="C8380" s="165"/>
    </row>
    <row r="8381" spans="1:3" ht="16.8">
      <c r="A8381" s="165"/>
      <c r="B8381" s="171"/>
      <c r="C8381" s="165"/>
    </row>
    <row r="8382" spans="1:3" ht="16.8">
      <c r="A8382" s="165"/>
      <c r="B8382" s="171"/>
      <c r="C8382" s="165"/>
    </row>
    <row r="8383" spans="1:3" ht="16.8">
      <c r="A8383" s="165"/>
      <c r="B8383" s="171"/>
      <c r="C8383" s="165"/>
    </row>
    <row r="8384" spans="1:3" ht="16.8">
      <c r="A8384" s="165"/>
      <c r="B8384" s="171"/>
      <c r="C8384" s="165"/>
    </row>
    <row r="8385" spans="1:3" ht="16.8">
      <c r="A8385" s="165"/>
      <c r="B8385" s="171"/>
      <c r="C8385" s="165"/>
    </row>
    <row r="8386" spans="1:3" ht="16.8">
      <c r="A8386" s="165"/>
      <c r="B8386" s="171"/>
      <c r="C8386" s="165"/>
    </row>
    <row r="8387" spans="1:3" ht="16.8">
      <c r="A8387" s="165"/>
      <c r="B8387" s="171"/>
      <c r="C8387" s="165"/>
    </row>
    <row r="8388" spans="1:3" ht="16.8">
      <c r="A8388" s="165"/>
      <c r="B8388" s="171"/>
      <c r="C8388" s="165"/>
    </row>
    <row r="8389" spans="1:3" ht="16.8">
      <c r="A8389" s="165"/>
      <c r="B8389" s="171"/>
      <c r="C8389" s="165"/>
    </row>
    <row r="8390" spans="1:3" ht="16.8">
      <c r="A8390" s="165"/>
      <c r="B8390" s="171"/>
      <c r="C8390" s="165"/>
    </row>
    <row r="8391" spans="1:3" ht="16.8">
      <c r="A8391" s="165"/>
      <c r="B8391" s="171"/>
      <c r="C8391" s="165"/>
    </row>
    <row r="8392" spans="1:3" ht="16.8">
      <c r="A8392" s="165"/>
      <c r="B8392" s="171"/>
      <c r="C8392" s="165"/>
    </row>
    <row r="8393" spans="1:3" ht="16.8">
      <c r="A8393" s="165"/>
      <c r="B8393" s="171"/>
      <c r="C8393" s="165"/>
    </row>
    <row r="8394" spans="1:3" ht="16.8">
      <c r="A8394" s="165"/>
      <c r="B8394" s="171"/>
      <c r="C8394" s="165"/>
    </row>
    <row r="8395" spans="1:3" ht="16.8">
      <c r="A8395" s="165"/>
      <c r="B8395" s="171"/>
      <c r="C8395" s="165"/>
    </row>
    <row r="8396" spans="1:3" ht="16.8">
      <c r="A8396" s="165"/>
      <c r="B8396" s="171"/>
      <c r="C8396" s="165"/>
    </row>
    <row r="8397" spans="1:3" ht="16.8">
      <c r="A8397" s="165"/>
      <c r="B8397" s="171"/>
      <c r="C8397" s="165"/>
    </row>
    <row r="8398" spans="1:3" ht="16.8">
      <c r="A8398" s="165"/>
      <c r="B8398" s="171"/>
      <c r="C8398" s="165"/>
    </row>
    <row r="8399" spans="1:3" ht="16.8">
      <c r="A8399" s="165"/>
      <c r="B8399" s="171"/>
      <c r="C8399" s="165"/>
    </row>
    <row r="8400" spans="1:3" ht="16.8">
      <c r="A8400" s="165"/>
      <c r="B8400" s="171"/>
      <c r="C8400" s="165"/>
    </row>
    <row r="8401" spans="1:3" ht="16.8">
      <c r="A8401" s="165"/>
      <c r="B8401" s="171"/>
      <c r="C8401" s="165"/>
    </row>
    <row r="8402" spans="1:3" ht="16.8">
      <c r="A8402" s="165"/>
      <c r="B8402" s="171"/>
      <c r="C8402" s="165"/>
    </row>
    <row r="8403" spans="1:3" ht="16.8">
      <c r="A8403" s="165"/>
      <c r="B8403" s="171"/>
      <c r="C8403" s="165"/>
    </row>
    <row r="8404" spans="1:3" ht="16.8">
      <c r="A8404" s="165"/>
      <c r="B8404" s="171"/>
      <c r="C8404" s="165"/>
    </row>
    <row r="8405" spans="1:3" ht="16.8">
      <c r="A8405" s="165"/>
      <c r="B8405" s="171"/>
      <c r="C8405" s="165"/>
    </row>
    <row r="8406" spans="1:3" ht="16.8">
      <c r="A8406" s="165"/>
      <c r="B8406" s="171"/>
      <c r="C8406" s="165"/>
    </row>
    <row r="8407" spans="1:3" ht="16.8">
      <c r="A8407" s="165"/>
      <c r="B8407" s="171"/>
      <c r="C8407" s="165"/>
    </row>
    <row r="8408" spans="1:3" ht="16.8">
      <c r="A8408" s="165"/>
      <c r="B8408" s="171"/>
      <c r="C8408" s="165"/>
    </row>
    <row r="8409" spans="1:3" ht="16.8">
      <c r="A8409" s="165"/>
      <c r="B8409" s="171"/>
      <c r="C8409" s="165"/>
    </row>
    <row r="8410" spans="1:3" ht="16.8">
      <c r="A8410" s="165"/>
      <c r="B8410" s="171"/>
      <c r="C8410" s="165"/>
    </row>
    <row r="8411" spans="1:3" ht="16.8">
      <c r="A8411" s="165"/>
      <c r="B8411" s="171"/>
      <c r="C8411" s="165"/>
    </row>
    <row r="8412" spans="1:3" ht="16.8">
      <c r="A8412" s="165"/>
      <c r="B8412" s="171"/>
      <c r="C8412" s="165"/>
    </row>
    <row r="8413" spans="1:3" ht="16.8">
      <c r="A8413" s="165"/>
      <c r="B8413" s="171"/>
      <c r="C8413" s="165"/>
    </row>
    <row r="8414" spans="1:3" ht="16.8">
      <c r="A8414" s="165"/>
      <c r="B8414" s="171"/>
      <c r="C8414" s="165"/>
    </row>
    <row r="8415" spans="1:3" ht="16.8">
      <c r="A8415" s="165"/>
      <c r="B8415" s="171"/>
      <c r="C8415" s="165"/>
    </row>
    <row r="8416" spans="1:3" ht="16.8">
      <c r="A8416" s="165"/>
      <c r="B8416" s="171"/>
      <c r="C8416" s="165"/>
    </row>
    <row r="8417" spans="1:3" ht="16.8">
      <c r="A8417" s="165"/>
      <c r="B8417" s="171"/>
      <c r="C8417" s="165"/>
    </row>
    <row r="8418" spans="1:3" ht="16.8">
      <c r="A8418" s="165"/>
      <c r="B8418" s="171"/>
      <c r="C8418" s="165"/>
    </row>
    <row r="8419" spans="1:3" ht="16.8">
      <c r="A8419" s="165"/>
      <c r="B8419" s="171"/>
      <c r="C8419" s="165"/>
    </row>
    <row r="8420" spans="1:3" ht="16.8">
      <c r="A8420" s="165"/>
      <c r="B8420" s="171"/>
      <c r="C8420" s="165"/>
    </row>
    <row r="8421" spans="1:3" ht="16.8">
      <c r="A8421" s="165"/>
      <c r="B8421" s="171"/>
      <c r="C8421" s="165"/>
    </row>
    <row r="8422" spans="1:3" ht="16.8">
      <c r="A8422" s="165"/>
      <c r="B8422" s="171"/>
      <c r="C8422" s="165"/>
    </row>
    <row r="8423" spans="1:3" ht="16.8">
      <c r="A8423" s="165"/>
      <c r="B8423" s="171"/>
      <c r="C8423" s="165"/>
    </row>
    <row r="8424" spans="1:3" ht="16.8">
      <c r="A8424" s="165"/>
      <c r="B8424" s="171"/>
      <c r="C8424" s="165"/>
    </row>
    <row r="8425" spans="1:3" ht="16.8">
      <c r="A8425" s="165"/>
      <c r="B8425" s="171"/>
      <c r="C8425" s="165"/>
    </row>
    <row r="8426" spans="1:3" ht="16.8">
      <c r="A8426" s="165"/>
      <c r="B8426" s="171"/>
      <c r="C8426" s="165"/>
    </row>
    <row r="8427" spans="1:3" ht="16.8">
      <c r="A8427" s="165"/>
      <c r="B8427" s="171"/>
      <c r="C8427" s="165"/>
    </row>
    <row r="8428" spans="1:3" ht="16.8">
      <c r="A8428" s="165"/>
      <c r="B8428" s="171"/>
      <c r="C8428" s="165"/>
    </row>
    <row r="8429" spans="1:3" ht="16.8">
      <c r="A8429" s="165"/>
      <c r="B8429" s="171"/>
      <c r="C8429" s="165"/>
    </row>
    <row r="8430" spans="1:3" ht="16.8">
      <c r="A8430" s="165"/>
      <c r="B8430" s="171"/>
      <c r="C8430" s="165"/>
    </row>
    <row r="8431" spans="1:3" ht="16.8">
      <c r="A8431" s="165"/>
      <c r="B8431" s="171"/>
      <c r="C8431" s="165"/>
    </row>
    <row r="8432" spans="1:3" ht="16.8">
      <c r="A8432" s="165"/>
      <c r="B8432" s="171"/>
      <c r="C8432" s="165"/>
    </row>
    <row r="8433" spans="1:3" ht="16.8">
      <c r="A8433" s="165"/>
      <c r="B8433" s="171"/>
      <c r="C8433" s="165"/>
    </row>
    <row r="8434" spans="1:3" ht="16.8">
      <c r="A8434" s="165"/>
      <c r="B8434" s="171"/>
      <c r="C8434" s="165"/>
    </row>
    <row r="8435" spans="1:3" ht="16.8">
      <c r="A8435" s="165"/>
      <c r="B8435" s="171"/>
      <c r="C8435" s="165"/>
    </row>
    <row r="8436" spans="1:3" ht="16.8">
      <c r="A8436" s="165"/>
      <c r="B8436" s="171"/>
      <c r="C8436" s="165"/>
    </row>
    <row r="8437" spans="1:3" ht="16.8">
      <c r="A8437" s="165"/>
      <c r="B8437" s="171"/>
      <c r="C8437" s="165"/>
    </row>
    <row r="8438" spans="1:3" ht="16.8">
      <c r="A8438" s="165"/>
      <c r="B8438" s="171"/>
      <c r="C8438" s="165"/>
    </row>
    <row r="8439" spans="1:3" ht="16.8">
      <c r="A8439" s="165"/>
      <c r="B8439" s="171"/>
      <c r="C8439" s="165"/>
    </row>
    <row r="8440" spans="1:3" ht="16.8">
      <c r="A8440" s="165"/>
      <c r="B8440" s="171"/>
      <c r="C8440" s="165"/>
    </row>
    <row r="8441" spans="1:3" ht="16.8">
      <c r="A8441" s="165"/>
      <c r="B8441" s="171"/>
      <c r="C8441" s="165"/>
    </row>
    <row r="8442" spans="1:3" ht="16.8">
      <c r="A8442" s="165"/>
      <c r="B8442" s="171"/>
      <c r="C8442" s="165"/>
    </row>
    <row r="8443" spans="1:3" ht="16.8">
      <c r="A8443" s="165"/>
      <c r="B8443" s="171"/>
      <c r="C8443" s="165"/>
    </row>
    <row r="8444" spans="1:3" ht="16.8">
      <c r="A8444" s="165"/>
      <c r="B8444" s="171"/>
      <c r="C8444" s="165"/>
    </row>
    <row r="8445" spans="1:3" ht="16.8">
      <c r="A8445" s="165"/>
      <c r="B8445" s="171"/>
      <c r="C8445" s="165"/>
    </row>
    <row r="8446" spans="1:3" ht="16.8">
      <c r="A8446" s="165"/>
      <c r="B8446" s="171"/>
      <c r="C8446" s="165"/>
    </row>
    <row r="8447" spans="1:3" ht="16.8">
      <c r="A8447" s="165"/>
      <c r="B8447" s="171"/>
      <c r="C8447" s="165"/>
    </row>
    <row r="8448" spans="1:3" ht="16.8">
      <c r="A8448" s="165"/>
      <c r="B8448" s="171"/>
      <c r="C8448" s="165"/>
    </row>
    <row r="8449" spans="1:3" ht="16.8">
      <c r="A8449" s="165"/>
      <c r="B8449" s="171"/>
      <c r="C8449" s="165"/>
    </row>
    <row r="8450" spans="1:3" ht="16.8">
      <c r="A8450" s="165"/>
      <c r="B8450" s="171"/>
      <c r="C8450" s="165"/>
    </row>
    <row r="8451" spans="1:3" ht="16.8">
      <c r="A8451" s="165"/>
      <c r="B8451" s="171"/>
      <c r="C8451" s="165"/>
    </row>
    <row r="8452" spans="1:3" ht="16.8">
      <c r="A8452" s="165"/>
      <c r="B8452" s="171"/>
      <c r="C8452" s="165"/>
    </row>
    <row r="8453" spans="1:3" ht="16.8">
      <c r="A8453" s="165"/>
      <c r="B8453" s="171"/>
      <c r="C8453" s="165"/>
    </row>
    <row r="8454" spans="1:3" ht="16.8">
      <c r="A8454" s="165"/>
      <c r="B8454" s="171"/>
      <c r="C8454" s="165"/>
    </row>
    <row r="8455" spans="1:3" ht="16.8">
      <c r="A8455" s="165"/>
      <c r="B8455" s="171"/>
      <c r="C8455" s="165"/>
    </row>
    <row r="8456" spans="1:3" ht="16.8">
      <c r="A8456" s="165"/>
      <c r="B8456" s="171"/>
      <c r="C8456" s="165"/>
    </row>
    <row r="8457" spans="1:3" ht="16.8">
      <c r="A8457" s="165"/>
      <c r="B8457" s="171"/>
      <c r="C8457" s="165"/>
    </row>
    <row r="8458" spans="1:3" ht="16.8">
      <c r="A8458" s="165"/>
      <c r="B8458" s="171"/>
      <c r="C8458" s="165"/>
    </row>
    <row r="8459" spans="1:3" ht="16.8">
      <c r="A8459" s="165"/>
      <c r="B8459" s="171"/>
      <c r="C8459" s="165"/>
    </row>
    <row r="8460" spans="1:3" ht="16.8">
      <c r="A8460" s="165"/>
      <c r="B8460" s="171"/>
      <c r="C8460" s="165"/>
    </row>
    <row r="8461" spans="1:3" ht="16.8">
      <c r="A8461" s="165"/>
      <c r="B8461" s="171"/>
      <c r="C8461" s="165"/>
    </row>
    <row r="8462" spans="1:3" ht="16.8">
      <c r="A8462" s="165"/>
      <c r="B8462" s="171"/>
      <c r="C8462" s="165"/>
    </row>
    <row r="8463" spans="1:3" ht="16.8">
      <c r="A8463" s="165"/>
      <c r="B8463" s="171"/>
      <c r="C8463" s="165"/>
    </row>
    <row r="8464" spans="1:3" ht="16.8">
      <c r="A8464" s="165"/>
      <c r="B8464" s="171"/>
      <c r="C8464" s="165"/>
    </row>
    <row r="8465" spans="1:3" ht="16.8">
      <c r="A8465" s="165"/>
      <c r="B8465" s="171"/>
      <c r="C8465" s="165"/>
    </row>
    <row r="8466" spans="1:3" ht="16.8">
      <c r="A8466" s="165"/>
      <c r="B8466" s="171"/>
      <c r="C8466" s="165"/>
    </row>
    <row r="8467" spans="1:3" ht="16.8">
      <c r="A8467" s="165"/>
      <c r="B8467" s="171"/>
      <c r="C8467" s="165"/>
    </row>
    <row r="8468" spans="1:3" ht="16.8">
      <c r="A8468" s="165"/>
      <c r="B8468" s="171"/>
      <c r="C8468" s="165"/>
    </row>
    <row r="8469" spans="1:3" ht="16.8">
      <c r="A8469" s="165"/>
      <c r="B8469" s="171"/>
      <c r="C8469" s="165"/>
    </row>
    <row r="8470" spans="1:3" ht="16.8">
      <c r="A8470" s="165"/>
      <c r="B8470" s="171"/>
      <c r="C8470" s="165"/>
    </row>
    <row r="8471" spans="1:3" ht="16.8">
      <c r="A8471" s="165"/>
      <c r="B8471" s="171"/>
      <c r="C8471" s="165"/>
    </row>
    <row r="8472" spans="1:3" ht="16.8">
      <c r="A8472" s="165"/>
      <c r="B8472" s="171"/>
      <c r="C8472" s="165"/>
    </row>
    <row r="8473" spans="1:3" ht="16.8">
      <c r="A8473" s="165"/>
      <c r="B8473" s="171"/>
      <c r="C8473" s="165"/>
    </row>
    <row r="8474" spans="1:3" ht="16.8">
      <c r="A8474" s="165"/>
      <c r="B8474" s="171"/>
      <c r="C8474" s="165"/>
    </row>
    <row r="8475" spans="1:3" ht="16.8">
      <c r="A8475" s="165"/>
      <c r="B8475" s="171"/>
      <c r="C8475" s="165"/>
    </row>
    <row r="8476" spans="1:3" ht="16.8">
      <c r="A8476" s="165"/>
      <c r="B8476" s="171"/>
      <c r="C8476" s="165"/>
    </row>
    <row r="8477" spans="1:3" ht="16.8">
      <c r="A8477" s="165"/>
      <c r="B8477" s="171"/>
      <c r="C8477" s="165"/>
    </row>
    <row r="8478" spans="1:3" ht="16.8">
      <c r="A8478" s="165"/>
      <c r="B8478" s="171"/>
      <c r="C8478" s="165"/>
    </row>
    <row r="8479" spans="1:3" ht="16.8">
      <c r="A8479" s="165"/>
      <c r="B8479" s="171"/>
      <c r="C8479" s="165"/>
    </row>
    <row r="8480" spans="1:3" ht="16.8">
      <c r="A8480" s="165"/>
      <c r="B8480" s="171"/>
      <c r="C8480" s="165"/>
    </row>
    <row r="8481" spans="1:3" ht="16.8">
      <c r="A8481" s="165"/>
      <c r="B8481" s="171"/>
      <c r="C8481" s="165"/>
    </row>
    <row r="8482" spans="1:3" ht="16.8">
      <c r="A8482" s="165"/>
      <c r="B8482" s="171"/>
      <c r="C8482" s="165"/>
    </row>
    <row r="8483" spans="1:3" ht="16.8">
      <c r="A8483" s="165"/>
      <c r="B8483" s="171"/>
      <c r="C8483" s="165"/>
    </row>
    <row r="8484" spans="1:3" ht="16.8">
      <c r="A8484" s="165"/>
      <c r="B8484" s="171"/>
      <c r="C8484" s="165"/>
    </row>
    <row r="8485" spans="1:3" ht="16.8">
      <c r="A8485" s="165"/>
      <c r="B8485" s="171"/>
      <c r="C8485" s="165"/>
    </row>
    <row r="8486" spans="1:3" ht="16.8">
      <c r="A8486" s="165"/>
      <c r="B8486" s="171"/>
      <c r="C8486" s="165"/>
    </row>
    <row r="8487" spans="1:3" ht="16.8">
      <c r="A8487" s="165"/>
      <c r="B8487" s="171"/>
      <c r="C8487" s="165"/>
    </row>
    <row r="8488" spans="1:3" ht="16.8">
      <c r="A8488" s="165"/>
      <c r="B8488" s="171"/>
      <c r="C8488" s="165"/>
    </row>
    <row r="8489" spans="1:3" ht="16.8">
      <c r="A8489" s="165"/>
      <c r="B8489" s="171"/>
      <c r="C8489" s="165"/>
    </row>
    <row r="8490" spans="1:3" ht="16.8">
      <c r="A8490" s="165"/>
      <c r="B8490" s="171"/>
      <c r="C8490" s="165"/>
    </row>
    <row r="8491" spans="1:3" ht="16.8">
      <c r="A8491" s="165"/>
      <c r="B8491" s="171"/>
      <c r="C8491" s="165"/>
    </row>
    <row r="8492" spans="1:3" ht="16.8">
      <c r="A8492" s="165"/>
      <c r="B8492" s="171"/>
      <c r="C8492" s="165"/>
    </row>
    <row r="8493" spans="1:3" ht="16.8">
      <c r="A8493" s="165"/>
      <c r="B8493" s="171"/>
      <c r="C8493" s="165"/>
    </row>
    <row r="8494" spans="1:3" ht="16.8">
      <c r="A8494" s="165"/>
      <c r="B8494" s="171"/>
      <c r="C8494" s="165"/>
    </row>
    <row r="8495" spans="1:3" ht="16.8">
      <c r="A8495" s="165"/>
      <c r="B8495" s="171"/>
      <c r="C8495" s="165"/>
    </row>
    <row r="8496" spans="1:3" ht="16.8">
      <c r="A8496" s="165"/>
      <c r="B8496" s="171"/>
      <c r="C8496" s="165"/>
    </row>
    <row r="8497" spans="1:3" ht="16.8">
      <c r="A8497" s="165"/>
      <c r="B8497" s="171"/>
      <c r="C8497" s="165"/>
    </row>
    <row r="8498" spans="1:3" ht="16.8">
      <c r="A8498" s="165"/>
      <c r="B8498" s="171"/>
      <c r="C8498" s="165"/>
    </row>
    <row r="8499" spans="1:3" ht="16.8">
      <c r="A8499" s="165"/>
      <c r="B8499" s="171"/>
      <c r="C8499" s="165"/>
    </row>
    <row r="8500" spans="1:3" ht="16.8">
      <c r="A8500" s="165"/>
      <c r="B8500" s="171"/>
      <c r="C8500" s="165"/>
    </row>
    <row r="8501" spans="1:3" ht="16.8">
      <c r="A8501" s="165"/>
      <c r="B8501" s="171"/>
      <c r="C8501" s="165"/>
    </row>
    <row r="8502" spans="1:3" ht="16.8">
      <c r="A8502" s="165"/>
      <c r="B8502" s="171"/>
      <c r="C8502" s="165"/>
    </row>
    <row r="8503" spans="1:3" ht="16.8">
      <c r="A8503" s="165"/>
      <c r="B8503" s="171"/>
      <c r="C8503" s="165"/>
    </row>
    <row r="8504" spans="1:3" ht="16.8">
      <c r="A8504" s="165"/>
      <c r="B8504" s="171"/>
      <c r="C8504" s="165"/>
    </row>
    <row r="8505" spans="1:3" ht="16.8">
      <c r="A8505" s="165"/>
      <c r="B8505" s="171"/>
      <c r="C8505" s="165"/>
    </row>
    <row r="8506" spans="1:3" ht="16.8">
      <c r="A8506" s="165"/>
      <c r="B8506" s="171"/>
      <c r="C8506" s="165"/>
    </row>
    <row r="8507" spans="1:3" ht="16.8">
      <c r="A8507" s="165"/>
      <c r="B8507" s="171"/>
      <c r="C8507" s="165"/>
    </row>
    <row r="8508" spans="1:3" ht="16.8">
      <c r="A8508" s="165"/>
      <c r="B8508" s="171"/>
      <c r="C8508" s="165"/>
    </row>
    <row r="8509" spans="1:3" ht="16.8">
      <c r="A8509" s="165"/>
      <c r="B8509" s="171"/>
      <c r="C8509" s="165"/>
    </row>
    <row r="8510" spans="1:3" ht="16.8">
      <c r="A8510" s="165"/>
      <c r="B8510" s="171"/>
      <c r="C8510" s="165"/>
    </row>
    <row r="8511" spans="1:3" ht="16.8">
      <c r="A8511" s="165"/>
      <c r="B8511" s="171"/>
      <c r="C8511" s="165"/>
    </row>
    <row r="8512" spans="1:3" ht="16.8">
      <c r="A8512" s="165"/>
      <c r="B8512" s="171"/>
      <c r="C8512" s="165"/>
    </row>
    <row r="8513" spans="1:3" ht="16.8">
      <c r="A8513" s="165"/>
      <c r="B8513" s="171"/>
      <c r="C8513" s="165"/>
    </row>
    <row r="8514" spans="1:3" ht="16.8">
      <c r="A8514" s="165"/>
      <c r="B8514" s="171"/>
      <c r="C8514" s="165"/>
    </row>
    <row r="8515" spans="1:3" ht="16.8">
      <c r="A8515" s="165"/>
      <c r="B8515" s="171"/>
      <c r="C8515" s="165"/>
    </row>
    <row r="8516" spans="1:3" ht="16.8">
      <c r="A8516" s="165"/>
      <c r="B8516" s="171"/>
      <c r="C8516" s="165"/>
    </row>
    <row r="8517" spans="1:3" ht="16.8">
      <c r="A8517" s="165"/>
      <c r="B8517" s="171"/>
      <c r="C8517" s="165"/>
    </row>
    <row r="8518" spans="1:3" ht="16.8">
      <c r="A8518" s="165"/>
      <c r="B8518" s="171"/>
      <c r="C8518" s="165"/>
    </row>
    <row r="8519" spans="1:3" ht="16.8">
      <c r="A8519" s="165"/>
      <c r="B8519" s="171"/>
      <c r="C8519" s="165"/>
    </row>
    <row r="8520" spans="1:3" ht="16.8">
      <c r="A8520" s="165"/>
      <c r="B8520" s="171"/>
      <c r="C8520" s="165"/>
    </row>
    <row r="8521" spans="1:3" ht="16.8">
      <c r="A8521" s="165"/>
      <c r="B8521" s="171"/>
      <c r="C8521" s="165"/>
    </row>
    <row r="8522" spans="1:3" ht="16.8">
      <c r="A8522" s="165"/>
      <c r="B8522" s="171"/>
      <c r="C8522" s="165"/>
    </row>
    <row r="8523" spans="1:3" ht="16.8">
      <c r="A8523" s="165"/>
      <c r="B8523" s="171"/>
      <c r="C8523" s="165"/>
    </row>
    <row r="8524" spans="1:3" ht="16.8">
      <c r="A8524" s="165"/>
      <c r="B8524" s="171"/>
      <c r="C8524" s="165"/>
    </row>
    <row r="8525" spans="1:3" ht="16.8">
      <c r="A8525" s="165"/>
      <c r="B8525" s="171"/>
      <c r="C8525" s="165"/>
    </row>
    <row r="8526" spans="1:3" ht="16.8">
      <c r="A8526" s="165"/>
      <c r="B8526" s="171"/>
      <c r="C8526" s="165"/>
    </row>
    <row r="8527" spans="1:3" ht="16.8">
      <c r="A8527" s="165"/>
      <c r="B8527" s="171"/>
      <c r="C8527" s="165"/>
    </row>
    <row r="8528" spans="1:3" ht="16.8">
      <c r="A8528" s="165"/>
      <c r="B8528" s="171"/>
      <c r="C8528" s="165"/>
    </row>
    <row r="8529" spans="1:3" ht="16.8">
      <c r="A8529" s="165"/>
      <c r="B8529" s="171"/>
      <c r="C8529" s="165"/>
    </row>
    <row r="8530" spans="1:3" ht="16.8">
      <c r="A8530" s="165"/>
      <c r="B8530" s="171"/>
      <c r="C8530" s="165"/>
    </row>
    <row r="8531" spans="1:3" ht="16.8">
      <c r="A8531" s="165"/>
      <c r="B8531" s="171"/>
      <c r="C8531" s="165"/>
    </row>
    <row r="8532" spans="1:3" ht="16.8">
      <c r="A8532" s="165"/>
      <c r="B8532" s="171"/>
      <c r="C8532" s="165"/>
    </row>
    <row r="8533" spans="1:3" ht="16.8">
      <c r="A8533" s="165"/>
      <c r="B8533" s="171"/>
      <c r="C8533" s="165"/>
    </row>
    <row r="8534" spans="1:3" ht="16.8">
      <c r="A8534" s="165"/>
      <c r="B8534" s="171"/>
      <c r="C8534" s="165"/>
    </row>
    <row r="8535" spans="1:3" ht="16.8">
      <c r="A8535" s="165"/>
      <c r="B8535" s="171"/>
      <c r="C8535" s="165"/>
    </row>
    <row r="8536" spans="1:3" ht="16.8">
      <c r="A8536" s="165"/>
      <c r="B8536" s="171"/>
      <c r="C8536" s="165"/>
    </row>
    <row r="8537" spans="1:3" ht="16.8">
      <c r="A8537" s="165"/>
      <c r="B8537" s="171"/>
      <c r="C8537" s="165"/>
    </row>
    <row r="8538" spans="1:3" ht="16.8">
      <c r="A8538" s="165"/>
      <c r="B8538" s="171"/>
      <c r="C8538" s="165"/>
    </row>
    <row r="8539" spans="1:3" ht="16.8">
      <c r="A8539" s="165"/>
      <c r="B8539" s="171"/>
      <c r="C8539" s="165"/>
    </row>
    <row r="8540" spans="1:3" ht="16.8">
      <c r="A8540" s="165"/>
      <c r="B8540" s="171"/>
      <c r="C8540" s="165"/>
    </row>
    <row r="8541" spans="1:3" ht="16.8">
      <c r="A8541" s="165"/>
      <c r="B8541" s="171"/>
      <c r="C8541" s="165"/>
    </row>
    <row r="8542" spans="1:3" ht="16.8">
      <c r="A8542" s="165"/>
      <c r="B8542" s="171"/>
      <c r="C8542" s="165"/>
    </row>
    <row r="8543" spans="1:3" ht="16.8">
      <c r="A8543" s="165"/>
      <c r="B8543" s="171"/>
      <c r="C8543" s="165"/>
    </row>
    <row r="8544" spans="1:3" ht="16.8">
      <c r="A8544" s="165"/>
      <c r="B8544" s="171"/>
      <c r="C8544" s="165"/>
    </row>
    <row r="8545" spans="1:3" ht="16.8">
      <c r="A8545" s="165"/>
      <c r="B8545" s="171"/>
      <c r="C8545" s="165"/>
    </row>
    <row r="8546" spans="1:3" ht="16.8">
      <c r="A8546" s="165"/>
      <c r="B8546" s="171"/>
      <c r="C8546" s="165"/>
    </row>
    <row r="8547" spans="1:3" ht="16.8">
      <c r="A8547" s="165"/>
      <c r="B8547" s="171"/>
      <c r="C8547" s="165"/>
    </row>
    <row r="8548" spans="1:3" ht="16.8">
      <c r="A8548" s="165"/>
      <c r="B8548" s="171"/>
      <c r="C8548" s="165"/>
    </row>
    <row r="8549" spans="1:3" ht="16.8">
      <c r="A8549" s="165"/>
      <c r="B8549" s="171"/>
      <c r="C8549" s="165"/>
    </row>
    <row r="8550" spans="1:3" ht="16.8">
      <c r="A8550" s="165"/>
      <c r="B8550" s="171"/>
      <c r="C8550" s="165"/>
    </row>
    <row r="8551" spans="1:3" ht="16.8">
      <c r="A8551" s="165"/>
      <c r="B8551" s="171"/>
      <c r="C8551" s="165"/>
    </row>
    <row r="8552" spans="1:3" ht="16.8">
      <c r="A8552" s="165"/>
      <c r="B8552" s="171"/>
      <c r="C8552" s="165"/>
    </row>
    <row r="8553" spans="1:3" ht="16.8">
      <c r="A8553" s="165"/>
      <c r="B8553" s="171"/>
      <c r="C8553" s="165"/>
    </row>
    <row r="8554" spans="1:3" ht="16.8">
      <c r="A8554" s="165"/>
      <c r="B8554" s="171"/>
      <c r="C8554" s="165"/>
    </row>
    <row r="8555" spans="1:3" ht="16.8">
      <c r="A8555" s="165"/>
      <c r="B8555" s="171"/>
      <c r="C8555" s="165"/>
    </row>
    <row r="8556" spans="1:3" ht="16.8">
      <c r="A8556" s="165"/>
      <c r="B8556" s="171"/>
      <c r="C8556" s="165"/>
    </row>
    <row r="8557" spans="1:3" ht="16.8">
      <c r="A8557" s="165"/>
      <c r="B8557" s="171"/>
      <c r="C8557" s="165"/>
    </row>
    <row r="8558" spans="1:3" ht="16.8">
      <c r="A8558" s="165"/>
      <c r="B8558" s="171"/>
      <c r="C8558" s="165"/>
    </row>
    <row r="8559" spans="1:3" ht="16.8">
      <c r="A8559" s="165"/>
      <c r="B8559" s="171"/>
      <c r="C8559" s="165"/>
    </row>
    <row r="8560" spans="1:3" ht="16.8">
      <c r="A8560" s="165"/>
      <c r="B8560" s="171"/>
      <c r="C8560" s="165"/>
    </row>
    <row r="8561" spans="1:3" ht="16.8">
      <c r="A8561" s="165"/>
      <c r="B8561" s="171"/>
      <c r="C8561" s="165"/>
    </row>
    <row r="8562" spans="1:3" ht="16.8">
      <c r="A8562" s="165"/>
      <c r="B8562" s="171"/>
      <c r="C8562" s="165"/>
    </row>
    <row r="8563" spans="1:3" ht="16.8">
      <c r="A8563" s="165"/>
      <c r="B8563" s="171"/>
      <c r="C8563" s="165"/>
    </row>
    <row r="8564" spans="1:3" ht="16.8">
      <c r="A8564" s="165"/>
      <c r="B8564" s="171"/>
      <c r="C8564" s="165"/>
    </row>
    <row r="8565" spans="1:3" ht="16.8">
      <c r="A8565" s="165"/>
      <c r="B8565" s="171"/>
      <c r="C8565" s="165"/>
    </row>
    <row r="8566" spans="1:3" ht="16.8">
      <c r="A8566" s="165"/>
      <c r="B8566" s="171"/>
      <c r="C8566" s="165"/>
    </row>
    <row r="8567" spans="1:3" ht="16.8">
      <c r="A8567" s="165"/>
      <c r="B8567" s="171"/>
      <c r="C8567" s="165"/>
    </row>
    <row r="8568" spans="1:3" ht="16.8">
      <c r="A8568" s="165"/>
      <c r="B8568" s="171"/>
      <c r="C8568" s="165"/>
    </row>
    <row r="8569" spans="1:3" ht="16.8">
      <c r="A8569" s="165"/>
      <c r="B8569" s="171"/>
      <c r="C8569" s="165"/>
    </row>
    <row r="8570" spans="1:3" ht="16.8">
      <c r="A8570" s="165"/>
      <c r="B8570" s="171"/>
      <c r="C8570" s="165"/>
    </row>
    <row r="8571" spans="1:3" ht="16.8">
      <c r="A8571" s="165"/>
      <c r="B8571" s="171"/>
      <c r="C8571" s="165"/>
    </row>
    <row r="8572" spans="1:3" ht="16.8">
      <c r="A8572" s="165"/>
      <c r="B8572" s="171"/>
      <c r="C8572" s="165"/>
    </row>
    <row r="8573" spans="1:3" ht="16.8">
      <c r="A8573" s="165"/>
      <c r="B8573" s="171"/>
      <c r="C8573" s="165"/>
    </row>
    <row r="8574" spans="1:3" ht="16.8">
      <c r="A8574" s="165"/>
      <c r="B8574" s="171"/>
      <c r="C8574" s="165"/>
    </row>
    <row r="8575" spans="1:3" ht="16.8">
      <c r="A8575" s="165"/>
      <c r="B8575" s="171"/>
      <c r="C8575" s="165"/>
    </row>
    <row r="8576" spans="1:3" ht="16.8">
      <c r="A8576" s="165"/>
      <c r="B8576" s="171"/>
      <c r="C8576" s="165"/>
    </row>
    <row r="8577" spans="1:3" ht="16.8">
      <c r="A8577" s="165"/>
      <c r="B8577" s="171"/>
      <c r="C8577" s="165"/>
    </row>
    <row r="8578" spans="1:3" ht="16.8">
      <c r="A8578" s="165"/>
      <c r="B8578" s="171"/>
      <c r="C8578" s="165"/>
    </row>
    <row r="8579" spans="1:3" ht="16.8">
      <c r="A8579" s="165"/>
      <c r="B8579" s="171"/>
      <c r="C8579" s="165"/>
    </row>
    <row r="8580" spans="1:3" ht="16.8">
      <c r="A8580" s="165"/>
      <c r="B8580" s="171"/>
      <c r="C8580" s="165"/>
    </row>
    <row r="8581" spans="1:3" ht="16.8">
      <c r="A8581" s="165"/>
      <c r="B8581" s="171"/>
      <c r="C8581" s="165"/>
    </row>
    <row r="8582" spans="1:3" ht="16.8">
      <c r="A8582" s="165"/>
      <c r="B8582" s="171"/>
      <c r="C8582" s="165"/>
    </row>
    <row r="8583" spans="1:3" ht="16.8">
      <c r="A8583" s="165"/>
      <c r="B8583" s="171"/>
      <c r="C8583" s="165"/>
    </row>
    <row r="8584" spans="1:3" ht="16.8">
      <c r="A8584" s="165"/>
      <c r="B8584" s="171"/>
      <c r="C8584" s="165"/>
    </row>
    <row r="8585" spans="1:3" ht="16.8">
      <c r="A8585" s="165"/>
      <c r="B8585" s="171"/>
      <c r="C8585" s="165"/>
    </row>
    <row r="8586" spans="1:3" ht="16.8">
      <c r="A8586" s="165"/>
      <c r="B8586" s="171"/>
      <c r="C8586" s="165"/>
    </row>
    <row r="8587" spans="1:3" ht="16.8">
      <c r="A8587" s="165"/>
      <c r="B8587" s="171"/>
      <c r="C8587" s="165"/>
    </row>
    <row r="8588" spans="1:3" ht="16.8">
      <c r="A8588" s="165"/>
      <c r="B8588" s="171"/>
      <c r="C8588" s="165"/>
    </row>
    <row r="8589" spans="1:3" ht="16.8">
      <c r="A8589" s="165"/>
      <c r="B8589" s="171"/>
      <c r="C8589" s="165"/>
    </row>
    <row r="8590" spans="1:3" ht="16.8">
      <c r="A8590" s="165"/>
      <c r="B8590" s="171"/>
      <c r="C8590" s="165"/>
    </row>
    <row r="8591" spans="1:3" ht="16.8">
      <c r="A8591" s="165"/>
      <c r="B8591" s="171"/>
      <c r="C8591" s="165"/>
    </row>
    <row r="8592" spans="1:3" ht="16.8">
      <c r="A8592" s="165"/>
      <c r="B8592" s="171"/>
      <c r="C8592" s="165"/>
    </row>
    <row r="8593" spans="1:3" ht="16.8">
      <c r="A8593" s="165"/>
      <c r="B8593" s="171"/>
      <c r="C8593" s="165"/>
    </row>
    <row r="8594" spans="1:3" ht="16.8">
      <c r="A8594" s="165"/>
      <c r="B8594" s="171"/>
      <c r="C8594" s="165"/>
    </row>
    <row r="8595" spans="1:3" ht="16.8">
      <c r="A8595" s="165"/>
      <c r="B8595" s="171"/>
      <c r="C8595" s="165"/>
    </row>
    <row r="8596" spans="1:3" ht="16.8">
      <c r="A8596" s="165"/>
      <c r="B8596" s="171"/>
      <c r="C8596" s="165"/>
    </row>
    <row r="8597" spans="1:3" ht="16.8">
      <c r="A8597" s="165"/>
      <c r="B8597" s="171"/>
      <c r="C8597" s="165"/>
    </row>
    <row r="8598" spans="1:3" ht="16.8">
      <c r="A8598" s="165"/>
      <c r="B8598" s="171"/>
      <c r="C8598" s="165"/>
    </row>
    <row r="8599" spans="1:3" ht="16.8">
      <c r="A8599" s="165"/>
      <c r="B8599" s="171"/>
      <c r="C8599" s="165"/>
    </row>
    <row r="8600" spans="1:3" ht="16.8">
      <c r="A8600" s="165"/>
      <c r="B8600" s="171"/>
      <c r="C8600" s="165"/>
    </row>
    <row r="8601" spans="1:3" ht="16.8">
      <c r="A8601" s="165"/>
      <c r="B8601" s="171"/>
      <c r="C8601" s="165"/>
    </row>
    <row r="8602" spans="1:3" ht="16.8">
      <c r="A8602" s="165"/>
      <c r="B8602" s="171"/>
      <c r="C8602" s="165"/>
    </row>
    <row r="8603" spans="1:3" ht="16.8">
      <c r="A8603" s="165"/>
      <c r="B8603" s="171"/>
      <c r="C8603" s="165"/>
    </row>
    <row r="8604" spans="1:3" ht="16.8">
      <c r="A8604" s="165"/>
      <c r="B8604" s="171"/>
      <c r="C8604" s="165"/>
    </row>
    <row r="8605" spans="1:3" ht="16.8">
      <c r="A8605" s="165"/>
      <c r="B8605" s="171"/>
      <c r="C8605" s="165"/>
    </row>
    <row r="8606" spans="1:3" ht="16.8">
      <c r="A8606" s="165"/>
      <c r="B8606" s="171"/>
      <c r="C8606" s="165"/>
    </row>
    <row r="8607" spans="1:3" ht="16.8">
      <c r="A8607" s="165"/>
      <c r="B8607" s="171"/>
      <c r="C8607" s="165"/>
    </row>
    <row r="8608" spans="1:3" ht="16.8">
      <c r="A8608" s="165"/>
      <c r="B8608" s="171"/>
      <c r="C8608" s="165"/>
    </row>
    <row r="8609" spans="1:3" ht="16.8">
      <c r="A8609" s="165"/>
      <c r="B8609" s="171"/>
      <c r="C8609" s="165"/>
    </row>
    <row r="8610" spans="1:3" ht="16.8">
      <c r="A8610" s="165"/>
      <c r="B8610" s="171"/>
      <c r="C8610" s="165"/>
    </row>
    <row r="8611" spans="1:3" ht="16.8">
      <c r="A8611" s="165"/>
      <c r="B8611" s="171"/>
      <c r="C8611" s="165"/>
    </row>
    <row r="8612" spans="1:3" ht="16.8">
      <c r="A8612" s="165"/>
      <c r="B8612" s="171"/>
      <c r="C8612" s="165"/>
    </row>
    <row r="8613" spans="1:3" ht="16.8">
      <c r="A8613" s="165"/>
      <c r="B8613" s="171"/>
      <c r="C8613" s="165"/>
    </row>
    <row r="8614" spans="1:3" ht="16.8">
      <c r="A8614" s="165"/>
      <c r="B8614" s="171"/>
      <c r="C8614" s="165"/>
    </row>
    <row r="8615" spans="1:3" ht="16.8">
      <c r="A8615" s="165"/>
      <c r="B8615" s="171"/>
      <c r="C8615" s="165"/>
    </row>
    <row r="8616" spans="1:3" ht="16.8">
      <c r="A8616" s="165"/>
      <c r="B8616" s="171"/>
      <c r="C8616" s="165"/>
    </row>
    <row r="8617" spans="1:3" ht="16.8">
      <c r="A8617" s="165"/>
      <c r="B8617" s="171"/>
      <c r="C8617" s="165"/>
    </row>
    <row r="8618" spans="1:3" ht="16.8">
      <c r="A8618" s="165"/>
      <c r="B8618" s="171"/>
      <c r="C8618" s="165"/>
    </row>
    <row r="8619" spans="1:3" ht="16.8">
      <c r="A8619" s="165"/>
      <c r="B8619" s="171"/>
      <c r="C8619" s="165"/>
    </row>
    <row r="8620" spans="1:3" ht="16.8">
      <c r="A8620" s="165"/>
      <c r="B8620" s="171"/>
      <c r="C8620" s="165"/>
    </row>
    <row r="8621" spans="1:3" ht="16.8">
      <c r="A8621" s="165"/>
      <c r="B8621" s="171"/>
      <c r="C8621" s="165"/>
    </row>
    <row r="8622" spans="1:3" ht="16.8">
      <c r="A8622" s="165"/>
      <c r="B8622" s="171"/>
      <c r="C8622" s="165"/>
    </row>
    <row r="8623" spans="1:3" ht="16.8">
      <c r="A8623" s="165"/>
      <c r="B8623" s="171"/>
      <c r="C8623" s="165"/>
    </row>
    <row r="8624" spans="1:3" ht="16.8">
      <c r="A8624" s="165"/>
      <c r="B8624" s="171"/>
      <c r="C8624" s="165"/>
    </row>
    <row r="8625" spans="1:3" ht="16.8">
      <c r="A8625" s="165"/>
      <c r="B8625" s="171"/>
      <c r="C8625" s="165"/>
    </row>
    <row r="8626" spans="1:3" ht="16.8">
      <c r="A8626" s="165"/>
      <c r="B8626" s="171"/>
      <c r="C8626" s="165"/>
    </row>
    <row r="8627" spans="1:3" ht="16.8">
      <c r="A8627" s="165"/>
      <c r="B8627" s="171"/>
      <c r="C8627" s="165"/>
    </row>
    <row r="8628" spans="1:3" ht="16.8">
      <c r="A8628" s="165"/>
      <c r="B8628" s="171"/>
      <c r="C8628" s="165"/>
    </row>
    <row r="8629" spans="1:3" ht="16.8">
      <c r="A8629" s="165"/>
      <c r="B8629" s="171"/>
      <c r="C8629" s="165"/>
    </row>
    <row r="8630" spans="1:3" ht="16.8">
      <c r="A8630" s="165"/>
      <c r="B8630" s="171"/>
      <c r="C8630" s="165"/>
    </row>
    <row r="8631" spans="1:3" ht="16.8">
      <c r="A8631" s="165"/>
      <c r="B8631" s="171"/>
      <c r="C8631" s="165"/>
    </row>
    <row r="8632" spans="1:3" ht="16.8">
      <c r="A8632" s="165"/>
      <c r="B8632" s="171"/>
      <c r="C8632" s="165"/>
    </row>
    <row r="8633" spans="1:3" ht="16.8">
      <c r="A8633" s="165"/>
      <c r="B8633" s="171"/>
      <c r="C8633" s="165"/>
    </row>
    <row r="8634" spans="1:3" ht="16.8">
      <c r="A8634" s="165"/>
      <c r="B8634" s="171"/>
      <c r="C8634" s="165"/>
    </row>
    <row r="8635" spans="1:3" ht="16.8">
      <c r="A8635" s="165"/>
      <c r="B8635" s="171"/>
      <c r="C8635" s="165"/>
    </row>
    <row r="8636" spans="1:3" ht="16.8">
      <c r="A8636" s="165"/>
      <c r="B8636" s="171"/>
      <c r="C8636" s="165"/>
    </row>
    <row r="8637" spans="1:3" ht="16.8">
      <c r="A8637" s="165"/>
      <c r="B8637" s="171"/>
      <c r="C8637" s="165"/>
    </row>
    <row r="8638" spans="1:3" ht="16.8">
      <c r="A8638" s="165"/>
      <c r="B8638" s="171"/>
      <c r="C8638" s="165"/>
    </row>
    <row r="8639" spans="1:3" ht="16.8">
      <c r="A8639" s="165"/>
      <c r="B8639" s="171"/>
      <c r="C8639" s="165"/>
    </row>
    <row r="8640" spans="1:3" ht="16.8">
      <c r="A8640" s="165"/>
      <c r="B8640" s="171"/>
      <c r="C8640" s="165"/>
    </row>
    <row r="8641" spans="1:3" ht="16.8">
      <c r="A8641" s="165"/>
      <c r="B8641" s="171"/>
      <c r="C8641" s="165"/>
    </row>
    <row r="8642" spans="1:3" ht="16.8">
      <c r="A8642" s="165"/>
      <c r="B8642" s="171"/>
      <c r="C8642" s="165"/>
    </row>
    <row r="8643" spans="1:3" ht="16.8">
      <c r="A8643" s="165"/>
      <c r="B8643" s="171"/>
      <c r="C8643" s="165"/>
    </row>
    <row r="8644" spans="1:3" ht="16.8">
      <c r="A8644" s="165"/>
      <c r="B8644" s="171"/>
      <c r="C8644" s="165"/>
    </row>
    <row r="8645" spans="1:3" ht="16.8">
      <c r="A8645" s="165"/>
      <c r="B8645" s="171"/>
      <c r="C8645" s="165"/>
    </row>
    <row r="8646" spans="1:3" ht="16.8">
      <c r="A8646" s="165"/>
      <c r="B8646" s="171"/>
      <c r="C8646" s="165"/>
    </row>
    <row r="8647" spans="1:3" ht="16.8">
      <c r="A8647" s="165"/>
      <c r="B8647" s="171"/>
      <c r="C8647" s="165"/>
    </row>
    <row r="8648" spans="1:3" ht="16.8">
      <c r="A8648" s="165"/>
      <c r="B8648" s="171"/>
      <c r="C8648" s="165"/>
    </row>
    <row r="8649" spans="1:3" ht="16.8">
      <c r="A8649" s="165"/>
      <c r="B8649" s="171"/>
      <c r="C8649" s="165"/>
    </row>
    <row r="8650" spans="1:3" ht="16.8">
      <c r="A8650" s="165"/>
      <c r="B8650" s="171"/>
      <c r="C8650" s="165"/>
    </row>
    <row r="8651" spans="1:3" ht="16.8">
      <c r="A8651" s="165"/>
      <c r="B8651" s="171"/>
      <c r="C8651" s="165"/>
    </row>
    <row r="8652" spans="1:3" ht="16.8">
      <c r="A8652" s="165"/>
      <c r="B8652" s="171"/>
      <c r="C8652" s="165"/>
    </row>
    <row r="8653" spans="1:3" ht="16.8">
      <c r="A8653" s="165"/>
      <c r="B8653" s="171"/>
      <c r="C8653" s="165"/>
    </row>
    <row r="8654" spans="1:3" ht="16.8">
      <c r="A8654" s="165"/>
      <c r="B8654" s="171"/>
      <c r="C8654" s="165"/>
    </row>
    <row r="8655" spans="1:3" ht="16.8">
      <c r="A8655" s="165"/>
      <c r="B8655" s="171"/>
      <c r="C8655" s="165"/>
    </row>
    <row r="8656" spans="1:3" ht="16.8">
      <c r="A8656" s="165"/>
      <c r="B8656" s="171"/>
      <c r="C8656" s="165"/>
    </row>
    <row r="8657" spans="1:3" ht="16.8">
      <c r="A8657" s="165"/>
      <c r="B8657" s="171"/>
      <c r="C8657" s="165"/>
    </row>
    <row r="8658" spans="1:3" ht="16.8">
      <c r="A8658" s="165"/>
      <c r="B8658" s="171"/>
      <c r="C8658" s="165"/>
    </row>
    <row r="8659" spans="1:3" ht="16.8">
      <c r="A8659" s="165"/>
      <c r="B8659" s="171"/>
      <c r="C8659" s="165"/>
    </row>
    <row r="8660" spans="1:3" ht="16.8">
      <c r="A8660" s="165"/>
      <c r="B8660" s="171"/>
      <c r="C8660" s="165"/>
    </row>
    <row r="8661" spans="1:3" ht="16.8">
      <c r="A8661" s="165"/>
      <c r="B8661" s="171"/>
      <c r="C8661" s="165"/>
    </row>
    <row r="8662" spans="1:3" ht="16.8">
      <c r="A8662" s="165"/>
      <c r="B8662" s="171"/>
      <c r="C8662" s="165"/>
    </row>
    <row r="8663" spans="1:3" ht="16.8">
      <c r="A8663" s="165"/>
      <c r="B8663" s="171"/>
      <c r="C8663" s="165"/>
    </row>
    <row r="8664" spans="1:3" ht="16.8">
      <c r="A8664" s="165"/>
      <c r="B8664" s="171"/>
      <c r="C8664" s="165"/>
    </row>
    <row r="8665" spans="1:3" ht="16.8">
      <c r="A8665" s="165"/>
      <c r="B8665" s="171"/>
      <c r="C8665" s="165"/>
    </row>
    <row r="8666" spans="1:3" ht="16.8">
      <c r="A8666" s="165"/>
      <c r="B8666" s="171"/>
      <c r="C8666" s="165"/>
    </row>
    <row r="8667" spans="1:3" ht="16.8">
      <c r="A8667" s="165"/>
      <c r="B8667" s="171"/>
      <c r="C8667" s="165"/>
    </row>
    <row r="8668" spans="1:3" ht="16.8">
      <c r="A8668" s="165"/>
      <c r="B8668" s="171"/>
      <c r="C8668" s="165"/>
    </row>
    <row r="8669" spans="1:3" ht="16.8">
      <c r="A8669" s="165"/>
      <c r="B8669" s="171"/>
      <c r="C8669" s="165"/>
    </row>
    <row r="8670" spans="1:3" ht="16.8">
      <c r="A8670" s="165"/>
      <c r="B8670" s="171"/>
      <c r="C8670" s="165"/>
    </row>
    <row r="8671" spans="1:3" ht="16.8">
      <c r="A8671" s="165"/>
      <c r="B8671" s="171"/>
      <c r="C8671" s="165"/>
    </row>
    <row r="8672" spans="1:3" ht="16.8">
      <c r="A8672" s="165"/>
      <c r="B8672" s="171"/>
      <c r="C8672" s="165"/>
    </row>
    <row r="8673" spans="1:3" ht="16.8">
      <c r="A8673" s="165"/>
      <c r="B8673" s="171"/>
      <c r="C8673" s="165"/>
    </row>
    <row r="8674" spans="1:3" ht="16.8">
      <c r="A8674" s="165"/>
      <c r="B8674" s="171"/>
      <c r="C8674" s="165"/>
    </row>
    <row r="8675" spans="1:3" ht="16.8">
      <c r="A8675" s="165"/>
      <c r="B8675" s="171"/>
      <c r="C8675" s="165"/>
    </row>
    <row r="8676" spans="1:3" ht="16.8">
      <c r="A8676" s="165"/>
      <c r="B8676" s="171"/>
      <c r="C8676" s="165"/>
    </row>
    <row r="8677" spans="1:3" ht="16.8">
      <c r="A8677" s="165"/>
      <c r="B8677" s="171"/>
      <c r="C8677" s="165"/>
    </row>
    <row r="8678" spans="1:3" ht="16.8">
      <c r="A8678" s="165"/>
      <c r="B8678" s="171"/>
      <c r="C8678" s="165"/>
    </row>
    <row r="8679" spans="1:3" ht="16.8">
      <c r="A8679" s="165"/>
      <c r="B8679" s="171"/>
      <c r="C8679" s="165"/>
    </row>
    <row r="8680" spans="1:3" ht="16.8">
      <c r="A8680" s="165"/>
      <c r="B8680" s="171"/>
      <c r="C8680" s="165"/>
    </row>
    <row r="8681" spans="1:3" ht="16.8">
      <c r="A8681" s="165"/>
      <c r="B8681" s="171"/>
      <c r="C8681" s="165"/>
    </row>
    <row r="8682" spans="1:3" ht="16.8">
      <c r="A8682" s="165"/>
      <c r="B8682" s="171"/>
      <c r="C8682" s="165"/>
    </row>
    <row r="8683" spans="1:3" ht="16.8">
      <c r="A8683" s="165"/>
      <c r="B8683" s="171"/>
      <c r="C8683" s="165"/>
    </row>
    <row r="8684" spans="1:3" ht="16.8">
      <c r="A8684" s="165"/>
      <c r="B8684" s="171"/>
      <c r="C8684" s="165"/>
    </row>
    <row r="8685" spans="1:3" ht="16.8">
      <c r="A8685" s="165"/>
      <c r="B8685" s="171"/>
      <c r="C8685" s="165"/>
    </row>
    <row r="8686" spans="1:3" ht="16.8">
      <c r="A8686" s="165"/>
      <c r="B8686" s="171"/>
      <c r="C8686" s="165"/>
    </row>
    <row r="8687" spans="1:3" ht="16.8">
      <c r="A8687" s="165"/>
      <c r="B8687" s="171"/>
      <c r="C8687" s="165"/>
    </row>
    <row r="8688" spans="1:3" ht="16.8">
      <c r="A8688" s="165"/>
      <c r="B8688" s="171"/>
      <c r="C8688" s="165"/>
    </row>
    <row r="8689" spans="1:3" ht="16.8">
      <c r="A8689" s="165"/>
      <c r="B8689" s="171"/>
      <c r="C8689" s="165"/>
    </row>
    <row r="8690" spans="1:3" ht="16.8">
      <c r="A8690" s="165"/>
      <c r="B8690" s="171"/>
      <c r="C8690" s="165"/>
    </row>
    <row r="8691" spans="1:3" ht="16.8">
      <c r="A8691" s="165"/>
      <c r="B8691" s="171"/>
      <c r="C8691" s="165"/>
    </row>
    <row r="8692" spans="1:3" ht="16.8">
      <c r="A8692" s="165"/>
      <c r="B8692" s="171"/>
      <c r="C8692" s="165"/>
    </row>
    <row r="8693" spans="1:3" ht="16.8">
      <c r="A8693" s="165"/>
      <c r="B8693" s="171"/>
      <c r="C8693" s="165"/>
    </row>
    <row r="8694" spans="1:3" ht="16.8">
      <c r="A8694" s="165"/>
      <c r="B8694" s="171"/>
      <c r="C8694" s="165"/>
    </row>
    <row r="8695" spans="1:3" ht="16.8">
      <c r="A8695" s="165"/>
      <c r="B8695" s="171"/>
      <c r="C8695" s="165"/>
    </row>
    <row r="8696" spans="1:3" ht="16.8">
      <c r="A8696" s="165"/>
      <c r="B8696" s="171"/>
      <c r="C8696" s="165"/>
    </row>
    <row r="8697" spans="1:3" ht="16.8">
      <c r="A8697" s="165"/>
      <c r="B8697" s="171"/>
      <c r="C8697" s="165"/>
    </row>
    <row r="8698" spans="1:3" ht="16.8">
      <c r="A8698" s="165"/>
      <c r="B8698" s="171"/>
      <c r="C8698" s="165"/>
    </row>
    <row r="8699" spans="1:3" ht="16.8">
      <c r="A8699" s="165"/>
      <c r="B8699" s="171"/>
      <c r="C8699" s="165"/>
    </row>
    <row r="8700" spans="1:3" ht="16.8">
      <c r="A8700" s="165"/>
      <c r="B8700" s="171"/>
      <c r="C8700" s="165"/>
    </row>
    <row r="8701" spans="1:3" ht="16.8">
      <c r="A8701" s="165"/>
      <c r="B8701" s="171"/>
      <c r="C8701" s="165"/>
    </row>
    <row r="8702" spans="1:3" ht="16.8">
      <c r="A8702" s="165"/>
      <c r="B8702" s="171"/>
      <c r="C8702" s="165"/>
    </row>
    <row r="8703" spans="1:3" ht="16.8">
      <c r="A8703" s="165"/>
      <c r="B8703" s="171"/>
      <c r="C8703" s="165"/>
    </row>
    <row r="8704" spans="1:3" ht="16.8">
      <c r="A8704" s="165"/>
      <c r="B8704" s="171"/>
      <c r="C8704" s="165"/>
    </row>
    <row r="8705" spans="1:3" ht="16.8">
      <c r="A8705" s="165"/>
      <c r="B8705" s="171"/>
      <c r="C8705" s="165"/>
    </row>
    <row r="8706" spans="1:3" ht="16.8">
      <c r="A8706" s="165"/>
      <c r="B8706" s="171"/>
      <c r="C8706" s="165"/>
    </row>
    <row r="8707" spans="1:3" ht="16.8">
      <c r="A8707" s="165"/>
      <c r="B8707" s="171"/>
      <c r="C8707" s="165"/>
    </row>
    <row r="8708" spans="1:3" ht="16.8">
      <c r="A8708" s="165"/>
      <c r="B8708" s="171"/>
      <c r="C8708" s="165"/>
    </row>
    <row r="8709" spans="1:3" ht="16.8">
      <c r="A8709" s="165"/>
      <c r="B8709" s="171"/>
      <c r="C8709" s="165"/>
    </row>
    <row r="8710" spans="1:3" ht="16.8">
      <c r="A8710" s="165"/>
      <c r="B8710" s="171"/>
      <c r="C8710" s="165"/>
    </row>
    <row r="8711" spans="1:3" ht="16.8">
      <c r="A8711" s="165"/>
      <c r="B8711" s="171"/>
      <c r="C8711" s="165"/>
    </row>
    <row r="8712" spans="1:3" ht="16.8">
      <c r="A8712" s="165"/>
      <c r="B8712" s="171"/>
      <c r="C8712" s="165"/>
    </row>
    <row r="8713" spans="1:3" ht="16.8">
      <c r="A8713" s="165"/>
      <c r="B8713" s="171"/>
      <c r="C8713" s="165"/>
    </row>
    <row r="8714" spans="1:3" ht="16.8">
      <c r="A8714" s="165"/>
      <c r="B8714" s="171"/>
      <c r="C8714" s="165"/>
    </row>
    <row r="8715" spans="1:3" ht="16.8">
      <c r="A8715" s="165"/>
      <c r="B8715" s="171"/>
      <c r="C8715" s="165"/>
    </row>
    <row r="8716" spans="1:3" ht="16.8">
      <c r="A8716" s="165"/>
      <c r="B8716" s="171"/>
      <c r="C8716" s="165"/>
    </row>
    <row r="8717" spans="1:3" ht="16.8">
      <c r="A8717" s="165"/>
      <c r="B8717" s="171"/>
      <c r="C8717" s="165"/>
    </row>
    <row r="8718" spans="1:3" ht="16.8">
      <c r="A8718" s="165"/>
      <c r="B8718" s="171"/>
      <c r="C8718" s="165"/>
    </row>
    <row r="8719" spans="1:3" ht="16.8">
      <c r="A8719" s="165"/>
      <c r="B8719" s="171"/>
      <c r="C8719" s="165"/>
    </row>
    <row r="8720" spans="1:3" ht="16.8">
      <c r="A8720" s="165"/>
      <c r="B8720" s="171"/>
      <c r="C8720" s="165"/>
    </row>
    <row r="8721" spans="1:3" ht="16.8">
      <c r="A8721" s="165"/>
      <c r="B8721" s="171"/>
      <c r="C8721" s="165"/>
    </row>
    <row r="8722" spans="1:3" ht="16.8">
      <c r="A8722" s="165"/>
      <c r="B8722" s="171"/>
      <c r="C8722" s="165"/>
    </row>
    <row r="8723" spans="1:3" ht="16.8">
      <c r="A8723" s="165"/>
      <c r="B8723" s="171"/>
      <c r="C8723" s="165"/>
    </row>
    <row r="8724" spans="1:3" ht="16.8">
      <c r="A8724" s="165"/>
      <c r="B8724" s="171"/>
      <c r="C8724" s="165"/>
    </row>
    <row r="8725" spans="1:3" ht="16.8">
      <c r="A8725" s="165"/>
      <c r="B8725" s="171"/>
      <c r="C8725" s="165"/>
    </row>
    <row r="8726" spans="1:3" ht="16.8">
      <c r="A8726" s="165"/>
      <c r="B8726" s="171"/>
      <c r="C8726" s="165"/>
    </row>
    <row r="8727" spans="1:3" ht="16.8">
      <c r="A8727" s="165"/>
      <c r="B8727" s="171"/>
      <c r="C8727" s="165"/>
    </row>
    <row r="8728" spans="1:3" ht="16.8">
      <c r="A8728" s="165"/>
      <c r="B8728" s="171"/>
      <c r="C8728" s="165"/>
    </row>
    <row r="8729" spans="1:3" ht="16.8">
      <c r="A8729" s="165"/>
      <c r="B8729" s="171"/>
      <c r="C8729" s="165"/>
    </row>
    <row r="8730" spans="1:3" ht="16.8">
      <c r="A8730" s="165"/>
      <c r="B8730" s="171"/>
      <c r="C8730" s="165"/>
    </row>
    <row r="8731" spans="1:3" ht="16.8">
      <c r="A8731" s="165"/>
      <c r="B8731" s="171"/>
      <c r="C8731" s="165"/>
    </row>
    <row r="8732" spans="1:3" ht="16.8">
      <c r="A8732" s="165"/>
      <c r="B8732" s="171"/>
      <c r="C8732" s="165"/>
    </row>
    <row r="8733" spans="1:3" ht="16.8">
      <c r="A8733" s="165"/>
      <c r="B8733" s="171"/>
      <c r="C8733" s="165"/>
    </row>
    <row r="8734" spans="1:3" ht="16.8">
      <c r="A8734" s="165"/>
      <c r="B8734" s="171"/>
      <c r="C8734" s="165"/>
    </row>
    <row r="8735" spans="1:3" ht="16.8">
      <c r="A8735" s="165"/>
      <c r="B8735" s="171"/>
      <c r="C8735" s="165"/>
    </row>
    <row r="8736" spans="1:3" ht="16.8">
      <c r="A8736" s="165"/>
      <c r="B8736" s="171"/>
      <c r="C8736" s="165"/>
    </row>
    <row r="8737" spans="1:3" ht="16.8">
      <c r="A8737" s="165"/>
      <c r="B8737" s="171"/>
      <c r="C8737" s="165"/>
    </row>
    <row r="8738" spans="1:3" ht="16.8">
      <c r="A8738" s="165"/>
      <c r="B8738" s="171"/>
      <c r="C8738" s="165"/>
    </row>
    <row r="8739" spans="1:3" ht="16.8">
      <c r="A8739" s="165"/>
      <c r="B8739" s="171"/>
      <c r="C8739" s="165"/>
    </row>
    <row r="8740" spans="1:3" ht="16.8">
      <c r="A8740" s="165"/>
      <c r="B8740" s="171"/>
      <c r="C8740" s="165"/>
    </row>
    <row r="8741" spans="1:3" ht="16.8">
      <c r="A8741" s="165"/>
      <c r="B8741" s="171"/>
      <c r="C8741" s="165"/>
    </row>
    <row r="8742" spans="1:3" ht="16.8">
      <c r="A8742" s="165"/>
      <c r="B8742" s="171"/>
      <c r="C8742" s="165"/>
    </row>
    <row r="8743" spans="1:3" ht="16.8">
      <c r="A8743" s="165"/>
      <c r="B8743" s="171"/>
      <c r="C8743" s="165"/>
    </row>
    <row r="8744" spans="1:3" ht="16.8">
      <c r="A8744" s="165"/>
      <c r="B8744" s="171"/>
      <c r="C8744" s="165"/>
    </row>
    <row r="8745" spans="1:3" ht="16.8">
      <c r="A8745" s="165"/>
      <c r="B8745" s="171"/>
      <c r="C8745" s="165"/>
    </row>
    <row r="8746" spans="1:3" ht="16.8">
      <c r="A8746" s="165"/>
      <c r="B8746" s="171"/>
      <c r="C8746" s="165"/>
    </row>
    <row r="8747" spans="1:3" ht="16.8">
      <c r="A8747" s="165"/>
      <c r="B8747" s="171"/>
      <c r="C8747" s="165"/>
    </row>
    <row r="8748" spans="1:3" ht="16.8">
      <c r="A8748" s="165"/>
      <c r="B8748" s="171"/>
      <c r="C8748" s="165"/>
    </row>
    <row r="8749" spans="1:3" ht="16.8">
      <c r="A8749" s="165"/>
      <c r="B8749" s="171"/>
      <c r="C8749" s="165"/>
    </row>
    <row r="8750" spans="1:3" ht="16.8">
      <c r="A8750" s="165"/>
      <c r="B8750" s="171"/>
      <c r="C8750" s="165"/>
    </row>
    <row r="8751" spans="1:3" ht="16.8">
      <c r="A8751" s="165"/>
      <c r="B8751" s="171"/>
      <c r="C8751" s="165"/>
    </row>
    <row r="8752" spans="1:3" ht="16.8">
      <c r="A8752" s="165"/>
      <c r="B8752" s="171"/>
      <c r="C8752" s="165"/>
    </row>
    <row r="8753" spans="1:3" ht="16.8">
      <c r="A8753" s="165"/>
      <c r="B8753" s="171"/>
      <c r="C8753" s="165"/>
    </row>
    <row r="8754" spans="1:3" ht="16.8">
      <c r="A8754" s="165"/>
      <c r="B8754" s="171"/>
      <c r="C8754" s="165"/>
    </row>
    <row r="8755" spans="1:3" ht="16.8">
      <c r="A8755" s="165"/>
      <c r="B8755" s="171"/>
      <c r="C8755" s="165"/>
    </row>
    <row r="8756" spans="1:3" ht="16.8">
      <c r="A8756" s="165"/>
      <c r="B8756" s="171"/>
      <c r="C8756" s="165"/>
    </row>
    <row r="8757" spans="1:3" ht="16.8">
      <c r="A8757" s="165"/>
      <c r="B8757" s="171"/>
      <c r="C8757" s="165"/>
    </row>
    <row r="8758" spans="1:3" ht="16.8">
      <c r="A8758" s="165"/>
      <c r="B8758" s="171"/>
      <c r="C8758" s="165"/>
    </row>
    <row r="8759" spans="1:3" ht="16.8">
      <c r="A8759" s="165"/>
      <c r="B8759" s="171"/>
      <c r="C8759" s="165"/>
    </row>
    <row r="8760" spans="1:3" ht="16.8">
      <c r="A8760" s="165"/>
      <c r="B8760" s="171"/>
      <c r="C8760" s="165"/>
    </row>
    <row r="8761" spans="1:3" ht="16.8">
      <c r="A8761" s="165"/>
      <c r="B8761" s="171"/>
      <c r="C8761" s="165"/>
    </row>
    <row r="8762" spans="1:3" ht="16.8">
      <c r="A8762" s="165"/>
      <c r="B8762" s="171"/>
      <c r="C8762" s="165"/>
    </row>
    <row r="8763" spans="1:3" ht="16.8">
      <c r="A8763" s="165"/>
      <c r="B8763" s="171"/>
      <c r="C8763" s="165"/>
    </row>
    <row r="8764" spans="1:3" ht="16.8">
      <c r="A8764" s="165"/>
      <c r="B8764" s="171"/>
      <c r="C8764" s="165"/>
    </row>
    <row r="8765" spans="1:3" ht="16.8">
      <c r="A8765" s="165"/>
      <c r="B8765" s="171"/>
      <c r="C8765" s="165"/>
    </row>
    <row r="8766" spans="1:3" ht="16.8">
      <c r="A8766" s="165"/>
      <c r="B8766" s="171"/>
      <c r="C8766" s="165"/>
    </row>
    <row r="8767" spans="1:3" ht="16.8">
      <c r="A8767" s="165"/>
      <c r="B8767" s="171"/>
      <c r="C8767" s="165"/>
    </row>
    <row r="8768" spans="1:3" ht="16.8">
      <c r="A8768" s="165"/>
      <c r="B8768" s="171"/>
      <c r="C8768" s="165"/>
    </row>
    <row r="8769" spans="1:3" ht="16.8">
      <c r="A8769" s="165"/>
      <c r="B8769" s="171"/>
      <c r="C8769" s="165"/>
    </row>
    <row r="8770" spans="1:3" ht="16.8">
      <c r="A8770" s="165"/>
      <c r="B8770" s="171"/>
      <c r="C8770" s="165"/>
    </row>
    <row r="8771" spans="1:3" ht="16.8">
      <c r="A8771" s="165"/>
      <c r="B8771" s="171"/>
      <c r="C8771" s="165"/>
    </row>
    <row r="8772" spans="1:3" ht="16.8">
      <c r="A8772" s="165"/>
      <c r="B8772" s="171"/>
      <c r="C8772" s="165"/>
    </row>
    <row r="8773" spans="1:3" ht="16.8">
      <c r="A8773" s="165"/>
      <c r="B8773" s="171"/>
      <c r="C8773" s="165"/>
    </row>
    <row r="8774" spans="1:3" ht="16.8">
      <c r="A8774" s="165"/>
      <c r="B8774" s="171"/>
      <c r="C8774" s="165"/>
    </row>
    <row r="8775" spans="1:3" ht="16.8">
      <c r="A8775" s="165"/>
      <c r="B8775" s="171"/>
      <c r="C8775" s="165"/>
    </row>
    <row r="8776" spans="1:3" ht="16.8">
      <c r="A8776" s="165"/>
      <c r="B8776" s="171"/>
      <c r="C8776" s="165"/>
    </row>
    <row r="8777" spans="1:3" ht="16.8">
      <c r="A8777" s="165"/>
      <c r="B8777" s="171"/>
      <c r="C8777" s="165"/>
    </row>
    <row r="8778" spans="1:3" ht="16.8">
      <c r="A8778" s="165"/>
      <c r="B8778" s="171"/>
      <c r="C8778" s="165"/>
    </row>
    <row r="8779" spans="1:3" ht="16.8">
      <c r="A8779" s="165"/>
      <c r="B8779" s="171"/>
      <c r="C8779" s="165"/>
    </row>
    <row r="8780" spans="1:3" ht="16.8">
      <c r="A8780" s="165"/>
      <c r="B8780" s="171"/>
      <c r="C8780" s="165"/>
    </row>
    <row r="8781" spans="1:3" ht="16.8">
      <c r="A8781" s="165"/>
      <c r="B8781" s="171"/>
      <c r="C8781" s="165"/>
    </row>
    <row r="8782" spans="1:3" ht="16.8">
      <c r="A8782" s="165"/>
      <c r="B8782" s="171"/>
      <c r="C8782" s="165"/>
    </row>
    <row r="8783" spans="1:3" ht="16.8">
      <c r="A8783" s="165"/>
      <c r="B8783" s="171"/>
      <c r="C8783" s="165"/>
    </row>
    <row r="8784" spans="1:3" ht="16.8">
      <c r="A8784" s="165"/>
      <c r="B8784" s="171"/>
      <c r="C8784" s="165"/>
    </row>
    <row r="8785" spans="1:3" ht="16.8">
      <c r="A8785" s="165"/>
      <c r="B8785" s="171"/>
      <c r="C8785" s="165"/>
    </row>
    <row r="8786" spans="1:3" ht="16.8">
      <c r="A8786" s="165"/>
      <c r="B8786" s="171"/>
      <c r="C8786" s="165"/>
    </row>
    <row r="8787" spans="1:3" ht="16.8">
      <c r="A8787" s="165"/>
      <c r="B8787" s="171"/>
      <c r="C8787" s="165"/>
    </row>
    <row r="8788" spans="1:3" ht="16.8">
      <c r="A8788" s="165"/>
      <c r="B8788" s="171"/>
      <c r="C8788" s="165"/>
    </row>
    <row r="8789" spans="1:3" ht="16.8">
      <c r="A8789" s="165"/>
      <c r="B8789" s="171"/>
      <c r="C8789" s="165"/>
    </row>
    <row r="8790" spans="1:3" ht="16.8">
      <c r="A8790" s="165"/>
      <c r="B8790" s="171"/>
      <c r="C8790" s="165"/>
    </row>
    <row r="8791" spans="1:3" ht="16.8">
      <c r="A8791" s="165"/>
      <c r="B8791" s="171"/>
      <c r="C8791" s="165"/>
    </row>
    <row r="8792" spans="1:3" ht="16.8">
      <c r="A8792" s="165"/>
      <c r="B8792" s="171"/>
      <c r="C8792" s="165"/>
    </row>
    <row r="8793" spans="1:3" ht="16.8">
      <c r="A8793" s="165"/>
      <c r="B8793" s="171"/>
      <c r="C8793" s="165"/>
    </row>
    <row r="8794" spans="1:3" ht="16.8">
      <c r="A8794" s="165"/>
      <c r="B8794" s="171"/>
      <c r="C8794" s="165"/>
    </row>
    <row r="8795" spans="1:3" ht="16.8">
      <c r="A8795" s="165"/>
      <c r="B8795" s="171"/>
      <c r="C8795" s="165"/>
    </row>
    <row r="8796" spans="1:3" ht="16.8">
      <c r="A8796" s="165"/>
      <c r="B8796" s="171"/>
      <c r="C8796" s="165"/>
    </row>
    <row r="8797" spans="1:3" ht="16.8">
      <c r="A8797" s="165"/>
      <c r="B8797" s="171"/>
      <c r="C8797" s="165"/>
    </row>
    <row r="8798" spans="1:3" ht="16.8">
      <c r="A8798" s="165"/>
      <c r="B8798" s="171"/>
      <c r="C8798" s="165"/>
    </row>
    <row r="8799" spans="1:3" ht="16.8">
      <c r="A8799" s="165"/>
      <c r="B8799" s="171"/>
      <c r="C8799" s="165"/>
    </row>
    <row r="8800" spans="1:3" ht="16.8">
      <c r="A8800" s="165"/>
      <c r="B8800" s="171"/>
      <c r="C8800" s="165"/>
    </row>
    <row r="8801" spans="1:3" ht="16.8">
      <c r="A8801" s="165"/>
      <c r="B8801" s="171"/>
      <c r="C8801" s="165"/>
    </row>
    <row r="8802" spans="1:3" ht="16.8">
      <c r="A8802" s="165"/>
      <c r="B8802" s="171"/>
      <c r="C8802" s="165"/>
    </row>
    <row r="8803" spans="1:3" ht="16.8">
      <c r="A8803" s="165"/>
      <c r="B8803" s="171"/>
      <c r="C8803" s="165"/>
    </row>
    <row r="8804" spans="1:3" ht="16.8">
      <c r="A8804" s="165"/>
      <c r="B8804" s="171"/>
      <c r="C8804" s="165"/>
    </row>
    <row r="8805" spans="1:3" ht="16.8">
      <c r="A8805" s="165"/>
      <c r="B8805" s="171"/>
      <c r="C8805" s="165"/>
    </row>
    <row r="8806" spans="1:3" ht="16.8">
      <c r="A8806" s="165"/>
      <c r="B8806" s="171"/>
      <c r="C8806" s="165"/>
    </row>
    <row r="8807" spans="1:3" ht="16.8">
      <c r="A8807" s="165"/>
      <c r="B8807" s="171"/>
      <c r="C8807" s="165"/>
    </row>
    <row r="8808" spans="1:3" ht="16.8">
      <c r="A8808" s="165"/>
      <c r="B8808" s="171"/>
      <c r="C8808" s="165"/>
    </row>
    <row r="8809" spans="1:3" ht="16.8">
      <c r="A8809" s="165"/>
      <c r="B8809" s="171"/>
      <c r="C8809" s="165"/>
    </row>
    <row r="8810" spans="1:3" ht="16.8">
      <c r="A8810" s="165"/>
      <c r="B8810" s="171"/>
      <c r="C8810" s="165"/>
    </row>
    <row r="8811" spans="1:3" ht="16.8">
      <c r="A8811" s="165"/>
      <c r="B8811" s="171"/>
      <c r="C8811" s="165"/>
    </row>
    <row r="8812" spans="1:3" ht="16.8">
      <c r="A8812" s="165"/>
      <c r="B8812" s="171"/>
      <c r="C8812" s="165"/>
    </row>
    <row r="8813" spans="1:3" ht="16.8">
      <c r="A8813" s="165"/>
      <c r="B8813" s="171"/>
      <c r="C8813" s="165"/>
    </row>
    <row r="8814" spans="1:3" ht="16.8">
      <c r="A8814" s="165"/>
      <c r="B8814" s="171"/>
      <c r="C8814" s="165"/>
    </row>
    <row r="8815" spans="1:3" ht="16.8">
      <c r="A8815" s="165"/>
      <c r="B8815" s="171"/>
      <c r="C8815" s="165"/>
    </row>
    <row r="8816" spans="1:3" ht="16.8">
      <c r="A8816" s="165"/>
      <c r="B8816" s="171"/>
      <c r="C8816" s="165"/>
    </row>
    <row r="8817" spans="1:3" ht="16.8">
      <c r="A8817" s="165"/>
      <c r="B8817" s="171"/>
      <c r="C8817" s="165"/>
    </row>
    <row r="8818" spans="1:3" ht="16.8">
      <c r="A8818" s="165"/>
      <c r="B8818" s="171"/>
      <c r="C8818" s="165"/>
    </row>
    <row r="8819" spans="1:3" ht="16.8">
      <c r="A8819" s="165"/>
      <c r="B8819" s="171"/>
      <c r="C8819" s="165"/>
    </row>
    <row r="8820" spans="1:3" ht="16.8">
      <c r="A8820" s="165"/>
      <c r="B8820" s="171"/>
      <c r="C8820" s="165"/>
    </row>
    <row r="8821" spans="1:3" ht="16.8">
      <c r="A8821" s="165"/>
      <c r="B8821" s="171"/>
      <c r="C8821" s="165"/>
    </row>
    <row r="8822" spans="1:3" ht="16.8">
      <c r="A8822" s="165"/>
      <c r="B8822" s="171"/>
      <c r="C8822" s="165"/>
    </row>
    <row r="8823" spans="1:3" ht="16.8">
      <c r="A8823" s="165"/>
      <c r="B8823" s="171"/>
      <c r="C8823" s="165"/>
    </row>
    <row r="8824" spans="1:3" ht="16.8">
      <c r="A8824" s="165"/>
      <c r="B8824" s="171"/>
      <c r="C8824" s="165"/>
    </row>
    <row r="8825" spans="1:3" ht="16.8">
      <c r="A8825" s="165"/>
      <c r="B8825" s="171"/>
      <c r="C8825" s="165"/>
    </row>
    <row r="8826" spans="1:3" ht="16.8">
      <c r="A8826" s="165"/>
      <c r="B8826" s="171"/>
      <c r="C8826" s="165"/>
    </row>
    <row r="8827" spans="1:3" ht="16.8">
      <c r="A8827" s="165"/>
      <c r="B8827" s="171"/>
      <c r="C8827" s="165"/>
    </row>
    <row r="8828" spans="1:3" ht="16.8">
      <c r="A8828" s="165"/>
      <c r="B8828" s="171"/>
      <c r="C8828" s="165"/>
    </row>
    <row r="8829" spans="1:3" ht="16.8">
      <c r="A8829" s="165"/>
      <c r="B8829" s="171"/>
      <c r="C8829" s="165"/>
    </row>
    <row r="8830" spans="1:3" ht="16.8">
      <c r="A8830" s="165"/>
      <c r="B8830" s="171"/>
      <c r="C8830" s="165"/>
    </row>
    <row r="8831" spans="1:3" ht="16.8">
      <c r="A8831" s="165"/>
      <c r="B8831" s="171"/>
      <c r="C8831" s="165"/>
    </row>
    <row r="8832" spans="1:3" ht="16.8">
      <c r="A8832" s="165"/>
      <c r="B8832" s="171"/>
      <c r="C8832" s="165"/>
    </row>
    <row r="8833" spans="1:3" ht="16.8">
      <c r="A8833" s="165"/>
      <c r="B8833" s="171"/>
      <c r="C8833" s="165"/>
    </row>
    <row r="8834" spans="1:3" ht="16.8">
      <c r="A8834" s="165"/>
      <c r="B8834" s="171"/>
      <c r="C8834" s="165"/>
    </row>
    <row r="8835" spans="1:3" ht="16.8">
      <c r="A8835" s="165"/>
      <c r="B8835" s="171"/>
      <c r="C8835" s="165"/>
    </row>
    <row r="8836" spans="1:3" ht="16.8">
      <c r="A8836" s="165"/>
      <c r="B8836" s="171"/>
      <c r="C8836" s="165"/>
    </row>
    <row r="8837" spans="1:3" ht="16.8">
      <c r="A8837" s="165"/>
      <c r="B8837" s="171"/>
      <c r="C8837" s="165"/>
    </row>
    <row r="8838" spans="1:3" ht="16.8">
      <c r="A8838" s="165"/>
      <c r="B8838" s="171"/>
      <c r="C8838" s="165"/>
    </row>
    <row r="8839" spans="1:3" ht="16.8">
      <c r="A8839" s="165"/>
      <c r="B8839" s="171"/>
      <c r="C8839" s="165"/>
    </row>
    <row r="8840" spans="1:3" ht="16.8">
      <c r="A8840" s="165"/>
      <c r="B8840" s="171"/>
      <c r="C8840" s="165"/>
    </row>
    <row r="8841" spans="1:3" ht="16.8">
      <c r="A8841" s="165"/>
      <c r="B8841" s="171"/>
      <c r="C8841" s="165"/>
    </row>
    <row r="8842" spans="1:3" ht="16.8">
      <c r="A8842" s="165"/>
      <c r="B8842" s="171"/>
      <c r="C8842" s="165"/>
    </row>
    <row r="8843" spans="1:3" ht="16.8">
      <c r="A8843" s="165"/>
      <c r="B8843" s="171"/>
      <c r="C8843" s="165"/>
    </row>
    <row r="8844" spans="1:3" ht="16.8">
      <c r="A8844" s="165"/>
      <c r="B8844" s="171"/>
      <c r="C8844" s="165"/>
    </row>
    <row r="8845" spans="1:3" ht="16.8">
      <c r="A8845" s="165"/>
      <c r="B8845" s="171"/>
      <c r="C8845" s="165"/>
    </row>
    <row r="8846" spans="1:3" ht="16.8">
      <c r="A8846" s="165"/>
      <c r="B8846" s="171"/>
      <c r="C8846" s="165"/>
    </row>
    <row r="8847" spans="1:3" ht="16.8">
      <c r="A8847" s="165"/>
      <c r="B8847" s="171"/>
      <c r="C8847" s="165"/>
    </row>
    <row r="8848" spans="1:3" ht="16.8">
      <c r="A8848" s="165"/>
      <c r="B8848" s="171"/>
      <c r="C8848" s="165"/>
    </row>
    <row r="8849" spans="1:3" ht="16.8">
      <c r="A8849" s="165"/>
      <c r="B8849" s="171"/>
      <c r="C8849" s="165"/>
    </row>
    <row r="8850" spans="1:3" ht="16.8">
      <c r="A8850" s="165"/>
      <c r="B8850" s="171"/>
      <c r="C8850" s="165"/>
    </row>
    <row r="8851" spans="1:3" ht="16.8">
      <c r="A8851" s="165"/>
      <c r="B8851" s="171"/>
      <c r="C8851" s="165"/>
    </row>
    <row r="8852" spans="1:3" ht="16.8">
      <c r="A8852" s="165"/>
      <c r="B8852" s="171"/>
      <c r="C8852" s="165"/>
    </row>
    <row r="8853" spans="1:3" ht="16.8">
      <c r="A8853" s="165"/>
      <c r="B8853" s="171"/>
      <c r="C8853" s="165"/>
    </row>
    <row r="8854" spans="1:3" ht="16.8">
      <c r="A8854" s="165"/>
      <c r="B8854" s="171"/>
      <c r="C8854" s="165"/>
    </row>
    <row r="8855" spans="1:3" ht="16.8">
      <c r="A8855" s="165"/>
      <c r="B8855" s="171"/>
      <c r="C8855" s="165"/>
    </row>
    <row r="8856" spans="1:3" ht="16.8">
      <c r="A8856" s="165"/>
      <c r="B8856" s="171"/>
      <c r="C8856" s="165"/>
    </row>
    <row r="8857" spans="1:3" ht="16.8">
      <c r="A8857" s="165"/>
      <c r="B8857" s="171"/>
      <c r="C8857" s="165"/>
    </row>
    <row r="8858" spans="1:3" ht="16.8">
      <c r="A8858" s="165"/>
      <c r="B8858" s="171"/>
      <c r="C8858" s="165"/>
    </row>
    <row r="8859" spans="1:3" ht="16.8">
      <c r="A8859" s="165"/>
      <c r="B8859" s="171"/>
      <c r="C8859" s="165"/>
    </row>
    <row r="8860" spans="1:3" ht="16.8">
      <c r="A8860" s="165"/>
      <c r="B8860" s="171"/>
      <c r="C8860" s="165"/>
    </row>
    <row r="8861" spans="1:3" ht="16.8">
      <c r="A8861" s="165"/>
      <c r="B8861" s="171"/>
      <c r="C8861" s="165"/>
    </row>
    <row r="8862" spans="1:3" ht="16.8">
      <c r="A8862" s="165"/>
      <c r="B8862" s="171"/>
      <c r="C8862" s="165"/>
    </row>
    <row r="8863" spans="1:3" ht="16.8">
      <c r="A8863" s="165"/>
      <c r="B8863" s="171"/>
      <c r="C8863" s="165"/>
    </row>
    <row r="8864" spans="1:3" ht="16.8">
      <c r="A8864" s="165"/>
      <c r="B8864" s="171"/>
      <c r="C8864" s="165"/>
    </row>
    <row r="8865" spans="1:3" ht="16.8">
      <c r="A8865" s="165"/>
      <c r="B8865" s="171"/>
      <c r="C8865" s="165"/>
    </row>
    <row r="8866" spans="1:3" ht="16.8">
      <c r="A8866" s="165"/>
      <c r="B8866" s="171"/>
      <c r="C8866" s="165"/>
    </row>
    <row r="8867" spans="1:3" ht="16.8">
      <c r="A8867" s="165"/>
      <c r="B8867" s="171"/>
      <c r="C8867" s="165"/>
    </row>
    <row r="8868" spans="1:3" ht="16.8">
      <c r="A8868" s="165"/>
      <c r="B8868" s="171"/>
      <c r="C8868" s="165"/>
    </row>
    <row r="8869" spans="1:3" ht="16.8">
      <c r="A8869" s="165"/>
      <c r="B8869" s="171"/>
      <c r="C8869" s="165"/>
    </row>
    <row r="8870" spans="1:3" ht="16.8">
      <c r="A8870" s="165"/>
      <c r="B8870" s="171"/>
      <c r="C8870" s="165"/>
    </row>
    <row r="8871" spans="1:3" ht="16.8">
      <c r="A8871" s="165"/>
      <c r="B8871" s="171"/>
      <c r="C8871" s="165"/>
    </row>
    <row r="8872" spans="1:3" ht="16.8">
      <c r="A8872" s="165"/>
      <c r="B8872" s="171"/>
      <c r="C8872" s="165"/>
    </row>
    <row r="8873" spans="1:3" ht="16.8">
      <c r="A8873" s="165"/>
      <c r="B8873" s="171"/>
      <c r="C8873" s="165"/>
    </row>
    <row r="8874" spans="1:3" ht="16.8">
      <c r="A8874" s="165"/>
      <c r="B8874" s="171"/>
      <c r="C8874" s="165"/>
    </row>
    <row r="8875" spans="1:3" ht="16.8">
      <c r="A8875" s="165"/>
      <c r="B8875" s="171"/>
      <c r="C8875" s="165"/>
    </row>
    <row r="8876" spans="1:3" ht="16.8">
      <c r="A8876" s="165"/>
      <c r="B8876" s="171"/>
      <c r="C8876" s="165"/>
    </row>
    <row r="8877" spans="1:3" ht="16.8">
      <c r="A8877" s="165"/>
      <c r="B8877" s="171"/>
      <c r="C8877" s="165"/>
    </row>
    <row r="8878" spans="1:3" ht="16.8">
      <c r="A8878" s="165"/>
      <c r="B8878" s="171"/>
      <c r="C8878" s="165"/>
    </row>
    <row r="8879" spans="1:3" ht="16.8">
      <c r="A8879" s="165"/>
      <c r="B8879" s="171"/>
      <c r="C8879" s="165"/>
    </row>
    <row r="8880" spans="1:3" ht="16.8">
      <c r="A8880" s="165"/>
      <c r="B8880" s="171"/>
      <c r="C8880" s="165"/>
    </row>
    <row r="8881" spans="1:3" ht="16.8">
      <c r="A8881" s="165"/>
      <c r="B8881" s="171"/>
      <c r="C8881" s="165"/>
    </row>
    <row r="8882" spans="1:3" ht="16.8">
      <c r="A8882" s="165"/>
      <c r="B8882" s="171"/>
      <c r="C8882" s="165"/>
    </row>
    <row r="8883" spans="1:3" ht="16.8">
      <c r="A8883" s="165"/>
      <c r="B8883" s="171"/>
      <c r="C8883" s="165"/>
    </row>
    <row r="8884" spans="1:3" ht="16.8">
      <c r="A8884" s="165"/>
      <c r="B8884" s="171"/>
      <c r="C8884" s="165"/>
    </row>
    <row r="8885" spans="1:3" ht="16.8">
      <c r="A8885" s="165"/>
      <c r="B8885" s="171"/>
      <c r="C8885" s="165"/>
    </row>
    <row r="8886" spans="1:3" ht="16.8">
      <c r="A8886" s="165"/>
      <c r="B8886" s="171"/>
      <c r="C8886" s="165"/>
    </row>
    <row r="8887" spans="1:3" ht="16.8">
      <c r="A8887" s="165"/>
      <c r="B8887" s="171"/>
      <c r="C8887" s="165"/>
    </row>
    <row r="8888" spans="1:3" ht="16.8">
      <c r="A8888" s="165"/>
      <c r="B8888" s="171"/>
      <c r="C8888" s="165"/>
    </row>
    <row r="8889" spans="1:3" ht="16.8">
      <c r="A8889" s="165"/>
      <c r="B8889" s="171"/>
      <c r="C8889" s="165"/>
    </row>
    <row r="8890" spans="1:3" ht="16.8">
      <c r="A8890" s="165"/>
      <c r="B8890" s="171"/>
      <c r="C8890" s="165"/>
    </row>
    <row r="8891" spans="1:3" ht="16.8">
      <c r="A8891" s="165"/>
      <c r="B8891" s="171"/>
      <c r="C8891" s="165"/>
    </row>
    <row r="8892" spans="1:3" ht="16.8">
      <c r="A8892" s="165"/>
      <c r="B8892" s="171"/>
      <c r="C8892" s="165"/>
    </row>
    <row r="8893" spans="1:3" ht="16.8">
      <c r="A8893" s="165"/>
      <c r="B8893" s="171"/>
      <c r="C8893" s="165"/>
    </row>
    <row r="8894" spans="1:3" ht="16.8">
      <c r="A8894" s="165"/>
      <c r="B8894" s="171"/>
      <c r="C8894" s="165"/>
    </row>
    <row r="8895" spans="1:3" ht="16.8">
      <c r="A8895" s="165"/>
      <c r="B8895" s="171"/>
      <c r="C8895" s="165"/>
    </row>
    <row r="8896" spans="1:3" ht="16.8">
      <c r="A8896" s="165"/>
      <c r="B8896" s="171"/>
      <c r="C8896" s="165"/>
    </row>
    <row r="8897" spans="1:3" ht="16.8">
      <c r="A8897" s="165"/>
      <c r="B8897" s="171"/>
      <c r="C8897" s="165"/>
    </row>
    <row r="8898" spans="1:3" ht="16.8">
      <c r="A8898" s="165"/>
      <c r="B8898" s="171"/>
      <c r="C8898" s="165"/>
    </row>
    <row r="8899" spans="1:3" ht="16.8">
      <c r="A8899" s="165"/>
      <c r="B8899" s="171"/>
      <c r="C8899" s="165"/>
    </row>
    <row r="8900" spans="1:3" ht="16.8">
      <c r="A8900" s="165"/>
      <c r="B8900" s="171"/>
      <c r="C8900" s="165"/>
    </row>
    <row r="8901" spans="1:3" ht="16.8">
      <c r="A8901" s="165"/>
      <c r="B8901" s="171"/>
      <c r="C8901" s="165"/>
    </row>
    <row r="8902" spans="1:3" ht="16.8">
      <c r="A8902" s="165"/>
      <c r="B8902" s="171"/>
      <c r="C8902" s="165"/>
    </row>
    <row r="8903" spans="1:3" ht="16.8">
      <c r="A8903" s="165"/>
      <c r="B8903" s="171"/>
      <c r="C8903" s="165"/>
    </row>
    <row r="8904" spans="1:3" ht="16.8">
      <c r="A8904" s="165"/>
      <c r="B8904" s="171"/>
      <c r="C8904" s="165"/>
    </row>
    <row r="8905" spans="1:3" ht="16.8">
      <c r="A8905" s="165"/>
      <c r="B8905" s="171"/>
      <c r="C8905" s="165"/>
    </row>
    <row r="8906" spans="1:3" ht="16.8">
      <c r="A8906" s="165"/>
      <c r="B8906" s="171"/>
      <c r="C8906" s="165"/>
    </row>
    <row r="8907" spans="1:3" ht="16.8">
      <c r="A8907" s="165"/>
      <c r="B8907" s="171"/>
      <c r="C8907" s="165"/>
    </row>
    <row r="8908" spans="1:3" ht="16.8">
      <c r="A8908" s="165"/>
      <c r="B8908" s="171"/>
      <c r="C8908" s="165"/>
    </row>
    <row r="8909" spans="1:3" ht="16.8">
      <c r="A8909" s="165"/>
      <c r="B8909" s="171"/>
      <c r="C8909" s="165"/>
    </row>
    <row r="8910" spans="1:3" ht="16.8">
      <c r="A8910" s="165"/>
      <c r="B8910" s="171"/>
      <c r="C8910" s="165"/>
    </row>
    <row r="8911" spans="1:3" ht="16.8">
      <c r="A8911" s="165"/>
      <c r="B8911" s="171"/>
      <c r="C8911" s="165"/>
    </row>
    <row r="8912" spans="1:3" ht="16.8">
      <c r="A8912" s="165"/>
      <c r="B8912" s="171"/>
      <c r="C8912" s="165"/>
    </row>
    <row r="8913" spans="1:3" ht="16.8">
      <c r="A8913" s="165"/>
      <c r="B8913" s="171"/>
      <c r="C8913" s="165"/>
    </row>
    <row r="8914" spans="1:3" ht="16.8">
      <c r="A8914" s="165"/>
      <c r="B8914" s="171"/>
      <c r="C8914" s="165"/>
    </row>
    <row r="8915" spans="1:3" ht="16.8">
      <c r="A8915" s="165"/>
      <c r="B8915" s="171"/>
      <c r="C8915" s="165"/>
    </row>
    <row r="8916" spans="1:3" ht="16.8">
      <c r="A8916" s="165"/>
      <c r="B8916" s="171"/>
      <c r="C8916" s="165"/>
    </row>
    <row r="8917" spans="1:3" ht="16.8">
      <c r="A8917" s="165"/>
      <c r="B8917" s="171"/>
      <c r="C8917" s="165"/>
    </row>
    <row r="8918" spans="1:3" ht="16.8">
      <c r="A8918" s="165"/>
      <c r="B8918" s="171"/>
      <c r="C8918" s="165"/>
    </row>
    <row r="8919" spans="1:3" ht="16.8">
      <c r="A8919" s="165"/>
      <c r="B8919" s="171"/>
      <c r="C8919" s="165"/>
    </row>
    <row r="8920" spans="1:3" ht="16.8">
      <c r="A8920" s="165"/>
      <c r="B8920" s="171"/>
      <c r="C8920" s="165"/>
    </row>
    <row r="8921" spans="1:3" ht="16.8">
      <c r="A8921" s="165"/>
      <c r="B8921" s="171"/>
      <c r="C8921" s="165"/>
    </row>
    <row r="8922" spans="1:3" ht="16.8">
      <c r="A8922" s="165"/>
      <c r="B8922" s="171"/>
      <c r="C8922" s="165"/>
    </row>
    <row r="8923" spans="1:3" ht="16.8">
      <c r="A8923" s="165"/>
      <c r="B8923" s="171"/>
      <c r="C8923" s="165"/>
    </row>
    <row r="8924" spans="1:3" ht="16.8">
      <c r="A8924" s="165"/>
      <c r="B8924" s="171"/>
      <c r="C8924" s="165"/>
    </row>
    <row r="8925" spans="1:3" ht="16.8">
      <c r="A8925" s="165"/>
      <c r="B8925" s="171"/>
      <c r="C8925" s="165"/>
    </row>
    <row r="8926" spans="1:3" ht="16.8">
      <c r="A8926" s="165"/>
      <c r="B8926" s="171"/>
      <c r="C8926" s="165"/>
    </row>
    <row r="8927" spans="1:3" ht="16.8">
      <c r="A8927" s="165"/>
      <c r="B8927" s="171"/>
      <c r="C8927" s="165"/>
    </row>
    <row r="8928" spans="1:3" ht="16.8">
      <c r="A8928" s="165"/>
      <c r="B8928" s="171"/>
      <c r="C8928" s="165"/>
    </row>
    <row r="8929" spans="1:3" ht="16.8">
      <c r="A8929" s="165"/>
      <c r="B8929" s="171"/>
      <c r="C8929" s="165"/>
    </row>
    <row r="8930" spans="1:3" ht="16.8">
      <c r="A8930" s="165"/>
      <c r="B8930" s="171"/>
      <c r="C8930" s="165"/>
    </row>
    <row r="8931" spans="1:3" ht="16.8">
      <c r="A8931" s="165"/>
      <c r="B8931" s="171"/>
      <c r="C8931" s="165"/>
    </row>
    <row r="8932" spans="1:3" ht="16.8">
      <c r="A8932" s="165"/>
      <c r="B8932" s="171"/>
      <c r="C8932" s="165"/>
    </row>
    <row r="8933" spans="1:3" ht="16.8">
      <c r="A8933" s="165"/>
      <c r="B8933" s="171"/>
      <c r="C8933" s="165"/>
    </row>
    <row r="8934" spans="1:3" ht="16.8">
      <c r="A8934" s="165"/>
      <c r="B8934" s="171"/>
      <c r="C8934" s="165"/>
    </row>
    <row r="8935" spans="1:3" ht="16.8">
      <c r="A8935" s="165"/>
      <c r="B8935" s="171"/>
      <c r="C8935" s="165"/>
    </row>
    <row r="8936" spans="1:3" ht="16.8">
      <c r="A8936" s="165"/>
      <c r="B8936" s="171"/>
      <c r="C8936" s="165"/>
    </row>
    <row r="8937" spans="1:3" ht="16.8">
      <c r="A8937" s="165"/>
      <c r="B8937" s="171"/>
      <c r="C8937" s="165"/>
    </row>
    <row r="8938" spans="1:3" ht="16.8">
      <c r="A8938" s="165"/>
      <c r="B8938" s="171"/>
      <c r="C8938" s="165"/>
    </row>
    <row r="8939" spans="1:3" ht="16.8">
      <c r="A8939" s="165"/>
      <c r="B8939" s="171"/>
      <c r="C8939" s="165"/>
    </row>
    <row r="8940" spans="1:3" ht="16.8">
      <c r="A8940" s="165"/>
      <c r="B8940" s="171"/>
      <c r="C8940" s="165"/>
    </row>
    <row r="8941" spans="1:3" ht="16.8">
      <c r="A8941" s="165"/>
      <c r="B8941" s="171"/>
      <c r="C8941" s="165"/>
    </row>
    <row r="8942" spans="1:3" ht="16.8">
      <c r="A8942" s="165"/>
      <c r="B8942" s="171"/>
      <c r="C8942" s="165"/>
    </row>
    <row r="8943" spans="1:3" ht="16.8">
      <c r="A8943" s="165"/>
      <c r="B8943" s="171"/>
      <c r="C8943" s="165"/>
    </row>
    <row r="8944" spans="1:3" ht="16.8">
      <c r="A8944" s="165"/>
      <c r="B8944" s="171"/>
      <c r="C8944" s="165"/>
    </row>
    <row r="8945" spans="1:3" ht="16.8">
      <c r="A8945" s="165"/>
      <c r="B8945" s="171"/>
      <c r="C8945" s="165"/>
    </row>
    <row r="8946" spans="1:3" ht="16.8">
      <c r="A8946" s="165"/>
      <c r="B8946" s="171"/>
      <c r="C8946" s="165"/>
    </row>
    <row r="8947" spans="1:3" ht="16.8">
      <c r="A8947" s="165"/>
      <c r="B8947" s="171"/>
      <c r="C8947" s="165"/>
    </row>
    <row r="8948" spans="1:3" ht="16.8">
      <c r="A8948" s="165"/>
      <c r="B8948" s="171"/>
      <c r="C8948" s="165"/>
    </row>
    <row r="8949" spans="1:3" ht="16.8">
      <c r="A8949" s="165"/>
      <c r="B8949" s="171"/>
      <c r="C8949" s="165"/>
    </row>
    <row r="8950" spans="1:3" ht="16.8">
      <c r="A8950" s="165"/>
      <c r="B8950" s="171"/>
      <c r="C8950" s="165"/>
    </row>
    <row r="8951" spans="1:3" ht="16.8">
      <c r="A8951" s="165"/>
      <c r="B8951" s="171"/>
      <c r="C8951" s="165"/>
    </row>
    <row r="8952" spans="1:3" ht="16.8">
      <c r="A8952" s="165"/>
      <c r="B8952" s="171"/>
      <c r="C8952" s="165"/>
    </row>
    <row r="8953" spans="1:3" ht="16.8">
      <c r="A8953" s="165"/>
      <c r="B8953" s="171"/>
      <c r="C8953" s="165"/>
    </row>
    <row r="8954" spans="1:3" ht="16.8">
      <c r="A8954" s="165"/>
      <c r="B8954" s="171"/>
      <c r="C8954" s="165"/>
    </row>
    <row r="8955" spans="1:3" ht="16.8">
      <c r="A8955" s="165"/>
      <c r="B8955" s="171"/>
      <c r="C8955" s="165"/>
    </row>
    <row r="8956" spans="1:3" ht="16.8">
      <c r="A8956" s="165"/>
      <c r="B8956" s="171"/>
      <c r="C8956" s="165"/>
    </row>
    <row r="8957" spans="1:3" ht="16.8">
      <c r="A8957" s="165"/>
      <c r="B8957" s="171"/>
      <c r="C8957" s="165"/>
    </row>
    <row r="8958" spans="1:3" ht="16.8">
      <c r="A8958" s="165"/>
      <c r="B8958" s="171"/>
      <c r="C8958" s="165"/>
    </row>
    <row r="8959" spans="1:3" ht="16.8">
      <c r="A8959" s="165"/>
      <c r="B8959" s="171"/>
      <c r="C8959" s="165"/>
    </row>
    <row r="8960" spans="1:3" ht="16.8">
      <c r="A8960" s="165"/>
      <c r="B8960" s="171"/>
      <c r="C8960" s="165"/>
    </row>
    <row r="8961" spans="1:3" ht="16.8">
      <c r="A8961" s="165"/>
      <c r="B8961" s="171"/>
      <c r="C8961" s="165"/>
    </row>
    <row r="8962" spans="1:3" ht="16.8">
      <c r="A8962" s="165"/>
      <c r="B8962" s="171"/>
      <c r="C8962" s="165"/>
    </row>
    <row r="8963" spans="1:3" ht="16.8">
      <c r="A8963" s="165"/>
      <c r="B8963" s="171"/>
      <c r="C8963" s="165"/>
    </row>
    <row r="8964" spans="1:3" ht="16.8">
      <c r="A8964" s="165"/>
      <c r="B8964" s="171"/>
      <c r="C8964" s="165"/>
    </row>
    <row r="8965" spans="1:3" ht="16.8">
      <c r="A8965" s="165"/>
      <c r="B8965" s="171"/>
      <c r="C8965" s="165"/>
    </row>
    <row r="8966" spans="1:3" ht="16.8">
      <c r="A8966" s="165"/>
      <c r="B8966" s="171"/>
      <c r="C8966" s="165"/>
    </row>
    <row r="8967" spans="1:3" ht="16.8">
      <c r="A8967" s="165"/>
      <c r="B8967" s="171"/>
      <c r="C8967" s="165"/>
    </row>
    <row r="8968" spans="1:3" ht="16.8">
      <c r="A8968" s="165"/>
      <c r="B8968" s="171"/>
      <c r="C8968" s="165"/>
    </row>
    <row r="8969" spans="1:3" ht="16.8">
      <c r="A8969" s="165"/>
      <c r="B8969" s="171"/>
      <c r="C8969" s="165"/>
    </row>
    <row r="8970" spans="1:3" ht="16.8">
      <c r="A8970" s="165"/>
      <c r="B8970" s="171"/>
      <c r="C8970" s="165"/>
    </row>
    <row r="8971" spans="1:3" ht="16.8">
      <c r="A8971" s="165"/>
      <c r="B8971" s="171"/>
      <c r="C8971" s="165"/>
    </row>
    <row r="8972" spans="1:3" ht="16.8">
      <c r="A8972" s="165"/>
      <c r="B8972" s="171"/>
      <c r="C8972" s="165"/>
    </row>
    <row r="8973" spans="1:3" ht="16.8">
      <c r="A8973" s="165"/>
      <c r="B8973" s="171"/>
      <c r="C8973" s="165"/>
    </row>
    <row r="8974" spans="1:3" ht="16.8">
      <c r="A8974" s="165"/>
      <c r="B8974" s="171"/>
      <c r="C8974" s="165"/>
    </row>
    <row r="8975" spans="1:3" ht="16.8">
      <c r="A8975" s="165"/>
      <c r="B8975" s="171"/>
      <c r="C8975" s="165"/>
    </row>
    <row r="8976" spans="1:3" ht="16.8">
      <c r="A8976" s="165"/>
      <c r="B8976" s="171"/>
      <c r="C8976" s="165"/>
    </row>
    <row r="8977" spans="1:3" ht="16.8">
      <c r="A8977" s="165"/>
      <c r="B8977" s="171"/>
      <c r="C8977" s="165"/>
    </row>
    <row r="8978" spans="1:3" ht="16.8">
      <c r="A8978" s="165"/>
      <c r="B8978" s="171"/>
      <c r="C8978" s="165"/>
    </row>
    <row r="8979" spans="1:3" ht="16.8">
      <c r="A8979" s="165"/>
      <c r="B8979" s="171"/>
      <c r="C8979" s="165"/>
    </row>
    <row r="8980" spans="1:3" ht="16.8">
      <c r="A8980" s="165"/>
      <c r="B8980" s="171"/>
      <c r="C8980" s="165"/>
    </row>
    <row r="8981" spans="1:3" ht="16.8">
      <c r="A8981" s="165"/>
      <c r="B8981" s="171"/>
      <c r="C8981" s="165"/>
    </row>
    <row r="8982" spans="1:3" ht="16.8">
      <c r="A8982" s="165"/>
      <c r="B8982" s="171"/>
      <c r="C8982" s="165"/>
    </row>
    <row r="8983" spans="1:3" ht="16.8">
      <c r="A8983" s="165"/>
      <c r="B8983" s="171"/>
      <c r="C8983" s="165"/>
    </row>
    <row r="8984" spans="1:3" ht="16.8">
      <c r="A8984" s="165"/>
      <c r="B8984" s="171"/>
      <c r="C8984" s="165"/>
    </row>
    <row r="8985" spans="1:3" ht="16.8">
      <c r="A8985" s="165"/>
      <c r="B8985" s="171"/>
      <c r="C8985" s="165"/>
    </row>
    <row r="8986" spans="1:3" ht="16.8">
      <c r="A8986" s="165"/>
      <c r="B8986" s="171"/>
      <c r="C8986" s="165"/>
    </row>
    <row r="8987" spans="1:3" ht="16.8">
      <c r="A8987" s="165"/>
      <c r="B8987" s="171"/>
      <c r="C8987" s="165"/>
    </row>
    <row r="8988" spans="1:3" ht="16.8">
      <c r="A8988" s="165"/>
      <c r="B8988" s="171"/>
      <c r="C8988" s="165"/>
    </row>
    <row r="8989" spans="1:3" ht="16.8">
      <c r="A8989" s="165"/>
      <c r="B8989" s="171"/>
      <c r="C8989" s="165"/>
    </row>
    <row r="8990" spans="1:3" ht="16.8">
      <c r="A8990" s="165"/>
      <c r="B8990" s="171"/>
      <c r="C8990" s="165"/>
    </row>
    <row r="8991" spans="1:3" ht="16.8">
      <c r="A8991" s="165"/>
      <c r="B8991" s="171"/>
      <c r="C8991" s="165"/>
    </row>
    <row r="8992" spans="1:3" ht="16.8">
      <c r="A8992" s="165"/>
      <c r="B8992" s="171"/>
      <c r="C8992" s="165"/>
    </row>
    <row r="8993" spans="1:3" ht="16.8">
      <c r="A8993" s="165"/>
      <c r="B8993" s="171"/>
      <c r="C8993" s="165"/>
    </row>
    <row r="8994" spans="1:3" ht="16.8">
      <c r="A8994" s="165"/>
      <c r="B8994" s="171"/>
      <c r="C8994" s="165"/>
    </row>
    <row r="8995" spans="1:3" ht="16.8">
      <c r="A8995" s="165"/>
      <c r="B8995" s="171"/>
      <c r="C8995" s="165"/>
    </row>
    <row r="8996" spans="1:3" ht="16.8">
      <c r="A8996" s="165"/>
      <c r="B8996" s="171"/>
      <c r="C8996" s="165"/>
    </row>
    <row r="8997" spans="1:3" ht="16.8">
      <c r="A8997" s="165"/>
      <c r="B8997" s="171"/>
      <c r="C8997" s="165"/>
    </row>
    <row r="8998" spans="1:3" ht="16.8">
      <c r="A8998" s="165"/>
      <c r="B8998" s="171"/>
      <c r="C8998" s="165"/>
    </row>
    <row r="8999" spans="1:3" ht="16.8">
      <c r="A8999" s="165"/>
      <c r="B8999" s="171"/>
      <c r="C8999" s="165"/>
    </row>
    <row r="9000" spans="1:3" ht="16.8">
      <c r="A9000" s="165"/>
      <c r="B9000" s="171"/>
      <c r="C9000" s="165"/>
    </row>
    <row r="9001" spans="1:3" ht="16.8">
      <c r="A9001" s="165"/>
      <c r="B9001" s="171"/>
      <c r="C9001" s="165"/>
    </row>
    <row r="9002" spans="1:3" ht="16.8">
      <c r="A9002" s="165"/>
      <c r="B9002" s="171"/>
      <c r="C9002" s="165"/>
    </row>
    <row r="9003" spans="1:3" ht="16.8">
      <c r="A9003" s="165"/>
      <c r="B9003" s="171"/>
      <c r="C9003" s="165"/>
    </row>
    <row r="9004" spans="1:3" ht="16.8">
      <c r="A9004" s="165"/>
      <c r="B9004" s="171"/>
      <c r="C9004" s="165"/>
    </row>
    <row r="9005" spans="1:3" ht="16.8">
      <c r="A9005" s="165"/>
      <c r="B9005" s="171"/>
      <c r="C9005" s="165"/>
    </row>
    <row r="9006" spans="1:3" ht="16.8">
      <c r="A9006" s="165"/>
      <c r="B9006" s="171"/>
      <c r="C9006" s="165"/>
    </row>
    <row r="9007" spans="1:3" ht="16.8">
      <c r="A9007" s="165"/>
      <c r="B9007" s="171"/>
      <c r="C9007" s="165"/>
    </row>
    <row r="9008" spans="1:3" ht="16.8">
      <c r="A9008" s="165"/>
      <c r="B9008" s="171"/>
      <c r="C9008" s="165"/>
    </row>
    <row r="9009" spans="1:3" ht="16.8">
      <c r="A9009" s="165"/>
      <c r="B9009" s="171"/>
      <c r="C9009" s="165"/>
    </row>
    <row r="9010" spans="1:3" ht="16.8">
      <c r="A9010" s="165"/>
      <c r="B9010" s="171"/>
      <c r="C9010" s="165"/>
    </row>
    <row r="9011" spans="1:3" ht="16.8">
      <c r="A9011" s="165"/>
      <c r="B9011" s="171"/>
      <c r="C9011" s="165"/>
    </row>
    <row r="9012" spans="1:3" ht="16.8">
      <c r="A9012" s="165"/>
      <c r="B9012" s="171"/>
      <c r="C9012" s="165"/>
    </row>
    <row r="9013" spans="1:3" ht="16.8">
      <c r="A9013" s="165"/>
      <c r="B9013" s="171"/>
      <c r="C9013" s="165"/>
    </row>
    <row r="9014" spans="1:3" ht="16.8">
      <c r="A9014" s="165"/>
      <c r="B9014" s="171"/>
      <c r="C9014" s="165"/>
    </row>
    <row r="9015" spans="1:3" ht="16.8">
      <c r="A9015" s="165"/>
      <c r="B9015" s="171"/>
      <c r="C9015" s="165"/>
    </row>
    <row r="9016" spans="1:3" ht="16.8">
      <c r="A9016" s="165"/>
      <c r="B9016" s="171"/>
      <c r="C9016" s="165"/>
    </row>
    <row r="9017" spans="1:3" ht="16.8">
      <c r="A9017" s="165"/>
      <c r="B9017" s="171"/>
      <c r="C9017" s="165"/>
    </row>
    <row r="9018" spans="1:3" ht="16.8">
      <c r="A9018" s="165"/>
      <c r="B9018" s="171"/>
      <c r="C9018" s="165"/>
    </row>
    <row r="9019" spans="1:3" ht="16.8">
      <c r="A9019" s="165"/>
      <c r="B9019" s="171"/>
      <c r="C9019" s="165"/>
    </row>
    <row r="9020" spans="1:3" ht="16.8">
      <c r="A9020" s="165"/>
      <c r="B9020" s="171"/>
      <c r="C9020" s="165"/>
    </row>
    <row r="9021" spans="1:3" ht="16.8">
      <c r="A9021" s="165"/>
      <c r="B9021" s="171"/>
      <c r="C9021" s="165"/>
    </row>
    <row r="9022" spans="1:3" ht="16.8">
      <c r="A9022" s="165"/>
      <c r="B9022" s="171"/>
      <c r="C9022" s="165"/>
    </row>
    <row r="9023" spans="1:3" ht="16.8">
      <c r="A9023" s="165"/>
      <c r="B9023" s="171"/>
      <c r="C9023" s="165"/>
    </row>
    <row r="9024" spans="1:3" ht="16.8">
      <c r="A9024" s="165"/>
      <c r="B9024" s="171"/>
      <c r="C9024" s="165"/>
    </row>
    <row r="9025" spans="1:3" ht="16.8">
      <c r="A9025" s="165"/>
      <c r="B9025" s="171"/>
      <c r="C9025" s="165"/>
    </row>
    <row r="9026" spans="1:3" ht="16.8">
      <c r="A9026" s="165"/>
      <c r="B9026" s="171"/>
      <c r="C9026" s="165"/>
    </row>
    <row r="9027" spans="1:3" ht="16.8">
      <c r="A9027" s="165"/>
      <c r="B9027" s="171"/>
      <c r="C9027" s="165"/>
    </row>
    <row r="9028" spans="1:3" ht="16.8">
      <c r="A9028" s="165"/>
      <c r="B9028" s="171"/>
      <c r="C9028" s="165"/>
    </row>
    <row r="9029" spans="1:3" ht="16.8">
      <c r="A9029" s="165"/>
      <c r="B9029" s="171"/>
      <c r="C9029" s="165"/>
    </row>
    <row r="9030" spans="1:3" ht="16.8">
      <c r="A9030" s="165"/>
      <c r="B9030" s="171"/>
      <c r="C9030" s="165"/>
    </row>
    <row r="9031" spans="1:3" ht="16.8">
      <c r="A9031" s="165"/>
      <c r="B9031" s="171"/>
      <c r="C9031" s="165"/>
    </row>
    <row r="9032" spans="1:3" ht="16.8">
      <c r="A9032" s="165"/>
      <c r="B9032" s="171"/>
      <c r="C9032" s="165"/>
    </row>
    <row r="9033" spans="1:3" ht="16.8">
      <c r="A9033" s="165"/>
      <c r="B9033" s="171"/>
      <c r="C9033" s="165"/>
    </row>
    <row r="9034" spans="1:3" ht="16.8">
      <c r="A9034" s="165"/>
      <c r="B9034" s="171"/>
      <c r="C9034" s="165"/>
    </row>
    <row r="9035" spans="1:3" ht="16.8">
      <c r="A9035" s="165"/>
      <c r="B9035" s="171"/>
      <c r="C9035" s="165"/>
    </row>
    <row r="9036" spans="1:3" ht="16.8">
      <c r="A9036" s="165"/>
      <c r="B9036" s="171"/>
      <c r="C9036" s="165"/>
    </row>
    <row r="9037" spans="1:3" ht="16.8">
      <c r="A9037" s="165"/>
      <c r="B9037" s="171"/>
      <c r="C9037" s="165"/>
    </row>
    <row r="9038" spans="1:3" ht="16.8">
      <c r="A9038" s="165"/>
      <c r="B9038" s="171"/>
      <c r="C9038" s="165"/>
    </row>
    <row r="9039" spans="1:3" ht="16.8">
      <c r="A9039" s="165"/>
      <c r="B9039" s="171"/>
      <c r="C9039" s="165"/>
    </row>
    <row r="9040" spans="1:3" ht="16.8">
      <c r="A9040" s="165"/>
      <c r="B9040" s="171"/>
      <c r="C9040" s="165"/>
    </row>
    <row r="9041" spans="1:3" ht="16.8">
      <c r="A9041" s="165"/>
      <c r="B9041" s="171"/>
      <c r="C9041" s="165"/>
    </row>
    <row r="9042" spans="1:3" ht="16.8">
      <c r="A9042" s="165"/>
      <c r="B9042" s="171"/>
      <c r="C9042" s="165"/>
    </row>
    <row r="9043" spans="1:3" ht="16.8">
      <c r="A9043" s="165"/>
      <c r="B9043" s="171"/>
      <c r="C9043" s="165"/>
    </row>
    <row r="9044" spans="1:3" ht="16.8">
      <c r="A9044" s="165"/>
      <c r="B9044" s="171"/>
      <c r="C9044" s="165"/>
    </row>
    <row r="9045" spans="1:3" ht="16.8">
      <c r="A9045" s="165"/>
      <c r="B9045" s="171"/>
      <c r="C9045" s="165"/>
    </row>
    <row r="9046" spans="1:3" ht="16.8">
      <c r="A9046" s="165"/>
      <c r="B9046" s="171"/>
      <c r="C9046" s="165"/>
    </row>
    <row r="9047" spans="1:3" ht="16.8">
      <c r="A9047" s="165"/>
      <c r="B9047" s="171"/>
      <c r="C9047" s="165"/>
    </row>
    <row r="9048" spans="1:3" ht="16.8">
      <c r="A9048" s="165"/>
      <c r="B9048" s="171"/>
      <c r="C9048" s="165"/>
    </row>
    <row r="9049" spans="1:3" ht="16.8">
      <c r="A9049" s="165"/>
      <c r="B9049" s="171"/>
      <c r="C9049" s="165"/>
    </row>
    <row r="9050" spans="1:3" ht="16.8">
      <c r="A9050" s="165"/>
      <c r="B9050" s="171"/>
      <c r="C9050" s="165"/>
    </row>
    <row r="9051" spans="1:3" ht="16.8">
      <c r="A9051" s="165"/>
      <c r="B9051" s="171"/>
      <c r="C9051" s="165"/>
    </row>
    <row r="9052" spans="1:3" ht="16.8">
      <c r="A9052" s="165"/>
      <c r="B9052" s="171"/>
      <c r="C9052" s="165"/>
    </row>
    <row r="9053" spans="1:3" ht="16.8">
      <c r="A9053" s="165"/>
      <c r="B9053" s="171"/>
      <c r="C9053" s="165"/>
    </row>
    <row r="9054" spans="1:3" ht="16.8">
      <c r="A9054" s="165"/>
      <c r="B9054" s="171"/>
      <c r="C9054" s="165"/>
    </row>
    <row r="9055" spans="1:3" ht="16.8">
      <c r="A9055" s="165"/>
      <c r="B9055" s="171"/>
      <c r="C9055" s="165"/>
    </row>
    <row r="9056" spans="1:3" ht="16.8">
      <c r="A9056" s="165"/>
      <c r="B9056" s="171"/>
      <c r="C9056" s="165"/>
    </row>
    <row r="9057" spans="1:3" ht="16.8">
      <c r="A9057" s="165"/>
      <c r="B9057" s="171"/>
      <c r="C9057" s="165"/>
    </row>
    <row r="9058" spans="1:3" ht="16.8">
      <c r="A9058" s="165"/>
      <c r="B9058" s="171"/>
      <c r="C9058" s="165"/>
    </row>
    <row r="9059" spans="1:3" ht="16.8">
      <c r="A9059" s="165"/>
      <c r="B9059" s="171"/>
      <c r="C9059" s="165"/>
    </row>
    <row r="9060" spans="1:3" ht="16.8">
      <c r="A9060" s="165"/>
      <c r="B9060" s="171"/>
      <c r="C9060" s="165"/>
    </row>
    <row r="9061" spans="1:3" ht="16.8">
      <c r="A9061" s="165"/>
      <c r="B9061" s="171"/>
      <c r="C9061" s="165"/>
    </row>
    <row r="9062" spans="1:3" ht="16.8">
      <c r="A9062" s="165"/>
      <c r="B9062" s="171"/>
      <c r="C9062" s="165"/>
    </row>
    <row r="9063" spans="1:3" ht="16.8">
      <c r="A9063" s="165"/>
      <c r="B9063" s="171"/>
      <c r="C9063" s="165"/>
    </row>
    <row r="9064" spans="1:3" ht="16.8">
      <c r="A9064" s="165"/>
      <c r="B9064" s="171"/>
      <c r="C9064" s="165"/>
    </row>
    <row r="9065" spans="1:3" ht="16.8">
      <c r="A9065" s="165"/>
      <c r="B9065" s="171"/>
      <c r="C9065" s="165"/>
    </row>
    <row r="9066" spans="1:3" ht="16.8">
      <c r="A9066" s="165"/>
      <c r="B9066" s="171"/>
      <c r="C9066" s="165"/>
    </row>
    <row r="9067" spans="1:3" ht="16.8">
      <c r="A9067" s="165"/>
      <c r="B9067" s="171"/>
      <c r="C9067" s="165"/>
    </row>
    <row r="9068" spans="1:3" ht="16.8">
      <c r="A9068" s="165"/>
      <c r="B9068" s="171"/>
      <c r="C9068" s="165"/>
    </row>
    <row r="9069" spans="1:3" ht="16.8">
      <c r="A9069" s="165"/>
      <c r="B9069" s="171"/>
      <c r="C9069" s="165"/>
    </row>
    <row r="9070" spans="1:3" ht="16.8">
      <c r="A9070" s="165"/>
      <c r="B9070" s="171"/>
      <c r="C9070" s="165"/>
    </row>
    <row r="9071" spans="1:3" ht="16.8">
      <c r="A9071" s="165"/>
      <c r="B9071" s="171"/>
      <c r="C9071" s="165"/>
    </row>
    <row r="9072" spans="1:3" ht="16.8">
      <c r="A9072" s="165"/>
      <c r="B9072" s="171"/>
      <c r="C9072" s="165"/>
    </row>
    <row r="9073" spans="1:3" ht="16.8">
      <c r="A9073" s="165"/>
      <c r="B9073" s="171"/>
      <c r="C9073" s="165"/>
    </row>
    <row r="9074" spans="1:3" ht="16.8">
      <c r="A9074" s="165"/>
      <c r="B9074" s="171"/>
      <c r="C9074" s="165"/>
    </row>
    <row r="9075" spans="1:3" ht="16.8">
      <c r="A9075" s="165"/>
      <c r="B9075" s="171"/>
      <c r="C9075" s="165"/>
    </row>
    <row r="9076" spans="1:3" ht="16.8">
      <c r="A9076" s="165"/>
      <c r="B9076" s="171"/>
      <c r="C9076" s="165"/>
    </row>
    <row r="9077" spans="1:3" ht="16.8">
      <c r="A9077" s="165"/>
      <c r="B9077" s="171"/>
      <c r="C9077" s="165"/>
    </row>
    <row r="9078" spans="1:3" ht="16.8">
      <c r="A9078" s="165"/>
      <c r="B9078" s="171"/>
      <c r="C9078" s="165"/>
    </row>
    <row r="9079" spans="1:3" ht="16.8">
      <c r="A9079" s="165"/>
      <c r="B9079" s="171"/>
      <c r="C9079" s="165"/>
    </row>
    <row r="9080" spans="1:3" ht="16.8">
      <c r="A9080" s="165"/>
      <c r="B9080" s="171"/>
      <c r="C9080" s="165"/>
    </row>
    <row r="9081" spans="1:3" ht="16.8">
      <c r="A9081" s="165"/>
      <c r="B9081" s="171"/>
      <c r="C9081" s="165"/>
    </row>
    <row r="9082" spans="1:3" ht="16.8">
      <c r="A9082" s="165"/>
      <c r="B9082" s="171"/>
      <c r="C9082" s="165"/>
    </row>
    <row r="9083" spans="1:3" ht="16.8">
      <c r="A9083" s="165"/>
      <c r="B9083" s="171"/>
      <c r="C9083" s="165"/>
    </row>
    <row r="9084" spans="1:3" ht="16.8">
      <c r="A9084" s="165"/>
      <c r="B9084" s="171"/>
      <c r="C9084" s="165"/>
    </row>
    <row r="9085" spans="1:3" ht="16.8">
      <c r="A9085" s="165"/>
      <c r="B9085" s="171"/>
      <c r="C9085" s="165"/>
    </row>
    <row r="9086" spans="1:3" ht="16.8">
      <c r="A9086" s="165"/>
      <c r="B9086" s="171"/>
      <c r="C9086" s="165"/>
    </row>
    <row r="9087" spans="1:3" ht="16.8">
      <c r="A9087" s="165"/>
      <c r="B9087" s="171"/>
      <c r="C9087" s="165"/>
    </row>
    <row r="9088" spans="1:3" ht="16.8">
      <c r="A9088" s="165"/>
      <c r="B9088" s="171"/>
      <c r="C9088" s="165"/>
    </row>
    <row r="9089" spans="1:3" ht="16.8">
      <c r="A9089" s="165"/>
      <c r="B9089" s="171"/>
      <c r="C9089" s="165"/>
    </row>
    <row r="9090" spans="1:3" ht="16.8">
      <c r="A9090" s="165"/>
      <c r="B9090" s="171"/>
      <c r="C9090" s="165"/>
    </row>
    <row r="9091" spans="1:3" ht="16.8">
      <c r="A9091" s="165"/>
      <c r="B9091" s="171"/>
      <c r="C9091" s="165"/>
    </row>
    <row r="9092" spans="1:3" ht="16.8">
      <c r="A9092" s="165"/>
      <c r="B9092" s="171"/>
      <c r="C9092" s="165"/>
    </row>
    <row r="9093" spans="1:3" ht="16.8">
      <c r="A9093" s="165"/>
      <c r="B9093" s="171"/>
      <c r="C9093" s="165"/>
    </row>
    <row r="9094" spans="1:3" ht="16.8">
      <c r="A9094" s="165"/>
      <c r="B9094" s="171"/>
      <c r="C9094" s="165"/>
    </row>
    <row r="9095" spans="1:3" ht="16.8">
      <c r="A9095" s="165"/>
      <c r="B9095" s="171"/>
      <c r="C9095" s="165"/>
    </row>
    <row r="9096" spans="1:3" ht="16.8">
      <c r="A9096" s="165"/>
      <c r="B9096" s="171"/>
      <c r="C9096" s="165"/>
    </row>
    <row r="9097" spans="1:3" ht="16.8">
      <c r="A9097" s="165"/>
      <c r="B9097" s="171"/>
      <c r="C9097" s="165"/>
    </row>
    <row r="9098" spans="1:3" ht="16.8">
      <c r="A9098" s="165"/>
      <c r="B9098" s="171"/>
      <c r="C9098" s="165"/>
    </row>
    <row r="9099" spans="1:3" ht="16.8">
      <c r="A9099" s="165"/>
      <c r="B9099" s="171"/>
      <c r="C9099" s="165"/>
    </row>
    <row r="9100" spans="1:3" ht="16.8">
      <c r="A9100" s="165"/>
      <c r="B9100" s="171"/>
      <c r="C9100" s="165"/>
    </row>
    <row r="9101" spans="1:3" ht="16.8">
      <c r="A9101" s="165"/>
      <c r="B9101" s="171"/>
      <c r="C9101" s="165"/>
    </row>
    <row r="9102" spans="1:3" ht="16.8">
      <c r="A9102" s="165"/>
      <c r="B9102" s="171"/>
      <c r="C9102" s="165"/>
    </row>
    <row r="9103" spans="1:3" ht="16.8">
      <c r="A9103" s="165"/>
      <c r="B9103" s="171"/>
      <c r="C9103" s="165"/>
    </row>
    <row r="9104" spans="1:3" ht="16.8">
      <c r="A9104" s="165"/>
      <c r="B9104" s="171"/>
      <c r="C9104" s="165"/>
    </row>
    <row r="9105" spans="1:3" ht="16.8">
      <c r="A9105" s="165"/>
      <c r="B9105" s="171"/>
      <c r="C9105" s="165"/>
    </row>
    <row r="9106" spans="1:3" ht="16.8">
      <c r="A9106" s="165"/>
      <c r="B9106" s="171"/>
      <c r="C9106" s="165"/>
    </row>
    <row r="9107" spans="1:3" ht="16.8">
      <c r="A9107" s="165"/>
      <c r="B9107" s="171"/>
      <c r="C9107" s="165"/>
    </row>
    <row r="9108" spans="1:3" ht="16.8">
      <c r="A9108" s="165"/>
      <c r="B9108" s="171"/>
      <c r="C9108" s="165"/>
    </row>
    <row r="9109" spans="1:3" ht="16.8">
      <c r="A9109" s="165"/>
      <c r="B9109" s="171"/>
      <c r="C9109" s="165"/>
    </row>
    <row r="9110" spans="1:3" ht="16.8">
      <c r="A9110" s="165"/>
      <c r="B9110" s="171"/>
      <c r="C9110" s="165"/>
    </row>
    <row r="9111" spans="1:3" ht="16.8">
      <c r="A9111" s="165"/>
      <c r="B9111" s="171"/>
      <c r="C9111" s="165"/>
    </row>
    <row r="9112" spans="1:3" ht="16.8">
      <c r="A9112" s="165"/>
      <c r="B9112" s="171"/>
      <c r="C9112" s="165"/>
    </row>
    <row r="9113" spans="1:3" ht="16.8">
      <c r="A9113" s="165"/>
      <c r="B9113" s="171"/>
      <c r="C9113" s="165"/>
    </row>
    <row r="9114" spans="1:3" ht="16.8">
      <c r="A9114" s="165"/>
      <c r="B9114" s="171"/>
      <c r="C9114" s="165"/>
    </row>
    <row r="9115" spans="1:3" ht="16.8">
      <c r="A9115" s="165"/>
      <c r="B9115" s="171"/>
      <c r="C9115" s="165"/>
    </row>
    <row r="9116" spans="1:3" ht="16.8">
      <c r="A9116" s="165"/>
      <c r="B9116" s="171"/>
      <c r="C9116" s="165"/>
    </row>
    <row r="9117" spans="1:3" ht="16.8">
      <c r="A9117" s="165"/>
      <c r="B9117" s="171"/>
      <c r="C9117" s="165"/>
    </row>
    <row r="9118" spans="1:3" ht="16.8">
      <c r="A9118" s="165"/>
      <c r="B9118" s="171"/>
      <c r="C9118" s="165"/>
    </row>
    <row r="9119" spans="1:3" ht="16.8">
      <c r="A9119" s="165"/>
      <c r="B9119" s="171"/>
      <c r="C9119" s="165"/>
    </row>
    <row r="9120" spans="1:3" ht="16.8">
      <c r="A9120" s="165"/>
      <c r="B9120" s="171"/>
      <c r="C9120" s="165"/>
    </row>
    <row r="9121" spans="1:3" ht="16.8">
      <c r="A9121" s="165"/>
      <c r="B9121" s="171"/>
      <c r="C9121" s="165"/>
    </row>
    <row r="9122" spans="1:3" ht="16.8">
      <c r="A9122" s="165"/>
      <c r="B9122" s="171"/>
      <c r="C9122" s="165"/>
    </row>
    <row r="9123" spans="1:3" ht="16.8">
      <c r="A9123" s="165"/>
      <c r="B9123" s="171"/>
      <c r="C9123" s="165"/>
    </row>
    <row r="9124" spans="1:3" ht="16.8">
      <c r="A9124" s="165"/>
      <c r="B9124" s="171"/>
      <c r="C9124" s="165"/>
    </row>
    <row r="9125" spans="1:3" ht="16.8">
      <c r="A9125" s="165"/>
      <c r="B9125" s="171"/>
      <c r="C9125" s="165"/>
    </row>
    <row r="9126" spans="1:3" ht="16.8">
      <c r="A9126" s="165"/>
      <c r="B9126" s="171"/>
      <c r="C9126" s="165"/>
    </row>
    <row r="9127" spans="1:3" ht="16.8">
      <c r="A9127" s="165"/>
      <c r="B9127" s="171"/>
      <c r="C9127" s="165"/>
    </row>
    <row r="9128" spans="1:3" ht="16.8">
      <c r="A9128" s="165"/>
      <c r="B9128" s="171"/>
      <c r="C9128" s="165"/>
    </row>
    <row r="9129" spans="1:3" ht="16.8">
      <c r="A9129" s="165"/>
      <c r="B9129" s="171"/>
      <c r="C9129" s="165"/>
    </row>
    <row r="9130" spans="1:3" ht="16.8">
      <c r="A9130" s="165"/>
      <c r="B9130" s="171"/>
      <c r="C9130" s="165"/>
    </row>
    <row r="9131" spans="1:3" ht="16.8">
      <c r="A9131" s="165"/>
      <c r="B9131" s="171"/>
      <c r="C9131" s="165"/>
    </row>
    <row r="9132" spans="1:3" ht="16.8">
      <c r="A9132" s="165"/>
      <c r="B9132" s="171"/>
      <c r="C9132" s="165"/>
    </row>
    <row r="9133" spans="1:3" ht="16.8">
      <c r="A9133" s="165"/>
      <c r="B9133" s="171"/>
      <c r="C9133" s="165"/>
    </row>
    <row r="9134" spans="1:3" ht="16.8">
      <c r="A9134" s="165"/>
      <c r="B9134" s="171"/>
      <c r="C9134" s="165"/>
    </row>
    <row r="9135" spans="1:3" ht="16.8">
      <c r="A9135" s="165"/>
      <c r="B9135" s="171"/>
      <c r="C9135" s="165"/>
    </row>
    <row r="9136" spans="1:3" ht="16.8">
      <c r="A9136" s="165"/>
      <c r="B9136" s="171"/>
      <c r="C9136" s="165"/>
    </row>
    <row r="9137" spans="1:3" ht="16.8">
      <c r="A9137" s="165"/>
      <c r="B9137" s="171"/>
      <c r="C9137" s="165"/>
    </row>
    <row r="9138" spans="1:3" ht="16.8">
      <c r="A9138" s="165"/>
      <c r="B9138" s="171"/>
      <c r="C9138" s="165"/>
    </row>
    <row r="9139" spans="1:3" ht="16.8">
      <c r="A9139" s="165"/>
      <c r="B9139" s="171"/>
      <c r="C9139" s="165"/>
    </row>
    <row r="9140" spans="1:3" ht="16.8">
      <c r="A9140" s="165"/>
      <c r="B9140" s="171"/>
      <c r="C9140" s="165"/>
    </row>
    <row r="9141" spans="1:3" ht="16.8">
      <c r="A9141" s="165"/>
      <c r="B9141" s="171"/>
      <c r="C9141" s="165"/>
    </row>
    <row r="9142" spans="1:3" ht="16.8">
      <c r="A9142" s="165"/>
      <c r="B9142" s="171"/>
      <c r="C9142" s="165"/>
    </row>
    <row r="9143" spans="1:3" ht="16.8">
      <c r="A9143" s="165"/>
      <c r="B9143" s="171"/>
      <c r="C9143" s="165"/>
    </row>
    <row r="9144" spans="1:3" ht="16.8">
      <c r="A9144" s="165"/>
      <c r="B9144" s="171"/>
      <c r="C9144" s="165"/>
    </row>
    <row r="9145" spans="1:3" ht="16.8">
      <c r="A9145" s="165"/>
      <c r="B9145" s="171"/>
      <c r="C9145" s="165"/>
    </row>
    <row r="9146" spans="1:3" ht="16.8">
      <c r="A9146" s="165"/>
      <c r="B9146" s="171"/>
      <c r="C9146" s="165"/>
    </row>
    <row r="9147" spans="1:3" ht="16.8">
      <c r="A9147" s="165"/>
      <c r="B9147" s="171"/>
      <c r="C9147" s="165"/>
    </row>
    <row r="9148" spans="1:3" ht="16.8">
      <c r="A9148" s="165"/>
      <c r="B9148" s="171"/>
      <c r="C9148" s="165"/>
    </row>
    <row r="9149" spans="1:3" ht="16.8">
      <c r="A9149" s="165"/>
      <c r="B9149" s="171"/>
      <c r="C9149" s="165"/>
    </row>
    <row r="9150" spans="1:3" ht="16.8">
      <c r="A9150" s="165"/>
      <c r="B9150" s="171"/>
      <c r="C9150" s="165"/>
    </row>
    <row r="9151" spans="1:3" ht="16.8">
      <c r="A9151" s="165"/>
      <c r="B9151" s="171"/>
      <c r="C9151" s="165"/>
    </row>
    <row r="9152" spans="1:3" ht="16.8">
      <c r="A9152" s="165"/>
      <c r="B9152" s="171"/>
      <c r="C9152" s="165"/>
    </row>
    <row r="9153" spans="1:3" ht="16.8">
      <c r="A9153" s="165"/>
      <c r="B9153" s="171"/>
      <c r="C9153" s="165"/>
    </row>
    <row r="9154" spans="1:3" ht="16.8">
      <c r="A9154" s="165"/>
      <c r="B9154" s="171"/>
      <c r="C9154" s="165"/>
    </row>
    <row r="9155" spans="1:3" ht="16.8">
      <c r="A9155" s="165"/>
      <c r="B9155" s="171"/>
      <c r="C9155" s="165"/>
    </row>
    <row r="9156" spans="1:3" ht="16.8">
      <c r="A9156" s="165"/>
      <c r="B9156" s="171"/>
      <c r="C9156" s="165"/>
    </row>
    <row r="9157" spans="1:3" ht="16.8">
      <c r="A9157" s="165"/>
      <c r="B9157" s="171"/>
      <c r="C9157" s="165"/>
    </row>
    <row r="9158" spans="1:3" ht="16.8">
      <c r="A9158" s="165"/>
      <c r="B9158" s="171"/>
      <c r="C9158" s="165"/>
    </row>
    <row r="9159" spans="1:3" ht="16.8">
      <c r="A9159" s="165"/>
      <c r="B9159" s="171"/>
      <c r="C9159" s="165"/>
    </row>
    <row r="9160" spans="1:3" ht="16.8">
      <c r="A9160" s="165"/>
      <c r="B9160" s="171"/>
      <c r="C9160" s="165"/>
    </row>
    <row r="9161" spans="1:3" ht="16.8">
      <c r="A9161" s="165"/>
      <c r="B9161" s="171"/>
      <c r="C9161" s="165"/>
    </row>
    <row r="9162" spans="1:3" ht="16.8">
      <c r="A9162" s="165"/>
      <c r="B9162" s="171"/>
      <c r="C9162" s="165"/>
    </row>
    <row r="9163" spans="1:3" ht="16.8">
      <c r="A9163" s="165"/>
      <c r="B9163" s="171"/>
      <c r="C9163" s="165"/>
    </row>
    <row r="9164" spans="1:3" ht="16.8">
      <c r="A9164" s="165"/>
      <c r="B9164" s="171"/>
      <c r="C9164" s="165"/>
    </row>
    <row r="9165" spans="1:3" ht="16.8">
      <c r="A9165" s="165"/>
      <c r="B9165" s="171"/>
      <c r="C9165" s="165"/>
    </row>
    <row r="9166" spans="1:3" ht="16.8">
      <c r="A9166" s="165"/>
      <c r="B9166" s="171"/>
      <c r="C9166" s="165"/>
    </row>
    <row r="9167" spans="1:3" ht="16.8">
      <c r="A9167" s="165"/>
      <c r="B9167" s="171"/>
      <c r="C9167" s="165"/>
    </row>
    <row r="9168" spans="1:3" ht="16.8">
      <c r="A9168" s="165"/>
      <c r="B9168" s="171"/>
      <c r="C9168" s="165"/>
    </row>
    <row r="9169" spans="1:3" ht="16.8">
      <c r="A9169" s="165"/>
      <c r="B9169" s="171"/>
      <c r="C9169" s="165"/>
    </row>
    <row r="9170" spans="1:3" ht="16.8">
      <c r="A9170" s="165"/>
      <c r="B9170" s="171"/>
      <c r="C9170" s="165"/>
    </row>
    <row r="9171" spans="1:3" ht="16.8">
      <c r="A9171" s="165"/>
      <c r="B9171" s="171"/>
      <c r="C9171" s="165"/>
    </row>
    <row r="9172" spans="1:3" ht="16.8">
      <c r="A9172" s="165"/>
      <c r="B9172" s="171"/>
      <c r="C9172" s="165"/>
    </row>
    <row r="9173" spans="1:3" ht="16.8">
      <c r="A9173" s="165"/>
      <c r="B9173" s="171"/>
      <c r="C9173" s="165"/>
    </row>
    <row r="9174" spans="1:3" ht="16.8">
      <c r="A9174" s="165"/>
      <c r="B9174" s="171"/>
      <c r="C9174" s="165"/>
    </row>
    <row r="9175" spans="1:3" ht="16.8">
      <c r="A9175" s="165"/>
      <c r="B9175" s="171"/>
      <c r="C9175" s="165"/>
    </row>
    <row r="9176" spans="1:3" ht="16.8">
      <c r="A9176" s="165"/>
      <c r="B9176" s="171"/>
      <c r="C9176" s="165"/>
    </row>
    <row r="9177" spans="1:3" ht="16.8">
      <c r="A9177" s="165"/>
      <c r="B9177" s="171"/>
      <c r="C9177" s="165"/>
    </row>
    <row r="9178" spans="1:3" ht="16.8">
      <c r="A9178" s="165"/>
      <c r="B9178" s="171"/>
      <c r="C9178" s="165"/>
    </row>
    <row r="9179" spans="1:3" ht="16.8">
      <c r="A9179" s="165"/>
      <c r="B9179" s="171"/>
      <c r="C9179" s="165"/>
    </row>
    <row r="9180" spans="1:3" ht="16.8">
      <c r="A9180" s="165"/>
      <c r="B9180" s="171"/>
      <c r="C9180" s="165"/>
    </row>
    <row r="9181" spans="1:3" ht="16.8">
      <c r="A9181" s="165"/>
      <c r="B9181" s="171"/>
      <c r="C9181" s="165"/>
    </row>
    <row r="9182" spans="1:3" ht="16.8">
      <c r="A9182" s="165"/>
      <c r="B9182" s="171"/>
      <c r="C9182" s="165"/>
    </row>
    <row r="9183" spans="1:3" ht="16.8">
      <c r="A9183" s="165"/>
      <c r="B9183" s="171"/>
      <c r="C9183" s="165"/>
    </row>
    <row r="9184" spans="1:3" ht="16.8">
      <c r="A9184" s="165"/>
      <c r="B9184" s="171"/>
      <c r="C9184" s="165"/>
    </row>
    <row r="9185" spans="1:3" ht="16.8">
      <c r="A9185" s="165"/>
      <c r="B9185" s="171"/>
      <c r="C9185" s="165"/>
    </row>
    <row r="9186" spans="1:3" ht="16.8">
      <c r="A9186" s="165"/>
      <c r="B9186" s="171"/>
      <c r="C9186" s="165"/>
    </row>
    <row r="9187" spans="1:3" ht="16.8">
      <c r="A9187" s="165"/>
      <c r="B9187" s="171"/>
      <c r="C9187" s="165"/>
    </row>
    <row r="9188" spans="1:3" ht="16.8">
      <c r="A9188" s="165"/>
      <c r="B9188" s="171"/>
      <c r="C9188" s="165"/>
    </row>
    <row r="9189" spans="1:3" ht="16.8">
      <c r="A9189" s="165"/>
      <c r="B9189" s="171"/>
      <c r="C9189" s="165"/>
    </row>
    <row r="9190" spans="1:3" ht="16.8">
      <c r="A9190" s="165"/>
      <c r="B9190" s="171"/>
      <c r="C9190" s="165"/>
    </row>
    <row r="9191" spans="1:3" ht="16.8">
      <c r="A9191" s="165"/>
      <c r="B9191" s="171"/>
      <c r="C9191" s="165"/>
    </row>
    <row r="9192" spans="1:3" ht="16.8">
      <c r="A9192" s="165"/>
      <c r="B9192" s="171"/>
      <c r="C9192" s="165"/>
    </row>
    <row r="9193" spans="1:3" ht="16.8">
      <c r="A9193" s="165"/>
      <c r="B9193" s="171"/>
      <c r="C9193" s="165"/>
    </row>
    <row r="9194" spans="1:3" ht="16.8">
      <c r="A9194" s="165"/>
      <c r="B9194" s="171"/>
      <c r="C9194" s="165"/>
    </row>
    <row r="9195" spans="1:3" ht="16.8">
      <c r="A9195" s="165"/>
      <c r="B9195" s="171"/>
      <c r="C9195" s="165"/>
    </row>
    <row r="9196" spans="1:3" ht="16.8">
      <c r="A9196" s="165"/>
      <c r="B9196" s="171"/>
      <c r="C9196" s="165"/>
    </row>
    <row r="9197" spans="1:3" ht="16.8">
      <c r="A9197" s="165"/>
      <c r="B9197" s="171"/>
      <c r="C9197" s="165"/>
    </row>
    <row r="9198" spans="1:3" ht="16.8">
      <c r="A9198" s="165"/>
      <c r="B9198" s="171"/>
      <c r="C9198" s="165"/>
    </row>
    <row r="9199" spans="1:3" ht="16.8">
      <c r="A9199" s="165"/>
      <c r="B9199" s="171"/>
      <c r="C9199" s="165"/>
    </row>
    <row r="9200" spans="1:3" ht="16.8">
      <c r="A9200" s="165"/>
      <c r="B9200" s="171"/>
      <c r="C9200" s="165"/>
    </row>
    <row r="9201" spans="1:3" ht="16.8">
      <c r="A9201" s="165"/>
      <c r="B9201" s="171"/>
      <c r="C9201" s="165"/>
    </row>
    <row r="9202" spans="1:3" ht="16.8">
      <c r="A9202" s="165"/>
      <c r="B9202" s="171"/>
      <c r="C9202" s="165"/>
    </row>
    <row r="9203" spans="1:3" ht="16.8">
      <c r="A9203" s="165"/>
      <c r="B9203" s="171"/>
      <c r="C9203" s="165"/>
    </row>
    <row r="9204" spans="1:3" ht="16.8">
      <c r="A9204" s="165"/>
      <c r="B9204" s="171"/>
      <c r="C9204" s="165"/>
    </row>
    <row r="9205" spans="1:3" ht="16.8">
      <c r="A9205" s="165"/>
      <c r="B9205" s="171"/>
      <c r="C9205" s="165"/>
    </row>
    <row r="9206" spans="1:3" ht="16.8">
      <c r="A9206" s="165"/>
      <c r="B9206" s="171"/>
      <c r="C9206" s="165"/>
    </row>
    <row r="9207" spans="1:3" ht="16.8">
      <c r="A9207" s="165"/>
      <c r="B9207" s="171"/>
      <c r="C9207" s="165"/>
    </row>
    <row r="9208" spans="1:3" ht="16.8">
      <c r="A9208" s="165"/>
      <c r="B9208" s="171"/>
      <c r="C9208" s="165"/>
    </row>
    <row r="9209" spans="1:3" ht="16.8">
      <c r="A9209" s="165"/>
      <c r="B9209" s="171"/>
      <c r="C9209" s="165"/>
    </row>
    <row r="9210" spans="1:3" ht="16.8">
      <c r="A9210" s="165"/>
      <c r="B9210" s="171"/>
      <c r="C9210" s="165"/>
    </row>
    <row r="9211" spans="1:3" ht="16.8">
      <c r="A9211" s="165"/>
      <c r="B9211" s="171"/>
      <c r="C9211" s="165"/>
    </row>
    <row r="9212" spans="1:3" ht="16.8">
      <c r="A9212" s="165"/>
      <c r="B9212" s="171"/>
      <c r="C9212" s="165"/>
    </row>
    <row r="9213" spans="1:3" ht="16.8">
      <c r="A9213" s="165"/>
      <c r="B9213" s="171"/>
      <c r="C9213" s="165"/>
    </row>
    <row r="9214" spans="1:3" ht="16.8">
      <c r="A9214" s="165"/>
      <c r="B9214" s="171"/>
      <c r="C9214" s="165"/>
    </row>
    <row r="9215" spans="1:3" ht="16.8">
      <c r="A9215" s="165"/>
      <c r="B9215" s="171"/>
      <c r="C9215" s="165"/>
    </row>
    <row r="9216" spans="1:3" ht="16.8">
      <c r="A9216" s="165"/>
      <c r="B9216" s="171"/>
      <c r="C9216" s="165"/>
    </row>
    <row r="9217" spans="1:3" ht="16.8">
      <c r="A9217" s="165"/>
      <c r="B9217" s="171"/>
      <c r="C9217" s="165"/>
    </row>
    <row r="9218" spans="1:3" ht="16.8">
      <c r="A9218" s="165"/>
      <c r="B9218" s="171"/>
      <c r="C9218" s="165"/>
    </row>
    <row r="9219" spans="1:3" ht="16.8">
      <c r="A9219" s="165"/>
      <c r="B9219" s="171"/>
      <c r="C9219" s="165"/>
    </row>
    <row r="9220" spans="1:3" ht="16.8">
      <c r="A9220" s="165"/>
      <c r="B9220" s="171"/>
      <c r="C9220" s="165"/>
    </row>
    <row r="9221" spans="1:3" ht="16.8">
      <c r="A9221" s="165"/>
      <c r="B9221" s="171"/>
      <c r="C9221" s="165"/>
    </row>
    <row r="9222" spans="1:3" ht="16.8">
      <c r="A9222" s="165"/>
      <c r="B9222" s="171"/>
      <c r="C9222" s="165"/>
    </row>
    <row r="9223" spans="1:3" ht="16.8">
      <c r="A9223" s="165"/>
      <c r="B9223" s="171"/>
      <c r="C9223" s="165"/>
    </row>
    <row r="9224" spans="1:3" ht="16.8">
      <c r="A9224" s="165"/>
      <c r="B9224" s="171"/>
      <c r="C9224" s="165"/>
    </row>
    <row r="9225" spans="1:3" ht="16.8">
      <c r="A9225" s="165"/>
      <c r="B9225" s="171"/>
      <c r="C9225" s="165"/>
    </row>
    <row r="9226" spans="1:3" ht="16.8">
      <c r="A9226" s="165"/>
      <c r="B9226" s="171"/>
      <c r="C9226" s="165"/>
    </row>
    <row r="9227" spans="1:3" ht="16.8">
      <c r="A9227" s="165"/>
      <c r="B9227" s="171"/>
      <c r="C9227" s="165"/>
    </row>
    <row r="9228" spans="1:3" ht="16.8">
      <c r="A9228" s="165"/>
      <c r="B9228" s="171"/>
      <c r="C9228" s="165"/>
    </row>
    <row r="9229" spans="1:3" ht="16.8">
      <c r="A9229" s="165"/>
      <c r="B9229" s="171"/>
      <c r="C9229" s="165"/>
    </row>
    <row r="9230" spans="1:3" ht="16.8">
      <c r="A9230" s="165"/>
      <c r="B9230" s="171"/>
      <c r="C9230" s="165"/>
    </row>
    <row r="9231" spans="1:3" ht="16.8">
      <c r="A9231" s="165"/>
      <c r="B9231" s="171"/>
      <c r="C9231" s="165"/>
    </row>
    <row r="9232" spans="1:3" ht="16.8">
      <c r="A9232" s="165"/>
      <c r="B9232" s="171"/>
      <c r="C9232" s="165"/>
    </row>
    <row r="9233" spans="1:3" ht="16.8">
      <c r="A9233" s="165"/>
      <c r="B9233" s="171"/>
      <c r="C9233" s="165"/>
    </row>
    <row r="9234" spans="1:3" ht="16.8">
      <c r="A9234" s="165"/>
      <c r="B9234" s="171"/>
      <c r="C9234" s="165"/>
    </row>
    <row r="9235" spans="1:3" ht="16.8">
      <c r="A9235" s="165"/>
      <c r="B9235" s="171"/>
      <c r="C9235" s="165"/>
    </row>
    <row r="9236" spans="1:3" ht="16.8">
      <c r="A9236" s="165"/>
      <c r="B9236" s="171"/>
      <c r="C9236" s="165"/>
    </row>
    <row r="9237" spans="1:3" ht="16.8">
      <c r="A9237" s="165"/>
      <c r="B9237" s="171"/>
      <c r="C9237" s="165"/>
    </row>
    <row r="9238" spans="1:3" ht="16.8">
      <c r="A9238" s="165"/>
      <c r="B9238" s="171"/>
      <c r="C9238" s="165"/>
    </row>
    <row r="9239" spans="1:3" ht="16.8">
      <c r="A9239" s="165"/>
      <c r="B9239" s="171"/>
      <c r="C9239" s="165"/>
    </row>
    <row r="9240" spans="1:3" ht="16.8">
      <c r="A9240" s="165"/>
      <c r="B9240" s="171"/>
      <c r="C9240" s="165"/>
    </row>
    <row r="9241" spans="1:3" ht="16.8">
      <c r="A9241" s="165"/>
      <c r="B9241" s="171"/>
      <c r="C9241" s="165"/>
    </row>
    <row r="9242" spans="1:3" ht="16.8">
      <c r="A9242" s="165"/>
      <c r="B9242" s="171"/>
      <c r="C9242" s="165"/>
    </row>
    <row r="9243" spans="1:3" ht="16.8">
      <c r="A9243" s="165"/>
      <c r="B9243" s="171"/>
      <c r="C9243" s="165"/>
    </row>
    <row r="9244" spans="1:3" ht="16.8">
      <c r="A9244" s="165"/>
      <c r="B9244" s="171"/>
      <c r="C9244" s="165"/>
    </row>
    <row r="9245" spans="1:3" ht="16.8">
      <c r="A9245" s="165"/>
      <c r="B9245" s="171"/>
      <c r="C9245" s="165"/>
    </row>
    <row r="9246" spans="1:3" ht="16.8">
      <c r="A9246" s="165"/>
      <c r="B9246" s="171"/>
      <c r="C9246" s="165"/>
    </row>
    <row r="9247" spans="1:3" ht="16.8">
      <c r="A9247" s="165"/>
      <c r="B9247" s="171"/>
      <c r="C9247" s="165"/>
    </row>
    <row r="9248" spans="1:3" ht="16.8">
      <c r="A9248" s="165"/>
      <c r="B9248" s="171"/>
      <c r="C9248" s="165"/>
    </row>
    <row r="9249" spans="1:3" ht="16.8">
      <c r="A9249" s="165"/>
      <c r="B9249" s="171"/>
      <c r="C9249" s="165"/>
    </row>
    <row r="9250" spans="1:3" ht="16.8">
      <c r="A9250" s="165"/>
      <c r="B9250" s="171"/>
      <c r="C9250" s="165"/>
    </row>
    <row r="9251" spans="1:3" ht="16.8">
      <c r="A9251" s="165"/>
      <c r="B9251" s="171"/>
      <c r="C9251" s="165"/>
    </row>
    <row r="9252" spans="1:3" ht="16.8">
      <c r="A9252" s="165"/>
      <c r="B9252" s="171"/>
      <c r="C9252" s="165"/>
    </row>
    <row r="9253" spans="1:3" ht="16.8">
      <c r="A9253" s="165"/>
      <c r="B9253" s="171"/>
      <c r="C9253" s="165"/>
    </row>
    <row r="9254" spans="1:3" ht="16.8">
      <c r="A9254" s="165"/>
      <c r="B9254" s="171"/>
      <c r="C9254" s="165"/>
    </row>
    <row r="9255" spans="1:3" ht="16.8">
      <c r="A9255" s="165"/>
      <c r="B9255" s="171"/>
      <c r="C9255" s="165"/>
    </row>
    <row r="9256" spans="1:3" ht="16.8">
      <c r="A9256" s="165"/>
      <c r="B9256" s="171"/>
      <c r="C9256" s="165"/>
    </row>
    <row r="9257" spans="1:3" ht="16.8">
      <c r="A9257" s="165"/>
      <c r="B9257" s="171"/>
      <c r="C9257" s="165"/>
    </row>
    <row r="9258" spans="1:3" ht="16.8">
      <c r="A9258" s="165"/>
      <c r="B9258" s="171"/>
      <c r="C9258" s="165"/>
    </row>
    <row r="9259" spans="1:3" ht="16.8">
      <c r="A9259" s="165"/>
      <c r="B9259" s="171"/>
      <c r="C9259" s="165"/>
    </row>
    <row r="9260" spans="1:3" ht="16.8">
      <c r="A9260" s="165"/>
      <c r="B9260" s="171"/>
      <c r="C9260" s="165"/>
    </row>
    <row r="9261" spans="1:3" ht="16.8">
      <c r="A9261" s="165"/>
      <c r="B9261" s="171"/>
      <c r="C9261" s="165"/>
    </row>
    <row r="9262" spans="1:3" ht="16.8">
      <c r="A9262" s="165"/>
      <c r="B9262" s="171"/>
      <c r="C9262" s="165"/>
    </row>
    <row r="9263" spans="1:3" ht="16.8">
      <c r="A9263" s="165"/>
      <c r="B9263" s="171"/>
      <c r="C9263" s="165"/>
    </row>
    <row r="9264" spans="1:3" ht="16.8">
      <c r="A9264" s="165"/>
      <c r="B9264" s="171"/>
      <c r="C9264" s="165"/>
    </row>
    <row r="9265" spans="1:3" ht="16.8">
      <c r="A9265" s="165"/>
      <c r="B9265" s="171"/>
      <c r="C9265" s="165"/>
    </row>
    <row r="9266" spans="1:3" ht="16.8">
      <c r="A9266" s="165"/>
      <c r="B9266" s="171"/>
      <c r="C9266" s="165"/>
    </row>
    <row r="9267" spans="1:3" ht="16.8">
      <c r="A9267" s="165"/>
      <c r="B9267" s="171"/>
      <c r="C9267" s="165"/>
    </row>
    <row r="9268" spans="1:3" ht="16.8">
      <c r="A9268" s="165"/>
      <c r="B9268" s="171"/>
      <c r="C9268" s="165"/>
    </row>
    <row r="9269" spans="1:3" ht="16.8">
      <c r="A9269" s="165"/>
      <c r="B9269" s="171"/>
      <c r="C9269" s="165"/>
    </row>
    <row r="9270" spans="1:3" ht="16.8">
      <c r="A9270" s="165"/>
      <c r="B9270" s="171"/>
      <c r="C9270" s="165"/>
    </row>
    <row r="9271" spans="1:3" ht="16.8">
      <c r="A9271" s="165"/>
      <c r="B9271" s="171"/>
      <c r="C9271" s="165"/>
    </row>
    <row r="9272" spans="1:3" ht="16.8">
      <c r="A9272" s="165"/>
      <c r="B9272" s="171"/>
      <c r="C9272" s="165"/>
    </row>
    <row r="9273" spans="1:3" ht="16.8">
      <c r="A9273" s="165"/>
      <c r="B9273" s="171"/>
      <c r="C9273" s="165"/>
    </row>
    <row r="9274" spans="1:3" ht="16.8">
      <c r="A9274" s="165"/>
      <c r="B9274" s="171"/>
      <c r="C9274" s="165"/>
    </row>
    <row r="9275" spans="1:3" ht="16.8">
      <c r="A9275" s="165"/>
      <c r="B9275" s="171"/>
      <c r="C9275" s="165"/>
    </row>
    <row r="9276" spans="1:3" ht="16.8">
      <c r="A9276" s="165"/>
      <c r="B9276" s="171"/>
      <c r="C9276" s="165"/>
    </row>
    <row r="9277" spans="1:3" ht="16.8">
      <c r="A9277" s="165"/>
      <c r="B9277" s="171"/>
      <c r="C9277" s="165"/>
    </row>
    <row r="9278" spans="1:3" ht="16.8">
      <c r="A9278" s="165"/>
      <c r="B9278" s="171"/>
      <c r="C9278" s="165"/>
    </row>
    <row r="9279" spans="1:3" ht="16.8">
      <c r="A9279" s="165"/>
      <c r="B9279" s="171"/>
      <c r="C9279" s="165"/>
    </row>
    <row r="9280" spans="1:3" ht="16.8">
      <c r="A9280" s="165"/>
      <c r="B9280" s="171"/>
      <c r="C9280" s="165"/>
    </row>
    <row r="9281" spans="1:3" ht="16.8">
      <c r="A9281" s="165"/>
      <c r="B9281" s="171"/>
      <c r="C9281" s="165"/>
    </row>
    <row r="9282" spans="1:3" ht="16.8">
      <c r="A9282" s="165"/>
      <c r="B9282" s="171"/>
      <c r="C9282" s="165"/>
    </row>
    <row r="9283" spans="1:3" ht="16.8">
      <c r="A9283" s="165"/>
      <c r="B9283" s="171"/>
      <c r="C9283" s="165"/>
    </row>
    <row r="9284" spans="1:3" ht="16.8">
      <c r="A9284" s="165"/>
      <c r="B9284" s="171"/>
      <c r="C9284" s="165"/>
    </row>
    <row r="9285" spans="1:3" ht="16.8">
      <c r="A9285" s="165"/>
      <c r="B9285" s="171"/>
      <c r="C9285" s="165"/>
    </row>
    <row r="9286" spans="1:3" ht="16.8">
      <c r="A9286" s="165"/>
      <c r="B9286" s="171"/>
      <c r="C9286" s="165"/>
    </row>
    <row r="9287" spans="1:3" ht="16.8">
      <c r="A9287" s="165"/>
      <c r="B9287" s="171"/>
      <c r="C9287" s="165"/>
    </row>
    <row r="9288" spans="1:3" ht="16.8">
      <c r="A9288" s="165"/>
      <c r="B9288" s="171"/>
      <c r="C9288" s="165"/>
    </row>
    <row r="9289" spans="1:3" ht="16.8">
      <c r="A9289" s="165"/>
      <c r="B9289" s="171"/>
      <c r="C9289" s="165"/>
    </row>
    <row r="9290" spans="1:3" ht="16.8">
      <c r="A9290" s="165"/>
      <c r="B9290" s="171"/>
      <c r="C9290" s="165"/>
    </row>
    <row r="9291" spans="1:3" ht="16.8">
      <c r="A9291" s="165"/>
      <c r="B9291" s="171"/>
      <c r="C9291" s="165"/>
    </row>
    <row r="9292" spans="1:3" ht="16.8">
      <c r="A9292" s="165"/>
      <c r="B9292" s="171"/>
      <c r="C9292" s="165"/>
    </row>
    <row r="9293" spans="1:3" ht="16.8">
      <c r="A9293" s="165"/>
      <c r="B9293" s="171"/>
      <c r="C9293" s="165"/>
    </row>
    <row r="9294" spans="1:3" ht="16.8">
      <c r="A9294" s="165"/>
      <c r="B9294" s="171"/>
      <c r="C9294" s="165"/>
    </row>
    <row r="9295" spans="1:3" ht="16.8">
      <c r="A9295" s="165"/>
      <c r="B9295" s="171"/>
      <c r="C9295" s="165"/>
    </row>
    <row r="9296" spans="1:3" ht="16.8">
      <c r="A9296" s="165"/>
      <c r="B9296" s="171"/>
      <c r="C9296" s="165"/>
    </row>
    <row r="9297" spans="1:3" ht="16.8">
      <c r="A9297" s="165"/>
      <c r="B9297" s="171"/>
      <c r="C9297" s="165"/>
    </row>
    <row r="9298" spans="1:3" ht="16.8">
      <c r="A9298" s="165"/>
      <c r="B9298" s="171"/>
      <c r="C9298" s="165"/>
    </row>
    <row r="9299" spans="1:3" ht="16.8">
      <c r="A9299" s="165"/>
      <c r="B9299" s="171"/>
      <c r="C9299" s="165"/>
    </row>
    <row r="9300" spans="1:3" ht="16.8">
      <c r="A9300" s="165"/>
      <c r="B9300" s="171"/>
      <c r="C9300" s="165"/>
    </row>
    <row r="9301" spans="1:3" ht="16.8">
      <c r="A9301" s="165"/>
      <c r="B9301" s="171"/>
      <c r="C9301" s="165"/>
    </row>
    <row r="9302" spans="1:3" ht="16.8">
      <c r="A9302" s="165"/>
      <c r="B9302" s="171"/>
      <c r="C9302" s="165"/>
    </row>
    <row r="9303" spans="1:3" ht="16.8">
      <c r="A9303" s="165"/>
      <c r="B9303" s="171"/>
      <c r="C9303" s="165"/>
    </row>
    <row r="9304" spans="1:3" ht="16.8">
      <c r="A9304" s="165"/>
      <c r="B9304" s="171"/>
      <c r="C9304" s="165"/>
    </row>
    <row r="9305" spans="1:3" ht="16.8">
      <c r="A9305" s="165"/>
      <c r="B9305" s="171"/>
      <c r="C9305" s="165"/>
    </row>
    <row r="9306" spans="1:3" ht="16.8">
      <c r="A9306" s="165"/>
      <c r="B9306" s="171"/>
      <c r="C9306" s="165"/>
    </row>
    <row r="9307" spans="1:3" ht="16.8">
      <c r="A9307" s="165"/>
      <c r="B9307" s="171"/>
      <c r="C9307" s="165"/>
    </row>
    <row r="9308" spans="1:3" ht="16.8">
      <c r="A9308" s="165"/>
      <c r="B9308" s="171"/>
      <c r="C9308" s="165"/>
    </row>
    <row r="9309" spans="1:3" ht="16.8">
      <c r="A9309" s="165"/>
      <c r="B9309" s="171"/>
      <c r="C9309" s="165"/>
    </row>
    <row r="9310" spans="1:3" ht="16.8">
      <c r="A9310" s="165"/>
      <c r="B9310" s="171"/>
      <c r="C9310" s="165"/>
    </row>
    <row r="9311" spans="1:3" ht="16.8">
      <c r="A9311" s="165"/>
      <c r="B9311" s="171"/>
      <c r="C9311" s="165"/>
    </row>
    <row r="9312" spans="1:3" ht="16.8">
      <c r="A9312" s="165"/>
      <c r="B9312" s="171"/>
      <c r="C9312" s="165"/>
    </row>
    <row r="9313" spans="1:3" ht="16.8">
      <c r="A9313" s="165"/>
      <c r="B9313" s="171"/>
      <c r="C9313" s="165"/>
    </row>
    <row r="9314" spans="1:3" ht="16.8">
      <c r="A9314" s="165"/>
      <c r="B9314" s="171"/>
      <c r="C9314" s="165"/>
    </row>
    <row r="9315" spans="1:3" ht="16.8">
      <c r="A9315" s="165"/>
      <c r="B9315" s="171"/>
      <c r="C9315" s="165"/>
    </row>
    <row r="9316" spans="1:3" ht="16.8">
      <c r="A9316" s="165"/>
      <c r="B9316" s="171"/>
      <c r="C9316" s="165"/>
    </row>
    <row r="9317" spans="1:3" ht="16.8">
      <c r="A9317" s="165"/>
      <c r="B9317" s="171"/>
      <c r="C9317" s="165"/>
    </row>
    <row r="9318" spans="1:3" ht="16.8">
      <c r="A9318" s="165"/>
      <c r="B9318" s="171"/>
      <c r="C9318" s="165"/>
    </row>
    <row r="9319" spans="1:3" ht="16.8">
      <c r="A9319" s="165"/>
      <c r="B9319" s="171"/>
      <c r="C9319" s="165"/>
    </row>
    <row r="9320" spans="1:3" ht="16.8">
      <c r="A9320" s="165"/>
      <c r="B9320" s="171"/>
      <c r="C9320" s="165"/>
    </row>
    <row r="9321" spans="1:3" ht="16.8">
      <c r="A9321" s="165"/>
      <c r="B9321" s="171"/>
      <c r="C9321" s="165"/>
    </row>
    <row r="9322" spans="1:3" ht="16.8">
      <c r="A9322" s="165"/>
      <c r="B9322" s="171"/>
      <c r="C9322" s="165"/>
    </row>
    <row r="9323" spans="1:3" ht="16.8">
      <c r="A9323" s="165"/>
      <c r="B9323" s="171"/>
      <c r="C9323" s="165"/>
    </row>
    <row r="9324" spans="1:3" ht="16.8">
      <c r="A9324" s="165"/>
      <c r="B9324" s="171"/>
      <c r="C9324" s="165"/>
    </row>
    <row r="9325" spans="1:3" ht="16.8">
      <c r="A9325" s="165"/>
      <c r="B9325" s="171"/>
      <c r="C9325" s="165"/>
    </row>
    <row r="9326" spans="1:3" ht="16.8">
      <c r="A9326" s="165"/>
      <c r="B9326" s="171"/>
      <c r="C9326" s="165"/>
    </row>
    <row r="9327" spans="1:3" ht="16.8">
      <c r="A9327" s="165"/>
      <c r="B9327" s="171"/>
      <c r="C9327" s="165"/>
    </row>
    <row r="9328" spans="1:3" ht="16.8">
      <c r="A9328" s="165"/>
      <c r="B9328" s="171"/>
      <c r="C9328" s="165"/>
    </row>
    <row r="9329" spans="1:3" ht="16.8">
      <c r="A9329" s="165"/>
      <c r="B9329" s="171"/>
      <c r="C9329" s="165"/>
    </row>
    <row r="9330" spans="1:3" ht="16.8">
      <c r="A9330" s="165"/>
      <c r="B9330" s="171"/>
      <c r="C9330" s="165"/>
    </row>
    <row r="9331" spans="1:3" ht="16.8">
      <c r="A9331" s="165"/>
      <c r="B9331" s="171"/>
      <c r="C9331" s="165"/>
    </row>
    <row r="9332" spans="1:3" ht="16.8">
      <c r="A9332" s="165"/>
      <c r="B9332" s="171"/>
      <c r="C9332" s="165"/>
    </row>
    <row r="9333" spans="1:3" ht="16.8">
      <c r="A9333" s="165"/>
      <c r="B9333" s="171"/>
      <c r="C9333" s="165"/>
    </row>
    <row r="9334" spans="1:3" ht="16.8">
      <c r="A9334" s="165"/>
      <c r="B9334" s="171"/>
      <c r="C9334" s="165"/>
    </row>
    <row r="9335" spans="1:3" ht="16.8">
      <c r="A9335" s="165"/>
      <c r="B9335" s="171"/>
      <c r="C9335" s="165"/>
    </row>
    <row r="9336" spans="1:3" ht="16.8">
      <c r="A9336" s="165"/>
      <c r="B9336" s="171"/>
      <c r="C9336" s="165"/>
    </row>
    <row r="9337" spans="1:3" ht="16.8">
      <c r="A9337" s="165"/>
      <c r="B9337" s="171"/>
      <c r="C9337" s="165"/>
    </row>
    <row r="9338" spans="1:3" ht="16.8">
      <c r="A9338" s="165"/>
      <c r="B9338" s="171"/>
      <c r="C9338" s="165"/>
    </row>
    <row r="9339" spans="1:3" ht="16.8">
      <c r="A9339" s="165"/>
      <c r="B9339" s="171"/>
      <c r="C9339" s="165"/>
    </row>
    <row r="9340" spans="1:3" ht="16.8">
      <c r="A9340" s="165"/>
      <c r="B9340" s="171"/>
      <c r="C9340" s="165"/>
    </row>
    <row r="9341" spans="1:3" ht="16.8">
      <c r="A9341" s="165"/>
      <c r="B9341" s="171"/>
      <c r="C9341" s="165"/>
    </row>
    <row r="9342" spans="1:3" ht="16.8">
      <c r="A9342" s="165"/>
      <c r="B9342" s="171"/>
      <c r="C9342" s="165"/>
    </row>
    <row r="9343" spans="1:3" ht="16.8">
      <c r="A9343" s="165"/>
      <c r="B9343" s="171"/>
      <c r="C9343" s="165"/>
    </row>
    <row r="9344" spans="1:3" ht="16.8">
      <c r="A9344" s="165"/>
      <c r="B9344" s="171"/>
      <c r="C9344" s="165"/>
    </row>
    <row r="9345" spans="1:3" ht="16.8">
      <c r="A9345" s="165"/>
      <c r="B9345" s="171"/>
      <c r="C9345" s="165"/>
    </row>
    <row r="9346" spans="1:3" ht="16.8">
      <c r="A9346" s="165"/>
      <c r="B9346" s="171"/>
      <c r="C9346" s="165"/>
    </row>
    <row r="9347" spans="1:3" ht="16.8">
      <c r="A9347" s="165"/>
      <c r="B9347" s="171"/>
      <c r="C9347" s="165"/>
    </row>
    <row r="9348" spans="1:3" ht="16.8">
      <c r="A9348" s="165"/>
      <c r="B9348" s="171"/>
      <c r="C9348" s="165"/>
    </row>
    <row r="9349" spans="1:3" ht="16.8">
      <c r="A9349" s="165"/>
      <c r="B9349" s="171"/>
      <c r="C9349" s="165"/>
    </row>
    <row r="9350" spans="1:3" ht="16.8">
      <c r="A9350" s="165"/>
      <c r="B9350" s="171"/>
      <c r="C9350" s="165"/>
    </row>
    <row r="9351" spans="1:3" ht="16.8">
      <c r="A9351" s="165"/>
      <c r="B9351" s="171"/>
      <c r="C9351" s="165"/>
    </row>
    <row r="9352" spans="1:3" ht="16.8">
      <c r="A9352" s="165"/>
      <c r="B9352" s="171"/>
      <c r="C9352" s="165"/>
    </row>
    <row r="9353" spans="1:3" ht="16.8">
      <c r="A9353" s="165"/>
      <c r="B9353" s="171"/>
      <c r="C9353" s="165"/>
    </row>
    <row r="9354" spans="1:3" ht="16.8">
      <c r="A9354" s="165"/>
      <c r="B9354" s="171"/>
      <c r="C9354" s="165"/>
    </row>
    <row r="9355" spans="1:3" ht="16.8">
      <c r="A9355" s="165"/>
      <c r="B9355" s="171"/>
      <c r="C9355" s="165"/>
    </row>
    <row r="9356" spans="1:3" ht="16.8">
      <c r="A9356" s="165"/>
      <c r="B9356" s="171"/>
      <c r="C9356" s="165"/>
    </row>
    <row r="9357" spans="1:3" ht="16.8">
      <c r="A9357" s="165"/>
      <c r="B9357" s="171"/>
      <c r="C9357" s="165"/>
    </row>
    <row r="9358" spans="1:3" ht="16.8">
      <c r="A9358" s="165"/>
      <c r="B9358" s="171"/>
      <c r="C9358" s="165"/>
    </row>
    <row r="9359" spans="1:3" ht="16.8">
      <c r="A9359" s="165"/>
      <c r="B9359" s="171"/>
      <c r="C9359" s="165"/>
    </row>
    <row r="9360" spans="1:3" ht="16.8">
      <c r="A9360" s="165"/>
      <c r="B9360" s="171"/>
      <c r="C9360" s="165"/>
    </row>
    <row r="9361" spans="1:3" ht="16.8">
      <c r="A9361" s="165"/>
      <c r="B9361" s="171"/>
      <c r="C9361" s="165"/>
    </row>
    <row r="9362" spans="1:3" ht="16.8">
      <c r="A9362" s="165"/>
      <c r="B9362" s="171"/>
      <c r="C9362" s="165"/>
    </row>
    <row r="9363" spans="1:3" ht="16.8">
      <c r="A9363" s="165"/>
      <c r="B9363" s="171"/>
      <c r="C9363" s="165"/>
    </row>
    <row r="9364" spans="1:3" ht="16.8">
      <c r="A9364" s="165"/>
      <c r="B9364" s="171"/>
      <c r="C9364" s="165"/>
    </row>
    <row r="9365" spans="1:3" ht="16.8">
      <c r="A9365" s="165"/>
      <c r="B9365" s="171"/>
      <c r="C9365" s="165"/>
    </row>
    <row r="9366" spans="1:3" ht="16.8">
      <c r="A9366" s="165"/>
      <c r="B9366" s="171"/>
      <c r="C9366" s="165"/>
    </row>
    <row r="9367" spans="1:3" ht="16.8">
      <c r="A9367" s="165"/>
      <c r="B9367" s="171"/>
      <c r="C9367" s="165"/>
    </row>
    <row r="9368" spans="1:3" ht="16.8">
      <c r="A9368" s="165"/>
      <c r="B9368" s="171"/>
      <c r="C9368" s="165"/>
    </row>
    <row r="9369" spans="1:3" ht="16.8">
      <c r="A9369" s="165"/>
      <c r="B9369" s="171"/>
      <c r="C9369" s="165"/>
    </row>
    <row r="9370" spans="1:3" ht="16.8">
      <c r="A9370" s="165"/>
      <c r="B9370" s="171"/>
      <c r="C9370" s="165"/>
    </row>
    <row r="9371" spans="1:3" ht="16.8">
      <c r="A9371" s="165"/>
      <c r="B9371" s="171"/>
      <c r="C9371" s="165"/>
    </row>
    <row r="9372" spans="1:3" ht="16.8">
      <c r="A9372" s="165"/>
      <c r="B9372" s="171"/>
      <c r="C9372" s="165"/>
    </row>
    <row r="9373" spans="1:3" ht="16.8">
      <c r="A9373" s="165"/>
      <c r="B9373" s="171"/>
      <c r="C9373" s="165"/>
    </row>
    <row r="9374" spans="1:3" ht="16.8">
      <c r="A9374" s="165"/>
      <c r="B9374" s="171"/>
      <c r="C9374" s="165"/>
    </row>
    <row r="9375" spans="1:3" ht="16.8">
      <c r="A9375" s="165"/>
      <c r="B9375" s="171"/>
      <c r="C9375" s="165"/>
    </row>
    <row r="9376" spans="1:3" ht="16.8">
      <c r="A9376" s="165"/>
      <c r="B9376" s="171"/>
      <c r="C9376" s="165"/>
    </row>
    <row r="9377" spans="1:3" ht="16.8">
      <c r="A9377" s="165"/>
      <c r="B9377" s="171"/>
      <c r="C9377" s="165"/>
    </row>
    <row r="9378" spans="1:3" ht="16.8">
      <c r="A9378" s="165"/>
      <c r="B9378" s="171"/>
      <c r="C9378" s="165"/>
    </row>
    <row r="9379" spans="1:3" ht="16.8">
      <c r="A9379" s="165"/>
      <c r="B9379" s="171"/>
      <c r="C9379" s="165"/>
    </row>
    <row r="9380" spans="1:3" ht="16.8">
      <c r="A9380" s="165"/>
      <c r="B9380" s="171"/>
      <c r="C9380" s="165"/>
    </row>
    <row r="9381" spans="1:3" ht="16.8">
      <c r="A9381" s="165"/>
      <c r="B9381" s="171"/>
      <c r="C9381" s="165"/>
    </row>
    <row r="9382" spans="1:3" ht="16.8">
      <c r="A9382" s="165"/>
      <c r="B9382" s="171"/>
      <c r="C9382" s="165"/>
    </row>
    <row r="9383" spans="1:3" ht="16.8">
      <c r="A9383" s="165"/>
      <c r="B9383" s="171"/>
      <c r="C9383" s="165"/>
    </row>
    <row r="9384" spans="1:3" ht="16.8">
      <c r="A9384" s="165"/>
      <c r="B9384" s="171"/>
      <c r="C9384" s="165"/>
    </row>
    <row r="9385" spans="1:3" ht="16.8">
      <c r="A9385" s="165"/>
      <c r="B9385" s="171"/>
      <c r="C9385" s="165"/>
    </row>
    <row r="9386" spans="1:3" ht="16.8">
      <c r="A9386" s="165"/>
      <c r="B9386" s="171"/>
      <c r="C9386" s="165"/>
    </row>
    <row r="9387" spans="1:3" ht="16.8">
      <c r="A9387" s="165"/>
      <c r="B9387" s="171"/>
      <c r="C9387" s="165"/>
    </row>
    <row r="9388" spans="1:3" ht="16.8">
      <c r="A9388" s="165"/>
      <c r="B9388" s="171"/>
      <c r="C9388" s="165"/>
    </row>
    <row r="9389" spans="1:3" ht="16.8">
      <c r="A9389" s="165"/>
      <c r="B9389" s="171"/>
      <c r="C9389" s="165"/>
    </row>
    <row r="9390" spans="1:3" ht="16.8">
      <c r="A9390" s="165"/>
      <c r="B9390" s="171"/>
      <c r="C9390" s="165"/>
    </row>
    <row r="9391" spans="1:3" ht="16.8">
      <c r="A9391" s="165"/>
      <c r="B9391" s="171"/>
      <c r="C9391" s="165"/>
    </row>
    <row r="9392" spans="1:3" ht="16.8">
      <c r="A9392" s="165"/>
      <c r="B9392" s="171"/>
      <c r="C9392" s="165"/>
    </row>
    <row r="9393" spans="1:3" ht="16.8">
      <c r="A9393" s="165"/>
      <c r="B9393" s="171"/>
      <c r="C9393" s="165"/>
    </row>
    <row r="9394" spans="1:3" ht="16.8">
      <c r="A9394" s="165"/>
      <c r="B9394" s="171"/>
      <c r="C9394" s="165"/>
    </row>
    <row r="9395" spans="1:3" ht="16.8">
      <c r="A9395" s="165"/>
      <c r="B9395" s="171"/>
      <c r="C9395" s="165"/>
    </row>
    <row r="9396" spans="1:3" ht="16.8">
      <c r="A9396" s="165"/>
      <c r="B9396" s="171"/>
      <c r="C9396" s="165"/>
    </row>
    <row r="9397" spans="1:3" ht="16.8">
      <c r="A9397" s="165"/>
      <c r="B9397" s="171"/>
      <c r="C9397" s="165"/>
    </row>
    <row r="9398" spans="1:3" ht="16.8">
      <c r="A9398" s="165"/>
      <c r="B9398" s="171"/>
      <c r="C9398" s="165"/>
    </row>
    <row r="9399" spans="1:3" ht="16.8">
      <c r="A9399" s="165"/>
      <c r="B9399" s="171"/>
      <c r="C9399" s="165"/>
    </row>
    <row r="9400" spans="1:3" ht="16.8">
      <c r="A9400" s="165"/>
      <c r="B9400" s="171"/>
      <c r="C9400" s="165"/>
    </row>
    <row r="9401" spans="1:3" ht="16.8">
      <c r="A9401" s="165"/>
      <c r="B9401" s="171"/>
      <c r="C9401" s="165"/>
    </row>
    <row r="9402" spans="1:3" ht="16.8">
      <c r="A9402" s="165"/>
      <c r="B9402" s="171"/>
      <c r="C9402" s="165"/>
    </row>
    <row r="9403" spans="1:3" ht="16.8">
      <c r="A9403" s="165"/>
      <c r="B9403" s="171"/>
      <c r="C9403" s="165"/>
    </row>
    <row r="9404" spans="1:3" ht="16.8">
      <c r="A9404" s="165"/>
      <c r="B9404" s="171"/>
      <c r="C9404" s="165"/>
    </row>
    <row r="9405" spans="1:3" ht="16.8">
      <c r="A9405" s="165"/>
      <c r="B9405" s="171"/>
      <c r="C9405" s="165"/>
    </row>
    <row r="9406" spans="1:3" ht="16.8">
      <c r="A9406" s="165"/>
      <c r="B9406" s="171"/>
      <c r="C9406" s="165"/>
    </row>
    <row r="9407" spans="1:3" ht="16.8">
      <c r="A9407" s="165"/>
      <c r="B9407" s="171"/>
      <c r="C9407" s="165"/>
    </row>
    <row r="9408" spans="1:3" ht="16.8">
      <c r="A9408" s="165"/>
      <c r="B9408" s="171"/>
      <c r="C9408" s="165"/>
    </row>
    <row r="9409" spans="1:3" ht="16.8">
      <c r="A9409" s="165"/>
      <c r="B9409" s="171"/>
      <c r="C9409" s="165"/>
    </row>
    <row r="9410" spans="1:3" ht="16.8">
      <c r="A9410" s="165"/>
      <c r="B9410" s="171"/>
      <c r="C9410" s="165"/>
    </row>
    <row r="9411" spans="1:3" ht="16.8">
      <c r="A9411" s="165"/>
      <c r="B9411" s="171"/>
      <c r="C9411" s="165"/>
    </row>
    <row r="9412" spans="1:3" ht="16.8">
      <c r="A9412" s="165"/>
      <c r="B9412" s="171"/>
      <c r="C9412" s="165"/>
    </row>
    <row r="9413" spans="1:3" ht="16.8">
      <c r="A9413" s="165"/>
      <c r="B9413" s="171"/>
      <c r="C9413" s="165"/>
    </row>
    <row r="9414" spans="1:3" ht="16.8">
      <c r="A9414" s="165"/>
      <c r="B9414" s="171"/>
      <c r="C9414" s="165"/>
    </row>
    <row r="9415" spans="1:3" ht="16.8">
      <c r="A9415" s="165"/>
      <c r="B9415" s="171"/>
      <c r="C9415" s="165"/>
    </row>
    <row r="9416" spans="1:3" ht="16.8">
      <c r="A9416" s="165"/>
      <c r="B9416" s="171"/>
      <c r="C9416" s="165"/>
    </row>
    <row r="9417" spans="1:3" ht="16.8">
      <c r="A9417" s="165"/>
      <c r="B9417" s="171"/>
      <c r="C9417" s="165"/>
    </row>
    <row r="9418" spans="1:3" ht="16.8">
      <c r="A9418" s="165"/>
      <c r="B9418" s="171"/>
      <c r="C9418" s="165"/>
    </row>
    <row r="9419" spans="1:3" ht="16.8">
      <c r="A9419" s="165"/>
      <c r="B9419" s="171"/>
      <c r="C9419" s="165"/>
    </row>
    <row r="9420" spans="1:3" ht="16.8">
      <c r="A9420" s="165"/>
      <c r="B9420" s="171"/>
      <c r="C9420" s="165"/>
    </row>
    <row r="9421" spans="1:3" ht="16.8">
      <c r="A9421" s="165"/>
      <c r="B9421" s="171"/>
      <c r="C9421" s="165"/>
    </row>
    <row r="9422" spans="1:3" ht="16.8">
      <c r="A9422" s="165"/>
      <c r="B9422" s="171"/>
      <c r="C9422" s="165"/>
    </row>
    <row r="9423" spans="1:3" ht="16.8">
      <c r="A9423" s="165"/>
      <c r="B9423" s="171"/>
      <c r="C9423" s="165"/>
    </row>
    <row r="9424" spans="1:3" ht="16.8">
      <c r="A9424" s="165"/>
      <c r="B9424" s="171"/>
      <c r="C9424" s="165"/>
    </row>
    <row r="9425" spans="1:3" ht="16.8">
      <c r="A9425" s="165"/>
      <c r="B9425" s="171"/>
      <c r="C9425" s="165"/>
    </row>
    <row r="9426" spans="1:3" ht="16.8">
      <c r="A9426" s="165"/>
      <c r="B9426" s="171"/>
      <c r="C9426" s="165"/>
    </row>
    <row r="9427" spans="1:3" ht="16.8">
      <c r="A9427" s="165"/>
      <c r="B9427" s="171"/>
      <c r="C9427" s="165"/>
    </row>
    <row r="9428" spans="1:3" ht="16.8">
      <c r="A9428" s="165"/>
      <c r="B9428" s="171"/>
      <c r="C9428" s="165"/>
    </row>
    <row r="9429" spans="1:3" ht="16.8">
      <c r="A9429" s="165"/>
      <c r="B9429" s="171"/>
      <c r="C9429" s="165"/>
    </row>
    <row r="9430" spans="1:3" ht="16.8">
      <c r="A9430" s="165"/>
      <c r="B9430" s="171"/>
      <c r="C9430" s="165"/>
    </row>
    <row r="9431" spans="1:3" ht="16.8">
      <c r="A9431" s="165"/>
      <c r="B9431" s="171"/>
      <c r="C9431" s="165"/>
    </row>
    <row r="9432" spans="1:3" ht="16.8">
      <c r="A9432" s="165"/>
      <c r="B9432" s="171"/>
      <c r="C9432" s="165"/>
    </row>
    <row r="9433" spans="1:3" ht="16.8">
      <c r="A9433" s="165"/>
      <c r="B9433" s="171"/>
      <c r="C9433" s="165"/>
    </row>
    <row r="9434" spans="1:3" ht="16.8">
      <c r="A9434" s="165"/>
      <c r="B9434" s="171"/>
      <c r="C9434" s="165"/>
    </row>
    <row r="9435" spans="1:3" ht="16.8">
      <c r="A9435" s="165"/>
      <c r="B9435" s="171"/>
      <c r="C9435" s="165"/>
    </row>
    <row r="9436" spans="1:3" ht="16.8">
      <c r="A9436" s="165"/>
      <c r="B9436" s="171"/>
      <c r="C9436" s="165"/>
    </row>
    <row r="9437" spans="1:3" ht="16.8">
      <c r="A9437" s="165"/>
      <c r="B9437" s="171"/>
      <c r="C9437" s="165"/>
    </row>
    <row r="9438" spans="1:3" ht="16.8">
      <c r="A9438" s="165"/>
      <c r="B9438" s="171"/>
      <c r="C9438" s="165"/>
    </row>
    <row r="9439" spans="1:3" ht="16.8">
      <c r="A9439" s="165"/>
      <c r="B9439" s="171"/>
      <c r="C9439" s="165"/>
    </row>
    <row r="9440" spans="1:3" ht="16.8">
      <c r="A9440" s="165"/>
      <c r="B9440" s="171"/>
      <c r="C9440" s="165"/>
    </row>
    <row r="9441" spans="1:3" ht="16.8">
      <c r="A9441" s="165"/>
      <c r="B9441" s="171"/>
      <c r="C9441" s="165"/>
    </row>
    <row r="9442" spans="1:3" ht="16.8">
      <c r="A9442" s="165"/>
      <c r="B9442" s="171"/>
      <c r="C9442" s="165"/>
    </row>
    <row r="9443" spans="1:3" ht="16.8">
      <c r="A9443" s="165"/>
      <c r="B9443" s="171"/>
      <c r="C9443" s="165"/>
    </row>
    <row r="9444" spans="1:3" ht="16.8">
      <c r="A9444" s="165"/>
      <c r="B9444" s="171"/>
      <c r="C9444" s="165"/>
    </row>
    <row r="9445" spans="1:3" ht="16.8">
      <c r="A9445" s="165"/>
      <c r="B9445" s="171"/>
      <c r="C9445" s="165"/>
    </row>
    <row r="9446" spans="1:3" ht="16.8">
      <c r="A9446" s="165"/>
      <c r="B9446" s="171"/>
      <c r="C9446" s="165"/>
    </row>
    <row r="9447" spans="1:3" ht="16.8">
      <c r="A9447" s="165"/>
      <c r="B9447" s="171"/>
      <c r="C9447" s="165"/>
    </row>
    <row r="9448" spans="1:3" ht="16.8">
      <c r="A9448" s="165"/>
      <c r="B9448" s="171"/>
      <c r="C9448" s="165"/>
    </row>
    <row r="9449" spans="1:3" ht="16.8">
      <c r="A9449" s="165"/>
      <c r="B9449" s="171"/>
      <c r="C9449" s="165"/>
    </row>
    <row r="9450" spans="1:3" ht="16.8">
      <c r="A9450" s="165"/>
      <c r="B9450" s="171"/>
      <c r="C9450" s="165"/>
    </row>
    <row r="9451" spans="1:3" ht="16.8">
      <c r="A9451" s="165"/>
      <c r="B9451" s="171"/>
      <c r="C9451" s="165"/>
    </row>
    <row r="9452" spans="1:3" ht="16.8">
      <c r="A9452" s="165"/>
      <c r="B9452" s="171"/>
      <c r="C9452" s="165"/>
    </row>
    <row r="9453" spans="1:3" ht="16.8">
      <c r="A9453" s="165"/>
      <c r="B9453" s="171"/>
      <c r="C9453" s="165"/>
    </row>
    <row r="9454" spans="1:3" ht="16.8">
      <c r="A9454" s="165"/>
      <c r="B9454" s="171"/>
      <c r="C9454" s="165"/>
    </row>
    <row r="9455" spans="1:3" ht="16.8">
      <c r="A9455" s="165"/>
      <c r="B9455" s="171"/>
      <c r="C9455" s="165"/>
    </row>
    <row r="9456" spans="1:3" ht="16.8">
      <c r="A9456" s="165"/>
      <c r="B9456" s="171"/>
      <c r="C9456" s="165"/>
    </row>
    <row r="9457" spans="1:3" ht="16.8">
      <c r="A9457" s="165"/>
      <c r="B9457" s="171"/>
      <c r="C9457" s="165"/>
    </row>
    <row r="9458" spans="1:3" ht="16.8">
      <c r="A9458" s="165"/>
      <c r="B9458" s="171"/>
      <c r="C9458" s="165"/>
    </row>
    <row r="9459" spans="1:3" ht="16.8">
      <c r="A9459" s="165"/>
      <c r="B9459" s="171"/>
      <c r="C9459" s="165"/>
    </row>
    <row r="9460" spans="1:3" ht="16.8">
      <c r="A9460" s="165"/>
      <c r="B9460" s="171"/>
      <c r="C9460" s="165"/>
    </row>
    <row r="9461" spans="1:3" ht="16.8">
      <c r="A9461" s="165"/>
      <c r="B9461" s="171"/>
      <c r="C9461" s="165"/>
    </row>
    <row r="9462" spans="1:3" ht="16.8">
      <c r="A9462" s="165"/>
      <c r="B9462" s="171"/>
      <c r="C9462" s="165"/>
    </row>
    <row r="9463" spans="1:3" ht="16.8">
      <c r="A9463" s="165"/>
      <c r="B9463" s="171"/>
      <c r="C9463" s="165"/>
    </row>
    <row r="9464" spans="1:3" ht="16.8">
      <c r="A9464" s="165"/>
      <c r="B9464" s="171"/>
      <c r="C9464" s="165"/>
    </row>
    <row r="9465" spans="1:3" ht="16.8">
      <c r="A9465" s="165"/>
      <c r="B9465" s="171"/>
      <c r="C9465" s="165"/>
    </row>
    <row r="9466" spans="1:3" ht="16.8">
      <c r="A9466" s="165"/>
      <c r="B9466" s="171"/>
      <c r="C9466" s="165"/>
    </row>
    <row r="9467" spans="1:3" ht="16.8">
      <c r="A9467" s="165"/>
      <c r="B9467" s="171"/>
      <c r="C9467" s="165"/>
    </row>
    <row r="9468" spans="1:3" ht="16.8">
      <c r="A9468" s="165"/>
      <c r="B9468" s="171"/>
      <c r="C9468" s="165"/>
    </row>
    <row r="9469" spans="1:3" ht="16.8">
      <c r="A9469" s="165"/>
      <c r="B9469" s="171"/>
      <c r="C9469" s="165"/>
    </row>
    <row r="9470" spans="1:3" ht="16.8">
      <c r="A9470" s="165"/>
      <c r="B9470" s="171"/>
      <c r="C9470" s="165"/>
    </row>
    <row r="9471" spans="1:3" ht="16.8">
      <c r="A9471" s="165"/>
      <c r="B9471" s="171"/>
      <c r="C9471" s="165"/>
    </row>
    <row r="9472" spans="1:3" ht="16.8">
      <c r="A9472" s="165"/>
      <c r="B9472" s="171"/>
      <c r="C9472" s="165"/>
    </row>
    <row r="9473" spans="1:3" ht="16.8">
      <c r="A9473" s="165"/>
      <c r="B9473" s="171"/>
      <c r="C9473" s="165"/>
    </row>
    <row r="9474" spans="1:3" ht="16.8">
      <c r="A9474" s="165"/>
      <c r="B9474" s="171"/>
      <c r="C9474" s="165"/>
    </row>
    <row r="9475" spans="1:3" ht="16.8">
      <c r="A9475" s="165"/>
      <c r="B9475" s="171"/>
      <c r="C9475" s="165"/>
    </row>
    <row r="9476" spans="1:3" ht="16.8">
      <c r="A9476" s="165"/>
      <c r="B9476" s="171"/>
      <c r="C9476" s="165"/>
    </row>
    <row r="9477" spans="1:3" ht="16.8">
      <c r="A9477" s="165"/>
      <c r="B9477" s="171"/>
      <c r="C9477" s="165"/>
    </row>
    <row r="9478" spans="1:3" ht="16.8">
      <c r="A9478" s="165"/>
      <c r="B9478" s="171"/>
      <c r="C9478" s="165"/>
    </row>
    <row r="9479" spans="1:3" ht="16.8">
      <c r="A9479" s="165"/>
      <c r="B9479" s="171"/>
      <c r="C9479" s="165"/>
    </row>
    <row r="9480" spans="1:3" ht="16.8">
      <c r="A9480" s="165"/>
      <c r="B9480" s="171"/>
      <c r="C9480" s="165"/>
    </row>
    <row r="9481" spans="1:3" ht="16.8">
      <c r="A9481" s="165"/>
      <c r="B9481" s="171"/>
      <c r="C9481" s="165"/>
    </row>
    <row r="9482" spans="1:3" ht="16.8">
      <c r="A9482" s="165"/>
      <c r="B9482" s="171"/>
      <c r="C9482" s="165"/>
    </row>
    <row r="9483" spans="1:3" ht="16.8">
      <c r="A9483" s="165"/>
      <c r="B9483" s="171"/>
      <c r="C9483" s="165"/>
    </row>
    <row r="9484" spans="1:3" ht="16.8">
      <c r="A9484" s="165"/>
      <c r="B9484" s="171"/>
      <c r="C9484" s="165"/>
    </row>
    <row r="9485" spans="1:3" ht="16.8">
      <c r="A9485" s="165"/>
      <c r="B9485" s="171"/>
      <c r="C9485" s="165"/>
    </row>
    <row r="9486" spans="1:3" ht="16.8">
      <c r="A9486" s="165"/>
      <c r="B9486" s="171"/>
      <c r="C9486" s="165"/>
    </row>
    <row r="9487" spans="1:3" ht="16.8">
      <c r="A9487" s="165"/>
      <c r="B9487" s="171"/>
      <c r="C9487" s="165"/>
    </row>
    <row r="9488" spans="1:3" ht="16.8">
      <c r="A9488" s="165"/>
      <c r="B9488" s="171"/>
      <c r="C9488" s="165"/>
    </row>
    <row r="9489" spans="1:3" ht="16.8">
      <c r="A9489" s="165"/>
      <c r="B9489" s="171"/>
      <c r="C9489" s="165"/>
    </row>
    <row r="9490" spans="1:3" ht="16.8">
      <c r="A9490" s="165"/>
      <c r="B9490" s="171"/>
      <c r="C9490" s="165"/>
    </row>
    <row r="9491" spans="1:3" ht="16.8">
      <c r="A9491" s="165"/>
      <c r="B9491" s="171"/>
      <c r="C9491" s="165"/>
    </row>
    <row r="9492" spans="1:3" ht="16.8">
      <c r="A9492" s="165"/>
      <c r="B9492" s="171"/>
      <c r="C9492" s="165"/>
    </row>
    <row r="9493" spans="1:3" ht="16.8">
      <c r="A9493" s="165"/>
      <c r="B9493" s="171"/>
      <c r="C9493" s="165"/>
    </row>
    <row r="9494" spans="1:3" ht="16.8">
      <c r="A9494" s="165"/>
      <c r="B9494" s="171"/>
      <c r="C9494" s="165"/>
    </row>
    <row r="9495" spans="1:3" ht="16.8">
      <c r="A9495" s="165"/>
      <c r="B9495" s="171"/>
      <c r="C9495" s="165"/>
    </row>
    <row r="9496" spans="1:3" ht="16.8">
      <c r="A9496" s="165"/>
      <c r="B9496" s="171"/>
      <c r="C9496" s="165"/>
    </row>
    <row r="9497" spans="1:3" ht="16.8">
      <c r="A9497" s="165"/>
      <c r="B9497" s="171"/>
      <c r="C9497" s="165"/>
    </row>
    <row r="9498" spans="1:3" ht="16.8">
      <c r="A9498" s="165"/>
      <c r="B9498" s="171"/>
      <c r="C9498" s="165"/>
    </row>
    <row r="9499" spans="1:3" ht="16.8">
      <c r="A9499" s="165"/>
      <c r="B9499" s="171"/>
      <c r="C9499" s="165"/>
    </row>
    <row r="9500" spans="1:3" ht="16.8">
      <c r="A9500" s="165"/>
      <c r="B9500" s="171"/>
      <c r="C9500" s="165"/>
    </row>
    <row r="9501" spans="1:3" ht="16.8">
      <c r="A9501" s="165"/>
      <c r="B9501" s="171"/>
      <c r="C9501" s="165"/>
    </row>
    <row r="9502" spans="1:3" ht="16.8">
      <c r="A9502" s="165"/>
      <c r="B9502" s="171"/>
      <c r="C9502" s="165"/>
    </row>
    <row r="9503" spans="1:3" ht="16.8">
      <c r="A9503" s="165"/>
      <c r="B9503" s="171"/>
      <c r="C9503" s="165"/>
    </row>
    <row r="9504" spans="1:3" ht="16.8">
      <c r="A9504" s="165"/>
      <c r="B9504" s="171"/>
      <c r="C9504" s="165"/>
    </row>
    <row r="9505" spans="1:3" ht="16.8">
      <c r="A9505" s="165"/>
      <c r="B9505" s="171"/>
      <c r="C9505" s="165"/>
    </row>
    <row r="9506" spans="1:3" ht="16.8">
      <c r="A9506" s="165"/>
      <c r="B9506" s="171"/>
      <c r="C9506" s="165"/>
    </row>
    <row r="9507" spans="1:3" ht="16.8">
      <c r="A9507" s="165"/>
      <c r="B9507" s="171"/>
      <c r="C9507" s="165"/>
    </row>
    <row r="9508" spans="1:3" ht="16.8">
      <c r="A9508" s="165"/>
      <c r="B9508" s="171"/>
      <c r="C9508" s="165"/>
    </row>
    <row r="9509" spans="1:3" ht="16.8">
      <c r="A9509" s="165"/>
      <c r="B9509" s="171"/>
      <c r="C9509" s="165"/>
    </row>
    <row r="9510" spans="1:3" ht="16.8">
      <c r="A9510" s="165"/>
      <c r="B9510" s="171"/>
      <c r="C9510" s="165"/>
    </row>
    <row r="9511" spans="1:3" ht="16.8">
      <c r="A9511" s="165"/>
      <c r="B9511" s="171"/>
      <c r="C9511" s="165"/>
    </row>
    <row r="9512" spans="1:3" ht="16.8">
      <c r="A9512" s="165"/>
      <c r="B9512" s="171"/>
      <c r="C9512" s="165"/>
    </row>
    <row r="9513" spans="1:3" ht="16.8">
      <c r="A9513" s="165"/>
      <c r="B9513" s="171"/>
      <c r="C9513" s="165"/>
    </row>
    <row r="9514" spans="1:3" ht="16.8">
      <c r="A9514" s="165"/>
      <c r="B9514" s="171"/>
      <c r="C9514" s="165"/>
    </row>
    <row r="9515" spans="1:3" ht="16.8">
      <c r="A9515" s="165"/>
      <c r="B9515" s="171"/>
      <c r="C9515" s="165"/>
    </row>
    <row r="9516" spans="1:3" ht="16.8">
      <c r="A9516" s="165"/>
      <c r="B9516" s="171"/>
      <c r="C9516" s="165"/>
    </row>
    <row r="9517" spans="1:3" ht="16.8">
      <c r="A9517" s="165"/>
      <c r="B9517" s="171"/>
      <c r="C9517" s="165"/>
    </row>
    <row r="9518" spans="1:3" ht="16.8">
      <c r="A9518" s="165"/>
      <c r="B9518" s="171"/>
      <c r="C9518" s="165"/>
    </row>
    <row r="9519" spans="1:3" ht="16.8">
      <c r="A9519" s="165"/>
      <c r="B9519" s="171"/>
      <c r="C9519" s="165"/>
    </row>
    <row r="9520" spans="1:3" ht="16.8">
      <c r="A9520" s="165"/>
      <c r="B9520" s="171"/>
      <c r="C9520" s="165"/>
    </row>
    <row r="9521" spans="1:3" ht="16.8">
      <c r="A9521" s="165"/>
      <c r="B9521" s="171"/>
      <c r="C9521" s="165"/>
    </row>
    <row r="9522" spans="1:3" ht="16.8">
      <c r="A9522" s="165"/>
      <c r="B9522" s="171"/>
      <c r="C9522" s="165"/>
    </row>
    <row r="9523" spans="1:3" ht="16.8">
      <c r="A9523" s="165"/>
      <c r="B9523" s="171"/>
      <c r="C9523" s="165"/>
    </row>
    <row r="9524" spans="1:3" ht="16.8">
      <c r="A9524" s="165"/>
      <c r="B9524" s="171"/>
      <c r="C9524" s="165"/>
    </row>
    <row r="9525" spans="1:3" ht="16.8">
      <c r="A9525" s="165"/>
      <c r="B9525" s="171"/>
      <c r="C9525" s="165"/>
    </row>
    <row r="9526" spans="1:3" ht="16.8">
      <c r="A9526" s="165"/>
      <c r="B9526" s="171"/>
      <c r="C9526" s="165"/>
    </row>
    <row r="9527" spans="1:3" ht="16.8">
      <c r="A9527" s="165"/>
      <c r="B9527" s="171"/>
      <c r="C9527" s="165"/>
    </row>
    <row r="9528" spans="1:3" ht="16.8">
      <c r="A9528" s="165"/>
      <c r="B9528" s="171"/>
      <c r="C9528" s="165"/>
    </row>
    <row r="9529" spans="1:3" ht="16.8">
      <c r="A9529" s="165"/>
      <c r="B9529" s="171"/>
      <c r="C9529" s="165"/>
    </row>
    <row r="9530" spans="1:3" ht="16.8">
      <c r="A9530" s="165"/>
      <c r="B9530" s="171"/>
      <c r="C9530" s="165"/>
    </row>
    <row r="9531" spans="1:3" ht="16.8">
      <c r="A9531" s="165"/>
      <c r="B9531" s="171"/>
      <c r="C9531" s="165"/>
    </row>
    <row r="9532" spans="1:3" ht="16.8">
      <c r="A9532" s="165"/>
      <c r="B9532" s="171"/>
      <c r="C9532" s="165"/>
    </row>
    <row r="9533" spans="1:3" ht="16.8">
      <c r="A9533" s="165"/>
      <c r="B9533" s="171"/>
      <c r="C9533" s="165"/>
    </row>
    <row r="9534" spans="1:3" ht="16.8">
      <c r="A9534" s="165"/>
      <c r="B9534" s="171"/>
      <c r="C9534" s="165"/>
    </row>
    <row r="9535" spans="1:3" ht="16.8">
      <c r="A9535" s="165"/>
      <c r="B9535" s="171"/>
      <c r="C9535" s="165"/>
    </row>
    <row r="9536" spans="1:3" ht="16.8">
      <c r="A9536" s="165"/>
      <c r="B9536" s="171"/>
      <c r="C9536" s="165"/>
    </row>
    <row r="9537" spans="1:3" ht="16.8">
      <c r="A9537" s="165"/>
      <c r="B9537" s="171"/>
      <c r="C9537" s="165"/>
    </row>
    <row r="9538" spans="1:3" ht="16.8">
      <c r="A9538" s="165"/>
      <c r="B9538" s="171"/>
      <c r="C9538" s="165"/>
    </row>
    <row r="9539" spans="1:3" ht="16.8">
      <c r="A9539" s="165"/>
      <c r="B9539" s="171"/>
      <c r="C9539" s="165"/>
    </row>
    <row r="9540" spans="1:3" ht="16.8">
      <c r="A9540" s="165"/>
      <c r="B9540" s="171"/>
      <c r="C9540" s="165"/>
    </row>
    <row r="9541" spans="1:3" ht="16.8">
      <c r="A9541" s="165"/>
      <c r="B9541" s="171"/>
      <c r="C9541" s="165"/>
    </row>
    <row r="9542" spans="1:3" ht="16.8">
      <c r="A9542" s="165"/>
      <c r="B9542" s="171"/>
      <c r="C9542" s="165"/>
    </row>
    <row r="9543" spans="1:3" ht="16.8">
      <c r="A9543" s="165"/>
      <c r="B9543" s="171"/>
      <c r="C9543" s="165"/>
    </row>
    <row r="9544" spans="1:3" ht="16.8">
      <c r="A9544" s="165"/>
      <c r="B9544" s="171"/>
      <c r="C9544" s="165"/>
    </row>
    <row r="9545" spans="1:3" ht="16.8">
      <c r="A9545" s="165"/>
      <c r="B9545" s="171"/>
      <c r="C9545" s="165"/>
    </row>
    <row r="9546" spans="1:3" ht="16.8">
      <c r="A9546" s="165"/>
      <c r="B9546" s="171"/>
      <c r="C9546" s="165"/>
    </row>
    <row r="9547" spans="1:3" ht="16.8">
      <c r="A9547" s="165"/>
      <c r="B9547" s="171"/>
      <c r="C9547" s="165"/>
    </row>
    <row r="9548" spans="1:3" ht="16.8">
      <c r="A9548" s="165"/>
      <c r="B9548" s="171"/>
      <c r="C9548" s="165"/>
    </row>
    <row r="9549" spans="1:3" ht="16.8">
      <c r="A9549" s="165"/>
      <c r="B9549" s="171"/>
      <c r="C9549" s="165"/>
    </row>
    <row r="9550" spans="1:3" ht="16.8">
      <c r="A9550" s="165"/>
      <c r="B9550" s="171"/>
      <c r="C9550" s="165"/>
    </row>
    <row r="9551" spans="1:3" ht="16.8">
      <c r="A9551" s="165"/>
      <c r="B9551" s="171"/>
      <c r="C9551" s="165"/>
    </row>
    <row r="9552" spans="1:3" ht="16.8">
      <c r="A9552" s="165"/>
      <c r="B9552" s="171"/>
      <c r="C9552" s="165"/>
    </row>
    <row r="9553" spans="1:3" ht="16.8">
      <c r="A9553" s="165"/>
      <c r="B9553" s="171"/>
      <c r="C9553" s="165"/>
    </row>
    <row r="9554" spans="1:3" ht="16.8">
      <c r="A9554" s="165"/>
      <c r="B9554" s="171"/>
      <c r="C9554" s="165"/>
    </row>
    <row r="9555" spans="1:3" ht="16.8">
      <c r="A9555" s="165"/>
      <c r="B9555" s="171"/>
      <c r="C9555" s="165"/>
    </row>
    <row r="9556" spans="1:3" ht="16.8">
      <c r="A9556" s="165"/>
      <c r="B9556" s="171"/>
      <c r="C9556" s="165"/>
    </row>
    <row r="9557" spans="1:3" ht="16.8">
      <c r="A9557" s="165"/>
      <c r="B9557" s="171"/>
      <c r="C9557" s="165"/>
    </row>
    <row r="9558" spans="1:3" ht="16.8">
      <c r="A9558" s="165"/>
      <c r="B9558" s="171"/>
      <c r="C9558" s="165"/>
    </row>
    <row r="9559" spans="1:3" ht="16.8">
      <c r="A9559" s="165"/>
      <c r="B9559" s="171"/>
      <c r="C9559" s="165"/>
    </row>
    <row r="9560" spans="1:3" ht="16.8">
      <c r="A9560" s="165"/>
      <c r="B9560" s="171"/>
      <c r="C9560" s="165"/>
    </row>
    <row r="9561" spans="1:3" ht="16.8">
      <c r="A9561" s="165"/>
      <c r="B9561" s="171"/>
      <c r="C9561" s="165"/>
    </row>
    <row r="9562" spans="1:3" ht="16.8">
      <c r="A9562" s="165"/>
      <c r="B9562" s="171"/>
      <c r="C9562" s="165"/>
    </row>
    <row r="9563" spans="1:3" ht="16.8">
      <c r="A9563" s="165"/>
      <c r="B9563" s="171"/>
      <c r="C9563" s="165"/>
    </row>
    <row r="9564" spans="1:3" ht="16.8">
      <c r="A9564" s="165"/>
      <c r="B9564" s="171"/>
      <c r="C9564" s="165"/>
    </row>
    <row r="9565" spans="1:3" ht="16.8">
      <c r="A9565" s="165"/>
      <c r="B9565" s="171"/>
      <c r="C9565" s="165"/>
    </row>
    <row r="9566" spans="1:3" ht="16.8">
      <c r="A9566" s="165"/>
      <c r="B9566" s="171"/>
      <c r="C9566" s="165"/>
    </row>
    <row r="9567" spans="1:3" ht="16.8">
      <c r="A9567" s="165"/>
      <c r="B9567" s="171"/>
      <c r="C9567" s="165"/>
    </row>
    <row r="9568" spans="1:3" ht="16.8">
      <c r="A9568" s="165"/>
      <c r="B9568" s="171"/>
      <c r="C9568" s="165"/>
    </row>
    <row r="9569" spans="1:3" ht="16.8">
      <c r="A9569" s="165"/>
      <c r="B9569" s="171"/>
      <c r="C9569" s="165"/>
    </row>
    <row r="9570" spans="1:3" ht="16.8">
      <c r="A9570" s="165"/>
      <c r="B9570" s="171"/>
      <c r="C9570" s="165"/>
    </row>
    <row r="9571" spans="1:3" ht="16.8">
      <c r="A9571" s="165"/>
      <c r="B9571" s="171"/>
      <c r="C9571" s="165"/>
    </row>
    <row r="9572" spans="1:3" ht="16.8">
      <c r="A9572" s="165"/>
      <c r="B9572" s="171"/>
      <c r="C9572" s="165"/>
    </row>
    <row r="9573" spans="1:3" ht="16.8">
      <c r="A9573" s="165"/>
      <c r="B9573" s="171"/>
      <c r="C9573" s="165"/>
    </row>
    <row r="9574" spans="1:3" ht="16.8">
      <c r="A9574" s="165"/>
      <c r="B9574" s="171"/>
      <c r="C9574" s="165"/>
    </row>
    <row r="9575" spans="1:3" ht="16.8">
      <c r="A9575" s="165"/>
      <c r="B9575" s="171"/>
      <c r="C9575" s="165"/>
    </row>
    <row r="9576" spans="1:3" ht="16.8">
      <c r="A9576" s="165"/>
      <c r="B9576" s="171"/>
      <c r="C9576" s="165"/>
    </row>
    <row r="9577" spans="1:3" ht="16.8">
      <c r="A9577" s="165"/>
      <c r="B9577" s="171"/>
      <c r="C9577" s="165"/>
    </row>
    <row r="9578" spans="1:3" ht="16.8">
      <c r="A9578" s="165"/>
      <c r="B9578" s="171"/>
      <c r="C9578" s="165"/>
    </row>
    <row r="9579" spans="1:3" ht="16.8">
      <c r="A9579" s="165"/>
      <c r="B9579" s="171"/>
      <c r="C9579" s="165"/>
    </row>
    <row r="9580" spans="1:3" ht="16.8">
      <c r="A9580" s="165"/>
      <c r="B9580" s="171"/>
      <c r="C9580" s="165"/>
    </row>
    <row r="9581" spans="1:3" ht="16.8">
      <c r="A9581" s="165"/>
      <c r="B9581" s="171"/>
      <c r="C9581" s="165"/>
    </row>
    <row r="9582" spans="1:3" ht="16.8">
      <c r="A9582" s="165"/>
      <c r="B9582" s="171"/>
      <c r="C9582" s="165"/>
    </row>
    <row r="9583" spans="1:3" ht="16.8">
      <c r="A9583" s="165"/>
      <c r="B9583" s="171"/>
      <c r="C9583" s="165"/>
    </row>
    <row r="9584" spans="1:3" ht="16.8">
      <c r="A9584" s="165"/>
      <c r="B9584" s="171"/>
      <c r="C9584" s="165"/>
    </row>
    <row r="9585" spans="1:3" ht="16.8">
      <c r="A9585" s="165"/>
      <c r="B9585" s="171"/>
      <c r="C9585" s="165"/>
    </row>
    <row r="9586" spans="1:3" ht="16.8">
      <c r="A9586" s="165"/>
      <c r="B9586" s="171"/>
      <c r="C9586" s="165"/>
    </row>
    <row r="9587" spans="1:3" ht="16.8">
      <c r="A9587" s="165"/>
      <c r="B9587" s="171"/>
      <c r="C9587" s="165"/>
    </row>
    <row r="9588" spans="1:3" ht="16.8">
      <c r="A9588" s="165"/>
      <c r="B9588" s="171"/>
      <c r="C9588" s="165"/>
    </row>
    <row r="9589" spans="1:3" ht="16.8">
      <c r="A9589" s="165"/>
      <c r="B9589" s="171"/>
      <c r="C9589" s="165"/>
    </row>
    <row r="9590" spans="1:3" ht="16.8">
      <c r="A9590" s="165"/>
      <c r="B9590" s="171"/>
      <c r="C9590" s="165"/>
    </row>
    <row r="9591" spans="1:3" ht="16.8">
      <c r="A9591" s="165"/>
      <c r="B9591" s="171"/>
      <c r="C9591" s="165"/>
    </row>
    <row r="9592" spans="1:3" ht="16.8">
      <c r="A9592" s="165"/>
      <c r="B9592" s="171"/>
      <c r="C9592" s="165"/>
    </row>
    <row r="9593" spans="1:3" ht="16.8">
      <c r="A9593" s="165"/>
      <c r="B9593" s="171"/>
      <c r="C9593" s="165"/>
    </row>
    <row r="9594" spans="1:3" ht="16.8">
      <c r="A9594" s="165"/>
      <c r="B9594" s="171"/>
      <c r="C9594" s="165"/>
    </row>
    <row r="9595" spans="1:3" ht="16.8">
      <c r="A9595" s="165"/>
      <c r="B9595" s="171"/>
      <c r="C9595" s="165"/>
    </row>
    <row r="9596" spans="1:3" ht="16.8">
      <c r="A9596" s="165"/>
      <c r="B9596" s="171"/>
      <c r="C9596" s="165"/>
    </row>
    <row r="9597" spans="1:3" ht="16.8">
      <c r="A9597" s="165"/>
      <c r="B9597" s="171"/>
      <c r="C9597" s="165"/>
    </row>
    <row r="9598" spans="1:3" ht="16.8">
      <c r="A9598" s="165"/>
      <c r="B9598" s="171"/>
      <c r="C9598" s="165"/>
    </row>
    <row r="9599" spans="1:3" ht="16.8">
      <c r="A9599" s="165"/>
      <c r="B9599" s="171"/>
      <c r="C9599" s="165"/>
    </row>
    <row r="9600" spans="1:3" ht="16.8">
      <c r="A9600" s="165"/>
      <c r="B9600" s="171"/>
      <c r="C9600" s="165"/>
    </row>
    <row r="9601" spans="1:3" ht="16.8">
      <c r="A9601" s="165"/>
      <c r="B9601" s="171"/>
      <c r="C9601" s="165"/>
    </row>
    <row r="9602" spans="1:3" ht="16.8">
      <c r="A9602" s="165"/>
      <c r="B9602" s="171"/>
      <c r="C9602" s="165"/>
    </row>
    <row r="9603" spans="1:3" ht="16.8">
      <c r="A9603" s="165"/>
      <c r="B9603" s="171"/>
      <c r="C9603" s="165"/>
    </row>
    <row r="9604" spans="1:3" ht="16.8">
      <c r="A9604" s="165"/>
      <c r="B9604" s="171"/>
      <c r="C9604" s="165"/>
    </row>
    <row r="9605" spans="1:3" ht="16.8">
      <c r="A9605" s="165"/>
      <c r="B9605" s="171"/>
      <c r="C9605" s="165"/>
    </row>
    <row r="9606" spans="1:3" ht="16.8">
      <c r="A9606" s="165"/>
      <c r="B9606" s="171"/>
      <c r="C9606" s="165"/>
    </row>
    <row r="9607" spans="1:3" ht="16.8">
      <c r="A9607" s="165"/>
      <c r="B9607" s="171"/>
      <c r="C9607" s="165"/>
    </row>
    <row r="9608" spans="1:3" ht="16.8">
      <c r="A9608" s="165"/>
      <c r="B9608" s="171"/>
      <c r="C9608" s="165"/>
    </row>
    <row r="9609" spans="1:3" ht="16.8">
      <c r="A9609" s="165"/>
      <c r="B9609" s="171"/>
      <c r="C9609" s="165"/>
    </row>
    <row r="9610" spans="1:3" ht="16.8">
      <c r="A9610" s="165"/>
      <c r="B9610" s="171"/>
      <c r="C9610" s="165"/>
    </row>
    <row r="9611" spans="1:3" ht="16.8">
      <c r="A9611" s="165"/>
      <c r="B9611" s="171"/>
      <c r="C9611" s="165"/>
    </row>
    <row r="9612" spans="1:3" ht="16.8">
      <c r="A9612" s="165"/>
      <c r="B9612" s="171"/>
      <c r="C9612" s="165"/>
    </row>
    <row r="9613" spans="1:3" ht="16.8">
      <c r="A9613" s="165"/>
      <c r="B9613" s="171"/>
      <c r="C9613" s="165"/>
    </row>
    <row r="9614" spans="1:3" ht="16.8">
      <c r="A9614" s="165"/>
      <c r="B9614" s="171"/>
      <c r="C9614" s="165"/>
    </row>
    <row r="9615" spans="1:3" ht="16.8">
      <c r="A9615" s="165"/>
      <c r="B9615" s="171"/>
      <c r="C9615" s="165"/>
    </row>
    <row r="9616" spans="1:3" ht="16.8">
      <c r="A9616" s="165"/>
      <c r="B9616" s="171"/>
      <c r="C9616" s="165"/>
    </row>
    <row r="9617" spans="1:3" ht="16.8">
      <c r="A9617" s="165"/>
      <c r="B9617" s="171"/>
      <c r="C9617" s="165"/>
    </row>
    <row r="9618" spans="1:3" ht="16.8">
      <c r="A9618" s="165"/>
      <c r="B9618" s="171"/>
      <c r="C9618" s="165"/>
    </row>
    <row r="9619" spans="1:3" ht="16.8">
      <c r="A9619" s="165"/>
      <c r="B9619" s="171"/>
      <c r="C9619" s="165"/>
    </row>
    <row r="9620" spans="1:3" ht="16.8">
      <c r="A9620" s="165"/>
      <c r="B9620" s="171"/>
      <c r="C9620" s="165"/>
    </row>
    <row r="9621" spans="1:3" ht="16.8">
      <c r="A9621" s="165"/>
      <c r="B9621" s="171"/>
      <c r="C9621" s="165"/>
    </row>
    <row r="9622" spans="1:3" ht="16.8">
      <c r="A9622" s="165"/>
      <c r="B9622" s="171"/>
      <c r="C9622" s="165"/>
    </row>
    <row r="9623" spans="1:3" ht="16.8">
      <c r="A9623" s="165"/>
      <c r="B9623" s="171"/>
      <c r="C9623" s="165"/>
    </row>
    <row r="9624" spans="1:3" ht="16.8">
      <c r="A9624" s="165"/>
      <c r="B9624" s="171"/>
      <c r="C9624" s="165"/>
    </row>
    <row r="9625" spans="1:3" ht="16.8">
      <c r="A9625" s="165"/>
      <c r="B9625" s="171"/>
      <c r="C9625" s="165"/>
    </row>
    <row r="9626" spans="1:3" ht="16.8">
      <c r="A9626" s="165"/>
      <c r="B9626" s="171"/>
      <c r="C9626" s="165"/>
    </row>
    <row r="9627" spans="1:3" ht="16.8">
      <c r="A9627" s="165"/>
      <c r="B9627" s="171"/>
      <c r="C9627" s="165"/>
    </row>
    <row r="9628" spans="1:3" ht="16.8">
      <c r="A9628" s="165"/>
      <c r="B9628" s="171"/>
      <c r="C9628" s="165"/>
    </row>
    <row r="9629" spans="1:3" ht="16.8">
      <c r="A9629" s="165"/>
      <c r="B9629" s="171"/>
      <c r="C9629" s="165"/>
    </row>
    <row r="9630" spans="1:3" ht="16.8">
      <c r="A9630" s="165"/>
      <c r="B9630" s="171"/>
      <c r="C9630" s="165"/>
    </row>
    <row r="9631" spans="1:3" ht="16.8">
      <c r="A9631" s="165"/>
      <c r="B9631" s="171"/>
      <c r="C9631" s="165"/>
    </row>
    <row r="9632" spans="1:3" ht="16.8">
      <c r="A9632" s="165"/>
      <c r="B9632" s="171"/>
      <c r="C9632" s="165"/>
    </row>
    <row r="9633" spans="1:3" ht="16.8">
      <c r="A9633" s="165"/>
      <c r="B9633" s="171"/>
      <c r="C9633" s="165"/>
    </row>
    <row r="9634" spans="1:3" ht="16.8">
      <c r="A9634" s="165"/>
      <c r="B9634" s="171"/>
      <c r="C9634" s="165"/>
    </row>
    <row r="9635" spans="1:3" ht="16.8">
      <c r="A9635" s="165"/>
      <c r="B9635" s="171"/>
      <c r="C9635" s="165"/>
    </row>
    <row r="9636" spans="1:3" ht="16.8">
      <c r="A9636" s="165"/>
      <c r="B9636" s="171"/>
      <c r="C9636" s="165"/>
    </row>
    <row r="9637" spans="1:3" ht="16.8">
      <c r="A9637" s="165"/>
      <c r="B9637" s="171"/>
      <c r="C9637" s="165"/>
    </row>
    <row r="9638" spans="1:3" ht="16.8">
      <c r="A9638" s="165"/>
      <c r="B9638" s="171"/>
      <c r="C9638" s="165"/>
    </row>
    <row r="9639" spans="1:3" ht="16.8">
      <c r="A9639" s="165"/>
      <c r="B9639" s="171"/>
      <c r="C9639" s="165"/>
    </row>
    <row r="9640" spans="1:3" ht="16.8">
      <c r="A9640" s="165"/>
      <c r="B9640" s="171"/>
      <c r="C9640" s="165"/>
    </row>
    <row r="9641" spans="1:3" ht="16.8">
      <c r="A9641" s="165"/>
      <c r="B9641" s="171"/>
      <c r="C9641" s="165"/>
    </row>
    <row r="9642" spans="1:3" ht="16.8">
      <c r="A9642" s="165"/>
      <c r="B9642" s="171"/>
      <c r="C9642" s="165"/>
    </row>
    <row r="9643" spans="1:3" ht="16.8">
      <c r="A9643" s="165"/>
      <c r="B9643" s="171"/>
      <c r="C9643" s="165"/>
    </row>
    <row r="9644" spans="1:3" ht="16.8">
      <c r="A9644" s="165"/>
      <c r="B9644" s="171"/>
      <c r="C9644" s="165"/>
    </row>
    <row r="9645" spans="1:3" ht="16.8">
      <c r="A9645" s="165"/>
      <c r="B9645" s="171"/>
      <c r="C9645" s="165"/>
    </row>
    <row r="9646" spans="1:3" ht="16.8">
      <c r="A9646" s="165"/>
      <c r="B9646" s="171"/>
      <c r="C9646" s="165"/>
    </row>
    <row r="9647" spans="1:3" ht="16.8">
      <c r="A9647" s="165"/>
      <c r="B9647" s="171"/>
      <c r="C9647" s="165"/>
    </row>
    <row r="9648" spans="1:3" ht="16.8">
      <c r="A9648" s="165"/>
      <c r="B9648" s="171"/>
      <c r="C9648" s="165"/>
    </row>
    <row r="9649" spans="1:3" ht="16.8">
      <c r="A9649" s="165"/>
      <c r="B9649" s="171"/>
      <c r="C9649" s="165"/>
    </row>
    <row r="9650" spans="1:3" ht="16.8">
      <c r="A9650" s="165"/>
      <c r="B9650" s="171"/>
      <c r="C9650" s="165"/>
    </row>
    <row r="9651" spans="1:3" ht="16.8">
      <c r="A9651" s="165"/>
      <c r="B9651" s="171"/>
      <c r="C9651" s="165"/>
    </row>
    <row r="9652" spans="1:3" ht="16.8">
      <c r="A9652" s="165"/>
      <c r="B9652" s="171"/>
      <c r="C9652" s="165"/>
    </row>
    <row r="9653" spans="1:3" ht="16.8">
      <c r="A9653" s="165"/>
      <c r="B9653" s="171"/>
      <c r="C9653" s="165"/>
    </row>
    <row r="9654" spans="1:3" ht="16.8">
      <c r="A9654" s="165"/>
      <c r="B9654" s="171"/>
      <c r="C9654" s="165"/>
    </row>
    <row r="9655" spans="1:3" ht="16.8">
      <c r="A9655" s="165"/>
      <c r="B9655" s="171"/>
      <c r="C9655" s="165"/>
    </row>
    <row r="9656" spans="1:3" ht="16.8">
      <c r="A9656" s="165"/>
      <c r="B9656" s="171"/>
      <c r="C9656" s="165"/>
    </row>
    <row r="9657" spans="1:3" ht="16.8">
      <c r="A9657" s="165"/>
      <c r="B9657" s="171"/>
      <c r="C9657" s="165"/>
    </row>
    <row r="9658" spans="1:3" ht="16.8">
      <c r="A9658" s="165"/>
      <c r="B9658" s="171"/>
      <c r="C9658" s="165"/>
    </row>
    <row r="9659" spans="1:3" ht="16.8">
      <c r="A9659" s="165"/>
      <c r="B9659" s="171"/>
      <c r="C9659" s="165"/>
    </row>
    <row r="9660" spans="1:3" ht="16.8">
      <c r="A9660" s="165"/>
      <c r="B9660" s="171"/>
      <c r="C9660" s="165"/>
    </row>
    <row r="9661" spans="1:3" ht="16.8">
      <c r="A9661" s="165"/>
      <c r="B9661" s="171"/>
      <c r="C9661" s="165"/>
    </row>
    <row r="9662" spans="1:3" ht="16.8">
      <c r="A9662" s="165"/>
      <c r="B9662" s="171"/>
      <c r="C9662" s="165"/>
    </row>
    <row r="9663" spans="1:3" ht="16.8">
      <c r="A9663" s="165"/>
      <c r="B9663" s="171"/>
      <c r="C9663" s="165"/>
    </row>
    <row r="9664" spans="1:3" ht="16.8">
      <c r="A9664" s="165"/>
      <c r="B9664" s="171"/>
      <c r="C9664" s="165"/>
    </row>
    <row r="9665" spans="1:3" ht="16.8">
      <c r="A9665" s="165"/>
      <c r="B9665" s="171"/>
      <c r="C9665" s="165"/>
    </row>
    <row r="9666" spans="1:3" ht="16.8">
      <c r="A9666" s="165"/>
      <c r="B9666" s="171"/>
      <c r="C9666" s="165"/>
    </row>
    <row r="9667" spans="1:3" ht="16.8">
      <c r="A9667" s="165"/>
      <c r="B9667" s="171"/>
      <c r="C9667" s="165"/>
    </row>
    <row r="9668" spans="1:3" ht="16.8">
      <c r="A9668" s="165"/>
      <c r="B9668" s="171"/>
      <c r="C9668" s="165"/>
    </row>
    <row r="9669" spans="1:3" ht="16.8">
      <c r="A9669" s="165"/>
      <c r="B9669" s="171"/>
      <c r="C9669" s="165"/>
    </row>
    <row r="9670" spans="1:3" ht="16.8">
      <c r="A9670" s="165"/>
      <c r="B9670" s="171"/>
      <c r="C9670" s="165"/>
    </row>
    <row r="9671" spans="1:3" ht="16.8">
      <c r="A9671" s="165"/>
      <c r="B9671" s="171"/>
      <c r="C9671" s="165"/>
    </row>
    <row r="9672" spans="1:3" ht="16.8">
      <c r="A9672" s="165"/>
      <c r="B9672" s="171"/>
      <c r="C9672" s="165"/>
    </row>
    <row r="9673" spans="1:3" ht="16.8">
      <c r="A9673" s="165"/>
      <c r="B9673" s="171"/>
      <c r="C9673" s="165"/>
    </row>
    <row r="9674" spans="1:3" ht="16.8">
      <c r="A9674" s="165"/>
      <c r="B9674" s="171"/>
      <c r="C9674" s="165"/>
    </row>
    <row r="9675" spans="1:3" ht="16.8">
      <c r="A9675" s="165"/>
      <c r="B9675" s="171"/>
      <c r="C9675" s="165"/>
    </row>
    <row r="9676" spans="1:3" ht="16.8">
      <c r="A9676" s="165"/>
      <c r="B9676" s="171"/>
      <c r="C9676" s="165"/>
    </row>
    <row r="9677" spans="1:3" ht="16.8">
      <c r="A9677" s="165"/>
      <c r="B9677" s="171"/>
      <c r="C9677" s="165"/>
    </row>
    <row r="9678" spans="1:3" ht="16.8">
      <c r="A9678" s="165"/>
      <c r="B9678" s="171"/>
      <c r="C9678" s="165"/>
    </row>
    <row r="9679" spans="1:3" ht="16.8">
      <c r="A9679" s="165"/>
      <c r="B9679" s="171"/>
      <c r="C9679" s="165"/>
    </row>
    <row r="9680" spans="1:3" ht="16.8">
      <c r="A9680" s="165"/>
      <c r="B9680" s="171"/>
      <c r="C9680" s="165"/>
    </row>
    <row r="9681" spans="1:3" ht="16.8">
      <c r="A9681" s="165"/>
      <c r="B9681" s="171"/>
      <c r="C9681" s="165"/>
    </row>
    <row r="9682" spans="1:3" ht="16.8">
      <c r="A9682" s="165"/>
      <c r="B9682" s="171"/>
      <c r="C9682" s="165"/>
    </row>
    <row r="9683" spans="1:3" ht="16.8">
      <c r="A9683" s="165"/>
      <c r="B9683" s="171"/>
      <c r="C9683" s="165"/>
    </row>
    <row r="9684" spans="1:3" ht="16.8">
      <c r="A9684" s="165"/>
      <c r="B9684" s="171"/>
      <c r="C9684" s="165"/>
    </row>
    <row r="9685" spans="1:3" ht="16.8">
      <c r="A9685" s="165"/>
      <c r="B9685" s="171"/>
      <c r="C9685" s="165"/>
    </row>
    <row r="9686" spans="1:3" ht="16.8">
      <c r="A9686" s="165"/>
      <c r="B9686" s="171"/>
      <c r="C9686" s="165"/>
    </row>
    <row r="9687" spans="1:3" ht="16.8">
      <c r="A9687" s="165"/>
      <c r="B9687" s="171"/>
      <c r="C9687" s="165"/>
    </row>
    <row r="9688" spans="1:3" ht="16.8">
      <c r="A9688" s="165"/>
      <c r="B9688" s="171"/>
      <c r="C9688" s="165"/>
    </row>
    <row r="9689" spans="1:3" ht="16.8">
      <c r="A9689" s="165"/>
      <c r="B9689" s="171"/>
      <c r="C9689" s="165"/>
    </row>
    <row r="9690" spans="1:3" ht="16.8">
      <c r="A9690" s="165"/>
      <c r="B9690" s="171"/>
      <c r="C9690" s="165"/>
    </row>
    <row r="9691" spans="1:3" ht="16.8">
      <c r="A9691" s="165"/>
      <c r="B9691" s="171"/>
      <c r="C9691" s="165"/>
    </row>
    <row r="9692" spans="1:3" ht="16.8">
      <c r="A9692" s="165"/>
      <c r="B9692" s="171"/>
      <c r="C9692" s="165"/>
    </row>
    <row r="9693" spans="1:3" ht="16.8">
      <c r="A9693" s="165"/>
      <c r="B9693" s="171"/>
      <c r="C9693" s="165"/>
    </row>
    <row r="9694" spans="1:3" ht="16.8">
      <c r="A9694" s="165"/>
      <c r="B9694" s="171"/>
      <c r="C9694" s="165"/>
    </row>
    <row r="9695" spans="1:3" ht="16.8">
      <c r="A9695" s="165"/>
      <c r="B9695" s="171"/>
      <c r="C9695" s="165"/>
    </row>
    <row r="9696" spans="1:3" ht="16.8">
      <c r="A9696" s="165"/>
      <c r="B9696" s="171"/>
      <c r="C9696" s="165"/>
    </row>
    <row r="9697" spans="1:3" ht="16.8">
      <c r="A9697" s="165"/>
      <c r="B9697" s="171"/>
      <c r="C9697" s="165"/>
    </row>
    <row r="9698" spans="1:3" ht="16.8">
      <c r="A9698" s="165"/>
      <c r="B9698" s="171"/>
      <c r="C9698" s="165"/>
    </row>
    <row r="9699" spans="1:3" ht="16.8">
      <c r="A9699" s="165"/>
      <c r="B9699" s="171"/>
      <c r="C9699" s="165"/>
    </row>
    <row r="9700" spans="1:3" ht="16.8">
      <c r="A9700" s="165"/>
      <c r="B9700" s="171"/>
      <c r="C9700" s="165"/>
    </row>
    <row r="9701" spans="1:3" ht="16.8">
      <c r="A9701" s="165"/>
      <c r="B9701" s="171"/>
      <c r="C9701" s="165"/>
    </row>
    <row r="9702" spans="1:3" ht="16.8">
      <c r="A9702" s="165"/>
      <c r="B9702" s="171"/>
      <c r="C9702" s="165"/>
    </row>
    <row r="9703" spans="1:3" ht="16.8">
      <c r="A9703" s="165"/>
      <c r="B9703" s="171"/>
      <c r="C9703" s="165"/>
    </row>
    <row r="9704" spans="1:3" ht="16.8">
      <c r="A9704" s="165"/>
      <c r="B9704" s="171"/>
      <c r="C9704" s="165"/>
    </row>
    <row r="9705" spans="1:3" ht="16.8">
      <c r="A9705" s="165"/>
      <c r="B9705" s="171"/>
      <c r="C9705" s="165"/>
    </row>
    <row r="9706" spans="1:3" ht="16.8">
      <c r="A9706" s="165"/>
      <c r="B9706" s="171"/>
      <c r="C9706" s="165"/>
    </row>
    <row r="9707" spans="1:3" ht="16.8">
      <c r="A9707" s="165"/>
      <c r="B9707" s="171"/>
      <c r="C9707" s="165"/>
    </row>
    <row r="9708" spans="1:3" ht="16.8">
      <c r="A9708" s="165"/>
      <c r="B9708" s="171"/>
      <c r="C9708" s="165"/>
    </row>
    <row r="9709" spans="1:3" ht="16.8">
      <c r="A9709" s="165"/>
      <c r="B9709" s="171"/>
      <c r="C9709" s="165"/>
    </row>
    <row r="9710" spans="1:3" ht="16.8">
      <c r="A9710" s="165"/>
      <c r="B9710" s="171"/>
      <c r="C9710" s="165"/>
    </row>
    <row r="9711" spans="1:3" ht="16.8">
      <c r="A9711" s="165"/>
      <c r="B9711" s="171"/>
      <c r="C9711" s="165"/>
    </row>
    <row r="9712" spans="1:3" ht="16.8">
      <c r="A9712" s="165"/>
      <c r="B9712" s="171"/>
      <c r="C9712" s="165"/>
    </row>
    <row r="9713" spans="1:3" ht="16.8">
      <c r="A9713" s="165"/>
      <c r="B9713" s="171"/>
      <c r="C9713" s="165"/>
    </row>
    <row r="9714" spans="1:3" ht="16.8">
      <c r="A9714" s="165"/>
      <c r="B9714" s="171"/>
      <c r="C9714" s="165"/>
    </row>
    <row r="9715" spans="1:3" ht="16.8">
      <c r="A9715" s="165"/>
      <c r="B9715" s="171"/>
      <c r="C9715" s="165"/>
    </row>
    <row r="9716" spans="1:3" ht="16.8">
      <c r="A9716" s="165"/>
      <c r="B9716" s="171"/>
      <c r="C9716" s="165"/>
    </row>
    <row r="9717" spans="1:3" ht="16.8">
      <c r="A9717" s="165"/>
      <c r="B9717" s="171"/>
      <c r="C9717" s="165"/>
    </row>
    <row r="9718" spans="1:3" ht="16.8">
      <c r="A9718" s="165"/>
      <c r="B9718" s="171"/>
      <c r="C9718" s="165"/>
    </row>
    <row r="9719" spans="1:3" ht="16.8">
      <c r="A9719" s="165"/>
      <c r="B9719" s="171"/>
      <c r="C9719" s="165"/>
    </row>
    <row r="9720" spans="1:3" ht="16.8">
      <c r="A9720" s="165"/>
      <c r="B9720" s="171"/>
      <c r="C9720" s="165"/>
    </row>
    <row r="9721" spans="1:3" ht="16.8">
      <c r="A9721" s="165"/>
      <c r="B9721" s="171"/>
      <c r="C9721" s="165"/>
    </row>
    <row r="9722" spans="1:3" ht="16.8">
      <c r="A9722" s="165"/>
      <c r="B9722" s="171"/>
      <c r="C9722" s="165"/>
    </row>
    <row r="9723" spans="1:3" ht="16.8">
      <c r="A9723" s="165"/>
      <c r="B9723" s="171"/>
      <c r="C9723" s="165"/>
    </row>
    <row r="9724" spans="1:3" ht="16.8">
      <c r="A9724" s="165"/>
      <c r="B9724" s="171"/>
      <c r="C9724" s="165"/>
    </row>
    <row r="9725" spans="1:3" ht="16.8">
      <c r="A9725" s="165"/>
      <c r="B9725" s="171"/>
      <c r="C9725" s="165"/>
    </row>
    <row r="9726" spans="1:3" ht="16.8">
      <c r="A9726" s="165"/>
      <c r="B9726" s="171"/>
      <c r="C9726" s="165"/>
    </row>
    <row r="9727" spans="1:3" ht="16.8">
      <c r="A9727" s="165"/>
      <c r="B9727" s="171"/>
      <c r="C9727" s="165"/>
    </row>
    <row r="9728" spans="1:3" ht="16.8">
      <c r="A9728" s="165"/>
      <c r="B9728" s="171"/>
      <c r="C9728" s="165"/>
    </row>
    <row r="9729" spans="1:3" ht="16.8">
      <c r="A9729" s="165"/>
      <c r="B9729" s="171"/>
      <c r="C9729" s="165"/>
    </row>
    <row r="9730" spans="1:3" ht="16.8">
      <c r="A9730" s="165"/>
      <c r="B9730" s="171"/>
      <c r="C9730" s="165"/>
    </row>
    <row r="9731" spans="1:3" ht="16.8">
      <c r="A9731" s="165"/>
      <c r="B9731" s="171"/>
      <c r="C9731" s="165"/>
    </row>
    <row r="9732" spans="1:3" ht="16.8">
      <c r="A9732" s="165"/>
      <c r="B9732" s="171"/>
      <c r="C9732" s="165"/>
    </row>
    <row r="9733" spans="1:3" ht="16.8">
      <c r="A9733" s="165"/>
      <c r="B9733" s="171"/>
      <c r="C9733" s="165"/>
    </row>
    <row r="9734" spans="1:3" ht="16.8">
      <c r="A9734" s="165"/>
      <c r="B9734" s="171"/>
      <c r="C9734" s="165"/>
    </row>
    <row r="9735" spans="1:3" ht="16.8">
      <c r="A9735" s="165"/>
      <c r="B9735" s="171"/>
      <c r="C9735" s="165"/>
    </row>
    <row r="9736" spans="1:3" ht="16.8">
      <c r="A9736" s="165"/>
      <c r="B9736" s="171"/>
      <c r="C9736" s="165"/>
    </row>
    <row r="9737" spans="1:3" ht="16.8">
      <c r="A9737" s="165"/>
      <c r="B9737" s="171"/>
      <c r="C9737" s="165"/>
    </row>
    <row r="9738" spans="1:3" ht="16.8">
      <c r="A9738" s="165"/>
      <c r="B9738" s="171"/>
      <c r="C9738" s="165"/>
    </row>
    <row r="9739" spans="1:3" ht="16.8">
      <c r="A9739" s="165"/>
      <c r="B9739" s="171"/>
      <c r="C9739" s="165"/>
    </row>
    <row r="9740" spans="1:3" ht="16.8">
      <c r="A9740" s="165"/>
      <c r="B9740" s="171"/>
      <c r="C9740" s="165"/>
    </row>
    <row r="9741" spans="1:3" ht="16.8">
      <c r="A9741" s="165"/>
      <c r="B9741" s="171"/>
      <c r="C9741" s="165"/>
    </row>
    <row r="9742" spans="1:3" ht="16.8">
      <c r="A9742" s="165"/>
      <c r="B9742" s="171"/>
      <c r="C9742" s="165"/>
    </row>
    <row r="9743" spans="1:3" ht="16.8">
      <c r="A9743" s="165"/>
      <c r="B9743" s="171"/>
      <c r="C9743" s="165"/>
    </row>
    <row r="9744" spans="1:3" ht="16.8">
      <c r="A9744" s="165"/>
      <c r="B9744" s="171"/>
      <c r="C9744" s="165"/>
    </row>
    <row r="9745" spans="1:3" ht="16.8">
      <c r="A9745" s="165"/>
      <c r="B9745" s="171"/>
      <c r="C9745" s="165"/>
    </row>
    <row r="9746" spans="1:3" ht="16.8">
      <c r="A9746" s="165"/>
      <c r="B9746" s="171"/>
      <c r="C9746" s="165"/>
    </row>
    <row r="9747" spans="1:3" ht="16.8">
      <c r="A9747" s="165"/>
      <c r="B9747" s="171"/>
      <c r="C9747" s="165"/>
    </row>
    <row r="9748" spans="1:3" ht="16.8">
      <c r="A9748" s="165"/>
      <c r="B9748" s="171"/>
      <c r="C9748" s="165"/>
    </row>
    <row r="9749" spans="1:3" ht="16.8">
      <c r="A9749" s="165"/>
      <c r="B9749" s="171"/>
      <c r="C9749" s="165"/>
    </row>
    <row r="9750" spans="1:3" ht="16.8">
      <c r="A9750" s="165"/>
      <c r="B9750" s="171"/>
      <c r="C9750" s="165"/>
    </row>
    <row r="9751" spans="1:3" ht="16.8">
      <c r="A9751" s="165"/>
      <c r="B9751" s="171"/>
      <c r="C9751" s="165"/>
    </row>
    <row r="9752" spans="1:3" ht="16.8">
      <c r="A9752" s="165"/>
      <c r="B9752" s="171"/>
      <c r="C9752" s="165"/>
    </row>
    <row r="9753" spans="1:3" ht="16.8">
      <c r="A9753" s="165"/>
      <c r="B9753" s="171"/>
      <c r="C9753" s="165"/>
    </row>
    <row r="9754" spans="1:3" ht="16.8">
      <c r="A9754" s="165"/>
      <c r="B9754" s="171"/>
      <c r="C9754" s="165"/>
    </row>
    <row r="9755" spans="1:3" ht="16.8">
      <c r="A9755" s="165"/>
      <c r="B9755" s="171"/>
      <c r="C9755" s="165"/>
    </row>
    <row r="9756" spans="1:3" ht="16.8">
      <c r="A9756" s="165"/>
      <c r="B9756" s="171"/>
      <c r="C9756" s="165"/>
    </row>
    <row r="9757" spans="1:3" ht="16.8">
      <c r="A9757" s="165"/>
      <c r="B9757" s="171"/>
      <c r="C9757" s="165"/>
    </row>
    <row r="9758" spans="1:3" ht="16.8">
      <c r="A9758" s="165"/>
      <c r="B9758" s="171"/>
      <c r="C9758" s="165"/>
    </row>
    <row r="9759" spans="1:3" ht="16.8">
      <c r="A9759" s="165"/>
      <c r="B9759" s="171"/>
      <c r="C9759" s="165"/>
    </row>
    <row r="9760" spans="1:3" ht="16.8">
      <c r="A9760" s="165"/>
      <c r="B9760" s="171"/>
      <c r="C9760" s="165"/>
    </row>
    <row r="9761" spans="1:3" ht="16.8">
      <c r="A9761" s="165"/>
      <c r="B9761" s="171"/>
      <c r="C9761" s="165"/>
    </row>
    <row r="9762" spans="1:3" ht="16.8">
      <c r="A9762" s="165"/>
      <c r="B9762" s="171"/>
      <c r="C9762" s="165"/>
    </row>
    <row r="9763" spans="1:3" ht="16.8">
      <c r="A9763" s="165"/>
      <c r="B9763" s="171"/>
      <c r="C9763" s="165"/>
    </row>
    <row r="9764" spans="1:3" ht="16.8">
      <c r="A9764" s="165"/>
      <c r="B9764" s="171"/>
      <c r="C9764" s="165"/>
    </row>
    <row r="9765" spans="1:3" ht="16.8">
      <c r="A9765" s="165"/>
      <c r="B9765" s="171"/>
      <c r="C9765" s="165"/>
    </row>
    <row r="9766" spans="1:3" ht="16.8">
      <c r="A9766" s="165"/>
      <c r="B9766" s="171"/>
      <c r="C9766" s="165"/>
    </row>
    <row r="9767" spans="1:3" ht="16.8">
      <c r="A9767" s="165"/>
      <c r="B9767" s="171"/>
      <c r="C9767" s="165"/>
    </row>
    <row r="9768" spans="1:3" ht="16.8">
      <c r="A9768" s="165"/>
      <c r="B9768" s="171"/>
      <c r="C9768" s="165"/>
    </row>
    <row r="9769" spans="1:3" ht="16.8">
      <c r="A9769" s="165"/>
      <c r="B9769" s="171"/>
      <c r="C9769" s="165"/>
    </row>
    <row r="9770" spans="1:3" ht="16.8">
      <c r="A9770" s="165"/>
      <c r="B9770" s="171"/>
      <c r="C9770" s="165"/>
    </row>
    <row r="9771" spans="1:3" ht="16.8">
      <c r="A9771" s="165"/>
      <c r="B9771" s="171"/>
      <c r="C9771" s="165"/>
    </row>
    <row r="9772" spans="1:3" ht="16.8">
      <c r="A9772" s="165"/>
      <c r="B9772" s="171"/>
      <c r="C9772" s="165"/>
    </row>
    <row r="9773" spans="1:3" ht="16.8">
      <c r="A9773" s="165"/>
      <c r="B9773" s="171"/>
      <c r="C9773" s="165"/>
    </row>
    <row r="9774" spans="1:3" ht="16.8">
      <c r="A9774" s="165"/>
      <c r="B9774" s="171"/>
      <c r="C9774" s="165"/>
    </row>
    <row r="9775" spans="1:3" ht="16.8">
      <c r="A9775" s="165"/>
      <c r="B9775" s="171"/>
      <c r="C9775" s="165"/>
    </row>
    <row r="9776" spans="1:3" ht="16.8">
      <c r="A9776" s="165"/>
      <c r="B9776" s="171"/>
      <c r="C9776" s="165"/>
    </row>
    <row r="9777" spans="1:3" ht="16.8">
      <c r="A9777" s="165"/>
      <c r="B9777" s="171"/>
      <c r="C9777" s="165"/>
    </row>
    <row r="9778" spans="1:3" ht="16.8">
      <c r="A9778" s="165"/>
      <c r="B9778" s="171"/>
      <c r="C9778" s="165"/>
    </row>
    <row r="9779" spans="1:3" ht="16.8">
      <c r="A9779" s="165"/>
      <c r="B9779" s="171"/>
      <c r="C9779" s="165"/>
    </row>
    <row r="9780" spans="1:3" ht="16.8">
      <c r="A9780" s="165"/>
      <c r="B9780" s="171"/>
      <c r="C9780" s="165"/>
    </row>
    <row r="9781" spans="1:3" ht="16.8">
      <c r="A9781" s="165"/>
      <c r="B9781" s="171"/>
      <c r="C9781" s="165"/>
    </row>
    <row r="9782" spans="1:3" ht="16.8">
      <c r="A9782" s="165"/>
      <c r="B9782" s="171"/>
      <c r="C9782" s="165"/>
    </row>
    <row r="9783" spans="1:3" ht="16.8">
      <c r="A9783" s="165"/>
      <c r="B9783" s="171"/>
      <c r="C9783" s="165"/>
    </row>
    <row r="9784" spans="1:3" ht="16.8">
      <c r="A9784" s="165"/>
      <c r="B9784" s="171"/>
      <c r="C9784" s="165"/>
    </row>
    <row r="9785" spans="1:3" ht="16.8">
      <c r="A9785" s="165"/>
      <c r="B9785" s="171"/>
      <c r="C9785" s="165"/>
    </row>
    <row r="9786" spans="1:3" ht="16.8">
      <c r="A9786" s="165"/>
      <c r="B9786" s="171"/>
      <c r="C9786" s="165"/>
    </row>
    <row r="9787" spans="1:3" ht="16.8">
      <c r="A9787" s="165"/>
      <c r="B9787" s="171"/>
      <c r="C9787" s="165"/>
    </row>
    <row r="9788" spans="1:3" ht="16.8">
      <c r="A9788" s="165"/>
      <c r="B9788" s="171"/>
      <c r="C9788" s="165"/>
    </row>
    <row r="9789" spans="1:3" ht="16.8">
      <c r="A9789" s="165"/>
      <c r="B9789" s="171"/>
      <c r="C9789" s="165"/>
    </row>
    <row r="9790" spans="1:3" ht="16.8">
      <c r="A9790" s="165"/>
      <c r="B9790" s="171"/>
      <c r="C9790" s="165"/>
    </row>
    <row r="9791" spans="1:3" ht="16.8">
      <c r="A9791" s="165"/>
      <c r="B9791" s="171"/>
      <c r="C9791" s="165"/>
    </row>
    <row r="9792" spans="1:3" ht="16.8">
      <c r="A9792" s="165"/>
      <c r="B9792" s="171"/>
      <c r="C9792" s="165"/>
    </row>
    <row r="9793" spans="1:3" ht="16.8">
      <c r="A9793" s="165"/>
      <c r="B9793" s="171"/>
      <c r="C9793" s="165"/>
    </row>
    <row r="9794" spans="1:3" ht="16.8">
      <c r="A9794" s="165"/>
      <c r="B9794" s="171"/>
      <c r="C9794" s="165"/>
    </row>
    <row r="9795" spans="1:3" ht="16.8">
      <c r="A9795" s="165"/>
      <c r="B9795" s="171"/>
      <c r="C9795" s="165"/>
    </row>
    <row r="9796" spans="1:3" ht="16.8">
      <c r="A9796" s="165"/>
      <c r="B9796" s="171"/>
      <c r="C9796" s="165"/>
    </row>
    <row r="9797" spans="1:3" ht="16.8">
      <c r="A9797" s="165"/>
      <c r="B9797" s="171"/>
      <c r="C9797" s="165"/>
    </row>
    <row r="9798" spans="1:3" ht="16.8">
      <c r="A9798" s="165"/>
      <c r="B9798" s="171"/>
      <c r="C9798" s="165"/>
    </row>
    <row r="9799" spans="1:3" ht="16.8">
      <c r="A9799" s="165"/>
      <c r="B9799" s="171"/>
      <c r="C9799" s="165"/>
    </row>
    <row r="9800" spans="1:3" ht="16.8">
      <c r="A9800" s="165"/>
      <c r="B9800" s="171"/>
      <c r="C9800" s="165"/>
    </row>
    <row r="9801" spans="1:3" ht="16.8">
      <c r="A9801" s="165"/>
      <c r="B9801" s="171"/>
      <c r="C9801" s="165"/>
    </row>
    <row r="9802" spans="1:3" ht="16.8">
      <c r="A9802" s="165"/>
      <c r="B9802" s="171"/>
      <c r="C9802" s="165"/>
    </row>
    <row r="9803" spans="1:3" ht="16.8">
      <c r="A9803" s="165"/>
      <c r="B9803" s="171"/>
      <c r="C9803" s="165"/>
    </row>
    <row r="9804" spans="1:3" ht="16.8">
      <c r="A9804" s="165"/>
      <c r="B9804" s="171"/>
      <c r="C9804" s="165"/>
    </row>
    <row r="9805" spans="1:3" ht="16.8">
      <c r="A9805" s="165"/>
      <c r="B9805" s="171"/>
      <c r="C9805" s="165"/>
    </row>
    <row r="9806" spans="1:3" ht="16.8">
      <c r="A9806" s="165"/>
      <c r="B9806" s="171"/>
      <c r="C9806" s="165"/>
    </row>
    <row r="9807" spans="1:3" ht="16.8">
      <c r="A9807" s="165"/>
      <c r="B9807" s="171"/>
      <c r="C9807" s="165"/>
    </row>
    <row r="9808" spans="1:3" ht="16.8">
      <c r="A9808" s="165"/>
      <c r="B9808" s="171"/>
      <c r="C9808" s="165"/>
    </row>
    <row r="9809" spans="1:3" ht="16.8">
      <c r="A9809" s="165"/>
      <c r="B9809" s="171"/>
      <c r="C9809" s="165"/>
    </row>
    <row r="9810" spans="1:3" ht="16.8">
      <c r="A9810" s="165"/>
      <c r="B9810" s="171"/>
      <c r="C9810" s="165"/>
    </row>
    <row r="9811" spans="1:3" ht="16.8">
      <c r="A9811" s="165"/>
      <c r="B9811" s="171"/>
      <c r="C9811" s="165"/>
    </row>
    <row r="9812" spans="1:3" ht="16.8">
      <c r="A9812" s="165"/>
      <c r="B9812" s="171"/>
      <c r="C9812" s="165"/>
    </row>
    <row r="9813" spans="1:3" ht="16.8">
      <c r="A9813" s="165"/>
      <c r="B9813" s="171"/>
      <c r="C9813" s="165"/>
    </row>
    <row r="9814" spans="1:3" ht="16.8">
      <c r="A9814" s="165"/>
      <c r="B9814" s="171"/>
      <c r="C9814" s="165"/>
    </row>
    <row r="9815" spans="1:3" ht="16.8">
      <c r="A9815" s="165"/>
      <c r="B9815" s="171"/>
      <c r="C9815" s="165"/>
    </row>
    <row r="9816" spans="1:3" ht="16.8">
      <c r="A9816" s="165"/>
      <c r="B9816" s="171"/>
      <c r="C9816" s="165"/>
    </row>
    <row r="9817" spans="1:3" ht="16.8">
      <c r="A9817" s="165"/>
      <c r="B9817" s="171"/>
      <c r="C9817" s="165"/>
    </row>
    <row r="9818" spans="1:3" ht="16.8">
      <c r="A9818" s="165"/>
      <c r="B9818" s="171"/>
      <c r="C9818" s="165"/>
    </row>
    <row r="9819" spans="1:3" ht="16.8">
      <c r="A9819" s="165"/>
      <c r="B9819" s="171"/>
      <c r="C9819" s="165"/>
    </row>
    <row r="9820" spans="1:3" ht="16.8">
      <c r="A9820" s="165"/>
      <c r="B9820" s="171"/>
      <c r="C9820" s="165"/>
    </row>
    <row r="9821" spans="1:3" ht="16.8">
      <c r="A9821" s="165"/>
      <c r="B9821" s="171"/>
      <c r="C9821" s="165"/>
    </row>
    <row r="9822" spans="1:3" ht="16.8">
      <c r="A9822" s="165"/>
      <c r="B9822" s="171"/>
      <c r="C9822" s="165"/>
    </row>
    <row r="9823" spans="1:3" ht="16.8">
      <c r="A9823" s="165"/>
      <c r="B9823" s="171"/>
      <c r="C9823" s="165"/>
    </row>
    <row r="9824" spans="1:3" ht="16.8">
      <c r="A9824" s="165"/>
      <c r="B9824" s="171"/>
      <c r="C9824" s="165"/>
    </row>
    <row r="9825" spans="1:3" ht="16.8">
      <c r="A9825" s="165"/>
      <c r="B9825" s="171"/>
      <c r="C9825" s="165"/>
    </row>
    <row r="9826" spans="1:3" ht="16.8">
      <c r="A9826" s="165"/>
      <c r="B9826" s="171"/>
      <c r="C9826" s="165"/>
    </row>
    <row r="9827" spans="1:3" ht="16.8">
      <c r="A9827" s="165"/>
      <c r="B9827" s="171"/>
      <c r="C9827" s="165"/>
    </row>
    <row r="9828" spans="1:3" ht="16.8">
      <c r="A9828" s="165"/>
      <c r="B9828" s="171"/>
      <c r="C9828" s="165"/>
    </row>
    <row r="9829" spans="1:3" ht="16.8">
      <c r="A9829" s="165"/>
      <c r="B9829" s="171"/>
      <c r="C9829" s="165"/>
    </row>
    <row r="9830" spans="1:3" ht="16.8">
      <c r="A9830" s="165"/>
      <c r="B9830" s="171"/>
      <c r="C9830" s="165"/>
    </row>
    <row r="9831" spans="1:3" ht="16.8">
      <c r="A9831" s="165"/>
      <c r="B9831" s="171"/>
      <c r="C9831" s="165"/>
    </row>
    <row r="9832" spans="1:3" ht="16.8">
      <c r="A9832" s="165"/>
      <c r="B9832" s="171"/>
      <c r="C9832" s="165"/>
    </row>
    <row r="9833" spans="1:3" ht="16.8">
      <c r="A9833" s="165"/>
      <c r="B9833" s="171"/>
      <c r="C9833" s="165"/>
    </row>
    <row r="9834" spans="1:3" ht="16.8">
      <c r="A9834" s="165"/>
      <c r="B9834" s="171"/>
      <c r="C9834" s="165"/>
    </row>
    <row r="9835" spans="1:3" ht="16.8">
      <c r="A9835" s="165"/>
      <c r="B9835" s="171"/>
      <c r="C9835" s="165"/>
    </row>
    <row r="9836" spans="1:3" ht="16.8">
      <c r="A9836" s="165"/>
      <c r="B9836" s="171"/>
      <c r="C9836" s="165"/>
    </row>
    <row r="9837" spans="1:3" ht="16.8">
      <c r="A9837" s="165"/>
      <c r="B9837" s="171"/>
      <c r="C9837" s="165"/>
    </row>
    <row r="9838" spans="1:3" ht="16.8">
      <c r="A9838" s="165"/>
      <c r="B9838" s="171"/>
      <c r="C9838" s="165"/>
    </row>
    <row r="9839" spans="1:3" ht="16.8">
      <c r="A9839" s="165"/>
      <c r="B9839" s="171"/>
      <c r="C9839" s="165"/>
    </row>
    <row r="9840" spans="1:3" ht="16.8">
      <c r="A9840" s="165"/>
      <c r="B9840" s="171"/>
      <c r="C9840" s="165"/>
    </row>
    <row r="9841" spans="1:3" ht="16.8">
      <c r="A9841" s="165"/>
      <c r="B9841" s="171"/>
      <c r="C9841" s="165"/>
    </row>
    <row r="9842" spans="1:3" ht="16.8">
      <c r="A9842" s="165"/>
      <c r="B9842" s="171"/>
      <c r="C9842" s="165"/>
    </row>
    <row r="9843" spans="1:3" ht="16.8">
      <c r="A9843" s="165"/>
      <c r="B9843" s="171"/>
      <c r="C9843" s="165"/>
    </row>
    <row r="9844" spans="1:3" ht="16.8">
      <c r="A9844" s="165"/>
      <c r="B9844" s="171"/>
      <c r="C9844" s="165"/>
    </row>
    <row r="9845" spans="1:3" ht="16.8">
      <c r="A9845" s="165"/>
      <c r="B9845" s="171"/>
      <c r="C9845" s="165"/>
    </row>
    <row r="9846" spans="1:3" ht="16.8">
      <c r="A9846" s="165"/>
      <c r="B9846" s="171"/>
      <c r="C9846" s="165"/>
    </row>
    <row r="9847" spans="1:3" ht="16.8">
      <c r="A9847" s="165"/>
      <c r="B9847" s="171"/>
      <c r="C9847" s="165"/>
    </row>
    <row r="9848" spans="1:3" ht="16.8">
      <c r="A9848" s="165"/>
      <c r="B9848" s="171"/>
      <c r="C9848" s="165"/>
    </row>
    <row r="9849" spans="1:3" ht="16.8">
      <c r="A9849" s="165"/>
      <c r="B9849" s="171"/>
      <c r="C9849" s="165"/>
    </row>
    <row r="9850" spans="1:3" ht="16.8">
      <c r="A9850" s="165"/>
      <c r="B9850" s="171"/>
      <c r="C9850" s="165"/>
    </row>
    <row r="9851" spans="1:3" ht="16.8">
      <c r="A9851" s="165"/>
      <c r="B9851" s="171"/>
      <c r="C9851" s="165"/>
    </row>
    <row r="9852" spans="1:3" ht="16.8">
      <c r="A9852" s="165"/>
      <c r="B9852" s="171"/>
      <c r="C9852" s="165"/>
    </row>
    <row r="9853" spans="1:3" ht="16.8">
      <c r="A9853" s="165"/>
      <c r="B9853" s="171"/>
      <c r="C9853" s="165"/>
    </row>
    <row r="9854" spans="1:3" ht="16.8">
      <c r="A9854" s="165"/>
      <c r="B9854" s="171"/>
      <c r="C9854" s="165"/>
    </row>
    <row r="9855" spans="1:3" ht="16.8">
      <c r="A9855" s="165"/>
      <c r="B9855" s="171"/>
      <c r="C9855" s="165"/>
    </row>
    <row r="9856" spans="1:3" ht="16.8">
      <c r="A9856" s="165"/>
      <c r="B9856" s="171"/>
      <c r="C9856" s="165"/>
    </row>
    <row r="9857" spans="1:3" ht="16.8">
      <c r="A9857" s="165"/>
      <c r="B9857" s="171"/>
      <c r="C9857" s="165"/>
    </row>
    <row r="9858" spans="1:3" ht="16.8">
      <c r="A9858" s="165"/>
      <c r="B9858" s="171"/>
      <c r="C9858" s="165"/>
    </row>
    <row r="9859" spans="1:3" ht="16.8">
      <c r="A9859" s="165"/>
      <c r="B9859" s="171"/>
      <c r="C9859" s="165"/>
    </row>
    <row r="9860" spans="1:3" ht="16.8">
      <c r="A9860" s="165"/>
      <c r="B9860" s="171"/>
      <c r="C9860" s="165"/>
    </row>
    <row r="9861" spans="1:3" ht="16.8">
      <c r="A9861" s="165"/>
      <c r="B9861" s="171"/>
      <c r="C9861" s="165"/>
    </row>
    <row r="9862" spans="1:3" ht="16.8">
      <c r="A9862" s="165"/>
      <c r="B9862" s="171"/>
      <c r="C9862" s="165"/>
    </row>
    <row r="9863" spans="1:3" ht="16.8">
      <c r="A9863" s="165"/>
      <c r="B9863" s="171"/>
      <c r="C9863" s="165"/>
    </row>
    <row r="9864" spans="1:3" ht="16.8">
      <c r="A9864" s="165"/>
      <c r="B9864" s="171"/>
      <c r="C9864" s="165"/>
    </row>
    <row r="9865" spans="1:3" ht="16.8">
      <c r="A9865" s="165"/>
      <c r="B9865" s="171"/>
      <c r="C9865" s="165"/>
    </row>
    <row r="9866" spans="1:3" ht="16.8">
      <c r="A9866" s="165"/>
      <c r="B9866" s="171"/>
      <c r="C9866" s="165"/>
    </row>
    <row r="9867" spans="1:3" ht="16.8">
      <c r="A9867" s="165"/>
      <c r="B9867" s="171"/>
      <c r="C9867" s="165"/>
    </row>
    <row r="9868" spans="1:3" ht="16.8">
      <c r="A9868" s="165"/>
      <c r="B9868" s="171"/>
      <c r="C9868" s="165"/>
    </row>
    <row r="9869" spans="1:3" ht="16.8">
      <c r="A9869" s="165"/>
      <c r="B9869" s="171"/>
      <c r="C9869" s="165"/>
    </row>
    <row r="9870" spans="1:3" ht="16.8">
      <c r="A9870" s="165"/>
      <c r="B9870" s="171"/>
      <c r="C9870" s="165"/>
    </row>
    <row r="9871" spans="1:3" ht="16.8">
      <c r="A9871" s="165"/>
      <c r="B9871" s="171"/>
      <c r="C9871" s="165"/>
    </row>
    <row r="9872" spans="1:3" ht="16.8">
      <c r="A9872" s="165"/>
      <c r="B9872" s="171"/>
      <c r="C9872" s="165"/>
    </row>
    <row r="9873" spans="1:3" ht="16.8">
      <c r="A9873" s="165"/>
      <c r="B9873" s="171"/>
      <c r="C9873" s="165"/>
    </row>
    <row r="9874" spans="1:3" ht="16.8">
      <c r="A9874" s="165"/>
      <c r="B9874" s="171"/>
      <c r="C9874" s="165"/>
    </row>
    <row r="9875" spans="1:3" ht="16.8">
      <c r="A9875" s="165"/>
      <c r="B9875" s="171"/>
      <c r="C9875" s="165"/>
    </row>
    <row r="9876" spans="1:3" ht="16.8">
      <c r="A9876" s="165"/>
      <c r="B9876" s="171"/>
      <c r="C9876" s="165"/>
    </row>
    <row r="9877" spans="1:3" ht="16.8">
      <c r="A9877" s="165"/>
      <c r="B9877" s="171"/>
      <c r="C9877" s="165"/>
    </row>
    <row r="9878" spans="1:3" ht="16.8">
      <c r="A9878" s="165"/>
      <c r="B9878" s="171"/>
      <c r="C9878" s="165"/>
    </row>
    <row r="9879" spans="1:3" ht="16.8">
      <c r="A9879" s="165"/>
      <c r="B9879" s="171"/>
      <c r="C9879" s="165"/>
    </row>
    <row r="9880" spans="1:3" ht="16.8">
      <c r="A9880" s="165"/>
      <c r="B9880" s="171"/>
      <c r="C9880" s="165"/>
    </row>
    <row r="9881" spans="1:3" ht="16.8">
      <c r="A9881" s="165"/>
      <c r="B9881" s="171"/>
      <c r="C9881" s="165"/>
    </row>
    <row r="9882" spans="1:3" ht="16.8">
      <c r="A9882" s="165"/>
      <c r="B9882" s="171"/>
      <c r="C9882" s="165"/>
    </row>
    <row r="9883" spans="1:3" ht="16.8">
      <c r="A9883" s="165"/>
      <c r="B9883" s="171"/>
      <c r="C9883" s="165"/>
    </row>
    <row r="9884" spans="1:3" ht="16.8">
      <c r="A9884" s="165"/>
      <c r="B9884" s="171"/>
      <c r="C9884" s="165"/>
    </row>
    <row r="9885" spans="1:3" ht="16.8">
      <c r="A9885" s="165"/>
      <c r="B9885" s="171"/>
      <c r="C9885" s="165"/>
    </row>
    <row r="9886" spans="1:3" ht="16.8">
      <c r="A9886" s="165"/>
      <c r="B9886" s="171"/>
      <c r="C9886" s="165"/>
    </row>
    <row r="9887" spans="1:3" ht="16.8">
      <c r="A9887" s="165"/>
      <c r="B9887" s="171"/>
      <c r="C9887" s="165"/>
    </row>
    <row r="9888" spans="1:3" ht="16.8">
      <c r="A9888" s="165"/>
      <c r="B9888" s="171"/>
      <c r="C9888" s="165"/>
    </row>
    <row r="9889" spans="1:3" ht="16.8">
      <c r="A9889" s="165"/>
      <c r="B9889" s="171"/>
      <c r="C9889" s="165"/>
    </row>
    <row r="9890" spans="1:3" ht="16.8">
      <c r="A9890" s="165"/>
      <c r="B9890" s="171"/>
      <c r="C9890" s="165"/>
    </row>
    <row r="9891" spans="1:3" ht="16.8">
      <c r="A9891" s="165"/>
      <c r="B9891" s="171"/>
      <c r="C9891" s="165"/>
    </row>
    <row r="9892" spans="1:3" ht="16.8">
      <c r="A9892" s="165"/>
      <c r="B9892" s="171"/>
      <c r="C9892" s="165"/>
    </row>
    <row r="9893" spans="1:3" ht="16.8">
      <c r="A9893" s="165"/>
      <c r="B9893" s="171"/>
      <c r="C9893" s="165"/>
    </row>
    <row r="9894" spans="1:3" ht="16.8">
      <c r="A9894" s="165"/>
      <c r="B9894" s="171"/>
      <c r="C9894" s="165"/>
    </row>
    <row r="9895" spans="1:3" ht="16.8">
      <c r="A9895" s="165"/>
      <c r="B9895" s="171"/>
      <c r="C9895" s="165"/>
    </row>
    <row r="9896" spans="1:3" ht="16.8">
      <c r="A9896" s="165"/>
      <c r="B9896" s="171"/>
      <c r="C9896" s="165"/>
    </row>
    <row r="9897" spans="1:3" ht="16.8">
      <c r="A9897" s="165"/>
      <c r="B9897" s="171"/>
      <c r="C9897" s="165"/>
    </row>
    <row r="9898" spans="1:3" ht="16.8">
      <c r="A9898" s="165"/>
      <c r="B9898" s="171"/>
      <c r="C9898" s="165"/>
    </row>
    <row r="9899" spans="1:3" ht="16.8">
      <c r="A9899" s="165"/>
      <c r="B9899" s="171"/>
      <c r="C9899" s="165"/>
    </row>
    <row r="9900" spans="1:3" ht="16.8">
      <c r="A9900" s="165"/>
      <c r="B9900" s="171"/>
      <c r="C9900" s="165"/>
    </row>
    <row r="9901" spans="1:3" ht="16.8">
      <c r="A9901" s="165"/>
      <c r="B9901" s="171"/>
      <c r="C9901" s="165"/>
    </row>
    <row r="9902" spans="1:3" ht="16.8">
      <c r="A9902" s="165"/>
      <c r="B9902" s="171"/>
      <c r="C9902" s="165"/>
    </row>
    <row r="9903" spans="1:3" ht="16.8">
      <c r="A9903" s="165"/>
      <c r="B9903" s="171"/>
      <c r="C9903" s="165"/>
    </row>
    <row r="9904" spans="1:3" ht="16.8">
      <c r="A9904" s="165"/>
      <c r="B9904" s="171"/>
      <c r="C9904" s="165"/>
    </row>
    <row r="9905" spans="1:3" ht="16.8">
      <c r="A9905" s="165"/>
      <c r="B9905" s="171"/>
      <c r="C9905" s="165"/>
    </row>
    <row r="9906" spans="1:3" ht="16.8">
      <c r="A9906" s="165"/>
      <c r="B9906" s="171"/>
      <c r="C9906" s="165"/>
    </row>
    <row r="9907" spans="1:3" ht="16.8">
      <c r="A9907" s="165"/>
      <c r="B9907" s="171"/>
      <c r="C9907" s="165"/>
    </row>
    <row r="9908" spans="1:3" ht="16.8">
      <c r="A9908" s="165"/>
      <c r="B9908" s="171"/>
      <c r="C9908" s="165"/>
    </row>
    <row r="9909" spans="1:3" ht="16.8">
      <c r="A9909" s="165"/>
      <c r="B9909" s="171"/>
      <c r="C9909" s="165"/>
    </row>
    <row r="9910" spans="1:3" ht="16.8">
      <c r="A9910" s="165"/>
      <c r="B9910" s="171"/>
      <c r="C9910" s="165"/>
    </row>
    <row r="9911" spans="1:3" ht="16.8">
      <c r="A9911" s="165"/>
      <c r="B9911" s="171"/>
      <c r="C9911" s="165"/>
    </row>
    <row r="9912" spans="1:3" ht="16.8">
      <c r="A9912" s="165"/>
      <c r="B9912" s="171"/>
      <c r="C9912" s="165"/>
    </row>
    <row r="9913" spans="1:3" ht="16.8">
      <c r="A9913" s="165"/>
      <c r="B9913" s="171"/>
      <c r="C9913" s="165"/>
    </row>
    <row r="9914" spans="1:3" ht="16.8">
      <c r="A9914" s="165"/>
      <c r="B9914" s="171"/>
      <c r="C9914" s="165"/>
    </row>
    <row r="9915" spans="1:3" ht="16.8">
      <c r="A9915" s="165"/>
      <c r="B9915" s="171"/>
      <c r="C9915" s="165"/>
    </row>
    <row r="9916" spans="1:3" ht="16.8">
      <c r="A9916" s="165"/>
      <c r="B9916" s="171"/>
      <c r="C9916" s="165"/>
    </row>
    <row r="9917" spans="1:3" ht="16.8">
      <c r="A9917" s="165"/>
      <c r="B9917" s="171"/>
      <c r="C9917" s="165"/>
    </row>
    <row r="9918" spans="1:3" ht="16.8">
      <c r="A9918" s="165"/>
      <c r="B9918" s="171"/>
      <c r="C9918" s="165"/>
    </row>
    <row r="9919" spans="1:3" ht="16.8">
      <c r="A9919" s="165"/>
      <c r="B9919" s="171"/>
      <c r="C9919" s="165"/>
    </row>
    <row r="9920" spans="1:3" ht="16.8">
      <c r="A9920" s="165"/>
      <c r="B9920" s="171"/>
      <c r="C9920" s="165"/>
    </row>
    <row r="9921" spans="1:3" ht="16.8">
      <c r="A9921" s="165"/>
      <c r="B9921" s="171"/>
      <c r="C9921" s="165"/>
    </row>
    <row r="9922" spans="1:3" ht="16.8">
      <c r="A9922" s="165"/>
      <c r="B9922" s="171"/>
      <c r="C9922" s="165"/>
    </row>
    <row r="9923" spans="1:3" ht="16.8">
      <c r="A9923" s="165"/>
      <c r="B9923" s="171"/>
      <c r="C9923" s="165"/>
    </row>
    <row r="9924" spans="1:3" ht="16.8">
      <c r="A9924" s="165"/>
      <c r="B9924" s="171"/>
      <c r="C9924" s="165"/>
    </row>
    <row r="9925" spans="1:3" ht="16.8">
      <c r="A9925" s="165"/>
      <c r="B9925" s="171"/>
      <c r="C9925" s="165"/>
    </row>
    <row r="9926" spans="1:3" ht="16.8">
      <c r="A9926" s="165"/>
      <c r="B9926" s="171"/>
      <c r="C9926" s="165"/>
    </row>
    <row r="9927" spans="1:3" ht="16.8">
      <c r="A9927" s="165"/>
      <c r="B9927" s="171"/>
      <c r="C9927" s="165"/>
    </row>
    <row r="9928" spans="1:3" ht="16.8">
      <c r="A9928" s="165"/>
      <c r="B9928" s="171"/>
      <c r="C9928" s="165"/>
    </row>
    <row r="9929" spans="1:3" ht="16.8">
      <c r="A9929" s="165"/>
      <c r="B9929" s="171"/>
      <c r="C9929" s="165"/>
    </row>
    <row r="9930" spans="1:3" ht="16.8">
      <c r="A9930" s="165"/>
      <c r="B9930" s="171"/>
      <c r="C9930" s="165"/>
    </row>
    <row r="9931" spans="1:3" ht="16.8">
      <c r="A9931" s="165"/>
      <c r="B9931" s="171"/>
      <c r="C9931" s="165"/>
    </row>
    <row r="9932" spans="1:3" ht="16.8">
      <c r="A9932" s="165"/>
      <c r="B9932" s="171"/>
      <c r="C9932" s="165"/>
    </row>
    <row r="9933" spans="1:3" ht="16.8">
      <c r="A9933" s="165"/>
      <c r="B9933" s="171"/>
      <c r="C9933" s="165"/>
    </row>
    <row r="9934" spans="1:3" ht="16.8">
      <c r="A9934" s="165"/>
      <c r="B9934" s="171"/>
      <c r="C9934" s="165"/>
    </row>
    <row r="9935" spans="1:3" ht="16.8">
      <c r="A9935" s="165"/>
      <c r="B9935" s="171"/>
      <c r="C9935" s="165"/>
    </row>
    <row r="9936" spans="1:3" ht="16.8">
      <c r="A9936" s="165"/>
      <c r="B9936" s="171"/>
      <c r="C9936" s="165"/>
    </row>
    <row r="9937" spans="1:3" ht="16.8">
      <c r="A9937" s="165"/>
      <c r="B9937" s="171"/>
      <c r="C9937" s="165"/>
    </row>
    <row r="9938" spans="1:3" ht="16.8">
      <c r="A9938" s="165"/>
      <c r="B9938" s="171"/>
      <c r="C9938" s="165"/>
    </row>
    <row r="9939" spans="1:3" ht="16.8">
      <c r="A9939" s="165"/>
      <c r="B9939" s="171"/>
      <c r="C9939" s="165"/>
    </row>
    <row r="9940" spans="1:3" ht="16.8">
      <c r="A9940" s="165"/>
      <c r="B9940" s="171"/>
      <c r="C9940" s="165"/>
    </row>
    <row r="9941" spans="1:3" ht="16.8">
      <c r="A9941" s="165"/>
      <c r="B9941" s="171"/>
      <c r="C9941" s="165"/>
    </row>
    <row r="9942" spans="1:3" ht="16.8">
      <c r="A9942" s="165"/>
      <c r="B9942" s="171"/>
      <c r="C9942" s="165"/>
    </row>
    <row r="9943" spans="1:3" ht="16.8">
      <c r="A9943" s="165"/>
      <c r="B9943" s="171"/>
      <c r="C9943" s="165"/>
    </row>
    <row r="9944" spans="1:3" ht="16.8">
      <c r="A9944" s="165"/>
      <c r="B9944" s="171"/>
      <c r="C9944" s="165"/>
    </row>
    <row r="9945" spans="1:3" ht="16.8">
      <c r="A9945" s="165"/>
      <c r="B9945" s="171"/>
      <c r="C9945" s="165"/>
    </row>
    <row r="9946" spans="1:3" ht="16.8">
      <c r="A9946" s="165"/>
      <c r="B9946" s="171"/>
      <c r="C9946" s="165"/>
    </row>
    <row r="9947" spans="1:3" ht="16.8">
      <c r="A9947" s="165"/>
      <c r="B9947" s="171"/>
      <c r="C9947" s="165"/>
    </row>
    <row r="9948" spans="1:3" ht="16.8">
      <c r="A9948" s="165"/>
      <c r="B9948" s="171"/>
      <c r="C9948" s="165"/>
    </row>
    <row r="9949" spans="1:3" ht="16.8">
      <c r="A9949" s="165"/>
      <c r="B9949" s="171"/>
      <c r="C9949" s="165"/>
    </row>
    <row r="9950" spans="1:3" ht="16.8">
      <c r="A9950" s="165"/>
      <c r="B9950" s="171"/>
      <c r="C9950" s="165"/>
    </row>
    <row r="9951" spans="1:3" ht="16.8">
      <c r="A9951" s="165"/>
      <c r="B9951" s="171"/>
      <c r="C9951" s="165"/>
    </row>
    <row r="9952" spans="1:3" ht="16.8">
      <c r="A9952" s="165"/>
      <c r="B9952" s="171"/>
      <c r="C9952" s="165"/>
    </row>
    <row r="9953" spans="1:3" ht="16.8">
      <c r="A9953" s="165"/>
      <c r="B9953" s="171"/>
      <c r="C9953" s="165"/>
    </row>
    <row r="9954" spans="1:3" ht="16.8">
      <c r="A9954" s="165"/>
      <c r="B9954" s="171"/>
      <c r="C9954" s="165"/>
    </row>
    <row r="9955" spans="1:3" ht="16.8">
      <c r="A9955" s="165"/>
      <c r="B9955" s="171"/>
      <c r="C9955" s="165"/>
    </row>
    <row r="9956" spans="1:3" ht="16.8">
      <c r="A9956" s="165"/>
      <c r="B9956" s="171"/>
      <c r="C9956" s="165"/>
    </row>
    <row r="9957" spans="1:3" ht="16.8">
      <c r="A9957" s="165"/>
      <c r="B9957" s="171"/>
      <c r="C9957" s="165"/>
    </row>
    <row r="9958" spans="1:3" ht="16.8">
      <c r="A9958" s="165"/>
      <c r="B9958" s="171"/>
      <c r="C9958" s="165"/>
    </row>
    <row r="9959" spans="1:3" ht="16.8">
      <c r="A9959" s="165"/>
      <c r="B9959" s="171"/>
      <c r="C9959" s="165"/>
    </row>
    <row r="9960" spans="1:3" ht="16.8">
      <c r="A9960" s="165"/>
      <c r="B9960" s="171"/>
      <c r="C9960" s="165"/>
    </row>
    <row r="9961" spans="1:3" ht="16.8">
      <c r="A9961" s="165"/>
      <c r="B9961" s="171"/>
      <c r="C9961" s="165"/>
    </row>
    <row r="9962" spans="1:3" ht="16.8">
      <c r="A9962" s="165"/>
      <c r="B9962" s="171"/>
      <c r="C9962" s="165"/>
    </row>
    <row r="9963" spans="1:3" ht="16.8">
      <c r="A9963" s="165"/>
      <c r="B9963" s="171"/>
      <c r="C9963" s="165"/>
    </row>
    <row r="9964" spans="1:3" ht="16.8">
      <c r="A9964" s="165"/>
      <c r="B9964" s="171"/>
      <c r="C9964" s="165"/>
    </row>
    <row r="9965" spans="1:3" ht="16.8">
      <c r="A9965" s="165"/>
      <c r="B9965" s="171"/>
      <c r="C9965" s="165"/>
    </row>
    <row r="9966" spans="1:3" ht="16.8">
      <c r="A9966" s="165"/>
      <c r="B9966" s="171"/>
      <c r="C9966" s="165"/>
    </row>
    <row r="9967" spans="1:3" ht="16.8">
      <c r="A9967" s="165"/>
      <c r="B9967" s="171"/>
      <c r="C9967" s="165"/>
    </row>
    <row r="9968" spans="1:3" ht="16.8">
      <c r="A9968" s="165"/>
      <c r="B9968" s="171"/>
      <c r="C9968" s="165"/>
    </row>
    <row r="9969" spans="1:3" ht="16.8">
      <c r="A9969" s="165"/>
      <c r="B9969" s="171"/>
      <c r="C9969" s="165"/>
    </row>
    <row r="9970" spans="1:3" ht="16.8">
      <c r="A9970" s="165"/>
      <c r="B9970" s="171"/>
      <c r="C9970" s="165"/>
    </row>
    <row r="9971" spans="1:3" ht="16.8">
      <c r="A9971" s="165"/>
      <c r="B9971" s="171"/>
      <c r="C9971" s="165"/>
    </row>
    <row r="9972" spans="1:3" ht="16.8">
      <c r="A9972" s="165"/>
      <c r="B9972" s="171"/>
      <c r="C9972" s="165"/>
    </row>
    <row r="9973" spans="1:3" ht="16.8">
      <c r="A9973" s="165"/>
      <c r="B9973" s="171"/>
      <c r="C9973" s="165"/>
    </row>
    <row r="9974" spans="1:3" ht="16.8">
      <c r="A9974" s="165"/>
      <c r="B9974" s="171"/>
      <c r="C9974" s="165"/>
    </row>
    <row r="9975" spans="1:3" ht="16.8">
      <c r="A9975" s="165"/>
      <c r="B9975" s="171"/>
      <c r="C9975" s="165"/>
    </row>
    <row r="9976" spans="1:3" ht="16.8">
      <c r="A9976" s="165"/>
      <c r="B9976" s="171"/>
      <c r="C9976" s="165"/>
    </row>
    <row r="9977" spans="1:3" ht="16.8">
      <c r="A9977" s="165"/>
      <c r="B9977" s="171"/>
      <c r="C9977" s="165"/>
    </row>
    <row r="9978" spans="1:3" ht="16.8">
      <c r="A9978" s="165"/>
      <c r="B9978" s="171"/>
      <c r="C9978" s="165"/>
    </row>
    <row r="9979" spans="1:3" ht="16.8">
      <c r="A9979" s="165"/>
      <c r="B9979" s="171"/>
      <c r="C9979" s="165"/>
    </row>
    <row r="9980" spans="1:3" ht="16.8">
      <c r="A9980" s="165"/>
      <c r="B9980" s="171"/>
      <c r="C9980" s="165"/>
    </row>
    <row r="9981" spans="1:3" ht="16.8">
      <c r="A9981" s="165"/>
      <c r="B9981" s="171"/>
      <c r="C9981" s="165"/>
    </row>
    <row r="9982" spans="1:3" ht="16.8">
      <c r="A9982" s="165"/>
      <c r="B9982" s="171"/>
      <c r="C9982" s="165"/>
    </row>
    <row r="9983" spans="1:3" ht="16.8">
      <c r="A9983" s="165"/>
      <c r="B9983" s="171"/>
      <c r="C9983" s="165"/>
    </row>
    <row r="9984" spans="1:3" ht="16.8">
      <c r="A9984" s="165"/>
      <c r="B9984" s="171"/>
      <c r="C9984" s="165"/>
    </row>
    <row r="9985" spans="1:3" ht="16.8">
      <c r="A9985" s="165"/>
      <c r="B9985" s="171"/>
      <c r="C9985" s="165"/>
    </row>
    <row r="9986" spans="1:3" ht="16.8">
      <c r="A9986" s="165"/>
      <c r="B9986" s="171"/>
      <c r="C9986" s="165"/>
    </row>
    <row r="9987" spans="1:3" ht="16.8">
      <c r="A9987" s="165"/>
      <c r="B9987" s="171"/>
      <c r="C9987" s="165"/>
    </row>
    <row r="9988" spans="1:3" ht="16.8">
      <c r="A9988" s="165"/>
      <c r="B9988" s="171"/>
      <c r="C9988" s="165"/>
    </row>
    <row r="9989" spans="1:3" ht="16.8">
      <c r="A9989" s="165"/>
      <c r="B9989" s="171"/>
      <c r="C9989" s="165"/>
    </row>
    <row r="9990" spans="1:3" ht="16.8">
      <c r="A9990" s="165"/>
      <c r="B9990" s="171"/>
      <c r="C9990" s="165"/>
    </row>
    <row r="9991" spans="1:3" ht="16.8">
      <c r="A9991" s="165"/>
      <c r="B9991" s="171"/>
      <c r="C9991" s="165"/>
    </row>
    <row r="9992" spans="1:3" ht="16.8">
      <c r="A9992" s="165"/>
      <c r="B9992" s="171"/>
      <c r="C9992" s="165"/>
    </row>
    <row r="9993" spans="1:3" ht="16.8">
      <c r="A9993" s="165"/>
      <c r="B9993" s="171"/>
      <c r="C9993" s="165"/>
    </row>
    <row r="9994" spans="1:3" ht="16.8">
      <c r="A9994" s="165"/>
      <c r="B9994" s="171"/>
      <c r="C9994" s="165"/>
    </row>
    <row r="9995" spans="1:3" ht="16.8">
      <c r="A9995" s="165"/>
      <c r="B9995" s="171"/>
      <c r="C9995" s="165"/>
    </row>
    <row r="9996" spans="1:3" ht="16.8">
      <c r="A9996" s="165"/>
      <c r="B9996" s="171"/>
      <c r="C9996" s="165"/>
    </row>
    <row r="9997" spans="1:3" ht="16.8">
      <c r="A9997" s="165"/>
      <c r="B9997" s="171"/>
      <c r="C9997" s="165"/>
    </row>
    <row r="9998" spans="1:3" ht="16.8">
      <c r="A9998" s="165"/>
      <c r="B9998" s="171"/>
      <c r="C9998" s="165"/>
    </row>
    <row r="9999" spans="1:3" ht="16.8">
      <c r="A9999" s="165"/>
      <c r="B9999" s="171"/>
      <c r="C9999" s="165"/>
    </row>
    <row r="10000" spans="1:3" ht="16.8">
      <c r="A10000" s="165"/>
      <c r="B10000" s="171"/>
      <c r="C10000" s="165"/>
    </row>
    <row r="10001" spans="1:3" ht="16.8">
      <c r="A10001" s="165"/>
      <c r="B10001" s="171"/>
      <c r="C10001" s="165"/>
    </row>
    <row r="10002" spans="1:3" ht="16.8">
      <c r="A10002" s="165"/>
      <c r="B10002" s="171"/>
      <c r="C10002" s="165"/>
    </row>
    <row r="10003" spans="1:3" ht="16.8">
      <c r="A10003" s="165"/>
      <c r="B10003" s="171"/>
      <c r="C10003" s="165"/>
    </row>
    <row r="10004" spans="1:3" ht="16.8">
      <c r="A10004" s="165"/>
      <c r="B10004" s="171"/>
      <c r="C10004" s="165"/>
    </row>
    <row r="10005" spans="1:3" ht="16.8">
      <c r="A10005" s="165"/>
      <c r="B10005" s="171"/>
      <c r="C10005" s="165"/>
    </row>
    <row r="10006" spans="1:3" ht="16.8">
      <c r="A10006" s="165"/>
      <c r="B10006" s="171"/>
      <c r="C10006" s="165"/>
    </row>
    <row r="10007" spans="1:3" ht="16.8">
      <c r="A10007" s="165"/>
      <c r="B10007" s="171"/>
      <c r="C10007" s="165"/>
    </row>
    <row r="10008" spans="1:3" ht="16.8">
      <c r="A10008" s="165"/>
      <c r="B10008" s="171"/>
      <c r="C10008" s="165"/>
    </row>
    <row r="10009" spans="1:3" ht="16.8">
      <c r="A10009" s="165"/>
      <c r="B10009" s="171"/>
      <c r="C10009" s="165"/>
    </row>
    <row r="10010" spans="1:3" ht="16.8">
      <c r="A10010" s="165"/>
      <c r="B10010" s="171"/>
      <c r="C10010" s="165"/>
    </row>
    <row r="10011" spans="1:3" ht="16.8">
      <c r="A10011" s="165"/>
      <c r="B10011" s="171"/>
      <c r="C10011" s="165"/>
    </row>
    <row r="10012" spans="1:3" ht="16.8">
      <c r="A10012" s="165"/>
      <c r="B10012" s="171"/>
      <c r="C10012" s="165"/>
    </row>
    <row r="10013" spans="1:3" ht="16.8">
      <c r="A10013" s="165"/>
      <c r="B10013" s="171"/>
      <c r="C10013" s="165"/>
    </row>
    <row r="10014" spans="1:3" ht="16.8">
      <c r="A10014" s="165"/>
      <c r="B10014" s="171"/>
      <c r="C10014" s="165"/>
    </row>
    <row r="10015" spans="1:3" ht="16.8">
      <c r="A10015" s="165"/>
      <c r="B10015" s="171"/>
      <c r="C10015" s="165"/>
    </row>
    <row r="10016" spans="1:3" ht="16.8">
      <c r="A10016" s="165"/>
      <c r="B10016" s="171"/>
      <c r="C10016" s="165"/>
    </row>
    <row r="10017" spans="1:3" ht="16.8">
      <c r="A10017" s="165"/>
      <c r="B10017" s="171"/>
      <c r="C10017" s="165"/>
    </row>
    <row r="10018" spans="1:3" ht="16.8">
      <c r="A10018" s="165"/>
      <c r="B10018" s="171"/>
      <c r="C10018" s="165"/>
    </row>
    <row r="10019" spans="1:3" ht="16.8">
      <c r="A10019" s="165"/>
      <c r="B10019" s="171"/>
      <c r="C10019" s="165"/>
    </row>
    <row r="10020" spans="1:3" ht="16.8">
      <c r="A10020" s="165"/>
      <c r="B10020" s="171"/>
      <c r="C10020" s="165"/>
    </row>
    <row r="10021" spans="1:3" ht="16.8">
      <c r="A10021" s="165"/>
      <c r="B10021" s="171"/>
      <c r="C10021" s="165"/>
    </row>
    <row r="10022" spans="1:3" ht="16.8">
      <c r="A10022" s="165"/>
      <c r="B10022" s="171"/>
      <c r="C10022" s="165"/>
    </row>
    <row r="10023" spans="1:3" ht="16.8">
      <c r="A10023" s="165"/>
      <c r="B10023" s="171"/>
      <c r="C10023" s="165"/>
    </row>
    <row r="10024" spans="1:3" ht="16.8">
      <c r="A10024" s="165"/>
      <c r="B10024" s="171"/>
      <c r="C10024" s="165"/>
    </row>
    <row r="10025" spans="1:3" ht="16.8">
      <c r="A10025" s="165"/>
      <c r="B10025" s="171"/>
      <c r="C10025" s="165"/>
    </row>
    <row r="10026" spans="1:3" ht="16.8">
      <c r="A10026" s="165"/>
      <c r="B10026" s="171"/>
      <c r="C10026" s="165"/>
    </row>
    <row r="10027" spans="1:3" ht="16.8">
      <c r="A10027" s="165"/>
      <c r="B10027" s="171"/>
      <c r="C10027" s="165"/>
    </row>
    <row r="10028" spans="1:3" ht="16.8">
      <c r="A10028" s="165"/>
      <c r="B10028" s="171"/>
      <c r="C10028" s="165"/>
    </row>
    <row r="10029" spans="1:3" ht="16.8">
      <c r="A10029" s="165"/>
      <c r="B10029" s="171"/>
      <c r="C10029" s="165"/>
    </row>
    <row r="10030" spans="1:3" ht="16.8">
      <c r="A10030" s="165"/>
      <c r="B10030" s="171"/>
      <c r="C10030" s="165"/>
    </row>
    <row r="10031" spans="1:3" ht="16.8">
      <c r="A10031" s="165"/>
      <c r="B10031" s="171"/>
      <c r="C10031" s="165"/>
    </row>
    <row r="10032" spans="1:3" ht="16.8">
      <c r="A10032" s="165"/>
      <c r="B10032" s="171"/>
      <c r="C10032" s="165"/>
    </row>
    <row r="10033" spans="1:3" ht="16.8">
      <c r="A10033" s="165"/>
      <c r="B10033" s="171"/>
      <c r="C10033" s="165"/>
    </row>
    <row r="10034" spans="1:3" ht="16.8">
      <c r="A10034" s="165"/>
      <c r="B10034" s="171"/>
      <c r="C10034" s="165"/>
    </row>
    <row r="10035" spans="1:3" ht="16.8">
      <c r="A10035" s="165"/>
      <c r="B10035" s="171"/>
      <c r="C10035" s="165"/>
    </row>
    <row r="10036" spans="1:3" ht="16.8">
      <c r="A10036" s="165"/>
      <c r="B10036" s="171"/>
      <c r="C10036" s="165"/>
    </row>
    <row r="10037" spans="1:3" ht="16.8">
      <c r="A10037" s="165"/>
      <c r="B10037" s="171"/>
      <c r="C10037" s="165"/>
    </row>
    <row r="10038" spans="1:3" ht="16.8">
      <c r="A10038" s="165"/>
      <c r="B10038" s="171"/>
      <c r="C10038" s="165"/>
    </row>
    <row r="10039" spans="1:3" ht="16.8">
      <c r="A10039" s="165"/>
      <c r="B10039" s="171"/>
      <c r="C10039" s="165"/>
    </row>
    <row r="10040" spans="1:3" ht="16.8">
      <c r="A10040" s="165"/>
      <c r="B10040" s="171"/>
      <c r="C10040" s="165"/>
    </row>
    <row r="10041" spans="1:3" ht="16.8">
      <c r="A10041" s="165"/>
      <c r="B10041" s="171"/>
      <c r="C10041" s="165"/>
    </row>
    <row r="10042" spans="1:3" ht="16.8">
      <c r="A10042" s="165"/>
      <c r="B10042" s="171"/>
      <c r="C10042" s="165"/>
    </row>
    <row r="10043" spans="1:3" ht="16.8">
      <c r="A10043" s="165"/>
      <c r="B10043" s="171"/>
      <c r="C10043" s="165"/>
    </row>
    <row r="10044" spans="1:3" ht="16.8">
      <c r="A10044" s="165"/>
      <c r="B10044" s="171"/>
      <c r="C10044" s="165"/>
    </row>
    <row r="10045" spans="1:3" ht="16.8">
      <c r="A10045" s="165"/>
      <c r="B10045" s="171"/>
      <c r="C10045" s="165"/>
    </row>
    <row r="10046" spans="1:3" ht="16.8">
      <c r="A10046" s="165"/>
      <c r="B10046" s="171"/>
      <c r="C10046" s="165"/>
    </row>
    <row r="10047" spans="1:3" ht="16.8">
      <c r="A10047" s="165"/>
      <c r="B10047" s="171"/>
      <c r="C10047" s="165"/>
    </row>
    <row r="10048" spans="1:3" ht="16.8">
      <c r="A10048" s="165"/>
      <c r="B10048" s="171"/>
      <c r="C10048" s="165"/>
    </row>
    <row r="10049" spans="1:3" ht="16.8">
      <c r="A10049" s="165"/>
      <c r="B10049" s="171"/>
      <c r="C10049" s="165"/>
    </row>
    <row r="10050" spans="1:3" ht="16.8">
      <c r="A10050" s="165"/>
      <c r="B10050" s="171"/>
      <c r="C10050" s="165"/>
    </row>
    <row r="10051" spans="1:3" ht="16.8">
      <c r="A10051" s="165"/>
      <c r="B10051" s="171"/>
      <c r="C10051" s="165"/>
    </row>
    <row r="10052" spans="1:3" ht="16.8">
      <c r="A10052" s="165"/>
      <c r="B10052" s="171"/>
      <c r="C10052" s="165"/>
    </row>
    <row r="10053" spans="1:3" ht="16.8">
      <c r="A10053" s="165"/>
      <c r="B10053" s="171"/>
      <c r="C10053" s="165"/>
    </row>
    <row r="10054" spans="1:3" ht="16.8">
      <c r="A10054" s="165"/>
      <c r="B10054" s="171"/>
      <c r="C10054" s="165"/>
    </row>
    <row r="10055" spans="1:3" ht="16.8">
      <c r="A10055" s="165"/>
      <c r="B10055" s="171"/>
      <c r="C10055" s="165"/>
    </row>
    <row r="10056" spans="1:3" ht="16.8">
      <c r="A10056" s="165"/>
      <c r="B10056" s="171"/>
      <c r="C10056" s="165"/>
    </row>
    <row r="10057" spans="1:3" ht="16.8">
      <c r="A10057" s="165"/>
      <c r="B10057" s="171"/>
      <c r="C10057" s="165"/>
    </row>
    <row r="10058" spans="1:3" ht="16.8">
      <c r="A10058" s="165"/>
      <c r="B10058" s="171"/>
      <c r="C10058" s="165"/>
    </row>
    <row r="10059" spans="1:3" ht="16.8">
      <c r="A10059" s="165"/>
      <c r="B10059" s="171"/>
      <c r="C10059" s="165"/>
    </row>
    <row r="10060" spans="1:3" ht="16.8">
      <c r="A10060" s="165"/>
      <c r="B10060" s="171"/>
      <c r="C10060" s="165"/>
    </row>
    <row r="10061" spans="1:3" ht="16.8">
      <c r="A10061" s="165"/>
      <c r="B10061" s="171"/>
      <c r="C10061" s="165"/>
    </row>
    <row r="10062" spans="1:3" ht="16.8">
      <c r="A10062" s="165"/>
      <c r="B10062" s="171"/>
      <c r="C10062" s="165"/>
    </row>
    <row r="10063" spans="1:3" ht="16.8">
      <c r="A10063" s="165"/>
      <c r="B10063" s="171"/>
      <c r="C10063" s="165"/>
    </row>
    <row r="10064" spans="1:3" ht="16.8">
      <c r="A10064" s="165"/>
      <c r="B10064" s="171"/>
      <c r="C10064" s="165"/>
    </row>
    <row r="10065" spans="1:3" ht="16.8">
      <c r="A10065" s="165"/>
      <c r="B10065" s="171"/>
      <c r="C10065" s="165"/>
    </row>
    <row r="10066" spans="1:3" ht="16.8">
      <c r="A10066" s="165"/>
      <c r="B10066" s="171"/>
      <c r="C10066" s="165"/>
    </row>
    <row r="10067" spans="1:3" ht="16.8">
      <c r="A10067" s="165"/>
      <c r="B10067" s="171"/>
      <c r="C10067" s="165"/>
    </row>
    <row r="10068" spans="1:3" ht="16.8">
      <c r="A10068" s="165"/>
      <c r="B10068" s="171"/>
      <c r="C10068" s="165"/>
    </row>
    <row r="10069" spans="1:3" ht="16.8">
      <c r="A10069" s="165"/>
      <c r="B10069" s="171"/>
      <c r="C10069" s="165"/>
    </row>
    <row r="10070" spans="1:3" ht="16.8">
      <c r="A10070" s="165"/>
      <c r="B10070" s="171"/>
      <c r="C10070" s="165"/>
    </row>
    <row r="10071" spans="1:3" ht="16.8">
      <c r="A10071" s="165"/>
      <c r="B10071" s="171"/>
      <c r="C10071" s="165"/>
    </row>
    <row r="10072" spans="1:3" ht="16.8">
      <c r="A10072" s="165"/>
      <c r="B10072" s="171"/>
      <c r="C10072" s="165"/>
    </row>
    <row r="10073" spans="1:3" ht="16.8">
      <c r="A10073" s="165"/>
      <c r="B10073" s="171"/>
      <c r="C10073" s="165"/>
    </row>
    <row r="10074" spans="1:3" ht="16.8">
      <c r="A10074" s="165"/>
      <c r="B10074" s="171"/>
      <c r="C10074" s="165"/>
    </row>
    <row r="10075" spans="1:3" ht="16.8">
      <c r="A10075" s="165"/>
      <c r="B10075" s="171"/>
      <c r="C10075" s="165"/>
    </row>
    <row r="10076" spans="1:3" ht="16.8">
      <c r="A10076" s="165"/>
      <c r="B10076" s="171"/>
      <c r="C10076" s="165"/>
    </row>
    <row r="10077" spans="1:3" ht="16.8">
      <c r="A10077" s="165"/>
      <c r="B10077" s="171"/>
      <c r="C10077" s="165"/>
    </row>
    <row r="10078" spans="1:3" ht="16.8">
      <c r="A10078" s="165"/>
      <c r="B10078" s="171"/>
      <c r="C10078" s="165"/>
    </row>
    <row r="10079" spans="1:3" ht="16.8">
      <c r="A10079" s="165"/>
      <c r="B10079" s="171"/>
      <c r="C10079" s="165"/>
    </row>
    <row r="10080" spans="1:3" ht="16.8">
      <c r="A10080" s="165"/>
      <c r="B10080" s="171"/>
      <c r="C10080" s="165"/>
    </row>
    <row r="10081" spans="1:3" ht="16.8">
      <c r="A10081" s="165"/>
      <c r="B10081" s="171"/>
      <c r="C10081" s="165"/>
    </row>
    <row r="10082" spans="1:3" ht="16.8">
      <c r="A10082" s="165"/>
      <c r="B10082" s="171"/>
      <c r="C10082" s="165"/>
    </row>
    <row r="10083" spans="1:3" ht="16.8">
      <c r="A10083" s="165"/>
      <c r="B10083" s="171"/>
      <c r="C10083" s="165"/>
    </row>
    <row r="10084" spans="1:3" ht="16.8">
      <c r="A10084" s="165"/>
      <c r="B10084" s="171"/>
      <c r="C10084" s="165"/>
    </row>
    <row r="10085" spans="1:3" ht="16.8">
      <c r="A10085" s="165"/>
      <c r="B10085" s="171"/>
      <c r="C10085" s="165"/>
    </row>
    <row r="10086" spans="1:3" ht="16.8">
      <c r="A10086" s="165"/>
      <c r="B10086" s="171"/>
      <c r="C10086" s="165"/>
    </row>
    <row r="10087" spans="1:3" ht="16.8">
      <c r="A10087" s="165"/>
      <c r="B10087" s="171"/>
      <c r="C10087" s="165"/>
    </row>
    <row r="10088" spans="1:3" ht="16.8">
      <c r="A10088" s="165"/>
      <c r="B10088" s="171"/>
      <c r="C10088" s="165"/>
    </row>
    <row r="10089" spans="1:3" ht="16.8">
      <c r="A10089" s="165"/>
      <c r="B10089" s="171"/>
      <c r="C10089" s="165"/>
    </row>
    <row r="10090" spans="1:3" ht="16.8">
      <c r="A10090" s="165"/>
      <c r="B10090" s="171"/>
      <c r="C10090" s="165"/>
    </row>
    <row r="10091" spans="1:3" ht="16.8">
      <c r="A10091" s="165"/>
      <c r="B10091" s="171"/>
      <c r="C10091" s="165"/>
    </row>
    <row r="10092" spans="1:3" ht="16.8">
      <c r="A10092" s="165"/>
      <c r="B10092" s="171"/>
      <c r="C10092" s="165"/>
    </row>
    <row r="10093" spans="1:3" ht="16.8">
      <c r="A10093" s="165"/>
      <c r="B10093" s="171"/>
      <c r="C10093" s="165"/>
    </row>
    <row r="10094" spans="1:3" ht="16.8">
      <c r="A10094" s="165"/>
      <c r="B10094" s="171"/>
      <c r="C10094" s="165"/>
    </row>
    <row r="10095" spans="1:3" ht="16.8">
      <c r="A10095" s="165"/>
      <c r="B10095" s="171"/>
      <c r="C10095" s="165"/>
    </row>
    <row r="10096" spans="1:3" ht="16.8">
      <c r="A10096" s="165"/>
      <c r="B10096" s="171"/>
      <c r="C10096" s="165"/>
    </row>
    <row r="10097" spans="1:3" ht="16.8">
      <c r="A10097" s="165"/>
      <c r="B10097" s="171"/>
      <c r="C10097" s="165"/>
    </row>
    <row r="10098" spans="1:3" ht="16.8">
      <c r="A10098" s="165"/>
      <c r="B10098" s="171"/>
      <c r="C10098" s="165"/>
    </row>
    <row r="10099" spans="1:3" ht="16.8">
      <c r="A10099" s="165"/>
      <c r="B10099" s="171"/>
      <c r="C10099" s="165"/>
    </row>
    <row r="10100" spans="1:3" ht="16.8">
      <c r="A10100" s="165"/>
      <c r="B10100" s="171"/>
      <c r="C10100" s="165"/>
    </row>
    <row r="10101" spans="1:3" ht="16.8">
      <c r="A10101" s="165"/>
      <c r="B10101" s="171"/>
      <c r="C10101" s="165"/>
    </row>
    <row r="10102" spans="1:3" ht="16.8">
      <c r="A10102" s="165"/>
      <c r="B10102" s="171"/>
      <c r="C10102" s="165"/>
    </row>
    <row r="10103" spans="1:3" ht="16.8">
      <c r="A10103" s="165"/>
      <c r="B10103" s="171"/>
      <c r="C10103" s="165"/>
    </row>
    <row r="10104" spans="1:3" ht="16.8">
      <c r="A10104" s="165"/>
      <c r="B10104" s="171"/>
      <c r="C10104" s="165"/>
    </row>
    <row r="10105" spans="1:3" ht="16.8">
      <c r="A10105" s="165"/>
      <c r="B10105" s="171"/>
      <c r="C10105" s="165"/>
    </row>
    <row r="10106" spans="1:3" ht="16.8">
      <c r="A10106" s="165"/>
      <c r="B10106" s="171"/>
      <c r="C10106" s="165"/>
    </row>
  </sheetData>
  <autoFilter ref="A1:B8226" xr:uid="{00000000-0009-0000-0000-000005000000}"/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907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22.44140625" customWidth="1"/>
    <col min="2" max="2" width="112.109375" customWidth="1"/>
    <col min="3" max="3" width="18.109375" customWidth="1"/>
    <col min="4" max="4" width="11.88671875" customWidth="1"/>
    <col min="5" max="5" width="13.44140625" customWidth="1"/>
    <col min="6" max="6" width="24.109375" customWidth="1"/>
    <col min="7" max="7" width="80.44140625" customWidth="1"/>
    <col min="8" max="8" width="93" customWidth="1"/>
    <col min="9" max="9" width="7.5546875" customWidth="1"/>
    <col min="10" max="10" width="20" customWidth="1"/>
    <col min="11" max="11" width="21.33203125" customWidth="1"/>
    <col min="12" max="12" width="143.109375" customWidth="1"/>
    <col min="13" max="13" width="5" customWidth="1"/>
    <col min="14" max="14" width="6" customWidth="1"/>
    <col min="15" max="15" width="7" customWidth="1"/>
    <col min="16" max="16" width="11" customWidth="1"/>
    <col min="17" max="17" width="12.33203125" customWidth="1"/>
    <col min="18" max="18" width="10.5546875" customWidth="1"/>
    <col min="19" max="19" width="19" customWidth="1"/>
    <col min="20" max="20" width="6" customWidth="1"/>
    <col min="21" max="21" width="14" customWidth="1"/>
    <col min="22" max="22" width="11" customWidth="1"/>
    <col min="23" max="23" width="46" customWidth="1"/>
    <col min="24" max="24" width="33" customWidth="1"/>
    <col min="25" max="25" width="13" customWidth="1"/>
    <col min="26" max="26" width="43" customWidth="1"/>
    <col min="27" max="27" width="12" customWidth="1"/>
  </cols>
  <sheetData>
    <row r="1" spans="1:27" ht="15.75" customHeight="1">
      <c r="A1" s="172"/>
      <c r="B1" s="173" t="s">
        <v>1495</v>
      </c>
      <c r="C1" s="174"/>
      <c r="D1" s="175"/>
      <c r="E1" s="174"/>
      <c r="F1" s="176"/>
      <c r="G1" s="177" t="s">
        <v>1496</v>
      </c>
      <c r="H1" s="46" t="s">
        <v>1496</v>
      </c>
      <c r="I1" s="174"/>
      <c r="J1" s="177" t="s">
        <v>1496</v>
      </c>
      <c r="K1" s="176"/>
      <c r="L1" s="174" t="s">
        <v>1496</v>
      </c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</row>
    <row r="2" spans="1:27" ht="16.8">
      <c r="A2" s="178" t="s">
        <v>1497</v>
      </c>
      <c r="B2" s="179" t="s">
        <v>2</v>
      </c>
      <c r="C2" s="180" t="s">
        <v>1498</v>
      </c>
      <c r="D2" s="180" t="s">
        <v>1499</v>
      </c>
      <c r="E2" s="180" t="s">
        <v>1500</v>
      </c>
      <c r="F2" s="181" t="s">
        <v>1497</v>
      </c>
      <c r="G2" s="182"/>
      <c r="H2" s="183" t="s">
        <v>1501</v>
      </c>
      <c r="I2" s="182" t="s">
        <v>1502</v>
      </c>
      <c r="J2" s="135"/>
      <c r="K2" s="181" t="s">
        <v>1497</v>
      </c>
      <c r="L2" s="182" t="s">
        <v>1501</v>
      </c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4"/>
      <c r="Z2" s="184"/>
      <c r="AA2" s="184"/>
    </row>
    <row r="3" spans="1:27" ht="16.8">
      <c r="A3" s="185"/>
      <c r="B3" s="186" t="s">
        <v>1503</v>
      </c>
      <c r="C3" s="187">
        <v>1163.74</v>
      </c>
      <c r="D3" s="188">
        <v>229.82</v>
      </c>
      <c r="E3" s="189">
        <v>267451.65000000002</v>
      </c>
      <c r="F3" s="190" t="s">
        <v>50</v>
      </c>
      <c r="G3" s="191" t="str">
        <f ca="1">IFERROR(__xludf.DUMMYFUNCTION("FLATTEN(ARRAYFORMULA({""PISO""; ""FORRO CONVENCIONAL""; ""PAINEL CARVALHO""; ""FORRO FINCAPINO""; ""FORRO AUTOBROCANTE""; ""FORRO INOX""; ""DECK 10""; ""DECK 05""; ""RODAPÉ""} &amp; "" "" &amp; TRANSPOSE(B3:B158)))"),"PISO CARVALHO EUROPEU MARRONE CHEVRON 15/3 X 1900X 740MM")</f>
        <v>PISO CARVALHO EUROPEU MARRONE CHEVRON 15/3 X 1900X 740MM</v>
      </c>
      <c r="H3" s="192" t="s">
        <v>51</v>
      </c>
      <c r="I3" s="182" t="str">
        <f t="shared" ref="I3:I42" ca="1" si="0">IFERROR(INDEX($D$3:$D$2001,MATCH(TRUE,ISNUMBER(FIND($B$3:$B$2001,G3)),0)),"")</f>
        <v/>
      </c>
      <c r="J3" s="193"/>
      <c r="K3" s="190" t="s">
        <v>50</v>
      </c>
      <c r="L3" s="182" t="s">
        <v>51</v>
      </c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94"/>
      <c r="Z3" s="194"/>
      <c r="AA3" s="194"/>
    </row>
    <row r="4" spans="1:27" ht="16.8">
      <c r="A4" s="185"/>
      <c r="B4" s="186" t="s">
        <v>1504</v>
      </c>
      <c r="C4" s="188">
        <v>0</v>
      </c>
      <c r="D4" s="188">
        <v>194.56</v>
      </c>
      <c r="E4" s="188">
        <v>0</v>
      </c>
      <c r="F4" s="190" t="s">
        <v>52</v>
      </c>
      <c r="G4" s="191" t="str">
        <f ca="1">IFERROR(__xludf.DUMMYFUNCTION("""COMPUTED_VALUE"""),"PISO CARVALHO EUROPEU MARRONE 15/3 X 125 X 1200MM")</f>
        <v>PISO CARVALHO EUROPEU MARRONE 15/3 X 125 X 1200MM</v>
      </c>
      <c r="H4" s="192" t="s">
        <v>53</v>
      </c>
      <c r="I4" s="182" t="str">
        <f t="shared" ca="1" si="0"/>
        <v/>
      </c>
      <c r="J4" s="193"/>
      <c r="K4" s="190" t="s">
        <v>52</v>
      </c>
      <c r="L4" s="182" t="s">
        <v>53</v>
      </c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4"/>
      <c r="Z4" s="184"/>
      <c r="AA4" s="184"/>
    </row>
    <row r="5" spans="1:27" ht="16.8">
      <c r="A5" s="185"/>
      <c r="B5" s="186" t="s">
        <v>1505</v>
      </c>
      <c r="C5" s="195"/>
      <c r="D5" s="188">
        <v>229.82</v>
      </c>
      <c r="E5" s="188">
        <v>0</v>
      </c>
      <c r="F5" s="190" t="s">
        <v>54</v>
      </c>
      <c r="G5" s="191" t="str">
        <f ca="1">IFERROR(__xludf.DUMMYFUNCTION("""COMPUTED_VALUE"""),"PISO CARVALHO EUROPEU MARRONE 15/3 X 190 X 1900MM")</f>
        <v>PISO CARVALHO EUROPEU MARRONE 15/3 X 190 X 1900MM</v>
      </c>
      <c r="H5" s="192" t="s">
        <v>55</v>
      </c>
      <c r="I5" s="182" t="str">
        <f t="shared" ca="1" si="0"/>
        <v/>
      </c>
      <c r="J5" s="193"/>
      <c r="K5" s="190" t="s">
        <v>54</v>
      </c>
      <c r="L5" s="182" t="s">
        <v>55</v>
      </c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4"/>
      <c r="Z5" s="184"/>
      <c r="AA5" s="184"/>
    </row>
    <row r="6" spans="1:27" ht="16.8">
      <c r="A6" s="185"/>
      <c r="B6" s="186" t="s">
        <v>1506</v>
      </c>
      <c r="C6" s="195"/>
      <c r="D6" s="188">
        <v>270.56</v>
      </c>
      <c r="E6" s="188">
        <v>0</v>
      </c>
      <c r="F6" s="190" t="s">
        <v>56</v>
      </c>
      <c r="G6" s="191" t="str">
        <f ca="1">IFERROR(__xludf.DUMMYFUNCTION("""COMPUTED_VALUE"""),"PISO CARVALHO EUROPEU MARRONE 20/6 X 300 X 4000MM")</f>
        <v>PISO CARVALHO EUROPEU MARRONE 20/6 X 300 X 4000MM</v>
      </c>
      <c r="H6" s="192" t="s">
        <v>57</v>
      </c>
      <c r="I6" s="182" t="str">
        <f t="shared" ca="1" si="0"/>
        <v/>
      </c>
      <c r="J6" s="193"/>
      <c r="K6" s="190" t="s">
        <v>56</v>
      </c>
      <c r="L6" s="182" t="s">
        <v>57</v>
      </c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4"/>
      <c r="Z6" s="184"/>
      <c r="AA6" s="184"/>
    </row>
    <row r="7" spans="1:27" ht="16.8">
      <c r="A7" s="185"/>
      <c r="B7" s="186" t="s">
        <v>1507</v>
      </c>
      <c r="C7" s="195"/>
      <c r="D7" s="188">
        <v>304</v>
      </c>
      <c r="E7" s="188">
        <v>0</v>
      </c>
      <c r="F7" s="190" t="s">
        <v>58</v>
      </c>
      <c r="G7" s="191" t="str">
        <f ca="1">IFERROR(__xludf.DUMMYFUNCTION("""COMPUTED_VALUE"""),"PISO CARVALHO EUROPEU MARRONE 20/6 X 400 X 5000MM")</f>
        <v>PISO CARVALHO EUROPEU MARRONE 20/6 X 400 X 5000MM</v>
      </c>
      <c r="H7" s="192" t="s">
        <v>59</v>
      </c>
      <c r="I7" s="182" t="str">
        <f t="shared" ca="1" si="0"/>
        <v/>
      </c>
      <c r="J7" s="193"/>
      <c r="K7" s="190" t="s">
        <v>58</v>
      </c>
      <c r="L7" s="182" t="s">
        <v>59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4"/>
      <c r="Z7" s="184"/>
      <c r="AA7" s="184"/>
    </row>
    <row r="8" spans="1:27" ht="16.8">
      <c r="A8" s="185"/>
      <c r="B8" s="186" t="s">
        <v>1508</v>
      </c>
      <c r="C8" s="196">
        <v>700</v>
      </c>
      <c r="D8" s="188">
        <v>229.82</v>
      </c>
      <c r="E8" s="189">
        <v>160874</v>
      </c>
      <c r="F8" s="197" t="s">
        <v>60</v>
      </c>
      <c r="G8" s="191" t="str">
        <f ca="1">IFERROR(__xludf.DUMMYFUNCTION("""COMPUTED_VALUE"""),"PISO CARVALHO EUROPEU MONT BLANC CHEVRON 15/3 X 1900X 740MM")</f>
        <v>PISO CARVALHO EUROPEU MONT BLANC CHEVRON 15/3 X 1900X 740MM</v>
      </c>
      <c r="H8" s="192" t="s">
        <v>61</v>
      </c>
      <c r="I8" s="182" t="str">
        <f t="shared" ca="1" si="0"/>
        <v/>
      </c>
      <c r="J8" s="193"/>
      <c r="K8" s="197" t="s">
        <v>60</v>
      </c>
      <c r="L8" s="182" t="s">
        <v>61</v>
      </c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4"/>
      <c r="Z8" s="184"/>
      <c r="AA8" s="184"/>
    </row>
    <row r="9" spans="1:27" ht="16.8">
      <c r="A9" s="185"/>
      <c r="B9" s="186" t="s">
        <v>1509</v>
      </c>
      <c r="C9" s="196">
        <v>706.5</v>
      </c>
      <c r="D9" s="188">
        <v>194.56</v>
      </c>
      <c r="E9" s="189">
        <v>137456.64000000001</v>
      </c>
      <c r="F9" s="190" t="s">
        <v>62</v>
      </c>
      <c r="G9" s="191" t="str">
        <f ca="1">IFERROR(__xludf.DUMMYFUNCTION("""COMPUTED_VALUE"""),"PISO CARVALHO EUROPEU MONT BLANC ESPINHA DE PEIXE TG 15/3 X 125X900MM")</f>
        <v>PISO CARVALHO EUROPEU MONT BLANC ESPINHA DE PEIXE TG 15/3 X 125X900MM</v>
      </c>
      <c r="H9" s="192" t="s">
        <v>63</v>
      </c>
      <c r="I9" s="182" t="str">
        <f t="shared" ca="1" si="0"/>
        <v/>
      </c>
      <c r="J9" s="193"/>
      <c r="K9" s="190" t="s">
        <v>62</v>
      </c>
      <c r="L9" s="182" t="s">
        <v>63</v>
      </c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4"/>
      <c r="Z9" s="184"/>
      <c r="AA9" s="184"/>
    </row>
    <row r="10" spans="1:27" ht="16.8">
      <c r="A10" s="185"/>
      <c r="B10" s="186" t="s">
        <v>1510</v>
      </c>
      <c r="C10" s="196">
        <v>504</v>
      </c>
      <c r="D10" s="188">
        <v>194.56</v>
      </c>
      <c r="E10" s="189">
        <v>98058.240000000005</v>
      </c>
      <c r="F10" s="190" t="s">
        <v>64</v>
      </c>
      <c r="G10" s="191" t="str">
        <f ca="1">IFERROR(__xludf.DUMMYFUNCTION("""COMPUTED_VALUE"""),"PISO CARVALHO EUROPEU MONT BLANC 15/3 X 125 X 1200MM")</f>
        <v>PISO CARVALHO EUROPEU MONT BLANC 15/3 X 125 X 1200MM</v>
      </c>
      <c r="H10" s="192" t="s">
        <v>65</v>
      </c>
      <c r="I10" s="182" t="str">
        <f t="shared" ca="1" si="0"/>
        <v/>
      </c>
      <c r="J10" s="193"/>
      <c r="K10" s="190" t="s">
        <v>64</v>
      </c>
      <c r="L10" s="182" t="s">
        <v>65</v>
      </c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4"/>
      <c r="Z10" s="184"/>
      <c r="AA10" s="184"/>
    </row>
    <row r="11" spans="1:27" ht="16.8">
      <c r="A11" s="185"/>
      <c r="B11" s="186" t="s">
        <v>1511</v>
      </c>
      <c r="C11" s="187">
        <v>2350.5500000000002</v>
      </c>
      <c r="D11" s="188">
        <v>229.82</v>
      </c>
      <c r="E11" s="189">
        <v>540203.4</v>
      </c>
      <c r="F11" s="190" t="s">
        <v>66</v>
      </c>
      <c r="G11" s="191" t="str">
        <f ca="1">IFERROR(__xludf.DUMMYFUNCTION("""COMPUTED_VALUE"""),"PISO CARVALHO EUROPEU MONT BLANC 15/3 X 190 X 1900MM")</f>
        <v>PISO CARVALHO EUROPEU MONT BLANC 15/3 X 190 X 1900MM</v>
      </c>
      <c r="H11" s="192" t="s">
        <v>67</v>
      </c>
      <c r="I11" s="182" t="str">
        <f t="shared" ca="1" si="0"/>
        <v/>
      </c>
      <c r="J11" s="193"/>
      <c r="K11" s="190" t="s">
        <v>66</v>
      </c>
      <c r="L11" s="182" t="s">
        <v>67</v>
      </c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4"/>
      <c r="Z11" s="184"/>
      <c r="AA11" s="184"/>
    </row>
    <row r="12" spans="1:27" ht="16.8">
      <c r="A12" s="185"/>
      <c r="B12" s="186" t="s">
        <v>1512</v>
      </c>
      <c r="C12" s="187">
        <v>2005.2</v>
      </c>
      <c r="D12" s="188">
        <v>270.56</v>
      </c>
      <c r="E12" s="189">
        <v>542526.91</v>
      </c>
      <c r="F12" s="190" t="s">
        <v>68</v>
      </c>
      <c r="G12" s="191" t="str">
        <f ca="1">IFERROR(__xludf.DUMMYFUNCTION("""COMPUTED_VALUE"""),"PISO CARVALHO EUROPEU MONT BLANC 20/6 X 300 X 4000MM")</f>
        <v>PISO CARVALHO EUROPEU MONT BLANC 20/6 X 300 X 4000MM</v>
      </c>
      <c r="H12" s="192" t="s">
        <v>69</v>
      </c>
      <c r="I12" s="182" t="str">
        <f t="shared" ca="1" si="0"/>
        <v/>
      </c>
      <c r="J12" s="193"/>
      <c r="K12" s="190" t="s">
        <v>68</v>
      </c>
      <c r="L12" s="182" t="s">
        <v>69</v>
      </c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4"/>
      <c r="Z12" s="184"/>
      <c r="AA12" s="184"/>
    </row>
    <row r="13" spans="1:27" ht="16.8">
      <c r="A13" s="185"/>
      <c r="B13" s="186" t="s">
        <v>1513</v>
      </c>
      <c r="C13" s="196">
        <v>515</v>
      </c>
      <c r="D13" s="188">
        <v>304</v>
      </c>
      <c r="E13" s="189">
        <v>156560</v>
      </c>
      <c r="F13" s="198" t="s">
        <v>1514</v>
      </c>
      <c r="G13" s="182" t="str">
        <f ca="1">IFERROR(__xludf.DUMMYFUNCTION("""COMPUTED_VALUE"""),"PISO CARVALHO EUROPEU MONT BLANC 20/6 X 400 X 5000MM")</f>
        <v>PISO CARVALHO EUROPEU MONT BLANC 20/6 X 400 X 5000MM</v>
      </c>
      <c r="H13" s="192" t="s">
        <v>108</v>
      </c>
      <c r="I13" s="182" t="str">
        <f t="shared" ca="1" si="0"/>
        <v/>
      </c>
      <c r="J13" s="193"/>
      <c r="K13" s="198" t="s">
        <v>1514</v>
      </c>
      <c r="L13" s="182" t="s">
        <v>108</v>
      </c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94"/>
      <c r="Z13" s="194"/>
      <c r="AA13" s="194"/>
    </row>
    <row r="14" spans="1:27" ht="16.8">
      <c r="A14" s="185"/>
      <c r="B14" s="186" t="s">
        <v>1515</v>
      </c>
      <c r="C14" s="187">
        <v>1535.03</v>
      </c>
      <c r="D14" s="188">
        <v>194.56</v>
      </c>
      <c r="E14" s="189">
        <v>298655.44</v>
      </c>
      <c r="F14" s="198" t="s">
        <v>1516</v>
      </c>
      <c r="G14" s="182" t="str">
        <f ca="1">IFERROR(__xludf.DUMMYFUNCTION("""COMPUTED_VALUE"""),"PISO CARVALHO EUROPEU NATURAL CHEVRON TG 15/3 X 125 X 775MM")</f>
        <v>PISO CARVALHO EUROPEU NATURAL CHEVRON TG 15/3 X 125 X 775MM</v>
      </c>
      <c r="H14" s="192" t="s">
        <v>109</v>
      </c>
      <c r="I14" s="182" t="str">
        <f t="shared" ca="1" si="0"/>
        <v/>
      </c>
      <c r="J14" s="193"/>
      <c r="K14" s="198" t="s">
        <v>1516</v>
      </c>
      <c r="L14" s="182" t="s">
        <v>109</v>
      </c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4"/>
      <c r="Z14" s="184"/>
      <c r="AA14" s="184"/>
    </row>
    <row r="15" spans="1:27" ht="16.8">
      <c r="A15" s="185"/>
      <c r="B15" s="186" t="s">
        <v>1517</v>
      </c>
      <c r="C15" s="196">
        <v>797.49</v>
      </c>
      <c r="D15" s="188">
        <v>229.82</v>
      </c>
      <c r="E15" s="189">
        <v>183278</v>
      </c>
      <c r="F15" s="198" t="s">
        <v>1518</v>
      </c>
      <c r="G15" s="182" t="str">
        <f ca="1">IFERROR(__xludf.DUMMYFUNCTION("""COMPUTED_VALUE"""),"PISO CARVALHO EUROPEU NATURALLE CHEVRON 15/3 X 1900X 740MM")</f>
        <v>PISO CARVALHO EUROPEU NATURALLE CHEVRON 15/3 X 1900X 740MM</v>
      </c>
      <c r="H15" s="192" t="s">
        <v>110</v>
      </c>
      <c r="I15" s="182" t="str">
        <f t="shared" ca="1" si="0"/>
        <v/>
      </c>
      <c r="J15" s="193"/>
      <c r="K15" s="198" t="s">
        <v>1518</v>
      </c>
      <c r="L15" s="182" t="s">
        <v>110</v>
      </c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4"/>
      <c r="Z15" s="184"/>
      <c r="AA15" s="184"/>
    </row>
    <row r="16" spans="1:27" ht="16.8">
      <c r="A16" s="185"/>
      <c r="B16" s="186" t="s">
        <v>1519</v>
      </c>
      <c r="C16" s="187">
        <v>1002</v>
      </c>
      <c r="D16" s="188">
        <v>229.82</v>
      </c>
      <c r="E16" s="189">
        <v>230279.64</v>
      </c>
      <c r="F16" s="198" t="s">
        <v>1520</v>
      </c>
      <c r="G16" s="182" t="str">
        <f ca="1">IFERROR(__xludf.DUMMYFUNCTION("""COMPUTED_VALUE"""),"PISO CARVALHO EUROPEU NATURALLE CHEVRON 60º 15/3 X 1900X 910MM")</f>
        <v>PISO CARVALHO EUROPEU NATURALLE CHEVRON 60º 15/3 X 1900X 910MM</v>
      </c>
      <c r="H16" s="192" t="s">
        <v>111</v>
      </c>
      <c r="I16" s="182" t="str">
        <f t="shared" ca="1" si="0"/>
        <v/>
      </c>
      <c r="J16" s="193"/>
      <c r="K16" s="198" t="s">
        <v>1520</v>
      </c>
      <c r="L16" s="182" t="s">
        <v>111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4"/>
      <c r="Z16" s="184"/>
      <c r="AA16" s="184"/>
    </row>
    <row r="17" spans="1:27" ht="16.8">
      <c r="A17" s="185"/>
      <c r="B17" s="186" t="s">
        <v>1521</v>
      </c>
      <c r="C17" s="196">
        <v>148</v>
      </c>
      <c r="D17" s="188">
        <v>124.64</v>
      </c>
      <c r="E17" s="189">
        <v>18446.72</v>
      </c>
      <c r="F17" s="198" t="s">
        <v>1522</v>
      </c>
      <c r="G17" s="182" t="str">
        <f ca="1">IFERROR(__xludf.DUMMYFUNCTION("""COMPUTED_VALUE"""),"PISO CARVALHO EUROPEU NATURALLE FINE 10/06 X 1900 X 1900MM")</f>
        <v>PISO CARVALHO EUROPEU NATURALLE FINE 10/06 X 1900 X 1900MM</v>
      </c>
      <c r="H17" s="192" t="s">
        <v>112</v>
      </c>
      <c r="I17" s="182" t="str">
        <f t="shared" ca="1" si="0"/>
        <v/>
      </c>
      <c r="J17" s="193"/>
      <c r="K17" s="198" t="s">
        <v>1522</v>
      </c>
      <c r="L17" s="182" t="s">
        <v>112</v>
      </c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4"/>
      <c r="Z17" s="184"/>
      <c r="AA17" s="184"/>
    </row>
    <row r="18" spans="1:27" ht="16.8">
      <c r="A18" s="185"/>
      <c r="B18" s="186" t="s">
        <v>1523</v>
      </c>
      <c r="C18" s="187">
        <v>1162.8599999999999</v>
      </c>
      <c r="D18" s="188">
        <v>194.56</v>
      </c>
      <c r="E18" s="189">
        <v>226246.04</v>
      </c>
      <c r="F18" s="198" t="s">
        <v>1524</v>
      </c>
      <c r="G18" s="182" t="str">
        <f ca="1">IFERROR(__xludf.DUMMYFUNCTION("""COMPUTED_VALUE"""),"PISO CARVALHO EUROPEU NATURALLE 15/3 X 125 X 1200MM")</f>
        <v>PISO CARVALHO EUROPEU NATURALLE 15/3 X 125 X 1200MM</v>
      </c>
      <c r="H18" s="192" t="s">
        <v>113</v>
      </c>
      <c r="I18" s="182" t="str">
        <f t="shared" ca="1" si="0"/>
        <v/>
      </c>
      <c r="J18" s="193"/>
      <c r="K18" s="198" t="s">
        <v>1524</v>
      </c>
      <c r="L18" s="182" t="s">
        <v>113</v>
      </c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4"/>
      <c r="Z18" s="184"/>
      <c r="AA18" s="184"/>
    </row>
    <row r="19" spans="1:27" ht="16.8">
      <c r="A19" s="185"/>
      <c r="B19" s="186" t="s">
        <v>1525</v>
      </c>
      <c r="C19" s="187">
        <v>5911.06</v>
      </c>
      <c r="D19" s="188">
        <v>229.82</v>
      </c>
      <c r="E19" s="189">
        <v>1358480.73</v>
      </c>
      <c r="F19" s="198" t="s">
        <v>1526</v>
      </c>
      <c r="G19" s="182" t="str">
        <f ca="1">IFERROR(__xludf.DUMMYFUNCTION("""COMPUTED_VALUE"""),"PISO CARVALHO EUROPEU NATURALLE 15/3 X 190 X 1900MM")</f>
        <v>PISO CARVALHO EUROPEU NATURALLE 15/3 X 190 X 1900MM</v>
      </c>
      <c r="H19" s="192" t="s">
        <v>114</v>
      </c>
      <c r="I19" s="182" t="str">
        <f t="shared" ca="1" si="0"/>
        <v/>
      </c>
      <c r="J19" s="193"/>
      <c r="K19" s="198" t="s">
        <v>1526</v>
      </c>
      <c r="L19" s="182" t="s">
        <v>114</v>
      </c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4"/>
      <c r="Z19" s="184"/>
      <c r="AA19" s="184"/>
    </row>
    <row r="20" spans="1:27" ht="16.8">
      <c r="A20" s="185"/>
      <c r="B20" s="186" t="s">
        <v>1527</v>
      </c>
      <c r="C20" s="196">
        <v>5</v>
      </c>
      <c r="D20" s="188">
        <v>270.56</v>
      </c>
      <c r="E20" s="189">
        <v>1352.8</v>
      </c>
      <c r="F20" s="198" t="s">
        <v>1528</v>
      </c>
      <c r="G20" s="182" t="str">
        <f ca="1">IFERROR(__xludf.DUMMYFUNCTION("""COMPUTED_VALUE"""),"PISO CARVALHO EUROPEU NATURALLE 20/6 X 300 X 4000MM")</f>
        <v>PISO CARVALHO EUROPEU NATURALLE 20/6 X 300 X 4000MM</v>
      </c>
      <c r="H20" s="192" t="s">
        <v>115</v>
      </c>
      <c r="I20" s="182" t="str">
        <f t="shared" ca="1" si="0"/>
        <v/>
      </c>
      <c r="J20" s="193"/>
      <c r="K20" s="198" t="s">
        <v>1528</v>
      </c>
      <c r="L20" s="182" t="s">
        <v>115</v>
      </c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4"/>
      <c r="Z20" s="184"/>
      <c r="AA20" s="184"/>
    </row>
    <row r="21" spans="1:27" ht="16.8">
      <c r="A21" s="185"/>
      <c r="B21" s="186" t="s">
        <v>1529</v>
      </c>
      <c r="C21" s="195"/>
      <c r="D21" s="188">
        <v>304</v>
      </c>
      <c r="E21" s="188">
        <v>0</v>
      </c>
      <c r="F21" s="198" t="s">
        <v>1530</v>
      </c>
      <c r="G21" s="182" t="str">
        <f ca="1">IFERROR(__xludf.DUMMYFUNCTION("""COMPUTED_VALUE"""),"PISO CARVALHO EUROPEU NATURALLE 20/6 X 400 X 5000MM")</f>
        <v>PISO CARVALHO EUROPEU NATURALLE 20/6 X 400 X 5000MM</v>
      </c>
      <c r="H21" s="192" t="s">
        <v>116</v>
      </c>
      <c r="I21" s="182" t="str">
        <f t="shared" ca="1" si="0"/>
        <v/>
      </c>
      <c r="J21" s="193"/>
      <c r="K21" s="198" t="s">
        <v>1530</v>
      </c>
      <c r="L21" s="182" t="s">
        <v>116</v>
      </c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4"/>
      <c r="Z21" s="184"/>
      <c r="AA21" s="184"/>
    </row>
    <row r="22" spans="1:27" ht="16.8">
      <c r="A22" s="185"/>
      <c r="B22" s="186" t="s">
        <v>1531</v>
      </c>
      <c r="C22" s="195"/>
      <c r="D22" s="188">
        <v>229.82</v>
      </c>
      <c r="E22" s="188">
        <v>0</v>
      </c>
      <c r="F22" s="198" t="s">
        <v>1532</v>
      </c>
      <c r="G22" s="182" t="str">
        <f ca="1">IFERROR(__xludf.DUMMYFUNCTION("""COMPUTED_VALUE"""),"PISO CARVALHO EUROPEU CAPUCCINO CHEVRON 15/3 X 1900X 740MM")</f>
        <v>PISO CARVALHO EUROPEU CAPUCCINO CHEVRON 15/3 X 1900X 740MM</v>
      </c>
      <c r="H22" s="192" t="s">
        <v>117</v>
      </c>
      <c r="I22" s="182" t="str">
        <f t="shared" ca="1" si="0"/>
        <v/>
      </c>
      <c r="J22" s="193"/>
      <c r="K22" s="198" t="s">
        <v>1532</v>
      </c>
      <c r="L22" s="182" t="s">
        <v>117</v>
      </c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4"/>
      <c r="Z22" s="184"/>
      <c r="AA22" s="184"/>
    </row>
    <row r="23" spans="1:27" ht="16.8">
      <c r="A23" s="185"/>
      <c r="B23" s="186" t="s">
        <v>1533</v>
      </c>
      <c r="C23" s="188">
        <v>705.6</v>
      </c>
      <c r="D23" s="188">
        <v>194.56</v>
      </c>
      <c r="E23" s="189">
        <v>137281.54</v>
      </c>
      <c r="F23" s="198" t="s">
        <v>1534</v>
      </c>
      <c r="G23" s="182" t="str">
        <f ca="1">IFERROR(__xludf.DUMMYFUNCTION("""COMPUTED_VALUE"""),"PISO CARVALHO EUROPEU CAPUCCINO 15/3 X 125 X 1200MM")</f>
        <v>PISO CARVALHO EUROPEU CAPUCCINO 15/3 X 125 X 1200MM</v>
      </c>
      <c r="H23" s="192" t="s">
        <v>118</v>
      </c>
      <c r="I23" s="182" t="str">
        <f t="shared" ca="1" si="0"/>
        <v/>
      </c>
      <c r="J23" s="193"/>
      <c r="K23" s="198" t="s">
        <v>1534</v>
      </c>
      <c r="L23" s="182" t="s">
        <v>118</v>
      </c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4"/>
      <c r="Z23" s="184"/>
      <c r="AA23" s="184"/>
    </row>
    <row r="24" spans="1:27" ht="16.8">
      <c r="A24" s="185"/>
      <c r="B24" s="186" t="s">
        <v>1535</v>
      </c>
      <c r="C24" s="196">
        <v>282.39999999999998</v>
      </c>
      <c r="D24" s="188">
        <v>194.56</v>
      </c>
      <c r="E24" s="189">
        <v>54943.74</v>
      </c>
      <c r="F24" s="198" t="s">
        <v>1536</v>
      </c>
      <c r="G24" s="182" t="str">
        <f ca="1">IFERROR(__xludf.DUMMYFUNCTION("""COMPUTED_VALUE"""),"PISO CARVALHO EUROPEU CAPPUCCINO ESPINHA DE PEIXE TG 15/3 X 125X900MM")</f>
        <v>PISO CARVALHO EUROPEU CAPPUCCINO ESPINHA DE PEIXE TG 15/3 X 125X900MM</v>
      </c>
      <c r="H24" s="192" t="s">
        <v>119</v>
      </c>
      <c r="I24" s="182" t="str">
        <f t="shared" ca="1" si="0"/>
        <v/>
      </c>
      <c r="J24" s="193"/>
      <c r="K24" s="198" t="s">
        <v>1536</v>
      </c>
      <c r="L24" s="182" t="s">
        <v>119</v>
      </c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94"/>
      <c r="Z24" s="194"/>
      <c r="AA24" s="194"/>
    </row>
    <row r="25" spans="1:27" ht="16.8">
      <c r="A25" s="185"/>
      <c r="B25" s="186" t="s">
        <v>1537</v>
      </c>
      <c r="C25" s="187">
        <v>1344.19</v>
      </c>
      <c r="D25" s="188">
        <v>229.82</v>
      </c>
      <c r="E25" s="189">
        <v>308921.75</v>
      </c>
      <c r="F25" s="198" t="s">
        <v>1538</v>
      </c>
      <c r="G25" s="182" t="str">
        <f ca="1">IFERROR(__xludf.DUMMYFUNCTION("""COMPUTED_VALUE"""),"PISO CARVALHO EUROPEU CAPUCCINO 15/3 X 190 X 1900MM")</f>
        <v>PISO CARVALHO EUROPEU CAPUCCINO 15/3 X 190 X 1900MM</v>
      </c>
      <c r="H25" s="192" t="s">
        <v>120</v>
      </c>
      <c r="I25" s="182" t="str">
        <f t="shared" ca="1" si="0"/>
        <v/>
      </c>
      <c r="J25" s="193"/>
      <c r="K25" s="198" t="s">
        <v>1538</v>
      </c>
      <c r="L25" s="182" t="s">
        <v>120</v>
      </c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4"/>
      <c r="Z25" s="184"/>
      <c r="AA25" s="184"/>
    </row>
    <row r="26" spans="1:27" ht="16.8">
      <c r="A26" s="185"/>
      <c r="B26" s="186" t="s">
        <v>1539</v>
      </c>
      <c r="C26" s="195"/>
      <c r="D26" s="188">
        <v>270.56</v>
      </c>
      <c r="E26" s="188">
        <v>0</v>
      </c>
      <c r="F26" s="198" t="s">
        <v>1540</v>
      </c>
      <c r="G26" s="182" t="str">
        <f ca="1">IFERROR(__xludf.DUMMYFUNCTION("""COMPUTED_VALUE"""),"PISO CARVALHO EUROPEU CAPUCCINO 20/6 X 300 X 4000MM")</f>
        <v>PISO CARVALHO EUROPEU CAPUCCINO 20/6 X 300 X 4000MM</v>
      </c>
      <c r="H26" s="192" t="s">
        <v>121</v>
      </c>
      <c r="I26" s="182" t="str">
        <f t="shared" ca="1" si="0"/>
        <v/>
      </c>
      <c r="J26" s="193"/>
      <c r="K26" s="198" t="s">
        <v>1540</v>
      </c>
      <c r="L26" s="182" t="s">
        <v>121</v>
      </c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4"/>
      <c r="Z26" s="184"/>
      <c r="AA26" s="184"/>
    </row>
    <row r="27" spans="1:27" ht="16.8">
      <c r="A27" s="185"/>
      <c r="B27" s="186" t="s">
        <v>1541</v>
      </c>
      <c r="C27" s="195"/>
      <c r="D27" s="188">
        <v>304</v>
      </c>
      <c r="E27" s="188">
        <v>0</v>
      </c>
      <c r="F27" s="198" t="s">
        <v>1542</v>
      </c>
      <c r="G27" s="182" t="str">
        <f ca="1">IFERROR(__xludf.DUMMYFUNCTION("""COMPUTED_VALUE"""),"PISO CARVALHO EUROPEU CAPUCCINO 20/6 X 400 X 5000MM")</f>
        <v>PISO CARVALHO EUROPEU CAPUCCINO 20/6 X 400 X 5000MM</v>
      </c>
      <c r="H27" s="192" t="s">
        <v>122</v>
      </c>
      <c r="I27" s="182" t="str">
        <f t="shared" ca="1" si="0"/>
        <v/>
      </c>
      <c r="J27" s="193"/>
      <c r="K27" s="198" t="s">
        <v>1542</v>
      </c>
      <c r="L27" s="182" t="s">
        <v>122</v>
      </c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4"/>
      <c r="Z27" s="184"/>
      <c r="AA27" s="184"/>
    </row>
    <row r="28" spans="1:27" ht="16.8">
      <c r="A28" s="185"/>
      <c r="B28" s="186" t="s">
        <v>1543</v>
      </c>
      <c r="C28" s="196">
        <v>188.68</v>
      </c>
      <c r="D28" s="188">
        <v>229.82</v>
      </c>
      <c r="E28" s="189">
        <v>43361.98</v>
      </c>
      <c r="F28" s="198" t="s">
        <v>1544</v>
      </c>
      <c r="G28" s="182" t="str">
        <f ca="1">IFERROR(__xludf.DUMMYFUNCTION("""COMPUTED_VALUE"""),"PISO CARVALHO EUROPEU BABY GREY CHEVRON 15/3 X 1900X 740MM")</f>
        <v>PISO CARVALHO EUROPEU BABY GREY CHEVRON 15/3 X 1900X 740MM</v>
      </c>
      <c r="H28" s="192" t="s">
        <v>123</v>
      </c>
      <c r="I28" s="182" t="str">
        <f t="shared" ca="1" si="0"/>
        <v/>
      </c>
      <c r="J28" s="193"/>
      <c r="K28" s="198" t="s">
        <v>1544</v>
      </c>
      <c r="L28" s="182" t="s">
        <v>123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4"/>
      <c r="Z28" s="184"/>
      <c r="AA28" s="184"/>
    </row>
    <row r="29" spans="1:27" ht="16.8">
      <c r="A29" s="185"/>
      <c r="B29" s="186" t="s">
        <v>1545</v>
      </c>
      <c r="C29" s="195"/>
      <c r="D29" s="188">
        <v>194.56</v>
      </c>
      <c r="E29" s="188">
        <v>0</v>
      </c>
      <c r="F29" s="198" t="s">
        <v>1546</v>
      </c>
      <c r="G29" s="182" t="str">
        <f ca="1">IFERROR(__xludf.DUMMYFUNCTION("""COMPUTED_VALUE"""),"PISO CARVALHO EUROPEU BABY GREY 15/3 X 125 X 1200MM")</f>
        <v>PISO CARVALHO EUROPEU BABY GREY 15/3 X 125 X 1200MM</v>
      </c>
      <c r="H29" s="192" t="s">
        <v>124</v>
      </c>
      <c r="I29" s="182" t="str">
        <f t="shared" ca="1" si="0"/>
        <v/>
      </c>
      <c r="J29" s="193"/>
      <c r="K29" s="198" t="s">
        <v>1546</v>
      </c>
      <c r="L29" s="182" t="s">
        <v>124</v>
      </c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4"/>
      <c r="Z29" s="184"/>
      <c r="AA29" s="184"/>
    </row>
    <row r="30" spans="1:27" ht="16.8">
      <c r="A30" s="185"/>
      <c r="B30" s="186" t="s">
        <v>1547</v>
      </c>
      <c r="C30" s="196">
        <v>348.79</v>
      </c>
      <c r="D30" s="188">
        <v>229.82</v>
      </c>
      <c r="E30" s="189">
        <v>80158.23</v>
      </c>
      <c r="F30" s="198" t="s">
        <v>1548</v>
      </c>
      <c r="G30" s="182" t="str">
        <f ca="1">IFERROR(__xludf.DUMMYFUNCTION("""COMPUTED_VALUE"""),"PISO CARVALHO EUROPEU BABY GREY 15/3 X 190 X 1900MM")</f>
        <v>PISO CARVALHO EUROPEU BABY GREY 15/3 X 190 X 1900MM</v>
      </c>
      <c r="H30" s="192" t="s">
        <v>125</v>
      </c>
      <c r="I30" s="182" t="str">
        <f t="shared" ca="1" si="0"/>
        <v/>
      </c>
      <c r="J30" s="193"/>
      <c r="K30" s="198" t="s">
        <v>1548</v>
      </c>
      <c r="L30" s="182" t="s">
        <v>125</v>
      </c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4"/>
      <c r="Z30" s="184"/>
      <c r="AA30" s="184"/>
    </row>
    <row r="31" spans="1:27" ht="16.8">
      <c r="A31" s="185"/>
      <c r="B31" s="186" t="s">
        <v>1549</v>
      </c>
      <c r="C31" s="195"/>
      <c r="D31" s="188">
        <v>270.56</v>
      </c>
      <c r="E31" s="188">
        <v>0</v>
      </c>
      <c r="F31" s="198" t="s">
        <v>1550</v>
      </c>
      <c r="G31" s="182" t="str">
        <f ca="1">IFERROR(__xludf.DUMMYFUNCTION("""COMPUTED_VALUE"""),"PISO CARVALHO EUROPEU BABY GREY 20/6 X 300 X 4000MM")</f>
        <v>PISO CARVALHO EUROPEU BABY GREY 20/6 X 300 X 4000MM</v>
      </c>
      <c r="H31" s="192" t="s">
        <v>126</v>
      </c>
      <c r="I31" s="182" t="str">
        <f t="shared" ca="1" si="0"/>
        <v/>
      </c>
      <c r="J31" s="193"/>
      <c r="K31" s="198" t="s">
        <v>1550</v>
      </c>
      <c r="L31" s="182" t="s">
        <v>126</v>
      </c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4"/>
      <c r="Z31" s="184"/>
      <c r="AA31" s="184"/>
    </row>
    <row r="32" spans="1:27" ht="16.8">
      <c r="A32" s="185"/>
      <c r="B32" s="186" t="s">
        <v>1551</v>
      </c>
      <c r="C32" s="196">
        <v>240</v>
      </c>
      <c r="D32" s="188">
        <v>304</v>
      </c>
      <c r="E32" s="189">
        <v>72960</v>
      </c>
      <c r="F32" s="198" t="s">
        <v>1552</v>
      </c>
      <c r="G32" s="182" t="str">
        <f ca="1">IFERROR(__xludf.DUMMYFUNCTION("""COMPUTED_VALUE"""),"PISO CARVALHO EUROPEU BABY GREY 20/6 X 400 X 5000MM")</f>
        <v>PISO CARVALHO EUROPEU BABY GREY 20/6 X 400 X 5000MM</v>
      </c>
      <c r="H32" s="192" t="s">
        <v>127</v>
      </c>
      <c r="I32" s="182" t="str">
        <f t="shared" ca="1" si="0"/>
        <v/>
      </c>
      <c r="J32" s="193"/>
      <c r="K32" s="198" t="s">
        <v>1552</v>
      </c>
      <c r="L32" s="182" t="s">
        <v>127</v>
      </c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4"/>
      <c r="Z32" s="184"/>
      <c r="AA32" s="184"/>
    </row>
    <row r="33" spans="1:27" ht="16.8">
      <c r="A33" s="185"/>
      <c r="B33" s="186" t="s">
        <v>1553</v>
      </c>
      <c r="C33" s="195"/>
      <c r="D33" s="188">
        <v>229.82</v>
      </c>
      <c r="E33" s="188">
        <v>0</v>
      </c>
      <c r="F33" s="198" t="s">
        <v>1554</v>
      </c>
      <c r="G33" s="182" t="str">
        <f ca="1">IFERROR(__xludf.DUMMYFUNCTION("""COMPUTED_VALUE"""),"PISO CARVALHO EUROPEU GRIGIO NERO CHEVRON 15/3 X 1900X 740MM")</f>
        <v>PISO CARVALHO EUROPEU GRIGIO NERO CHEVRON 15/3 X 1900X 740MM</v>
      </c>
      <c r="H33" s="192" t="s">
        <v>1555</v>
      </c>
      <c r="I33" s="182" t="str">
        <f t="shared" ca="1" si="0"/>
        <v/>
      </c>
      <c r="J33" s="193"/>
      <c r="K33" s="198" t="s">
        <v>1554</v>
      </c>
      <c r="L33" s="182" t="s">
        <v>1555</v>
      </c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4"/>
      <c r="Z33" s="184"/>
      <c r="AA33" s="184"/>
    </row>
    <row r="34" spans="1:27" ht="16.8">
      <c r="A34" s="185"/>
      <c r="B34" s="186" t="s">
        <v>1556</v>
      </c>
      <c r="C34" s="195"/>
      <c r="D34" s="188">
        <v>194.56</v>
      </c>
      <c r="E34" s="188">
        <v>0</v>
      </c>
      <c r="F34" s="198" t="s">
        <v>1557</v>
      </c>
      <c r="G34" s="182" t="str">
        <f ca="1">IFERROR(__xludf.DUMMYFUNCTION("""COMPUTED_VALUE"""),"PISO CARVALHO EUROPEU GRIGIO NERO 15/3 X 125 X 1200MM")</f>
        <v>PISO CARVALHO EUROPEU GRIGIO NERO 15/3 X 125 X 1200MM</v>
      </c>
      <c r="H34" s="192" t="s">
        <v>128</v>
      </c>
      <c r="I34" s="182" t="str">
        <f t="shared" ca="1" si="0"/>
        <v/>
      </c>
      <c r="J34" s="193"/>
      <c r="K34" s="198" t="s">
        <v>1557</v>
      </c>
      <c r="L34" s="182" t="s">
        <v>128</v>
      </c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4"/>
      <c r="Z34" s="184"/>
      <c r="AA34" s="184"/>
    </row>
    <row r="35" spans="1:27" ht="16.8">
      <c r="A35" s="185"/>
      <c r="B35" s="186" t="s">
        <v>1558</v>
      </c>
      <c r="C35" s="187">
        <v>1010.48</v>
      </c>
      <c r="D35" s="188">
        <v>229.82</v>
      </c>
      <c r="E35" s="189">
        <v>232228.51</v>
      </c>
      <c r="F35" s="198" t="s">
        <v>1559</v>
      </c>
      <c r="G35" s="182" t="str">
        <f ca="1">IFERROR(__xludf.DUMMYFUNCTION("""COMPUTED_VALUE"""),"PISO CARVALHO EUROPEU GRIGIO NERO 15/3 X 190 X 1900MM")</f>
        <v>PISO CARVALHO EUROPEU GRIGIO NERO 15/3 X 190 X 1900MM</v>
      </c>
      <c r="H35" s="192" t="s">
        <v>129</v>
      </c>
      <c r="I35" s="182" t="str">
        <f t="shared" ca="1" si="0"/>
        <v/>
      </c>
      <c r="J35" s="193"/>
      <c r="K35" s="198" t="s">
        <v>1559</v>
      </c>
      <c r="L35" s="182" t="s">
        <v>129</v>
      </c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4"/>
      <c r="Z35" s="184"/>
      <c r="AA35" s="184"/>
    </row>
    <row r="36" spans="1:27" ht="16.8">
      <c r="A36" s="185"/>
      <c r="B36" s="186" t="s">
        <v>1560</v>
      </c>
      <c r="C36" s="195"/>
      <c r="D36" s="188">
        <v>270.56</v>
      </c>
      <c r="E36" s="188">
        <v>0</v>
      </c>
      <c r="F36" s="198" t="s">
        <v>1561</v>
      </c>
      <c r="G36" s="182" t="str">
        <f ca="1">IFERROR(__xludf.DUMMYFUNCTION("""COMPUTED_VALUE"""),"PISO CARVALHO EUROPEU GRIGIO NERO 20/6 X 300 X 4000MM")</f>
        <v>PISO CARVALHO EUROPEU GRIGIO NERO 20/6 X 300 X 4000MM</v>
      </c>
      <c r="H36" s="192" t="s">
        <v>130</v>
      </c>
      <c r="I36" s="182" t="str">
        <f t="shared" ca="1" si="0"/>
        <v/>
      </c>
      <c r="J36" s="193"/>
      <c r="K36" s="198" t="s">
        <v>1561</v>
      </c>
      <c r="L36" s="182" t="s">
        <v>130</v>
      </c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4"/>
      <c r="Z36" s="184"/>
      <c r="AA36" s="184"/>
    </row>
    <row r="37" spans="1:27" ht="16.8">
      <c r="A37" s="185"/>
      <c r="B37" s="186" t="s">
        <v>1562</v>
      </c>
      <c r="C37" s="195"/>
      <c r="D37" s="188">
        <v>304</v>
      </c>
      <c r="E37" s="188">
        <v>0</v>
      </c>
      <c r="F37" s="198" t="s">
        <v>1563</v>
      </c>
      <c r="G37" s="182" t="str">
        <f ca="1">IFERROR(__xludf.DUMMYFUNCTION("""COMPUTED_VALUE"""),"PISO CARVALHO EUROPEU GRIGIO NERO 20/6 X 400 X 5000MM")</f>
        <v>PISO CARVALHO EUROPEU GRIGIO NERO 20/6 X 400 X 5000MM</v>
      </c>
      <c r="H37" s="192" t="s">
        <v>131</v>
      </c>
      <c r="I37" s="182" t="str">
        <f t="shared" ca="1" si="0"/>
        <v/>
      </c>
      <c r="J37" s="193"/>
      <c r="K37" s="198" t="s">
        <v>1563</v>
      </c>
      <c r="L37" s="182" t="s">
        <v>131</v>
      </c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4"/>
      <c r="Z37" s="184"/>
      <c r="AA37" s="184"/>
    </row>
    <row r="38" spans="1:27" ht="16.8">
      <c r="A38" s="185"/>
      <c r="B38" s="186" t="s">
        <v>1564</v>
      </c>
      <c r="C38" s="196">
        <v>476</v>
      </c>
      <c r="D38" s="188">
        <v>229.82</v>
      </c>
      <c r="E38" s="189">
        <v>109394.32</v>
      </c>
      <c r="F38" s="198" t="s">
        <v>1565</v>
      </c>
      <c r="G38" s="182" t="str">
        <f ca="1">IFERROR(__xludf.DUMMYFUNCTION("""COMPUTED_VALUE"""),"PISO CARVALHO EUROPEU LIGHT BROWN CHEVRON 15/3 X 1900X 740MM")</f>
        <v>PISO CARVALHO EUROPEU LIGHT BROWN CHEVRON 15/3 X 1900X 740MM</v>
      </c>
      <c r="H38" s="192" t="s">
        <v>132</v>
      </c>
      <c r="I38" s="182" t="str">
        <f t="shared" ca="1" si="0"/>
        <v/>
      </c>
      <c r="J38" s="193"/>
      <c r="K38" s="198" t="s">
        <v>1565</v>
      </c>
      <c r="L38" s="182" t="s">
        <v>132</v>
      </c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4"/>
      <c r="Z38" s="184"/>
      <c r="AA38" s="184"/>
    </row>
    <row r="39" spans="1:27" ht="16.8">
      <c r="A39" s="185"/>
      <c r="B39" s="186" t="s">
        <v>1566</v>
      </c>
      <c r="C39" s="196">
        <v>583.62</v>
      </c>
      <c r="D39" s="188">
        <v>194.56</v>
      </c>
      <c r="E39" s="189">
        <v>113549.11</v>
      </c>
      <c r="F39" s="198" t="s">
        <v>1567</v>
      </c>
      <c r="G39" s="182" t="str">
        <f ca="1">IFERROR(__xludf.DUMMYFUNCTION("""COMPUTED_VALUE"""),"PISO CARVALHO EUROPEU LIGHT BROWN 15/3 X 125 X 1200MM")</f>
        <v>PISO CARVALHO EUROPEU LIGHT BROWN 15/3 X 125 X 1200MM</v>
      </c>
      <c r="H39" s="192" t="s">
        <v>133</v>
      </c>
      <c r="I39" s="182" t="str">
        <f t="shared" ca="1" si="0"/>
        <v/>
      </c>
      <c r="J39" s="193"/>
      <c r="K39" s="198" t="s">
        <v>1567</v>
      </c>
      <c r="L39" s="182" t="s">
        <v>133</v>
      </c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94"/>
      <c r="Z39" s="194"/>
      <c r="AA39" s="194"/>
    </row>
    <row r="40" spans="1:27" ht="16.8">
      <c r="A40" s="185"/>
      <c r="B40" s="186" t="s">
        <v>1568</v>
      </c>
      <c r="C40" s="196">
        <v>375.8</v>
      </c>
      <c r="D40" s="188">
        <v>229.82</v>
      </c>
      <c r="E40" s="189">
        <v>86365.440000000002</v>
      </c>
      <c r="F40" s="198" t="s">
        <v>1569</v>
      </c>
      <c r="G40" s="182" t="str">
        <f ca="1">IFERROR(__xludf.DUMMYFUNCTION("""COMPUTED_VALUE"""),"PISO CARVALHO EUROPEU LIGHT BROWN 15/3 X 190 X 1900MM")</f>
        <v>PISO CARVALHO EUROPEU LIGHT BROWN 15/3 X 190 X 1900MM</v>
      </c>
      <c r="H40" s="192" t="s">
        <v>134</v>
      </c>
      <c r="I40" s="182" t="str">
        <f t="shared" ca="1" si="0"/>
        <v/>
      </c>
      <c r="J40" s="193"/>
      <c r="K40" s="198" t="s">
        <v>1569</v>
      </c>
      <c r="L40" s="182" t="s">
        <v>134</v>
      </c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94"/>
      <c r="Z40" s="194"/>
      <c r="AA40" s="194"/>
    </row>
    <row r="41" spans="1:27" ht="16.8">
      <c r="A41" s="185"/>
      <c r="B41" s="186" t="s">
        <v>1570</v>
      </c>
      <c r="C41" s="187">
        <v>1450</v>
      </c>
      <c r="D41" s="188">
        <v>270.56</v>
      </c>
      <c r="E41" s="189">
        <v>392312</v>
      </c>
      <c r="F41" s="198" t="s">
        <v>1571</v>
      </c>
      <c r="G41" s="182" t="str">
        <f ca="1">IFERROR(__xludf.DUMMYFUNCTION("""COMPUTED_VALUE"""),"PISO CARVALHO EUROPEU LIGHT BROWN 20/6 X 300 X 4000MM")</f>
        <v>PISO CARVALHO EUROPEU LIGHT BROWN 20/6 X 300 X 4000MM</v>
      </c>
      <c r="H41" s="192" t="s">
        <v>135</v>
      </c>
      <c r="I41" s="182" t="str">
        <f t="shared" ca="1" si="0"/>
        <v/>
      </c>
      <c r="J41" s="193"/>
      <c r="K41" s="198" t="s">
        <v>1571</v>
      </c>
      <c r="L41" s="182" t="s">
        <v>135</v>
      </c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94"/>
      <c r="Z41" s="194"/>
      <c r="AA41" s="194"/>
    </row>
    <row r="42" spans="1:27" ht="16.8">
      <c r="A42" s="185"/>
      <c r="B42" s="186" t="s">
        <v>1572</v>
      </c>
      <c r="C42" s="196">
        <v>183.25</v>
      </c>
      <c r="D42" s="199">
        <v>1095</v>
      </c>
      <c r="E42" s="199">
        <v>200663.67999999999</v>
      </c>
      <c r="F42" s="198" t="s">
        <v>100</v>
      </c>
      <c r="G42" s="200" t="str">
        <f ca="1">IFERROR(__xludf.DUMMYFUNCTION("""COMPUTED_VALUE"""),"PISO CARVALHO EUROPEU - LISTONE GIORDANO (HERITAGE 140 FILIGRANA - SIENNA 1179) TG 1,25 X 14,0 X 83,50CM --")</f>
        <v>PISO CARVALHO EUROPEU - LISTONE GIORDANO (HERITAGE 140 FILIGRANA - SIENNA 1179) TG 1,25 X 14,0 X 83,50CM --</v>
      </c>
      <c r="H42" s="201" t="s">
        <v>137</v>
      </c>
      <c r="I42" s="200" t="str">
        <f t="shared" ca="1" si="0"/>
        <v/>
      </c>
      <c r="J42" s="202"/>
      <c r="K42" s="198" t="s">
        <v>100</v>
      </c>
      <c r="L42" s="200" t="s">
        <v>137</v>
      </c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194"/>
      <c r="Z42" s="194"/>
      <c r="AA42" s="194"/>
    </row>
    <row r="43" spans="1:27" ht="15.6">
      <c r="F43" s="203"/>
      <c r="G43" s="192" t="str">
        <f ca="1">IFERROR(__xludf.DUMMYFUNCTION("""COMPUTED_VALUE"""),"PISO ")</f>
        <v xml:space="preserve">PISO </v>
      </c>
      <c r="K43" s="198" t="s">
        <v>1573</v>
      </c>
      <c r="L43" s="182" t="s">
        <v>138</v>
      </c>
    </row>
    <row r="44" spans="1:27" ht="16.8">
      <c r="A44" s="185"/>
      <c r="B44" s="186" t="s">
        <v>1574</v>
      </c>
      <c r="C44" s="195"/>
      <c r="D44" s="188">
        <v>229.82</v>
      </c>
      <c r="E44" s="188">
        <v>0</v>
      </c>
      <c r="F44" s="198" t="s">
        <v>1573</v>
      </c>
      <c r="G44" s="182" t="str">
        <f ca="1">IFERROR(__xludf.DUMMYFUNCTION("""COMPUTED_VALUE"""),"PISO CARVALHO EUROPEU MILANO CHEVRON 15/3 X 1900X 740MM")</f>
        <v>PISO CARVALHO EUROPEU MILANO CHEVRON 15/3 X 1900X 740MM</v>
      </c>
      <c r="H44" s="192" t="s">
        <v>138</v>
      </c>
      <c r="I44" s="182" t="str">
        <f t="shared" ref="I44:I195" ca="1" si="1">IFERROR(INDEX($D$3:$D$2001,MATCH(TRUE,ISNUMBER(FIND($B$3:$B$2001,G44)),0)),"")</f>
        <v/>
      </c>
      <c r="J44" s="193"/>
      <c r="K44" s="198" t="s">
        <v>1575</v>
      </c>
      <c r="L44" s="182" t="s">
        <v>139</v>
      </c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94"/>
      <c r="Z44" s="194"/>
      <c r="AA44" s="194"/>
    </row>
    <row r="45" spans="1:27" ht="16.8">
      <c r="A45" s="185"/>
      <c r="B45" s="186" t="s">
        <v>1576</v>
      </c>
      <c r="C45" s="195"/>
      <c r="D45" s="188">
        <v>194.56</v>
      </c>
      <c r="E45" s="188">
        <v>0</v>
      </c>
      <c r="F45" s="198" t="s">
        <v>1575</v>
      </c>
      <c r="G45" s="182" t="str">
        <f ca="1">IFERROR(__xludf.DUMMYFUNCTION("""COMPUTED_VALUE"""),"PISO CARVALHO EUROPEU MILANO 15/3 X 125 X 1200MM")</f>
        <v>PISO CARVALHO EUROPEU MILANO 15/3 X 125 X 1200MM</v>
      </c>
      <c r="H45" s="192" t="s">
        <v>139</v>
      </c>
      <c r="I45" s="182" t="str">
        <f t="shared" ca="1" si="1"/>
        <v/>
      </c>
      <c r="J45" s="193"/>
      <c r="K45" s="198" t="s">
        <v>1577</v>
      </c>
      <c r="L45" s="182" t="s">
        <v>140</v>
      </c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94"/>
      <c r="Z45" s="194"/>
      <c r="AA45" s="194"/>
    </row>
    <row r="46" spans="1:27" ht="16.8">
      <c r="A46" s="185"/>
      <c r="B46" s="186" t="s">
        <v>1578</v>
      </c>
      <c r="C46" s="195"/>
      <c r="D46" s="188">
        <v>229.82</v>
      </c>
      <c r="E46" s="188">
        <v>0</v>
      </c>
      <c r="F46" s="198" t="s">
        <v>1577</v>
      </c>
      <c r="G46" s="182" t="str">
        <f ca="1">IFERROR(__xludf.DUMMYFUNCTION("""COMPUTED_VALUE"""),"PISO CARVALHO EUROPEU MILANO 15/3 X 190 X 1900MM")</f>
        <v>PISO CARVALHO EUROPEU MILANO 15/3 X 190 X 1900MM</v>
      </c>
      <c r="H46" s="192" t="s">
        <v>140</v>
      </c>
      <c r="I46" s="182" t="str">
        <f t="shared" ca="1" si="1"/>
        <v/>
      </c>
      <c r="J46" s="193"/>
      <c r="K46" s="198" t="s">
        <v>1579</v>
      </c>
      <c r="L46" s="182" t="s">
        <v>141</v>
      </c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94"/>
      <c r="Z46" s="194"/>
      <c r="AA46" s="194"/>
    </row>
    <row r="47" spans="1:27" ht="16.8">
      <c r="A47" s="185"/>
      <c r="B47" s="186" t="s">
        <v>1580</v>
      </c>
      <c r="C47" s="196">
        <v>331</v>
      </c>
      <c r="D47" s="188">
        <v>270.56</v>
      </c>
      <c r="E47" s="189">
        <v>89555.36</v>
      </c>
      <c r="F47" s="198" t="s">
        <v>1579</v>
      </c>
      <c r="G47" s="182" t="str">
        <f ca="1">IFERROR(__xludf.DUMMYFUNCTION("""COMPUTED_VALUE"""),"PISO CARVALHO EUROPEU MILANO 20/6 X 300 X 4000MM")</f>
        <v>PISO CARVALHO EUROPEU MILANO 20/6 X 300 X 4000MM</v>
      </c>
      <c r="H47" s="192" t="s">
        <v>141</v>
      </c>
      <c r="I47" s="182" t="str">
        <f t="shared" ca="1" si="1"/>
        <v/>
      </c>
      <c r="J47" s="193"/>
      <c r="K47" s="198" t="s">
        <v>1581</v>
      </c>
      <c r="L47" s="182" t="s">
        <v>142</v>
      </c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4"/>
      <c r="Z47" s="184"/>
      <c r="AA47" s="184"/>
    </row>
    <row r="48" spans="1:27" ht="16.8">
      <c r="A48" s="185"/>
      <c r="B48" s="186" t="s">
        <v>1582</v>
      </c>
      <c r="C48" s="195"/>
      <c r="D48" s="188">
        <v>304</v>
      </c>
      <c r="E48" s="188">
        <v>0</v>
      </c>
      <c r="F48" s="198" t="s">
        <v>1581</v>
      </c>
      <c r="G48" s="182" t="str">
        <f ca="1">IFERROR(__xludf.DUMMYFUNCTION("""COMPUTED_VALUE"""),"PISO CARVALHO EUROPEU MILANO 20/6 X 400 X 5000MM")</f>
        <v>PISO CARVALHO EUROPEU MILANO 20/6 X 400 X 5000MM</v>
      </c>
      <c r="H48" s="192" t="s">
        <v>142</v>
      </c>
      <c r="I48" s="182" t="str">
        <f t="shared" ca="1" si="1"/>
        <v/>
      </c>
      <c r="J48" s="193"/>
      <c r="K48" s="198" t="s">
        <v>1583</v>
      </c>
      <c r="L48" s="182" t="s">
        <v>143</v>
      </c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4"/>
      <c r="Z48" s="184"/>
      <c r="AA48" s="184"/>
    </row>
    <row r="49" spans="1:27" ht="16.8">
      <c r="A49" s="185"/>
      <c r="B49" s="186" t="s">
        <v>1584</v>
      </c>
      <c r="C49" s="195"/>
      <c r="D49" s="188">
        <v>229.82</v>
      </c>
      <c r="E49" s="188">
        <v>0</v>
      </c>
      <c r="F49" s="198" t="s">
        <v>1583</v>
      </c>
      <c r="G49" s="182" t="str">
        <f ca="1">IFERROR(__xludf.DUMMYFUNCTION("""COMPUTED_VALUE"""),"PISO CARVALHO EUROPEU SMOKED CHEVRON 15/3 X 1900X 740MM")</f>
        <v>PISO CARVALHO EUROPEU SMOKED CHEVRON 15/3 X 1900X 740MM</v>
      </c>
      <c r="H49" s="192" t="s">
        <v>143</v>
      </c>
      <c r="I49" s="182" t="str">
        <f t="shared" ca="1" si="1"/>
        <v/>
      </c>
      <c r="J49" s="193"/>
      <c r="K49" s="198" t="s">
        <v>1585</v>
      </c>
      <c r="L49" s="182" t="s">
        <v>144</v>
      </c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4"/>
      <c r="Z49" s="184"/>
      <c r="AA49" s="184"/>
    </row>
    <row r="50" spans="1:27" ht="16.8">
      <c r="A50" s="185"/>
      <c r="B50" s="186" t="s">
        <v>1586</v>
      </c>
      <c r="C50" s="195"/>
      <c r="D50" s="188">
        <v>194.56</v>
      </c>
      <c r="E50" s="188">
        <v>0</v>
      </c>
      <c r="F50" s="198" t="s">
        <v>1585</v>
      </c>
      <c r="G50" s="182" t="str">
        <f ca="1">IFERROR(__xludf.DUMMYFUNCTION("""COMPUTED_VALUE"""),"PISO CARVALHO EUROPEU SMOKED 15/3 X 125 X 1200MM")</f>
        <v>PISO CARVALHO EUROPEU SMOKED 15/3 X 125 X 1200MM</v>
      </c>
      <c r="H50" s="192" t="s">
        <v>144</v>
      </c>
      <c r="I50" s="182" t="str">
        <f t="shared" ca="1" si="1"/>
        <v/>
      </c>
      <c r="J50" s="193"/>
      <c r="K50" s="198" t="s">
        <v>1587</v>
      </c>
      <c r="L50" s="182" t="s">
        <v>145</v>
      </c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94"/>
      <c r="Z50" s="194"/>
      <c r="AA50" s="194"/>
    </row>
    <row r="51" spans="1:27" ht="16.8">
      <c r="A51" s="185"/>
      <c r="B51" s="186" t="s">
        <v>1588</v>
      </c>
      <c r="C51" s="196">
        <v>775.58</v>
      </c>
      <c r="D51" s="188">
        <v>229.82</v>
      </c>
      <c r="E51" s="189">
        <v>178242.88</v>
      </c>
      <c r="F51" s="198" t="s">
        <v>1587</v>
      </c>
      <c r="G51" s="182" t="str">
        <f ca="1">IFERROR(__xludf.DUMMYFUNCTION("""COMPUTED_VALUE"""),"PISO CARVALHO EUROPEU SMOKED 15/3 X 190 X 1900MM")</f>
        <v>PISO CARVALHO EUROPEU SMOKED 15/3 X 190 X 1900MM</v>
      </c>
      <c r="H51" s="192" t="s">
        <v>145</v>
      </c>
      <c r="I51" s="182" t="str">
        <f t="shared" ca="1" si="1"/>
        <v/>
      </c>
      <c r="J51" s="193"/>
      <c r="K51" s="198" t="s">
        <v>1589</v>
      </c>
      <c r="L51" s="182" t="s">
        <v>146</v>
      </c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4"/>
      <c r="Z51" s="184"/>
      <c r="AA51" s="184"/>
    </row>
    <row r="52" spans="1:27" ht="16.8">
      <c r="A52" s="185"/>
      <c r="B52" s="186" t="s">
        <v>1590</v>
      </c>
      <c r="C52" s="195"/>
      <c r="D52" s="188">
        <v>270.56</v>
      </c>
      <c r="E52" s="188">
        <v>0</v>
      </c>
      <c r="F52" s="198" t="s">
        <v>1589</v>
      </c>
      <c r="G52" s="182" t="str">
        <f ca="1">IFERROR(__xludf.DUMMYFUNCTION("""COMPUTED_VALUE"""),"PISO CARVALHO EUROPEU SMOKED 20/6 X 300 X 4000MM")</f>
        <v>PISO CARVALHO EUROPEU SMOKED 20/6 X 300 X 4000MM</v>
      </c>
      <c r="H52" s="192" t="s">
        <v>146</v>
      </c>
      <c r="I52" s="182" t="str">
        <f t="shared" ca="1" si="1"/>
        <v/>
      </c>
      <c r="J52" s="193"/>
      <c r="K52" s="198" t="s">
        <v>1591</v>
      </c>
      <c r="L52" s="182" t="s">
        <v>147</v>
      </c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4"/>
      <c r="Z52" s="184"/>
      <c r="AA52" s="184"/>
    </row>
    <row r="53" spans="1:27" ht="16.8">
      <c r="A53" s="185"/>
      <c r="B53" s="186" t="s">
        <v>1592</v>
      </c>
      <c r="C53" s="195"/>
      <c r="D53" s="188">
        <v>304</v>
      </c>
      <c r="E53" s="188">
        <v>0</v>
      </c>
      <c r="F53" s="198" t="s">
        <v>1591</v>
      </c>
      <c r="G53" s="182" t="str">
        <f ca="1">IFERROR(__xludf.DUMMYFUNCTION("""COMPUTED_VALUE"""),"PISO CARVALHO EUROPEU SMOKED 20/6 X 400 X 5000MM")</f>
        <v>PISO CARVALHO EUROPEU SMOKED 20/6 X 400 X 5000MM</v>
      </c>
      <c r="H53" s="192" t="s">
        <v>147</v>
      </c>
      <c r="I53" s="182" t="str">
        <f t="shared" ca="1" si="1"/>
        <v/>
      </c>
      <c r="J53" s="193"/>
      <c r="K53" s="198" t="s">
        <v>1593</v>
      </c>
      <c r="L53" s="182" t="s">
        <v>148</v>
      </c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4"/>
      <c r="Z53" s="184"/>
      <c r="AA53" s="184"/>
    </row>
    <row r="54" spans="1:27" ht="16.8">
      <c r="A54" s="185"/>
      <c r="B54" s="186" t="s">
        <v>1594</v>
      </c>
      <c r="C54" s="195"/>
      <c r="D54" s="188">
        <v>194.56</v>
      </c>
      <c r="E54" s="188">
        <v>0</v>
      </c>
      <c r="F54" s="198" t="s">
        <v>1593</v>
      </c>
      <c r="G54" s="182" t="str">
        <f ca="1">IFERROR(__xludf.DUMMYFUNCTION("""COMPUTED_VALUE"""),"PISO CARVALHO EUROPEU GIZ CHEVRON 15/3 X 1900X 740MM")</f>
        <v>PISO CARVALHO EUROPEU GIZ CHEVRON 15/3 X 1900X 740MM</v>
      </c>
      <c r="H54" s="192" t="s">
        <v>148</v>
      </c>
      <c r="I54" s="182" t="str">
        <f t="shared" ca="1" si="1"/>
        <v/>
      </c>
      <c r="J54" s="193"/>
      <c r="K54" s="198" t="s">
        <v>1595</v>
      </c>
      <c r="L54" s="182" t="s">
        <v>149</v>
      </c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4"/>
      <c r="Z54" s="184"/>
      <c r="AA54" s="184"/>
    </row>
    <row r="55" spans="1:27" ht="16.8">
      <c r="A55" s="185"/>
      <c r="B55" s="186" t="s">
        <v>1596</v>
      </c>
      <c r="C55" s="195"/>
      <c r="D55" s="188">
        <v>229.82</v>
      </c>
      <c r="E55" s="188">
        <v>0</v>
      </c>
      <c r="F55" s="198" t="s">
        <v>1595</v>
      </c>
      <c r="G55" s="182" t="str">
        <f ca="1">IFERROR(__xludf.DUMMYFUNCTION("""COMPUTED_VALUE"""),"PISO CARVALHO EUROPEU GIZ 15/3 X 125 X 1200MM")</f>
        <v>PISO CARVALHO EUROPEU GIZ 15/3 X 125 X 1200MM</v>
      </c>
      <c r="H55" s="192" t="s">
        <v>149</v>
      </c>
      <c r="I55" s="182" t="str">
        <f t="shared" ca="1" si="1"/>
        <v/>
      </c>
      <c r="J55" s="193"/>
      <c r="K55" s="198" t="s">
        <v>1597</v>
      </c>
      <c r="L55" s="182" t="s">
        <v>150</v>
      </c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4"/>
      <c r="Z55" s="184"/>
      <c r="AA55" s="184"/>
    </row>
    <row r="56" spans="1:27" ht="16.8">
      <c r="A56" s="185"/>
      <c r="B56" s="186" t="s">
        <v>1598</v>
      </c>
      <c r="C56" s="196">
        <v>502.51</v>
      </c>
      <c r="D56" s="188">
        <v>229.82</v>
      </c>
      <c r="E56" s="189">
        <v>115486.85</v>
      </c>
      <c r="F56" s="198" t="s">
        <v>1597</v>
      </c>
      <c r="G56" s="182" t="str">
        <f ca="1">IFERROR(__xludf.DUMMYFUNCTION("""COMPUTED_VALUE"""),"PISO CARVALHO EUROPEU GIZ 15/3 X 190 X 1900MM")</f>
        <v>PISO CARVALHO EUROPEU GIZ 15/3 X 190 X 1900MM</v>
      </c>
      <c r="H56" s="192" t="s">
        <v>150</v>
      </c>
      <c r="I56" s="182" t="str">
        <f t="shared" ca="1" si="1"/>
        <v/>
      </c>
      <c r="J56" s="193"/>
      <c r="K56" s="198" t="s">
        <v>1599</v>
      </c>
      <c r="L56" s="182" t="s">
        <v>151</v>
      </c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4"/>
      <c r="Z56" s="184"/>
      <c r="AA56" s="184"/>
    </row>
    <row r="57" spans="1:27" ht="16.8">
      <c r="A57" s="185"/>
      <c r="B57" s="186" t="s">
        <v>1600</v>
      </c>
      <c r="C57" s="195"/>
      <c r="D57" s="188">
        <v>270.56</v>
      </c>
      <c r="E57" s="188">
        <v>0</v>
      </c>
      <c r="F57" s="198" t="s">
        <v>1599</v>
      </c>
      <c r="G57" s="182" t="str">
        <f ca="1">IFERROR(__xludf.DUMMYFUNCTION("""COMPUTED_VALUE"""),"PISO CARVALHO EUROPEU GIZ 20/6 X 300 X 4000MM")</f>
        <v>PISO CARVALHO EUROPEU GIZ 20/6 X 300 X 4000MM</v>
      </c>
      <c r="H57" s="192" t="s">
        <v>151</v>
      </c>
      <c r="I57" s="182" t="str">
        <f t="shared" ca="1" si="1"/>
        <v/>
      </c>
      <c r="J57" s="193"/>
      <c r="K57" s="198" t="s">
        <v>1601</v>
      </c>
      <c r="L57" s="182" t="s">
        <v>152</v>
      </c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4"/>
      <c r="Z57" s="184"/>
      <c r="AA57" s="184"/>
    </row>
    <row r="58" spans="1:27" ht="16.8">
      <c r="A58" s="185"/>
      <c r="B58" s="186" t="s">
        <v>1602</v>
      </c>
      <c r="C58" s="195"/>
      <c r="D58" s="188">
        <v>304</v>
      </c>
      <c r="E58" s="188">
        <v>0</v>
      </c>
      <c r="F58" s="198" t="s">
        <v>1601</v>
      </c>
      <c r="G58" s="182" t="str">
        <f ca="1">IFERROR(__xludf.DUMMYFUNCTION("""COMPUTED_VALUE"""),"PISO CARVALHO EUROPEU GIZ 20/6 X 400 X 5000MM")</f>
        <v>PISO CARVALHO EUROPEU GIZ 20/6 X 400 X 5000MM</v>
      </c>
      <c r="H58" s="192" t="s">
        <v>152</v>
      </c>
      <c r="I58" s="182" t="str">
        <f t="shared" ca="1" si="1"/>
        <v/>
      </c>
      <c r="J58" s="193"/>
      <c r="K58" s="198" t="s">
        <v>1603</v>
      </c>
      <c r="L58" s="182" t="s">
        <v>153</v>
      </c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4"/>
      <c r="Z58" s="184"/>
      <c r="AA58" s="184"/>
    </row>
    <row r="59" spans="1:27" ht="16.8">
      <c r="A59" s="185"/>
      <c r="B59" s="186" t="s">
        <v>1604</v>
      </c>
      <c r="C59" s="195"/>
      <c r="D59" s="188">
        <v>229.82</v>
      </c>
      <c r="E59" s="188">
        <v>0</v>
      </c>
      <c r="F59" s="198" t="s">
        <v>1603</v>
      </c>
      <c r="G59" s="182" t="str">
        <f ca="1">IFERROR(__xludf.DUMMYFUNCTION("""COMPUTED_VALUE"""),"PISO CARVALHO EUROPEU SNOW CHEVRON 15/3 X 1900X 740MM")</f>
        <v>PISO CARVALHO EUROPEU SNOW CHEVRON 15/3 X 1900X 740MM</v>
      </c>
      <c r="H59" s="192" t="s">
        <v>153</v>
      </c>
      <c r="I59" s="182" t="str">
        <f t="shared" ca="1" si="1"/>
        <v/>
      </c>
      <c r="J59" s="193"/>
      <c r="K59" s="198" t="s">
        <v>1605</v>
      </c>
      <c r="L59" s="182" t="s">
        <v>154</v>
      </c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4"/>
      <c r="Z59" s="184"/>
      <c r="AA59" s="184"/>
    </row>
    <row r="60" spans="1:27" ht="16.8">
      <c r="A60" s="185"/>
      <c r="B60" s="186" t="s">
        <v>1606</v>
      </c>
      <c r="C60" s="195"/>
      <c r="D60" s="188">
        <v>194.56</v>
      </c>
      <c r="E60" s="188">
        <v>0</v>
      </c>
      <c r="F60" s="198" t="s">
        <v>1605</v>
      </c>
      <c r="G60" s="182" t="str">
        <f ca="1">IFERROR(__xludf.DUMMYFUNCTION("""COMPUTED_VALUE"""),"PISO CARVALHO EUROPEU SNOW 15/3 X 125 X 1200MM")</f>
        <v>PISO CARVALHO EUROPEU SNOW 15/3 X 125 X 1200MM</v>
      </c>
      <c r="H60" s="192" t="s">
        <v>154</v>
      </c>
      <c r="I60" s="182" t="str">
        <f t="shared" ca="1" si="1"/>
        <v/>
      </c>
      <c r="J60" s="193"/>
      <c r="K60" s="198" t="s">
        <v>1607</v>
      </c>
      <c r="L60" s="182" t="s">
        <v>155</v>
      </c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4"/>
      <c r="Z60" s="184"/>
      <c r="AA60" s="184"/>
    </row>
    <row r="61" spans="1:27" ht="16.8">
      <c r="A61" s="185"/>
      <c r="B61" s="186" t="s">
        <v>1608</v>
      </c>
      <c r="C61" s="195"/>
      <c r="D61" s="188">
        <v>229.82</v>
      </c>
      <c r="E61" s="188">
        <v>0</v>
      </c>
      <c r="F61" s="198" t="s">
        <v>1607</v>
      </c>
      <c r="G61" s="182" t="str">
        <f ca="1">IFERROR(__xludf.DUMMYFUNCTION("""COMPUTED_VALUE"""),"PISO CARVALHO EUROPEU SNOW 15/3 X 190 X 1900MM")</f>
        <v>PISO CARVALHO EUROPEU SNOW 15/3 X 190 X 1900MM</v>
      </c>
      <c r="H61" s="192" t="s">
        <v>155</v>
      </c>
      <c r="I61" s="182" t="str">
        <f t="shared" ca="1" si="1"/>
        <v/>
      </c>
      <c r="J61" s="193"/>
      <c r="K61" s="198" t="s">
        <v>1609</v>
      </c>
      <c r="L61" s="182" t="s">
        <v>156</v>
      </c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94"/>
      <c r="Z61" s="194"/>
      <c r="AA61" s="194"/>
    </row>
    <row r="62" spans="1:27" ht="16.8">
      <c r="A62" s="185"/>
      <c r="B62" s="186" t="s">
        <v>1610</v>
      </c>
      <c r="C62" s="195"/>
      <c r="D62" s="188">
        <v>270.56</v>
      </c>
      <c r="E62" s="188">
        <v>0</v>
      </c>
      <c r="F62" s="198" t="s">
        <v>1609</v>
      </c>
      <c r="G62" s="182" t="str">
        <f ca="1">IFERROR(__xludf.DUMMYFUNCTION("""COMPUTED_VALUE"""),"PISO CARVALHO EUROPEU SNOW 20/6 X 300 X 4000MM")</f>
        <v>PISO CARVALHO EUROPEU SNOW 20/6 X 300 X 4000MM</v>
      </c>
      <c r="H62" s="192" t="s">
        <v>156</v>
      </c>
      <c r="I62" s="182" t="str">
        <f t="shared" ca="1" si="1"/>
        <v/>
      </c>
      <c r="J62" s="193"/>
      <c r="K62" s="198" t="s">
        <v>1611</v>
      </c>
      <c r="L62" s="182" t="s">
        <v>157</v>
      </c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4"/>
      <c r="Z62" s="184"/>
      <c r="AA62" s="184"/>
    </row>
    <row r="63" spans="1:27" ht="16.8">
      <c r="A63" s="185"/>
      <c r="B63" s="186" t="s">
        <v>1612</v>
      </c>
      <c r="C63" s="195"/>
      <c r="D63" s="188">
        <v>304</v>
      </c>
      <c r="E63" s="188">
        <v>0</v>
      </c>
      <c r="F63" s="198" t="s">
        <v>1611</v>
      </c>
      <c r="G63" s="182" t="str">
        <f ca="1">IFERROR(__xludf.DUMMYFUNCTION("""COMPUTED_VALUE"""),"PISO CARVALHO EUROPEU SNOW 20/6 X 400 X 5000MM")</f>
        <v>PISO CARVALHO EUROPEU SNOW 20/6 X 400 X 5000MM</v>
      </c>
      <c r="H63" s="192" t="s">
        <v>157</v>
      </c>
      <c r="I63" s="182" t="str">
        <f t="shared" ca="1" si="1"/>
        <v/>
      </c>
      <c r="J63" s="193"/>
      <c r="K63" s="198" t="s">
        <v>1613</v>
      </c>
      <c r="L63" s="182" t="s">
        <v>158</v>
      </c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4"/>
      <c r="Z63" s="184"/>
      <c r="AA63" s="184"/>
    </row>
    <row r="64" spans="1:27" ht="16.8">
      <c r="A64" s="185"/>
      <c r="B64" s="186" t="s">
        <v>1614</v>
      </c>
      <c r="C64" s="195"/>
      <c r="D64" s="188">
        <v>229.82</v>
      </c>
      <c r="E64" s="188">
        <v>0</v>
      </c>
      <c r="F64" s="198" t="s">
        <v>1613</v>
      </c>
      <c r="G64" s="182" t="str">
        <f ca="1">IFERROR(__xludf.DUMMYFUNCTION("""COMPUTED_VALUE"""),"PISO CARVALHO EUROPEU WILD CHEVRON 15/3 X 1900X 740MM")</f>
        <v>PISO CARVALHO EUROPEU WILD CHEVRON 15/3 X 1900X 740MM</v>
      </c>
      <c r="H64" s="192" t="s">
        <v>158</v>
      </c>
      <c r="I64" s="182" t="str">
        <f t="shared" ca="1" si="1"/>
        <v/>
      </c>
      <c r="J64" s="193"/>
      <c r="K64" s="198" t="s">
        <v>1615</v>
      </c>
      <c r="L64" s="182" t="s">
        <v>159</v>
      </c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4"/>
      <c r="Z64" s="184"/>
      <c r="AA64" s="184"/>
    </row>
    <row r="65" spans="1:27" ht="16.8">
      <c r="A65" s="185"/>
      <c r="B65" s="186" t="s">
        <v>1616</v>
      </c>
      <c r="C65" s="195"/>
      <c r="D65" s="188">
        <v>194.56</v>
      </c>
      <c r="E65" s="188">
        <v>0</v>
      </c>
      <c r="F65" s="198" t="s">
        <v>1615</v>
      </c>
      <c r="G65" s="182" t="str">
        <f ca="1">IFERROR(__xludf.DUMMYFUNCTION("""COMPUTED_VALUE"""),"PISO CARVALHO EUROPEU WILD 15/3 X 125 X 1200MM")</f>
        <v>PISO CARVALHO EUROPEU WILD 15/3 X 125 X 1200MM</v>
      </c>
      <c r="H65" s="192" t="s">
        <v>159</v>
      </c>
      <c r="I65" s="182" t="str">
        <f t="shared" ca="1" si="1"/>
        <v/>
      </c>
      <c r="J65" s="193"/>
      <c r="K65" s="198" t="s">
        <v>1617</v>
      </c>
      <c r="L65" s="182" t="s">
        <v>160</v>
      </c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4"/>
      <c r="Z65" s="184"/>
      <c r="AA65" s="184"/>
    </row>
    <row r="66" spans="1:27" ht="16.8">
      <c r="A66" s="185"/>
      <c r="B66" s="186" t="s">
        <v>1618</v>
      </c>
      <c r="C66" s="196">
        <v>969.54</v>
      </c>
      <c r="D66" s="188">
        <v>229.82</v>
      </c>
      <c r="E66" s="189">
        <v>222819.68</v>
      </c>
      <c r="F66" s="198" t="s">
        <v>1617</v>
      </c>
      <c r="G66" s="182" t="str">
        <f ca="1">IFERROR(__xludf.DUMMYFUNCTION("""COMPUTED_VALUE"""),"PISO CARVALHO EUROPEU WILD 15/3 X 190 X 1900MM")</f>
        <v>PISO CARVALHO EUROPEU WILD 15/3 X 190 X 1900MM</v>
      </c>
      <c r="H66" s="192" t="s">
        <v>160</v>
      </c>
      <c r="I66" s="182" t="str">
        <f t="shared" ca="1" si="1"/>
        <v/>
      </c>
      <c r="J66" s="193"/>
      <c r="K66" s="198" t="s">
        <v>1619</v>
      </c>
      <c r="L66" s="182" t="s">
        <v>161</v>
      </c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4"/>
      <c r="Z66" s="184"/>
      <c r="AA66" s="184"/>
    </row>
    <row r="67" spans="1:27" ht="16.8">
      <c r="A67" s="185"/>
      <c r="B67" s="186" t="s">
        <v>1620</v>
      </c>
      <c r="C67" s="195"/>
      <c r="D67" s="188">
        <v>270.56</v>
      </c>
      <c r="E67" s="188">
        <v>0</v>
      </c>
      <c r="F67" s="198" t="s">
        <v>1619</v>
      </c>
      <c r="G67" s="182" t="str">
        <f ca="1">IFERROR(__xludf.DUMMYFUNCTION("""COMPUTED_VALUE"""),"PISO CARVALHO EUROPEU WILD 20/6 X 300 X 4000MM")</f>
        <v>PISO CARVALHO EUROPEU WILD 20/6 X 300 X 4000MM</v>
      </c>
      <c r="H67" s="192" t="s">
        <v>161</v>
      </c>
      <c r="I67" s="182" t="str">
        <f t="shared" ca="1" si="1"/>
        <v/>
      </c>
      <c r="J67" s="193"/>
      <c r="K67" s="198" t="s">
        <v>1621</v>
      </c>
      <c r="L67" s="182" t="s">
        <v>162</v>
      </c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4"/>
      <c r="Z67" s="184"/>
      <c r="AA67" s="184"/>
    </row>
    <row r="68" spans="1:27" ht="16.8">
      <c r="A68" s="185"/>
      <c r="B68" s="186" t="s">
        <v>1622</v>
      </c>
      <c r="C68" s="195"/>
      <c r="D68" s="188">
        <v>304</v>
      </c>
      <c r="E68" s="188">
        <v>0</v>
      </c>
      <c r="F68" s="198" t="s">
        <v>1621</v>
      </c>
      <c r="G68" s="182" t="str">
        <f ca="1">IFERROR(__xludf.DUMMYFUNCTION("""COMPUTED_VALUE"""),"PISO CARVALHO EUROPEU WILD 20/6 X 400 X 5000MM")</f>
        <v>PISO CARVALHO EUROPEU WILD 20/6 X 400 X 5000MM</v>
      </c>
      <c r="H68" s="192" t="s">
        <v>162</v>
      </c>
      <c r="I68" s="182" t="str">
        <f t="shared" ca="1" si="1"/>
        <v/>
      </c>
      <c r="J68" s="193"/>
      <c r="K68" s="198" t="s">
        <v>1623</v>
      </c>
      <c r="L68" s="182" t="s">
        <v>163</v>
      </c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4"/>
      <c r="Z68" s="184"/>
      <c r="AA68" s="184"/>
    </row>
    <row r="69" spans="1:27" ht="16.8">
      <c r="A69" s="185"/>
      <c r="B69" s="186" t="s">
        <v>1624</v>
      </c>
      <c r="C69" s="195"/>
      <c r="D69" s="188">
        <v>229.82</v>
      </c>
      <c r="E69" s="188">
        <v>0</v>
      </c>
      <c r="F69" s="198" t="s">
        <v>1623</v>
      </c>
      <c r="G69" s="182" t="str">
        <f ca="1">IFERROR(__xludf.DUMMYFUNCTION("""COMPUTED_VALUE"""),"PISO CARVALHO EUROPEU NEVADO CHEVRON 15/3 X 1900X 740MM")</f>
        <v>PISO CARVALHO EUROPEU NEVADO CHEVRON 15/3 X 1900X 740MM</v>
      </c>
      <c r="H69" s="192" t="s">
        <v>163</v>
      </c>
      <c r="I69" s="182" t="str">
        <f t="shared" ca="1" si="1"/>
        <v/>
      </c>
      <c r="J69" s="193"/>
      <c r="K69" s="198" t="s">
        <v>1625</v>
      </c>
      <c r="L69" s="182" t="s">
        <v>164</v>
      </c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4"/>
      <c r="Z69" s="184"/>
      <c r="AA69" s="184"/>
    </row>
    <row r="70" spans="1:27" ht="16.8">
      <c r="A70" s="185"/>
      <c r="B70" s="186" t="s">
        <v>1626</v>
      </c>
      <c r="C70" s="195"/>
      <c r="D70" s="188">
        <v>194.56</v>
      </c>
      <c r="E70" s="188">
        <v>0</v>
      </c>
      <c r="F70" s="198" t="s">
        <v>1625</v>
      </c>
      <c r="G70" s="182" t="str">
        <f ca="1">IFERROR(__xludf.DUMMYFUNCTION("""COMPUTED_VALUE"""),"PISO CARVALHO EUROPEU NEVADO 15/3 X 125 X 1200MM")</f>
        <v>PISO CARVALHO EUROPEU NEVADO 15/3 X 125 X 1200MM</v>
      </c>
      <c r="H70" s="192" t="s">
        <v>164</v>
      </c>
      <c r="I70" s="182" t="str">
        <f t="shared" ca="1" si="1"/>
        <v/>
      </c>
      <c r="J70" s="193"/>
      <c r="K70" s="198" t="s">
        <v>1627</v>
      </c>
      <c r="L70" s="182" t="s">
        <v>165</v>
      </c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4"/>
      <c r="Z70" s="184"/>
      <c r="AA70" s="184"/>
    </row>
    <row r="71" spans="1:27" ht="16.8">
      <c r="A71" s="185"/>
      <c r="B71" s="186" t="s">
        <v>1628</v>
      </c>
      <c r="C71" s="187">
        <v>1206.93</v>
      </c>
      <c r="D71" s="188">
        <v>229.82</v>
      </c>
      <c r="E71" s="189">
        <v>277376.65000000002</v>
      </c>
      <c r="F71" s="198" t="s">
        <v>1627</v>
      </c>
      <c r="G71" s="182" t="str">
        <f ca="1">IFERROR(__xludf.DUMMYFUNCTION("""COMPUTED_VALUE"""),"PISO CARVALHO EUROPEU NEVADO 15/3 X 190 X 1900MM")</f>
        <v>PISO CARVALHO EUROPEU NEVADO 15/3 X 190 X 1900MM</v>
      </c>
      <c r="H71" s="192" t="s">
        <v>165</v>
      </c>
      <c r="I71" s="182" t="str">
        <f t="shared" ca="1" si="1"/>
        <v/>
      </c>
      <c r="J71" s="193"/>
      <c r="K71" s="198" t="s">
        <v>1629</v>
      </c>
      <c r="L71" s="182" t="s">
        <v>166</v>
      </c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4"/>
      <c r="Z71" s="184"/>
      <c r="AA71" s="184"/>
    </row>
    <row r="72" spans="1:27" ht="16.8">
      <c r="A72" s="185"/>
      <c r="B72" s="186" t="s">
        <v>1630</v>
      </c>
      <c r="C72" s="195"/>
      <c r="D72" s="188">
        <v>270.56</v>
      </c>
      <c r="E72" s="188">
        <v>0</v>
      </c>
      <c r="F72" s="198" t="s">
        <v>1629</v>
      </c>
      <c r="G72" s="182" t="str">
        <f ca="1">IFERROR(__xludf.DUMMYFUNCTION("""COMPUTED_VALUE"""),"PISO CARVALHO EUROPEU NEVADO 20/6 X 300 X 4000MM")</f>
        <v>PISO CARVALHO EUROPEU NEVADO 20/6 X 300 X 4000MM</v>
      </c>
      <c r="H72" s="192" t="s">
        <v>166</v>
      </c>
      <c r="I72" s="182" t="str">
        <f t="shared" ca="1" si="1"/>
        <v/>
      </c>
      <c r="J72" s="193"/>
      <c r="K72" s="198" t="s">
        <v>1631</v>
      </c>
      <c r="L72" s="182" t="s">
        <v>167</v>
      </c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94"/>
      <c r="Z72" s="194"/>
      <c r="AA72" s="194"/>
    </row>
    <row r="73" spans="1:27" ht="16.8">
      <c r="A73" s="185"/>
      <c r="B73" s="186" t="s">
        <v>1632</v>
      </c>
      <c r="C73" s="195"/>
      <c r="D73" s="188">
        <v>304</v>
      </c>
      <c r="E73" s="188">
        <v>0</v>
      </c>
      <c r="F73" s="198" t="s">
        <v>1631</v>
      </c>
      <c r="G73" s="182" t="str">
        <f ca="1">IFERROR(__xludf.DUMMYFUNCTION("""COMPUTED_VALUE"""),"PISO CARVALHO EUROPEU NEVADO 20/6 X 400 X 5000MM")</f>
        <v>PISO CARVALHO EUROPEU NEVADO 20/6 X 400 X 5000MM</v>
      </c>
      <c r="H73" s="192" t="s">
        <v>167</v>
      </c>
      <c r="I73" s="182" t="str">
        <f t="shared" ca="1" si="1"/>
        <v/>
      </c>
      <c r="J73" s="193"/>
      <c r="K73" s="198" t="s">
        <v>1633</v>
      </c>
      <c r="L73" s="182" t="s">
        <v>168</v>
      </c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4"/>
      <c r="Z73" s="184"/>
      <c r="AA73" s="184"/>
    </row>
    <row r="74" spans="1:27" ht="16.8">
      <c r="A74" s="185"/>
      <c r="B74" s="186" t="s">
        <v>1634</v>
      </c>
      <c r="C74" s="195"/>
      <c r="D74" s="188">
        <v>229.82</v>
      </c>
      <c r="E74" s="188">
        <v>0</v>
      </c>
      <c r="F74" s="198" t="s">
        <v>1633</v>
      </c>
      <c r="G74" s="182" t="str">
        <f ca="1">IFERROR(__xludf.DUMMYFUNCTION("""COMPUTED_VALUE"""),"PISO CARVALHO EUROPEU CONCRETE GREY CHEVRON 15/3 X 1900X 740MM")</f>
        <v>PISO CARVALHO EUROPEU CONCRETE GREY CHEVRON 15/3 X 1900X 740MM</v>
      </c>
      <c r="H74" s="192" t="s">
        <v>168</v>
      </c>
      <c r="I74" s="182" t="str">
        <f t="shared" ca="1" si="1"/>
        <v/>
      </c>
      <c r="J74" s="193"/>
      <c r="K74" s="198" t="s">
        <v>1635</v>
      </c>
      <c r="L74" s="182" t="s">
        <v>169</v>
      </c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4"/>
      <c r="Z74" s="184"/>
      <c r="AA74" s="184"/>
    </row>
    <row r="75" spans="1:27" ht="16.8">
      <c r="A75" s="185"/>
      <c r="B75" s="186" t="s">
        <v>1636</v>
      </c>
      <c r="C75" s="196">
        <v>532.79999999999995</v>
      </c>
      <c r="D75" s="188">
        <v>194.56</v>
      </c>
      <c r="E75" s="189">
        <v>103661.57</v>
      </c>
      <c r="F75" s="198" t="s">
        <v>1635</v>
      </c>
      <c r="G75" s="182" t="str">
        <f ca="1">IFERROR(__xludf.DUMMYFUNCTION("""COMPUTED_VALUE"""),"PISO CARVALHO EUROPEU CONCRETE GREY 15/3 X 125 X 1200MM")</f>
        <v>PISO CARVALHO EUROPEU CONCRETE GREY 15/3 X 125 X 1200MM</v>
      </c>
      <c r="H75" s="192" t="s">
        <v>169</v>
      </c>
      <c r="I75" s="182" t="str">
        <f t="shared" ca="1" si="1"/>
        <v/>
      </c>
      <c r="J75" s="193"/>
      <c r="K75" s="198" t="s">
        <v>1637</v>
      </c>
      <c r="L75" s="182" t="s">
        <v>170</v>
      </c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4"/>
      <c r="Z75" s="184"/>
      <c r="AA75" s="184"/>
    </row>
    <row r="76" spans="1:27" ht="16.8">
      <c r="A76" s="185"/>
      <c r="B76" s="186" t="s">
        <v>1638</v>
      </c>
      <c r="C76" s="195"/>
      <c r="D76" s="188">
        <v>229.82</v>
      </c>
      <c r="E76" s="188">
        <v>0</v>
      </c>
      <c r="F76" s="198" t="s">
        <v>1637</v>
      </c>
      <c r="G76" s="182" t="str">
        <f ca="1">IFERROR(__xludf.DUMMYFUNCTION("""COMPUTED_VALUE"""),"PISO CARVALHO EUROPEU CONCRETE GREY 15/3 X 190 X 1900MM")</f>
        <v>PISO CARVALHO EUROPEU CONCRETE GREY 15/3 X 190 X 1900MM</v>
      </c>
      <c r="H76" s="192" t="s">
        <v>170</v>
      </c>
      <c r="I76" s="182" t="str">
        <f t="shared" ca="1" si="1"/>
        <v/>
      </c>
      <c r="J76" s="193"/>
      <c r="K76" s="198" t="s">
        <v>1639</v>
      </c>
      <c r="L76" s="182" t="s">
        <v>171</v>
      </c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4"/>
      <c r="Z76" s="184"/>
      <c r="AA76" s="184"/>
    </row>
    <row r="77" spans="1:27" ht="16.8">
      <c r="A77" s="185"/>
      <c r="B77" s="186" t="s">
        <v>1640</v>
      </c>
      <c r="C77" s="196">
        <v>81.599999999999994</v>
      </c>
      <c r="D77" s="188">
        <v>270.56</v>
      </c>
      <c r="E77" s="189">
        <v>22077.7</v>
      </c>
      <c r="F77" s="198" t="s">
        <v>1639</v>
      </c>
      <c r="G77" s="182" t="str">
        <f ca="1">IFERROR(__xludf.DUMMYFUNCTION("""COMPUTED_VALUE"""),"PISO CARVALHO EUROPEU CONCRETE GREY 20/6 X 300 X 4000MM")</f>
        <v>PISO CARVALHO EUROPEU CONCRETE GREY 20/6 X 300 X 4000MM</v>
      </c>
      <c r="H77" s="192" t="s">
        <v>171</v>
      </c>
      <c r="I77" s="182" t="str">
        <f t="shared" ca="1" si="1"/>
        <v/>
      </c>
      <c r="J77" s="193"/>
      <c r="K77" s="198" t="s">
        <v>1641</v>
      </c>
      <c r="L77" s="182" t="s">
        <v>172</v>
      </c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4"/>
      <c r="Z77" s="184"/>
      <c r="AA77" s="184"/>
    </row>
    <row r="78" spans="1:27" ht="16.8">
      <c r="A78" s="185"/>
      <c r="B78" s="186" t="s">
        <v>1642</v>
      </c>
      <c r="C78" s="195"/>
      <c r="D78" s="188">
        <v>304</v>
      </c>
      <c r="E78" s="188">
        <v>0</v>
      </c>
      <c r="F78" s="198" t="s">
        <v>1641</v>
      </c>
      <c r="G78" s="182" t="str">
        <f ca="1">IFERROR(__xludf.DUMMYFUNCTION("""COMPUTED_VALUE"""),"PISO CARVALHO EUROPEU CONCRETE GREY 20/6 X 400 X 5000MM")</f>
        <v>PISO CARVALHO EUROPEU CONCRETE GREY 20/6 X 400 X 5000MM</v>
      </c>
      <c r="H78" s="192" t="s">
        <v>172</v>
      </c>
      <c r="I78" s="182" t="str">
        <f t="shared" ca="1" si="1"/>
        <v/>
      </c>
      <c r="J78" s="193"/>
      <c r="K78" s="198" t="s">
        <v>1643</v>
      </c>
      <c r="L78" s="182" t="s">
        <v>173</v>
      </c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4"/>
      <c r="Z78" s="184"/>
      <c r="AA78" s="184"/>
    </row>
    <row r="79" spans="1:27" ht="16.8">
      <c r="A79" s="185"/>
      <c r="B79" s="186" t="s">
        <v>1644</v>
      </c>
      <c r="C79" s="195"/>
      <c r="D79" s="188">
        <v>229.82</v>
      </c>
      <c r="E79" s="188">
        <v>0</v>
      </c>
      <c r="F79" s="198" t="s">
        <v>1643</v>
      </c>
      <c r="G79" s="182" t="str">
        <f ca="1">IFERROR(__xludf.DUMMYFUNCTION("""COMPUTED_VALUE"""),"PISO CARVALHO EUROPEU ITALY BROWN CHEVRON 15/3 X 1900X 740MM")</f>
        <v>PISO CARVALHO EUROPEU ITALY BROWN CHEVRON 15/3 X 1900X 740MM</v>
      </c>
      <c r="H79" s="192" t="s">
        <v>173</v>
      </c>
      <c r="I79" s="182" t="str">
        <f t="shared" ca="1" si="1"/>
        <v/>
      </c>
      <c r="J79" s="193"/>
      <c r="K79" s="198" t="s">
        <v>1645</v>
      </c>
      <c r="L79" s="182" t="s">
        <v>174</v>
      </c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4"/>
      <c r="Z79" s="184"/>
      <c r="AA79" s="184"/>
    </row>
    <row r="80" spans="1:27" ht="16.8">
      <c r="A80" s="185"/>
      <c r="B80" s="186" t="s">
        <v>1646</v>
      </c>
      <c r="C80" s="195"/>
      <c r="D80" s="188">
        <v>194.56</v>
      </c>
      <c r="E80" s="188">
        <v>0</v>
      </c>
      <c r="F80" s="198" t="s">
        <v>1645</v>
      </c>
      <c r="G80" s="182" t="str">
        <f ca="1">IFERROR(__xludf.DUMMYFUNCTION("""COMPUTED_VALUE"""),"PISO CARVALHO EUROPEU ITALY BROWN 15/3 X 125 X 1200MM")</f>
        <v>PISO CARVALHO EUROPEU ITALY BROWN 15/3 X 125 X 1200MM</v>
      </c>
      <c r="H80" s="192" t="s">
        <v>174</v>
      </c>
      <c r="I80" s="182" t="str">
        <f t="shared" ca="1" si="1"/>
        <v/>
      </c>
      <c r="J80" s="193"/>
      <c r="K80" s="198" t="s">
        <v>1647</v>
      </c>
      <c r="L80" s="182" t="s">
        <v>175</v>
      </c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4"/>
      <c r="Z80" s="184"/>
      <c r="AA80" s="184"/>
    </row>
    <row r="81" spans="1:27" ht="16.8">
      <c r="A81" s="185"/>
      <c r="B81" s="186" t="s">
        <v>1648</v>
      </c>
      <c r="C81" s="195"/>
      <c r="D81" s="188">
        <v>229.82</v>
      </c>
      <c r="E81" s="188">
        <v>0</v>
      </c>
      <c r="F81" s="198" t="s">
        <v>1647</v>
      </c>
      <c r="G81" s="182" t="str">
        <f ca="1">IFERROR(__xludf.DUMMYFUNCTION("""COMPUTED_VALUE"""),"PISO CARVALHO EUROPEU ITALY BROWN 15/3 X 190 X 1900MM")</f>
        <v>PISO CARVALHO EUROPEU ITALY BROWN 15/3 X 190 X 1900MM</v>
      </c>
      <c r="H81" s="192" t="s">
        <v>175</v>
      </c>
      <c r="I81" s="182" t="str">
        <f t="shared" ca="1" si="1"/>
        <v/>
      </c>
      <c r="J81" s="193"/>
      <c r="K81" s="198" t="s">
        <v>1649</v>
      </c>
      <c r="L81" s="182" t="s">
        <v>176</v>
      </c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4"/>
      <c r="Z81" s="184"/>
      <c r="AA81" s="184"/>
    </row>
    <row r="82" spans="1:27" ht="16.8">
      <c r="A82" s="185"/>
      <c r="B82" s="186" t="s">
        <v>1650</v>
      </c>
      <c r="C82" s="196">
        <v>206.6</v>
      </c>
      <c r="D82" s="188">
        <v>270.56</v>
      </c>
      <c r="E82" s="189">
        <v>55897.7</v>
      </c>
      <c r="F82" s="198" t="s">
        <v>1649</v>
      </c>
      <c r="G82" s="182" t="str">
        <f ca="1">IFERROR(__xludf.DUMMYFUNCTION("""COMPUTED_VALUE"""),"PISO CARVALHO EUROPEU ITALY BROWN 20/6 X 300 X 4000MM")</f>
        <v>PISO CARVALHO EUROPEU ITALY BROWN 20/6 X 300 X 4000MM</v>
      </c>
      <c r="H82" s="192" t="s">
        <v>176</v>
      </c>
      <c r="I82" s="182" t="str">
        <f t="shared" ca="1" si="1"/>
        <v/>
      </c>
      <c r="J82" s="193"/>
      <c r="K82" s="198" t="s">
        <v>1651</v>
      </c>
      <c r="L82" s="182" t="s">
        <v>177</v>
      </c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4"/>
      <c r="Z82" s="184"/>
      <c r="AA82" s="184"/>
    </row>
    <row r="83" spans="1:27" ht="16.8">
      <c r="A83" s="185"/>
      <c r="B83" s="186" t="s">
        <v>1652</v>
      </c>
      <c r="C83" s="195"/>
      <c r="D83" s="188">
        <v>304</v>
      </c>
      <c r="E83" s="188">
        <v>0</v>
      </c>
      <c r="F83" s="198" t="s">
        <v>1651</v>
      </c>
      <c r="G83" s="182" t="str">
        <f ca="1">IFERROR(__xludf.DUMMYFUNCTION("""COMPUTED_VALUE"""),"PISO CARVALHO EUROPEU ITALY BROWN 20/6 X 400 X 5000MM")</f>
        <v>PISO CARVALHO EUROPEU ITALY BROWN 20/6 X 400 X 5000MM</v>
      </c>
      <c r="H83" s="192" t="s">
        <v>177</v>
      </c>
      <c r="I83" s="182" t="str">
        <f t="shared" ca="1" si="1"/>
        <v/>
      </c>
      <c r="J83" s="193"/>
      <c r="K83" s="198" t="s">
        <v>1653</v>
      </c>
      <c r="L83" s="182" t="s">
        <v>178</v>
      </c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94"/>
      <c r="Z83" s="194"/>
      <c r="AA83" s="194"/>
    </row>
    <row r="84" spans="1:27" ht="16.8">
      <c r="A84" s="185"/>
      <c r="B84" s="186" t="s">
        <v>1654</v>
      </c>
      <c r="C84" s="195"/>
      <c r="D84" s="188">
        <v>229.82</v>
      </c>
      <c r="E84" s="188">
        <v>0</v>
      </c>
      <c r="F84" s="198" t="s">
        <v>1653</v>
      </c>
      <c r="G84" s="182" t="str">
        <f ca="1">IFERROR(__xludf.DUMMYFUNCTION("""COMPUTED_VALUE"""),"PISO CARVALHO EUROPEU ALL BLACK CHEVRON 15/3 X 1900X 740MM")</f>
        <v>PISO CARVALHO EUROPEU ALL BLACK CHEVRON 15/3 X 1900X 740MM</v>
      </c>
      <c r="H84" s="192" t="s">
        <v>178</v>
      </c>
      <c r="I84" s="182" t="str">
        <f t="shared" ca="1" si="1"/>
        <v/>
      </c>
      <c r="J84" s="193"/>
      <c r="K84" s="198" t="s">
        <v>1655</v>
      </c>
      <c r="L84" s="182" t="s">
        <v>179</v>
      </c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94"/>
      <c r="Z84" s="194"/>
      <c r="AA84" s="194"/>
    </row>
    <row r="85" spans="1:27" ht="16.8">
      <c r="A85" s="185"/>
      <c r="B85" s="186" t="s">
        <v>1656</v>
      </c>
      <c r="C85" s="195"/>
      <c r="D85" s="188">
        <v>194.56</v>
      </c>
      <c r="E85" s="188">
        <v>0</v>
      </c>
      <c r="F85" s="198" t="s">
        <v>1655</v>
      </c>
      <c r="G85" s="182" t="str">
        <f ca="1">IFERROR(__xludf.DUMMYFUNCTION("""COMPUTED_VALUE"""),"PISO CARVALHO EUROPEU ALL BLACK 15/3 X 125 X 1200MM")</f>
        <v>PISO CARVALHO EUROPEU ALL BLACK 15/3 X 125 X 1200MM</v>
      </c>
      <c r="H85" s="192" t="s">
        <v>179</v>
      </c>
      <c r="I85" s="182" t="str">
        <f t="shared" ca="1" si="1"/>
        <v/>
      </c>
      <c r="J85" s="193"/>
      <c r="K85" s="198" t="s">
        <v>1657</v>
      </c>
      <c r="L85" s="182" t="s">
        <v>180</v>
      </c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94"/>
      <c r="Z85" s="194"/>
      <c r="AA85" s="194"/>
    </row>
    <row r="86" spans="1:27" ht="16.8">
      <c r="A86" s="185"/>
      <c r="B86" s="186" t="s">
        <v>1658</v>
      </c>
      <c r="C86" s="196">
        <v>297.60000000000002</v>
      </c>
      <c r="D86" s="188">
        <v>194.56</v>
      </c>
      <c r="E86" s="189">
        <v>57901.06</v>
      </c>
      <c r="F86" s="198" t="s">
        <v>1657</v>
      </c>
      <c r="G86" s="182" t="str">
        <f ca="1">IFERROR(__xludf.DUMMYFUNCTION("""COMPUTED_VALUE"""),"PISO CARVALHO EUROPEU BLACK CHEVRON TG 15/3 X 125 X 775CM")</f>
        <v>PISO CARVALHO EUROPEU BLACK CHEVRON TG 15/3 X 125 X 775CM</v>
      </c>
      <c r="H86" s="192" t="s">
        <v>180</v>
      </c>
      <c r="I86" s="182" t="str">
        <f t="shared" ca="1" si="1"/>
        <v/>
      </c>
      <c r="J86" s="193"/>
      <c r="K86" s="198" t="s">
        <v>1659</v>
      </c>
      <c r="L86" s="182" t="s">
        <v>181</v>
      </c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94"/>
      <c r="Z86" s="194"/>
      <c r="AA86" s="194"/>
    </row>
    <row r="87" spans="1:27" ht="16.8">
      <c r="A87" s="185"/>
      <c r="B87" s="186" t="s">
        <v>1660</v>
      </c>
      <c r="C87" s="196">
        <v>326.26</v>
      </c>
      <c r="D87" s="188">
        <v>229.82</v>
      </c>
      <c r="E87" s="189">
        <v>74980.149999999994</v>
      </c>
      <c r="F87" s="198" t="s">
        <v>1659</v>
      </c>
      <c r="G87" s="182" t="str">
        <f ca="1">IFERROR(__xludf.DUMMYFUNCTION("""COMPUTED_VALUE"""),"PISO CARVALHO EUROPEU ALL BLACK 15/3 X 190 X 1900MM")</f>
        <v>PISO CARVALHO EUROPEU ALL BLACK 15/3 X 190 X 1900MM</v>
      </c>
      <c r="H87" s="192" t="s">
        <v>181</v>
      </c>
      <c r="I87" s="182" t="str">
        <f t="shared" ca="1" si="1"/>
        <v/>
      </c>
      <c r="J87" s="193"/>
      <c r="K87" s="198" t="s">
        <v>1661</v>
      </c>
      <c r="L87" s="182" t="s">
        <v>182</v>
      </c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94"/>
      <c r="Z87" s="194"/>
      <c r="AA87" s="194"/>
    </row>
    <row r="88" spans="1:27" ht="16.8">
      <c r="A88" s="185"/>
      <c r="B88" s="186" t="s">
        <v>1662</v>
      </c>
      <c r="C88" s="196">
        <v>187</v>
      </c>
      <c r="D88" s="188">
        <v>270.56</v>
      </c>
      <c r="E88" s="189">
        <v>50594.720000000001</v>
      </c>
      <c r="F88" s="198" t="s">
        <v>1661</v>
      </c>
      <c r="G88" s="182" t="str">
        <f ca="1">IFERROR(__xludf.DUMMYFUNCTION("""COMPUTED_VALUE"""),"PISO CARVALHO EUROPEU ALL BLACK 20/6 X 300 X 4000MM")</f>
        <v>PISO CARVALHO EUROPEU ALL BLACK 20/6 X 300 X 4000MM</v>
      </c>
      <c r="H88" s="192" t="s">
        <v>182</v>
      </c>
      <c r="I88" s="182" t="str">
        <f t="shared" ca="1" si="1"/>
        <v/>
      </c>
      <c r="J88" s="193"/>
      <c r="K88" s="198" t="s">
        <v>1663</v>
      </c>
      <c r="L88" s="182" t="s">
        <v>183</v>
      </c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94"/>
      <c r="Z88" s="194"/>
      <c r="AA88" s="194"/>
    </row>
    <row r="89" spans="1:27" ht="16.8">
      <c r="A89" s="185"/>
      <c r="B89" s="186" t="s">
        <v>1664</v>
      </c>
      <c r="C89" s="195"/>
      <c r="D89" s="188">
        <v>304</v>
      </c>
      <c r="E89" s="188">
        <v>0</v>
      </c>
      <c r="F89" s="198" t="s">
        <v>1663</v>
      </c>
      <c r="G89" s="182" t="str">
        <f ca="1">IFERROR(__xludf.DUMMYFUNCTION("""COMPUTED_VALUE"""),"PISO CARVALHO EUROPEU ALL BLACK 20/6 X 400 X 5000MM")</f>
        <v>PISO CARVALHO EUROPEU ALL BLACK 20/6 X 400 X 5000MM</v>
      </c>
      <c r="H89" s="192" t="s">
        <v>183</v>
      </c>
      <c r="I89" s="182" t="str">
        <f t="shared" ca="1" si="1"/>
        <v/>
      </c>
      <c r="J89" s="193"/>
      <c r="K89" s="198" t="s">
        <v>1665</v>
      </c>
      <c r="L89" s="182" t="s">
        <v>184</v>
      </c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94"/>
      <c r="Z89" s="194"/>
      <c r="AA89" s="194"/>
    </row>
    <row r="90" spans="1:27" ht="16.8">
      <c r="A90" s="185"/>
      <c r="B90" s="186" t="s">
        <v>1666</v>
      </c>
      <c r="C90" s="195"/>
      <c r="D90" s="188">
        <v>229.82</v>
      </c>
      <c r="E90" s="188">
        <v>0</v>
      </c>
      <c r="F90" s="198" t="s">
        <v>1665</v>
      </c>
      <c r="G90" s="182" t="str">
        <f ca="1">IFERROR(__xludf.DUMMYFUNCTION("""COMPUTED_VALUE"""),"PISO CARVALHO EUROPEU URBAN GREY CHEVRON 15/3 X 1900X 740MM")</f>
        <v>PISO CARVALHO EUROPEU URBAN GREY CHEVRON 15/3 X 1900X 740MM</v>
      </c>
      <c r="H90" s="192" t="s">
        <v>184</v>
      </c>
      <c r="I90" s="182" t="str">
        <f t="shared" ca="1" si="1"/>
        <v/>
      </c>
      <c r="J90" s="193"/>
      <c r="K90" s="198" t="s">
        <v>1667</v>
      </c>
      <c r="L90" s="200" t="s">
        <v>185</v>
      </c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94"/>
      <c r="Z90" s="194"/>
      <c r="AA90" s="194"/>
    </row>
    <row r="91" spans="1:27" ht="16.8">
      <c r="A91" s="185"/>
      <c r="B91" s="186" t="s">
        <v>1668</v>
      </c>
      <c r="C91" s="204"/>
      <c r="D91" s="205">
        <v>194.56</v>
      </c>
      <c r="E91" s="205">
        <v>0</v>
      </c>
      <c r="F91" s="198" t="s">
        <v>1667</v>
      </c>
      <c r="G91" s="200" t="str">
        <f ca="1">IFERROR(__xludf.DUMMYFUNCTION("""COMPUTED_VALUE"""),"PISO CARVALHO EUROPEU URBAN GREY 15/3 X 125 X 1200MM")</f>
        <v>PISO CARVALHO EUROPEU URBAN GREY 15/3 X 125 X 1200MM</v>
      </c>
      <c r="H91" s="201" t="s">
        <v>185</v>
      </c>
      <c r="I91" s="200" t="str">
        <f t="shared" ca="1" si="1"/>
        <v/>
      </c>
      <c r="J91" s="202"/>
      <c r="K91" s="198" t="s">
        <v>1669</v>
      </c>
      <c r="L91" s="182" t="s">
        <v>186</v>
      </c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184"/>
      <c r="Z91" s="184"/>
      <c r="AA91" s="184"/>
    </row>
    <row r="92" spans="1:27" ht="16.8">
      <c r="A92" s="185"/>
      <c r="B92" s="186" t="s">
        <v>1670</v>
      </c>
      <c r="C92" s="195"/>
      <c r="D92" s="188">
        <v>229.82</v>
      </c>
      <c r="E92" s="188">
        <v>0</v>
      </c>
      <c r="F92" s="198" t="s">
        <v>1669</v>
      </c>
      <c r="G92" s="182" t="str">
        <f ca="1">IFERROR(__xludf.DUMMYFUNCTION("""COMPUTED_VALUE"""),"PISO CARVALHO EUROPEU URBAN GREY 15/3 X 190 X 1900MM")</f>
        <v>PISO CARVALHO EUROPEU URBAN GREY 15/3 X 190 X 1900MM</v>
      </c>
      <c r="H92" s="192" t="s">
        <v>186</v>
      </c>
      <c r="I92" s="182" t="str">
        <f t="shared" ca="1" si="1"/>
        <v/>
      </c>
      <c r="J92" s="193"/>
      <c r="K92" s="198" t="s">
        <v>1671</v>
      </c>
      <c r="L92" s="182" t="s">
        <v>187</v>
      </c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4"/>
      <c r="Z92" s="184"/>
      <c r="AA92" s="184"/>
    </row>
    <row r="93" spans="1:27" ht="16.8">
      <c r="A93" s="185"/>
      <c r="B93" s="186" t="s">
        <v>1672</v>
      </c>
      <c r="C93" s="195"/>
      <c r="D93" s="188">
        <v>270.56</v>
      </c>
      <c r="E93" s="188">
        <v>0</v>
      </c>
      <c r="F93" s="198" t="s">
        <v>1671</v>
      </c>
      <c r="G93" s="182" t="str">
        <f ca="1">IFERROR(__xludf.DUMMYFUNCTION("""COMPUTED_VALUE"""),"PISO CARVALHO EUROPEU URBAN GREY 20/6 X 300 X 4000MM")</f>
        <v>PISO CARVALHO EUROPEU URBAN GREY 20/6 X 300 X 4000MM</v>
      </c>
      <c r="H93" s="192" t="s">
        <v>187</v>
      </c>
      <c r="I93" s="182" t="str">
        <f t="shared" ca="1" si="1"/>
        <v/>
      </c>
      <c r="J93" s="193"/>
      <c r="K93" s="198" t="s">
        <v>1673</v>
      </c>
      <c r="L93" s="182" t="s">
        <v>188</v>
      </c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4"/>
      <c r="Z93" s="184"/>
      <c r="AA93" s="184"/>
    </row>
    <row r="94" spans="1:27" ht="16.8">
      <c r="A94" s="185"/>
      <c r="B94" s="186" t="s">
        <v>1674</v>
      </c>
      <c r="C94" s="195"/>
      <c r="D94" s="188">
        <v>304</v>
      </c>
      <c r="E94" s="188">
        <v>0</v>
      </c>
      <c r="F94" s="198" t="s">
        <v>1673</v>
      </c>
      <c r="G94" s="182" t="str">
        <f ca="1">IFERROR(__xludf.DUMMYFUNCTION("""COMPUTED_VALUE"""),"PISO CARVALHO EUROPEU URBAN GREY 20/6 X 400 X 5000MM")</f>
        <v>PISO CARVALHO EUROPEU URBAN GREY 20/6 X 400 X 5000MM</v>
      </c>
      <c r="H94" s="192" t="s">
        <v>188</v>
      </c>
      <c r="I94" s="182" t="str">
        <f t="shared" ca="1" si="1"/>
        <v/>
      </c>
      <c r="J94" s="193"/>
      <c r="K94" s="198" t="s">
        <v>1675</v>
      </c>
      <c r="L94" s="182" t="s">
        <v>189</v>
      </c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4"/>
      <c r="Z94" s="184"/>
      <c r="AA94" s="184"/>
    </row>
    <row r="95" spans="1:27" ht="16.8">
      <c r="A95" s="185"/>
      <c r="B95" s="186" t="s">
        <v>1676</v>
      </c>
      <c r="C95" s="195"/>
      <c r="D95" s="188">
        <v>229.82</v>
      </c>
      <c r="E95" s="188">
        <v>0</v>
      </c>
      <c r="F95" s="198" t="s">
        <v>1675</v>
      </c>
      <c r="G95" s="182" t="str">
        <f ca="1">IFERROR(__xludf.DUMMYFUNCTION("""COMPUTED_VALUE"""),"PISO CARVALHO EUROPEU CARAMEL CHEVRON 15/3 X 1900X 740MM")</f>
        <v>PISO CARVALHO EUROPEU CARAMEL CHEVRON 15/3 X 1900X 740MM</v>
      </c>
      <c r="H95" s="192" t="s">
        <v>189</v>
      </c>
      <c r="I95" s="182" t="str">
        <f t="shared" ca="1" si="1"/>
        <v/>
      </c>
      <c r="J95" s="193"/>
      <c r="K95" s="198" t="s">
        <v>1677</v>
      </c>
      <c r="L95" s="182" t="s">
        <v>190</v>
      </c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4"/>
      <c r="Z95" s="184"/>
      <c r="AA95" s="184"/>
    </row>
    <row r="96" spans="1:27" ht="16.8">
      <c r="A96" s="185"/>
      <c r="B96" s="186" t="s">
        <v>1678</v>
      </c>
      <c r="C96" s="195"/>
      <c r="D96" s="188">
        <v>194.56</v>
      </c>
      <c r="E96" s="188">
        <v>0</v>
      </c>
      <c r="F96" s="198" t="s">
        <v>1677</v>
      </c>
      <c r="G96" s="182" t="str">
        <f ca="1">IFERROR(__xludf.DUMMYFUNCTION("""COMPUTED_VALUE"""),"PISO CARVALHO EUROPEU CARAMEL 15/3 X 125 X 1200MM")</f>
        <v>PISO CARVALHO EUROPEU CARAMEL 15/3 X 125 X 1200MM</v>
      </c>
      <c r="H96" s="192" t="s">
        <v>190</v>
      </c>
      <c r="I96" s="182" t="str">
        <f t="shared" ca="1" si="1"/>
        <v/>
      </c>
      <c r="J96" s="193"/>
      <c r="K96" s="198" t="s">
        <v>1679</v>
      </c>
      <c r="L96" s="182" t="s">
        <v>191</v>
      </c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4"/>
      <c r="Z96" s="184"/>
      <c r="AA96" s="184"/>
    </row>
    <row r="97" spans="1:27" ht="16.8">
      <c r="A97" s="185"/>
      <c r="B97" s="186" t="s">
        <v>1680</v>
      </c>
      <c r="C97" s="196">
        <v>11.71</v>
      </c>
      <c r="D97" s="188">
        <v>229.82</v>
      </c>
      <c r="E97" s="189">
        <v>2691.65</v>
      </c>
      <c r="F97" s="198" t="s">
        <v>1679</v>
      </c>
      <c r="G97" s="182" t="str">
        <f ca="1">IFERROR(__xludf.DUMMYFUNCTION("""COMPUTED_VALUE"""),"PISO CARVALHO EUROPEU CARAMEL 15/3 X 190 X 1900MM")</f>
        <v>PISO CARVALHO EUROPEU CARAMEL 15/3 X 190 X 1900MM</v>
      </c>
      <c r="H97" s="192" t="s">
        <v>191</v>
      </c>
      <c r="I97" s="182" t="str">
        <f t="shared" ca="1" si="1"/>
        <v/>
      </c>
      <c r="J97" s="193"/>
      <c r="K97" s="198" t="s">
        <v>1681</v>
      </c>
      <c r="L97" s="182" t="s">
        <v>192</v>
      </c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4"/>
      <c r="Z97" s="184"/>
      <c r="AA97" s="184"/>
    </row>
    <row r="98" spans="1:27" ht="16.8">
      <c r="A98" s="185"/>
      <c r="B98" s="186" t="s">
        <v>1682</v>
      </c>
      <c r="C98" s="195"/>
      <c r="D98" s="188">
        <v>270.56</v>
      </c>
      <c r="E98" s="188">
        <v>0</v>
      </c>
      <c r="F98" s="198" t="s">
        <v>1681</v>
      </c>
      <c r="G98" s="182" t="str">
        <f ca="1">IFERROR(__xludf.DUMMYFUNCTION("""COMPUTED_VALUE"""),"PISO CARVALHO EUROPEU CARAMEL 20/6 X 300 X 4000MM")</f>
        <v>PISO CARVALHO EUROPEU CARAMEL 20/6 X 300 X 4000MM</v>
      </c>
      <c r="H98" s="192" t="s">
        <v>192</v>
      </c>
      <c r="I98" s="182" t="str">
        <f t="shared" ca="1" si="1"/>
        <v/>
      </c>
      <c r="J98" s="193"/>
      <c r="K98" s="198" t="s">
        <v>1683</v>
      </c>
      <c r="L98" s="182" t="s">
        <v>193</v>
      </c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4"/>
      <c r="Z98" s="184"/>
      <c r="AA98" s="184"/>
    </row>
    <row r="99" spans="1:27" ht="16.8">
      <c r="A99" s="185"/>
      <c r="B99" s="186" t="s">
        <v>1684</v>
      </c>
      <c r="C99" s="195"/>
      <c r="D99" s="188">
        <v>304</v>
      </c>
      <c r="E99" s="188">
        <v>0</v>
      </c>
      <c r="F99" s="198" t="s">
        <v>1683</v>
      </c>
      <c r="G99" s="182" t="str">
        <f ca="1">IFERROR(__xludf.DUMMYFUNCTION("""COMPUTED_VALUE"""),"PISO CARVALHO EUROPEU CARAMEL 20/6 X 400 X 5000MM")</f>
        <v>PISO CARVALHO EUROPEU CARAMEL 20/6 X 400 X 5000MM</v>
      </c>
      <c r="H99" s="192" t="s">
        <v>193</v>
      </c>
      <c r="I99" s="182" t="str">
        <f t="shared" ca="1" si="1"/>
        <v/>
      </c>
      <c r="J99" s="193"/>
      <c r="K99" s="198" t="s">
        <v>1685</v>
      </c>
      <c r="L99" s="182" t="s">
        <v>194</v>
      </c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4"/>
      <c r="Z99" s="184"/>
      <c r="AA99" s="184"/>
    </row>
    <row r="100" spans="1:27" ht="16.8">
      <c r="A100" s="185"/>
      <c r="B100" s="186" t="s">
        <v>1686</v>
      </c>
      <c r="C100" s="196">
        <v>661.26</v>
      </c>
      <c r="D100" s="188">
        <v>229.82</v>
      </c>
      <c r="E100" s="189">
        <v>151969.85</v>
      </c>
      <c r="F100" s="198" t="s">
        <v>1685</v>
      </c>
      <c r="G100" s="182" t="str">
        <f ca="1">IFERROR(__xludf.DUMMYFUNCTION("""COMPUTED_VALUE"""),"PISO CARVALHO EUROPEU CHEMICAL CHEVRON TG 15/3*190*740MM")</f>
        <v>PISO CARVALHO EUROPEU CHEMICAL CHEVRON TG 15/3*190*740MM</v>
      </c>
      <c r="H100" s="192" t="s">
        <v>194</v>
      </c>
      <c r="I100" s="182" t="str">
        <f t="shared" ca="1" si="1"/>
        <v/>
      </c>
      <c r="J100" s="193"/>
      <c r="K100" s="198" t="s">
        <v>1687</v>
      </c>
      <c r="L100" s="182" t="s">
        <v>195</v>
      </c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4"/>
      <c r="Z100" s="184"/>
      <c r="AA100" s="184"/>
    </row>
    <row r="101" spans="1:27" ht="16.8">
      <c r="A101" s="185"/>
      <c r="B101" s="186" t="s">
        <v>1688</v>
      </c>
      <c r="C101" s="196">
        <v>220</v>
      </c>
      <c r="D101" s="188">
        <v>229.82</v>
      </c>
      <c r="E101" s="189">
        <v>50560.4</v>
      </c>
      <c r="F101" s="198" t="s">
        <v>1687</v>
      </c>
      <c r="G101" s="182" t="str">
        <f ca="1">IFERROR(__xludf.DUMMYFUNCTION("""COMPUTED_VALUE"""),"PISO CARVALHO EUROPEU WHITE RUSTIC 15/4*189*1860MM")</f>
        <v>PISO CARVALHO EUROPEU WHITE RUSTIC 15/4*189*1860MM</v>
      </c>
      <c r="H101" s="192" t="s">
        <v>195</v>
      </c>
      <c r="I101" s="182" t="str">
        <f t="shared" ca="1" si="1"/>
        <v/>
      </c>
      <c r="J101" s="193"/>
      <c r="K101" s="198" t="s">
        <v>1689</v>
      </c>
      <c r="L101" s="182" t="s">
        <v>196</v>
      </c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94"/>
      <c r="Z101" s="194"/>
      <c r="AA101" s="194"/>
    </row>
    <row r="102" spans="1:27" ht="16.8">
      <c r="A102" s="185"/>
      <c r="B102" s="186" t="s">
        <v>1690</v>
      </c>
      <c r="C102" s="196">
        <v>251.37</v>
      </c>
      <c r="D102" s="188">
        <v>194.56</v>
      </c>
      <c r="E102" s="189">
        <v>48906.55</v>
      </c>
      <c r="F102" s="198" t="s">
        <v>1689</v>
      </c>
      <c r="G102" s="182" t="str">
        <f ca="1">IFERROR(__xludf.DUMMYFUNCTION("""COMPUTED_VALUE"""),"PISO CARVALHO EUROPEU CUSTOMIZADO 14/3 X 12,7 X 186CM")</f>
        <v>PISO CARVALHO EUROPEU CUSTOMIZADO 14/3 X 12,7 X 186CM</v>
      </c>
      <c r="H102" s="192" t="s">
        <v>196</v>
      </c>
      <c r="I102" s="182" t="str">
        <f t="shared" ca="1" si="1"/>
        <v/>
      </c>
      <c r="J102" s="193"/>
      <c r="K102" s="198" t="s">
        <v>1691</v>
      </c>
      <c r="L102" s="182" t="s">
        <v>197</v>
      </c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4"/>
      <c r="Z102" s="184"/>
      <c r="AA102" s="184"/>
    </row>
    <row r="103" spans="1:27" ht="16.8">
      <c r="A103" s="185"/>
      <c r="B103" s="186" t="s">
        <v>1692</v>
      </c>
      <c r="C103" s="196">
        <v>259.92</v>
      </c>
      <c r="D103" s="188">
        <v>229.82</v>
      </c>
      <c r="E103" s="189">
        <v>59734.81</v>
      </c>
      <c r="F103" s="198" t="s">
        <v>1691</v>
      </c>
      <c r="G103" s="182" t="str">
        <f ca="1">IFERROR(__xludf.DUMMYFUNCTION("""COMPUTED_VALUE"""),"PISO CARVALHO EUROPEU CUSTOMIZADO 2.0 X 19 X 190CM (C2)")</f>
        <v>PISO CARVALHO EUROPEU CUSTOMIZADO 2.0 X 19 X 190CM (C2)</v>
      </c>
      <c r="H103" s="192" t="s">
        <v>197</v>
      </c>
      <c r="I103" s="182" t="str">
        <f t="shared" ca="1" si="1"/>
        <v/>
      </c>
      <c r="J103" s="193"/>
      <c r="K103" s="198" t="s">
        <v>1693</v>
      </c>
      <c r="L103" s="182" t="s">
        <v>198</v>
      </c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4"/>
      <c r="Z103" s="184"/>
      <c r="AA103" s="184"/>
    </row>
    <row r="104" spans="1:27" ht="16.8">
      <c r="A104" s="185"/>
      <c r="B104" s="186" t="s">
        <v>1694</v>
      </c>
      <c r="C104" s="196">
        <v>41.91</v>
      </c>
      <c r="D104" s="188">
        <v>150.75</v>
      </c>
      <c r="E104" s="189">
        <v>6318.6</v>
      </c>
      <c r="F104" s="198" t="s">
        <v>1693</v>
      </c>
      <c r="G104" s="182" t="str">
        <f ca="1">IFERROR(__xludf.DUMMYFUNCTION("""COMPUTED_VALUE"""),"PISO CARVALHO EUROPEU NATURAL CHEVRON TG 1.5/3 X 9X 51CM")</f>
        <v>PISO CARVALHO EUROPEU NATURAL CHEVRON TG 1.5/3 X 9X 51CM</v>
      </c>
      <c r="H104" s="192" t="s">
        <v>198</v>
      </c>
      <c r="I104" s="182" t="str">
        <f t="shared" ca="1" si="1"/>
        <v/>
      </c>
      <c r="J104" s="193"/>
      <c r="K104" s="198" t="s">
        <v>1695</v>
      </c>
      <c r="L104" s="182" t="s">
        <v>198</v>
      </c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4"/>
      <c r="Z104" s="184"/>
      <c r="AA104" s="184"/>
    </row>
    <row r="105" spans="1:27" ht="16.8">
      <c r="A105" s="185"/>
      <c r="B105" s="186" t="s">
        <v>1694</v>
      </c>
      <c r="C105" s="196">
        <v>47.01</v>
      </c>
      <c r="D105" s="188">
        <v>194.56</v>
      </c>
      <c r="E105" s="189">
        <v>9145.8799999999992</v>
      </c>
      <c r="F105" s="198" t="s">
        <v>1695</v>
      </c>
      <c r="G105" s="182" t="str">
        <f ca="1">IFERROR(__xludf.DUMMYFUNCTION("""COMPUTED_VALUE"""),"PISO CARVALHO EUROPEU NATURAL CHEVRON TG 1.5/3 X 9X 51CM")</f>
        <v>PISO CARVALHO EUROPEU NATURAL CHEVRON TG 1.5/3 X 9X 51CM</v>
      </c>
      <c r="H105" s="192" t="s">
        <v>198</v>
      </c>
      <c r="I105" s="182" t="str">
        <f t="shared" ca="1" si="1"/>
        <v/>
      </c>
      <c r="J105" s="193"/>
      <c r="K105" s="198" t="s">
        <v>1696</v>
      </c>
      <c r="L105" s="182" t="s">
        <v>200</v>
      </c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94"/>
      <c r="Z105" s="194"/>
      <c r="AA105" s="194"/>
    </row>
    <row r="106" spans="1:27" ht="16.8">
      <c r="A106" s="185"/>
      <c r="B106" s="186" t="s">
        <v>1697</v>
      </c>
      <c r="C106" s="196">
        <v>196.2</v>
      </c>
      <c r="D106" s="188">
        <v>229.82</v>
      </c>
      <c r="E106" s="189">
        <v>45090.68</v>
      </c>
      <c r="F106" s="198" t="s">
        <v>1696</v>
      </c>
      <c r="G106" s="182" t="str">
        <f ca="1">IFERROR(__xludf.DUMMYFUNCTION("""COMPUTED_VALUE"""),"PISO CARVALHO EUROPEU NUDE CHEVRON 60.. TG 15/3 X 190 X 90CM")</f>
        <v>PISO CARVALHO EUROPEU NUDE CHEVRON 60.. TG 15/3 X 190 X 90CM</v>
      </c>
      <c r="H106" s="192" t="s">
        <v>200</v>
      </c>
      <c r="I106" s="182" t="str">
        <f t="shared" ca="1" si="1"/>
        <v/>
      </c>
      <c r="J106" s="193"/>
      <c r="K106" s="198" t="s">
        <v>1698</v>
      </c>
      <c r="L106" s="182" t="s">
        <v>201</v>
      </c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4"/>
      <c r="Z106" s="184"/>
      <c r="AA106" s="184"/>
    </row>
    <row r="107" spans="1:27" ht="16.8">
      <c r="A107" s="185"/>
      <c r="B107" s="186" t="s">
        <v>1699</v>
      </c>
      <c r="C107" s="196">
        <v>473.42</v>
      </c>
      <c r="D107" s="188">
        <v>194.56</v>
      </c>
      <c r="E107" s="189">
        <v>92108.6</v>
      </c>
      <c r="F107" s="198" t="s">
        <v>1698</v>
      </c>
      <c r="G107" s="182" t="str">
        <f ca="1">IFERROR(__xludf.DUMMYFUNCTION("""COMPUTED_VALUE"""),"PISO CARVALHO EUROPEU NUDE CHEVRON TG 1.5/3X 12.5X 63CM")</f>
        <v>PISO CARVALHO EUROPEU NUDE CHEVRON TG 1.5/3X 12.5X 63CM</v>
      </c>
      <c r="H107" s="192" t="s">
        <v>201</v>
      </c>
      <c r="I107" s="182" t="str">
        <f t="shared" ca="1" si="1"/>
        <v/>
      </c>
      <c r="J107" s="193"/>
      <c r="K107" s="198" t="s">
        <v>1700</v>
      </c>
      <c r="L107" s="182" t="s">
        <v>202</v>
      </c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4"/>
      <c r="Z107" s="184"/>
      <c r="AA107" s="184"/>
    </row>
    <row r="108" spans="1:27" ht="16.8">
      <c r="A108" s="185"/>
      <c r="B108" s="186" t="s">
        <v>1701</v>
      </c>
      <c r="C108" s="196">
        <v>523.64</v>
      </c>
      <c r="D108" s="188">
        <v>255.36</v>
      </c>
      <c r="E108" s="189">
        <v>133715.43</v>
      </c>
      <c r="F108" s="198" t="s">
        <v>1700</v>
      </c>
      <c r="G108" s="182" t="str">
        <f ca="1">IFERROR(__xludf.DUMMYFUNCTION("""COMPUTED_VALUE"""),"PISO WALNUT 15/3 X 125 X 910MM")</f>
        <v>PISO WALNUT 15/3 X 125 X 910MM</v>
      </c>
      <c r="H108" s="192" t="s">
        <v>202</v>
      </c>
      <c r="I108" s="182" t="str">
        <f t="shared" ca="1" si="1"/>
        <v/>
      </c>
      <c r="J108" s="193"/>
      <c r="K108" s="198" t="s">
        <v>1702</v>
      </c>
      <c r="L108" s="182" t="s">
        <v>203</v>
      </c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4"/>
      <c r="Z108" s="184"/>
      <c r="AA108" s="184"/>
    </row>
    <row r="109" spans="1:27" ht="16.8">
      <c r="A109" s="185"/>
      <c r="B109" s="186" t="s">
        <v>1703</v>
      </c>
      <c r="C109" s="187">
        <v>1694.53</v>
      </c>
      <c r="D109" s="188">
        <v>255.36</v>
      </c>
      <c r="E109" s="189">
        <v>432714.16</v>
      </c>
      <c r="F109" s="198" t="s">
        <v>1702</v>
      </c>
      <c r="G109" s="182" t="str">
        <f ca="1">IFERROR(__xludf.DUMMYFUNCTION("""COMPUTED_VALUE"""),"PISO WALNUT 15/3 X 190 X 1900MM")</f>
        <v>PISO WALNUT 15/3 X 190 X 1900MM</v>
      </c>
      <c r="H109" s="192" t="s">
        <v>203</v>
      </c>
      <c r="I109" s="182" t="str">
        <f t="shared" ca="1" si="1"/>
        <v/>
      </c>
      <c r="J109" s="193"/>
      <c r="K109" s="198" t="s">
        <v>1704</v>
      </c>
      <c r="L109" s="182" t="s">
        <v>204</v>
      </c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4"/>
      <c r="Z109" s="184"/>
      <c r="AA109" s="184"/>
    </row>
    <row r="110" spans="1:27" ht="16.8">
      <c r="A110" s="185"/>
      <c r="B110" s="186" t="s">
        <v>1705</v>
      </c>
      <c r="C110" s="196">
        <v>137.80000000000001</v>
      </c>
      <c r="D110" s="188">
        <v>304</v>
      </c>
      <c r="E110" s="189">
        <v>41891.199999999997</v>
      </c>
      <c r="F110" s="198" t="s">
        <v>1704</v>
      </c>
      <c r="G110" s="182" t="str">
        <f ca="1">IFERROR(__xludf.DUMMYFUNCTION("""COMPUTED_VALUE"""),"PISO WALNUT 20/2 X 300 X 4000MM")</f>
        <v>PISO WALNUT 20/2 X 300 X 4000MM</v>
      </c>
      <c r="H110" s="192" t="s">
        <v>204</v>
      </c>
      <c r="I110" s="182" t="str">
        <f t="shared" ca="1" si="1"/>
        <v/>
      </c>
      <c r="J110" s="193"/>
      <c r="K110" s="198" t="s">
        <v>1706</v>
      </c>
      <c r="L110" s="182" t="s">
        <v>205</v>
      </c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4"/>
      <c r="Z110" s="184"/>
      <c r="AA110" s="184"/>
    </row>
    <row r="111" spans="1:27" ht="16.8">
      <c r="A111" s="185"/>
      <c r="B111" s="206" t="s">
        <v>1707</v>
      </c>
      <c r="C111" s="207">
        <v>956</v>
      </c>
      <c r="D111" s="188">
        <v>139.84</v>
      </c>
      <c r="E111" s="189">
        <v>133687.04000000001</v>
      </c>
      <c r="F111" s="198" t="s">
        <v>1706</v>
      </c>
      <c r="G111" s="182" t="str">
        <f ca="1">IFERROR(__xludf.DUMMYFUNCTION("""COMPUTED_VALUE"""),"PISO BAMBU ALTA DENS. CUST PREMIUM TG 1.5/4 X19X185CM")</f>
        <v>PISO BAMBU ALTA DENS. CUST PREMIUM TG 1.5/4 X19X185CM</v>
      </c>
      <c r="H111" s="192" t="s">
        <v>205</v>
      </c>
      <c r="I111" s="182" t="str">
        <f t="shared" ca="1" si="1"/>
        <v/>
      </c>
      <c r="J111" s="193"/>
      <c r="K111" s="198" t="s">
        <v>1708</v>
      </c>
      <c r="L111" s="182" t="s">
        <v>206</v>
      </c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4"/>
      <c r="Z111" s="184"/>
      <c r="AA111" s="184"/>
    </row>
    <row r="112" spans="1:27" ht="16.8">
      <c r="A112" s="185"/>
      <c r="B112" s="206" t="s">
        <v>1709</v>
      </c>
      <c r="C112" s="207">
        <v>310.19</v>
      </c>
      <c r="D112" s="188">
        <v>139.84</v>
      </c>
      <c r="E112" s="189">
        <v>43376.97</v>
      </c>
      <c r="F112" s="198" t="s">
        <v>1708</v>
      </c>
      <c r="G112" s="182" t="str">
        <f ca="1">IFERROR(__xludf.DUMMYFUNCTION("""COMPUTED_VALUE"""),"PISO BAMBU CARAMEL ALTA DENSIDADE TG 1.5/4 X19X186CM")</f>
        <v>PISO BAMBU CARAMEL ALTA DENSIDADE TG 1.5/4 X19X186CM</v>
      </c>
      <c r="H112" s="192" t="s">
        <v>206</v>
      </c>
      <c r="I112" s="182" t="str">
        <f t="shared" ca="1" si="1"/>
        <v/>
      </c>
      <c r="J112" s="193"/>
      <c r="K112" s="198" t="s">
        <v>1710</v>
      </c>
      <c r="L112" s="182" t="s">
        <v>207</v>
      </c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4"/>
      <c r="Z112" s="184"/>
      <c r="AA112" s="184"/>
    </row>
    <row r="113" spans="1:27" ht="16.8">
      <c r="A113" s="185"/>
      <c r="B113" s="186" t="s">
        <v>1711</v>
      </c>
      <c r="C113" s="195"/>
      <c r="D113" s="188">
        <v>284</v>
      </c>
      <c r="E113" s="188">
        <v>0</v>
      </c>
      <c r="F113" s="198" t="s">
        <v>1710</v>
      </c>
      <c r="G113" s="182" t="str">
        <f ca="1">IFERROR(__xludf.DUMMYFUNCTION("""COMPUTED_VALUE"""),"PISO RIPADO CUMARU PREMIUM TG 1,8 X 3,5+0,5CM PROF. BIT 0")</f>
        <v>PISO RIPADO CUMARU PREMIUM TG 1,8 X 3,5+0,5CM PROF. BIT 0</v>
      </c>
      <c r="H113" s="192" t="s">
        <v>207</v>
      </c>
      <c r="I113" s="182" t="str">
        <f t="shared" ca="1" si="1"/>
        <v/>
      </c>
      <c r="J113" s="193"/>
      <c r="K113" s="208" t="s">
        <v>1712</v>
      </c>
      <c r="L113" s="182" t="s">
        <v>208</v>
      </c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4"/>
      <c r="Z113" s="184"/>
      <c r="AA113" s="184"/>
    </row>
    <row r="114" spans="1:27" ht="15.6">
      <c r="A114" s="182"/>
      <c r="B114" s="195" t="s">
        <v>1713</v>
      </c>
      <c r="C114" s="195"/>
      <c r="D114" s="188">
        <v>242</v>
      </c>
      <c r="E114" s="188">
        <v>0</v>
      </c>
      <c r="F114" s="208" t="s">
        <v>1712</v>
      </c>
      <c r="G114" s="182" t="str">
        <f ca="1">IFERROR(__xludf.DUMMYFUNCTION("""COMPUTED_VALUE"""),"PISO RIPADO CATUABA PREMIUM TG 1,8 X 3,5+0,5CM PROF. BIT 0")</f>
        <v>PISO RIPADO CATUABA PREMIUM TG 1,8 X 3,5+0,5CM PROF. BIT 0</v>
      </c>
      <c r="H114" s="192" t="s">
        <v>208</v>
      </c>
      <c r="I114" s="182" t="str">
        <f t="shared" ca="1" si="1"/>
        <v/>
      </c>
      <c r="J114" s="193"/>
      <c r="K114" s="208" t="s">
        <v>1714</v>
      </c>
      <c r="L114" s="182" t="s">
        <v>209</v>
      </c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4"/>
      <c r="Z114" s="184"/>
      <c r="AA114" s="184"/>
    </row>
    <row r="115" spans="1:27" ht="15.6">
      <c r="A115" s="182"/>
      <c r="B115" s="195" t="s">
        <v>1715</v>
      </c>
      <c r="C115" s="195"/>
      <c r="D115" s="188">
        <v>242</v>
      </c>
      <c r="E115" s="188">
        <v>0</v>
      </c>
      <c r="F115" s="208" t="s">
        <v>1714</v>
      </c>
      <c r="G115" s="182" t="str">
        <f ca="1">IFERROR(__xludf.DUMMYFUNCTION("""COMPUTED_VALUE"""),"PISO RIPADO CABREUVA BRANCA PREMIUM TG 1,8 X 3,5+0,5CM PROF. BIT 0")</f>
        <v>PISO RIPADO CABREUVA BRANCA PREMIUM TG 1,8 X 3,5+0,5CM PROF. BIT 0</v>
      </c>
      <c r="H115" s="192" t="s">
        <v>209</v>
      </c>
      <c r="I115" s="182" t="str">
        <f t="shared" ca="1" si="1"/>
        <v/>
      </c>
      <c r="J115" s="193"/>
      <c r="K115" s="208" t="s">
        <v>1716</v>
      </c>
      <c r="L115" s="182" t="s">
        <v>210</v>
      </c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4"/>
      <c r="Z115" s="184"/>
      <c r="AA115" s="184"/>
    </row>
    <row r="116" spans="1:27" ht="15.6">
      <c r="A116" s="182"/>
      <c r="B116" s="195" t="s">
        <v>1717</v>
      </c>
      <c r="C116" s="195"/>
      <c r="D116" s="188">
        <v>242</v>
      </c>
      <c r="E116" s="188">
        <v>0</v>
      </c>
      <c r="F116" s="208" t="s">
        <v>1716</v>
      </c>
      <c r="G116" s="182" t="str">
        <f ca="1">IFERROR(__xludf.DUMMYFUNCTION("""COMPUTED_VALUE"""),"PISO RIPADO CABREUVA DOURADA PREMIUM TG 1,8 X 3,5+0,5CM PROF. BIT 0")</f>
        <v>PISO RIPADO CABREUVA DOURADA PREMIUM TG 1,8 X 3,5+0,5CM PROF. BIT 0</v>
      </c>
      <c r="H116" s="192" t="s">
        <v>210</v>
      </c>
      <c r="I116" s="182" t="str">
        <f t="shared" ca="1" si="1"/>
        <v/>
      </c>
      <c r="J116" s="193"/>
      <c r="K116" s="208" t="s">
        <v>1718</v>
      </c>
      <c r="L116" s="182" t="s">
        <v>211</v>
      </c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94"/>
      <c r="Z116" s="194"/>
      <c r="AA116" s="194"/>
    </row>
    <row r="117" spans="1:27" ht="18" customHeight="1">
      <c r="A117" s="182"/>
      <c r="B117" s="195" t="s">
        <v>1719</v>
      </c>
      <c r="C117" s="195"/>
      <c r="D117" s="188">
        <v>242</v>
      </c>
      <c r="E117" s="188">
        <v>0</v>
      </c>
      <c r="F117" s="208" t="s">
        <v>1718</v>
      </c>
      <c r="G117" s="182" t="str">
        <f ca="1">IFERROR(__xludf.DUMMYFUNCTION("""COMPUTED_VALUE"""),"PISO RIPADO TAUARI PREMIUM TG 1,8 X 3,5+0,5CM PROF. BIT 0")</f>
        <v>PISO RIPADO TAUARI PREMIUM TG 1,8 X 3,5+0,5CM PROF. BIT 0</v>
      </c>
      <c r="H117" s="192" t="s">
        <v>211</v>
      </c>
      <c r="I117" s="182" t="str">
        <f t="shared" ca="1" si="1"/>
        <v/>
      </c>
      <c r="J117" s="193"/>
      <c r="K117" s="208" t="s">
        <v>1720</v>
      </c>
      <c r="L117" s="182" t="s">
        <v>212</v>
      </c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4"/>
      <c r="Z117" s="184"/>
      <c r="AA117" s="184"/>
    </row>
    <row r="118" spans="1:27" ht="18" customHeight="1">
      <c r="A118" s="182"/>
      <c r="B118" s="195" t="s">
        <v>1721</v>
      </c>
      <c r="C118" s="195"/>
      <c r="D118" s="188">
        <v>284</v>
      </c>
      <c r="E118" s="188">
        <v>0</v>
      </c>
      <c r="F118" s="208" t="s">
        <v>1720</v>
      </c>
      <c r="G118" s="182" t="str">
        <f ca="1">IFERROR(__xludf.DUMMYFUNCTION("""COMPUTED_VALUE"""),"PISO RIPADO PEROBA PREMIUM TG 1,8 X 3,5+0,5CM PROF. BIT 0")</f>
        <v>PISO RIPADO PEROBA PREMIUM TG 1,8 X 3,5+0,5CM PROF. BIT 0</v>
      </c>
      <c r="H118" s="192" t="s">
        <v>212</v>
      </c>
      <c r="I118" s="182" t="str">
        <f t="shared" ca="1" si="1"/>
        <v/>
      </c>
      <c r="J118" s="193"/>
      <c r="K118" s="208" t="s">
        <v>1722</v>
      </c>
      <c r="L118" s="182" t="s">
        <v>213</v>
      </c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4"/>
      <c r="Z118" s="184"/>
      <c r="AA118" s="184"/>
    </row>
    <row r="119" spans="1:27" ht="18" customHeight="1">
      <c r="A119" s="182"/>
      <c r="B119" s="195" t="s">
        <v>1723</v>
      </c>
      <c r="C119" s="195"/>
      <c r="D119" s="188">
        <v>242</v>
      </c>
      <c r="E119" s="188">
        <v>0</v>
      </c>
      <c r="F119" s="208" t="s">
        <v>1722</v>
      </c>
      <c r="G119" s="182" t="str">
        <f ca="1">IFERROR(__xludf.DUMMYFUNCTION("""COMPUTED_VALUE"""),"PISO RIPADO LORO PARDO PREMIUM TG 1,8 X 3,5+0,5CM PROF. BIT 0")</f>
        <v>PISO RIPADO LORO PARDO PREMIUM TG 1,8 X 3,5+0,5CM PROF. BIT 0</v>
      </c>
      <c r="H119" s="192" t="s">
        <v>213</v>
      </c>
      <c r="I119" s="182" t="str">
        <f t="shared" ca="1" si="1"/>
        <v/>
      </c>
      <c r="J119" s="193"/>
      <c r="K119" s="208" t="s">
        <v>1724</v>
      </c>
      <c r="L119" s="182" t="s">
        <v>214</v>
      </c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4"/>
      <c r="Z119" s="184"/>
      <c r="AA119" s="184"/>
    </row>
    <row r="120" spans="1:27" ht="18" customHeight="1">
      <c r="A120" s="182"/>
      <c r="B120" s="195" t="s">
        <v>1725</v>
      </c>
      <c r="C120" s="196">
        <v>38</v>
      </c>
      <c r="D120" s="188">
        <v>199</v>
      </c>
      <c r="E120" s="189">
        <v>7562</v>
      </c>
      <c r="F120" s="208" t="s">
        <v>1724</v>
      </c>
      <c r="G120" s="182" t="str">
        <f ca="1">IFERROR(__xludf.DUMMYFUNCTION("""COMPUTED_VALUE"""),"PISO CUMARU MULTI PREMIUM 19 X 190 X 600 A 2200MM")</f>
        <v>PISO CUMARU MULTI PREMIUM 19 X 190 X 600 A 2200MM</v>
      </c>
      <c r="H120" s="192" t="s">
        <v>214</v>
      </c>
      <c r="I120" s="182" t="str">
        <f t="shared" ca="1" si="1"/>
        <v/>
      </c>
      <c r="J120" s="193"/>
      <c r="K120" s="208" t="s">
        <v>1726</v>
      </c>
      <c r="L120" s="182" t="s">
        <v>215</v>
      </c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4"/>
      <c r="Z120" s="184"/>
      <c r="AA120" s="184"/>
    </row>
    <row r="121" spans="1:27" ht="18" customHeight="1">
      <c r="A121" s="182"/>
      <c r="B121" s="195" t="s">
        <v>1727</v>
      </c>
      <c r="C121" s="195"/>
      <c r="D121" s="188">
        <v>195</v>
      </c>
      <c r="E121" s="188">
        <v>0</v>
      </c>
      <c r="F121" s="208" t="s">
        <v>1726</v>
      </c>
      <c r="G121" s="182" t="str">
        <f ca="1">IFERROR(__xludf.DUMMYFUNCTION("""COMPUTED_VALUE"""),"PISO CATUABA MULTI PREMIUM 19 X 190 X 600 A 2200MM")</f>
        <v>PISO CATUABA MULTI PREMIUM 19 X 190 X 600 A 2200MM</v>
      </c>
      <c r="H121" s="192" t="s">
        <v>215</v>
      </c>
      <c r="I121" s="182" t="str">
        <f t="shared" ca="1" si="1"/>
        <v/>
      </c>
      <c r="J121" s="193"/>
      <c r="K121" s="208" t="s">
        <v>1728</v>
      </c>
      <c r="L121" s="182" t="s">
        <v>216</v>
      </c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4"/>
      <c r="Z121" s="184"/>
      <c r="AA121" s="184"/>
    </row>
    <row r="122" spans="1:27" ht="18" customHeight="1">
      <c r="A122" s="182"/>
      <c r="B122" s="195" t="s">
        <v>1729</v>
      </c>
      <c r="C122" s="195"/>
      <c r="D122" s="188">
        <v>195</v>
      </c>
      <c r="E122" s="188">
        <v>0</v>
      </c>
      <c r="F122" s="208" t="s">
        <v>1728</v>
      </c>
      <c r="G122" s="182" t="str">
        <f ca="1">IFERROR(__xludf.DUMMYFUNCTION("""COMPUTED_VALUE"""),"PISO CABREUVA BRACA MULTI PREMIUM 19 X 190 X 600 A 2200MM")</f>
        <v>PISO CABREUVA BRACA MULTI PREMIUM 19 X 190 X 600 A 2200MM</v>
      </c>
      <c r="H122" s="192" t="s">
        <v>216</v>
      </c>
      <c r="I122" s="182" t="str">
        <f t="shared" ca="1" si="1"/>
        <v/>
      </c>
      <c r="J122" s="193"/>
      <c r="K122" s="208" t="s">
        <v>1730</v>
      </c>
      <c r="L122" s="182" t="s">
        <v>217</v>
      </c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4"/>
      <c r="Z122" s="184"/>
      <c r="AA122" s="184"/>
    </row>
    <row r="123" spans="1:27" ht="18" customHeight="1">
      <c r="A123" s="182"/>
      <c r="B123" s="195" t="s">
        <v>1731</v>
      </c>
      <c r="C123" s="195"/>
      <c r="D123" s="188">
        <v>195</v>
      </c>
      <c r="E123" s="188">
        <v>0</v>
      </c>
      <c r="F123" s="208" t="s">
        <v>1730</v>
      </c>
      <c r="G123" s="182" t="str">
        <f ca="1">IFERROR(__xludf.DUMMYFUNCTION("""COMPUTED_VALUE"""),"PISO CABREUVA DOURADA MULTI PREMIUM 19 X 190 X 600 A 2200MM")</f>
        <v>PISO CABREUVA DOURADA MULTI PREMIUM 19 X 190 X 600 A 2200MM</v>
      </c>
      <c r="H123" s="192" t="s">
        <v>217</v>
      </c>
      <c r="I123" s="182" t="str">
        <f t="shared" ca="1" si="1"/>
        <v/>
      </c>
      <c r="J123" s="193"/>
      <c r="K123" s="208" t="s">
        <v>1732</v>
      </c>
      <c r="L123" s="182" t="s">
        <v>218</v>
      </c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4"/>
      <c r="Z123" s="184"/>
      <c r="AA123" s="184"/>
    </row>
    <row r="124" spans="1:27" ht="18" customHeight="1">
      <c r="A124" s="182"/>
      <c r="B124" s="195" t="s">
        <v>1733</v>
      </c>
      <c r="C124" s="188">
        <v>512.5</v>
      </c>
      <c r="D124" s="188">
        <v>190</v>
      </c>
      <c r="E124" s="189">
        <v>97375</v>
      </c>
      <c r="F124" s="208" t="s">
        <v>1732</v>
      </c>
      <c r="G124" s="182" t="str">
        <f ca="1">IFERROR(__xludf.DUMMYFUNCTION("""COMPUTED_VALUE"""),"PISO TAUARI MULTI PREMIUM 19 X 190 X 600 A 2200MM")</f>
        <v>PISO TAUARI MULTI PREMIUM 19 X 190 X 600 A 2200MM</v>
      </c>
      <c r="H124" s="192" t="s">
        <v>218</v>
      </c>
      <c r="I124" s="182" t="str">
        <f t="shared" ca="1" si="1"/>
        <v/>
      </c>
      <c r="J124" s="193"/>
      <c r="K124" s="208" t="s">
        <v>1734</v>
      </c>
      <c r="L124" s="182" t="s">
        <v>219</v>
      </c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4"/>
      <c r="Z124" s="184"/>
      <c r="AA124" s="184"/>
    </row>
    <row r="125" spans="1:27" ht="15.6">
      <c r="A125" s="182"/>
      <c r="B125" s="195" t="s">
        <v>1735</v>
      </c>
      <c r="C125" s="188">
        <v>373</v>
      </c>
      <c r="D125" s="188">
        <v>195</v>
      </c>
      <c r="E125" s="189">
        <v>72735</v>
      </c>
      <c r="F125" s="208" t="s">
        <v>1734</v>
      </c>
      <c r="G125" s="182" t="str">
        <f ca="1">IFERROR(__xludf.DUMMYFUNCTION("""COMPUTED_VALUE"""),"PISO PEROBA MULTI PREMIUM 19 X 190 X 600 A 2200MM")</f>
        <v>PISO PEROBA MULTI PREMIUM 19 X 190 X 600 A 2200MM</v>
      </c>
      <c r="H125" s="192" t="s">
        <v>219</v>
      </c>
      <c r="I125" s="182" t="str">
        <f t="shared" ca="1" si="1"/>
        <v/>
      </c>
      <c r="J125" s="193"/>
      <c r="K125" s="208" t="s">
        <v>1736</v>
      </c>
      <c r="L125" s="182" t="s">
        <v>220</v>
      </c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4"/>
      <c r="Z125" s="184"/>
      <c r="AA125" s="184"/>
    </row>
    <row r="126" spans="1:27" ht="15.6">
      <c r="A126" s="182"/>
      <c r="B126" s="195" t="s">
        <v>1737</v>
      </c>
      <c r="C126" s="188">
        <v>120</v>
      </c>
      <c r="D126" s="188">
        <v>195</v>
      </c>
      <c r="E126" s="189">
        <v>23400</v>
      </c>
      <c r="F126" s="208" t="s">
        <v>1736</v>
      </c>
      <c r="G126" s="182" t="str">
        <f ca="1">IFERROR(__xludf.DUMMYFUNCTION("""COMPUTED_VALUE"""),"PISO LORO PARDO MULTI PREMIUM 19 X 190 X 600 A 2200MM")</f>
        <v>PISO LORO PARDO MULTI PREMIUM 19 X 190 X 600 A 2200MM</v>
      </c>
      <c r="H126" s="192" t="s">
        <v>220</v>
      </c>
      <c r="I126" s="182" t="str">
        <f t="shared" ca="1" si="1"/>
        <v/>
      </c>
      <c r="J126" s="193"/>
      <c r="K126" s="209" t="s">
        <v>1738</v>
      </c>
      <c r="L126" s="182" t="s">
        <v>1739</v>
      </c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4"/>
      <c r="Z126" s="184"/>
      <c r="AA126" s="184"/>
    </row>
    <row r="127" spans="1:27" ht="18" customHeight="1">
      <c r="A127" s="182"/>
      <c r="B127" s="195" t="s">
        <v>1740</v>
      </c>
      <c r="C127" s="195"/>
      <c r="D127" s="188">
        <v>270</v>
      </c>
      <c r="E127" s="188">
        <v>0</v>
      </c>
      <c r="F127" s="208" t="s">
        <v>1738</v>
      </c>
      <c r="G127" s="182" t="str">
        <f ca="1">IFERROR(__xludf.DUMMYFUNCTION("""COMPUTED_VALUE"""),"PISO MUXARABI CUMARU PREMIUM")</f>
        <v>PISO MUXARABI CUMARU PREMIUM</v>
      </c>
      <c r="I127" s="182" t="str">
        <f t="shared" ca="1" si="1"/>
        <v/>
      </c>
      <c r="J127" s="193"/>
      <c r="K127" s="209" t="s">
        <v>1741</v>
      </c>
      <c r="L127" s="182" t="s">
        <v>1739</v>
      </c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4"/>
      <c r="Z127" s="184"/>
      <c r="AA127" s="184"/>
    </row>
    <row r="128" spans="1:27" ht="18" customHeight="1">
      <c r="A128" s="182"/>
      <c r="B128" s="195" t="s">
        <v>1742</v>
      </c>
      <c r="C128" s="195"/>
      <c r="D128" s="188">
        <v>250</v>
      </c>
      <c r="E128" s="188">
        <v>0</v>
      </c>
      <c r="F128" s="209" t="s">
        <v>1741</v>
      </c>
      <c r="G128" s="210" t="str">
        <f ca="1">IFERROR(__xludf.DUMMYFUNCTION("""COMPUTED_VALUE"""),"PISO MUXARABI CATUABA PREMIUM")</f>
        <v>PISO MUXARABI CATUABA PREMIUM</v>
      </c>
      <c r="I128" s="182" t="str">
        <f t="shared" ca="1" si="1"/>
        <v/>
      </c>
      <c r="J128" s="193"/>
      <c r="K128" s="209" t="s">
        <v>1743</v>
      </c>
      <c r="L128" s="182" t="s">
        <v>1739</v>
      </c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4"/>
      <c r="Z128" s="184"/>
      <c r="AA128" s="184"/>
    </row>
    <row r="129" spans="1:27" ht="18" customHeight="1">
      <c r="A129" s="182"/>
      <c r="B129" s="195" t="s">
        <v>1744</v>
      </c>
      <c r="C129" s="195"/>
      <c r="D129" s="188">
        <v>250</v>
      </c>
      <c r="E129" s="188">
        <v>0</v>
      </c>
      <c r="F129" s="209" t="s">
        <v>1743</v>
      </c>
      <c r="G129" s="210" t="str">
        <f ca="1">IFERROR(__xludf.DUMMYFUNCTION("""COMPUTED_VALUE"""),"PISO MUXARABI CABREUVA BRANCA PREMIUM")</f>
        <v>PISO MUXARABI CABREUVA BRANCA PREMIUM</v>
      </c>
      <c r="I129" s="182" t="str">
        <f t="shared" ca="1" si="1"/>
        <v/>
      </c>
      <c r="J129" s="193"/>
      <c r="K129" s="209" t="s">
        <v>1745</v>
      </c>
      <c r="L129" s="182" t="s">
        <v>1739</v>
      </c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4"/>
      <c r="Z129" s="184"/>
      <c r="AA129" s="184"/>
    </row>
    <row r="130" spans="1:27" ht="18" customHeight="1">
      <c r="A130" s="182"/>
      <c r="B130" s="195" t="s">
        <v>1746</v>
      </c>
      <c r="C130" s="195"/>
      <c r="D130" s="188">
        <v>250</v>
      </c>
      <c r="E130" s="188">
        <v>0</v>
      </c>
      <c r="F130" s="209" t="s">
        <v>1745</v>
      </c>
      <c r="G130" s="210" t="str">
        <f ca="1">IFERROR(__xludf.DUMMYFUNCTION("""COMPUTED_VALUE"""),"PISO MUXARABI CABREUVA DOURADA PREMIUM")</f>
        <v>PISO MUXARABI CABREUVA DOURADA PREMIUM</v>
      </c>
      <c r="I130" s="182" t="str">
        <f t="shared" ca="1" si="1"/>
        <v/>
      </c>
      <c r="J130" s="193"/>
      <c r="K130" s="209" t="s">
        <v>1747</v>
      </c>
      <c r="L130" s="182" t="s">
        <v>1739</v>
      </c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4"/>
      <c r="Z130" s="184"/>
      <c r="AA130" s="184"/>
    </row>
    <row r="131" spans="1:27" ht="18" customHeight="1">
      <c r="A131" s="182"/>
      <c r="B131" s="195" t="s">
        <v>1748</v>
      </c>
      <c r="C131" s="188">
        <v>25</v>
      </c>
      <c r="D131" s="188">
        <v>250</v>
      </c>
      <c r="E131" s="189">
        <v>6250</v>
      </c>
      <c r="F131" s="209" t="s">
        <v>1747</v>
      </c>
      <c r="G131" s="210" t="str">
        <f ca="1">IFERROR(__xludf.DUMMYFUNCTION("""COMPUTED_VALUE"""),"PISO MUXARABI TAUARI PREMIUM")</f>
        <v>PISO MUXARABI TAUARI PREMIUM</v>
      </c>
      <c r="I131" s="182" t="str">
        <f t="shared" ca="1" si="1"/>
        <v/>
      </c>
      <c r="J131" s="193"/>
      <c r="K131" s="209" t="s">
        <v>1749</v>
      </c>
      <c r="L131" s="182" t="s">
        <v>1739</v>
      </c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4"/>
      <c r="Z131" s="184"/>
      <c r="AA131" s="184"/>
    </row>
    <row r="132" spans="1:27" ht="18" customHeight="1">
      <c r="A132" s="182"/>
      <c r="B132" s="195" t="s">
        <v>1750</v>
      </c>
      <c r="C132" s="195"/>
      <c r="D132" s="188">
        <v>270</v>
      </c>
      <c r="E132" s="188">
        <v>0</v>
      </c>
      <c r="F132" s="209" t="s">
        <v>1749</v>
      </c>
      <c r="G132" s="210" t="str">
        <f ca="1">IFERROR(__xludf.DUMMYFUNCTION("""COMPUTED_VALUE"""),"PISO MUXARABI PEROBA PREMIUM")</f>
        <v>PISO MUXARABI PEROBA PREMIUM</v>
      </c>
      <c r="I132" s="182" t="str">
        <f t="shared" ca="1" si="1"/>
        <v/>
      </c>
      <c r="J132" s="193"/>
      <c r="K132" s="209" t="s">
        <v>1751</v>
      </c>
      <c r="L132" s="182" t="s">
        <v>1739</v>
      </c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4"/>
      <c r="Z132" s="184"/>
      <c r="AA132" s="184"/>
    </row>
    <row r="133" spans="1:27" ht="18" customHeight="1">
      <c r="A133" s="182"/>
      <c r="B133" s="195" t="s">
        <v>1752</v>
      </c>
      <c r="C133" s="195"/>
      <c r="D133" s="188">
        <v>250</v>
      </c>
      <c r="E133" s="188">
        <v>0</v>
      </c>
      <c r="F133" s="209" t="s">
        <v>1751</v>
      </c>
      <c r="G133" s="210" t="str">
        <f ca="1">IFERROR(__xludf.DUMMYFUNCTION("""COMPUTED_VALUE"""),"PISO MUXARABI LORO PARDO PREMIUM")</f>
        <v>PISO MUXARABI LORO PARDO PREMIUM</v>
      </c>
      <c r="I133" s="182" t="str">
        <f t="shared" ca="1" si="1"/>
        <v/>
      </c>
      <c r="J133" s="193"/>
      <c r="K133" s="209" t="s">
        <v>1753</v>
      </c>
      <c r="L133" s="182" t="s">
        <v>1739</v>
      </c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4"/>
      <c r="Z133" s="184"/>
      <c r="AA133" s="184"/>
    </row>
    <row r="134" spans="1:27" ht="18" customHeight="1">
      <c r="A134" s="182"/>
      <c r="B134" s="195" t="s">
        <v>1754</v>
      </c>
      <c r="C134" s="195"/>
      <c r="D134" s="188">
        <v>242</v>
      </c>
      <c r="E134" s="188">
        <v>0</v>
      </c>
      <c r="F134" s="209" t="s">
        <v>1753</v>
      </c>
      <c r="G134" s="210" t="str">
        <f ca="1">IFERROR(__xludf.DUMMYFUNCTION("""COMPUTED_VALUE"""),"PISO TOBLERONE CUMARU PREMIUM 3 X 3 COMPR. VARIAVEIS")</f>
        <v>PISO TOBLERONE CUMARU PREMIUM 3 X 3 COMPR. VARIAVEIS</v>
      </c>
      <c r="I134" s="182" t="str">
        <f t="shared" ca="1" si="1"/>
        <v/>
      </c>
      <c r="J134" s="193"/>
      <c r="K134" s="209" t="s">
        <v>1755</v>
      </c>
      <c r="L134" s="182" t="s">
        <v>1739</v>
      </c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4"/>
      <c r="Z134" s="184"/>
      <c r="AA134" s="184"/>
    </row>
    <row r="135" spans="1:27" ht="18" customHeight="1">
      <c r="A135" s="182"/>
      <c r="B135" s="195" t="s">
        <v>1756</v>
      </c>
      <c r="C135" s="195"/>
      <c r="D135" s="188">
        <v>242</v>
      </c>
      <c r="E135" s="188">
        <v>0</v>
      </c>
      <c r="F135" s="209" t="s">
        <v>1755</v>
      </c>
      <c r="G135" s="210" t="str">
        <f ca="1">IFERROR(__xludf.DUMMYFUNCTION("""COMPUTED_VALUE"""),"PISO TOBLERONE CATUABA PREMIUM 3 X 3 COMPR. VARIAVEIS")</f>
        <v>PISO TOBLERONE CATUABA PREMIUM 3 X 3 COMPR. VARIAVEIS</v>
      </c>
      <c r="I135" s="182" t="str">
        <f t="shared" ca="1" si="1"/>
        <v/>
      </c>
      <c r="J135" s="193"/>
      <c r="K135" s="209" t="s">
        <v>1757</v>
      </c>
      <c r="L135" s="182" t="s">
        <v>1739</v>
      </c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4"/>
      <c r="Z135" s="184"/>
      <c r="AA135" s="184"/>
    </row>
    <row r="136" spans="1:27" ht="15.6">
      <c r="A136" s="182"/>
      <c r="B136" s="195" t="s">
        <v>1758</v>
      </c>
      <c r="C136" s="195"/>
      <c r="D136" s="188">
        <v>242</v>
      </c>
      <c r="E136" s="188">
        <v>0</v>
      </c>
      <c r="F136" s="209" t="s">
        <v>1757</v>
      </c>
      <c r="G136" s="210" t="str">
        <f ca="1">IFERROR(__xludf.DUMMYFUNCTION("""COMPUTED_VALUE"""),"PISO TOBLERONE CABREUVA BRANCA PREMIUM 3 X 3 COMPR. VARIAVEIS")</f>
        <v>PISO TOBLERONE CABREUVA BRANCA PREMIUM 3 X 3 COMPR. VARIAVEIS</v>
      </c>
      <c r="I136" s="182" t="str">
        <f t="shared" ca="1" si="1"/>
        <v/>
      </c>
      <c r="J136" s="193"/>
      <c r="K136" s="209" t="s">
        <v>1759</v>
      </c>
      <c r="L136" s="182" t="s">
        <v>1739</v>
      </c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4"/>
      <c r="Z136" s="184"/>
      <c r="AA136" s="184"/>
    </row>
    <row r="137" spans="1:27" ht="15.6">
      <c r="A137" s="182"/>
      <c r="B137" s="195" t="s">
        <v>1760</v>
      </c>
      <c r="C137" s="188">
        <v>196</v>
      </c>
      <c r="D137" s="188">
        <v>242</v>
      </c>
      <c r="E137" s="189">
        <v>47432</v>
      </c>
      <c r="F137" s="209" t="s">
        <v>1759</v>
      </c>
      <c r="G137" s="210" t="str">
        <f ca="1">IFERROR(__xludf.DUMMYFUNCTION("""COMPUTED_VALUE"""),"PISO TOBLERONE CABREUVA DOURADA PREMIUM 3 X 3 COMPR. VARIAVEIS")</f>
        <v>PISO TOBLERONE CABREUVA DOURADA PREMIUM 3 X 3 COMPR. VARIAVEIS</v>
      </c>
      <c r="I137" s="182" t="str">
        <f t="shared" ca="1" si="1"/>
        <v/>
      </c>
      <c r="J137" s="193"/>
      <c r="K137" s="209" t="s">
        <v>1761</v>
      </c>
      <c r="L137" s="182" t="s">
        <v>1739</v>
      </c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4"/>
      <c r="Z137" s="184"/>
      <c r="AA137" s="184"/>
    </row>
    <row r="138" spans="1:27" ht="15.6">
      <c r="A138" s="182"/>
      <c r="B138" s="195" t="s">
        <v>1762</v>
      </c>
      <c r="C138" s="195"/>
      <c r="D138" s="188">
        <v>242</v>
      </c>
      <c r="E138" s="188">
        <v>0</v>
      </c>
      <c r="F138" s="209" t="s">
        <v>1761</v>
      </c>
      <c r="G138" s="210" t="str">
        <f ca="1">IFERROR(__xludf.DUMMYFUNCTION("""COMPUTED_VALUE"""),"PISO TOBLERONE TAUARI PREMIUM 3 X 3 COMPR. VARIAVEIS")</f>
        <v>PISO TOBLERONE TAUARI PREMIUM 3 X 3 COMPR. VARIAVEIS</v>
      </c>
      <c r="I138" s="182" t="str">
        <f t="shared" ca="1" si="1"/>
        <v/>
      </c>
      <c r="J138" s="193"/>
      <c r="K138" s="209" t="s">
        <v>1763</v>
      </c>
      <c r="L138" s="182" t="s">
        <v>1739</v>
      </c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94"/>
      <c r="Z138" s="194"/>
      <c r="AA138" s="194"/>
    </row>
    <row r="139" spans="1:27" ht="15.6">
      <c r="A139" s="182"/>
      <c r="B139" s="195" t="s">
        <v>1764</v>
      </c>
      <c r="C139" s="195"/>
      <c r="D139" s="188">
        <v>242</v>
      </c>
      <c r="E139" s="188">
        <v>0</v>
      </c>
      <c r="F139" s="209" t="s">
        <v>1763</v>
      </c>
      <c r="G139" s="210" t="str">
        <f ca="1">IFERROR(__xludf.DUMMYFUNCTION("""COMPUTED_VALUE"""),"PISO TOBLERONE PEROBA PREMIUM 3 X 3 COMPR. VARIAVEIS")</f>
        <v>PISO TOBLERONE PEROBA PREMIUM 3 X 3 COMPR. VARIAVEIS</v>
      </c>
      <c r="I139" s="182" t="str">
        <f t="shared" ca="1" si="1"/>
        <v/>
      </c>
      <c r="J139" s="193"/>
      <c r="K139" s="209" t="s">
        <v>1765</v>
      </c>
      <c r="L139" s="182" t="s">
        <v>1739</v>
      </c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94"/>
      <c r="Z139" s="194"/>
      <c r="AA139" s="194"/>
    </row>
    <row r="140" spans="1:27" ht="15.6">
      <c r="A140" s="182"/>
      <c r="B140" s="195" t="s">
        <v>1766</v>
      </c>
      <c r="C140" s="195"/>
      <c r="D140" s="188">
        <v>242</v>
      </c>
      <c r="E140" s="188">
        <v>0</v>
      </c>
      <c r="F140" s="209" t="s">
        <v>1765</v>
      </c>
      <c r="G140" s="210" t="str">
        <f ca="1">IFERROR(__xludf.DUMMYFUNCTION("""COMPUTED_VALUE"""),"PISO TOBLERONE LORO PARDO PREMIUM 3 X 3 COMPR. VARIAVEIS")</f>
        <v>PISO TOBLERONE LORO PARDO PREMIUM 3 X 3 COMPR. VARIAVEIS</v>
      </c>
      <c r="I140" s="182" t="str">
        <f t="shared" ca="1" si="1"/>
        <v/>
      </c>
      <c r="J140" s="193"/>
      <c r="K140" s="211" t="s">
        <v>38</v>
      </c>
      <c r="L140" s="182" t="s">
        <v>1767</v>
      </c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94"/>
      <c r="Z140" s="194"/>
      <c r="AA140" s="194"/>
    </row>
    <row r="141" spans="1:27" ht="15.6">
      <c r="A141" s="182"/>
      <c r="B141" s="195" t="s">
        <v>39</v>
      </c>
      <c r="C141" s="195"/>
      <c r="D141" s="188">
        <v>210</v>
      </c>
      <c r="E141" s="188">
        <v>0</v>
      </c>
      <c r="F141" s="211" t="s">
        <v>38</v>
      </c>
      <c r="G141" s="212" t="str">
        <f ca="1">IFERROR(__xludf.DUMMYFUNCTION("""COMPUTED_VALUE"""),"PISO DECK CUMARU PREMIUM TG 2,5 X 5 X COMPR. VARIAVEIS")</f>
        <v>PISO DECK CUMARU PREMIUM TG 2,5 X 5 X COMPR. VARIAVEIS</v>
      </c>
      <c r="H141" s="213" t="s">
        <v>1767</v>
      </c>
      <c r="I141" s="182" t="str">
        <f t="shared" ca="1" si="1"/>
        <v/>
      </c>
      <c r="J141" s="214"/>
      <c r="K141" s="208" t="s">
        <v>1768</v>
      </c>
      <c r="L141" s="182" t="s">
        <v>1769</v>
      </c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94"/>
      <c r="Z141" s="194"/>
      <c r="AA141" s="194"/>
    </row>
    <row r="142" spans="1:27" ht="15.6">
      <c r="A142" s="182"/>
      <c r="B142" s="195" t="s">
        <v>1770</v>
      </c>
      <c r="C142" s="195"/>
      <c r="D142" s="188">
        <v>210</v>
      </c>
      <c r="E142" s="188">
        <v>0</v>
      </c>
      <c r="F142" s="208" t="s">
        <v>1768</v>
      </c>
      <c r="G142" s="182" t="str">
        <f ca="1">IFERROR(__xludf.DUMMYFUNCTION("""COMPUTED_VALUE"""),"PISO DECK CUMARU PREMIUM TG 2,5 X 10 X COMPR. VARIAVEIS")</f>
        <v>PISO DECK CUMARU PREMIUM TG 2,5 X 10 X COMPR. VARIAVEIS</v>
      </c>
      <c r="H142" s="192" t="s">
        <v>1769</v>
      </c>
      <c r="I142" s="182" t="str">
        <f t="shared" ca="1" si="1"/>
        <v/>
      </c>
      <c r="J142" s="193"/>
      <c r="K142" s="208" t="s">
        <v>1771</v>
      </c>
      <c r="L142" s="182" t="s">
        <v>1772</v>
      </c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94"/>
      <c r="Z142" s="194"/>
      <c r="AA142" s="194"/>
    </row>
    <row r="143" spans="1:27" ht="15.6">
      <c r="A143" s="182"/>
      <c r="B143" s="195" t="s">
        <v>1773</v>
      </c>
      <c r="C143" s="195"/>
      <c r="D143" s="188">
        <v>190</v>
      </c>
      <c r="E143" s="188">
        <v>0</v>
      </c>
      <c r="F143" s="208" t="s">
        <v>1771</v>
      </c>
      <c r="G143" s="182" t="str">
        <f ca="1">IFERROR(__xludf.DUMMYFUNCTION("""COMPUTED_VALUE"""),"PISO DECK CATUABA PREMIUM TG 2,5 X 5 X COMPR. VARIAVEIS")</f>
        <v>PISO DECK CATUABA PREMIUM TG 2,5 X 5 X COMPR. VARIAVEIS</v>
      </c>
      <c r="H143" s="192" t="s">
        <v>1772</v>
      </c>
      <c r="I143" s="182" t="str">
        <f t="shared" ca="1" si="1"/>
        <v/>
      </c>
      <c r="J143" s="193"/>
      <c r="K143" s="208" t="s">
        <v>1774</v>
      </c>
      <c r="L143" s="182" t="s">
        <v>1775</v>
      </c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94"/>
      <c r="Z143" s="194"/>
      <c r="AA143" s="194"/>
    </row>
    <row r="144" spans="1:27" ht="15.6">
      <c r="A144" s="182"/>
      <c r="B144" s="195" t="s">
        <v>1776</v>
      </c>
      <c r="C144" s="195"/>
      <c r="D144" s="188">
        <v>190</v>
      </c>
      <c r="E144" s="188">
        <v>0</v>
      </c>
      <c r="F144" s="208" t="s">
        <v>1774</v>
      </c>
      <c r="G144" s="182" t="str">
        <f ca="1">IFERROR(__xludf.DUMMYFUNCTION("""COMPUTED_VALUE"""),"PISO DECK CATUABA PREMIUM TG 2,5 X 10 X COMPR. VARIAVEIS")</f>
        <v>PISO DECK CATUABA PREMIUM TG 2,5 X 10 X COMPR. VARIAVEIS</v>
      </c>
      <c r="H144" s="192" t="s">
        <v>1775</v>
      </c>
      <c r="I144" s="182" t="str">
        <f t="shared" ca="1" si="1"/>
        <v/>
      </c>
      <c r="J144" s="193"/>
      <c r="K144" s="208" t="s">
        <v>1777</v>
      </c>
      <c r="L144" s="182" t="s">
        <v>1778</v>
      </c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94"/>
      <c r="Z144" s="194"/>
      <c r="AA144" s="194"/>
    </row>
    <row r="145" spans="1:27" ht="15.6">
      <c r="A145" s="182"/>
      <c r="B145" s="195" t="s">
        <v>1779</v>
      </c>
      <c r="C145" s="195"/>
      <c r="D145" s="188">
        <v>190</v>
      </c>
      <c r="E145" s="188">
        <v>0</v>
      </c>
      <c r="F145" s="208" t="s">
        <v>1777</v>
      </c>
      <c r="G145" s="182" t="str">
        <f ca="1">IFERROR(__xludf.DUMMYFUNCTION("""COMPUTED_VALUE"""),"PISO DECK CABREUVA BRANCA PREMIUM TG 2,5 X 5 X COMPR. VARIAVEIS")</f>
        <v>PISO DECK CABREUVA BRANCA PREMIUM TG 2,5 X 5 X COMPR. VARIAVEIS</v>
      </c>
      <c r="H145" s="192" t="s">
        <v>1778</v>
      </c>
      <c r="I145" s="182" t="str">
        <f t="shared" ca="1" si="1"/>
        <v/>
      </c>
      <c r="J145" s="193"/>
      <c r="K145" s="208" t="s">
        <v>1780</v>
      </c>
      <c r="L145" s="182" t="s">
        <v>1781</v>
      </c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4"/>
      <c r="Z145" s="184"/>
      <c r="AA145" s="184"/>
    </row>
    <row r="146" spans="1:27" ht="15.6">
      <c r="A146" s="182"/>
      <c r="B146" s="195" t="s">
        <v>1782</v>
      </c>
      <c r="C146" s="195"/>
      <c r="D146" s="188">
        <v>190</v>
      </c>
      <c r="E146" s="188">
        <v>0</v>
      </c>
      <c r="F146" s="208" t="s">
        <v>1780</v>
      </c>
      <c r="G146" s="182" t="str">
        <f ca="1">IFERROR(__xludf.DUMMYFUNCTION("""COMPUTED_VALUE"""),"PISO DECK CABREUVA BRANCA PREMIUM TG 2,5 X 10 X COMPR. VARIAVEIS")</f>
        <v>PISO DECK CABREUVA BRANCA PREMIUM TG 2,5 X 10 X COMPR. VARIAVEIS</v>
      </c>
      <c r="H146" s="192" t="s">
        <v>1781</v>
      </c>
      <c r="I146" s="182" t="str">
        <f t="shared" ca="1" si="1"/>
        <v/>
      </c>
      <c r="J146" s="193"/>
      <c r="K146" s="208" t="s">
        <v>1783</v>
      </c>
      <c r="L146" s="182" t="s">
        <v>1784</v>
      </c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4"/>
      <c r="Z146" s="184"/>
      <c r="AA146" s="184"/>
    </row>
    <row r="147" spans="1:27" ht="15.6">
      <c r="A147" s="182"/>
      <c r="B147" s="195" t="s">
        <v>1785</v>
      </c>
      <c r="C147" s="195"/>
      <c r="D147" s="188">
        <v>190</v>
      </c>
      <c r="E147" s="188">
        <v>0</v>
      </c>
      <c r="F147" s="208" t="s">
        <v>1783</v>
      </c>
      <c r="G147" s="182" t="str">
        <f ca="1">IFERROR(__xludf.DUMMYFUNCTION("""COMPUTED_VALUE"""),"PISO DECK CABREUVA DOURADA PREMIUM TG 2,5 X 5 X COMPR. VARIAVEIS")</f>
        <v>PISO DECK CABREUVA DOURADA PREMIUM TG 2,5 X 5 X COMPR. VARIAVEIS</v>
      </c>
      <c r="H147" s="215" t="s">
        <v>1784</v>
      </c>
      <c r="I147" s="182" t="str">
        <f t="shared" ca="1" si="1"/>
        <v/>
      </c>
      <c r="J147" s="193"/>
      <c r="K147" s="208" t="s">
        <v>1786</v>
      </c>
      <c r="L147" s="182" t="s">
        <v>1787</v>
      </c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4"/>
      <c r="Z147" s="184"/>
      <c r="AA147" s="184"/>
    </row>
    <row r="148" spans="1:27" ht="15.6">
      <c r="A148" s="182"/>
      <c r="B148" s="195" t="s">
        <v>1788</v>
      </c>
      <c r="C148" s="195"/>
      <c r="D148" s="188">
        <v>190</v>
      </c>
      <c r="E148" s="188">
        <v>0</v>
      </c>
      <c r="F148" s="208" t="s">
        <v>1786</v>
      </c>
      <c r="G148" s="182" t="str">
        <f ca="1">IFERROR(__xludf.DUMMYFUNCTION("""COMPUTED_VALUE"""),"PISO DECK CABREUVA DOURADA PREMIUM TG 2,5 X 10 X COMPR. VARIAVEIS")</f>
        <v>PISO DECK CABREUVA DOURADA PREMIUM TG 2,5 X 10 X COMPR. VARIAVEIS</v>
      </c>
      <c r="H148" s="192" t="s">
        <v>1787</v>
      </c>
      <c r="I148" s="182" t="str">
        <f t="shared" ca="1" si="1"/>
        <v/>
      </c>
      <c r="J148" s="193"/>
      <c r="K148" s="208" t="s">
        <v>1789</v>
      </c>
      <c r="L148" s="182" t="s">
        <v>1790</v>
      </c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94"/>
      <c r="Z148" s="194"/>
      <c r="AA148" s="194"/>
    </row>
    <row r="149" spans="1:27" ht="15.6">
      <c r="A149" s="182"/>
      <c r="B149" s="195" t="s">
        <v>1791</v>
      </c>
      <c r="C149" s="195"/>
      <c r="D149" s="188">
        <v>190</v>
      </c>
      <c r="E149" s="188">
        <v>0</v>
      </c>
      <c r="F149" s="208" t="s">
        <v>1789</v>
      </c>
      <c r="G149" s="182" t="str">
        <f ca="1">IFERROR(__xludf.DUMMYFUNCTION("""COMPUTED_VALUE"""),"PISO DECK TAUARI PREMIUM TG 2,5 X 5 X COMPR. VARIAVEIS")</f>
        <v>PISO DECK TAUARI PREMIUM TG 2,5 X 5 X COMPR. VARIAVEIS</v>
      </c>
      <c r="H149" s="192" t="s">
        <v>1790</v>
      </c>
      <c r="I149" s="182" t="str">
        <f t="shared" ca="1" si="1"/>
        <v/>
      </c>
      <c r="J149" s="193"/>
      <c r="K149" s="208" t="s">
        <v>1792</v>
      </c>
      <c r="L149" s="182" t="s">
        <v>1793</v>
      </c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94"/>
      <c r="Z149" s="194"/>
      <c r="AA149" s="194"/>
    </row>
    <row r="150" spans="1:27" ht="15.6">
      <c r="A150" s="182"/>
      <c r="B150" s="195" t="s">
        <v>1794</v>
      </c>
      <c r="C150" s="195"/>
      <c r="D150" s="188">
        <v>190</v>
      </c>
      <c r="E150" s="188">
        <v>0</v>
      </c>
      <c r="F150" s="208" t="s">
        <v>1792</v>
      </c>
      <c r="G150" s="182" t="str">
        <f ca="1">IFERROR(__xludf.DUMMYFUNCTION("""COMPUTED_VALUE"""),"PISO DECK TAUARI PREMIUM TG 2,5 X 10 X COMPR. VARIAVEIS")</f>
        <v>PISO DECK TAUARI PREMIUM TG 2,5 X 10 X COMPR. VARIAVEIS</v>
      </c>
      <c r="H150" s="192" t="s">
        <v>1793</v>
      </c>
      <c r="I150" s="182" t="str">
        <f t="shared" ca="1" si="1"/>
        <v/>
      </c>
      <c r="J150" s="193"/>
      <c r="K150" s="208" t="s">
        <v>1795</v>
      </c>
      <c r="L150" s="182" t="s">
        <v>1796</v>
      </c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94"/>
      <c r="Z150" s="194"/>
      <c r="AA150" s="194"/>
    </row>
    <row r="151" spans="1:27" ht="15.6">
      <c r="A151" s="182"/>
      <c r="B151" s="195" t="s">
        <v>1797</v>
      </c>
      <c r="C151" s="195"/>
      <c r="D151" s="188">
        <v>210</v>
      </c>
      <c r="E151" s="188">
        <v>0</v>
      </c>
      <c r="F151" s="208" t="s">
        <v>1795</v>
      </c>
      <c r="G151" s="182" t="str">
        <f ca="1">IFERROR(__xludf.DUMMYFUNCTION("""COMPUTED_VALUE"""),"PISO DECK PEROBA PREMIUM TG 2,5 X 5 X COMPR. VARIAVEIS")</f>
        <v>PISO DECK PEROBA PREMIUM TG 2,5 X 5 X COMPR. VARIAVEIS</v>
      </c>
      <c r="H151" s="192" t="s">
        <v>1796</v>
      </c>
      <c r="I151" s="182" t="str">
        <f t="shared" ca="1" si="1"/>
        <v/>
      </c>
      <c r="J151" s="193"/>
      <c r="K151" s="208" t="s">
        <v>1798</v>
      </c>
      <c r="L151" s="182" t="s">
        <v>1799</v>
      </c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94"/>
      <c r="Z151" s="194"/>
      <c r="AA151" s="194"/>
    </row>
    <row r="152" spans="1:27" ht="15.6">
      <c r="A152" s="182"/>
      <c r="B152" s="195" t="s">
        <v>1800</v>
      </c>
      <c r="C152" s="195"/>
      <c r="D152" s="188">
        <v>210</v>
      </c>
      <c r="E152" s="188">
        <v>0</v>
      </c>
      <c r="F152" s="208" t="s">
        <v>1798</v>
      </c>
      <c r="G152" s="182" t="str">
        <f ca="1">IFERROR(__xludf.DUMMYFUNCTION("""COMPUTED_VALUE"""),"PISO DECK PEROBA PREMIUM TG 2,5 X 10 X COMPR. VARIAVEIS")</f>
        <v>PISO DECK PEROBA PREMIUM TG 2,5 X 10 X COMPR. VARIAVEIS</v>
      </c>
      <c r="H152" s="192" t="s">
        <v>1799</v>
      </c>
      <c r="I152" s="182" t="str">
        <f t="shared" ca="1" si="1"/>
        <v/>
      </c>
      <c r="J152" s="193"/>
      <c r="K152" s="198" t="s">
        <v>1801</v>
      </c>
      <c r="L152" s="182" t="s">
        <v>1802</v>
      </c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94"/>
      <c r="Z152" s="194"/>
      <c r="AA152" s="194"/>
    </row>
    <row r="153" spans="1:27" ht="16.8">
      <c r="A153" s="185"/>
      <c r="B153" s="186" t="s">
        <v>1803</v>
      </c>
      <c r="C153" s="196">
        <v>169.8</v>
      </c>
      <c r="D153" s="188">
        <v>190.95</v>
      </c>
      <c r="E153" s="189">
        <v>32423.31</v>
      </c>
      <c r="F153" s="198" t="s">
        <v>1801</v>
      </c>
      <c r="G153" s="182" t="str">
        <f ca="1">IFERROR(__xludf.DUMMYFUNCTION("""COMPUTED_VALUE"""),"PISO DECK BAMBU CARAMEL ALTA DENSIDADE")</f>
        <v>PISO DECK BAMBU CARAMEL ALTA DENSIDADE</v>
      </c>
      <c r="H153" s="192" t="s">
        <v>1802</v>
      </c>
      <c r="I153" s="182" t="str">
        <f t="shared" ca="1" si="1"/>
        <v/>
      </c>
      <c r="J153" s="193"/>
      <c r="K153" s="198" t="s">
        <v>1804</v>
      </c>
      <c r="L153" s="182" t="s">
        <v>1805</v>
      </c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94"/>
      <c r="Z153" s="194"/>
      <c r="AA153" s="194"/>
    </row>
    <row r="154" spans="1:27" ht="15.75" customHeight="1">
      <c r="A154" s="185"/>
      <c r="B154" s="186" t="s">
        <v>1806</v>
      </c>
      <c r="C154" s="196">
        <v>13.97</v>
      </c>
      <c r="D154" s="188">
        <v>152.29</v>
      </c>
      <c r="E154" s="189">
        <v>2127.4899999999998</v>
      </c>
      <c r="F154" s="198" t="s">
        <v>1804</v>
      </c>
      <c r="G154" s="182" t="str">
        <f ca="1">IFERROR(__xludf.DUMMYFUNCTION("""COMPUTED_VALUE"""),"PISO DECK BPC CINZA ESCURO 2 X15X 290CM PÇ/0.435M2")</f>
        <v>PISO DECK BPC CINZA ESCURO 2 X15X 290CM PÇ/0.435M2</v>
      </c>
      <c r="H154" s="192" t="s">
        <v>1805</v>
      </c>
      <c r="I154" s="182" t="str">
        <f t="shared" ca="1" si="1"/>
        <v/>
      </c>
      <c r="J154" s="193"/>
      <c r="K154" s="198" t="s">
        <v>1807</v>
      </c>
      <c r="L154" s="182" t="s">
        <v>1808</v>
      </c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94"/>
      <c r="Z154" s="194"/>
      <c r="AA154" s="194"/>
    </row>
    <row r="155" spans="1:27" ht="16.8">
      <c r="A155" s="185"/>
      <c r="B155" s="186" t="s">
        <v>1809</v>
      </c>
      <c r="C155" s="196">
        <v>22.7</v>
      </c>
      <c r="D155" s="188">
        <v>152.29</v>
      </c>
      <c r="E155" s="189">
        <v>3456.98</v>
      </c>
      <c r="F155" s="198" t="s">
        <v>1807</v>
      </c>
      <c r="G155" s="182" t="str">
        <f ca="1">IFERROR(__xludf.DUMMYFUNCTION("""COMPUTED_VALUE"""),"PISO DECK BPC MORROM 2X15X220CM")</f>
        <v>PISO DECK BPC MORROM 2X15X220CM</v>
      </c>
      <c r="H155" s="192" t="s">
        <v>1808</v>
      </c>
      <c r="I155" s="182" t="str">
        <f t="shared" ca="1" si="1"/>
        <v/>
      </c>
      <c r="J155" s="193"/>
      <c r="K155" s="198" t="s">
        <v>1810</v>
      </c>
      <c r="L155" s="182" t="s">
        <v>1811</v>
      </c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4"/>
      <c r="Z155" s="184"/>
      <c r="AA155" s="184"/>
    </row>
    <row r="156" spans="1:27" ht="16.8">
      <c r="A156" s="185"/>
      <c r="B156" s="186" t="s">
        <v>1811</v>
      </c>
      <c r="C156" s="196">
        <v>300</v>
      </c>
      <c r="D156" s="188">
        <v>190.95</v>
      </c>
      <c r="E156" s="189">
        <v>57285</v>
      </c>
      <c r="F156" s="198" t="s">
        <v>1810</v>
      </c>
      <c r="G156" s="182" t="str">
        <f ca="1">IFERROR(__xludf.DUMMYFUNCTION("""COMPUTED_VALUE"""),"PISO DECK WPC CINZA 2,2*14,6*220CM")</f>
        <v>PISO DECK WPC CINZA 2,2*14,6*220CM</v>
      </c>
      <c r="H156" s="192" t="s">
        <v>1811</v>
      </c>
      <c r="I156" s="182" t="str">
        <f t="shared" ca="1" si="1"/>
        <v/>
      </c>
      <c r="J156" s="193"/>
      <c r="K156" s="198" t="s">
        <v>1812</v>
      </c>
      <c r="L156" s="182" t="s">
        <v>251</v>
      </c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4"/>
      <c r="Z156" s="184"/>
      <c r="AA156" s="184"/>
    </row>
    <row r="157" spans="1:27" ht="16.8">
      <c r="A157" s="185"/>
      <c r="B157" s="186" t="s">
        <v>1813</v>
      </c>
      <c r="C157" s="196">
        <v>504.98</v>
      </c>
      <c r="D157" s="188">
        <v>150</v>
      </c>
      <c r="E157" s="189">
        <v>75747.600000000006</v>
      </c>
      <c r="F157" s="198" t="s">
        <v>1812</v>
      </c>
      <c r="G157" s="182" t="str">
        <f ca="1">IFERROR(__xludf.DUMMYFUNCTION("""COMPUTED_VALUE"""),"PISO PEROBA RUSTICA DE DEMOLIÇÃO")</f>
        <v>PISO PEROBA RUSTICA DE DEMOLIÇÃO</v>
      </c>
      <c r="H157" s="192" t="s">
        <v>251</v>
      </c>
      <c r="I157" s="182" t="str">
        <f t="shared" ca="1" si="1"/>
        <v/>
      </c>
      <c r="J157" s="193"/>
      <c r="K157" s="208" t="s">
        <v>1814</v>
      </c>
      <c r="L157" s="182" t="s">
        <v>252</v>
      </c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4"/>
      <c r="Z157" s="184"/>
      <c r="AA157" s="184"/>
    </row>
    <row r="158" spans="1:27" ht="16.8">
      <c r="A158" s="182"/>
      <c r="B158" s="216" t="s">
        <v>1815</v>
      </c>
      <c r="C158" s="217">
        <v>730.79</v>
      </c>
      <c r="D158" s="218">
        <v>150</v>
      </c>
      <c r="E158" s="219">
        <v>109618.5</v>
      </c>
      <c r="F158" s="208" t="s">
        <v>1814</v>
      </c>
      <c r="G158" s="182" t="str">
        <f ca="1">IFERROR(__xludf.DUMMYFUNCTION("""COMPUTED_VALUE"""),"PISO CANELA RUSTICA DE DEMOLIÇÃO")</f>
        <v>PISO CANELA RUSTICA DE DEMOLIÇÃO</v>
      </c>
      <c r="H158" s="192" t="s">
        <v>252</v>
      </c>
      <c r="I158" s="182" t="str">
        <f t="shared" ca="1" si="1"/>
        <v/>
      </c>
      <c r="J158" s="193"/>
      <c r="K158" s="208" t="s">
        <v>1816</v>
      </c>
      <c r="L158" s="182" t="s">
        <v>253</v>
      </c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94"/>
      <c r="Z158" s="194"/>
      <c r="AA158" s="194"/>
    </row>
    <row r="159" spans="1:27" ht="15.6">
      <c r="A159" s="182"/>
      <c r="B159" s="195" t="s">
        <v>1817</v>
      </c>
      <c r="C159" s="195"/>
      <c r="D159" s="195"/>
      <c r="E159" s="195"/>
      <c r="F159" s="208" t="s">
        <v>1816</v>
      </c>
      <c r="G159" s="182" t="str">
        <f ca="1">IFERROR(__xludf.DUMMYFUNCTION("""COMPUTED_VALUE"""),"FORRO CONVENCIONAL CARVALHO EUROPEU MARRONE CHEVRON 15/3 X 1900X 740MM")</f>
        <v>FORRO CONVENCIONAL CARVALHO EUROPEU MARRONE CHEVRON 15/3 X 1900X 740MM</v>
      </c>
      <c r="H159" s="192" t="s">
        <v>253</v>
      </c>
      <c r="I159" s="182" t="str">
        <f t="shared" ca="1" si="1"/>
        <v/>
      </c>
      <c r="J159" s="193"/>
      <c r="K159" s="208" t="s">
        <v>1818</v>
      </c>
      <c r="L159" s="182" t="s">
        <v>254</v>
      </c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4"/>
      <c r="Z159" s="184"/>
      <c r="AA159" s="184"/>
    </row>
    <row r="160" spans="1:27" ht="15.6">
      <c r="A160" s="182"/>
      <c r="B160" s="182"/>
      <c r="C160" s="182"/>
      <c r="D160" s="182"/>
      <c r="E160" s="182"/>
      <c r="F160" s="208" t="s">
        <v>1818</v>
      </c>
      <c r="G160" s="182" t="str">
        <f ca="1">IFERROR(__xludf.DUMMYFUNCTION("""COMPUTED_VALUE"""),"FORRO CONVENCIONAL CARVALHO EUROPEU MARRONE 15/3 X 125 X 1200MM")</f>
        <v>FORRO CONVENCIONAL CARVALHO EUROPEU MARRONE 15/3 X 125 X 1200MM</v>
      </c>
      <c r="H160" s="192" t="s">
        <v>254</v>
      </c>
      <c r="I160" s="182" t="str">
        <f t="shared" ca="1" si="1"/>
        <v/>
      </c>
      <c r="J160" s="193"/>
      <c r="K160" s="208" t="s">
        <v>1819</v>
      </c>
      <c r="L160" s="182" t="s">
        <v>255</v>
      </c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4"/>
      <c r="Z160" s="184"/>
      <c r="AA160" s="184"/>
    </row>
    <row r="161" spans="1:27" ht="15.6">
      <c r="A161" s="182"/>
      <c r="B161" s="182"/>
      <c r="C161" s="182"/>
      <c r="D161" s="182"/>
      <c r="E161" s="182"/>
      <c r="F161" s="208" t="s">
        <v>1819</v>
      </c>
      <c r="G161" s="182" t="str">
        <f ca="1">IFERROR(__xludf.DUMMYFUNCTION("""COMPUTED_VALUE"""),"FORRO CONVENCIONAL CARVALHO EUROPEU MARRONE 15/3 X 190 X 1900MM")</f>
        <v>FORRO CONVENCIONAL CARVALHO EUROPEU MARRONE 15/3 X 190 X 1900MM</v>
      </c>
      <c r="H161" s="192" t="s">
        <v>255</v>
      </c>
      <c r="I161" s="182" t="str">
        <f t="shared" ca="1" si="1"/>
        <v/>
      </c>
      <c r="J161" s="193"/>
      <c r="K161" s="208" t="s">
        <v>1820</v>
      </c>
      <c r="L161" s="182" t="s">
        <v>256</v>
      </c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4"/>
      <c r="Z161" s="184"/>
      <c r="AA161" s="184"/>
    </row>
    <row r="162" spans="1:27" ht="15.6">
      <c r="A162" s="182"/>
      <c r="B162" s="182"/>
      <c r="C162" s="182"/>
      <c r="D162" s="182"/>
      <c r="E162" s="182"/>
      <c r="F162" s="208" t="s">
        <v>1820</v>
      </c>
      <c r="G162" s="182" t="str">
        <f ca="1">IFERROR(__xludf.DUMMYFUNCTION("""COMPUTED_VALUE"""),"FORRO CONVENCIONAL CARVALHO EUROPEU MARRONE 20/6 X 300 X 4000MM")</f>
        <v>FORRO CONVENCIONAL CARVALHO EUROPEU MARRONE 20/6 X 300 X 4000MM</v>
      </c>
      <c r="H162" s="192" t="s">
        <v>256</v>
      </c>
      <c r="I162" s="182" t="str">
        <f t="shared" ca="1" si="1"/>
        <v/>
      </c>
      <c r="J162" s="193"/>
      <c r="K162" s="208" t="s">
        <v>1821</v>
      </c>
      <c r="L162" s="182" t="s">
        <v>257</v>
      </c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4"/>
      <c r="Z162" s="184"/>
      <c r="AA162" s="184"/>
    </row>
    <row r="163" spans="1:27" ht="15.6">
      <c r="A163" s="182"/>
      <c r="B163" s="182"/>
      <c r="C163" s="182"/>
      <c r="D163" s="182"/>
      <c r="E163" s="182"/>
      <c r="F163" s="208" t="s">
        <v>1821</v>
      </c>
      <c r="G163" s="182" t="str">
        <f ca="1">IFERROR(__xludf.DUMMYFUNCTION("""COMPUTED_VALUE"""),"FORRO CONVENCIONAL CARVALHO EUROPEU MARRONE 20/6 X 400 X 5000MM")</f>
        <v>FORRO CONVENCIONAL CARVALHO EUROPEU MARRONE 20/6 X 400 X 5000MM</v>
      </c>
      <c r="H163" s="192" t="s">
        <v>257</v>
      </c>
      <c r="I163" s="182" t="str">
        <f t="shared" ca="1" si="1"/>
        <v/>
      </c>
      <c r="J163" s="193"/>
      <c r="K163" s="208" t="s">
        <v>1822</v>
      </c>
      <c r="L163" s="182" t="s">
        <v>258</v>
      </c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4"/>
      <c r="Z163" s="184"/>
      <c r="AA163" s="184"/>
    </row>
    <row r="164" spans="1:27" ht="15.6">
      <c r="A164" s="182"/>
      <c r="B164" s="182"/>
      <c r="C164" s="182"/>
      <c r="D164" s="182"/>
      <c r="E164" s="182"/>
      <c r="F164" s="208" t="s">
        <v>1822</v>
      </c>
      <c r="G164" s="182" t="str">
        <f ca="1">IFERROR(__xludf.DUMMYFUNCTION("""COMPUTED_VALUE"""),"FORRO CONVENCIONAL CARVALHO EUROPEU MONT BLANC CHEVRON 15/3 X 1900X 740MM")</f>
        <v>FORRO CONVENCIONAL CARVALHO EUROPEU MONT BLANC CHEVRON 15/3 X 1900X 740MM</v>
      </c>
      <c r="H164" s="192" t="s">
        <v>258</v>
      </c>
      <c r="I164" s="182" t="str">
        <f t="shared" ca="1" si="1"/>
        <v/>
      </c>
      <c r="J164" s="193"/>
      <c r="K164" s="208" t="s">
        <v>1823</v>
      </c>
      <c r="L164" s="182" t="s">
        <v>259</v>
      </c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4"/>
      <c r="Z164" s="184"/>
      <c r="AA164" s="184"/>
    </row>
    <row r="165" spans="1:27" ht="15.6">
      <c r="A165" s="182"/>
      <c r="B165" s="182"/>
      <c r="C165" s="182"/>
      <c r="D165" s="182"/>
      <c r="E165" s="182"/>
      <c r="F165" s="208" t="s">
        <v>1823</v>
      </c>
      <c r="G165" s="182" t="str">
        <f ca="1">IFERROR(__xludf.DUMMYFUNCTION("""COMPUTED_VALUE"""),"FORRO CONVENCIONAL CARVALHO EUROPEU MONT BLANC ESPINHA DE PEIXE TG 15/3 X 125X900MM")</f>
        <v>FORRO CONVENCIONAL CARVALHO EUROPEU MONT BLANC ESPINHA DE PEIXE TG 15/3 X 125X900MM</v>
      </c>
      <c r="H165" s="192" t="s">
        <v>259</v>
      </c>
      <c r="I165" s="182" t="str">
        <f t="shared" ca="1" si="1"/>
        <v/>
      </c>
      <c r="J165" s="193"/>
      <c r="K165" s="208" t="s">
        <v>1824</v>
      </c>
      <c r="L165" s="182" t="s">
        <v>260</v>
      </c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4"/>
      <c r="Z165" s="184"/>
      <c r="AA165" s="184"/>
    </row>
    <row r="166" spans="1:27" ht="15.6">
      <c r="A166" s="182"/>
      <c r="B166" s="182"/>
      <c r="C166" s="182"/>
      <c r="D166" s="182"/>
      <c r="E166" s="182"/>
      <c r="F166" s="208" t="s">
        <v>1824</v>
      </c>
      <c r="G166" s="182" t="str">
        <f ca="1">IFERROR(__xludf.DUMMYFUNCTION("""COMPUTED_VALUE"""),"FORRO CONVENCIONAL CARVALHO EUROPEU MONT BLANC 15/3 X 125 X 1200MM")</f>
        <v>FORRO CONVENCIONAL CARVALHO EUROPEU MONT BLANC 15/3 X 125 X 1200MM</v>
      </c>
      <c r="H166" s="192" t="s">
        <v>260</v>
      </c>
      <c r="I166" s="182" t="str">
        <f t="shared" ca="1" si="1"/>
        <v/>
      </c>
      <c r="J166" s="193"/>
      <c r="K166" s="208" t="s">
        <v>1825</v>
      </c>
      <c r="L166" s="182" t="s">
        <v>261</v>
      </c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4"/>
      <c r="Z166" s="184"/>
      <c r="AA166" s="184"/>
    </row>
    <row r="167" spans="1:27" ht="15.6">
      <c r="A167" s="182"/>
      <c r="B167" s="182"/>
      <c r="C167" s="182"/>
      <c r="D167" s="182"/>
      <c r="E167" s="182"/>
      <c r="F167" s="208" t="s">
        <v>1825</v>
      </c>
      <c r="G167" s="182" t="str">
        <f ca="1">IFERROR(__xludf.DUMMYFUNCTION("""COMPUTED_VALUE"""),"FORRO CONVENCIONAL CARVALHO EUROPEU MONT BLANC 15/3 X 190 X 1900MM")</f>
        <v>FORRO CONVENCIONAL CARVALHO EUROPEU MONT BLANC 15/3 X 190 X 1900MM</v>
      </c>
      <c r="H167" s="192" t="s">
        <v>261</v>
      </c>
      <c r="I167" s="182" t="str">
        <f t="shared" ca="1" si="1"/>
        <v/>
      </c>
      <c r="J167" s="193"/>
      <c r="K167" s="208" t="s">
        <v>1826</v>
      </c>
      <c r="L167" s="182" t="s">
        <v>262</v>
      </c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4"/>
      <c r="Z167" s="184"/>
      <c r="AA167" s="184"/>
    </row>
    <row r="168" spans="1:27" ht="15.6">
      <c r="A168" s="182"/>
      <c r="B168" s="182"/>
      <c r="C168" s="182"/>
      <c r="D168" s="182"/>
      <c r="E168" s="182"/>
      <c r="F168" s="208" t="s">
        <v>1826</v>
      </c>
      <c r="G168" s="182" t="str">
        <f ca="1">IFERROR(__xludf.DUMMYFUNCTION("""COMPUTED_VALUE"""),"FORRO CONVENCIONAL CARVALHO EUROPEU MONT BLANC 20/6 X 300 X 4000MM")</f>
        <v>FORRO CONVENCIONAL CARVALHO EUROPEU MONT BLANC 20/6 X 300 X 4000MM</v>
      </c>
      <c r="H168" s="192" t="s">
        <v>262</v>
      </c>
      <c r="I168" s="182" t="str">
        <f t="shared" ca="1" si="1"/>
        <v/>
      </c>
      <c r="J168" s="193"/>
      <c r="K168" s="208" t="s">
        <v>1827</v>
      </c>
      <c r="L168" s="182" t="s">
        <v>263</v>
      </c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94"/>
      <c r="Z168" s="194"/>
      <c r="AA168" s="194"/>
    </row>
    <row r="169" spans="1:27" ht="15.6">
      <c r="A169" s="182"/>
      <c r="B169" s="182"/>
      <c r="C169" s="182"/>
      <c r="D169" s="182"/>
      <c r="E169" s="182"/>
      <c r="F169" s="208" t="s">
        <v>1827</v>
      </c>
      <c r="G169" s="182" t="str">
        <f ca="1">IFERROR(__xludf.DUMMYFUNCTION("""COMPUTED_VALUE"""),"FORRO CONVENCIONAL CARVALHO EUROPEU MONT BLANC 20/6 X 400 X 5000MM")</f>
        <v>FORRO CONVENCIONAL CARVALHO EUROPEU MONT BLANC 20/6 X 400 X 5000MM</v>
      </c>
      <c r="H169" s="192" t="s">
        <v>263</v>
      </c>
      <c r="I169" s="182" t="str">
        <f t="shared" ca="1" si="1"/>
        <v/>
      </c>
      <c r="J169" s="193"/>
      <c r="K169" s="208" t="s">
        <v>1828</v>
      </c>
      <c r="L169" s="182" t="s">
        <v>264</v>
      </c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4"/>
      <c r="Z169" s="184"/>
      <c r="AA169" s="184"/>
    </row>
    <row r="170" spans="1:27" ht="15.6">
      <c r="A170" s="182"/>
      <c r="B170" s="182"/>
      <c r="C170" s="182"/>
      <c r="D170" s="182"/>
      <c r="E170" s="182"/>
      <c r="F170" s="208" t="s">
        <v>1828</v>
      </c>
      <c r="G170" s="182" t="str">
        <f ca="1">IFERROR(__xludf.DUMMYFUNCTION("""COMPUTED_VALUE"""),"FORRO CONVENCIONAL CARVALHO EUROPEU NATURAL CHEVRON TG 15/3 X 125 X 775MM")</f>
        <v>FORRO CONVENCIONAL CARVALHO EUROPEU NATURAL CHEVRON TG 15/3 X 125 X 775MM</v>
      </c>
      <c r="H170" s="192" t="s">
        <v>264</v>
      </c>
      <c r="I170" s="182" t="str">
        <f t="shared" ca="1" si="1"/>
        <v/>
      </c>
      <c r="J170" s="193"/>
      <c r="K170" s="208" t="s">
        <v>1829</v>
      </c>
      <c r="L170" s="182" t="s">
        <v>265</v>
      </c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4"/>
      <c r="Z170" s="184"/>
      <c r="AA170" s="184"/>
    </row>
    <row r="171" spans="1:27" ht="15.6">
      <c r="A171" s="182"/>
      <c r="B171" s="182"/>
      <c r="C171" s="182"/>
      <c r="D171" s="182"/>
      <c r="E171" s="182"/>
      <c r="F171" s="208" t="s">
        <v>1829</v>
      </c>
      <c r="G171" s="182" t="str">
        <f ca="1">IFERROR(__xludf.DUMMYFUNCTION("""COMPUTED_VALUE"""),"FORRO CONVENCIONAL CARVALHO EUROPEU NATURALLE CHEVRON 15/3 X 1900X 740MM")</f>
        <v>FORRO CONVENCIONAL CARVALHO EUROPEU NATURALLE CHEVRON 15/3 X 1900X 740MM</v>
      </c>
      <c r="H171" s="192" t="s">
        <v>265</v>
      </c>
      <c r="I171" s="182" t="str">
        <f t="shared" ca="1" si="1"/>
        <v/>
      </c>
      <c r="J171" s="193"/>
      <c r="K171" s="208" t="s">
        <v>1830</v>
      </c>
      <c r="L171" s="182" t="s">
        <v>266</v>
      </c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4"/>
      <c r="Z171" s="184"/>
      <c r="AA171" s="184"/>
    </row>
    <row r="172" spans="1:27" ht="15.6">
      <c r="A172" s="182"/>
      <c r="B172" s="182"/>
      <c r="C172" s="182"/>
      <c r="D172" s="182"/>
      <c r="E172" s="182"/>
      <c r="F172" s="208" t="s">
        <v>1830</v>
      </c>
      <c r="G172" s="182" t="str">
        <f ca="1">IFERROR(__xludf.DUMMYFUNCTION("""COMPUTED_VALUE"""),"FORRO CONVENCIONAL CARVALHO EUROPEU NATURALLE CHEVRON 60º 15/3 X 1900X 910MM")</f>
        <v>FORRO CONVENCIONAL CARVALHO EUROPEU NATURALLE CHEVRON 60º 15/3 X 1900X 910MM</v>
      </c>
      <c r="H172" s="192" t="s">
        <v>266</v>
      </c>
      <c r="I172" s="182" t="str">
        <f t="shared" ca="1" si="1"/>
        <v/>
      </c>
      <c r="J172" s="193"/>
      <c r="K172" s="208" t="s">
        <v>1831</v>
      </c>
      <c r="L172" s="182" t="s">
        <v>267</v>
      </c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4"/>
      <c r="Z172" s="184"/>
      <c r="AA172" s="184"/>
    </row>
    <row r="173" spans="1:27" ht="15.6">
      <c r="A173" s="182"/>
      <c r="B173" s="182"/>
      <c r="C173" s="182"/>
      <c r="D173" s="182"/>
      <c r="E173" s="182"/>
      <c r="F173" s="208" t="s">
        <v>1831</v>
      </c>
      <c r="G173" s="182" t="str">
        <f ca="1">IFERROR(__xludf.DUMMYFUNCTION("""COMPUTED_VALUE"""),"FORRO CONVENCIONAL CARVALHO EUROPEU NATURALLE FINE 10/06 X 1900 X 1900MM")</f>
        <v>FORRO CONVENCIONAL CARVALHO EUROPEU NATURALLE FINE 10/06 X 1900 X 1900MM</v>
      </c>
      <c r="H173" s="192" t="s">
        <v>267</v>
      </c>
      <c r="I173" s="182" t="str">
        <f t="shared" ca="1" si="1"/>
        <v/>
      </c>
      <c r="J173" s="193"/>
      <c r="K173" s="208" t="s">
        <v>1832</v>
      </c>
      <c r="L173" s="182" t="s">
        <v>268</v>
      </c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4"/>
      <c r="Z173" s="184"/>
      <c r="AA173" s="184"/>
    </row>
    <row r="174" spans="1:27" ht="15.6">
      <c r="A174" s="182"/>
      <c r="B174" s="182"/>
      <c r="C174" s="182"/>
      <c r="D174" s="182"/>
      <c r="E174" s="182"/>
      <c r="F174" s="208" t="s">
        <v>1832</v>
      </c>
      <c r="G174" s="182" t="str">
        <f ca="1">IFERROR(__xludf.DUMMYFUNCTION("""COMPUTED_VALUE"""),"FORRO CONVENCIONAL CARVALHO EUROPEU NATURALLE 15/3 X 125 X 1200MM")</f>
        <v>FORRO CONVENCIONAL CARVALHO EUROPEU NATURALLE 15/3 X 125 X 1200MM</v>
      </c>
      <c r="H174" s="192" t="s">
        <v>268</v>
      </c>
      <c r="I174" s="182" t="str">
        <f t="shared" ca="1" si="1"/>
        <v/>
      </c>
      <c r="J174" s="193"/>
      <c r="K174" s="208" t="s">
        <v>1833</v>
      </c>
      <c r="L174" s="182" t="s">
        <v>269</v>
      </c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4"/>
      <c r="Z174" s="184"/>
      <c r="AA174" s="184"/>
    </row>
    <row r="175" spans="1:27" ht="15.6">
      <c r="A175" s="182"/>
      <c r="B175" s="182"/>
      <c r="C175" s="182"/>
      <c r="D175" s="182"/>
      <c r="E175" s="182"/>
      <c r="F175" s="208" t="s">
        <v>1833</v>
      </c>
      <c r="G175" s="182" t="str">
        <f ca="1">IFERROR(__xludf.DUMMYFUNCTION("""COMPUTED_VALUE"""),"FORRO CONVENCIONAL CARVALHO EUROPEU NATURALLE 15/3 X 190 X 1900MM")</f>
        <v>FORRO CONVENCIONAL CARVALHO EUROPEU NATURALLE 15/3 X 190 X 1900MM</v>
      </c>
      <c r="H175" s="192" t="s">
        <v>269</v>
      </c>
      <c r="I175" s="182" t="str">
        <f t="shared" ca="1" si="1"/>
        <v/>
      </c>
      <c r="J175" s="193"/>
      <c r="K175" s="208" t="s">
        <v>1834</v>
      </c>
      <c r="L175" s="182" t="s">
        <v>270</v>
      </c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4"/>
      <c r="Z175" s="184"/>
      <c r="AA175" s="184"/>
    </row>
    <row r="176" spans="1:27" ht="15.6">
      <c r="A176" s="182"/>
      <c r="B176" s="182"/>
      <c r="C176" s="182"/>
      <c r="D176" s="182"/>
      <c r="E176" s="182"/>
      <c r="F176" s="208" t="s">
        <v>1834</v>
      </c>
      <c r="G176" s="182" t="str">
        <f ca="1">IFERROR(__xludf.DUMMYFUNCTION("""COMPUTED_VALUE"""),"FORRO CONVENCIONAL CARVALHO EUROPEU NATURALLE 20/6 X 300 X 4000MM")</f>
        <v>FORRO CONVENCIONAL CARVALHO EUROPEU NATURALLE 20/6 X 300 X 4000MM</v>
      </c>
      <c r="H176" s="192" t="s">
        <v>270</v>
      </c>
      <c r="I176" s="182" t="str">
        <f t="shared" ca="1" si="1"/>
        <v/>
      </c>
      <c r="J176" s="193"/>
      <c r="K176" s="208" t="s">
        <v>1835</v>
      </c>
      <c r="L176" s="182" t="s">
        <v>271</v>
      </c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4"/>
      <c r="Z176" s="184"/>
      <c r="AA176" s="184"/>
    </row>
    <row r="177" spans="1:27" ht="15.6">
      <c r="A177" s="182"/>
      <c r="B177" s="182"/>
      <c r="C177" s="182"/>
      <c r="D177" s="182"/>
      <c r="E177" s="182"/>
      <c r="F177" s="208" t="s">
        <v>1835</v>
      </c>
      <c r="G177" s="182" t="str">
        <f ca="1">IFERROR(__xludf.DUMMYFUNCTION("""COMPUTED_VALUE"""),"FORRO CONVENCIONAL CARVALHO EUROPEU NATURALLE 20/6 X 400 X 5000MM")</f>
        <v>FORRO CONVENCIONAL CARVALHO EUROPEU NATURALLE 20/6 X 400 X 5000MM</v>
      </c>
      <c r="H177" s="192" t="s">
        <v>271</v>
      </c>
      <c r="I177" s="182" t="str">
        <f t="shared" ca="1" si="1"/>
        <v/>
      </c>
      <c r="J177" s="193"/>
      <c r="K177" s="208" t="s">
        <v>1836</v>
      </c>
      <c r="L177" s="182" t="s">
        <v>272</v>
      </c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4"/>
      <c r="Z177" s="184"/>
      <c r="AA177" s="184"/>
    </row>
    <row r="178" spans="1:27" ht="15.6">
      <c r="A178" s="182"/>
      <c r="B178" s="182"/>
      <c r="C178" s="182"/>
      <c r="D178" s="182"/>
      <c r="E178" s="182"/>
      <c r="F178" s="208" t="s">
        <v>1836</v>
      </c>
      <c r="G178" s="182" t="str">
        <f ca="1">IFERROR(__xludf.DUMMYFUNCTION("""COMPUTED_VALUE"""),"FORRO CONVENCIONAL CARVALHO EUROPEU CAPUCCINO CHEVRON 15/3 X 1900X 740MM")</f>
        <v>FORRO CONVENCIONAL CARVALHO EUROPEU CAPUCCINO CHEVRON 15/3 X 1900X 740MM</v>
      </c>
      <c r="H178" s="192" t="s">
        <v>272</v>
      </c>
      <c r="I178" s="182" t="str">
        <f t="shared" ca="1" si="1"/>
        <v/>
      </c>
      <c r="J178" s="193"/>
      <c r="K178" s="208" t="s">
        <v>1837</v>
      </c>
      <c r="L178" s="182" t="s">
        <v>273</v>
      </c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94"/>
      <c r="Z178" s="194"/>
      <c r="AA178" s="194"/>
    </row>
    <row r="179" spans="1:27" ht="15.6">
      <c r="A179" s="182"/>
      <c r="B179" s="182"/>
      <c r="C179" s="182"/>
      <c r="D179" s="182"/>
      <c r="E179" s="182"/>
      <c r="F179" s="208" t="s">
        <v>1837</v>
      </c>
      <c r="G179" s="182" t="str">
        <f ca="1">IFERROR(__xludf.DUMMYFUNCTION("""COMPUTED_VALUE"""),"FORRO CONVENCIONAL CARVALHO EUROPEU CAPUCCINO 15/3 X 125 X 1200MM")</f>
        <v>FORRO CONVENCIONAL CARVALHO EUROPEU CAPUCCINO 15/3 X 125 X 1200MM</v>
      </c>
      <c r="H179" s="192" t="s">
        <v>273</v>
      </c>
      <c r="I179" s="182" t="str">
        <f t="shared" ca="1" si="1"/>
        <v/>
      </c>
      <c r="J179" s="193"/>
      <c r="K179" s="208" t="s">
        <v>1838</v>
      </c>
      <c r="L179" s="182" t="s">
        <v>274</v>
      </c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4"/>
      <c r="Z179" s="184"/>
      <c r="AA179" s="184"/>
    </row>
    <row r="180" spans="1:27" ht="15.6">
      <c r="A180" s="182"/>
      <c r="B180" s="182"/>
      <c r="C180" s="182"/>
      <c r="D180" s="182"/>
      <c r="E180" s="182"/>
      <c r="F180" s="208" t="s">
        <v>1838</v>
      </c>
      <c r="G180" s="182" t="str">
        <f ca="1">IFERROR(__xludf.DUMMYFUNCTION("""COMPUTED_VALUE"""),"FORRO CONVENCIONAL CARVALHO EUROPEU CAPPUCCINO ESPINHA DE PEIXE TG 15/3 X 125X900MM")</f>
        <v>FORRO CONVENCIONAL CARVALHO EUROPEU CAPPUCCINO ESPINHA DE PEIXE TG 15/3 X 125X900MM</v>
      </c>
      <c r="H180" s="192" t="s">
        <v>274</v>
      </c>
      <c r="I180" s="182" t="str">
        <f t="shared" ca="1" si="1"/>
        <v/>
      </c>
      <c r="J180" s="193"/>
      <c r="K180" s="208" t="s">
        <v>1839</v>
      </c>
      <c r="L180" s="182" t="s">
        <v>275</v>
      </c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4"/>
      <c r="Z180" s="184"/>
      <c r="AA180" s="184"/>
    </row>
    <row r="181" spans="1:27" ht="15.6">
      <c r="A181" s="182"/>
      <c r="B181" s="182"/>
      <c r="C181" s="182"/>
      <c r="D181" s="182"/>
      <c r="E181" s="182"/>
      <c r="F181" s="208" t="s">
        <v>1839</v>
      </c>
      <c r="G181" s="182" t="str">
        <f ca="1">IFERROR(__xludf.DUMMYFUNCTION("""COMPUTED_VALUE"""),"FORRO CONVENCIONAL CARVALHO EUROPEU CAPUCCINO 15/3 X 190 X 1900MM")</f>
        <v>FORRO CONVENCIONAL CARVALHO EUROPEU CAPUCCINO 15/3 X 190 X 1900MM</v>
      </c>
      <c r="H181" s="192" t="s">
        <v>275</v>
      </c>
      <c r="I181" s="182" t="str">
        <f t="shared" ca="1" si="1"/>
        <v/>
      </c>
      <c r="J181" s="193"/>
      <c r="K181" s="208" t="s">
        <v>1840</v>
      </c>
      <c r="L181" s="182" t="s">
        <v>276</v>
      </c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4"/>
      <c r="Z181" s="184"/>
      <c r="AA181" s="184"/>
    </row>
    <row r="182" spans="1:27" ht="15.6">
      <c r="A182" s="182"/>
      <c r="B182" s="182"/>
      <c r="C182" s="182"/>
      <c r="D182" s="182"/>
      <c r="E182" s="182"/>
      <c r="F182" s="208" t="s">
        <v>1840</v>
      </c>
      <c r="G182" s="182" t="str">
        <f ca="1">IFERROR(__xludf.DUMMYFUNCTION("""COMPUTED_VALUE"""),"FORRO CONVENCIONAL CARVALHO EUROPEU CAPUCCINO 20/6 X 300 X 4000MM")</f>
        <v>FORRO CONVENCIONAL CARVALHO EUROPEU CAPUCCINO 20/6 X 300 X 4000MM</v>
      </c>
      <c r="H182" s="192" t="s">
        <v>276</v>
      </c>
      <c r="I182" s="182" t="str">
        <f t="shared" ca="1" si="1"/>
        <v/>
      </c>
      <c r="J182" s="193"/>
      <c r="K182" s="208" t="s">
        <v>1841</v>
      </c>
      <c r="L182" s="182" t="s">
        <v>277</v>
      </c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94"/>
      <c r="Z182" s="194"/>
      <c r="AA182" s="194"/>
    </row>
    <row r="183" spans="1:27" ht="15.6">
      <c r="A183" s="182"/>
      <c r="B183" s="182"/>
      <c r="C183" s="182"/>
      <c r="D183" s="182"/>
      <c r="E183" s="182"/>
      <c r="F183" s="208" t="s">
        <v>1841</v>
      </c>
      <c r="G183" s="182" t="str">
        <f ca="1">IFERROR(__xludf.DUMMYFUNCTION("""COMPUTED_VALUE"""),"FORRO CONVENCIONAL CARVALHO EUROPEU CAPUCCINO 20/6 X 400 X 5000MM")</f>
        <v>FORRO CONVENCIONAL CARVALHO EUROPEU CAPUCCINO 20/6 X 400 X 5000MM</v>
      </c>
      <c r="H183" s="192" t="s">
        <v>277</v>
      </c>
      <c r="I183" s="182" t="str">
        <f t="shared" ca="1" si="1"/>
        <v/>
      </c>
      <c r="J183" s="193"/>
      <c r="K183" s="208" t="s">
        <v>1842</v>
      </c>
      <c r="L183" s="182" t="s">
        <v>278</v>
      </c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4"/>
      <c r="Z183" s="184"/>
      <c r="AA183" s="184"/>
    </row>
    <row r="184" spans="1:27" ht="15.6">
      <c r="A184" s="182"/>
      <c r="B184" s="182"/>
      <c r="C184" s="182"/>
      <c r="D184" s="182"/>
      <c r="E184" s="182"/>
      <c r="F184" s="208" t="s">
        <v>1842</v>
      </c>
      <c r="G184" s="182" t="str">
        <f ca="1">IFERROR(__xludf.DUMMYFUNCTION("""COMPUTED_VALUE"""),"FORRO CONVENCIONAL CARVALHO EUROPEU BABY GREY CHEVRON 15/3 X 1900X 740MM")</f>
        <v>FORRO CONVENCIONAL CARVALHO EUROPEU BABY GREY CHEVRON 15/3 X 1900X 740MM</v>
      </c>
      <c r="H184" s="192" t="s">
        <v>278</v>
      </c>
      <c r="I184" s="182" t="str">
        <f t="shared" ca="1" si="1"/>
        <v/>
      </c>
      <c r="J184" s="193"/>
      <c r="K184" s="208" t="s">
        <v>1843</v>
      </c>
      <c r="L184" s="182" t="s">
        <v>279</v>
      </c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4"/>
      <c r="Z184" s="184"/>
      <c r="AA184" s="184"/>
    </row>
    <row r="185" spans="1:27" ht="15.6">
      <c r="A185" s="182"/>
      <c r="B185" s="182"/>
      <c r="C185" s="182"/>
      <c r="D185" s="182"/>
      <c r="E185" s="182"/>
      <c r="F185" s="208" t="s">
        <v>1843</v>
      </c>
      <c r="G185" s="182" t="str">
        <f ca="1">IFERROR(__xludf.DUMMYFUNCTION("""COMPUTED_VALUE"""),"FORRO CONVENCIONAL CARVALHO EUROPEU BABY GREY 15/3 X 125 X 1200MM")</f>
        <v>FORRO CONVENCIONAL CARVALHO EUROPEU BABY GREY 15/3 X 125 X 1200MM</v>
      </c>
      <c r="H185" s="192" t="s">
        <v>279</v>
      </c>
      <c r="I185" s="182" t="str">
        <f t="shared" ca="1" si="1"/>
        <v/>
      </c>
      <c r="J185" s="193"/>
      <c r="K185" s="208" t="s">
        <v>1844</v>
      </c>
      <c r="L185" s="182" t="s">
        <v>280</v>
      </c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4"/>
      <c r="Z185" s="184"/>
      <c r="AA185" s="184"/>
    </row>
    <row r="186" spans="1:27" ht="15.6">
      <c r="A186" s="182"/>
      <c r="B186" s="182"/>
      <c r="C186" s="182"/>
      <c r="D186" s="182"/>
      <c r="E186" s="182"/>
      <c r="F186" s="208" t="s">
        <v>1844</v>
      </c>
      <c r="G186" s="182" t="str">
        <f ca="1">IFERROR(__xludf.DUMMYFUNCTION("""COMPUTED_VALUE"""),"FORRO CONVENCIONAL CARVALHO EUROPEU BABY GREY 15/3 X 190 X 1900MM")</f>
        <v>FORRO CONVENCIONAL CARVALHO EUROPEU BABY GREY 15/3 X 190 X 1900MM</v>
      </c>
      <c r="H186" s="192" t="s">
        <v>280</v>
      </c>
      <c r="I186" s="182" t="str">
        <f t="shared" ca="1" si="1"/>
        <v/>
      </c>
      <c r="J186" s="193"/>
      <c r="K186" s="208" t="s">
        <v>1845</v>
      </c>
      <c r="L186" s="182" t="s">
        <v>281</v>
      </c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94"/>
      <c r="Z186" s="194"/>
      <c r="AA186" s="194"/>
    </row>
    <row r="187" spans="1:27" ht="15.6">
      <c r="A187" s="182"/>
      <c r="B187" s="182"/>
      <c r="C187" s="182"/>
      <c r="D187" s="182"/>
      <c r="E187" s="182"/>
      <c r="F187" s="208" t="s">
        <v>1845</v>
      </c>
      <c r="G187" s="182" t="str">
        <f ca="1">IFERROR(__xludf.DUMMYFUNCTION("""COMPUTED_VALUE"""),"FORRO CONVENCIONAL CARVALHO EUROPEU BABY GREY 20/6 X 300 X 4000MM")</f>
        <v>FORRO CONVENCIONAL CARVALHO EUROPEU BABY GREY 20/6 X 300 X 4000MM</v>
      </c>
      <c r="H187" s="192" t="s">
        <v>281</v>
      </c>
      <c r="I187" s="182" t="str">
        <f t="shared" ca="1" si="1"/>
        <v/>
      </c>
      <c r="J187" s="193"/>
      <c r="K187" s="208" t="s">
        <v>1846</v>
      </c>
      <c r="L187" s="182" t="s">
        <v>282</v>
      </c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4"/>
      <c r="Z187" s="184"/>
      <c r="AA187" s="184"/>
    </row>
    <row r="188" spans="1:27" ht="15.6">
      <c r="A188" s="182"/>
      <c r="B188" s="182"/>
      <c r="C188" s="182"/>
      <c r="D188" s="182"/>
      <c r="E188" s="182"/>
      <c r="F188" s="208" t="s">
        <v>1846</v>
      </c>
      <c r="G188" s="182" t="str">
        <f ca="1">IFERROR(__xludf.DUMMYFUNCTION("""COMPUTED_VALUE"""),"FORRO CONVENCIONAL CARVALHO EUROPEU BABY GREY 20/6 X 400 X 5000MM")</f>
        <v>FORRO CONVENCIONAL CARVALHO EUROPEU BABY GREY 20/6 X 400 X 5000MM</v>
      </c>
      <c r="H188" s="192" t="s">
        <v>282</v>
      </c>
      <c r="I188" s="182" t="str">
        <f t="shared" ca="1" si="1"/>
        <v/>
      </c>
      <c r="J188" s="193"/>
      <c r="K188" s="208" t="s">
        <v>1847</v>
      </c>
      <c r="L188" s="182" t="s">
        <v>283</v>
      </c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4"/>
      <c r="Z188" s="184"/>
      <c r="AA188" s="184"/>
    </row>
    <row r="189" spans="1:27" ht="15.6">
      <c r="A189" s="182"/>
      <c r="B189" s="182"/>
      <c r="C189" s="182"/>
      <c r="D189" s="182"/>
      <c r="E189" s="182"/>
      <c r="F189" s="208" t="s">
        <v>1847</v>
      </c>
      <c r="G189" s="182" t="str">
        <f ca="1">IFERROR(__xludf.DUMMYFUNCTION("""COMPUTED_VALUE"""),"FORRO CONVENCIONAL CARVALHO EUROPEU GRIGIO NERO CHEVRON 15/3 X 1900X 740MM")</f>
        <v>FORRO CONVENCIONAL CARVALHO EUROPEU GRIGIO NERO CHEVRON 15/3 X 1900X 740MM</v>
      </c>
      <c r="H189" s="192" t="s">
        <v>283</v>
      </c>
      <c r="I189" s="182" t="str">
        <f t="shared" ca="1" si="1"/>
        <v/>
      </c>
      <c r="J189" s="193"/>
      <c r="K189" s="208" t="s">
        <v>1848</v>
      </c>
      <c r="L189" s="182" t="s">
        <v>284</v>
      </c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4"/>
      <c r="Z189" s="184"/>
      <c r="AA189" s="184"/>
    </row>
    <row r="190" spans="1:27" ht="15.6">
      <c r="A190" s="182"/>
      <c r="B190" s="182"/>
      <c r="C190" s="182"/>
      <c r="D190" s="182"/>
      <c r="E190" s="182"/>
      <c r="F190" s="208" t="s">
        <v>1848</v>
      </c>
      <c r="G190" s="182" t="str">
        <f ca="1">IFERROR(__xludf.DUMMYFUNCTION("""COMPUTED_VALUE"""),"FORRO CONVENCIONAL CARVALHO EUROPEU GRIGIO NERO 15/3 X 125 X 1200MM")</f>
        <v>FORRO CONVENCIONAL CARVALHO EUROPEU GRIGIO NERO 15/3 X 125 X 1200MM</v>
      </c>
      <c r="H190" s="192" t="s">
        <v>284</v>
      </c>
      <c r="I190" s="182" t="str">
        <f t="shared" ca="1" si="1"/>
        <v/>
      </c>
      <c r="J190" s="193"/>
      <c r="K190" s="208" t="s">
        <v>1849</v>
      </c>
      <c r="L190" s="182" t="s">
        <v>285</v>
      </c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94"/>
      <c r="Z190" s="194"/>
      <c r="AA190" s="194"/>
    </row>
    <row r="191" spans="1:27" ht="15.6">
      <c r="A191" s="182"/>
      <c r="B191" s="182"/>
      <c r="C191" s="182"/>
      <c r="D191" s="182"/>
      <c r="E191" s="182"/>
      <c r="F191" s="208" t="s">
        <v>1849</v>
      </c>
      <c r="G191" s="182" t="str">
        <f ca="1">IFERROR(__xludf.DUMMYFUNCTION("""COMPUTED_VALUE"""),"FORRO CONVENCIONAL CARVALHO EUROPEU GRIGIO NERO 15/3 X 190 X 1900MM")</f>
        <v>FORRO CONVENCIONAL CARVALHO EUROPEU GRIGIO NERO 15/3 X 190 X 1900MM</v>
      </c>
      <c r="H191" s="192" t="s">
        <v>285</v>
      </c>
      <c r="I191" s="182" t="str">
        <f t="shared" ca="1" si="1"/>
        <v/>
      </c>
      <c r="J191" s="193"/>
      <c r="K191" s="208" t="s">
        <v>1850</v>
      </c>
      <c r="L191" s="182" t="s">
        <v>286</v>
      </c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4"/>
      <c r="Z191" s="184"/>
      <c r="AA191" s="184"/>
    </row>
    <row r="192" spans="1:27" ht="15.6">
      <c r="A192" s="182"/>
      <c r="B192" s="182"/>
      <c r="C192" s="182"/>
      <c r="D192" s="182"/>
      <c r="E192" s="182"/>
      <c r="F192" s="208" t="s">
        <v>1850</v>
      </c>
      <c r="G192" s="182" t="str">
        <f ca="1">IFERROR(__xludf.DUMMYFUNCTION("""COMPUTED_VALUE"""),"FORRO CONVENCIONAL CARVALHO EUROPEU GRIGIO NERO 20/6 X 300 X 4000MM")</f>
        <v>FORRO CONVENCIONAL CARVALHO EUROPEU GRIGIO NERO 20/6 X 300 X 4000MM</v>
      </c>
      <c r="H192" s="192" t="s">
        <v>286</v>
      </c>
      <c r="I192" s="182" t="str">
        <f t="shared" ca="1" si="1"/>
        <v/>
      </c>
      <c r="J192" s="193"/>
      <c r="K192" s="208" t="s">
        <v>1851</v>
      </c>
      <c r="L192" s="182" t="s">
        <v>287</v>
      </c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4"/>
      <c r="Z192" s="184"/>
      <c r="AA192" s="184"/>
    </row>
    <row r="193" spans="1:27" ht="15.6">
      <c r="A193" s="182"/>
      <c r="B193" s="182"/>
      <c r="C193" s="182"/>
      <c r="D193" s="182"/>
      <c r="E193" s="182"/>
      <c r="F193" s="208" t="s">
        <v>1851</v>
      </c>
      <c r="G193" s="182" t="str">
        <f ca="1">IFERROR(__xludf.DUMMYFUNCTION("""COMPUTED_VALUE"""),"FORRO CONVENCIONAL CARVALHO EUROPEU GRIGIO NERO 20/6 X 400 X 5000MM")</f>
        <v>FORRO CONVENCIONAL CARVALHO EUROPEU GRIGIO NERO 20/6 X 400 X 5000MM</v>
      </c>
      <c r="H193" s="192" t="s">
        <v>287</v>
      </c>
      <c r="I193" s="182" t="str">
        <f t="shared" ca="1" si="1"/>
        <v/>
      </c>
      <c r="J193" s="193"/>
      <c r="K193" s="208" t="s">
        <v>1852</v>
      </c>
      <c r="L193" s="182" t="s">
        <v>288</v>
      </c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4"/>
      <c r="Z193" s="184"/>
      <c r="AA193" s="184"/>
    </row>
    <row r="194" spans="1:27" ht="15.6">
      <c r="A194" s="182"/>
      <c r="B194" s="182"/>
      <c r="C194" s="182"/>
      <c r="D194" s="182"/>
      <c r="E194" s="182"/>
      <c r="F194" s="208" t="s">
        <v>1852</v>
      </c>
      <c r="G194" s="182" t="str">
        <f ca="1">IFERROR(__xludf.DUMMYFUNCTION("""COMPUTED_VALUE"""),"FORRO CONVENCIONAL CARVALHO EUROPEU LIGHT BROWN CHEVRON 15/3 X 1900X 740MM")</f>
        <v>FORRO CONVENCIONAL CARVALHO EUROPEU LIGHT BROWN CHEVRON 15/3 X 1900X 740MM</v>
      </c>
      <c r="H194" s="192" t="s">
        <v>288</v>
      </c>
      <c r="I194" s="182" t="str">
        <f t="shared" ca="1" si="1"/>
        <v/>
      </c>
      <c r="J194" s="193"/>
      <c r="K194" s="208" t="s">
        <v>1853</v>
      </c>
      <c r="L194" s="182" t="s">
        <v>289</v>
      </c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94"/>
      <c r="Z194" s="194"/>
      <c r="AA194" s="194"/>
    </row>
    <row r="195" spans="1:27" ht="15.6">
      <c r="A195" s="182"/>
      <c r="B195" s="182"/>
      <c r="C195" s="182"/>
      <c r="D195" s="182"/>
      <c r="E195" s="182"/>
      <c r="F195" s="208" t="s">
        <v>1853</v>
      </c>
      <c r="G195" s="182" t="str">
        <f ca="1">IFERROR(__xludf.DUMMYFUNCTION("""COMPUTED_VALUE"""),"FORRO CONVENCIONAL CARVALHO EUROPEU LIGHT BROWN 15/3 X 125 X 1200MM")</f>
        <v>FORRO CONVENCIONAL CARVALHO EUROPEU LIGHT BROWN 15/3 X 125 X 1200MM</v>
      </c>
      <c r="H195" s="192" t="s">
        <v>289</v>
      </c>
      <c r="I195" s="182" t="str">
        <f t="shared" ca="1" si="1"/>
        <v/>
      </c>
      <c r="J195" s="193"/>
      <c r="K195" s="208" t="s">
        <v>1854</v>
      </c>
      <c r="L195" s="182" t="s">
        <v>97</v>
      </c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4"/>
      <c r="Z195" s="184"/>
      <c r="AA195" s="184"/>
    </row>
    <row r="196" spans="1:27" ht="15.6">
      <c r="A196" s="182"/>
      <c r="B196" s="182"/>
      <c r="C196" s="182"/>
      <c r="D196" s="182"/>
      <c r="E196" s="182"/>
      <c r="F196" s="208" t="s">
        <v>1854</v>
      </c>
      <c r="G196" s="182" t="str">
        <f ca="1">IFERROR(__xludf.DUMMYFUNCTION("""COMPUTED_VALUE"""),"FORRO CONVENCIONAL CARVALHO EUROPEU LIGHT BROWN 15/3 X 190 X 1900MM")</f>
        <v>FORRO CONVENCIONAL CARVALHO EUROPEU LIGHT BROWN 15/3 X 190 X 1900MM</v>
      </c>
      <c r="H196" s="192" t="s">
        <v>97</v>
      </c>
      <c r="I196" s="182" t="str">
        <f t="array" ref="I196">IFERROR(INDEX($D$3:$D$2001,MATCH(TRUE,ISNUMBER(FIND($B$3:$B$2001,#REF!)),0)),"")</f>
        <v/>
      </c>
      <c r="J196" s="193"/>
      <c r="K196" s="208" t="s">
        <v>98</v>
      </c>
      <c r="L196" s="182" t="s">
        <v>99</v>
      </c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4"/>
      <c r="Z196" s="184"/>
      <c r="AA196" s="184"/>
    </row>
    <row r="197" spans="1:27" ht="15.6">
      <c r="A197" s="182"/>
      <c r="B197" s="182"/>
      <c r="C197" s="182"/>
      <c r="D197" s="182"/>
      <c r="E197" s="182"/>
      <c r="F197" s="208" t="s">
        <v>98</v>
      </c>
      <c r="G197" s="193" t="str">
        <f ca="1">IFERROR(__xludf.DUMMYFUNCTION("""COMPUTED_VALUE"""),"FORRO CONVENCIONAL CARVALHO EUROPEU LIGHT BROWN 20/6 X 300 X 4000MM")</f>
        <v>FORRO CONVENCIONAL CARVALHO EUROPEU LIGHT BROWN 20/6 X 300 X 4000MM</v>
      </c>
      <c r="H197" s="192" t="s">
        <v>99</v>
      </c>
      <c r="I197" s="182">
        <f t="array" aca="1" ref="I197" ca="1">IFERROR(INDEX($D$3:$D$2001,MATCH(TRUE,ISNUMBER(FIND($B$3:$B$2001,G196)),0)),"")</f>
        <v>229.82</v>
      </c>
      <c r="J197" s="193"/>
      <c r="K197" s="208" t="s">
        <v>98</v>
      </c>
      <c r="L197" s="182" t="s">
        <v>290</v>
      </c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4"/>
      <c r="Z197" s="184"/>
      <c r="AA197" s="184"/>
    </row>
    <row r="198" spans="1:27" ht="15.6">
      <c r="A198" s="182"/>
      <c r="B198" s="182"/>
      <c r="C198" s="182"/>
      <c r="D198" s="182"/>
      <c r="E198" s="182"/>
      <c r="F198" s="208"/>
      <c r="G198" s="182" t="str">
        <f ca="1">IFERROR(__xludf.DUMMYFUNCTION("""COMPUTED_VALUE"""),"FORRO CONVENCIONAL CARVALHO EUROPEU - LISTONE GIORDANO (HERITAGE 140 FILIGRANA - SIENNA 1179) TG 1,25 X 14,0 X 83,50CM --")</f>
        <v>FORRO CONVENCIONAL CARVALHO EUROPEU - LISTONE GIORDANO (HERITAGE 140 FILIGRANA - SIENNA 1179) TG 1,25 X 14,0 X 83,50CM --</v>
      </c>
      <c r="H198" s="192" t="s">
        <v>290</v>
      </c>
      <c r="I198" s="182" t="str">
        <f t="shared" ref="I198:I452" ca="1" si="2">IFERROR(INDEX($D$3:$D$2001,MATCH(TRUE,ISNUMBER(FIND($B$3:$B$2001,G198)),0)),"")</f>
        <v/>
      </c>
      <c r="J198" s="193"/>
      <c r="K198" s="208" t="s">
        <v>100</v>
      </c>
      <c r="L198" s="182" t="s">
        <v>291</v>
      </c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94"/>
      <c r="Z198" s="194"/>
      <c r="AA198" s="194"/>
    </row>
    <row r="199" spans="1:27" ht="15.6">
      <c r="A199" s="182"/>
      <c r="B199" s="182"/>
      <c r="C199" s="182"/>
      <c r="D199" s="182"/>
      <c r="E199" s="182"/>
      <c r="F199" s="208"/>
      <c r="G199" s="182" t="str">
        <f ca="1">IFERROR(__xludf.DUMMYFUNCTION("""COMPUTED_VALUE"""),"FORRO CONVENCIONAL ")</f>
        <v xml:space="preserve">FORRO CONVENCIONAL </v>
      </c>
      <c r="H199" s="192" t="s">
        <v>291</v>
      </c>
      <c r="I199" s="182" t="str">
        <f t="shared" ca="1" si="2"/>
        <v/>
      </c>
      <c r="J199" s="193"/>
      <c r="K199" s="208" t="s">
        <v>1855</v>
      </c>
      <c r="L199" s="182" t="s">
        <v>292</v>
      </c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4"/>
      <c r="Z199" s="184"/>
      <c r="AA199" s="184"/>
    </row>
    <row r="200" spans="1:27" ht="15.6">
      <c r="A200" s="182"/>
      <c r="B200" s="182"/>
      <c r="C200" s="182"/>
      <c r="D200" s="182"/>
      <c r="E200" s="182"/>
      <c r="F200" s="208" t="s">
        <v>1855</v>
      </c>
      <c r="G200" s="182" t="str">
        <f ca="1">IFERROR(__xludf.DUMMYFUNCTION("""COMPUTED_VALUE"""),"FORRO CONVENCIONAL CARVALHO EUROPEU MILANO CHEVRON 15/3 X 1900X 740MM")</f>
        <v>FORRO CONVENCIONAL CARVALHO EUROPEU MILANO CHEVRON 15/3 X 1900X 740MM</v>
      </c>
      <c r="H200" s="192" t="s">
        <v>292</v>
      </c>
      <c r="I200" s="182" t="str">
        <f t="shared" ca="1" si="2"/>
        <v/>
      </c>
      <c r="J200" s="193"/>
      <c r="K200" s="208" t="s">
        <v>1856</v>
      </c>
      <c r="L200" s="182" t="s">
        <v>293</v>
      </c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4"/>
      <c r="Z200" s="184"/>
      <c r="AA200" s="184"/>
    </row>
    <row r="201" spans="1:27" ht="15.6">
      <c r="A201" s="182"/>
      <c r="B201" s="182"/>
      <c r="C201" s="182"/>
      <c r="D201" s="182"/>
      <c r="E201" s="182"/>
      <c r="F201" s="208" t="s">
        <v>1856</v>
      </c>
      <c r="G201" s="182" t="str">
        <f ca="1">IFERROR(__xludf.DUMMYFUNCTION("""COMPUTED_VALUE"""),"FORRO CONVENCIONAL CARVALHO EUROPEU MILANO 15/3 X 125 X 1200MM")</f>
        <v>FORRO CONVENCIONAL CARVALHO EUROPEU MILANO 15/3 X 125 X 1200MM</v>
      </c>
      <c r="H201" s="192" t="s">
        <v>293</v>
      </c>
      <c r="I201" s="182" t="str">
        <f t="shared" ca="1" si="2"/>
        <v/>
      </c>
      <c r="J201" s="193"/>
      <c r="K201" s="208" t="s">
        <v>1857</v>
      </c>
      <c r="L201" s="182" t="s">
        <v>294</v>
      </c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4"/>
      <c r="Z201" s="184"/>
      <c r="AA201" s="184"/>
    </row>
    <row r="202" spans="1:27" ht="15.6">
      <c r="A202" s="182"/>
      <c r="B202" s="182"/>
      <c r="C202" s="182"/>
      <c r="D202" s="182"/>
      <c r="E202" s="182"/>
      <c r="F202" s="208" t="s">
        <v>1857</v>
      </c>
      <c r="G202" s="182" t="str">
        <f ca="1">IFERROR(__xludf.DUMMYFUNCTION("""COMPUTED_VALUE"""),"FORRO CONVENCIONAL CARVALHO EUROPEU MILANO 15/3 X 190 X 1900MM")</f>
        <v>FORRO CONVENCIONAL CARVALHO EUROPEU MILANO 15/3 X 190 X 1900MM</v>
      </c>
      <c r="H202" s="192" t="s">
        <v>294</v>
      </c>
      <c r="I202" s="182" t="str">
        <f t="shared" ca="1" si="2"/>
        <v/>
      </c>
      <c r="J202" s="193"/>
      <c r="K202" s="208" t="s">
        <v>1858</v>
      </c>
      <c r="L202" s="182" t="s">
        <v>295</v>
      </c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94"/>
      <c r="Z202" s="194"/>
      <c r="AA202" s="194"/>
    </row>
    <row r="203" spans="1:27" ht="15.6">
      <c r="A203" s="182"/>
      <c r="B203" s="182"/>
      <c r="C203" s="182"/>
      <c r="D203" s="182"/>
      <c r="E203" s="182"/>
      <c r="F203" s="208" t="s">
        <v>1858</v>
      </c>
      <c r="G203" s="182" t="str">
        <f ca="1">IFERROR(__xludf.DUMMYFUNCTION("""COMPUTED_VALUE"""),"FORRO CONVENCIONAL CARVALHO EUROPEU MILANO 20/6 X 300 X 4000MM")</f>
        <v>FORRO CONVENCIONAL CARVALHO EUROPEU MILANO 20/6 X 300 X 4000MM</v>
      </c>
      <c r="H203" s="192" t="s">
        <v>295</v>
      </c>
      <c r="I203" s="182" t="str">
        <f t="shared" ca="1" si="2"/>
        <v/>
      </c>
      <c r="J203" s="193"/>
      <c r="K203" s="208" t="s">
        <v>1859</v>
      </c>
      <c r="L203" s="182" t="s">
        <v>296</v>
      </c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4"/>
      <c r="Z203" s="184"/>
      <c r="AA203" s="184"/>
    </row>
    <row r="204" spans="1:27" ht="15.6">
      <c r="A204" s="182"/>
      <c r="B204" s="182"/>
      <c r="C204" s="182"/>
      <c r="D204" s="182"/>
      <c r="E204" s="182"/>
      <c r="F204" s="208" t="s">
        <v>1859</v>
      </c>
      <c r="G204" s="182" t="str">
        <f ca="1">IFERROR(__xludf.DUMMYFUNCTION("""COMPUTED_VALUE"""),"FORRO CONVENCIONAL CARVALHO EUROPEU MILANO 20/6 X 400 X 5000MM")</f>
        <v>FORRO CONVENCIONAL CARVALHO EUROPEU MILANO 20/6 X 400 X 5000MM</v>
      </c>
      <c r="H204" s="192" t="s">
        <v>296</v>
      </c>
      <c r="I204" s="182" t="str">
        <f t="shared" ca="1" si="2"/>
        <v/>
      </c>
      <c r="J204" s="193"/>
      <c r="K204" s="208" t="s">
        <v>1860</v>
      </c>
      <c r="L204" s="182" t="s">
        <v>297</v>
      </c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4"/>
      <c r="Z204" s="184"/>
      <c r="AA204" s="184"/>
    </row>
    <row r="205" spans="1:27" ht="15.6">
      <c r="A205" s="182"/>
      <c r="B205" s="182"/>
      <c r="C205" s="182"/>
      <c r="D205" s="182"/>
      <c r="E205" s="182"/>
      <c r="F205" s="208" t="s">
        <v>1860</v>
      </c>
      <c r="G205" s="182" t="str">
        <f ca="1">IFERROR(__xludf.DUMMYFUNCTION("""COMPUTED_VALUE"""),"FORRO CONVENCIONAL CARVALHO EUROPEU SMOKED CHEVRON 15/3 X 1900X 740MM")</f>
        <v>FORRO CONVENCIONAL CARVALHO EUROPEU SMOKED CHEVRON 15/3 X 1900X 740MM</v>
      </c>
      <c r="H205" s="192" t="s">
        <v>297</v>
      </c>
      <c r="I205" s="182" t="str">
        <f t="shared" ca="1" si="2"/>
        <v/>
      </c>
      <c r="J205" s="193"/>
      <c r="K205" s="208" t="s">
        <v>1861</v>
      </c>
      <c r="L205" s="182" t="s">
        <v>298</v>
      </c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4"/>
      <c r="Z205" s="184"/>
      <c r="AA205" s="184"/>
    </row>
    <row r="206" spans="1:27" ht="15.6">
      <c r="A206" s="182"/>
      <c r="B206" s="182"/>
      <c r="C206" s="182"/>
      <c r="D206" s="182"/>
      <c r="E206" s="182"/>
      <c r="F206" s="208" t="s">
        <v>1861</v>
      </c>
      <c r="G206" s="182" t="str">
        <f ca="1">IFERROR(__xludf.DUMMYFUNCTION("""COMPUTED_VALUE"""),"FORRO CONVENCIONAL CARVALHO EUROPEU SMOKED 15/3 X 125 X 1200MM")</f>
        <v>FORRO CONVENCIONAL CARVALHO EUROPEU SMOKED 15/3 X 125 X 1200MM</v>
      </c>
      <c r="H206" s="192" t="s">
        <v>298</v>
      </c>
      <c r="I206" s="182" t="str">
        <f t="shared" ca="1" si="2"/>
        <v/>
      </c>
      <c r="J206" s="193"/>
      <c r="K206" s="208" t="s">
        <v>1862</v>
      </c>
      <c r="L206" s="182" t="s">
        <v>299</v>
      </c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94"/>
      <c r="Z206" s="194"/>
      <c r="AA206" s="194"/>
    </row>
    <row r="207" spans="1:27" ht="15.6">
      <c r="A207" s="182"/>
      <c r="B207" s="182"/>
      <c r="C207" s="182"/>
      <c r="D207" s="182"/>
      <c r="E207" s="182"/>
      <c r="F207" s="208" t="s">
        <v>1862</v>
      </c>
      <c r="G207" s="182" t="str">
        <f ca="1">IFERROR(__xludf.DUMMYFUNCTION("""COMPUTED_VALUE"""),"FORRO CONVENCIONAL CARVALHO EUROPEU SMOKED 15/3 X 190 X 1900MM")</f>
        <v>FORRO CONVENCIONAL CARVALHO EUROPEU SMOKED 15/3 X 190 X 1900MM</v>
      </c>
      <c r="H207" s="192" t="s">
        <v>299</v>
      </c>
      <c r="I207" s="182" t="str">
        <f t="shared" ca="1" si="2"/>
        <v/>
      </c>
      <c r="J207" s="193"/>
      <c r="K207" s="208" t="s">
        <v>1863</v>
      </c>
      <c r="L207" s="182" t="s">
        <v>300</v>
      </c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4"/>
      <c r="Z207" s="184"/>
      <c r="AA207" s="184"/>
    </row>
    <row r="208" spans="1:27" ht="15.6">
      <c r="A208" s="182"/>
      <c r="B208" s="182"/>
      <c r="C208" s="182"/>
      <c r="D208" s="182"/>
      <c r="E208" s="182"/>
      <c r="F208" s="208" t="s">
        <v>1863</v>
      </c>
      <c r="G208" s="182" t="str">
        <f ca="1">IFERROR(__xludf.DUMMYFUNCTION("""COMPUTED_VALUE"""),"FORRO CONVENCIONAL CARVALHO EUROPEU SMOKED 20/6 X 300 X 4000MM")</f>
        <v>FORRO CONVENCIONAL CARVALHO EUROPEU SMOKED 20/6 X 300 X 4000MM</v>
      </c>
      <c r="H208" s="192" t="s">
        <v>300</v>
      </c>
      <c r="I208" s="182" t="str">
        <f t="shared" ca="1" si="2"/>
        <v/>
      </c>
      <c r="J208" s="193"/>
      <c r="K208" s="208" t="s">
        <v>1864</v>
      </c>
      <c r="L208" s="182" t="s">
        <v>301</v>
      </c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4"/>
      <c r="Z208" s="184"/>
      <c r="AA208" s="184"/>
    </row>
    <row r="209" spans="1:27" ht="15.6">
      <c r="A209" s="182"/>
      <c r="B209" s="182"/>
      <c r="C209" s="182"/>
      <c r="D209" s="182"/>
      <c r="E209" s="182"/>
      <c r="F209" s="208" t="s">
        <v>1864</v>
      </c>
      <c r="G209" s="182" t="str">
        <f ca="1">IFERROR(__xludf.DUMMYFUNCTION("""COMPUTED_VALUE"""),"FORRO CONVENCIONAL CARVALHO EUROPEU SMOKED 20/6 X 400 X 5000MM")</f>
        <v>FORRO CONVENCIONAL CARVALHO EUROPEU SMOKED 20/6 X 400 X 5000MM</v>
      </c>
      <c r="H209" s="192" t="s">
        <v>301</v>
      </c>
      <c r="I209" s="182" t="str">
        <f t="shared" ca="1" si="2"/>
        <v/>
      </c>
      <c r="J209" s="193"/>
      <c r="K209" s="208" t="s">
        <v>1865</v>
      </c>
      <c r="L209" s="182" t="s">
        <v>302</v>
      </c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4"/>
      <c r="Z209" s="184"/>
      <c r="AA209" s="184"/>
    </row>
    <row r="210" spans="1:27" ht="15.6">
      <c r="A210" s="182"/>
      <c r="B210" s="182"/>
      <c r="C210" s="182"/>
      <c r="D210" s="182"/>
      <c r="E210" s="182"/>
      <c r="F210" s="208" t="s">
        <v>1865</v>
      </c>
      <c r="G210" s="182" t="str">
        <f ca="1">IFERROR(__xludf.DUMMYFUNCTION("""COMPUTED_VALUE"""),"FORRO CONVENCIONAL CARVALHO EUROPEU GIZ CHEVRON 15/3 X 1900X 740MM")</f>
        <v>FORRO CONVENCIONAL CARVALHO EUROPEU GIZ CHEVRON 15/3 X 1900X 740MM</v>
      </c>
      <c r="H210" s="192" t="s">
        <v>302</v>
      </c>
      <c r="I210" s="182" t="str">
        <f t="shared" ca="1" si="2"/>
        <v/>
      </c>
      <c r="J210" s="193"/>
      <c r="K210" s="208" t="s">
        <v>1866</v>
      </c>
      <c r="L210" s="182" t="s">
        <v>303</v>
      </c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94"/>
      <c r="Z210" s="194"/>
      <c r="AA210" s="194"/>
    </row>
    <row r="211" spans="1:27" ht="15.6">
      <c r="A211" s="182"/>
      <c r="B211" s="182"/>
      <c r="C211" s="182"/>
      <c r="D211" s="182"/>
      <c r="E211" s="182"/>
      <c r="F211" s="208" t="s">
        <v>1866</v>
      </c>
      <c r="G211" s="182" t="str">
        <f ca="1">IFERROR(__xludf.DUMMYFUNCTION("""COMPUTED_VALUE"""),"FORRO CONVENCIONAL CARVALHO EUROPEU GIZ 15/3 X 125 X 1200MM")</f>
        <v>FORRO CONVENCIONAL CARVALHO EUROPEU GIZ 15/3 X 125 X 1200MM</v>
      </c>
      <c r="H211" s="192" t="s">
        <v>303</v>
      </c>
      <c r="I211" s="182" t="str">
        <f t="shared" ca="1" si="2"/>
        <v/>
      </c>
      <c r="J211" s="193"/>
      <c r="K211" s="208" t="s">
        <v>1867</v>
      </c>
      <c r="L211" s="182" t="s">
        <v>304</v>
      </c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4"/>
      <c r="Z211" s="184"/>
      <c r="AA211" s="184"/>
    </row>
    <row r="212" spans="1:27" ht="15.6">
      <c r="A212" s="182"/>
      <c r="B212" s="182"/>
      <c r="C212" s="182"/>
      <c r="D212" s="182"/>
      <c r="E212" s="182"/>
      <c r="F212" s="208" t="s">
        <v>1867</v>
      </c>
      <c r="G212" s="182" t="str">
        <f ca="1">IFERROR(__xludf.DUMMYFUNCTION("""COMPUTED_VALUE"""),"FORRO CONVENCIONAL CARVALHO EUROPEU GIZ 15/3 X 190 X 1900MM")</f>
        <v>FORRO CONVENCIONAL CARVALHO EUROPEU GIZ 15/3 X 190 X 1900MM</v>
      </c>
      <c r="H212" s="192" t="s">
        <v>304</v>
      </c>
      <c r="I212" s="182" t="str">
        <f t="shared" ca="1" si="2"/>
        <v/>
      </c>
      <c r="J212" s="193"/>
      <c r="K212" s="208" t="s">
        <v>1868</v>
      </c>
      <c r="L212" s="182" t="s">
        <v>305</v>
      </c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4"/>
      <c r="Z212" s="184"/>
      <c r="AA212" s="184"/>
    </row>
    <row r="213" spans="1:27" ht="15.6">
      <c r="A213" s="182"/>
      <c r="B213" s="182"/>
      <c r="C213" s="182"/>
      <c r="D213" s="182"/>
      <c r="E213" s="182"/>
      <c r="F213" s="208" t="s">
        <v>1868</v>
      </c>
      <c r="G213" s="182" t="str">
        <f ca="1">IFERROR(__xludf.DUMMYFUNCTION("""COMPUTED_VALUE"""),"FORRO CONVENCIONAL CARVALHO EUROPEU GIZ 20/6 X 300 X 4000MM")</f>
        <v>FORRO CONVENCIONAL CARVALHO EUROPEU GIZ 20/6 X 300 X 4000MM</v>
      </c>
      <c r="H213" s="192" t="s">
        <v>305</v>
      </c>
      <c r="I213" s="182" t="str">
        <f t="shared" ca="1" si="2"/>
        <v/>
      </c>
      <c r="J213" s="193"/>
      <c r="K213" s="208" t="s">
        <v>1869</v>
      </c>
      <c r="L213" s="182" t="s">
        <v>306</v>
      </c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4"/>
      <c r="Z213" s="184"/>
      <c r="AA213" s="184"/>
    </row>
    <row r="214" spans="1:27" ht="15.6">
      <c r="A214" s="182"/>
      <c r="B214" s="182"/>
      <c r="C214" s="182"/>
      <c r="D214" s="182"/>
      <c r="E214" s="182"/>
      <c r="F214" s="208" t="s">
        <v>1869</v>
      </c>
      <c r="G214" s="182" t="str">
        <f ca="1">IFERROR(__xludf.DUMMYFUNCTION("""COMPUTED_VALUE"""),"FORRO CONVENCIONAL CARVALHO EUROPEU GIZ 20/6 X 400 X 5000MM")</f>
        <v>FORRO CONVENCIONAL CARVALHO EUROPEU GIZ 20/6 X 400 X 5000MM</v>
      </c>
      <c r="H214" s="192" t="s">
        <v>306</v>
      </c>
      <c r="I214" s="182" t="str">
        <f t="shared" ca="1" si="2"/>
        <v/>
      </c>
      <c r="J214" s="193"/>
      <c r="K214" s="208" t="s">
        <v>1870</v>
      </c>
      <c r="L214" s="182" t="s">
        <v>307</v>
      </c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94"/>
      <c r="Z214" s="194"/>
      <c r="AA214" s="194"/>
    </row>
    <row r="215" spans="1:27" ht="15.6">
      <c r="A215" s="182"/>
      <c r="B215" s="182"/>
      <c r="C215" s="182"/>
      <c r="D215" s="182"/>
      <c r="E215" s="182"/>
      <c r="F215" s="208" t="s">
        <v>1870</v>
      </c>
      <c r="G215" s="182" t="str">
        <f ca="1">IFERROR(__xludf.DUMMYFUNCTION("""COMPUTED_VALUE"""),"FORRO CONVENCIONAL CARVALHO EUROPEU SNOW CHEVRON 15/3 X 1900X 740MM")</f>
        <v>FORRO CONVENCIONAL CARVALHO EUROPEU SNOW CHEVRON 15/3 X 1900X 740MM</v>
      </c>
      <c r="H215" s="192" t="s">
        <v>307</v>
      </c>
      <c r="I215" s="182" t="str">
        <f t="shared" ca="1" si="2"/>
        <v/>
      </c>
      <c r="J215" s="193"/>
      <c r="K215" s="208" t="s">
        <v>1871</v>
      </c>
      <c r="L215" s="182" t="s">
        <v>308</v>
      </c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4"/>
      <c r="Z215" s="184"/>
      <c r="AA215" s="184"/>
    </row>
    <row r="216" spans="1:27" ht="15.6">
      <c r="A216" s="182"/>
      <c r="B216" s="182"/>
      <c r="C216" s="182"/>
      <c r="D216" s="182"/>
      <c r="E216" s="182"/>
      <c r="F216" s="208" t="s">
        <v>1871</v>
      </c>
      <c r="G216" s="182" t="str">
        <f ca="1">IFERROR(__xludf.DUMMYFUNCTION("""COMPUTED_VALUE"""),"FORRO CONVENCIONAL CARVALHO EUROPEU SNOW 15/3 X 125 X 1200MM")</f>
        <v>FORRO CONVENCIONAL CARVALHO EUROPEU SNOW 15/3 X 125 X 1200MM</v>
      </c>
      <c r="H216" s="192" t="s">
        <v>308</v>
      </c>
      <c r="I216" s="182" t="str">
        <f t="shared" ca="1" si="2"/>
        <v/>
      </c>
      <c r="J216" s="193"/>
      <c r="K216" s="208" t="s">
        <v>101</v>
      </c>
      <c r="L216" s="182" t="s">
        <v>102</v>
      </c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4"/>
      <c r="Z216" s="184"/>
      <c r="AA216" s="184"/>
    </row>
    <row r="217" spans="1:27" ht="15.6">
      <c r="A217" s="182"/>
      <c r="B217" s="182"/>
      <c r="C217" s="182"/>
      <c r="D217" s="182"/>
      <c r="E217" s="182"/>
      <c r="F217" s="208" t="s">
        <v>101</v>
      </c>
      <c r="G217" s="182" t="str">
        <f ca="1">IFERROR(__xludf.DUMMYFUNCTION("""COMPUTED_VALUE"""),"FORRO CONVENCIONAL CARVALHO EUROPEU SNOW 15/3 X 190 X 1900MM")</f>
        <v>FORRO CONVENCIONAL CARVALHO EUROPEU SNOW 15/3 X 190 X 1900MM</v>
      </c>
      <c r="H217" s="192" t="s">
        <v>102</v>
      </c>
      <c r="I217" s="182" t="str">
        <f t="shared" ca="1" si="2"/>
        <v/>
      </c>
      <c r="J217" s="193"/>
      <c r="K217" s="208" t="s">
        <v>1872</v>
      </c>
      <c r="L217" s="182" t="s">
        <v>309</v>
      </c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4"/>
      <c r="Z217" s="184"/>
      <c r="AA217" s="184"/>
    </row>
    <row r="218" spans="1:27" ht="15.6">
      <c r="A218" s="182"/>
      <c r="B218" s="182"/>
      <c r="C218" s="182"/>
      <c r="D218" s="182"/>
      <c r="E218" s="182"/>
      <c r="F218" s="208" t="s">
        <v>1873</v>
      </c>
      <c r="G218" s="182" t="str">
        <f ca="1">IFERROR(__xludf.DUMMYFUNCTION("""COMPUTED_VALUE"""),"FORRO CONVENCIONAL CARVALHO EUROPEU SNOW 20/6 X 300 X 4000MM")</f>
        <v>FORRO CONVENCIONAL CARVALHO EUROPEU SNOW 20/6 X 300 X 4000MM</v>
      </c>
      <c r="H218" s="192" t="s">
        <v>309</v>
      </c>
      <c r="I218" s="182" t="str">
        <f t="shared" ca="1" si="2"/>
        <v/>
      </c>
      <c r="J218" s="193"/>
      <c r="K218" s="208" t="s">
        <v>1874</v>
      </c>
      <c r="L218" s="182" t="s">
        <v>310</v>
      </c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94"/>
      <c r="Z218" s="194"/>
      <c r="AA218" s="194"/>
    </row>
    <row r="219" spans="1:27" ht="15.6">
      <c r="A219" s="182"/>
      <c r="B219" s="182"/>
      <c r="C219" s="182"/>
      <c r="D219" s="182"/>
      <c r="E219" s="182"/>
      <c r="F219" s="208"/>
      <c r="G219" s="182" t="str">
        <f ca="1">IFERROR(__xludf.DUMMYFUNCTION("""COMPUTED_VALUE"""),"FORRO CONVENCIONAL CARVALHO EUROPEU SNOW 20/6 X 400 X 5000MM")</f>
        <v>FORRO CONVENCIONAL CARVALHO EUROPEU SNOW 20/6 X 400 X 5000MM</v>
      </c>
      <c r="H219" s="192" t="s">
        <v>310</v>
      </c>
      <c r="I219" s="182" t="str">
        <f t="shared" ca="1" si="2"/>
        <v/>
      </c>
      <c r="J219" s="193"/>
      <c r="K219" s="208" t="s">
        <v>1875</v>
      </c>
      <c r="L219" s="182" t="s">
        <v>311</v>
      </c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4"/>
      <c r="Z219" s="184"/>
      <c r="AA219" s="184"/>
    </row>
    <row r="220" spans="1:27" ht="15.6">
      <c r="A220" s="182"/>
      <c r="B220" s="182"/>
      <c r="C220" s="182"/>
      <c r="D220" s="182"/>
      <c r="E220" s="182"/>
      <c r="F220" s="208"/>
      <c r="G220" s="182" t="str">
        <f ca="1">IFERROR(__xludf.DUMMYFUNCTION("""COMPUTED_VALUE"""),"FORRO CONVENCIONAL CARVALHO EUROPEU WILD CHEVRON 15/3 X 1900X 740MM")</f>
        <v>FORRO CONVENCIONAL CARVALHO EUROPEU WILD CHEVRON 15/3 X 1900X 740MM</v>
      </c>
      <c r="H220" s="192" t="s">
        <v>311</v>
      </c>
      <c r="I220" s="182" t="str">
        <f t="shared" ca="1" si="2"/>
        <v/>
      </c>
      <c r="J220" s="193"/>
      <c r="K220" s="208" t="s">
        <v>1876</v>
      </c>
      <c r="L220" s="182" t="s">
        <v>312</v>
      </c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4"/>
      <c r="Z220" s="184"/>
      <c r="AA220" s="184"/>
    </row>
    <row r="221" spans="1:27" ht="15.6">
      <c r="A221" s="182"/>
      <c r="B221" s="182"/>
      <c r="C221" s="182"/>
      <c r="D221" s="182"/>
      <c r="E221" s="182"/>
      <c r="F221" s="208"/>
      <c r="G221" s="182" t="str">
        <f ca="1">IFERROR(__xludf.DUMMYFUNCTION("""COMPUTED_VALUE"""),"FORRO CONVENCIONAL CARVALHO EUROPEU WILD 15/3 X 125 X 1200MM")</f>
        <v>FORRO CONVENCIONAL CARVALHO EUROPEU WILD 15/3 X 125 X 1200MM</v>
      </c>
      <c r="H221" s="192" t="s">
        <v>312</v>
      </c>
      <c r="I221" s="182" t="str">
        <f t="shared" ca="1" si="2"/>
        <v/>
      </c>
      <c r="J221" s="193"/>
      <c r="K221" s="208" t="s">
        <v>1877</v>
      </c>
      <c r="L221" s="182" t="s">
        <v>313</v>
      </c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4"/>
      <c r="Z221" s="184"/>
      <c r="AA221" s="184"/>
    </row>
    <row r="222" spans="1:27" ht="15.6">
      <c r="A222" s="182"/>
      <c r="B222" s="182"/>
      <c r="C222" s="182"/>
      <c r="D222" s="182"/>
      <c r="E222" s="182"/>
      <c r="F222" s="208"/>
      <c r="G222" s="182" t="str">
        <f ca="1">IFERROR(__xludf.DUMMYFUNCTION("""COMPUTED_VALUE"""),"FORRO CONVENCIONAL CARVALHO EUROPEU WILD 15/3 X 190 X 1900MM")</f>
        <v>FORRO CONVENCIONAL CARVALHO EUROPEU WILD 15/3 X 190 X 1900MM</v>
      </c>
      <c r="H222" s="192" t="s">
        <v>313</v>
      </c>
      <c r="I222" s="182" t="str">
        <f t="shared" ca="1" si="2"/>
        <v/>
      </c>
      <c r="J222" s="193"/>
      <c r="K222" s="208" t="s">
        <v>1878</v>
      </c>
      <c r="L222" s="182" t="s">
        <v>314</v>
      </c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94"/>
      <c r="Z222" s="194"/>
      <c r="AA222" s="194"/>
    </row>
    <row r="223" spans="1:27" ht="15.6">
      <c r="A223" s="182"/>
      <c r="B223" s="182"/>
      <c r="C223" s="182"/>
      <c r="D223" s="182"/>
      <c r="E223" s="182"/>
      <c r="F223" s="208"/>
      <c r="G223" s="182" t="str">
        <f ca="1">IFERROR(__xludf.DUMMYFUNCTION("""COMPUTED_VALUE"""),"FORRO CONVENCIONAL CARVALHO EUROPEU WILD 20/6 X 300 X 4000MM")</f>
        <v>FORRO CONVENCIONAL CARVALHO EUROPEU WILD 20/6 X 300 X 4000MM</v>
      </c>
      <c r="H223" s="192" t="s">
        <v>314</v>
      </c>
      <c r="I223" s="182" t="str">
        <f t="shared" ca="1" si="2"/>
        <v/>
      </c>
      <c r="J223" s="193"/>
      <c r="K223" s="208" t="s">
        <v>1879</v>
      </c>
      <c r="L223" s="182" t="s">
        <v>315</v>
      </c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4"/>
      <c r="Z223" s="184"/>
      <c r="AA223" s="184"/>
    </row>
    <row r="224" spans="1:27" ht="15.6">
      <c r="A224" s="182"/>
      <c r="B224" s="182"/>
      <c r="C224" s="182"/>
      <c r="D224" s="182"/>
      <c r="E224" s="182"/>
      <c r="F224" s="208"/>
      <c r="G224" s="182" t="str">
        <f ca="1">IFERROR(__xludf.DUMMYFUNCTION("""COMPUTED_VALUE"""),"FORRO CONVENCIONAL CARVALHO EUROPEU WILD 20/6 X 400 X 5000MM")</f>
        <v>FORRO CONVENCIONAL CARVALHO EUROPEU WILD 20/6 X 400 X 5000MM</v>
      </c>
      <c r="H224" s="192" t="s">
        <v>315</v>
      </c>
      <c r="I224" s="182" t="str">
        <f t="shared" ca="1" si="2"/>
        <v/>
      </c>
      <c r="J224" s="193"/>
      <c r="K224" s="208" t="s">
        <v>1880</v>
      </c>
      <c r="L224" s="182" t="s">
        <v>316</v>
      </c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4"/>
      <c r="Z224" s="184"/>
      <c r="AA224" s="184"/>
    </row>
    <row r="225" spans="1:27" ht="15.6">
      <c r="A225" s="182"/>
      <c r="B225" s="182"/>
      <c r="C225" s="182"/>
      <c r="D225" s="182"/>
      <c r="E225" s="182"/>
      <c r="F225" s="208"/>
      <c r="G225" s="182" t="str">
        <f ca="1">IFERROR(__xludf.DUMMYFUNCTION("""COMPUTED_VALUE"""),"FORRO CONVENCIONAL CARVALHO EUROPEU NEVADO CHEVRON 15/3 X 1900X 740MM")</f>
        <v>FORRO CONVENCIONAL CARVALHO EUROPEU NEVADO CHEVRON 15/3 X 1900X 740MM</v>
      </c>
      <c r="H225" s="192" t="s">
        <v>316</v>
      </c>
      <c r="I225" s="182" t="str">
        <f t="shared" ca="1" si="2"/>
        <v/>
      </c>
      <c r="J225" s="193"/>
      <c r="K225" s="208" t="s">
        <v>1881</v>
      </c>
      <c r="L225" s="182" t="s">
        <v>317</v>
      </c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4"/>
      <c r="Z225" s="184"/>
      <c r="AA225" s="184"/>
    </row>
    <row r="226" spans="1:27" ht="15.6">
      <c r="A226" s="182"/>
      <c r="B226" s="182"/>
      <c r="C226" s="182"/>
      <c r="D226" s="182"/>
      <c r="E226" s="182"/>
      <c r="F226" s="208"/>
      <c r="G226" s="182" t="str">
        <f ca="1">IFERROR(__xludf.DUMMYFUNCTION("""COMPUTED_VALUE"""),"FORRO CONVENCIONAL CARVALHO EUROPEU NEVADO 15/3 X 125 X 1200MM")</f>
        <v>FORRO CONVENCIONAL CARVALHO EUROPEU NEVADO 15/3 X 125 X 1200MM</v>
      </c>
      <c r="H226" s="192" t="s">
        <v>317</v>
      </c>
      <c r="I226" s="182" t="str">
        <f t="shared" ca="1" si="2"/>
        <v/>
      </c>
      <c r="J226" s="193"/>
      <c r="K226" s="208" t="s">
        <v>1882</v>
      </c>
      <c r="L226" s="182" t="s">
        <v>318</v>
      </c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94"/>
      <c r="Z226" s="194"/>
      <c r="AA226" s="194"/>
    </row>
    <row r="227" spans="1:27" ht="15.6">
      <c r="A227" s="182"/>
      <c r="B227" s="182"/>
      <c r="C227" s="182"/>
      <c r="D227" s="182"/>
      <c r="E227" s="182"/>
      <c r="F227" s="208"/>
      <c r="G227" s="182" t="str">
        <f ca="1">IFERROR(__xludf.DUMMYFUNCTION("""COMPUTED_VALUE"""),"FORRO CONVENCIONAL CARVALHO EUROPEU NEVADO 15/3 X 190 X 1900MM")</f>
        <v>FORRO CONVENCIONAL CARVALHO EUROPEU NEVADO 15/3 X 190 X 1900MM</v>
      </c>
      <c r="H227" s="192" t="s">
        <v>318</v>
      </c>
      <c r="I227" s="182" t="str">
        <f t="shared" ca="1" si="2"/>
        <v/>
      </c>
      <c r="J227" s="193"/>
      <c r="K227" s="208" t="s">
        <v>1883</v>
      </c>
      <c r="L227" s="182" t="s">
        <v>319</v>
      </c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4"/>
      <c r="Z227" s="184"/>
      <c r="AA227" s="184"/>
    </row>
    <row r="228" spans="1:27" ht="15.6">
      <c r="A228" s="182"/>
      <c r="B228" s="182"/>
      <c r="C228" s="182"/>
      <c r="D228" s="182"/>
      <c r="E228" s="182"/>
      <c r="F228" s="208"/>
      <c r="G228" s="182" t="str">
        <f ca="1">IFERROR(__xludf.DUMMYFUNCTION("""COMPUTED_VALUE"""),"FORRO CONVENCIONAL CARVALHO EUROPEU NEVADO 20/6 X 300 X 4000MM")</f>
        <v>FORRO CONVENCIONAL CARVALHO EUROPEU NEVADO 20/6 X 300 X 4000MM</v>
      </c>
      <c r="H228" s="192" t="s">
        <v>319</v>
      </c>
      <c r="I228" s="182" t="str">
        <f t="shared" ca="1" si="2"/>
        <v/>
      </c>
      <c r="J228" s="193"/>
      <c r="K228" s="208" t="s">
        <v>1884</v>
      </c>
      <c r="L228" s="182" t="s">
        <v>320</v>
      </c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4"/>
      <c r="Z228" s="184"/>
      <c r="AA228" s="184"/>
    </row>
    <row r="229" spans="1:27" ht="15.6">
      <c r="A229" s="182"/>
      <c r="B229" s="182"/>
      <c r="C229" s="182"/>
      <c r="D229" s="182"/>
      <c r="E229" s="182"/>
      <c r="F229" s="208"/>
      <c r="G229" s="182" t="str">
        <f ca="1">IFERROR(__xludf.DUMMYFUNCTION("""COMPUTED_VALUE"""),"FORRO CONVENCIONAL CARVALHO EUROPEU NEVADO 20/6 X 400 X 5000MM")</f>
        <v>FORRO CONVENCIONAL CARVALHO EUROPEU NEVADO 20/6 X 400 X 5000MM</v>
      </c>
      <c r="H229" s="192" t="s">
        <v>320</v>
      </c>
      <c r="I229" s="182" t="str">
        <f t="shared" ca="1" si="2"/>
        <v/>
      </c>
      <c r="J229" s="193"/>
      <c r="K229" s="208" t="s">
        <v>1885</v>
      </c>
      <c r="L229" s="182" t="s">
        <v>321</v>
      </c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4"/>
      <c r="Z229" s="184"/>
      <c r="AA229" s="184"/>
    </row>
    <row r="230" spans="1:27" ht="15.6">
      <c r="A230" s="182"/>
      <c r="B230" s="182"/>
      <c r="C230" s="182"/>
      <c r="D230" s="182"/>
      <c r="E230" s="182"/>
      <c r="F230" s="208"/>
      <c r="G230" s="182" t="str">
        <f ca="1">IFERROR(__xludf.DUMMYFUNCTION("""COMPUTED_VALUE"""),"FORRO CONVENCIONAL CARVALHO EUROPEU CONCRETE GREY CHEVRON 15/3 X 1900X 740MM")</f>
        <v>FORRO CONVENCIONAL CARVALHO EUROPEU CONCRETE GREY CHEVRON 15/3 X 1900X 740MM</v>
      </c>
      <c r="H230" s="192" t="s">
        <v>321</v>
      </c>
      <c r="I230" s="182" t="str">
        <f t="shared" ca="1" si="2"/>
        <v/>
      </c>
      <c r="J230" s="193"/>
      <c r="K230" s="208" t="s">
        <v>1886</v>
      </c>
      <c r="L230" s="182" t="s">
        <v>322</v>
      </c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94"/>
      <c r="Z230" s="194"/>
      <c r="AA230" s="194"/>
    </row>
    <row r="231" spans="1:27" ht="15.6">
      <c r="A231" s="182"/>
      <c r="B231" s="182"/>
      <c r="C231" s="182"/>
      <c r="D231" s="182"/>
      <c r="E231" s="182"/>
      <c r="F231" s="208"/>
      <c r="G231" s="182" t="str">
        <f ca="1">IFERROR(__xludf.DUMMYFUNCTION("""COMPUTED_VALUE"""),"FORRO CONVENCIONAL CARVALHO EUROPEU CONCRETE GREY 15/3 X 125 X 1200MM")</f>
        <v>FORRO CONVENCIONAL CARVALHO EUROPEU CONCRETE GREY 15/3 X 125 X 1200MM</v>
      </c>
      <c r="H231" s="192" t="s">
        <v>322</v>
      </c>
      <c r="I231" s="182" t="str">
        <f t="shared" ca="1" si="2"/>
        <v/>
      </c>
      <c r="J231" s="193"/>
      <c r="K231" s="208" t="s">
        <v>1887</v>
      </c>
      <c r="L231" s="182" t="s">
        <v>323</v>
      </c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4"/>
      <c r="Z231" s="184"/>
      <c r="AA231" s="184"/>
    </row>
    <row r="232" spans="1:27" ht="15.6">
      <c r="A232" s="182"/>
      <c r="B232" s="182"/>
      <c r="C232" s="182"/>
      <c r="D232" s="182"/>
      <c r="E232" s="182"/>
      <c r="F232" s="208"/>
      <c r="G232" s="182" t="str">
        <f ca="1">IFERROR(__xludf.DUMMYFUNCTION("""COMPUTED_VALUE"""),"FORRO CONVENCIONAL CARVALHO EUROPEU CONCRETE GREY 15/3 X 190 X 1900MM")</f>
        <v>FORRO CONVENCIONAL CARVALHO EUROPEU CONCRETE GREY 15/3 X 190 X 1900MM</v>
      </c>
      <c r="H232" s="192" t="s">
        <v>323</v>
      </c>
      <c r="I232" s="182" t="str">
        <f t="shared" ca="1" si="2"/>
        <v/>
      </c>
      <c r="J232" s="193"/>
      <c r="K232" s="208" t="s">
        <v>1888</v>
      </c>
      <c r="L232" s="182" t="s">
        <v>324</v>
      </c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4"/>
      <c r="Z232" s="184"/>
      <c r="AA232" s="184"/>
    </row>
    <row r="233" spans="1:27" ht="15.6">
      <c r="A233" s="182"/>
      <c r="B233" s="182"/>
      <c r="C233" s="182"/>
      <c r="D233" s="182"/>
      <c r="E233" s="182"/>
      <c r="F233" s="208"/>
      <c r="G233" s="182" t="str">
        <f ca="1">IFERROR(__xludf.DUMMYFUNCTION("""COMPUTED_VALUE"""),"FORRO CONVENCIONAL CARVALHO EUROPEU CONCRETE GREY 20/6 X 300 X 4000MM")</f>
        <v>FORRO CONVENCIONAL CARVALHO EUROPEU CONCRETE GREY 20/6 X 300 X 4000MM</v>
      </c>
      <c r="H233" s="192" t="s">
        <v>324</v>
      </c>
      <c r="I233" s="182" t="str">
        <f t="shared" ca="1" si="2"/>
        <v/>
      </c>
      <c r="J233" s="193"/>
      <c r="K233" s="208" t="s">
        <v>1889</v>
      </c>
      <c r="L233" s="182" t="s">
        <v>325</v>
      </c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4"/>
      <c r="Z233" s="184"/>
      <c r="AA233" s="184"/>
    </row>
    <row r="234" spans="1:27" ht="15.6">
      <c r="A234" s="182"/>
      <c r="B234" s="182"/>
      <c r="C234" s="182"/>
      <c r="D234" s="182"/>
      <c r="E234" s="182"/>
      <c r="F234" s="208"/>
      <c r="G234" s="182" t="str">
        <f ca="1">IFERROR(__xludf.DUMMYFUNCTION("""COMPUTED_VALUE"""),"FORRO CONVENCIONAL CARVALHO EUROPEU CONCRETE GREY 20/6 X 400 X 5000MM")</f>
        <v>FORRO CONVENCIONAL CARVALHO EUROPEU CONCRETE GREY 20/6 X 400 X 5000MM</v>
      </c>
      <c r="H234" s="192" t="s">
        <v>325</v>
      </c>
      <c r="I234" s="182" t="str">
        <f t="shared" ca="1" si="2"/>
        <v/>
      </c>
      <c r="J234" s="193"/>
      <c r="K234" s="208" t="s">
        <v>1890</v>
      </c>
      <c r="L234" s="182" t="s">
        <v>326</v>
      </c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94"/>
      <c r="Z234" s="194"/>
      <c r="AA234" s="194"/>
    </row>
    <row r="235" spans="1:27" ht="15.6">
      <c r="A235" s="182"/>
      <c r="B235" s="182"/>
      <c r="C235" s="182"/>
      <c r="D235" s="182"/>
      <c r="E235" s="182"/>
      <c r="F235" s="208"/>
      <c r="G235" s="182" t="str">
        <f ca="1">IFERROR(__xludf.DUMMYFUNCTION("""COMPUTED_VALUE"""),"FORRO CONVENCIONAL CARVALHO EUROPEU ITALY BROWN CHEVRON 15/3 X 1900X 740MM")</f>
        <v>FORRO CONVENCIONAL CARVALHO EUROPEU ITALY BROWN CHEVRON 15/3 X 1900X 740MM</v>
      </c>
      <c r="H235" s="192" t="s">
        <v>326</v>
      </c>
      <c r="I235" s="182" t="str">
        <f t="shared" ca="1" si="2"/>
        <v/>
      </c>
      <c r="J235" s="193"/>
      <c r="K235" s="208" t="s">
        <v>1891</v>
      </c>
      <c r="L235" s="182" t="s">
        <v>327</v>
      </c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4"/>
      <c r="Z235" s="184"/>
      <c r="AA235" s="184"/>
    </row>
    <row r="236" spans="1:27" ht="15.6">
      <c r="A236" s="182"/>
      <c r="B236" s="182"/>
      <c r="C236" s="182"/>
      <c r="D236" s="182"/>
      <c r="E236" s="182"/>
      <c r="F236" s="208"/>
      <c r="G236" s="182" t="str">
        <f ca="1">IFERROR(__xludf.DUMMYFUNCTION("""COMPUTED_VALUE"""),"FORRO CONVENCIONAL CARVALHO EUROPEU ITALY BROWN 15/3 X 125 X 1200MM")</f>
        <v>FORRO CONVENCIONAL CARVALHO EUROPEU ITALY BROWN 15/3 X 125 X 1200MM</v>
      </c>
      <c r="H236" s="192" t="s">
        <v>327</v>
      </c>
      <c r="I236" s="182" t="str">
        <f t="shared" ca="1" si="2"/>
        <v/>
      </c>
      <c r="J236" s="193"/>
      <c r="K236" s="208" t="s">
        <v>1892</v>
      </c>
      <c r="L236" s="182" t="s">
        <v>328</v>
      </c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4"/>
      <c r="Z236" s="184"/>
      <c r="AA236" s="184"/>
    </row>
    <row r="237" spans="1:27" ht="15.6">
      <c r="A237" s="182"/>
      <c r="B237" s="182"/>
      <c r="C237" s="182"/>
      <c r="D237" s="182"/>
      <c r="E237" s="182"/>
      <c r="F237" s="208"/>
      <c r="G237" s="182" t="str">
        <f ca="1">IFERROR(__xludf.DUMMYFUNCTION("""COMPUTED_VALUE"""),"FORRO CONVENCIONAL CARVALHO EUROPEU ITALY BROWN 15/3 X 190 X 1900MM")</f>
        <v>FORRO CONVENCIONAL CARVALHO EUROPEU ITALY BROWN 15/3 X 190 X 1900MM</v>
      </c>
      <c r="H237" s="192" t="s">
        <v>328</v>
      </c>
      <c r="I237" s="182" t="str">
        <f t="shared" ca="1" si="2"/>
        <v/>
      </c>
      <c r="J237" s="193"/>
      <c r="K237" s="208" t="s">
        <v>1893</v>
      </c>
      <c r="L237" s="182" t="s">
        <v>329</v>
      </c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4"/>
      <c r="Z237" s="184"/>
      <c r="AA237" s="184"/>
    </row>
    <row r="238" spans="1:27" ht="15.6">
      <c r="A238" s="182"/>
      <c r="B238" s="182"/>
      <c r="C238" s="182"/>
      <c r="D238" s="182"/>
      <c r="E238" s="182"/>
      <c r="F238" s="208"/>
      <c r="G238" s="182" t="str">
        <f ca="1">IFERROR(__xludf.DUMMYFUNCTION("""COMPUTED_VALUE"""),"FORRO CONVENCIONAL CARVALHO EUROPEU ITALY BROWN 20/6 X 300 X 4000MM")</f>
        <v>FORRO CONVENCIONAL CARVALHO EUROPEU ITALY BROWN 20/6 X 300 X 4000MM</v>
      </c>
      <c r="H238" s="192" t="s">
        <v>329</v>
      </c>
      <c r="I238" s="182" t="str">
        <f t="shared" ca="1" si="2"/>
        <v/>
      </c>
      <c r="J238" s="193"/>
      <c r="K238" s="208" t="s">
        <v>1894</v>
      </c>
      <c r="L238" s="182" t="s">
        <v>330</v>
      </c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94"/>
      <c r="Z238" s="194"/>
      <c r="AA238" s="194"/>
    </row>
    <row r="239" spans="1:27" ht="15.6">
      <c r="A239" s="182"/>
      <c r="B239" s="182"/>
      <c r="C239" s="182"/>
      <c r="D239" s="182"/>
      <c r="E239" s="182"/>
      <c r="F239" s="208"/>
      <c r="G239" s="182" t="str">
        <f ca="1">IFERROR(__xludf.DUMMYFUNCTION("""COMPUTED_VALUE"""),"FORRO CONVENCIONAL CARVALHO EUROPEU ITALY BROWN 20/6 X 400 X 5000MM")</f>
        <v>FORRO CONVENCIONAL CARVALHO EUROPEU ITALY BROWN 20/6 X 400 X 5000MM</v>
      </c>
      <c r="H239" s="192" t="s">
        <v>330</v>
      </c>
      <c r="I239" s="182" t="str">
        <f t="shared" ca="1" si="2"/>
        <v/>
      </c>
      <c r="J239" s="193"/>
      <c r="K239" s="208" t="s">
        <v>1895</v>
      </c>
      <c r="L239" s="182" t="s">
        <v>331</v>
      </c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4"/>
      <c r="Z239" s="184"/>
      <c r="AA239" s="184"/>
    </row>
    <row r="240" spans="1:27" ht="15.6">
      <c r="A240" s="182"/>
      <c r="B240" s="182"/>
      <c r="C240" s="182"/>
      <c r="D240" s="182"/>
      <c r="E240" s="182"/>
      <c r="F240" s="208"/>
      <c r="G240" s="182" t="str">
        <f ca="1">IFERROR(__xludf.DUMMYFUNCTION("""COMPUTED_VALUE"""),"FORRO CONVENCIONAL CARVALHO EUROPEU ALL BLACK CHEVRON 15/3 X 1900X 740MM")</f>
        <v>FORRO CONVENCIONAL CARVALHO EUROPEU ALL BLACK CHEVRON 15/3 X 1900X 740MM</v>
      </c>
      <c r="H240" s="192" t="s">
        <v>331</v>
      </c>
      <c r="I240" s="182" t="str">
        <f t="shared" ca="1" si="2"/>
        <v/>
      </c>
      <c r="J240" s="193"/>
      <c r="K240" s="208" t="s">
        <v>1896</v>
      </c>
      <c r="L240" s="182" t="s">
        <v>332</v>
      </c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4"/>
      <c r="Z240" s="184"/>
      <c r="AA240" s="184"/>
    </row>
    <row r="241" spans="1:27" ht="15.6">
      <c r="A241" s="182"/>
      <c r="B241" s="182"/>
      <c r="C241" s="182"/>
      <c r="D241" s="182"/>
      <c r="E241" s="182"/>
      <c r="F241" s="208"/>
      <c r="G241" s="182" t="str">
        <f ca="1">IFERROR(__xludf.DUMMYFUNCTION("""COMPUTED_VALUE"""),"FORRO CONVENCIONAL CARVALHO EUROPEU ALL BLACK 15/3 X 125 X 1200MM")</f>
        <v>FORRO CONVENCIONAL CARVALHO EUROPEU ALL BLACK 15/3 X 125 X 1200MM</v>
      </c>
      <c r="H241" s="192" t="s">
        <v>332</v>
      </c>
      <c r="I241" s="182" t="str">
        <f t="shared" ca="1" si="2"/>
        <v/>
      </c>
      <c r="J241" s="193"/>
      <c r="K241" s="208" t="s">
        <v>1897</v>
      </c>
      <c r="L241" s="182" t="s">
        <v>333</v>
      </c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4"/>
      <c r="Z241" s="184"/>
      <c r="AA241" s="184"/>
    </row>
    <row r="242" spans="1:27" ht="15.6">
      <c r="A242" s="182"/>
      <c r="B242" s="182"/>
      <c r="C242" s="182"/>
      <c r="D242" s="182"/>
      <c r="E242" s="182"/>
      <c r="F242" s="208"/>
      <c r="G242" s="182" t="str">
        <f ca="1">IFERROR(__xludf.DUMMYFUNCTION("""COMPUTED_VALUE"""),"FORRO CONVENCIONAL CARVALHO EUROPEU BLACK CHEVRON TG 15/3 X 125 X 775CM")</f>
        <v>FORRO CONVENCIONAL CARVALHO EUROPEU BLACK CHEVRON TG 15/3 X 125 X 775CM</v>
      </c>
      <c r="H242" s="192" t="s">
        <v>333</v>
      </c>
      <c r="I242" s="182" t="str">
        <f t="shared" ca="1" si="2"/>
        <v/>
      </c>
      <c r="J242" s="193"/>
      <c r="K242" s="208" t="s">
        <v>1898</v>
      </c>
      <c r="L242" s="182" t="s">
        <v>334</v>
      </c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94"/>
      <c r="Z242" s="194"/>
      <c r="AA242" s="194"/>
    </row>
    <row r="243" spans="1:27" ht="15.6">
      <c r="A243" s="182"/>
      <c r="B243" s="182"/>
      <c r="C243" s="182"/>
      <c r="D243" s="182"/>
      <c r="E243" s="182"/>
      <c r="F243" s="208"/>
      <c r="G243" s="182" t="str">
        <f ca="1">IFERROR(__xludf.DUMMYFUNCTION("""COMPUTED_VALUE"""),"FORRO CONVENCIONAL CARVALHO EUROPEU ALL BLACK 15/3 X 190 X 1900MM")</f>
        <v>FORRO CONVENCIONAL CARVALHO EUROPEU ALL BLACK 15/3 X 190 X 1900MM</v>
      </c>
      <c r="H243" s="192" t="s">
        <v>334</v>
      </c>
      <c r="I243" s="182" t="str">
        <f t="shared" ca="1" si="2"/>
        <v/>
      </c>
      <c r="J243" s="193"/>
      <c r="K243" s="208" t="s">
        <v>1899</v>
      </c>
      <c r="L243" s="182" t="s">
        <v>335</v>
      </c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4"/>
      <c r="Z243" s="184"/>
      <c r="AA243" s="184"/>
    </row>
    <row r="244" spans="1:27" ht="15.6">
      <c r="A244" s="182"/>
      <c r="B244" s="182"/>
      <c r="C244" s="182"/>
      <c r="D244" s="182"/>
      <c r="E244" s="182"/>
      <c r="F244" s="208"/>
      <c r="G244" s="182" t="str">
        <f ca="1">IFERROR(__xludf.DUMMYFUNCTION("""COMPUTED_VALUE"""),"FORRO CONVENCIONAL CARVALHO EUROPEU ALL BLACK 20/6 X 300 X 4000MM")</f>
        <v>FORRO CONVENCIONAL CARVALHO EUROPEU ALL BLACK 20/6 X 300 X 4000MM</v>
      </c>
      <c r="H244" s="192" t="s">
        <v>335</v>
      </c>
      <c r="I244" s="182" t="str">
        <f t="shared" ca="1" si="2"/>
        <v/>
      </c>
      <c r="J244" s="193"/>
      <c r="K244" s="208" t="s">
        <v>1900</v>
      </c>
      <c r="L244" s="182" t="s">
        <v>336</v>
      </c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4"/>
      <c r="Z244" s="184"/>
      <c r="AA244" s="184"/>
    </row>
    <row r="245" spans="1:27" ht="15.6">
      <c r="A245" s="182"/>
      <c r="B245" s="182"/>
      <c r="C245" s="182"/>
      <c r="D245" s="182"/>
      <c r="E245" s="182"/>
      <c r="F245" s="208"/>
      <c r="G245" s="182" t="str">
        <f ca="1">IFERROR(__xludf.DUMMYFUNCTION("""COMPUTED_VALUE"""),"FORRO CONVENCIONAL CARVALHO EUROPEU ALL BLACK 20/6 X 400 X 5000MM")</f>
        <v>FORRO CONVENCIONAL CARVALHO EUROPEU ALL BLACK 20/6 X 400 X 5000MM</v>
      </c>
      <c r="H245" s="192" t="s">
        <v>336</v>
      </c>
      <c r="I245" s="182" t="str">
        <f t="shared" ca="1" si="2"/>
        <v/>
      </c>
      <c r="J245" s="193"/>
      <c r="K245" s="208" t="s">
        <v>1901</v>
      </c>
      <c r="L245" s="182" t="s">
        <v>337</v>
      </c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4"/>
      <c r="Z245" s="184"/>
      <c r="AA245" s="184"/>
    </row>
    <row r="246" spans="1:27" ht="15.6">
      <c r="A246" s="182"/>
      <c r="B246" s="182"/>
      <c r="C246" s="182"/>
      <c r="D246" s="182"/>
      <c r="E246" s="182"/>
      <c r="F246" s="208"/>
      <c r="G246" s="182" t="str">
        <f ca="1">IFERROR(__xludf.DUMMYFUNCTION("""COMPUTED_VALUE"""),"FORRO CONVENCIONAL CARVALHO EUROPEU URBAN GREY CHEVRON 15/3 X 1900X 740MM")</f>
        <v>FORRO CONVENCIONAL CARVALHO EUROPEU URBAN GREY CHEVRON 15/3 X 1900X 740MM</v>
      </c>
      <c r="H246" s="192" t="s">
        <v>337</v>
      </c>
      <c r="I246" s="182" t="str">
        <f t="shared" ca="1" si="2"/>
        <v/>
      </c>
      <c r="J246" s="193"/>
      <c r="K246" s="208" t="s">
        <v>1902</v>
      </c>
      <c r="L246" s="182" t="s">
        <v>338</v>
      </c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94"/>
      <c r="Z246" s="194"/>
      <c r="AA246" s="194"/>
    </row>
    <row r="247" spans="1:27" ht="15.6">
      <c r="A247" s="182"/>
      <c r="B247" s="182"/>
      <c r="C247" s="182"/>
      <c r="D247" s="182"/>
      <c r="E247" s="182"/>
      <c r="F247" s="208"/>
      <c r="G247" s="182" t="str">
        <f ca="1">IFERROR(__xludf.DUMMYFUNCTION("""COMPUTED_VALUE"""),"FORRO CONVENCIONAL CARVALHO EUROPEU URBAN GREY 15/3 X 125 X 1200MM")</f>
        <v>FORRO CONVENCIONAL CARVALHO EUROPEU URBAN GREY 15/3 X 125 X 1200MM</v>
      </c>
      <c r="H247" s="192" t="s">
        <v>338</v>
      </c>
      <c r="I247" s="182" t="str">
        <f t="shared" ca="1" si="2"/>
        <v/>
      </c>
      <c r="J247" s="193"/>
      <c r="K247" s="208" t="s">
        <v>1903</v>
      </c>
      <c r="L247" s="182" t="s">
        <v>339</v>
      </c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4"/>
      <c r="Z247" s="184"/>
      <c r="AA247" s="184"/>
    </row>
    <row r="248" spans="1:27" ht="15.6">
      <c r="A248" s="182"/>
      <c r="B248" s="182"/>
      <c r="C248" s="182"/>
      <c r="D248" s="182"/>
      <c r="E248" s="182"/>
      <c r="F248" s="208"/>
      <c r="G248" s="182" t="str">
        <f ca="1">IFERROR(__xludf.DUMMYFUNCTION("""COMPUTED_VALUE"""),"FORRO CONVENCIONAL CARVALHO EUROPEU URBAN GREY 15/3 X 190 X 1900MM")</f>
        <v>FORRO CONVENCIONAL CARVALHO EUROPEU URBAN GREY 15/3 X 190 X 1900MM</v>
      </c>
      <c r="H248" s="192" t="s">
        <v>339</v>
      </c>
      <c r="I248" s="182" t="str">
        <f t="shared" ca="1" si="2"/>
        <v/>
      </c>
      <c r="J248" s="193"/>
      <c r="K248" s="208" t="s">
        <v>1904</v>
      </c>
      <c r="L248" s="182" t="s">
        <v>340</v>
      </c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4"/>
      <c r="Z248" s="184"/>
      <c r="AA248" s="184"/>
    </row>
    <row r="249" spans="1:27" ht="15.6">
      <c r="A249" s="182"/>
      <c r="B249" s="182"/>
      <c r="C249" s="182"/>
      <c r="D249" s="182"/>
      <c r="E249" s="182"/>
      <c r="F249" s="208"/>
      <c r="G249" s="182" t="str">
        <f ca="1">IFERROR(__xludf.DUMMYFUNCTION("""COMPUTED_VALUE"""),"FORRO CONVENCIONAL CARVALHO EUROPEU URBAN GREY 20/6 X 300 X 4000MM")</f>
        <v>FORRO CONVENCIONAL CARVALHO EUROPEU URBAN GREY 20/6 X 300 X 4000MM</v>
      </c>
      <c r="H249" s="192" t="s">
        <v>340</v>
      </c>
      <c r="I249" s="182" t="str">
        <f t="shared" ca="1" si="2"/>
        <v/>
      </c>
      <c r="J249" s="193"/>
      <c r="K249" s="208" t="s">
        <v>1905</v>
      </c>
      <c r="L249" s="182" t="s">
        <v>341</v>
      </c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4"/>
      <c r="Z249" s="184"/>
      <c r="AA249" s="184"/>
    </row>
    <row r="250" spans="1:27" ht="15.6">
      <c r="A250" s="182"/>
      <c r="B250" s="182"/>
      <c r="C250" s="182"/>
      <c r="D250" s="182"/>
      <c r="E250" s="182"/>
      <c r="F250" s="208"/>
      <c r="G250" s="182" t="str">
        <f ca="1">IFERROR(__xludf.DUMMYFUNCTION("""COMPUTED_VALUE"""),"FORRO CONVENCIONAL CARVALHO EUROPEU URBAN GREY 20/6 X 400 X 5000MM")</f>
        <v>FORRO CONVENCIONAL CARVALHO EUROPEU URBAN GREY 20/6 X 400 X 5000MM</v>
      </c>
      <c r="H250" s="192" t="s">
        <v>341</v>
      </c>
      <c r="I250" s="182" t="str">
        <f t="shared" ca="1" si="2"/>
        <v/>
      </c>
      <c r="J250" s="193"/>
      <c r="K250" s="208" t="s">
        <v>1906</v>
      </c>
      <c r="L250" s="182" t="s">
        <v>342</v>
      </c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94"/>
      <c r="Z250" s="194"/>
      <c r="AA250" s="194"/>
    </row>
    <row r="251" spans="1:27" ht="15.6">
      <c r="A251" s="182"/>
      <c r="B251" s="182"/>
      <c r="C251" s="182"/>
      <c r="D251" s="182"/>
      <c r="E251" s="182"/>
      <c r="F251" s="208"/>
      <c r="G251" s="182" t="str">
        <f ca="1">IFERROR(__xludf.DUMMYFUNCTION("""COMPUTED_VALUE"""),"FORRO CONVENCIONAL CARVALHO EUROPEU CARAMEL CHEVRON 15/3 X 1900X 740MM")</f>
        <v>FORRO CONVENCIONAL CARVALHO EUROPEU CARAMEL CHEVRON 15/3 X 1900X 740MM</v>
      </c>
      <c r="H251" s="192" t="s">
        <v>342</v>
      </c>
      <c r="I251" s="182" t="str">
        <f t="shared" ca="1" si="2"/>
        <v/>
      </c>
      <c r="J251" s="193"/>
      <c r="K251" s="208" t="s">
        <v>1907</v>
      </c>
      <c r="L251" s="182" t="s">
        <v>343</v>
      </c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4"/>
      <c r="Z251" s="184"/>
      <c r="AA251" s="184"/>
    </row>
    <row r="252" spans="1:27" ht="15.6">
      <c r="A252" s="182"/>
      <c r="B252" s="182"/>
      <c r="C252" s="182"/>
      <c r="D252" s="182"/>
      <c r="E252" s="182"/>
      <c r="F252" s="208"/>
      <c r="G252" s="182" t="str">
        <f ca="1">IFERROR(__xludf.DUMMYFUNCTION("""COMPUTED_VALUE"""),"FORRO CONVENCIONAL CARVALHO EUROPEU CARAMEL 15/3 X 125 X 1200MM")</f>
        <v>FORRO CONVENCIONAL CARVALHO EUROPEU CARAMEL 15/3 X 125 X 1200MM</v>
      </c>
      <c r="H252" s="192" t="s">
        <v>343</v>
      </c>
      <c r="I252" s="182" t="str">
        <f t="shared" ca="1" si="2"/>
        <v/>
      </c>
      <c r="J252" s="193"/>
      <c r="K252" s="208" t="s">
        <v>1908</v>
      </c>
      <c r="L252" s="182" t="s">
        <v>344</v>
      </c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4"/>
      <c r="Z252" s="184"/>
      <c r="AA252" s="184"/>
    </row>
    <row r="253" spans="1:27" ht="15.6">
      <c r="A253" s="182"/>
      <c r="B253" s="182"/>
      <c r="C253" s="182"/>
      <c r="D253" s="182"/>
      <c r="E253" s="182"/>
      <c r="F253" s="208"/>
      <c r="G253" s="182" t="str">
        <f ca="1">IFERROR(__xludf.DUMMYFUNCTION("""COMPUTED_VALUE"""),"FORRO CONVENCIONAL CARVALHO EUROPEU CARAMEL 15/3 X 190 X 1900MM")</f>
        <v>FORRO CONVENCIONAL CARVALHO EUROPEU CARAMEL 15/3 X 190 X 1900MM</v>
      </c>
      <c r="H253" s="192" t="s">
        <v>344</v>
      </c>
      <c r="I253" s="182" t="str">
        <f t="shared" ca="1" si="2"/>
        <v/>
      </c>
      <c r="J253" s="193"/>
      <c r="K253" s="208" t="s">
        <v>1909</v>
      </c>
      <c r="L253" s="182" t="s">
        <v>345</v>
      </c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4"/>
      <c r="Z253" s="184"/>
      <c r="AA253" s="184"/>
    </row>
    <row r="254" spans="1:27" ht="15.6">
      <c r="A254" s="182"/>
      <c r="B254" s="182"/>
      <c r="C254" s="182"/>
      <c r="D254" s="182"/>
      <c r="E254" s="182"/>
      <c r="F254" s="208"/>
      <c r="G254" s="182" t="str">
        <f ca="1">IFERROR(__xludf.DUMMYFUNCTION("""COMPUTED_VALUE"""),"FORRO CONVENCIONAL CARVALHO EUROPEU CARAMEL 20/6 X 300 X 4000MM")</f>
        <v>FORRO CONVENCIONAL CARVALHO EUROPEU CARAMEL 20/6 X 300 X 4000MM</v>
      </c>
      <c r="H254" s="192" t="s">
        <v>345</v>
      </c>
      <c r="I254" s="182" t="str">
        <f t="shared" ca="1" si="2"/>
        <v/>
      </c>
      <c r="J254" s="193"/>
      <c r="K254" s="208" t="s">
        <v>1910</v>
      </c>
      <c r="L254" s="182" t="s">
        <v>346</v>
      </c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94"/>
      <c r="Z254" s="194"/>
      <c r="AA254" s="194"/>
    </row>
    <row r="255" spans="1:27" ht="15.6">
      <c r="A255" s="182"/>
      <c r="B255" s="182"/>
      <c r="C255" s="182"/>
      <c r="D255" s="182"/>
      <c r="E255" s="182"/>
      <c r="F255" s="208"/>
      <c r="G255" s="182" t="str">
        <f ca="1">IFERROR(__xludf.DUMMYFUNCTION("""COMPUTED_VALUE"""),"FORRO CONVENCIONAL CARVALHO EUROPEU CARAMEL 20/6 X 400 X 5000MM")</f>
        <v>FORRO CONVENCIONAL CARVALHO EUROPEU CARAMEL 20/6 X 400 X 5000MM</v>
      </c>
      <c r="H255" s="192" t="s">
        <v>346</v>
      </c>
      <c r="I255" s="182" t="str">
        <f t="shared" ca="1" si="2"/>
        <v/>
      </c>
      <c r="J255" s="193"/>
      <c r="K255" s="208" t="s">
        <v>1911</v>
      </c>
      <c r="L255" s="182" t="s">
        <v>347</v>
      </c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4"/>
      <c r="Z255" s="184"/>
      <c r="AA255" s="184"/>
    </row>
    <row r="256" spans="1:27" ht="15.6">
      <c r="A256" s="182"/>
      <c r="B256" s="182"/>
      <c r="C256" s="182"/>
      <c r="D256" s="182"/>
      <c r="E256" s="182"/>
      <c r="F256" s="208"/>
      <c r="G256" s="182" t="str">
        <f ca="1">IFERROR(__xludf.DUMMYFUNCTION("""COMPUTED_VALUE"""),"FORRO CONVENCIONAL CARVALHO EUROPEU CHEMICAL CHEVRON TG 15/3*190*740MM")</f>
        <v>FORRO CONVENCIONAL CARVALHO EUROPEU CHEMICAL CHEVRON TG 15/3*190*740MM</v>
      </c>
      <c r="H256" s="192" t="s">
        <v>347</v>
      </c>
      <c r="I256" s="182" t="str">
        <f t="shared" ca="1" si="2"/>
        <v/>
      </c>
      <c r="J256" s="193"/>
      <c r="K256" s="208" t="s">
        <v>1912</v>
      </c>
      <c r="L256" s="182" t="s">
        <v>348</v>
      </c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4"/>
      <c r="Z256" s="184"/>
      <c r="AA256" s="184"/>
    </row>
    <row r="257" spans="1:27" ht="15.6">
      <c r="A257" s="182"/>
      <c r="B257" s="182"/>
      <c r="C257" s="182"/>
      <c r="D257" s="182"/>
      <c r="E257" s="182"/>
      <c r="F257" s="208"/>
      <c r="G257" s="182" t="str">
        <f ca="1">IFERROR(__xludf.DUMMYFUNCTION("""COMPUTED_VALUE"""),"FORRO CONVENCIONAL CARVALHO EUROPEU WHITE RUSTIC 15/4*189*1860MM")</f>
        <v>FORRO CONVENCIONAL CARVALHO EUROPEU WHITE RUSTIC 15/4*189*1860MM</v>
      </c>
      <c r="H257" s="192" t="s">
        <v>348</v>
      </c>
      <c r="I257" s="182" t="str">
        <f t="shared" ca="1" si="2"/>
        <v/>
      </c>
      <c r="J257" s="193"/>
      <c r="K257" s="208" t="s">
        <v>1913</v>
      </c>
      <c r="L257" s="182" t="s">
        <v>349</v>
      </c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4"/>
      <c r="Z257" s="184"/>
      <c r="AA257" s="184"/>
    </row>
    <row r="258" spans="1:27" ht="15.6">
      <c r="A258" s="182"/>
      <c r="B258" s="182"/>
      <c r="C258" s="182"/>
      <c r="D258" s="182"/>
      <c r="E258" s="182"/>
      <c r="F258" s="208"/>
      <c r="G258" s="182" t="str">
        <f ca="1">IFERROR(__xludf.DUMMYFUNCTION("""COMPUTED_VALUE"""),"FORRO CONVENCIONAL CARVALHO EUROPEU CUSTOMIZADO 14/3 X 12,7 X 186CM")</f>
        <v>FORRO CONVENCIONAL CARVALHO EUROPEU CUSTOMIZADO 14/3 X 12,7 X 186CM</v>
      </c>
      <c r="H258" s="192" t="s">
        <v>349</v>
      </c>
      <c r="I258" s="182" t="str">
        <f t="shared" ca="1" si="2"/>
        <v/>
      </c>
      <c r="J258" s="193"/>
      <c r="K258" s="208" t="s">
        <v>1914</v>
      </c>
      <c r="L258" s="182" t="s">
        <v>350</v>
      </c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94"/>
      <c r="Z258" s="194"/>
      <c r="AA258" s="194"/>
    </row>
    <row r="259" spans="1:27" ht="15.6">
      <c r="A259" s="182"/>
      <c r="B259" s="182"/>
      <c r="C259" s="182"/>
      <c r="D259" s="182"/>
      <c r="E259" s="182"/>
      <c r="F259" s="208"/>
      <c r="G259" s="182" t="str">
        <f ca="1">IFERROR(__xludf.DUMMYFUNCTION("""COMPUTED_VALUE"""),"FORRO CONVENCIONAL CARVALHO EUROPEU CUSTOMIZADO 2.0 X 19 X 190CM (C2)")</f>
        <v>FORRO CONVENCIONAL CARVALHO EUROPEU CUSTOMIZADO 2.0 X 19 X 190CM (C2)</v>
      </c>
      <c r="H259" s="192" t="s">
        <v>350</v>
      </c>
      <c r="I259" s="182" t="str">
        <f t="shared" ca="1" si="2"/>
        <v/>
      </c>
      <c r="J259" s="193"/>
      <c r="K259" s="208" t="s">
        <v>1915</v>
      </c>
      <c r="L259" s="182" t="s">
        <v>351</v>
      </c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4"/>
      <c r="Z259" s="184"/>
      <c r="AA259" s="184"/>
    </row>
    <row r="260" spans="1:27" ht="15.6">
      <c r="A260" s="182"/>
      <c r="B260" s="182"/>
      <c r="C260" s="182"/>
      <c r="D260" s="182"/>
      <c r="E260" s="182"/>
      <c r="F260" s="208"/>
      <c r="G260" s="182" t="str">
        <f ca="1">IFERROR(__xludf.DUMMYFUNCTION("""COMPUTED_VALUE"""),"FORRO CONVENCIONAL CARVALHO EUROPEU NATURAL CHEVRON TG 1.5/3 X 9X 51CM")</f>
        <v>FORRO CONVENCIONAL CARVALHO EUROPEU NATURAL CHEVRON TG 1.5/3 X 9X 51CM</v>
      </c>
      <c r="H260" s="192" t="s">
        <v>351</v>
      </c>
      <c r="I260" s="182" t="str">
        <f t="shared" ca="1" si="2"/>
        <v/>
      </c>
      <c r="J260" s="193"/>
      <c r="K260" s="208" t="s">
        <v>1916</v>
      </c>
      <c r="L260" s="182" t="s">
        <v>351</v>
      </c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4"/>
      <c r="Z260" s="184"/>
      <c r="AA260" s="184"/>
    </row>
    <row r="261" spans="1:27" ht="15.6">
      <c r="A261" s="182"/>
      <c r="B261" s="182"/>
      <c r="C261" s="182"/>
      <c r="D261" s="182"/>
      <c r="E261" s="182"/>
      <c r="F261" s="208"/>
      <c r="G261" s="182" t="str">
        <f ca="1">IFERROR(__xludf.DUMMYFUNCTION("""COMPUTED_VALUE"""),"FORRO CONVENCIONAL CARVALHO EUROPEU NATURAL CHEVRON TG 1.5/3 X 9X 51CM")</f>
        <v>FORRO CONVENCIONAL CARVALHO EUROPEU NATURAL CHEVRON TG 1.5/3 X 9X 51CM</v>
      </c>
      <c r="H261" s="192" t="s">
        <v>351</v>
      </c>
      <c r="I261" s="182" t="str">
        <f t="shared" ca="1" si="2"/>
        <v/>
      </c>
      <c r="J261" s="193"/>
      <c r="K261" s="208" t="s">
        <v>1917</v>
      </c>
      <c r="L261" s="182" t="s">
        <v>353</v>
      </c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4"/>
      <c r="Z261" s="184"/>
      <c r="AA261" s="184"/>
    </row>
    <row r="262" spans="1:27" ht="15.6">
      <c r="A262" s="182"/>
      <c r="B262" s="182"/>
      <c r="C262" s="182"/>
      <c r="D262" s="182"/>
      <c r="E262" s="182"/>
      <c r="F262" s="208"/>
      <c r="G262" s="182" t="str">
        <f ca="1">IFERROR(__xludf.DUMMYFUNCTION("""COMPUTED_VALUE"""),"FORRO CONVENCIONAL CARVALHO EUROPEU NUDE CHEVRON 60.. TG 15/3 X 190 X 90CM")</f>
        <v>FORRO CONVENCIONAL CARVALHO EUROPEU NUDE CHEVRON 60.. TG 15/3 X 190 X 90CM</v>
      </c>
      <c r="H262" s="192" t="s">
        <v>353</v>
      </c>
      <c r="I262" s="182" t="str">
        <f t="shared" ca="1" si="2"/>
        <v/>
      </c>
      <c r="J262" s="193"/>
      <c r="K262" s="208" t="s">
        <v>1918</v>
      </c>
      <c r="L262" s="182" t="s">
        <v>354</v>
      </c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94"/>
      <c r="Z262" s="194"/>
      <c r="AA262" s="194"/>
    </row>
    <row r="263" spans="1:27" ht="15.6">
      <c r="A263" s="182"/>
      <c r="B263" s="182"/>
      <c r="C263" s="182"/>
      <c r="D263" s="182"/>
      <c r="E263" s="182"/>
      <c r="F263" s="208"/>
      <c r="G263" s="182" t="str">
        <f ca="1">IFERROR(__xludf.DUMMYFUNCTION("""COMPUTED_VALUE"""),"FORRO CONVENCIONAL CARVALHO EUROPEU NUDE CHEVRON TG 1.5/3X 12.5X 63CM")</f>
        <v>FORRO CONVENCIONAL CARVALHO EUROPEU NUDE CHEVRON TG 1.5/3X 12.5X 63CM</v>
      </c>
      <c r="H263" s="192" t="s">
        <v>354</v>
      </c>
      <c r="I263" s="182" t="str">
        <f t="shared" ca="1" si="2"/>
        <v/>
      </c>
      <c r="J263" s="193"/>
      <c r="K263" s="208" t="s">
        <v>1919</v>
      </c>
      <c r="L263" s="182" t="s">
        <v>355</v>
      </c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4"/>
      <c r="Z263" s="184"/>
      <c r="AA263" s="184"/>
    </row>
    <row r="264" spans="1:27" ht="15.6">
      <c r="A264" s="182"/>
      <c r="B264" s="182"/>
      <c r="C264" s="182"/>
      <c r="D264" s="182"/>
      <c r="E264" s="182"/>
      <c r="F264" s="208"/>
      <c r="G264" s="182" t="str">
        <f ca="1">IFERROR(__xludf.DUMMYFUNCTION("""COMPUTED_VALUE"""),"FORRO CONVENCIONAL WALNUT 15/3 X 125 X 910MM")</f>
        <v>FORRO CONVENCIONAL WALNUT 15/3 X 125 X 910MM</v>
      </c>
      <c r="H264" s="192" t="s">
        <v>355</v>
      </c>
      <c r="I264" s="182" t="str">
        <f t="shared" ca="1" si="2"/>
        <v/>
      </c>
      <c r="J264" s="193"/>
      <c r="K264" s="208" t="s">
        <v>1920</v>
      </c>
      <c r="L264" s="182" t="s">
        <v>356</v>
      </c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4"/>
      <c r="Z264" s="184"/>
      <c r="AA264" s="184"/>
    </row>
    <row r="265" spans="1:27" ht="15.6">
      <c r="A265" s="182"/>
      <c r="B265" s="182"/>
      <c r="C265" s="182"/>
      <c r="D265" s="182"/>
      <c r="E265" s="182"/>
      <c r="F265" s="208"/>
      <c r="G265" s="182" t="str">
        <f ca="1">IFERROR(__xludf.DUMMYFUNCTION("""COMPUTED_VALUE"""),"FORRO CONVENCIONAL WALNUT 15/3 X 190 X 1900MM")</f>
        <v>FORRO CONVENCIONAL WALNUT 15/3 X 190 X 1900MM</v>
      </c>
      <c r="H265" s="192" t="s">
        <v>356</v>
      </c>
      <c r="I265" s="182" t="str">
        <f t="shared" ca="1" si="2"/>
        <v/>
      </c>
      <c r="J265" s="193"/>
      <c r="K265" s="208" t="s">
        <v>1921</v>
      </c>
      <c r="L265" s="182" t="s">
        <v>357</v>
      </c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4"/>
      <c r="Z265" s="184"/>
      <c r="AA265" s="184"/>
    </row>
    <row r="266" spans="1:27" ht="15.6">
      <c r="A266" s="182"/>
      <c r="B266" s="182"/>
      <c r="C266" s="182"/>
      <c r="D266" s="182"/>
      <c r="E266" s="182"/>
      <c r="F266" s="208"/>
      <c r="G266" s="182" t="str">
        <f ca="1">IFERROR(__xludf.DUMMYFUNCTION("""COMPUTED_VALUE"""),"FORRO CONVENCIONAL WALNUT 20/2 X 300 X 4000MM")</f>
        <v>FORRO CONVENCIONAL WALNUT 20/2 X 300 X 4000MM</v>
      </c>
      <c r="H266" s="192" t="s">
        <v>357</v>
      </c>
      <c r="I266" s="182" t="str">
        <f t="shared" ca="1" si="2"/>
        <v/>
      </c>
      <c r="J266" s="193"/>
      <c r="K266" s="208" t="s">
        <v>1922</v>
      </c>
      <c r="L266" s="182" t="s">
        <v>358</v>
      </c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94"/>
      <c r="Z266" s="194"/>
      <c r="AA266" s="194"/>
    </row>
    <row r="267" spans="1:27" ht="15.6">
      <c r="A267" s="182"/>
      <c r="B267" s="182"/>
      <c r="C267" s="182"/>
      <c r="D267" s="182"/>
      <c r="E267" s="182"/>
      <c r="F267" s="208"/>
      <c r="G267" s="182" t="str">
        <f ca="1">IFERROR(__xludf.DUMMYFUNCTION("""COMPUTED_VALUE"""),"FORRO CONVENCIONAL BAMBU ALTA DENS. CUST PREMIUM TG 1.5/4 X19X185CM")</f>
        <v>FORRO CONVENCIONAL BAMBU ALTA DENS. CUST PREMIUM TG 1.5/4 X19X185CM</v>
      </c>
      <c r="H267" s="192" t="s">
        <v>358</v>
      </c>
      <c r="I267" s="182" t="str">
        <f t="shared" ca="1" si="2"/>
        <v/>
      </c>
      <c r="J267" s="193"/>
      <c r="K267" s="208" t="s">
        <v>1923</v>
      </c>
      <c r="L267" s="182" t="s">
        <v>359</v>
      </c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4"/>
      <c r="Z267" s="184"/>
      <c r="AA267" s="184"/>
    </row>
    <row r="268" spans="1:27" ht="15.6">
      <c r="A268" s="182"/>
      <c r="B268" s="182"/>
      <c r="C268" s="182"/>
      <c r="D268" s="182"/>
      <c r="E268" s="182"/>
      <c r="F268" s="208"/>
      <c r="G268" s="182" t="str">
        <f ca="1">IFERROR(__xludf.DUMMYFUNCTION("""COMPUTED_VALUE"""),"FORRO CONVENCIONAL BAMBU CARAMEL ALTA DENSIDADE TG 1.5/4 X19X186CM")</f>
        <v>FORRO CONVENCIONAL BAMBU CARAMEL ALTA DENSIDADE TG 1.5/4 X19X186CM</v>
      </c>
      <c r="H268" s="192" t="s">
        <v>359</v>
      </c>
      <c r="I268" s="182" t="str">
        <f t="shared" ca="1" si="2"/>
        <v/>
      </c>
      <c r="J268" s="193"/>
      <c r="K268" s="208" t="s">
        <v>1924</v>
      </c>
      <c r="L268" s="182" t="s">
        <v>360</v>
      </c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4"/>
      <c r="Z268" s="184"/>
      <c r="AA268" s="184"/>
    </row>
    <row r="269" spans="1:27" ht="15.6">
      <c r="A269" s="182"/>
      <c r="B269" s="182"/>
      <c r="C269" s="182"/>
      <c r="D269" s="182"/>
      <c r="E269" s="182"/>
      <c r="F269" s="208"/>
      <c r="G269" s="182" t="str">
        <f ca="1">IFERROR(__xludf.DUMMYFUNCTION("""COMPUTED_VALUE"""),"FORRO CONVENCIONAL RIPADO CUMARU PREMIUM TG 1,8 X 3,5+0,5CM PROF. BIT 0")</f>
        <v>FORRO CONVENCIONAL RIPADO CUMARU PREMIUM TG 1,8 X 3,5+0,5CM PROF. BIT 0</v>
      </c>
      <c r="H269" s="192" t="s">
        <v>360</v>
      </c>
      <c r="I269" s="182" t="str">
        <f t="shared" ca="1" si="2"/>
        <v/>
      </c>
      <c r="J269" s="193"/>
      <c r="K269" s="208" t="s">
        <v>1925</v>
      </c>
      <c r="L269" s="182" t="s">
        <v>361</v>
      </c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4"/>
      <c r="Z269" s="184"/>
      <c r="AA269" s="184"/>
    </row>
    <row r="270" spans="1:27" ht="15.6">
      <c r="A270" s="182"/>
      <c r="B270" s="182"/>
      <c r="C270" s="182"/>
      <c r="D270" s="182"/>
      <c r="E270" s="182"/>
      <c r="F270" s="208"/>
      <c r="G270" s="182" t="str">
        <f ca="1">IFERROR(__xludf.DUMMYFUNCTION("""COMPUTED_VALUE"""),"FORRO CONVENCIONAL RIPADO CATUABA PREMIUM TG 1,8 X 3,5+0,5CM PROF. BIT 0")</f>
        <v>FORRO CONVENCIONAL RIPADO CATUABA PREMIUM TG 1,8 X 3,5+0,5CM PROF. BIT 0</v>
      </c>
      <c r="H270" s="192" t="s">
        <v>361</v>
      </c>
      <c r="I270" s="182" t="str">
        <f t="shared" ca="1" si="2"/>
        <v/>
      </c>
      <c r="J270" s="193"/>
      <c r="K270" s="208" t="s">
        <v>1926</v>
      </c>
      <c r="L270" s="182" t="s">
        <v>362</v>
      </c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94"/>
      <c r="Z270" s="194"/>
      <c r="AA270" s="194"/>
    </row>
    <row r="271" spans="1:27" ht="15.6">
      <c r="A271" s="182"/>
      <c r="B271" s="182"/>
      <c r="C271" s="182"/>
      <c r="D271" s="182"/>
      <c r="E271" s="182"/>
      <c r="F271" s="208"/>
      <c r="G271" s="182" t="str">
        <f ca="1">IFERROR(__xludf.DUMMYFUNCTION("""COMPUTED_VALUE"""),"FORRO CONVENCIONAL RIPADO CABREUVA BRANCA PREMIUM TG 1,8 X 3,5+0,5CM PROF. BIT 0")</f>
        <v>FORRO CONVENCIONAL RIPADO CABREUVA BRANCA PREMIUM TG 1,8 X 3,5+0,5CM PROF. BIT 0</v>
      </c>
      <c r="H271" s="192" t="s">
        <v>362</v>
      </c>
      <c r="I271" s="182" t="str">
        <f t="shared" ca="1" si="2"/>
        <v/>
      </c>
      <c r="J271" s="193"/>
      <c r="K271" s="208" t="s">
        <v>1927</v>
      </c>
      <c r="L271" s="182" t="s">
        <v>363</v>
      </c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4"/>
      <c r="Z271" s="184"/>
      <c r="AA271" s="184"/>
    </row>
    <row r="272" spans="1:27" ht="15.6">
      <c r="A272" s="182"/>
      <c r="B272" s="182"/>
      <c r="C272" s="182"/>
      <c r="D272" s="182"/>
      <c r="E272" s="182"/>
      <c r="F272" s="208"/>
      <c r="G272" s="182" t="str">
        <f ca="1">IFERROR(__xludf.DUMMYFUNCTION("""COMPUTED_VALUE"""),"FORRO CONVENCIONAL RIPADO CABREUVA DOURADA PREMIUM TG 1,8 X 3,5+0,5CM PROF. BIT 0")</f>
        <v>FORRO CONVENCIONAL RIPADO CABREUVA DOURADA PREMIUM TG 1,8 X 3,5+0,5CM PROF. BIT 0</v>
      </c>
      <c r="H272" s="192" t="s">
        <v>363</v>
      </c>
      <c r="I272" s="182" t="str">
        <f t="shared" ca="1" si="2"/>
        <v/>
      </c>
      <c r="J272" s="193"/>
      <c r="K272" s="208" t="s">
        <v>1928</v>
      </c>
      <c r="L272" s="182" t="s">
        <v>364</v>
      </c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4"/>
      <c r="Z272" s="184"/>
      <c r="AA272" s="184"/>
    </row>
    <row r="273" spans="1:27" ht="15.6">
      <c r="A273" s="182"/>
      <c r="B273" s="182"/>
      <c r="C273" s="182"/>
      <c r="D273" s="182"/>
      <c r="E273" s="182"/>
      <c r="F273" s="208"/>
      <c r="G273" s="182" t="str">
        <f ca="1">IFERROR(__xludf.DUMMYFUNCTION("""COMPUTED_VALUE"""),"FORRO CONVENCIONAL RIPADO TAUARI PREMIUM TG 1,8 X 3,5+0,5CM PROF. BIT 0")</f>
        <v>FORRO CONVENCIONAL RIPADO TAUARI PREMIUM TG 1,8 X 3,5+0,5CM PROF. BIT 0</v>
      </c>
      <c r="H273" s="192" t="s">
        <v>364</v>
      </c>
      <c r="I273" s="182" t="str">
        <f t="shared" ca="1" si="2"/>
        <v/>
      </c>
      <c r="J273" s="193"/>
      <c r="K273" s="208" t="s">
        <v>1929</v>
      </c>
      <c r="L273" s="182" t="s">
        <v>365</v>
      </c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4"/>
      <c r="Z273" s="184"/>
      <c r="AA273" s="184"/>
    </row>
    <row r="274" spans="1:27" ht="15.6">
      <c r="A274" s="182"/>
      <c r="B274" s="182"/>
      <c r="C274" s="182"/>
      <c r="D274" s="182"/>
      <c r="E274" s="182"/>
      <c r="F274" s="208"/>
      <c r="G274" s="182" t="str">
        <f ca="1">IFERROR(__xludf.DUMMYFUNCTION("""COMPUTED_VALUE"""),"FORRO CONVENCIONAL RIPADO PEROBA PREMIUM TG 1,8 X 3,5+0,5CM PROF. BIT 0")</f>
        <v>FORRO CONVENCIONAL RIPADO PEROBA PREMIUM TG 1,8 X 3,5+0,5CM PROF. BIT 0</v>
      </c>
      <c r="H274" s="192" t="s">
        <v>365</v>
      </c>
      <c r="I274" s="182" t="str">
        <f t="shared" ca="1" si="2"/>
        <v/>
      </c>
      <c r="J274" s="193"/>
      <c r="K274" s="208" t="s">
        <v>1930</v>
      </c>
      <c r="L274" s="182" t="s">
        <v>366</v>
      </c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94"/>
      <c r="Z274" s="194"/>
      <c r="AA274" s="194"/>
    </row>
    <row r="275" spans="1:27" ht="15.6">
      <c r="A275" s="182"/>
      <c r="B275" s="182"/>
      <c r="C275" s="182"/>
      <c r="D275" s="182"/>
      <c r="E275" s="182"/>
      <c r="F275" s="208"/>
      <c r="G275" s="182" t="str">
        <f ca="1">IFERROR(__xludf.DUMMYFUNCTION("""COMPUTED_VALUE"""),"FORRO CONVENCIONAL RIPADO LORO PARDO PREMIUM TG 1,8 X 3,5+0,5CM PROF. BIT 0")</f>
        <v>FORRO CONVENCIONAL RIPADO LORO PARDO PREMIUM TG 1,8 X 3,5+0,5CM PROF. BIT 0</v>
      </c>
      <c r="H275" s="192" t="s">
        <v>366</v>
      </c>
      <c r="I275" s="182" t="str">
        <f t="shared" ca="1" si="2"/>
        <v/>
      </c>
      <c r="J275" s="193"/>
      <c r="K275" s="208" t="s">
        <v>1931</v>
      </c>
      <c r="L275" s="182" t="s">
        <v>367</v>
      </c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4"/>
      <c r="Z275" s="184"/>
      <c r="AA275" s="184"/>
    </row>
    <row r="276" spans="1:27" ht="15.6">
      <c r="A276" s="182"/>
      <c r="B276" s="182"/>
      <c r="C276" s="182"/>
      <c r="D276" s="182"/>
      <c r="E276" s="182"/>
      <c r="F276" s="208"/>
      <c r="G276" s="182" t="str">
        <f ca="1">IFERROR(__xludf.DUMMYFUNCTION("""COMPUTED_VALUE"""),"FORRO CONVENCIONAL CUMARU MULTI PREMIUM 19 X 190 X 600 A 2200MM")</f>
        <v>FORRO CONVENCIONAL CUMARU MULTI PREMIUM 19 X 190 X 600 A 2200MM</v>
      </c>
      <c r="H276" s="192" t="s">
        <v>367</v>
      </c>
      <c r="I276" s="182" t="str">
        <f t="shared" ca="1" si="2"/>
        <v/>
      </c>
      <c r="J276" s="193"/>
      <c r="K276" s="208" t="s">
        <v>1932</v>
      </c>
      <c r="L276" s="182" t="s">
        <v>368</v>
      </c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4"/>
      <c r="Z276" s="184"/>
      <c r="AA276" s="184"/>
    </row>
    <row r="277" spans="1:27" ht="15.6">
      <c r="A277" s="182"/>
      <c r="B277" s="182"/>
      <c r="C277" s="182"/>
      <c r="D277" s="182"/>
      <c r="E277" s="182"/>
      <c r="F277" s="208"/>
      <c r="G277" s="182" t="str">
        <f ca="1">IFERROR(__xludf.DUMMYFUNCTION("""COMPUTED_VALUE"""),"FORRO CONVENCIONAL CATUABA MULTI PREMIUM 19 X 190 X 600 A 2200MM")</f>
        <v>FORRO CONVENCIONAL CATUABA MULTI PREMIUM 19 X 190 X 600 A 2200MM</v>
      </c>
      <c r="H277" s="192" t="s">
        <v>368</v>
      </c>
      <c r="I277" s="182" t="str">
        <f t="shared" ca="1" si="2"/>
        <v/>
      </c>
      <c r="J277" s="193"/>
      <c r="K277" s="208" t="s">
        <v>1933</v>
      </c>
      <c r="L277" s="182" t="s">
        <v>369</v>
      </c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4"/>
      <c r="Z277" s="184"/>
      <c r="AA277" s="184"/>
    </row>
    <row r="278" spans="1:27" ht="15.6">
      <c r="A278" s="182"/>
      <c r="B278" s="182"/>
      <c r="C278" s="182"/>
      <c r="D278" s="182"/>
      <c r="E278" s="182"/>
      <c r="F278" s="208"/>
      <c r="G278" s="182" t="str">
        <f ca="1">IFERROR(__xludf.DUMMYFUNCTION("""COMPUTED_VALUE"""),"FORRO CONVENCIONAL CABREUVA BRACA MULTI PREMIUM 19 X 190 X 600 A 2200MM")</f>
        <v>FORRO CONVENCIONAL CABREUVA BRACA MULTI PREMIUM 19 X 190 X 600 A 2200MM</v>
      </c>
      <c r="H278" s="192" t="s">
        <v>369</v>
      </c>
      <c r="I278" s="182" t="str">
        <f t="shared" ca="1" si="2"/>
        <v/>
      </c>
      <c r="J278" s="193"/>
      <c r="K278" s="208" t="s">
        <v>1934</v>
      </c>
      <c r="L278" s="182" t="s">
        <v>370</v>
      </c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94"/>
      <c r="Z278" s="194"/>
      <c r="AA278" s="194"/>
    </row>
    <row r="279" spans="1:27" ht="15.6">
      <c r="A279" s="182"/>
      <c r="B279" s="182"/>
      <c r="C279" s="182"/>
      <c r="D279" s="182"/>
      <c r="E279" s="182"/>
      <c r="F279" s="208"/>
      <c r="G279" s="182" t="str">
        <f ca="1">IFERROR(__xludf.DUMMYFUNCTION("""COMPUTED_VALUE"""),"FORRO CONVENCIONAL CABREUVA DOURADA MULTI PREMIUM 19 X 190 X 600 A 2200MM")</f>
        <v>FORRO CONVENCIONAL CABREUVA DOURADA MULTI PREMIUM 19 X 190 X 600 A 2200MM</v>
      </c>
      <c r="H279" s="192" t="s">
        <v>370</v>
      </c>
      <c r="I279" s="182" t="str">
        <f t="shared" ca="1" si="2"/>
        <v/>
      </c>
      <c r="J279" s="193"/>
      <c r="K279" s="208" t="s">
        <v>1935</v>
      </c>
      <c r="L279" s="182" t="s">
        <v>371</v>
      </c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4"/>
      <c r="Z279" s="184"/>
      <c r="AA279" s="184"/>
    </row>
    <row r="280" spans="1:27" ht="15.6">
      <c r="A280" s="182"/>
      <c r="B280" s="182"/>
      <c r="C280" s="182"/>
      <c r="D280" s="182"/>
      <c r="E280" s="182"/>
      <c r="F280" s="208"/>
      <c r="G280" s="182" t="str">
        <f ca="1">IFERROR(__xludf.DUMMYFUNCTION("""COMPUTED_VALUE"""),"FORRO CONVENCIONAL TAUARI MULTI PREMIUM 19 X 190 X 600 A 2200MM")</f>
        <v>FORRO CONVENCIONAL TAUARI MULTI PREMIUM 19 X 190 X 600 A 2200MM</v>
      </c>
      <c r="H280" s="192" t="s">
        <v>371</v>
      </c>
      <c r="I280" s="182" t="str">
        <f t="shared" ca="1" si="2"/>
        <v/>
      </c>
      <c r="J280" s="193"/>
      <c r="K280" s="208" t="s">
        <v>1936</v>
      </c>
      <c r="L280" s="182" t="s">
        <v>372</v>
      </c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4"/>
      <c r="Z280" s="184"/>
      <c r="AA280" s="184"/>
    </row>
    <row r="281" spans="1:27" ht="15.6">
      <c r="A281" s="182"/>
      <c r="B281" s="182"/>
      <c r="C281" s="182"/>
      <c r="D281" s="182"/>
      <c r="E281" s="182"/>
      <c r="F281" s="208"/>
      <c r="G281" s="182" t="str">
        <f ca="1">IFERROR(__xludf.DUMMYFUNCTION("""COMPUTED_VALUE"""),"FORRO CONVENCIONAL PEROBA MULTI PREMIUM 19 X 190 X 600 A 2200MM")</f>
        <v>FORRO CONVENCIONAL PEROBA MULTI PREMIUM 19 X 190 X 600 A 2200MM</v>
      </c>
      <c r="H281" s="192" t="s">
        <v>372</v>
      </c>
      <c r="I281" s="182" t="str">
        <f t="shared" ca="1" si="2"/>
        <v/>
      </c>
      <c r="J281" s="193"/>
      <c r="K281" s="208" t="s">
        <v>1937</v>
      </c>
      <c r="L281" s="182" t="s">
        <v>373</v>
      </c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4"/>
      <c r="Z281" s="184"/>
      <c r="AA281" s="184"/>
    </row>
    <row r="282" spans="1:27" ht="15.6">
      <c r="A282" s="182"/>
      <c r="B282" s="182"/>
      <c r="C282" s="182"/>
      <c r="D282" s="182"/>
      <c r="E282" s="182"/>
      <c r="F282" s="208"/>
      <c r="G282" s="182" t="str">
        <f ca="1">IFERROR(__xludf.DUMMYFUNCTION("""COMPUTED_VALUE"""),"FORRO CONVENCIONAL LORO PARDO MULTI PREMIUM 19 X 190 X 600 A 2200MM")</f>
        <v>FORRO CONVENCIONAL LORO PARDO MULTI PREMIUM 19 X 190 X 600 A 2200MM</v>
      </c>
      <c r="H282" s="192" t="s">
        <v>373</v>
      </c>
      <c r="I282" s="182" t="str">
        <f t="shared" ca="1" si="2"/>
        <v/>
      </c>
      <c r="J282" s="193"/>
      <c r="K282" s="208" t="s">
        <v>1938</v>
      </c>
      <c r="L282" s="182" t="s">
        <v>374</v>
      </c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94"/>
      <c r="Z282" s="194"/>
      <c r="AA282" s="194"/>
    </row>
    <row r="283" spans="1:27" ht="15.6">
      <c r="A283" s="182"/>
      <c r="B283" s="182"/>
      <c r="C283" s="182"/>
      <c r="D283" s="182"/>
      <c r="E283" s="182"/>
      <c r="F283" s="208"/>
      <c r="G283" s="182" t="str">
        <f ca="1">IFERROR(__xludf.DUMMYFUNCTION("""COMPUTED_VALUE"""),"FORRO CONVENCIONAL MUXARABI CUMARU PREMIUM")</f>
        <v>FORRO CONVENCIONAL MUXARABI CUMARU PREMIUM</v>
      </c>
      <c r="H283" s="192" t="s">
        <v>374</v>
      </c>
      <c r="I283" s="182" t="str">
        <f t="shared" ca="1" si="2"/>
        <v/>
      </c>
      <c r="J283" s="193"/>
      <c r="K283" s="208" t="s">
        <v>1939</v>
      </c>
      <c r="L283" s="182" t="s">
        <v>375</v>
      </c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4"/>
      <c r="Z283" s="184"/>
      <c r="AA283" s="184"/>
    </row>
    <row r="284" spans="1:27" ht="15.6">
      <c r="A284" s="182"/>
      <c r="B284" s="182"/>
      <c r="C284" s="182"/>
      <c r="D284" s="182"/>
      <c r="E284" s="182"/>
      <c r="F284" s="208"/>
      <c r="G284" s="182" t="str">
        <f ca="1">IFERROR(__xludf.DUMMYFUNCTION("""COMPUTED_VALUE"""),"FORRO CONVENCIONAL MUXARABI CATUABA PREMIUM")</f>
        <v>FORRO CONVENCIONAL MUXARABI CATUABA PREMIUM</v>
      </c>
      <c r="H284" s="192" t="s">
        <v>375</v>
      </c>
      <c r="I284" s="182" t="str">
        <f t="shared" ca="1" si="2"/>
        <v/>
      </c>
      <c r="J284" s="193"/>
      <c r="K284" s="208" t="s">
        <v>1940</v>
      </c>
      <c r="L284" s="182" t="s">
        <v>376</v>
      </c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4"/>
      <c r="Z284" s="184"/>
      <c r="AA284" s="184"/>
    </row>
    <row r="285" spans="1:27" ht="15.6">
      <c r="A285" s="182"/>
      <c r="B285" s="182"/>
      <c r="C285" s="182"/>
      <c r="D285" s="182"/>
      <c r="E285" s="182"/>
      <c r="F285" s="208"/>
      <c r="G285" s="182" t="str">
        <f ca="1">IFERROR(__xludf.DUMMYFUNCTION("""COMPUTED_VALUE"""),"FORRO CONVENCIONAL MUXARABI CABREUVA BRANCA PREMIUM")</f>
        <v>FORRO CONVENCIONAL MUXARABI CABREUVA BRANCA PREMIUM</v>
      </c>
      <c r="H285" s="192" t="s">
        <v>376</v>
      </c>
      <c r="I285" s="182" t="str">
        <f t="shared" ca="1" si="2"/>
        <v/>
      </c>
      <c r="J285" s="193"/>
      <c r="K285" s="208" t="s">
        <v>1941</v>
      </c>
      <c r="L285" s="182" t="s">
        <v>377</v>
      </c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4"/>
      <c r="Z285" s="184"/>
      <c r="AA285" s="184"/>
    </row>
    <row r="286" spans="1:27" ht="15.6">
      <c r="A286" s="182"/>
      <c r="B286" s="182"/>
      <c r="C286" s="182"/>
      <c r="D286" s="182"/>
      <c r="E286" s="182"/>
      <c r="F286" s="208"/>
      <c r="G286" s="182" t="str">
        <f ca="1">IFERROR(__xludf.DUMMYFUNCTION("""COMPUTED_VALUE"""),"FORRO CONVENCIONAL MUXARABI CABREUVA DOURADA PREMIUM")</f>
        <v>FORRO CONVENCIONAL MUXARABI CABREUVA DOURADA PREMIUM</v>
      </c>
      <c r="H286" s="192" t="s">
        <v>377</v>
      </c>
      <c r="I286" s="182" t="str">
        <f t="shared" ca="1" si="2"/>
        <v/>
      </c>
      <c r="J286" s="193"/>
      <c r="K286" s="208" t="s">
        <v>1942</v>
      </c>
      <c r="L286" s="182" t="s">
        <v>378</v>
      </c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94"/>
      <c r="Z286" s="194"/>
      <c r="AA286" s="194"/>
    </row>
    <row r="287" spans="1:27" ht="15.6">
      <c r="A287" s="182"/>
      <c r="B287" s="182"/>
      <c r="C287" s="182"/>
      <c r="D287" s="182"/>
      <c r="E287" s="182"/>
      <c r="F287" s="208"/>
      <c r="G287" s="182" t="str">
        <f ca="1">IFERROR(__xludf.DUMMYFUNCTION("""COMPUTED_VALUE"""),"FORRO CONVENCIONAL MUXARABI TAUARI PREMIUM")</f>
        <v>FORRO CONVENCIONAL MUXARABI TAUARI PREMIUM</v>
      </c>
      <c r="H287" s="192" t="s">
        <v>378</v>
      </c>
      <c r="I287" s="182" t="str">
        <f t="shared" ca="1" si="2"/>
        <v/>
      </c>
      <c r="J287" s="193"/>
      <c r="K287" s="208" t="s">
        <v>1943</v>
      </c>
      <c r="L287" s="182" t="s">
        <v>379</v>
      </c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4"/>
      <c r="Z287" s="184"/>
      <c r="AA287" s="184"/>
    </row>
    <row r="288" spans="1:27" ht="15.6">
      <c r="A288" s="182"/>
      <c r="B288" s="182"/>
      <c r="C288" s="182"/>
      <c r="D288" s="182"/>
      <c r="E288" s="182"/>
      <c r="F288" s="208"/>
      <c r="G288" s="182" t="str">
        <f ca="1">IFERROR(__xludf.DUMMYFUNCTION("""COMPUTED_VALUE"""),"FORRO CONVENCIONAL MUXARABI PEROBA PREMIUM")</f>
        <v>FORRO CONVENCIONAL MUXARABI PEROBA PREMIUM</v>
      </c>
      <c r="H288" s="192" t="s">
        <v>379</v>
      </c>
      <c r="I288" s="182" t="str">
        <f t="shared" ca="1" si="2"/>
        <v/>
      </c>
      <c r="J288" s="193"/>
      <c r="K288" s="208" t="s">
        <v>1944</v>
      </c>
      <c r="L288" s="182" t="s">
        <v>380</v>
      </c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4"/>
      <c r="Z288" s="184"/>
      <c r="AA288" s="184"/>
    </row>
    <row r="289" spans="1:27" ht="15.6">
      <c r="A289" s="182"/>
      <c r="B289" s="182"/>
      <c r="C289" s="182"/>
      <c r="D289" s="182"/>
      <c r="E289" s="182"/>
      <c r="F289" s="208"/>
      <c r="G289" s="182" t="str">
        <f ca="1">IFERROR(__xludf.DUMMYFUNCTION("""COMPUTED_VALUE"""),"FORRO CONVENCIONAL MUXARABI LORO PARDO PREMIUM")</f>
        <v>FORRO CONVENCIONAL MUXARABI LORO PARDO PREMIUM</v>
      </c>
      <c r="H289" s="192" t="s">
        <v>380</v>
      </c>
      <c r="I289" s="182" t="str">
        <f t="shared" ca="1" si="2"/>
        <v/>
      </c>
      <c r="J289" s="193"/>
      <c r="K289" s="208" t="s">
        <v>1945</v>
      </c>
      <c r="L289" s="182" t="s">
        <v>381</v>
      </c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4"/>
      <c r="Z289" s="184"/>
      <c r="AA289" s="184"/>
    </row>
    <row r="290" spans="1:27" ht="15.6">
      <c r="A290" s="182"/>
      <c r="B290" s="182"/>
      <c r="C290" s="182"/>
      <c r="D290" s="182"/>
      <c r="E290" s="182"/>
      <c r="F290" s="208"/>
      <c r="G290" s="182" t="str">
        <f ca="1">IFERROR(__xludf.DUMMYFUNCTION("""COMPUTED_VALUE"""),"FORRO CONVENCIONAL TOBLERONE CUMARU PREMIUM 3 X 3 COMPR. VARIAVEIS")</f>
        <v>FORRO CONVENCIONAL TOBLERONE CUMARU PREMIUM 3 X 3 COMPR. VARIAVEIS</v>
      </c>
      <c r="H290" s="192" t="s">
        <v>381</v>
      </c>
      <c r="I290" s="182" t="str">
        <f t="shared" ca="1" si="2"/>
        <v/>
      </c>
      <c r="J290" s="193"/>
      <c r="K290" s="208" t="s">
        <v>1946</v>
      </c>
      <c r="L290" s="182" t="s">
        <v>382</v>
      </c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94"/>
      <c r="Z290" s="194"/>
      <c r="AA290" s="194"/>
    </row>
    <row r="291" spans="1:27" ht="15.6">
      <c r="A291" s="182"/>
      <c r="B291" s="182"/>
      <c r="C291" s="182"/>
      <c r="D291" s="182"/>
      <c r="E291" s="182"/>
      <c r="F291" s="208"/>
      <c r="G291" s="182" t="str">
        <f ca="1">IFERROR(__xludf.DUMMYFUNCTION("""COMPUTED_VALUE"""),"FORRO CONVENCIONAL TOBLERONE CATUABA PREMIUM 3 X 3 COMPR. VARIAVEIS")</f>
        <v>FORRO CONVENCIONAL TOBLERONE CATUABA PREMIUM 3 X 3 COMPR. VARIAVEIS</v>
      </c>
      <c r="H291" s="192" t="s">
        <v>382</v>
      </c>
      <c r="I291" s="182" t="str">
        <f t="shared" ca="1" si="2"/>
        <v/>
      </c>
      <c r="J291" s="193"/>
      <c r="K291" s="208" t="s">
        <v>1947</v>
      </c>
      <c r="L291" s="182" t="s">
        <v>383</v>
      </c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4"/>
      <c r="Z291" s="184"/>
      <c r="AA291" s="184"/>
    </row>
    <row r="292" spans="1:27" ht="15.6">
      <c r="A292" s="182"/>
      <c r="B292" s="182"/>
      <c r="C292" s="182"/>
      <c r="D292" s="182"/>
      <c r="E292" s="182"/>
      <c r="F292" s="208"/>
      <c r="G292" s="182" t="str">
        <f ca="1">IFERROR(__xludf.DUMMYFUNCTION("""COMPUTED_VALUE"""),"FORRO CONVENCIONAL TOBLERONE CABREUVA BRANCA PREMIUM 3 X 3 COMPR. VARIAVEIS")</f>
        <v>FORRO CONVENCIONAL TOBLERONE CABREUVA BRANCA PREMIUM 3 X 3 COMPR. VARIAVEIS</v>
      </c>
      <c r="H292" s="192" t="s">
        <v>383</v>
      </c>
      <c r="I292" s="182" t="str">
        <f t="shared" ca="1" si="2"/>
        <v/>
      </c>
      <c r="J292" s="193"/>
      <c r="K292" s="208" t="s">
        <v>1948</v>
      </c>
      <c r="L292" s="182" t="s">
        <v>384</v>
      </c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4"/>
      <c r="Z292" s="184"/>
      <c r="AA292" s="184"/>
    </row>
    <row r="293" spans="1:27" ht="15.6">
      <c r="A293" s="182"/>
      <c r="B293" s="182"/>
      <c r="C293" s="182"/>
      <c r="D293" s="182"/>
      <c r="E293" s="182"/>
      <c r="F293" s="208"/>
      <c r="G293" s="182" t="str">
        <f ca="1">IFERROR(__xludf.DUMMYFUNCTION("""COMPUTED_VALUE"""),"FORRO CONVENCIONAL TOBLERONE CABREUVA DOURADA PREMIUM 3 X 3 COMPR. VARIAVEIS")</f>
        <v>FORRO CONVENCIONAL TOBLERONE CABREUVA DOURADA PREMIUM 3 X 3 COMPR. VARIAVEIS</v>
      </c>
      <c r="H293" s="192" t="s">
        <v>384</v>
      </c>
      <c r="I293" s="182" t="str">
        <f t="shared" ca="1" si="2"/>
        <v/>
      </c>
      <c r="J293" s="193"/>
      <c r="K293" s="208" t="s">
        <v>1949</v>
      </c>
      <c r="L293" s="182" t="s">
        <v>385</v>
      </c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4"/>
      <c r="Z293" s="184"/>
      <c r="AA293" s="184"/>
    </row>
    <row r="294" spans="1:27" ht="15.6">
      <c r="A294" s="182"/>
      <c r="B294" s="182"/>
      <c r="C294" s="182"/>
      <c r="D294" s="182"/>
      <c r="E294" s="182"/>
      <c r="F294" s="208"/>
      <c r="G294" s="182" t="str">
        <f ca="1">IFERROR(__xludf.DUMMYFUNCTION("""COMPUTED_VALUE"""),"FORRO CONVENCIONAL TOBLERONE TAUARI PREMIUM 3 X 3 COMPR. VARIAVEIS")</f>
        <v>FORRO CONVENCIONAL TOBLERONE TAUARI PREMIUM 3 X 3 COMPR. VARIAVEIS</v>
      </c>
      <c r="H294" s="192" t="s">
        <v>385</v>
      </c>
      <c r="I294" s="182" t="str">
        <f t="shared" ca="1" si="2"/>
        <v/>
      </c>
      <c r="J294" s="193"/>
      <c r="K294" s="208" t="s">
        <v>1950</v>
      </c>
      <c r="L294" s="182" t="s">
        <v>386</v>
      </c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94"/>
      <c r="Z294" s="194"/>
      <c r="AA294" s="194"/>
    </row>
    <row r="295" spans="1:27" ht="15.6">
      <c r="A295" s="182"/>
      <c r="B295" s="182"/>
      <c r="C295" s="182"/>
      <c r="D295" s="182"/>
      <c r="E295" s="182"/>
      <c r="F295" s="208"/>
      <c r="G295" s="182" t="str">
        <f ca="1">IFERROR(__xludf.DUMMYFUNCTION("""COMPUTED_VALUE"""),"FORRO CONVENCIONAL TOBLERONE PEROBA PREMIUM 3 X 3 COMPR. VARIAVEIS")</f>
        <v>FORRO CONVENCIONAL TOBLERONE PEROBA PREMIUM 3 X 3 COMPR. VARIAVEIS</v>
      </c>
      <c r="H295" s="192" t="s">
        <v>386</v>
      </c>
      <c r="I295" s="182" t="str">
        <f t="shared" ca="1" si="2"/>
        <v/>
      </c>
      <c r="J295" s="193"/>
      <c r="K295" s="208" t="s">
        <v>1951</v>
      </c>
      <c r="L295" s="182" t="s">
        <v>387</v>
      </c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4"/>
      <c r="Z295" s="184"/>
      <c r="AA295" s="184"/>
    </row>
    <row r="296" spans="1:27" ht="15.6">
      <c r="A296" s="182"/>
      <c r="B296" s="182"/>
      <c r="C296" s="182"/>
      <c r="D296" s="182"/>
      <c r="E296" s="182"/>
      <c r="F296" s="208"/>
      <c r="G296" s="182" t="str">
        <f ca="1">IFERROR(__xludf.DUMMYFUNCTION("""COMPUTED_VALUE"""),"FORRO CONVENCIONAL TOBLERONE LORO PARDO PREMIUM 3 X 3 COMPR. VARIAVEIS")</f>
        <v>FORRO CONVENCIONAL TOBLERONE LORO PARDO PREMIUM 3 X 3 COMPR. VARIAVEIS</v>
      </c>
      <c r="H296" s="192" t="s">
        <v>387</v>
      </c>
      <c r="I296" s="182" t="str">
        <f t="shared" ca="1" si="2"/>
        <v/>
      </c>
      <c r="J296" s="193"/>
      <c r="K296" s="208" t="s">
        <v>1952</v>
      </c>
      <c r="L296" s="182" t="s">
        <v>388</v>
      </c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4"/>
      <c r="Z296" s="184"/>
      <c r="AA296" s="184"/>
    </row>
    <row r="297" spans="1:27" ht="15.6">
      <c r="A297" s="182"/>
      <c r="B297" s="182"/>
      <c r="C297" s="182"/>
      <c r="D297" s="182"/>
      <c r="E297" s="182"/>
      <c r="F297" s="208"/>
      <c r="G297" s="182" t="str">
        <f ca="1">IFERROR(__xludf.DUMMYFUNCTION("""COMPUTED_VALUE"""),"FORRO CONVENCIONAL DECK CUMARU PREMIUM TG 2,5 X 5 X COMPR. VARIAVEIS")</f>
        <v>FORRO CONVENCIONAL DECK CUMARU PREMIUM TG 2,5 X 5 X COMPR. VARIAVEIS</v>
      </c>
      <c r="H297" s="192" t="s">
        <v>388</v>
      </c>
      <c r="I297" s="182" t="str">
        <f t="shared" ca="1" si="2"/>
        <v/>
      </c>
      <c r="J297" s="193"/>
      <c r="K297" s="208" t="s">
        <v>1953</v>
      </c>
      <c r="L297" s="182" t="s">
        <v>389</v>
      </c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4"/>
      <c r="Z297" s="184"/>
      <c r="AA297" s="184"/>
    </row>
    <row r="298" spans="1:27" ht="15.6">
      <c r="A298" s="182"/>
      <c r="B298" s="182"/>
      <c r="C298" s="182"/>
      <c r="D298" s="182"/>
      <c r="E298" s="182"/>
      <c r="F298" s="208"/>
      <c r="G298" s="182" t="str">
        <f ca="1">IFERROR(__xludf.DUMMYFUNCTION("""COMPUTED_VALUE"""),"FORRO CONVENCIONAL DECK CUMARU PREMIUM TG 2,5 X 10 X COMPR. VARIAVEIS")</f>
        <v>FORRO CONVENCIONAL DECK CUMARU PREMIUM TG 2,5 X 10 X COMPR. VARIAVEIS</v>
      </c>
      <c r="H298" s="192" t="s">
        <v>389</v>
      </c>
      <c r="I298" s="182" t="str">
        <f t="shared" ca="1" si="2"/>
        <v/>
      </c>
      <c r="J298" s="193"/>
      <c r="K298" s="208" t="s">
        <v>1954</v>
      </c>
      <c r="L298" s="182" t="s">
        <v>390</v>
      </c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94"/>
      <c r="Z298" s="194"/>
      <c r="AA298" s="194"/>
    </row>
    <row r="299" spans="1:27" ht="15.6">
      <c r="A299" s="182"/>
      <c r="B299" s="182"/>
      <c r="C299" s="182"/>
      <c r="D299" s="182"/>
      <c r="E299" s="182"/>
      <c r="F299" s="208"/>
      <c r="G299" s="182" t="str">
        <f ca="1">IFERROR(__xludf.DUMMYFUNCTION("""COMPUTED_VALUE"""),"FORRO CONVENCIONAL DECK CATUABA PREMIUM TG 2,5 X 5 X COMPR. VARIAVEIS")</f>
        <v>FORRO CONVENCIONAL DECK CATUABA PREMIUM TG 2,5 X 5 X COMPR. VARIAVEIS</v>
      </c>
      <c r="H299" s="192" t="s">
        <v>390</v>
      </c>
      <c r="I299" s="182" t="str">
        <f t="shared" ca="1" si="2"/>
        <v/>
      </c>
      <c r="J299" s="193"/>
      <c r="K299" s="208" t="s">
        <v>1955</v>
      </c>
      <c r="L299" s="182" t="s">
        <v>391</v>
      </c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4"/>
      <c r="Z299" s="184"/>
      <c r="AA299" s="184"/>
    </row>
    <row r="300" spans="1:27" ht="15.6">
      <c r="A300" s="182"/>
      <c r="B300" s="182"/>
      <c r="C300" s="182"/>
      <c r="D300" s="182"/>
      <c r="E300" s="182"/>
      <c r="F300" s="208"/>
      <c r="G300" s="182" t="str">
        <f ca="1">IFERROR(__xludf.DUMMYFUNCTION("""COMPUTED_VALUE"""),"FORRO CONVENCIONAL DECK CATUABA PREMIUM TG 2,5 X 10 X COMPR. VARIAVEIS")</f>
        <v>FORRO CONVENCIONAL DECK CATUABA PREMIUM TG 2,5 X 10 X COMPR. VARIAVEIS</v>
      </c>
      <c r="H300" s="192" t="s">
        <v>391</v>
      </c>
      <c r="I300" s="182" t="str">
        <f t="shared" ca="1" si="2"/>
        <v/>
      </c>
      <c r="J300" s="193"/>
      <c r="K300" s="208" t="s">
        <v>1956</v>
      </c>
      <c r="L300" s="182" t="s">
        <v>392</v>
      </c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4"/>
      <c r="Z300" s="184"/>
      <c r="AA300" s="184"/>
    </row>
    <row r="301" spans="1:27" ht="15.6">
      <c r="A301" s="182"/>
      <c r="B301" s="182"/>
      <c r="C301" s="182"/>
      <c r="D301" s="182"/>
      <c r="E301" s="182"/>
      <c r="F301" s="208"/>
      <c r="G301" s="182" t="str">
        <f ca="1">IFERROR(__xludf.DUMMYFUNCTION("""COMPUTED_VALUE"""),"FORRO CONVENCIONAL DECK CABREUVA BRANCA PREMIUM TG 2,5 X 5 X COMPR. VARIAVEIS")</f>
        <v>FORRO CONVENCIONAL DECK CABREUVA BRANCA PREMIUM TG 2,5 X 5 X COMPR. VARIAVEIS</v>
      </c>
      <c r="H301" s="192" t="s">
        <v>392</v>
      </c>
      <c r="I301" s="182" t="str">
        <f t="shared" ca="1" si="2"/>
        <v/>
      </c>
      <c r="J301" s="193"/>
      <c r="K301" s="208" t="s">
        <v>1957</v>
      </c>
      <c r="L301" s="182" t="s">
        <v>393</v>
      </c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4"/>
      <c r="Z301" s="184"/>
      <c r="AA301" s="184"/>
    </row>
    <row r="302" spans="1:27" ht="15.6">
      <c r="A302" s="182"/>
      <c r="B302" s="182"/>
      <c r="C302" s="182"/>
      <c r="D302" s="182"/>
      <c r="E302" s="182"/>
      <c r="F302" s="208"/>
      <c r="G302" s="182" t="str">
        <f ca="1">IFERROR(__xludf.DUMMYFUNCTION("""COMPUTED_VALUE"""),"FORRO CONVENCIONAL DECK CABREUVA BRANCA PREMIUM TG 2,5 X 10 X COMPR. VARIAVEIS")</f>
        <v>FORRO CONVENCIONAL DECK CABREUVA BRANCA PREMIUM TG 2,5 X 10 X COMPR. VARIAVEIS</v>
      </c>
      <c r="H302" s="192" t="s">
        <v>393</v>
      </c>
      <c r="I302" s="182" t="str">
        <f t="shared" ca="1" si="2"/>
        <v/>
      </c>
      <c r="J302" s="193"/>
      <c r="K302" s="208" t="s">
        <v>1958</v>
      </c>
      <c r="L302" s="182" t="s">
        <v>394</v>
      </c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94"/>
      <c r="Z302" s="194"/>
      <c r="AA302" s="194"/>
    </row>
    <row r="303" spans="1:27" ht="15.6">
      <c r="A303" s="182"/>
      <c r="B303" s="182"/>
      <c r="C303" s="182"/>
      <c r="D303" s="182"/>
      <c r="E303" s="182"/>
      <c r="F303" s="208"/>
      <c r="G303" s="182" t="str">
        <f ca="1">IFERROR(__xludf.DUMMYFUNCTION("""COMPUTED_VALUE"""),"FORRO CONVENCIONAL DECK CABREUVA DOURADA PREMIUM TG 2,5 X 5 X COMPR. VARIAVEIS")</f>
        <v>FORRO CONVENCIONAL DECK CABREUVA DOURADA PREMIUM TG 2,5 X 5 X COMPR. VARIAVEIS</v>
      </c>
      <c r="H303" s="192" t="s">
        <v>394</v>
      </c>
      <c r="I303" s="182" t="str">
        <f t="shared" ca="1" si="2"/>
        <v/>
      </c>
      <c r="J303" s="193"/>
      <c r="K303" s="208" t="s">
        <v>1959</v>
      </c>
      <c r="L303" s="182" t="s">
        <v>395</v>
      </c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4"/>
      <c r="Z303" s="184"/>
      <c r="AA303" s="184"/>
    </row>
    <row r="304" spans="1:27" ht="15.6">
      <c r="A304" s="182"/>
      <c r="B304" s="182"/>
      <c r="C304" s="182"/>
      <c r="D304" s="182"/>
      <c r="E304" s="182"/>
      <c r="F304" s="208"/>
      <c r="G304" s="182" t="str">
        <f ca="1">IFERROR(__xludf.DUMMYFUNCTION("""COMPUTED_VALUE"""),"FORRO CONVENCIONAL DECK CABREUVA DOURADA PREMIUM TG 2,5 X 10 X COMPR. VARIAVEIS")</f>
        <v>FORRO CONVENCIONAL DECK CABREUVA DOURADA PREMIUM TG 2,5 X 10 X COMPR. VARIAVEIS</v>
      </c>
      <c r="H304" s="192" t="s">
        <v>395</v>
      </c>
      <c r="I304" s="182" t="str">
        <f t="shared" ca="1" si="2"/>
        <v/>
      </c>
      <c r="J304" s="193"/>
      <c r="K304" s="208" t="s">
        <v>1960</v>
      </c>
      <c r="L304" s="182" t="s">
        <v>396</v>
      </c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4"/>
      <c r="Z304" s="184"/>
      <c r="AA304" s="184"/>
    </row>
    <row r="305" spans="1:27" ht="15.6">
      <c r="A305" s="182"/>
      <c r="B305" s="182"/>
      <c r="C305" s="182"/>
      <c r="D305" s="182"/>
      <c r="E305" s="182"/>
      <c r="F305" s="208"/>
      <c r="G305" s="182" t="str">
        <f ca="1">IFERROR(__xludf.DUMMYFUNCTION("""COMPUTED_VALUE"""),"FORRO CONVENCIONAL DECK TAUARI PREMIUM TG 2,5 X 5 X COMPR. VARIAVEIS")</f>
        <v>FORRO CONVENCIONAL DECK TAUARI PREMIUM TG 2,5 X 5 X COMPR. VARIAVEIS</v>
      </c>
      <c r="H305" s="192" t="s">
        <v>396</v>
      </c>
      <c r="I305" s="182" t="str">
        <f t="shared" ca="1" si="2"/>
        <v/>
      </c>
      <c r="J305" s="193"/>
      <c r="K305" s="208" t="s">
        <v>1961</v>
      </c>
      <c r="L305" s="182" t="s">
        <v>397</v>
      </c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4"/>
      <c r="Z305" s="184"/>
      <c r="AA305" s="184"/>
    </row>
    <row r="306" spans="1:27" ht="15.6">
      <c r="A306" s="182"/>
      <c r="B306" s="182"/>
      <c r="C306" s="182"/>
      <c r="D306" s="182"/>
      <c r="E306" s="182"/>
      <c r="F306" s="208"/>
      <c r="G306" s="182" t="str">
        <f ca="1">IFERROR(__xludf.DUMMYFUNCTION("""COMPUTED_VALUE"""),"FORRO CONVENCIONAL DECK TAUARI PREMIUM TG 2,5 X 10 X COMPR. VARIAVEIS")</f>
        <v>FORRO CONVENCIONAL DECK TAUARI PREMIUM TG 2,5 X 10 X COMPR. VARIAVEIS</v>
      </c>
      <c r="H306" s="192" t="s">
        <v>397</v>
      </c>
      <c r="I306" s="182" t="str">
        <f t="shared" ca="1" si="2"/>
        <v/>
      </c>
      <c r="J306" s="193"/>
      <c r="K306" s="208" t="s">
        <v>1962</v>
      </c>
      <c r="L306" s="182" t="s">
        <v>398</v>
      </c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94"/>
      <c r="Z306" s="194"/>
      <c r="AA306" s="194"/>
    </row>
    <row r="307" spans="1:27" ht="15.6">
      <c r="A307" s="182"/>
      <c r="B307" s="182"/>
      <c r="C307" s="182"/>
      <c r="D307" s="182"/>
      <c r="E307" s="182"/>
      <c r="F307" s="208"/>
      <c r="G307" s="182" t="str">
        <f ca="1">IFERROR(__xludf.DUMMYFUNCTION("""COMPUTED_VALUE"""),"FORRO CONVENCIONAL DECK PEROBA PREMIUM TG 2,5 X 5 X COMPR. VARIAVEIS")</f>
        <v>FORRO CONVENCIONAL DECK PEROBA PREMIUM TG 2,5 X 5 X COMPR. VARIAVEIS</v>
      </c>
      <c r="H307" s="192" t="s">
        <v>398</v>
      </c>
      <c r="I307" s="182" t="str">
        <f t="shared" ca="1" si="2"/>
        <v/>
      </c>
      <c r="J307" s="193"/>
      <c r="K307" s="208" t="s">
        <v>1963</v>
      </c>
      <c r="L307" s="182" t="s">
        <v>399</v>
      </c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4"/>
      <c r="Z307" s="184"/>
      <c r="AA307" s="184"/>
    </row>
    <row r="308" spans="1:27" ht="15.6">
      <c r="A308" s="182"/>
      <c r="B308" s="182"/>
      <c r="C308" s="182"/>
      <c r="D308" s="182"/>
      <c r="E308" s="182"/>
      <c r="F308" s="208"/>
      <c r="G308" s="182" t="str">
        <f ca="1">IFERROR(__xludf.DUMMYFUNCTION("""COMPUTED_VALUE"""),"FORRO CONVENCIONAL DECK PEROBA PREMIUM TG 2,5 X 10 X COMPR. VARIAVEIS")</f>
        <v>FORRO CONVENCIONAL DECK PEROBA PREMIUM TG 2,5 X 10 X COMPR. VARIAVEIS</v>
      </c>
      <c r="H308" s="192" t="s">
        <v>399</v>
      </c>
      <c r="I308" s="182" t="str">
        <f t="shared" ca="1" si="2"/>
        <v/>
      </c>
      <c r="J308" s="193"/>
      <c r="K308" s="208" t="s">
        <v>1964</v>
      </c>
      <c r="L308" s="182" t="s">
        <v>400</v>
      </c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4"/>
      <c r="Z308" s="184"/>
      <c r="AA308" s="184"/>
    </row>
    <row r="309" spans="1:27" ht="15.6">
      <c r="A309" s="182"/>
      <c r="B309" s="182"/>
      <c r="C309" s="182"/>
      <c r="D309" s="182"/>
      <c r="E309" s="182"/>
      <c r="F309" s="208"/>
      <c r="G309" s="182" t="str">
        <f ca="1">IFERROR(__xludf.DUMMYFUNCTION("""COMPUTED_VALUE"""),"FORRO CONVENCIONAL DECK BAMBU CARAMEL ALTA DENSIDADE")</f>
        <v>FORRO CONVENCIONAL DECK BAMBU CARAMEL ALTA DENSIDADE</v>
      </c>
      <c r="H309" s="192" t="s">
        <v>400</v>
      </c>
      <c r="I309" s="182" t="str">
        <f t="shared" ca="1" si="2"/>
        <v/>
      </c>
      <c r="J309" s="193"/>
      <c r="K309" s="208" t="s">
        <v>1965</v>
      </c>
      <c r="L309" s="182" t="s">
        <v>401</v>
      </c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4"/>
      <c r="Z309" s="184"/>
      <c r="AA309" s="184"/>
    </row>
    <row r="310" spans="1:27" ht="15.6">
      <c r="A310" s="182"/>
      <c r="B310" s="182"/>
      <c r="C310" s="182"/>
      <c r="D310" s="182"/>
      <c r="E310" s="182"/>
      <c r="F310" s="208"/>
      <c r="G310" s="182" t="str">
        <f ca="1">IFERROR(__xludf.DUMMYFUNCTION("""COMPUTED_VALUE"""),"FORRO CONVENCIONAL DECK BPC CINZA ESCURO 2 X15X 290CM PÇ/0.435M2")</f>
        <v>FORRO CONVENCIONAL DECK BPC CINZA ESCURO 2 X15X 290CM PÇ/0.435M2</v>
      </c>
      <c r="H310" s="192" t="s">
        <v>401</v>
      </c>
      <c r="I310" s="182" t="str">
        <f t="shared" ca="1" si="2"/>
        <v/>
      </c>
      <c r="J310" s="193"/>
      <c r="K310" s="208" t="s">
        <v>1966</v>
      </c>
      <c r="L310" s="182" t="s">
        <v>402</v>
      </c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94"/>
      <c r="Z310" s="194"/>
      <c r="AA310" s="194"/>
    </row>
    <row r="311" spans="1:27" ht="15.6">
      <c r="A311" s="182"/>
      <c r="B311" s="182"/>
      <c r="C311" s="182"/>
      <c r="D311" s="182"/>
      <c r="E311" s="182"/>
      <c r="F311" s="208"/>
      <c r="G311" s="182" t="str">
        <f ca="1">IFERROR(__xludf.DUMMYFUNCTION("""COMPUTED_VALUE"""),"FORRO CONVENCIONAL DECK BPC MORROM 2X15X220CM")</f>
        <v>FORRO CONVENCIONAL DECK BPC MORROM 2X15X220CM</v>
      </c>
      <c r="H311" s="192" t="s">
        <v>402</v>
      </c>
      <c r="I311" s="182" t="str">
        <f t="shared" ca="1" si="2"/>
        <v/>
      </c>
      <c r="J311" s="193"/>
      <c r="K311" s="208" t="s">
        <v>1967</v>
      </c>
      <c r="L311" s="182" t="s">
        <v>403</v>
      </c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4"/>
      <c r="Z311" s="184"/>
      <c r="AA311" s="184"/>
    </row>
    <row r="312" spans="1:27" ht="15.6">
      <c r="A312" s="182"/>
      <c r="B312" s="182"/>
      <c r="C312" s="182"/>
      <c r="D312" s="182"/>
      <c r="E312" s="182"/>
      <c r="F312" s="208"/>
      <c r="G312" s="182" t="str">
        <f ca="1">IFERROR(__xludf.DUMMYFUNCTION("""COMPUTED_VALUE"""),"FORRO CONVENCIONAL DECK WPC CINZA 2,2*14,6*220CM")</f>
        <v>FORRO CONVENCIONAL DECK WPC CINZA 2,2*14,6*220CM</v>
      </c>
      <c r="H312" s="192" t="s">
        <v>403</v>
      </c>
      <c r="I312" s="182" t="str">
        <f t="shared" ca="1" si="2"/>
        <v/>
      </c>
      <c r="J312" s="193"/>
      <c r="K312" s="208" t="s">
        <v>1968</v>
      </c>
      <c r="L312" s="182" t="s">
        <v>404</v>
      </c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4"/>
      <c r="Z312" s="184"/>
      <c r="AA312" s="184"/>
    </row>
    <row r="313" spans="1:27" ht="15.6">
      <c r="A313" s="182"/>
      <c r="B313" s="182"/>
      <c r="C313" s="182"/>
      <c r="D313" s="182"/>
      <c r="E313" s="182"/>
      <c r="F313" s="208"/>
      <c r="G313" s="182" t="str">
        <f ca="1">IFERROR(__xludf.DUMMYFUNCTION("""COMPUTED_VALUE"""),"FORRO CONVENCIONAL PEROBA RUSTICA DE DEMOLIÇÃO")</f>
        <v>FORRO CONVENCIONAL PEROBA RUSTICA DE DEMOLIÇÃO</v>
      </c>
      <c r="H313" s="192" t="s">
        <v>404</v>
      </c>
      <c r="I313" s="182" t="str">
        <f t="shared" ca="1" si="2"/>
        <v/>
      </c>
      <c r="J313" s="193"/>
      <c r="K313" s="208" t="s">
        <v>1969</v>
      </c>
      <c r="L313" s="182" t="s">
        <v>405</v>
      </c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4"/>
      <c r="Z313" s="184"/>
      <c r="AA313" s="184"/>
    </row>
    <row r="314" spans="1:27" ht="15.6">
      <c r="A314" s="182"/>
      <c r="B314" s="182"/>
      <c r="C314" s="182"/>
      <c r="D314" s="182"/>
      <c r="E314" s="182"/>
      <c r="F314" s="208"/>
      <c r="G314" s="182" t="str">
        <f ca="1">IFERROR(__xludf.DUMMYFUNCTION("""COMPUTED_VALUE"""),"FORRO CONVENCIONAL CANELA RUSTICA DE DEMOLIÇÃO")</f>
        <v>FORRO CONVENCIONAL CANELA RUSTICA DE DEMOLIÇÃO</v>
      </c>
      <c r="H314" s="192" t="s">
        <v>405</v>
      </c>
      <c r="I314" s="182" t="str">
        <f t="shared" ca="1" si="2"/>
        <v/>
      </c>
      <c r="J314" s="193"/>
      <c r="K314" s="220" t="s">
        <v>88</v>
      </c>
      <c r="L314" s="182" t="s">
        <v>89</v>
      </c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94"/>
      <c r="Z314" s="194"/>
      <c r="AA314" s="194"/>
    </row>
    <row r="315" spans="1:27" ht="15.6">
      <c r="A315" s="182"/>
      <c r="B315" s="182"/>
      <c r="C315" s="182"/>
      <c r="D315" s="182"/>
      <c r="E315" s="182"/>
      <c r="F315" s="220" t="s">
        <v>88</v>
      </c>
      <c r="G315" s="221" t="str">
        <f ca="1">IFERROR(__xludf.DUMMYFUNCTION("""COMPUTED_VALUE"""),"PAINEL CARVALHO CARVALHO EUROPEU MARRONE CHEVRON 15/3 X 1900X 740MM")</f>
        <v>PAINEL CARVALHO CARVALHO EUROPEU MARRONE CHEVRON 15/3 X 1900X 740MM</v>
      </c>
      <c r="H315" s="192" t="s">
        <v>89</v>
      </c>
      <c r="I315" s="182" t="str">
        <f t="shared" ca="1" si="2"/>
        <v/>
      </c>
      <c r="J315" s="193"/>
      <c r="K315" s="211" t="s">
        <v>83</v>
      </c>
      <c r="L315" s="182" t="s">
        <v>84</v>
      </c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4"/>
      <c r="Z315" s="184"/>
      <c r="AA315" s="184"/>
    </row>
    <row r="316" spans="1:27" ht="15.6">
      <c r="A316" s="182"/>
      <c r="B316" s="182"/>
      <c r="C316" s="182"/>
      <c r="D316" s="182"/>
      <c r="E316" s="182"/>
      <c r="F316" s="211" t="s">
        <v>83</v>
      </c>
      <c r="G316" s="212" t="str">
        <f ca="1">IFERROR(__xludf.DUMMYFUNCTION("""COMPUTED_VALUE"""),"PAINEL CARVALHO CARVALHO EUROPEU MARRONE 15/3 X 125 X 1200MM")</f>
        <v>PAINEL CARVALHO CARVALHO EUROPEU MARRONE 15/3 X 125 X 1200MM</v>
      </c>
      <c r="H316" s="192" t="s">
        <v>84</v>
      </c>
      <c r="I316" s="182" t="str">
        <f t="shared" ca="1" si="2"/>
        <v/>
      </c>
      <c r="J316" s="193"/>
      <c r="K316" s="211" t="s">
        <v>1970</v>
      </c>
      <c r="L316" s="182" t="s">
        <v>85</v>
      </c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4"/>
      <c r="Z316" s="184"/>
      <c r="AA316" s="184"/>
    </row>
    <row r="317" spans="1:27" ht="15.6">
      <c r="A317" s="182"/>
      <c r="B317" s="182"/>
      <c r="C317" s="182"/>
      <c r="D317" s="182"/>
      <c r="E317" s="182"/>
      <c r="F317" s="211" t="s">
        <v>1970</v>
      </c>
      <c r="G317" s="212" t="str">
        <f ca="1">IFERROR(__xludf.DUMMYFUNCTION("""COMPUTED_VALUE"""),"PAINEL CARVALHO CARVALHO EUROPEU MARRONE 15/3 X 190 X 1900MM")</f>
        <v>PAINEL CARVALHO CARVALHO EUROPEU MARRONE 15/3 X 190 X 1900MM</v>
      </c>
      <c r="H317" s="192" t="s">
        <v>85</v>
      </c>
      <c r="I317" s="182" t="str">
        <f t="shared" ca="1" si="2"/>
        <v/>
      </c>
      <c r="J317" s="193"/>
      <c r="K317" s="208" t="s">
        <v>1971</v>
      </c>
      <c r="L317" s="182" t="s">
        <v>406</v>
      </c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4"/>
      <c r="Z317" s="184"/>
      <c r="AA317" s="184"/>
    </row>
    <row r="318" spans="1:27" ht="15.6">
      <c r="A318" s="182"/>
      <c r="B318" s="182"/>
      <c r="C318" s="182"/>
      <c r="D318" s="182"/>
      <c r="E318" s="182"/>
      <c r="F318" s="208"/>
      <c r="G318" s="182" t="str">
        <f ca="1">IFERROR(__xludf.DUMMYFUNCTION("""COMPUTED_VALUE"""),"PAINEL CARVALHO CARVALHO EUROPEU MARRONE 20/6 X 300 X 4000MM")</f>
        <v>PAINEL CARVALHO CARVALHO EUROPEU MARRONE 20/6 X 300 X 4000MM</v>
      </c>
      <c r="H318" s="192" t="s">
        <v>406</v>
      </c>
      <c r="I318" s="182" t="str">
        <f t="shared" ca="1" si="2"/>
        <v/>
      </c>
      <c r="J318" s="193"/>
      <c r="K318" s="208" t="s">
        <v>1972</v>
      </c>
      <c r="L318" s="182" t="s">
        <v>407</v>
      </c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94"/>
      <c r="Z318" s="194"/>
      <c r="AA318" s="194"/>
    </row>
    <row r="319" spans="1:27" ht="15.6">
      <c r="A319" s="182"/>
      <c r="B319" s="182"/>
      <c r="C319" s="182"/>
      <c r="D319" s="182"/>
      <c r="E319" s="182"/>
      <c r="F319" s="208"/>
      <c r="G319" s="182" t="str">
        <f ca="1">IFERROR(__xludf.DUMMYFUNCTION("""COMPUTED_VALUE"""),"PAINEL CARVALHO CARVALHO EUROPEU MARRONE 20/6 X 400 X 5000MM")</f>
        <v>PAINEL CARVALHO CARVALHO EUROPEU MARRONE 20/6 X 400 X 5000MM</v>
      </c>
      <c r="H319" s="192" t="s">
        <v>407</v>
      </c>
      <c r="I319" s="182" t="str">
        <f t="shared" ca="1" si="2"/>
        <v/>
      </c>
      <c r="J319" s="193"/>
      <c r="K319" s="208" t="s">
        <v>1973</v>
      </c>
      <c r="L319" s="182" t="s">
        <v>408</v>
      </c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4"/>
      <c r="Z319" s="184"/>
      <c r="AA319" s="184"/>
    </row>
    <row r="320" spans="1:27" ht="15.6">
      <c r="A320" s="182"/>
      <c r="B320" s="182"/>
      <c r="C320" s="182"/>
      <c r="D320" s="182"/>
      <c r="E320" s="182"/>
      <c r="F320" s="208"/>
      <c r="G320" s="182" t="str">
        <f ca="1">IFERROR(__xludf.DUMMYFUNCTION("""COMPUTED_VALUE"""),"PAINEL CARVALHO CARVALHO EUROPEU MONT BLANC CHEVRON 15/3 X 1900X 740MM")</f>
        <v>PAINEL CARVALHO CARVALHO EUROPEU MONT BLANC CHEVRON 15/3 X 1900X 740MM</v>
      </c>
      <c r="H320" s="192" t="s">
        <v>408</v>
      </c>
      <c r="I320" s="182" t="str">
        <f t="shared" ca="1" si="2"/>
        <v/>
      </c>
      <c r="J320" s="193"/>
      <c r="K320" s="208" t="s">
        <v>1974</v>
      </c>
      <c r="L320" s="182" t="s">
        <v>409</v>
      </c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4"/>
      <c r="Z320" s="184"/>
      <c r="AA320" s="184"/>
    </row>
    <row r="321" spans="1:27" ht="15.6">
      <c r="A321" s="182"/>
      <c r="B321" s="182"/>
      <c r="C321" s="182"/>
      <c r="D321" s="182"/>
      <c r="E321" s="182"/>
      <c r="F321" s="208"/>
      <c r="G321" s="182" t="str">
        <f ca="1">IFERROR(__xludf.DUMMYFUNCTION("""COMPUTED_VALUE"""),"PAINEL CARVALHO CARVALHO EUROPEU MONT BLANC ESPINHA DE PEIXE TG 15/3 X 125X900MM")</f>
        <v>PAINEL CARVALHO CARVALHO EUROPEU MONT BLANC ESPINHA DE PEIXE TG 15/3 X 125X900MM</v>
      </c>
      <c r="H321" s="192" t="s">
        <v>409</v>
      </c>
      <c r="I321" s="182" t="str">
        <f t="shared" ca="1" si="2"/>
        <v/>
      </c>
      <c r="J321" s="193"/>
      <c r="K321" s="208" t="s">
        <v>1975</v>
      </c>
      <c r="L321" s="182" t="s">
        <v>410</v>
      </c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4"/>
      <c r="Z321" s="184"/>
      <c r="AA321" s="184"/>
    </row>
    <row r="322" spans="1:27" ht="15.6">
      <c r="A322" s="182"/>
      <c r="B322" s="182"/>
      <c r="C322" s="182"/>
      <c r="D322" s="182"/>
      <c r="E322" s="182"/>
      <c r="F322" s="208"/>
      <c r="G322" s="182" t="str">
        <f ca="1">IFERROR(__xludf.DUMMYFUNCTION("""COMPUTED_VALUE"""),"PAINEL CARVALHO CARVALHO EUROPEU MONT BLANC 15/3 X 125 X 1200MM")</f>
        <v>PAINEL CARVALHO CARVALHO EUROPEU MONT BLANC 15/3 X 125 X 1200MM</v>
      </c>
      <c r="H322" s="192" t="s">
        <v>410</v>
      </c>
      <c r="I322" s="182" t="str">
        <f t="shared" ca="1" si="2"/>
        <v/>
      </c>
      <c r="J322" s="193"/>
      <c r="K322" s="208" t="s">
        <v>1976</v>
      </c>
      <c r="L322" s="182" t="s">
        <v>411</v>
      </c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94"/>
      <c r="Z322" s="194"/>
      <c r="AA322" s="194"/>
    </row>
    <row r="323" spans="1:27" ht="15.6">
      <c r="A323" s="182"/>
      <c r="B323" s="182"/>
      <c r="C323" s="182"/>
      <c r="D323" s="182"/>
      <c r="E323" s="182"/>
      <c r="F323" s="208"/>
      <c r="G323" s="182" t="str">
        <f ca="1">IFERROR(__xludf.DUMMYFUNCTION("""COMPUTED_VALUE"""),"PAINEL CARVALHO CARVALHO EUROPEU MONT BLANC 15/3 X 190 X 1900MM")</f>
        <v>PAINEL CARVALHO CARVALHO EUROPEU MONT BLANC 15/3 X 190 X 1900MM</v>
      </c>
      <c r="H323" s="192" t="s">
        <v>411</v>
      </c>
      <c r="I323" s="182" t="str">
        <f t="shared" ca="1" si="2"/>
        <v/>
      </c>
      <c r="J323" s="193"/>
      <c r="K323" s="208" t="s">
        <v>1977</v>
      </c>
      <c r="L323" s="182" t="s">
        <v>412</v>
      </c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4"/>
      <c r="Z323" s="184"/>
      <c r="AA323" s="184"/>
    </row>
    <row r="324" spans="1:27" ht="15.6">
      <c r="A324" s="182"/>
      <c r="B324" s="182"/>
      <c r="C324" s="182"/>
      <c r="D324" s="182"/>
      <c r="E324" s="182"/>
      <c r="F324" s="208"/>
      <c r="G324" s="182" t="str">
        <f ca="1">IFERROR(__xludf.DUMMYFUNCTION("""COMPUTED_VALUE"""),"PAINEL CARVALHO CARVALHO EUROPEU MONT BLANC 20/6 X 300 X 4000MM")</f>
        <v>PAINEL CARVALHO CARVALHO EUROPEU MONT BLANC 20/6 X 300 X 4000MM</v>
      </c>
      <c r="H324" s="192" t="s">
        <v>412</v>
      </c>
      <c r="I324" s="182" t="str">
        <f t="shared" ca="1" si="2"/>
        <v/>
      </c>
      <c r="J324" s="193"/>
      <c r="K324" s="208" t="s">
        <v>1978</v>
      </c>
      <c r="L324" s="182" t="s">
        <v>413</v>
      </c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4"/>
      <c r="Z324" s="184"/>
      <c r="AA324" s="184"/>
    </row>
    <row r="325" spans="1:27" ht="15.6">
      <c r="A325" s="182"/>
      <c r="B325" s="182"/>
      <c r="C325" s="182"/>
      <c r="D325" s="182"/>
      <c r="E325" s="182"/>
      <c r="F325" s="208"/>
      <c r="G325" s="182" t="str">
        <f ca="1">IFERROR(__xludf.DUMMYFUNCTION("""COMPUTED_VALUE"""),"PAINEL CARVALHO CARVALHO EUROPEU MONT BLANC 20/6 X 400 X 5000MM")</f>
        <v>PAINEL CARVALHO CARVALHO EUROPEU MONT BLANC 20/6 X 400 X 5000MM</v>
      </c>
      <c r="H325" s="192" t="s">
        <v>413</v>
      </c>
      <c r="I325" s="182" t="str">
        <f t="shared" ca="1" si="2"/>
        <v/>
      </c>
      <c r="J325" s="193"/>
      <c r="K325" s="208" t="s">
        <v>1979</v>
      </c>
      <c r="L325" s="182" t="s">
        <v>414</v>
      </c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4"/>
      <c r="Z325" s="184"/>
      <c r="AA325" s="184"/>
    </row>
    <row r="326" spans="1:27" ht="15.6">
      <c r="A326" s="182"/>
      <c r="B326" s="182"/>
      <c r="C326" s="182"/>
      <c r="D326" s="182"/>
      <c r="E326" s="182"/>
      <c r="F326" s="208"/>
      <c r="G326" s="182" t="str">
        <f ca="1">IFERROR(__xludf.DUMMYFUNCTION("""COMPUTED_VALUE"""),"PAINEL CARVALHO CARVALHO EUROPEU NATURAL CHEVRON TG 15/3 X 125 X 775MM")</f>
        <v>PAINEL CARVALHO CARVALHO EUROPEU NATURAL CHEVRON TG 15/3 X 125 X 775MM</v>
      </c>
      <c r="H326" s="192" t="s">
        <v>414</v>
      </c>
      <c r="I326" s="182" t="str">
        <f t="shared" ca="1" si="2"/>
        <v/>
      </c>
      <c r="J326" s="193"/>
      <c r="K326" s="208" t="s">
        <v>1980</v>
      </c>
      <c r="L326" s="182" t="s">
        <v>415</v>
      </c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94"/>
      <c r="Z326" s="194"/>
      <c r="AA326" s="194"/>
    </row>
    <row r="327" spans="1:27" ht="15.6">
      <c r="A327" s="182"/>
      <c r="B327" s="182"/>
      <c r="C327" s="182"/>
      <c r="D327" s="182"/>
      <c r="E327" s="182"/>
      <c r="F327" s="208"/>
      <c r="G327" s="182" t="str">
        <f ca="1">IFERROR(__xludf.DUMMYFUNCTION("""COMPUTED_VALUE"""),"PAINEL CARVALHO CARVALHO EUROPEU NATURALLE CHEVRON 15/3 X 1900X 740MM")</f>
        <v>PAINEL CARVALHO CARVALHO EUROPEU NATURALLE CHEVRON 15/3 X 1900X 740MM</v>
      </c>
      <c r="H327" s="192" t="s">
        <v>415</v>
      </c>
      <c r="I327" s="182" t="str">
        <f t="shared" ca="1" si="2"/>
        <v/>
      </c>
      <c r="J327" s="193"/>
      <c r="K327" s="208" t="s">
        <v>1981</v>
      </c>
      <c r="L327" s="182" t="s">
        <v>416</v>
      </c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4"/>
      <c r="Z327" s="184"/>
      <c r="AA327" s="184"/>
    </row>
    <row r="328" spans="1:27" ht="15.6">
      <c r="A328" s="182"/>
      <c r="B328" s="182"/>
      <c r="C328" s="182"/>
      <c r="D328" s="182"/>
      <c r="E328" s="182"/>
      <c r="F328" s="208"/>
      <c r="G328" s="182" t="str">
        <f ca="1">IFERROR(__xludf.DUMMYFUNCTION("""COMPUTED_VALUE"""),"PAINEL CARVALHO CARVALHO EUROPEU NATURALLE CHEVRON 60º 15/3 X 1900X 910MM")</f>
        <v>PAINEL CARVALHO CARVALHO EUROPEU NATURALLE CHEVRON 60º 15/3 X 1900X 910MM</v>
      </c>
      <c r="H328" s="192" t="s">
        <v>416</v>
      </c>
      <c r="I328" s="182" t="str">
        <f t="shared" ca="1" si="2"/>
        <v/>
      </c>
      <c r="J328" s="193"/>
      <c r="K328" s="208" t="s">
        <v>1982</v>
      </c>
      <c r="L328" s="182" t="s">
        <v>417</v>
      </c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4"/>
      <c r="Z328" s="184"/>
      <c r="AA328" s="184"/>
    </row>
    <row r="329" spans="1:27" ht="15.6">
      <c r="A329" s="182"/>
      <c r="B329" s="182"/>
      <c r="C329" s="182"/>
      <c r="D329" s="182"/>
      <c r="E329" s="182"/>
      <c r="F329" s="208"/>
      <c r="G329" s="182" t="str">
        <f ca="1">IFERROR(__xludf.DUMMYFUNCTION("""COMPUTED_VALUE"""),"PAINEL CARVALHO CARVALHO EUROPEU NATURALLE FINE 10/06 X 1900 X 1900MM")</f>
        <v>PAINEL CARVALHO CARVALHO EUROPEU NATURALLE FINE 10/06 X 1900 X 1900MM</v>
      </c>
      <c r="H329" s="192" t="s">
        <v>417</v>
      </c>
      <c r="I329" s="182" t="str">
        <f t="shared" ca="1" si="2"/>
        <v/>
      </c>
      <c r="J329" s="193"/>
      <c r="K329" s="208" t="s">
        <v>1983</v>
      </c>
      <c r="L329" s="182" t="s">
        <v>418</v>
      </c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4"/>
      <c r="Z329" s="184"/>
      <c r="AA329" s="184"/>
    </row>
    <row r="330" spans="1:27" ht="15.6">
      <c r="A330" s="182"/>
      <c r="B330" s="182"/>
      <c r="C330" s="182"/>
      <c r="D330" s="182"/>
      <c r="E330" s="182"/>
      <c r="F330" s="208"/>
      <c r="G330" s="182" t="str">
        <f ca="1">IFERROR(__xludf.DUMMYFUNCTION("""COMPUTED_VALUE"""),"PAINEL CARVALHO CARVALHO EUROPEU NATURALLE 15/3 X 125 X 1200MM")</f>
        <v>PAINEL CARVALHO CARVALHO EUROPEU NATURALLE 15/3 X 125 X 1200MM</v>
      </c>
      <c r="H330" s="192" t="s">
        <v>418</v>
      </c>
      <c r="I330" s="182" t="str">
        <f t="shared" ca="1" si="2"/>
        <v/>
      </c>
      <c r="J330" s="193"/>
      <c r="K330" s="208" t="s">
        <v>1984</v>
      </c>
      <c r="L330" s="182" t="s">
        <v>419</v>
      </c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94"/>
      <c r="Z330" s="194"/>
      <c r="AA330" s="194"/>
    </row>
    <row r="331" spans="1:27" ht="15.6">
      <c r="A331" s="182"/>
      <c r="B331" s="182"/>
      <c r="C331" s="182"/>
      <c r="D331" s="182"/>
      <c r="E331" s="182"/>
      <c r="F331" s="208"/>
      <c r="G331" s="182" t="str">
        <f ca="1">IFERROR(__xludf.DUMMYFUNCTION("""COMPUTED_VALUE"""),"PAINEL CARVALHO CARVALHO EUROPEU NATURALLE 15/3 X 190 X 1900MM")</f>
        <v>PAINEL CARVALHO CARVALHO EUROPEU NATURALLE 15/3 X 190 X 1900MM</v>
      </c>
      <c r="H331" s="192" t="s">
        <v>419</v>
      </c>
      <c r="I331" s="182" t="str">
        <f t="shared" ca="1" si="2"/>
        <v/>
      </c>
      <c r="J331" s="193"/>
      <c r="K331" s="208" t="s">
        <v>1985</v>
      </c>
      <c r="L331" s="182" t="s">
        <v>420</v>
      </c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4"/>
      <c r="Z331" s="184"/>
      <c r="AA331" s="184"/>
    </row>
    <row r="332" spans="1:27" ht="15.6">
      <c r="A332" s="182"/>
      <c r="B332" s="182"/>
      <c r="C332" s="182"/>
      <c r="D332" s="182"/>
      <c r="E332" s="182"/>
      <c r="F332" s="208"/>
      <c r="G332" s="182" t="str">
        <f ca="1">IFERROR(__xludf.DUMMYFUNCTION("""COMPUTED_VALUE"""),"PAINEL CARVALHO CARVALHO EUROPEU NATURALLE 20/6 X 300 X 4000MM")</f>
        <v>PAINEL CARVALHO CARVALHO EUROPEU NATURALLE 20/6 X 300 X 4000MM</v>
      </c>
      <c r="H332" s="192" t="s">
        <v>420</v>
      </c>
      <c r="I332" s="182" t="str">
        <f t="shared" ca="1" si="2"/>
        <v/>
      </c>
      <c r="J332" s="193"/>
      <c r="K332" s="208" t="s">
        <v>1986</v>
      </c>
      <c r="L332" s="182" t="s">
        <v>421</v>
      </c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4"/>
      <c r="Z332" s="184"/>
      <c r="AA332" s="184"/>
    </row>
    <row r="333" spans="1:27" ht="15.6">
      <c r="A333" s="182"/>
      <c r="B333" s="182"/>
      <c r="C333" s="182"/>
      <c r="D333" s="182"/>
      <c r="E333" s="182"/>
      <c r="F333" s="208"/>
      <c r="G333" s="182" t="str">
        <f ca="1">IFERROR(__xludf.DUMMYFUNCTION("""COMPUTED_VALUE"""),"PAINEL CARVALHO CARVALHO EUROPEU NATURALLE 20/6 X 400 X 5000MM")</f>
        <v>PAINEL CARVALHO CARVALHO EUROPEU NATURALLE 20/6 X 400 X 5000MM</v>
      </c>
      <c r="H333" s="192" t="s">
        <v>421</v>
      </c>
      <c r="I333" s="182" t="str">
        <f t="shared" ca="1" si="2"/>
        <v/>
      </c>
      <c r="J333" s="193"/>
      <c r="K333" s="208" t="s">
        <v>1987</v>
      </c>
      <c r="L333" s="182" t="s">
        <v>422</v>
      </c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4"/>
      <c r="Z333" s="184"/>
      <c r="AA333" s="184"/>
    </row>
    <row r="334" spans="1:27" ht="15.6">
      <c r="A334" s="182"/>
      <c r="B334" s="182"/>
      <c r="C334" s="182"/>
      <c r="D334" s="182"/>
      <c r="E334" s="182"/>
      <c r="F334" s="208"/>
      <c r="G334" s="182" t="str">
        <f ca="1">IFERROR(__xludf.DUMMYFUNCTION("""COMPUTED_VALUE"""),"PAINEL CARVALHO CARVALHO EUROPEU CAPUCCINO CHEVRON 15/3 X 1900X 740MM")</f>
        <v>PAINEL CARVALHO CARVALHO EUROPEU CAPUCCINO CHEVRON 15/3 X 1900X 740MM</v>
      </c>
      <c r="H334" s="192" t="s">
        <v>422</v>
      </c>
      <c r="I334" s="182" t="str">
        <f t="shared" ca="1" si="2"/>
        <v/>
      </c>
      <c r="J334" s="193"/>
      <c r="K334" s="208" t="s">
        <v>1988</v>
      </c>
      <c r="L334" s="182" t="s">
        <v>423</v>
      </c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94"/>
      <c r="Z334" s="194"/>
      <c r="AA334" s="194"/>
    </row>
    <row r="335" spans="1:27" ht="15.6">
      <c r="A335" s="182"/>
      <c r="B335" s="182"/>
      <c r="C335" s="182"/>
      <c r="D335" s="182"/>
      <c r="E335" s="182"/>
      <c r="F335" s="208"/>
      <c r="G335" s="182" t="str">
        <f ca="1">IFERROR(__xludf.DUMMYFUNCTION("""COMPUTED_VALUE"""),"PAINEL CARVALHO CARVALHO EUROPEU CAPUCCINO 15/3 X 125 X 1200MM")</f>
        <v>PAINEL CARVALHO CARVALHO EUROPEU CAPUCCINO 15/3 X 125 X 1200MM</v>
      </c>
      <c r="H335" s="192" t="s">
        <v>423</v>
      </c>
      <c r="I335" s="182" t="str">
        <f t="shared" ca="1" si="2"/>
        <v/>
      </c>
      <c r="J335" s="193"/>
      <c r="K335" s="208" t="s">
        <v>1989</v>
      </c>
      <c r="L335" s="182" t="s">
        <v>424</v>
      </c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4"/>
      <c r="Z335" s="184"/>
      <c r="AA335" s="184"/>
    </row>
    <row r="336" spans="1:27" ht="15.6">
      <c r="A336" s="182"/>
      <c r="B336" s="182"/>
      <c r="C336" s="182"/>
      <c r="D336" s="182"/>
      <c r="E336" s="182"/>
      <c r="F336" s="208"/>
      <c r="G336" s="182" t="str">
        <f ca="1">IFERROR(__xludf.DUMMYFUNCTION("""COMPUTED_VALUE"""),"PAINEL CARVALHO CARVALHO EUROPEU CAPPUCCINO ESPINHA DE PEIXE TG 15/3 X 125X900MM")</f>
        <v>PAINEL CARVALHO CARVALHO EUROPEU CAPPUCCINO ESPINHA DE PEIXE TG 15/3 X 125X900MM</v>
      </c>
      <c r="H336" s="192" t="s">
        <v>424</v>
      </c>
      <c r="I336" s="182" t="str">
        <f t="shared" ca="1" si="2"/>
        <v/>
      </c>
      <c r="J336" s="193"/>
      <c r="K336" s="208" t="s">
        <v>1990</v>
      </c>
      <c r="L336" s="182" t="s">
        <v>425</v>
      </c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4"/>
      <c r="Z336" s="184"/>
      <c r="AA336" s="184"/>
    </row>
    <row r="337" spans="1:27" ht="15.6">
      <c r="A337" s="182"/>
      <c r="B337" s="182"/>
      <c r="C337" s="182"/>
      <c r="D337" s="182"/>
      <c r="E337" s="182"/>
      <c r="F337" s="208"/>
      <c r="G337" s="182" t="str">
        <f ca="1">IFERROR(__xludf.DUMMYFUNCTION("""COMPUTED_VALUE"""),"PAINEL CARVALHO CARVALHO EUROPEU CAPUCCINO 15/3 X 190 X 1900MM")</f>
        <v>PAINEL CARVALHO CARVALHO EUROPEU CAPUCCINO 15/3 X 190 X 1900MM</v>
      </c>
      <c r="H337" s="192" t="s">
        <v>425</v>
      </c>
      <c r="I337" s="182" t="str">
        <f t="shared" ca="1" si="2"/>
        <v/>
      </c>
      <c r="J337" s="193"/>
      <c r="K337" s="208" t="s">
        <v>1991</v>
      </c>
      <c r="L337" s="182" t="s">
        <v>426</v>
      </c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4"/>
      <c r="Z337" s="184"/>
      <c r="AA337" s="184"/>
    </row>
    <row r="338" spans="1:27" ht="15.6">
      <c r="A338" s="182"/>
      <c r="B338" s="182"/>
      <c r="C338" s="182"/>
      <c r="D338" s="182"/>
      <c r="E338" s="182"/>
      <c r="F338" s="208"/>
      <c r="G338" s="182" t="str">
        <f ca="1">IFERROR(__xludf.DUMMYFUNCTION("""COMPUTED_VALUE"""),"PAINEL CARVALHO CARVALHO EUROPEU CAPUCCINO 20/6 X 300 X 4000MM")</f>
        <v>PAINEL CARVALHO CARVALHO EUROPEU CAPUCCINO 20/6 X 300 X 4000MM</v>
      </c>
      <c r="H338" s="192" t="s">
        <v>426</v>
      </c>
      <c r="I338" s="182" t="str">
        <f t="shared" ca="1" si="2"/>
        <v/>
      </c>
      <c r="J338" s="193"/>
      <c r="K338" s="208" t="s">
        <v>1992</v>
      </c>
      <c r="L338" s="182" t="s">
        <v>427</v>
      </c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94"/>
      <c r="Z338" s="194"/>
      <c r="AA338" s="194"/>
    </row>
    <row r="339" spans="1:27" ht="15.6">
      <c r="A339" s="182"/>
      <c r="B339" s="182"/>
      <c r="C339" s="182"/>
      <c r="D339" s="182"/>
      <c r="E339" s="182"/>
      <c r="F339" s="208"/>
      <c r="G339" s="182" t="str">
        <f ca="1">IFERROR(__xludf.DUMMYFUNCTION("""COMPUTED_VALUE"""),"PAINEL CARVALHO CARVALHO EUROPEU CAPUCCINO 20/6 X 400 X 5000MM")</f>
        <v>PAINEL CARVALHO CARVALHO EUROPEU CAPUCCINO 20/6 X 400 X 5000MM</v>
      </c>
      <c r="H339" s="192" t="s">
        <v>427</v>
      </c>
      <c r="I339" s="182" t="str">
        <f t="shared" ca="1" si="2"/>
        <v/>
      </c>
      <c r="J339" s="193"/>
      <c r="K339" s="208" t="s">
        <v>1993</v>
      </c>
      <c r="L339" s="182" t="s">
        <v>428</v>
      </c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4"/>
      <c r="Z339" s="184"/>
      <c r="AA339" s="184"/>
    </row>
    <row r="340" spans="1:27" ht="15.6">
      <c r="A340" s="182"/>
      <c r="B340" s="182"/>
      <c r="C340" s="182"/>
      <c r="D340" s="182"/>
      <c r="E340" s="182"/>
      <c r="F340" s="208"/>
      <c r="G340" s="182" t="str">
        <f ca="1">IFERROR(__xludf.DUMMYFUNCTION("""COMPUTED_VALUE"""),"PAINEL CARVALHO CARVALHO EUROPEU BABY GREY CHEVRON 15/3 X 1900X 740MM")</f>
        <v>PAINEL CARVALHO CARVALHO EUROPEU BABY GREY CHEVRON 15/3 X 1900X 740MM</v>
      </c>
      <c r="H340" s="192" t="s">
        <v>428</v>
      </c>
      <c r="I340" s="182" t="str">
        <f t="shared" ca="1" si="2"/>
        <v/>
      </c>
      <c r="J340" s="193"/>
      <c r="K340" s="208" t="s">
        <v>1994</v>
      </c>
      <c r="L340" s="182" t="s">
        <v>429</v>
      </c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4"/>
      <c r="Z340" s="184"/>
      <c r="AA340" s="184"/>
    </row>
    <row r="341" spans="1:27" ht="15.6">
      <c r="A341" s="182"/>
      <c r="B341" s="182"/>
      <c r="C341" s="182"/>
      <c r="D341" s="182"/>
      <c r="E341" s="182"/>
      <c r="F341" s="208"/>
      <c r="G341" s="182" t="str">
        <f ca="1">IFERROR(__xludf.DUMMYFUNCTION("""COMPUTED_VALUE"""),"PAINEL CARVALHO CARVALHO EUROPEU BABY GREY 15/3 X 125 X 1200MM")</f>
        <v>PAINEL CARVALHO CARVALHO EUROPEU BABY GREY 15/3 X 125 X 1200MM</v>
      </c>
      <c r="H341" s="192" t="s">
        <v>429</v>
      </c>
      <c r="I341" s="182" t="str">
        <f t="shared" ca="1" si="2"/>
        <v/>
      </c>
      <c r="J341" s="193"/>
      <c r="K341" s="208" t="s">
        <v>1995</v>
      </c>
      <c r="L341" s="182" t="s">
        <v>430</v>
      </c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4"/>
      <c r="Z341" s="184"/>
      <c r="AA341" s="184"/>
    </row>
    <row r="342" spans="1:27" ht="15.6">
      <c r="A342" s="182"/>
      <c r="B342" s="182"/>
      <c r="C342" s="182"/>
      <c r="D342" s="182"/>
      <c r="E342" s="182"/>
      <c r="F342" s="208"/>
      <c r="G342" s="182" t="str">
        <f ca="1">IFERROR(__xludf.DUMMYFUNCTION("""COMPUTED_VALUE"""),"PAINEL CARVALHO CARVALHO EUROPEU BABY GREY 15/3 X 190 X 1900MM")</f>
        <v>PAINEL CARVALHO CARVALHO EUROPEU BABY GREY 15/3 X 190 X 1900MM</v>
      </c>
      <c r="H342" s="192" t="s">
        <v>430</v>
      </c>
      <c r="I342" s="182" t="str">
        <f t="shared" ca="1" si="2"/>
        <v/>
      </c>
      <c r="J342" s="193"/>
      <c r="K342" s="208" t="s">
        <v>1996</v>
      </c>
      <c r="L342" s="182" t="s">
        <v>431</v>
      </c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94"/>
      <c r="Z342" s="194"/>
      <c r="AA342" s="194"/>
    </row>
    <row r="343" spans="1:27" ht="15.6">
      <c r="A343" s="182"/>
      <c r="B343" s="182"/>
      <c r="C343" s="182"/>
      <c r="D343" s="182"/>
      <c r="E343" s="182"/>
      <c r="F343" s="208"/>
      <c r="G343" s="182" t="str">
        <f ca="1">IFERROR(__xludf.DUMMYFUNCTION("""COMPUTED_VALUE"""),"PAINEL CARVALHO CARVALHO EUROPEU BABY GREY 20/6 X 300 X 4000MM")</f>
        <v>PAINEL CARVALHO CARVALHO EUROPEU BABY GREY 20/6 X 300 X 4000MM</v>
      </c>
      <c r="H343" s="192" t="s">
        <v>431</v>
      </c>
      <c r="I343" s="182" t="str">
        <f t="shared" ca="1" si="2"/>
        <v/>
      </c>
      <c r="J343" s="193"/>
      <c r="K343" s="208" t="s">
        <v>1997</v>
      </c>
      <c r="L343" s="182" t="s">
        <v>432</v>
      </c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4"/>
      <c r="Z343" s="184"/>
      <c r="AA343" s="184"/>
    </row>
    <row r="344" spans="1:27" ht="15.6">
      <c r="A344" s="182"/>
      <c r="B344" s="182"/>
      <c r="C344" s="182"/>
      <c r="D344" s="182"/>
      <c r="E344" s="182"/>
      <c r="F344" s="208"/>
      <c r="G344" s="182" t="str">
        <f ca="1">IFERROR(__xludf.DUMMYFUNCTION("""COMPUTED_VALUE"""),"PAINEL CARVALHO CARVALHO EUROPEU BABY GREY 20/6 X 400 X 5000MM")</f>
        <v>PAINEL CARVALHO CARVALHO EUROPEU BABY GREY 20/6 X 400 X 5000MM</v>
      </c>
      <c r="H344" s="192" t="s">
        <v>432</v>
      </c>
      <c r="I344" s="182" t="str">
        <f t="shared" ca="1" si="2"/>
        <v/>
      </c>
      <c r="J344" s="193"/>
      <c r="K344" s="208" t="s">
        <v>1998</v>
      </c>
      <c r="L344" s="182" t="s">
        <v>433</v>
      </c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4"/>
      <c r="Z344" s="184"/>
      <c r="AA344" s="184"/>
    </row>
    <row r="345" spans="1:27" ht="15.6">
      <c r="A345" s="182"/>
      <c r="B345" s="182"/>
      <c r="C345" s="182"/>
      <c r="D345" s="182"/>
      <c r="E345" s="182"/>
      <c r="F345" s="208"/>
      <c r="G345" s="182" t="str">
        <f ca="1">IFERROR(__xludf.DUMMYFUNCTION("""COMPUTED_VALUE"""),"PAINEL CARVALHO CARVALHO EUROPEU GRIGIO NERO CHEVRON 15/3 X 1900X 740MM")</f>
        <v>PAINEL CARVALHO CARVALHO EUROPEU GRIGIO NERO CHEVRON 15/3 X 1900X 740MM</v>
      </c>
      <c r="H345" s="192" t="s">
        <v>433</v>
      </c>
      <c r="I345" s="182" t="str">
        <f t="shared" ca="1" si="2"/>
        <v/>
      </c>
      <c r="J345" s="193"/>
      <c r="K345" s="208" t="s">
        <v>1999</v>
      </c>
      <c r="L345" s="182" t="s">
        <v>434</v>
      </c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4"/>
      <c r="Z345" s="184"/>
      <c r="AA345" s="184"/>
    </row>
    <row r="346" spans="1:27" ht="15.6">
      <c r="A346" s="182"/>
      <c r="B346" s="182"/>
      <c r="C346" s="182"/>
      <c r="D346" s="182"/>
      <c r="E346" s="182"/>
      <c r="F346" s="208"/>
      <c r="G346" s="182" t="str">
        <f ca="1">IFERROR(__xludf.DUMMYFUNCTION("""COMPUTED_VALUE"""),"PAINEL CARVALHO CARVALHO EUROPEU GRIGIO NERO 15/3 X 125 X 1200MM")</f>
        <v>PAINEL CARVALHO CARVALHO EUROPEU GRIGIO NERO 15/3 X 125 X 1200MM</v>
      </c>
      <c r="H346" s="192" t="s">
        <v>434</v>
      </c>
      <c r="I346" s="182" t="str">
        <f t="shared" ca="1" si="2"/>
        <v/>
      </c>
      <c r="J346" s="193"/>
      <c r="K346" s="208" t="s">
        <v>2000</v>
      </c>
      <c r="L346" s="182" t="s">
        <v>435</v>
      </c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94"/>
      <c r="Z346" s="194"/>
      <c r="AA346" s="194"/>
    </row>
    <row r="347" spans="1:27" ht="15.6">
      <c r="A347" s="182"/>
      <c r="B347" s="182"/>
      <c r="C347" s="182"/>
      <c r="D347" s="182"/>
      <c r="E347" s="182"/>
      <c r="F347" s="208"/>
      <c r="G347" s="182" t="str">
        <f ca="1">IFERROR(__xludf.DUMMYFUNCTION("""COMPUTED_VALUE"""),"PAINEL CARVALHO CARVALHO EUROPEU GRIGIO NERO 15/3 X 190 X 1900MM")</f>
        <v>PAINEL CARVALHO CARVALHO EUROPEU GRIGIO NERO 15/3 X 190 X 1900MM</v>
      </c>
      <c r="H347" s="192" t="s">
        <v>435</v>
      </c>
      <c r="I347" s="182" t="str">
        <f t="shared" ca="1" si="2"/>
        <v/>
      </c>
      <c r="J347" s="193"/>
      <c r="K347" s="208" t="s">
        <v>2001</v>
      </c>
      <c r="L347" s="182" t="s">
        <v>436</v>
      </c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4"/>
      <c r="Z347" s="184"/>
      <c r="AA347" s="184"/>
    </row>
    <row r="348" spans="1:27" ht="15.6">
      <c r="A348" s="182"/>
      <c r="B348" s="182"/>
      <c r="C348" s="182"/>
      <c r="D348" s="182"/>
      <c r="E348" s="182"/>
      <c r="F348" s="208"/>
      <c r="G348" s="182" t="str">
        <f ca="1">IFERROR(__xludf.DUMMYFUNCTION("""COMPUTED_VALUE"""),"PAINEL CARVALHO CARVALHO EUROPEU GRIGIO NERO 20/6 X 300 X 4000MM")</f>
        <v>PAINEL CARVALHO CARVALHO EUROPEU GRIGIO NERO 20/6 X 300 X 4000MM</v>
      </c>
      <c r="H348" s="192" t="s">
        <v>436</v>
      </c>
      <c r="I348" s="182" t="str">
        <f t="shared" ca="1" si="2"/>
        <v/>
      </c>
      <c r="J348" s="193"/>
      <c r="K348" s="208" t="s">
        <v>2002</v>
      </c>
      <c r="L348" s="182" t="s">
        <v>437</v>
      </c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4"/>
      <c r="Z348" s="184"/>
      <c r="AA348" s="184"/>
    </row>
    <row r="349" spans="1:27" ht="15.6">
      <c r="A349" s="182"/>
      <c r="B349" s="182"/>
      <c r="C349" s="182"/>
      <c r="D349" s="182"/>
      <c r="E349" s="182"/>
      <c r="F349" s="208"/>
      <c r="G349" s="182" t="str">
        <f ca="1">IFERROR(__xludf.DUMMYFUNCTION("""COMPUTED_VALUE"""),"PAINEL CARVALHO CARVALHO EUROPEU GRIGIO NERO 20/6 X 400 X 5000MM")</f>
        <v>PAINEL CARVALHO CARVALHO EUROPEU GRIGIO NERO 20/6 X 400 X 5000MM</v>
      </c>
      <c r="H349" s="192" t="s">
        <v>437</v>
      </c>
      <c r="I349" s="182" t="str">
        <f t="shared" ca="1" si="2"/>
        <v/>
      </c>
      <c r="J349" s="193"/>
      <c r="K349" s="208" t="s">
        <v>2003</v>
      </c>
      <c r="L349" s="182" t="s">
        <v>438</v>
      </c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4"/>
      <c r="Z349" s="184"/>
      <c r="AA349" s="184"/>
    </row>
    <row r="350" spans="1:27" ht="15.6">
      <c r="A350" s="182"/>
      <c r="B350" s="182"/>
      <c r="C350" s="182"/>
      <c r="D350" s="182"/>
      <c r="E350" s="182"/>
      <c r="F350" s="208"/>
      <c r="G350" s="182" t="str">
        <f ca="1">IFERROR(__xludf.DUMMYFUNCTION("""COMPUTED_VALUE"""),"PAINEL CARVALHO CARVALHO EUROPEU LIGHT BROWN CHEVRON 15/3 X 1900X 740MM")</f>
        <v>PAINEL CARVALHO CARVALHO EUROPEU LIGHT BROWN CHEVRON 15/3 X 1900X 740MM</v>
      </c>
      <c r="H350" s="192" t="s">
        <v>438</v>
      </c>
      <c r="I350" s="182" t="str">
        <f t="shared" ca="1" si="2"/>
        <v/>
      </c>
      <c r="J350" s="193"/>
      <c r="K350" s="208" t="s">
        <v>2004</v>
      </c>
      <c r="L350" s="182" t="s">
        <v>439</v>
      </c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94"/>
      <c r="Z350" s="194"/>
      <c r="AA350" s="194"/>
    </row>
    <row r="351" spans="1:27" ht="15.6">
      <c r="A351" s="182"/>
      <c r="B351" s="182"/>
      <c r="C351" s="182"/>
      <c r="D351" s="182"/>
      <c r="E351" s="182"/>
      <c r="F351" s="208"/>
      <c r="G351" s="182" t="str">
        <f ca="1">IFERROR(__xludf.DUMMYFUNCTION("""COMPUTED_VALUE"""),"PAINEL CARVALHO CARVALHO EUROPEU LIGHT BROWN 15/3 X 125 X 1200MM")</f>
        <v>PAINEL CARVALHO CARVALHO EUROPEU LIGHT BROWN 15/3 X 125 X 1200MM</v>
      </c>
      <c r="H351" s="192" t="s">
        <v>439</v>
      </c>
      <c r="I351" s="182" t="str">
        <f t="shared" ca="1" si="2"/>
        <v/>
      </c>
      <c r="J351" s="193"/>
      <c r="K351" s="208" t="s">
        <v>2005</v>
      </c>
      <c r="L351" s="182" t="s">
        <v>440</v>
      </c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4"/>
      <c r="Z351" s="184"/>
      <c r="AA351" s="184"/>
    </row>
    <row r="352" spans="1:27" ht="15.6">
      <c r="A352" s="182"/>
      <c r="B352" s="182"/>
      <c r="C352" s="182"/>
      <c r="D352" s="182"/>
      <c r="E352" s="182"/>
      <c r="F352" s="208"/>
      <c r="G352" s="182" t="str">
        <f ca="1">IFERROR(__xludf.DUMMYFUNCTION("""COMPUTED_VALUE"""),"PAINEL CARVALHO CARVALHO EUROPEU LIGHT BROWN 15/3 X 190 X 1900MM")</f>
        <v>PAINEL CARVALHO CARVALHO EUROPEU LIGHT BROWN 15/3 X 190 X 1900MM</v>
      </c>
      <c r="H352" s="192" t="s">
        <v>440</v>
      </c>
      <c r="I352" s="182" t="str">
        <f t="shared" ca="1" si="2"/>
        <v/>
      </c>
      <c r="J352" s="193"/>
      <c r="K352" s="208" t="s">
        <v>2006</v>
      </c>
      <c r="L352" s="182" t="s">
        <v>441</v>
      </c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4"/>
      <c r="Z352" s="184"/>
      <c r="AA352" s="184"/>
    </row>
    <row r="353" spans="1:27" ht="15.6">
      <c r="A353" s="182"/>
      <c r="B353" s="182"/>
      <c r="C353" s="182"/>
      <c r="D353" s="182"/>
      <c r="E353" s="182"/>
      <c r="F353" s="208"/>
      <c r="G353" s="182" t="str">
        <f ca="1">IFERROR(__xludf.DUMMYFUNCTION("""COMPUTED_VALUE"""),"PAINEL CARVALHO CARVALHO EUROPEU LIGHT BROWN 20/6 X 300 X 4000MM")</f>
        <v>PAINEL CARVALHO CARVALHO EUROPEU LIGHT BROWN 20/6 X 300 X 4000MM</v>
      </c>
      <c r="H353" s="192" t="s">
        <v>441</v>
      </c>
      <c r="I353" s="182" t="str">
        <f t="shared" ca="1" si="2"/>
        <v/>
      </c>
      <c r="J353" s="193"/>
      <c r="K353" s="208" t="s">
        <v>2007</v>
      </c>
      <c r="L353" s="182" t="s">
        <v>442</v>
      </c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4"/>
      <c r="Z353" s="184"/>
      <c r="AA353" s="184"/>
    </row>
    <row r="354" spans="1:27" ht="15.6">
      <c r="A354" s="182"/>
      <c r="B354" s="182"/>
      <c r="C354" s="182"/>
      <c r="D354" s="182"/>
      <c r="E354" s="182"/>
      <c r="F354" s="208"/>
      <c r="G354" s="182" t="str">
        <f ca="1">IFERROR(__xludf.DUMMYFUNCTION("""COMPUTED_VALUE"""),"PAINEL CARVALHO CARVALHO EUROPEU - LISTONE GIORDANO (HERITAGE 140 FILIGRANA - SIENNA 1179) TG 1,25 X 14,0 X 83,50CM --")</f>
        <v>PAINEL CARVALHO CARVALHO EUROPEU - LISTONE GIORDANO (HERITAGE 140 FILIGRANA - SIENNA 1179) TG 1,25 X 14,0 X 83,50CM --</v>
      </c>
      <c r="H354" s="192" t="s">
        <v>442</v>
      </c>
      <c r="I354" s="182" t="str">
        <f t="shared" ca="1" si="2"/>
        <v/>
      </c>
      <c r="J354" s="193"/>
      <c r="K354" s="208" t="s">
        <v>2008</v>
      </c>
      <c r="L354" s="182" t="s">
        <v>443</v>
      </c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94"/>
      <c r="Z354" s="194"/>
      <c r="AA354" s="194"/>
    </row>
    <row r="355" spans="1:27" ht="15.6">
      <c r="A355" s="182"/>
      <c r="B355" s="182"/>
      <c r="C355" s="182"/>
      <c r="D355" s="182"/>
      <c r="E355" s="182"/>
      <c r="F355" s="208"/>
      <c r="G355" s="182" t="str">
        <f ca="1">IFERROR(__xludf.DUMMYFUNCTION("""COMPUTED_VALUE"""),"PAINEL CARVALHO ")</f>
        <v xml:space="preserve">PAINEL CARVALHO </v>
      </c>
      <c r="H355" s="192" t="s">
        <v>443</v>
      </c>
      <c r="I355" s="182" t="str">
        <f t="shared" ca="1" si="2"/>
        <v/>
      </c>
      <c r="J355" s="193"/>
      <c r="K355" s="208" t="s">
        <v>2009</v>
      </c>
      <c r="L355" s="182" t="s">
        <v>444</v>
      </c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4"/>
      <c r="Z355" s="184"/>
      <c r="AA355" s="184"/>
    </row>
    <row r="356" spans="1:27" ht="15.6">
      <c r="A356" s="182"/>
      <c r="B356" s="182"/>
      <c r="C356" s="182"/>
      <c r="D356" s="182"/>
      <c r="E356" s="182"/>
      <c r="F356" s="208"/>
      <c r="G356" s="182" t="str">
        <f ca="1">IFERROR(__xludf.DUMMYFUNCTION("""COMPUTED_VALUE"""),"PAINEL CARVALHO CARVALHO EUROPEU MILANO CHEVRON 15/3 X 1900X 740MM")</f>
        <v>PAINEL CARVALHO CARVALHO EUROPEU MILANO CHEVRON 15/3 X 1900X 740MM</v>
      </c>
      <c r="H356" s="192" t="s">
        <v>444</v>
      </c>
      <c r="I356" s="182" t="str">
        <f t="shared" ca="1" si="2"/>
        <v/>
      </c>
      <c r="J356" s="193"/>
      <c r="K356" s="208" t="s">
        <v>2010</v>
      </c>
      <c r="L356" s="182" t="s">
        <v>445</v>
      </c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4"/>
      <c r="Z356" s="184"/>
      <c r="AA356" s="184"/>
    </row>
    <row r="357" spans="1:27" ht="15.6">
      <c r="A357" s="182"/>
      <c r="B357" s="182"/>
      <c r="C357" s="182"/>
      <c r="D357" s="182"/>
      <c r="E357" s="182"/>
      <c r="F357" s="208"/>
      <c r="G357" s="182" t="str">
        <f ca="1">IFERROR(__xludf.DUMMYFUNCTION("""COMPUTED_VALUE"""),"PAINEL CARVALHO CARVALHO EUROPEU MILANO 15/3 X 125 X 1200MM")</f>
        <v>PAINEL CARVALHO CARVALHO EUROPEU MILANO 15/3 X 125 X 1200MM</v>
      </c>
      <c r="H357" s="192" t="s">
        <v>445</v>
      </c>
      <c r="I357" s="182" t="str">
        <f t="shared" ca="1" si="2"/>
        <v/>
      </c>
      <c r="J357" s="193"/>
      <c r="K357" s="208" t="s">
        <v>2011</v>
      </c>
      <c r="L357" s="182" t="s">
        <v>446</v>
      </c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4"/>
      <c r="Z357" s="184"/>
      <c r="AA357" s="184"/>
    </row>
    <row r="358" spans="1:27" ht="15.6">
      <c r="A358" s="182"/>
      <c r="B358" s="182"/>
      <c r="C358" s="182"/>
      <c r="D358" s="182"/>
      <c r="E358" s="182"/>
      <c r="F358" s="208"/>
      <c r="G358" s="182" t="str">
        <f ca="1">IFERROR(__xludf.DUMMYFUNCTION("""COMPUTED_VALUE"""),"PAINEL CARVALHO CARVALHO EUROPEU MILANO 15/3 X 190 X 1900MM")</f>
        <v>PAINEL CARVALHO CARVALHO EUROPEU MILANO 15/3 X 190 X 1900MM</v>
      </c>
      <c r="H358" s="192" t="s">
        <v>446</v>
      </c>
      <c r="I358" s="182" t="str">
        <f t="shared" ca="1" si="2"/>
        <v/>
      </c>
      <c r="J358" s="193"/>
      <c r="K358" s="208" t="s">
        <v>2012</v>
      </c>
      <c r="L358" s="182" t="s">
        <v>447</v>
      </c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94"/>
      <c r="Z358" s="194"/>
      <c r="AA358" s="194"/>
    </row>
    <row r="359" spans="1:27" ht="15.6">
      <c r="A359" s="182"/>
      <c r="B359" s="182"/>
      <c r="C359" s="182"/>
      <c r="D359" s="182"/>
      <c r="E359" s="182"/>
      <c r="F359" s="208"/>
      <c r="G359" s="182" t="str">
        <f ca="1">IFERROR(__xludf.DUMMYFUNCTION("""COMPUTED_VALUE"""),"PAINEL CARVALHO CARVALHO EUROPEU MILANO 20/6 X 300 X 4000MM")</f>
        <v>PAINEL CARVALHO CARVALHO EUROPEU MILANO 20/6 X 300 X 4000MM</v>
      </c>
      <c r="H359" s="192" t="s">
        <v>447</v>
      </c>
      <c r="I359" s="182" t="str">
        <f t="shared" ca="1" si="2"/>
        <v/>
      </c>
      <c r="J359" s="193"/>
      <c r="K359" s="208" t="s">
        <v>2013</v>
      </c>
      <c r="L359" s="182" t="s">
        <v>448</v>
      </c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94"/>
      <c r="Z359" s="194"/>
      <c r="AA359" s="194"/>
    </row>
    <row r="360" spans="1:27" ht="15.6">
      <c r="A360" s="182"/>
      <c r="B360" s="182"/>
      <c r="C360" s="182"/>
      <c r="D360" s="182"/>
      <c r="E360" s="182"/>
      <c r="F360" s="208"/>
      <c r="G360" s="182" t="str">
        <f ca="1">IFERROR(__xludf.DUMMYFUNCTION("""COMPUTED_VALUE"""),"PAINEL CARVALHO CARVALHO EUROPEU MILANO 20/6 X 400 X 5000MM")</f>
        <v>PAINEL CARVALHO CARVALHO EUROPEU MILANO 20/6 X 400 X 5000MM</v>
      </c>
      <c r="H360" s="192" t="s">
        <v>448</v>
      </c>
      <c r="I360" s="182" t="str">
        <f t="shared" ca="1" si="2"/>
        <v/>
      </c>
      <c r="J360" s="193"/>
      <c r="K360" s="208" t="s">
        <v>2014</v>
      </c>
      <c r="L360" s="182" t="s">
        <v>449</v>
      </c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94"/>
      <c r="Z360" s="194"/>
      <c r="AA360" s="194"/>
    </row>
    <row r="361" spans="1:27" ht="15.6">
      <c r="A361" s="182"/>
      <c r="B361" s="182"/>
      <c r="C361" s="182"/>
      <c r="D361" s="182"/>
      <c r="E361" s="182"/>
      <c r="F361" s="208"/>
      <c r="G361" s="182" t="str">
        <f ca="1">IFERROR(__xludf.DUMMYFUNCTION("""COMPUTED_VALUE"""),"PAINEL CARVALHO CARVALHO EUROPEU SMOKED CHEVRON 15/3 X 1900X 740MM")</f>
        <v>PAINEL CARVALHO CARVALHO EUROPEU SMOKED CHEVRON 15/3 X 1900X 740MM</v>
      </c>
      <c r="H361" s="192" t="s">
        <v>449</v>
      </c>
      <c r="I361" s="182" t="str">
        <f t="shared" ca="1" si="2"/>
        <v/>
      </c>
      <c r="J361" s="193"/>
      <c r="K361" s="208" t="s">
        <v>2015</v>
      </c>
      <c r="L361" s="182" t="s">
        <v>450</v>
      </c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94"/>
      <c r="Z361" s="194"/>
      <c r="AA361" s="194"/>
    </row>
    <row r="362" spans="1:27" ht="15.6">
      <c r="A362" s="182"/>
      <c r="B362" s="182"/>
      <c r="C362" s="182"/>
      <c r="D362" s="182"/>
      <c r="E362" s="182"/>
      <c r="F362" s="208"/>
      <c r="G362" s="182" t="str">
        <f ca="1">IFERROR(__xludf.DUMMYFUNCTION("""COMPUTED_VALUE"""),"PAINEL CARVALHO CARVALHO EUROPEU SMOKED 15/3 X 125 X 1200MM")</f>
        <v>PAINEL CARVALHO CARVALHO EUROPEU SMOKED 15/3 X 125 X 1200MM</v>
      </c>
      <c r="H362" s="192" t="s">
        <v>450</v>
      </c>
      <c r="I362" s="182" t="str">
        <f t="shared" ca="1" si="2"/>
        <v/>
      </c>
      <c r="J362" s="193"/>
      <c r="K362" s="208" t="s">
        <v>2016</v>
      </c>
      <c r="L362" s="182" t="s">
        <v>451</v>
      </c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94"/>
      <c r="Z362" s="194"/>
      <c r="AA362" s="194"/>
    </row>
    <row r="363" spans="1:27" ht="15.6">
      <c r="A363" s="182"/>
      <c r="B363" s="182"/>
      <c r="C363" s="182"/>
      <c r="D363" s="182"/>
      <c r="E363" s="182"/>
      <c r="F363" s="208"/>
      <c r="G363" s="182" t="str">
        <f ca="1">IFERROR(__xludf.DUMMYFUNCTION("""COMPUTED_VALUE"""),"PAINEL CARVALHO CARVALHO EUROPEU SMOKED 15/3 X 190 X 1900MM")</f>
        <v>PAINEL CARVALHO CARVALHO EUROPEU SMOKED 15/3 X 190 X 1900MM</v>
      </c>
      <c r="H363" s="192" t="s">
        <v>451</v>
      </c>
      <c r="I363" s="182" t="str">
        <f t="shared" ca="1" si="2"/>
        <v/>
      </c>
      <c r="J363" s="193"/>
      <c r="K363" s="208" t="s">
        <v>2017</v>
      </c>
      <c r="L363" s="182" t="s">
        <v>452</v>
      </c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4"/>
      <c r="Z363" s="184"/>
      <c r="AA363" s="184"/>
    </row>
    <row r="364" spans="1:27" ht="15.6">
      <c r="A364" s="182"/>
      <c r="B364" s="182"/>
      <c r="C364" s="182"/>
      <c r="D364" s="182"/>
      <c r="E364" s="182"/>
      <c r="F364" s="208"/>
      <c r="G364" s="182" t="str">
        <f ca="1">IFERROR(__xludf.DUMMYFUNCTION("""COMPUTED_VALUE"""),"PAINEL CARVALHO CARVALHO EUROPEU SMOKED 20/6 X 300 X 4000MM")</f>
        <v>PAINEL CARVALHO CARVALHO EUROPEU SMOKED 20/6 X 300 X 4000MM</v>
      </c>
      <c r="H364" s="192" t="s">
        <v>452</v>
      </c>
      <c r="I364" s="182" t="str">
        <f t="shared" ca="1" si="2"/>
        <v/>
      </c>
      <c r="J364" s="193"/>
      <c r="K364" s="208" t="s">
        <v>2018</v>
      </c>
      <c r="L364" s="182" t="s">
        <v>453</v>
      </c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4"/>
      <c r="Z364" s="184"/>
      <c r="AA364" s="184"/>
    </row>
    <row r="365" spans="1:27" ht="15.6">
      <c r="A365" s="182"/>
      <c r="B365" s="182"/>
      <c r="C365" s="182"/>
      <c r="D365" s="182"/>
      <c r="E365" s="182"/>
      <c r="F365" s="208"/>
      <c r="G365" s="182" t="str">
        <f ca="1">IFERROR(__xludf.DUMMYFUNCTION("""COMPUTED_VALUE"""),"PAINEL CARVALHO CARVALHO EUROPEU SMOKED 20/6 X 400 X 5000MM")</f>
        <v>PAINEL CARVALHO CARVALHO EUROPEU SMOKED 20/6 X 400 X 5000MM</v>
      </c>
      <c r="H365" s="192" t="s">
        <v>453</v>
      </c>
      <c r="I365" s="182" t="str">
        <f t="shared" ca="1" si="2"/>
        <v/>
      </c>
      <c r="J365" s="193"/>
      <c r="K365" s="208" t="s">
        <v>2019</v>
      </c>
      <c r="L365" s="182" t="s">
        <v>454</v>
      </c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4"/>
      <c r="Z365" s="184"/>
      <c r="AA365" s="184"/>
    </row>
    <row r="366" spans="1:27" ht="15.6">
      <c r="A366" s="182"/>
      <c r="B366" s="182"/>
      <c r="C366" s="182"/>
      <c r="D366" s="182"/>
      <c r="E366" s="182"/>
      <c r="F366" s="208"/>
      <c r="G366" s="182" t="str">
        <f ca="1">IFERROR(__xludf.DUMMYFUNCTION("""COMPUTED_VALUE"""),"PAINEL CARVALHO CARVALHO EUROPEU GIZ CHEVRON 15/3 X 1900X 740MM")</f>
        <v>PAINEL CARVALHO CARVALHO EUROPEU GIZ CHEVRON 15/3 X 1900X 740MM</v>
      </c>
      <c r="H366" s="192" t="s">
        <v>454</v>
      </c>
      <c r="I366" s="182" t="str">
        <f t="shared" ca="1" si="2"/>
        <v/>
      </c>
      <c r="J366" s="193"/>
      <c r="K366" s="208" t="s">
        <v>2020</v>
      </c>
      <c r="L366" s="182" t="s">
        <v>455</v>
      </c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94"/>
      <c r="Z366" s="194"/>
      <c r="AA366" s="194"/>
    </row>
    <row r="367" spans="1:27" ht="15.6">
      <c r="A367" s="182"/>
      <c r="B367" s="182"/>
      <c r="C367" s="182"/>
      <c r="D367" s="182"/>
      <c r="E367" s="182"/>
      <c r="F367" s="208"/>
      <c r="G367" s="182" t="str">
        <f ca="1">IFERROR(__xludf.DUMMYFUNCTION("""COMPUTED_VALUE"""),"PAINEL CARVALHO CARVALHO EUROPEU GIZ 15/3 X 125 X 1200MM")</f>
        <v>PAINEL CARVALHO CARVALHO EUROPEU GIZ 15/3 X 125 X 1200MM</v>
      </c>
      <c r="H367" s="192" t="s">
        <v>455</v>
      </c>
      <c r="I367" s="182" t="str">
        <f t="shared" ca="1" si="2"/>
        <v/>
      </c>
      <c r="J367" s="193"/>
      <c r="K367" s="208" t="s">
        <v>2021</v>
      </c>
      <c r="L367" s="182" t="s">
        <v>456</v>
      </c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94"/>
      <c r="Z367" s="194"/>
      <c r="AA367" s="194"/>
    </row>
    <row r="368" spans="1:27" ht="15.6">
      <c r="A368" s="182"/>
      <c r="B368" s="182"/>
      <c r="C368" s="182"/>
      <c r="D368" s="182"/>
      <c r="E368" s="182"/>
      <c r="F368" s="208"/>
      <c r="G368" s="182" t="str">
        <f ca="1">IFERROR(__xludf.DUMMYFUNCTION("""COMPUTED_VALUE"""),"PAINEL CARVALHO CARVALHO EUROPEU GIZ 15/3 X 190 X 1900MM")</f>
        <v>PAINEL CARVALHO CARVALHO EUROPEU GIZ 15/3 X 190 X 1900MM</v>
      </c>
      <c r="H368" s="192" t="s">
        <v>456</v>
      </c>
      <c r="I368" s="182" t="str">
        <f t="shared" ca="1" si="2"/>
        <v/>
      </c>
      <c r="J368" s="193"/>
      <c r="K368" s="208" t="s">
        <v>2022</v>
      </c>
      <c r="L368" s="182" t="s">
        <v>457</v>
      </c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4"/>
      <c r="Z368" s="184"/>
      <c r="AA368" s="184"/>
    </row>
    <row r="369" spans="1:27" ht="15.6">
      <c r="A369" s="182"/>
      <c r="B369" s="182"/>
      <c r="C369" s="182"/>
      <c r="D369" s="182"/>
      <c r="E369" s="182"/>
      <c r="F369" s="208"/>
      <c r="G369" s="182" t="str">
        <f ca="1">IFERROR(__xludf.DUMMYFUNCTION("""COMPUTED_VALUE"""),"PAINEL CARVALHO CARVALHO EUROPEU GIZ 20/6 X 300 X 4000MM")</f>
        <v>PAINEL CARVALHO CARVALHO EUROPEU GIZ 20/6 X 300 X 4000MM</v>
      </c>
      <c r="H369" s="192" t="s">
        <v>457</v>
      </c>
      <c r="I369" s="182" t="str">
        <f t="shared" ca="1" si="2"/>
        <v/>
      </c>
      <c r="J369" s="193"/>
      <c r="K369" s="208" t="s">
        <v>2023</v>
      </c>
      <c r="L369" s="182" t="s">
        <v>458</v>
      </c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4"/>
      <c r="Z369" s="184"/>
      <c r="AA369" s="184"/>
    </row>
    <row r="370" spans="1:27" ht="15.6">
      <c r="A370" s="182"/>
      <c r="B370" s="182"/>
      <c r="C370" s="182"/>
      <c r="D370" s="182"/>
      <c r="E370" s="182"/>
      <c r="F370" s="208"/>
      <c r="G370" s="182" t="str">
        <f ca="1">IFERROR(__xludf.DUMMYFUNCTION("""COMPUTED_VALUE"""),"PAINEL CARVALHO CARVALHO EUROPEU GIZ 20/6 X 400 X 5000MM")</f>
        <v>PAINEL CARVALHO CARVALHO EUROPEU GIZ 20/6 X 400 X 5000MM</v>
      </c>
      <c r="H370" s="192" t="s">
        <v>458</v>
      </c>
      <c r="I370" s="182" t="str">
        <f t="shared" ca="1" si="2"/>
        <v/>
      </c>
      <c r="J370" s="193"/>
      <c r="K370" s="208" t="s">
        <v>2024</v>
      </c>
      <c r="L370" s="182" t="s">
        <v>459</v>
      </c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4"/>
      <c r="Z370" s="184"/>
      <c r="AA370" s="184"/>
    </row>
    <row r="371" spans="1:27" ht="15.6">
      <c r="A371" s="182"/>
      <c r="B371" s="182"/>
      <c r="C371" s="182"/>
      <c r="D371" s="182"/>
      <c r="E371" s="182"/>
      <c r="F371" s="208"/>
      <c r="G371" s="182" t="str">
        <f ca="1">IFERROR(__xludf.DUMMYFUNCTION("""COMPUTED_VALUE"""),"PAINEL CARVALHO CARVALHO EUROPEU SNOW CHEVRON 15/3 X 1900X 740MM")</f>
        <v>PAINEL CARVALHO CARVALHO EUROPEU SNOW CHEVRON 15/3 X 1900X 740MM</v>
      </c>
      <c r="H371" s="192" t="s">
        <v>459</v>
      </c>
      <c r="I371" s="182" t="str">
        <f t="shared" ca="1" si="2"/>
        <v/>
      </c>
      <c r="J371" s="193"/>
      <c r="K371" s="208" t="s">
        <v>2025</v>
      </c>
      <c r="L371" s="182" t="s">
        <v>460</v>
      </c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94"/>
      <c r="Z371" s="194"/>
      <c r="AA371" s="194"/>
    </row>
    <row r="372" spans="1:27" ht="15.6">
      <c r="A372" s="182"/>
      <c r="B372" s="182"/>
      <c r="C372" s="182"/>
      <c r="D372" s="182"/>
      <c r="E372" s="182"/>
      <c r="F372" s="208"/>
      <c r="G372" s="182" t="str">
        <f ca="1">IFERROR(__xludf.DUMMYFUNCTION("""COMPUTED_VALUE"""),"PAINEL CARVALHO CARVALHO EUROPEU SNOW 15/3 X 125 X 1200MM")</f>
        <v>PAINEL CARVALHO CARVALHO EUROPEU SNOW 15/3 X 125 X 1200MM</v>
      </c>
      <c r="H372" s="192" t="s">
        <v>460</v>
      </c>
      <c r="I372" s="182" t="str">
        <f t="shared" ca="1" si="2"/>
        <v/>
      </c>
      <c r="J372" s="193"/>
      <c r="K372" s="208" t="s">
        <v>2026</v>
      </c>
      <c r="L372" s="182" t="s">
        <v>461</v>
      </c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94"/>
      <c r="Z372" s="194"/>
      <c r="AA372" s="194"/>
    </row>
    <row r="373" spans="1:27" ht="15.6">
      <c r="A373" s="182"/>
      <c r="B373" s="182"/>
      <c r="C373" s="182"/>
      <c r="D373" s="182"/>
      <c r="E373" s="182"/>
      <c r="F373" s="208"/>
      <c r="G373" s="182" t="str">
        <f ca="1">IFERROR(__xludf.DUMMYFUNCTION("""COMPUTED_VALUE"""),"PAINEL CARVALHO CARVALHO EUROPEU SNOW 15/3 X 190 X 1900MM")</f>
        <v>PAINEL CARVALHO CARVALHO EUROPEU SNOW 15/3 X 190 X 1900MM</v>
      </c>
      <c r="H373" s="192" t="s">
        <v>461</v>
      </c>
      <c r="I373" s="182" t="str">
        <f t="shared" ca="1" si="2"/>
        <v/>
      </c>
      <c r="J373" s="193"/>
      <c r="K373" s="208" t="s">
        <v>2027</v>
      </c>
      <c r="L373" s="182" t="s">
        <v>462</v>
      </c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4"/>
      <c r="Z373" s="184"/>
      <c r="AA373" s="184"/>
    </row>
    <row r="374" spans="1:27" ht="15.6">
      <c r="A374" s="182"/>
      <c r="B374" s="182"/>
      <c r="C374" s="182"/>
      <c r="D374" s="182"/>
      <c r="E374" s="182"/>
      <c r="F374" s="208"/>
      <c r="G374" s="182" t="str">
        <f ca="1">IFERROR(__xludf.DUMMYFUNCTION("""COMPUTED_VALUE"""),"PAINEL CARVALHO CARVALHO EUROPEU SNOW 20/6 X 300 X 4000MM")</f>
        <v>PAINEL CARVALHO CARVALHO EUROPEU SNOW 20/6 X 300 X 4000MM</v>
      </c>
      <c r="H374" s="192" t="s">
        <v>462</v>
      </c>
      <c r="I374" s="182" t="str">
        <f t="shared" ca="1" si="2"/>
        <v/>
      </c>
      <c r="J374" s="193"/>
      <c r="K374" s="208" t="s">
        <v>2028</v>
      </c>
      <c r="L374" s="182" t="s">
        <v>463</v>
      </c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4"/>
      <c r="Z374" s="184"/>
      <c r="AA374" s="184"/>
    </row>
    <row r="375" spans="1:27" ht="15.6">
      <c r="A375" s="182"/>
      <c r="B375" s="182"/>
      <c r="C375" s="182"/>
      <c r="D375" s="182"/>
      <c r="E375" s="182"/>
      <c r="F375" s="208"/>
      <c r="G375" s="182" t="str">
        <f ca="1">IFERROR(__xludf.DUMMYFUNCTION("""COMPUTED_VALUE"""),"PAINEL CARVALHO CARVALHO EUROPEU SNOW 20/6 X 400 X 5000MM")</f>
        <v>PAINEL CARVALHO CARVALHO EUROPEU SNOW 20/6 X 400 X 5000MM</v>
      </c>
      <c r="H375" s="192" t="s">
        <v>463</v>
      </c>
      <c r="I375" s="182" t="str">
        <f t="shared" ca="1" si="2"/>
        <v/>
      </c>
      <c r="J375" s="193"/>
      <c r="K375" s="208" t="s">
        <v>2029</v>
      </c>
      <c r="L375" s="182" t="s">
        <v>464</v>
      </c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4"/>
      <c r="Z375" s="184"/>
      <c r="AA375" s="184"/>
    </row>
    <row r="376" spans="1:27" ht="15.6">
      <c r="A376" s="182"/>
      <c r="B376" s="182"/>
      <c r="C376" s="182"/>
      <c r="D376" s="182"/>
      <c r="E376" s="182"/>
      <c r="F376" s="208"/>
      <c r="G376" s="182" t="str">
        <f ca="1">IFERROR(__xludf.DUMMYFUNCTION("""COMPUTED_VALUE"""),"PAINEL CARVALHO CARVALHO EUROPEU WILD CHEVRON 15/3 X 1900X 740MM")</f>
        <v>PAINEL CARVALHO CARVALHO EUROPEU WILD CHEVRON 15/3 X 1900X 740MM</v>
      </c>
      <c r="H376" s="192" t="s">
        <v>464</v>
      </c>
      <c r="I376" s="182" t="str">
        <f t="shared" ca="1" si="2"/>
        <v/>
      </c>
      <c r="J376" s="193"/>
      <c r="K376" s="208" t="s">
        <v>2030</v>
      </c>
      <c r="L376" s="182" t="s">
        <v>465</v>
      </c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94"/>
      <c r="Z376" s="194"/>
      <c r="AA376" s="194"/>
    </row>
    <row r="377" spans="1:27" ht="15.6">
      <c r="A377" s="182"/>
      <c r="B377" s="182"/>
      <c r="C377" s="182"/>
      <c r="D377" s="182"/>
      <c r="E377" s="182"/>
      <c r="F377" s="208"/>
      <c r="G377" s="182" t="str">
        <f ca="1">IFERROR(__xludf.DUMMYFUNCTION("""COMPUTED_VALUE"""),"PAINEL CARVALHO CARVALHO EUROPEU WILD 15/3 X 125 X 1200MM")</f>
        <v>PAINEL CARVALHO CARVALHO EUROPEU WILD 15/3 X 125 X 1200MM</v>
      </c>
      <c r="H377" s="192" t="s">
        <v>465</v>
      </c>
      <c r="I377" s="182" t="str">
        <f t="shared" ca="1" si="2"/>
        <v/>
      </c>
      <c r="J377" s="193"/>
      <c r="K377" s="208" t="s">
        <v>2031</v>
      </c>
      <c r="L377" s="182" t="s">
        <v>466</v>
      </c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4"/>
      <c r="Z377" s="184"/>
      <c r="AA377" s="184"/>
    </row>
    <row r="378" spans="1:27" ht="15.6">
      <c r="A378" s="182"/>
      <c r="B378" s="182"/>
      <c r="C378" s="182"/>
      <c r="D378" s="182"/>
      <c r="E378" s="182"/>
      <c r="F378" s="208"/>
      <c r="G378" s="182" t="str">
        <f ca="1">IFERROR(__xludf.DUMMYFUNCTION("""COMPUTED_VALUE"""),"PAINEL CARVALHO CARVALHO EUROPEU WILD 15/3 X 190 X 1900MM")</f>
        <v>PAINEL CARVALHO CARVALHO EUROPEU WILD 15/3 X 190 X 1900MM</v>
      </c>
      <c r="H378" s="192" t="s">
        <v>466</v>
      </c>
      <c r="I378" s="182" t="str">
        <f t="shared" ca="1" si="2"/>
        <v/>
      </c>
      <c r="J378" s="193"/>
      <c r="K378" s="208" t="s">
        <v>2032</v>
      </c>
      <c r="L378" s="182" t="s">
        <v>467</v>
      </c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4"/>
      <c r="Z378" s="184"/>
      <c r="AA378" s="184"/>
    </row>
    <row r="379" spans="1:27" ht="15.6">
      <c r="A379" s="182"/>
      <c r="B379" s="182"/>
      <c r="C379" s="182"/>
      <c r="D379" s="182"/>
      <c r="E379" s="182"/>
      <c r="F379" s="208"/>
      <c r="G379" s="182" t="str">
        <f ca="1">IFERROR(__xludf.DUMMYFUNCTION("""COMPUTED_VALUE"""),"PAINEL CARVALHO CARVALHO EUROPEU WILD 20/6 X 300 X 4000MM")</f>
        <v>PAINEL CARVALHO CARVALHO EUROPEU WILD 20/6 X 300 X 4000MM</v>
      </c>
      <c r="H379" s="192" t="s">
        <v>467</v>
      </c>
      <c r="I379" s="182" t="str">
        <f t="shared" ca="1" si="2"/>
        <v/>
      </c>
      <c r="J379" s="193"/>
      <c r="K379" s="208" t="s">
        <v>2033</v>
      </c>
      <c r="L379" s="182" t="s">
        <v>468</v>
      </c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4"/>
      <c r="Z379" s="184"/>
      <c r="AA379" s="184"/>
    </row>
    <row r="380" spans="1:27" ht="15.6">
      <c r="A380" s="182"/>
      <c r="B380" s="182"/>
      <c r="C380" s="182"/>
      <c r="D380" s="182"/>
      <c r="E380" s="182"/>
      <c r="F380" s="208"/>
      <c r="G380" s="182" t="str">
        <f ca="1">IFERROR(__xludf.DUMMYFUNCTION("""COMPUTED_VALUE"""),"PAINEL CARVALHO CARVALHO EUROPEU WILD 20/6 X 400 X 5000MM")</f>
        <v>PAINEL CARVALHO CARVALHO EUROPEU WILD 20/6 X 400 X 5000MM</v>
      </c>
      <c r="H380" s="192" t="s">
        <v>468</v>
      </c>
      <c r="I380" s="182" t="str">
        <f t="shared" ca="1" si="2"/>
        <v/>
      </c>
      <c r="J380" s="193"/>
      <c r="K380" s="208" t="s">
        <v>2034</v>
      </c>
      <c r="L380" s="182" t="s">
        <v>469</v>
      </c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94"/>
      <c r="Z380" s="194"/>
      <c r="AA380" s="194"/>
    </row>
    <row r="381" spans="1:27" ht="15.6">
      <c r="A381" s="182"/>
      <c r="B381" s="182"/>
      <c r="C381" s="182"/>
      <c r="D381" s="182"/>
      <c r="E381" s="182"/>
      <c r="F381" s="208"/>
      <c r="G381" s="182" t="str">
        <f ca="1">IFERROR(__xludf.DUMMYFUNCTION("""COMPUTED_VALUE"""),"PAINEL CARVALHO CARVALHO EUROPEU NEVADO CHEVRON 15/3 X 1900X 740MM")</f>
        <v>PAINEL CARVALHO CARVALHO EUROPEU NEVADO CHEVRON 15/3 X 1900X 740MM</v>
      </c>
      <c r="H381" s="192" t="s">
        <v>469</v>
      </c>
      <c r="I381" s="182" t="str">
        <f t="shared" ca="1" si="2"/>
        <v/>
      </c>
      <c r="J381" s="193"/>
      <c r="K381" s="208" t="s">
        <v>2035</v>
      </c>
      <c r="L381" s="182" t="s">
        <v>470</v>
      </c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4"/>
      <c r="Z381" s="184"/>
      <c r="AA381" s="184"/>
    </row>
    <row r="382" spans="1:27" ht="15.6">
      <c r="A382" s="182"/>
      <c r="B382" s="182"/>
      <c r="C382" s="182"/>
      <c r="D382" s="182"/>
      <c r="E382" s="182"/>
      <c r="F382" s="208"/>
      <c r="G382" s="182" t="str">
        <f ca="1">IFERROR(__xludf.DUMMYFUNCTION("""COMPUTED_VALUE"""),"PAINEL CARVALHO CARVALHO EUROPEU NEVADO 15/3 X 125 X 1200MM")</f>
        <v>PAINEL CARVALHO CARVALHO EUROPEU NEVADO 15/3 X 125 X 1200MM</v>
      </c>
      <c r="H382" s="192" t="s">
        <v>470</v>
      </c>
      <c r="I382" s="182" t="str">
        <f t="shared" ca="1" si="2"/>
        <v/>
      </c>
      <c r="J382" s="193"/>
      <c r="K382" s="208" t="s">
        <v>2036</v>
      </c>
      <c r="L382" s="182" t="s">
        <v>471</v>
      </c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4"/>
      <c r="Z382" s="184"/>
      <c r="AA382" s="184"/>
    </row>
    <row r="383" spans="1:27" ht="15.6">
      <c r="A383" s="182"/>
      <c r="B383" s="182"/>
      <c r="C383" s="182"/>
      <c r="D383" s="182"/>
      <c r="E383" s="182"/>
      <c r="F383" s="208"/>
      <c r="G383" s="182" t="str">
        <f ca="1">IFERROR(__xludf.DUMMYFUNCTION("""COMPUTED_VALUE"""),"PAINEL CARVALHO CARVALHO EUROPEU NEVADO 15/3 X 190 X 1900MM")</f>
        <v>PAINEL CARVALHO CARVALHO EUROPEU NEVADO 15/3 X 190 X 1900MM</v>
      </c>
      <c r="H383" s="192" t="s">
        <v>471</v>
      </c>
      <c r="I383" s="182" t="str">
        <f t="shared" ca="1" si="2"/>
        <v/>
      </c>
      <c r="J383" s="193"/>
      <c r="K383" s="208" t="s">
        <v>2037</v>
      </c>
      <c r="L383" s="182" t="s">
        <v>472</v>
      </c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4"/>
      <c r="Z383" s="184"/>
      <c r="AA383" s="184"/>
    </row>
    <row r="384" spans="1:27" ht="15.6">
      <c r="A384" s="182"/>
      <c r="B384" s="182"/>
      <c r="C384" s="182"/>
      <c r="D384" s="182"/>
      <c r="E384" s="182"/>
      <c r="F384" s="208"/>
      <c r="G384" s="182" t="str">
        <f ca="1">IFERROR(__xludf.DUMMYFUNCTION("""COMPUTED_VALUE"""),"PAINEL CARVALHO CARVALHO EUROPEU NEVADO 20/6 X 300 X 4000MM")</f>
        <v>PAINEL CARVALHO CARVALHO EUROPEU NEVADO 20/6 X 300 X 4000MM</v>
      </c>
      <c r="H384" s="192" t="s">
        <v>472</v>
      </c>
      <c r="I384" s="182" t="str">
        <f t="shared" ca="1" si="2"/>
        <v/>
      </c>
      <c r="J384" s="193"/>
      <c r="K384" s="208" t="s">
        <v>2038</v>
      </c>
      <c r="L384" s="182" t="s">
        <v>473</v>
      </c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94"/>
      <c r="Z384" s="194"/>
      <c r="AA384" s="194"/>
    </row>
    <row r="385" spans="1:27" ht="15.6">
      <c r="A385" s="182"/>
      <c r="B385" s="182"/>
      <c r="C385" s="182"/>
      <c r="D385" s="182"/>
      <c r="E385" s="182"/>
      <c r="F385" s="208"/>
      <c r="G385" s="182" t="str">
        <f ca="1">IFERROR(__xludf.DUMMYFUNCTION("""COMPUTED_VALUE"""),"PAINEL CARVALHO CARVALHO EUROPEU NEVADO 20/6 X 400 X 5000MM")</f>
        <v>PAINEL CARVALHO CARVALHO EUROPEU NEVADO 20/6 X 400 X 5000MM</v>
      </c>
      <c r="H385" s="192" t="s">
        <v>473</v>
      </c>
      <c r="I385" s="182" t="str">
        <f t="shared" ca="1" si="2"/>
        <v/>
      </c>
      <c r="J385" s="193"/>
      <c r="K385" s="208" t="s">
        <v>2039</v>
      </c>
      <c r="L385" s="182" t="s">
        <v>474</v>
      </c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4"/>
      <c r="Z385" s="184"/>
      <c r="AA385" s="184"/>
    </row>
    <row r="386" spans="1:27" ht="15.6">
      <c r="A386" s="182"/>
      <c r="B386" s="182"/>
      <c r="C386" s="182"/>
      <c r="D386" s="182"/>
      <c r="E386" s="182"/>
      <c r="F386" s="208"/>
      <c r="G386" s="182" t="str">
        <f ca="1">IFERROR(__xludf.DUMMYFUNCTION("""COMPUTED_VALUE"""),"PAINEL CARVALHO CARVALHO EUROPEU CONCRETE GREY CHEVRON 15/3 X 1900X 740MM")</f>
        <v>PAINEL CARVALHO CARVALHO EUROPEU CONCRETE GREY CHEVRON 15/3 X 1900X 740MM</v>
      </c>
      <c r="H386" s="192" t="s">
        <v>474</v>
      </c>
      <c r="I386" s="182" t="str">
        <f t="shared" ca="1" si="2"/>
        <v/>
      </c>
      <c r="J386" s="193"/>
      <c r="K386" s="208" t="s">
        <v>2040</v>
      </c>
      <c r="L386" s="182" t="s">
        <v>475</v>
      </c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4"/>
      <c r="Z386" s="184"/>
      <c r="AA386" s="184"/>
    </row>
    <row r="387" spans="1:27" ht="15.6">
      <c r="A387" s="182"/>
      <c r="B387" s="182"/>
      <c r="C387" s="182"/>
      <c r="D387" s="182"/>
      <c r="E387" s="182"/>
      <c r="F387" s="208"/>
      <c r="G387" s="182" t="str">
        <f ca="1">IFERROR(__xludf.DUMMYFUNCTION("""COMPUTED_VALUE"""),"PAINEL CARVALHO CARVALHO EUROPEU CONCRETE GREY 15/3 X 125 X 1200MM")</f>
        <v>PAINEL CARVALHO CARVALHO EUROPEU CONCRETE GREY 15/3 X 125 X 1200MM</v>
      </c>
      <c r="H387" s="192" t="s">
        <v>475</v>
      </c>
      <c r="I387" s="182" t="str">
        <f t="shared" ca="1" si="2"/>
        <v/>
      </c>
      <c r="J387" s="193"/>
      <c r="K387" s="208" t="s">
        <v>2041</v>
      </c>
      <c r="L387" s="182" t="s">
        <v>476</v>
      </c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4"/>
      <c r="Z387" s="184"/>
      <c r="AA387" s="184"/>
    </row>
    <row r="388" spans="1:27" ht="15.6">
      <c r="A388" s="182"/>
      <c r="B388" s="182"/>
      <c r="C388" s="182"/>
      <c r="D388" s="182"/>
      <c r="E388" s="182"/>
      <c r="F388" s="208"/>
      <c r="G388" s="182" t="str">
        <f ca="1">IFERROR(__xludf.DUMMYFUNCTION("""COMPUTED_VALUE"""),"PAINEL CARVALHO CARVALHO EUROPEU CONCRETE GREY 15/3 X 190 X 1900MM")</f>
        <v>PAINEL CARVALHO CARVALHO EUROPEU CONCRETE GREY 15/3 X 190 X 1900MM</v>
      </c>
      <c r="H388" s="192" t="s">
        <v>476</v>
      </c>
      <c r="I388" s="182" t="str">
        <f t="shared" ca="1" si="2"/>
        <v/>
      </c>
      <c r="J388" s="193"/>
      <c r="K388" s="208" t="s">
        <v>2042</v>
      </c>
      <c r="L388" s="182" t="s">
        <v>477</v>
      </c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94"/>
      <c r="Z388" s="194"/>
      <c r="AA388" s="194"/>
    </row>
    <row r="389" spans="1:27" ht="15.6">
      <c r="A389" s="182"/>
      <c r="B389" s="182"/>
      <c r="C389" s="182"/>
      <c r="D389" s="182"/>
      <c r="E389" s="182"/>
      <c r="F389" s="208"/>
      <c r="G389" s="182" t="str">
        <f ca="1">IFERROR(__xludf.DUMMYFUNCTION("""COMPUTED_VALUE"""),"PAINEL CARVALHO CARVALHO EUROPEU CONCRETE GREY 20/6 X 300 X 4000MM")</f>
        <v>PAINEL CARVALHO CARVALHO EUROPEU CONCRETE GREY 20/6 X 300 X 4000MM</v>
      </c>
      <c r="H389" s="192" t="s">
        <v>477</v>
      </c>
      <c r="I389" s="182" t="str">
        <f t="shared" ca="1" si="2"/>
        <v/>
      </c>
      <c r="J389" s="193"/>
      <c r="K389" s="208" t="s">
        <v>2043</v>
      </c>
      <c r="L389" s="182" t="s">
        <v>478</v>
      </c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4"/>
      <c r="Z389" s="184"/>
      <c r="AA389" s="184"/>
    </row>
    <row r="390" spans="1:27" ht="15.6">
      <c r="A390" s="182"/>
      <c r="B390" s="182"/>
      <c r="C390" s="182"/>
      <c r="D390" s="182"/>
      <c r="E390" s="182"/>
      <c r="F390" s="208"/>
      <c r="G390" s="182" t="str">
        <f ca="1">IFERROR(__xludf.DUMMYFUNCTION("""COMPUTED_VALUE"""),"PAINEL CARVALHO CARVALHO EUROPEU CONCRETE GREY 20/6 X 400 X 5000MM")</f>
        <v>PAINEL CARVALHO CARVALHO EUROPEU CONCRETE GREY 20/6 X 400 X 5000MM</v>
      </c>
      <c r="H390" s="192" t="s">
        <v>478</v>
      </c>
      <c r="I390" s="182" t="str">
        <f t="shared" ca="1" si="2"/>
        <v/>
      </c>
      <c r="J390" s="193"/>
      <c r="K390" s="208" t="s">
        <v>2044</v>
      </c>
      <c r="L390" s="182" t="s">
        <v>479</v>
      </c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4"/>
      <c r="Z390" s="184"/>
      <c r="AA390" s="184"/>
    </row>
    <row r="391" spans="1:27" ht="15.6">
      <c r="A391" s="182"/>
      <c r="B391" s="182"/>
      <c r="C391" s="182"/>
      <c r="D391" s="182"/>
      <c r="E391" s="182"/>
      <c r="F391" s="208"/>
      <c r="G391" s="182" t="str">
        <f ca="1">IFERROR(__xludf.DUMMYFUNCTION("""COMPUTED_VALUE"""),"PAINEL CARVALHO CARVALHO EUROPEU ITALY BROWN CHEVRON 15/3 X 1900X 740MM")</f>
        <v>PAINEL CARVALHO CARVALHO EUROPEU ITALY BROWN CHEVRON 15/3 X 1900X 740MM</v>
      </c>
      <c r="H391" s="192" t="s">
        <v>479</v>
      </c>
      <c r="I391" s="182" t="str">
        <f t="shared" ca="1" si="2"/>
        <v/>
      </c>
      <c r="J391" s="193"/>
      <c r="K391" s="208" t="s">
        <v>2045</v>
      </c>
      <c r="L391" s="182" t="s">
        <v>480</v>
      </c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4"/>
      <c r="Z391" s="184"/>
      <c r="AA391" s="184"/>
    </row>
    <row r="392" spans="1:27" ht="15.6">
      <c r="A392" s="182"/>
      <c r="B392" s="182"/>
      <c r="C392" s="182"/>
      <c r="D392" s="182"/>
      <c r="E392" s="182"/>
      <c r="F392" s="208"/>
      <c r="G392" s="182" t="str">
        <f ca="1">IFERROR(__xludf.DUMMYFUNCTION("""COMPUTED_VALUE"""),"PAINEL CARVALHO CARVALHO EUROPEU ITALY BROWN 15/3 X 125 X 1200MM")</f>
        <v>PAINEL CARVALHO CARVALHO EUROPEU ITALY BROWN 15/3 X 125 X 1200MM</v>
      </c>
      <c r="H392" s="192" t="s">
        <v>480</v>
      </c>
      <c r="I392" s="182" t="str">
        <f t="shared" ca="1" si="2"/>
        <v/>
      </c>
      <c r="J392" s="193"/>
      <c r="K392" s="208" t="s">
        <v>2046</v>
      </c>
      <c r="L392" s="182" t="s">
        <v>481</v>
      </c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94"/>
      <c r="Z392" s="194"/>
      <c r="AA392" s="194"/>
    </row>
    <row r="393" spans="1:27" ht="15.6">
      <c r="A393" s="182"/>
      <c r="B393" s="182"/>
      <c r="C393" s="182"/>
      <c r="D393" s="182"/>
      <c r="E393" s="182"/>
      <c r="F393" s="208"/>
      <c r="G393" s="182" t="str">
        <f ca="1">IFERROR(__xludf.DUMMYFUNCTION("""COMPUTED_VALUE"""),"PAINEL CARVALHO CARVALHO EUROPEU ITALY BROWN 15/3 X 190 X 1900MM")</f>
        <v>PAINEL CARVALHO CARVALHO EUROPEU ITALY BROWN 15/3 X 190 X 1900MM</v>
      </c>
      <c r="H393" s="192" t="s">
        <v>481</v>
      </c>
      <c r="I393" s="182" t="str">
        <f t="shared" ca="1" si="2"/>
        <v/>
      </c>
      <c r="J393" s="193"/>
      <c r="K393" s="208" t="s">
        <v>2047</v>
      </c>
      <c r="L393" s="182" t="s">
        <v>482</v>
      </c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4"/>
      <c r="Z393" s="184"/>
      <c r="AA393" s="184"/>
    </row>
    <row r="394" spans="1:27" ht="15.6">
      <c r="A394" s="182"/>
      <c r="B394" s="182"/>
      <c r="C394" s="182"/>
      <c r="D394" s="182"/>
      <c r="E394" s="182"/>
      <c r="F394" s="208"/>
      <c r="G394" s="182" t="str">
        <f ca="1">IFERROR(__xludf.DUMMYFUNCTION("""COMPUTED_VALUE"""),"PAINEL CARVALHO CARVALHO EUROPEU ITALY BROWN 20/6 X 300 X 4000MM")</f>
        <v>PAINEL CARVALHO CARVALHO EUROPEU ITALY BROWN 20/6 X 300 X 4000MM</v>
      </c>
      <c r="H394" s="192" t="s">
        <v>482</v>
      </c>
      <c r="I394" s="182" t="str">
        <f t="shared" ca="1" si="2"/>
        <v/>
      </c>
      <c r="J394" s="193"/>
      <c r="K394" s="208" t="s">
        <v>2048</v>
      </c>
      <c r="L394" s="182" t="s">
        <v>483</v>
      </c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4"/>
      <c r="Z394" s="184"/>
      <c r="AA394" s="184"/>
    </row>
    <row r="395" spans="1:27" ht="15.6">
      <c r="A395" s="182"/>
      <c r="B395" s="182"/>
      <c r="C395" s="182"/>
      <c r="D395" s="182"/>
      <c r="E395" s="182"/>
      <c r="F395" s="208"/>
      <c r="G395" s="182" t="str">
        <f ca="1">IFERROR(__xludf.DUMMYFUNCTION("""COMPUTED_VALUE"""),"PAINEL CARVALHO CARVALHO EUROPEU ITALY BROWN 20/6 X 400 X 5000MM")</f>
        <v>PAINEL CARVALHO CARVALHO EUROPEU ITALY BROWN 20/6 X 400 X 5000MM</v>
      </c>
      <c r="H395" s="192" t="s">
        <v>483</v>
      </c>
      <c r="I395" s="182" t="str">
        <f t="shared" ca="1" si="2"/>
        <v/>
      </c>
      <c r="J395" s="193"/>
      <c r="K395" s="208" t="s">
        <v>2049</v>
      </c>
      <c r="L395" s="182" t="s">
        <v>484</v>
      </c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4"/>
      <c r="Z395" s="184"/>
      <c r="AA395" s="184"/>
    </row>
    <row r="396" spans="1:27" ht="15.6">
      <c r="A396" s="182"/>
      <c r="B396" s="182"/>
      <c r="C396" s="182"/>
      <c r="D396" s="182"/>
      <c r="E396" s="182"/>
      <c r="F396" s="208"/>
      <c r="G396" s="182" t="str">
        <f ca="1">IFERROR(__xludf.DUMMYFUNCTION("""COMPUTED_VALUE"""),"PAINEL CARVALHO CARVALHO EUROPEU ALL BLACK CHEVRON 15/3 X 1900X 740MM")</f>
        <v>PAINEL CARVALHO CARVALHO EUROPEU ALL BLACK CHEVRON 15/3 X 1900X 740MM</v>
      </c>
      <c r="H396" s="192" t="s">
        <v>484</v>
      </c>
      <c r="I396" s="182" t="str">
        <f t="shared" ca="1" si="2"/>
        <v/>
      </c>
      <c r="J396" s="193"/>
      <c r="K396" s="208" t="s">
        <v>2050</v>
      </c>
      <c r="L396" s="182" t="s">
        <v>485</v>
      </c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94"/>
      <c r="Z396" s="194"/>
      <c r="AA396" s="194"/>
    </row>
    <row r="397" spans="1:27" ht="15.6">
      <c r="A397" s="182"/>
      <c r="B397" s="182"/>
      <c r="C397" s="182"/>
      <c r="D397" s="182"/>
      <c r="E397" s="182"/>
      <c r="F397" s="208"/>
      <c r="G397" s="182" t="str">
        <f ca="1">IFERROR(__xludf.DUMMYFUNCTION("""COMPUTED_VALUE"""),"PAINEL CARVALHO CARVALHO EUROPEU ALL BLACK 15/3 X 125 X 1200MM")</f>
        <v>PAINEL CARVALHO CARVALHO EUROPEU ALL BLACK 15/3 X 125 X 1200MM</v>
      </c>
      <c r="H397" s="192" t="s">
        <v>485</v>
      </c>
      <c r="I397" s="182" t="str">
        <f t="shared" ca="1" si="2"/>
        <v/>
      </c>
      <c r="J397" s="193"/>
      <c r="K397" s="208" t="s">
        <v>2051</v>
      </c>
      <c r="L397" s="182" t="s">
        <v>486</v>
      </c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94"/>
      <c r="Z397" s="194"/>
      <c r="AA397" s="194"/>
    </row>
    <row r="398" spans="1:27" ht="15.6">
      <c r="A398" s="182"/>
      <c r="B398" s="182"/>
      <c r="C398" s="182"/>
      <c r="D398" s="182"/>
      <c r="E398" s="182"/>
      <c r="F398" s="208"/>
      <c r="G398" s="182" t="str">
        <f ca="1">IFERROR(__xludf.DUMMYFUNCTION("""COMPUTED_VALUE"""),"PAINEL CARVALHO CARVALHO EUROPEU BLACK CHEVRON TG 15/3 X 125 X 775CM")</f>
        <v>PAINEL CARVALHO CARVALHO EUROPEU BLACK CHEVRON TG 15/3 X 125 X 775CM</v>
      </c>
      <c r="H398" s="192" t="s">
        <v>486</v>
      </c>
      <c r="I398" s="182" t="str">
        <f t="shared" ca="1" si="2"/>
        <v/>
      </c>
      <c r="J398" s="193"/>
      <c r="K398" s="208" t="s">
        <v>2052</v>
      </c>
      <c r="L398" s="182" t="s">
        <v>487</v>
      </c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4"/>
      <c r="Z398" s="184"/>
      <c r="AA398" s="184"/>
    </row>
    <row r="399" spans="1:27" ht="15.6">
      <c r="A399" s="182"/>
      <c r="B399" s="182"/>
      <c r="C399" s="182"/>
      <c r="D399" s="182"/>
      <c r="E399" s="182"/>
      <c r="F399" s="208"/>
      <c r="G399" s="182" t="str">
        <f ca="1">IFERROR(__xludf.DUMMYFUNCTION("""COMPUTED_VALUE"""),"PAINEL CARVALHO CARVALHO EUROPEU ALL BLACK 15/3 X 190 X 1900MM")</f>
        <v>PAINEL CARVALHO CARVALHO EUROPEU ALL BLACK 15/3 X 190 X 1900MM</v>
      </c>
      <c r="H399" s="192" t="s">
        <v>487</v>
      </c>
      <c r="I399" s="182" t="str">
        <f t="shared" ca="1" si="2"/>
        <v/>
      </c>
      <c r="J399" s="193"/>
      <c r="K399" s="208" t="s">
        <v>2053</v>
      </c>
      <c r="L399" s="182" t="s">
        <v>488</v>
      </c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4"/>
      <c r="Z399" s="184"/>
      <c r="AA399" s="184"/>
    </row>
    <row r="400" spans="1:27" ht="15.6">
      <c r="A400" s="182"/>
      <c r="B400" s="182"/>
      <c r="C400" s="182"/>
      <c r="D400" s="182"/>
      <c r="E400" s="182"/>
      <c r="F400" s="208"/>
      <c r="G400" s="182" t="str">
        <f ca="1">IFERROR(__xludf.DUMMYFUNCTION("""COMPUTED_VALUE"""),"PAINEL CARVALHO CARVALHO EUROPEU ALL BLACK 20/6 X 300 X 4000MM")</f>
        <v>PAINEL CARVALHO CARVALHO EUROPEU ALL BLACK 20/6 X 300 X 4000MM</v>
      </c>
      <c r="H400" s="192" t="s">
        <v>488</v>
      </c>
      <c r="I400" s="182" t="str">
        <f t="shared" ca="1" si="2"/>
        <v/>
      </c>
      <c r="J400" s="193"/>
      <c r="K400" s="208" t="s">
        <v>2054</v>
      </c>
      <c r="L400" s="182" t="s">
        <v>489</v>
      </c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4"/>
      <c r="Z400" s="184"/>
      <c r="AA400" s="184"/>
    </row>
    <row r="401" spans="1:27" ht="15.6">
      <c r="A401" s="182"/>
      <c r="B401" s="182"/>
      <c r="C401" s="182"/>
      <c r="D401" s="182"/>
      <c r="E401" s="182"/>
      <c r="F401" s="208"/>
      <c r="G401" s="182" t="str">
        <f ca="1">IFERROR(__xludf.DUMMYFUNCTION("""COMPUTED_VALUE"""),"PAINEL CARVALHO CARVALHO EUROPEU ALL BLACK 20/6 X 400 X 5000MM")</f>
        <v>PAINEL CARVALHO CARVALHO EUROPEU ALL BLACK 20/6 X 400 X 5000MM</v>
      </c>
      <c r="H401" s="192" t="s">
        <v>489</v>
      </c>
      <c r="I401" s="182" t="str">
        <f t="shared" ca="1" si="2"/>
        <v/>
      </c>
      <c r="J401" s="193"/>
      <c r="K401" s="208" t="s">
        <v>2055</v>
      </c>
      <c r="L401" s="182" t="s">
        <v>490</v>
      </c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94"/>
      <c r="Z401" s="194"/>
      <c r="AA401" s="194"/>
    </row>
    <row r="402" spans="1:27" ht="15.6">
      <c r="A402" s="182"/>
      <c r="B402" s="182"/>
      <c r="C402" s="182"/>
      <c r="D402" s="182"/>
      <c r="E402" s="182"/>
      <c r="F402" s="208"/>
      <c r="G402" s="182" t="str">
        <f ca="1">IFERROR(__xludf.DUMMYFUNCTION("""COMPUTED_VALUE"""),"PAINEL CARVALHO CARVALHO EUROPEU URBAN GREY CHEVRON 15/3 X 1900X 740MM")</f>
        <v>PAINEL CARVALHO CARVALHO EUROPEU URBAN GREY CHEVRON 15/3 X 1900X 740MM</v>
      </c>
      <c r="H402" s="192" t="s">
        <v>490</v>
      </c>
      <c r="I402" s="182" t="str">
        <f t="shared" ca="1" si="2"/>
        <v/>
      </c>
      <c r="J402" s="193"/>
      <c r="K402" s="208" t="s">
        <v>2056</v>
      </c>
      <c r="L402" s="182" t="s">
        <v>491</v>
      </c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94"/>
      <c r="Z402" s="194"/>
      <c r="AA402" s="194"/>
    </row>
    <row r="403" spans="1:27" ht="15.6">
      <c r="A403" s="182"/>
      <c r="B403" s="182"/>
      <c r="C403" s="182"/>
      <c r="D403" s="182"/>
      <c r="E403" s="182"/>
      <c r="F403" s="208"/>
      <c r="G403" s="182" t="str">
        <f ca="1">IFERROR(__xludf.DUMMYFUNCTION("""COMPUTED_VALUE"""),"PAINEL CARVALHO CARVALHO EUROPEU URBAN GREY 15/3 X 125 X 1200MM")</f>
        <v>PAINEL CARVALHO CARVALHO EUROPEU URBAN GREY 15/3 X 125 X 1200MM</v>
      </c>
      <c r="H403" s="192" t="s">
        <v>491</v>
      </c>
      <c r="I403" s="182" t="str">
        <f t="shared" ca="1" si="2"/>
        <v/>
      </c>
      <c r="J403" s="193"/>
      <c r="K403" s="208" t="s">
        <v>2057</v>
      </c>
      <c r="L403" s="182" t="s">
        <v>492</v>
      </c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4"/>
      <c r="Z403" s="184"/>
      <c r="AA403" s="184"/>
    </row>
    <row r="404" spans="1:27" ht="15.6">
      <c r="A404" s="182"/>
      <c r="B404" s="182"/>
      <c r="C404" s="182"/>
      <c r="D404" s="182"/>
      <c r="E404" s="182"/>
      <c r="F404" s="208"/>
      <c r="G404" s="182" t="str">
        <f ca="1">IFERROR(__xludf.DUMMYFUNCTION("""COMPUTED_VALUE"""),"PAINEL CARVALHO CARVALHO EUROPEU URBAN GREY 15/3 X 190 X 1900MM")</f>
        <v>PAINEL CARVALHO CARVALHO EUROPEU URBAN GREY 15/3 X 190 X 1900MM</v>
      </c>
      <c r="H404" s="192" t="s">
        <v>492</v>
      </c>
      <c r="I404" s="182" t="str">
        <f t="shared" ca="1" si="2"/>
        <v/>
      </c>
      <c r="J404" s="193"/>
      <c r="K404" s="208" t="s">
        <v>2058</v>
      </c>
      <c r="L404" s="182" t="s">
        <v>493</v>
      </c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4"/>
      <c r="Z404" s="184"/>
      <c r="AA404" s="184"/>
    </row>
    <row r="405" spans="1:27" ht="15.6">
      <c r="A405" s="182"/>
      <c r="B405" s="182"/>
      <c r="C405" s="182"/>
      <c r="D405" s="182"/>
      <c r="E405" s="182"/>
      <c r="F405" s="208"/>
      <c r="G405" s="182" t="str">
        <f ca="1">IFERROR(__xludf.DUMMYFUNCTION("""COMPUTED_VALUE"""),"PAINEL CARVALHO CARVALHO EUROPEU URBAN GREY 20/6 X 300 X 4000MM")</f>
        <v>PAINEL CARVALHO CARVALHO EUROPEU URBAN GREY 20/6 X 300 X 4000MM</v>
      </c>
      <c r="H405" s="192" t="s">
        <v>493</v>
      </c>
      <c r="I405" s="182" t="str">
        <f t="shared" ca="1" si="2"/>
        <v/>
      </c>
      <c r="J405" s="193"/>
      <c r="K405" s="208" t="s">
        <v>2059</v>
      </c>
      <c r="L405" s="182" t="s">
        <v>494</v>
      </c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4"/>
      <c r="Z405" s="184"/>
      <c r="AA405" s="184"/>
    </row>
    <row r="406" spans="1:27" ht="15.6">
      <c r="A406" s="182"/>
      <c r="B406" s="182"/>
      <c r="C406" s="182"/>
      <c r="D406" s="182"/>
      <c r="E406" s="182"/>
      <c r="F406" s="208"/>
      <c r="G406" s="182" t="str">
        <f ca="1">IFERROR(__xludf.DUMMYFUNCTION("""COMPUTED_VALUE"""),"PAINEL CARVALHO CARVALHO EUROPEU URBAN GREY 20/6 X 400 X 5000MM")</f>
        <v>PAINEL CARVALHO CARVALHO EUROPEU URBAN GREY 20/6 X 400 X 5000MM</v>
      </c>
      <c r="H406" s="192" t="s">
        <v>494</v>
      </c>
      <c r="I406" s="182" t="str">
        <f t="shared" ca="1" si="2"/>
        <v/>
      </c>
      <c r="J406" s="193"/>
      <c r="K406" s="208" t="s">
        <v>2060</v>
      </c>
      <c r="L406" s="182" t="s">
        <v>495</v>
      </c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94"/>
      <c r="Z406" s="194"/>
      <c r="AA406" s="194"/>
    </row>
    <row r="407" spans="1:27" ht="15.6">
      <c r="A407" s="182"/>
      <c r="B407" s="182"/>
      <c r="C407" s="182"/>
      <c r="D407" s="182"/>
      <c r="E407" s="182"/>
      <c r="F407" s="208"/>
      <c r="G407" s="182" t="str">
        <f ca="1">IFERROR(__xludf.DUMMYFUNCTION("""COMPUTED_VALUE"""),"PAINEL CARVALHO CARVALHO EUROPEU CARAMEL CHEVRON 15/3 X 1900X 740MM")</f>
        <v>PAINEL CARVALHO CARVALHO EUROPEU CARAMEL CHEVRON 15/3 X 1900X 740MM</v>
      </c>
      <c r="H407" s="192" t="s">
        <v>495</v>
      </c>
      <c r="I407" s="182" t="str">
        <f t="shared" ca="1" si="2"/>
        <v/>
      </c>
      <c r="J407" s="193"/>
      <c r="K407" s="208" t="s">
        <v>2061</v>
      </c>
      <c r="L407" s="182" t="s">
        <v>496</v>
      </c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94"/>
      <c r="Z407" s="194"/>
      <c r="AA407" s="194"/>
    </row>
    <row r="408" spans="1:27" ht="15.6">
      <c r="A408" s="182"/>
      <c r="B408" s="182"/>
      <c r="C408" s="182"/>
      <c r="D408" s="182"/>
      <c r="E408" s="182"/>
      <c r="F408" s="208"/>
      <c r="G408" s="182" t="str">
        <f ca="1">IFERROR(__xludf.DUMMYFUNCTION("""COMPUTED_VALUE"""),"PAINEL CARVALHO CARVALHO EUROPEU CARAMEL 15/3 X 125 X 1200MM")</f>
        <v>PAINEL CARVALHO CARVALHO EUROPEU CARAMEL 15/3 X 125 X 1200MM</v>
      </c>
      <c r="H408" s="192" t="s">
        <v>496</v>
      </c>
      <c r="I408" s="182" t="str">
        <f t="shared" ca="1" si="2"/>
        <v/>
      </c>
      <c r="J408" s="193"/>
      <c r="K408" s="208" t="s">
        <v>2062</v>
      </c>
      <c r="L408" s="182" t="s">
        <v>497</v>
      </c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4"/>
      <c r="Z408" s="184"/>
      <c r="AA408" s="184"/>
    </row>
    <row r="409" spans="1:27" ht="15.6">
      <c r="A409" s="182"/>
      <c r="B409" s="182"/>
      <c r="C409" s="182"/>
      <c r="D409" s="182"/>
      <c r="E409" s="182"/>
      <c r="F409" s="208"/>
      <c r="G409" s="182" t="str">
        <f ca="1">IFERROR(__xludf.DUMMYFUNCTION("""COMPUTED_VALUE"""),"PAINEL CARVALHO CARVALHO EUROPEU CARAMEL 15/3 X 190 X 1900MM")</f>
        <v>PAINEL CARVALHO CARVALHO EUROPEU CARAMEL 15/3 X 190 X 1900MM</v>
      </c>
      <c r="H409" s="192" t="s">
        <v>497</v>
      </c>
      <c r="I409" s="182" t="str">
        <f t="shared" ca="1" si="2"/>
        <v/>
      </c>
      <c r="J409" s="193"/>
      <c r="K409" s="208" t="s">
        <v>2063</v>
      </c>
      <c r="L409" s="182" t="s">
        <v>498</v>
      </c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4"/>
      <c r="Z409" s="184"/>
      <c r="AA409" s="184"/>
    </row>
    <row r="410" spans="1:27" ht="15.6">
      <c r="A410" s="182"/>
      <c r="B410" s="182"/>
      <c r="C410" s="182"/>
      <c r="D410" s="182"/>
      <c r="E410" s="182"/>
      <c r="F410" s="208"/>
      <c r="G410" s="182" t="str">
        <f ca="1">IFERROR(__xludf.DUMMYFUNCTION("""COMPUTED_VALUE"""),"PAINEL CARVALHO CARVALHO EUROPEU CARAMEL 20/6 X 300 X 4000MM")</f>
        <v>PAINEL CARVALHO CARVALHO EUROPEU CARAMEL 20/6 X 300 X 4000MM</v>
      </c>
      <c r="H410" s="192" t="s">
        <v>498</v>
      </c>
      <c r="I410" s="182" t="str">
        <f t="shared" ca="1" si="2"/>
        <v/>
      </c>
      <c r="J410" s="193"/>
      <c r="K410" s="208" t="s">
        <v>2064</v>
      </c>
      <c r="L410" s="182" t="s">
        <v>499</v>
      </c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4"/>
      <c r="Z410" s="184"/>
      <c r="AA410" s="184"/>
    </row>
    <row r="411" spans="1:27" ht="15.6">
      <c r="A411" s="182"/>
      <c r="B411" s="182"/>
      <c r="C411" s="182"/>
      <c r="D411" s="182"/>
      <c r="E411" s="182"/>
      <c r="F411" s="208"/>
      <c r="G411" s="182" t="str">
        <f ca="1">IFERROR(__xludf.DUMMYFUNCTION("""COMPUTED_VALUE"""),"PAINEL CARVALHO CARVALHO EUROPEU CARAMEL 20/6 X 400 X 5000MM")</f>
        <v>PAINEL CARVALHO CARVALHO EUROPEU CARAMEL 20/6 X 400 X 5000MM</v>
      </c>
      <c r="H411" s="192" t="s">
        <v>499</v>
      </c>
      <c r="I411" s="182" t="str">
        <f t="shared" ca="1" si="2"/>
        <v/>
      </c>
      <c r="J411" s="193"/>
      <c r="K411" s="208" t="s">
        <v>2065</v>
      </c>
      <c r="L411" s="182" t="s">
        <v>500</v>
      </c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94"/>
      <c r="Z411" s="194"/>
      <c r="AA411" s="194"/>
    </row>
    <row r="412" spans="1:27" ht="15.6">
      <c r="A412" s="182"/>
      <c r="B412" s="182"/>
      <c r="C412" s="182"/>
      <c r="D412" s="182"/>
      <c r="E412" s="182"/>
      <c r="F412" s="208"/>
      <c r="G412" s="182" t="str">
        <f ca="1">IFERROR(__xludf.DUMMYFUNCTION("""COMPUTED_VALUE"""),"PAINEL CARVALHO CARVALHO EUROPEU CHEMICAL CHEVRON TG 15/3*190*740MM")</f>
        <v>PAINEL CARVALHO CARVALHO EUROPEU CHEMICAL CHEVRON TG 15/3*190*740MM</v>
      </c>
      <c r="H412" s="192" t="s">
        <v>500</v>
      </c>
      <c r="I412" s="182" t="str">
        <f t="shared" ca="1" si="2"/>
        <v/>
      </c>
      <c r="J412" s="193"/>
      <c r="K412" s="208" t="s">
        <v>2066</v>
      </c>
      <c r="L412" s="182" t="s">
        <v>501</v>
      </c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4"/>
      <c r="Z412" s="184"/>
      <c r="AA412" s="184"/>
    </row>
    <row r="413" spans="1:27" ht="15.6">
      <c r="A413" s="182"/>
      <c r="B413" s="182"/>
      <c r="C413" s="182"/>
      <c r="D413" s="182"/>
      <c r="E413" s="182"/>
      <c r="F413" s="208"/>
      <c r="G413" s="182" t="str">
        <f ca="1">IFERROR(__xludf.DUMMYFUNCTION("""COMPUTED_VALUE"""),"PAINEL CARVALHO CARVALHO EUROPEU WHITE RUSTIC 15/4*189*1860MM")</f>
        <v>PAINEL CARVALHO CARVALHO EUROPEU WHITE RUSTIC 15/4*189*1860MM</v>
      </c>
      <c r="H413" s="192" t="s">
        <v>501</v>
      </c>
      <c r="I413" s="182" t="str">
        <f t="shared" ca="1" si="2"/>
        <v/>
      </c>
      <c r="J413" s="193"/>
      <c r="K413" s="208" t="s">
        <v>2067</v>
      </c>
      <c r="L413" s="182" t="s">
        <v>502</v>
      </c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4"/>
      <c r="Z413" s="184"/>
      <c r="AA413" s="184"/>
    </row>
    <row r="414" spans="1:27" ht="15.6">
      <c r="A414" s="182"/>
      <c r="B414" s="182"/>
      <c r="C414" s="182"/>
      <c r="D414" s="182"/>
      <c r="E414" s="182"/>
      <c r="F414" s="208"/>
      <c r="G414" s="182" t="str">
        <f ca="1">IFERROR(__xludf.DUMMYFUNCTION("""COMPUTED_VALUE"""),"PAINEL CARVALHO CARVALHO EUROPEU CUSTOMIZADO 14/3 X 12,7 X 186CM")</f>
        <v>PAINEL CARVALHO CARVALHO EUROPEU CUSTOMIZADO 14/3 X 12,7 X 186CM</v>
      </c>
      <c r="H414" s="192" t="s">
        <v>502</v>
      </c>
      <c r="I414" s="182" t="str">
        <f t="shared" ca="1" si="2"/>
        <v/>
      </c>
      <c r="J414" s="193"/>
      <c r="K414" s="208" t="s">
        <v>2068</v>
      </c>
      <c r="L414" s="182" t="s">
        <v>503</v>
      </c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4"/>
      <c r="Z414" s="184"/>
      <c r="AA414" s="184"/>
    </row>
    <row r="415" spans="1:27" ht="15.6">
      <c r="A415" s="182"/>
      <c r="B415" s="182"/>
      <c r="C415" s="182"/>
      <c r="D415" s="182"/>
      <c r="E415" s="182"/>
      <c r="F415" s="208"/>
      <c r="G415" s="182" t="str">
        <f ca="1">IFERROR(__xludf.DUMMYFUNCTION("""COMPUTED_VALUE"""),"PAINEL CARVALHO CARVALHO EUROPEU CUSTOMIZADO 2.0 X 19 X 190CM (C2)")</f>
        <v>PAINEL CARVALHO CARVALHO EUROPEU CUSTOMIZADO 2.0 X 19 X 190CM (C2)</v>
      </c>
      <c r="H415" s="192" t="s">
        <v>503</v>
      </c>
      <c r="I415" s="182" t="str">
        <f t="shared" ca="1" si="2"/>
        <v/>
      </c>
      <c r="J415" s="193"/>
      <c r="K415" s="208" t="s">
        <v>2069</v>
      </c>
      <c r="L415" s="182" t="s">
        <v>504</v>
      </c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94"/>
      <c r="Z415" s="194"/>
      <c r="AA415" s="194"/>
    </row>
    <row r="416" spans="1:27" ht="15.6">
      <c r="A416" s="182"/>
      <c r="B416" s="182"/>
      <c r="C416" s="182"/>
      <c r="D416" s="182"/>
      <c r="E416" s="182"/>
      <c r="F416" s="208"/>
      <c r="G416" s="182" t="str">
        <f ca="1">IFERROR(__xludf.DUMMYFUNCTION("""COMPUTED_VALUE"""),"PAINEL CARVALHO CARVALHO EUROPEU NATURAL CHEVRON TG 1.5/3 X 9X 51CM")</f>
        <v>PAINEL CARVALHO CARVALHO EUROPEU NATURAL CHEVRON TG 1.5/3 X 9X 51CM</v>
      </c>
      <c r="H416" s="192" t="s">
        <v>504</v>
      </c>
      <c r="I416" s="182" t="str">
        <f t="shared" ca="1" si="2"/>
        <v/>
      </c>
      <c r="J416" s="193"/>
      <c r="K416" s="208" t="s">
        <v>2070</v>
      </c>
      <c r="L416" s="182" t="s">
        <v>504</v>
      </c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4"/>
      <c r="Z416" s="184"/>
      <c r="AA416" s="184"/>
    </row>
    <row r="417" spans="1:27" ht="15.6">
      <c r="A417" s="182"/>
      <c r="B417" s="182"/>
      <c r="C417" s="182"/>
      <c r="D417" s="182"/>
      <c r="E417" s="182"/>
      <c r="F417" s="208"/>
      <c r="G417" s="182" t="str">
        <f ca="1">IFERROR(__xludf.DUMMYFUNCTION("""COMPUTED_VALUE"""),"PAINEL CARVALHO CARVALHO EUROPEU NATURAL CHEVRON TG 1.5/3 X 9X 51CM")</f>
        <v>PAINEL CARVALHO CARVALHO EUROPEU NATURAL CHEVRON TG 1.5/3 X 9X 51CM</v>
      </c>
      <c r="H417" s="192" t="s">
        <v>504</v>
      </c>
      <c r="I417" s="182" t="str">
        <f t="shared" ca="1" si="2"/>
        <v/>
      </c>
      <c r="J417" s="193"/>
      <c r="K417" s="208" t="s">
        <v>2071</v>
      </c>
      <c r="L417" s="182" t="s">
        <v>506</v>
      </c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4"/>
      <c r="Z417" s="184"/>
      <c r="AA417" s="184"/>
    </row>
    <row r="418" spans="1:27" ht="15.6">
      <c r="A418" s="182"/>
      <c r="B418" s="182"/>
      <c r="C418" s="182"/>
      <c r="D418" s="182"/>
      <c r="E418" s="182"/>
      <c r="F418" s="208"/>
      <c r="G418" s="182" t="str">
        <f ca="1">IFERROR(__xludf.DUMMYFUNCTION("""COMPUTED_VALUE"""),"PAINEL CARVALHO CARVALHO EUROPEU NUDE CHEVRON 60.. TG 15/3 X 190 X 90CM")</f>
        <v>PAINEL CARVALHO CARVALHO EUROPEU NUDE CHEVRON 60.. TG 15/3 X 190 X 90CM</v>
      </c>
      <c r="H418" s="192" t="s">
        <v>506</v>
      </c>
      <c r="I418" s="182" t="str">
        <f t="shared" ca="1" si="2"/>
        <v/>
      </c>
      <c r="J418" s="193"/>
      <c r="K418" s="208" t="s">
        <v>2072</v>
      </c>
      <c r="L418" s="182" t="s">
        <v>507</v>
      </c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4"/>
      <c r="Z418" s="184"/>
      <c r="AA418" s="184"/>
    </row>
    <row r="419" spans="1:27" ht="15.6">
      <c r="A419" s="182"/>
      <c r="B419" s="182"/>
      <c r="C419" s="182"/>
      <c r="D419" s="182"/>
      <c r="E419" s="182"/>
      <c r="F419" s="208"/>
      <c r="G419" s="182" t="str">
        <f ca="1">IFERROR(__xludf.DUMMYFUNCTION("""COMPUTED_VALUE"""),"PAINEL CARVALHO CARVALHO EUROPEU NUDE CHEVRON TG 1.5/3X 12.5X 63CM")</f>
        <v>PAINEL CARVALHO CARVALHO EUROPEU NUDE CHEVRON TG 1.5/3X 12.5X 63CM</v>
      </c>
      <c r="H419" s="192" t="s">
        <v>507</v>
      </c>
      <c r="I419" s="182" t="str">
        <f t="shared" ca="1" si="2"/>
        <v/>
      </c>
      <c r="J419" s="193"/>
      <c r="K419" s="208" t="s">
        <v>2073</v>
      </c>
      <c r="L419" s="182" t="s">
        <v>508</v>
      </c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94"/>
      <c r="Z419" s="194"/>
      <c r="AA419" s="194"/>
    </row>
    <row r="420" spans="1:27" ht="15.6">
      <c r="A420" s="182"/>
      <c r="B420" s="182"/>
      <c r="C420" s="182"/>
      <c r="D420" s="182"/>
      <c r="E420" s="182"/>
      <c r="F420" s="208"/>
      <c r="G420" s="182" t="str">
        <f ca="1">IFERROR(__xludf.DUMMYFUNCTION("""COMPUTED_VALUE"""),"PAINEL CARVALHO WALNUT 15/3 X 125 X 910MM")</f>
        <v>PAINEL CARVALHO WALNUT 15/3 X 125 X 910MM</v>
      </c>
      <c r="H420" s="192" t="s">
        <v>508</v>
      </c>
      <c r="I420" s="182" t="str">
        <f t="shared" ca="1" si="2"/>
        <v/>
      </c>
      <c r="J420" s="193"/>
      <c r="K420" s="208" t="s">
        <v>2074</v>
      </c>
      <c r="L420" s="182" t="s">
        <v>509</v>
      </c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4"/>
      <c r="Z420" s="184"/>
      <c r="AA420" s="184"/>
    </row>
    <row r="421" spans="1:27" ht="15.6">
      <c r="A421" s="182"/>
      <c r="B421" s="182"/>
      <c r="C421" s="182"/>
      <c r="D421" s="182"/>
      <c r="E421" s="182"/>
      <c r="F421" s="208"/>
      <c r="G421" s="182" t="str">
        <f ca="1">IFERROR(__xludf.DUMMYFUNCTION("""COMPUTED_VALUE"""),"PAINEL CARVALHO WALNUT 15/3 X 190 X 1900MM")</f>
        <v>PAINEL CARVALHO WALNUT 15/3 X 190 X 1900MM</v>
      </c>
      <c r="H421" s="192" t="s">
        <v>509</v>
      </c>
      <c r="I421" s="182" t="str">
        <f t="shared" ca="1" si="2"/>
        <v/>
      </c>
      <c r="J421" s="193"/>
      <c r="K421" s="208" t="s">
        <v>2075</v>
      </c>
      <c r="L421" s="182" t="s">
        <v>510</v>
      </c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94"/>
      <c r="Z421" s="194"/>
      <c r="AA421" s="194"/>
    </row>
    <row r="422" spans="1:27" ht="15.6">
      <c r="A422" s="182"/>
      <c r="B422" s="182"/>
      <c r="C422" s="182"/>
      <c r="D422" s="182"/>
      <c r="E422" s="182"/>
      <c r="F422" s="208"/>
      <c r="G422" s="182" t="str">
        <f ca="1">IFERROR(__xludf.DUMMYFUNCTION("""COMPUTED_VALUE"""),"PAINEL CARVALHO WALNUT 20/2 X 300 X 4000MM")</f>
        <v>PAINEL CARVALHO WALNUT 20/2 X 300 X 4000MM</v>
      </c>
      <c r="H422" s="192" t="s">
        <v>510</v>
      </c>
      <c r="I422" s="182" t="str">
        <f t="shared" ca="1" si="2"/>
        <v/>
      </c>
      <c r="J422" s="193"/>
      <c r="K422" s="208" t="s">
        <v>2076</v>
      </c>
      <c r="L422" s="182" t="s">
        <v>511</v>
      </c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94"/>
      <c r="Z422" s="194"/>
      <c r="AA422" s="194"/>
    </row>
    <row r="423" spans="1:27" ht="15.6">
      <c r="A423" s="182"/>
      <c r="B423" s="182"/>
      <c r="C423" s="182"/>
      <c r="D423" s="182"/>
      <c r="E423" s="182"/>
      <c r="F423" s="208"/>
      <c r="G423" s="182" t="str">
        <f ca="1">IFERROR(__xludf.DUMMYFUNCTION("""COMPUTED_VALUE"""),"PAINEL CARVALHO BAMBU ALTA DENS. CUST PREMIUM TG 1.5/4 X19X185CM")</f>
        <v>PAINEL CARVALHO BAMBU ALTA DENS. CUST PREMIUM TG 1.5/4 X19X185CM</v>
      </c>
      <c r="H423" s="192" t="s">
        <v>511</v>
      </c>
      <c r="I423" s="182" t="str">
        <f t="shared" ca="1" si="2"/>
        <v/>
      </c>
      <c r="J423" s="193"/>
      <c r="K423" s="208" t="s">
        <v>2077</v>
      </c>
      <c r="L423" s="182" t="s">
        <v>512</v>
      </c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94"/>
      <c r="Z423" s="194"/>
      <c r="AA423" s="194"/>
    </row>
    <row r="424" spans="1:27" ht="15.6">
      <c r="A424" s="182"/>
      <c r="B424" s="182"/>
      <c r="C424" s="182"/>
      <c r="D424" s="182"/>
      <c r="E424" s="182"/>
      <c r="F424" s="208"/>
      <c r="G424" s="182" t="str">
        <f ca="1">IFERROR(__xludf.DUMMYFUNCTION("""COMPUTED_VALUE"""),"PAINEL CARVALHO BAMBU CARAMEL ALTA DENSIDADE TG 1.5/4 X19X186CM")</f>
        <v>PAINEL CARVALHO BAMBU CARAMEL ALTA DENSIDADE TG 1.5/4 X19X186CM</v>
      </c>
      <c r="H424" s="192" t="s">
        <v>512</v>
      </c>
      <c r="I424" s="182" t="str">
        <f t="shared" ca="1" si="2"/>
        <v/>
      </c>
      <c r="J424" s="193"/>
      <c r="K424" s="208" t="s">
        <v>2078</v>
      </c>
      <c r="L424" s="182" t="s">
        <v>513</v>
      </c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4"/>
      <c r="Z424" s="184"/>
      <c r="AA424" s="184"/>
    </row>
    <row r="425" spans="1:27" ht="15.6">
      <c r="A425" s="182"/>
      <c r="B425" s="182"/>
      <c r="C425" s="182"/>
      <c r="D425" s="182"/>
      <c r="E425" s="182"/>
      <c r="F425" s="208"/>
      <c r="G425" s="182" t="str">
        <f ca="1">IFERROR(__xludf.DUMMYFUNCTION("""COMPUTED_VALUE"""),"PAINEL CARVALHO RIPADO CUMARU PREMIUM TG 1,8 X 3,5+0,5CM PROF. BIT 0")</f>
        <v>PAINEL CARVALHO RIPADO CUMARU PREMIUM TG 1,8 X 3,5+0,5CM PROF. BIT 0</v>
      </c>
      <c r="H425" s="192" t="s">
        <v>513</v>
      </c>
      <c r="I425" s="182" t="str">
        <f t="shared" ca="1" si="2"/>
        <v/>
      </c>
      <c r="J425" s="193"/>
      <c r="K425" s="208" t="s">
        <v>2079</v>
      </c>
      <c r="L425" s="182" t="s">
        <v>514</v>
      </c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4"/>
      <c r="Z425" s="184"/>
      <c r="AA425" s="184"/>
    </row>
    <row r="426" spans="1:27" ht="15.6">
      <c r="A426" s="182"/>
      <c r="B426" s="182"/>
      <c r="C426" s="182"/>
      <c r="D426" s="182"/>
      <c r="E426" s="182"/>
      <c r="F426" s="208"/>
      <c r="G426" s="182" t="str">
        <f ca="1">IFERROR(__xludf.DUMMYFUNCTION("""COMPUTED_VALUE"""),"PAINEL CARVALHO RIPADO CATUABA PREMIUM TG 1,8 X 3,5+0,5CM PROF. BIT 0")</f>
        <v>PAINEL CARVALHO RIPADO CATUABA PREMIUM TG 1,8 X 3,5+0,5CM PROF. BIT 0</v>
      </c>
      <c r="H426" s="192" t="s">
        <v>514</v>
      </c>
      <c r="I426" s="182" t="str">
        <f t="shared" ca="1" si="2"/>
        <v/>
      </c>
      <c r="J426" s="193"/>
      <c r="K426" s="208" t="s">
        <v>2080</v>
      </c>
      <c r="L426" s="182" t="s">
        <v>515</v>
      </c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4"/>
      <c r="Z426" s="184"/>
      <c r="AA426" s="184"/>
    </row>
    <row r="427" spans="1:27" ht="15.6">
      <c r="A427" s="182"/>
      <c r="B427" s="182"/>
      <c r="C427" s="182"/>
      <c r="D427" s="182"/>
      <c r="E427" s="182"/>
      <c r="F427" s="208"/>
      <c r="G427" s="182" t="str">
        <f ca="1">IFERROR(__xludf.DUMMYFUNCTION("""COMPUTED_VALUE"""),"PAINEL CARVALHO RIPADO CABREUVA BRANCA PREMIUM TG 1,8 X 3,5+0,5CM PROF. BIT 0")</f>
        <v>PAINEL CARVALHO RIPADO CABREUVA BRANCA PREMIUM TG 1,8 X 3,5+0,5CM PROF. BIT 0</v>
      </c>
      <c r="H427" s="192" t="s">
        <v>515</v>
      </c>
      <c r="I427" s="182" t="str">
        <f t="shared" ca="1" si="2"/>
        <v/>
      </c>
      <c r="J427" s="193"/>
      <c r="K427" s="208" t="s">
        <v>2081</v>
      </c>
      <c r="L427" s="182" t="s">
        <v>516</v>
      </c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94"/>
      <c r="Z427" s="194"/>
      <c r="AA427" s="194"/>
    </row>
    <row r="428" spans="1:27" ht="15.6">
      <c r="A428" s="182"/>
      <c r="B428" s="182"/>
      <c r="C428" s="182"/>
      <c r="D428" s="182"/>
      <c r="E428" s="182"/>
      <c r="F428" s="208"/>
      <c r="G428" s="182" t="str">
        <f ca="1">IFERROR(__xludf.DUMMYFUNCTION("""COMPUTED_VALUE"""),"PAINEL CARVALHO RIPADO CABREUVA DOURADA PREMIUM TG 1,8 X 3,5+0,5CM PROF. BIT 0")</f>
        <v>PAINEL CARVALHO RIPADO CABREUVA DOURADA PREMIUM TG 1,8 X 3,5+0,5CM PROF. BIT 0</v>
      </c>
      <c r="H428" s="192" t="s">
        <v>516</v>
      </c>
      <c r="I428" s="182" t="str">
        <f t="shared" ca="1" si="2"/>
        <v/>
      </c>
      <c r="J428" s="193"/>
      <c r="K428" s="208" t="s">
        <v>2082</v>
      </c>
      <c r="L428" s="182" t="s">
        <v>517</v>
      </c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94"/>
      <c r="Z428" s="194"/>
      <c r="AA428" s="194"/>
    </row>
    <row r="429" spans="1:27" ht="15.6">
      <c r="A429" s="182"/>
      <c r="B429" s="182"/>
      <c r="C429" s="182"/>
      <c r="D429" s="182"/>
      <c r="E429" s="182"/>
      <c r="F429" s="208"/>
      <c r="G429" s="182" t="str">
        <f ca="1">IFERROR(__xludf.DUMMYFUNCTION("""COMPUTED_VALUE"""),"PAINEL CARVALHO RIPADO TAUARI PREMIUM TG 1,8 X 3,5+0,5CM PROF. BIT 0")</f>
        <v>PAINEL CARVALHO RIPADO TAUARI PREMIUM TG 1,8 X 3,5+0,5CM PROF. BIT 0</v>
      </c>
      <c r="H429" s="192" t="s">
        <v>517</v>
      </c>
      <c r="I429" s="182" t="str">
        <f t="shared" ca="1" si="2"/>
        <v/>
      </c>
      <c r="J429" s="193"/>
      <c r="K429" s="208" t="s">
        <v>2083</v>
      </c>
      <c r="L429" s="182" t="s">
        <v>518</v>
      </c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94"/>
      <c r="Z429" s="194"/>
      <c r="AA429" s="194"/>
    </row>
    <row r="430" spans="1:27" ht="15.6">
      <c r="A430" s="182"/>
      <c r="B430" s="182"/>
      <c r="C430" s="182"/>
      <c r="D430" s="182"/>
      <c r="E430" s="182"/>
      <c r="F430" s="208"/>
      <c r="G430" s="182" t="str">
        <f ca="1">IFERROR(__xludf.DUMMYFUNCTION("""COMPUTED_VALUE"""),"PAINEL CARVALHO RIPADO PEROBA PREMIUM TG 1,8 X 3,5+0,5CM PROF. BIT 0")</f>
        <v>PAINEL CARVALHO RIPADO PEROBA PREMIUM TG 1,8 X 3,5+0,5CM PROF. BIT 0</v>
      </c>
      <c r="H430" s="192" t="s">
        <v>518</v>
      </c>
      <c r="I430" s="182" t="str">
        <f t="shared" ca="1" si="2"/>
        <v/>
      </c>
      <c r="J430" s="193"/>
      <c r="K430" s="208" t="s">
        <v>2084</v>
      </c>
      <c r="L430" s="182" t="s">
        <v>519</v>
      </c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4"/>
      <c r="Z430" s="184"/>
      <c r="AA430" s="184"/>
    </row>
    <row r="431" spans="1:27" ht="15.6">
      <c r="A431" s="182"/>
      <c r="B431" s="182"/>
      <c r="C431" s="182"/>
      <c r="D431" s="182"/>
      <c r="E431" s="182"/>
      <c r="F431" s="208"/>
      <c r="G431" s="182" t="str">
        <f ca="1">IFERROR(__xludf.DUMMYFUNCTION("""COMPUTED_VALUE"""),"PAINEL CARVALHO RIPADO LORO PARDO PREMIUM TG 1,8 X 3,5+0,5CM PROF. BIT 0")</f>
        <v>PAINEL CARVALHO RIPADO LORO PARDO PREMIUM TG 1,8 X 3,5+0,5CM PROF. BIT 0</v>
      </c>
      <c r="H431" s="192" t="s">
        <v>519</v>
      </c>
      <c r="I431" s="182" t="str">
        <f t="shared" ca="1" si="2"/>
        <v/>
      </c>
      <c r="J431" s="193"/>
      <c r="K431" s="208" t="s">
        <v>2085</v>
      </c>
      <c r="L431" s="182" t="s">
        <v>520</v>
      </c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94"/>
      <c r="Z431" s="194"/>
      <c r="AA431" s="194"/>
    </row>
    <row r="432" spans="1:27" ht="15.6">
      <c r="A432" s="182"/>
      <c r="B432" s="182"/>
      <c r="C432" s="182"/>
      <c r="D432" s="182"/>
      <c r="E432" s="182"/>
      <c r="F432" s="208"/>
      <c r="G432" s="182" t="str">
        <f ca="1">IFERROR(__xludf.DUMMYFUNCTION("""COMPUTED_VALUE"""),"PAINEL CARVALHO CUMARU MULTI PREMIUM 19 X 190 X 600 A 2200MM")</f>
        <v>PAINEL CARVALHO CUMARU MULTI PREMIUM 19 X 190 X 600 A 2200MM</v>
      </c>
      <c r="H432" s="192" t="s">
        <v>520</v>
      </c>
      <c r="I432" s="182" t="str">
        <f t="shared" ca="1" si="2"/>
        <v/>
      </c>
      <c r="J432" s="193"/>
      <c r="K432" s="208" t="s">
        <v>2086</v>
      </c>
      <c r="L432" s="182" t="s">
        <v>521</v>
      </c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94"/>
      <c r="Z432" s="194"/>
      <c r="AA432" s="194"/>
    </row>
    <row r="433" spans="1:27" ht="15.6">
      <c r="A433" s="182"/>
      <c r="B433" s="182"/>
      <c r="C433" s="182"/>
      <c r="D433" s="182"/>
      <c r="E433" s="182"/>
      <c r="F433" s="208"/>
      <c r="G433" s="182" t="str">
        <f ca="1">IFERROR(__xludf.DUMMYFUNCTION("""COMPUTED_VALUE"""),"PAINEL CARVALHO CATUABA MULTI PREMIUM 19 X 190 X 600 A 2200MM")</f>
        <v>PAINEL CARVALHO CATUABA MULTI PREMIUM 19 X 190 X 600 A 2200MM</v>
      </c>
      <c r="H433" s="192" t="s">
        <v>521</v>
      </c>
      <c r="I433" s="182" t="str">
        <f t="shared" ca="1" si="2"/>
        <v/>
      </c>
      <c r="J433" s="193"/>
      <c r="K433" s="208" t="s">
        <v>2087</v>
      </c>
      <c r="L433" s="182" t="s">
        <v>522</v>
      </c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94"/>
      <c r="Z433" s="194"/>
      <c r="AA433" s="194"/>
    </row>
    <row r="434" spans="1:27" ht="15.6">
      <c r="A434" s="182"/>
      <c r="B434" s="182"/>
      <c r="C434" s="182"/>
      <c r="D434" s="182"/>
      <c r="E434" s="182"/>
      <c r="F434" s="208"/>
      <c r="G434" s="182" t="str">
        <f ca="1">IFERROR(__xludf.DUMMYFUNCTION("""COMPUTED_VALUE"""),"PAINEL CARVALHO CABREUVA BRACA MULTI PREMIUM 19 X 190 X 600 A 2200MM")</f>
        <v>PAINEL CARVALHO CABREUVA BRACA MULTI PREMIUM 19 X 190 X 600 A 2200MM</v>
      </c>
      <c r="H434" s="192" t="s">
        <v>522</v>
      </c>
      <c r="I434" s="182" t="str">
        <f t="shared" ca="1" si="2"/>
        <v/>
      </c>
      <c r="J434" s="193"/>
      <c r="K434" s="208" t="s">
        <v>2088</v>
      </c>
      <c r="L434" s="182" t="s">
        <v>523</v>
      </c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94"/>
      <c r="Z434" s="194"/>
      <c r="AA434" s="194"/>
    </row>
    <row r="435" spans="1:27" ht="15.6">
      <c r="A435" s="182"/>
      <c r="B435" s="182"/>
      <c r="C435" s="182"/>
      <c r="D435" s="182"/>
      <c r="E435" s="182"/>
      <c r="F435" s="208"/>
      <c r="G435" s="182" t="str">
        <f ca="1">IFERROR(__xludf.DUMMYFUNCTION("""COMPUTED_VALUE"""),"PAINEL CARVALHO CABREUVA DOURADA MULTI PREMIUM 19 X 190 X 600 A 2200MM")</f>
        <v>PAINEL CARVALHO CABREUVA DOURADA MULTI PREMIUM 19 X 190 X 600 A 2200MM</v>
      </c>
      <c r="H435" s="192" t="s">
        <v>523</v>
      </c>
      <c r="I435" s="182" t="str">
        <f t="shared" ca="1" si="2"/>
        <v/>
      </c>
      <c r="J435" s="193"/>
      <c r="K435" s="208" t="s">
        <v>2089</v>
      </c>
      <c r="L435" s="182" t="s">
        <v>524</v>
      </c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94"/>
      <c r="Z435" s="194"/>
      <c r="AA435" s="194"/>
    </row>
    <row r="436" spans="1:27" ht="15.6">
      <c r="A436" s="182"/>
      <c r="B436" s="182"/>
      <c r="C436" s="182"/>
      <c r="D436" s="182"/>
      <c r="E436" s="182"/>
      <c r="F436" s="208"/>
      <c r="G436" s="182" t="str">
        <f ca="1">IFERROR(__xludf.DUMMYFUNCTION("""COMPUTED_VALUE"""),"PAINEL CARVALHO TAUARI MULTI PREMIUM 19 X 190 X 600 A 2200MM")</f>
        <v>PAINEL CARVALHO TAUARI MULTI PREMIUM 19 X 190 X 600 A 2200MM</v>
      </c>
      <c r="H436" s="192" t="s">
        <v>524</v>
      </c>
      <c r="I436" s="182" t="str">
        <f t="shared" ca="1" si="2"/>
        <v/>
      </c>
      <c r="J436" s="193"/>
      <c r="K436" s="208" t="s">
        <v>2090</v>
      </c>
      <c r="L436" s="182" t="s">
        <v>525</v>
      </c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94"/>
      <c r="Z436" s="194"/>
      <c r="AA436" s="194"/>
    </row>
    <row r="437" spans="1:27" ht="15.6">
      <c r="A437" s="182"/>
      <c r="B437" s="182"/>
      <c r="C437" s="182"/>
      <c r="D437" s="182"/>
      <c r="E437" s="182"/>
      <c r="F437" s="208"/>
      <c r="G437" s="182" t="str">
        <f ca="1">IFERROR(__xludf.DUMMYFUNCTION("""COMPUTED_VALUE"""),"PAINEL CARVALHO PEROBA MULTI PREMIUM 19 X 190 X 600 A 2200MM")</f>
        <v>PAINEL CARVALHO PEROBA MULTI PREMIUM 19 X 190 X 600 A 2200MM</v>
      </c>
      <c r="H437" s="192" t="s">
        <v>525</v>
      </c>
      <c r="I437" s="182" t="str">
        <f t="shared" ca="1" si="2"/>
        <v/>
      </c>
      <c r="J437" s="193"/>
      <c r="K437" s="208" t="s">
        <v>2091</v>
      </c>
      <c r="L437" s="182" t="s">
        <v>526</v>
      </c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94"/>
      <c r="Z437" s="194"/>
      <c r="AA437" s="194"/>
    </row>
    <row r="438" spans="1:27" ht="15.6">
      <c r="A438" s="182"/>
      <c r="B438" s="182"/>
      <c r="C438" s="182"/>
      <c r="D438" s="182"/>
      <c r="E438" s="182"/>
      <c r="F438" s="208"/>
      <c r="G438" s="182" t="str">
        <f ca="1">IFERROR(__xludf.DUMMYFUNCTION("""COMPUTED_VALUE"""),"PAINEL CARVALHO LORO PARDO MULTI PREMIUM 19 X 190 X 600 A 2200MM")</f>
        <v>PAINEL CARVALHO LORO PARDO MULTI PREMIUM 19 X 190 X 600 A 2200MM</v>
      </c>
      <c r="H438" s="192" t="s">
        <v>526</v>
      </c>
      <c r="I438" s="182" t="str">
        <f t="shared" ca="1" si="2"/>
        <v/>
      </c>
      <c r="J438" s="193"/>
      <c r="K438" s="208" t="s">
        <v>2092</v>
      </c>
      <c r="L438" s="182" t="s">
        <v>527</v>
      </c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94"/>
      <c r="Z438" s="194"/>
      <c r="AA438" s="194"/>
    </row>
    <row r="439" spans="1:27" ht="15.6">
      <c r="A439" s="182"/>
      <c r="B439" s="182"/>
      <c r="C439" s="182"/>
      <c r="D439" s="182"/>
      <c r="E439" s="182"/>
      <c r="F439" s="208"/>
      <c r="G439" s="182" t="str">
        <f ca="1">IFERROR(__xludf.DUMMYFUNCTION("""COMPUTED_VALUE"""),"PAINEL CARVALHO MUXARABI CUMARU PREMIUM")</f>
        <v>PAINEL CARVALHO MUXARABI CUMARU PREMIUM</v>
      </c>
      <c r="H439" s="192" t="s">
        <v>527</v>
      </c>
      <c r="I439" s="182" t="str">
        <f t="shared" ca="1" si="2"/>
        <v/>
      </c>
      <c r="J439" s="193"/>
      <c r="K439" s="208" t="s">
        <v>2093</v>
      </c>
      <c r="L439" s="182" t="s">
        <v>528</v>
      </c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94"/>
      <c r="Z439" s="194"/>
      <c r="AA439" s="194"/>
    </row>
    <row r="440" spans="1:27" ht="15.6">
      <c r="A440" s="182"/>
      <c r="B440" s="182"/>
      <c r="C440" s="182"/>
      <c r="D440" s="182"/>
      <c r="E440" s="182"/>
      <c r="F440" s="208"/>
      <c r="G440" s="182" t="str">
        <f ca="1">IFERROR(__xludf.DUMMYFUNCTION("""COMPUTED_VALUE"""),"PAINEL CARVALHO MUXARABI CATUABA PREMIUM")</f>
        <v>PAINEL CARVALHO MUXARABI CATUABA PREMIUM</v>
      </c>
      <c r="H440" s="192" t="s">
        <v>528</v>
      </c>
      <c r="I440" s="182" t="str">
        <f t="shared" ca="1" si="2"/>
        <v/>
      </c>
      <c r="J440" s="193"/>
      <c r="K440" s="208" t="s">
        <v>2094</v>
      </c>
      <c r="L440" s="182" t="s">
        <v>529</v>
      </c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94"/>
      <c r="Z440" s="194"/>
      <c r="AA440" s="194"/>
    </row>
    <row r="441" spans="1:27" ht="15.6">
      <c r="A441" s="182"/>
      <c r="B441" s="182"/>
      <c r="C441" s="182"/>
      <c r="D441" s="182"/>
      <c r="E441" s="182"/>
      <c r="F441" s="208"/>
      <c r="G441" s="182" t="str">
        <f ca="1">IFERROR(__xludf.DUMMYFUNCTION("""COMPUTED_VALUE"""),"PAINEL CARVALHO MUXARABI CABREUVA BRANCA PREMIUM")</f>
        <v>PAINEL CARVALHO MUXARABI CABREUVA BRANCA PREMIUM</v>
      </c>
      <c r="H441" s="192" t="s">
        <v>529</v>
      </c>
      <c r="I441" s="182" t="str">
        <f t="shared" ca="1" si="2"/>
        <v/>
      </c>
      <c r="J441" s="193"/>
      <c r="K441" s="208" t="s">
        <v>2095</v>
      </c>
      <c r="L441" s="182" t="s">
        <v>530</v>
      </c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94"/>
      <c r="Z441" s="194"/>
      <c r="AA441" s="194"/>
    </row>
    <row r="442" spans="1:27" ht="15.6">
      <c r="A442" s="182"/>
      <c r="B442" s="182"/>
      <c r="C442" s="182"/>
      <c r="D442" s="182"/>
      <c r="E442" s="182"/>
      <c r="F442" s="208"/>
      <c r="G442" s="182" t="str">
        <f ca="1">IFERROR(__xludf.DUMMYFUNCTION("""COMPUTED_VALUE"""),"PAINEL CARVALHO MUXARABI CABREUVA DOURADA PREMIUM")</f>
        <v>PAINEL CARVALHO MUXARABI CABREUVA DOURADA PREMIUM</v>
      </c>
      <c r="H442" s="192" t="s">
        <v>530</v>
      </c>
      <c r="I442" s="182" t="str">
        <f t="shared" ca="1" si="2"/>
        <v/>
      </c>
      <c r="J442" s="193"/>
      <c r="K442" s="208" t="s">
        <v>2096</v>
      </c>
      <c r="L442" s="182" t="s">
        <v>531</v>
      </c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94"/>
      <c r="Z442" s="194"/>
      <c r="AA442" s="194"/>
    </row>
    <row r="443" spans="1:27" ht="15.6">
      <c r="A443" s="182"/>
      <c r="B443" s="182"/>
      <c r="C443" s="182"/>
      <c r="D443" s="182"/>
      <c r="E443" s="182"/>
      <c r="F443" s="208"/>
      <c r="G443" s="182" t="str">
        <f ca="1">IFERROR(__xludf.DUMMYFUNCTION("""COMPUTED_VALUE"""),"PAINEL CARVALHO MUXARABI TAUARI PREMIUM")</f>
        <v>PAINEL CARVALHO MUXARABI TAUARI PREMIUM</v>
      </c>
      <c r="H443" s="192" t="s">
        <v>531</v>
      </c>
      <c r="I443" s="182" t="str">
        <f t="shared" ca="1" si="2"/>
        <v/>
      </c>
      <c r="J443" s="193"/>
      <c r="K443" s="208" t="s">
        <v>2097</v>
      </c>
      <c r="L443" s="182" t="s">
        <v>532</v>
      </c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94"/>
      <c r="Z443" s="194"/>
      <c r="AA443" s="194"/>
    </row>
    <row r="444" spans="1:27" ht="15.6">
      <c r="A444" s="182"/>
      <c r="B444" s="182"/>
      <c r="C444" s="182"/>
      <c r="D444" s="182"/>
      <c r="E444" s="182"/>
      <c r="F444" s="208"/>
      <c r="G444" s="182" t="str">
        <f ca="1">IFERROR(__xludf.DUMMYFUNCTION("""COMPUTED_VALUE"""),"PAINEL CARVALHO MUXARABI PEROBA PREMIUM")</f>
        <v>PAINEL CARVALHO MUXARABI PEROBA PREMIUM</v>
      </c>
      <c r="H444" s="192" t="s">
        <v>532</v>
      </c>
      <c r="I444" s="182" t="str">
        <f t="shared" ca="1" si="2"/>
        <v/>
      </c>
      <c r="J444" s="193"/>
      <c r="K444" s="208" t="s">
        <v>2098</v>
      </c>
      <c r="L444" s="182" t="s">
        <v>533</v>
      </c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94"/>
      <c r="Z444" s="194"/>
      <c r="AA444" s="194"/>
    </row>
    <row r="445" spans="1:27" ht="15.6">
      <c r="A445" s="182"/>
      <c r="B445" s="182"/>
      <c r="C445" s="182"/>
      <c r="D445" s="182"/>
      <c r="E445" s="182"/>
      <c r="F445" s="208"/>
      <c r="G445" s="182" t="str">
        <f ca="1">IFERROR(__xludf.DUMMYFUNCTION("""COMPUTED_VALUE"""),"PAINEL CARVALHO MUXARABI LORO PARDO PREMIUM")</f>
        <v>PAINEL CARVALHO MUXARABI LORO PARDO PREMIUM</v>
      </c>
      <c r="H445" s="192" t="s">
        <v>533</v>
      </c>
      <c r="I445" s="182" t="str">
        <f t="shared" ca="1" si="2"/>
        <v/>
      </c>
      <c r="J445" s="193"/>
      <c r="K445" s="208" t="s">
        <v>2099</v>
      </c>
      <c r="L445" s="182" t="s">
        <v>534</v>
      </c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94"/>
      <c r="Z445" s="194"/>
      <c r="AA445" s="194"/>
    </row>
    <row r="446" spans="1:27" ht="15.6">
      <c r="A446" s="182"/>
      <c r="B446" s="182"/>
      <c r="C446" s="182"/>
      <c r="D446" s="182"/>
      <c r="E446" s="182"/>
      <c r="F446" s="208"/>
      <c r="G446" s="182" t="str">
        <f ca="1">IFERROR(__xludf.DUMMYFUNCTION("""COMPUTED_VALUE"""),"PAINEL CARVALHO TOBLERONE CUMARU PREMIUM 3 X 3 COMPR. VARIAVEIS")</f>
        <v>PAINEL CARVALHO TOBLERONE CUMARU PREMIUM 3 X 3 COMPR. VARIAVEIS</v>
      </c>
      <c r="H446" s="192" t="s">
        <v>534</v>
      </c>
      <c r="I446" s="182" t="str">
        <f t="shared" ca="1" si="2"/>
        <v/>
      </c>
      <c r="J446" s="193"/>
      <c r="K446" s="208" t="s">
        <v>2100</v>
      </c>
      <c r="L446" s="182" t="s">
        <v>535</v>
      </c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94"/>
      <c r="Z446" s="194"/>
      <c r="AA446" s="194"/>
    </row>
    <row r="447" spans="1:27" ht="15.6">
      <c r="A447" s="182"/>
      <c r="B447" s="182"/>
      <c r="C447" s="182"/>
      <c r="D447" s="182"/>
      <c r="E447" s="182"/>
      <c r="F447" s="208"/>
      <c r="G447" s="182" t="str">
        <f ca="1">IFERROR(__xludf.DUMMYFUNCTION("""COMPUTED_VALUE"""),"PAINEL CARVALHO TOBLERONE CATUABA PREMIUM 3 X 3 COMPR. VARIAVEIS")</f>
        <v>PAINEL CARVALHO TOBLERONE CATUABA PREMIUM 3 X 3 COMPR. VARIAVEIS</v>
      </c>
      <c r="H447" s="192" t="s">
        <v>535</v>
      </c>
      <c r="I447" s="182" t="str">
        <f t="shared" ca="1" si="2"/>
        <v/>
      </c>
      <c r="J447" s="193"/>
      <c r="K447" s="208" t="s">
        <v>2101</v>
      </c>
      <c r="L447" s="182" t="s">
        <v>536</v>
      </c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94"/>
      <c r="Z447" s="194"/>
      <c r="AA447" s="194"/>
    </row>
    <row r="448" spans="1:27" ht="15.6">
      <c r="A448" s="182"/>
      <c r="B448" s="182"/>
      <c r="C448" s="182"/>
      <c r="D448" s="182"/>
      <c r="E448" s="182"/>
      <c r="F448" s="208"/>
      <c r="G448" s="182" t="str">
        <f ca="1">IFERROR(__xludf.DUMMYFUNCTION("""COMPUTED_VALUE"""),"PAINEL CARVALHO TOBLERONE CABREUVA BRANCA PREMIUM 3 X 3 COMPR. VARIAVEIS")</f>
        <v>PAINEL CARVALHO TOBLERONE CABREUVA BRANCA PREMIUM 3 X 3 COMPR. VARIAVEIS</v>
      </c>
      <c r="H448" s="192" t="s">
        <v>536</v>
      </c>
      <c r="I448" s="182" t="str">
        <f t="shared" ca="1" si="2"/>
        <v/>
      </c>
      <c r="J448" s="193"/>
      <c r="K448" s="208" t="s">
        <v>2102</v>
      </c>
      <c r="L448" s="182" t="s">
        <v>537</v>
      </c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94"/>
      <c r="Z448" s="194"/>
      <c r="AA448" s="194"/>
    </row>
    <row r="449" spans="1:27" ht="15.6">
      <c r="A449" s="182"/>
      <c r="B449" s="182"/>
      <c r="C449" s="182"/>
      <c r="D449" s="182"/>
      <c r="E449" s="182"/>
      <c r="F449" s="208"/>
      <c r="G449" s="182" t="str">
        <f ca="1">IFERROR(__xludf.DUMMYFUNCTION("""COMPUTED_VALUE"""),"PAINEL CARVALHO TOBLERONE CABREUVA DOURADA PREMIUM 3 X 3 COMPR. VARIAVEIS")</f>
        <v>PAINEL CARVALHO TOBLERONE CABREUVA DOURADA PREMIUM 3 X 3 COMPR. VARIAVEIS</v>
      </c>
      <c r="H449" s="192" t="s">
        <v>537</v>
      </c>
      <c r="I449" s="182" t="str">
        <f t="shared" ca="1" si="2"/>
        <v/>
      </c>
      <c r="J449" s="193"/>
      <c r="K449" s="208" t="s">
        <v>2103</v>
      </c>
      <c r="L449" s="182" t="s">
        <v>538</v>
      </c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94"/>
      <c r="Z449" s="194"/>
      <c r="AA449" s="194"/>
    </row>
    <row r="450" spans="1:27" ht="15.6">
      <c r="A450" s="182"/>
      <c r="B450" s="182"/>
      <c r="C450" s="182"/>
      <c r="D450" s="182"/>
      <c r="E450" s="182"/>
      <c r="F450" s="208"/>
      <c r="G450" s="182" t="str">
        <f ca="1">IFERROR(__xludf.DUMMYFUNCTION("""COMPUTED_VALUE"""),"PAINEL CARVALHO TOBLERONE TAUARI PREMIUM 3 X 3 COMPR. VARIAVEIS")</f>
        <v>PAINEL CARVALHO TOBLERONE TAUARI PREMIUM 3 X 3 COMPR. VARIAVEIS</v>
      </c>
      <c r="H450" s="192" t="s">
        <v>538</v>
      </c>
      <c r="I450" s="182" t="str">
        <f t="shared" ca="1" si="2"/>
        <v/>
      </c>
      <c r="J450" s="193"/>
      <c r="K450" s="208" t="s">
        <v>2104</v>
      </c>
      <c r="L450" s="182" t="s">
        <v>539</v>
      </c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94"/>
      <c r="Z450" s="194"/>
      <c r="AA450" s="194"/>
    </row>
    <row r="451" spans="1:27" ht="15.6">
      <c r="A451" s="182"/>
      <c r="B451" s="182"/>
      <c r="C451" s="182"/>
      <c r="D451" s="182"/>
      <c r="E451" s="182"/>
      <c r="F451" s="208"/>
      <c r="G451" s="182" t="str">
        <f ca="1">IFERROR(__xludf.DUMMYFUNCTION("""COMPUTED_VALUE"""),"PAINEL CARVALHO TOBLERONE PEROBA PREMIUM 3 X 3 COMPR. VARIAVEIS")</f>
        <v>PAINEL CARVALHO TOBLERONE PEROBA PREMIUM 3 X 3 COMPR. VARIAVEIS</v>
      </c>
      <c r="H451" s="192" t="s">
        <v>539</v>
      </c>
      <c r="I451" s="182" t="str">
        <f t="shared" ca="1" si="2"/>
        <v/>
      </c>
      <c r="J451" s="193"/>
      <c r="K451" s="208" t="s">
        <v>2105</v>
      </c>
      <c r="L451" s="182" t="s">
        <v>540</v>
      </c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94"/>
      <c r="Z451" s="194"/>
      <c r="AA451" s="194"/>
    </row>
    <row r="452" spans="1:27" ht="15.6">
      <c r="A452" s="182"/>
      <c r="B452" s="182"/>
      <c r="C452" s="182"/>
      <c r="D452" s="182"/>
      <c r="E452" s="182"/>
      <c r="F452" s="208"/>
      <c r="G452" s="182" t="str">
        <f ca="1">IFERROR(__xludf.DUMMYFUNCTION("""COMPUTED_VALUE"""),"PAINEL CARVALHO TOBLERONE LORO PARDO PREMIUM 3 X 3 COMPR. VARIAVEIS")</f>
        <v>PAINEL CARVALHO TOBLERONE LORO PARDO PREMIUM 3 X 3 COMPR. VARIAVEIS</v>
      </c>
      <c r="H452" s="192" t="s">
        <v>540</v>
      </c>
      <c r="I452" s="182" t="str">
        <f t="shared" ca="1" si="2"/>
        <v/>
      </c>
      <c r="J452" s="193"/>
      <c r="K452" s="208" t="s">
        <v>2106</v>
      </c>
      <c r="L452" s="182" t="s">
        <v>541</v>
      </c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94"/>
      <c r="Z452" s="194"/>
      <c r="AA452" s="194"/>
    </row>
    <row r="453" spans="1:27" ht="15.6">
      <c r="A453" s="182"/>
      <c r="B453" s="182"/>
      <c r="C453" s="182"/>
      <c r="D453" s="182"/>
      <c r="E453" s="182"/>
      <c r="F453" s="208"/>
      <c r="G453" s="182" t="str">
        <f ca="1">IFERROR(__xludf.DUMMYFUNCTION("""COMPUTED_VALUE"""),"PAINEL CARVALHO DECK CUMARU PREMIUM TG 2,5 X 5 X COMPR. VARIAVEIS")</f>
        <v>PAINEL CARVALHO DECK CUMARU PREMIUM TG 2,5 X 5 X COMPR. VARIAVEIS</v>
      </c>
      <c r="H453" s="192" t="s">
        <v>541</v>
      </c>
      <c r="I453" s="182" t="str">
        <f t="shared" ref="I453:I470" ca="1" si="3">IFERROR(INDEX($D$3:$D$2001,MATCH(TRUE,ISNUMBER(FIND($B$3:$B$2001,G453)),0)),"")</f>
        <v/>
      </c>
      <c r="J453" s="193"/>
      <c r="K453" s="208" t="s">
        <v>2107</v>
      </c>
      <c r="L453" s="182" t="s">
        <v>542</v>
      </c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94"/>
      <c r="Z453" s="194"/>
      <c r="AA453" s="194"/>
    </row>
    <row r="454" spans="1:27" ht="15.6">
      <c r="A454" s="182"/>
      <c r="B454" s="182"/>
      <c r="C454" s="182"/>
      <c r="D454" s="182"/>
      <c r="E454" s="182"/>
      <c r="F454" s="208"/>
      <c r="G454" s="182" t="str">
        <f ca="1">IFERROR(__xludf.DUMMYFUNCTION("""COMPUTED_VALUE"""),"PAINEL CARVALHO DECK CUMARU PREMIUM TG 2,5 X 10 X COMPR. VARIAVEIS")</f>
        <v>PAINEL CARVALHO DECK CUMARU PREMIUM TG 2,5 X 10 X COMPR. VARIAVEIS</v>
      </c>
      <c r="H454" s="192" t="s">
        <v>542</v>
      </c>
      <c r="I454" s="182" t="str">
        <f t="shared" ca="1" si="3"/>
        <v/>
      </c>
      <c r="J454" s="193"/>
      <c r="K454" s="208" t="s">
        <v>2108</v>
      </c>
      <c r="L454" s="182" t="s">
        <v>543</v>
      </c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94"/>
      <c r="Z454" s="194"/>
      <c r="AA454" s="194"/>
    </row>
    <row r="455" spans="1:27" ht="15.6">
      <c r="A455" s="182"/>
      <c r="B455" s="182"/>
      <c r="C455" s="182"/>
      <c r="D455" s="182"/>
      <c r="E455" s="182"/>
      <c r="F455" s="208"/>
      <c r="G455" s="182" t="str">
        <f ca="1">IFERROR(__xludf.DUMMYFUNCTION("""COMPUTED_VALUE"""),"PAINEL CARVALHO DECK CATUABA PREMIUM TG 2,5 X 5 X COMPR. VARIAVEIS")</f>
        <v>PAINEL CARVALHO DECK CATUABA PREMIUM TG 2,5 X 5 X COMPR. VARIAVEIS</v>
      </c>
      <c r="H455" s="192" t="s">
        <v>543</v>
      </c>
      <c r="I455" s="182" t="str">
        <f t="shared" ca="1" si="3"/>
        <v/>
      </c>
      <c r="J455" s="193"/>
      <c r="K455" s="208" t="s">
        <v>2109</v>
      </c>
      <c r="L455" s="182" t="s">
        <v>544</v>
      </c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94"/>
      <c r="Z455" s="194"/>
      <c r="AA455" s="194"/>
    </row>
    <row r="456" spans="1:27" ht="15.6">
      <c r="A456" s="182"/>
      <c r="B456" s="182"/>
      <c r="C456" s="182"/>
      <c r="D456" s="182"/>
      <c r="E456" s="182"/>
      <c r="F456" s="208"/>
      <c r="G456" s="182" t="str">
        <f ca="1">IFERROR(__xludf.DUMMYFUNCTION("""COMPUTED_VALUE"""),"PAINEL CARVALHO DECK CATUABA PREMIUM TG 2,5 X 10 X COMPR. VARIAVEIS")</f>
        <v>PAINEL CARVALHO DECK CATUABA PREMIUM TG 2,5 X 10 X COMPR. VARIAVEIS</v>
      </c>
      <c r="H456" s="192" t="s">
        <v>544</v>
      </c>
      <c r="I456" s="182" t="str">
        <f t="shared" ca="1" si="3"/>
        <v/>
      </c>
      <c r="J456" s="193"/>
      <c r="K456" s="208" t="s">
        <v>2110</v>
      </c>
      <c r="L456" s="182" t="s">
        <v>545</v>
      </c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94"/>
      <c r="Z456" s="194"/>
      <c r="AA456" s="194"/>
    </row>
    <row r="457" spans="1:27" ht="15.6">
      <c r="A457" s="182"/>
      <c r="B457" s="182"/>
      <c r="C457" s="182"/>
      <c r="D457" s="182"/>
      <c r="E457" s="182"/>
      <c r="F457" s="208"/>
      <c r="G457" s="182" t="str">
        <f ca="1">IFERROR(__xludf.DUMMYFUNCTION("""COMPUTED_VALUE"""),"PAINEL CARVALHO DECK CABREUVA BRANCA PREMIUM TG 2,5 X 5 X COMPR. VARIAVEIS")</f>
        <v>PAINEL CARVALHO DECK CABREUVA BRANCA PREMIUM TG 2,5 X 5 X COMPR. VARIAVEIS</v>
      </c>
      <c r="H457" s="192" t="s">
        <v>545</v>
      </c>
      <c r="I457" s="182" t="str">
        <f t="shared" ca="1" si="3"/>
        <v/>
      </c>
      <c r="J457" s="193"/>
      <c r="K457" s="208" t="s">
        <v>2111</v>
      </c>
      <c r="L457" s="182" t="s">
        <v>546</v>
      </c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94"/>
      <c r="Z457" s="194"/>
      <c r="AA457" s="194"/>
    </row>
    <row r="458" spans="1:27" ht="15.6">
      <c r="A458" s="182"/>
      <c r="B458" s="182"/>
      <c r="C458" s="182"/>
      <c r="D458" s="182"/>
      <c r="E458" s="182"/>
      <c r="F458" s="208"/>
      <c r="G458" s="182" t="str">
        <f ca="1">IFERROR(__xludf.DUMMYFUNCTION("""COMPUTED_VALUE"""),"PAINEL CARVALHO DECK CABREUVA BRANCA PREMIUM TG 2,5 X 10 X COMPR. VARIAVEIS")</f>
        <v>PAINEL CARVALHO DECK CABREUVA BRANCA PREMIUM TG 2,5 X 10 X COMPR. VARIAVEIS</v>
      </c>
      <c r="H458" s="192" t="s">
        <v>546</v>
      </c>
      <c r="I458" s="182" t="str">
        <f t="shared" ca="1" si="3"/>
        <v/>
      </c>
      <c r="J458" s="193"/>
      <c r="K458" s="208" t="s">
        <v>2112</v>
      </c>
      <c r="L458" s="182" t="s">
        <v>547</v>
      </c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94"/>
      <c r="Z458" s="194"/>
      <c r="AA458" s="194"/>
    </row>
    <row r="459" spans="1:27" ht="15.6">
      <c r="A459" s="182"/>
      <c r="B459" s="182"/>
      <c r="C459" s="182"/>
      <c r="D459" s="182"/>
      <c r="E459" s="182"/>
      <c r="F459" s="208"/>
      <c r="G459" s="182" t="str">
        <f ca="1">IFERROR(__xludf.DUMMYFUNCTION("""COMPUTED_VALUE"""),"PAINEL CARVALHO DECK CABREUVA DOURADA PREMIUM TG 2,5 X 5 X COMPR. VARIAVEIS")</f>
        <v>PAINEL CARVALHO DECK CABREUVA DOURADA PREMIUM TG 2,5 X 5 X COMPR. VARIAVEIS</v>
      </c>
      <c r="H459" s="192" t="s">
        <v>547</v>
      </c>
      <c r="I459" s="182" t="str">
        <f t="shared" ca="1" si="3"/>
        <v/>
      </c>
      <c r="J459" s="193"/>
      <c r="K459" s="208" t="s">
        <v>2113</v>
      </c>
      <c r="L459" s="182" t="s">
        <v>548</v>
      </c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94"/>
      <c r="Z459" s="194"/>
      <c r="AA459" s="194"/>
    </row>
    <row r="460" spans="1:27" ht="15.6">
      <c r="A460" s="182"/>
      <c r="B460" s="182"/>
      <c r="C460" s="182"/>
      <c r="D460" s="182"/>
      <c r="E460" s="182"/>
      <c r="F460" s="208"/>
      <c r="G460" s="182" t="str">
        <f ca="1">IFERROR(__xludf.DUMMYFUNCTION("""COMPUTED_VALUE"""),"PAINEL CARVALHO DECK CABREUVA DOURADA PREMIUM TG 2,5 X 10 X COMPR. VARIAVEIS")</f>
        <v>PAINEL CARVALHO DECK CABREUVA DOURADA PREMIUM TG 2,5 X 10 X COMPR. VARIAVEIS</v>
      </c>
      <c r="H460" s="192" t="s">
        <v>548</v>
      </c>
      <c r="I460" s="182" t="str">
        <f t="shared" ca="1" si="3"/>
        <v/>
      </c>
      <c r="J460" s="193"/>
      <c r="K460" s="208" t="s">
        <v>2114</v>
      </c>
      <c r="L460" s="182" t="s">
        <v>549</v>
      </c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94"/>
      <c r="Z460" s="194"/>
      <c r="AA460" s="194"/>
    </row>
    <row r="461" spans="1:27" ht="15.6">
      <c r="A461" s="182"/>
      <c r="B461" s="182"/>
      <c r="C461" s="182"/>
      <c r="D461" s="182"/>
      <c r="E461" s="182"/>
      <c r="F461" s="208"/>
      <c r="G461" s="182" t="str">
        <f ca="1">IFERROR(__xludf.DUMMYFUNCTION("""COMPUTED_VALUE"""),"PAINEL CARVALHO DECK TAUARI PREMIUM TG 2,5 X 5 X COMPR. VARIAVEIS")</f>
        <v>PAINEL CARVALHO DECK TAUARI PREMIUM TG 2,5 X 5 X COMPR. VARIAVEIS</v>
      </c>
      <c r="H461" s="192" t="s">
        <v>549</v>
      </c>
      <c r="I461" s="182" t="str">
        <f t="shared" ca="1" si="3"/>
        <v/>
      </c>
      <c r="J461" s="193"/>
      <c r="K461" s="208" t="s">
        <v>2115</v>
      </c>
      <c r="L461" s="182" t="s">
        <v>550</v>
      </c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94"/>
      <c r="Z461" s="194"/>
      <c r="AA461" s="194"/>
    </row>
    <row r="462" spans="1:27" ht="15.6">
      <c r="A462" s="182"/>
      <c r="B462" s="182"/>
      <c r="C462" s="182"/>
      <c r="D462" s="182"/>
      <c r="E462" s="182"/>
      <c r="F462" s="208"/>
      <c r="G462" s="182" t="str">
        <f ca="1">IFERROR(__xludf.DUMMYFUNCTION("""COMPUTED_VALUE"""),"PAINEL CARVALHO DECK TAUARI PREMIUM TG 2,5 X 10 X COMPR. VARIAVEIS")</f>
        <v>PAINEL CARVALHO DECK TAUARI PREMIUM TG 2,5 X 10 X COMPR. VARIAVEIS</v>
      </c>
      <c r="H462" s="192" t="s">
        <v>550</v>
      </c>
      <c r="I462" s="182" t="str">
        <f t="shared" ca="1" si="3"/>
        <v/>
      </c>
      <c r="J462" s="193"/>
      <c r="K462" s="208" t="s">
        <v>2116</v>
      </c>
      <c r="L462" s="182" t="s">
        <v>551</v>
      </c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94"/>
      <c r="Z462" s="194"/>
      <c r="AA462" s="194"/>
    </row>
    <row r="463" spans="1:27" ht="15.6">
      <c r="A463" s="182"/>
      <c r="B463" s="182"/>
      <c r="C463" s="182"/>
      <c r="D463" s="182"/>
      <c r="E463" s="182"/>
      <c r="F463" s="208"/>
      <c r="G463" s="182" t="str">
        <f ca="1">IFERROR(__xludf.DUMMYFUNCTION("""COMPUTED_VALUE"""),"PAINEL CARVALHO DECK PEROBA PREMIUM TG 2,5 X 5 X COMPR. VARIAVEIS")</f>
        <v>PAINEL CARVALHO DECK PEROBA PREMIUM TG 2,5 X 5 X COMPR. VARIAVEIS</v>
      </c>
      <c r="H463" s="192" t="s">
        <v>551</v>
      </c>
      <c r="I463" s="182" t="str">
        <f t="shared" ca="1" si="3"/>
        <v/>
      </c>
      <c r="J463" s="193"/>
      <c r="K463" s="208" t="s">
        <v>2117</v>
      </c>
      <c r="L463" s="182" t="s">
        <v>552</v>
      </c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94"/>
      <c r="Z463" s="194"/>
      <c r="AA463" s="194"/>
    </row>
    <row r="464" spans="1:27" ht="15.6">
      <c r="A464" s="182"/>
      <c r="B464" s="182"/>
      <c r="C464" s="182"/>
      <c r="D464" s="182"/>
      <c r="E464" s="182"/>
      <c r="F464" s="208"/>
      <c r="G464" s="182" t="str">
        <f ca="1">IFERROR(__xludf.DUMMYFUNCTION("""COMPUTED_VALUE"""),"PAINEL CARVALHO DECK PEROBA PREMIUM TG 2,5 X 10 X COMPR. VARIAVEIS")</f>
        <v>PAINEL CARVALHO DECK PEROBA PREMIUM TG 2,5 X 10 X COMPR. VARIAVEIS</v>
      </c>
      <c r="H464" s="192" t="s">
        <v>552</v>
      </c>
      <c r="I464" s="182" t="str">
        <f t="shared" ca="1" si="3"/>
        <v/>
      </c>
      <c r="J464" s="193"/>
      <c r="K464" s="208" t="s">
        <v>2118</v>
      </c>
      <c r="L464" s="182" t="s">
        <v>553</v>
      </c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94"/>
      <c r="Z464" s="194"/>
      <c r="AA464" s="194"/>
    </row>
    <row r="465" spans="1:27" ht="15.6">
      <c r="A465" s="182"/>
      <c r="B465" s="182"/>
      <c r="C465" s="182"/>
      <c r="D465" s="182"/>
      <c r="E465" s="182"/>
      <c r="F465" s="208"/>
      <c r="G465" s="182" t="str">
        <f ca="1">IFERROR(__xludf.DUMMYFUNCTION("""COMPUTED_VALUE"""),"PAINEL CARVALHO DECK BAMBU CARAMEL ALTA DENSIDADE")</f>
        <v>PAINEL CARVALHO DECK BAMBU CARAMEL ALTA DENSIDADE</v>
      </c>
      <c r="H465" s="192" t="s">
        <v>553</v>
      </c>
      <c r="I465" s="182" t="str">
        <f t="shared" ca="1" si="3"/>
        <v/>
      </c>
      <c r="J465" s="193"/>
      <c r="K465" s="208" t="s">
        <v>2119</v>
      </c>
      <c r="L465" s="182" t="s">
        <v>554</v>
      </c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94"/>
      <c r="Z465" s="194"/>
      <c r="AA465" s="194"/>
    </row>
    <row r="466" spans="1:27" ht="15.6">
      <c r="A466" s="182"/>
      <c r="B466" s="182"/>
      <c r="C466" s="182"/>
      <c r="D466" s="182"/>
      <c r="E466" s="182"/>
      <c r="F466" s="208"/>
      <c r="G466" s="182" t="str">
        <f ca="1">IFERROR(__xludf.DUMMYFUNCTION("""COMPUTED_VALUE"""),"PAINEL CARVALHO DECK BPC CINZA ESCURO 2 X15X 290CM PÇ/0.435M2")</f>
        <v>PAINEL CARVALHO DECK BPC CINZA ESCURO 2 X15X 290CM PÇ/0.435M2</v>
      </c>
      <c r="H466" s="192" t="s">
        <v>554</v>
      </c>
      <c r="I466" s="182" t="str">
        <f t="shared" ca="1" si="3"/>
        <v/>
      </c>
      <c r="J466" s="193"/>
      <c r="K466" s="208" t="s">
        <v>2120</v>
      </c>
      <c r="L466" s="182" t="s">
        <v>555</v>
      </c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94"/>
      <c r="Z466" s="194"/>
      <c r="AA466" s="194"/>
    </row>
    <row r="467" spans="1:27" ht="15.6">
      <c r="A467" s="182"/>
      <c r="B467" s="182"/>
      <c r="C467" s="182"/>
      <c r="D467" s="182"/>
      <c r="E467" s="182"/>
      <c r="F467" s="208"/>
      <c r="G467" s="182" t="str">
        <f ca="1">IFERROR(__xludf.DUMMYFUNCTION("""COMPUTED_VALUE"""),"PAINEL CARVALHO DECK BPC MORROM 2X15X220CM")</f>
        <v>PAINEL CARVALHO DECK BPC MORROM 2X15X220CM</v>
      </c>
      <c r="H467" s="192" t="s">
        <v>555</v>
      </c>
      <c r="I467" s="182" t="str">
        <f t="shared" ca="1" si="3"/>
        <v/>
      </c>
      <c r="J467" s="193"/>
      <c r="K467" s="208" t="s">
        <v>2121</v>
      </c>
      <c r="L467" s="182" t="s">
        <v>556</v>
      </c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94"/>
      <c r="Z467" s="194"/>
      <c r="AA467" s="194"/>
    </row>
    <row r="468" spans="1:27" ht="15.6">
      <c r="A468" s="182"/>
      <c r="B468" s="182"/>
      <c r="C468" s="182"/>
      <c r="D468" s="182"/>
      <c r="E468" s="182"/>
      <c r="F468" s="208"/>
      <c r="G468" s="182" t="str">
        <f ca="1">IFERROR(__xludf.DUMMYFUNCTION("""COMPUTED_VALUE"""),"PAINEL CARVALHO DECK WPC CINZA 2,2*14,6*220CM")</f>
        <v>PAINEL CARVALHO DECK WPC CINZA 2,2*14,6*220CM</v>
      </c>
      <c r="H468" s="192" t="s">
        <v>556</v>
      </c>
      <c r="I468" s="182" t="str">
        <f t="shared" ca="1" si="3"/>
        <v/>
      </c>
      <c r="J468" s="193"/>
      <c r="K468" s="208" t="s">
        <v>2122</v>
      </c>
      <c r="L468" s="182" t="s">
        <v>557</v>
      </c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94"/>
      <c r="Z468" s="194"/>
      <c r="AA468" s="194"/>
    </row>
    <row r="469" spans="1:27" ht="15.6">
      <c r="A469" s="182"/>
      <c r="B469" s="182"/>
      <c r="C469" s="182"/>
      <c r="D469" s="182"/>
      <c r="E469" s="182"/>
      <c r="F469" s="208"/>
      <c r="G469" s="182" t="str">
        <f ca="1">IFERROR(__xludf.DUMMYFUNCTION("""COMPUTED_VALUE"""),"PAINEL CARVALHO PEROBA RUSTICA DE DEMOLIÇÃO")</f>
        <v>PAINEL CARVALHO PEROBA RUSTICA DE DEMOLIÇÃO</v>
      </c>
      <c r="H469" s="192" t="s">
        <v>557</v>
      </c>
      <c r="I469" s="182" t="str">
        <f t="shared" ca="1" si="3"/>
        <v/>
      </c>
      <c r="J469" s="193"/>
      <c r="K469" s="208" t="s">
        <v>2123</v>
      </c>
      <c r="L469" s="182" t="s">
        <v>2124</v>
      </c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94"/>
      <c r="Z469" s="194"/>
      <c r="AA469" s="194"/>
    </row>
    <row r="470" spans="1:27" ht="15.6">
      <c r="A470" s="182"/>
      <c r="B470" s="182"/>
      <c r="C470" s="182"/>
      <c r="D470" s="182"/>
      <c r="E470" s="182"/>
      <c r="F470" s="208" t="s">
        <v>2123</v>
      </c>
      <c r="G470" s="182" t="str">
        <f ca="1">IFERROR(__xludf.DUMMYFUNCTION("""COMPUTED_VALUE"""),"PAINEL CARVALHO CANELA RUSTICA DE DEMOLIÇÃO")</f>
        <v>PAINEL CARVALHO CANELA RUSTICA DE DEMOLIÇÃO</v>
      </c>
      <c r="H470" s="192" t="s">
        <v>2124</v>
      </c>
      <c r="I470" s="182" t="str">
        <f t="shared" ca="1" si="3"/>
        <v/>
      </c>
      <c r="J470" s="193"/>
      <c r="K470" s="208" t="s">
        <v>2125</v>
      </c>
      <c r="L470" s="182" t="s">
        <v>559</v>
      </c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94"/>
      <c r="Z470" s="194"/>
      <c r="AA470" s="194"/>
    </row>
    <row r="471" spans="1:27" ht="15.6">
      <c r="A471" s="182"/>
      <c r="B471" s="182"/>
      <c r="C471" s="182"/>
      <c r="D471" s="182"/>
      <c r="E471" s="182"/>
      <c r="F471" s="208"/>
      <c r="G471" s="182" t="str">
        <f ca="1">IFERROR(__xludf.DUMMYFUNCTION("""COMPUTED_VALUE"""),"FORRO FINCAPINO CARVALHO EUROPEU MARRONE CHEVRON 15/3 X 1900X 740MM")</f>
        <v>FORRO FINCAPINO CARVALHO EUROPEU MARRONE CHEVRON 15/3 X 1900X 740MM</v>
      </c>
      <c r="H471" t="s">
        <v>559</v>
      </c>
      <c r="I471" s="182"/>
      <c r="J471" s="193"/>
      <c r="K471" s="208" t="s">
        <v>2126</v>
      </c>
      <c r="L471" s="182" t="s">
        <v>559</v>
      </c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94"/>
      <c r="Z471" s="194"/>
      <c r="AA471" s="194"/>
    </row>
    <row r="472" spans="1:27" ht="15.6">
      <c r="A472" s="182"/>
      <c r="B472" s="182"/>
      <c r="C472" s="182"/>
      <c r="D472" s="182"/>
      <c r="E472" s="182"/>
      <c r="F472" s="208"/>
      <c r="G472" s="182" t="str">
        <f ca="1">IFERROR(__xludf.DUMMYFUNCTION("""COMPUTED_VALUE"""),"FORRO FINCAPINO CARVALHO EUROPEU MARRONE 15/3 X 125 X 1200MM")</f>
        <v>FORRO FINCAPINO CARVALHO EUROPEU MARRONE 15/3 X 125 X 1200MM</v>
      </c>
      <c r="H472" s="192" t="s">
        <v>559</v>
      </c>
      <c r="I472" s="182" t="str">
        <f t="shared" ref="I472:I726" ca="1" si="4">IFERROR(INDEX($D$3:$D$2001,MATCH(TRUE,ISNUMBER(FIND($B$3:$B$2001,G472)),0)),"")</f>
        <v/>
      </c>
      <c r="J472" s="193"/>
      <c r="K472" s="208" t="s">
        <v>2127</v>
      </c>
      <c r="L472" s="182" t="s">
        <v>560</v>
      </c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94"/>
      <c r="Z472" s="194"/>
      <c r="AA472" s="194"/>
    </row>
    <row r="473" spans="1:27" ht="15.6">
      <c r="A473" s="182"/>
      <c r="B473" s="182"/>
      <c r="C473" s="182"/>
      <c r="D473" s="182"/>
      <c r="E473" s="182"/>
      <c r="F473" s="208"/>
      <c r="G473" s="182" t="str">
        <f ca="1">IFERROR(__xludf.DUMMYFUNCTION("""COMPUTED_VALUE"""),"FORRO FINCAPINO CARVALHO EUROPEU MARRONE 15/3 X 190 X 1900MM")</f>
        <v>FORRO FINCAPINO CARVALHO EUROPEU MARRONE 15/3 X 190 X 1900MM</v>
      </c>
      <c r="H473" s="192" t="s">
        <v>560</v>
      </c>
      <c r="I473" s="182" t="str">
        <f t="shared" ca="1" si="4"/>
        <v/>
      </c>
      <c r="J473" s="193"/>
      <c r="K473" s="208" t="s">
        <v>2128</v>
      </c>
      <c r="L473" s="182" t="s">
        <v>561</v>
      </c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94"/>
      <c r="Z473" s="194"/>
      <c r="AA473" s="194"/>
    </row>
    <row r="474" spans="1:27" ht="15.6">
      <c r="A474" s="182"/>
      <c r="B474" s="182"/>
      <c r="C474" s="182"/>
      <c r="D474" s="182"/>
      <c r="E474" s="182"/>
      <c r="F474" s="208"/>
      <c r="G474" s="182" t="str">
        <f ca="1">IFERROR(__xludf.DUMMYFUNCTION("""COMPUTED_VALUE"""),"FORRO FINCAPINO CARVALHO EUROPEU MARRONE 20/6 X 300 X 4000MM")</f>
        <v>FORRO FINCAPINO CARVALHO EUROPEU MARRONE 20/6 X 300 X 4000MM</v>
      </c>
      <c r="H474" s="192" t="s">
        <v>561</v>
      </c>
      <c r="I474" s="182" t="str">
        <f t="shared" ca="1" si="4"/>
        <v/>
      </c>
      <c r="J474" s="193"/>
      <c r="K474" s="208" t="s">
        <v>2129</v>
      </c>
      <c r="L474" s="182" t="s">
        <v>562</v>
      </c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94"/>
      <c r="Z474" s="194"/>
      <c r="AA474" s="194"/>
    </row>
    <row r="475" spans="1:27" ht="15.6">
      <c r="A475" s="182"/>
      <c r="B475" s="182"/>
      <c r="C475" s="182"/>
      <c r="D475" s="182"/>
      <c r="E475" s="182"/>
      <c r="F475" s="208"/>
      <c r="G475" s="182" t="str">
        <f ca="1">IFERROR(__xludf.DUMMYFUNCTION("""COMPUTED_VALUE"""),"FORRO FINCAPINO CARVALHO EUROPEU MARRONE 20/6 X 400 X 5000MM")</f>
        <v>FORRO FINCAPINO CARVALHO EUROPEU MARRONE 20/6 X 400 X 5000MM</v>
      </c>
      <c r="H475" s="192" t="s">
        <v>562</v>
      </c>
      <c r="I475" s="182" t="str">
        <f t="shared" ca="1" si="4"/>
        <v/>
      </c>
      <c r="J475" s="193"/>
      <c r="K475" s="208" t="s">
        <v>2130</v>
      </c>
      <c r="L475" s="182" t="s">
        <v>563</v>
      </c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94"/>
      <c r="Z475" s="194"/>
      <c r="AA475" s="194"/>
    </row>
    <row r="476" spans="1:27" ht="15.6">
      <c r="A476" s="182"/>
      <c r="B476" s="182"/>
      <c r="C476" s="182"/>
      <c r="D476" s="182"/>
      <c r="E476" s="182"/>
      <c r="F476" s="208"/>
      <c r="G476" s="182" t="str">
        <f ca="1">IFERROR(__xludf.DUMMYFUNCTION("""COMPUTED_VALUE"""),"FORRO FINCAPINO CARVALHO EUROPEU MONT BLANC CHEVRON 15/3 X 1900X 740MM")</f>
        <v>FORRO FINCAPINO CARVALHO EUROPEU MONT BLANC CHEVRON 15/3 X 1900X 740MM</v>
      </c>
      <c r="H476" s="192" t="s">
        <v>563</v>
      </c>
      <c r="I476" s="182" t="str">
        <f t="shared" ca="1" si="4"/>
        <v/>
      </c>
      <c r="J476" s="193"/>
      <c r="K476" s="208" t="s">
        <v>2131</v>
      </c>
      <c r="L476" s="182" t="s">
        <v>564</v>
      </c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94"/>
      <c r="Z476" s="194"/>
      <c r="AA476" s="194"/>
    </row>
    <row r="477" spans="1:27" ht="15.6">
      <c r="A477" s="182"/>
      <c r="B477" s="182"/>
      <c r="C477" s="182"/>
      <c r="D477" s="182"/>
      <c r="E477" s="182"/>
      <c r="F477" s="208"/>
      <c r="G477" s="182" t="str">
        <f ca="1">IFERROR(__xludf.DUMMYFUNCTION("""COMPUTED_VALUE"""),"FORRO FINCAPINO CARVALHO EUROPEU MONT BLANC ESPINHA DE PEIXE TG 15/3 X 125X900MM")</f>
        <v>FORRO FINCAPINO CARVALHO EUROPEU MONT BLANC ESPINHA DE PEIXE TG 15/3 X 125X900MM</v>
      </c>
      <c r="H477" s="192" t="s">
        <v>564</v>
      </c>
      <c r="I477" s="182" t="str">
        <f t="shared" ca="1" si="4"/>
        <v/>
      </c>
      <c r="J477" s="193"/>
      <c r="K477" s="208" t="s">
        <v>2132</v>
      </c>
      <c r="L477" s="182" t="s">
        <v>565</v>
      </c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94"/>
      <c r="Z477" s="194"/>
      <c r="AA477" s="194"/>
    </row>
    <row r="478" spans="1:27" ht="15.6">
      <c r="A478" s="182"/>
      <c r="B478" s="182"/>
      <c r="C478" s="182"/>
      <c r="D478" s="182"/>
      <c r="E478" s="182"/>
      <c r="F478" s="208"/>
      <c r="G478" s="182" t="str">
        <f ca="1">IFERROR(__xludf.DUMMYFUNCTION("""COMPUTED_VALUE"""),"FORRO FINCAPINO CARVALHO EUROPEU MONT BLANC 15/3 X 125 X 1200MM")</f>
        <v>FORRO FINCAPINO CARVALHO EUROPEU MONT BLANC 15/3 X 125 X 1200MM</v>
      </c>
      <c r="H478" s="192" t="s">
        <v>565</v>
      </c>
      <c r="I478" s="182" t="str">
        <f t="shared" ca="1" si="4"/>
        <v/>
      </c>
      <c r="J478" s="193"/>
      <c r="K478" s="208" t="s">
        <v>2133</v>
      </c>
      <c r="L478" s="182" t="s">
        <v>566</v>
      </c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94"/>
      <c r="Z478" s="194"/>
      <c r="AA478" s="194"/>
    </row>
    <row r="479" spans="1:27" ht="15.6">
      <c r="A479" s="182"/>
      <c r="B479" s="182"/>
      <c r="C479" s="182"/>
      <c r="D479" s="182"/>
      <c r="E479" s="182"/>
      <c r="F479" s="208"/>
      <c r="G479" s="182" t="str">
        <f ca="1">IFERROR(__xludf.DUMMYFUNCTION("""COMPUTED_VALUE"""),"FORRO FINCAPINO CARVALHO EUROPEU MONT BLANC 15/3 X 190 X 1900MM")</f>
        <v>FORRO FINCAPINO CARVALHO EUROPEU MONT BLANC 15/3 X 190 X 1900MM</v>
      </c>
      <c r="H479" s="192" t="s">
        <v>566</v>
      </c>
      <c r="I479" s="182" t="str">
        <f t="shared" ca="1" si="4"/>
        <v/>
      </c>
      <c r="J479" s="193"/>
      <c r="K479" s="208" t="s">
        <v>2134</v>
      </c>
      <c r="L479" s="182" t="s">
        <v>567</v>
      </c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94"/>
      <c r="Z479" s="194"/>
      <c r="AA479" s="194"/>
    </row>
    <row r="480" spans="1:27" ht="15.6">
      <c r="A480" s="182"/>
      <c r="B480" s="182"/>
      <c r="C480" s="182"/>
      <c r="D480" s="182"/>
      <c r="E480" s="182"/>
      <c r="F480" s="208"/>
      <c r="G480" s="182" t="str">
        <f ca="1">IFERROR(__xludf.DUMMYFUNCTION("""COMPUTED_VALUE"""),"FORRO FINCAPINO CARVALHO EUROPEU MONT BLANC 20/6 X 300 X 4000MM")</f>
        <v>FORRO FINCAPINO CARVALHO EUROPEU MONT BLANC 20/6 X 300 X 4000MM</v>
      </c>
      <c r="H480" s="192" t="s">
        <v>567</v>
      </c>
      <c r="I480" s="182" t="str">
        <f t="shared" ca="1" si="4"/>
        <v/>
      </c>
      <c r="J480" s="193"/>
      <c r="K480" s="208" t="s">
        <v>2135</v>
      </c>
      <c r="L480" s="182" t="s">
        <v>568</v>
      </c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94"/>
      <c r="Z480" s="194"/>
      <c r="AA480" s="194"/>
    </row>
    <row r="481" spans="1:27" ht="15.6">
      <c r="A481" s="182"/>
      <c r="B481" s="182"/>
      <c r="C481" s="182"/>
      <c r="D481" s="182"/>
      <c r="E481" s="182"/>
      <c r="F481" s="208"/>
      <c r="G481" s="182" t="str">
        <f ca="1">IFERROR(__xludf.DUMMYFUNCTION("""COMPUTED_VALUE"""),"FORRO FINCAPINO CARVALHO EUROPEU MONT BLANC 20/6 X 400 X 5000MM")</f>
        <v>FORRO FINCAPINO CARVALHO EUROPEU MONT BLANC 20/6 X 400 X 5000MM</v>
      </c>
      <c r="H481" s="192" t="s">
        <v>568</v>
      </c>
      <c r="I481" s="182" t="str">
        <f t="shared" ca="1" si="4"/>
        <v/>
      </c>
      <c r="J481" s="193"/>
      <c r="K481" s="208" t="s">
        <v>2136</v>
      </c>
      <c r="L481" s="182" t="s">
        <v>569</v>
      </c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94"/>
      <c r="Z481" s="194"/>
      <c r="AA481" s="194"/>
    </row>
    <row r="482" spans="1:27" ht="15.6">
      <c r="A482" s="182"/>
      <c r="B482" s="182"/>
      <c r="C482" s="182"/>
      <c r="D482" s="182"/>
      <c r="E482" s="182"/>
      <c r="F482" s="208"/>
      <c r="G482" s="182" t="str">
        <f ca="1">IFERROR(__xludf.DUMMYFUNCTION("""COMPUTED_VALUE"""),"FORRO FINCAPINO CARVALHO EUROPEU NATURAL CHEVRON TG 15/3 X 125 X 775MM")</f>
        <v>FORRO FINCAPINO CARVALHO EUROPEU NATURAL CHEVRON TG 15/3 X 125 X 775MM</v>
      </c>
      <c r="H482" s="192" t="s">
        <v>569</v>
      </c>
      <c r="I482" s="182" t="str">
        <f t="shared" ca="1" si="4"/>
        <v/>
      </c>
      <c r="J482" s="193"/>
      <c r="K482" s="208" t="s">
        <v>2137</v>
      </c>
      <c r="L482" s="182" t="s">
        <v>570</v>
      </c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94"/>
      <c r="Z482" s="194"/>
      <c r="AA482" s="194"/>
    </row>
    <row r="483" spans="1:27" ht="15.6">
      <c r="A483" s="182"/>
      <c r="B483" s="182"/>
      <c r="C483" s="182"/>
      <c r="D483" s="182"/>
      <c r="E483" s="182"/>
      <c r="F483" s="208"/>
      <c r="G483" s="182" t="str">
        <f ca="1">IFERROR(__xludf.DUMMYFUNCTION("""COMPUTED_VALUE"""),"FORRO FINCAPINO CARVALHO EUROPEU NATURALLE CHEVRON 15/3 X 1900X 740MM")</f>
        <v>FORRO FINCAPINO CARVALHO EUROPEU NATURALLE CHEVRON 15/3 X 1900X 740MM</v>
      </c>
      <c r="H483" s="192" t="s">
        <v>570</v>
      </c>
      <c r="I483" s="182" t="str">
        <f t="shared" ca="1" si="4"/>
        <v/>
      </c>
      <c r="J483" s="193"/>
      <c r="K483" s="208" t="s">
        <v>2138</v>
      </c>
      <c r="L483" s="182" t="s">
        <v>571</v>
      </c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94"/>
      <c r="Z483" s="194"/>
      <c r="AA483" s="194"/>
    </row>
    <row r="484" spans="1:27" ht="15.6">
      <c r="A484" s="182"/>
      <c r="B484" s="182"/>
      <c r="C484" s="182"/>
      <c r="D484" s="182"/>
      <c r="E484" s="182"/>
      <c r="F484" s="208"/>
      <c r="G484" s="182" t="str">
        <f ca="1">IFERROR(__xludf.DUMMYFUNCTION("""COMPUTED_VALUE"""),"FORRO FINCAPINO CARVALHO EUROPEU NATURALLE CHEVRON 60º 15/3 X 1900X 910MM")</f>
        <v>FORRO FINCAPINO CARVALHO EUROPEU NATURALLE CHEVRON 60º 15/3 X 1900X 910MM</v>
      </c>
      <c r="H484" s="192" t="s">
        <v>571</v>
      </c>
      <c r="I484" s="182" t="str">
        <f t="shared" ca="1" si="4"/>
        <v/>
      </c>
      <c r="J484" s="193"/>
      <c r="K484" s="208" t="s">
        <v>2139</v>
      </c>
      <c r="L484" s="182" t="s">
        <v>572</v>
      </c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94"/>
      <c r="Z484" s="194"/>
      <c r="AA484" s="194"/>
    </row>
    <row r="485" spans="1:27" ht="15.6">
      <c r="A485" s="182"/>
      <c r="B485" s="182"/>
      <c r="C485" s="182"/>
      <c r="D485" s="182"/>
      <c r="E485" s="182"/>
      <c r="F485" s="208"/>
      <c r="G485" s="182" t="str">
        <f ca="1">IFERROR(__xludf.DUMMYFUNCTION("""COMPUTED_VALUE"""),"FORRO FINCAPINO CARVALHO EUROPEU NATURALLE FINE 10/06 X 1900 X 1900MM")</f>
        <v>FORRO FINCAPINO CARVALHO EUROPEU NATURALLE FINE 10/06 X 1900 X 1900MM</v>
      </c>
      <c r="H485" s="192" t="s">
        <v>572</v>
      </c>
      <c r="I485" s="182" t="str">
        <f t="shared" ca="1" si="4"/>
        <v/>
      </c>
      <c r="J485" s="193"/>
      <c r="K485" s="208" t="s">
        <v>2140</v>
      </c>
      <c r="L485" s="182" t="s">
        <v>573</v>
      </c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94"/>
      <c r="Z485" s="194"/>
      <c r="AA485" s="194"/>
    </row>
    <row r="486" spans="1:27" ht="15.6">
      <c r="A486" s="182"/>
      <c r="B486" s="182"/>
      <c r="C486" s="182"/>
      <c r="D486" s="182"/>
      <c r="E486" s="182"/>
      <c r="F486" s="208"/>
      <c r="G486" s="182" t="str">
        <f ca="1">IFERROR(__xludf.DUMMYFUNCTION("""COMPUTED_VALUE"""),"FORRO FINCAPINO CARVALHO EUROPEU NATURALLE 15/3 X 125 X 1200MM")</f>
        <v>FORRO FINCAPINO CARVALHO EUROPEU NATURALLE 15/3 X 125 X 1200MM</v>
      </c>
      <c r="H486" s="192" t="s">
        <v>573</v>
      </c>
      <c r="I486" s="182" t="str">
        <f t="shared" ca="1" si="4"/>
        <v/>
      </c>
      <c r="J486" s="193"/>
      <c r="K486" s="208" t="s">
        <v>2141</v>
      </c>
      <c r="L486" s="182" t="s">
        <v>574</v>
      </c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94"/>
      <c r="Z486" s="194"/>
      <c r="AA486" s="194"/>
    </row>
    <row r="487" spans="1:27" ht="15.6">
      <c r="A487" s="182"/>
      <c r="B487" s="182"/>
      <c r="C487" s="182"/>
      <c r="D487" s="182"/>
      <c r="E487" s="182"/>
      <c r="F487" s="208"/>
      <c r="G487" s="182" t="str">
        <f ca="1">IFERROR(__xludf.DUMMYFUNCTION("""COMPUTED_VALUE"""),"FORRO FINCAPINO CARVALHO EUROPEU NATURALLE 15/3 X 190 X 1900MM")</f>
        <v>FORRO FINCAPINO CARVALHO EUROPEU NATURALLE 15/3 X 190 X 1900MM</v>
      </c>
      <c r="H487" s="192" t="s">
        <v>574</v>
      </c>
      <c r="I487" s="182" t="str">
        <f t="shared" ca="1" si="4"/>
        <v/>
      </c>
      <c r="J487" s="193"/>
      <c r="K487" s="208" t="s">
        <v>2142</v>
      </c>
      <c r="L487" s="182" t="s">
        <v>575</v>
      </c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94"/>
      <c r="Z487" s="194"/>
      <c r="AA487" s="194"/>
    </row>
    <row r="488" spans="1:27" ht="15.6">
      <c r="A488" s="182"/>
      <c r="B488" s="182"/>
      <c r="C488" s="182"/>
      <c r="D488" s="182"/>
      <c r="E488" s="182"/>
      <c r="F488" s="208"/>
      <c r="G488" s="182" t="str">
        <f ca="1">IFERROR(__xludf.DUMMYFUNCTION("""COMPUTED_VALUE"""),"FORRO FINCAPINO CARVALHO EUROPEU NATURALLE 20/6 X 300 X 4000MM")</f>
        <v>FORRO FINCAPINO CARVALHO EUROPEU NATURALLE 20/6 X 300 X 4000MM</v>
      </c>
      <c r="H488" s="192" t="s">
        <v>575</v>
      </c>
      <c r="I488" s="182" t="str">
        <f t="shared" ca="1" si="4"/>
        <v/>
      </c>
      <c r="J488" s="193"/>
      <c r="K488" s="208" t="s">
        <v>2143</v>
      </c>
      <c r="L488" s="182" t="s">
        <v>576</v>
      </c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94"/>
      <c r="Z488" s="194"/>
      <c r="AA488" s="194"/>
    </row>
    <row r="489" spans="1:27" ht="15.6">
      <c r="A489" s="182"/>
      <c r="B489" s="182"/>
      <c r="C489" s="182"/>
      <c r="D489" s="182"/>
      <c r="E489" s="182"/>
      <c r="F489" s="208"/>
      <c r="G489" s="182" t="str">
        <f ca="1">IFERROR(__xludf.DUMMYFUNCTION("""COMPUTED_VALUE"""),"FORRO FINCAPINO CARVALHO EUROPEU NATURALLE 20/6 X 400 X 5000MM")</f>
        <v>FORRO FINCAPINO CARVALHO EUROPEU NATURALLE 20/6 X 400 X 5000MM</v>
      </c>
      <c r="H489" s="192" t="s">
        <v>576</v>
      </c>
      <c r="I489" s="182" t="str">
        <f t="shared" ca="1" si="4"/>
        <v/>
      </c>
      <c r="J489" s="193"/>
      <c r="K489" s="208" t="s">
        <v>2144</v>
      </c>
      <c r="L489" s="182" t="s">
        <v>577</v>
      </c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94"/>
      <c r="Z489" s="194"/>
      <c r="AA489" s="194"/>
    </row>
    <row r="490" spans="1:27" ht="15.6">
      <c r="A490" s="182"/>
      <c r="B490" s="182"/>
      <c r="C490" s="182"/>
      <c r="D490" s="182"/>
      <c r="E490" s="182"/>
      <c r="F490" s="208"/>
      <c r="G490" s="182" t="str">
        <f ca="1">IFERROR(__xludf.DUMMYFUNCTION("""COMPUTED_VALUE"""),"FORRO FINCAPINO CARVALHO EUROPEU CAPUCCINO CHEVRON 15/3 X 1900X 740MM")</f>
        <v>FORRO FINCAPINO CARVALHO EUROPEU CAPUCCINO CHEVRON 15/3 X 1900X 740MM</v>
      </c>
      <c r="H490" s="192" t="s">
        <v>577</v>
      </c>
      <c r="I490" s="182" t="str">
        <f t="shared" ca="1" si="4"/>
        <v/>
      </c>
      <c r="J490" s="193"/>
      <c r="K490" s="208" t="s">
        <v>2145</v>
      </c>
      <c r="L490" s="182" t="s">
        <v>578</v>
      </c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94"/>
      <c r="Z490" s="194"/>
      <c r="AA490" s="194"/>
    </row>
    <row r="491" spans="1:27" ht="15.6">
      <c r="A491" s="182"/>
      <c r="B491" s="182"/>
      <c r="C491" s="182"/>
      <c r="D491" s="182"/>
      <c r="E491" s="182"/>
      <c r="F491" s="208"/>
      <c r="G491" s="182" t="str">
        <f ca="1">IFERROR(__xludf.DUMMYFUNCTION("""COMPUTED_VALUE"""),"FORRO FINCAPINO CARVALHO EUROPEU CAPUCCINO 15/3 X 125 X 1200MM")</f>
        <v>FORRO FINCAPINO CARVALHO EUROPEU CAPUCCINO 15/3 X 125 X 1200MM</v>
      </c>
      <c r="H491" s="192" t="s">
        <v>578</v>
      </c>
      <c r="I491" s="182" t="str">
        <f t="shared" ca="1" si="4"/>
        <v/>
      </c>
      <c r="J491" s="193"/>
      <c r="K491" s="208" t="s">
        <v>2146</v>
      </c>
      <c r="L491" s="182" t="s">
        <v>579</v>
      </c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94"/>
      <c r="Z491" s="194"/>
      <c r="AA491" s="194"/>
    </row>
    <row r="492" spans="1:27" ht="15.6">
      <c r="A492" s="182"/>
      <c r="B492" s="182"/>
      <c r="C492" s="182"/>
      <c r="D492" s="182"/>
      <c r="E492" s="182"/>
      <c r="F492" s="208"/>
      <c r="G492" s="182" t="str">
        <f ca="1">IFERROR(__xludf.DUMMYFUNCTION("""COMPUTED_VALUE"""),"FORRO FINCAPINO CARVALHO EUROPEU CAPPUCCINO ESPINHA DE PEIXE TG 15/3 X 125X900MM")</f>
        <v>FORRO FINCAPINO CARVALHO EUROPEU CAPPUCCINO ESPINHA DE PEIXE TG 15/3 X 125X900MM</v>
      </c>
      <c r="H492" s="192" t="s">
        <v>579</v>
      </c>
      <c r="I492" s="182" t="str">
        <f t="shared" ca="1" si="4"/>
        <v/>
      </c>
      <c r="J492" s="193"/>
      <c r="K492" s="208" t="s">
        <v>2147</v>
      </c>
      <c r="L492" s="182" t="s">
        <v>580</v>
      </c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94"/>
      <c r="Z492" s="194"/>
      <c r="AA492" s="194"/>
    </row>
    <row r="493" spans="1:27" ht="15.6">
      <c r="A493" s="182"/>
      <c r="B493" s="182"/>
      <c r="C493" s="182"/>
      <c r="D493" s="182"/>
      <c r="E493" s="182"/>
      <c r="F493" s="208"/>
      <c r="G493" s="182" t="str">
        <f ca="1">IFERROR(__xludf.DUMMYFUNCTION("""COMPUTED_VALUE"""),"FORRO FINCAPINO CARVALHO EUROPEU CAPUCCINO 15/3 X 190 X 1900MM")</f>
        <v>FORRO FINCAPINO CARVALHO EUROPEU CAPUCCINO 15/3 X 190 X 1900MM</v>
      </c>
      <c r="H493" s="192" t="s">
        <v>580</v>
      </c>
      <c r="I493" s="182" t="str">
        <f t="shared" ca="1" si="4"/>
        <v/>
      </c>
      <c r="J493" s="193"/>
      <c r="K493" s="208" t="s">
        <v>2148</v>
      </c>
      <c r="L493" s="182" t="s">
        <v>581</v>
      </c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94"/>
      <c r="Z493" s="194"/>
      <c r="AA493" s="194"/>
    </row>
    <row r="494" spans="1:27" ht="15.6">
      <c r="A494" s="182"/>
      <c r="B494" s="182"/>
      <c r="C494" s="182"/>
      <c r="D494" s="182"/>
      <c r="E494" s="182"/>
      <c r="F494" s="208"/>
      <c r="G494" s="182" t="str">
        <f ca="1">IFERROR(__xludf.DUMMYFUNCTION("""COMPUTED_VALUE"""),"FORRO FINCAPINO CARVALHO EUROPEU CAPUCCINO 20/6 X 300 X 4000MM")</f>
        <v>FORRO FINCAPINO CARVALHO EUROPEU CAPUCCINO 20/6 X 300 X 4000MM</v>
      </c>
      <c r="H494" s="192" t="s">
        <v>581</v>
      </c>
      <c r="I494" s="182" t="str">
        <f t="shared" ca="1" si="4"/>
        <v/>
      </c>
      <c r="J494" s="193"/>
      <c r="K494" s="208" t="s">
        <v>2149</v>
      </c>
      <c r="L494" s="182" t="s">
        <v>582</v>
      </c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94"/>
      <c r="Z494" s="194"/>
      <c r="AA494" s="194"/>
    </row>
    <row r="495" spans="1:27" ht="15.6">
      <c r="A495" s="182"/>
      <c r="B495" s="182"/>
      <c r="C495" s="182"/>
      <c r="D495" s="182"/>
      <c r="E495" s="182"/>
      <c r="F495" s="208"/>
      <c r="G495" s="182" t="str">
        <f ca="1">IFERROR(__xludf.DUMMYFUNCTION("""COMPUTED_VALUE"""),"FORRO FINCAPINO CARVALHO EUROPEU CAPUCCINO 20/6 X 400 X 5000MM")</f>
        <v>FORRO FINCAPINO CARVALHO EUROPEU CAPUCCINO 20/6 X 400 X 5000MM</v>
      </c>
      <c r="H495" s="192" t="s">
        <v>582</v>
      </c>
      <c r="I495" s="182" t="str">
        <f t="shared" ca="1" si="4"/>
        <v/>
      </c>
      <c r="J495" s="193"/>
      <c r="K495" s="208" t="s">
        <v>2150</v>
      </c>
      <c r="L495" s="182" t="s">
        <v>583</v>
      </c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94"/>
      <c r="Z495" s="194"/>
      <c r="AA495" s="194"/>
    </row>
    <row r="496" spans="1:27" ht="15.6">
      <c r="A496" s="182"/>
      <c r="B496" s="182"/>
      <c r="C496" s="182"/>
      <c r="D496" s="182"/>
      <c r="E496" s="182"/>
      <c r="F496" s="208"/>
      <c r="G496" s="182" t="str">
        <f ca="1">IFERROR(__xludf.DUMMYFUNCTION("""COMPUTED_VALUE"""),"FORRO FINCAPINO CARVALHO EUROPEU BABY GREY CHEVRON 15/3 X 1900X 740MM")</f>
        <v>FORRO FINCAPINO CARVALHO EUROPEU BABY GREY CHEVRON 15/3 X 1900X 740MM</v>
      </c>
      <c r="H496" s="192" t="s">
        <v>583</v>
      </c>
      <c r="I496" s="182" t="str">
        <f t="shared" ca="1" si="4"/>
        <v/>
      </c>
      <c r="J496" s="193"/>
      <c r="K496" s="208" t="s">
        <v>2151</v>
      </c>
      <c r="L496" s="182" t="s">
        <v>584</v>
      </c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94"/>
      <c r="Z496" s="194"/>
      <c r="AA496" s="194"/>
    </row>
    <row r="497" spans="1:27" ht="15.6">
      <c r="A497" s="182"/>
      <c r="B497" s="182"/>
      <c r="C497" s="182"/>
      <c r="D497" s="182"/>
      <c r="E497" s="182"/>
      <c r="F497" s="208"/>
      <c r="G497" s="182" t="str">
        <f ca="1">IFERROR(__xludf.DUMMYFUNCTION("""COMPUTED_VALUE"""),"FORRO FINCAPINO CARVALHO EUROPEU BABY GREY 15/3 X 125 X 1200MM")</f>
        <v>FORRO FINCAPINO CARVALHO EUROPEU BABY GREY 15/3 X 125 X 1200MM</v>
      </c>
      <c r="H497" s="192" t="s">
        <v>584</v>
      </c>
      <c r="I497" s="182" t="str">
        <f t="shared" ca="1" si="4"/>
        <v/>
      </c>
      <c r="J497" s="193"/>
      <c r="K497" s="208" t="s">
        <v>2152</v>
      </c>
      <c r="L497" s="182" t="s">
        <v>585</v>
      </c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94"/>
      <c r="Z497" s="194"/>
      <c r="AA497" s="194"/>
    </row>
    <row r="498" spans="1:27" ht="15.6">
      <c r="A498" s="182"/>
      <c r="B498" s="182"/>
      <c r="C498" s="182"/>
      <c r="D498" s="182"/>
      <c r="E498" s="182"/>
      <c r="F498" s="208"/>
      <c r="G498" s="182" t="str">
        <f ca="1">IFERROR(__xludf.DUMMYFUNCTION("""COMPUTED_VALUE"""),"FORRO FINCAPINO CARVALHO EUROPEU BABY GREY 15/3 X 190 X 1900MM")</f>
        <v>FORRO FINCAPINO CARVALHO EUROPEU BABY GREY 15/3 X 190 X 1900MM</v>
      </c>
      <c r="H498" s="192" t="s">
        <v>585</v>
      </c>
      <c r="I498" s="182" t="str">
        <f t="shared" ca="1" si="4"/>
        <v/>
      </c>
      <c r="J498" s="193"/>
      <c r="K498" s="208" t="s">
        <v>2153</v>
      </c>
      <c r="L498" s="182" t="s">
        <v>586</v>
      </c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94"/>
      <c r="Z498" s="194"/>
      <c r="AA498" s="194"/>
    </row>
    <row r="499" spans="1:27" ht="15.6">
      <c r="A499" s="182"/>
      <c r="B499" s="182"/>
      <c r="C499" s="182"/>
      <c r="D499" s="182"/>
      <c r="E499" s="182"/>
      <c r="F499" s="208"/>
      <c r="G499" s="182" t="str">
        <f ca="1">IFERROR(__xludf.DUMMYFUNCTION("""COMPUTED_VALUE"""),"FORRO FINCAPINO CARVALHO EUROPEU BABY GREY 20/6 X 300 X 4000MM")</f>
        <v>FORRO FINCAPINO CARVALHO EUROPEU BABY GREY 20/6 X 300 X 4000MM</v>
      </c>
      <c r="H499" s="192" t="s">
        <v>586</v>
      </c>
      <c r="I499" s="182" t="str">
        <f t="shared" ca="1" si="4"/>
        <v/>
      </c>
      <c r="J499" s="193"/>
      <c r="K499" s="208" t="s">
        <v>2154</v>
      </c>
      <c r="L499" s="182" t="s">
        <v>587</v>
      </c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94"/>
      <c r="Z499" s="194"/>
      <c r="AA499" s="194"/>
    </row>
    <row r="500" spans="1:27" ht="15.6">
      <c r="A500" s="182"/>
      <c r="B500" s="182"/>
      <c r="C500" s="182"/>
      <c r="D500" s="182"/>
      <c r="E500" s="182"/>
      <c r="F500" s="208"/>
      <c r="G500" s="182" t="str">
        <f ca="1">IFERROR(__xludf.DUMMYFUNCTION("""COMPUTED_VALUE"""),"FORRO FINCAPINO CARVALHO EUROPEU BABY GREY 20/6 X 400 X 5000MM")</f>
        <v>FORRO FINCAPINO CARVALHO EUROPEU BABY GREY 20/6 X 400 X 5000MM</v>
      </c>
      <c r="H500" s="192" t="s">
        <v>587</v>
      </c>
      <c r="I500" s="182" t="str">
        <f t="shared" ca="1" si="4"/>
        <v/>
      </c>
      <c r="J500" s="193"/>
      <c r="K500" s="208" t="s">
        <v>2155</v>
      </c>
      <c r="L500" s="182" t="s">
        <v>588</v>
      </c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94"/>
      <c r="Z500" s="194"/>
      <c r="AA500" s="194"/>
    </row>
    <row r="501" spans="1:27" ht="15.6">
      <c r="A501" s="182"/>
      <c r="B501" s="182"/>
      <c r="C501" s="182"/>
      <c r="D501" s="182"/>
      <c r="E501" s="182"/>
      <c r="F501" s="208"/>
      <c r="G501" s="182" t="str">
        <f ca="1">IFERROR(__xludf.DUMMYFUNCTION("""COMPUTED_VALUE"""),"FORRO FINCAPINO CARVALHO EUROPEU GRIGIO NERO CHEVRON 15/3 X 1900X 740MM")</f>
        <v>FORRO FINCAPINO CARVALHO EUROPEU GRIGIO NERO CHEVRON 15/3 X 1900X 740MM</v>
      </c>
      <c r="H501" s="192" t="s">
        <v>588</v>
      </c>
      <c r="I501" s="182" t="str">
        <f t="shared" ca="1" si="4"/>
        <v/>
      </c>
      <c r="J501" s="193"/>
      <c r="K501" s="208" t="s">
        <v>2156</v>
      </c>
      <c r="L501" s="182" t="s">
        <v>589</v>
      </c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94"/>
      <c r="Z501" s="194"/>
      <c r="AA501" s="194"/>
    </row>
    <row r="502" spans="1:27" ht="15.6">
      <c r="A502" s="182"/>
      <c r="B502" s="182"/>
      <c r="C502" s="182"/>
      <c r="D502" s="182"/>
      <c r="E502" s="182"/>
      <c r="F502" s="208"/>
      <c r="G502" s="182" t="str">
        <f ca="1">IFERROR(__xludf.DUMMYFUNCTION("""COMPUTED_VALUE"""),"FORRO FINCAPINO CARVALHO EUROPEU GRIGIO NERO 15/3 X 125 X 1200MM")</f>
        <v>FORRO FINCAPINO CARVALHO EUROPEU GRIGIO NERO 15/3 X 125 X 1200MM</v>
      </c>
      <c r="H502" s="192" t="s">
        <v>589</v>
      </c>
      <c r="I502" s="182" t="str">
        <f t="shared" ca="1" si="4"/>
        <v/>
      </c>
      <c r="J502" s="193"/>
      <c r="K502" s="208" t="s">
        <v>2157</v>
      </c>
      <c r="L502" s="182" t="s">
        <v>590</v>
      </c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94"/>
      <c r="Z502" s="194"/>
      <c r="AA502" s="194"/>
    </row>
    <row r="503" spans="1:27" ht="15.6">
      <c r="A503" s="182"/>
      <c r="B503" s="182"/>
      <c r="C503" s="182"/>
      <c r="D503" s="182"/>
      <c r="E503" s="182"/>
      <c r="F503" s="208"/>
      <c r="G503" s="182" t="str">
        <f ca="1">IFERROR(__xludf.DUMMYFUNCTION("""COMPUTED_VALUE"""),"FORRO FINCAPINO CARVALHO EUROPEU GRIGIO NERO 15/3 X 190 X 1900MM")</f>
        <v>FORRO FINCAPINO CARVALHO EUROPEU GRIGIO NERO 15/3 X 190 X 1900MM</v>
      </c>
      <c r="H503" s="192" t="s">
        <v>590</v>
      </c>
      <c r="I503" s="182" t="str">
        <f t="shared" ca="1" si="4"/>
        <v/>
      </c>
      <c r="J503" s="193"/>
      <c r="K503" s="208" t="s">
        <v>2158</v>
      </c>
      <c r="L503" s="182" t="s">
        <v>591</v>
      </c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94"/>
      <c r="Z503" s="194"/>
      <c r="AA503" s="194"/>
    </row>
    <row r="504" spans="1:27" ht="15.6">
      <c r="A504" s="182"/>
      <c r="B504" s="182"/>
      <c r="C504" s="182"/>
      <c r="D504" s="182"/>
      <c r="E504" s="182"/>
      <c r="F504" s="208"/>
      <c r="G504" s="182" t="str">
        <f ca="1">IFERROR(__xludf.DUMMYFUNCTION("""COMPUTED_VALUE"""),"FORRO FINCAPINO CARVALHO EUROPEU GRIGIO NERO 20/6 X 300 X 4000MM")</f>
        <v>FORRO FINCAPINO CARVALHO EUROPEU GRIGIO NERO 20/6 X 300 X 4000MM</v>
      </c>
      <c r="H504" s="192" t="s">
        <v>591</v>
      </c>
      <c r="I504" s="182" t="str">
        <f t="shared" ca="1" si="4"/>
        <v/>
      </c>
      <c r="J504" s="193"/>
      <c r="K504" s="208" t="s">
        <v>2159</v>
      </c>
      <c r="L504" s="182" t="s">
        <v>592</v>
      </c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94"/>
      <c r="Z504" s="194"/>
      <c r="AA504" s="194"/>
    </row>
    <row r="505" spans="1:27" ht="15.6">
      <c r="A505" s="182"/>
      <c r="B505" s="182"/>
      <c r="C505" s="182"/>
      <c r="D505" s="182"/>
      <c r="E505" s="182"/>
      <c r="F505" s="208"/>
      <c r="G505" s="182" t="str">
        <f ca="1">IFERROR(__xludf.DUMMYFUNCTION("""COMPUTED_VALUE"""),"FORRO FINCAPINO CARVALHO EUROPEU GRIGIO NERO 20/6 X 400 X 5000MM")</f>
        <v>FORRO FINCAPINO CARVALHO EUROPEU GRIGIO NERO 20/6 X 400 X 5000MM</v>
      </c>
      <c r="H505" s="192" t="s">
        <v>592</v>
      </c>
      <c r="I505" s="182" t="str">
        <f t="shared" ca="1" si="4"/>
        <v/>
      </c>
      <c r="J505" s="193"/>
      <c r="K505" s="208" t="s">
        <v>2160</v>
      </c>
      <c r="L505" s="182" t="s">
        <v>593</v>
      </c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94"/>
      <c r="Z505" s="194"/>
      <c r="AA505" s="194"/>
    </row>
    <row r="506" spans="1:27" ht="15.6">
      <c r="A506" s="182"/>
      <c r="B506" s="182"/>
      <c r="C506" s="182"/>
      <c r="D506" s="182"/>
      <c r="E506" s="182"/>
      <c r="F506" s="208"/>
      <c r="G506" s="182" t="str">
        <f ca="1">IFERROR(__xludf.DUMMYFUNCTION("""COMPUTED_VALUE"""),"FORRO FINCAPINO CARVALHO EUROPEU LIGHT BROWN CHEVRON 15/3 X 1900X 740MM")</f>
        <v>FORRO FINCAPINO CARVALHO EUROPEU LIGHT BROWN CHEVRON 15/3 X 1900X 740MM</v>
      </c>
      <c r="H506" s="192" t="s">
        <v>593</v>
      </c>
      <c r="I506" s="182" t="str">
        <f t="shared" ca="1" si="4"/>
        <v/>
      </c>
      <c r="J506" s="193"/>
      <c r="K506" s="208" t="s">
        <v>2161</v>
      </c>
      <c r="L506" s="182" t="s">
        <v>594</v>
      </c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94"/>
      <c r="Z506" s="194"/>
      <c r="AA506" s="194"/>
    </row>
    <row r="507" spans="1:27" ht="15.6">
      <c r="A507" s="182"/>
      <c r="B507" s="182"/>
      <c r="C507" s="182"/>
      <c r="D507" s="182"/>
      <c r="E507" s="182"/>
      <c r="F507" s="208"/>
      <c r="G507" s="182" t="str">
        <f ca="1">IFERROR(__xludf.DUMMYFUNCTION("""COMPUTED_VALUE"""),"FORRO FINCAPINO CARVALHO EUROPEU LIGHT BROWN 15/3 X 125 X 1200MM")</f>
        <v>FORRO FINCAPINO CARVALHO EUROPEU LIGHT BROWN 15/3 X 125 X 1200MM</v>
      </c>
      <c r="H507" s="192" t="s">
        <v>594</v>
      </c>
      <c r="I507" s="182" t="str">
        <f t="shared" ca="1" si="4"/>
        <v/>
      </c>
      <c r="J507" s="193"/>
      <c r="K507" s="208" t="s">
        <v>2162</v>
      </c>
      <c r="L507" s="182" t="s">
        <v>595</v>
      </c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94"/>
      <c r="Z507" s="194"/>
      <c r="AA507" s="194"/>
    </row>
    <row r="508" spans="1:27" ht="15.6">
      <c r="A508" s="182"/>
      <c r="B508" s="182"/>
      <c r="C508" s="182"/>
      <c r="D508" s="182"/>
      <c r="E508" s="182"/>
      <c r="F508" s="208"/>
      <c r="G508" s="182" t="str">
        <f ca="1">IFERROR(__xludf.DUMMYFUNCTION("""COMPUTED_VALUE"""),"FORRO FINCAPINO CARVALHO EUROPEU LIGHT BROWN 15/3 X 190 X 1900MM")</f>
        <v>FORRO FINCAPINO CARVALHO EUROPEU LIGHT BROWN 15/3 X 190 X 1900MM</v>
      </c>
      <c r="H508" s="192" t="s">
        <v>595</v>
      </c>
      <c r="I508" s="182" t="str">
        <f t="shared" ca="1" si="4"/>
        <v/>
      </c>
      <c r="J508" s="193"/>
      <c r="K508" s="208" t="s">
        <v>2163</v>
      </c>
      <c r="L508" s="182" t="s">
        <v>596</v>
      </c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94"/>
      <c r="Z508" s="194"/>
      <c r="AA508" s="194"/>
    </row>
    <row r="509" spans="1:27" ht="15.6">
      <c r="A509" s="182"/>
      <c r="B509" s="182"/>
      <c r="C509" s="182"/>
      <c r="D509" s="182"/>
      <c r="E509" s="182"/>
      <c r="F509" s="208"/>
      <c r="G509" s="182" t="str">
        <f ca="1">IFERROR(__xludf.DUMMYFUNCTION("""COMPUTED_VALUE"""),"FORRO FINCAPINO CARVALHO EUROPEU LIGHT BROWN 20/6 X 300 X 4000MM")</f>
        <v>FORRO FINCAPINO CARVALHO EUROPEU LIGHT BROWN 20/6 X 300 X 4000MM</v>
      </c>
      <c r="H509" s="192" t="s">
        <v>596</v>
      </c>
      <c r="I509" s="182" t="str">
        <f t="shared" ca="1" si="4"/>
        <v/>
      </c>
      <c r="J509" s="193"/>
      <c r="K509" s="208" t="s">
        <v>2164</v>
      </c>
      <c r="L509" s="182" t="s">
        <v>597</v>
      </c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94"/>
      <c r="Z509" s="194"/>
      <c r="AA509" s="194"/>
    </row>
    <row r="510" spans="1:27" ht="15.6">
      <c r="A510" s="182"/>
      <c r="B510" s="182"/>
      <c r="C510" s="182"/>
      <c r="D510" s="182"/>
      <c r="E510" s="182"/>
      <c r="F510" s="208"/>
      <c r="G510" s="182" t="str">
        <f ca="1">IFERROR(__xludf.DUMMYFUNCTION("""COMPUTED_VALUE"""),"FORRO FINCAPINO CARVALHO EUROPEU - LISTONE GIORDANO (HERITAGE 140 FILIGRANA - SIENNA 1179) TG 1,25 X 14,0 X 83,50CM --")</f>
        <v>FORRO FINCAPINO CARVALHO EUROPEU - LISTONE GIORDANO (HERITAGE 140 FILIGRANA - SIENNA 1179) TG 1,25 X 14,0 X 83,50CM --</v>
      </c>
      <c r="H510" s="192" t="s">
        <v>597</v>
      </c>
      <c r="I510" s="182" t="str">
        <f t="shared" ca="1" si="4"/>
        <v/>
      </c>
      <c r="J510" s="193"/>
      <c r="K510" s="208" t="s">
        <v>2165</v>
      </c>
      <c r="L510" s="182" t="s">
        <v>598</v>
      </c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94"/>
      <c r="Z510" s="194"/>
      <c r="AA510" s="194"/>
    </row>
    <row r="511" spans="1:27" ht="15.6">
      <c r="A511" s="182"/>
      <c r="B511" s="182"/>
      <c r="C511" s="182"/>
      <c r="D511" s="182"/>
      <c r="E511" s="182"/>
      <c r="F511" s="208"/>
      <c r="G511" s="182" t="str">
        <f ca="1">IFERROR(__xludf.DUMMYFUNCTION("""COMPUTED_VALUE"""),"FORRO FINCAPINO ")</f>
        <v xml:space="preserve">FORRO FINCAPINO </v>
      </c>
      <c r="H511" s="192" t="s">
        <v>598</v>
      </c>
      <c r="I511" s="182" t="str">
        <f t="shared" ca="1" si="4"/>
        <v/>
      </c>
      <c r="J511" s="193"/>
      <c r="K511" s="208" t="s">
        <v>2166</v>
      </c>
      <c r="L511" s="182" t="s">
        <v>599</v>
      </c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94"/>
      <c r="Z511" s="194"/>
      <c r="AA511" s="194"/>
    </row>
    <row r="512" spans="1:27" ht="15.6">
      <c r="A512" s="182"/>
      <c r="B512" s="182"/>
      <c r="C512" s="182"/>
      <c r="D512" s="182"/>
      <c r="E512" s="182"/>
      <c r="F512" s="208"/>
      <c r="G512" s="182" t="str">
        <f ca="1">IFERROR(__xludf.DUMMYFUNCTION("""COMPUTED_VALUE"""),"FORRO FINCAPINO CARVALHO EUROPEU MILANO CHEVRON 15/3 X 1900X 740MM")</f>
        <v>FORRO FINCAPINO CARVALHO EUROPEU MILANO CHEVRON 15/3 X 1900X 740MM</v>
      </c>
      <c r="H512" s="192" t="s">
        <v>599</v>
      </c>
      <c r="I512" s="182" t="str">
        <f t="shared" ca="1" si="4"/>
        <v/>
      </c>
      <c r="J512" s="193"/>
      <c r="K512" s="208" t="s">
        <v>2167</v>
      </c>
      <c r="L512" s="182" t="s">
        <v>600</v>
      </c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94"/>
      <c r="Z512" s="194"/>
      <c r="AA512" s="194"/>
    </row>
    <row r="513" spans="1:27" ht="15.6">
      <c r="A513" s="182"/>
      <c r="B513" s="182"/>
      <c r="C513" s="182"/>
      <c r="D513" s="182"/>
      <c r="E513" s="182"/>
      <c r="F513" s="208"/>
      <c r="G513" s="182" t="str">
        <f ca="1">IFERROR(__xludf.DUMMYFUNCTION("""COMPUTED_VALUE"""),"FORRO FINCAPINO CARVALHO EUROPEU MILANO 15/3 X 125 X 1200MM")</f>
        <v>FORRO FINCAPINO CARVALHO EUROPEU MILANO 15/3 X 125 X 1200MM</v>
      </c>
      <c r="H513" s="192" t="s">
        <v>600</v>
      </c>
      <c r="I513" s="182" t="str">
        <f t="shared" ca="1" si="4"/>
        <v/>
      </c>
      <c r="J513" s="193"/>
      <c r="K513" s="208" t="s">
        <v>2168</v>
      </c>
      <c r="L513" s="182" t="s">
        <v>601</v>
      </c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94"/>
      <c r="Z513" s="194"/>
      <c r="AA513" s="194"/>
    </row>
    <row r="514" spans="1:27" ht="15.6">
      <c r="A514" s="182"/>
      <c r="B514" s="182"/>
      <c r="C514" s="182"/>
      <c r="D514" s="182"/>
      <c r="E514" s="182"/>
      <c r="F514" s="208"/>
      <c r="G514" s="182" t="str">
        <f ca="1">IFERROR(__xludf.DUMMYFUNCTION("""COMPUTED_VALUE"""),"FORRO FINCAPINO CARVALHO EUROPEU MILANO 15/3 X 190 X 1900MM")</f>
        <v>FORRO FINCAPINO CARVALHO EUROPEU MILANO 15/3 X 190 X 1900MM</v>
      </c>
      <c r="H514" s="192" t="s">
        <v>601</v>
      </c>
      <c r="I514" s="182" t="str">
        <f t="shared" ca="1" si="4"/>
        <v/>
      </c>
      <c r="J514" s="193"/>
      <c r="K514" s="208" t="s">
        <v>2169</v>
      </c>
      <c r="L514" s="182" t="s">
        <v>602</v>
      </c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94"/>
      <c r="Z514" s="194"/>
      <c r="AA514" s="194"/>
    </row>
    <row r="515" spans="1:27" ht="15.6">
      <c r="A515" s="182"/>
      <c r="B515" s="182"/>
      <c r="C515" s="182"/>
      <c r="D515" s="182"/>
      <c r="E515" s="182"/>
      <c r="F515" s="208"/>
      <c r="G515" s="182" t="str">
        <f ca="1">IFERROR(__xludf.DUMMYFUNCTION("""COMPUTED_VALUE"""),"FORRO FINCAPINO CARVALHO EUROPEU MILANO 20/6 X 300 X 4000MM")</f>
        <v>FORRO FINCAPINO CARVALHO EUROPEU MILANO 20/6 X 300 X 4000MM</v>
      </c>
      <c r="H515" s="192" t="s">
        <v>602</v>
      </c>
      <c r="I515" s="182" t="str">
        <f t="shared" ca="1" si="4"/>
        <v/>
      </c>
      <c r="J515" s="193"/>
      <c r="K515" s="208" t="s">
        <v>2170</v>
      </c>
      <c r="L515" s="182" t="s">
        <v>603</v>
      </c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94"/>
      <c r="Z515" s="194"/>
      <c r="AA515" s="194"/>
    </row>
    <row r="516" spans="1:27" ht="15.6">
      <c r="A516" s="182"/>
      <c r="B516" s="182"/>
      <c r="C516" s="182"/>
      <c r="D516" s="182"/>
      <c r="E516" s="182"/>
      <c r="F516" s="208"/>
      <c r="G516" s="182" t="str">
        <f ca="1">IFERROR(__xludf.DUMMYFUNCTION("""COMPUTED_VALUE"""),"FORRO FINCAPINO CARVALHO EUROPEU MILANO 20/6 X 400 X 5000MM")</f>
        <v>FORRO FINCAPINO CARVALHO EUROPEU MILANO 20/6 X 400 X 5000MM</v>
      </c>
      <c r="H516" s="192" t="s">
        <v>603</v>
      </c>
      <c r="I516" s="182" t="str">
        <f t="shared" ca="1" si="4"/>
        <v/>
      </c>
      <c r="J516" s="193"/>
      <c r="K516" s="208" t="s">
        <v>2171</v>
      </c>
      <c r="L516" s="182" t="s">
        <v>604</v>
      </c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94"/>
      <c r="Z516" s="194"/>
      <c r="AA516" s="194"/>
    </row>
    <row r="517" spans="1:27" ht="15.6">
      <c r="A517" s="182"/>
      <c r="B517" s="182"/>
      <c r="C517" s="182"/>
      <c r="D517" s="182"/>
      <c r="E517" s="182"/>
      <c r="F517" s="208"/>
      <c r="G517" s="182" t="str">
        <f ca="1">IFERROR(__xludf.DUMMYFUNCTION("""COMPUTED_VALUE"""),"FORRO FINCAPINO CARVALHO EUROPEU SMOKED CHEVRON 15/3 X 1900X 740MM")</f>
        <v>FORRO FINCAPINO CARVALHO EUROPEU SMOKED CHEVRON 15/3 X 1900X 740MM</v>
      </c>
      <c r="H517" s="192" t="s">
        <v>604</v>
      </c>
      <c r="I517" s="182" t="str">
        <f t="shared" ca="1" si="4"/>
        <v/>
      </c>
      <c r="J517" s="193"/>
      <c r="K517" s="208" t="s">
        <v>2172</v>
      </c>
      <c r="L517" s="182" t="s">
        <v>605</v>
      </c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94"/>
      <c r="Z517" s="194"/>
      <c r="AA517" s="194"/>
    </row>
    <row r="518" spans="1:27" ht="15.6">
      <c r="A518" s="182"/>
      <c r="B518" s="182"/>
      <c r="C518" s="182"/>
      <c r="D518" s="182"/>
      <c r="E518" s="182"/>
      <c r="F518" s="208"/>
      <c r="G518" s="182" t="str">
        <f ca="1">IFERROR(__xludf.DUMMYFUNCTION("""COMPUTED_VALUE"""),"FORRO FINCAPINO CARVALHO EUROPEU SMOKED 15/3 X 125 X 1200MM")</f>
        <v>FORRO FINCAPINO CARVALHO EUROPEU SMOKED 15/3 X 125 X 1200MM</v>
      </c>
      <c r="H518" s="192" t="s">
        <v>605</v>
      </c>
      <c r="I518" s="182" t="str">
        <f t="shared" ca="1" si="4"/>
        <v/>
      </c>
      <c r="J518" s="193"/>
      <c r="K518" s="208" t="s">
        <v>2173</v>
      </c>
      <c r="L518" s="182" t="s">
        <v>606</v>
      </c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94"/>
      <c r="Z518" s="194"/>
      <c r="AA518" s="194"/>
    </row>
    <row r="519" spans="1:27" ht="15.6">
      <c r="A519" s="182"/>
      <c r="B519" s="182"/>
      <c r="C519" s="182"/>
      <c r="D519" s="182"/>
      <c r="E519" s="182"/>
      <c r="F519" s="208"/>
      <c r="G519" s="182" t="str">
        <f ca="1">IFERROR(__xludf.DUMMYFUNCTION("""COMPUTED_VALUE"""),"FORRO FINCAPINO CARVALHO EUROPEU SMOKED 15/3 X 190 X 1900MM")</f>
        <v>FORRO FINCAPINO CARVALHO EUROPEU SMOKED 15/3 X 190 X 1900MM</v>
      </c>
      <c r="H519" s="192" t="s">
        <v>606</v>
      </c>
      <c r="I519" s="182" t="str">
        <f t="shared" ca="1" si="4"/>
        <v/>
      </c>
      <c r="J519" s="193"/>
      <c r="K519" s="208" t="s">
        <v>2174</v>
      </c>
      <c r="L519" s="182" t="s">
        <v>607</v>
      </c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94"/>
      <c r="Z519" s="194"/>
      <c r="AA519" s="194"/>
    </row>
    <row r="520" spans="1:27" ht="15.6">
      <c r="A520" s="182"/>
      <c r="B520" s="182"/>
      <c r="C520" s="182"/>
      <c r="D520" s="182"/>
      <c r="E520" s="182"/>
      <c r="F520" s="208"/>
      <c r="G520" s="182" t="str">
        <f ca="1">IFERROR(__xludf.DUMMYFUNCTION("""COMPUTED_VALUE"""),"FORRO FINCAPINO CARVALHO EUROPEU SMOKED 20/6 X 300 X 4000MM")</f>
        <v>FORRO FINCAPINO CARVALHO EUROPEU SMOKED 20/6 X 300 X 4000MM</v>
      </c>
      <c r="H520" s="192" t="s">
        <v>607</v>
      </c>
      <c r="I520" s="182" t="str">
        <f t="shared" ca="1" si="4"/>
        <v/>
      </c>
      <c r="J520" s="193"/>
      <c r="K520" s="208" t="s">
        <v>2175</v>
      </c>
      <c r="L520" s="182" t="s">
        <v>608</v>
      </c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94"/>
      <c r="Z520" s="194"/>
      <c r="AA520" s="194"/>
    </row>
    <row r="521" spans="1:27" ht="15.6">
      <c r="A521" s="182"/>
      <c r="B521" s="182"/>
      <c r="C521" s="182"/>
      <c r="D521" s="182"/>
      <c r="E521" s="182"/>
      <c r="F521" s="208"/>
      <c r="G521" s="182" t="str">
        <f ca="1">IFERROR(__xludf.DUMMYFUNCTION("""COMPUTED_VALUE"""),"FORRO FINCAPINO CARVALHO EUROPEU SMOKED 20/6 X 400 X 5000MM")</f>
        <v>FORRO FINCAPINO CARVALHO EUROPEU SMOKED 20/6 X 400 X 5000MM</v>
      </c>
      <c r="H521" s="192" t="s">
        <v>608</v>
      </c>
      <c r="I521" s="182" t="str">
        <f t="shared" ca="1" si="4"/>
        <v/>
      </c>
      <c r="J521" s="193"/>
      <c r="K521" s="208" t="s">
        <v>2176</v>
      </c>
      <c r="L521" s="182" t="s">
        <v>609</v>
      </c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94"/>
      <c r="Z521" s="194"/>
      <c r="AA521" s="194"/>
    </row>
    <row r="522" spans="1:27" ht="15.6">
      <c r="A522" s="182"/>
      <c r="B522" s="182"/>
      <c r="C522" s="182"/>
      <c r="D522" s="182"/>
      <c r="E522" s="182"/>
      <c r="F522" s="208"/>
      <c r="G522" s="182" t="str">
        <f ca="1">IFERROR(__xludf.DUMMYFUNCTION("""COMPUTED_VALUE"""),"FORRO FINCAPINO CARVALHO EUROPEU GIZ CHEVRON 15/3 X 1900X 740MM")</f>
        <v>FORRO FINCAPINO CARVALHO EUROPEU GIZ CHEVRON 15/3 X 1900X 740MM</v>
      </c>
      <c r="H522" s="192" t="s">
        <v>609</v>
      </c>
      <c r="I522" s="182" t="str">
        <f t="shared" ca="1" si="4"/>
        <v/>
      </c>
      <c r="J522" s="193"/>
      <c r="K522" s="208" t="s">
        <v>2177</v>
      </c>
      <c r="L522" s="182" t="s">
        <v>610</v>
      </c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94"/>
      <c r="Z522" s="194"/>
      <c r="AA522" s="194"/>
    </row>
    <row r="523" spans="1:27" ht="15.6">
      <c r="A523" s="182"/>
      <c r="B523" s="182"/>
      <c r="C523" s="182"/>
      <c r="D523" s="182"/>
      <c r="E523" s="182"/>
      <c r="F523" s="208"/>
      <c r="G523" s="182" t="str">
        <f ca="1">IFERROR(__xludf.DUMMYFUNCTION("""COMPUTED_VALUE"""),"FORRO FINCAPINO CARVALHO EUROPEU GIZ 15/3 X 125 X 1200MM")</f>
        <v>FORRO FINCAPINO CARVALHO EUROPEU GIZ 15/3 X 125 X 1200MM</v>
      </c>
      <c r="H523" s="192" t="s">
        <v>610</v>
      </c>
      <c r="I523" s="182" t="str">
        <f t="shared" ca="1" si="4"/>
        <v/>
      </c>
      <c r="J523" s="193"/>
      <c r="K523" s="208" t="s">
        <v>2178</v>
      </c>
      <c r="L523" s="182" t="s">
        <v>611</v>
      </c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94"/>
      <c r="Z523" s="194"/>
      <c r="AA523" s="194"/>
    </row>
    <row r="524" spans="1:27" ht="15.6">
      <c r="A524" s="182"/>
      <c r="B524" s="182"/>
      <c r="C524" s="182"/>
      <c r="D524" s="182"/>
      <c r="E524" s="182"/>
      <c r="F524" s="208"/>
      <c r="G524" s="182" t="str">
        <f ca="1">IFERROR(__xludf.DUMMYFUNCTION("""COMPUTED_VALUE"""),"FORRO FINCAPINO CARVALHO EUROPEU GIZ 15/3 X 190 X 1900MM")</f>
        <v>FORRO FINCAPINO CARVALHO EUROPEU GIZ 15/3 X 190 X 1900MM</v>
      </c>
      <c r="H524" s="192" t="s">
        <v>611</v>
      </c>
      <c r="I524" s="182" t="str">
        <f t="shared" ca="1" si="4"/>
        <v/>
      </c>
      <c r="J524" s="193"/>
      <c r="K524" s="208" t="s">
        <v>2179</v>
      </c>
      <c r="L524" s="182" t="s">
        <v>612</v>
      </c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94"/>
      <c r="Z524" s="194"/>
      <c r="AA524" s="194"/>
    </row>
    <row r="525" spans="1:27" ht="15.6">
      <c r="A525" s="182"/>
      <c r="B525" s="182"/>
      <c r="C525" s="182"/>
      <c r="D525" s="182"/>
      <c r="E525" s="182"/>
      <c r="F525" s="208"/>
      <c r="G525" s="182" t="str">
        <f ca="1">IFERROR(__xludf.DUMMYFUNCTION("""COMPUTED_VALUE"""),"FORRO FINCAPINO CARVALHO EUROPEU GIZ 20/6 X 300 X 4000MM")</f>
        <v>FORRO FINCAPINO CARVALHO EUROPEU GIZ 20/6 X 300 X 4000MM</v>
      </c>
      <c r="H525" s="192" t="s">
        <v>612</v>
      </c>
      <c r="I525" s="182" t="str">
        <f t="shared" ca="1" si="4"/>
        <v/>
      </c>
      <c r="J525" s="193"/>
      <c r="K525" s="208" t="s">
        <v>2180</v>
      </c>
      <c r="L525" s="182" t="s">
        <v>613</v>
      </c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94"/>
      <c r="Z525" s="194"/>
      <c r="AA525" s="194"/>
    </row>
    <row r="526" spans="1:27" ht="15.6">
      <c r="A526" s="182"/>
      <c r="B526" s="182"/>
      <c r="C526" s="182"/>
      <c r="D526" s="182"/>
      <c r="E526" s="182"/>
      <c r="F526" s="208"/>
      <c r="G526" s="182" t="str">
        <f ca="1">IFERROR(__xludf.DUMMYFUNCTION("""COMPUTED_VALUE"""),"FORRO FINCAPINO CARVALHO EUROPEU GIZ 20/6 X 400 X 5000MM")</f>
        <v>FORRO FINCAPINO CARVALHO EUROPEU GIZ 20/6 X 400 X 5000MM</v>
      </c>
      <c r="H526" s="192" t="s">
        <v>613</v>
      </c>
      <c r="I526" s="182" t="str">
        <f t="shared" ca="1" si="4"/>
        <v/>
      </c>
      <c r="J526" s="193"/>
      <c r="K526" s="208" t="s">
        <v>2181</v>
      </c>
      <c r="L526" s="182" t="s">
        <v>614</v>
      </c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94"/>
      <c r="Z526" s="194"/>
      <c r="AA526" s="194"/>
    </row>
    <row r="527" spans="1:27" ht="15.6">
      <c r="A527" s="182"/>
      <c r="B527" s="182"/>
      <c r="C527" s="182"/>
      <c r="D527" s="182"/>
      <c r="E527" s="182"/>
      <c r="F527" s="208"/>
      <c r="G527" s="182" t="str">
        <f ca="1">IFERROR(__xludf.DUMMYFUNCTION("""COMPUTED_VALUE"""),"FORRO FINCAPINO CARVALHO EUROPEU SNOW CHEVRON 15/3 X 1900X 740MM")</f>
        <v>FORRO FINCAPINO CARVALHO EUROPEU SNOW CHEVRON 15/3 X 1900X 740MM</v>
      </c>
      <c r="H527" s="192" t="s">
        <v>614</v>
      </c>
      <c r="I527" s="182" t="str">
        <f t="shared" ca="1" si="4"/>
        <v/>
      </c>
      <c r="J527" s="193"/>
      <c r="K527" s="208" t="s">
        <v>2182</v>
      </c>
      <c r="L527" s="182" t="s">
        <v>615</v>
      </c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94"/>
      <c r="Z527" s="194"/>
      <c r="AA527" s="194"/>
    </row>
    <row r="528" spans="1:27" ht="15.6">
      <c r="A528" s="182"/>
      <c r="B528" s="182"/>
      <c r="C528" s="182"/>
      <c r="D528" s="182"/>
      <c r="E528" s="182"/>
      <c r="F528" s="208"/>
      <c r="G528" s="182" t="str">
        <f ca="1">IFERROR(__xludf.DUMMYFUNCTION("""COMPUTED_VALUE"""),"FORRO FINCAPINO CARVALHO EUROPEU SNOW 15/3 X 125 X 1200MM")</f>
        <v>FORRO FINCAPINO CARVALHO EUROPEU SNOW 15/3 X 125 X 1200MM</v>
      </c>
      <c r="H528" s="192" t="s">
        <v>615</v>
      </c>
      <c r="I528" s="182" t="str">
        <f t="shared" ca="1" si="4"/>
        <v/>
      </c>
      <c r="J528" s="193"/>
      <c r="K528" s="208" t="s">
        <v>2183</v>
      </c>
      <c r="L528" s="182" t="s">
        <v>616</v>
      </c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94"/>
      <c r="Z528" s="194"/>
      <c r="AA528" s="194"/>
    </row>
    <row r="529" spans="1:27" ht="15.6">
      <c r="A529" s="182"/>
      <c r="B529" s="182"/>
      <c r="C529" s="182"/>
      <c r="D529" s="182"/>
      <c r="E529" s="182"/>
      <c r="F529" s="208"/>
      <c r="G529" s="182" t="str">
        <f ca="1">IFERROR(__xludf.DUMMYFUNCTION("""COMPUTED_VALUE"""),"FORRO FINCAPINO CARVALHO EUROPEU SNOW 15/3 X 190 X 1900MM")</f>
        <v>FORRO FINCAPINO CARVALHO EUROPEU SNOW 15/3 X 190 X 1900MM</v>
      </c>
      <c r="H529" s="192" t="s">
        <v>616</v>
      </c>
      <c r="I529" s="182" t="str">
        <f t="shared" ca="1" si="4"/>
        <v/>
      </c>
      <c r="J529" s="193"/>
      <c r="K529" s="208" t="s">
        <v>2184</v>
      </c>
      <c r="L529" s="182" t="s">
        <v>617</v>
      </c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94"/>
      <c r="Z529" s="194"/>
      <c r="AA529" s="194"/>
    </row>
    <row r="530" spans="1:27" ht="15.6">
      <c r="A530" s="182"/>
      <c r="B530" s="182"/>
      <c r="C530" s="182"/>
      <c r="D530" s="182"/>
      <c r="E530" s="182"/>
      <c r="F530" s="208"/>
      <c r="G530" s="182" t="str">
        <f ca="1">IFERROR(__xludf.DUMMYFUNCTION("""COMPUTED_VALUE"""),"FORRO FINCAPINO CARVALHO EUROPEU SNOW 20/6 X 300 X 4000MM")</f>
        <v>FORRO FINCAPINO CARVALHO EUROPEU SNOW 20/6 X 300 X 4000MM</v>
      </c>
      <c r="H530" s="192" t="s">
        <v>617</v>
      </c>
      <c r="I530" s="182" t="str">
        <f t="shared" ca="1" si="4"/>
        <v/>
      </c>
      <c r="J530" s="193"/>
      <c r="K530" s="208" t="s">
        <v>2185</v>
      </c>
      <c r="L530" s="182" t="s">
        <v>618</v>
      </c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94"/>
      <c r="Z530" s="194"/>
      <c r="AA530" s="194"/>
    </row>
    <row r="531" spans="1:27" ht="15.6">
      <c r="A531" s="182"/>
      <c r="B531" s="182"/>
      <c r="C531" s="182"/>
      <c r="D531" s="182"/>
      <c r="E531" s="182"/>
      <c r="F531" s="208"/>
      <c r="G531" s="182" t="str">
        <f ca="1">IFERROR(__xludf.DUMMYFUNCTION("""COMPUTED_VALUE"""),"FORRO FINCAPINO CARVALHO EUROPEU SNOW 20/6 X 400 X 5000MM")</f>
        <v>FORRO FINCAPINO CARVALHO EUROPEU SNOW 20/6 X 400 X 5000MM</v>
      </c>
      <c r="H531" s="192" t="s">
        <v>618</v>
      </c>
      <c r="I531" s="182" t="str">
        <f t="shared" ca="1" si="4"/>
        <v/>
      </c>
      <c r="J531" s="193"/>
      <c r="K531" s="208" t="s">
        <v>2186</v>
      </c>
      <c r="L531" s="182" t="s">
        <v>619</v>
      </c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94"/>
      <c r="Z531" s="194"/>
      <c r="AA531" s="194"/>
    </row>
    <row r="532" spans="1:27" ht="15.6">
      <c r="A532" s="182"/>
      <c r="B532" s="182"/>
      <c r="C532" s="182"/>
      <c r="D532" s="182"/>
      <c r="E532" s="182"/>
      <c r="F532" s="208"/>
      <c r="G532" s="182" t="str">
        <f ca="1">IFERROR(__xludf.DUMMYFUNCTION("""COMPUTED_VALUE"""),"FORRO FINCAPINO CARVALHO EUROPEU WILD CHEVRON 15/3 X 1900X 740MM")</f>
        <v>FORRO FINCAPINO CARVALHO EUROPEU WILD CHEVRON 15/3 X 1900X 740MM</v>
      </c>
      <c r="H532" s="192" t="s">
        <v>619</v>
      </c>
      <c r="I532" s="182" t="str">
        <f t="shared" ca="1" si="4"/>
        <v/>
      </c>
      <c r="J532" s="193"/>
      <c r="K532" s="208" t="s">
        <v>2187</v>
      </c>
      <c r="L532" s="182" t="s">
        <v>620</v>
      </c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94"/>
      <c r="Z532" s="194"/>
      <c r="AA532" s="194"/>
    </row>
    <row r="533" spans="1:27" ht="15.6">
      <c r="A533" s="182"/>
      <c r="B533" s="182"/>
      <c r="C533" s="182"/>
      <c r="D533" s="182"/>
      <c r="E533" s="182"/>
      <c r="F533" s="208"/>
      <c r="G533" s="182" t="str">
        <f ca="1">IFERROR(__xludf.DUMMYFUNCTION("""COMPUTED_VALUE"""),"FORRO FINCAPINO CARVALHO EUROPEU WILD 15/3 X 125 X 1200MM")</f>
        <v>FORRO FINCAPINO CARVALHO EUROPEU WILD 15/3 X 125 X 1200MM</v>
      </c>
      <c r="H533" s="192" t="s">
        <v>620</v>
      </c>
      <c r="I533" s="182" t="str">
        <f t="shared" ca="1" si="4"/>
        <v/>
      </c>
      <c r="J533" s="193"/>
      <c r="K533" s="208" t="s">
        <v>2188</v>
      </c>
      <c r="L533" s="182" t="s">
        <v>621</v>
      </c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94"/>
      <c r="Z533" s="194"/>
      <c r="AA533" s="194"/>
    </row>
    <row r="534" spans="1:27" ht="15.6">
      <c r="A534" s="182"/>
      <c r="B534" s="182"/>
      <c r="C534" s="182"/>
      <c r="D534" s="182"/>
      <c r="E534" s="182"/>
      <c r="F534" s="208"/>
      <c r="G534" s="182" t="str">
        <f ca="1">IFERROR(__xludf.DUMMYFUNCTION("""COMPUTED_VALUE"""),"FORRO FINCAPINO CARVALHO EUROPEU WILD 15/3 X 190 X 1900MM")</f>
        <v>FORRO FINCAPINO CARVALHO EUROPEU WILD 15/3 X 190 X 1900MM</v>
      </c>
      <c r="H534" s="192" t="s">
        <v>621</v>
      </c>
      <c r="I534" s="182" t="str">
        <f t="shared" ca="1" si="4"/>
        <v/>
      </c>
      <c r="J534" s="193"/>
      <c r="K534" s="208" t="s">
        <v>2189</v>
      </c>
      <c r="L534" s="182" t="s">
        <v>622</v>
      </c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94"/>
      <c r="Z534" s="194"/>
      <c r="AA534" s="194"/>
    </row>
    <row r="535" spans="1:27" ht="15.6">
      <c r="A535" s="182"/>
      <c r="B535" s="182"/>
      <c r="C535" s="182"/>
      <c r="D535" s="182"/>
      <c r="E535" s="182"/>
      <c r="F535" s="208"/>
      <c r="G535" s="182" t="str">
        <f ca="1">IFERROR(__xludf.DUMMYFUNCTION("""COMPUTED_VALUE"""),"FORRO FINCAPINO CARVALHO EUROPEU WILD 20/6 X 300 X 4000MM")</f>
        <v>FORRO FINCAPINO CARVALHO EUROPEU WILD 20/6 X 300 X 4000MM</v>
      </c>
      <c r="H535" s="192" t="s">
        <v>622</v>
      </c>
      <c r="I535" s="182" t="str">
        <f t="shared" ca="1" si="4"/>
        <v/>
      </c>
      <c r="J535" s="193"/>
      <c r="K535" s="208" t="s">
        <v>2190</v>
      </c>
      <c r="L535" s="182" t="s">
        <v>623</v>
      </c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94"/>
      <c r="Z535" s="194"/>
      <c r="AA535" s="194"/>
    </row>
    <row r="536" spans="1:27" ht="15.6">
      <c r="A536" s="182"/>
      <c r="B536" s="182"/>
      <c r="C536" s="182"/>
      <c r="D536" s="182"/>
      <c r="E536" s="182"/>
      <c r="F536" s="208"/>
      <c r="G536" s="182" t="str">
        <f ca="1">IFERROR(__xludf.DUMMYFUNCTION("""COMPUTED_VALUE"""),"FORRO FINCAPINO CARVALHO EUROPEU WILD 20/6 X 400 X 5000MM")</f>
        <v>FORRO FINCAPINO CARVALHO EUROPEU WILD 20/6 X 400 X 5000MM</v>
      </c>
      <c r="H536" s="192" t="s">
        <v>623</v>
      </c>
      <c r="I536" s="182" t="str">
        <f t="shared" ca="1" si="4"/>
        <v/>
      </c>
      <c r="J536" s="193"/>
      <c r="K536" s="208" t="s">
        <v>2191</v>
      </c>
      <c r="L536" s="182" t="s">
        <v>624</v>
      </c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94"/>
      <c r="Z536" s="194"/>
      <c r="AA536" s="194"/>
    </row>
    <row r="537" spans="1:27" ht="15.6">
      <c r="A537" s="182"/>
      <c r="B537" s="182"/>
      <c r="C537" s="182"/>
      <c r="D537" s="182"/>
      <c r="E537" s="182"/>
      <c r="F537" s="208"/>
      <c r="G537" s="182" t="str">
        <f ca="1">IFERROR(__xludf.DUMMYFUNCTION("""COMPUTED_VALUE"""),"FORRO FINCAPINO CARVALHO EUROPEU NEVADO CHEVRON 15/3 X 1900X 740MM")</f>
        <v>FORRO FINCAPINO CARVALHO EUROPEU NEVADO CHEVRON 15/3 X 1900X 740MM</v>
      </c>
      <c r="H537" s="192" t="s">
        <v>624</v>
      </c>
      <c r="I537" s="182" t="str">
        <f t="shared" ca="1" si="4"/>
        <v/>
      </c>
      <c r="J537" s="193"/>
      <c r="K537" s="208" t="s">
        <v>2192</v>
      </c>
      <c r="L537" s="182" t="s">
        <v>625</v>
      </c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94"/>
      <c r="Z537" s="194"/>
      <c r="AA537" s="194"/>
    </row>
    <row r="538" spans="1:27" ht="15.6">
      <c r="A538" s="182"/>
      <c r="B538" s="182"/>
      <c r="C538" s="182"/>
      <c r="D538" s="182"/>
      <c r="E538" s="182"/>
      <c r="F538" s="208"/>
      <c r="G538" s="182" t="str">
        <f ca="1">IFERROR(__xludf.DUMMYFUNCTION("""COMPUTED_VALUE"""),"FORRO FINCAPINO CARVALHO EUROPEU NEVADO 15/3 X 125 X 1200MM")</f>
        <v>FORRO FINCAPINO CARVALHO EUROPEU NEVADO 15/3 X 125 X 1200MM</v>
      </c>
      <c r="H538" s="192" t="s">
        <v>625</v>
      </c>
      <c r="I538" s="182" t="str">
        <f t="shared" ca="1" si="4"/>
        <v/>
      </c>
      <c r="J538" s="193"/>
      <c r="K538" s="208" t="s">
        <v>2193</v>
      </c>
      <c r="L538" s="182" t="s">
        <v>626</v>
      </c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94"/>
      <c r="Z538" s="194"/>
      <c r="AA538" s="194"/>
    </row>
    <row r="539" spans="1:27" ht="15.6">
      <c r="A539" s="182"/>
      <c r="B539" s="182"/>
      <c r="C539" s="182"/>
      <c r="D539" s="182"/>
      <c r="E539" s="182"/>
      <c r="F539" s="208"/>
      <c r="G539" s="182" t="str">
        <f ca="1">IFERROR(__xludf.DUMMYFUNCTION("""COMPUTED_VALUE"""),"FORRO FINCAPINO CARVALHO EUROPEU NEVADO 15/3 X 190 X 1900MM")</f>
        <v>FORRO FINCAPINO CARVALHO EUROPEU NEVADO 15/3 X 190 X 1900MM</v>
      </c>
      <c r="H539" s="192" t="s">
        <v>626</v>
      </c>
      <c r="I539" s="182" t="str">
        <f t="shared" ca="1" si="4"/>
        <v/>
      </c>
      <c r="J539" s="193"/>
      <c r="K539" s="208" t="s">
        <v>2194</v>
      </c>
      <c r="L539" s="182" t="s">
        <v>627</v>
      </c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94"/>
      <c r="Z539" s="194"/>
      <c r="AA539" s="194"/>
    </row>
    <row r="540" spans="1:27" ht="15.6">
      <c r="A540" s="182"/>
      <c r="B540" s="182"/>
      <c r="C540" s="182"/>
      <c r="D540" s="182"/>
      <c r="E540" s="182"/>
      <c r="F540" s="208"/>
      <c r="G540" s="182" t="str">
        <f ca="1">IFERROR(__xludf.DUMMYFUNCTION("""COMPUTED_VALUE"""),"FORRO FINCAPINO CARVALHO EUROPEU NEVADO 20/6 X 300 X 4000MM")</f>
        <v>FORRO FINCAPINO CARVALHO EUROPEU NEVADO 20/6 X 300 X 4000MM</v>
      </c>
      <c r="H540" s="192" t="s">
        <v>627</v>
      </c>
      <c r="I540" s="182" t="str">
        <f t="shared" ca="1" si="4"/>
        <v/>
      </c>
      <c r="J540" s="193"/>
      <c r="K540" s="208" t="s">
        <v>2195</v>
      </c>
      <c r="L540" s="182" t="s">
        <v>628</v>
      </c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94"/>
      <c r="Z540" s="194"/>
      <c r="AA540" s="194"/>
    </row>
    <row r="541" spans="1:27" ht="15.6">
      <c r="A541" s="182"/>
      <c r="B541" s="182"/>
      <c r="C541" s="182"/>
      <c r="D541" s="182"/>
      <c r="E541" s="182"/>
      <c r="F541" s="208"/>
      <c r="G541" s="182" t="str">
        <f ca="1">IFERROR(__xludf.DUMMYFUNCTION("""COMPUTED_VALUE"""),"FORRO FINCAPINO CARVALHO EUROPEU NEVADO 20/6 X 400 X 5000MM")</f>
        <v>FORRO FINCAPINO CARVALHO EUROPEU NEVADO 20/6 X 400 X 5000MM</v>
      </c>
      <c r="H541" s="192" t="s">
        <v>628</v>
      </c>
      <c r="I541" s="182" t="str">
        <f t="shared" ca="1" si="4"/>
        <v/>
      </c>
      <c r="J541" s="193"/>
      <c r="K541" s="208" t="s">
        <v>2196</v>
      </c>
      <c r="L541" s="182" t="s">
        <v>629</v>
      </c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94"/>
      <c r="Z541" s="194"/>
      <c r="AA541" s="194"/>
    </row>
    <row r="542" spans="1:27" ht="15.6">
      <c r="A542" s="182"/>
      <c r="B542" s="182"/>
      <c r="C542" s="182"/>
      <c r="D542" s="182"/>
      <c r="E542" s="182"/>
      <c r="F542" s="208"/>
      <c r="G542" s="182" t="str">
        <f ca="1">IFERROR(__xludf.DUMMYFUNCTION("""COMPUTED_VALUE"""),"FORRO FINCAPINO CARVALHO EUROPEU CONCRETE GREY CHEVRON 15/3 X 1900X 740MM")</f>
        <v>FORRO FINCAPINO CARVALHO EUROPEU CONCRETE GREY CHEVRON 15/3 X 1900X 740MM</v>
      </c>
      <c r="H542" s="192" t="s">
        <v>629</v>
      </c>
      <c r="I542" s="182" t="str">
        <f t="shared" ca="1" si="4"/>
        <v/>
      </c>
      <c r="J542" s="193"/>
      <c r="K542" s="208" t="s">
        <v>2197</v>
      </c>
      <c r="L542" s="182" t="s">
        <v>630</v>
      </c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94"/>
      <c r="Z542" s="194"/>
      <c r="AA542" s="194"/>
    </row>
    <row r="543" spans="1:27" ht="15.6">
      <c r="A543" s="182"/>
      <c r="B543" s="182"/>
      <c r="C543" s="182"/>
      <c r="D543" s="182"/>
      <c r="E543" s="182"/>
      <c r="F543" s="208"/>
      <c r="G543" s="182" t="str">
        <f ca="1">IFERROR(__xludf.DUMMYFUNCTION("""COMPUTED_VALUE"""),"FORRO FINCAPINO CARVALHO EUROPEU CONCRETE GREY 15/3 X 125 X 1200MM")</f>
        <v>FORRO FINCAPINO CARVALHO EUROPEU CONCRETE GREY 15/3 X 125 X 1200MM</v>
      </c>
      <c r="H543" s="192" t="s">
        <v>630</v>
      </c>
      <c r="I543" s="182" t="str">
        <f t="shared" ca="1" si="4"/>
        <v/>
      </c>
      <c r="J543" s="193"/>
      <c r="K543" s="208" t="s">
        <v>2198</v>
      </c>
      <c r="L543" s="182" t="s">
        <v>631</v>
      </c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94"/>
      <c r="Z543" s="194"/>
      <c r="AA543" s="194"/>
    </row>
    <row r="544" spans="1:27" ht="15.6">
      <c r="A544" s="182"/>
      <c r="B544" s="182"/>
      <c r="C544" s="182"/>
      <c r="D544" s="182"/>
      <c r="E544" s="182"/>
      <c r="F544" s="208"/>
      <c r="G544" s="182" t="str">
        <f ca="1">IFERROR(__xludf.DUMMYFUNCTION("""COMPUTED_VALUE"""),"FORRO FINCAPINO CARVALHO EUROPEU CONCRETE GREY 15/3 X 190 X 1900MM")</f>
        <v>FORRO FINCAPINO CARVALHO EUROPEU CONCRETE GREY 15/3 X 190 X 1900MM</v>
      </c>
      <c r="H544" s="192" t="s">
        <v>631</v>
      </c>
      <c r="I544" s="182" t="str">
        <f t="shared" ca="1" si="4"/>
        <v/>
      </c>
      <c r="J544" s="193"/>
      <c r="K544" s="208" t="s">
        <v>2199</v>
      </c>
      <c r="L544" s="182" t="s">
        <v>632</v>
      </c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94"/>
      <c r="Z544" s="194"/>
      <c r="AA544" s="194"/>
    </row>
    <row r="545" spans="1:27" ht="15.6">
      <c r="A545" s="182"/>
      <c r="B545" s="182"/>
      <c r="C545" s="182"/>
      <c r="D545" s="182"/>
      <c r="E545" s="182"/>
      <c r="F545" s="208"/>
      <c r="G545" s="182" t="str">
        <f ca="1">IFERROR(__xludf.DUMMYFUNCTION("""COMPUTED_VALUE"""),"FORRO FINCAPINO CARVALHO EUROPEU CONCRETE GREY 20/6 X 300 X 4000MM")</f>
        <v>FORRO FINCAPINO CARVALHO EUROPEU CONCRETE GREY 20/6 X 300 X 4000MM</v>
      </c>
      <c r="H545" s="192" t="s">
        <v>632</v>
      </c>
      <c r="I545" s="182" t="str">
        <f t="shared" ca="1" si="4"/>
        <v/>
      </c>
      <c r="J545" s="193"/>
      <c r="K545" s="208" t="s">
        <v>2200</v>
      </c>
      <c r="L545" s="182" t="s">
        <v>633</v>
      </c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94"/>
      <c r="Z545" s="194"/>
      <c r="AA545" s="194"/>
    </row>
    <row r="546" spans="1:27" ht="15.6">
      <c r="A546" s="182"/>
      <c r="B546" s="182"/>
      <c r="C546" s="182"/>
      <c r="D546" s="182"/>
      <c r="E546" s="182"/>
      <c r="F546" s="208"/>
      <c r="G546" s="182" t="str">
        <f ca="1">IFERROR(__xludf.DUMMYFUNCTION("""COMPUTED_VALUE"""),"FORRO FINCAPINO CARVALHO EUROPEU CONCRETE GREY 20/6 X 400 X 5000MM")</f>
        <v>FORRO FINCAPINO CARVALHO EUROPEU CONCRETE GREY 20/6 X 400 X 5000MM</v>
      </c>
      <c r="H546" s="192" t="s">
        <v>633</v>
      </c>
      <c r="I546" s="182" t="str">
        <f t="shared" ca="1" si="4"/>
        <v/>
      </c>
      <c r="J546" s="193"/>
      <c r="K546" s="208" t="s">
        <v>2201</v>
      </c>
      <c r="L546" s="182" t="s">
        <v>634</v>
      </c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94"/>
      <c r="Z546" s="194"/>
      <c r="AA546" s="194"/>
    </row>
    <row r="547" spans="1:27" ht="15.6">
      <c r="A547" s="182"/>
      <c r="B547" s="182"/>
      <c r="C547" s="182"/>
      <c r="D547" s="182"/>
      <c r="E547" s="182"/>
      <c r="F547" s="208"/>
      <c r="G547" s="182" t="str">
        <f ca="1">IFERROR(__xludf.DUMMYFUNCTION("""COMPUTED_VALUE"""),"FORRO FINCAPINO CARVALHO EUROPEU ITALY BROWN CHEVRON 15/3 X 1900X 740MM")</f>
        <v>FORRO FINCAPINO CARVALHO EUROPEU ITALY BROWN CHEVRON 15/3 X 1900X 740MM</v>
      </c>
      <c r="H547" s="192" t="s">
        <v>634</v>
      </c>
      <c r="I547" s="182" t="str">
        <f t="shared" ca="1" si="4"/>
        <v/>
      </c>
      <c r="J547" s="193"/>
      <c r="K547" s="208" t="s">
        <v>2202</v>
      </c>
      <c r="L547" s="182" t="s">
        <v>635</v>
      </c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94"/>
      <c r="Z547" s="194"/>
      <c r="AA547" s="194"/>
    </row>
    <row r="548" spans="1:27" ht="15.6">
      <c r="A548" s="182"/>
      <c r="B548" s="182"/>
      <c r="C548" s="182"/>
      <c r="D548" s="182"/>
      <c r="E548" s="182"/>
      <c r="F548" s="208"/>
      <c r="G548" s="182" t="str">
        <f ca="1">IFERROR(__xludf.DUMMYFUNCTION("""COMPUTED_VALUE"""),"FORRO FINCAPINO CARVALHO EUROPEU ITALY BROWN 15/3 X 125 X 1200MM")</f>
        <v>FORRO FINCAPINO CARVALHO EUROPEU ITALY BROWN 15/3 X 125 X 1200MM</v>
      </c>
      <c r="H548" s="192" t="s">
        <v>635</v>
      </c>
      <c r="I548" s="182" t="str">
        <f t="shared" ca="1" si="4"/>
        <v/>
      </c>
      <c r="J548" s="193"/>
      <c r="K548" s="208" t="s">
        <v>2203</v>
      </c>
      <c r="L548" s="182" t="s">
        <v>636</v>
      </c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94"/>
      <c r="Z548" s="194"/>
      <c r="AA548" s="194"/>
    </row>
    <row r="549" spans="1:27" ht="15.6">
      <c r="A549" s="182"/>
      <c r="B549" s="182"/>
      <c r="C549" s="182"/>
      <c r="D549" s="182"/>
      <c r="E549" s="182"/>
      <c r="F549" s="208"/>
      <c r="G549" s="182" t="str">
        <f ca="1">IFERROR(__xludf.DUMMYFUNCTION("""COMPUTED_VALUE"""),"FORRO FINCAPINO CARVALHO EUROPEU ITALY BROWN 15/3 X 190 X 1900MM")</f>
        <v>FORRO FINCAPINO CARVALHO EUROPEU ITALY BROWN 15/3 X 190 X 1900MM</v>
      </c>
      <c r="H549" s="192" t="s">
        <v>636</v>
      </c>
      <c r="I549" s="182" t="str">
        <f t="shared" ca="1" si="4"/>
        <v/>
      </c>
      <c r="J549" s="193"/>
      <c r="K549" s="208" t="s">
        <v>2204</v>
      </c>
      <c r="L549" s="182" t="s">
        <v>637</v>
      </c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94"/>
      <c r="Z549" s="194"/>
      <c r="AA549" s="194"/>
    </row>
    <row r="550" spans="1:27" ht="15.6">
      <c r="A550" s="182"/>
      <c r="B550" s="182"/>
      <c r="C550" s="182"/>
      <c r="D550" s="182"/>
      <c r="E550" s="182"/>
      <c r="F550" s="208"/>
      <c r="G550" s="182" t="str">
        <f ca="1">IFERROR(__xludf.DUMMYFUNCTION("""COMPUTED_VALUE"""),"FORRO FINCAPINO CARVALHO EUROPEU ITALY BROWN 20/6 X 300 X 4000MM")</f>
        <v>FORRO FINCAPINO CARVALHO EUROPEU ITALY BROWN 20/6 X 300 X 4000MM</v>
      </c>
      <c r="H550" s="192" t="s">
        <v>637</v>
      </c>
      <c r="I550" s="182" t="str">
        <f t="shared" ca="1" si="4"/>
        <v/>
      </c>
      <c r="J550" s="193"/>
      <c r="K550" s="208" t="s">
        <v>2205</v>
      </c>
      <c r="L550" s="182" t="s">
        <v>638</v>
      </c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94"/>
      <c r="Z550" s="194"/>
      <c r="AA550" s="194"/>
    </row>
    <row r="551" spans="1:27" ht="15.6">
      <c r="A551" s="182"/>
      <c r="B551" s="182"/>
      <c r="C551" s="182"/>
      <c r="D551" s="182"/>
      <c r="E551" s="182"/>
      <c r="F551" s="208"/>
      <c r="G551" s="182" t="str">
        <f ca="1">IFERROR(__xludf.DUMMYFUNCTION("""COMPUTED_VALUE"""),"FORRO FINCAPINO CARVALHO EUROPEU ITALY BROWN 20/6 X 400 X 5000MM")</f>
        <v>FORRO FINCAPINO CARVALHO EUROPEU ITALY BROWN 20/6 X 400 X 5000MM</v>
      </c>
      <c r="H551" s="192" t="s">
        <v>638</v>
      </c>
      <c r="I551" s="182" t="str">
        <f t="shared" ca="1" si="4"/>
        <v/>
      </c>
      <c r="J551" s="193"/>
      <c r="K551" s="208" t="s">
        <v>2206</v>
      </c>
      <c r="L551" s="182" t="s">
        <v>639</v>
      </c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94"/>
      <c r="Z551" s="194"/>
      <c r="AA551" s="194"/>
    </row>
    <row r="552" spans="1:27" ht="15.6">
      <c r="A552" s="182"/>
      <c r="B552" s="182"/>
      <c r="C552" s="182"/>
      <c r="D552" s="182"/>
      <c r="E552" s="182"/>
      <c r="F552" s="208"/>
      <c r="G552" s="182" t="str">
        <f ca="1">IFERROR(__xludf.DUMMYFUNCTION("""COMPUTED_VALUE"""),"FORRO FINCAPINO CARVALHO EUROPEU ALL BLACK CHEVRON 15/3 X 1900X 740MM")</f>
        <v>FORRO FINCAPINO CARVALHO EUROPEU ALL BLACK CHEVRON 15/3 X 1900X 740MM</v>
      </c>
      <c r="H552" s="192" t="s">
        <v>639</v>
      </c>
      <c r="I552" s="182" t="str">
        <f t="shared" ca="1" si="4"/>
        <v/>
      </c>
      <c r="J552" s="193"/>
      <c r="K552" s="208" t="s">
        <v>2207</v>
      </c>
      <c r="L552" s="182" t="s">
        <v>640</v>
      </c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94"/>
      <c r="Z552" s="194"/>
      <c r="AA552" s="194"/>
    </row>
    <row r="553" spans="1:27" ht="15.6">
      <c r="A553" s="182"/>
      <c r="B553" s="182"/>
      <c r="C553" s="182"/>
      <c r="D553" s="182"/>
      <c r="E553" s="182"/>
      <c r="F553" s="208"/>
      <c r="G553" s="182" t="str">
        <f ca="1">IFERROR(__xludf.DUMMYFUNCTION("""COMPUTED_VALUE"""),"FORRO FINCAPINO CARVALHO EUROPEU ALL BLACK 15/3 X 125 X 1200MM")</f>
        <v>FORRO FINCAPINO CARVALHO EUROPEU ALL BLACK 15/3 X 125 X 1200MM</v>
      </c>
      <c r="H553" s="192" t="s">
        <v>640</v>
      </c>
      <c r="I553" s="182" t="str">
        <f t="shared" ca="1" si="4"/>
        <v/>
      </c>
      <c r="J553" s="193"/>
      <c r="K553" s="208" t="s">
        <v>2208</v>
      </c>
      <c r="L553" s="182" t="s">
        <v>641</v>
      </c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94"/>
      <c r="Z553" s="194"/>
      <c r="AA553" s="194"/>
    </row>
    <row r="554" spans="1:27" ht="15.6">
      <c r="A554" s="182"/>
      <c r="B554" s="182"/>
      <c r="C554" s="182"/>
      <c r="D554" s="182"/>
      <c r="E554" s="182"/>
      <c r="F554" s="208"/>
      <c r="G554" s="182" t="str">
        <f ca="1">IFERROR(__xludf.DUMMYFUNCTION("""COMPUTED_VALUE"""),"FORRO FINCAPINO CARVALHO EUROPEU BLACK CHEVRON TG 15/3 X 125 X 775CM")</f>
        <v>FORRO FINCAPINO CARVALHO EUROPEU BLACK CHEVRON TG 15/3 X 125 X 775CM</v>
      </c>
      <c r="H554" s="192" t="s">
        <v>641</v>
      </c>
      <c r="I554" s="182" t="str">
        <f t="shared" ca="1" si="4"/>
        <v/>
      </c>
      <c r="J554" s="193"/>
      <c r="K554" s="208" t="s">
        <v>2209</v>
      </c>
      <c r="L554" s="182" t="s">
        <v>642</v>
      </c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94"/>
      <c r="Z554" s="194"/>
      <c r="AA554" s="194"/>
    </row>
    <row r="555" spans="1:27" ht="15.6">
      <c r="A555" s="182"/>
      <c r="B555" s="182"/>
      <c r="C555" s="182"/>
      <c r="D555" s="182"/>
      <c r="E555" s="182"/>
      <c r="F555" s="208"/>
      <c r="G555" s="182" t="str">
        <f ca="1">IFERROR(__xludf.DUMMYFUNCTION("""COMPUTED_VALUE"""),"FORRO FINCAPINO CARVALHO EUROPEU ALL BLACK 15/3 X 190 X 1900MM")</f>
        <v>FORRO FINCAPINO CARVALHO EUROPEU ALL BLACK 15/3 X 190 X 1900MM</v>
      </c>
      <c r="H555" s="192" t="s">
        <v>642</v>
      </c>
      <c r="I555" s="182" t="str">
        <f t="shared" ca="1" si="4"/>
        <v/>
      </c>
      <c r="J555" s="193"/>
      <c r="K555" s="208" t="s">
        <v>2210</v>
      </c>
      <c r="L555" s="182" t="s">
        <v>643</v>
      </c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94"/>
      <c r="Z555" s="194"/>
      <c r="AA555" s="194"/>
    </row>
    <row r="556" spans="1:27" ht="15.6">
      <c r="A556" s="182"/>
      <c r="B556" s="182"/>
      <c r="C556" s="182"/>
      <c r="D556" s="182"/>
      <c r="E556" s="182"/>
      <c r="F556" s="208"/>
      <c r="G556" s="182" t="str">
        <f ca="1">IFERROR(__xludf.DUMMYFUNCTION("""COMPUTED_VALUE"""),"FORRO FINCAPINO CARVALHO EUROPEU ALL BLACK 20/6 X 300 X 4000MM")</f>
        <v>FORRO FINCAPINO CARVALHO EUROPEU ALL BLACK 20/6 X 300 X 4000MM</v>
      </c>
      <c r="H556" s="192" t="s">
        <v>643</v>
      </c>
      <c r="I556" s="182" t="str">
        <f t="shared" ca="1" si="4"/>
        <v/>
      </c>
      <c r="J556" s="193"/>
      <c r="K556" s="208" t="s">
        <v>2211</v>
      </c>
      <c r="L556" s="182" t="s">
        <v>644</v>
      </c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94"/>
      <c r="Z556" s="194"/>
      <c r="AA556" s="194"/>
    </row>
    <row r="557" spans="1:27" ht="15.6">
      <c r="A557" s="182"/>
      <c r="B557" s="182"/>
      <c r="C557" s="182"/>
      <c r="D557" s="182"/>
      <c r="E557" s="182"/>
      <c r="F557" s="208"/>
      <c r="G557" s="182" t="str">
        <f ca="1">IFERROR(__xludf.DUMMYFUNCTION("""COMPUTED_VALUE"""),"FORRO FINCAPINO CARVALHO EUROPEU ALL BLACK 20/6 X 400 X 5000MM")</f>
        <v>FORRO FINCAPINO CARVALHO EUROPEU ALL BLACK 20/6 X 400 X 5000MM</v>
      </c>
      <c r="H557" s="192" t="s">
        <v>644</v>
      </c>
      <c r="I557" s="182" t="str">
        <f t="shared" ca="1" si="4"/>
        <v/>
      </c>
      <c r="J557" s="193"/>
      <c r="K557" s="208" t="s">
        <v>2212</v>
      </c>
      <c r="L557" s="182" t="s">
        <v>645</v>
      </c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94"/>
      <c r="Z557" s="194"/>
      <c r="AA557" s="194"/>
    </row>
    <row r="558" spans="1:27" ht="15.6">
      <c r="A558" s="182"/>
      <c r="B558" s="182"/>
      <c r="C558" s="182"/>
      <c r="D558" s="182"/>
      <c r="E558" s="182"/>
      <c r="F558" s="208"/>
      <c r="G558" s="182" t="str">
        <f ca="1">IFERROR(__xludf.DUMMYFUNCTION("""COMPUTED_VALUE"""),"FORRO FINCAPINO CARVALHO EUROPEU URBAN GREY CHEVRON 15/3 X 1900X 740MM")</f>
        <v>FORRO FINCAPINO CARVALHO EUROPEU URBAN GREY CHEVRON 15/3 X 1900X 740MM</v>
      </c>
      <c r="H558" s="192" t="s">
        <v>645</v>
      </c>
      <c r="I558" s="182" t="str">
        <f t="shared" ca="1" si="4"/>
        <v/>
      </c>
      <c r="J558" s="193"/>
      <c r="K558" s="208" t="s">
        <v>2213</v>
      </c>
      <c r="L558" s="182" t="s">
        <v>646</v>
      </c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94"/>
      <c r="Z558" s="194"/>
      <c r="AA558" s="194"/>
    </row>
    <row r="559" spans="1:27" ht="15.6">
      <c r="A559" s="182"/>
      <c r="B559" s="182"/>
      <c r="C559" s="182"/>
      <c r="D559" s="182"/>
      <c r="E559" s="182"/>
      <c r="F559" s="208"/>
      <c r="G559" s="182" t="str">
        <f ca="1">IFERROR(__xludf.DUMMYFUNCTION("""COMPUTED_VALUE"""),"FORRO FINCAPINO CARVALHO EUROPEU URBAN GREY 15/3 X 125 X 1200MM")</f>
        <v>FORRO FINCAPINO CARVALHO EUROPEU URBAN GREY 15/3 X 125 X 1200MM</v>
      </c>
      <c r="H559" s="192" t="s">
        <v>646</v>
      </c>
      <c r="I559" s="182" t="str">
        <f t="shared" ca="1" si="4"/>
        <v/>
      </c>
      <c r="J559" s="193"/>
      <c r="K559" s="208" t="s">
        <v>2214</v>
      </c>
      <c r="L559" s="182" t="s">
        <v>647</v>
      </c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94"/>
      <c r="Z559" s="194"/>
      <c r="AA559" s="194"/>
    </row>
    <row r="560" spans="1:27" ht="15.6">
      <c r="A560" s="182"/>
      <c r="B560" s="182"/>
      <c r="C560" s="182"/>
      <c r="D560" s="182"/>
      <c r="E560" s="182"/>
      <c r="F560" s="208"/>
      <c r="G560" s="182" t="str">
        <f ca="1">IFERROR(__xludf.DUMMYFUNCTION("""COMPUTED_VALUE"""),"FORRO FINCAPINO CARVALHO EUROPEU URBAN GREY 15/3 X 190 X 1900MM")</f>
        <v>FORRO FINCAPINO CARVALHO EUROPEU URBAN GREY 15/3 X 190 X 1900MM</v>
      </c>
      <c r="H560" s="192" t="s">
        <v>647</v>
      </c>
      <c r="I560" s="182" t="str">
        <f t="shared" ca="1" si="4"/>
        <v/>
      </c>
      <c r="J560" s="193"/>
      <c r="K560" s="208" t="s">
        <v>2215</v>
      </c>
      <c r="L560" s="182" t="s">
        <v>648</v>
      </c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94"/>
      <c r="Z560" s="194"/>
      <c r="AA560" s="194"/>
    </row>
    <row r="561" spans="1:27" ht="15.6">
      <c r="A561" s="182"/>
      <c r="B561" s="182"/>
      <c r="C561" s="182"/>
      <c r="D561" s="182"/>
      <c r="E561" s="182"/>
      <c r="F561" s="208"/>
      <c r="G561" s="182" t="str">
        <f ca="1">IFERROR(__xludf.DUMMYFUNCTION("""COMPUTED_VALUE"""),"FORRO FINCAPINO CARVALHO EUROPEU URBAN GREY 20/6 X 300 X 4000MM")</f>
        <v>FORRO FINCAPINO CARVALHO EUROPEU URBAN GREY 20/6 X 300 X 4000MM</v>
      </c>
      <c r="H561" s="192" t="s">
        <v>648</v>
      </c>
      <c r="I561" s="182" t="str">
        <f t="shared" ca="1" si="4"/>
        <v/>
      </c>
      <c r="J561" s="193"/>
      <c r="K561" s="208" t="s">
        <v>2216</v>
      </c>
      <c r="L561" s="182" t="s">
        <v>649</v>
      </c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94"/>
      <c r="Z561" s="194"/>
      <c r="AA561" s="194"/>
    </row>
    <row r="562" spans="1:27" ht="15.6">
      <c r="A562" s="182"/>
      <c r="B562" s="182"/>
      <c r="C562" s="182"/>
      <c r="D562" s="182"/>
      <c r="E562" s="182"/>
      <c r="F562" s="208"/>
      <c r="G562" s="182" t="str">
        <f ca="1">IFERROR(__xludf.DUMMYFUNCTION("""COMPUTED_VALUE"""),"FORRO FINCAPINO CARVALHO EUROPEU URBAN GREY 20/6 X 400 X 5000MM")</f>
        <v>FORRO FINCAPINO CARVALHO EUROPEU URBAN GREY 20/6 X 400 X 5000MM</v>
      </c>
      <c r="H562" s="192" t="s">
        <v>649</v>
      </c>
      <c r="I562" s="182" t="str">
        <f t="shared" ca="1" si="4"/>
        <v/>
      </c>
      <c r="J562" s="193"/>
      <c r="K562" s="208" t="s">
        <v>2217</v>
      </c>
      <c r="L562" s="182" t="s">
        <v>650</v>
      </c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94"/>
      <c r="Z562" s="194"/>
      <c r="AA562" s="194"/>
    </row>
    <row r="563" spans="1:27" ht="15.6">
      <c r="A563" s="182"/>
      <c r="B563" s="182"/>
      <c r="C563" s="182"/>
      <c r="D563" s="182"/>
      <c r="E563" s="182"/>
      <c r="F563" s="208"/>
      <c r="G563" s="182" t="str">
        <f ca="1">IFERROR(__xludf.DUMMYFUNCTION("""COMPUTED_VALUE"""),"FORRO FINCAPINO CARVALHO EUROPEU CARAMEL CHEVRON 15/3 X 1900X 740MM")</f>
        <v>FORRO FINCAPINO CARVALHO EUROPEU CARAMEL CHEVRON 15/3 X 1900X 740MM</v>
      </c>
      <c r="H563" s="192" t="s">
        <v>650</v>
      </c>
      <c r="I563" s="182" t="str">
        <f t="shared" ca="1" si="4"/>
        <v/>
      </c>
      <c r="J563" s="193"/>
      <c r="K563" s="208" t="s">
        <v>2218</v>
      </c>
      <c r="L563" s="182" t="s">
        <v>651</v>
      </c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94"/>
      <c r="Z563" s="194"/>
      <c r="AA563" s="194"/>
    </row>
    <row r="564" spans="1:27" ht="15.6">
      <c r="A564" s="182"/>
      <c r="B564" s="182"/>
      <c r="C564" s="182"/>
      <c r="D564" s="182"/>
      <c r="E564" s="182"/>
      <c r="F564" s="208"/>
      <c r="G564" s="182" t="str">
        <f ca="1">IFERROR(__xludf.DUMMYFUNCTION("""COMPUTED_VALUE"""),"FORRO FINCAPINO CARVALHO EUROPEU CARAMEL 15/3 X 125 X 1200MM")</f>
        <v>FORRO FINCAPINO CARVALHO EUROPEU CARAMEL 15/3 X 125 X 1200MM</v>
      </c>
      <c r="H564" s="192" t="s">
        <v>651</v>
      </c>
      <c r="I564" s="182" t="str">
        <f t="shared" ca="1" si="4"/>
        <v/>
      </c>
      <c r="J564" s="193"/>
      <c r="K564" s="208" t="s">
        <v>2219</v>
      </c>
      <c r="L564" s="182" t="s">
        <v>652</v>
      </c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94"/>
      <c r="Z564" s="194"/>
      <c r="AA564" s="194"/>
    </row>
    <row r="565" spans="1:27" ht="15.6">
      <c r="A565" s="182"/>
      <c r="B565" s="182"/>
      <c r="C565" s="182"/>
      <c r="D565" s="182"/>
      <c r="E565" s="182"/>
      <c r="F565" s="208"/>
      <c r="G565" s="182" t="str">
        <f ca="1">IFERROR(__xludf.DUMMYFUNCTION("""COMPUTED_VALUE"""),"FORRO FINCAPINO CARVALHO EUROPEU CARAMEL 15/3 X 190 X 1900MM")</f>
        <v>FORRO FINCAPINO CARVALHO EUROPEU CARAMEL 15/3 X 190 X 1900MM</v>
      </c>
      <c r="H565" s="192" t="s">
        <v>652</v>
      </c>
      <c r="I565" s="182" t="str">
        <f t="shared" ca="1" si="4"/>
        <v/>
      </c>
      <c r="J565" s="193"/>
      <c r="K565" s="208" t="s">
        <v>2220</v>
      </c>
      <c r="L565" s="182" t="s">
        <v>653</v>
      </c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94"/>
      <c r="Z565" s="194"/>
      <c r="AA565" s="194"/>
    </row>
    <row r="566" spans="1:27" ht="15.6">
      <c r="A566" s="182"/>
      <c r="B566" s="182"/>
      <c r="C566" s="182"/>
      <c r="D566" s="182"/>
      <c r="E566" s="182"/>
      <c r="F566" s="208"/>
      <c r="G566" s="182" t="str">
        <f ca="1">IFERROR(__xludf.DUMMYFUNCTION("""COMPUTED_VALUE"""),"FORRO FINCAPINO CARVALHO EUROPEU CARAMEL 20/6 X 300 X 4000MM")</f>
        <v>FORRO FINCAPINO CARVALHO EUROPEU CARAMEL 20/6 X 300 X 4000MM</v>
      </c>
      <c r="H566" s="192" t="s">
        <v>653</v>
      </c>
      <c r="I566" s="182" t="str">
        <f t="shared" ca="1" si="4"/>
        <v/>
      </c>
      <c r="J566" s="193"/>
      <c r="K566" s="208" t="s">
        <v>2221</v>
      </c>
      <c r="L566" s="182" t="s">
        <v>654</v>
      </c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94"/>
      <c r="Z566" s="194"/>
      <c r="AA566" s="194"/>
    </row>
    <row r="567" spans="1:27" ht="15.6">
      <c r="A567" s="182"/>
      <c r="B567" s="182"/>
      <c r="C567" s="182"/>
      <c r="D567" s="182"/>
      <c r="E567" s="182"/>
      <c r="F567" s="208"/>
      <c r="G567" s="182" t="str">
        <f ca="1">IFERROR(__xludf.DUMMYFUNCTION("""COMPUTED_VALUE"""),"FORRO FINCAPINO CARVALHO EUROPEU CARAMEL 20/6 X 400 X 5000MM")</f>
        <v>FORRO FINCAPINO CARVALHO EUROPEU CARAMEL 20/6 X 400 X 5000MM</v>
      </c>
      <c r="H567" s="192" t="s">
        <v>654</v>
      </c>
      <c r="I567" s="182" t="str">
        <f t="shared" ca="1" si="4"/>
        <v/>
      </c>
      <c r="J567" s="193"/>
      <c r="K567" s="208" t="s">
        <v>2222</v>
      </c>
      <c r="L567" s="182" t="s">
        <v>655</v>
      </c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94"/>
      <c r="Z567" s="194"/>
      <c r="AA567" s="194"/>
    </row>
    <row r="568" spans="1:27" ht="15.6">
      <c r="A568" s="182"/>
      <c r="B568" s="182"/>
      <c r="C568" s="182"/>
      <c r="D568" s="182"/>
      <c r="E568" s="182"/>
      <c r="F568" s="208"/>
      <c r="G568" s="182" t="str">
        <f ca="1">IFERROR(__xludf.DUMMYFUNCTION("""COMPUTED_VALUE"""),"FORRO FINCAPINO CARVALHO EUROPEU CHEMICAL CHEVRON TG 15/3*190*740MM")</f>
        <v>FORRO FINCAPINO CARVALHO EUROPEU CHEMICAL CHEVRON TG 15/3*190*740MM</v>
      </c>
      <c r="H568" s="192" t="s">
        <v>655</v>
      </c>
      <c r="I568" s="182" t="str">
        <f t="shared" ca="1" si="4"/>
        <v/>
      </c>
      <c r="J568" s="193"/>
      <c r="K568" s="208" t="s">
        <v>2223</v>
      </c>
      <c r="L568" s="182" t="s">
        <v>656</v>
      </c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94"/>
      <c r="Z568" s="194"/>
      <c r="AA568" s="194"/>
    </row>
    <row r="569" spans="1:27" ht="15.6">
      <c r="A569" s="182"/>
      <c r="B569" s="182"/>
      <c r="C569" s="182"/>
      <c r="D569" s="182"/>
      <c r="E569" s="182"/>
      <c r="F569" s="208"/>
      <c r="G569" s="182" t="str">
        <f ca="1">IFERROR(__xludf.DUMMYFUNCTION("""COMPUTED_VALUE"""),"FORRO FINCAPINO CARVALHO EUROPEU WHITE RUSTIC 15/4*189*1860MM")</f>
        <v>FORRO FINCAPINO CARVALHO EUROPEU WHITE RUSTIC 15/4*189*1860MM</v>
      </c>
      <c r="H569" s="192" t="s">
        <v>656</v>
      </c>
      <c r="I569" s="182" t="str">
        <f t="shared" ca="1" si="4"/>
        <v/>
      </c>
      <c r="J569" s="193"/>
      <c r="K569" s="208" t="s">
        <v>2224</v>
      </c>
      <c r="L569" s="182" t="s">
        <v>657</v>
      </c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94"/>
      <c r="Z569" s="194"/>
      <c r="AA569" s="194"/>
    </row>
    <row r="570" spans="1:27" ht="15.6">
      <c r="A570" s="182"/>
      <c r="B570" s="182"/>
      <c r="C570" s="182"/>
      <c r="D570" s="182"/>
      <c r="E570" s="182"/>
      <c r="F570" s="208"/>
      <c r="G570" s="182" t="str">
        <f ca="1">IFERROR(__xludf.DUMMYFUNCTION("""COMPUTED_VALUE"""),"FORRO FINCAPINO CARVALHO EUROPEU CUSTOMIZADO 14/3 X 12,7 X 186CM")</f>
        <v>FORRO FINCAPINO CARVALHO EUROPEU CUSTOMIZADO 14/3 X 12,7 X 186CM</v>
      </c>
      <c r="H570" s="192" t="s">
        <v>657</v>
      </c>
      <c r="I570" s="182" t="str">
        <f t="shared" ca="1" si="4"/>
        <v/>
      </c>
      <c r="J570" s="193"/>
      <c r="K570" s="208" t="s">
        <v>2225</v>
      </c>
      <c r="L570" s="182" t="s">
        <v>658</v>
      </c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94"/>
      <c r="Z570" s="194"/>
      <c r="AA570" s="194"/>
    </row>
    <row r="571" spans="1:27" ht="15.6">
      <c r="A571" s="182"/>
      <c r="B571" s="182"/>
      <c r="C571" s="182"/>
      <c r="D571" s="182"/>
      <c r="E571" s="182"/>
      <c r="F571" s="208"/>
      <c r="G571" s="182" t="str">
        <f ca="1">IFERROR(__xludf.DUMMYFUNCTION("""COMPUTED_VALUE"""),"FORRO FINCAPINO CARVALHO EUROPEU CUSTOMIZADO 2.0 X 19 X 190CM (C2)")</f>
        <v>FORRO FINCAPINO CARVALHO EUROPEU CUSTOMIZADO 2.0 X 19 X 190CM (C2)</v>
      </c>
      <c r="H571" s="192" t="s">
        <v>658</v>
      </c>
      <c r="I571" s="182" t="str">
        <f t="shared" ca="1" si="4"/>
        <v/>
      </c>
      <c r="J571" s="193"/>
      <c r="K571" s="208" t="s">
        <v>2226</v>
      </c>
      <c r="L571" s="182" t="s">
        <v>659</v>
      </c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94"/>
      <c r="Z571" s="194"/>
      <c r="AA571" s="194"/>
    </row>
    <row r="572" spans="1:27" ht="15.6">
      <c r="A572" s="182"/>
      <c r="B572" s="182"/>
      <c r="C572" s="182"/>
      <c r="D572" s="182"/>
      <c r="E572" s="182"/>
      <c r="F572" s="208"/>
      <c r="G572" s="182" t="str">
        <f ca="1">IFERROR(__xludf.DUMMYFUNCTION("""COMPUTED_VALUE"""),"FORRO FINCAPINO CARVALHO EUROPEU NATURAL CHEVRON TG 1.5/3 X 9X 51CM")</f>
        <v>FORRO FINCAPINO CARVALHO EUROPEU NATURAL CHEVRON TG 1.5/3 X 9X 51CM</v>
      </c>
      <c r="H572" s="192" t="s">
        <v>659</v>
      </c>
      <c r="I572" s="182" t="str">
        <f t="shared" ca="1" si="4"/>
        <v/>
      </c>
      <c r="J572" s="193"/>
      <c r="K572" s="208" t="s">
        <v>2227</v>
      </c>
      <c r="L572" s="182" t="s">
        <v>660</v>
      </c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94"/>
      <c r="Z572" s="194"/>
      <c r="AA572" s="194"/>
    </row>
    <row r="573" spans="1:27" ht="15.6">
      <c r="A573" s="182"/>
      <c r="B573" s="182"/>
      <c r="C573" s="182"/>
      <c r="D573" s="182"/>
      <c r="E573" s="182"/>
      <c r="F573" s="208"/>
      <c r="G573" s="182" t="str">
        <f ca="1">IFERROR(__xludf.DUMMYFUNCTION("""COMPUTED_VALUE"""),"FORRO FINCAPINO CARVALHO EUROPEU NATURAL CHEVRON TG 1.5/3 X 9X 51CM")</f>
        <v>FORRO FINCAPINO CARVALHO EUROPEU NATURAL CHEVRON TG 1.5/3 X 9X 51CM</v>
      </c>
      <c r="H573" s="192" t="s">
        <v>660</v>
      </c>
      <c r="I573" s="182" t="str">
        <f t="shared" ca="1" si="4"/>
        <v/>
      </c>
      <c r="J573" s="193"/>
      <c r="K573" s="208" t="s">
        <v>2228</v>
      </c>
      <c r="L573" s="182" t="s">
        <v>660</v>
      </c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94"/>
      <c r="Z573" s="194"/>
      <c r="AA573" s="194"/>
    </row>
    <row r="574" spans="1:27" ht="15.6">
      <c r="A574" s="182"/>
      <c r="B574" s="182"/>
      <c r="C574" s="182"/>
      <c r="D574" s="182"/>
      <c r="E574" s="182"/>
      <c r="F574" s="208"/>
      <c r="G574" s="182" t="str">
        <f ca="1">IFERROR(__xludf.DUMMYFUNCTION("""COMPUTED_VALUE"""),"FORRO FINCAPINO CARVALHO EUROPEU NUDE CHEVRON 60.. TG 15/3 X 190 X 90CM")</f>
        <v>FORRO FINCAPINO CARVALHO EUROPEU NUDE CHEVRON 60.. TG 15/3 X 190 X 90CM</v>
      </c>
      <c r="H574" s="192" t="s">
        <v>660</v>
      </c>
      <c r="I574" s="182" t="str">
        <f t="shared" ca="1" si="4"/>
        <v/>
      </c>
      <c r="J574" s="193"/>
      <c r="K574" s="208" t="s">
        <v>2229</v>
      </c>
      <c r="L574" s="182" t="s">
        <v>662</v>
      </c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94"/>
      <c r="Z574" s="194"/>
      <c r="AA574" s="194"/>
    </row>
    <row r="575" spans="1:27" ht="15.6">
      <c r="A575" s="182"/>
      <c r="B575" s="182"/>
      <c r="C575" s="182"/>
      <c r="D575" s="182"/>
      <c r="E575" s="182"/>
      <c r="F575" s="208"/>
      <c r="G575" s="182" t="str">
        <f ca="1">IFERROR(__xludf.DUMMYFUNCTION("""COMPUTED_VALUE"""),"FORRO FINCAPINO CARVALHO EUROPEU NUDE CHEVRON TG 1.5/3X 12.5X 63CM")</f>
        <v>FORRO FINCAPINO CARVALHO EUROPEU NUDE CHEVRON TG 1.5/3X 12.5X 63CM</v>
      </c>
      <c r="H575" s="192" t="s">
        <v>662</v>
      </c>
      <c r="I575" s="182" t="str">
        <f t="shared" ca="1" si="4"/>
        <v/>
      </c>
      <c r="J575" s="193"/>
      <c r="K575" s="208" t="s">
        <v>2230</v>
      </c>
      <c r="L575" s="182" t="s">
        <v>663</v>
      </c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94"/>
      <c r="Z575" s="194"/>
      <c r="AA575" s="194"/>
    </row>
    <row r="576" spans="1:27" ht="15.6">
      <c r="A576" s="182"/>
      <c r="B576" s="182"/>
      <c r="C576" s="182"/>
      <c r="D576" s="182"/>
      <c r="E576" s="182"/>
      <c r="F576" s="208"/>
      <c r="G576" s="182" t="str">
        <f ca="1">IFERROR(__xludf.DUMMYFUNCTION("""COMPUTED_VALUE"""),"FORRO FINCAPINO WALNUT 15/3 X 125 X 910MM")</f>
        <v>FORRO FINCAPINO WALNUT 15/3 X 125 X 910MM</v>
      </c>
      <c r="H576" s="192" t="s">
        <v>663</v>
      </c>
      <c r="I576" s="182" t="str">
        <f t="shared" ca="1" si="4"/>
        <v/>
      </c>
      <c r="J576" s="193"/>
      <c r="K576" s="208" t="s">
        <v>2231</v>
      </c>
      <c r="L576" s="182" t="s">
        <v>664</v>
      </c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94"/>
      <c r="Z576" s="194"/>
      <c r="AA576" s="194"/>
    </row>
    <row r="577" spans="1:27" ht="15.6">
      <c r="A577" s="182"/>
      <c r="B577" s="182"/>
      <c r="C577" s="182"/>
      <c r="D577" s="182"/>
      <c r="E577" s="182"/>
      <c r="F577" s="208"/>
      <c r="G577" s="182" t="str">
        <f ca="1">IFERROR(__xludf.DUMMYFUNCTION("""COMPUTED_VALUE"""),"FORRO FINCAPINO WALNUT 15/3 X 190 X 1900MM")</f>
        <v>FORRO FINCAPINO WALNUT 15/3 X 190 X 1900MM</v>
      </c>
      <c r="H577" s="192" t="s">
        <v>664</v>
      </c>
      <c r="I577" s="182" t="str">
        <f t="shared" ca="1" si="4"/>
        <v/>
      </c>
      <c r="J577" s="193"/>
      <c r="K577" s="208" t="s">
        <v>2232</v>
      </c>
      <c r="L577" s="182" t="s">
        <v>665</v>
      </c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94"/>
      <c r="Z577" s="194"/>
      <c r="AA577" s="194"/>
    </row>
    <row r="578" spans="1:27" ht="15.6">
      <c r="A578" s="182"/>
      <c r="B578" s="182"/>
      <c r="C578" s="182"/>
      <c r="D578" s="182"/>
      <c r="E578" s="182"/>
      <c r="F578" s="208"/>
      <c r="G578" s="182" t="str">
        <f ca="1">IFERROR(__xludf.DUMMYFUNCTION("""COMPUTED_VALUE"""),"FORRO FINCAPINO WALNUT 20/2 X 300 X 4000MM")</f>
        <v>FORRO FINCAPINO WALNUT 20/2 X 300 X 4000MM</v>
      </c>
      <c r="H578" s="192" t="s">
        <v>665</v>
      </c>
      <c r="I578" s="182" t="str">
        <f t="shared" ca="1" si="4"/>
        <v/>
      </c>
      <c r="J578" s="193"/>
      <c r="K578" s="208" t="s">
        <v>2233</v>
      </c>
      <c r="L578" s="182" t="s">
        <v>666</v>
      </c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94"/>
      <c r="Z578" s="194"/>
      <c r="AA578" s="194"/>
    </row>
    <row r="579" spans="1:27" ht="15.6">
      <c r="A579" s="182"/>
      <c r="B579" s="182"/>
      <c r="C579" s="182"/>
      <c r="D579" s="182"/>
      <c r="E579" s="182"/>
      <c r="F579" s="208"/>
      <c r="G579" s="182" t="str">
        <f ca="1">IFERROR(__xludf.DUMMYFUNCTION("""COMPUTED_VALUE"""),"FORRO FINCAPINO BAMBU ALTA DENS. CUST PREMIUM TG 1.5/4 X19X185CM")</f>
        <v>FORRO FINCAPINO BAMBU ALTA DENS. CUST PREMIUM TG 1.5/4 X19X185CM</v>
      </c>
      <c r="H579" s="192" t="s">
        <v>666</v>
      </c>
      <c r="I579" s="182" t="str">
        <f t="shared" ca="1" si="4"/>
        <v/>
      </c>
      <c r="J579" s="193"/>
      <c r="K579" s="208" t="s">
        <v>2234</v>
      </c>
      <c r="L579" s="182" t="s">
        <v>667</v>
      </c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94"/>
      <c r="Z579" s="194"/>
      <c r="AA579" s="194"/>
    </row>
    <row r="580" spans="1:27" ht="15.6">
      <c r="A580" s="182"/>
      <c r="B580" s="182"/>
      <c r="C580" s="182"/>
      <c r="D580" s="182"/>
      <c r="E580" s="182"/>
      <c r="F580" s="208"/>
      <c r="G580" s="182" t="str">
        <f ca="1">IFERROR(__xludf.DUMMYFUNCTION("""COMPUTED_VALUE"""),"FORRO FINCAPINO BAMBU CARAMEL ALTA DENSIDADE TG 1.5/4 X19X186CM")</f>
        <v>FORRO FINCAPINO BAMBU CARAMEL ALTA DENSIDADE TG 1.5/4 X19X186CM</v>
      </c>
      <c r="H580" s="192" t="s">
        <v>667</v>
      </c>
      <c r="I580" s="182" t="str">
        <f t="shared" ca="1" si="4"/>
        <v/>
      </c>
      <c r="J580" s="193"/>
      <c r="K580" s="208" t="s">
        <v>2235</v>
      </c>
      <c r="L580" s="182" t="s">
        <v>668</v>
      </c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94"/>
      <c r="Z580" s="194"/>
      <c r="AA580" s="194"/>
    </row>
    <row r="581" spans="1:27" ht="15.6">
      <c r="A581" s="182"/>
      <c r="B581" s="182"/>
      <c r="C581" s="182"/>
      <c r="D581" s="182"/>
      <c r="E581" s="182"/>
      <c r="F581" s="208"/>
      <c r="G581" s="182" t="str">
        <f ca="1">IFERROR(__xludf.DUMMYFUNCTION("""COMPUTED_VALUE"""),"FORRO FINCAPINO RIPADO CUMARU PREMIUM TG 1,8 X 3,5+0,5CM PROF. BIT 0")</f>
        <v>FORRO FINCAPINO RIPADO CUMARU PREMIUM TG 1,8 X 3,5+0,5CM PROF. BIT 0</v>
      </c>
      <c r="H581" s="192" t="s">
        <v>668</v>
      </c>
      <c r="I581" s="182" t="str">
        <f t="shared" ca="1" si="4"/>
        <v/>
      </c>
      <c r="J581" s="193"/>
      <c r="K581" s="208" t="s">
        <v>2236</v>
      </c>
      <c r="L581" s="182" t="s">
        <v>676</v>
      </c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94"/>
      <c r="Z581" s="194"/>
      <c r="AA581" s="194"/>
    </row>
    <row r="582" spans="1:27" ht="15.6">
      <c r="A582" s="182"/>
      <c r="B582" s="182"/>
      <c r="C582" s="182"/>
      <c r="D582" s="182"/>
      <c r="E582" s="182"/>
      <c r="F582" s="208"/>
      <c r="G582" s="182" t="str">
        <f ca="1">IFERROR(__xludf.DUMMYFUNCTION("""COMPUTED_VALUE"""),"FORRO FINCAPINO RIPADO CATUABA PREMIUM TG 1,8 X 3,5+0,5CM PROF. BIT 0")</f>
        <v>FORRO FINCAPINO RIPADO CATUABA PREMIUM TG 1,8 X 3,5+0,5CM PROF. BIT 0</v>
      </c>
      <c r="I582" s="182" t="str">
        <f t="shared" ca="1" si="4"/>
        <v/>
      </c>
      <c r="J582" s="193"/>
      <c r="K582" s="208" t="s">
        <v>2237</v>
      </c>
      <c r="L582" s="182" t="s">
        <v>677</v>
      </c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94"/>
      <c r="Z582" s="194"/>
      <c r="AA582" s="194"/>
    </row>
    <row r="583" spans="1:27" ht="15.6">
      <c r="A583" s="182"/>
      <c r="B583" s="182"/>
      <c r="C583" s="182"/>
      <c r="D583" s="182"/>
      <c r="E583" s="182"/>
      <c r="F583" s="208"/>
      <c r="G583" s="182" t="str">
        <f ca="1">IFERROR(__xludf.DUMMYFUNCTION("""COMPUTED_VALUE"""),"FORRO FINCAPINO RIPADO CABREUVA BRANCA PREMIUM TG 1,8 X 3,5+0,5CM PROF. BIT 0")</f>
        <v>FORRO FINCAPINO RIPADO CABREUVA BRANCA PREMIUM TG 1,8 X 3,5+0,5CM PROF. BIT 0</v>
      </c>
      <c r="I583" s="182" t="str">
        <f t="shared" ca="1" si="4"/>
        <v/>
      </c>
      <c r="J583" s="193"/>
      <c r="K583" s="208" t="s">
        <v>2238</v>
      </c>
      <c r="L583" s="182" t="s">
        <v>678</v>
      </c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94"/>
      <c r="Z583" s="194"/>
      <c r="AA583" s="194"/>
    </row>
    <row r="584" spans="1:27" ht="15.6">
      <c r="A584" s="182"/>
      <c r="B584" s="182"/>
      <c r="C584" s="182"/>
      <c r="D584" s="182"/>
      <c r="E584" s="182"/>
      <c r="F584" s="208"/>
      <c r="G584" s="182" t="str">
        <f ca="1">IFERROR(__xludf.DUMMYFUNCTION("""COMPUTED_VALUE"""),"FORRO FINCAPINO RIPADO CABREUVA DOURADA PREMIUM TG 1,8 X 3,5+0,5CM PROF. BIT 0")</f>
        <v>FORRO FINCAPINO RIPADO CABREUVA DOURADA PREMIUM TG 1,8 X 3,5+0,5CM PROF. BIT 0</v>
      </c>
      <c r="I584" s="182" t="str">
        <f t="shared" ca="1" si="4"/>
        <v/>
      </c>
      <c r="J584" s="193"/>
      <c r="K584" s="208" t="s">
        <v>2239</v>
      </c>
      <c r="L584" s="182" t="s">
        <v>679</v>
      </c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94"/>
      <c r="Z584" s="194"/>
      <c r="AA584" s="194"/>
    </row>
    <row r="585" spans="1:27" ht="15.6">
      <c r="A585" s="182"/>
      <c r="B585" s="182"/>
      <c r="C585" s="182"/>
      <c r="D585" s="182"/>
      <c r="E585" s="182"/>
      <c r="F585" s="208"/>
      <c r="G585" s="182" t="str">
        <f ca="1">IFERROR(__xludf.DUMMYFUNCTION("""COMPUTED_VALUE"""),"FORRO FINCAPINO RIPADO TAUARI PREMIUM TG 1,8 X 3,5+0,5CM PROF. BIT 0")</f>
        <v>FORRO FINCAPINO RIPADO TAUARI PREMIUM TG 1,8 X 3,5+0,5CM PROF. BIT 0</v>
      </c>
      <c r="I585" s="182" t="str">
        <f t="shared" ca="1" si="4"/>
        <v/>
      </c>
      <c r="J585" s="193"/>
      <c r="K585" s="208" t="s">
        <v>2240</v>
      </c>
      <c r="L585" s="182" t="s">
        <v>680</v>
      </c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94"/>
      <c r="Z585" s="194"/>
      <c r="AA585" s="194"/>
    </row>
    <row r="586" spans="1:27" ht="15.6">
      <c r="A586" s="182"/>
      <c r="B586" s="182"/>
      <c r="C586" s="182"/>
      <c r="D586" s="182"/>
      <c r="E586" s="182"/>
      <c r="F586" s="208"/>
      <c r="G586" s="182" t="str">
        <f ca="1">IFERROR(__xludf.DUMMYFUNCTION("""COMPUTED_VALUE"""),"FORRO FINCAPINO RIPADO PEROBA PREMIUM TG 1,8 X 3,5+0,5CM PROF. BIT 0")</f>
        <v>FORRO FINCAPINO RIPADO PEROBA PREMIUM TG 1,8 X 3,5+0,5CM PROF. BIT 0</v>
      </c>
      <c r="I586" s="182" t="str">
        <f t="shared" ca="1" si="4"/>
        <v/>
      </c>
      <c r="J586" s="193"/>
      <c r="K586" s="208" t="s">
        <v>2241</v>
      </c>
      <c r="L586" s="182" t="s">
        <v>681</v>
      </c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94"/>
      <c r="Z586" s="194"/>
      <c r="AA586" s="194"/>
    </row>
    <row r="587" spans="1:27" ht="15.6">
      <c r="A587" s="182"/>
      <c r="B587" s="182"/>
      <c r="C587" s="182"/>
      <c r="D587" s="182"/>
      <c r="E587" s="182"/>
      <c r="F587" s="208"/>
      <c r="G587" s="182" t="str">
        <f ca="1">IFERROR(__xludf.DUMMYFUNCTION("""COMPUTED_VALUE"""),"FORRO FINCAPINO RIPADO LORO PARDO PREMIUM TG 1,8 X 3,5+0,5CM PROF. BIT 0")</f>
        <v>FORRO FINCAPINO RIPADO LORO PARDO PREMIUM TG 1,8 X 3,5+0,5CM PROF. BIT 0</v>
      </c>
      <c r="I587" s="182" t="str">
        <f t="shared" ca="1" si="4"/>
        <v/>
      </c>
      <c r="J587" s="193"/>
      <c r="K587" s="208" t="s">
        <v>2242</v>
      </c>
      <c r="L587" s="182" t="s">
        <v>682</v>
      </c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94"/>
      <c r="Z587" s="194"/>
      <c r="AA587" s="194"/>
    </row>
    <row r="588" spans="1:27" ht="15.6">
      <c r="A588" s="182"/>
      <c r="B588" s="182"/>
      <c r="C588" s="182"/>
      <c r="D588" s="182"/>
      <c r="E588" s="182"/>
      <c r="F588" s="208"/>
      <c r="G588" s="182" t="str">
        <f ca="1">IFERROR(__xludf.DUMMYFUNCTION("""COMPUTED_VALUE"""),"FORRO FINCAPINO CUMARU MULTI PREMIUM 19 X 190 X 600 A 2200MM")</f>
        <v>FORRO FINCAPINO CUMARU MULTI PREMIUM 19 X 190 X 600 A 2200MM</v>
      </c>
      <c r="I588" s="182" t="str">
        <f t="shared" ca="1" si="4"/>
        <v/>
      </c>
      <c r="J588" s="193"/>
      <c r="K588" s="208" t="s">
        <v>2243</v>
      </c>
      <c r="L588" s="182" t="s">
        <v>713</v>
      </c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94"/>
      <c r="Z588" s="194"/>
      <c r="AA588" s="194"/>
    </row>
    <row r="589" spans="1:27" ht="15.6">
      <c r="A589" s="182"/>
      <c r="B589" s="182"/>
      <c r="C589" s="182"/>
      <c r="D589" s="182"/>
      <c r="E589" s="182"/>
      <c r="F589" s="208"/>
      <c r="G589" s="182" t="str">
        <f ca="1">IFERROR(__xludf.DUMMYFUNCTION("""COMPUTED_VALUE"""),"FORRO FINCAPINO CATUABA MULTI PREMIUM 19 X 190 X 600 A 2200MM")</f>
        <v>FORRO FINCAPINO CATUABA MULTI PREMIUM 19 X 190 X 600 A 2200MM</v>
      </c>
      <c r="H589" s="192" t="s">
        <v>676</v>
      </c>
      <c r="I589" s="182" t="str">
        <f t="shared" ca="1" si="4"/>
        <v/>
      </c>
      <c r="J589" s="193"/>
      <c r="K589" s="208" t="s">
        <v>2244</v>
      </c>
      <c r="L589" s="182" t="s">
        <v>714</v>
      </c>
      <c r="M589" s="182" t="s">
        <v>2245</v>
      </c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94"/>
      <c r="Z589" s="194"/>
      <c r="AA589" s="194"/>
    </row>
    <row r="590" spans="1:27" ht="15.6">
      <c r="A590" s="182"/>
      <c r="B590" s="182"/>
      <c r="C590" s="182"/>
      <c r="D590" s="182"/>
      <c r="E590" s="182"/>
      <c r="F590" s="208"/>
      <c r="G590" s="182" t="str">
        <f ca="1">IFERROR(__xludf.DUMMYFUNCTION("""COMPUTED_VALUE"""),"FORRO FINCAPINO CABREUVA BRACA MULTI PREMIUM 19 X 190 X 600 A 2200MM")</f>
        <v>FORRO FINCAPINO CABREUVA BRACA MULTI PREMIUM 19 X 190 X 600 A 2200MM</v>
      </c>
      <c r="H590" s="192" t="s">
        <v>677</v>
      </c>
      <c r="I590" s="182" t="str">
        <f t="shared" ca="1" si="4"/>
        <v/>
      </c>
      <c r="J590" s="193"/>
      <c r="K590" s="208" t="s">
        <v>2246</v>
      </c>
      <c r="L590" s="182" t="s">
        <v>715</v>
      </c>
      <c r="M590" s="182" t="s">
        <v>2247</v>
      </c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94"/>
      <c r="Z590" s="194"/>
      <c r="AA590" s="194"/>
    </row>
    <row r="591" spans="1:27" ht="15.6">
      <c r="A591" s="182"/>
      <c r="B591" s="182"/>
      <c r="C591" s="182"/>
      <c r="D591" s="182"/>
      <c r="E591" s="182"/>
      <c r="F591" s="208"/>
      <c r="G591" s="182" t="str">
        <f ca="1">IFERROR(__xludf.DUMMYFUNCTION("""COMPUTED_VALUE"""),"FORRO FINCAPINO CABREUVA DOURADA MULTI PREMIUM 19 X 190 X 600 A 2200MM")</f>
        <v>FORRO FINCAPINO CABREUVA DOURADA MULTI PREMIUM 19 X 190 X 600 A 2200MM</v>
      </c>
      <c r="H591" s="192" t="s">
        <v>678</v>
      </c>
      <c r="I591" s="182" t="str">
        <f t="shared" ca="1" si="4"/>
        <v/>
      </c>
      <c r="J591" s="193"/>
      <c r="K591" s="208" t="s">
        <v>2248</v>
      </c>
      <c r="L591" s="182" t="s">
        <v>716</v>
      </c>
      <c r="M591" s="182" t="s">
        <v>2249</v>
      </c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94"/>
      <c r="Z591" s="194"/>
      <c r="AA591" s="194"/>
    </row>
    <row r="592" spans="1:27" ht="15.6">
      <c r="A592" s="182"/>
      <c r="B592" s="182"/>
      <c r="C592" s="182"/>
      <c r="D592" s="182"/>
      <c r="E592" s="182"/>
      <c r="F592" s="208"/>
      <c r="G592" s="182" t="str">
        <f ca="1">IFERROR(__xludf.DUMMYFUNCTION("""COMPUTED_VALUE"""),"FORRO FINCAPINO TAUARI MULTI PREMIUM 19 X 190 X 600 A 2200MM")</f>
        <v>FORRO FINCAPINO TAUARI MULTI PREMIUM 19 X 190 X 600 A 2200MM</v>
      </c>
      <c r="H592" s="192" t="s">
        <v>679</v>
      </c>
      <c r="I592" s="182" t="str">
        <f t="shared" ca="1" si="4"/>
        <v/>
      </c>
      <c r="J592" s="193"/>
      <c r="K592" s="208" t="s">
        <v>2250</v>
      </c>
      <c r="L592" s="182" t="s">
        <v>717</v>
      </c>
      <c r="M592" s="182" t="s">
        <v>2251</v>
      </c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94"/>
      <c r="Z592" s="194"/>
      <c r="AA592" s="194"/>
    </row>
    <row r="593" spans="1:27" ht="15.6">
      <c r="A593" s="182"/>
      <c r="B593" s="182"/>
      <c r="C593" s="182"/>
      <c r="D593" s="182"/>
      <c r="E593" s="182"/>
      <c r="F593" s="208"/>
      <c r="G593" s="182" t="str">
        <f ca="1">IFERROR(__xludf.DUMMYFUNCTION("""COMPUTED_VALUE"""),"FORRO FINCAPINO PEROBA MULTI PREMIUM 19 X 190 X 600 A 2200MM")</f>
        <v>FORRO FINCAPINO PEROBA MULTI PREMIUM 19 X 190 X 600 A 2200MM</v>
      </c>
      <c r="H593" s="192" t="s">
        <v>680</v>
      </c>
      <c r="I593" s="182" t="str">
        <f t="shared" ca="1" si="4"/>
        <v/>
      </c>
      <c r="J593" s="193"/>
      <c r="K593" s="208" t="s">
        <v>2252</v>
      </c>
      <c r="L593" s="182" t="s">
        <v>718</v>
      </c>
      <c r="M593" s="182" t="s">
        <v>2253</v>
      </c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94"/>
      <c r="Z593" s="194"/>
      <c r="AA593" s="194"/>
    </row>
    <row r="594" spans="1:27" ht="15.6">
      <c r="A594" s="182"/>
      <c r="B594" s="182"/>
      <c r="C594" s="182"/>
      <c r="D594" s="182"/>
      <c r="E594" s="182"/>
      <c r="F594" s="208"/>
      <c r="G594" s="182" t="str">
        <f ca="1">IFERROR(__xludf.DUMMYFUNCTION("""COMPUTED_VALUE"""),"FORRO FINCAPINO LORO PARDO MULTI PREMIUM 19 X 190 X 600 A 2200MM")</f>
        <v>FORRO FINCAPINO LORO PARDO MULTI PREMIUM 19 X 190 X 600 A 2200MM</v>
      </c>
      <c r="H594" s="192" t="s">
        <v>681</v>
      </c>
      <c r="I594" s="182" t="str">
        <f t="shared" ca="1" si="4"/>
        <v/>
      </c>
      <c r="J594" s="193"/>
      <c r="K594" s="208" t="s">
        <v>2254</v>
      </c>
      <c r="L594" s="182" t="s">
        <v>719</v>
      </c>
      <c r="M594" s="182" t="s">
        <v>2255</v>
      </c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94"/>
      <c r="Z594" s="194"/>
      <c r="AA594" s="194"/>
    </row>
    <row r="595" spans="1:27" ht="15.6">
      <c r="A595" s="182"/>
      <c r="B595" s="182"/>
      <c r="C595" s="182"/>
      <c r="D595" s="182"/>
      <c r="E595" s="182"/>
      <c r="F595" s="208"/>
      <c r="G595" s="182" t="str">
        <f ca="1">IFERROR(__xludf.DUMMYFUNCTION("""COMPUTED_VALUE"""),"FORRO FINCAPINO MUXARABI CUMARU PREMIUM")</f>
        <v>FORRO FINCAPINO MUXARABI CUMARU PREMIUM</v>
      </c>
      <c r="H595" s="192" t="s">
        <v>682</v>
      </c>
      <c r="I595" s="182" t="str">
        <f t="shared" ca="1" si="4"/>
        <v/>
      </c>
      <c r="J595" s="193"/>
      <c r="K595" s="208" t="s">
        <v>2256</v>
      </c>
      <c r="L595" s="182" t="s">
        <v>720</v>
      </c>
      <c r="M595" s="182" t="s">
        <v>2257</v>
      </c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94"/>
      <c r="Z595" s="194"/>
      <c r="AA595" s="194"/>
    </row>
    <row r="596" spans="1:27" ht="15.6">
      <c r="A596" s="182"/>
      <c r="B596" s="182"/>
      <c r="C596" s="182"/>
      <c r="D596" s="182"/>
      <c r="E596" s="182"/>
      <c r="F596" s="208"/>
      <c r="G596" s="182" t="str">
        <f ca="1">IFERROR(__xludf.DUMMYFUNCTION("""COMPUTED_VALUE"""),"FORRO FINCAPINO MUXARABI CATUABA PREMIUM")</f>
        <v>FORRO FINCAPINO MUXARABI CATUABA PREMIUM</v>
      </c>
      <c r="I596" s="182" t="str">
        <f t="shared" ca="1" si="4"/>
        <v/>
      </c>
      <c r="J596" s="193"/>
      <c r="K596" s="208" t="s">
        <v>2258</v>
      </c>
      <c r="L596" s="182" t="s">
        <v>721</v>
      </c>
      <c r="M596" s="182" t="s">
        <v>2259</v>
      </c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94"/>
      <c r="Z596" s="194"/>
      <c r="AA596" s="194"/>
    </row>
    <row r="597" spans="1:27" ht="15.6">
      <c r="A597" s="182"/>
      <c r="B597" s="182"/>
      <c r="C597" s="182"/>
      <c r="D597" s="182"/>
      <c r="E597" s="182"/>
      <c r="F597" s="208"/>
      <c r="G597" s="182" t="str">
        <f ca="1">IFERROR(__xludf.DUMMYFUNCTION("""COMPUTED_VALUE"""),"FORRO FINCAPINO MUXARABI CABREUVA BRANCA PREMIUM")</f>
        <v>FORRO FINCAPINO MUXARABI CABREUVA BRANCA PREMIUM</v>
      </c>
      <c r="I597" s="182" t="str">
        <f t="shared" ca="1" si="4"/>
        <v/>
      </c>
      <c r="J597" s="193"/>
      <c r="K597" s="208" t="s">
        <v>2260</v>
      </c>
      <c r="L597" s="182" t="s">
        <v>722</v>
      </c>
      <c r="M597" s="182" t="s">
        <v>2261</v>
      </c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94"/>
      <c r="Z597" s="194"/>
      <c r="AA597" s="194"/>
    </row>
    <row r="598" spans="1:27" ht="15.6">
      <c r="A598" s="182"/>
      <c r="B598" s="182"/>
      <c r="C598" s="182"/>
      <c r="D598" s="182"/>
      <c r="E598" s="182"/>
      <c r="F598" s="208"/>
      <c r="G598" s="182" t="str">
        <f ca="1">IFERROR(__xludf.DUMMYFUNCTION("""COMPUTED_VALUE"""),"FORRO FINCAPINO MUXARABI CABREUVA DOURADA PREMIUM")</f>
        <v>FORRO FINCAPINO MUXARABI CABREUVA DOURADA PREMIUM</v>
      </c>
      <c r="I598" s="182" t="str">
        <f t="shared" ca="1" si="4"/>
        <v/>
      </c>
      <c r="J598" s="193"/>
      <c r="K598" s="208" t="s">
        <v>2262</v>
      </c>
      <c r="L598" s="182" t="s">
        <v>723</v>
      </c>
      <c r="M598" s="182" t="s">
        <v>2263</v>
      </c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94"/>
      <c r="Z598" s="194"/>
      <c r="AA598" s="194"/>
    </row>
    <row r="599" spans="1:27" ht="15.6">
      <c r="A599" s="182"/>
      <c r="B599" s="182"/>
      <c r="C599" s="182"/>
      <c r="D599" s="182"/>
      <c r="E599" s="182"/>
      <c r="F599" s="208"/>
      <c r="G599" s="182" t="str">
        <f ca="1">IFERROR(__xludf.DUMMYFUNCTION("""COMPUTED_VALUE"""),"FORRO FINCAPINO MUXARABI TAUARI PREMIUM")</f>
        <v>FORRO FINCAPINO MUXARABI TAUARI PREMIUM</v>
      </c>
      <c r="I599" s="182" t="str">
        <f t="shared" ca="1" si="4"/>
        <v/>
      </c>
      <c r="J599" s="193"/>
      <c r="K599" s="208" t="s">
        <v>2264</v>
      </c>
      <c r="L599" s="182" t="s">
        <v>724</v>
      </c>
      <c r="M599" s="182" t="s">
        <v>2265</v>
      </c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94"/>
      <c r="Z599" s="194"/>
      <c r="AA599" s="194"/>
    </row>
    <row r="600" spans="1:27" ht="15.6">
      <c r="A600" s="182"/>
      <c r="B600" s="182"/>
      <c r="C600" s="182"/>
      <c r="D600" s="182"/>
      <c r="E600" s="182"/>
      <c r="F600" s="208"/>
      <c r="G600" s="182" t="str">
        <f ca="1">IFERROR(__xludf.DUMMYFUNCTION("""COMPUTED_VALUE"""),"FORRO FINCAPINO MUXARABI PEROBA PREMIUM")</f>
        <v>FORRO FINCAPINO MUXARABI PEROBA PREMIUM</v>
      </c>
      <c r="I600" s="182" t="str">
        <f t="shared" ca="1" si="4"/>
        <v/>
      </c>
      <c r="J600" s="193"/>
      <c r="K600" s="208" t="s">
        <v>2266</v>
      </c>
      <c r="L600" s="182" t="s">
        <v>725</v>
      </c>
      <c r="M600" s="182" t="s">
        <v>2267</v>
      </c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94"/>
      <c r="Z600" s="194"/>
      <c r="AA600" s="194"/>
    </row>
    <row r="601" spans="1:27" ht="15.6">
      <c r="A601" s="182"/>
      <c r="B601" s="182"/>
      <c r="C601" s="182"/>
      <c r="D601" s="182"/>
      <c r="E601" s="182"/>
      <c r="F601" s="208"/>
      <c r="G601" s="182" t="str">
        <f ca="1">IFERROR(__xludf.DUMMYFUNCTION("""COMPUTED_VALUE"""),"FORRO FINCAPINO MUXARABI LORO PARDO PREMIUM")</f>
        <v>FORRO FINCAPINO MUXARABI LORO PARDO PREMIUM</v>
      </c>
      <c r="I601" s="182" t="str">
        <f t="shared" ca="1" si="4"/>
        <v/>
      </c>
      <c r="J601" s="193"/>
      <c r="K601" s="208" t="s">
        <v>2268</v>
      </c>
      <c r="L601" s="182" t="s">
        <v>726</v>
      </c>
      <c r="M601" s="182" t="s">
        <v>2269</v>
      </c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94"/>
      <c r="Z601" s="194"/>
      <c r="AA601" s="194"/>
    </row>
    <row r="602" spans="1:27" ht="15.6">
      <c r="A602" s="182"/>
      <c r="B602" s="182"/>
      <c r="C602" s="182"/>
      <c r="D602" s="182"/>
      <c r="E602" s="182"/>
      <c r="F602" s="208"/>
      <c r="G602" s="182" t="str">
        <f ca="1">IFERROR(__xludf.DUMMYFUNCTION("""COMPUTED_VALUE"""),"FORRO FINCAPINO TOBLERONE CUMARU PREMIUM 3 X 3 COMPR. VARIAVEIS")</f>
        <v>FORRO FINCAPINO TOBLERONE CUMARU PREMIUM 3 X 3 COMPR. VARIAVEIS</v>
      </c>
      <c r="I602" s="182" t="str">
        <f t="shared" ca="1" si="4"/>
        <v/>
      </c>
      <c r="J602" s="193"/>
      <c r="K602" s="208" t="s">
        <v>2270</v>
      </c>
      <c r="L602" s="182" t="s">
        <v>727</v>
      </c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94"/>
      <c r="Z602" s="194"/>
      <c r="AA602" s="194"/>
    </row>
    <row r="603" spans="1:27" ht="15.6">
      <c r="A603" s="182"/>
      <c r="B603" s="182"/>
      <c r="C603" s="182"/>
      <c r="D603" s="182"/>
      <c r="E603" s="182"/>
      <c r="F603" s="208"/>
      <c r="G603" s="182" t="str">
        <f ca="1">IFERROR(__xludf.DUMMYFUNCTION("""COMPUTED_VALUE"""),"FORRO FINCAPINO TOBLERONE CATUABA PREMIUM 3 X 3 COMPR. VARIAVEIS")</f>
        <v>FORRO FINCAPINO TOBLERONE CATUABA PREMIUM 3 X 3 COMPR. VARIAVEIS</v>
      </c>
      <c r="I603" s="182" t="str">
        <f t="shared" ca="1" si="4"/>
        <v/>
      </c>
      <c r="J603" s="193"/>
      <c r="K603" s="208" t="s">
        <v>2271</v>
      </c>
      <c r="L603" s="182" t="s">
        <v>728</v>
      </c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94"/>
      <c r="Z603" s="194"/>
      <c r="AA603" s="194"/>
    </row>
    <row r="604" spans="1:27" ht="15.6">
      <c r="A604" s="182"/>
      <c r="B604" s="182"/>
      <c r="C604" s="182"/>
      <c r="D604" s="182"/>
      <c r="E604" s="182"/>
      <c r="F604" s="208"/>
      <c r="G604" s="182" t="str">
        <f ca="1">IFERROR(__xludf.DUMMYFUNCTION("""COMPUTED_VALUE"""),"FORRO FINCAPINO TOBLERONE CABREUVA BRANCA PREMIUM 3 X 3 COMPR. VARIAVEIS")</f>
        <v>FORRO FINCAPINO TOBLERONE CABREUVA BRANCA PREMIUM 3 X 3 COMPR. VARIAVEIS</v>
      </c>
      <c r="I604" s="182" t="str">
        <f t="shared" ca="1" si="4"/>
        <v/>
      </c>
      <c r="J604" s="193"/>
      <c r="K604" s="208" t="s">
        <v>2272</v>
      </c>
      <c r="L604" s="182" t="s">
        <v>729</v>
      </c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94"/>
      <c r="Z604" s="194"/>
      <c r="AA604" s="194"/>
    </row>
    <row r="605" spans="1:27" ht="15.6">
      <c r="A605" s="182"/>
      <c r="B605" s="182"/>
      <c r="C605" s="182"/>
      <c r="D605" s="182"/>
      <c r="E605" s="182"/>
      <c r="F605" s="208"/>
      <c r="G605" s="182" t="str">
        <f ca="1">IFERROR(__xludf.DUMMYFUNCTION("""COMPUTED_VALUE"""),"FORRO FINCAPINO TOBLERONE CABREUVA DOURADA PREMIUM 3 X 3 COMPR. VARIAVEIS")</f>
        <v>FORRO FINCAPINO TOBLERONE CABREUVA DOURADA PREMIUM 3 X 3 COMPR. VARIAVEIS</v>
      </c>
      <c r="I605" s="182" t="str">
        <f t="shared" ca="1" si="4"/>
        <v/>
      </c>
      <c r="J605" s="193"/>
      <c r="K605" s="208" t="s">
        <v>2273</v>
      </c>
      <c r="L605" s="182" t="s">
        <v>730</v>
      </c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94"/>
      <c r="Z605" s="194"/>
      <c r="AA605" s="194"/>
    </row>
    <row r="606" spans="1:27" ht="15.6">
      <c r="A606" s="182"/>
      <c r="B606" s="182"/>
      <c r="C606" s="182"/>
      <c r="D606" s="182"/>
      <c r="E606" s="182"/>
      <c r="F606" s="208"/>
      <c r="G606" s="182" t="str">
        <f ca="1">IFERROR(__xludf.DUMMYFUNCTION("""COMPUTED_VALUE"""),"FORRO FINCAPINO TOBLERONE TAUARI PREMIUM 3 X 3 COMPR. VARIAVEIS")</f>
        <v>FORRO FINCAPINO TOBLERONE TAUARI PREMIUM 3 X 3 COMPR. VARIAVEIS</v>
      </c>
      <c r="I606" s="182" t="str">
        <f t="shared" ca="1" si="4"/>
        <v/>
      </c>
      <c r="J606" s="193"/>
      <c r="K606" s="208" t="s">
        <v>2274</v>
      </c>
      <c r="L606" s="182" t="s">
        <v>731</v>
      </c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94"/>
      <c r="Z606" s="194"/>
      <c r="AA606" s="194"/>
    </row>
    <row r="607" spans="1:27" ht="15.6">
      <c r="A607" s="182"/>
      <c r="B607" s="182"/>
      <c r="C607" s="182"/>
      <c r="D607" s="182"/>
      <c r="E607" s="182"/>
      <c r="F607" s="208"/>
      <c r="G607" s="182" t="str">
        <f ca="1">IFERROR(__xludf.DUMMYFUNCTION("""COMPUTED_VALUE"""),"FORRO FINCAPINO TOBLERONE PEROBA PREMIUM 3 X 3 COMPR. VARIAVEIS")</f>
        <v>FORRO FINCAPINO TOBLERONE PEROBA PREMIUM 3 X 3 COMPR. VARIAVEIS</v>
      </c>
      <c r="I607" s="182" t="str">
        <f t="shared" ca="1" si="4"/>
        <v/>
      </c>
      <c r="J607" s="193"/>
      <c r="K607" s="208" t="s">
        <v>2275</v>
      </c>
      <c r="L607" s="182" t="s">
        <v>732</v>
      </c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94"/>
      <c r="Z607" s="194"/>
      <c r="AA607" s="194"/>
    </row>
    <row r="608" spans="1:27" ht="15.6">
      <c r="A608" s="182"/>
      <c r="B608" s="182"/>
      <c r="C608" s="182"/>
      <c r="D608" s="182"/>
      <c r="E608" s="182"/>
      <c r="F608" s="208"/>
      <c r="G608" s="182" t="str">
        <f ca="1">IFERROR(__xludf.DUMMYFUNCTION("""COMPUTED_VALUE"""),"FORRO FINCAPINO TOBLERONE LORO PARDO PREMIUM 3 X 3 COMPR. VARIAVEIS")</f>
        <v>FORRO FINCAPINO TOBLERONE LORO PARDO PREMIUM 3 X 3 COMPR. VARIAVEIS</v>
      </c>
      <c r="I608" s="182" t="str">
        <f t="shared" ca="1" si="4"/>
        <v/>
      </c>
      <c r="J608" s="193"/>
      <c r="K608" s="208" t="s">
        <v>2276</v>
      </c>
      <c r="L608" s="182" t="s">
        <v>733</v>
      </c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94"/>
      <c r="Z608" s="194"/>
      <c r="AA608" s="194"/>
    </row>
    <row r="609" spans="1:27" ht="15.6">
      <c r="A609" s="182"/>
      <c r="B609" s="182"/>
      <c r="C609" s="182"/>
      <c r="D609" s="182"/>
      <c r="E609" s="182"/>
      <c r="F609" s="208"/>
      <c r="G609" s="182" t="str">
        <f ca="1">IFERROR(__xludf.DUMMYFUNCTION("""COMPUTED_VALUE"""),"FORRO FINCAPINO DECK CUMARU PREMIUM TG 2,5 X 5 X COMPR. VARIAVEIS")</f>
        <v>FORRO FINCAPINO DECK CUMARU PREMIUM TG 2,5 X 5 X COMPR. VARIAVEIS</v>
      </c>
      <c r="I609" s="182" t="str">
        <f t="shared" ca="1" si="4"/>
        <v/>
      </c>
      <c r="J609" s="193"/>
      <c r="K609" s="208" t="s">
        <v>2277</v>
      </c>
      <c r="L609" s="182" t="s">
        <v>734</v>
      </c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94"/>
      <c r="Z609" s="194"/>
      <c r="AA609" s="194"/>
    </row>
    <row r="610" spans="1:27" ht="15.6">
      <c r="A610" s="182"/>
      <c r="B610" s="182"/>
      <c r="C610" s="182"/>
      <c r="D610" s="182"/>
      <c r="E610" s="182"/>
      <c r="F610" s="208"/>
      <c r="G610" s="182" t="str">
        <f ca="1">IFERROR(__xludf.DUMMYFUNCTION("""COMPUTED_VALUE"""),"FORRO FINCAPINO DECK CUMARU PREMIUM TG 2,5 X 10 X COMPR. VARIAVEIS")</f>
        <v>FORRO FINCAPINO DECK CUMARU PREMIUM TG 2,5 X 10 X COMPR. VARIAVEIS</v>
      </c>
      <c r="H610" s="192" t="s">
        <v>2245</v>
      </c>
      <c r="I610" s="182" t="str">
        <f t="shared" ca="1" si="4"/>
        <v/>
      </c>
      <c r="J610" s="193"/>
      <c r="K610" s="208" t="s">
        <v>2278</v>
      </c>
      <c r="L610" s="182" t="s">
        <v>735</v>
      </c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94"/>
      <c r="Z610" s="194"/>
      <c r="AA610" s="194"/>
    </row>
    <row r="611" spans="1:27" ht="15.6">
      <c r="A611" s="182"/>
      <c r="B611" s="182"/>
      <c r="C611" s="182"/>
      <c r="D611" s="182"/>
      <c r="E611" s="182"/>
      <c r="F611" s="208"/>
      <c r="G611" s="182" t="str">
        <f ca="1">IFERROR(__xludf.DUMMYFUNCTION("""COMPUTED_VALUE"""),"FORRO FINCAPINO DECK CATUABA PREMIUM TG 2,5 X 5 X COMPR. VARIAVEIS")</f>
        <v>FORRO FINCAPINO DECK CATUABA PREMIUM TG 2,5 X 5 X COMPR. VARIAVEIS</v>
      </c>
      <c r="H611" s="192" t="s">
        <v>2247</v>
      </c>
      <c r="I611" s="182" t="str">
        <f t="shared" ca="1" si="4"/>
        <v/>
      </c>
      <c r="J611" s="193"/>
      <c r="K611" s="208" t="s">
        <v>2279</v>
      </c>
      <c r="L611" s="182" t="s">
        <v>736</v>
      </c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94"/>
      <c r="Z611" s="194"/>
      <c r="AA611" s="194"/>
    </row>
    <row r="612" spans="1:27" ht="15.6">
      <c r="A612" s="182"/>
      <c r="B612" s="182"/>
      <c r="C612" s="182"/>
      <c r="D612" s="182"/>
      <c r="E612" s="182"/>
      <c r="F612" s="208"/>
      <c r="G612" s="182" t="str">
        <f ca="1">IFERROR(__xludf.DUMMYFUNCTION("""COMPUTED_VALUE"""),"FORRO FINCAPINO DECK CATUABA PREMIUM TG 2,5 X 10 X COMPR. VARIAVEIS")</f>
        <v>FORRO FINCAPINO DECK CATUABA PREMIUM TG 2,5 X 10 X COMPR. VARIAVEIS</v>
      </c>
      <c r="H612" s="192" t="s">
        <v>2249</v>
      </c>
      <c r="I612" s="182" t="str">
        <f t="shared" ca="1" si="4"/>
        <v/>
      </c>
      <c r="J612" s="193"/>
      <c r="K612" s="208" t="s">
        <v>2280</v>
      </c>
      <c r="L612" s="182" t="s">
        <v>737</v>
      </c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94"/>
      <c r="Z612" s="194"/>
      <c r="AA612" s="194"/>
    </row>
    <row r="613" spans="1:27" ht="15.6">
      <c r="A613" s="182"/>
      <c r="B613" s="182"/>
      <c r="C613" s="182"/>
      <c r="D613" s="182"/>
      <c r="E613" s="182"/>
      <c r="F613" s="208"/>
      <c r="G613" s="182" t="str">
        <f ca="1">IFERROR(__xludf.DUMMYFUNCTION("""COMPUTED_VALUE"""),"FORRO FINCAPINO DECK CABREUVA BRANCA PREMIUM TG 2,5 X 5 X COMPR. VARIAVEIS")</f>
        <v>FORRO FINCAPINO DECK CABREUVA BRANCA PREMIUM TG 2,5 X 5 X COMPR. VARIAVEIS</v>
      </c>
      <c r="H613" s="192" t="s">
        <v>2251</v>
      </c>
      <c r="I613" s="182" t="str">
        <f t="shared" ca="1" si="4"/>
        <v/>
      </c>
      <c r="J613" s="193"/>
      <c r="K613" s="208" t="s">
        <v>2281</v>
      </c>
      <c r="L613" s="182" t="s">
        <v>738</v>
      </c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94"/>
      <c r="Z613" s="194"/>
      <c r="AA613" s="194"/>
    </row>
    <row r="614" spans="1:27" ht="15.6">
      <c r="A614" s="182"/>
      <c r="B614" s="182"/>
      <c r="C614" s="182"/>
      <c r="D614" s="182"/>
      <c r="E614" s="182"/>
      <c r="F614" s="208"/>
      <c r="G614" s="182" t="str">
        <f ca="1">IFERROR(__xludf.DUMMYFUNCTION("""COMPUTED_VALUE"""),"FORRO FINCAPINO DECK CABREUVA BRANCA PREMIUM TG 2,5 X 10 X COMPR. VARIAVEIS")</f>
        <v>FORRO FINCAPINO DECK CABREUVA BRANCA PREMIUM TG 2,5 X 10 X COMPR. VARIAVEIS</v>
      </c>
      <c r="H614" s="192" t="s">
        <v>2253</v>
      </c>
      <c r="I614" s="182" t="str">
        <f t="shared" ca="1" si="4"/>
        <v/>
      </c>
      <c r="J614" s="193"/>
      <c r="K614" s="208" t="s">
        <v>2282</v>
      </c>
      <c r="L614" s="182" t="s">
        <v>739</v>
      </c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94"/>
      <c r="Z614" s="194"/>
      <c r="AA614" s="194"/>
    </row>
    <row r="615" spans="1:27" ht="15.6">
      <c r="A615" s="182"/>
      <c r="B615" s="182"/>
      <c r="C615" s="182"/>
      <c r="D615" s="182"/>
      <c r="E615" s="182"/>
      <c r="F615" s="208"/>
      <c r="G615" s="182" t="str">
        <f ca="1">IFERROR(__xludf.DUMMYFUNCTION("""COMPUTED_VALUE"""),"FORRO FINCAPINO DECK CABREUVA DOURADA PREMIUM TG 2,5 X 5 X COMPR. VARIAVEIS")</f>
        <v>FORRO FINCAPINO DECK CABREUVA DOURADA PREMIUM TG 2,5 X 5 X COMPR. VARIAVEIS</v>
      </c>
      <c r="H615" s="192" t="s">
        <v>2255</v>
      </c>
      <c r="I615" s="182" t="str">
        <f t="shared" ca="1" si="4"/>
        <v/>
      </c>
      <c r="J615" s="193"/>
      <c r="K615" s="208" t="s">
        <v>2283</v>
      </c>
      <c r="L615" s="182" t="s">
        <v>740</v>
      </c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94"/>
      <c r="Z615" s="194"/>
      <c r="AA615" s="194"/>
    </row>
    <row r="616" spans="1:27" ht="15.6">
      <c r="A616" s="182"/>
      <c r="B616" s="182"/>
      <c r="C616" s="182"/>
      <c r="D616" s="182"/>
      <c r="E616" s="182"/>
      <c r="F616" s="208"/>
      <c r="G616" s="182" t="str">
        <f ca="1">IFERROR(__xludf.DUMMYFUNCTION("""COMPUTED_VALUE"""),"FORRO FINCAPINO DECK CABREUVA DOURADA PREMIUM TG 2,5 X 10 X COMPR. VARIAVEIS")</f>
        <v>FORRO FINCAPINO DECK CABREUVA DOURADA PREMIUM TG 2,5 X 10 X COMPR. VARIAVEIS</v>
      </c>
      <c r="H616" s="192" t="s">
        <v>2257</v>
      </c>
      <c r="I616" s="182" t="str">
        <f t="shared" ca="1" si="4"/>
        <v/>
      </c>
      <c r="J616" s="193"/>
      <c r="K616" s="208" t="s">
        <v>2284</v>
      </c>
      <c r="L616" s="182" t="s">
        <v>741</v>
      </c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94"/>
      <c r="Z616" s="194"/>
      <c r="AA616" s="194"/>
    </row>
    <row r="617" spans="1:27" ht="15.6">
      <c r="A617" s="182"/>
      <c r="B617" s="182"/>
      <c r="C617" s="182"/>
      <c r="D617" s="182"/>
      <c r="E617" s="182"/>
      <c r="F617" s="208"/>
      <c r="G617" s="182" t="str">
        <f ca="1">IFERROR(__xludf.DUMMYFUNCTION("""COMPUTED_VALUE"""),"FORRO FINCAPINO DECK TAUARI PREMIUM TG 2,5 X 5 X COMPR. VARIAVEIS")</f>
        <v>FORRO FINCAPINO DECK TAUARI PREMIUM TG 2,5 X 5 X COMPR. VARIAVEIS</v>
      </c>
      <c r="H617" s="192" t="s">
        <v>2259</v>
      </c>
      <c r="I617" s="182" t="str">
        <f t="shared" ca="1" si="4"/>
        <v/>
      </c>
      <c r="J617" s="193"/>
      <c r="K617" s="208" t="s">
        <v>2285</v>
      </c>
      <c r="L617" s="182" t="s">
        <v>742</v>
      </c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94"/>
      <c r="Z617" s="194"/>
      <c r="AA617" s="194"/>
    </row>
    <row r="618" spans="1:27" ht="15.6">
      <c r="A618" s="182"/>
      <c r="B618" s="182"/>
      <c r="C618" s="182"/>
      <c r="D618" s="182"/>
      <c r="E618" s="182"/>
      <c r="F618" s="208"/>
      <c r="G618" s="182" t="str">
        <f ca="1">IFERROR(__xludf.DUMMYFUNCTION("""COMPUTED_VALUE"""),"FORRO FINCAPINO DECK TAUARI PREMIUM TG 2,5 X 10 X COMPR. VARIAVEIS")</f>
        <v>FORRO FINCAPINO DECK TAUARI PREMIUM TG 2,5 X 10 X COMPR. VARIAVEIS</v>
      </c>
      <c r="H618" s="192" t="s">
        <v>2261</v>
      </c>
      <c r="I618" s="182" t="str">
        <f t="shared" ca="1" si="4"/>
        <v/>
      </c>
      <c r="J618" s="193"/>
      <c r="K618" s="208" t="s">
        <v>2286</v>
      </c>
      <c r="L618" s="182" t="s">
        <v>743</v>
      </c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94"/>
      <c r="Z618" s="194"/>
      <c r="AA618" s="194"/>
    </row>
    <row r="619" spans="1:27" ht="15.6">
      <c r="A619" s="182"/>
      <c r="B619" s="182"/>
      <c r="C619" s="182"/>
      <c r="D619" s="182"/>
      <c r="E619" s="182"/>
      <c r="F619" s="208"/>
      <c r="G619" s="182" t="str">
        <f ca="1">IFERROR(__xludf.DUMMYFUNCTION("""COMPUTED_VALUE"""),"FORRO FINCAPINO DECK PEROBA PREMIUM TG 2,5 X 5 X COMPR. VARIAVEIS")</f>
        <v>FORRO FINCAPINO DECK PEROBA PREMIUM TG 2,5 X 5 X COMPR. VARIAVEIS</v>
      </c>
      <c r="H619" s="192" t="s">
        <v>2263</v>
      </c>
      <c r="I619" s="182" t="str">
        <f t="shared" ca="1" si="4"/>
        <v/>
      </c>
      <c r="J619" s="193"/>
      <c r="K619" s="208" t="s">
        <v>2287</v>
      </c>
      <c r="L619" s="182" t="s">
        <v>744</v>
      </c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94"/>
      <c r="Z619" s="194"/>
      <c r="AA619" s="194"/>
    </row>
    <row r="620" spans="1:27" ht="15.6">
      <c r="A620" s="182"/>
      <c r="B620" s="182"/>
      <c r="C620" s="182"/>
      <c r="D620" s="182"/>
      <c r="E620" s="182"/>
      <c r="F620" s="208"/>
      <c r="G620" s="182" t="str">
        <f ca="1">IFERROR(__xludf.DUMMYFUNCTION("""COMPUTED_VALUE"""),"FORRO FINCAPINO DECK PEROBA PREMIUM TG 2,5 X 10 X COMPR. VARIAVEIS")</f>
        <v>FORRO FINCAPINO DECK PEROBA PREMIUM TG 2,5 X 10 X COMPR. VARIAVEIS</v>
      </c>
      <c r="H620" s="192" t="s">
        <v>2265</v>
      </c>
      <c r="I620" s="182" t="str">
        <f t="shared" ca="1" si="4"/>
        <v/>
      </c>
      <c r="J620" s="193"/>
      <c r="K620" s="208" t="s">
        <v>2288</v>
      </c>
      <c r="L620" s="182" t="s">
        <v>745</v>
      </c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94"/>
      <c r="Z620" s="194"/>
      <c r="AA620" s="194"/>
    </row>
    <row r="621" spans="1:27" ht="15.6">
      <c r="A621" s="182"/>
      <c r="B621" s="182"/>
      <c r="C621" s="182"/>
      <c r="D621" s="182"/>
      <c r="E621" s="182"/>
      <c r="F621" s="208"/>
      <c r="G621" s="182" t="str">
        <f ca="1">IFERROR(__xludf.DUMMYFUNCTION("""COMPUTED_VALUE"""),"FORRO FINCAPINO DECK BAMBU CARAMEL ALTA DENSIDADE")</f>
        <v>FORRO FINCAPINO DECK BAMBU CARAMEL ALTA DENSIDADE</v>
      </c>
      <c r="H621" s="192" t="s">
        <v>2267</v>
      </c>
      <c r="I621" s="182" t="str">
        <f t="shared" ca="1" si="4"/>
        <v/>
      </c>
      <c r="J621" s="193"/>
      <c r="K621" s="208" t="s">
        <v>2289</v>
      </c>
      <c r="L621" s="182" t="s">
        <v>746</v>
      </c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94"/>
      <c r="Z621" s="194"/>
      <c r="AA621" s="194"/>
    </row>
    <row r="622" spans="1:27" ht="15.6">
      <c r="A622" s="182"/>
      <c r="B622" s="182"/>
      <c r="C622" s="182"/>
      <c r="D622" s="182"/>
      <c r="E622" s="182"/>
      <c r="F622" s="208"/>
      <c r="G622" s="182" t="str">
        <f ca="1">IFERROR(__xludf.DUMMYFUNCTION("""COMPUTED_VALUE"""),"FORRO FINCAPINO DECK BPC CINZA ESCURO 2 X15X 290CM PÇ/0.435M2")</f>
        <v>FORRO FINCAPINO DECK BPC CINZA ESCURO 2 X15X 290CM PÇ/0.435M2</v>
      </c>
      <c r="H622" s="192" t="s">
        <v>2269</v>
      </c>
      <c r="I622" s="182" t="str">
        <f t="shared" ca="1" si="4"/>
        <v/>
      </c>
      <c r="J622" s="193"/>
      <c r="K622" s="208" t="s">
        <v>2290</v>
      </c>
      <c r="L622" s="182" t="s">
        <v>747</v>
      </c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94"/>
      <c r="Z622" s="194"/>
      <c r="AA622" s="194"/>
    </row>
    <row r="623" spans="1:27" ht="15.6">
      <c r="A623" s="182"/>
      <c r="B623" s="182"/>
      <c r="C623" s="182"/>
      <c r="D623" s="182"/>
      <c r="E623" s="182"/>
      <c r="F623" s="208"/>
      <c r="G623" s="182" t="str">
        <f ca="1">IFERROR(__xludf.DUMMYFUNCTION("""COMPUTED_VALUE"""),"FORRO FINCAPINO DECK BPC MORROM 2X15X220CM")</f>
        <v>FORRO FINCAPINO DECK BPC MORROM 2X15X220CM</v>
      </c>
      <c r="I623" s="182" t="str">
        <f t="shared" ca="1" si="4"/>
        <v/>
      </c>
      <c r="J623" s="193"/>
      <c r="K623" s="208" t="s">
        <v>2291</v>
      </c>
      <c r="L623" s="182" t="s">
        <v>748</v>
      </c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94"/>
      <c r="Z623" s="194"/>
      <c r="AA623" s="194"/>
    </row>
    <row r="624" spans="1:27" ht="15.6">
      <c r="A624" s="182"/>
      <c r="B624" s="182"/>
      <c r="C624" s="182"/>
      <c r="D624" s="182"/>
      <c r="E624" s="182"/>
      <c r="F624" s="208"/>
      <c r="G624" s="182" t="str">
        <f ca="1">IFERROR(__xludf.DUMMYFUNCTION("""COMPUTED_VALUE"""),"FORRO FINCAPINO DECK WPC CINZA 2,2*14,6*220CM")</f>
        <v>FORRO FINCAPINO DECK WPC CINZA 2,2*14,6*220CM</v>
      </c>
      <c r="I624" s="182" t="str">
        <f t="shared" ca="1" si="4"/>
        <v/>
      </c>
      <c r="J624" s="193"/>
      <c r="K624" s="208" t="s">
        <v>2292</v>
      </c>
      <c r="L624" s="182" t="s">
        <v>749</v>
      </c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94"/>
      <c r="Z624" s="194"/>
      <c r="AA624" s="194"/>
    </row>
    <row r="625" spans="1:27" ht="15.6">
      <c r="A625" s="182"/>
      <c r="B625" s="182"/>
      <c r="C625" s="182"/>
      <c r="D625" s="182"/>
      <c r="E625" s="182"/>
      <c r="F625" s="208"/>
      <c r="G625" s="182" t="str">
        <f ca="1">IFERROR(__xludf.DUMMYFUNCTION("""COMPUTED_VALUE"""),"FORRO FINCAPINO PEROBA RUSTICA DE DEMOLIÇÃO")</f>
        <v>FORRO FINCAPINO PEROBA RUSTICA DE DEMOLIÇÃO</v>
      </c>
      <c r="I625" s="182" t="str">
        <f t="shared" ca="1" si="4"/>
        <v/>
      </c>
      <c r="J625" s="193"/>
      <c r="K625" s="208" t="s">
        <v>2293</v>
      </c>
      <c r="L625" s="182" t="s">
        <v>750</v>
      </c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94"/>
      <c r="Z625" s="194"/>
      <c r="AA625" s="194"/>
    </row>
    <row r="626" spans="1:27" ht="15.6">
      <c r="A626" s="182"/>
      <c r="B626" s="182"/>
      <c r="C626" s="182"/>
      <c r="D626" s="182"/>
      <c r="E626" s="182"/>
      <c r="F626" s="208"/>
      <c r="G626" s="182" t="str">
        <f ca="1">IFERROR(__xludf.DUMMYFUNCTION("""COMPUTED_VALUE"""),"FORRO FINCAPINO CANELA RUSTICA DE DEMOLIÇÃO")</f>
        <v>FORRO FINCAPINO CANELA RUSTICA DE DEMOLIÇÃO</v>
      </c>
      <c r="H626" s="192" t="s">
        <v>713</v>
      </c>
      <c r="I626" s="182" t="str">
        <f t="shared" ca="1" si="4"/>
        <v/>
      </c>
      <c r="J626" s="193"/>
      <c r="K626" s="208" t="s">
        <v>2294</v>
      </c>
      <c r="L626" s="182" t="s">
        <v>751</v>
      </c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94"/>
      <c r="Z626" s="194"/>
      <c r="AA626" s="194"/>
    </row>
    <row r="627" spans="1:27" ht="15.6">
      <c r="A627" s="182"/>
      <c r="B627" s="182"/>
      <c r="C627" s="182"/>
      <c r="D627" s="182"/>
      <c r="E627" s="182"/>
      <c r="F627" s="208"/>
      <c r="G627" s="182" t="str">
        <f ca="1">IFERROR(__xludf.DUMMYFUNCTION("""COMPUTED_VALUE"""),"FORRO AUTOBROCANTE CARVALHO EUROPEU MARRONE CHEVRON 15/3 X 1900X 740MM")</f>
        <v>FORRO AUTOBROCANTE CARVALHO EUROPEU MARRONE CHEVRON 15/3 X 1900X 740MM</v>
      </c>
      <c r="H627" s="192" t="s">
        <v>714</v>
      </c>
      <c r="I627" s="182" t="str">
        <f t="shared" ca="1" si="4"/>
        <v/>
      </c>
      <c r="J627" s="193"/>
      <c r="K627" s="208" t="s">
        <v>2295</v>
      </c>
      <c r="L627" s="182" t="s">
        <v>752</v>
      </c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94"/>
      <c r="Z627" s="194"/>
      <c r="AA627" s="194"/>
    </row>
    <row r="628" spans="1:27" ht="15.6">
      <c r="A628" s="182"/>
      <c r="B628" s="182"/>
      <c r="C628" s="182"/>
      <c r="D628" s="182"/>
      <c r="E628" s="182"/>
      <c r="F628" s="208"/>
      <c r="G628" s="182" t="str">
        <f ca="1">IFERROR(__xludf.DUMMYFUNCTION("""COMPUTED_VALUE"""),"FORRO AUTOBROCANTE CARVALHO EUROPEU MARRONE 15/3 X 125 X 1200MM")</f>
        <v>FORRO AUTOBROCANTE CARVALHO EUROPEU MARRONE 15/3 X 125 X 1200MM</v>
      </c>
      <c r="H628" s="192" t="s">
        <v>715</v>
      </c>
      <c r="I628" s="182" t="str">
        <f t="shared" ca="1" si="4"/>
        <v/>
      </c>
      <c r="J628" s="193"/>
      <c r="K628" s="208" t="s">
        <v>2296</v>
      </c>
      <c r="L628" s="182" t="s">
        <v>753</v>
      </c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94"/>
      <c r="Z628" s="194"/>
      <c r="AA628" s="194"/>
    </row>
    <row r="629" spans="1:27" ht="15.6">
      <c r="A629" s="182"/>
      <c r="B629" s="182"/>
      <c r="C629" s="182"/>
      <c r="D629" s="182"/>
      <c r="E629" s="182"/>
      <c r="F629" s="208"/>
      <c r="G629" s="182" t="str">
        <f ca="1">IFERROR(__xludf.DUMMYFUNCTION("""COMPUTED_VALUE"""),"FORRO AUTOBROCANTE CARVALHO EUROPEU MARRONE 15/3 X 190 X 1900MM")</f>
        <v>FORRO AUTOBROCANTE CARVALHO EUROPEU MARRONE 15/3 X 190 X 1900MM</v>
      </c>
      <c r="H629" s="192" t="s">
        <v>716</v>
      </c>
      <c r="I629" s="182" t="str">
        <f t="shared" ca="1" si="4"/>
        <v/>
      </c>
      <c r="J629" s="193"/>
      <c r="K629" s="208" t="s">
        <v>2297</v>
      </c>
      <c r="L629" s="182" t="s">
        <v>754</v>
      </c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94"/>
      <c r="Z629" s="194"/>
      <c r="AA629" s="194"/>
    </row>
    <row r="630" spans="1:27" ht="15.6">
      <c r="A630" s="182"/>
      <c r="B630" s="182"/>
      <c r="C630" s="182"/>
      <c r="D630" s="182"/>
      <c r="E630" s="182"/>
      <c r="F630" s="208"/>
      <c r="G630" s="182" t="str">
        <f ca="1">IFERROR(__xludf.DUMMYFUNCTION("""COMPUTED_VALUE"""),"FORRO AUTOBROCANTE CARVALHO EUROPEU MARRONE 20/6 X 300 X 4000MM")</f>
        <v>FORRO AUTOBROCANTE CARVALHO EUROPEU MARRONE 20/6 X 300 X 4000MM</v>
      </c>
      <c r="H630" s="192" t="s">
        <v>717</v>
      </c>
      <c r="I630" s="182" t="str">
        <f t="shared" ca="1" si="4"/>
        <v/>
      </c>
      <c r="J630" s="193"/>
      <c r="K630" s="208" t="s">
        <v>2298</v>
      </c>
      <c r="L630" s="182" t="s">
        <v>755</v>
      </c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94"/>
      <c r="Z630" s="194"/>
      <c r="AA630" s="194"/>
    </row>
    <row r="631" spans="1:27" ht="15.6">
      <c r="A631" s="182"/>
      <c r="B631" s="182"/>
      <c r="C631" s="182"/>
      <c r="D631" s="182"/>
      <c r="E631" s="182"/>
      <c r="F631" s="208"/>
      <c r="G631" s="182" t="str">
        <f ca="1">IFERROR(__xludf.DUMMYFUNCTION("""COMPUTED_VALUE"""),"FORRO AUTOBROCANTE CARVALHO EUROPEU MARRONE 20/6 X 400 X 5000MM")</f>
        <v>FORRO AUTOBROCANTE CARVALHO EUROPEU MARRONE 20/6 X 400 X 5000MM</v>
      </c>
      <c r="H631" s="192" t="s">
        <v>718</v>
      </c>
      <c r="I631" s="182" t="str">
        <f t="shared" ca="1" si="4"/>
        <v/>
      </c>
      <c r="J631" s="193"/>
      <c r="K631" s="208" t="s">
        <v>2299</v>
      </c>
      <c r="L631" s="182" t="s">
        <v>756</v>
      </c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94"/>
      <c r="Z631" s="194"/>
      <c r="AA631" s="194"/>
    </row>
    <row r="632" spans="1:27" ht="15.6">
      <c r="A632" s="182"/>
      <c r="B632" s="182"/>
      <c r="C632" s="182"/>
      <c r="D632" s="182"/>
      <c r="E632" s="182"/>
      <c r="F632" s="208"/>
      <c r="G632" s="182" t="str">
        <f ca="1">IFERROR(__xludf.DUMMYFUNCTION("""COMPUTED_VALUE"""),"FORRO AUTOBROCANTE CARVALHO EUROPEU MONT BLANC CHEVRON 15/3 X 1900X 740MM")</f>
        <v>FORRO AUTOBROCANTE CARVALHO EUROPEU MONT BLANC CHEVRON 15/3 X 1900X 740MM</v>
      </c>
      <c r="H632" s="192" t="s">
        <v>719</v>
      </c>
      <c r="I632" s="182" t="str">
        <f t="shared" ca="1" si="4"/>
        <v/>
      </c>
      <c r="J632" s="193"/>
      <c r="K632" s="208" t="s">
        <v>2300</v>
      </c>
      <c r="L632" s="182" t="s">
        <v>757</v>
      </c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94"/>
      <c r="Z632" s="194"/>
      <c r="AA632" s="194"/>
    </row>
    <row r="633" spans="1:27" ht="15.6">
      <c r="A633" s="182"/>
      <c r="B633" s="182"/>
      <c r="C633" s="182"/>
      <c r="D633" s="182"/>
      <c r="E633" s="182"/>
      <c r="F633" s="208"/>
      <c r="G633" s="182" t="str">
        <f ca="1">IFERROR(__xludf.DUMMYFUNCTION("""COMPUTED_VALUE"""),"FORRO AUTOBROCANTE CARVALHO EUROPEU MONT BLANC ESPINHA DE PEIXE TG 15/3 X 125X900MM")</f>
        <v>FORRO AUTOBROCANTE CARVALHO EUROPEU MONT BLANC ESPINHA DE PEIXE TG 15/3 X 125X900MM</v>
      </c>
      <c r="H633" s="192" t="s">
        <v>720</v>
      </c>
      <c r="I633" s="182" t="str">
        <f t="shared" ca="1" si="4"/>
        <v/>
      </c>
      <c r="J633" s="193"/>
      <c r="K633" s="208" t="s">
        <v>2301</v>
      </c>
      <c r="L633" s="182" t="s">
        <v>758</v>
      </c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94"/>
      <c r="Z633" s="194"/>
      <c r="AA633" s="194"/>
    </row>
    <row r="634" spans="1:27" ht="15.6">
      <c r="A634" s="182"/>
      <c r="B634" s="182"/>
      <c r="C634" s="182"/>
      <c r="D634" s="182"/>
      <c r="E634" s="182"/>
      <c r="F634" s="208"/>
      <c r="G634" s="182" t="str">
        <f ca="1">IFERROR(__xludf.DUMMYFUNCTION("""COMPUTED_VALUE"""),"FORRO AUTOBROCANTE CARVALHO EUROPEU MONT BLANC 15/3 X 125 X 1200MM")</f>
        <v>FORRO AUTOBROCANTE CARVALHO EUROPEU MONT BLANC 15/3 X 125 X 1200MM</v>
      </c>
      <c r="H634" s="192" t="s">
        <v>721</v>
      </c>
      <c r="I634" s="182" t="str">
        <f t="shared" ca="1" si="4"/>
        <v/>
      </c>
      <c r="J634" s="193"/>
      <c r="K634" s="208" t="s">
        <v>2302</v>
      </c>
      <c r="L634" s="182" t="s">
        <v>759</v>
      </c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94"/>
      <c r="Z634" s="194"/>
      <c r="AA634" s="194"/>
    </row>
    <row r="635" spans="1:27" ht="15.6">
      <c r="A635" s="182"/>
      <c r="B635" s="182"/>
      <c r="C635" s="182"/>
      <c r="D635" s="182"/>
      <c r="E635" s="182"/>
      <c r="F635" s="208"/>
      <c r="G635" s="182" t="str">
        <f ca="1">IFERROR(__xludf.DUMMYFUNCTION("""COMPUTED_VALUE"""),"FORRO AUTOBROCANTE CARVALHO EUROPEU MONT BLANC 15/3 X 190 X 1900MM")</f>
        <v>FORRO AUTOBROCANTE CARVALHO EUROPEU MONT BLANC 15/3 X 190 X 1900MM</v>
      </c>
      <c r="H635" s="192" t="s">
        <v>722</v>
      </c>
      <c r="I635" s="182" t="str">
        <f t="shared" ca="1" si="4"/>
        <v/>
      </c>
      <c r="J635" s="193"/>
      <c r="K635" s="208" t="s">
        <v>2303</v>
      </c>
      <c r="L635" s="182" t="s">
        <v>760</v>
      </c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94"/>
      <c r="Z635" s="194"/>
      <c r="AA635" s="194"/>
    </row>
    <row r="636" spans="1:27" ht="15.6">
      <c r="A636" s="182"/>
      <c r="B636" s="182"/>
      <c r="C636" s="182"/>
      <c r="D636" s="182"/>
      <c r="E636" s="182"/>
      <c r="F636" s="208"/>
      <c r="G636" s="182" t="str">
        <f ca="1">IFERROR(__xludf.DUMMYFUNCTION("""COMPUTED_VALUE"""),"FORRO AUTOBROCANTE CARVALHO EUROPEU MONT BLANC 20/6 X 300 X 4000MM")</f>
        <v>FORRO AUTOBROCANTE CARVALHO EUROPEU MONT BLANC 20/6 X 300 X 4000MM</v>
      </c>
      <c r="H636" s="192" t="s">
        <v>723</v>
      </c>
      <c r="I636" s="182" t="str">
        <f t="shared" ca="1" si="4"/>
        <v/>
      </c>
      <c r="J636" s="193"/>
      <c r="K636" s="208" t="s">
        <v>2304</v>
      </c>
      <c r="L636" s="182" t="s">
        <v>761</v>
      </c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94"/>
      <c r="Z636" s="194"/>
      <c r="AA636" s="194"/>
    </row>
    <row r="637" spans="1:27" ht="15.6">
      <c r="A637" s="182"/>
      <c r="B637" s="182"/>
      <c r="C637" s="182"/>
      <c r="D637" s="182"/>
      <c r="E637" s="182"/>
      <c r="F637" s="208"/>
      <c r="G637" s="182" t="str">
        <f ca="1">IFERROR(__xludf.DUMMYFUNCTION("""COMPUTED_VALUE"""),"FORRO AUTOBROCANTE CARVALHO EUROPEU MONT BLANC 20/6 X 400 X 5000MM")</f>
        <v>FORRO AUTOBROCANTE CARVALHO EUROPEU MONT BLANC 20/6 X 400 X 5000MM</v>
      </c>
      <c r="H637" s="192" t="s">
        <v>724</v>
      </c>
      <c r="I637" s="182" t="str">
        <f t="shared" ca="1" si="4"/>
        <v/>
      </c>
      <c r="J637" s="193"/>
      <c r="K637" s="208" t="s">
        <v>2305</v>
      </c>
      <c r="L637" s="182" t="s">
        <v>762</v>
      </c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94"/>
      <c r="Z637" s="194"/>
      <c r="AA637" s="194"/>
    </row>
    <row r="638" spans="1:27" ht="15.6">
      <c r="A638" s="182"/>
      <c r="B638" s="182"/>
      <c r="C638" s="182"/>
      <c r="D638" s="182"/>
      <c r="E638" s="182"/>
      <c r="F638" s="208"/>
      <c r="G638" s="182" t="str">
        <f ca="1">IFERROR(__xludf.DUMMYFUNCTION("""COMPUTED_VALUE"""),"FORRO AUTOBROCANTE CARVALHO EUROPEU NATURAL CHEVRON TG 15/3 X 125 X 775MM")</f>
        <v>FORRO AUTOBROCANTE CARVALHO EUROPEU NATURAL CHEVRON TG 15/3 X 125 X 775MM</v>
      </c>
      <c r="H638" s="192" t="s">
        <v>725</v>
      </c>
      <c r="I638" s="182" t="str">
        <f t="shared" ca="1" si="4"/>
        <v/>
      </c>
      <c r="J638" s="193"/>
      <c r="K638" s="208" t="s">
        <v>2306</v>
      </c>
      <c r="L638" s="182" t="s">
        <v>763</v>
      </c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94"/>
      <c r="Z638" s="194"/>
      <c r="AA638" s="194"/>
    </row>
    <row r="639" spans="1:27" ht="15.6">
      <c r="A639" s="182"/>
      <c r="B639" s="182"/>
      <c r="C639" s="182"/>
      <c r="D639" s="182"/>
      <c r="E639" s="182"/>
      <c r="F639" s="208"/>
      <c r="G639" s="182" t="str">
        <f ca="1">IFERROR(__xludf.DUMMYFUNCTION("""COMPUTED_VALUE"""),"FORRO AUTOBROCANTE CARVALHO EUROPEU NATURALLE CHEVRON 15/3 X 1900X 740MM")</f>
        <v>FORRO AUTOBROCANTE CARVALHO EUROPEU NATURALLE CHEVRON 15/3 X 1900X 740MM</v>
      </c>
      <c r="H639" s="192" t="s">
        <v>726</v>
      </c>
      <c r="I639" s="182" t="str">
        <f t="shared" ca="1" si="4"/>
        <v/>
      </c>
      <c r="J639" s="193"/>
      <c r="K639" s="208" t="s">
        <v>2307</v>
      </c>
      <c r="L639" s="182" t="s">
        <v>764</v>
      </c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94"/>
      <c r="Z639" s="194"/>
      <c r="AA639" s="194"/>
    </row>
    <row r="640" spans="1:27" ht="15.6">
      <c r="A640" s="182"/>
      <c r="B640" s="182"/>
      <c r="C640" s="182"/>
      <c r="D640" s="182"/>
      <c r="E640" s="182"/>
      <c r="F640" s="208"/>
      <c r="G640" s="182" t="str">
        <f ca="1">IFERROR(__xludf.DUMMYFUNCTION("""COMPUTED_VALUE"""),"FORRO AUTOBROCANTE CARVALHO EUROPEU NATURALLE CHEVRON 60º 15/3 X 1900X 910MM")</f>
        <v>FORRO AUTOBROCANTE CARVALHO EUROPEU NATURALLE CHEVRON 60º 15/3 X 1900X 910MM</v>
      </c>
      <c r="H640" s="192" t="s">
        <v>727</v>
      </c>
      <c r="I640" s="182" t="str">
        <f t="shared" ca="1" si="4"/>
        <v/>
      </c>
      <c r="J640" s="193"/>
      <c r="K640" s="208" t="s">
        <v>2308</v>
      </c>
      <c r="L640" s="182" t="s">
        <v>765</v>
      </c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94"/>
      <c r="Z640" s="194"/>
      <c r="AA640" s="194"/>
    </row>
    <row r="641" spans="1:27" ht="15.6">
      <c r="A641" s="182"/>
      <c r="B641" s="182"/>
      <c r="C641" s="182"/>
      <c r="D641" s="182"/>
      <c r="E641" s="182"/>
      <c r="F641" s="208"/>
      <c r="G641" s="182" t="str">
        <f ca="1">IFERROR(__xludf.DUMMYFUNCTION("""COMPUTED_VALUE"""),"FORRO AUTOBROCANTE CARVALHO EUROPEU NATURALLE FINE 10/06 X 1900 X 1900MM")</f>
        <v>FORRO AUTOBROCANTE CARVALHO EUROPEU NATURALLE FINE 10/06 X 1900 X 1900MM</v>
      </c>
      <c r="H641" s="192" t="s">
        <v>728</v>
      </c>
      <c r="I641" s="182" t="str">
        <f t="shared" ca="1" si="4"/>
        <v/>
      </c>
      <c r="J641" s="193"/>
      <c r="K641" s="208" t="s">
        <v>2309</v>
      </c>
      <c r="L641" s="182" t="s">
        <v>766</v>
      </c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94"/>
      <c r="Z641" s="194"/>
      <c r="AA641" s="194"/>
    </row>
    <row r="642" spans="1:27" ht="15.6">
      <c r="A642" s="182"/>
      <c r="B642" s="182"/>
      <c r="C642" s="182"/>
      <c r="D642" s="182"/>
      <c r="E642" s="182"/>
      <c r="F642" s="208"/>
      <c r="G642" s="182" t="str">
        <f ca="1">IFERROR(__xludf.DUMMYFUNCTION("""COMPUTED_VALUE"""),"FORRO AUTOBROCANTE CARVALHO EUROPEU NATURALLE 15/3 X 125 X 1200MM")</f>
        <v>FORRO AUTOBROCANTE CARVALHO EUROPEU NATURALLE 15/3 X 125 X 1200MM</v>
      </c>
      <c r="H642" s="192" t="s">
        <v>729</v>
      </c>
      <c r="I642" s="182" t="str">
        <f t="shared" ca="1" si="4"/>
        <v/>
      </c>
      <c r="J642" s="193"/>
      <c r="K642" s="208" t="s">
        <v>2310</v>
      </c>
      <c r="L642" s="182" t="s">
        <v>767</v>
      </c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94"/>
      <c r="Z642" s="194"/>
      <c r="AA642" s="194"/>
    </row>
    <row r="643" spans="1:27" ht="15.6">
      <c r="A643" s="182"/>
      <c r="B643" s="182"/>
      <c r="C643" s="182"/>
      <c r="D643" s="182"/>
      <c r="E643" s="182"/>
      <c r="F643" s="208"/>
      <c r="G643" s="182" t="str">
        <f ca="1">IFERROR(__xludf.DUMMYFUNCTION("""COMPUTED_VALUE"""),"FORRO AUTOBROCANTE CARVALHO EUROPEU NATURALLE 15/3 X 190 X 1900MM")</f>
        <v>FORRO AUTOBROCANTE CARVALHO EUROPEU NATURALLE 15/3 X 190 X 1900MM</v>
      </c>
      <c r="H643" s="192" t="s">
        <v>730</v>
      </c>
      <c r="I643" s="182" t="str">
        <f t="shared" ca="1" si="4"/>
        <v/>
      </c>
      <c r="J643" s="193"/>
      <c r="K643" s="208" t="s">
        <v>2311</v>
      </c>
      <c r="L643" s="182" t="s">
        <v>768</v>
      </c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94"/>
      <c r="Z643" s="194"/>
      <c r="AA643" s="194"/>
    </row>
    <row r="644" spans="1:27" ht="15.6">
      <c r="A644" s="182"/>
      <c r="B644" s="182"/>
      <c r="C644" s="182"/>
      <c r="D644" s="182"/>
      <c r="E644" s="182"/>
      <c r="F644" s="208"/>
      <c r="G644" s="182" t="str">
        <f ca="1">IFERROR(__xludf.DUMMYFUNCTION("""COMPUTED_VALUE"""),"FORRO AUTOBROCANTE CARVALHO EUROPEU NATURALLE 20/6 X 300 X 4000MM")</f>
        <v>FORRO AUTOBROCANTE CARVALHO EUROPEU NATURALLE 20/6 X 300 X 4000MM</v>
      </c>
      <c r="H644" s="192" t="s">
        <v>731</v>
      </c>
      <c r="I644" s="182" t="str">
        <f t="shared" ca="1" si="4"/>
        <v/>
      </c>
      <c r="J644" s="193"/>
      <c r="K644" s="208" t="s">
        <v>2312</v>
      </c>
      <c r="L644" s="182" t="s">
        <v>769</v>
      </c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94"/>
      <c r="Z644" s="194"/>
      <c r="AA644" s="194"/>
    </row>
    <row r="645" spans="1:27" ht="15.6">
      <c r="A645" s="182"/>
      <c r="B645" s="182"/>
      <c r="C645" s="182"/>
      <c r="D645" s="182"/>
      <c r="E645" s="182"/>
      <c r="F645" s="208"/>
      <c r="G645" s="182" t="str">
        <f ca="1">IFERROR(__xludf.DUMMYFUNCTION("""COMPUTED_VALUE"""),"FORRO AUTOBROCANTE CARVALHO EUROPEU NATURALLE 20/6 X 400 X 5000MM")</f>
        <v>FORRO AUTOBROCANTE CARVALHO EUROPEU NATURALLE 20/6 X 400 X 5000MM</v>
      </c>
      <c r="H645" s="192" t="s">
        <v>732</v>
      </c>
      <c r="I645" s="182" t="str">
        <f t="shared" ca="1" si="4"/>
        <v/>
      </c>
      <c r="J645" s="193"/>
      <c r="K645" s="208" t="s">
        <v>2313</v>
      </c>
      <c r="L645" s="182" t="s">
        <v>770</v>
      </c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94"/>
      <c r="Z645" s="194"/>
      <c r="AA645" s="194"/>
    </row>
    <row r="646" spans="1:27" ht="15.6">
      <c r="A646" s="182"/>
      <c r="B646" s="182"/>
      <c r="C646" s="182"/>
      <c r="D646" s="182"/>
      <c r="E646" s="182"/>
      <c r="F646" s="208"/>
      <c r="G646" s="182" t="str">
        <f ca="1">IFERROR(__xludf.DUMMYFUNCTION("""COMPUTED_VALUE"""),"FORRO AUTOBROCANTE CARVALHO EUROPEU CAPUCCINO CHEVRON 15/3 X 1900X 740MM")</f>
        <v>FORRO AUTOBROCANTE CARVALHO EUROPEU CAPUCCINO CHEVRON 15/3 X 1900X 740MM</v>
      </c>
      <c r="H646" s="192" t="s">
        <v>733</v>
      </c>
      <c r="I646" s="182" t="str">
        <f t="shared" ca="1" si="4"/>
        <v/>
      </c>
      <c r="J646" s="193"/>
      <c r="K646" s="208" t="s">
        <v>2314</v>
      </c>
      <c r="L646" s="182" t="s">
        <v>771</v>
      </c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94"/>
      <c r="Z646" s="194"/>
      <c r="AA646" s="194"/>
    </row>
    <row r="647" spans="1:27" ht="15.6">
      <c r="A647" s="182"/>
      <c r="B647" s="182"/>
      <c r="C647" s="182"/>
      <c r="D647" s="182"/>
      <c r="E647" s="182"/>
      <c r="F647" s="208"/>
      <c r="G647" s="182" t="str">
        <f ca="1">IFERROR(__xludf.DUMMYFUNCTION("""COMPUTED_VALUE"""),"FORRO AUTOBROCANTE CARVALHO EUROPEU CAPUCCINO 15/3 X 125 X 1200MM")</f>
        <v>FORRO AUTOBROCANTE CARVALHO EUROPEU CAPUCCINO 15/3 X 125 X 1200MM</v>
      </c>
      <c r="H647" s="192" t="s">
        <v>734</v>
      </c>
      <c r="I647" s="182" t="str">
        <f t="shared" ca="1" si="4"/>
        <v/>
      </c>
      <c r="J647" s="193"/>
      <c r="K647" s="208" t="s">
        <v>2315</v>
      </c>
      <c r="L647" s="182" t="s">
        <v>772</v>
      </c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94"/>
      <c r="Z647" s="194"/>
      <c r="AA647" s="194"/>
    </row>
    <row r="648" spans="1:27" ht="15.6">
      <c r="A648" s="182"/>
      <c r="B648" s="182"/>
      <c r="C648" s="182"/>
      <c r="D648" s="182"/>
      <c r="E648" s="182"/>
      <c r="F648" s="208"/>
      <c r="G648" s="182" t="str">
        <f ca="1">IFERROR(__xludf.DUMMYFUNCTION("""COMPUTED_VALUE"""),"FORRO AUTOBROCANTE CARVALHO EUROPEU CAPPUCCINO ESPINHA DE PEIXE TG 15/3 X 125X900MM")</f>
        <v>FORRO AUTOBROCANTE CARVALHO EUROPEU CAPPUCCINO ESPINHA DE PEIXE TG 15/3 X 125X900MM</v>
      </c>
      <c r="H648" s="192" t="s">
        <v>735</v>
      </c>
      <c r="I648" s="182" t="str">
        <f t="shared" ca="1" si="4"/>
        <v/>
      </c>
      <c r="J648" s="193"/>
      <c r="K648" s="208" t="s">
        <v>2316</v>
      </c>
      <c r="L648" s="182" t="s">
        <v>773</v>
      </c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94"/>
      <c r="Z648" s="194"/>
      <c r="AA648" s="194"/>
    </row>
    <row r="649" spans="1:27" ht="15.6">
      <c r="A649" s="182"/>
      <c r="B649" s="182"/>
      <c r="C649" s="182"/>
      <c r="D649" s="182"/>
      <c r="E649" s="182"/>
      <c r="F649" s="208"/>
      <c r="G649" s="182" t="str">
        <f ca="1">IFERROR(__xludf.DUMMYFUNCTION("""COMPUTED_VALUE"""),"FORRO AUTOBROCANTE CARVALHO EUROPEU CAPUCCINO 15/3 X 190 X 1900MM")</f>
        <v>FORRO AUTOBROCANTE CARVALHO EUROPEU CAPUCCINO 15/3 X 190 X 1900MM</v>
      </c>
      <c r="H649" s="192" t="s">
        <v>736</v>
      </c>
      <c r="I649" s="182" t="str">
        <f t="shared" ca="1" si="4"/>
        <v/>
      </c>
      <c r="J649" s="193"/>
      <c r="K649" s="208" t="s">
        <v>2317</v>
      </c>
      <c r="L649" s="182" t="s">
        <v>774</v>
      </c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94"/>
      <c r="Z649" s="194"/>
      <c r="AA649" s="194"/>
    </row>
    <row r="650" spans="1:27" ht="15.6">
      <c r="A650" s="182"/>
      <c r="B650" s="182"/>
      <c r="C650" s="182"/>
      <c r="D650" s="182"/>
      <c r="E650" s="182"/>
      <c r="F650" s="208"/>
      <c r="G650" s="182" t="str">
        <f ca="1">IFERROR(__xludf.DUMMYFUNCTION("""COMPUTED_VALUE"""),"FORRO AUTOBROCANTE CARVALHO EUROPEU CAPUCCINO 20/6 X 300 X 4000MM")</f>
        <v>FORRO AUTOBROCANTE CARVALHO EUROPEU CAPUCCINO 20/6 X 300 X 4000MM</v>
      </c>
      <c r="H650" s="192" t="s">
        <v>737</v>
      </c>
      <c r="I650" s="182" t="str">
        <f t="shared" ca="1" si="4"/>
        <v/>
      </c>
      <c r="J650" s="193"/>
      <c r="K650" s="208" t="s">
        <v>2318</v>
      </c>
      <c r="L650" s="182" t="s">
        <v>775</v>
      </c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94"/>
      <c r="Z650" s="194"/>
      <c r="AA650" s="194"/>
    </row>
    <row r="651" spans="1:27" ht="15.6">
      <c r="A651" s="182"/>
      <c r="B651" s="182"/>
      <c r="C651" s="182"/>
      <c r="D651" s="182"/>
      <c r="E651" s="182"/>
      <c r="F651" s="208"/>
      <c r="G651" s="182" t="str">
        <f ca="1">IFERROR(__xludf.DUMMYFUNCTION("""COMPUTED_VALUE"""),"FORRO AUTOBROCANTE CARVALHO EUROPEU CAPUCCINO 20/6 X 400 X 5000MM")</f>
        <v>FORRO AUTOBROCANTE CARVALHO EUROPEU CAPUCCINO 20/6 X 400 X 5000MM</v>
      </c>
      <c r="H651" s="192" t="s">
        <v>738</v>
      </c>
      <c r="I651" s="182" t="str">
        <f t="shared" ca="1" si="4"/>
        <v/>
      </c>
      <c r="J651" s="193"/>
      <c r="K651" s="208" t="s">
        <v>2319</v>
      </c>
      <c r="L651" s="182" t="s">
        <v>776</v>
      </c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94"/>
      <c r="Z651" s="194"/>
      <c r="AA651" s="194"/>
    </row>
    <row r="652" spans="1:27" ht="15.6">
      <c r="A652" s="182"/>
      <c r="B652" s="182"/>
      <c r="C652" s="182"/>
      <c r="D652" s="182"/>
      <c r="E652" s="182"/>
      <c r="F652" s="208"/>
      <c r="G652" s="182" t="str">
        <f ca="1">IFERROR(__xludf.DUMMYFUNCTION("""COMPUTED_VALUE"""),"FORRO AUTOBROCANTE CARVALHO EUROPEU BABY GREY CHEVRON 15/3 X 1900X 740MM")</f>
        <v>FORRO AUTOBROCANTE CARVALHO EUROPEU BABY GREY CHEVRON 15/3 X 1900X 740MM</v>
      </c>
      <c r="H652" s="192" t="s">
        <v>739</v>
      </c>
      <c r="I652" s="182" t="str">
        <f t="shared" ca="1" si="4"/>
        <v/>
      </c>
      <c r="J652" s="193"/>
      <c r="K652" s="208" t="s">
        <v>2320</v>
      </c>
      <c r="L652" s="182" t="s">
        <v>777</v>
      </c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94"/>
      <c r="Z652" s="194"/>
      <c r="AA652" s="194"/>
    </row>
    <row r="653" spans="1:27" ht="15.6">
      <c r="A653" s="182"/>
      <c r="B653" s="182"/>
      <c r="C653" s="182"/>
      <c r="D653" s="182"/>
      <c r="E653" s="182"/>
      <c r="F653" s="208"/>
      <c r="G653" s="182" t="str">
        <f ca="1">IFERROR(__xludf.DUMMYFUNCTION("""COMPUTED_VALUE"""),"FORRO AUTOBROCANTE CARVALHO EUROPEU BABY GREY 15/3 X 125 X 1200MM")</f>
        <v>FORRO AUTOBROCANTE CARVALHO EUROPEU BABY GREY 15/3 X 125 X 1200MM</v>
      </c>
      <c r="H653" s="192" t="s">
        <v>740</v>
      </c>
      <c r="I653" s="182" t="str">
        <f t="shared" ca="1" si="4"/>
        <v/>
      </c>
      <c r="J653" s="193"/>
      <c r="K653" s="208" t="s">
        <v>2321</v>
      </c>
      <c r="L653" s="182" t="s">
        <v>778</v>
      </c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94"/>
      <c r="Z653" s="194"/>
      <c r="AA653" s="194"/>
    </row>
    <row r="654" spans="1:27" ht="15.6">
      <c r="A654" s="182"/>
      <c r="B654" s="182"/>
      <c r="C654" s="182"/>
      <c r="D654" s="182"/>
      <c r="E654" s="182"/>
      <c r="F654" s="208"/>
      <c r="G654" s="182" t="str">
        <f ca="1">IFERROR(__xludf.DUMMYFUNCTION("""COMPUTED_VALUE"""),"FORRO AUTOBROCANTE CARVALHO EUROPEU BABY GREY 15/3 X 190 X 1900MM")</f>
        <v>FORRO AUTOBROCANTE CARVALHO EUROPEU BABY GREY 15/3 X 190 X 1900MM</v>
      </c>
      <c r="H654" s="192" t="s">
        <v>741</v>
      </c>
      <c r="I654" s="182" t="str">
        <f t="shared" ca="1" si="4"/>
        <v/>
      </c>
      <c r="J654" s="193"/>
      <c r="K654" s="208" t="s">
        <v>2322</v>
      </c>
      <c r="L654" s="182" t="s">
        <v>779</v>
      </c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94"/>
      <c r="Z654" s="194"/>
      <c r="AA654" s="194"/>
    </row>
    <row r="655" spans="1:27" ht="15.6">
      <c r="A655" s="182"/>
      <c r="B655" s="182"/>
      <c r="C655" s="182"/>
      <c r="D655" s="182"/>
      <c r="E655" s="182"/>
      <c r="F655" s="208"/>
      <c r="G655" s="182" t="str">
        <f ca="1">IFERROR(__xludf.DUMMYFUNCTION("""COMPUTED_VALUE"""),"FORRO AUTOBROCANTE CARVALHO EUROPEU BABY GREY 20/6 X 300 X 4000MM")</f>
        <v>FORRO AUTOBROCANTE CARVALHO EUROPEU BABY GREY 20/6 X 300 X 4000MM</v>
      </c>
      <c r="H655" s="192" t="s">
        <v>742</v>
      </c>
      <c r="I655" s="182" t="str">
        <f t="shared" ca="1" si="4"/>
        <v/>
      </c>
      <c r="J655" s="193"/>
      <c r="K655" s="208" t="s">
        <v>2323</v>
      </c>
      <c r="L655" s="182" t="s">
        <v>780</v>
      </c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94"/>
      <c r="Z655" s="194"/>
      <c r="AA655" s="194"/>
    </row>
    <row r="656" spans="1:27" ht="15.6">
      <c r="A656" s="182"/>
      <c r="B656" s="182"/>
      <c r="C656" s="182"/>
      <c r="D656" s="182"/>
      <c r="E656" s="182"/>
      <c r="F656" s="208"/>
      <c r="G656" s="182" t="str">
        <f ca="1">IFERROR(__xludf.DUMMYFUNCTION("""COMPUTED_VALUE"""),"FORRO AUTOBROCANTE CARVALHO EUROPEU BABY GREY 20/6 X 400 X 5000MM")</f>
        <v>FORRO AUTOBROCANTE CARVALHO EUROPEU BABY GREY 20/6 X 400 X 5000MM</v>
      </c>
      <c r="H656" s="192" t="s">
        <v>743</v>
      </c>
      <c r="I656" s="182" t="str">
        <f t="shared" ca="1" si="4"/>
        <v/>
      </c>
      <c r="J656" s="193"/>
      <c r="K656" s="208" t="s">
        <v>2324</v>
      </c>
      <c r="L656" s="182" t="s">
        <v>781</v>
      </c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94"/>
      <c r="Z656" s="194"/>
      <c r="AA656" s="194"/>
    </row>
    <row r="657" spans="1:27" ht="15.6">
      <c r="A657" s="182"/>
      <c r="B657" s="182"/>
      <c r="C657" s="182"/>
      <c r="D657" s="182"/>
      <c r="E657" s="182"/>
      <c r="F657" s="208"/>
      <c r="G657" s="182" t="str">
        <f ca="1">IFERROR(__xludf.DUMMYFUNCTION("""COMPUTED_VALUE"""),"FORRO AUTOBROCANTE CARVALHO EUROPEU GRIGIO NERO CHEVRON 15/3 X 1900X 740MM")</f>
        <v>FORRO AUTOBROCANTE CARVALHO EUROPEU GRIGIO NERO CHEVRON 15/3 X 1900X 740MM</v>
      </c>
      <c r="H657" s="192" t="s">
        <v>744</v>
      </c>
      <c r="I657" s="182" t="str">
        <f t="shared" ca="1" si="4"/>
        <v/>
      </c>
      <c r="J657" s="193"/>
      <c r="K657" s="208" t="s">
        <v>2325</v>
      </c>
      <c r="L657" s="182" t="s">
        <v>782</v>
      </c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94"/>
      <c r="Z657" s="194"/>
      <c r="AA657" s="194"/>
    </row>
    <row r="658" spans="1:27" ht="15.6">
      <c r="A658" s="182"/>
      <c r="B658" s="182"/>
      <c r="C658" s="182"/>
      <c r="D658" s="182"/>
      <c r="E658" s="182"/>
      <c r="F658" s="208"/>
      <c r="G658" s="182" t="str">
        <f ca="1">IFERROR(__xludf.DUMMYFUNCTION("""COMPUTED_VALUE"""),"FORRO AUTOBROCANTE CARVALHO EUROPEU GRIGIO NERO 15/3 X 125 X 1200MM")</f>
        <v>FORRO AUTOBROCANTE CARVALHO EUROPEU GRIGIO NERO 15/3 X 125 X 1200MM</v>
      </c>
      <c r="H658" s="192" t="s">
        <v>745</v>
      </c>
      <c r="I658" s="182" t="str">
        <f t="shared" ca="1" si="4"/>
        <v/>
      </c>
      <c r="J658" s="193"/>
      <c r="K658" s="208" t="s">
        <v>2326</v>
      </c>
      <c r="L658" s="182" t="s">
        <v>783</v>
      </c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94"/>
      <c r="Z658" s="194"/>
      <c r="AA658" s="194"/>
    </row>
    <row r="659" spans="1:27" ht="15.6">
      <c r="A659" s="182"/>
      <c r="B659" s="182"/>
      <c r="C659" s="182"/>
      <c r="D659" s="182"/>
      <c r="E659" s="182"/>
      <c r="F659" s="208"/>
      <c r="G659" s="182" t="str">
        <f ca="1">IFERROR(__xludf.DUMMYFUNCTION("""COMPUTED_VALUE"""),"FORRO AUTOBROCANTE CARVALHO EUROPEU GRIGIO NERO 15/3 X 190 X 1900MM")</f>
        <v>FORRO AUTOBROCANTE CARVALHO EUROPEU GRIGIO NERO 15/3 X 190 X 1900MM</v>
      </c>
      <c r="H659" s="192" t="s">
        <v>746</v>
      </c>
      <c r="I659" s="182" t="str">
        <f t="shared" ca="1" si="4"/>
        <v/>
      </c>
      <c r="J659" s="193"/>
      <c r="K659" s="208" t="s">
        <v>2327</v>
      </c>
      <c r="L659" s="182" t="s">
        <v>784</v>
      </c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94"/>
      <c r="Z659" s="194"/>
      <c r="AA659" s="194"/>
    </row>
    <row r="660" spans="1:27" ht="15.6">
      <c r="A660" s="182"/>
      <c r="B660" s="182"/>
      <c r="C660" s="182"/>
      <c r="D660" s="182"/>
      <c r="E660" s="182"/>
      <c r="F660" s="208"/>
      <c r="G660" s="182" t="str">
        <f ca="1">IFERROR(__xludf.DUMMYFUNCTION("""COMPUTED_VALUE"""),"FORRO AUTOBROCANTE CARVALHO EUROPEU GRIGIO NERO 20/6 X 300 X 4000MM")</f>
        <v>FORRO AUTOBROCANTE CARVALHO EUROPEU GRIGIO NERO 20/6 X 300 X 4000MM</v>
      </c>
      <c r="H660" s="192" t="s">
        <v>747</v>
      </c>
      <c r="I660" s="182" t="str">
        <f t="shared" ca="1" si="4"/>
        <v/>
      </c>
      <c r="J660" s="193"/>
      <c r="K660" s="208" t="s">
        <v>2328</v>
      </c>
      <c r="L660" s="182" t="s">
        <v>785</v>
      </c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94"/>
      <c r="Z660" s="194"/>
      <c r="AA660" s="194"/>
    </row>
    <row r="661" spans="1:27" ht="15.6">
      <c r="A661" s="182"/>
      <c r="B661" s="182"/>
      <c r="C661" s="182"/>
      <c r="D661" s="182"/>
      <c r="E661" s="182"/>
      <c r="F661" s="208"/>
      <c r="G661" s="182" t="str">
        <f ca="1">IFERROR(__xludf.DUMMYFUNCTION("""COMPUTED_VALUE"""),"FORRO AUTOBROCANTE CARVALHO EUROPEU GRIGIO NERO 20/6 X 400 X 5000MM")</f>
        <v>FORRO AUTOBROCANTE CARVALHO EUROPEU GRIGIO NERO 20/6 X 400 X 5000MM</v>
      </c>
      <c r="H661" s="192" t="s">
        <v>748</v>
      </c>
      <c r="I661" s="182" t="str">
        <f t="shared" ca="1" si="4"/>
        <v/>
      </c>
      <c r="J661" s="193"/>
      <c r="K661" s="208" t="s">
        <v>2329</v>
      </c>
      <c r="L661" s="182" t="s">
        <v>786</v>
      </c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94"/>
      <c r="Z661" s="194"/>
      <c r="AA661" s="194"/>
    </row>
    <row r="662" spans="1:27" ht="15.6">
      <c r="A662" s="182"/>
      <c r="B662" s="182"/>
      <c r="C662" s="182"/>
      <c r="D662" s="182"/>
      <c r="E662" s="182"/>
      <c r="F662" s="208"/>
      <c r="G662" s="182" t="str">
        <f ca="1">IFERROR(__xludf.DUMMYFUNCTION("""COMPUTED_VALUE"""),"FORRO AUTOBROCANTE CARVALHO EUROPEU LIGHT BROWN CHEVRON 15/3 X 1900X 740MM")</f>
        <v>FORRO AUTOBROCANTE CARVALHO EUROPEU LIGHT BROWN CHEVRON 15/3 X 1900X 740MM</v>
      </c>
      <c r="H662" s="192" t="s">
        <v>749</v>
      </c>
      <c r="I662" s="182" t="str">
        <f t="shared" ca="1" si="4"/>
        <v/>
      </c>
      <c r="J662" s="193"/>
      <c r="K662" s="208" t="s">
        <v>2330</v>
      </c>
      <c r="L662" s="182" t="s">
        <v>787</v>
      </c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94"/>
      <c r="Z662" s="194"/>
      <c r="AA662" s="194"/>
    </row>
    <row r="663" spans="1:27" ht="15.6">
      <c r="A663" s="182"/>
      <c r="B663" s="182"/>
      <c r="C663" s="182"/>
      <c r="D663" s="182"/>
      <c r="E663" s="182"/>
      <c r="F663" s="208"/>
      <c r="G663" s="182" t="str">
        <f ca="1">IFERROR(__xludf.DUMMYFUNCTION("""COMPUTED_VALUE"""),"FORRO AUTOBROCANTE CARVALHO EUROPEU LIGHT BROWN 15/3 X 125 X 1200MM")</f>
        <v>FORRO AUTOBROCANTE CARVALHO EUROPEU LIGHT BROWN 15/3 X 125 X 1200MM</v>
      </c>
      <c r="H663" s="192" t="s">
        <v>750</v>
      </c>
      <c r="I663" s="182" t="str">
        <f t="shared" ca="1" si="4"/>
        <v/>
      </c>
      <c r="J663" s="193"/>
      <c r="K663" s="208" t="s">
        <v>2331</v>
      </c>
      <c r="L663" s="182" t="s">
        <v>788</v>
      </c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94"/>
      <c r="Z663" s="194"/>
      <c r="AA663" s="194"/>
    </row>
    <row r="664" spans="1:27" ht="15.6">
      <c r="A664" s="182"/>
      <c r="B664" s="182"/>
      <c r="C664" s="182"/>
      <c r="D664" s="182"/>
      <c r="E664" s="182"/>
      <c r="F664" s="208"/>
      <c r="G664" s="182" t="str">
        <f ca="1">IFERROR(__xludf.DUMMYFUNCTION("""COMPUTED_VALUE"""),"FORRO AUTOBROCANTE CARVALHO EUROPEU LIGHT BROWN 15/3 X 190 X 1900MM")</f>
        <v>FORRO AUTOBROCANTE CARVALHO EUROPEU LIGHT BROWN 15/3 X 190 X 1900MM</v>
      </c>
      <c r="H664" s="192" t="s">
        <v>751</v>
      </c>
      <c r="I664" s="182" t="str">
        <f t="shared" ca="1" si="4"/>
        <v/>
      </c>
      <c r="J664" s="193"/>
      <c r="K664" s="208" t="s">
        <v>2332</v>
      </c>
      <c r="L664" s="182" t="s">
        <v>789</v>
      </c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94"/>
      <c r="Z664" s="194"/>
      <c r="AA664" s="194"/>
    </row>
    <row r="665" spans="1:27" ht="15.6">
      <c r="A665" s="182"/>
      <c r="B665" s="182"/>
      <c r="C665" s="182"/>
      <c r="D665" s="182"/>
      <c r="E665" s="182"/>
      <c r="F665" s="208"/>
      <c r="G665" s="182" t="str">
        <f ca="1">IFERROR(__xludf.DUMMYFUNCTION("""COMPUTED_VALUE"""),"FORRO AUTOBROCANTE CARVALHO EUROPEU LIGHT BROWN 20/6 X 300 X 4000MM")</f>
        <v>FORRO AUTOBROCANTE CARVALHO EUROPEU LIGHT BROWN 20/6 X 300 X 4000MM</v>
      </c>
      <c r="H665" s="192" t="s">
        <v>752</v>
      </c>
      <c r="I665" s="182" t="str">
        <f t="shared" ca="1" si="4"/>
        <v/>
      </c>
      <c r="J665" s="193"/>
      <c r="K665" s="208" t="s">
        <v>2333</v>
      </c>
      <c r="L665" s="182" t="s">
        <v>790</v>
      </c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94"/>
      <c r="Z665" s="194"/>
      <c r="AA665" s="194"/>
    </row>
    <row r="666" spans="1:27" ht="15.6">
      <c r="A666" s="182"/>
      <c r="B666" s="182"/>
      <c r="C666" s="182"/>
      <c r="D666" s="182"/>
      <c r="E666" s="182"/>
      <c r="F666" s="208"/>
      <c r="G666" s="182" t="str">
        <f ca="1">IFERROR(__xludf.DUMMYFUNCTION("""COMPUTED_VALUE"""),"FORRO AUTOBROCANTE CARVALHO EUROPEU - LISTONE GIORDANO (HERITAGE 140 FILIGRANA - SIENNA 1179) TG 1,25 X 14,0 X 83,50CM --")</f>
        <v>FORRO AUTOBROCANTE CARVALHO EUROPEU - LISTONE GIORDANO (HERITAGE 140 FILIGRANA - SIENNA 1179) TG 1,25 X 14,0 X 83,50CM --</v>
      </c>
      <c r="H666" s="192" t="s">
        <v>753</v>
      </c>
      <c r="I666" s="182" t="str">
        <f t="shared" ca="1" si="4"/>
        <v/>
      </c>
      <c r="J666" s="193"/>
      <c r="K666" s="208" t="s">
        <v>2334</v>
      </c>
      <c r="L666" s="182" t="s">
        <v>791</v>
      </c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94"/>
      <c r="Z666" s="194"/>
      <c r="AA666" s="194"/>
    </row>
    <row r="667" spans="1:27" ht="15.6">
      <c r="A667" s="182"/>
      <c r="B667" s="182"/>
      <c r="C667" s="182"/>
      <c r="D667" s="182"/>
      <c r="E667" s="182"/>
      <c r="F667" s="208"/>
      <c r="G667" s="182" t="str">
        <f ca="1">IFERROR(__xludf.DUMMYFUNCTION("""COMPUTED_VALUE"""),"FORRO AUTOBROCANTE ")</f>
        <v xml:space="preserve">FORRO AUTOBROCANTE </v>
      </c>
      <c r="H667" s="192" t="s">
        <v>754</v>
      </c>
      <c r="I667" s="182" t="str">
        <f t="shared" ca="1" si="4"/>
        <v/>
      </c>
      <c r="J667" s="193"/>
      <c r="K667" s="208" t="s">
        <v>2335</v>
      </c>
      <c r="L667" s="182" t="s">
        <v>792</v>
      </c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94"/>
      <c r="Z667" s="194"/>
      <c r="AA667" s="194"/>
    </row>
    <row r="668" spans="1:27" ht="15.6">
      <c r="A668" s="182"/>
      <c r="B668" s="182"/>
      <c r="C668" s="182"/>
      <c r="D668" s="182"/>
      <c r="E668" s="182"/>
      <c r="F668" s="208"/>
      <c r="G668" s="182" t="str">
        <f ca="1">IFERROR(__xludf.DUMMYFUNCTION("""COMPUTED_VALUE"""),"FORRO AUTOBROCANTE CARVALHO EUROPEU MILANO CHEVRON 15/3 X 1900X 740MM")</f>
        <v>FORRO AUTOBROCANTE CARVALHO EUROPEU MILANO CHEVRON 15/3 X 1900X 740MM</v>
      </c>
      <c r="H668" s="192" t="s">
        <v>755</v>
      </c>
      <c r="I668" s="182" t="str">
        <f t="shared" ca="1" si="4"/>
        <v/>
      </c>
      <c r="J668" s="193"/>
      <c r="K668" s="208" t="s">
        <v>2336</v>
      </c>
      <c r="L668" s="182" t="s">
        <v>793</v>
      </c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94"/>
      <c r="Z668" s="194"/>
      <c r="AA668" s="194"/>
    </row>
    <row r="669" spans="1:27" ht="15.6">
      <c r="A669" s="182"/>
      <c r="B669" s="182"/>
      <c r="C669" s="182"/>
      <c r="D669" s="182"/>
      <c r="E669" s="182"/>
      <c r="F669" s="208"/>
      <c r="G669" s="182" t="str">
        <f ca="1">IFERROR(__xludf.DUMMYFUNCTION("""COMPUTED_VALUE"""),"FORRO AUTOBROCANTE CARVALHO EUROPEU MILANO 15/3 X 125 X 1200MM")</f>
        <v>FORRO AUTOBROCANTE CARVALHO EUROPEU MILANO 15/3 X 125 X 1200MM</v>
      </c>
      <c r="H669" s="192" t="s">
        <v>756</v>
      </c>
      <c r="I669" s="182" t="str">
        <f t="shared" ca="1" si="4"/>
        <v/>
      </c>
      <c r="J669" s="193"/>
      <c r="K669" s="208" t="s">
        <v>2337</v>
      </c>
      <c r="L669" s="182" t="s">
        <v>794</v>
      </c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94"/>
      <c r="Z669" s="194"/>
      <c r="AA669" s="194"/>
    </row>
    <row r="670" spans="1:27" ht="15.6">
      <c r="A670" s="182"/>
      <c r="B670" s="182"/>
      <c r="C670" s="182"/>
      <c r="D670" s="182"/>
      <c r="E670" s="182"/>
      <c r="F670" s="208"/>
      <c r="G670" s="182" t="str">
        <f ca="1">IFERROR(__xludf.DUMMYFUNCTION("""COMPUTED_VALUE"""),"FORRO AUTOBROCANTE CARVALHO EUROPEU MILANO 15/3 X 190 X 1900MM")</f>
        <v>FORRO AUTOBROCANTE CARVALHO EUROPEU MILANO 15/3 X 190 X 1900MM</v>
      </c>
      <c r="H670" s="192" t="s">
        <v>757</v>
      </c>
      <c r="I670" s="182" t="str">
        <f t="shared" ca="1" si="4"/>
        <v/>
      </c>
      <c r="J670" s="193"/>
      <c r="K670" s="208" t="s">
        <v>2338</v>
      </c>
      <c r="L670" s="182" t="s">
        <v>795</v>
      </c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94"/>
      <c r="Z670" s="194"/>
      <c r="AA670" s="194"/>
    </row>
    <row r="671" spans="1:27" ht="15.6">
      <c r="A671" s="182"/>
      <c r="B671" s="182"/>
      <c r="C671" s="182"/>
      <c r="D671" s="182"/>
      <c r="E671" s="182"/>
      <c r="F671" s="208"/>
      <c r="G671" s="182" t="str">
        <f ca="1">IFERROR(__xludf.DUMMYFUNCTION("""COMPUTED_VALUE"""),"FORRO AUTOBROCANTE CARVALHO EUROPEU MILANO 20/6 X 300 X 4000MM")</f>
        <v>FORRO AUTOBROCANTE CARVALHO EUROPEU MILANO 20/6 X 300 X 4000MM</v>
      </c>
      <c r="H671" s="192" t="s">
        <v>758</v>
      </c>
      <c r="I671" s="182" t="str">
        <f t="shared" ca="1" si="4"/>
        <v/>
      </c>
      <c r="J671" s="193"/>
      <c r="K671" s="208" t="s">
        <v>2339</v>
      </c>
      <c r="L671" s="182" t="s">
        <v>796</v>
      </c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94"/>
      <c r="Z671" s="194"/>
      <c r="AA671" s="194"/>
    </row>
    <row r="672" spans="1:27" ht="15.6">
      <c r="A672" s="182"/>
      <c r="B672" s="182"/>
      <c r="C672" s="182"/>
      <c r="D672" s="182"/>
      <c r="E672" s="182"/>
      <c r="F672" s="208"/>
      <c r="G672" s="182" t="str">
        <f ca="1">IFERROR(__xludf.DUMMYFUNCTION("""COMPUTED_VALUE"""),"FORRO AUTOBROCANTE CARVALHO EUROPEU MILANO 20/6 X 400 X 5000MM")</f>
        <v>FORRO AUTOBROCANTE CARVALHO EUROPEU MILANO 20/6 X 400 X 5000MM</v>
      </c>
      <c r="H672" s="192" t="s">
        <v>759</v>
      </c>
      <c r="I672" s="182" t="str">
        <f t="shared" ca="1" si="4"/>
        <v/>
      </c>
      <c r="J672" s="193"/>
      <c r="K672" s="208" t="s">
        <v>2340</v>
      </c>
      <c r="L672" s="182" t="s">
        <v>797</v>
      </c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94"/>
      <c r="Z672" s="194"/>
      <c r="AA672" s="194"/>
    </row>
    <row r="673" spans="1:27" ht="15.6">
      <c r="A673" s="182"/>
      <c r="B673" s="182"/>
      <c r="C673" s="182"/>
      <c r="D673" s="182"/>
      <c r="E673" s="182"/>
      <c r="F673" s="208"/>
      <c r="G673" s="182" t="str">
        <f ca="1">IFERROR(__xludf.DUMMYFUNCTION("""COMPUTED_VALUE"""),"FORRO AUTOBROCANTE CARVALHO EUROPEU SMOKED CHEVRON 15/3 X 1900X 740MM")</f>
        <v>FORRO AUTOBROCANTE CARVALHO EUROPEU SMOKED CHEVRON 15/3 X 1900X 740MM</v>
      </c>
      <c r="H673" s="192" t="s">
        <v>760</v>
      </c>
      <c r="I673" s="182" t="str">
        <f t="shared" ca="1" si="4"/>
        <v/>
      </c>
      <c r="J673" s="193"/>
      <c r="K673" s="208" t="s">
        <v>2341</v>
      </c>
      <c r="L673" s="182" t="s">
        <v>798</v>
      </c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94"/>
      <c r="Z673" s="194"/>
      <c r="AA673" s="194"/>
    </row>
    <row r="674" spans="1:27" ht="15.6">
      <c r="A674" s="182"/>
      <c r="B674" s="182"/>
      <c r="C674" s="182"/>
      <c r="D674" s="182"/>
      <c r="E674" s="182"/>
      <c r="F674" s="208"/>
      <c r="G674" s="182" t="str">
        <f ca="1">IFERROR(__xludf.DUMMYFUNCTION("""COMPUTED_VALUE"""),"FORRO AUTOBROCANTE CARVALHO EUROPEU SMOKED 15/3 X 125 X 1200MM")</f>
        <v>FORRO AUTOBROCANTE CARVALHO EUROPEU SMOKED 15/3 X 125 X 1200MM</v>
      </c>
      <c r="H674" s="192" t="s">
        <v>761</v>
      </c>
      <c r="I674" s="182" t="str">
        <f t="shared" ca="1" si="4"/>
        <v/>
      </c>
      <c r="J674" s="193"/>
      <c r="K674" s="208" t="s">
        <v>2342</v>
      </c>
      <c r="L674" s="182" t="s">
        <v>799</v>
      </c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94"/>
      <c r="Z674" s="194"/>
      <c r="AA674" s="194"/>
    </row>
    <row r="675" spans="1:27" ht="15.6">
      <c r="A675" s="182"/>
      <c r="B675" s="182"/>
      <c r="C675" s="182"/>
      <c r="D675" s="182"/>
      <c r="E675" s="182"/>
      <c r="F675" s="208"/>
      <c r="G675" s="182" t="str">
        <f ca="1">IFERROR(__xludf.DUMMYFUNCTION("""COMPUTED_VALUE"""),"FORRO AUTOBROCANTE CARVALHO EUROPEU SMOKED 15/3 X 190 X 1900MM")</f>
        <v>FORRO AUTOBROCANTE CARVALHO EUROPEU SMOKED 15/3 X 190 X 1900MM</v>
      </c>
      <c r="H675" s="192" t="s">
        <v>762</v>
      </c>
      <c r="I675" s="182" t="str">
        <f t="shared" ca="1" si="4"/>
        <v/>
      </c>
      <c r="J675" s="193"/>
      <c r="K675" s="208" t="s">
        <v>2343</v>
      </c>
      <c r="L675" s="182" t="s">
        <v>800</v>
      </c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94"/>
      <c r="Z675" s="194"/>
      <c r="AA675" s="194"/>
    </row>
    <row r="676" spans="1:27" ht="15.6">
      <c r="A676" s="182"/>
      <c r="B676" s="182"/>
      <c r="C676" s="182"/>
      <c r="D676" s="182"/>
      <c r="E676" s="182"/>
      <c r="F676" s="208"/>
      <c r="G676" s="182" t="str">
        <f ca="1">IFERROR(__xludf.DUMMYFUNCTION("""COMPUTED_VALUE"""),"FORRO AUTOBROCANTE CARVALHO EUROPEU SMOKED 20/6 X 300 X 4000MM")</f>
        <v>FORRO AUTOBROCANTE CARVALHO EUROPEU SMOKED 20/6 X 300 X 4000MM</v>
      </c>
      <c r="H676" s="192" t="s">
        <v>763</v>
      </c>
      <c r="I676" s="182" t="str">
        <f t="shared" ca="1" si="4"/>
        <v/>
      </c>
      <c r="J676" s="193"/>
      <c r="K676" s="208" t="s">
        <v>2344</v>
      </c>
      <c r="L676" s="182" t="s">
        <v>801</v>
      </c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94"/>
      <c r="Z676" s="194"/>
      <c r="AA676" s="194"/>
    </row>
    <row r="677" spans="1:27" ht="15.6">
      <c r="A677" s="182"/>
      <c r="B677" s="182"/>
      <c r="C677" s="182"/>
      <c r="D677" s="182"/>
      <c r="E677" s="182"/>
      <c r="F677" s="208"/>
      <c r="G677" s="182" t="str">
        <f ca="1">IFERROR(__xludf.DUMMYFUNCTION("""COMPUTED_VALUE"""),"FORRO AUTOBROCANTE CARVALHO EUROPEU SMOKED 20/6 X 400 X 5000MM")</f>
        <v>FORRO AUTOBROCANTE CARVALHO EUROPEU SMOKED 20/6 X 400 X 5000MM</v>
      </c>
      <c r="H677" s="192" t="s">
        <v>764</v>
      </c>
      <c r="I677" s="182" t="str">
        <f t="shared" ca="1" si="4"/>
        <v/>
      </c>
      <c r="J677" s="193"/>
      <c r="K677" s="208" t="s">
        <v>2345</v>
      </c>
      <c r="L677" s="182" t="s">
        <v>802</v>
      </c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94"/>
      <c r="Z677" s="194"/>
      <c r="AA677" s="194"/>
    </row>
    <row r="678" spans="1:27" ht="15.6">
      <c r="A678" s="182"/>
      <c r="B678" s="182"/>
      <c r="C678" s="182"/>
      <c r="D678" s="182"/>
      <c r="E678" s="182"/>
      <c r="F678" s="208"/>
      <c r="G678" s="182" t="str">
        <f ca="1">IFERROR(__xludf.DUMMYFUNCTION("""COMPUTED_VALUE"""),"FORRO AUTOBROCANTE CARVALHO EUROPEU GIZ CHEVRON 15/3 X 1900X 740MM")</f>
        <v>FORRO AUTOBROCANTE CARVALHO EUROPEU GIZ CHEVRON 15/3 X 1900X 740MM</v>
      </c>
      <c r="H678" s="192" t="s">
        <v>765</v>
      </c>
      <c r="I678" s="182" t="str">
        <f t="shared" ca="1" si="4"/>
        <v/>
      </c>
      <c r="J678" s="193"/>
      <c r="K678" s="208" t="s">
        <v>2346</v>
      </c>
      <c r="L678" s="182" t="s">
        <v>803</v>
      </c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94"/>
      <c r="Z678" s="194"/>
      <c r="AA678" s="194"/>
    </row>
    <row r="679" spans="1:27" ht="15.6">
      <c r="A679" s="182"/>
      <c r="B679" s="182"/>
      <c r="C679" s="182"/>
      <c r="D679" s="182"/>
      <c r="E679" s="182"/>
      <c r="F679" s="208"/>
      <c r="G679" s="182" t="str">
        <f ca="1">IFERROR(__xludf.DUMMYFUNCTION("""COMPUTED_VALUE"""),"FORRO AUTOBROCANTE CARVALHO EUROPEU GIZ 15/3 X 125 X 1200MM")</f>
        <v>FORRO AUTOBROCANTE CARVALHO EUROPEU GIZ 15/3 X 125 X 1200MM</v>
      </c>
      <c r="H679" s="192" t="s">
        <v>766</v>
      </c>
      <c r="I679" s="182" t="str">
        <f t="shared" ca="1" si="4"/>
        <v/>
      </c>
      <c r="J679" s="193"/>
      <c r="K679" s="208" t="s">
        <v>2347</v>
      </c>
      <c r="L679" s="182" t="s">
        <v>804</v>
      </c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94"/>
      <c r="Z679" s="194"/>
      <c r="AA679" s="194"/>
    </row>
    <row r="680" spans="1:27" ht="15.6">
      <c r="A680" s="182"/>
      <c r="B680" s="182"/>
      <c r="C680" s="182"/>
      <c r="D680" s="182"/>
      <c r="E680" s="182"/>
      <c r="F680" s="208"/>
      <c r="G680" s="182" t="str">
        <f ca="1">IFERROR(__xludf.DUMMYFUNCTION("""COMPUTED_VALUE"""),"FORRO AUTOBROCANTE CARVALHO EUROPEU GIZ 15/3 X 190 X 1900MM")</f>
        <v>FORRO AUTOBROCANTE CARVALHO EUROPEU GIZ 15/3 X 190 X 1900MM</v>
      </c>
      <c r="H680" s="192" t="s">
        <v>767</v>
      </c>
      <c r="I680" s="182" t="str">
        <f t="shared" ca="1" si="4"/>
        <v/>
      </c>
      <c r="J680" s="193"/>
      <c r="K680" s="208" t="s">
        <v>2348</v>
      </c>
      <c r="L680" s="182" t="s">
        <v>805</v>
      </c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94"/>
      <c r="Z680" s="194"/>
      <c r="AA680" s="194"/>
    </row>
    <row r="681" spans="1:27" ht="15.6">
      <c r="A681" s="182"/>
      <c r="B681" s="182"/>
      <c r="C681" s="182"/>
      <c r="D681" s="182"/>
      <c r="E681" s="182"/>
      <c r="F681" s="208"/>
      <c r="G681" s="182" t="str">
        <f ca="1">IFERROR(__xludf.DUMMYFUNCTION("""COMPUTED_VALUE"""),"FORRO AUTOBROCANTE CARVALHO EUROPEU GIZ 20/6 X 300 X 4000MM")</f>
        <v>FORRO AUTOBROCANTE CARVALHO EUROPEU GIZ 20/6 X 300 X 4000MM</v>
      </c>
      <c r="H681" s="192" t="s">
        <v>768</v>
      </c>
      <c r="I681" s="182" t="str">
        <f t="shared" ca="1" si="4"/>
        <v/>
      </c>
      <c r="J681" s="193"/>
      <c r="K681" s="208" t="s">
        <v>2349</v>
      </c>
      <c r="L681" s="182" t="s">
        <v>806</v>
      </c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94"/>
      <c r="Z681" s="194"/>
      <c r="AA681" s="194"/>
    </row>
    <row r="682" spans="1:27" ht="15.6">
      <c r="A682" s="182"/>
      <c r="B682" s="182"/>
      <c r="C682" s="182"/>
      <c r="D682" s="182"/>
      <c r="E682" s="182"/>
      <c r="F682" s="208"/>
      <c r="G682" s="182" t="str">
        <f ca="1">IFERROR(__xludf.DUMMYFUNCTION("""COMPUTED_VALUE"""),"FORRO AUTOBROCANTE CARVALHO EUROPEU GIZ 20/6 X 400 X 5000MM")</f>
        <v>FORRO AUTOBROCANTE CARVALHO EUROPEU GIZ 20/6 X 400 X 5000MM</v>
      </c>
      <c r="H682" s="192" t="s">
        <v>769</v>
      </c>
      <c r="I682" s="182" t="str">
        <f t="shared" ca="1" si="4"/>
        <v/>
      </c>
      <c r="J682" s="193"/>
      <c r="K682" s="208" t="s">
        <v>2350</v>
      </c>
      <c r="L682" s="182" t="s">
        <v>807</v>
      </c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94"/>
      <c r="Z682" s="194"/>
      <c r="AA682" s="194"/>
    </row>
    <row r="683" spans="1:27" ht="15.6">
      <c r="A683" s="182"/>
      <c r="B683" s="182"/>
      <c r="C683" s="182"/>
      <c r="D683" s="182"/>
      <c r="E683" s="182"/>
      <c r="F683" s="208"/>
      <c r="G683" s="182" t="str">
        <f ca="1">IFERROR(__xludf.DUMMYFUNCTION("""COMPUTED_VALUE"""),"FORRO AUTOBROCANTE CARVALHO EUROPEU SNOW CHEVRON 15/3 X 1900X 740MM")</f>
        <v>FORRO AUTOBROCANTE CARVALHO EUROPEU SNOW CHEVRON 15/3 X 1900X 740MM</v>
      </c>
      <c r="H683" s="192" t="s">
        <v>770</v>
      </c>
      <c r="I683" s="182" t="str">
        <f t="shared" ca="1" si="4"/>
        <v/>
      </c>
      <c r="J683" s="193"/>
      <c r="K683" s="208" t="s">
        <v>2351</v>
      </c>
      <c r="L683" s="182" t="s">
        <v>808</v>
      </c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94"/>
      <c r="Z683" s="194"/>
      <c r="AA683" s="194"/>
    </row>
    <row r="684" spans="1:27" ht="15.6">
      <c r="A684" s="182"/>
      <c r="B684" s="182"/>
      <c r="C684" s="182"/>
      <c r="D684" s="182"/>
      <c r="E684" s="182"/>
      <c r="F684" s="208"/>
      <c r="G684" s="182" t="str">
        <f ca="1">IFERROR(__xludf.DUMMYFUNCTION("""COMPUTED_VALUE"""),"FORRO AUTOBROCANTE CARVALHO EUROPEU SNOW 15/3 X 125 X 1200MM")</f>
        <v>FORRO AUTOBROCANTE CARVALHO EUROPEU SNOW 15/3 X 125 X 1200MM</v>
      </c>
      <c r="H684" s="192" t="s">
        <v>771</v>
      </c>
      <c r="I684" s="182" t="str">
        <f t="shared" ca="1" si="4"/>
        <v/>
      </c>
      <c r="J684" s="193"/>
      <c r="K684" s="208" t="s">
        <v>2352</v>
      </c>
      <c r="L684" s="182" t="s">
        <v>809</v>
      </c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94"/>
      <c r="Z684" s="194"/>
      <c r="AA684" s="194"/>
    </row>
    <row r="685" spans="1:27" ht="15.6">
      <c r="A685" s="182"/>
      <c r="B685" s="182"/>
      <c r="C685" s="182"/>
      <c r="D685" s="182"/>
      <c r="E685" s="182"/>
      <c r="F685" s="208"/>
      <c r="G685" s="182" t="str">
        <f ca="1">IFERROR(__xludf.DUMMYFUNCTION("""COMPUTED_VALUE"""),"FORRO AUTOBROCANTE CARVALHO EUROPEU SNOW 15/3 X 190 X 1900MM")</f>
        <v>FORRO AUTOBROCANTE CARVALHO EUROPEU SNOW 15/3 X 190 X 1900MM</v>
      </c>
      <c r="H685" s="192" t="s">
        <v>772</v>
      </c>
      <c r="I685" s="182" t="str">
        <f t="shared" ca="1" si="4"/>
        <v/>
      </c>
      <c r="J685" s="193"/>
      <c r="K685" s="208" t="s">
        <v>2353</v>
      </c>
      <c r="L685" s="182" t="s">
        <v>810</v>
      </c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94"/>
      <c r="Z685" s="194"/>
      <c r="AA685" s="194"/>
    </row>
    <row r="686" spans="1:27" ht="15.6">
      <c r="A686" s="182"/>
      <c r="B686" s="182"/>
      <c r="C686" s="182"/>
      <c r="D686" s="182"/>
      <c r="E686" s="182"/>
      <c r="F686" s="208"/>
      <c r="G686" s="182" t="str">
        <f ca="1">IFERROR(__xludf.DUMMYFUNCTION("""COMPUTED_VALUE"""),"FORRO AUTOBROCANTE CARVALHO EUROPEU SNOW 20/6 X 300 X 4000MM")</f>
        <v>FORRO AUTOBROCANTE CARVALHO EUROPEU SNOW 20/6 X 300 X 4000MM</v>
      </c>
      <c r="H686" s="192" t="s">
        <v>773</v>
      </c>
      <c r="I686" s="182" t="str">
        <f t="shared" ca="1" si="4"/>
        <v/>
      </c>
      <c r="J686" s="193"/>
      <c r="K686" s="208" t="s">
        <v>2354</v>
      </c>
      <c r="L686" s="182" t="s">
        <v>811</v>
      </c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94"/>
      <c r="Z686" s="194"/>
      <c r="AA686" s="194"/>
    </row>
    <row r="687" spans="1:27" ht="15.6">
      <c r="A687" s="182"/>
      <c r="B687" s="182"/>
      <c r="C687" s="182"/>
      <c r="D687" s="182"/>
      <c r="E687" s="182"/>
      <c r="F687" s="208"/>
      <c r="G687" s="182" t="str">
        <f ca="1">IFERROR(__xludf.DUMMYFUNCTION("""COMPUTED_VALUE"""),"FORRO AUTOBROCANTE CARVALHO EUROPEU SNOW 20/6 X 400 X 5000MM")</f>
        <v>FORRO AUTOBROCANTE CARVALHO EUROPEU SNOW 20/6 X 400 X 5000MM</v>
      </c>
      <c r="H687" s="192" t="s">
        <v>774</v>
      </c>
      <c r="I687" s="182" t="str">
        <f t="shared" ca="1" si="4"/>
        <v/>
      </c>
      <c r="J687" s="193"/>
      <c r="K687" s="208" t="s">
        <v>2355</v>
      </c>
      <c r="L687" s="182" t="s">
        <v>812</v>
      </c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94"/>
      <c r="Z687" s="194"/>
      <c r="AA687" s="194"/>
    </row>
    <row r="688" spans="1:27" ht="15.6">
      <c r="A688" s="182"/>
      <c r="B688" s="182"/>
      <c r="C688" s="182"/>
      <c r="D688" s="182"/>
      <c r="E688" s="182"/>
      <c r="F688" s="208"/>
      <c r="G688" s="182" t="str">
        <f ca="1">IFERROR(__xludf.DUMMYFUNCTION("""COMPUTED_VALUE"""),"FORRO AUTOBROCANTE CARVALHO EUROPEU WILD CHEVRON 15/3 X 1900X 740MM")</f>
        <v>FORRO AUTOBROCANTE CARVALHO EUROPEU WILD CHEVRON 15/3 X 1900X 740MM</v>
      </c>
      <c r="H688" s="192" t="s">
        <v>775</v>
      </c>
      <c r="I688" s="182" t="str">
        <f t="shared" ca="1" si="4"/>
        <v/>
      </c>
      <c r="J688" s="193"/>
      <c r="K688" s="208" t="s">
        <v>2356</v>
      </c>
      <c r="L688" s="182" t="s">
        <v>813</v>
      </c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94"/>
      <c r="Z688" s="194"/>
      <c r="AA688" s="194"/>
    </row>
    <row r="689" spans="1:27" ht="15.6">
      <c r="A689" s="182"/>
      <c r="B689" s="182"/>
      <c r="C689" s="182"/>
      <c r="D689" s="182"/>
      <c r="E689" s="182"/>
      <c r="F689" s="208"/>
      <c r="G689" s="182" t="str">
        <f ca="1">IFERROR(__xludf.DUMMYFUNCTION("""COMPUTED_VALUE"""),"FORRO AUTOBROCANTE CARVALHO EUROPEU WILD 15/3 X 125 X 1200MM")</f>
        <v>FORRO AUTOBROCANTE CARVALHO EUROPEU WILD 15/3 X 125 X 1200MM</v>
      </c>
      <c r="H689" s="192" t="s">
        <v>776</v>
      </c>
      <c r="I689" s="182" t="str">
        <f t="shared" ca="1" si="4"/>
        <v/>
      </c>
      <c r="J689" s="193"/>
      <c r="K689" s="208" t="s">
        <v>2357</v>
      </c>
      <c r="L689" s="182" t="s">
        <v>814</v>
      </c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94"/>
      <c r="Z689" s="194"/>
      <c r="AA689" s="194"/>
    </row>
    <row r="690" spans="1:27" ht="15.6">
      <c r="A690" s="182"/>
      <c r="B690" s="182"/>
      <c r="C690" s="182"/>
      <c r="D690" s="182"/>
      <c r="E690" s="182"/>
      <c r="F690" s="208"/>
      <c r="G690" s="182" t="str">
        <f ca="1">IFERROR(__xludf.DUMMYFUNCTION("""COMPUTED_VALUE"""),"FORRO AUTOBROCANTE CARVALHO EUROPEU WILD 15/3 X 190 X 1900MM")</f>
        <v>FORRO AUTOBROCANTE CARVALHO EUROPEU WILD 15/3 X 190 X 1900MM</v>
      </c>
      <c r="H690" s="192" t="s">
        <v>777</v>
      </c>
      <c r="I690" s="182" t="str">
        <f t="shared" ca="1" si="4"/>
        <v/>
      </c>
      <c r="J690" s="193"/>
      <c r="K690" s="208" t="s">
        <v>2358</v>
      </c>
      <c r="L690" s="182" t="s">
        <v>815</v>
      </c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94"/>
      <c r="Z690" s="194"/>
      <c r="AA690" s="194"/>
    </row>
    <row r="691" spans="1:27" ht="15.6">
      <c r="A691" s="182"/>
      <c r="B691" s="182"/>
      <c r="C691" s="182"/>
      <c r="D691" s="182"/>
      <c r="E691" s="182"/>
      <c r="F691" s="208"/>
      <c r="G691" s="182" t="str">
        <f ca="1">IFERROR(__xludf.DUMMYFUNCTION("""COMPUTED_VALUE"""),"FORRO AUTOBROCANTE CARVALHO EUROPEU WILD 20/6 X 300 X 4000MM")</f>
        <v>FORRO AUTOBROCANTE CARVALHO EUROPEU WILD 20/6 X 300 X 4000MM</v>
      </c>
      <c r="H691" s="192" t="s">
        <v>778</v>
      </c>
      <c r="I691" s="182" t="str">
        <f t="shared" ca="1" si="4"/>
        <v/>
      </c>
      <c r="J691" s="193"/>
      <c r="K691" s="208" t="s">
        <v>2359</v>
      </c>
      <c r="L691" s="182" t="s">
        <v>816</v>
      </c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94"/>
      <c r="Z691" s="194"/>
      <c r="AA691" s="194"/>
    </row>
    <row r="692" spans="1:27" ht="15.6">
      <c r="A692" s="182"/>
      <c r="B692" s="182"/>
      <c r="C692" s="182"/>
      <c r="D692" s="182"/>
      <c r="E692" s="182"/>
      <c r="F692" s="208"/>
      <c r="G692" s="182" t="str">
        <f ca="1">IFERROR(__xludf.DUMMYFUNCTION("""COMPUTED_VALUE"""),"FORRO AUTOBROCANTE CARVALHO EUROPEU WILD 20/6 X 400 X 5000MM")</f>
        <v>FORRO AUTOBROCANTE CARVALHO EUROPEU WILD 20/6 X 400 X 5000MM</v>
      </c>
      <c r="H692" s="192" t="s">
        <v>779</v>
      </c>
      <c r="I692" s="182" t="str">
        <f t="shared" ca="1" si="4"/>
        <v/>
      </c>
      <c r="J692" s="193"/>
      <c r="K692" s="208" t="s">
        <v>2360</v>
      </c>
      <c r="L692" s="182" t="s">
        <v>816</v>
      </c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94"/>
      <c r="Z692" s="194"/>
      <c r="AA692" s="194"/>
    </row>
    <row r="693" spans="1:27" ht="15.6">
      <c r="A693" s="182"/>
      <c r="B693" s="182"/>
      <c r="C693" s="182"/>
      <c r="D693" s="182"/>
      <c r="E693" s="182"/>
      <c r="F693" s="208"/>
      <c r="G693" s="182" t="str">
        <f ca="1">IFERROR(__xludf.DUMMYFUNCTION("""COMPUTED_VALUE"""),"FORRO AUTOBROCANTE CARVALHO EUROPEU NEVADO CHEVRON 15/3 X 1900X 740MM")</f>
        <v>FORRO AUTOBROCANTE CARVALHO EUROPEU NEVADO CHEVRON 15/3 X 1900X 740MM</v>
      </c>
      <c r="H693" s="192" t="s">
        <v>780</v>
      </c>
      <c r="I693" s="182" t="str">
        <f t="shared" ca="1" si="4"/>
        <v/>
      </c>
      <c r="J693" s="193"/>
      <c r="K693" s="208" t="s">
        <v>2361</v>
      </c>
      <c r="L693" s="182" t="s">
        <v>818</v>
      </c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94"/>
      <c r="Z693" s="194"/>
      <c r="AA693" s="194"/>
    </row>
    <row r="694" spans="1:27" ht="15.6">
      <c r="A694" s="182"/>
      <c r="B694" s="182"/>
      <c r="C694" s="182"/>
      <c r="D694" s="182"/>
      <c r="E694" s="182"/>
      <c r="F694" s="208"/>
      <c r="G694" s="182" t="str">
        <f ca="1">IFERROR(__xludf.DUMMYFUNCTION("""COMPUTED_VALUE"""),"FORRO AUTOBROCANTE CARVALHO EUROPEU NEVADO 15/3 X 125 X 1200MM")</f>
        <v>FORRO AUTOBROCANTE CARVALHO EUROPEU NEVADO 15/3 X 125 X 1200MM</v>
      </c>
      <c r="H694" s="192" t="s">
        <v>781</v>
      </c>
      <c r="I694" s="182" t="str">
        <f t="shared" ca="1" si="4"/>
        <v/>
      </c>
      <c r="J694" s="193"/>
      <c r="K694" s="208" t="s">
        <v>2362</v>
      </c>
      <c r="L694" s="182" t="s">
        <v>819</v>
      </c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94"/>
      <c r="Z694" s="194"/>
      <c r="AA694" s="194"/>
    </row>
    <row r="695" spans="1:27" ht="15.6">
      <c r="A695" s="182"/>
      <c r="B695" s="182"/>
      <c r="C695" s="182"/>
      <c r="D695" s="182"/>
      <c r="E695" s="182"/>
      <c r="F695" s="208"/>
      <c r="G695" s="182" t="str">
        <f ca="1">IFERROR(__xludf.DUMMYFUNCTION("""COMPUTED_VALUE"""),"FORRO AUTOBROCANTE CARVALHO EUROPEU NEVADO 15/3 X 190 X 1900MM")</f>
        <v>FORRO AUTOBROCANTE CARVALHO EUROPEU NEVADO 15/3 X 190 X 1900MM</v>
      </c>
      <c r="H695" s="192" t="s">
        <v>782</v>
      </c>
      <c r="I695" s="182" t="str">
        <f t="shared" ca="1" si="4"/>
        <v/>
      </c>
      <c r="J695" s="193"/>
      <c r="K695" s="208" t="s">
        <v>2363</v>
      </c>
      <c r="L695" s="182" t="s">
        <v>820</v>
      </c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94"/>
      <c r="Z695" s="194"/>
      <c r="AA695" s="194"/>
    </row>
    <row r="696" spans="1:27" ht="15.6">
      <c r="A696" s="182"/>
      <c r="B696" s="182"/>
      <c r="C696" s="182"/>
      <c r="D696" s="182"/>
      <c r="E696" s="182"/>
      <c r="F696" s="208"/>
      <c r="G696" s="182" t="str">
        <f ca="1">IFERROR(__xludf.DUMMYFUNCTION("""COMPUTED_VALUE"""),"FORRO AUTOBROCANTE CARVALHO EUROPEU NEVADO 20/6 X 300 X 4000MM")</f>
        <v>FORRO AUTOBROCANTE CARVALHO EUROPEU NEVADO 20/6 X 300 X 4000MM</v>
      </c>
      <c r="H696" s="192" t="s">
        <v>783</v>
      </c>
      <c r="I696" s="182" t="str">
        <f t="shared" ca="1" si="4"/>
        <v/>
      </c>
      <c r="J696" s="193"/>
      <c r="K696" s="208" t="s">
        <v>2364</v>
      </c>
      <c r="L696" s="182" t="s">
        <v>821</v>
      </c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94"/>
      <c r="Z696" s="194"/>
      <c r="AA696" s="194"/>
    </row>
    <row r="697" spans="1:27" ht="15.6">
      <c r="A697" s="182"/>
      <c r="B697" s="182"/>
      <c r="C697" s="182"/>
      <c r="D697" s="182"/>
      <c r="E697" s="182"/>
      <c r="F697" s="208"/>
      <c r="G697" s="182" t="str">
        <f ca="1">IFERROR(__xludf.DUMMYFUNCTION("""COMPUTED_VALUE"""),"FORRO AUTOBROCANTE CARVALHO EUROPEU NEVADO 20/6 X 400 X 5000MM")</f>
        <v>FORRO AUTOBROCANTE CARVALHO EUROPEU NEVADO 20/6 X 400 X 5000MM</v>
      </c>
      <c r="H697" s="192" t="s">
        <v>784</v>
      </c>
      <c r="I697" s="182" t="str">
        <f t="shared" ca="1" si="4"/>
        <v/>
      </c>
      <c r="J697" s="193"/>
      <c r="K697" s="208" t="s">
        <v>2365</v>
      </c>
      <c r="L697" s="182" t="s">
        <v>822</v>
      </c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94"/>
      <c r="Z697" s="194"/>
      <c r="AA697" s="194"/>
    </row>
    <row r="698" spans="1:27" ht="15.6">
      <c r="A698" s="182"/>
      <c r="B698" s="182"/>
      <c r="C698" s="182"/>
      <c r="D698" s="182"/>
      <c r="E698" s="182"/>
      <c r="F698" s="208"/>
      <c r="G698" s="182" t="str">
        <f ca="1">IFERROR(__xludf.DUMMYFUNCTION("""COMPUTED_VALUE"""),"FORRO AUTOBROCANTE CARVALHO EUROPEU CONCRETE GREY CHEVRON 15/3 X 1900X 740MM")</f>
        <v>FORRO AUTOBROCANTE CARVALHO EUROPEU CONCRETE GREY CHEVRON 15/3 X 1900X 740MM</v>
      </c>
      <c r="H698" s="192" t="s">
        <v>785</v>
      </c>
      <c r="I698" s="182" t="str">
        <f t="shared" ca="1" si="4"/>
        <v/>
      </c>
      <c r="J698" s="193"/>
      <c r="K698" s="208" t="s">
        <v>2366</v>
      </c>
      <c r="L698" s="182" t="s">
        <v>823</v>
      </c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94"/>
      <c r="Z698" s="194"/>
      <c r="AA698" s="194"/>
    </row>
    <row r="699" spans="1:27" ht="15.6">
      <c r="A699" s="182"/>
      <c r="B699" s="182"/>
      <c r="C699" s="182"/>
      <c r="D699" s="182"/>
      <c r="E699" s="182"/>
      <c r="F699" s="208"/>
      <c r="G699" s="182" t="str">
        <f ca="1">IFERROR(__xludf.DUMMYFUNCTION("""COMPUTED_VALUE"""),"FORRO AUTOBROCANTE CARVALHO EUROPEU CONCRETE GREY 15/3 X 125 X 1200MM")</f>
        <v>FORRO AUTOBROCANTE CARVALHO EUROPEU CONCRETE GREY 15/3 X 125 X 1200MM</v>
      </c>
      <c r="H699" s="192" t="s">
        <v>786</v>
      </c>
      <c r="I699" s="182" t="str">
        <f t="shared" ca="1" si="4"/>
        <v/>
      </c>
      <c r="J699" s="193"/>
      <c r="K699" s="208" t="s">
        <v>2367</v>
      </c>
      <c r="L699" s="182" t="s">
        <v>824</v>
      </c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94"/>
      <c r="Z699" s="194"/>
      <c r="AA699" s="194"/>
    </row>
    <row r="700" spans="1:27" ht="15.6">
      <c r="A700" s="182"/>
      <c r="B700" s="182"/>
      <c r="C700" s="182"/>
      <c r="D700" s="182"/>
      <c r="E700" s="182"/>
      <c r="F700" s="208"/>
      <c r="G700" s="182" t="str">
        <f ca="1">IFERROR(__xludf.DUMMYFUNCTION("""COMPUTED_VALUE"""),"FORRO AUTOBROCANTE CARVALHO EUROPEU CONCRETE GREY 15/3 X 190 X 1900MM")</f>
        <v>FORRO AUTOBROCANTE CARVALHO EUROPEU CONCRETE GREY 15/3 X 190 X 1900MM</v>
      </c>
      <c r="H700" s="192" t="s">
        <v>787</v>
      </c>
      <c r="I700" s="182" t="str">
        <f t="shared" ca="1" si="4"/>
        <v/>
      </c>
      <c r="J700" s="193"/>
      <c r="K700" s="208" t="s">
        <v>2368</v>
      </c>
      <c r="L700" s="182" t="s">
        <v>832</v>
      </c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94"/>
      <c r="Z700" s="194"/>
      <c r="AA700" s="194"/>
    </row>
    <row r="701" spans="1:27" ht="15.6">
      <c r="A701" s="182"/>
      <c r="B701" s="182"/>
      <c r="C701" s="182"/>
      <c r="D701" s="182"/>
      <c r="E701" s="182"/>
      <c r="F701" s="208"/>
      <c r="G701" s="182" t="str">
        <f ca="1">IFERROR(__xludf.DUMMYFUNCTION("""COMPUTED_VALUE"""),"FORRO AUTOBROCANTE CARVALHO EUROPEU CONCRETE GREY 20/6 X 300 X 4000MM")</f>
        <v>FORRO AUTOBROCANTE CARVALHO EUROPEU CONCRETE GREY 20/6 X 300 X 4000MM</v>
      </c>
      <c r="H701" s="192" t="s">
        <v>788</v>
      </c>
      <c r="I701" s="182" t="str">
        <f t="shared" ca="1" si="4"/>
        <v/>
      </c>
      <c r="J701" s="193"/>
      <c r="K701" s="208" t="s">
        <v>2369</v>
      </c>
      <c r="L701" s="182" t="s">
        <v>833</v>
      </c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94"/>
      <c r="Z701" s="194"/>
      <c r="AA701" s="194"/>
    </row>
    <row r="702" spans="1:27" ht="15.6">
      <c r="A702" s="182"/>
      <c r="B702" s="182"/>
      <c r="C702" s="182"/>
      <c r="D702" s="182"/>
      <c r="E702" s="182"/>
      <c r="F702" s="208"/>
      <c r="G702" s="182" t="str">
        <f ca="1">IFERROR(__xludf.DUMMYFUNCTION("""COMPUTED_VALUE"""),"FORRO AUTOBROCANTE CARVALHO EUROPEU CONCRETE GREY 20/6 X 400 X 5000MM")</f>
        <v>FORRO AUTOBROCANTE CARVALHO EUROPEU CONCRETE GREY 20/6 X 400 X 5000MM</v>
      </c>
      <c r="H702" s="192" t="s">
        <v>789</v>
      </c>
      <c r="I702" s="182" t="str">
        <f t="shared" ca="1" si="4"/>
        <v/>
      </c>
      <c r="J702" s="193"/>
      <c r="K702" s="208" t="s">
        <v>2370</v>
      </c>
      <c r="L702" s="182" t="s">
        <v>834</v>
      </c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94"/>
      <c r="Z702" s="194"/>
      <c r="AA702" s="194"/>
    </row>
    <row r="703" spans="1:27" ht="15.6">
      <c r="A703" s="182"/>
      <c r="B703" s="182"/>
      <c r="C703" s="182"/>
      <c r="D703" s="182"/>
      <c r="E703" s="182"/>
      <c r="F703" s="208"/>
      <c r="G703" s="182" t="str">
        <f ca="1">IFERROR(__xludf.DUMMYFUNCTION("""COMPUTED_VALUE"""),"FORRO AUTOBROCANTE CARVALHO EUROPEU ITALY BROWN CHEVRON 15/3 X 1900X 740MM")</f>
        <v>FORRO AUTOBROCANTE CARVALHO EUROPEU ITALY BROWN CHEVRON 15/3 X 1900X 740MM</v>
      </c>
      <c r="H703" s="192" t="s">
        <v>790</v>
      </c>
      <c r="I703" s="182" t="str">
        <f t="shared" ca="1" si="4"/>
        <v/>
      </c>
      <c r="J703" s="193"/>
      <c r="K703" s="208" t="s">
        <v>2371</v>
      </c>
      <c r="L703" s="182" t="s">
        <v>835</v>
      </c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94"/>
      <c r="Z703" s="194"/>
      <c r="AA703" s="194"/>
    </row>
    <row r="704" spans="1:27" ht="15.6">
      <c r="A704" s="182"/>
      <c r="B704" s="182"/>
      <c r="C704" s="182"/>
      <c r="D704" s="182"/>
      <c r="E704" s="182"/>
      <c r="F704" s="208"/>
      <c r="G704" s="182" t="str">
        <f ca="1">IFERROR(__xludf.DUMMYFUNCTION("""COMPUTED_VALUE"""),"FORRO AUTOBROCANTE CARVALHO EUROPEU ITALY BROWN 15/3 X 125 X 1200MM")</f>
        <v>FORRO AUTOBROCANTE CARVALHO EUROPEU ITALY BROWN 15/3 X 125 X 1200MM</v>
      </c>
      <c r="H704" s="192" t="s">
        <v>791</v>
      </c>
      <c r="I704" s="182" t="str">
        <f t="shared" ca="1" si="4"/>
        <v/>
      </c>
      <c r="J704" s="193"/>
      <c r="K704" s="208" t="s">
        <v>2372</v>
      </c>
      <c r="L704" s="182" t="s">
        <v>836</v>
      </c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94"/>
      <c r="Z704" s="194"/>
      <c r="AA704" s="194"/>
    </row>
    <row r="705" spans="1:27" ht="15.6">
      <c r="A705" s="182"/>
      <c r="B705" s="182"/>
      <c r="C705" s="182"/>
      <c r="D705" s="182"/>
      <c r="E705" s="182"/>
      <c r="F705" s="208"/>
      <c r="G705" s="182" t="str">
        <f ca="1">IFERROR(__xludf.DUMMYFUNCTION("""COMPUTED_VALUE"""),"FORRO AUTOBROCANTE CARVALHO EUROPEU ITALY BROWN 15/3 X 190 X 1900MM")</f>
        <v>FORRO AUTOBROCANTE CARVALHO EUROPEU ITALY BROWN 15/3 X 190 X 1900MM</v>
      </c>
      <c r="H705" s="192" t="s">
        <v>792</v>
      </c>
      <c r="I705" s="182" t="str">
        <f t="shared" ca="1" si="4"/>
        <v/>
      </c>
      <c r="J705" s="193"/>
      <c r="K705" s="208" t="s">
        <v>2373</v>
      </c>
      <c r="L705" s="182" t="s">
        <v>837</v>
      </c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94"/>
      <c r="Z705" s="194"/>
      <c r="AA705" s="194"/>
    </row>
    <row r="706" spans="1:27" ht="15.6">
      <c r="A706" s="182"/>
      <c r="B706" s="182"/>
      <c r="C706" s="182"/>
      <c r="D706" s="182"/>
      <c r="E706" s="182"/>
      <c r="F706" s="208"/>
      <c r="G706" s="182" t="str">
        <f ca="1">IFERROR(__xludf.DUMMYFUNCTION("""COMPUTED_VALUE"""),"FORRO AUTOBROCANTE CARVALHO EUROPEU ITALY BROWN 20/6 X 300 X 4000MM")</f>
        <v>FORRO AUTOBROCANTE CARVALHO EUROPEU ITALY BROWN 20/6 X 300 X 4000MM</v>
      </c>
      <c r="H706" s="192" t="s">
        <v>793</v>
      </c>
      <c r="I706" s="182" t="str">
        <f t="shared" ca="1" si="4"/>
        <v/>
      </c>
      <c r="J706" s="193"/>
      <c r="K706" s="208" t="s">
        <v>2374</v>
      </c>
      <c r="L706" s="182" t="s">
        <v>838</v>
      </c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94"/>
      <c r="Z706" s="194"/>
      <c r="AA706" s="194"/>
    </row>
    <row r="707" spans="1:27" ht="15.6">
      <c r="A707" s="182"/>
      <c r="B707" s="182"/>
      <c r="C707" s="182"/>
      <c r="D707" s="182"/>
      <c r="E707" s="182"/>
      <c r="F707" s="208"/>
      <c r="G707" s="182" t="str">
        <f ca="1">IFERROR(__xludf.DUMMYFUNCTION("""COMPUTED_VALUE"""),"FORRO AUTOBROCANTE CARVALHO EUROPEU ITALY BROWN 20/6 X 400 X 5000MM")</f>
        <v>FORRO AUTOBROCANTE CARVALHO EUROPEU ITALY BROWN 20/6 X 400 X 5000MM</v>
      </c>
      <c r="H707" s="192" t="s">
        <v>794</v>
      </c>
      <c r="I707" s="182" t="str">
        <f t="shared" ca="1" si="4"/>
        <v/>
      </c>
      <c r="J707" s="193"/>
      <c r="K707" s="208" t="s">
        <v>2375</v>
      </c>
      <c r="L707" s="182" t="s">
        <v>2376</v>
      </c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94"/>
      <c r="Z707" s="194"/>
      <c r="AA707" s="194"/>
    </row>
    <row r="708" spans="1:27" ht="15.6">
      <c r="A708" s="182"/>
      <c r="B708" s="182"/>
      <c r="C708" s="182"/>
      <c r="D708" s="182"/>
      <c r="E708" s="182"/>
      <c r="F708" s="208"/>
      <c r="G708" s="182" t="str">
        <f ca="1">IFERROR(__xludf.DUMMYFUNCTION("""COMPUTED_VALUE"""),"FORRO AUTOBROCANTE CARVALHO EUROPEU ALL BLACK CHEVRON 15/3 X 1900X 740MM")</f>
        <v>FORRO AUTOBROCANTE CARVALHO EUROPEU ALL BLACK CHEVRON 15/3 X 1900X 740MM</v>
      </c>
      <c r="H708" s="192" t="s">
        <v>795</v>
      </c>
      <c r="I708" s="182" t="str">
        <f t="shared" ca="1" si="4"/>
        <v/>
      </c>
      <c r="J708" s="193"/>
      <c r="K708" s="208" t="s">
        <v>2377</v>
      </c>
      <c r="L708" s="182" t="s">
        <v>2378</v>
      </c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4"/>
      <c r="Z708" s="184"/>
      <c r="AA708" s="184"/>
    </row>
    <row r="709" spans="1:27" ht="15.6">
      <c r="A709" s="182"/>
      <c r="B709" s="182"/>
      <c r="C709" s="182"/>
      <c r="D709" s="182"/>
      <c r="E709" s="182"/>
      <c r="F709" s="208"/>
      <c r="G709" s="182" t="str">
        <f ca="1">IFERROR(__xludf.DUMMYFUNCTION("""COMPUTED_VALUE"""),"FORRO AUTOBROCANTE CARVALHO EUROPEU ALL BLACK 15/3 X 125 X 1200MM")</f>
        <v>FORRO AUTOBROCANTE CARVALHO EUROPEU ALL BLACK 15/3 X 125 X 1200MM</v>
      </c>
      <c r="H709" s="192" t="s">
        <v>796</v>
      </c>
      <c r="I709" s="182" t="str">
        <f t="shared" ca="1" si="4"/>
        <v/>
      </c>
      <c r="J709" s="193"/>
      <c r="K709" s="208" t="s">
        <v>2379</v>
      </c>
      <c r="L709" s="182" t="s">
        <v>2380</v>
      </c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4"/>
      <c r="Z709" s="184"/>
      <c r="AA709" s="184"/>
    </row>
    <row r="710" spans="1:27" ht="15.6">
      <c r="A710" s="182"/>
      <c r="B710" s="182"/>
      <c r="C710" s="182"/>
      <c r="D710" s="182"/>
      <c r="E710" s="182"/>
      <c r="F710" s="208"/>
      <c r="G710" s="182" t="str">
        <f ca="1">IFERROR(__xludf.DUMMYFUNCTION("""COMPUTED_VALUE"""),"FORRO AUTOBROCANTE CARVALHO EUROPEU BLACK CHEVRON TG 15/3 X 125 X 775CM")</f>
        <v>FORRO AUTOBROCANTE CARVALHO EUROPEU BLACK CHEVRON TG 15/3 X 125 X 775CM</v>
      </c>
      <c r="H710" s="192" t="s">
        <v>797</v>
      </c>
      <c r="I710" s="182" t="str">
        <f t="shared" ca="1" si="4"/>
        <v/>
      </c>
      <c r="J710" s="193"/>
      <c r="K710" s="208" t="s">
        <v>2381</v>
      </c>
      <c r="L710" s="182" t="s">
        <v>2382</v>
      </c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4"/>
      <c r="Z710" s="184"/>
      <c r="AA710" s="184"/>
    </row>
    <row r="711" spans="1:27" ht="15.6">
      <c r="A711" s="182"/>
      <c r="B711" s="182"/>
      <c r="C711" s="182"/>
      <c r="D711" s="182"/>
      <c r="E711" s="182"/>
      <c r="F711" s="208"/>
      <c r="G711" s="182" t="str">
        <f ca="1">IFERROR(__xludf.DUMMYFUNCTION("""COMPUTED_VALUE"""),"FORRO AUTOBROCANTE CARVALHO EUROPEU ALL BLACK 15/3 X 190 X 1900MM")</f>
        <v>FORRO AUTOBROCANTE CARVALHO EUROPEU ALL BLACK 15/3 X 190 X 1900MM</v>
      </c>
      <c r="H711" s="192" t="s">
        <v>798</v>
      </c>
      <c r="I711" s="182" t="str">
        <f t="shared" ca="1" si="4"/>
        <v/>
      </c>
      <c r="J711" s="193"/>
      <c r="K711" s="208" t="s">
        <v>2383</v>
      </c>
      <c r="L711" s="182" t="s">
        <v>2384</v>
      </c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94"/>
      <c r="Z711" s="194"/>
      <c r="AA711" s="194"/>
    </row>
    <row r="712" spans="1:27" ht="15.6">
      <c r="A712" s="182"/>
      <c r="B712" s="182"/>
      <c r="C712" s="182"/>
      <c r="D712" s="182"/>
      <c r="E712" s="182"/>
      <c r="F712" s="208"/>
      <c r="G712" s="182" t="str">
        <f ca="1">IFERROR(__xludf.DUMMYFUNCTION("""COMPUTED_VALUE"""),"FORRO AUTOBROCANTE CARVALHO EUROPEU ALL BLACK 20/6 X 300 X 4000MM")</f>
        <v>FORRO AUTOBROCANTE CARVALHO EUROPEU ALL BLACK 20/6 X 300 X 4000MM</v>
      </c>
      <c r="H712" s="192" t="s">
        <v>799</v>
      </c>
      <c r="I712" s="182" t="str">
        <f t="shared" ca="1" si="4"/>
        <v/>
      </c>
      <c r="J712" s="193"/>
      <c r="K712" s="208" t="s">
        <v>2385</v>
      </c>
      <c r="L712" s="182" t="s">
        <v>2386</v>
      </c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94"/>
      <c r="Z712" s="194"/>
      <c r="AA712" s="194"/>
    </row>
    <row r="713" spans="1:27" ht="15.6">
      <c r="A713" s="182"/>
      <c r="B713" s="182"/>
      <c r="C713" s="182"/>
      <c r="D713" s="182"/>
      <c r="E713" s="182"/>
      <c r="F713" s="208"/>
      <c r="G713" s="182" t="str">
        <f ca="1">IFERROR(__xludf.DUMMYFUNCTION("""COMPUTED_VALUE"""),"FORRO AUTOBROCANTE CARVALHO EUROPEU ALL BLACK 20/6 X 400 X 5000MM")</f>
        <v>FORRO AUTOBROCANTE CARVALHO EUROPEU ALL BLACK 20/6 X 400 X 5000MM</v>
      </c>
      <c r="H713" s="192" t="s">
        <v>800</v>
      </c>
      <c r="I713" s="182" t="str">
        <f t="shared" ca="1" si="4"/>
        <v/>
      </c>
      <c r="J713" s="193"/>
      <c r="K713" s="208" t="s">
        <v>2387</v>
      </c>
      <c r="L713" s="182" t="s">
        <v>2388</v>
      </c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94"/>
      <c r="Z713" s="194"/>
      <c r="AA713" s="194"/>
    </row>
    <row r="714" spans="1:27" ht="15.6">
      <c r="A714" s="182"/>
      <c r="B714" s="182"/>
      <c r="C714" s="182"/>
      <c r="D714" s="182"/>
      <c r="E714" s="182"/>
      <c r="F714" s="208"/>
      <c r="G714" s="182" t="str">
        <f ca="1">IFERROR(__xludf.DUMMYFUNCTION("""COMPUTED_VALUE"""),"FORRO AUTOBROCANTE CARVALHO EUROPEU URBAN GREY CHEVRON 15/3 X 1900X 740MM")</f>
        <v>FORRO AUTOBROCANTE CARVALHO EUROPEU URBAN GREY CHEVRON 15/3 X 1900X 740MM</v>
      </c>
      <c r="H714" s="192" t="s">
        <v>801</v>
      </c>
      <c r="I714" s="182" t="str">
        <f t="shared" ca="1" si="4"/>
        <v/>
      </c>
      <c r="J714" s="193"/>
      <c r="K714" s="208" t="s">
        <v>2389</v>
      </c>
      <c r="L714" s="182" t="s">
        <v>2390</v>
      </c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94"/>
      <c r="Z714" s="194"/>
      <c r="AA714" s="194"/>
    </row>
    <row r="715" spans="1:27" ht="15.6">
      <c r="A715" s="182"/>
      <c r="B715" s="182"/>
      <c r="C715" s="182"/>
      <c r="D715" s="182"/>
      <c r="E715" s="182"/>
      <c r="F715" s="208"/>
      <c r="G715" s="182" t="str">
        <f ca="1">IFERROR(__xludf.DUMMYFUNCTION("""COMPUTED_VALUE"""),"FORRO AUTOBROCANTE CARVALHO EUROPEU URBAN GREY 15/3 X 125 X 1200MM")</f>
        <v>FORRO AUTOBROCANTE CARVALHO EUROPEU URBAN GREY 15/3 X 125 X 1200MM</v>
      </c>
      <c r="H715" s="192" t="s">
        <v>802</v>
      </c>
      <c r="I715" s="182" t="str">
        <f t="shared" ca="1" si="4"/>
        <v/>
      </c>
      <c r="J715" s="193"/>
      <c r="K715" s="208" t="s">
        <v>2391</v>
      </c>
      <c r="L715" s="182" t="s">
        <v>2392</v>
      </c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94"/>
      <c r="Z715" s="194"/>
      <c r="AA715" s="194"/>
    </row>
    <row r="716" spans="1:27" ht="15.6">
      <c r="A716" s="182"/>
      <c r="B716" s="182"/>
      <c r="C716" s="182"/>
      <c r="D716" s="182"/>
      <c r="E716" s="182"/>
      <c r="F716" s="208"/>
      <c r="G716" s="182" t="str">
        <f ca="1">IFERROR(__xludf.DUMMYFUNCTION("""COMPUTED_VALUE"""),"FORRO AUTOBROCANTE CARVALHO EUROPEU URBAN GREY 15/3 X 190 X 1900MM")</f>
        <v>FORRO AUTOBROCANTE CARVALHO EUROPEU URBAN GREY 15/3 X 190 X 1900MM</v>
      </c>
      <c r="H716" s="192" t="s">
        <v>803</v>
      </c>
      <c r="I716" s="182" t="str">
        <f t="shared" ca="1" si="4"/>
        <v/>
      </c>
      <c r="J716" s="193"/>
      <c r="K716" s="208" t="s">
        <v>2393</v>
      </c>
      <c r="L716" s="182" t="s">
        <v>2394</v>
      </c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94"/>
      <c r="Z716" s="194"/>
      <c r="AA716" s="194"/>
    </row>
    <row r="717" spans="1:27" ht="15.6">
      <c r="A717" s="182"/>
      <c r="B717" s="182"/>
      <c r="C717" s="182"/>
      <c r="D717" s="182"/>
      <c r="E717" s="182"/>
      <c r="F717" s="208"/>
      <c r="G717" s="182" t="str">
        <f ca="1">IFERROR(__xludf.DUMMYFUNCTION("""COMPUTED_VALUE"""),"FORRO AUTOBROCANTE CARVALHO EUROPEU URBAN GREY 20/6 X 300 X 4000MM")</f>
        <v>FORRO AUTOBROCANTE CARVALHO EUROPEU URBAN GREY 20/6 X 300 X 4000MM</v>
      </c>
      <c r="H717" s="192" t="s">
        <v>804</v>
      </c>
      <c r="I717" s="182" t="str">
        <f t="shared" ca="1" si="4"/>
        <v/>
      </c>
      <c r="J717" s="193"/>
      <c r="K717" s="208" t="s">
        <v>2395</v>
      </c>
      <c r="L717" s="182" t="s">
        <v>2396</v>
      </c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94"/>
      <c r="Z717" s="194"/>
      <c r="AA717" s="194"/>
    </row>
    <row r="718" spans="1:27" ht="15.6">
      <c r="A718" s="182"/>
      <c r="B718" s="182"/>
      <c r="C718" s="182"/>
      <c r="D718" s="182"/>
      <c r="E718" s="182"/>
      <c r="F718" s="208"/>
      <c r="G718" s="182" t="str">
        <f ca="1">IFERROR(__xludf.DUMMYFUNCTION("""COMPUTED_VALUE"""),"FORRO AUTOBROCANTE CARVALHO EUROPEU URBAN GREY 20/6 X 400 X 5000MM")</f>
        <v>FORRO AUTOBROCANTE CARVALHO EUROPEU URBAN GREY 20/6 X 400 X 5000MM</v>
      </c>
      <c r="H718" s="192" t="s">
        <v>805</v>
      </c>
      <c r="I718" s="182" t="str">
        <f t="shared" ca="1" si="4"/>
        <v/>
      </c>
      <c r="J718" s="193"/>
      <c r="K718" s="208" t="s">
        <v>2397</v>
      </c>
      <c r="L718" s="182" t="s">
        <v>2398</v>
      </c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94"/>
      <c r="Z718" s="194"/>
      <c r="AA718" s="194"/>
    </row>
    <row r="719" spans="1:27" ht="15.6">
      <c r="A719" s="182"/>
      <c r="B719" s="182"/>
      <c r="C719" s="182"/>
      <c r="D719" s="182"/>
      <c r="E719" s="182"/>
      <c r="F719" s="208"/>
      <c r="G719" s="182" t="str">
        <f ca="1">IFERROR(__xludf.DUMMYFUNCTION("""COMPUTED_VALUE"""),"FORRO AUTOBROCANTE CARVALHO EUROPEU CARAMEL CHEVRON 15/3 X 1900X 740MM")</f>
        <v>FORRO AUTOBROCANTE CARVALHO EUROPEU CARAMEL CHEVRON 15/3 X 1900X 740MM</v>
      </c>
      <c r="H719" s="192" t="s">
        <v>806</v>
      </c>
      <c r="I719" s="182" t="str">
        <f t="shared" ca="1" si="4"/>
        <v/>
      </c>
      <c r="J719" s="193"/>
      <c r="K719" s="208" t="s">
        <v>2399</v>
      </c>
      <c r="L719" s="182" t="s">
        <v>2400</v>
      </c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94"/>
      <c r="Z719" s="194"/>
      <c r="AA719" s="194"/>
    </row>
    <row r="720" spans="1:27" ht="15.6">
      <c r="A720" s="182"/>
      <c r="B720" s="182"/>
      <c r="C720" s="182"/>
      <c r="D720" s="182"/>
      <c r="E720" s="182"/>
      <c r="F720" s="208"/>
      <c r="G720" s="182" t="str">
        <f ca="1">IFERROR(__xludf.DUMMYFUNCTION("""COMPUTED_VALUE"""),"FORRO AUTOBROCANTE CARVALHO EUROPEU CARAMEL 15/3 X 125 X 1200MM")</f>
        <v>FORRO AUTOBROCANTE CARVALHO EUROPEU CARAMEL 15/3 X 125 X 1200MM</v>
      </c>
      <c r="H720" s="192" t="s">
        <v>807</v>
      </c>
      <c r="I720" s="182" t="str">
        <f t="shared" ca="1" si="4"/>
        <v/>
      </c>
      <c r="J720" s="193"/>
      <c r="K720" s="208" t="s">
        <v>2401</v>
      </c>
      <c r="L720" s="182" t="s">
        <v>869</v>
      </c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94"/>
      <c r="Z720" s="194"/>
      <c r="AA720" s="194"/>
    </row>
    <row r="721" spans="1:27" ht="15.6">
      <c r="A721" s="182"/>
      <c r="B721" s="182"/>
      <c r="C721" s="182"/>
      <c r="D721" s="182"/>
      <c r="E721" s="182"/>
      <c r="F721" s="208"/>
      <c r="G721" s="182" t="str">
        <f ca="1">IFERROR(__xludf.DUMMYFUNCTION("""COMPUTED_VALUE"""),"FORRO AUTOBROCANTE CARVALHO EUROPEU CARAMEL 15/3 X 190 X 1900MM")</f>
        <v>FORRO AUTOBROCANTE CARVALHO EUROPEU CARAMEL 15/3 X 190 X 1900MM</v>
      </c>
      <c r="H721" s="192" t="s">
        <v>808</v>
      </c>
      <c r="I721" s="182" t="str">
        <f t="shared" ca="1" si="4"/>
        <v/>
      </c>
      <c r="J721" s="193"/>
      <c r="K721" s="208" t="s">
        <v>2402</v>
      </c>
      <c r="L721" s="182" t="s">
        <v>870</v>
      </c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94"/>
      <c r="Z721" s="194"/>
      <c r="AA721" s="194"/>
    </row>
    <row r="722" spans="1:27" ht="15.6">
      <c r="A722" s="182"/>
      <c r="B722" s="182"/>
      <c r="C722" s="182"/>
      <c r="D722" s="182"/>
      <c r="E722" s="182"/>
      <c r="F722" s="208"/>
      <c r="G722" s="182" t="str">
        <f ca="1">IFERROR(__xludf.DUMMYFUNCTION("""COMPUTED_VALUE"""),"FORRO AUTOBROCANTE CARVALHO EUROPEU CARAMEL 20/6 X 300 X 4000MM")</f>
        <v>FORRO AUTOBROCANTE CARVALHO EUROPEU CARAMEL 20/6 X 300 X 4000MM</v>
      </c>
      <c r="H722" s="192" t="s">
        <v>809</v>
      </c>
      <c r="I722" s="182" t="str">
        <f t="shared" ca="1" si="4"/>
        <v/>
      </c>
      <c r="J722" s="193"/>
      <c r="K722" s="208" t="s">
        <v>2403</v>
      </c>
      <c r="L722" s="182" t="s">
        <v>871</v>
      </c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94"/>
      <c r="Z722" s="194"/>
      <c r="AA722" s="194"/>
    </row>
    <row r="723" spans="1:27" ht="15.6">
      <c r="A723" s="182"/>
      <c r="B723" s="182"/>
      <c r="C723" s="182"/>
      <c r="D723" s="182"/>
      <c r="E723" s="182"/>
      <c r="F723" s="208"/>
      <c r="G723" s="182" t="str">
        <f ca="1">IFERROR(__xludf.DUMMYFUNCTION("""COMPUTED_VALUE"""),"FORRO AUTOBROCANTE CARVALHO EUROPEU CARAMEL 20/6 X 400 X 5000MM")</f>
        <v>FORRO AUTOBROCANTE CARVALHO EUROPEU CARAMEL 20/6 X 400 X 5000MM</v>
      </c>
      <c r="H723" s="192" t="s">
        <v>810</v>
      </c>
      <c r="I723" s="182" t="str">
        <f t="shared" ca="1" si="4"/>
        <v/>
      </c>
      <c r="J723" s="193"/>
      <c r="K723" s="208" t="s">
        <v>2404</v>
      </c>
      <c r="L723" s="182" t="s">
        <v>872</v>
      </c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94"/>
      <c r="Z723" s="194"/>
      <c r="AA723" s="194"/>
    </row>
    <row r="724" spans="1:27" ht="15.6">
      <c r="A724" s="182"/>
      <c r="B724" s="182"/>
      <c r="C724" s="182"/>
      <c r="D724" s="182"/>
      <c r="E724" s="182"/>
      <c r="F724" s="208"/>
      <c r="G724" s="182" t="str">
        <f ca="1">IFERROR(__xludf.DUMMYFUNCTION("""COMPUTED_VALUE"""),"FORRO AUTOBROCANTE CARVALHO EUROPEU CHEMICAL CHEVRON TG 15/3*190*740MM")</f>
        <v>FORRO AUTOBROCANTE CARVALHO EUROPEU CHEMICAL CHEVRON TG 15/3*190*740MM</v>
      </c>
      <c r="H724" s="192" t="s">
        <v>811</v>
      </c>
      <c r="I724" s="182" t="str">
        <f t="shared" ca="1" si="4"/>
        <v/>
      </c>
      <c r="J724" s="193"/>
      <c r="K724" s="208" t="s">
        <v>2405</v>
      </c>
      <c r="L724" s="182" t="s">
        <v>873</v>
      </c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94"/>
      <c r="Z724" s="194"/>
      <c r="AA724" s="194"/>
    </row>
    <row r="725" spans="1:27" ht="15.6">
      <c r="A725" s="182"/>
      <c r="B725" s="182"/>
      <c r="C725" s="182"/>
      <c r="D725" s="182"/>
      <c r="E725" s="182"/>
      <c r="F725" s="208"/>
      <c r="G725" s="182" t="str">
        <f ca="1">IFERROR(__xludf.DUMMYFUNCTION("""COMPUTED_VALUE"""),"FORRO AUTOBROCANTE CARVALHO EUROPEU WHITE RUSTIC 15/4*189*1860MM")</f>
        <v>FORRO AUTOBROCANTE CARVALHO EUROPEU WHITE RUSTIC 15/4*189*1860MM</v>
      </c>
      <c r="H725" s="192" t="s">
        <v>812</v>
      </c>
      <c r="I725" s="182" t="str">
        <f t="shared" ca="1" si="4"/>
        <v/>
      </c>
      <c r="J725" s="193"/>
      <c r="K725" s="208" t="s">
        <v>2406</v>
      </c>
      <c r="L725" s="182" t="s">
        <v>874</v>
      </c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94"/>
      <c r="Z725" s="194"/>
      <c r="AA725" s="194"/>
    </row>
    <row r="726" spans="1:27" ht="15.6">
      <c r="A726" s="182"/>
      <c r="B726" s="182"/>
      <c r="C726" s="182"/>
      <c r="D726" s="182"/>
      <c r="E726" s="182"/>
      <c r="F726" s="208"/>
      <c r="G726" s="182" t="str">
        <f ca="1">IFERROR(__xludf.DUMMYFUNCTION("""COMPUTED_VALUE"""),"FORRO AUTOBROCANTE CARVALHO EUROPEU CUSTOMIZADO 14/3 X 12,7 X 186CM")</f>
        <v>FORRO AUTOBROCANTE CARVALHO EUROPEU CUSTOMIZADO 14/3 X 12,7 X 186CM</v>
      </c>
      <c r="H726" s="192" t="s">
        <v>813</v>
      </c>
      <c r="I726" s="182" t="str">
        <f t="shared" ca="1" si="4"/>
        <v/>
      </c>
      <c r="J726" s="193"/>
      <c r="K726" s="208" t="s">
        <v>2407</v>
      </c>
      <c r="L726" s="182" t="s">
        <v>875</v>
      </c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94"/>
      <c r="Z726" s="194"/>
      <c r="AA726" s="194"/>
    </row>
    <row r="727" spans="1:27" ht="15.6">
      <c r="A727" s="182"/>
      <c r="B727" s="182"/>
      <c r="C727" s="182"/>
      <c r="D727" s="182"/>
      <c r="E727" s="182"/>
      <c r="F727" s="208"/>
      <c r="G727" s="182" t="str">
        <f ca="1">IFERROR(__xludf.DUMMYFUNCTION("""COMPUTED_VALUE"""),"FORRO AUTOBROCANTE CARVALHO EUROPEU CUSTOMIZADO 2.0 X 19 X 190CM (C2)")</f>
        <v>FORRO AUTOBROCANTE CARVALHO EUROPEU CUSTOMIZADO 2.0 X 19 X 190CM (C2)</v>
      </c>
      <c r="H727" s="192" t="s">
        <v>814</v>
      </c>
      <c r="I727" s="182" t="str">
        <f t="shared" ref="I727:I938" ca="1" si="5">IFERROR(INDEX($D$3:$D$2001,MATCH(TRUE,ISNUMBER(FIND($B$3:$B$2001,G727)),0)),"")</f>
        <v/>
      </c>
      <c r="J727" s="193"/>
      <c r="K727" s="208" t="s">
        <v>2408</v>
      </c>
      <c r="L727" s="182" t="s">
        <v>876</v>
      </c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94"/>
      <c r="Z727" s="194"/>
      <c r="AA727" s="194"/>
    </row>
    <row r="728" spans="1:27" ht="15.6">
      <c r="A728" s="182"/>
      <c r="B728" s="182"/>
      <c r="C728" s="182"/>
      <c r="D728" s="182"/>
      <c r="E728" s="182"/>
      <c r="F728" s="208"/>
      <c r="G728" s="182" t="str">
        <f ca="1">IFERROR(__xludf.DUMMYFUNCTION("""COMPUTED_VALUE"""),"FORRO AUTOBROCANTE CARVALHO EUROPEU NATURAL CHEVRON TG 1.5/3 X 9X 51CM")</f>
        <v>FORRO AUTOBROCANTE CARVALHO EUROPEU NATURAL CHEVRON TG 1.5/3 X 9X 51CM</v>
      </c>
      <c r="H728" s="192" t="s">
        <v>815</v>
      </c>
      <c r="I728" s="182" t="str">
        <f t="shared" ca="1" si="5"/>
        <v/>
      </c>
      <c r="J728" s="193"/>
      <c r="K728" s="208" t="s">
        <v>2409</v>
      </c>
      <c r="L728" s="182" t="s">
        <v>877</v>
      </c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94"/>
      <c r="Z728" s="194"/>
      <c r="AA728" s="194"/>
    </row>
    <row r="729" spans="1:27" ht="15.6">
      <c r="A729" s="182"/>
      <c r="B729" s="182"/>
      <c r="C729" s="182"/>
      <c r="D729" s="182"/>
      <c r="E729" s="182"/>
      <c r="F729" s="208"/>
      <c r="G729" s="182" t="str">
        <f ca="1">IFERROR(__xludf.DUMMYFUNCTION("""COMPUTED_VALUE"""),"FORRO AUTOBROCANTE CARVALHO EUROPEU NATURAL CHEVRON TG 1.5/3 X 9X 51CM")</f>
        <v>FORRO AUTOBROCANTE CARVALHO EUROPEU NATURAL CHEVRON TG 1.5/3 X 9X 51CM</v>
      </c>
      <c r="H729" s="192" t="s">
        <v>816</v>
      </c>
      <c r="I729" s="182" t="str">
        <f t="shared" ca="1" si="5"/>
        <v/>
      </c>
      <c r="J729" s="193"/>
      <c r="K729" s="208" t="s">
        <v>2410</v>
      </c>
      <c r="L729" s="182" t="s">
        <v>878</v>
      </c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94"/>
      <c r="Z729" s="194"/>
      <c r="AA729" s="194"/>
    </row>
    <row r="730" spans="1:27" ht="15.6">
      <c r="A730" s="182"/>
      <c r="B730" s="182"/>
      <c r="C730" s="182"/>
      <c r="D730" s="182"/>
      <c r="E730" s="182"/>
      <c r="F730" s="208"/>
      <c r="G730" s="182" t="str">
        <f ca="1">IFERROR(__xludf.DUMMYFUNCTION("""COMPUTED_VALUE"""),"FORRO AUTOBROCANTE CARVALHO EUROPEU NUDE CHEVRON 60.. TG 15/3 X 190 X 90CM")</f>
        <v>FORRO AUTOBROCANTE CARVALHO EUROPEU NUDE CHEVRON 60.. TG 15/3 X 190 X 90CM</v>
      </c>
      <c r="H730" s="192" t="s">
        <v>816</v>
      </c>
      <c r="I730" s="182" t="str">
        <f t="shared" ca="1" si="5"/>
        <v/>
      </c>
      <c r="J730" s="193"/>
      <c r="K730" s="208" t="s">
        <v>2411</v>
      </c>
      <c r="L730" s="182" t="s">
        <v>879</v>
      </c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94"/>
      <c r="Z730" s="194"/>
      <c r="AA730" s="194"/>
    </row>
    <row r="731" spans="1:27" ht="15.6">
      <c r="A731" s="182"/>
      <c r="B731" s="182"/>
      <c r="C731" s="182"/>
      <c r="D731" s="182"/>
      <c r="E731" s="182"/>
      <c r="F731" s="208"/>
      <c r="G731" s="182" t="str">
        <f ca="1">IFERROR(__xludf.DUMMYFUNCTION("""COMPUTED_VALUE"""),"FORRO AUTOBROCANTE CARVALHO EUROPEU NUDE CHEVRON TG 1.5/3X 12.5X 63CM")</f>
        <v>FORRO AUTOBROCANTE CARVALHO EUROPEU NUDE CHEVRON TG 1.5/3X 12.5X 63CM</v>
      </c>
      <c r="H731" s="192" t="s">
        <v>818</v>
      </c>
      <c r="I731" s="182" t="str">
        <f t="shared" ca="1" si="5"/>
        <v/>
      </c>
      <c r="J731" s="193"/>
      <c r="K731" s="208" t="s">
        <v>2412</v>
      </c>
      <c r="L731" s="182" t="s">
        <v>880</v>
      </c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94"/>
      <c r="Z731" s="194"/>
      <c r="AA731" s="194"/>
    </row>
    <row r="732" spans="1:27" ht="15.6">
      <c r="A732" s="182"/>
      <c r="B732" s="182"/>
      <c r="C732" s="182"/>
      <c r="D732" s="182"/>
      <c r="E732" s="182"/>
      <c r="F732" s="208"/>
      <c r="G732" s="182" t="str">
        <f ca="1">IFERROR(__xludf.DUMMYFUNCTION("""COMPUTED_VALUE"""),"FORRO AUTOBROCANTE WALNUT 15/3 X 125 X 910MM")</f>
        <v>FORRO AUTOBROCANTE WALNUT 15/3 X 125 X 910MM</v>
      </c>
      <c r="H732" s="192" t="s">
        <v>819</v>
      </c>
      <c r="I732" s="182" t="str">
        <f t="shared" ca="1" si="5"/>
        <v/>
      </c>
      <c r="J732" s="193"/>
      <c r="K732" s="208" t="s">
        <v>2413</v>
      </c>
      <c r="L732" s="182" t="s">
        <v>881</v>
      </c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94"/>
      <c r="Z732" s="194"/>
      <c r="AA732" s="194"/>
    </row>
    <row r="733" spans="1:27" ht="15.6">
      <c r="A733" s="182"/>
      <c r="B733" s="182"/>
      <c r="C733" s="182"/>
      <c r="D733" s="182"/>
      <c r="E733" s="182"/>
      <c r="F733" s="208"/>
      <c r="G733" s="182" t="str">
        <f ca="1">IFERROR(__xludf.DUMMYFUNCTION("""COMPUTED_VALUE"""),"FORRO AUTOBROCANTE WALNUT 15/3 X 190 X 1900MM")</f>
        <v>FORRO AUTOBROCANTE WALNUT 15/3 X 190 X 1900MM</v>
      </c>
      <c r="H733" s="192" t="s">
        <v>820</v>
      </c>
      <c r="I733" s="182" t="str">
        <f t="shared" ca="1" si="5"/>
        <v/>
      </c>
      <c r="J733" s="193"/>
      <c r="K733" s="208" t="s">
        <v>2414</v>
      </c>
      <c r="L733" s="182" t="s">
        <v>882</v>
      </c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94"/>
      <c r="Z733" s="194"/>
      <c r="AA733" s="194"/>
    </row>
    <row r="734" spans="1:27" ht="15.6">
      <c r="A734" s="182"/>
      <c r="B734" s="182"/>
      <c r="C734" s="182"/>
      <c r="D734" s="182"/>
      <c r="E734" s="182"/>
      <c r="F734" s="208"/>
      <c r="G734" s="182" t="str">
        <f ca="1">IFERROR(__xludf.DUMMYFUNCTION("""COMPUTED_VALUE"""),"FORRO AUTOBROCANTE WALNUT 20/2 X 300 X 4000MM")</f>
        <v>FORRO AUTOBROCANTE WALNUT 20/2 X 300 X 4000MM</v>
      </c>
      <c r="H734" s="192" t="s">
        <v>821</v>
      </c>
      <c r="I734" s="182" t="str">
        <f t="shared" ca="1" si="5"/>
        <v/>
      </c>
      <c r="J734" s="193"/>
      <c r="K734" s="208" t="s">
        <v>2415</v>
      </c>
      <c r="L734" s="182" t="s">
        <v>883</v>
      </c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94"/>
      <c r="Z734" s="194"/>
      <c r="AA734" s="194"/>
    </row>
    <row r="735" spans="1:27" ht="15.6">
      <c r="A735" s="182"/>
      <c r="B735" s="182"/>
      <c r="C735" s="182"/>
      <c r="D735" s="182"/>
      <c r="E735" s="182"/>
      <c r="F735" s="208"/>
      <c r="G735" s="182" t="str">
        <f ca="1">IFERROR(__xludf.DUMMYFUNCTION("""COMPUTED_VALUE"""),"FORRO AUTOBROCANTE BAMBU ALTA DENS. CUST PREMIUM TG 1.5/4 X19X185CM")</f>
        <v>FORRO AUTOBROCANTE BAMBU ALTA DENS. CUST PREMIUM TG 1.5/4 X19X185CM</v>
      </c>
      <c r="H735" s="192" t="s">
        <v>822</v>
      </c>
      <c r="I735" s="182" t="str">
        <f t="shared" ca="1" si="5"/>
        <v/>
      </c>
      <c r="J735" s="193"/>
      <c r="K735" s="208" t="s">
        <v>2416</v>
      </c>
      <c r="L735" s="182" t="s">
        <v>884</v>
      </c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94"/>
      <c r="Z735" s="194"/>
      <c r="AA735" s="194"/>
    </row>
    <row r="736" spans="1:27" ht="15.6">
      <c r="A736" s="182"/>
      <c r="B736" s="182"/>
      <c r="C736" s="182"/>
      <c r="D736" s="182"/>
      <c r="E736" s="182"/>
      <c r="F736" s="208"/>
      <c r="G736" s="182" t="str">
        <f ca="1">IFERROR(__xludf.DUMMYFUNCTION("""COMPUTED_VALUE"""),"FORRO AUTOBROCANTE BAMBU CARAMEL ALTA DENSIDADE TG 1.5/4 X19X186CM")</f>
        <v>FORRO AUTOBROCANTE BAMBU CARAMEL ALTA DENSIDADE TG 1.5/4 X19X186CM</v>
      </c>
      <c r="H736" s="192" t="s">
        <v>823</v>
      </c>
      <c r="I736" s="182" t="str">
        <f t="shared" ca="1" si="5"/>
        <v/>
      </c>
      <c r="J736" s="193"/>
      <c r="K736" s="208" t="s">
        <v>2417</v>
      </c>
      <c r="L736" s="182" t="s">
        <v>885</v>
      </c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94"/>
      <c r="Z736" s="194"/>
      <c r="AA736" s="194"/>
    </row>
    <row r="737" spans="1:27" ht="15.6">
      <c r="A737" s="182"/>
      <c r="B737" s="182"/>
      <c r="C737" s="182"/>
      <c r="D737" s="182"/>
      <c r="E737" s="182"/>
      <c r="F737" s="208"/>
      <c r="G737" s="182" t="str">
        <f ca="1">IFERROR(__xludf.DUMMYFUNCTION("""COMPUTED_VALUE"""),"FORRO AUTOBROCANTE RIPADO CUMARU PREMIUM TG 1,8 X 3,5+0,5CM PROF. BIT 0")</f>
        <v>FORRO AUTOBROCANTE RIPADO CUMARU PREMIUM TG 1,8 X 3,5+0,5CM PROF. BIT 0</v>
      </c>
      <c r="H737" s="192" t="s">
        <v>824</v>
      </c>
      <c r="I737" s="182" t="str">
        <f t="shared" ca="1" si="5"/>
        <v/>
      </c>
      <c r="J737" s="193"/>
      <c r="K737" s="208" t="s">
        <v>2418</v>
      </c>
      <c r="L737" s="182" t="s">
        <v>886</v>
      </c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94"/>
      <c r="Z737" s="194"/>
      <c r="AA737" s="194"/>
    </row>
    <row r="738" spans="1:27" ht="15.6">
      <c r="A738" s="182"/>
      <c r="B738" s="182"/>
      <c r="C738" s="182"/>
      <c r="D738" s="182"/>
      <c r="E738" s="182"/>
      <c r="F738" s="208"/>
      <c r="G738" s="182" t="str">
        <f ca="1">IFERROR(__xludf.DUMMYFUNCTION("""COMPUTED_VALUE"""),"FORRO AUTOBROCANTE RIPADO CATUABA PREMIUM TG 1,8 X 3,5+0,5CM PROF. BIT 0")</f>
        <v>FORRO AUTOBROCANTE RIPADO CATUABA PREMIUM TG 1,8 X 3,5+0,5CM PROF. BIT 0</v>
      </c>
      <c r="I738" s="182" t="str">
        <f t="shared" ca="1" si="5"/>
        <v/>
      </c>
      <c r="J738" s="193"/>
      <c r="K738" s="208" t="s">
        <v>2419</v>
      </c>
      <c r="L738" s="182" t="s">
        <v>887</v>
      </c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94"/>
      <c r="Z738" s="194"/>
      <c r="AA738" s="194"/>
    </row>
    <row r="739" spans="1:27" ht="15.6">
      <c r="A739" s="182"/>
      <c r="B739" s="182"/>
      <c r="C739" s="182"/>
      <c r="D739" s="182"/>
      <c r="E739" s="182"/>
      <c r="F739" s="208"/>
      <c r="G739" s="182" t="str">
        <f ca="1">IFERROR(__xludf.DUMMYFUNCTION("""COMPUTED_VALUE"""),"FORRO AUTOBROCANTE RIPADO CABREUVA BRANCA PREMIUM TG 1,8 X 3,5+0,5CM PROF. BIT 0")</f>
        <v>FORRO AUTOBROCANTE RIPADO CABREUVA BRANCA PREMIUM TG 1,8 X 3,5+0,5CM PROF. BIT 0</v>
      </c>
      <c r="I739" s="182" t="str">
        <f t="shared" ca="1" si="5"/>
        <v/>
      </c>
      <c r="J739" s="193"/>
      <c r="K739" s="208" t="s">
        <v>2420</v>
      </c>
      <c r="L739" s="182" t="s">
        <v>888</v>
      </c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94"/>
      <c r="Z739" s="194"/>
      <c r="AA739" s="194"/>
    </row>
    <row r="740" spans="1:27" ht="15.6">
      <c r="A740" s="182"/>
      <c r="B740" s="182"/>
      <c r="C740" s="182"/>
      <c r="D740" s="182"/>
      <c r="E740" s="182"/>
      <c r="F740" s="208"/>
      <c r="G740" s="182" t="str">
        <f ca="1">IFERROR(__xludf.DUMMYFUNCTION("""COMPUTED_VALUE"""),"FORRO AUTOBROCANTE RIPADO CABREUVA DOURADA PREMIUM TG 1,8 X 3,5+0,5CM PROF. BIT 0")</f>
        <v>FORRO AUTOBROCANTE RIPADO CABREUVA DOURADA PREMIUM TG 1,8 X 3,5+0,5CM PROF. BIT 0</v>
      </c>
      <c r="I740" s="182" t="str">
        <f t="shared" ca="1" si="5"/>
        <v/>
      </c>
      <c r="J740" s="193"/>
      <c r="K740" s="208" t="s">
        <v>2421</v>
      </c>
      <c r="L740" s="182" t="s">
        <v>889</v>
      </c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94"/>
      <c r="Z740" s="194"/>
      <c r="AA740" s="194"/>
    </row>
    <row r="741" spans="1:27" ht="15.6">
      <c r="A741" s="182"/>
      <c r="B741" s="182"/>
      <c r="C741" s="182"/>
      <c r="D741" s="182"/>
      <c r="E741" s="182"/>
      <c r="F741" s="208"/>
      <c r="G741" s="182" t="str">
        <f ca="1">IFERROR(__xludf.DUMMYFUNCTION("""COMPUTED_VALUE"""),"FORRO AUTOBROCANTE RIPADO TAUARI PREMIUM TG 1,8 X 3,5+0,5CM PROF. BIT 0")</f>
        <v>FORRO AUTOBROCANTE RIPADO TAUARI PREMIUM TG 1,8 X 3,5+0,5CM PROF. BIT 0</v>
      </c>
      <c r="I741" s="182" t="str">
        <f t="shared" ca="1" si="5"/>
        <v/>
      </c>
      <c r="J741" s="193"/>
      <c r="K741" s="208" t="s">
        <v>2422</v>
      </c>
      <c r="L741" s="182" t="s">
        <v>890</v>
      </c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94"/>
      <c r="Z741" s="194"/>
      <c r="AA741" s="194"/>
    </row>
    <row r="742" spans="1:27" ht="15.6">
      <c r="A742" s="182"/>
      <c r="B742" s="182"/>
      <c r="C742" s="182"/>
      <c r="D742" s="182"/>
      <c r="E742" s="182"/>
      <c r="F742" s="208"/>
      <c r="G742" s="182" t="str">
        <f ca="1">IFERROR(__xludf.DUMMYFUNCTION("""COMPUTED_VALUE"""),"FORRO AUTOBROCANTE RIPADO PEROBA PREMIUM TG 1,8 X 3,5+0,5CM PROF. BIT 0")</f>
        <v>FORRO AUTOBROCANTE RIPADO PEROBA PREMIUM TG 1,8 X 3,5+0,5CM PROF. BIT 0</v>
      </c>
      <c r="I742" s="182" t="str">
        <f t="shared" ca="1" si="5"/>
        <v/>
      </c>
      <c r="J742" s="193"/>
      <c r="K742" s="208" t="s">
        <v>2423</v>
      </c>
      <c r="L742" s="182" t="s">
        <v>891</v>
      </c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94"/>
      <c r="Z742" s="194"/>
      <c r="AA742" s="194"/>
    </row>
    <row r="743" spans="1:27" ht="15.6">
      <c r="A743" s="182"/>
      <c r="B743" s="182"/>
      <c r="C743" s="182"/>
      <c r="D743" s="182"/>
      <c r="E743" s="182"/>
      <c r="F743" s="208"/>
      <c r="G743" s="182" t="str">
        <f ca="1">IFERROR(__xludf.DUMMYFUNCTION("""COMPUTED_VALUE"""),"FORRO AUTOBROCANTE RIPADO LORO PARDO PREMIUM TG 1,8 X 3,5+0,5CM PROF. BIT 0")</f>
        <v>FORRO AUTOBROCANTE RIPADO LORO PARDO PREMIUM TG 1,8 X 3,5+0,5CM PROF. BIT 0</v>
      </c>
      <c r="I743" s="182" t="str">
        <f t="shared" ca="1" si="5"/>
        <v/>
      </c>
      <c r="J743" s="193"/>
      <c r="K743" s="208" t="s">
        <v>2424</v>
      </c>
      <c r="L743" s="182" t="s">
        <v>892</v>
      </c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94"/>
      <c r="Z743" s="194"/>
      <c r="AA743" s="194"/>
    </row>
    <row r="744" spans="1:27" ht="15.6">
      <c r="A744" s="182"/>
      <c r="B744" s="182"/>
      <c r="C744" s="182"/>
      <c r="D744" s="182"/>
      <c r="E744" s="182"/>
      <c r="F744" s="208"/>
      <c r="G744" s="182" t="str">
        <f ca="1">IFERROR(__xludf.DUMMYFUNCTION("""COMPUTED_VALUE"""),"FORRO AUTOBROCANTE CUMARU MULTI PREMIUM 19 X 190 X 600 A 2200MM")</f>
        <v>FORRO AUTOBROCANTE CUMARU MULTI PREMIUM 19 X 190 X 600 A 2200MM</v>
      </c>
      <c r="I744" s="182" t="str">
        <f t="shared" ca="1" si="5"/>
        <v/>
      </c>
      <c r="J744" s="193"/>
      <c r="K744" s="208" t="s">
        <v>2425</v>
      </c>
      <c r="L744" s="182" t="s">
        <v>893</v>
      </c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94"/>
      <c r="Z744" s="194"/>
      <c r="AA744" s="194"/>
    </row>
    <row r="745" spans="1:27" ht="15.6">
      <c r="A745" s="182"/>
      <c r="B745" s="182"/>
      <c r="C745" s="182"/>
      <c r="D745" s="182"/>
      <c r="E745" s="182"/>
      <c r="F745" s="208"/>
      <c r="G745" s="182" t="str">
        <f ca="1">IFERROR(__xludf.DUMMYFUNCTION("""COMPUTED_VALUE"""),"FORRO AUTOBROCANTE CATUABA MULTI PREMIUM 19 X 190 X 600 A 2200MM")</f>
        <v>FORRO AUTOBROCANTE CATUABA MULTI PREMIUM 19 X 190 X 600 A 2200MM</v>
      </c>
      <c r="H745" s="192" t="s">
        <v>832</v>
      </c>
      <c r="I745" s="182" t="str">
        <f t="shared" ca="1" si="5"/>
        <v/>
      </c>
      <c r="J745" s="193"/>
      <c r="K745" s="208" t="s">
        <v>2426</v>
      </c>
      <c r="L745" s="182" t="s">
        <v>894</v>
      </c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94"/>
      <c r="Z745" s="194"/>
      <c r="AA745" s="194"/>
    </row>
    <row r="746" spans="1:27" ht="15.6">
      <c r="A746" s="182"/>
      <c r="B746" s="182"/>
      <c r="C746" s="182"/>
      <c r="D746" s="182"/>
      <c r="E746" s="182"/>
      <c r="F746" s="208"/>
      <c r="G746" s="182" t="str">
        <f ca="1">IFERROR(__xludf.DUMMYFUNCTION("""COMPUTED_VALUE"""),"FORRO AUTOBROCANTE CABREUVA BRACA MULTI PREMIUM 19 X 190 X 600 A 2200MM")</f>
        <v>FORRO AUTOBROCANTE CABREUVA BRACA MULTI PREMIUM 19 X 190 X 600 A 2200MM</v>
      </c>
      <c r="H746" s="192" t="s">
        <v>833</v>
      </c>
      <c r="I746" s="182" t="str">
        <f t="shared" ca="1" si="5"/>
        <v/>
      </c>
      <c r="J746" s="193"/>
      <c r="K746" s="208" t="s">
        <v>2427</v>
      </c>
      <c r="L746" s="182" t="s">
        <v>895</v>
      </c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94"/>
      <c r="Z746" s="194"/>
      <c r="AA746" s="194"/>
    </row>
    <row r="747" spans="1:27" ht="15.6">
      <c r="A747" s="182"/>
      <c r="B747" s="182"/>
      <c r="C747" s="182"/>
      <c r="D747" s="182"/>
      <c r="E747" s="182"/>
      <c r="F747" s="208"/>
      <c r="G747" s="182" t="str">
        <f ca="1">IFERROR(__xludf.DUMMYFUNCTION("""COMPUTED_VALUE"""),"FORRO AUTOBROCANTE CABREUVA DOURADA MULTI PREMIUM 19 X 190 X 600 A 2200MM")</f>
        <v>FORRO AUTOBROCANTE CABREUVA DOURADA MULTI PREMIUM 19 X 190 X 600 A 2200MM</v>
      </c>
      <c r="H747" s="192" t="s">
        <v>834</v>
      </c>
      <c r="I747" s="182" t="str">
        <f t="shared" ca="1" si="5"/>
        <v/>
      </c>
      <c r="J747" s="193"/>
      <c r="K747" s="208" t="s">
        <v>2428</v>
      </c>
      <c r="L747" s="182" t="s">
        <v>896</v>
      </c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94"/>
      <c r="Z747" s="194"/>
      <c r="AA747" s="194"/>
    </row>
    <row r="748" spans="1:27" ht="15.6">
      <c r="A748" s="182"/>
      <c r="B748" s="182"/>
      <c r="C748" s="182"/>
      <c r="D748" s="182"/>
      <c r="E748" s="182"/>
      <c r="F748" s="208"/>
      <c r="G748" s="182" t="str">
        <f ca="1">IFERROR(__xludf.DUMMYFUNCTION("""COMPUTED_VALUE"""),"FORRO AUTOBROCANTE TAUARI MULTI PREMIUM 19 X 190 X 600 A 2200MM")</f>
        <v>FORRO AUTOBROCANTE TAUARI MULTI PREMIUM 19 X 190 X 600 A 2200MM</v>
      </c>
      <c r="H748" s="192" t="s">
        <v>835</v>
      </c>
      <c r="I748" s="182" t="str">
        <f t="shared" ca="1" si="5"/>
        <v/>
      </c>
      <c r="J748" s="193"/>
      <c r="K748" s="208" t="s">
        <v>2429</v>
      </c>
      <c r="L748" s="182" t="s">
        <v>897</v>
      </c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94"/>
      <c r="Z748" s="194"/>
      <c r="AA748" s="194"/>
    </row>
    <row r="749" spans="1:27" ht="15.6">
      <c r="A749" s="182"/>
      <c r="B749" s="182"/>
      <c r="C749" s="182"/>
      <c r="D749" s="182"/>
      <c r="E749" s="182"/>
      <c r="F749" s="208"/>
      <c r="G749" s="182" t="str">
        <f ca="1">IFERROR(__xludf.DUMMYFUNCTION("""COMPUTED_VALUE"""),"FORRO AUTOBROCANTE PEROBA MULTI PREMIUM 19 X 190 X 600 A 2200MM")</f>
        <v>FORRO AUTOBROCANTE PEROBA MULTI PREMIUM 19 X 190 X 600 A 2200MM</v>
      </c>
      <c r="H749" s="192" t="s">
        <v>836</v>
      </c>
      <c r="I749" s="182" t="str">
        <f t="shared" ca="1" si="5"/>
        <v/>
      </c>
      <c r="J749" s="193"/>
      <c r="K749" s="208" t="s">
        <v>2430</v>
      </c>
      <c r="L749" s="182" t="s">
        <v>898</v>
      </c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94"/>
      <c r="Z749" s="194"/>
      <c r="AA749" s="194"/>
    </row>
    <row r="750" spans="1:27" ht="15.6">
      <c r="A750" s="182"/>
      <c r="B750" s="182"/>
      <c r="C750" s="182"/>
      <c r="D750" s="182"/>
      <c r="E750" s="182"/>
      <c r="F750" s="208"/>
      <c r="G750" s="182" t="str">
        <f ca="1">IFERROR(__xludf.DUMMYFUNCTION("""COMPUTED_VALUE"""),"FORRO AUTOBROCANTE LORO PARDO MULTI PREMIUM 19 X 190 X 600 A 2200MM")</f>
        <v>FORRO AUTOBROCANTE LORO PARDO MULTI PREMIUM 19 X 190 X 600 A 2200MM</v>
      </c>
      <c r="H750" s="192" t="s">
        <v>837</v>
      </c>
      <c r="I750" s="182" t="str">
        <f t="shared" ca="1" si="5"/>
        <v/>
      </c>
      <c r="J750" s="193"/>
      <c r="K750" s="208" t="s">
        <v>2431</v>
      </c>
      <c r="L750" s="182" t="s">
        <v>899</v>
      </c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94"/>
      <c r="Z750" s="194"/>
      <c r="AA750" s="194"/>
    </row>
    <row r="751" spans="1:27" ht="15.6">
      <c r="A751" s="182"/>
      <c r="B751" s="182"/>
      <c r="C751" s="182"/>
      <c r="D751" s="182"/>
      <c r="E751" s="182"/>
      <c r="F751" s="208"/>
      <c r="G751" s="182" t="str">
        <f ca="1">IFERROR(__xludf.DUMMYFUNCTION("""COMPUTED_VALUE"""),"FORRO AUTOBROCANTE MUXARABI CUMARU PREMIUM")</f>
        <v>FORRO AUTOBROCANTE MUXARABI CUMARU PREMIUM</v>
      </c>
      <c r="H751" s="192" t="s">
        <v>838</v>
      </c>
      <c r="I751" s="182" t="str">
        <f t="shared" ca="1" si="5"/>
        <v/>
      </c>
      <c r="J751" s="193"/>
      <c r="K751" s="208" t="s">
        <v>2432</v>
      </c>
      <c r="L751" s="182" t="s">
        <v>900</v>
      </c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94"/>
      <c r="Z751" s="194"/>
      <c r="AA751" s="194"/>
    </row>
    <row r="752" spans="1:27" ht="15.6">
      <c r="A752" s="182"/>
      <c r="B752" s="182"/>
      <c r="C752" s="182"/>
      <c r="D752" s="182"/>
      <c r="E752" s="182"/>
      <c r="F752" s="208"/>
      <c r="G752" s="182" t="str">
        <f ca="1">IFERROR(__xludf.DUMMYFUNCTION("""COMPUTED_VALUE"""),"FORRO AUTOBROCANTE MUXARABI CATUABA PREMIUM")</f>
        <v>FORRO AUTOBROCANTE MUXARABI CATUABA PREMIUM</v>
      </c>
      <c r="I752" s="182" t="str">
        <f t="shared" ca="1" si="5"/>
        <v/>
      </c>
      <c r="J752" s="193"/>
      <c r="K752" s="208" t="s">
        <v>2433</v>
      </c>
      <c r="L752" s="182" t="s">
        <v>901</v>
      </c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94"/>
      <c r="Z752" s="194"/>
      <c r="AA752" s="194"/>
    </row>
    <row r="753" spans="1:27" ht="15.6">
      <c r="A753" s="182"/>
      <c r="B753" s="182"/>
      <c r="C753" s="182"/>
      <c r="D753" s="182"/>
      <c r="E753" s="182"/>
      <c r="F753" s="208"/>
      <c r="G753" s="182" t="str">
        <f ca="1">IFERROR(__xludf.DUMMYFUNCTION("""COMPUTED_VALUE"""),"FORRO AUTOBROCANTE MUXARABI CABREUVA BRANCA PREMIUM")</f>
        <v>FORRO AUTOBROCANTE MUXARABI CABREUVA BRANCA PREMIUM</v>
      </c>
      <c r="I753" s="182" t="str">
        <f t="shared" ca="1" si="5"/>
        <v/>
      </c>
      <c r="J753" s="193"/>
      <c r="K753" s="208" t="s">
        <v>2434</v>
      </c>
      <c r="L753" s="182" t="s">
        <v>902</v>
      </c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94"/>
      <c r="Z753" s="194"/>
      <c r="AA753" s="194"/>
    </row>
    <row r="754" spans="1:27" ht="15.6">
      <c r="A754" s="182"/>
      <c r="B754" s="182"/>
      <c r="C754" s="182"/>
      <c r="D754" s="182"/>
      <c r="E754" s="182"/>
      <c r="F754" s="208"/>
      <c r="G754" s="182" t="str">
        <f ca="1">IFERROR(__xludf.DUMMYFUNCTION("""COMPUTED_VALUE"""),"FORRO AUTOBROCANTE MUXARABI CABREUVA DOURADA PREMIUM")</f>
        <v>FORRO AUTOBROCANTE MUXARABI CABREUVA DOURADA PREMIUM</v>
      </c>
      <c r="I754" s="182" t="str">
        <f t="shared" ca="1" si="5"/>
        <v/>
      </c>
      <c r="J754" s="193"/>
      <c r="K754" s="208" t="s">
        <v>2435</v>
      </c>
      <c r="L754" s="182" t="s">
        <v>903</v>
      </c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94"/>
      <c r="Z754" s="194"/>
      <c r="AA754" s="194"/>
    </row>
    <row r="755" spans="1:27" ht="15.6">
      <c r="A755" s="182"/>
      <c r="B755" s="182"/>
      <c r="C755" s="182"/>
      <c r="D755" s="182"/>
      <c r="E755" s="182"/>
      <c r="F755" s="208"/>
      <c r="G755" s="182" t="str">
        <f ca="1">IFERROR(__xludf.DUMMYFUNCTION("""COMPUTED_VALUE"""),"FORRO AUTOBROCANTE MUXARABI TAUARI PREMIUM")</f>
        <v>FORRO AUTOBROCANTE MUXARABI TAUARI PREMIUM</v>
      </c>
      <c r="I755" s="182" t="str">
        <f t="shared" ca="1" si="5"/>
        <v/>
      </c>
      <c r="J755" s="193"/>
      <c r="K755" s="208" t="s">
        <v>2436</v>
      </c>
      <c r="L755" s="182" t="s">
        <v>904</v>
      </c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94"/>
      <c r="Z755" s="194"/>
      <c r="AA755" s="194"/>
    </row>
    <row r="756" spans="1:27" ht="15.6">
      <c r="A756" s="182"/>
      <c r="B756" s="182"/>
      <c r="C756" s="182"/>
      <c r="D756" s="182"/>
      <c r="E756" s="182"/>
      <c r="F756" s="208"/>
      <c r="G756" s="182" t="str">
        <f ca="1">IFERROR(__xludf.DUMMYFUNCTION("""COMPUTED_VALUE"""),"FORRO AUTOBROCANTE MUXARABI PEROBA PREMIUM")</f>
        <v>FORRO AUTOBROCANTE MUXARABI PEROBA PREMIUM</v>
      </c>
      <c r="I756" s="182" t="str">
        <f t="shared" ca="1" si="5"/>
        <v/>
      </c>
      <c r="J756" s="193"/>
      <c r="K756" s="208" t="s">
        <v>2437</v>
      </c>
      <c r="L756" s="182" t="s">
        <v>905</v>
      </c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94"/>
      <c r="Z756" s="194"/>
      <c r="AA756" s="194"/>
    </row>
    <row r="757" spans="1:27" ht="15.6">
      <c r="A757" s="182"/>
      <c r="B757" s="182"/>
      <c r="C757" s="182"/>
      <c r="D757" s="182"/>
      <c r="E757" s="182"/>
      <c r="F757" s="208"/>
      <c r="G757" s="182" t="str">
        <f ca="1">IFERROR(__xludf.DUMMYFUNCTION("""COMPUTED_VALUE"""),"FORRO AUTOBROCANTE MUXARABI LORO PARDO PREMIUM")</f>
        <v>FORRO AUTOBROCANTE MUXARABI LORO PARDO PREMIUM</v>
      </c>
      <c r="I757" s="182" t="str">
        <f t="shared" ca="1" si="5"/>
        <v/>
      </c>
      <c r="J757" s="193"/>
      <c r="K757" s="208" t="s">
        <v>2438</v>
      </c>
      <c r="L757" s="182" t="s">
        <v>906</v>
      </c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94"/>
      <c r="Z757" s="194"/>
      <c r="AA757" s="194"/>
    </row>
    <row r="758" spans="1:27" ht="15.6">
      <c r="A758" s="182"/>
      <c r="B758" s="182"/>
      <c r="C758" s="182"/>
      <c r="D758" s="182"/>
      <c r="E758" s="182"/>
      <c r="F758" s="208"/>
      <c r="G758" s="182" t="str">
        <f ca="1">IFERROR(__xludf.DUMMYFUNCTION("""COMPUTED_VALUE"""),"FORRO AUTOBROCANTE TOBLERONE CUMARU PREMIUM 3 X 3 COMPR. VARIAVEIS")</f>
        <v>FORRO AUTOBROCANTE TOBLERONE CUMARU PREMIUM 3 X 3 COMPR. VARIAVEIS</v>
      </c>
      <c r="I758" s="182" t="str">
        <f t="shared" ca="1" si="5"/>
        <v/>
      </c>
      <c r="J758" s="193"/>
      <c r="K758" s="208" t="s">
        <v>2439</v>
      </c>
      <c r="L758" s="182" t="s">
        <v>907</v>
      </c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94"/>
      <c r="Z758" s="194"/>
      <c r="AA758" s="194"/>
    </row>
    <row r="759" spans="1:27" ht="15.6">
      <c r="A759" s="182"/>
      <c r="B759" s="182"/>
      <c r="C759" s="182"/>
      <c r="D759" s="182"/>
      <c r="E759" s="182"/>
      <c r="F759" s="208"/>
      <c r="G759" s="182" t="str">
        <f ca="1">IFERROR(__xludf.DUMMYFUNCTION("""COMPUTED_VALUE"""),"FORRO AUTOBROCANTE TOBLERONE CATUABA PREMIUM 3 X 3 COMPR. VARIAVEIS")</f>
        <v>FORRO AUTOBROCANTE TOBLERONE CATUABA PREMIUM 3 X 3 COMPR. VARIAVEIS</v>
      </c>
      <c r="I759" s="182" t="str">
        <f t="shared" ca="1" si="5"/>
        <v/>
      </c>
      <c r="J759" s="193"/>
      <c r="K759" s="208" t="s">
        <v>2440</v>
      </c>
      <c r="L759" s="182" t="s">
        <v>908</v>
      </c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94"/>
      <c r="Z759" s="194"/>
      <c r="AA759" s="194"/>
    </row>
    <row r="760" spans="1:27" ht="15.6">
      <c r="A760" s="182"/>
      <c r="B760" s="182"/>
      <c r="C760" s="182"/>
      <c r="D760" s="182"/>
      <c r="E760" s="182"/>
      <c r="F760" s="208"/>
      <c r="G760" s="182" t="str">
        <f ca="1">IFERROR(__xludf.DUMMYFUNCTION("""COMPUTED_VALUE"""),"FORRO AUTOBROCANTE TOBLERONE CABREUVA BRANCA PREMIUM 3 X 3 COMPR. VARIAVEIS")</f>
        <v>FORRO AUTOBROCANTE TOBLERONE CABREUVA BRANCA PREMIUM 3 X 3 COMPR. VARIAVEIS</v>
      </c>
      <c r="I760" s="182" t="str">
        <f t="shared" ca="1" si="5"/>
        <v/>
      </c>
      <c r="J760" s="193"/>
      <c r="K760" s="208" t="s">
        <v>2441</v>
      </c>
      <c r="L760" s="182" t="s">
        <v>909</v>
      </c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94"/>
      <c r="Z760" s="194"/>
      <c r="AA760" s="194"/>
    </row>
    <row r="761" spans="1:27" ht="15.6">
      <c r="A761" s="182"/>
      <c r="B761" s="182"/>
      <c r="C761" s="182"/>
      <c r="D761" s="182"/>
      <c r="E761" s="182"/>
      <c r="F761" s="208"/>
      <c r="G761" s="182" t="str">
        <f ca="1">IFERROR(__xludf.DUMMYFUNCTION("""COMPUTED_VALUE"""),"FORRO AUTOBROCANTE TOBLERONE CABREUVA DOURADA PREMIUM 3 X 3 COMPR. VARIAVEIS")</f>
        <v>FORRO AUTOBROCANTE TOBLERONE CABREUVA DOURADA PREMIUM 3 X 3 COMPR. VARIAVEIS</v>
      </c>
      <c r="I761" s="182" t="str">
        <f t="shared" ca="1" si="5"/>
        <v/>
      </c>
      <c r="J761" s="193"/>
      <c r="K761" s="208" t="s">
        <v>2442</v>
      </c>
      <c r="L761" s="182" t="s">
        <v>910</v>
      </c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94"/>
      <c r="Z761" s="194"/>
      <c r="AA761" s="194"/>
    </row>
    <row r="762" spans="1:27" ht="15.6">
      <c r="A762" s="182"/>
      <c r="B762" s="182"/>
      <c r="C762" s="182"/>
      <c r="D762" s="182"/>
      <c r="E762" s="182"/>
      <c r="F762" s="208"/>
      <c r="G762" s="182" t="str">
        <f ca="1">IFERROR(__xludf.DUMMYFUNCTION("""COMPUTED_VALUE"""),"FORRO AUTOBROCANTE TOBLERONE TAUARI PREMIUM 3 X 3 COMPR. VARIAVEIS")</f>
        <v>FORRO AUTOBROCANTE TOBLERONE TAUARI PREMIUM 3 X 3 COMPR. VARIAVEIS</v>
      </c>
      <c r="I762" s="182" t="str">
        <f t="shared" ca="1" si="5"/>
        <v/>
      </c>
      <c r="J762" s="193"/>
      <c r="K762" s="208" t="s">
        <v>2443</v>
      </c>
      <c r="L762" s="182" t="s">
        <v>911</v>
      </c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94"/>
      <c r="Z762" s="194"/>
      <c r="AA762" s="194"/>
    </row>
    <row r="763" spans="1:27" ht="15.6">
      <c r="A763" s="182"/>
      <c r="B763" s="182"/>
      <c r="C763" s="182"/>
      <c r="D763" s="182"/>
      <c r="E763" s="182"/>
      <c r="F763" s="208"/>
      <c r="G763" s="182" t="str">
        <f ca="1">IFERROR(__xludf.DUMMYFUNCTION("""COMPUTED_VALUE"""),"FORRO AUTOBROCANTE TOBLERONE PEROBA PREMIUM 3 X 3 COMPR. VARIAVEIS")</f>
        <v>FORRO AUTOBROCANTE TOBLERONE PEROBA PREMIUM 3 X 3 COMPR. VARIAVEIS</v>
      </c>
      <c r="I763" s="182" t="str">
        <f t="shared" ca="1" si="5"/>
        <v/>
      </c>
      <c r="J763" s="193"/>
      <c r="K763" s="208" t="s">
        <v>2444</v>
      </c>
      <c r="L763" s="182" t="s">
        <v>912</v>
      </c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94"/>
      <c r="Z763" s="194"/>
      <c r="AA763" s="194"/>
    </row>
    <row r="764" spans="1:27" ht="15.6">
      <c r="A764" s="182"/>
      <c r="B764" s="182"/>
      <c r="C764" s="182"/>
      <c r="D764" s="182"/>
      <c r="E764" s="182"/>
      <c r="F764" s="208"/>
      <c r="G764" s="182" t="str">
        <f ca="1">IFERROR(__xludf.DUMMYFUNCTION("""COMPUTED_VALUE"""),"FORRO AUTOBROCANTE TOBLERONE LORO PARDO PREMIUM 3 X 3 COMPR. VARIAVEIS")</f>
        <v>FORRO AUTOBROCANTE TOBLERONE LORO PARDO PREMIUM 3 X 3 COMPR. VARIAVEIS</v>
      </c>
      <c r="I764" s="182" t="str">
        <f t="shared" ca="1" si="5"/>
        <v/>
      </c>
      <c r="J764" s="193"/>
      <c r="K764" s="208" t="s">
        <v>2445</v>
      </c>
      <c r="L764" s="182" t="s">
        <v>913</v>
      </c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94"/>
      <c r="Z764" s="194"/>
      <c r="AA764" s="194"/>
    </row>
    <row r="765" spans="1:27" ht="15.6">
      <c r="A765" s="182"/>
      <c r="B765" s="182"/>
      <c r="C765" s="182"/>
      <c r="D765" s="182"/>
      <c r="E765" s="182"/>
      <c r="F765" s="208"/>
      <c r="G765" s="182" t="str">
        <f ca="1">IFERROR(__xludf.DUMMYFUNCTION("""COMPUTED_VALUE"""),"FORRO AUTOBROCANTE DECK CUMARU PREMIUM TG 2,5 X 5 X COMPR. VARIAVEIS")</f>
        <v>FORRO AUTOBROCANTE DECK CUMARU PREMIUM TG 2,5 X 5 X COMPR. VARIAVEIS</v>
      </c>
      <c r="I765" s="182" t="str">
        <f t="shared" ca="1" si="5"/>
        <v/>
      </c>
      <c r="J765" s="193"/>
      <c r="K765" s="208" t="s">
        <v>2446</v>
      </c>
      <c r="L765" s="182" t="s">
        <v>914</v>
      </c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94"/>
      <c r="Z765" s="194"/>
      <c r="AA765" s="194"/>
    </row>
    <row r="766" spans="1:27" ht="15.6">
      <c r="A766" s="182"/>
      <c r="B766" s="182"/>
      <c r="C766" s="182"/>
      <c r="D766" s="182"/>
      <c r="E766" s="182"/>
      <c r="F766" s="208"/>
      <c r="G766" s="182" t="str">
        <f ca="1">IFERROR(__xludf.DUMMYFUNCTION("""COMPUTED_VALUE"""),"FORRO AUTOBROCANTE DECK CUMARU PREMIUM TG 2,5 X 10 X COMPR. VARIAVEIS")</f>
        <v>FORRO AUTOBROCANTE DECK CUMARU PREMIUM TG 2,5 X 10 X COMPR. VARIAVEIS</v>
      </c>
      <c r="H766" s="192" t="s">
        <v>2376</v>
      </c>
      <c r="I766" s="182" t="str">
        <f t="shared" ca="1" si="5"/>
        <v/>
      </c>
      <c r="J766" s="193"/>
      <c r="K766" s="208" t="s">
        <v>2447</v>
      </c>
      <c r="L766" s="182" t="s">
        <v>915</v>
      </c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94"/>
      <c r="Z766" s="194"/>
      <c r="AA766" s="194"/>
    </row>
    <row r="767" spans="1:27" ht="15.6">
      <c r="A767" s="182"/>
      <c r="B767" s="182"/>
      <c r="C767" s="182"/>
      <c r="D767" s="182"/>
      <c r="E767" s="182"/>
      <c r="F767" s="208"/>
      <c r="G767" s="182" t="str">
        <f ca="1">IFERROR(__xludf.DUMMYFUNCTION("""COMPUTED_VALUE"""),"FORRO AUTOBROCANTE DECK CATUABA PREMIUM TG 2,5 X 5 X COMPR. VARIAVEIS")</f>
        <v>FORRO AUTOBROCANTE DECK CATUABA PREMIUM TG 2,5 X 5 X COMPR. VARIAVEIS</v>
      </c>
      <c r="H767" s="192" t="s">
        <v>2378</v>
      </c>
      <c r="I767" s="182" t="str">
        <f t="shared" ca="1" si="5"/>
        <v/>
      </c>
      <c r="J767" s="193"/>
      <c r="K767" s="208" t="s">
        <v>2448</v>
      </c>
      <c r="L767" s="182" t="s">
        <v>916</v>
      </c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94"/>
      <c r="Z767" s="194"/>
      <c r="AA767" s="194"/>
    </row>
    <row r="768" spans="1:27" ht="15.6">
      <c r="A768" s="182"/>
      <c r="B768" s="182"/>
      <c r="C768" s="182"/>
      <c r="D768" s="182"/>
      <c r="E768" s="182"/>
      <c r="F768" s="208"/>
      <c r="G768" s="182" t="str">
        <f ca="1">IFERROR(__xludf.DUMMYFUNCTION("""COMPUTED_VALUE"""),"FORRO AUTOBROCANTE DECK CATUABA PREMIUM TG 2,5 X 10 X COMPR. VARIAVEIS")</f>
        <v>FORRO AUTOBROCANTE DECK CATUABA PREMIUM TG 2,5 X 10 X COMPR. VARIAVEIS</v>
      </c>
      <c r="H768" s="192" t="s">
        <v>2380</v>
      </c>
      <c r="I768" s="182" t="str">
        <f t="shared" ca="1" si="5"/>
        <v/>
      </c>
      <c r="J768" s="193"/>
      <c r="K768" s="208" t="s">
        <v>2449</v>
      </c>
      <c r="L768" s="182" t="s">
        <v>917</v>
      </c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94"/>
      <c r="Z768" s="194"/>
      <c r="AA768" s="194"/>
    </row>
    <row r="769" spans="1:27" ht="15.6">
      <c r="A769" s="182"/>
      <c r="B769" s="182"/>
      <c r="C769" s="182"/>
      <c r="D769" s="182"/>
      <c r="E769" s="182"/>
      <c r="F769" s="208"/>
      <c r="G769" s="182" t="str">
        <f ca="1">IFERROR(__xludf.DUMMYFUNCTION("""COMPUTED_VALUE"""),"FORRO AUTOBROCANTE DECK CABREUVA BRANCA PREMIUM TG 2,5 X 5 X COMPR. VARIAVEIS")</f>
        <v>FORRO AUTOBROCANTE DECK CABREUVA BRANCA PREMIUM TG 2,5 X 5 X COMPR. VARIAVEIS</v>
      </c>
      <c r="H769" s="192" t="s">
        <v>2382</v>
      </c>
      <c r="I769" s="182" t="str">
        <f t="shared" ca="1" si="5"/>
        <v/>
      </c>
      <c r="J769" s="193"/>
      <c r="K769" s="208" t="s">
        <v>2450</v>
      </c>
      <c r="L769" s="182" t="s">
        <v>918</v>
      </c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94"/>
      <c r="Z769" s="194"/>
      <c r="AA769" s="194"/>
    </row>
    <row r="770" spans="1:27" ht="15.6">
      <c r="A770" s="182"/>
      <c r="B770" s="182"/>
      <c r="C770" s="182"/>
      <c r="D770" s="182"/>
      <c r="E770" s="182"/>
      <c r="F770" s="208"/>
      <c r="G770" s="182" t="str">
        <f ca="1">IFERROR(__xludf.DUMMYFUNCTION("""COMPUTED_VALUE"""),"FORRO AUTOBROCANTE DECK CABREUVA BRANCA PREMIUM TG 2,5 X 10 X COMPR. VARIAVEIS")</f>
        <v>FORRO AUTOBROCANTE DECK CABREUVA BRANCA PREMIUM TG 2,5 X 10 X COMPR. VARIAVEIS</v>
      </c>
      <c r="H770" s="192" t="s">
        <v>2384</v>
      </c>
      <c r="I770" s="182" t="str">
        <f t="shared" ca="1" si="5"/>
        <v/>
      </c>
      <c r="J770" s="193"/>
      <c r="K770" s="208" t="s">
        <v>2451</v>
      </c>
      <c r="L770" s="182" t="s">
        <v>919</v>
      </c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94"/>
      <c r="Z770" s="194"/>
      <c r="AA770" s="194"/>
    </row>
    <row r="771" spans="1:27" ht="15.6">
      <c r="A771" s="182"/>
      <c r="B771" s="182"/>
      <c r="C771" s="182"/>
      <c r="D771" s="182"/>
      <c r="E771" s="182"/>
      <c r="F771" s="208"/>
      <c r="G771" s="182" t="str">
        <f ca="1">IFERROR(__xludf.DUMMYFUNCTION("""COMPUTED_VALUE"""),"FORRO AUTOBROCANTE DECK CABREUVA DOURADA PREMIUM TG 2,5 X 5 X COMPR. VARIAVEIS")</f>
        <v>FORRO AUTOBROCANTE DECK CABREUVA DOURADA PREMIUM TG 2,5 X 5 X COMPR. VARIAVEIS</v>
      </c>
      <c r="H771" s="192" t="s">
        <v>2386</v>
      </c>
      <c r="I771" s="182" t="str">
        <f t="shared" ca="1" si="5"/>
        <v/>
      </c>
      <c r="J771" s="193"/>
      <c r="K771" s="208" t="s">
        <v>2452</v>
      </c>
      <c r="L771" s="182" t="s">
        <v>920</v>
      </c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94"/>
      <c r="Z771" s="194"/>
      <c r="AA771" s="194"/>
    </row>
    <row r="772" spans="1:27" ht="15.6">
      <c r="A772" s="182"/>
      <c r="B772" s="182"/>
      <c r="C772" s="182"/>
      <c r="D772" s="182"/>
      <c r="E772" s="182"/>
      <c r="F772" s="208"/>
      <c r="G772" s="182" t="str">
        <f ca="1">IFERROR(__xludf.DUMMYFUNCTION("""COMPUTED_VALUE"""),"FORRO AUTOBROCANTE DECK CABREUVA DOURADA PREMIUM TG 2,5 X 10 X COMPR. VARIAVEIS")</f>
        <v>FORRO AUTOBROCANTE DECK CABREUVA DOURADA PREMIUM TG 2,5 X 10 X COMPR. VARIAVEIS</v>
      </c>
      <c r="H772" s="192" t="s">
        <v>2388</v>
      </c>
      <c r="I772" s="182" t="str">
        <f t="shared" ca="1" si="5"/>
        <v/>
      </c>
      <c r="J772" s="193"/>
      <c r="K772" s="208" t="s">
        <v>2453</v>
      </c>
      <c r="L772" s="182" t="s">
        <v>921</v>
      </c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94"/>
      <c r="Z772" s="194"/>
      <c r="AA772" s="194"/>
    </row>
    <row r="773" spans="1:27" ht="15.6">
      <c r="A773" s="182"/>
      <c r="B773" s="182"/>
      <c r="C773" s="182"/>
      <c r="D773" s="182"/>
      <c r="E773" s="182"/>
      <c r="F773" s="208"/>
      <c r="G773" s="182" t="str">
        <f ca="1">IFERROR(__xludf.DUMMYFUNCTION("""COMPUTED_VALUE"""),"FORRO AUTOBROCANTE DECK TAUARI PREMIUM TG 2,5 X 5 X COMPR. VARIAVEIS")</f>
        <v>FORRO AUTOBROCANTE DECK TAUARI PREMIUM TG 2,5 X 5 X COMPR. VARIAVEIS</v>
      </c>
      <c r="H773" s="192" t="s">
        <v>2390</v>
      </c>
      <c r="I773" s="182" t="str">
        <f t="shared" ca="1" si="5"/>
        <v/>
      </c>
      <c r="J773" s="193"/>
      <c r="K773" s="208" t="s">
        <v>2454</v>
      </c>
      <c r="L773" s="182" t="s">
        <v>922</v>
      </c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94"/>
      <c r="Z773" s="194"/>
      <c r="AA773" s="194"/>
    </row>
    <row r="774" spans="1:27" ht="15.6">
      <c r="A774" s="182"/>
      <c r="B774" s="182"/>
      <c r="C774" s="182"/>
      <c r="D774" s="182"/>
      <c r="E774" s="182"/>
      <c r="F774" s="208"/>
      <c r="G774" s="182" t="str">
        <f ca="1">IFERROR(__xludf.DUMMYFUNCTION("""COMPUTED_VALUE"""),"FORRO AUTOBROCANTE DECK TAUARI PREMIUM TG 2,5 X 10 X COMPR. VARIAVEIS")</f>
        <v>FORRO AUTOBROCANTE DECK TAUARI PREMIUM TG 2,5 X 10 X COMPR. VARIAVEIS</v>
      </c>
      <c r="H774" s="192" t="s">
        <v>2392</v>
      </c>
      <c r="I774" s="182" t="str">
        <f t="shared" ca="1" si="5"/>
        <v/>
      </c>
      <c r="J774" s="193"/>
      <c r="K774" s="208" t="s">
        <v>2455</v>
      </c>
      <c r="L774" s="182" t="s">
        <v>923</v>
      </c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94"/>
      <c r="Z774" s="194"/>
      <c r="AA774" s="194"/>
    </row>
    <row r="775" spans="1:27" ht="15.6">
      <c r="A775" s="182"/>
      <c r="B775" s="182"/>
      <c r="C775" s="182"/>
      <c r="D775" s="182"/>
      <c r="E775" s="182"/>
      <c r="F775" s="208"/>
      <c r="G775" s="182" t="str">
        <f ca="1">IFERROR(__xludf.DUMMYFUNCTION("""COMPUTED_VALUE"""),"FORRO AUTOBROCANTE DECK PEROBA PREMIUM TG 2,5 X 5 X COMPR. VARIAVEIS")</f>
        <v>FORRO AUTOBROCANTE DECK PEROBA PREMIUM TG 2,5 X 5 X COMPR. VARIAVEIS</v>
      </c>
      <c r="H775" s="192" t="s">
        <v>2394</v>
      </c>
      <c r="I775" s="182" t="str">
        <f t="shared" ca="1" si="5"/>
        <v/>
      </c>
      <c r="J775" s="193"/>
      <c r="K775" s="208" t="s">
        <v>2456</v>
      </c>
      <c r="L775" s="182" t="s">
        <v>924</v>
      </c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94"/>
      <c r="Z775" s="194"/>
      <c r="AA775" s="194"/>
    </row>
    <row r="776" spans="1:27" ht="15.6">
      <c r="A776" s="182"/>
      <c r="B776" s="182"/>
      <c r="C776" s="182"/>
      <c r="D776" s="182"/>
      <c r="E776" s="182"/>
      <c r="F776" s="208"/>
      <c r="G776" s="182" t="str">
        <f ca="1">IFERROR(__xludf.DUMMYFUNCTION("""COMPUTED_VALUE"""),"FORRO AUTOBROCANTE DECK PEROBA PREMIUM TG 2,5 X 10 X COMPR. VARIAVEIS")</f>
        <v>FORRO AUTOBROCANTE DECK PEROBA PREMIUM TG 2,5 X 10 X COMPR. VARIAVEIS</v>
      </c>
      <c r="H776" s="192" t="s">
        <v>2396</v>
      </c>
      <c r="I776" s="182" t="str">
        <f t="shared" ca="1" si="5"/>
        <v/>
      </c>
      <c r="J776" s="193"/>
      <c r="K776" s="208" t="s">
        <v>2457</v>
      </c>
      <c r="L776" s="182" t="s">
        <v>925</v>
      </c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94"/>
      <c r="Z776" s="194"/>
      <c r="AA776" s="194"/>
    </row>
    <row r="777" spans="1:27" ht="15.6">
      <c r="A777" s="182"/>
      <c r="B777" s="182"/>
      <c r="C777" s="182"/>
      <c r="D777" s="182"/>
      <c r="E777" s="182"/>
      <c r="F777" s="208"/>
      <c r="G777" s="182" t="str">
        <f ca="1">IFERROR(__xludf.DUMMYFUNCTION("""COMPUTED_VALUE"""),"FORRO AUTOBROCANTE DECK BAMBU CARAMEL ALTA DENSIDADE")</f>
        <v>FORRO AUTOBROCANTE DECK BAMBU CARAMEL ALTA DENSIDADE</v>
      </c>
      <c r="H777" s="192" t="s">
        <v>2398</v>
      </c>
      <c r="I777" s="182" t="str">
        <f t="shared" ca="1" si="5"/>
        <v/>
      </c>
      <c r="J777" s="193"/>
      <c r="K777" s="208" t="s">
        <v>2458</v>
      </c>
      <c r="L777" s="182" t="s">
        <v>926</v>
      </c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94"/>
      <c r="Z777" s="194"/>
      <c r="AA777" s="194"/>
    </row>
    <row r="778" spans="1:27" ht="15.6">
      <c r="A778" s="182"/>
      <c r="B778" s="182"/>
      <c r="C778" s="182"/>
      <c r="D778" s="182"/>
      <c r="E778" s="182"/>
      <c r="F778" s="208"/>
      <c r="G778" s="182" t="str">
        <f ca="1">IFERROR(__xludf.DUMMYFUNCTION("""COMPUTED_VALUE"""),"FORRO AUTOBROCANTE DECK BPC CINZA ESCURO 2 X15X 290CM PÇ/0.435M2")</f>
        <v>FORRO AUTOBROCANTE DECK BPC CINZA ESCURO 2 X15X 290CM PÇ/0.435M2</v>
      </c>
      <c r="H778" s="192" t="s">
        <v>2400</v>
      </c>
      <c r="I778" s="182" t="str">
        <f t="shared" ca="1" si="5"/>
        <v/>
      </c>
      <c r="J778" s="193"/>
      <c r="K778" s="208" t="s">
        <v>2459</v>
      </c>
      <c r="L778" s="182" t="s">
        <v>927</v>
      </c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94"/>
      <c r="Z778" s="194"/>
      <c r="AA778" s="194"/>
    </row>
    <row r="779" spans="1:27" ht="15.6">
      <c r="A779" s="182"/>
      <c r="B779" s="182"/>
      <c r="C779" s="182"/>
      <c r="D779" s="182"/>
      <c r="E779" s="182"/>
      <c r="F779" s="208"/>
      <c r="G779" s="182" t="str">
        <f ca="1">IFERROR(__xludf.DUMMYFUNCTION("""COMPUTED_VALUE"""),"FORRO AUTOBROCANTE DECK BPC MORROM 2X15X220CM")</f>
        <v>FORRO AUTOBROCANTE DECK BPC MORROM 2X15X220CM</v>
      </c>
      <c r="I779" s="182" t="str">
        <f t="shared" ca="1" si="5"/>
        <v/>
      </c>
      <c r="J779" s="193"/>
      <c r="K779" s="208" t="s">
        <v>2460</v>
      </c>
      <c r="L779" s="182" t="s">
        <v>928</v>
      </c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94"/>
      <c r="Z779" s="194"/>
      <c r="AA779" s="194"/>
    </row>
    <row r="780" spans="1:27" ht="15.6">
      <c r="A780" s="182"/>
      <c r="B780" s="182"/>
      <c r="C780" s="182"/>
      <c r="D780" s="182"/>
      <c r="E780" s="182"/>
      <c r="F780" s="208"/>
      <c r="G780" s="182" t="str">
        <f ca="1">IFERROR(__xludf.DUMMYFUNCTION("""COMPUTED_VALUE"""),"FORRO AUTOBROCANTE DECK WPC CINZA 2,2*14,6*220CM")</f>
        <v>FORRO AUTOBROCANTE DECK WPC CINZA 2,2*14,6*220CM</v>
      </c>
      <c r="I780" s="182" t="str">
        <f t="shared" ca="1" si="5"/>
        <v/>
      </c>
      <c r="J780" s="193"/>
      <c r="K780" s="208" t="s">
        <v>2461</v>
      </c>
      <c r="L780" s="182" t="s">
        <v>929</v>
      </c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94"/>
      <c r="Z780" s="194"/>
      <c r="AA780" s="194"/>
    </row>
    <row r="781" spans="1:27" ht="15.6">
      <c r="A781" s="182"/>
      <c r="B781" s="182"/>
      <c r="C781" s="182"/>
      <c r="D781" s="182"/>
      <c r="E781" s="182"/>
      <c r="F781" s="208"/>
      <c r="G781" s="182" t="str">
        <f ca="1">IFERROR(__xludf.DUMMYFUNCTION("""COMPUTED_VALUE"""),"FORRO AUTOBROCANTE PEROBA RUSTICA DE DEMOLIÇÃO")</f>
        <v>FORRO AUTOBROCANTE PEROBA RUSTICA DE DEMOLIÇÃO</v>
      </c>
      <c r="I781" s="182" t="str">
        <f t="shared" ca="1" si="5"/>
        <v/>
      </c>
      <c r="J781" s="193"/>
      <c r="K781" s="208" t="s">
        <v>2462</v>
      </c>
      <c r="L781" s="182" t="s">
        <v>930</v>
      </c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94"/>
      <c r="Z781" s="194"/>
      <c r="AA781" s="194"/>
    </row>
    <row r="782" spans="1:27" ht="15.6">
      <c r="A782" s="182"/>
      <c r="B782" s="182"/>
      <c r="C782" s="182"/>
      <c r="D782" s="182"/>
      <c r="E782" s="182"/>
      <c r="F782" s="208"/>
      <c r="G782" s="182" t="str">
        <f ca="1">IFERROR(__xludf.DUMMYFUNCTION("""COMPUTED_VALUE"""),"FORRO AUTOBROCANTE CANELA RUSTICA DE DEMOLIÇÃO")</f>
        <v>FORRO AUTOBROCANTE CANELA RUSTICA DE DEMOLIÇÃO</v>
      </c>
      <c r="H782" s="192" t="s">
        <v>869</v>
      </c>
      <c r="I782" s="182" t="str">
        <f t="shared" ca="1" si="5"/>
        <v/>
      </c>
      <c r="J782" s="193"/>
      <c r="K782" s="208" t="s">
        <v>2463</v>
      </c>
      <c r="L782" s="182" t="s">
        <v>931</v>
      </c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94"/>
      <c r="Z782" s="194"/>
      <c r="AA782" s="194"/>
    </row>
    <row r="783" spans="1:27" ht="15.6">
      <c r="A783" s="182"/>
      <c r="B783" s="182"/>
      <c r="C783" s="182"/>
      <c r="D783" s="182"/>
      <c r="E783" s="182"/>
      <c r="F783" s="208"/>
      <c r="G783" s="182" t="str">
        <f ca="1">IFERROR(__xludf.DUMMYFUNCTION("""COMPUTED_VALUE"""),"FORRO INOX CARVALHO EUROPEU MARRONE CHEVRON 15/3 X 1900X 740MM")</f>
        <v>FORRO INOX CARVALHO EUROPEU MARRONE CHEVRON 15/3 X 1900X 740MM</v>
      </c>
      <c r="H783" s="192" t="s">
        <v>870</v>
      </c>
      <c r="I783" s="182" t="str">
        <f t="shared" ca="1" si="5"/>
        <v/>
      </c>
      <c r="J783" s="193"/>
      <c r="K783" s="208" t="s">
        <v>2464</v>
      </c>
      <c r="L783" s="182" t="s">
        <v>932</v>
      </c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94"/>
      <c r="Z783" s="194"/>
      <c r="AA783" s="194"/>
    </row>
    <row r="784" spans="1:27" ht="15.6">
      <c r="A784" s="182"/>
      <c r="B784" s="182"/>
      <c r="C784" s="182"/>
      <c r="D784" s="182"/>
      <c r="E784" s="182"/>
      <c r="F784" s="208"/>
      <c r="G784" s="182" t="str">
        <f ca="1">IFERROR(__xludf.DUMMYFUNCTION("""COMPUTED_VALUE"""),"FORRO INOX CARVALHO EUROPEU MARRONE 15/3 X 125 X 1200MM")</f>
        <v>FORRO INOX CARVALHO EUROPEU MARRONE 15/3 X 125 X 1200MM</v>
      </c>
      <c r="H784" s="192" t="s">
        <v>871</v>
      </c>
      <c r="I784" s="182" t="str">
        <f t="shared" ca="1" si="5"/>
        <v/>
      </c>
      <c r="J784" s="193"/>
      <c r="K784" s="208" t="s">
        <v>2465</v>
      </c>
      <c r="L784" s="182" t="s">
        <v>933</v>
      </c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94"/>
      <c r="Z784" s="194"/>
      <c r="AA784" s="194"/>
    </row>
    <row r="785" spans="1:27" ht="15.6">
      <c r="A785" s="182"/>
      <c r="B785" s="182"/>
      <c r="C785" s="182"/>
      <c r="D785" s="182"/>
      <c r="E785" s="182"/>
      <c r="F785" s="208"/>
      <c r="G785" s="182" t="str">
        <f ca="1">IFERROR(__xludf.DUMMYFUNCTION("""COMPUTED_VALUE"""),"FORRO INOX CARVALHO EUROPEU MARRONE 15/3 X 190 X 1900MM")</f>
        <v>FORRO INOX CARVALHO EUROPEU MARRONE 15/3 X 190 X 1900MM</v>
      </c>
      <c r="H785" s="192" t="s">
        <v>872</v>
      </c>
      <c r="I785" s="182" t="str">
        <f t="shared" ca="1" si="5"/>
        <v/>
      </c>
      <c r="J785" s="193"/>
      <c r="K785" s="208" t="s">
        <v>2466</v>
      </c>
      <c r="L785" s="182" t="s">
        <v>934</v>
      </c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94"/>
      <c r="Z785" s="194"/>
      <c r="AA785" s="194"/>
    </row>
    <row r="786" spans="1:27" ht="15.6">
      <c r="A786" s="182"/>
      <c r="B786" s="182"/>
      <c r="C786" s="182"/>
      <c r="D786" s="182"/>
      <c r="E786" s="182"/>
      <c r="F786" s="208"/>
      <c r="G786" s="182" t="str">
        <f ca="1">IFERROR(__xludf.DUMMYFUNCTION("""COMPUTED_VALUE"""),"FORRO INOX CARVALHO EUROPEU MARRONE 20/6 X 300 X 4000MM")</f>
        <v>FORRO INOX CARVALHO EUROPEU MARRONE 20/6 X 300 X 4000MM</v>
      </c>
      <c r="H786" s="192" t="s">
        <v>873</v>
      </c>
      <c r="I786" s="182" t="str">
        <f t="shared" ca="1" si="5"/>
        <v/>
      </c>
      <c r="J786" s="193"/>
      <c r="K786" s="208" t="s">
        <v>2467</v>
      </c>
      <c r="L786" s="182" t="s">
        <v>935</v>
      </c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94"/>
      <c r="Z786" s="194"/>
      <c r="AA786" s="194"/>
    </row>
    <row r="787" spans="1:27" ht="15.6">
      <c r="A787" s="182"/>
      <c r="B787" s="182"/>
      <c r="C787" s="182"/>
      <c r="D787" s="182"/>
      <c r="E787" s="182"/>
      <c r="F787" s="208"/>
      <c r="G787" s="182" t="str">
        <f ca="1">IFERROR(__xludf.DUMMYFUNCTION("""COMPUTED_VALUE"""),"FORRO INOX CARVALHO EUROPEU MARRONE 20/6 X 400 X 5000MM")</f>
        <v>FORRO INOX CARVALHO EUROPEU MARRONE 20/6 X 400 X 5000MM</v>
      </c>
      <c r="H787" s="192" t="s">
        <v>874</v>
      </c>
      <c r="I787" s="182" t="str">
        <f t="shared" ca="1" si="5"/>
        <v/>
      </c>
      <c r="J787" s="193"/>
      <c r="K787" s="208" t="s">
        <v>2468</v>
      </c>
      <c r="L787" s="182" t="s">
        <v>936</v>
      </c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94"/>
      <c r="Z787" s="194"/>
      <c r="AA787" s="194"/>
    </row>
    <row r="788" spans="1:27" ht="15.6">
      <c r="A788" s="182"/>
      <c r="B788" s="182"/>
      <c r="C788" s="182"/>
      <c r="D788" s="182"/>
      <c r="E788" s="182"/>
      <c r="F788" s="208"/>
      <c r="G788" s="182" t="str">
        <f ca="1">IFERROR(__xludf.DUMMYFUNCTION("""COMPUTED_VALUE"""),"FORRO INOX CARVALHO EUROPEU MONT BLANC CHEVRON 15/3 X 1900X 740MM")</f>
        <v>FORRO INOX CARVALHO EUROPEU MONT BLANC CHEVRON 15/3 X 1900X 740MM</v>
      </c>
      <c r="H788" s="192" t="s">
        <v>875</v>
      </c>
      <c r="I788" s="182" t="str">
        <f t="shared" ca="1" si="5"/>
        <v/>
      </c>
      <c r="J788" s="193"/>
      <c r="K788" s="208" t="s">
        <v>2469</v>
      </c>
      <c r="L788" s="182" t="s">
        <v>937</v>
      </c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94"/>
      <c r="Z788" s="194"/>
      <c r="AA788" s="194"/>
    </row>
    <row r="789" spans="1:27" ht="15.6">
      <c r="A789" s="182"/>
      <c r="B789" s="182"/>
      <c r="C789" s="182"/>
      <c r="D789" s="182"/>
      <c r="E789" s="182"/>
      <c r="F789" s="208"/>
      <c r="G789" s="182" t="str">
        <f ca="1">IFERROR(__xludf.DUMMYFUNCTION("""COMPUTED_VALUE"""),"FORRO INOX CARVALHO EUROPEU MONT BLANC ESPINHA DE PEIXE TG 15/3 X 125X900MM")</f>
        <v>FORRO INOX CARVALHO EUROPEU MONT BLANC ESPINHA DE PEIXE TG 15/3 X 125X900MM</v>
      </c>
      <c r="H789" s="192" t="s">
        <v>876</v>
      </c>
      <c r="I789" s="182" t="str">
        <f t="shared" ca="1" si="5"/>
        <v/>
      </c>
      <c r="J789" s="193"/>
      <c r="K789" s="208" t="s">
        <v>2470</v>
      </c>
      <c r="L789" s="182" t="s">
        <v>938</v>
      </c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94"/>
      <c r="Z789" s="194"/>
      <c r="AA789" s="194"/>
    </row>
    <row r="790" spans="1:27" ht="15.6">
      <c r="A790" s="182"/>
      <c r="B790" s="182"/>
      <c r="C790" s="182"/>
      <c r="D790" s="182"/>
      <c r="E790" s="182"/>
      <c r="F790" s="208"/>
      <c r="G790" s="182" t="str">
        <f ca="1">IFERROR(__xludf.DUMMYFUNCTION("""COMPUTED_VALUE"""),"FORRO INOX CARVALHO EUROPEU MONT BLANC 15/3 X 125 X 1200MM")</f>
        <v>FORRO INOX CARVALHO EUROPEU MONT BLANC 15/3 X 125 X 1200MM</v>
      </c>
      <c r="H790" s="192" t="s">
        <v>877</v>
      </c>
      <c r="I790" s="182" t="str">
        <f t="shared" ca="1" si="5"/>
        <v/>
      </c>
      <c r="J790" s="193"/>
      <c r="K790" s="208" t="s">
        <v>2471</v>
      </c>
      <c r="L790" s="182" t="s">
        <v>939</v>
      </c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94"/>
      <c r="Z790" s="194"/>
      <c r="AA790" s="194"/>
    </row>
    <row r="791" spans="1:27" ht="15.6">
      <c r="A791" s="182"/>
      <c r="B791" s="182"/>
      <c r="C791" s="182"/>
      <c r="D791" s="182"/>
      <c r="E791" s="182"/>
      <c r="F791" s="208"/>
      <c r="G791" s="182" t="str">
        <f ca="1">IFERROR(__xludf.DUMMYFUNCTION("""COMPUTED_VALUE"""),"FORRO INOX CARVALHO EUROPEU MONT BLANC 15/3 X 190 X 1900MM")</f>
        <v>FORRO INOX CARVALHO EUROPEU MONT BLANC 15/3 X 190 X 1900MM</v>
      </c>
      <c r="H791" s="192" t="s">
        <v>878</v>
      </c>
      <c r="I791" s="182" t="str">
        <f t="shared" ca="1" si="5"/>
        <v/>
      </c>
      <c r="J791" s="193"/>
      <c r="K791" s="208" t="s">
        <v>2472</v>
      </c>
      <c r="L791" s="182" t="s">
        <v>940</v>
      </c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94"/>
      <c r="Z791" s="194"/>
      <c r="AA791" s="194"/>
    </row>
    <row r="792" spans="1:27" ht="15.6">
      <c r="A792" s="182"/>
      <c r="B792" s="182"/>
      <c r="C792" s="182"/>
      <c r="D792" s="182"/>
      <c r="E792" s="182"/>
      <c r="F792" s="208"/>
      <c r="G792" s="182" t="str">
        <f ca="1">IFERROR(__xludf.DUMMYFUNCTION("""COMPUTED_VALUE"""),"FORRO INOX CARVALHO EUROPEU MONT BLANC 20/6 X 300 X 4000MM")</f>
        <v>FORRO INOX CARVALHO EUROPEU MONT BLANC 20/6 X 300 X 4000MM</v>
      </c>
      <c r="H792" s="192" t="s">
        <v>879</v>
      </c>
      <c r="I792" s="182" t="str">
        <f t="shared" ca="1" si="5"/>
        <v/>
      </c>
      <c r="J792" s="193"/>
      <c r="K792" s="208" t="s">
        <v>2473</v>
      </c>
      <c r="L792" s="182" t="s">
        <v>941</v>
      </c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94"/>
      <c r="Z792" s="194"/>
      <c r="AA792" s="194"/>
    </row>
    <row r="793" spans="1:27" ht="15.6">
      <c r="A793" s="182"/>
      <c r="B793" s="182"/>
      <c r="C793" s="182"/>
      <c r="D793" s="182"/>
      <c r="E793" s="182"/>
      <c r="F793" s="208"/>
      <c r="G793" s="182" t="str">
        <f ca="1">IFERROR(__xludf.DUMMYFUNCTION("""COMPUTED_VALUE"""),"FORRO INOX CARVALHO EUROPEU MONT BLANC 20/6 X 400 X 5000MM")</f>
        <v>FORRO INOX CARVALHO EUROPEU MONT BLANC 20/6 X 400 X 5000MM</v>
      </c>
      <c r="H793" s="192" t="s">
        <v>880</v>
      </c>
      <c r="I793" s="182" t="str">
        <f t="shared" ca="1" si="5"/>
        <v/>
      </c>
      <c r="J793" s="193"/>
      <c r="K793" s="208" t="s">
        <v>2474</v>
      </c>
      <c r="L793" s="182" t="s">
        <v>942</v>
      </c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94"/>
      <c r="Z793" s="194"/>
      <c r="AA793" s="194"/>
    </row>
    <row r="794" spans="1:27" ht="15.6">
      <c r="A794" s="182"/>
      <c r="B794" s="182"/>
      <c r="C794" s="182"/>
      <c r="D794" s="182"/>
      <c r="E794" s="182"/>
      <c r="F794" s="208"/>
      <c r="G794" s="182" t="str">
        <f ca="1">IFERROR(__xludf.DUMMYFUNCTION("""COMPUTED_VALUE"""),"FORRO INOX CARVALHO EUROPEU NATURAL CHEVRON TG 15/3 X 125 X 775MM")</f>
        <v>FORRO INOX CARVALHO EUROPEU NATURAL CHEVRON TG 15/3 X 125 X 775MM</v>
      </c>
      <c r="H794" s="192" t="s">
        <v>881</v>
      </c>
      <c r="I794" s="182" t="str">
        <f t="shared" ca="1" si="5"/>
        <v/>
      </c>
      <c r="J794" s="193"/>
      <c r="K794" s="208" t="s">
        <v>2475</v>
      </c>
      <c r="L794" s="182" t="s">
        <v>943</v>
      </c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94"/>
      <c r="Z794" s="194"/>
      <c r="AA794" s="194"/>
    </row>
    <row r="795" spans="1:27" ht="15.6">
      <c r="A795" s="182"/>
      <c r="B795" s="182"/>
      <c r="C795" s="182"/>
      <c r="D795" s="182"/>
      <c r="E795" s="182"/>
      <c r="F795" s="208"/>
      <c r="G795" s="182" t="str">
        <f ca="1">IFERROR(__xludf.DUMMYFUNCTION("""COMPUTED_VALUE"""),"FORRO INOX CARVALHO EUROPEU NATURALLE CHEVRON 15/3 X 1900X 740MM")</f>
        <v>FORRO INOX CARVALHO EUROPEU NATURALLE CHEVRON 15/3 X 1900X 740MM</v>
      </c>
      <c r="H795" s="192" t="s">
        <v>882</v>
      </c>
      <c r="I795" s="182" t="str">
        <f t="shared" ca="1" si="5"/>
        <v/>
      </c>
      <c r="J795" s="193"/>
      <c r="K795" s="208" t="s">
        <v>2476</v>
      </c>
      <c r="L795" s="182" t="s">
        <v>944</v>
      </c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94"/>
      <c r="Z795" s="194"/>
      <c r="AA795" s="194"/>
    </row>
    <row r="796" spans="1:27" ht="15.6">
      <c r="A796" s="182"/>
      <c r="B796" s="182"/>
      <c r="C796" s="182"/>
      <c r="D796" s="182"/>
      <c r="E796" s="182"/>
      <c r="F796" s="208"/>
      <c r="G796" s="182" t="str">
        <f ca="1">IFERROR(__xludf.DUMMYFUNCTION("""COMPUTED_VALUE"""),"FORRO INOX CARVALHO EUROPEU NATURALLE CHEVRON 60º 15/3 X 1900X 910MM")</f>
        <v>FORRO INOX CARVALHO EUROPEU NATURALLE CHEVRON 60º 15/3 X 1900X 910MM</v>
      </c>
      <c r="H796" s="192" t="s">
        <v>883</v>
      </c>
      <c r="I796" s="182" t="str">
        <f t="shared" ca="1" si="5"/>
        <v/>
      </c>
      <c r="J796" s="193"/>
      <c r="K796" s="208" t="s">
        <v>2477</v>
      </c>
      <c r="L796" s="182" t="s">
        <v>945</v>
      </c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94"/>
      <c r="Z796" s="194"/>
      <c r="AA796" s="194"/>
    </row>
    <row r="797" spans="1:27" ht="15.6">
      <c r="A797" s="182"/>
      <c r="B797" s="182"/>
      <c r="C797" s="182"/>
      <c r="D797" s="182"/>
      <c r="E797" s="182"/>
      <c r="F797" s="208"/>
      <c r="G797" s="182" t="str">
        <f ca="1">IFERROR(__xludf.DUMMYFUNCTION("""COMPUTED_VALUE"""),"FORRO INOX CARVALHO EUROPEU NATURALLE FINE 10/06 X 1900 X 1900MM")</f>
        <v>FORRO INOX CARVALHO EUROPEU NATURALLE FINE 10/06 X 1900 X 1900MM</v>
      </c>
      <c r="H797" s="192" t="s">
        <v>884</v>
      </c>
      <c r="I797" s="182" t="str">
        <f t="shared" ca="1" si="5"/>
        <v/>
      </c>
      <c r="J797" s="193"/>
      <c r="K797" s="208" t="s">
        <v>2478</v>
      </c>
      <c r="L797" s="182" t="s">
        <v>946</v>
      </c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94"/>
      <c r="Z797" s="194"/>
      <c r="AA797" s="194"/>
    </row>
    <row r="798" spans="1:27" ht="15.6">
      <c r="A798" s="182"/>
      <c r="B798" s="182"/>
      <c r="C798" s="182"/>
      <c r="D798" s="182"/>
      <c r="E798" s="182"/>
      <c r="F798" s="208"/>
      <c r="G798" s="182" t="str">
        <f ca="1">IFERROR(__xludf.DUMMYFUNCTION("""COMPUTED_VALUE"""),"FORRO INOX CARVALHO EUROPEU NATURALLE 15/3 X 125 X 1200MM")</f>
        <v>FORRO INOX CARVALHO EUROPEU NATURALLE 15/3 X 125 X 1200MM</v>
      </c>
      <c r="H798" s="192" t="s">
        <v>885</v>
      </c>
      <c r="I798" s="182" t="str">
        <f t="shared" ca="1" si="5"/>
        <v/>
      </c>
      <c r="J798" s="193"/>
      <c r="K798" s="208" t="s">
        <v>2479</v>
      </c>
      <c r="L798" s="182" t="s">
        <v>947</v>
      </c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94"/>
      <c r="Z798" s="194"/>
      <c r="AA798" s="194"/>
    </row>
    <row r="799" spans="1:27" ht="15.6">
      <c r="A799" s="182"/>
      <c r="B799" s="182"/>
      <c r="C799" s="182"/>
      <c r="D799" s="182"/>
      <c r="E799" s="182"/>
      <c r="F799" s="208"/>
      <c r="G799" s="182" t="str">
        <f ca="1">IFERROR(__xludf.DUMMYFUNCTION("""COMPUTED_VALUE"""),"FORRO INOX CARVALHO EUROPEU NATURALLE 15/3 X 190 X 1900MM")</f>
        <v>FORRO INOX CARVALHO EUROPEU NATURALLE 15/3 X 190 X 1900MM</v>
      </c>
      <c r="H799" s="192" t="s">
        <v>886</v>
      </c>
      <c r="I799" s="182" t="str">
        <f t="shared" ca="1" si="5"/>
        <v/>
      </c>
      <c r="J799" s="193"/>
      <c r="K799" s="208" t="s">
        <v>2480</v>
      </c>
      <c r="L799" s="182" t="s">
        <v>948</v>
      </c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94"/>
      <c r="Z799" s="194"/>
      <c r="AA799" s="194"/>
    </row>
    <row r="800" spans="1:27" ht="15.6">
      <c r="A800" s="182"/>
      <c r="B800" s="182"/>
      <c r="C800" s="182"/>
      <c r="D800" s="182"/>
      <c r="E800" s="182"/>
      <c r="F800" s="208"/>
      <c r="G800" s="182" t="str">
        <f ca="1">IFERROR(__xludf.DUMMYFUNCTION("""COMPUTED_VALUE"""),"FORRO INOX CARVALHO EUROPEU NATURALLE 20/6 X 300 X 4000MM")</f>
        <v>FORRO INOX CARVALHO EUROPEU NATURALLE 20/6 X 300 X 4000MM</v>
      </c>
      <c r="H800" s="192" t="s">
        <v>887</v>
      </c>
      <c r="I800" s="182" t="str">
        <f t="shared" ca="1" si="5"/>
        <v/>
      </c>
      <c r="J800" s="193"/>
      <c r="K800" s="208" t="s">
        <v>2481</v>
      </c>
      <c r="L800" s="182" t="s">
        <v>949</v>
      </c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94"/>
      <c r="Z800" s="194"/>
      <c r="AA800" s="194"/>
    </row>
    <row r="801" spans="1:27" ht="15.6">
      <c r="A801" s="182"/>
      <c r="B801" s="182"/>
      <c r="C801" s="182"/>
      <c r="D801" s="182"/>
      <c r="E801" s="182"/>
      <c r="F801" s="208"/>
      <c r="G801" s="182" t="str">
        <f ca="1">IFERROR(__xludf.DUMMYFUNCTION("""COMPUTED_VALUE"""),"FORRO INOX CARVALHO EUROPEU NATURALLE 20/6 X 400 X 5000MM")</f>
        <v>FORRO INOX CARVALHO EUROPEU NATURALLE 20/6 X 400 X 5000MM</v>
      </c>
      <c r="H801" s="192" t="s">
        <v>888</v>
      </c>
      <c r="I801" s="182" t="str">
        <f t="shared" ca="1" si="5"/>
        <v/>
      </c>
      <c r="J801" s="193"/>
      <c r="K801" s="208" t="s">
        <v>2482</v>
      </c>
      <c r="L801" s="182" t="s">
        <v>950</v>
      </c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94"/>
      <c r="Z801" s="194"/>
      <c r="AA801" s="194"/>
    </row>
    <row r="802" spans="1:27" ht="15.6">
      <c r="A802" s="182"/>
      <c r="B802" s="182"/>
      <c r="C802" s="182"/>
      <c r="D802" s="182"/>
      <c r="E802" s="182"/>
      <c r="F802" s="208"/>
      <c r="G802" s="182" t="str">
        <f ca="1">IFERROR(__xludf.DUMMYFUNCTION("""COMPUTED_VALUE"""),"FORRO INOX CARVALHO EUROPEU CAPUCCINO CHEVRON 15/3 X 1900X 740MM")</f>
        <v>FORRO INOX CARVALHO EUROPEU CAPUCCINO CHEVRON 15/3 X 1900X 740MM</v>
      </c>
      <c r="H802" s="192" t="s">
        <v>889</v>
      </c>
      <c r="I802" s="182" t="str">
        <f t="shared" ca="1" si="5"/>
        <v/>
      </c>
      <c r="J802" s="193"/>
      <c r="K802" s="208" t="s">
        <v>2483</v>
      </c>
      <c r="L802" s="182" t="s">
        <v>951</v>
      </c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94"/>
      <c r="Z802" s="194"/>
      <c r="AA802" s="194"/>
    </row>
    <row r="803" spans="1:27" ht="15.6">
      <c r="A803" s="182"/>
      <c r="B803" s="182"/>
      <c r="C803" s="182"/>
      <c r="D803" s="182"/>
      <c r="E803" s="182"/>
      <c r="F803" s="208"/>
      <c r="G803" s="182" t="str">
        <f ca="1">IFERROR(__xludf.DUMMYFUNCTION("""COMPUTED_VALUE"""),"FORRO INOX CARVALHO EUROPEU CAPUCCINO 15/3 X 125 X 1200MM")</f>
        <v>FORRO INOX CARVALHO EUROPEU CAPUCCINO 15/3 X 125 X 1200MM</v>
      </c>
      <c r="H803" s="192" t="s">
        <v>890</v>
      </c>
      <c r="I803" s="182" t="str">
        <f t="shared" ca="1" si="5"/>
        <v/>
      </c>
      <c r="J803" s="193"/>
      <c r="K803" s="208" t="s">
        <v>2484</v>
      </c>
      <c r="L803" s="182" t="s">
        <v>952</v>
      </c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94"/>
      <c r="Z803" s="194"/>
      <c r="AA803" s="194"/>
    </row>
    <row r="804" spans="1:27" ht="15.6">
      <c r="A804" s="182"/>
      <c r="B804" s="182"/>
      <c r="C804" s="182"/>
      <c r="D804" s="182"/>
      <c r="E804" s="182"/>
      <c r="F804" s="208"/>
      <c r="G804" s="182" t="str">
        <f ca="1">IFERROR(__xludf.DUMMYFUNCTION("""COMPUTED_VALUE"""),"FORRO INOX CARVALHO EUROPEU CAPPUCCINO ESPINHA DE PEIXE TG 15/3 X 125X900MM")</f>
        <v>FORRO INOX CARVALHO EUROPEU CAPPUCCINO ESPINHA DE PEIXE TG 15/3 X 125X900MM</v>
      </c>
      <c r="H804" s="192" t="s">
        <v>891</v>
      </c>
      <c r="I804" s="182" t="str">
        <f t="shared" ca="1" si="5"/>
        <v/>
      </c>
      <c r="J804" s="193"/>
      <c r="K804" s="208" t="s">
        <v>2485</v>
      </c>
      <c r="L804" s="182" t="s">
        <v>953</v>
      </c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94"/>
      <c r="Z804" s="194"/>
      <c r="AA804" s="194"/>
    </row>
    <row r="805" spans="1:27" ht="15.6">
      <c r="A805" s="182"/>
      <c r="B805" s="182"/>
      <c r="C805" s="182"/>
      <c r="D805" s="182"/>
      <c r="E805" s="182"/>
      <c r="F805" s="208"/>
      <c r="G805" s="182" t="str">
        <f ca="1">IFERROR(__xludf.DUMMYFUNCTION("""COMPUTED_VALUE"""),"FORRO INOX CARVALHO EUROPEU CAPUCCINO 15/3 X 190 X 1900MM")</f>
        <v>FORRO INOX CARVALHO EUROPEU CAPUCCINO 15/3 X 190 X 1900MM</v>
      </c>
      <c r="H805" s="192" t="s">
        <v>892</v>
      </c>
      <c r="I805" s="182" t="str">
        <f t="shared" ca="1" si="5"/>
        <v/>
      </c>
      <c r="J805" s="193"/>
      <c r="K805" s="208" t="s">
        <v>2486</v>
      </c>
      <c r="L805" s="182" t="s">
        <v>954</v>
      </c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94"/>
      <c r="Z805" s="194"/>
      <c r="AA805" s="194"/>
    </row>
    <row r="806" spans="1:27" ht="15.6">
      <c r="A806" s="182"/>
      <c r="B806" s="182"/>
      <c r="C806" s="182"/>
      <c r="D806" s="182"/>
      <c r="E806" s="182"/>
      <c r="F806" s="208"/>
      <c r="G806" s="182" t="str">
        <f ca="1">IFERROR(__xludf.DUMMYFUNCTION("""COMPUTED_VALUE"""),"FORRO INOX CARVALHO EUROPEU CAPUCCINO 20/6 X 300 X 4000MM")</f>
        <v>FORRO INOX CARVALHO EUROPEU CAPUCCINO 20/6 X 300 X 4000MM</v>
      </c>
      <c r="H806" s="192" t="s">
        <v>893</v>
      </c>
      <c r="I806" s="182" t="str">
        <f t="shared" ca="1" si="5"/>
        <v/>
      </c>
      <c r="J806" s="193"/>
      <c r="K806" s="208" t="s">
        <v>2487</v>
      </c>
      <c r="L806" s="182" t="s">
        <v>955</v>
      </c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94"/>
      <c r="Z806" s="194"/>
      <c r="AA806" s="194"/>
    </row>
    <row r="807" spans="1:27" ht="15.6">
      <c r="A807" s="182"/>
      <c r="B807" s="182"/>
      <c r="C807" s="182"/>
      <c r="D807" s="182"/>
      <c r="E807" s="182"/>
      <c r="F807" s="208"/>
      <c r="G807" s="182" t="str">
        <f ca="1">IFERROR(__xludf.DUMMYFUNCTION("""COMPUTED_VALUE"""),"FORRO INOX CARVALHO EUROPEU CAPUCCINO 20/6 X 400 X 5000MM")</f>
        <v>FORRO INOX CARVALHO EUROPEU CAPUCCINO 20/6 X 400 X 5000MM</v>
      </c>
      <c r="H807" s="192" t="s">
        <v>894</v>
      </c>
      <c r="I807" s="182" t="str">
        <f t="shared" ca="1" si="5"/>
        <v/>
      </c>
      <c r="J807" s="193"/>
      <c r="K807" s="208" t="s">
        <v>2488</v>
      </c>
      <c r="L807" s="182" t="s">
        <v>956</v>
      </c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94"/>
      <c r="Z807" s="194"/>
      <c r="AA807" s="194"/>
    </row>
    <row r="808" spans="1:27" ht="15.6">
      <c r="A808" s="182"/>
      <c r="B808" s="182"/>
      <c r="C808" s="182"/>
      <c r="D808" s="182"/>
      <c r="E808" s="182"/>
      <c r="F808" s="208"/>
      <c r="G808" s="182" t="str">
        <f ca="1">IFERROR(__xludf.DUMMYFUNCTION("""COMPUTED_VALUE"""),"FORRO INOX CARVALHO EUROPEU BABY GREY CHEVRON 15/3 X 1900X 740MM")</f>
        <v>FORRO INOX CARVALHO EUROPEU BABY GREY CHEVRON 15/3 X 1900X 740MM</v>
      </c>
      <c r="H808" s="192" t="s">
        <v>895</v>
      </c>
      <c r="I808" s="182" t="str">
        <f t="shared" ca="1" si="5"/>
        <v/>
      </c>
      <c r="J808" s="193"/>
      <c r="K808" s="208" t="s">
        <v>2489</v>
      </c>
      <c r="L808" s="182" t="s">
        <v>957</v>
      </c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94"/>
      <c r="Z808" s="194"/>
      <c r="AA808" s="194"/>
    </row>
    <row r="809" spans="1:27" ht="15.6">
      <c r="A809" s="182"/>
      <c r="B809" s="182"/>
      <c r="C809" s="182"/>
      <c r="D809" s="182"/>
      <c r="E809" s="182"/>
      <c r="F809" s="208"/>
      <c r="G809" s="182" t="str">
        <f ca="1">IFERROR(__xludf.DUMMYFUNCTION("""COMPUTED_VALUE"""),"FORRO INOX CARVALHO EUROPEU BABY GREY 15/3 X 125 X 1200MM")</f>
        <v>FORRO INOX CARVALHO EUROPEU BABY GREY 15/3 X 125 X 1200MM</v>
      </c>
      <c r="H809" s="192" t="s">
        <v>896</v>
      </c>
      <c r="I809" s="182" t="str">
        <f t="shared" ca="1" si="5"/>
        <v/>
      </c>
      <c r="J809" s="193"/>
      <c r="K809" s="208" t="s">
        <v>2490</v>
      </c>
      <c r="L809" s="182" t="s">
        <v>958</v>
      </c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94"/>
      <c r="Z809" s="194"/>
      <c r="AA809" s="194"/>
    </row>
    <row r="810" spans="1:27" ht="15.6">
      <c r="A810" s="182"/>
      <c r="B810" s="182"/>
      <c r="C810" s="182"/>
      <c r="D810" s="182"/>
      <c r="E810" s="182"/>
      <c r="F810" s="208"/>
      <c r="G810" s="182" t="str">
        <f ca="1">IFERROR(__xludf.DUMMYFUNCTION("""COMPUTED_VALUE"""),"FORRO INOX CARVALHO EUROPEU BABY GREY 15/3 X 190 X 1900MM")</f>
        <v>FORRO INOX CARVALHO EUROPEU BABY GREY 15/3 X 190 X 1900MM</v>
      </c>
      <c r="H810" s="192" t="s">
        <v>897</v>
      </c>
      <c r="I810" s="182" t="str">
        <f t="shared" ca="1" si="5"/>
        <v/>
      </c>
      <c r="J810" s="193"/>
      <c r="K810" s="208" t="s">
        <v>2491</v>
      </c>
      <c r="L810" s="182" t="s">
        <v>959</v>
      </c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94"/>
      <c r="Z810" s="194"/>
      <c r="AA810" s="194"/>
    </row>
    <row r="811" spans="1:27" ht="15.6">
      <c r="A811" s="182"/>
      <c r="B811" s="182"/>
      <c r="C811" s="182"/>
      <c r="D811" s="182"/>
      <c r="E811" s="182"/>
      <c r="F811" s="208"/>
      <c r="G811" s="182" t="str">
        <f ca="1">IFERROR(__xludf.DUMMYFUNCTION("""COMPUTED_VALUE"""),"FORRO INOX CARVALHO EUROPEU BABY GREY 20/6 X 300 X 4000MM")</f>
        <v>FORRO INOX CARVALHO EUROPEU BABY GREY 20/6 X 300 X 4000MM</v>
      </c>
      <c r="H811" s="192" t="s">
        <v>898</v>
      </c>
      <c r="I811" s="182" t="str">
        <f t="shared" ca="1" si="5"/>
        <v/>
      </c>
      <c r="J811" s="193"/>
      <c r="K811" s="208" t="s">
        <v>2492</v>
      </c>
      <c r="L811" s="182" t="s">
        <v>960</v>
      </c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94"/>
      <c r="Z811" s="194"/>
      <c r="AA811" s="194"/>
    </row>
    <row r="812" spans="1:27" ht="15.6">
      <c r="A812" s="182"/>
      <c r="B812" s="182"/>
      <c r="C812" s="182"/>
      <c r="D812" s="182"/>
      <c r="E812" s="182"/>
      <c r="F812" s="208"/>
      <c r="G812" s="182" t="str">
        <f ca="1">IFERROR(__xludf.DUMMYFUNCTION("""COMPUTED_VALUE"""),"FORRO INOX CARVALHO EUROPEU BABY GREY 20/6 X 400 X 5000MM")</f>
        <v>FORRO INOX CARVALHO EUROPEU BABY GREY 20/6 X 400 X 5000MM</v>
      </c>
      <c r="H812" s="192" t="s">
        <v>899</v>
      </c>
      <c r="I812" s="182" t="str">
        <f t="shared" ca="1" si="5"/>
        <v/>
      </c>
      <c r="J812" s="193"/>
      <c r="K812" s="208" t="s">
        <v>2493</v>
      </c>
      <c r="L812" s="182" t="s">
        <v>961</v>
      </c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94"/>
      <c r="Z812" s="194"/>
      <c r="AA812" s="194"/>
    </row>
    <row r="813" spans="1:27" ht="15.6">
      <c r="A813" s="182"/>
      <c r="B813" s="182"/>
      <c r="C813" s="182"/>
      <c r="D813" s="182"/>
      <c r="E813" s="182"/>
      <c r="F813" s="208"/>
      <c r="G813" s="182" t="str">
        <f ca="1">IFERROR(__xludf.DUMMYFUNCTION("""COMPUTED_VALUE"""),"FORRO INOX CARVALHO EUROPEU GRIGIO NERO CHEVRON 15/3 X 1900X 740MM")</f>
        <v>FORRO INOX CARVALHO EUROPEU GRIGIO NERO CHEVRON 15/3 X 1900X 740MM</v>
      </c>
      <c r="H813" s="192" t="s">
        <v>900</v>
      </c>
      <c r="I813" s="182" t="str">
        <f t="shared" ca="1" si="5"/>
        <v/>
      </c>
      <c r="J813" s="193"/>
      <c r="K813" s="208" t="s">
        <v>2494</v>
      </c>
      <c r="L813" s="182" t="s">
        <v>962</v>
      </c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94"/>
      <c r="Z813" s="194"/>
      <c r="AA813" s="194"/>
    </row>
    <row r="814" spans="1:27" ht="15.6">
      <c r="A814" s="182"/>
      <c r="B814" s="182"/>
      <c r="C814" s="182"/>
      <c r="D814" s="182"/>
      <c r="E814" s="182"/>
      <c r="F814" s="208"/>
      <c r="G814" s="182" t="str">
        <f ca="1">IFERROR(__xludf.DUMMYFUNCTION("""COMPUTED_VALUE"""),"FORRO INOX CARVALHO EUROPEU GRIGIO NERO 15/3 X 125 X 1200MM")</f>
        <v>FORRO INOX CARVALHO EUROPEU GRIGIO NERO 15/3 X 125 X 1200MM</v>
      </c>
      <c r="H814" s="192" t="s">
        <v>901</v>
      </c>
      <c r="I814" s="182" t="str">
        <f t="shared" ca="1" si="5"/>
        <v/>
      </c>
      <c r="J814" s="193"/>
      <c r="K814" s="208" t="s">
        <v>2495</v>
      </c>
      <c r="L814" s="182" t="s">
        <v>963</v>
      </c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94"/>
      <c r="Z814" s="194"/>
      <c r="AA814" s="194"/>
    </row>
    <row r="815" spans="1:27" ht="15.6">
      <c r="A815" s="182"/>
      <c r="B815" s="182"/>
      <c r="C815" s="182"/>
      <c r="D815" s="182"/>
      <c r="E815" s="182"/>
      <c r="F815" s="208"/>
      <c r="G815" s="182" t="str">
        <f ca="1">IFERROR(__xludf.DUMMYFUNCTION("""COMPUTED_VALUE"""),"FORRO INOX CARVALHO EUROPEU GRIGIO NERO 15/3 X 190 X 1900MM")</f>
        <v>FORRO INOX CARVALHO EUROPEU GRIGIO NERO 15/3 X 190 X 1900MM</v>
      </c>
      <c r="H815" s="192" t="s">
        <v>902</v>
      </c>
      <c r="I815" s="182" t="str">
        <f t="shared" ca="1" si="5"/>
        <v/>
      </c>
      <c r="J815" s="193"/>
      <c r="K815" s="208" t="s">
        <v>2496</v>
      </c>
      <c r="L815" s="182" t="s">
        <v>964</v>
      </c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94"/>
      <c r="Z815" s="194"/>
      <c r="AA815" s="194"/>
    </row>
    <row r="816" spans="1:27" ht="15.6">
      <c r="A816" s="182"/>
      <c r="B816" s="182"/>
      <c r="C816" s="182"/>
      <c r="D816" s="182"/>
      <c r="E816" s="182"/>
      <c r="F816" s="208"/>
      <c r="G816" s="182" t="str">
        <f ca="1">IFERROR(__xludf.DUMMYFUNCTION("""COMPUTED_VALUE"""),"FORRO INOX CARVALHO EUROPEU GRIGIO NERO 20/6 X 300 X 4000MM")</f>
        <v>FORRO INOX CARVALHO EUROPEU GRIGIO NERO 20/6 X 300 X 4000MM</v>
      </c>
      <c r="H816" s="192" t="s">
        <v>903</v>
      </c>
      <c r="I816" s="182" t="str">
        <f t="shared" ca="1" si="5"/>
        <v/>
      </c>
      <c r="J816" s="193"/>
      <c r="K816" s="208" t="s">
        <v>2497</v>
      </c>
      <c r="L816" s="182" t="s">
        <v>965</v>
      </c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94"/>
      <c r="Z816" s="194"/>
      <c r="AA816" s="194"/>
    </row>
    <row r="817" spans="1:27" ht="15.6">
      <c r="A817" s="182"/>
      <c r="B817" s="182"/>
      <c r="C817" s="182"/>
      <c r="D817" s="182"/>
      <c r="E817" s="182"/>
      <c r="F817" s="208"/>
      <c r="G817" s="182" t="str">
        <f ca="1">IFERROR(__xludf.DUMMYFUNCTION("""COMPUTED_VALUE"""),"FORRO INOX CARVALHO EUROPEU GRIGIO NERO 20/6 X 400 X 5000MM")</f>
        <v>FORRO INOX CARVALHO EUROPEU GRIGIO NERO 20/6 X 400 X 5000MM</v>
      </c>
      <c r="H817" s="192" t="s">
        <v>904</v>
      </c>
      <c r="I817" s="182" t="str">
        <f t="shared" ca="1" si="5"/>
        <v/>
      </c>
      <c r="J817" s="193"/>
      <c r="K817" s="208" t="s">
        <v>2498</v>
      </c>
      <c r="L817" s="182" t="s">
        <v>966</v>
      </c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94"/>
      <c r="Z817" s="194"/>
      <c r="AA817" s="194"/>
    </row>
    <row r="818" spans="1:27" ht="15.6">
      <c r="A818" s="182"/>
      <c r="B818" s="182"/>
      <c r="C818" s="182"/>
      <c r="D818" s="182"/>
      <c r="E818" s="182"/>
      <c r="F818" s="208"/>
      <c r="G818" s="182" t="str">
        <f ca="1">IFERROR(__xludf.DUMMYFUNCTION("""COMPUTED_VALUE"""),"FORRO INOX CARVALHO EUROPEU LIGHT BROWN CHEVRON 15/3 X 1900X 740MM")</f>
        <v>FORRO INOX CARVALHO EUROPEU LIGHT BROWN CHEVRON 15/3 X 1900X 740MM</v>
      </c>
      <c r="H818" s="192" t="s">
        <v>905</v>
      </c>
      <c r="I818" s="182" t="str">
        <f t="shared" ca="1" si="5"/>
        <v/>
      </c>
      <c r="J818" s="193"/>
      <c r="K818" s="208" t="s">
        <v>2499</v>
      </c>
      <c r="L818" s="182" t="s">
        <v>967</v>
      </c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94"/>
      <c r="Z818" s="194"/>
      <c r="AA818" s="194"/>
    </row>
    <row r="819" spans="1:27" ht="15.6">
      <c r="A819" s="182"/>
      <c r="B819" s="182"/>
      <c r="C819" s="182"/>
      <c r="D819" s="182"/>
      <c r="E819" s="182"/>
      <c r="F819" s="208"/>
      <c r="G819" s="182" t="str">
        <f ca="1">IFERROR(__xludf.DUMMYFUNCTION("""COMPUTED_VALUE"""),"FORRO INOX CARVALHO EUROPEU LIGHT BROWN 15/3 X 125 X 1200MM")</f>
        <v>FORRO INOX CARVALHO EUROPEU LIGHT BROWN 15/3 X 125 X 1200MM</v>
      </c>
      <c r="H819" s="192" t="s">
        <v>906</v>
      </c>
      <c r="I819" s="182" t="str">
        <f t="shared" ca="1" si="5"/>
        <v/>
      </c>
      <c r="J819" s="193"/>
      <c r="K819" s="208" t="s">
        <v>2500</v>
      </c>
      <c r="L819" s="182" t="s">
        <v>968</v>
      </c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94"/>
      <c r="Z819" s="194"/>
      <c r="AA819" s="194"/>
    </row>
    <row r="820" spans="1:27" ht="15.6">
      <c r="A820" s="182"/>
      <c r="B820" s="182"/>
      <c r="C820" s="182"/>
      <c r="D820" s="182"/>
      <c r="E820" s="182"/>
      <c r="F820" s="208"/>
      <c r="G820" s="182" t="str">
        <f ca="1">IFERROR(__xludf.DUMMYFUNCTION("""COMPUTED_VALUE"""),"FORRO INOX CARVALHO EUROPEU LIGHT BROWN 15/3 X 190 X 1900MM")</f>
        <v>FORRO INOX CARVALHO EUROPEU LIGHT BROWN 15/3 X 190 X 1900MM</v>
      </c>
      <c r="H820" s="192" t="s">
        <v>907</v>
      </c>
      <c r="I820" s="182" t="str">
        <f t="shared" ca="1" si="5"/>
        <v/>
      </c>
      <c r="J820" s="193"/>
      <c r="K820" s="208" t="s">
        <v>2501</v>
      </c>
      <c r="L820" s="182" t="s">
        <v>969</v>
      </c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94"/>
      <c r="Z820" s="194"/>
      <c r="AA820" s="194"/>
    </row>
    <row r="821" spans="1:27" ht="15.6">
      <c r="A821" s="182"/>
      <c r="B821" s="182"/>
      <c r="C821" s="182"/>
      <c r="D821" s="182"/>
      <c r="E821" s="182"/>
      <c r="F821" s="208"/>
      <c r="G821" s="182" t="str">
        <f ca="1">IFERROR(__xludf.DUMMYFUNCTION("""COMPUTED_VALUE"""),"FORRO INOX CARVALHO EUROPEU LIGHT BROWN 20/6 X 300 X 4000MM")</f>
        <v>FORRO INOX CARVALHO EUROPEU LIGHT BROWN 20/6 X 300 X 4000MM</v>
      </c>
      <c r="H821" s="192" t="s">
        <v>908</v>
      </c>
      <c r="I821" s="182" t="str">
        <f t="shared" ca="1" si="5"/>
        <v/>
      </c>
      <c r="J821" s="193"/>
      <c r="K821" s="208" t="s">
        <v>2502</v>
      </c>
      <c r="L821" s="182" t="s">
        <v>970</v>
      </c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94"/>
      <c r="Z821" s="194"/>
      <c r="AA821" s="194"/>
    </row>
    <row r="822" spans="1:27" ht="15.6">
      <c r="A822" s="182"/>
      <c r="B822" s="182"/>
      <c r="C822" s="182"/>
      <c r="D822" s="182"/>
      <c r="E822" s="182"/>
      <c r="F822" s="208"/>
      <c r="G822" s="182" t="str">
        <f ca="1">IFERROR(__xludf.DUMMYFUNCTION("""COMPUTED_VALUE"""),"FORRO INOX CARVALHO EUROPEU - LISTONE GIORDANO (HERITAGE 140 FILIGRANA - SIENNA 1179) TG 1,25 X 14,0 X 83,50CM --")</f>
        <v>FORRO INOX CARVALHO EUROPEU - LISTONE GIORDANO (HERITAGE 140 FILIGRANA - SIENNA 1179) TG 1,25 X 14,0 X 83,50CM --</v>
      </c>
      <c r="H822" s="192" t="s">
        <v>909</v>
      </c>
      <c r="I822" s="182" t="str">
        <f t="shared" ca="1" si="5"/>
        <v/>
      </c>
      <c r="J822" s="193"/>
      <c r="K822" s="208" t="s">
        <v>2503</v>
      </c>
      <c r="L822" s="182" t="s">
        <v>971</v>
      </c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94"/>
      <c r="Z822" s="194"/>
      <c r="AA822" s="194"/>
    </row>
    <row r="823" spans="1:27" ht="15.6">
      <c r="A823" s="182"/>
      <c r="B823" s="182"/>
      <c r="C823" s="182"/>
      <c r="D823" s="182"/>
      <c r="E823" s="182"/>
      <c r="F823" s="208"/>
      <c r="G823" s="182" t="str">
        <f ca="1">IFERROR(__xludf.DUMMYFUNCTION("""COMPUTED_VALUE"""),"FORRO INOX ")</f>
        <v xml:space="preserve">FORRO INOX </v>
      </c>
      <c r="H823" s="192" t="s">
        <v>910</v>
      </c>
      <c r="I823" s="182" t="str">
        <f t="shared" ca="1" si="5"/>
        <v/>
      </c>
      <c r="J823" s="193"/>
      <c r="K823" s="208" t="s">
        <v>2504</v>
      </c>
      <c r="L823" s="182" t="s">
        <v>972</v>
      </c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94"/>
      <c r="Z823" s="194"/>
      <c r="AA823" s="194"/>
    </row>
    <row r="824" spans="1:27" ht="15.6">
      <c r="A824" s="182"/>
      <c r="B824" s="182"/>
      <c r="C824" s="182"/>
      <c r="D824" s="182"/>
      <c r="E824" s="182"/>
      <c r="F824" s="208"/>
      <c r="G824" s="182" t="str">
        <f ca="1">IFERROR(__xludf.DUMMYFUNCTION("""COMPUTED_VALUE"""),"FORRO INOX CARVALHO EUROPEU MILANO CHEVRON 15/3 X 1900X 740MM")</f>
        <v>FORRO INOX CARVALHO EUROPEU MILANO CHEVRON 15/3 X 1900X 740MM</v>
      </c>
      <c r="H824" s="192" t="s">
        <v>911</v>
      </c>
      <c r="I824" s="182" t="str">
        <f t="shared" ca="1" si="5"/>
        <v/>
      </c>
      <c r="J824" s="193"/>
      <c r="K824" s="208" t="s">
        <v>2505</v>
      </c>
      <c r="L824" s="182" t="s">
        <v>972</v>
      </c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94"/>
      <c r="Z824" s="194"/>
      <c r="AA824" s="194"/>
    </row>
    <row r="825" spans="1:27" ht="15.6">
      <c r="A825" s="182"/>
      <c r="B825" s="182"/>
      <c r="C825" s="182"/>
      <c r="D825" s="182"/>
      <c r="E825" s="182"/>
      <c r="F825" s="208"/>
      <c r="G825" s="182" t="str">
        <f ca="1">IFERROR(__xludf.DUMMYFUNCTION("""COMPUTED_VALUE"""),"FORRO INOX CARVALHO EUROPEU MILANO 15/3 X 125 X 1200MM")</f>
        <v>FORRO INOX CARVALHO EUROPEU MILANO 15/3 X 125 X 1200MM</v>
      </c>
      <c r="H825" s="192" t="s">
        <v>912</v>
      </c>
      <c r="I825" s="182" t="str">
        <f t="shared" ca="1" si="5"/>
        <v/>
      </c>
      <c r="J825" s="193"/>
      <c r="K825" s="208" t="s">
        <v>2506</v>
      </c>
      <c r="L825" s="182" t="s">
        <v>974</v>
      </c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94"/>
      <c r="Z825" s="194"/>
      <c r="AA825" s="194"/>
    </row>
    <row r="826" spans="1:27" ht="15.6">
      <c r="A826" s="182"/>
      <c r="B826" s="182"/>
      <c r="C826" s="182"/>
      <c r="D826" s="182"/>
      <c r="E826" s="182"/>
      <c r="F826" s="208"/>
      <c r="G826" s="182" t="str">
        <f ca="1">IFERROR(__xludf.DUMMYFUNCTION("""COMPUTED_VALUE"""),"FORRO INOX CARVALHO EUROPEU MILANO 15/3 X 190 X 1900MM")</f>
        <v>FORRO INOX CARVALHO EUROPEU MILANO 15/3 X 190 X 1900MM</v>
      </c>
      <c r="H826" s="192" t="s">
        <v>913</v>
      </c>
      <c r="I826" s="182" t="str">
        <f t="shared" ca="1" si="5"/>
        <v/>
      </c>
      <c r="J826" s="193"/>
      <c r="K826" s="208" t="s">
        <v>2507</v>
      </c>
      <c r="L826" s="182" t="s">
        <v>975</v>
      </c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94"/>
      <c r="Z826" s="194"/>
      <c r="AA826" s="194"/>
    </row>
    <row r="827" spans="1:27" ht="15.6">
      <c r="A827" s="182"/>
      <c r="B827" s="182"/>
      <c r="C827" s="182"/>
      <c r="D827" s="182"/>
      <c r="E827" s="182"/>
      <c r="F827" s="208"/>
      <c r="G827" s="182" t="str">
        <f ca="1">IFERROR(__xludf.DUMMYFUNCTION("""COMPUTED_VALUE"""),"FORRO INOX CARVALHO EUROPEU MILANO 20/6 X 300 X 4000MM")</f>
        <v>FORRO INOX CARVALHO EUROPEU MILANO 20/6 X 300 X 4000MM</v>
      </c>
      <c r="H827" s="192" t="s">
        <v>914</v>
      </c>
      <c r="I827" s="182" t="str">
        <f t="shared" ca="1" si="5"/>
        <v/>
      </c>
      <c r="J827" s="193"/>
      <c r="K827" s="208" t="s">
        <v>2508</v>
      </c>
      <c r="L827" s="182" t="s">
        <v>976</v>
      </c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94"/>
      <c r="Z827" s="194"/>
      <c r="AA827" s="194"/>
    </row>
    <row r="828" spans="1:27" ht="15.6">
      <c r="A828" s="182"/>
      <c r="B828" s="182"/>
      <c r="C828" s="182"/>
      <c r="D828" s="182"/>
      <c r="E828" s="182"/>
      <c r="F828" s="208"/>
      <c r="G828" s="182" t="str">
        <f ca="1">IFERROR(__xludf.DUMMYFUNCTION("""COMPUTED_VALUE"""),"FORRO INOX CARVALHO EUROPEU MILANO 20/6 X 400 X 5000MM")</f>
        <v>FORRO INOX CARVALHO EUROPEU MILANO 20/6 X 400 X 5000MM</v>
      </c>
      <c r="H828" s="192" t="s">
        <v>915</v>
      </c>
      <c r="I828" s="182" t="str">
        <f t="shared" ca="1" si="5"/>
        <v/>
      </c>
      <c r="J828" s="193"/>
      <c r="K828" s="208" t="s">
        <v>2509</v>
      </c>
      <c r="L828" s="182" t="s">
        <v>977</v>
      </c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94"/>
      <c r="Z828" s="194"/>
      <c r="AA828" s="194"/>
    </row>
    <row r="829" spans="1:27" ht="15.6">
      <c r="A829" s="182"/>
      <c r="B829" s="182"/>
      <c r="C829" s="182"/>
      <c r="D829" s="182"/>
      <c r="E829" s="182"/>
      <c r="F829" s="208"/>
      <c r="G829" s="182" t="str">
        <f ca="1">IFERROR(__xludf.DUMMYFUNCTION("""COMPUTED_VALUE"""),"FORRO INOX CARVALHO EUROPEU SMOKED CHEVRON 15/3 X 1900X 740MM")</f>
        <v>FORRO INOX CARVALHO EUROPEU SMOKED CHEVRON 15/3 X 1900X 740MM</v>
      </c>
      <c r="H829" s="192" t="s">
        <v>916</v>
      </c>
      <c r="I829" s="182" t="str">
        <f t="shared" ca="1" si="5"/>
        <v/>
      </c>
      <c r="J829" s="193"/>
      <c r="K829" s="208" t="s">
        <v>2510</v>
      </c>
      <c r="L829" s="182" t="s">
        <v>978</v>
      </c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94"/>
      <c r="Z829" s="194"/>
      <c r="AA829" s="194"/>
    </row>
    <row r="830" spans="1:27" ht="15.6">
      <c r="A830" s="182"/>
      <c r="B830" s="182"/>
      <c r="C830" s="182"/>
      <c r="D830" s="182"/>
      <c r="E830" s="182"/>
      <c r="F830" s="208"/>
      <c r="G830" s="182" t="str">
        <f ca="1">IFERROR(__xludf.DUMMYFUNCTION("""COMPUTED_VALUE"""),"FORRO INOX CARVALHO EUROPEU SMOKED 15/3 X 125 X 1200MM")</f>
        <v>FORRO INOX CARVALHO EUROPEU SMOKED 15/3 X 125 X 1200MM</v>
      </c>
      <c r="H830" s="192" t="s">
        <v>917</v>
      </c>
      <c r="I830" s="182" t="str">
        <f t="shared" ca="1" si="5"/>
        <v/>
      </c>
      <c r="J830" s="193"/>
      <c r="K830" s="208" t="s">
        <v>2511</v>
      </c>
      <c r="L830" s="182" t="s">
        <v>979</v>
      </c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94"/>
      <c r="Z830" s="194"/>
      <c r="AA830" s="194"/>
    </row>
    <row r="831" spans="1:27" ht="15.6">
      <c r="A831" s="182"/>
      <c r="B831" s="182"/>
      <c r="C831" s="182"/>
      <c r="D831" s="182"/>
      <c r="E831" s="182"/>
      <c r="F831" s="208"/>
      <c r="G831" s="182" t="str">
        <f ca="1">IFERROR(__xludf.DUMMYFUNCTION("""COMPUTED_VALUE"""),"FORRO INOX CARVALHO EUROPEU SMOKED 15/3 X 190 X 1900MM")</f>
        <v>FORRO INOX CARVALHO EUROPEU SMOKED 15/3 X 190 X 1900MM</v>
      </c>
      <c r="H831" s="192" t="s">
        <v>918</v>
      </c>
      <c r="I831" s="182" t="str">
        <f t="shared" ca="1" si="5"/>
        <v/>
      </c>
      <c r="J831" s="193"/>
      <c r="K831" s="208" t="s">
        <v>2512</v>
      </c>
      <c r="L831" s="182" t="s">
        <v>980</v>
      </c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94"/>
      <c r="Z831" s="194"/>
      <c r="AA831" s="194"/>
    </row>
    <row r="832" spans="1:27" ht="15.6">
      <c r="A832" s="182"/>
      <c r="B832" s="182"/>
      <c r="C832" s="182"/>
      <c r="D832" s="182"/>
      <c r="E832" s="182"/>
      <c r="F832" s="208"/>
      <c r="G832" s="182" t="str">
        <f ca="1">IFERROR(__xludf.DUMMYFUNCTION("""COMPUTED_VALUE"""),"FORRO INOX CARVALHO EUROPEU SMOKED 20/6 X 300 X 4000MM")</f>
        <v>FORRO INOX CARVALHO EUROPEU SMOKED 20/6 X 300 X 4000MM</v>
      </c>
      <c r="H832" s="192" t="s">
        <v>919</v>
      </c>
      <c r="I832" s="182" t="str">
        <f t="shared" ca="1" si="5"/>
        <v/>
      </c>
      <c r="J832" s="193"/>
      <c r="K832" s="208" t="s">
        <v>2513</v>
      </c>
      <c r="L832" s="182" t="s">
        <v>988</v>
      </c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94"/>
      <c r="Z832" s="194"/>
      <c r="AA832" s="194"/>
    </row>
    <row r="833" spans="1:27" ht="15.6">
      <c r="A833" s="182"/>
      <c r="B833" s="182"/>
      <c r="C833" s="182"/>
      <c r="D833" s="182"/>
      <c r="E833" s="182"/>
      <c r="F833" s="208"/>
      <c r="G833" s="182" t="str">
        <f ca="1">IFERROR(__xludf.DUMMYFUNCTION("""COMPUTED_VALUE"""),"FORRO INOX CARVALHO EUROPEU SMOKED 20/6 X 400 X 5000MM")</f>
        <v>FORRO INOX CARVALHO EUROPEU SMOKED 20/6 X 400 X 5000MM</v>
      </c>
      <c r="H833" s="192" t="s">
        <v>920</v>
      </c>
      <c r="I833" s="182" t="str">
        <f t="shared" ca="1" si="5"/>
        <v/>
      </c>
      <c r="J833" s="193"/>
      <c r="K833" s="208" t="s">
        <v>2514</v>
      </c>
      <c r="L833" s="182" t="s">
        <v>989</v>
      </c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94"/>
      <c r="Z833" s="194"/>
      <c r="AA833" s="194"/>
    </row>
    <row r="834" spans="1:27" ht="15.6">
      <c r="A834" s="182"/>
      <c r="B834" s="182"/>
      <c r="C834" s="182"/>
      <c r="D834" s="182"/>
      <c r="E834" s="182"/>
      <c r="F834" s="208"/>
      <c r="G834" s="182" t="str">
        <f ca="1">IFERROR(__xludf.DUMMYFUNCTION("""COMPUTED_VALUE"""),"FORRO INOX CARVALHO EUROPEU GIZ CHEVRON 15/3 X 1900X 740MM")</f>
        <v>FORRO INOX CARVALHO EUROPEU GIZ CHEVRON 15/3 X 1900X 740MM</v>
      </c>
      <c r="H834" s="192" t="s">
        <v>921</v>
      </c>
      <c r="I834" s="182" t="str">
        <f t="shared" ca="1" si="5"/>
        <v/>
      </c>
      <c r="J834" s="193"/>
      <c r="K834" s="208" t="s">
        <v>2515</v>
      </c>
      <c r="L834" s="182" t="s">
        <v>990</v>
      </c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94"/>
      <c r="Z834" s="194"/>
      <c r="AA834" s="194"/>
    </row>
    <row r="835" spans="1:27" ht="15.6">
      <c r="A835" s="182"/>
      <c r="B835" s="182"/>
      <c r="C835" s="182"/>
      <c r="D835" s="182"/>
      <c r="E835" s="182"/>
      <c r="F835" s="208"/>
      <c r="G835" s="182" t="str">
        <f ca="1">IFERROR(__xludf.DUMMYFUNCTION("""COMPUTED_VALUE"""),"FORRO INOX CARVALHO EUROPEU GIZ 15/3 X 125 X 1200MM")</f>
        <v>FORRO INOX CARVALHO EUROPEU GIZ 15/3 X 125 X 1200MM</v>
      </c>
      <c r="H835" s="192" t="s">
        <v>922</v>
      </c>
      <c r="I835" s="182" t="str">
        <f t="shared" ca="1" si="5"/>
        <v/>
      </c>
      <c r="J835" s="193"/>
      <c r="K835" s="208" t="s">
        <v>2516</v>
      </c>
      <c r="L835" s="182" t="s">
        <v>991</v>
      </c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94"/>
      <c r="Z835" s="194"/>
      <c r="AA835" s="194"/>
    </row>
    <row r="836" spans="1:27" ht="15.6">
      <c r="A836" s="182"/>
      <c r="B836" s="182"/>
      <c r="C836" s="182"/>
      <c r="D836" s="182"/>
      <c r="E836" s="182"/>
      <c r="F836" s="208"/>
      <c r="G836" s="182" t="str">
        <f ca="1">IFERROR(__xludf.DUMMYFUNCTION("""COMPUTED_VALUE"""),"FORRO INOX CARVALHO EUROPEU GIZ 15/3 X 190 X 1900MM")</f>
        <v>FORRO INOX CARVALHO EUROPEU GIZ 15/3 X 190 X 1900MM</v>
      </c>
      <c r="H836" s="192" t="s">
        <v>923</v>
      </c>
      <c r="I836" s="182" t="str">
        <f t="shared" ca="1" si="5"/>
        <v/>
      </c>
      <c r="J836" s="193"/>
      <c r="K836" s="208" t="s">
        <v>2517</v>
      </c>
      <c r="L836" s="182" t="s">
        <v>992</v>
      </c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94"/>
      <c r="Z836" s="194"/>
      <c r="AA836" s="194"/>
    </row>
    <row r="837" spans="1:27" ht="15.6">
      <c r="A837" s="182"/>
      <c r="B837" s="182"/>
      <c r="C837" s="182"/>
      <c r="D837" s="182"/>
      <c r="E837" s="182"/>
      <c r="F837" s="208"/>
      <c r="G837" s="182" t="str">
        <f ca="1">IFERROR(__xludf.DUMMYFUNCTION("""COMPUTED_VALUE"""),"FORRO INOX CARVALHO EUROPEU GIZ 20/6 X 300 X 4000MM")</f>
        <v>FORRO INOX CARVALHO EUROPEU GIZ 20/6 X 300 X 4000MM</v>
      </c>
      <c r="H837" s="192" t="s">
        <v>924</v>
      </c>
      <c r="I837" s="182" t="str">
        <f t="shared" ca="1" si="5"/>
        <v/>
      </c>
      <c r="J837" s="193"/>
      <c r="K837" s="208" t="s">
        <v>2518</v>
      </c>
      <c r="L837" s="182" t="s">
        <v>993</v>
      </c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94"/>
      <c r="Z837" s="194"/>
      <c r="AA837" s="194"/>
    </row>
    <row r="838" spans="1:27" ht="15.6">
      <c r="A838" s="182"/>
      <c r="B838" s="182"/>
      <c r="C838" s="182"/>
      <c r="D838" s="182"/>
      <c r="E838" s="182"/>
      <c r="F838" s="208"/>
      <c r="G838" s="182" t="str">
        <f ca="1">IFERROR(__xludf.DUMMYFUNCTION("""COMPUTED_VALUE"""),"FORRO INOX CARVALHO EUROPEU GIZ 20/6 X 400 X 5000MM")</f>
        <v>FORRO INOX CARVALHO EUROPEU GIZ 20/6 X 400 X 5000MM</v>
      </c>
      <c r="H838" s="192" t="s">
        <v>925</v>
      </c>
      <c r="I838" s="182" t="str">
        <f t="shared" ca="1" si="5"/>
        <v/>
      </c>
      <c r="J838" s="193"/>
      <c r="K838" s="208" t="s">
        <v>2519</v>
      </c>
      <c r="L838" s="182" t="s">
        <v>994</v>
      </c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94"/>
      <c r="Z838" s="194"/>
      <c r="AA838" s="194"/>
    </row>
    <row r="839" spans="1:27" ht="15.6">
      <c r="A839" s="182"/>
      <c r="B839" s="182"/>
      <c r="C839" s="182"/>
      <c r="D839" s="182"/>
      <c r="E839" s="182"/>
      <c r="F839" s="208"/>
      <c r="G839" s="182" t="str">
        <f ca="1">IFERROR(__xludf.DUMMYFUNCTION("""COMPUTED_VALUE"""),"FORRO INOX CARVALHO EUROPEU SNOW CHEVRON 15/3 X 1900X 740MM")</f>
        <v>FORRO INOX CARVALHO EUROPEU SNOW CHEVRON 15/3 X 1900X 740MM</v>
      </c>
      <c r="H839" s="192" t="s">
        <v>926</v>
      </c>
      <c r="I839" s="182" t="str">
        <f t="shared" ca="1" si="5"/>
        <v/>
      </c>
      <c r="J839" s="193"/>
      <c r="K839" s="208" t="s">
        <v>2520</v>
      </c>
      <c r="L839" s="182" t="s">
        <v>2521</v>
      </c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94"/>
      <c r="Z839" s="194"/>
      <c r="AA839" s="194"/>
    </row>
    <row r="840" spans="1:27" ht="15.6">
      <c r="A840" s="182"/>
      <c r="B840" s="182"/>
      <c r="C840" s="182"/>
      <c r="D840" s="182"/>
      <c r="E840" s="182"/>
      <c r="F840" s="208"/>
      <c r="G840" s="182" t="str">
        <f ca="1">IFERROR(__xludf.DUMMYFUNCTION("""COMPUTED_VALUE"""),"FORRO INOX CARVALHO EUROPEU SNOW 15/3 X 125 X 1200MM")</f>
        <v>FORRO INOX CARVALHO EUROPEU SNOW 15/3 X 125 X 1200MM</v>
      </c>
      <c r="H840" s="192" t="s">
        <v>927</v>
      </c>
      <c r="I840" s="182" t="str">
        <f t="shared" ca="1" si="5"/>
        <v/>
      </c>
      <c r="J840" s="193"/>
      <c r="K840" s="208" t="s">
        <v>2522</v>
      </c>
      <c r="L840" s="182" t="s">
        <v>2523</v>
      </c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94"/>
      <c r="Z840" s="194"/>
      <c r="AA840" s="194"/>
    </row>
    <row r="841" spans="1:27" ht="15.6">
      <c r="A841" s="182"/>
      <c r="B841" s="182"/>
      <c r="C841" s="182"/>
      <c r="D841" s="182"/>
      <c r="E841" s="182"/>
      <c r="F841" s="208"/>
      <c r="G841" s="182" t="str">
        <f ca="1">IFERROR(__xludf.DUMMYFUNCTION("""COMPUTED_VALUE"""),"FORRO INOX CARVALHO EUROPEU SNOW 15/3 X 190 X 1900MM")</f>
        <v>FORRO INOX CARVALHO EUROPEU SNOW 15/3 X 190 X 1900MM</v>
      </c>
      <c r="H841" s="192" t="s">
        <v>928</v>
      </c>
      <c r="I841" s="182" t="str">
        <f t="shared" ca="1" si="5"/>
        <v/>
      </c>
      <c r="J841" s="193"/>
      <c r="K841" s="208" t="s">
        <v>2524</v>
      </c>
      <c r="L841" s="182" t="s">
        <v>2525</v>
      </c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94"/>
      <c r="Z841" s="194"/>
      <c r="AA841" s="194"/>
    </row>
    <row r="842" spans="1:27" ht="15.6">
      <c r="A842" s="182"/>
      <c r="B842" s="182"/>
      <c r="C842" s="182"/>
      <c r="D842" s="182"/>
      <c r="E842" s="182"/>
      <c r="F842" s="208"/>
      <c r="G842" s="182" t="str">
        <f ca="1">IFERROR(__xludf.DUMMYFUNCTION("""COMPUTED_VALUE"""),"FORRO INOX CARVALHO EUROPEU SNOW 20/6 X 300 X 4000MM")</f>
        <v>FORRO INOX CARVALHO EUROPEU SNOW 20/6 X 300 X 4000MM</v>
      </c>
      <c r="H842" s="192" t="s">
        <v>929</v>
      </c>
      <c r="I842" s="182" t="str">
        <f t="shared" ca="1" si="5"/>
        <v/>
      </c>
      <c r="J842" s="193"/>
      <c r="K842" s="208" t="s">
        <v>2526</v>
      </c>
      <c r="L842" s="182" t="s">
        <v>2527</v>
      </c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94"/>
      <c r="Z842" s="194"/>
      <c r="AA842" s="194"/>
    </row>
    <row r="843" spans="1:27" ht="15.6">
      <c r="A843" s="182"/>
      <c r="B843" s="182"/>
      <c r="C843" s="182"/>
      <c r="D843" s="182"/>
      <c r="E843" s="182"/>
      <c r="F843" s="208"/>
      <c r="G843" s="182" t="str">
        <f ca="1">IFERROR(__xludf.DUMMYFUNCTION("""COMPUTED_VALUE"""),"FORRO INOX CARVALHO EUROPEU SNOW 20/6 X 400 X 5000MM")</f>
        <v>FORRO INOX CARVALHO EUROPEU SNOW 20/6 X 400 X 5000MM</v>
      </c>
      <c r="H843" s="192" t="s">
        <v>930</v>
      </c>
      <c r="I843" s="182" t="str">
        <f t="shared" ca="1" si="5"/>
        <v/>
      </c>
      <c r="J843" s="193"/>
      <c r="K843" s="208" t="s">
        <v>2528</v>
      </c>
      <c r="L843" s="182" t="s">
        <v>2529</v>
      </c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94"/>
      <c r="Z843" s="194"/>
      <c r="AA843" s="194"/>
    </row>
    <row r="844" spans="1:27" ht="15.6">
      <c r="A844" s="182"/>
      <c r="B844" s="182"/>
      <c r="C844" s="182"/>
      <c r="D844" s="182"/>
      <c r="E844" s="182"/>
      <c r="F844" s="208"/>
      <c r="G844" s="182" t="str">
        <f ca="1">IFERROR(__xludf.DUMMYFUNCTION("""COMPUTED_VALUE"""),"FORRO INOX CARVALHO EUROPEU WILD CHEVRON 15/3 X 1900X 740MM")</f>
        <v>FORRO INOX CARVALHO EUROPEU WILD CHEVRON 15/3 X 1900X 740MM</v>
      </c>
      <c r="H844" s="192" t="s">
        <v>931</v>
      </c>
      <c r="I844" s="182" t="str">
        <f t="shared" ca="1" si="5"/>
        <v/>
      </c>
      <c r="J844" s="193"/>
      <c r="K844" s="208" t="s">
        <v>2530</v>
      </c>
      <c r="L844" s="182" t="s">
        <v>2531</v>
      </c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94"/>
      <c r="Z844" s="194"/>
      <c r="AA844" s="194"/>
    </row>
    <row r="845" spans="1:27" ht="15.6">
      <c r="A845" s="182"/>
      <c r="B845" s="182"/>
      <c r="C845" s="182"/>
      <c r="D845" s="182"/>
      <c r="E845" s="182"/>
      <c r="F845" s="208"/>
      <c r="G845" s="182" t="str">
        <f ca="1">IFERROR(__xludf.DUMMYFUNCTION("""COMPUTED_VALUE"""),"FORRO INOX CARVALHO EUROPEU WILD 15/3 X 125 X 1200MM")</f>
        <v>FORRO INOX CARVALHO EUROPEU WILD 15/3 X 125 X 1200MM</v>
      </c>
      <c r="H845" s="192" t="s">
        <v>932</v>
      </c>
      <c r="I845" s="182" t="str">
        <f t="shared" ca="1" si="5"/>
        <v/>
      </c>
      <c r="J845" s="193"/>
      <c r="K845" s="208" t="s">
        <v>2532</v>
      </c>
      <c r="L845" s="182" t="s">
        <v>2533</v>
      </c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94"/>
      <c r="Z845" s="194"/>
      <c r="AA845" s="194"/>
    </row>
    <row r="846" spans="1:27" ht="15.6">
      <c r="A846" s="182"/>
      <c r="B846" s="182"/>
      <c r="C846" s="182"/>
      <c r="D846" s="182"/>
      <c r="E846" s="182"/>
      <c r="F846" s="208"/>
      <c r="G846" s="182" t="str">
        <f ca="1">IFERROR(__xludf.DUMMYFUNCTION("""COMPUTED_VALUE"""),"FORRO INOX CARVALHO EUROPEU WILD 15/3 X 190 X 1900MM")</f>
        <v>FORRO INOX CARVALHO EUROPEU WILD 15/3 X 190 X 1900MM</v>
      </c>
      <c r="H846" s="192" t="s">
        <v>933</v>
      </c>
      <c r="I846" s="182" t="str">
        <f t="shared" ca="1" si="5"/>
        <v/>
      </c>
      <c r="J846" s="193"/>
      <c r="K846" s="208" t="s">
        <v>2534</v>
      </c>
      <c r="L846" s="182" t="s">
        <v>2535</v>
      </c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94"/>
      <c r="Z846" s="194"/>
      <c r="AA846" s="194"/>
    </row>
    <row r="847" spans="1:27" ht="15.6">
      <c r="A847" s="182"/>
      <c r="B847" s="182"/>
      <c r="C847" s="182"/>
      <c r="D847" s="182"/>
      <c r="E847" s="182"/>
      <c r="F847" s="208"/>
      <c r="G847" s="182" t="str">
        <f ca="1">IFERROR(__xludf.DUMMYFUNCTION("""COMPUTED_VALUE"""),"FORRO INOX CARVALHO EUROPEU WILD 20/6 X 300 X 4000MM")</f>
        <v>FORRO INOX CARVALHO EUROPEU WILD 20/6 X 300 X 4000MM</v>
      </c>
      <c r="H847" s="192" t="s">
        <v>934</v>
      </c>
      <c r="I847" s="182" t="str">
        <f t="shared" ca="1" si="5"/>
        <v/>
      </c>
      <c r="J847" s="193"/>
      <c r="K847" s="208" t="s">
        <v>2536</v>
      </c>
      <c r="L847" s="182" t="s">
        <v>2537</v>
      </c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94"/>
      <c r="Z847" s="194"/>
      <c r="AA847" s="194"/>
    </row>
    <row r="848" spans="1:27" ht="15.6">
      <c r="A848" s="182"/>
      <c r="B848" s="182"/>
      <c r="C848" s="182"/>
      <c r="D848" s="182"/>
      <c r="E848" s="182"/>
      <c r="F848" s="208"/>
      <c r="G848" s="182" t="str">
        <f ca="1">IFERROR(__xludf.DUMMYFUNCTION("""COMPUTED_VALUE"""),"FORRO INOX CARVALHO EUROPEU WILD 20/6 X 400 X 5000MM")</f>
        <v>FORRO INOX CARVALHO EUROPEU WILD 20/6 X 400 X 5000MM</v>
      </c>
      <c r="H848" s="192" t="s">
        <v>935</v>
      </c>
      <c r="I848" s="182" t="str">
        <f t="shared" ca="1" si="5"/>
        <v/>
      </c>
      <c r="J848" s="193"/>
      <c r="K848" s="208" t="s">
        <v>2538</v>
      </c>
      <c r="L848" s="182" t="s">
        <v>2539</v>
      </c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94"/>
      <c r="Z848" s="194"/>
      <c r="AA848" s="194"/>
    </row>
    <row r="849" spans="1:27" ht="15.6">
      <c r="A849" s="182"/>
      <c r="B849" s="182"/>
      <c r="C849" s="182"/>
      <c r="D849" s="182"/>
      <c r="E849" s="182"/>
      <c r="F849" s="208"/>
      <c r="G849" s="182" t="str">
        <f ca="1">IFERROR(__xludf.DUMMYFUNCTION("""COMPUTED_VALUE"""),"FORRO INOX CARVALHO EUROPEU NEVADO CHEVRON 15/3 X 1900X 740MM")</f>
        <v>FORRO INOX CARVALHO EUROPEU NEVADO CHEVRON 15/3 X 1900X 740MM</v>
      </c>
      <c r="H849" s="192" t="s">
        <v>936</v>
      </c>
      <c r="I849" s="182" t="str">
        <f t="shared" ca="1" si="5"/>
        <v/>
      </c>
      <c r="J849" s="193"/>
      <c r="K849" s="208" t="s">
        <v>2540</v>
      </c>
      <c r="L849" s="182" t="s">
        <v>2541</v>
      </c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94"/>
      <c r="Z849" s="194"/>
      <c r="AA849" s="194"/>
    </row>
    <row r="850" spans="1:27" ht="15.6">
      <c r="A850" s="182"/>
      <c r="B850" s="182"/>
      <c r="C850" s="182"/>
      <c r="D850" s="182"/>
      <c r="E850" s="182"/>
      <c r="F850" s="208"/>
      <c r="G850" s="182" t="str">
        <f ca="1">IFERROR(__xludf.DUMMYFUNCTION("""COMPUTED_VALUE"""),"FORRO INOX CARVALHO EUROPEU NEVADO 15/3 X 125 X 1200MM")</f>
        <v>FORRO INOX CARVALHO EUROPEU NEVADO 15/3 X 125 X 1200MM</v>
      </c>
      <c r="H850" s="192" t="s">
        <v>937</v>
      </c>
      <c r="I850" s="182" t="str">
        <f t="shared" ca="1" si="5"/>
        <v/>
      </c>
      <c r="J850" s="193"/>
      <c r="K850" s="208" t="s">
        <v>2542</v>
      </c>
      <c r="L850" s="182" t="s">
        <v>2543</v>
      </c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94"/>
      <c r="Z850" s="194"/>
      <c r="AA850" s="194"/>
    </row>
    <row r="851" spans="1:27" ht="15.6">
      <c r="A851" s="182"/>
      <c r="B851" s="182"/>
      <c r="C851" s="182"/>
      <c r="D851" s="182"/>
      <c r="E851" s="182"/>
      <c r="F851" s="208"/>
      <c r="G851" s="182" t="str">
        <f ca="1">IFERROR(__xludf.DUMMYFUNCTION("""COMPUTED_VALUE"""),"FORRO INOX CARVALHO EUROPEU NEVADO 15/3 X 190 X 1900MM")</f>
        <v>FORRO INOX CARVALHO EUROPEU NEVADO 15/3 X 190 X 1900MM</v>
      </c>
      <c r="H851" s="192" t="s">
        <v>938</v>
      </c>
      <c r="I851" s="182" t="str">
        <f t="shared" ca="1" si="5"/>
        <v/>
      </c>
      <c r="J851" s="193"/>
      <c r="K851" s="208" t="s">
        <v>2544</v>
      </c>
      <c r="L851" s="182" t="s">
        <v>2545</v>
      </c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94"/>
      <c r="Z851" s="194"/>
      <c r="AA851" s="194"/>
    </row>
    <row r="852" spans="1:27" ht="15.6">
      <c r="A852" s="182"/>
      <c r="B852" s="182"/>
      <c r="C852" s="182"/>
      <c r="D852" s="182"/>
      <c r="E852" s="182"/>
      <c r="F852" s="208"/>
      <c r="G852" s="182" t="str">
        <f ca="1">IFERROR(__xludf.DUMMYFUNCTION("""COMPUTED_VALUE"""),"FORRO INOX CARVALHO EUROPEU NEVADO 20/6 X 300 X 4000MM")</f>
        <v>FORRO INOX CARVALHO EUROPEU NEVADO 20/6 X 300 X 4000MM</v>
      </c>
      <c r="H852" s="192" t="s">
        <v>939</v>
      </c>
      <c r="I852" s="182" t="str">
        <f t="shared" ca="1" si="5"/>
        <v/>
      </c>
      <c r="J852" s="193"/>
      <c r="K852" s="208" t="s">
        <v>2546</v>
      </c>
      <c r="L852" s="182" t="s">
        <v>2547</v>
      </c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94"/>
      <c r="Z852" s="194"/>
      <c r="AA852" s="194"/>
    </row>
    <row r="853" spans="1:27" ht="15.6">
      <c r="A853" s="182"/>
      <c r="B853" s="182"/>
      <c r="C853" s="182"/>
      <c r="D853" s="182"/>
      <c r="E853" s="182"/>
      <c r="F853" s="208"/>
      <c r="G853" s="182" t="str">
        <f ca="1">IFERROR(__xludf.DUMMYFUNCTION("""COMPUTED_VALUE"""),"FORRO INOX CARVALHO EUROPEU NEVADO 20/6 X 400 X 5000MM")</f>
        <v>FORRO INOX CARVALHO EUROPEU NEVADO 20/6 X 400 X 5000MM</v>
      </c>
      <c r="H853" s="192" t="s">
        <v>940</v>
      </c>
      <c r="I853" s="182" t="str">
        <f t="shared" ca="1" si="5"/>
        <v/>
      </c>
      <c r="J853" s="193"/>
      <c r="K853" s="208" t="s">
        <v>2548</v>
      </c>
      <c r="L853" s="182" t="s">
        <v>2549</v>
      </c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94"/>
      <c r="Z853" s="194"/>
      <c r="AA853" s="194"/>
    </row>
    <row r="854" spans="1:27" ht="15.6">
      <c r="A854" s="182"/>
      <c r="B854" s="182"/>
      <c r="C854" s="182"/>
      <c r="D854" s="182"/>
      <c r="E854" s="182"/>
      <c r="F854" s="208"/>
      <c r="G854" s="182" t="str">
        <f ca="1">IFERROR(__xludf.DUMMYFUNCTION("""COMPUTED_VALUE"""),"FORRO INOX CARVALHO EUROPEU CONCRETE GREY CHEVRON 15/3 X 1900X 740MM")</f>
        <v>FORRO INOX CARVALHO EUROPEU CONCRETE GREY CHEVRON 15/3 X 1900X 740MM</v>
      </c>
      <c r="H854" s="192" t="s">
        <v>941</v>
      </c>
      <c r="I854" s="182" t="str">
        <f t="shared" ca="1" si="5"/>
        <v/>
      </c>
      <c r="J854" s="193"/>
      <c r="K854" s="208" t="s">
        <v>2550</v>
      </c>
      <c r="L854" s="182" t="s">
        <v>2551</v>
      </c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94"/>
      <c r="Z854" s="194"/>
      <c r="AA854" s="194"/>
    </row>
    <row r="855" spans="1:27" ht="15.6">
      <c r="A855" s="182"/>
      <c r="B855" s="182"/>
      <c r="C855" s="182"/>
      <c r="D855" s="182"/>
      <c r="E855" s="182"/>
      <c r="F855" s="208"/>
      <c r="G855" s="182" t="str">
        <f ca="1">IFERROR(__xludf.DUMMYFUNCTION("""COMPUTED_VALUE"""),"FORRO INOX CARVALHO EUROPEU CONCRETE GREY 15/3 X 125 X 1200MM")</f>
        <v>FORRO INOX CARVALHO EUROPEU CONCRETE GREY 15/3 X 125 X 1200MM</v>
      </c>
      <c r="H855" s="192" t="s">
        <v>942</v>
      </c>
      <c r="I855" s="182" t="str">
        <f t="shared" ca="1" si="5"/>
        <v/>
      </c>
      <c r="J855" s="193"/>
      <c r="K855" s="208" t="s">
        <v>2552</v>
      </c>
      <c r="L855" s="182" t="s">
        <v>1025</v>
      </c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94"/>
      <c r="Z855" s="194"/>
      <c r="AA855" s="194"/>
    </row>
    <row r="856" spans="1:27" ht="15.6">
      <c r="A856" s="182"/>
      <c r="B856" s="182"/>
      <c r="C856" s="182"/>
      <c r="D856" s="182"/>
      <c r="E856" s="182"/>
      <c r="F856" s="208"/>
      <c r="G856" s="182" t="str">
        <f ca="1">IFERROR(__xludf.DUMMYFUNCTION("""COMPUTED_VALUE"""),"FORRO INOX CARVALHO EUROPEU CONCRETE GREY 15/3 X 190 X 1900MM")</f>
        <v>FORRO INOX CARVALHO EUROPEU CONCRETE GREY 15/3 X 190 X 1900MM</v>
      </c>
      <c r="H856" s="192" t="s">
        <v>943</v>
      </c>
      <c r="I856" s="182" t="str">
        <f t="shared" ca="1" si="5"/>
        <v/>
      </c>
      <c r="J856" s="193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94"/>
      <c r="Z856" s="194"/>
      <c r="AA856" s="194"/>
    </row>
    <row r="857" spans="1:27" ht="15.6">
      <c r="A857" s="182"/>
      <c r="B857" s="182"/>
      <c r="C857" s="182"/>
      <c r="D857" s="182"/>
      <c r="E857" s="182"/>
      <c r="F857" s="208"/>
      <c r="G857" s="182" t="str">
        <f ca="1">IFERROR(__xludf.DUMMYFUNCTION("""COMPUTED_VALUE"""),"FORRO INOX CARVALHO EUROPEU CONCRETE GREY 20/6 X 300 X 4000MM")</f>
        <v>FORRO INOX CARVALHO EUROPEU CONCRETE GREY 20/6 X 300 X 4000MM</v>
      </c>
      <c r="H857" s="192" t="s">
        <v>944</v>
      </c>
      <c r="I857" s="182" t="str">
        <f t="shared" ca="1" si="5"/>
        <v/>
      </c>
      <c r="J857" s="193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94"/>
      <c r="Z857" s="194"/>
      <c r="AA857" s="194"/>
    </row>
    <row r="858" spans="1:27" ht="15.6">
      <c r="A858" s="182"/>
      <c r="B858" s="182"/>
      <c r="C858" s="182"/>
      <c r="D858" s="182"/>
      <c r="E858" s="182"/>
      <c r="F858" s="208"/>
      <c r="G858" s="182" t="str">
        <f ca="1">IFERROR(__xludf.DUMMYFUNCTION("""COMPUTED_VALUE"""),"FORRO INOX CARVALHO EUROPEU CONCRETE GREY 20/6 X 400 X 5000MM")</f>
        <v>FORRO INOX CARVALHO EUROPEU CONCRETE GREY 20/6 X 400 X 5000MM</v>
      </c>
      <c r="H858" s="192" t="s">
        <v>945</v>
      </c>
      <c r="I858" s="182" t="str">
        <f t="shared" ca="1" si="5"/>
        <v/>
      </c>
      <c r="J858" s="193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94"/>
      <c r="Z858" s="194"/>
      <c r="AA858" s="194"/>
    </row>
    <row r="859" spans="1:27" ht="15.6">
      <c r="A859" s="182"/>
      <c r="B859" s="182"/>
      <c r="C859" s="182"/>
      <c r="D859" s="182"/>
      <c r="E859" s="182"/>
      <c r="F859" s="208"/>
      <c r="G859" s="182" t="str">
        <f ca="1">IFERROR(__xludf.DUMMYFUNCTION("""COMPUTED_VALUE"""),"FORRO INOX CARVALHO EUROPEU ITALY BROWN CHEVRON 15/3 X 1900X 740MM")</f>
        <v>FORRO INOX CARVALHO EUROPEU ITALY BROWN CHEVRON 15/3 X 1900X 740MM</v>
      </c>
      <c r="H859" s="192" t="s">
        <v>946</v>
      </c>
      <c r="I859" s="182" t="str">
        <f t="shared" ca="1" si="5"/>
        <v/>
      </c>
      <c r="J859" s="193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94"/>
      <c r="Z859" s="194"/>
      <c r="AA859" s="194"/>
    </row>
    <row r="860" spans="1:27" ht="15.6">
      <c r="A860" s="182"/>
      <c r="B860" s="182"/>
      <c r="C860" s="182"/>
      <c r="D860" s="182"/>
      <c r="E860" s="182"/>
      <c r="F860" s="208"/>
      <c r="G860" s="182" t="str">
        <f ca="1">IFERROR(__xludf.DUMMYFUNCTION("""COMPUTED_VALUE"""),"FORRO INOX CARVALHO EUROPEU ITALY BROWN 15/3 X 125 X 1200MM")</f>
        <v>FORRO INOX CARVALHO EUROPEU ITALY BROWN 15/3 X 125 X 1200MM</v>
      </c>
      <c r="H860" s="192" t="s">
        <v>947</v>
      </c>
      <c r="I860" s="182" t="str">
        <f t="shared" ca="1" si="5"/>
        <v/>
      </c>
      <c r="J860" s="193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94"/>
      <c r="Z860" s="194"/>
      <c r="AA860" s="194"/>
    </row>
    <row r="861" spans="1:27" ht="15.6">
      <c r="A861" s="182"/>
      <c r="B861" s="182"/>
      <c r="C861" s="182"/>
      <c r="D861" s="182"/>
      <c r="E861" s="182"/>
      <c r="F861" s="208"/>
      <c r="G861" s="182" t="str">
        <f ca="1">IFERROR(__xludf.DUMMYFUNCTION("""COMPUTED_VALUE"""),"FORRO INOX CARVALHO EUROPEU ITALY BROWN 15/3 X 190 X 1900MM")</f>
        <v>FORRO INOX CARVALHO EUROPEU ITALY BROWN 15/3 X 190 X 1900MM</v>
      </c>
      <c r="H861" s="192" t="s">
        <v>948</v>
      </c>
      <c r="I861" s="182" t="str">
        <f t="shared" ca="1" si="5"/>
        <v/>
      </c>
      <c r="J861" s="193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94"/>
      <c r="Z861" s="194"/>
      <c r="AA861" s="194"/>
    </row>
    <row r="862" spans="1:27" ht="15.6">
      <c r="A862" s="182"/>
      <c r="B862" s="182"/>
      <c r="C862" s="182"/>
      <c r="D862" s="182"/>
      <c r="E862" s="182"/>
      <c r="F862" s="208"/>
      <c r="G862" s="182" t="str">
        <f ca="1">IFERROR(__xludf.DUMMYFUNCTION("""COMPUTED_VALUE"""),"FORRO INOX CARVALHO EUROPEU ITALY BROWN 20/6 X 300 X 4000MM")</f>
        <v>FORRO INOX CARVALHO EUROPEU ITALY BROWN 20/6 X 300 X 4000MM</v>
      </c>
      <c r="H862" s="192" t="s">
        <v>949</v>
      </c>
      <c r="I862" s="182" t="str">
        <f t="shared" ca="1" si="5"/>
        <v/>
      </c>
      <c r="J862" s="193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94"/>
      <c r="Z862" s="194"/>
      <c r="AA862" s="194"/>
    </row>
    <row r="863" spans="1:27" ht="15.6">
      <c r="A863" s="182"/>
      <c r="B863" s="182"/>
      <c r="C863" s="182"/>
      <c r="D863" s="182"/>
      <c r="E863" s="182"/>
      <c r="F863" s="208"/>
      <c r="G863" s="182" t="str">
        <f ca="1">IFERROR(__xludf.DUMMYFUNCTION("""COMPUTED_VALUE"""),"FORRO INOX CARVALHO EUROPEU ITALY BROWN 20/6 X 400 X 5000MM")</f>
        <v>FORRO INOX CARVALHO EUROPEU ITALY BROWN 20/6 X 400 X 5000MM</v>
      </c>
      <c r="H863" s="192" t="s">
        <v>950</v>
      </c>
      <c r="I863" s="182" t="str">
        <f t="shared" ca="1" si="5"/>
        <v/>
      </c>
      <c r="J863" s="193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94"/>
      <c r="Z863" s="194"/>
      <c r="AA863" s="194"/>
    </row>
    <row r="864" spans="1:27" ht="15.6">
      <c r="A864" s="182"/>
      <c r="B864" s="182"/>
      <c r="C864" s="182"/>
      <c r="D864" s="182"/>
      <c r="E864" s="182"/>
      <c r="F864" s="208"/>
      <c r="G864" s="182" t="str">
        <f ca="1">IFERROR(__xludf.DUMMYFUNCTION("""COMPUTED_VALUE"""),"FORRO INOX CARVALHO EUROPEU ALL BLACK CHEVRON 15/3 X 1900X 740MM")</f>
        <v>FORRO INOX CARVALHO EUROPEU ALL BLACK CHEVRON 15/3 X 1900X 740MM</v>
      </c>
      <c r="H864" s="192" t="s">
        <v>951</v>
      </c>
      <c r="I864" s="182" t="str">
        <f t="shared" ca="1" si="5"/>
        <v/>
      </c>
      <c r="J864" s="193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94"/>
      <c r="Z864" s="194"/>
      <c r="AA864" s="194"/>
    </row>
    <row r="865" spans="1:27" ht="15.6">
      <c r="A865" s="182"/>
      <c r="B865" s="182"/>
      <c r="C865" s="182"/>
      <c r="D865" s="182"/>
      <c r="E865" s="182"/>
      <c r="F865" s="208"/>
      <c r="G865" s="182" t="str">
        <f ca="1">IFERROR(__xludf.DUMMYFUNCTION("""COMPUTED_VALUE"""),"FORRO INOX CARVALHO EUROPEU ALL BLACK 15/3 X 125 X 1200MM")</f>
        <v>FORRO INOX CARVALHO EUROPEU ALL BLACK 15/3 X 125 X 1200MM</v>
      </c>
      <c r="H865" s="192" t="s">
        <v>952</v>
      </c>
      <c r="I865" s="182" t="str">
        <f t="shared" ca="1" si="5"/>
        <v/>
      </c>
      <c r="J865" s="193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94"/>
      <c r="Z865" s="194"/>
      <c r="AA865" s="194"/>
    </row>
    <row r="866" spans="1:27" ht="15.6">
      <c r="A866" s="182"/>
      <c r="B866" s="182"/>
      <c r="C866" s="182"/>
      <c r="D866" s="182"/>
      <c r="E866" s="182"/>
      <c r="F866" s="208"/>
      <c r="G866" s="182" t="str">
        <f ca="1">IFERROR(__xludf.DUMMYFUNCTION("""COMPUTED_VALUE"""),"FORRO INOX CARVALHO EUROPEU BLACK CHEVRON TG 15/3 X 125 X 775CM")</f>
        <v>FORRO INOX CARVALHO EUROPEU BLACK CHEVRON TG 15/3 X 125 X 775CM</v>
      </c>
      <c r="H866" s="192" t="s">
        <v>953</v>
      </c>
      <c r="I866" s="182" t="str">
        <f t="shared" ca="1" si="5"/>
        <v/>
      </c>
      <c r="J866" s="193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94"/>
      <c r="Z866" s="194"/>
      <c r="AA866" s="194"/>
    </row>
    <row r="867" spans="1:27" ht="15.6">
      <c r="A867" s="182"/>
      <c r="B867" s="182"/>
      <c r="C867" s="182"/>
      <c r="D867" s="182"/>
      <c r="E867" s="182"/>
      <c r="F867" s="208"/>
      <c r="G867" s="182" t="str">
        <f ca="1">IFERROR(__xludf.DUMMYFUNCTION("""COMPUTED_VALUE"""),"FORRO INOX CARVALHO EUROPEU ALL BLACK 15/3 X 190 X 1900MM")</f>
        <v>FORRO INOX CARVALHO EUROPEU ALL BLACK 15/3 X 190 X 1900MM</v>
      </c>
      <c r="H867" s="192" t="s">
        <v>954</v>
      </c>
      <c r="I867" s="182" t="str">
        <f t="shared" ca="1" si="5"/>
        <v/>
      </c>
      <c r="J867" s="193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94"/>
      <c r="Z867" s="194"/>
      <c r="AA867" s="194"/>
    </row>
    <row r="868" spans="1:27" ht="15.6">
      <c r="A868" s="182"/>
      <c r="B868" s="182"/>
      <c r="C868" s="182"/>
      <c r="D868" s="182"/>
      <c r="E868" s="182"/>
      <c r="F868" s="208"/>
      <c r="G868" s="182" t="str">
        <f ca="1">IFERROR(__xludf.DUMMYFUNCTION("""COMPUTED_VALUE"""),"FORRO INOX CARVALHO EUROPEU ALL BLACK 20/6 X 300 X 4000MM")</f>
        <v>FORRO INOX CARVALHO EUROPEU ALL BLACK 20/6 X 300 X 4000MM</v>
      </c>
      <c r="H868" s="192" t="s">
        <v>955</v>
      </c>
      <c r="I868" s="182" t="str">
        <f t="shared" ca="1" si="5"/>
        <v/>
      </c>
      <c r="J868" s="193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94"/>
      <c r="Z868" s="194"/>
      <c r="AA868" s="194"/>
    </row>
    <row r="869" spans="1:27" ht="15.6">
      <c r="A869" s="182"/>
      <c r="B869" s="182"/>
      <c r="C869" s="182"/>
      <c r="D869" s="182"/>
      <c r="E869" s="182"/>
      <c r="F869" s="208"/>
      <c r="G869" s="182" t="str">
        <f ca="1">IFERROR(__xludf.DUMMYFUNCTION("""COMPUTED_VALUE"""),"FORRO INOX CARVALHO EUROPEU ALL BLACK 20/6 X 400 X 5000MM")</f>
        <v>FORRO INOX CARVALHO EUROPEU ALL BLACK 20/6 X 400 X 5000MM</v>
      </c>
      <c r="H869" s="192" t="s">
        <v>956</v>
      </c>
      <c r="I869" s="182" t="str">
        <f t="shared" ca="1" si="5"/>
        <v/>
      </c>
      <c r="J869" s="193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94"/>
      <c r="Z869" s="194"/>
      <c r="AA869" s="194"/>
    </row>
    <row r="870" spans="1:27" ht="15.6">
      <c r="A870" s="182"/>
      <c r="B870" s="182"/>
      <c r="C870" s="182"/>
      <c r="D870" s="182"/>
      <c r="E870" s="182"/>
      <c r="F870" s="208"/>
      <c r="G870" s="182" t="str">
        <f ca="1">IFERROR(__xludf.DUMMYFUNCTION("""COMPUTED_VALUE"""),"FORRO INOX CARVALHO EUROPEU URBAN GREY CHEVRON 15/3 X 1900X 740MM")</f>
        <v>FORRO INOX CARVALHO EUROPEU URBAN GREY CHEVRON 15/3 X 1900X 740MM</v>
      </c>
      <c r="H870" s="192" t="s">
        <v>957</v>
      </c>
      <c r="I870" s="182" t="str">
        <f t="shared" ca="1" si="5"/>
        <v/>
      </c>
      <c r="J870" s="193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94"/>
      <c r="Z870" s="194"/>
      <c r="AA870" s="194"/>
    </row>
    <row r="871" spans="1:27" ht="15.6">
      <c r="A871" s="182"/>
      <c r="B871" s="182"/>
      <c r="C871" s="182"/>
      <c r="D871" s="182"/>
      <c r="E871" s="182"/>
      <c r="F871" s="208"/>
      <c r="G871" s="182" t="str">
        <f ca="1">IFERROR(__xludf.DUMMYFUNCTION("""COMPUTED_VALUE"""),"FORRO INOX CARVALHO EUROPEU URBAN GREY 15/3 X 125 X 1200MM")</f>
        <v>FORRO INOX CARVALHO EUROPEU URBAN GREY 15/3 X 125 X 1200MM</v>
      </c>
      <c r="H871" s="192" t="s">
        <v>958</v>
      </c>
      <c r="I871" s="182" t="str">
        <f t="shared" ca="1" si="5"/>
        <v/>
      </c>
      <c r="J871" s="193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94"/>
      <c r="Z871" s="194"/>
      <c r="AA871" s="194"/>
    </row>
    <row r="872" spans="1:27" ht="15.6">
      <c r="A872" s="182"/>
      <c r="B872" s="182"/>
      <c r="C872" s="182"/>
      <c r="D872" s="182"/>
      <c r="E872" s="182"/>
      <c r="F872" s="208"/>
      <c r="G872" s="182" t="str">
        <f ca="1">IFERROR(__xludf.DUMMYFUNCTION("""COMPUTED_VALUE"""),"FORRO INOX CARVALHO EUROPEU URBAN GREY 15/3 X 190 X 1900MM")</f>
        <v>FORRO INOX CARVALHO EUROPEU URBAN GREY 15/3 X 190 X 1900MM</v>
      </c>
      <c r="H872" s="192" t="s">
        <v>959</v>
      </c>
      <c r="I872" s="182" t="str">
        <f t="shared" ca="1" si="5"/>
        <v/>
      </c>
      <c r="J872" s="193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94"/>
      <c r="Z872" s="194"/>
      <c r="AA872" s="194"/>
    </row>
    <row r="873" spans="1:27" ht="15.6">
      <c r="A873" s="182"/>
      <c r="B873" s="182"/>
      <c r="C873" s="182"/>
      <c r="D873" s="182"/>
      <c r="E873" s="182"/>
      <c r="F873" s="208"/>
      <c r="G873" s="182" t="str">
        <f ca="1">IFERROR(__xludf.DUMMYFUNCTION("""COMPUTED_VALUE"""),"FORRO INOX CARVALHO EUROPEU URBAN GREY 20/6 X 300 X 4000MM")</f>
        <v>FORRO INOX CARVALHO EUROPEU URBAN GREY 20/6 X 300 X 4000MM</v>
      </c>
      <c r="H873" s="192" t="s">
        <v>960</v>
      </c>
      <c r="I873" s="182" t="str">
        <f t="shared" ca="1" si="5"/>
        <v/>
      </c>
      <c r="J873" s="193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94"/>
      <c r="Z873" s="194"/>
      <c r="AA873" s="194"/>
    </row>
    <row r="874" spans="1:27" ht="15.6">
      <c r="A874" s="182"/>
      <c r="B874" s="182"/>
      <c r="C874" s="182"/>
      <c r="D874" s="182"/>
      <c r="E874" s="182"/>
      <c r="F874" s="208"/>
      <c r="G874" s="182" t="str">
        <f ca="1">IFERROR(__xludf.DUMMYFUNCTION("""COMPUTED_VALUE"""),"FORRO INOX CARVALHO EUROPEU URBAN GREY 20/6 X 400 X 5000MM")</f>
        <v>FORRO INOX CARVALHO EUROPEU URBAN GREY 20/6 X 400 X 5000MM</v>
      </c>
      <c r="H874" s="192" t="s">
        <v>961</v>
      </c>
      <c r="I874" s="182" t="str">
        <f t="shared" ca="1" si="5"/>
        <v/>
      </c>
      <c r="J874" s="193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94"/>
      <c r="Z874" s="194"/>
      <c r="AA874" s="194"/>
    </row>
    <row r="875" spans="1:27" ht="15.6">
      <c r="A875" s="182"/>
      <c r="B875" s="182"/>
      <c r="C875" s="182"/>
      <c r="D875" s="182"/>
      <c r="E875" s="182"/>
      <c r="F875" s="208"/>
      <c r="G875" s="182" t="str">
        <f ca="1">IFERROR(__xludf.DUMMYFUNCTION("""COMPUTED_VALUE"""),"FORRO INOX CARVALHO EUROPEU CARAMEL CHEVRON 15/3 X 1900X 740MM")</f>
        <v>FORRO INOX CARVALHO EUROPEU CARAMEL CHEVRON 15/3 X 1900X 740MM</v>
      </c>
      <c r="H875" s="192" t="s">
        <v>962</v>
      </c>
      <c r="I875" s="182" t="str">
        <f t="shared" ca="1" si="5"/>
        <v/>
      </c>
      <c r="J875" s="193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94"/>
      <c r="Z875" s="194"/>
      <c r="AA875" s="194"/>
    </row>
    <row r="876" spans="1:27" ht="15.6">
      <c r="A876" s="182"/>
      <c r="B876" s="182"/>
      <c r="C876" s="182"/>
      <c r="D876" s="182"/>
      <c r="E876" s="182"/>
      <c r="F876" s="208"/>
      <c r="G876" s="182" t="str">
        <f ca="1">IFERROR(__xludf.DUMMYFUNCTION("""COMPUTED_VALUE"""),"FORRO INOX CARVALHO EUROPEU CARAMEL 15/3 X 125 X 1200MM")</f>
        <v>FORRO INOX CARVALHO EUROPEU CARAMEL 15/3 X 125 X 1200MM</v>
      </c>
      <c r="H876" s="192" t="s">
        <v>963</v>
      </c>
      <c r="I876" s="182" t="str">
        <f t="shared" ca="1" si="5"/>
        <v/>
      </c>
      <c r="J876" s="193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94"/>
      <c r="Z876" s="194"/>
      <c r="AA876" s="194"/>
    </row>
    <row r="877" spans="1:27" ht="15.6">
      <c r="A877" s="182"/>
      <c r="B877" s="182"/>
      <c r="C877" s="182"/>
      <c r="D877" s="182"/>
      <c r="E877" s="182"/>
      <c r="F877" s="208"/>
      <c r="G877" s="182" t="str">
        <f ca="1">IFERROR(__xludf.DUMMYFUNCTION("""COMPUTED_VALUE"""),"FORRO INOX CARVALHO EUROPEU CARAMEL 15/3 X 190 X 1900MM")</f>
        <v>FORRO INOX CARVALHO EUROPEU CARAMEL 15/3 X 190 X 1900MM</v>
      </c>
      <c r="H877" s="192" t="s">
        <v>964</v>
      </c>
      <c r="I877" s="182" t="str">
        <f t="shared" ca="1" si="5"/>
        <v/>
      </c>
      <c r="J877" s="193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94"/>
      <c r="Z877" s="194"/>
      <c r="AA877" s="194"/>
    </row>
    <row r="878" spans="1:27" ht="15.6">
      <c r="A878" s="182"/>
      <c r="B878" s="182"/>
      <c r="C878" s="182"/>
      <c r="D878" s="182"/>
      <c r="E878" s="182"/>
      <c r="F878" s="208"/>
      <c r="G878" s="182" t="str">
        <f ca="1">IFERROR(__xludf.DUMMYFUNCTION("""COMPUTED_VALUE"""),"FORRO INOX CARVALHO EUROPEU CARAMEL 20/6 X 300 X 4000MM")</f>
        <v>FORRO INOX CARVALHO EUROPEU CARAMEL 20/6 X 300 X 4000MM</v>
      </c>
      <c r="H878" s="192" t="s">
        <v>965</v>
      </c>
      <c r="I878" s="182" t="str">
        <f t="shared" ca="1" si="5"/>
        <v/>
      </c>
      <c r="J878" s="193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94"/>
      <c r="Z878" s="194"/>
      <c r="AA878" s="194"/>
    </row>
    <row r="879" spans="1:27" ht="15.6">
      <c r="A879" s="182"/>
      <c r="B879" s="182"/>
      <c r="C879" s="182"/>
      <c r="D879" s="182"/>
      <c r="E879" s="182"/>
      <c r="F879" s="208"/>
      <c r="G879" s="182" t="str">
        <f ca="1">IFERROR(__xludf.DUMMYFUNCTION("""COMPUTED_VALUE"""),"FORRO INOX CARVALHO EUROPEU CARAMEL 20/6 X 400 X 5000MM")</f>
        <v>FORRO INOX CARVALHO EUROPEU CARAMEL 20/6 X 400 X 5000MM</v>
      </c>
      <c r="H879" s="192" t="s">
        <v>966</v>
      </c>
      <c r="I879" s="182" t="str">
        <f t="shared" ca="1" si="5"/>
        <v/>
      </c>
      <c r="J879" s="193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94"/>
      <c r="Z879" s="194"/>
      <c r="AA879" s="194"/>
    </row>
    <row r="880" spans="1:27" ht="15.6">
      <c r="A880" s="182"/>
      <c r="B880" s="182"/>
      <c r="C880" s="182"/>
      <c r="D880" s="182"/>
      <c r="E880" s="182"/>
      <c r="F880" s="208"/>
      <c r="G880" s="182" t="str">
        <f ca="1">IFERROR(__xludf.DUMMYFUNCTION("""COMPUTED_VALUE"""),"FORRO INOX CARVALHO EUROPEU CHEMICAL CHEVRON TG 15/3*190*740MM")</f>
        <v>FORRO INOX CARVALHO EUROPEU CHEMICAL CHEVRON TG 15/3*190*740MM</v>
      </c>
      <c r="H880" s="192" t="s">
        <v>967</v>
      </c>
      <c r="I880" s="182" t="str">
        <f t="shared" ca="1" si="5"/>
        <v/>
      </c>
      <c r="J880" s="193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94"/>
      <c r="Z880" s="194"/>
      <c r="AA880" s="194"/>
    </row>
    <row r="881" spans="1:27" ht="15.6">
      <c r="A881" s="182"/>
      <c r="B881" s="182"/>
      <c r="C881" s="182"/>
      <c r="D881" s="182"/>
      <c r="E881" s="182"/>
      <c r="F881" s="208"/>
      <c r="G881" s="182" t="str">
        <f ca="1">IFERROR(__xludf.DUMMYFUNCTION("""COMPUTED_VALUE"""),"FORRO INOX CARVALHO EUROPEU WHITE RUSTIC 15/4*189*1860MM")</f>
        <v>FORRO INOX CARVALHO EUROPEU WHITE RUSTIC 15/4*189*1860MM</v>
      </c>
      <c r="H881" s="192" t="s">
        <v>968</v>
      </c>
      <c r="I881" s="182" t="str">
        <f t="shared" ca="1" si="5"/>
        <v/>
      </c>
      <c r="J881" s="193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94"/>
      <c r="Z881" s="194"/>
      <c r="AA881" s="194"/>
    </row>
    <row r="882" spans="1:27" ht="15.6">
      <c r="A882" s="182"/>
      <c r="B882" s="182"/>
      <c r="C882" s="182"/>
      <c r="D882" s="182"/>
      <c r="E882" s="182"/>
      <c r="F882" s="208"/>
      <c r="G882" s="182" t="str">
        <f ca="1">IFERROR(__xludf.DUMMYFUNCTION("""COMPUTED_VALUE"""),"FORRO INOX CARVALHO EUROPEU CUSTOMIZADO 14/3 X 12,7 X 186CM")</f>
        <v>FORRO INOX CARVALHO EUROPEU CUSTOMIZADO 14/3 X 12,7 X 186CM</v>
      </c>
      <c r="H882" s="192" t="s">
        <v>969</v>
      </c>
      <c r="I882" s="182" t="str">
        <f t="shared" ca="1" si="5"/>
        <v/>
      </c>
      <c r="J882" s="193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94"/>
      <c r="Z882" s="194"/>
      <c r="AA882" s="194"/>
    </row>
    <row r="883" spans="1:27" ht="15.6">
      <c r="A883" s="182"/>
      <c r="B883" s="182"/>
      <c r="C883" s="182"/>
      <c r="D883" s="182"/>
      <c r="E883" s="182"/>
      <c r="F883" s="208"/>
      <c r="G883" s="182" t="str">
        <f ca="1">IFERROR(__xludf.DUMMYFUNCTION("""COMPUTED_VALUE"""),"FORRO INOX CARVALHO EUROPEU CUSTOMIZADO 2.0 X 19 X 190CM (C2)")</f>
        <v>FORRO INOX CARVALHO EUROPEU CUSTOMIZADO 2.0 X 19 X 190CM (C2)</v>
      </c>
      <c r="H883" s="192" t="s">
        <v>970</v>
      </c>
      <c r="I883" s="182" t="str">
        <f t="shared" ca="1" si="5"/>
        <v/>
      </c>
      <c r="J883" s="193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94"/>
      <c r="Z883" s="194"/>
      <c r="AA883" s="194"/>
    </row>
    <row r="884" spans="1:27" ht="15.6">
      <c r="A884" s="182"/>
      <c r="B884" s="182"/>
      <c r="C884" s="182"/>
      <c r="D884" s="182"/>
      <c r="E884" s="182"/>
      <c r="F884" s="208"/>
      <c r="G884" s="182" t="str">
        <f ca="1">IFERROR(__xludf.DUMMYFUNCTION("""COMPUTED_VALUE"""),"FORRO INOX CARVALHO EUROPEU NATURAL CHEVRON TG 1.5/3 X 9X 51CM")</f>
        <v>FORRO INOX CARVALHO EUROPEU NATURAL CHEVRON TG 1.5/3 X 9X 51CM</v>
      </c>
      <c r="H884" s="192" t="s">
        <v>971</v>
      </c>
      <c r="I884" s="182" t="str">
        <f t="shared" ca="1" si="5"/>
        <v/>
      </c>
      <c r="J884" s="193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94"/>
      <c r="Z884" s="194"/>
      <c r="AA884" s="194"/>
    </row>
    <row r="885" spans="1:27" ht="15.6">
      <c r="A885" s="182"/>
      <c r="B885" s="182"/>
      <c r="C885" s="182"/>
      <c r="D885" s="182"/>
      <c r="E885" s="182"/>
      <c r="F885" s="208"/>
      <c r="G885" s="182" t="str">
        <f ca="1">IFERROR(__xludf.DUMMYFUNCTION("""COMPUTED_VALUE"""),"FORRO INOX CARVALHO EUROPEU NATURAL CHEVRON TG 1.5/3 X 9X 51CM")</f>
        <v>FORRO INOX CARVALHO EUROPEU NATURAL CHEVRON TG 1.5/3 X 9X 51CM</v>
      </c>
      <c r="H885" s="192" t="s">
        <v>972</v>
      </c>
      <c r="I885" s="182" t="str">
        <f t="shared" ca="1" si="5"/>
        <v/>
      </c>
      <c r="J885" s="193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94"/>
      <c r="Z885" s="194"/>
      <c r="AA885" s="194"/>
    </row>
    <row r="886" spans="1:27" ht="15.6">
      <c r="A886" s="182"/>
      <c r="B886" s="182"/>
      <c r="C886" s="182"/>
      <c r="D886" s="182"/>
      <c r="E886" s="182"/>
      <c r="F886" s="208"/>
      <c r="G886" s="182" t="str">
        <f ca="1">IFERROR(__xludf.DUMMYFUNCTION("""COMPUTED_VALUE"""),"FORRO INOX CARVALHO EUROPEU NUDE CHEVRON 60.. TG 15/3 X 190 X 90CM")</f>
        <v>FORRO INOX CARVALHO EUROPEU NUDE CHEVRON 60.. TG 15/3 X 190 X 90CM</v>
      </c>
      <c r="H886" s="192" t="s">
        <v>972</v>
      </c>
      <c r="I886" s="182" t="str">
        <f t="shared" ca="1" si="5"/>
        <v/>
      </c>
      <c r="J886" s="193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94"/>
      <c r="Z886" s="194"/>
      <c r="AA886" s="194"/>
    </row>
    <row r="887" spans="1:27" ht="15.6">
      <c r="A887" s="182"/>
      <c r="B887" s="182"/>
      <c r="C887" s="182"/>
      <c r="D887" s="182"/>
      <c r="E887" s="182"/>
      <c r="F887" s="208"/>
      <c r="G887" s="182" t="str">
        <f ca="1">IFERROR(__xludf.DUMMYFUNCTION("""COMPUTED_VALUE"""),"FORRO INOX CARVALHO EUROPEU NUDE CHEVRON TG 1.5/3X 12.5X 63CM")</f>
        <v>FORRO INOX CARVALHO EUROPEU NUDE CHEVRON TG 1.5/3X 12.5X 63CM</v>
      </c>
      <c r="H887" s="192" t="s">
        <v>974</v>
      </c>
      <c r="I887" s="182" t="str">
        <f t="shared" ca="1" si="5"/>
        <v/>
      </c>
      <c r="J887" s="193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94"/>
      <c r="Z887" s="194"/>
      <c r="AA887" s="194"/>
    </row>
    <row r="888" spans="1:27" ht="15.6">
      <c r="A888" s="182"/>
      <c r="B888" s="182"/>
      <c r="C888" s="182"/>
      <c r="D888" s="182"/>
      <c r="E888" s="182"/>
      <c r="F888" s="208"/>
      <c r="G888" s="182" t="str">
        <f ca="1">IFERROR(__xludf.DUMMYFUNCTION("""COMPUTED_VALUE"""),"FORRO INOX WALNUT 15/3 X 125 X 910MM")</f>
        <v>FORRO INOX WALNUT 15/3 X 125 X 910MM</v>
      </c>
      <c r="H888" s="192" t="s">
        <v>975</v>
      </c>
      <c r="I888" s="182" t="str">
        <f t="shared" ca="1" si="5"/>
        <v/>
      </c>
      <c r="J888" s="193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94"/>
      <c r="Z888" s="194"/>
      <c r="AA888" s="194"/>
    </row>
    <row r="889" spans="1:27" ht="15.6">
      <c r="A889" s="182"/>
      <c r="B889" s="182"/>
      <c r="C889" s="182"/>
      <c r="D889" s="182"/>
      <c r="E889" s="182"/>
      <c r="F889" s="208"/>
      <c r="G889" s="182" t="str">
        <f ca="1">IFERROR(__xludf.DUMMYFUNCTION("""COMPUTED_VALUE"""),"FORRO INOX WALNUT 15/3 X 190 X 1900MM")</f>
        <v>FORRO INOX WALNUT 15/3 X 190 X 1900MM</v>
      </c>
      <c r="H889" s="192" t="s">
        <v>976</v>
      </c>
      <c r="I889" s="182" t="str">
        <f t="shared" ca="1" si="5"/>
        <v/>
      </c>
      <c r="J889" s="193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94"/>
      <c r="Z889" s="194"/>
      <c r="AA889" s="194"/>
    </row>
    <row r="890" spans="1:27" ht="15.6">
      <c r="A890" s="182"/>
      <c r="B890" s="182"/>
      <c r="C890" s="182"/>
      <c r="D890" s="182"/>
      <c r="E890" s="182"/>
      <c r="F890" s="208"/>
      <c r="G890" s="182" t="str">
        <f ca="1">IFERROR(__xludf.DUMMYFUNCTION("""COMPUTED_VALUE"""),"FORRO INOX WALNUT 20/2 X 300 X 4000MM")</f>
        <v>FORRO INOX WALNUT 20/2 X 300 X 4000MM</v>
      </c>
      <c r="H890" s="192" t="s">
        <v>977</v>
      </c>
      <c r="I890" s="182" t="str">
        <f t="shared" ca="1" si="5"/>
        <v/>
      </c>
      <c r="J890" s="193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94"/>
      <c r="Z890" s="194"/>
      <c r="AA890" s="194"/>
    </row>
    <row r="891" spans="1:27" ht="15.6">
      <c r="A891" s="182"/>
      <c r="B891" s="182"/>
      <c r="C891" s="182"/>
      <c r="D891" s="182"/>
      <c r="E891" s="182"/>
      <c r="F891" s="208"/>
      <c r="G891" s="182" t="str">
        <f ca="1">IFERROR(__xludf.DUMMYFUNCTION("""COMPUTED_VALUE"""),"FORRO INOX BAMBU ALTA DENS. CUST PREMIUM TG 1.5/4 X19X185CM")</f>
        <v>FORRO INOX BAMBU ALTA DENS. CUST PREMIUM TG 1.5/4 X19X185CM</v>
      </c>
      <c r="H891" s="192" t="s">
        <v>978</v>
      </c>
      <c r="I891" s="182" t="str">
        <f t="shared" ca="1" si="5"/>
        <v/>
      </c>
      <c r="J891" s="193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94"/>
      <c r="Z891" s="194"/>
      <c r="AA891" s="194"/>
    </row>
    <row r="892" spans="1:27" ht="15.6">
      <c r="A892" s="182"/>
      <c r="B892" s="182"/>
      <c r="C892" s="182"/>
      <c r="D892" s="182"/>
      <c r="E892" s="182"/>
      <c r="F892" s="208"/>
      <c r="G892" s="182" t="str">
        <f ca="1">IFERROR(__xludf.DUMMYFUNCTION("""COMPUTED_VALUE"""),"FORRO INOX BAMBU CARAMEL ALTA DENSIDADE TG 1.5/4 X19X186CM")</f>
        <v>FORRO INOX BAMBU CARAMEL ALTA DENSIDADE TG 1.5/4 X19X186CM</v>
      </c>
      <c r="H892" s="192" t="s">
        <v>979</v>
      </c>
      <c r="I892" s="182" t="str">
        <f t="shared" ca="1" si="5"/>
        <v/>
      </c>
      <c r="J892" s="193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94"/>
      <c r="Z892" s="194"/>
      <c r="AA892" s="194"/>
    </row>
    <row r="893" spans="1:27" ht="15.6">
      <c r="A893" s="182"/>
      <c r="B893" s="182"/>
      <c r="C893" s="182"/>
      <c r="D893" s="182"/>
      <c r="E893" s="182"/>
      <c r="F893" s="208"/>
      <c r="G893" s="182" t="str">
        <f ca="1">IFERROR(__xludf.DUMMYFUNCTION("""COMPUTED_VALUE"""),"FORRO INOX RIPADO CUMARU PREMIUM TG 1,8 X 3,5+0,5CM PROF. BIT 0")</f>
        <v>FORRO INOX RIPADO CUMARU PREMIUM TG 1,8 X 3,5+0,5CM PROF. BIT 0</v>
      </c>
      <c r="H893" s="192" t="s">
        <v>980</v>
      </c>
      <c r="I893" s="182" t="str">
        <f t="shared" ca="1" si="5"/>
        <v/>
      </c>
      <c r="J893" s="193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94"/>
      <c r="Z893" s="194"/>
      <c r="AA893" s="194"/>
    </row>
    <row r="894" spans="1:27" ht="15.6">
      <c r="A894" s="182"/>
      <c r="B894" s="182"/>
      <c r="C894" s="182"/>
      <c r="D894" s="182"/>
      <c r="E894" s="182"/>
      <c r="F894" s="208"/>
      <c r="G894" s="182" t="str">
        <f ca="1">IFERROR(__xludf.DUMMYFUNCTION("""COMPUTED_VALUE"""),"FORRO INOX RIPADO CATUABA PREMIUM TG 1,8 X 3,5+0,5CM PROF. BIT 0")</f>
        <v>FORRO INOX RIPADO CATUABA PREMIUM TG 1,8 X 3,5+0,5CM PROF. BIT 0</v>
      </c>
      <c r="I894" s="182" t="str">
        <f t="shared" ca="1" si="5"/>
        <v/>
      </c>
      <c r="J894" s="193"/>
      <c r="K894" s="208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94"/>
      <c r="Z894" s="194"/>
      <c r="AA894" s="194"/>
    </row>
    <row r="895" spans="1:27" ht="15.6">
      <c r="A895" s="182"/>
      <c r="B895" s="182"/>
      <c r="C895" s="182"/>
      <c r="D895" s="182"/>
      <c r="E895" s="182"/>
      <c r="F895" s="208"/>
      <c r="G895" s="182" t="str">
        <f ca="1">IFERROR(__xludf.DUMMYFUNCTION("""COMPUTED_VALUE"""),"FORRO INOX RIPADO CABREUVA BRANCA PREMIUM TG 1,8 X 3,5+0,5CM PROF. BIT 0")</f>
        <v>FORRO INOX RIPADO CABREUVA BRANCA PREMIUM TG 1,8 X 3,5+0,5CM PROF. BIT 0</v>
      </c>
      <c r="I895" s="182" t="str">
        <f t="shared" ca="1" si="5"/>
        <v/>
      </c>
      <c r="J895" s="193"/>
      <c r="K895" s="208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94"/>
      <c r="Z895" s="194"/>
      <c r="AA895" s="194"/>
    </row>
    <row r="896" spans="1:27" ht="15.6">
      <c r="A896" s="182"/>
      <c r="B896" s="182"/>
      <c r="C896" s="182"/>
      <c r="D896" s="182"/>
      <c r="E896" s="182"/>
      <c r="F896" s="208"/>
      <c r="G896" s="182" t="str">
        <f ca="1">IFERROR(__xludf.DUMMYFUNCTION("""COMPUTED_VALUE"""),"FORRO INOX RIPADO CABREUVA DOURADA PREMIUM TG 1,8 X 3,5+0,5CM PROF. BIT 0")</f>
        <v>FORRO INOX RIPADO CABREUVA DOURADA PREMIUM TG 1,8 X 3,5+0,5CM PROF. BIT 0</v>
      </c>
      <c r="I896" s="182" t="str">
        <f t="shared" ca="1" si="5"/>
        <v/>
      </c>
      <c r="J896" s="193"/>
      <c r="K896" s="208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94"/>
      <c r="Z896" s="194"/>
      <c r="AA896" s="194"/>
    </row>
    <row r="897" spans="1:27" ht="15.6">
      <c r="A897" s="182"/>
      <c r="B897" s="182"/>
      <c r="C897" s="182"/>
      <c r="D897" s="182"/>
      <c r="E897" s="182"/>
      <c r="F897" s="208"/>
      <c r="G897" s="182" t="str">
        <f ca="1">IFERROR(__xludf.DUMMYFUNCTION("""COMPUTED_VALUE"""),"FORRO INOX RIPADO TAUARI PREMIUM TG 1,8 X 3,5+0,5CM PROF. BIT 0")</f>
        <v>FORRO INOX RIPADO TAUARI PREMIUM TG 1,8 X 3,5+0,5CM PROF. BIT 0</v>
      </c>
      <c r="I897" s="182" t="str">
        <f t="shared" ca="1" si="5"/>
        <v/>
      </c>
      <c r="J897" s="193"/>
      <c r="K897" s="208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94"/>
      <c r="Z897" s="194"/>
      <c r="AA897" s="194"/>
    </row>
    <row r="898" spans="1:27" ht="15.6">
      <c r="A898" s="182"/>
      <c r="B898" s="182"/>
      <c r="C898" s="182"/>
      <c r="D898" s="182"/>
      <c r="E898" s="182"/>
      <c r="F898" s="208"/>
      <c r="G898" s="182" t="str">
        <f ca="1">IFERROR(__xludf.DUMMYFUNCTION("""COMPUTED_VALUE"""),"FORRO INOX RIPADO PEROBA PREMIUM TG 1,8 X 3,5+0,5CM PROF. BIT 0")</f>
        <v>FORRO INOX RIPADO PEROBA PREMIUM TG 1,8 X 3,5+0,5CM PROF. BIT 0</v>
      </c>
      <c r="I898" s="182" t="str">
        <f t="shared" ca="1" si="5"/>
        <v/>
      </c>
      <c r="J898" s="193"/>
      <c r="K898" s="208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94"/>
      <c r="Z898" s="194"/>
      <c r="AA898" s="194"/>
    </row>
    <row r="899" spans="1:27" ht="15.6">
      <c r="A899" s="182"/>
      <c r="B899" s="182"/>
      <c r="C899" s="182"/>
      <c r="D899" s="182"/>
      <c r="E899" s="182"/>
      <c r="F899" s="208"/>
      <c r="G899" s="182" t="str">
        <f ca="1">IFERROR(__xludf.DUMMYFUNCTION("""COMPUTED_VALUE"""),"FORRO INOX RIPADO LORO PARDO PREMIUM TG 1,8 X 3,5+0,5CM PROF. BIT 0")</f>
        <v>FORRO INOX RIPADO LORO PARDO PREMIUM TG 1,8 X 3,5+0,5CM PROF. BIT 0</v>
      </c>
      <c r="I899" s="182" t="str">
        <f t="shared" ca="1" si="5"/>
        <v/>
      </c>
      <c r="J899" s="193"/>
      <c r="K899" s="208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94"/>
      <c r="Z899" s="194"/>
      <c r="AA899" s="194"/>
    </row>
    <row r="900" spans="1:27" ht="15.6">
      <c r="A900" s="182"/>
      <c r="B900" s="182"/>
      <c r="C900" s="182"/>
      <c r="D900" s="182"/>
      <c r="E900" s="182"/>
      <c r="F900" s="208"/>
      <c r="G900" s="182" t="str">
        <f ca="1">IFERROR(__xludf.DUMMYFUNCTION("""COMPUTED_VALUE"""),"FORRO INOX CUMARU MULTI PREMIUM 19 X 190 X 600 A 2200MM")</f>
        <v>FORRO INOX CUMARU MULTI PREMIUM 19 X 190 X 600 A 2200MM</v>
      </c>
      <c r="I900" s="182" t="str">
        <f t="shared" ca="1" si="5"/>
        <v/>
      </c>
      <c r="J900" s="193"/>
      <c r="K900" s="208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94"/>
      <c r="Z900" s="194"/>
      <c r="AA900" s="194"/>
    </row>
    <row r="901" spans="1:27" ht="15.6">
      <c r="A901" s="182"/>
      <c r="B901" s="182"/>
      <c r="C901" s="182"/>
      <c r="D901" s="182"/>
      <c r="E901" s="182"/>
      <c r="F901" s="208"/>
      <c r="G901" s="182" t="str">
        <f ca="1">IFERROR(__xludf.DUMMYFUNCTION("""COMPUTED_VALUE"""),"FORRO INOX CATUABA MULTI PREMIUM 19 X 190 X 600 A 2200MM")</f>
        <v>FORRO INOX CATUABA MULTI PREMIUM 19 X 190 X 600 A 2200MM</v>
      </c>
      <c r="H901" s="192" t="s">
        <v>988</v>
      </c>
      <c r="I901" s="182" t="str">
        <f t="shared" ca="1" si="5"/>
        <v/>
      </c>
      <c r="J901" s="193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94"/>
      <c r="Z901" s="194"/>
      <c r="AA901" s="194"/>
    </row>
    <row r="902" spans="1:27" ht="15.6">
      <c r="A902" s="182"/>
      <c r="B902" s="182"/>
      <c r="C902" s="182"/>
      <c r="D902" s="182"/>
      <c r="E902" s="182"/>
      <c r="F902" s="208"/>
      <c r="G902" s="182" t="str">
        <f ca="1">IFERROR(__xludf.DUMMYFUNCTION("""COMPUTED_VALUE"""),"FORRO INOX CABREUVA BRACA MULTI PREMIUM 19 X 190 X 600 A 2200MM")</f>
        <v>FORRO INOX CABREUVA BRACA MULTI PREMIUM 19 X 190 X 600 A 2200MM</v>
      </c>
      <c r="H902" s="192" t="s">
        <v>989</v>
      </c>
      <c r="I902" s="182" t="str">
        <f t="shared" ca="1" si="5"/>
        <v/>
      </c>
      <c r="J902" s="193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94"/>
      <c r="Z902" s="194"/>
      <c r="AA902" s="194"/>
    </row>
    <row r="903" spans="1:27" ht="15.6">
      <c r="A903" s="182"/>
      <c r="B903" s="182"/>
      <c r="C903" s="182"/>
      <c r="D903" s="182"/>
      <c r="E903" s="182"/>
      <c r="F903" s="208"/>
      <c r="G903" s="182" t="str">
        <f ca="1">IFERROR(__xludf.DUMMYFUNCTION("""COMPUTED_VALUE"""),"FORRO INOX CABREUVA DOURADA MULTI PREMIUM 19 X 190 X 600 A 2200MM")</f>
        <v>FORRO INOX CABREUVA DOURADA MULTI PREMIUM 19 X 190 X 600 A 2200MM</v>
      </c>
      <c r="H903" s="192" t="s">
        <v>990</v>
      </c>
      <c r="I903" s="182" t="str">
        <f t="shared" ca="1" si="5"/>
        <v/>
      </c>
      <c r="J903" s="193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94"/>
      <c r="Z903" s="194"/>
      <c r="AA903" s="194"/>
    </row>
    <row r="904" spans="1:27" ht="15.6">
      <c r="A904" s="182"/>
      <c r="B904" s="182"/>
      <c r="C904" s="182"/>
      <c r="D904" s="182"/>
      <c r="E904" s="182"/>
      <c r="F904" s="208"/>
      <c r="G904" s="182" t="str">
        <f ca="1">IFERROR(__xludf.DUMMYFUNCTION("""COMPUTED_VALUE"""),"FORRO INOX TAUARI MULTI PREMIUM 19 X 190 X 600 A 2200MM")</f>
        <v>FORRO INOX TAUARI MULTI PREMIUM 19 X 190 X 600 A 2200MM</v>
      </c>
      <c r="H904" s="192" t="s">
        <v>991</v>
      </c>
      <c r="I904" s="182" t="str">
        <f t="shared" ca="1" si="5"/>
        <v/>
      </c>
      <c r="J904" s="193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94"/>
      <c r="Z904" s="194"/>
      <c r="AA904" s="194"/>
    </row>
    <row r="905" spans="1:27" ht="15.6">
      <c r="A905" s="182"/>
      <c r="B905" s="182"/>
      <c r="C905" s="182"/>
      <c r="D905" s="182"/>
      <c r="E905" s="182"/>
      <c r="F905" s="208"/>
      <c r="G905" s="182" t="str">
        <f ca="1">IFERROR(__xludf.DUMMYFUNCTION("""COMPUTED_VALUE"""),"FORRO INOX PEROBA MULTI PREMIUM 19 X 190 X 600 A 2200MM")</f>
        <v>FORRO INOX PEROBA MULTI PREMIUM 19 X 190 X 600 A 2200MM</v>
      </c>
      <c r="H905" s="192" t="s">
        <v>992</v>
      </c>
      <c r="I905" s="182" t="str">
        <f t="shared" ca="1" si="5"/>
        <v/>
      </c>
      <c r="J905" s="193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94"/>
      <c r="Z905" s="194"/>
      <c r="AA905" s="194"/>
    </row>
    <row r="906" spans="1:27" ht="15.6">
      <c r="A906" s="182"/>
      <c r="B906" s="182"/>
      <c r="C906" s="182"/>
      <c r="D906" s="182"/>
      <c r="E906" s="182"/>
      <c r="F906" s="208"/>
      <c r="G906" s="182" t="str">
        <f ca="1">IFERROR(__xludf.DUMMYFUNCTION("""COMPUTED_VALUE"""),"FORRO INOX LORO PARDO MULTI PREMIUM 19 X 190 X 600 A 2200MM")</f>
        <v>FORRO INOX LORO PARDO MULTI PREMIUM 19 X 190 X 600 A 2200MM</v>
      </c>
      <c r="H906" s="192" t="s">
        <v>993</v>
      </c>
      <c r="I906" s="182" t="str">
        <f t="shared" ca="1" si="5"/>
        <v/>
      </c>
      <c r="J906" s="193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94"/>
      <c r="Z906" s="194"/>
      <c r="AA906" s="194"/>
    </row>
    <row r="907" spans="1:27" ht="15.6">
      <c r="A907" s="182"/>
      <c r="B907" s="182"/>
      <c r="C907" s="182"/>
      <c r="D907" s="182"/>
      <c r="E907" s="182"/>
      <c r="F907" s="208"/>
      <c r="G907" s="182" t="str">
        <f ca="1">IFERROR(__xludf.DUMMYFUNCTION("""COMPUTED_VALUE"""),"FORRO INOX MUXARABI CUMARU PREMIUM")</f>
        <v>FORRO INOX MUXARABI CUMARU PREMIUM</v>
      </c>
      <c r="H907" s="192" t="s">
        <v>994</v>
      </c>
      <c r="I907" s="182" t="str">
        <f t="shared" ca="1" si="5"/>
        <v/>
      </c>
      <c r="J907" s="193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94"/>
      <c r="Z907" s="194"/>
      <c r="AA907" s="194"/>
    </row>
    <row r="908" spans="1:27" ht="15.6">
      <c r="A908" s="182"/>
      <c r="B908" s="182"/>
      <c r="C908" s="182"/>
      <c r="D908" s="182"/>
      <c r="E908" s="182"/>
      <c r="F908" s="208"/>
      <c r="G908" s="182" t="str">
        <f ca="1">IFERROR(__xludf.DUMMYFUNCTION("""COMPUTED_VALUE"""),"FORRO INOX MUXARABI CATUABA PREMIUM")</f>
        <v>FORRO INOX MUXARABI CATUABA PREMIUM</v>
      </c>
      <c r="H908" s="192" t="s">
        <v>2521</v>
      </c>
      <c r="I908" s="182" t="str">
        <f t="shared" ca="1" si="5"/>
        <v/>
      </c>
      <c r="J908" s="193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94"/>
      <c r="Z908" s="194"/>
      <c r="AA908" s="194"/>
    </row>
    <row r="909" spans="1:27" ht="15.6">
      <c r="A909" s="182"/>
      <c r="B909" s="182"/>
      <c r="C909" s="182"/>
      <c r="D909" s="182"/>
      <c r="E909" s="182"/>
      <c r="F909" s="208"/>
      <c r="G909" s="182" t="str">
        <f ca="1">IFERROR(__xludf.DUMMYFUNCTION("""COMPUTED_VALUE"""),"FORRO INOX MUXARABI CABREUVA BRANCA PREMIUM")</f>
        <v>FORRO INOX MUXARABI CABREUVA BRANCA PREMIUM</v>
      </c>
      <c r="H909" s="192" t="s">
        <v>2523</v>
      </c>
      <c r="I909" s="182" t="str">
        <f t="shared" ca="1" si="5"/>
        <v/>
      </c>
      <c r="J909" s="193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94"/>
      <c r="Z909" s="194"/>
      <c r="AA909" s="194"/>
    </row>
    <row r="910" spans="1:27" ht="15.6">
      <c r="A910" s="182"/>
      <c r="B910" s="182"/>
      <c r="C910" s="182"/>
      <c r="D910" s="182"/>
      <c r="E910" s="182"/>
      <c r="F910" s="208"/>
      <c r="G910" s="182" t="str">
        <f ca="1">IFERROR(__xludf.DUMMYFUNCTION("""COMPUTED_VALUE"""),"FORRO INOX MUXARABI CABREUVA DOURADA PREMIUM")</f>
        <v>FORRO INOX MUXARABI CABREUVA DOURADA PREMIUM</v>
      </c>
      <c r="H910" s="192" t="s">
        <v>2525</v>
      </c>
      <c r="I910" s="182" t="str">
        <f t="shared" ca="1" si="5"/>
        <v/>
      </c>
      <c r="J910" s="193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94"/>
      <c r="Z910" s="194"/>
      <c r="AA910" s="194"/>
    </row>
    <row r="911" spans="1:27" ht="15.6">
      <c r="A911" s="182"/>
      <c r="B911" s="182"/>
      <c r="C911" s="182"/>
      <c r="D911" s="182"/>
      <c r="E911" s="182"/>
      <c r="F911" s="208"/>
      <c r="G911" s="182" t="str">
        <f ca="1">IFERROR(__xludf.DUMMYFUNCTION("""COMPUTED_VALUE"""),"FORRO INOX MUXARABI TAUARI PREMIUM")</f>
        <v>FORRO INOX MUXARABI TAUARI PREMIUM</v>
      </c>
      <c r="H911" s="192" t="s">
        <v>2527</v>
      </c>
      <c r="I911" s="182" t="str">
        <f t="shared" ca="1" si="5"/>
        <v/>
      </c>
      <c r="J911" s="193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94"/>
      <c r="Z911" s="194"/>
      <c r="AA911" s="194"/>
    </row>
    <row r="912" spans="1:27" ht="15.6">
      <c r="A912" s="182"/>
      <c r="B912" s="182"/>
      <c r="C912" s="182"/>
      <c r="D912" s="182"/>
      <c r="E912" s="182"/>
      <c r="F912" s="208"/>
      <c r="G912" s="182" t="str">
        <f ca="1">IFERROR(__xludf.DUMMYFUNCTION("""COMPUTED_VALUE"""),"FORRO INOX MUXARABI PEROBA PREMIUM")</f>
        <v>FORRO INOX MUXARABI PEROBA PREMIUM</v>
      </c>
      <c r="H912" s="192" t="s">
        <v>2529</v>
      </c>
      <c r="I912" s="182" t="str">
        <f t="shared" ca="1" si="5"/>
        <v/>
      </c>
      <c r="J912" s="193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94"/>
      <c r="Z912" s="194"/>
      <c r="AA912" s="194"/>
    </row>
    <row r="913" spans="1:27" ht="15.6">
      <c r="A913" s="182"/>
      <c r="B913" s="182"/>
      <c r="C913" s="182"/>
      <c r="D913" s="182"/>
      <c r="E913" s="182"/>
      <c r="F913" s="208"/>
      <c r="G913" s="182" t="str">
        <f ca="1">IFERROR(__xludf.DUMMYFUNCTION("""COMPUTED_VALUE"""),"FORRO INOX MUXARABI LORO PARDO PREMIUM")</f>
        <v>FORRO INOX MUXARABI LORO PARDO PREMIUM</v>
      </c>
      <c r="H913" s="192" t="s">
        <v>2531</v>
      </c>
      <c r="I913" s="182" t="str">
        <f t="shared" ca="1" si="5"/>
        <v/>
      </c>
      <c r="J913" s="193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94"/>
      <c r="Z913" s="194"/>
      <c r="AA913" s="194"/>
    </row>
    <row r="914" spans="1:27" ht="15.6">
      <c r="A914" s="182"/>
      <c r="B914" s="182"/>
      <c r="C914" s="182"/>
      <c r="D914" s="182"/>
      <c r="E914" s="182"/>
      <c r="F914" s="208"/>
      <c r="G914" s="182" t="str">
        <f ca="1">IFERROR(__xludf.DUMMYFUNCTION("""COMPUTED_VALUE"""),"FORRO INOX TOBLERONE CUMARU PREMIUM 3 X 3 COMPR. VARIAVEIS")</f>
        <v>FORRO INOX TOBLERONE CUMARU PREMIUM 3 X 3 COMPR. VARIAVEIS</v>
      </c>
      <c r="H914" s="192" t="s">
        <v>2533</v>
      </c>
      <c r="I914" s="182" t="str">
        <f t="shared" ca="1" si="5"/>
        <v/>
      </c>
      <c r="J914" s="193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94"/>
      <c r="Z914" s="194"/>
      <c r="AA914" s="194"/>
    </row>
    <row r="915" spans="1:27" ht="15.6">
      <c r="A915" s="182"/>
      <c r="B915" s="182"/>
      <c r="C915" s="182"/>
      <c r="D915" s="182"/>
      <c r="E915" s="182"/>
      <c r="F915" s="208"/>
      <c r="G915" s="182" t="str">
        <f ca="1">IFERROR(__xludf.DUMMYFUNCTION("""COMPUTED_VALUE"""),"FORRO INOX TOBLERONE CATUABA PREMIUM 3 X 3 COMPR. VARIAVEIS")</f>
        <v>FORRO INOX TOBLERONE CATUABA PREMIUM 3 X 3 COMPR. VARIAVEIS</v>
      </c>
      <c r="H915" s="192" t="s">
        <v>2535</v>
      </c>
      <c r="I915" s="182" t="str">
        <f t="shared" ca="1" si="5"/>
        <v/>
      </c>
      <c r="J915" s="193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94"/>
      <c r="Z915" s="194"/>
      <c r="AA915" s="194"/>
    </row>
    <row r="916" spans="1:27" ht="15.6">
      <c r="A916" s="182"/>
      <c r="B916" s="182"/>
      <c r="C916" s="182"/>
      <c r="D916" s="182"/>
      <c r="E916" s="182"/>
      <c r="F916" s="208"/>
      <c r="G916" s="182" t="str">
        <f ca="1">IFERROR(__xludf.DUMMYFUNCTION("""COMPUTED_VALUE"""),"FORRO INOX TOBLERONE CABREUVA BRANCA PREMIUM 3 X 3 COMPR. VARIAVEIS")</f>
        <v>FORRO INOX TOBLERONE CABREUVA BRANCA PREMIUM 3 X 3 COMPR. VARIAVEIS</v>
      </c>
      <c r="H916" s="192" t="s">
        <v>2537</v>
      </c>
      <c r="I916" s="182" t="str">
        <f t="shared" ca="1" si="5"/>
        <v/>
      </c>
      <c r="J916" s="193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94"/>
      <c r="Z916" s="194"/>
      <c r="AA916" s="194"/>
    </row>
    <row r="917" spans="1:27" ht="15.6">
      <c r="A917" s="182"/>
      <c r="B917" s="182"/>
      <c r="C917" s="182"/>
      <c r="D917" s="182"/>
      <c r="E917" s="182"/>
      <c r="F917" s="208"/>
      <c r="G917" s="182" t="str">
        <f ca="1">IFERROR(__xludf.DUMMYFUNCTION("""COMPUTED_VALUE"""),"FORRO INOX TOBLERONE CABREUVA DOURADA PREMIUM 3 X 3 COMPR. VARIAVEIS")</f>
        <v>FORRO INOX TOBLERONE CABREUVA DOURADA PREMIUM 3 X 3 COMPR. VARIAVEIS</v>
      </c>
      <c r="H917" s="192" t="s">
        <v>2539</v>
      </c>
      <c r="I917" s="182" t="str">
        <f t="shared" ca="1" si="5"/>
        <v/>
      </c>
      <c r="J917" s="193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94"/>
      <c r="Z917" s="194"/>
      <c r="AA917" s="194"/>
    </row>
    <row r="918" spans="1:27" ht="15.6">
      <c r="A918" s="182"/>
      <c r="B918" s="182"/>
      <c r="C918" s="182"/>
      <c r="D918" s="182"/>
      <c r="E918" s="182"/>
      <c r="F918" s="208"/>
      <c r="G918" s="182" t="str">
        <f ca="1">IFERROR(__xludf.DUMMYFUNCTION("""COMPUTED_VALUE"""),"FORRO INOX TOBLERONE TAUARI PREMIUM 3 X 3 COMPR. VARIAVEIS")</f>
        <v>FORRO INOX TOBLERONE TAUARI PREMIUM 3 X 3 COMPR. VARIAVEIS</v>
      </c>
      <c r="H918" s="192" t="s">
        <v>2541</v>
      </c>
      <c r="I918" s="182" t="str">
        <f t="shared" ca="1" si="5"/>
        <v/>
      </c>
      <c r="J918" s="193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94"/>
      <c r="Z918" s="194"/>
      <c r="AA918" s="194"/>
    </row>
    <row r="919" spans="1:27" ht="15.6">
      <c r="A919" s="182"/>
      <c r="B919" s="182"/>
      <c r="C919" s="182"/>
      <c r="D919" s="182"/>
      <c r="E919" s="182"/>
      <c r="F919" s="208"/>
      <c r="G919" s="182" t="str">
        <f ca="1">IFERROR(__xludf.DUMMYFUNCTION("""COMPUTED_VALUE"""),"FORRO INOX TOBLERONE PEROBA PREMIUM 3 X 3 COMPR. VARIAVEIS")</f>
        <v>FORRO INOX TOBLERONE PEROBA PREMIUM 3 X 3 COMPR. VARIAVEIS</v>
      </c>
      <c r="H919" s="192" t="s">
        <v>2543</v>
      </c>
      <c r="I919" s="182" t="str">
        <f t="shared" ca="1" si="5"/>
        <v/>
      </c>
      <c r="J919" s="193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94"/>
      <c r="Z919" s="194"/>
      <c r="AA919" s="194"/>
    </row>
    <row r="920" spans="1:27" ht="15.6">
      <c r="A920" s="182"/>
      <c r="B920" s="182"/>
      <c r="C920" s="182"/>
      <c r="D920" s="182"/>
      <c r="E920" s="182"/>
      <c r="F920" s="208"/>
      <c r="G920" s="182" t="str">
        <f ca="1">IFERROR(__xludf.DUMMYFUNCTION("""COMPUTED_VALUE"""),"FORRO INOX TOBLERONE LORO PARDO PREMIUM 3 X 3 COMPR. VARIAVEIS")</f>
        <v>FORRO INOX TOBLERONE LORO PARDO PREMIUM 3 X 3 COMPR. VARIAVEIS</v>
      </c>
      <c r="H920" s="192" t="s">
        <v>2545</v>
      </c>
      <c r="I920" s="182" t="str">
        <f t="shared" ca="1" si="5"/>
        <v/>
      </c>
      <c r="J920" s="193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94"/>
      <c r="Z920" s="194"/>
      <c r="AA920" s="194"/>
    </row>
    <row r="921" spans="1:27" ht="15.6">
      <c r="A921" s="182"/>
      <c r="B921" s="182"/>
      <c r="C921" s="182"/>
      <c r="D921" s="182"/>
      <c r="E921" s="182"/>
      <c r="F921" s="208"/>
      <c r="G921" s="182" t="str">
        <f ca="1">IFERROR(__xludf.DUMMYFUNCTION("""COMPUTED_VALUE"""),"FORRO INOX DECK CUMARU PREMIUM TG 2,5 X 5 X COMPR. VARIAVEIS")</f>
        <v>FORRO INOX DECK CUMARU PREMIUM TG 2,5 X 5 X COMPR. VARIAVEIS</v>
      </c>
      <c r="H921" s="192" t="s">
        <v>2547</v>
      </c>
      <c r="I921" s="182" t="str">
        <f t="shared" ca="1" si="5"/>
        <v/>
      </c>
      <c r="J921" s="193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94"/>
      <c r="Z921" s="194"/>
      <c r="AA921" s="194"/>
    </row>
    <row r="922" spans="1:27" ht="15.6">
      <c r="A922" s="182"/>
      <c r="B922" s="182"/>
      <c r="C922" s="182"/>
      <c r="D922" s="182"/>
      <c r="E922" s="182"/>
      <c r="F922" s="208"/>
      <c r="G922" s="182" t="str">
        <f ca="1">IFERROR(__xludf.DUMMYFUNCTION("""COMPUTED_VALUE"""),"FORRO INOX DECK CUMARU PREMIUM TG 2,5 X 10 X COMPR. VARIAVEIS")</f>
        <v>FORRO INOX DECK CUMARU PREMIUM TG 2,5 X 10 X COMPR. VARIAVEIS</v>
      </c>
      <c r="H922" s="192" t="s">
        <v>2549</v>
      </c>
      <c r="I922" s="182" t="str">
        <f t="shared" ca="1" si="5"/>
        <v/>
      </c>
      <c r="J922" s="193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94"/>
      <c r="Z922" s="194"/>
      <c r="AA922" s="194"/>
    </row>
    <row r="923" spans="1:27" ht="15.6">
      <c r="A923" s="182"/>
      <c r="B923" s="182"/>
      <c r="C923" s="182"/>
      <c r="D923" s="182"/>
      <c r="E923" s="182"/>
      <c r="F923" s="208"/>
      <c r="G923" s="182" t="str">
        <f ca="1">IFERROR(__xludf.DUMMYFUNCTION("""COMPUTED_VALUE"""),"FORRO INOX DECK CATUABA PREMIUM TG 2,5 X 5 X COMPR. VARIAVEIS")</f>
        <v>FORRO INOX DECK CATUABA PREMIUM TG 2,5 X 5 X COMPR. VARIAVEIS</v>
      </c>
      <c r="H923" s="192" t="s">
        <v>2551</v>
      </c>
      <c r="I923" s="182" t="str">
        <f t="shared" ca="1" si="5"/>
        <v/>
      </c>
      <c r="J923" s="193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94"/>
      <c r="Z923" s="194"/>
      <c r="AA923" s="194"/>
    </row>
    <row r="924" spans="1:27" ht="15.6">
      <c r="A924" s="182"/>
      <c r="B924" s="182"/>
      <c r="C924" s="182"/>
      <c r="D924" s="182"/>
      <c r="E924" s="182"/>
      <c r="F924" s="208"/>
      <c r="G924" s="182" t="str">
        <f ca="1">IFERROR(__xludf.DUMMYFUNCTION("""COMPUTED_VALUE"""),"FORRO INOX DECK CATUABA PREMIUM TG 2,5 X 10 X COMPR. VARIAVEIS")</f>
        <v>FORRO INOX DECK CATUABA PREMIUM TG 2,5 X 10 X COMPR. VARIAVEIS</v>
      </c>
      <c r="H924" s="192" t="s">
        <v>1025</v>
      </c>
      <c r="I924" s="182" t="str">
        <f t="shared" ca="1" si="5"/>
        <v/>
      </c>
      <c r="J924" s="193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94"/>
      <c r="Z924" s="194"/>
      <c r="AA924" s="194"/>
    </row>
    <row r="925" spans="1:27" ht="15.6">
      <c r="A925" s="182"/>
      <c r="B925" s="182"/>
      <c r="C925" s="182"/>
      <c r="D925" s="182"/>
      <c r="E925" s="182"/>
      <c r="F925" s="208"/>
      <c r="G925" s="182" t="str">
        <f ca="1">IFERROR(__xludf.DUMMYFUNCTION("""COMPUTED_VALUE"""),"FORRO INOX DECK CABREUVA BRANCA PREMIUM TG 2,5 X 5 X COMPR. VARIAVEIS")</f>
        <v>FORRO INOX DECK CABREUVA BRANCA PREMIUM TG 2,5 X 5 X COMPR. VARIAVEIS</v>
      </c>
      <c r="I925" s="182" t="str">
        <f t="shared" ca="1" si="5"/>
        <v/>
      </c>
      <c r="J925" s="193"/>
      <c r="K925" s="208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94"/>
      <c r="Z925" s="194"/>
      <c r="AA925" s="194"/>
    </row>
    <row r="926" spans="1:27" ht="15.6">
      <c r="A926" s="182"/>
      <c r="B926" s="182"/>
      <c r="C926" s="182"/>
      <c r="D926" s="182"/>
      <c r="E926" s="182"/>
      <c r="F926" s="208"/>
      <c r="G926" s="182" t="str">
        <f ca="1">IFERROR(__xludf.DUMMYFUNCTION("""COMPUTED_VALUE"""),"FORRO INOX DECK CABREUVA BRANCA PREMIUM TG 2,5 X 10 X COMPR. VARIAVEIS")</f>
        <v>FORRO INOX DECK CABREUVA BRANCA PREMIUM TG 2,5 X 10 X COMPR. VARIAVEIS</v>
      </c>
      <c r="I926" s="182" t="str">
        <f t="shared" ca="1" si="5"/>
        <v/>
      </c>
      <c r="J926" s="193"/>
      <c r="K926" s="208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94"/>
      <c r="Z926" s="194"/>
      <c r="AA926" s="194"/>
    </row>
    <row r="927" spans="1:27" ht="15.6">
      <c r="A927" s="182"/>
      <c r="B927" s="182"/>
      <c r="C927" s="182"/>
      <c r="D927" s="182"/>
      <c r="E927" s="182"/>
      <c r="F927" s="208"/>
      <c r="G927" s="182" t="str">
        <f ca="1">IFERROR(__xludf.DUMMYFUNCTION("""COMPUTED_VALUE"""),"FORRO INOX DECK CABREUVA DOURADA PREMIUM TG 2,5 X 5 X COMPR. VARIAVEIS")</f>
        <v>FORRO INOX DECK CABREUVA DOURADA PREMIUM TG 2,5 X 5 X COMPR. VARIAVEIS</v>
      </c>
      <c r="I927" s="182" t="str">
        <f t="shared" ca="1" si="5"/>
        <v/>
      </c>
      <c r="J927" s="193"/>
      <c r="K927" s="208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94"/>
      <c r="Z927" s="194"/>
      <c r="AA927" s="194"/>
    </row>
    <row r="928" spans="1:27" ht="15.6">
      <c r="A928" s="182"/>
      <c r="B928" s="182"/>
      <c r="C928" s="182"/>
      <c r="D928" s="182"/>
      <c r="E928" s="182"/>
      <c r="F928" s="208"/>
      <c r="G928" s="182" t="str">
        <f ca="1">IFERROR(__xludf.DUMMYFUNCTION("""COMPUTED_VALUE"""),"FORRO INOX DECK CABREUVA DOURADA PREMIUM TG 2,5 X 10 X COMPR. VARIAVEIS")</f>
        <v>FORRO INOX DECK CABREUVA DOURADA PREMIUM TG 2,5 X 10 X COMPR. VARIAVEIS</v>
      </c>
      <c r="I928" s="182" t="str">
        <f t="shared" ca="1" si="5"/>
        <v/>
      </c>
      <c r="J928" s="193"/>
      <c r="K928" s="208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94"/>
      <c r="Z928" s="194"/>
      <c r="AA928" s="194"/>
    </row>
    <row r="929" spans="1:27" ht="15.6">
      <c r="A929" s="182"/>
      <c r="B929" s="182"/>
      <c r="C929" s="182"/>
      <c r="D929" s="182"/>
      <c r="E929" s="182"/>
      <c r="F929" s="208"/>
      <c r="G929" s="182" t="str">
        <f ca="1">IFERROR(__xludf.DUMMYFUNCTION("""COMPUTED_VALUE"""),"FORRO INOX DECK TAUARI PREMIUM TG 2,5 X 5 X COMPR. VARIAVEIS")</f>
        <v>FORRO INOX DECK TAUARI PREMIUM TG 2,5 X 5 X COMPR. VARIAVEIS</v>
      </c>
      <c r="I929" s="182" t="str">
        <f t="shared" ca="1" si="5"/>
        <v/>
      </c>
      <c r="J929" s="193"/>
      <c r="K929" s="208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94"/>
      <c r="Z929" s="194"/>
      <c r="AA929" s="194"/>
    </row>
    <row r="930" spans="1:27" ht="15.6">
      <c r="A930" s="182"/>
      <c r="B930" s="182"/>
      <c r="C930" s="182"/>
      <c r="D930" s="182"/>
      <c r="E930" s="182"/>
      <c r="F930" s="208"/>
      <c r="G930" s="182" t="str">
        <f ca="1">IFERROR(__xludf.DUMMYFUNCTION("""COMPUTED_VALUE"""),"FORRO INOX DECK TAUARI PREMIUM TG 2,5 X 10 X COMPR. VARIAVEIS")</f>
        <v>FORRO INOX DECK TAUARI PREMIUM TG 2,5 X 10 X COMPR. VARIAVEIS</v>
      </c>
      <c r="I930" s="182" t="str">
        <f t="shared" ca="1" si="5"/>
        <v/>
      </c>
      <c r="J930" s="193"/>
      <c r="K930" s="208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94"/>
      <c r="Z930" s="194"/>
      <c r="AA930" s="194"/>
    </row>
    <row r="931" spans="1:27" ht="15.6">
      <c r="A931" s="182"/>
      <c r="B931" s="182"/>
      <c r="C931" s="182"/>
      <c r="D931" s="182"/>
      <c r="E931" s="182"/>
      <c r="F931" s="208"/>
      <c r="G931" s="182" t="str">
        <f ca="1">IFERROR(__xludf.DUMMYFUNCTION("""COMPUTED_VALUE"""),"FORRO INOX DECK PEROBA PREMIUM TG 2,5 X 5 X COMPR. VARIAVEIS")</f>
        <v>FORRO INOX DECK PEROBA PREMIUM TG 2,5 X 5 X COMPR. VARIAVEIS</v>
      </c>
      <c r="I931" s="182" t="str">
        <f t="shared" ca="1" si="5"/>
        <v/>
      </c>
      <c r="J931" s="193"/>
      <c r="K931" s="208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94"/>
      <c r="Z931" s="194"/>
      <c r="AA931" s="194"/>
    </row>
    <row r="932" spans="1:27" ht="15.6">
      <c r="A932" s="182"/>
      <c r="B932" s="182"/>
      <c r="C932" s="182"/>
      <c r="D932" s="182"/>
      <c r="E932" s="182"/>
      <c r="F932" s="208"/>
      <c r="G932" s="182" t="str">
        <f ca="1">IFERROR(__xludf.DUMMYFUNCTION("""COMPUTED_VALUE"""),"FORRO INOX DECK PEROBA PREMIUM TG 2,5 X 10 X COMPR. VARIAVEIS")</f>
        <v>FORRO INOX DECK PEROBA PREMIUM TG 2,5 X 10 X COMPR. VARIAVEIS</v>
      </c>
      <c r="I932" s="182" t="str">
        <f t="shared" ca="1" si="5"/>
        <v/>
      </c>
      <c r="J932" s="193"/>
      <c r="K932" s="208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94"/>
      <c r="Z932" s="194"/>
      <c r="AA932" s="194"/>
    </row>
    <row r="933" spans="1:27" ht="15.6">
      <c r="A933" s="182"/>
      <c r="B933" s="182"/>
      <c r="C933" s="182"/>
      <c r="D933" s="182"/>
      <c r="E933" s="182"/>
      <c r="F933" s="208"/>
      <c r="G933" s="182" t="str">
        <f ca="1">IFERROR(__xludf.DUMMYFUNCTION("""COMPUTED_VALUE"""),"FORRO INOX DECK BAMBU CARAMEL ALTA DENSIDADE")</f>
        <v>FORRO INOX DECK BAMBU CARAMEL ALTA DENSIDADE</v>
      </c>
      <c r="I933" s="182" t="str">
        <f t="shared" ca="1" si="5"/>
        <v/>
      </c>
      <c r="J933" s="193"/>
      <c r="K933" s="208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94"/>
      <c r="Z933" s="194"/>
      <c r="AA933" s="194"/>
    </row>
    <row r="934" spans="1:27" ht="15.6">
      <c r="A934" s="182"/>
      <c r="B934" s="182"/>
      <c r="C934" s="182"/>
      <c r="D934" s="182"/>
      <c r="E934" s="182"/>
      <c r="F934" s="208"/>
      <c r="G934" s="182" t="str">
        <f ca="1">IFERROR(__xludf.DUMMYFUNCTION("""COMPUTED_VALUE"""),"FORRO INOX DECK BPC CINZA ESCURO 2 X15X 290CM PÇ/0.435M2")</f>
        <v>FORRO INOX DECK BPC CINZA ESCURO 2 X15X 290CM PÇ/0.435M2</v>
      </c>
      <c r="I934" s="182" t="str">
        <f t="shared" ca="1" si="5"/>
        <v/>
      </c>
      <c r="J934" s="193"/>
      <c r="K934" s="208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94"/>
      <c r="Z934" s="194"/>
      <c r="AA934" s="194"/>
    </row>
    <row r="935" spans="1:27" ht="15.6">
      <c r="A935" s="182"/>
      <c r="B935" s="182"/>
      <c r="C935" s="182"/>
      <c r="D935" s="182"/>
      <c r="E935" s="182"/>
      <c r="F935" s="208"/>
      <c r="G935" s="182" t="str">
        <f ca="1">IFERROR(__xludf.DUMMYFUNCTION("""COMPUTED_VALUE"""),"FORRO INOX DECK BPC MORROM 2X15X220CM")</f>
        <v>FORRO INOX DECK BPC MORROM 2X15X220CM</v>
      </c>
      <c r="I935" s="182" t="str">
        <f t="shared" ca="1" si="5"/>
        <v/>
      </c>
      <c r="J935" s="193"/>
      <c r="K935" s="208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94"/>
      <c r="Z935" s="194"/>
      <c r="AA935" s="194"/>
    </row>
    <row r="936" spans="1:27" ht="15.6">
      <c r="A936" s="182"/>
      <c r="B936" s="182"/>
      <c r="C936" s="182"/>
      <c r="D936" s="182"/>
      <c r="E936" s="182"/>
      <c r="F936" s="208"/>
      <c r="G936" s="182" t="str">
        <f ca="1">IFERROR(__xludf.DUMMYFUNCTION("""COMPUTED_VALUE"""),"FORRO INOX DECK WPC CINZA 2,2*14,6*220CM")</f>
        <v>FORRO INOX DECK WPC CINZA 2,2*14,6*220CM</v>
      </c>
      <c r="I936" s="182" t="str">
        <f t="shared" ca="1" si="5"/>
        <v/>
      </c>
      <c r="J936" s="193"/>
      <c r="K936" s="208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94"/>
      <c r="Z936" s="194"/>
      <c r="AA936" s="194"/>
    </row>
    <row r="937" spans="1:27" ht="15.6">
      <c r="A937" s="182"/>
      <c r="B937" s="182"/>
      <c r="C937" s="182"/>
      <c r="D937" s="182"/>
      <c r="E937" s="182"/>
      <c r="F937" s="208"/>
      <c r="G937" s="182" t="str">
        <f ca="1">IFERROR(__xludf.DUMMYFUNCTION("""COMPUTED_VALUE"""),"FORRO INOX PEROBA RUSTICA DE DEMOLIÇÃO")</f>
        <v>FORRO INOX PEROBA RUSTICA DE DEMOLIÇÃO</v>
      </c>
      <c r="I937" s="182" t="str">
        <f t="shared" ca="1" si="5"/>
        <v/>
      </c>
      <c r="J937" s="193"/>
      <c r="K937" s="208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94"/>
      <c r="Z937" s="194"/>
      <c r="AA937" s="194"/>
    </row>
    <row r="938" spans="1:27" ht="15.6">
      <c r="A938" s="182"/>
      <c r="B938" s="182"/>
      <c r="C938" s="182"/>
      <c r="D938" s="182"/>
      <c r="E938" s="182"/>
      <c r="F938" s="208"/>
      <c r="G938" s="182" t="str">
        <f ca="1">IFERROR(__xludf.DUMMYFUNCTION("""COMPUTED_VALUE"""),"FORRO INOX CANELA RUSTICA DE DEMOLIÇÃO")</f>
        <v>FORRO INOX CANELA RUSTICA DE DEMOLIÇÃO</v>
      </c>
      <c r="I938" s="182" t="str">
        <f t="shared" ca="1" si="5"/>
        <v/>
      </c>
      <c r="J938" s="193"/>
      <c r="K938" s="208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94"/>
      <c r="Z938" s="194"/>
      <c r="AA938" s="194"/>
    </row>
    <row r="939" spans="1:27" ht="15.6">
      <c r="A939" s="182"/>
      <c r="B939" s="182"/>
      <c r="C939" s="182"/>
      <c r="D939" s="182"/>
      <c r="E939" s="182"/>
      <c r="F939" s="208"/>
      <c r="G939" s="182" t="str">
        <f ca="1">IFERROR(__xludf.DUMMYFUNCTION("""COMPUTED_VALUE"""),"DECK 10 CARVALHO EUROPEU MARRONE CHEVRON 15/3 X 1900X 740MM")</f>
        <v>DECK 10 CARVALHO EUROPEU MARRONE CHEVRON 15/3 X 1900X 740MM</v>
      </c>
      <c r="I939" s="182"/>
      <c r="J939" s="193"/>
      <c r="K939" s="208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94"/>
      <c r="Z939" s="194"/>
      <c r="AA939" s="194"/>
    </row>
    <row r="940" spans="1:27" ht="15.6">
      <c r="A940" s="182"/>
      <c r="B940" s="182"/>
      <c r="C940" s="182"/>
      <c r="D940" s="182"/>
      <c r="E940" s="182"/>
      <c r="F940" s="208"/>
      <c r="G940" s="182" t="str">
        <f ca="1">IFERROR(__xludf.DUMMYFUNCTION("""COMPUTED_VALUE"""),"DECK 10 CARVALHO EUROPEU MARRONE 15/3 X 125 X 1200MM")</f>
        <v>DECK 10 CARVALHO EUROPEU MARRONE 15/3 X 125 X 1200MM</v>
      </c>
      <c r="I940" s="182"/>
      <c r="J940" s="193"/>
      <c r="K940" s="208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94"/>
      <c r="Z940" s="194"/>
      <c r="AA940" s="194"/>
    </row>
    <row r="941" spans="1:27" ht="15.6">
      <c r="A941" s="182"/>
      <c r="B941" s="182"/>
      <c r="C941" s="182"/>
      <c r="D941" s="182"/>
      <c r="E941" s="182"/>
      <c r="F941" s="208"/>
      <c r="G941" s="182" t="str">
        <f ca="1">IFERROR(__xludf.DUMMYFUNCTION("""COMPUTED_VALUE"""),"DECK 10 CARVALHO EUROPEU MARRONE 15/3 X 190 X 1900MM")</f>
        <v>DECK 10 CARVALHO EUROPEU MARRONE 15/3 X 190 X 1900MM</v>
      </c>
      <c r="I941" s="182"/>
      <c r="J941" s="193"/>
      <c r="K941" s="208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94"/>
      <c r="Z941" s="194"/>
      <c r="AA941" s="194"/>
    </row>
    <row r="942" spans="1:27" ht="15.6">
      <c r="A942" s="182"/>
      <c r="B942" s="182"/>
      <c r="C942" s="182"/>
      <c r="D942" s="182"/>
      <c r="E942" s="182"/>
      <c r="F942" s="208"/>
      <c r="G942" s="182" t="str">
        <f ca="1">IFERROR(__xludf.DUMMYFUNCTION("""COMPUTED_VALUE"""),"DECK 10 CARVALHO EUROPEU MARRONE 20/6 X 300 X 4000MM")</f>
        <v>DECK 10 CARVALHO EUROPEU MARRONE 20/6 X 300 X 4000MM</v>
      </c>
      <c r="I942" s="182"/>
      <c r="J942" s="193"/>
      <c r="K942" s="208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94"/>
      <c r="Z942" s="194"/>
      <c r="AA942" s="194"/>
    </row>
    <row r="943" spans="1:27" ht="15.6">
      <c r="A943" s="182"/>
      <c r="B943" s="182"/>
      <c r="C943" s="182"/>
      <c r="D943" s="182"/>
      <c r="E943" s="182"/>
      <c r="F943" s="208"/>
      <c r="G943" s="182" t="str">
        <f ca="1">IFERROR(__xludf.DUMMYFUNCTION("""COMPUTED_VALUE"""),"DECK 10 CARVALHO EUROPEU MARRONE 20/6 X 400 X 5000MM")</f>
        <v>DECK 10 CARVALHO EUROPEU MARRONE 20/6 X 400 X 5000MM</v>
      </c>
      <c r="I943" s="182"/>
      <c r="J943" s="193"/>
      <c r="K943" s="208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94"/>
      <c r="Z943" s="194"/>
      <c r="AA943" s="194"/>
    </row>
    <row r="944" spans="1:27" ht="15.6">
      <c r="A944" s="182"/>
      <c r="B944" s="182"/>
      <c r="C944" s="182"/>
      <c r="D944" s="182"/>
      <c r="E944" s="182"/>
      <c r="F944" s="208"/>
      <c r="G944" s="182" t="str">
        <f ca="1">IFERROR(__xludf.DUMMYFUNCTION("""COMPUTED_VALUE"""),"DECK 10 CARVALHO EUROPEU MONT BLANC CHEVRON 15/3 X 1900X 740MM")</f>
        <v>DECK 10 CARVALHO EUROPEU MONT BLANC CHEVRON 15/3 X 1900X 740MM</v>
      </c>
      <c r="I944" s="182"/>
      <c r="J944" s="193"/>
      <c r="K944" s="208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94"/>
      <c r="Z944" s="194"/>
      <c r="AA944" s="194"/>
    </row>
    <row r="945" spans="1:27" ht="15.6">
      <c r="A945" s="182"/>
      <c r="B945" s="182"/>
      <c r="C945" s="182"/>
      <c r="D945" s="182"/>
      <c r="E945" s="182"/>
      <c r="F945" s="208"/>
      <c r="G945" s="182" t="str">
        <f ca="1">IFERROR(__xludf.DUMMYFUNCTION("""COMPUTED_VALUE"""),"DECK 10 CARVALHO EUROPEU MONT BLANC ESPINHA DE PEIXE TG 15/3 X 125X900MM")</f>
        <v>DECK 10 CARVALHO EUROPEU MONT BLANC ESPINHA DE PEIXE TG 15/3 X 125X900MM</v>
      </c>
      <c r="I945" s="182"/>
      <c r="J945" s="193"/>
      <c r="K945" s="208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94"/>
      <c r="Z945" s="194"/>
      <c r="AA945" s="194"/>
    </row>
    <row r="946" spans="1:27" ht="15.6">
      <c r="A946" s="182"/>
      <c r="B946" s="182"/>
      <c r="C946" s="182"/>
      <c r="D946" s="182"/>
      <c r="E946" s="182"/>
      <c r="F946" s="208"/>
      <c r="G946" s="182" t="str">
        <f ca="1">IFERROR(__xludf.DUMMYFUNCTION("""COMPUTED_VALUE"""),"DECK 10 CARVALHO EUROPEU MONT BLANC 15/3 X 125 X 1200MM")</f>
        <v>DECK 10 CARVALHO EUROPEU MONT BLANC 15/3 X 125 X 1200MM</v>
      </c>
      <c r="I946" s="182"/>
      <c r="J946" s="193"/>
      <c r="K946" s="208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94"/>
      <c r="Z946" s="194"/>
      <c r="AA946" s="194"/>
    </row>
    <row r="947" spans="1:27" ht="15.6">
      <c r="A947" s="182"/>
      <c r="B947" s="182"/>
      <c r="C947" s="182"/>
      <c r="D947" s="182"/>
      <c r="E947" s="182"/>
      <c r="F947" s="208"/>
      <c r="G947" s="182" t="str">
        <f ca="1">IFERROR(__xludf.DUMMYFUNCTION("""COMPUTED_VALUE"""),"DECK 10 CARVALHO EUROPEU MONT BLANC 15/3 X 190 X 1900MM")</f>
        <v>DECK 10 CARVALHO EUROPEU MONT BLANC 15/3 X 190 X 1900MM</v>
      </c>
      <c r="I947" s="182"/>
      <c r="J947" s="193"/>
      <c r="K947" s="208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94"/>
      <c r="Z947" s="194"/>
      <c r="AA947" s="194"/>
    </row>
    <row r="948" spans="1:27" ht="15.6">
      <c r="A948" s="182"/>
      <c r="B948" s="182"/>
      <c r="C948" s="182"/>
      <c r="D948" s="182"/>
      <c r="E948" s="182"/>
      <c r="F948" s="208"/>
      <c r="G948" s="182" t="str">
        <f ca="1">IFERROR(__xludf.DUMMYFUNCTION("""COMPUTED_VALUE"""),"DECK 10 CARVALHO EUROPEU MONT BLANC 20/6 X 300 X 4000MM")</f>
        <v>DECK 10 CARVALHO EUROPEU MONT BLANC 20/6 X 300 X 4000MM</v>
      </c>
      <c r="I948" s="182"/>
      <c r="J948" s="193"/>
      <c r="K948" s="208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94"/>
      <c r="Z948" s="194"/>
      <c r="AA948" s="194"/>
    </row>
    <row r="949" spans="1:27" ht="15.6">
      <c r="A949" s="182"/>
      <c r="B949" s="182"/>
      <c r="C949" s="182"/>
      <c r="D949" s="182"/>
      <c r="E949" s="182"/>
      <c r="F949" s="208"/>
      <c r="G949" s="182" t="str">
        <f ca="1">IFERROR(__xludf.DUMMYFUNCTION("""COMPUTED_VALUE"""),"DECK 10 CARVALHO EUROPEU MONT BLANC 20/6 X 400 X 5000MM")</f>
        <v>DECK 10 CARVALHO EUROPEU MONT BLANC 20/6 X 400 X 5000MM</v>
      </c>
      <c r="I949" s="182"/>
      <c r="J949" s="193"/>
      <c r="K949" s="208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94"/>
      <c r="Z949" s="194"/>
      <c r="AA949" s="194"/>
    </row>
    <row r="950" spans="1:27" ht="15.6">
      <c r="A950" s="182"/>
      <c r="B950" s="182"/>
      <c r="C950" s="182"/>
      <c r="D950" s="182"/>
      <c r="E950" s="182"/>
      <c r="F950" s="208"/>
      <c r="G950" s="182" t="str">
        <f ca="1">IFERROR(__xludf.DUMMYFUNCTION("""COMPUTED_VALUE"""),"DECK 10 CARVALHO EUROPEU NATURAL CHEVRON TG 15/3 X 125 X 775MM")</f>
        <v>DECK 10 CARVALHO EUROPEU NATURAL CHEVRON TG 15/3 X 125 X 775MM</v>
      </c>
      <c r="I950" s="182"/>
      <c r="J950" s="193"/>
      <c r="K950" s="208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94"/>
      <c r="Z950" s="194"/>
      <c r="AA950" s="194"/>
    </row>
    <row r="951" spans="1:27" ht="15.6">
      <c r="A951" s="182"/>
      <c r="B951" s="182"/>
      <c r="C951" s="182"/>
      <c r="D951" s="182"/>
      <c r="E951" s="182"/>
      <c r="F951" s="208"/>
      <c r="G951" s="182" t="str">
        <f ca="1">IFERROR(__xludf.DUMMYFUNCTION("""COMPUTED_VALUE"""),"DECK 10 CARVALHO EUROPEU NATURALLE CHEVRON 15/3 X 1900X 740MM")</f>
        <v>DECK 10 CARVALHO EUROPEU NATURALLE CHEVRON 15/3 X 1900X 740MM</v>
      </c>
      <c r="I951" s="182"/>
      <c r="J951" s="193"/>
      <c r="K951" s="208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94"/>
      <c r="Z951" s="194"/>
      <c r="AA951" s="194"/>
    </row>
    <row r="952" spans="1:27" ht="15.6">
      <c r="A952" s="182"/>
      <c r="B952" s="182"/>
      <c r="C952" s="182"/>
      <c r="D952" s="182"/>
      <c r="E952" s="182"/>
      <c r="F952" s="208"/>
      <c r="G952" s="182" t="str">
        <f ca="1">IFERROR(__xludf.DUMMYFUNCTION("""COMPUTED_VALUE"""),"DECK 10 CARVALHO EUROPEU NATURALLE CHEVRON 60º 15/3 X 1900X 910MM")</f>
        <v>DECK 10 CARVALHO EUROPEU NATURALLE CHEVRON 60º 15/3 X 1900X 910MM</v>
      </c>
      <c r="I952" s="182"/>
      <c r="J952" s="193"/>
      <c r="K952" s="208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94"/>
      <c r="Z952" s="194"/>
      <c r="AA952" s="194"/>
    </row>
    <row r="953" spans="1:27" ht="15.6">
      <c r="A953" s="182"/>
      <c r="B953" s="182"/>
      <c r="C953" s="182"/>
      <c r="D953" s="182"/>
      <c r="E953" s="182"/>
      <c r="F953" s="208"/>
      <c r="G953" s="182" t="str">
        <f ca="1">IFERROR(__xludf.DUMMYFUNCTION("""COMPUTED_VALUE"""),"DECK 10 CARVALHO EUROPEU NATURALLE FINE 10/06 X 1900 X 1900MM")</f>
        <v>DECK 10 CARVALHO EUROPEU NATURALLE FINE 10/06 X 1900 X 1900MM</v>
      </c>
      <c r="I953" s="182"/>
      <c r="J953" s="193"/>
      <c r="K953" s="208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94"/>
      <c r="Z953" s="194"/>
      <c r="AA953" s="194"/>
    </row>
    <row r="954" spans="1:27" ht="15.6">
      <c r="A954" s="182"/>
      <c r="B954" s="182"/>
      <c r="C954" s="182"/>
      <c r="D954" s="182"/>
      <c r="E954" s="182"/>
      <c r="F954" s="208"/>
      <c r="G954" s="182" t="str">
        <f ca="1">IFERROR(__xludf.DUMMYFUNCTION("""COMPUTED_VALUE"""),"DECK 10 CARVALHO EUROPEU NATURALLE 15/3 X 125 X 1200MM")</f>
        <v>DECK 10 CARVALHO EUROPEU NATURALLE 15/3 X 125 X 1200MM</v>
      </c>
      <c r="I954" s="182"/>
      <c r="J954" s="193"/>
      <c r="K954" s="208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94"/>
      <c r="Z954" s="194"/>
      <c r="AA954" s="194"/>
    </row>
    <row r="955" spans="1:27" ht="15.6">
      <c r="A955" s="182"/>
      <c r="B955" s="182"/>
      <c r="C955" s="182"/>
      <c r="D955" s="182"/>
      <c r="E955" s="182"/>
      <c r="F955" s="208"/>
      <c r="G955" s="182" t="str">
        <f ca="1">IFERROR(__xludf.DUMMYFUNCTION("""COMPUTED_VALUE"""),"DECK 10 CARVALHO EUROPEU NATURALLE 15/3 X 190 X 1900MM")</f>
        <v>DECK 10 CARVALHO EUROPEU NATURALLE 15/3 X 190 X 1900MM</v>
      </c>
      <c r="I955" s="182"/>
      <c r="J955" s="193"/>
      <c r="K955" s="208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94"/>
      <c r="Z955" s="194"/>
      <c r="AA955" s="194"/>
    </row>
    <row r="956" spans="1:27" ht="15.6">
      <c r="A956" s="182"/>
      <c r="B956" s="182"/>
      <c r="C956" s="182"/>
      <c r="D956" s="182"/>
      <c r="E956" s="182"/>
      <c r="F956" s="208"/>
      <c r="G956" s="182" t="str">
        <f ca="1">IFERROR(__xludf.DUMMYFUNCTION("""COMPUTED_VALUE"""),"DECK 10 CARVALHO EUROPEU NATURALLE 20/6 X 300 X 4000MM")</f>
        <v>DECK 10 CARVALHO EUROPEU NATURALLE 20/6 X 300 X 4000MM</v>
      </c>
      <c r="I956" s="182"/>
      <c r="J956" s="193"/>
      <c r="K956" s="208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94"/>
      <c r="Z956" s="194"/>
      <c r="AA956" s="194"/>
    </row>
    <row r="957" spans="1:27" ht="15.6">
      <c r="A957" s="182"/>
      <c r="B957" s="182"/>
      <c r="C957" s="182"/>
      <c r="D957" s="182"/>
      <c r="E957" s="182"/>
      <c r="F957" s="208"/>
      <c r="G957" s="182" t="str">
        <f ca="1">IFERROR(__xludf.DUMMYFUNCTION("""COMPUTED_VALUE"""),"DECK 10 CARVALHO EUROPEU NATURALLE 20/6 X 400 X 5000MM")</f>
        <v>DECK 10 CARVALHO EUROPEU NATURALLE 20/6 X 400 X 5000MM</v>
      </c>
      <c r="I957" s="182"/>
      <c r="J957" s="193"/>
      <c r="K957" s="208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94"/>
      <c r="Z957" s="194"/>
      <c r="AA957" s="194"/>
    </row>
    <row r="958" spans="1:27" ht="15.6">
      <c r="A958" s="182"/>
      <c r="B958" s="182"/>
      <c r="C958" s="182"/>
      <c r="D958" s="182"/>
      <c r="E958" s="182"/>
      <c r="F958" s="208"/>
      <c r="G958" s="182" t="str">
        <f ca="1">IFERROR(__xludf.DUMMYFUNCTION("""COMPUTED_VALUE"""),"DECK 10 CARVALHO EUROPEU CAPUCCINO CHEVRON 15/3 X 1900X 740MM")</f>
        <v>DECK 10 CARVALHO EUROPEU CAPUCCINO CHEVRON 15/3 X 1900X 740MM</v>
      </c>
      <c r="I958" s="182"/>
      <c r="J958" s="193"/>
      <c r="K958" s="208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94"/>
      <c r="Z958" s="194"/>
      <c r="AA958" s="194"/>
    </row>
    <row r="959" spans="1:27" ht="15.6">
      <c r="A959" s="182"/>
      <c r="B959" s="182"/>
      <c r="C959" s="182"/>
      <c r="D959" s="182"/>
      <c r="E959" s="182"/>
      <c r="F959" s="208"/>
      <c r="G959" s="182" t="str">
        <f ca="1">IFERROR(__xludf.DUMMYFUNCTION("""COMPUTED_VALUE"""),"DECK 10 CARVALHO EUROPEU CAPUCCINO 15/3 X 125 X 1200MM")</f>
        <v>DECK 10 CARVALHO EUROPEU CAPUCCINO 15/3 X 125 X 1200MM</v>
      </c>
      <c r="I959" s="182"/>
      <c r="J959" s="193"/>
      <c r="K959" s="208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94"/>
      <c r="Z959" s="194"/>
      <c r="AA959" s="194"/>
    </row>
    <row r="960" spans="1:27" ht="15.6">
      <c r="A960" s="182"/>
      <c r="B960" s="182"/>
      <c r="C960" s="182"/>
      <c r="D960" s="182"/>
      <c r="E960" s="182"/>
      <c r="F960" s="208"/>
      <c r="G960" s="182" t="str">
        <f ca="1">IFERROR(__xludf.DUMMYFUNCTION("""COMPUTED_VALUE"""),"DECK 10 CARVALHO EUROPEU CAPPUCCINO ESPINHA DE PEIXE TG 15/3 X 125X900MM")</f>
        <v>DECK 10 CARVALHO EUROPEU CAPPUCCINO ESPINHA DE PEIXE TG 15/3 X 125X900MM</v>
      </c>
      <c r="I960" s="182"/>
      <c r="J960" s="193"/>
      <c r="K960" s="208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94"/>
      <c r="Z960" s="194"/>
      <c r="AA960" s="194"/>
    </row>
    <row r="961" spans="1:27" ht="15.6">
      <c r="A961" s="182"/>
      <c r="B961" s="182"/>
      <c r="C961" s="182"/>
      <c r="D961" s="182"/>
      <c r="E961" s="182"/>
      <c r="F961" s="208"/>
      <c r="G961" s="182" t="str">
        <f ca="1">IFERROR(__xludf.DUMMYFUNCTION("""COMPUTED_VALUE"""),"DECK 10 CARVALHO EUROPEU CAPUCCINO 15/3 X 190 X 1900MM")</f>
        <v>DECK 10 CARVALHO EUROPEU CAPUCCINO 15/3 X 190 X 1900MM</v>
      </c>
      <c r="I961" s="182"/>
      <c r="J961" s="193"/>
      <c r="K961" s="208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94"/>
      <c r="Z961" s="194"/>
      <c r="AA961" s="194"/>
    </row>
    <row r="962" spans="1:27" ht="15.6">
      <c r="A962" s="182"/>
      <c r="B962" s="182"/>
      <c r="C962" s="182"/>
      <c r="D962" s="182"/>
      <c r="E962" s="182"/>
      <c r="F962" s="208"/>
      <c r="G962" s="182" t="str">
        <f ca="1">IFERROR(__xludf.DUMMYFUNCTION("""COMPUTED_VALUE"""),"DECK 10 CARVALHO EUROPEU CAPUCCINO 20/6 X 300 X 4000MM")</f>
        <v>DECK 10 CARVALHO EUROPEU CAPUCCINO 20/6 X 300 X 4000MM</v>
      </c>
      <c r="I962" s="182"/>
      <c r="J962" s="193"/>
      <c r="K962" s="208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94"/>
      <c r="Z962" s="194"/>
      <c r="AA962" s="194"/>
    </row>
    <row r="963" spans="1:27" ht="15.6">
      <c r="A963" s="182"/>
      <c r="B963" s="182"/>
      <c r="C963" s="182"/>
      <c r="D963" s="182"/>
      <c r="E963" s="182"/>
      <c r="F963" s="208"/>
      <c r="G963" s="182" t="str">
        <f ca="1">IFERROR(__xludf.DUMMYFUNCTION("""COMPUTED_VALUE"""),"DECK 10 CARVALHO EUROPEU CAPUCCINO 20/6 X 400 X 5000MM")</f>
        <v>DECK 10 CARVALHO EUROPEU CAPUCCINO 20/6 X 400 X 5000MM</v>
      </c>
      <c r="I963" s="182"/>
      <c r="J963" s="193"/>
      <c r="K963" s="208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94"/>
      <c r="Z963" s="194"/>
      <c r="AA963" s="194"/>
    </row>
    <row r="964" spans="1:27" ht="15.6">
      <c r="A964" s="182"/>
      <c r="B964" s="182"/>
      <c r="C964" s="182"/>
      <c r="D964" s="182"/>
      <c r="E964" s="182"/>
      <c r="F964" s="208"/>
      <c r="G964" s="182" t="str">
        <f ca="1">IFERROR(__xludf.DUMMYFUNCTION("""COMPUTED_VALUE"""),"DECK 10 CARVALHO EUROPEU BABY GREY CHEVRON 15/3 X 1900X 740MM")</f>
        <v>DECK 10 CARVALHO EUROPEU BABY GREY CHEVRON 15/3 X 1900X 740MM</v>
      </c>
      <c r="I964" s="182"/>
      <c r="J964" s="193"/>
      <c r="K964" s="208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94"/>
      <c r="Z964" s="194"/>
      <c r="AA964" s="194"/>
    </row>
    <row r="965" spans="1:27" ht="15.6">
      <c r="A965" s="182"/>
      <c r="B965" s="182"/>
      <c r="C965" s="182"/>
      <c r="D965" s="182"/>
      <c r="E965" s="182"/>
      <c r="F965" s="208"/>
      <c r="G965" s="182" t="str">
        <f ca="1">IFERROR(__xludf.DUMMYFUNCTION("""COMPUTED_VALUE"""),"DECK 10 CARVALHO EUROPEU BABY GREY 15/3 X 125 X 1200MM")</f>
        <v>DECK 10 CARVALHO EUROPEU BABY GREY 15/3 X 125 X 1200MM</v>
      </c>
      <c r="I965" s="182"/>
      <c r="J965" s="193"/>
      <c r="K965" s="208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94"/>
      <c r="Z965" s="194"/>
      <c r="AA965" s="194"/>
    </row>
    <row r="966" spans="1:27" ht="15.6">
      <c r="A966" s="182"/>
      <c r="B966" s="182"/>
      <c r="C966" s="182"/>
      <c r="D966" s="182"/>
      <c r="E966" s="182"/>
      <c r="F966" s="208"/>
      <c r="G966" s="182" t="str">
        <f ca="1">IFERROR(__xludf.DUMMYFUNCTION("""COMPUTED_VALUE"""),"DECK 10 CARVALHO EUROPEU BABY GREY 15/3 X 190 X 1900MM")</f>
        <v>DECK 10 CARVALHO EUROPEU BABY GREY 15/3 X 190 X 1900MM</v>
      </c>
      <c r="I966" s="182"/>
      <c r="J966" s="193"/>
      <c r="K966" s="208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94"/>
      <c r="Z966" s="194"/>
      <c r="AA966" s="194"/>
    </row>
    <row r="967" spans="1:27" ht="15.6">
      <c r="A967" s="182"/>
      <c r="B967" s="182"/>
      <c r="C967" s="182"/>
      <c r="D967" s="182"/>
      <c r="E967" s="182"/>
      <c r="F967" s="208"/>
      <c r="G967" s="182" t="str">
        <f ca="1">IFERROR(__xludf.DUMMYFUNCTION("""COMPUTED_VALUE"""),"DECK 10 CARVALHO EUROPEU BABY GREY 20/6 X 300 X 4000MM")</f>
        <v>DECK 10 CARVALHO EUROPEU BABY GREY 20/6 X 300 X 4000MM</v>
      </c>
      <c r="I967" s="182"/>
      <c r="J967" s="193"/>
      <c r="K967" s="208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94"/>
      <c r="Z967" s="194"/>
      <c r="AA967" s="194"/>
    </row>
    <row r="968" spans="1:27" ht="15.6">
      <c r="A968" s="182"/>
      <c r="B968" s="182"/>
      <c r="C968" s="182"/>
      <c r="D968" s="182"/>
      <c r="E968" s="182"/>
      <c r="F968" s="208"/>
      <c r="G968" s="182" t="str">
        <f ca="1">IFERROR(__xludf.DUMMYFUNCTION("""COMPUTED_VALUE"""),"DECK 10 CARVALHO EUROPEU BABY GREY 20/6 X 400 X 5000MM")</f>
        <v>DECK 10 CARVALHO EUROPEU BABY GREY 20/6 X 400 X 5000MM</v>
      </c>
      <c r="I968" s="182"/>
      <c r="J968" s="193"/>
      <c r="K968" s="208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94"/>
      <c r="Z968" s="194"/>
      <c r="AA968" s="194"/>
    </row>
    <row r="969" spans="1:27" ht="15.6">
      <c r="A969" s="182"/>
      <c r="B969" s="182"/>
      <c r="C969" s="182"/>
      <c r="D969" s="182"/>
      <c r="E969" s="182"/>
      <c r="F969" s="208"/>
      <c r="G969" s="182" t="str">
        <f ca="1">IFERROR(__xludf.DUMMYFUNCTION("""COMPUTED_VALUE"""),"DECK 10 CARVALHO EUROPEU GRIGIO NERO CHEVRON 15/3 X 1900X 740MM")</f>
        <v>DECK 10 CARVALHO EUROPEU GRIGIO NERO CHEVRON 15/3 X 1900X 740MM</v>
      </c>
      <c r="I969" s="182"/>
      <c r="J969" s="193"/>
      <c r="K969" s="208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94"/>
      <c r="Z969" s="194"/>
      <c r="AA969" s="194"/>
    </row>
    <row r="970" spans="1:27" ht="15.6">
      <c r="A970" s="182"/>
      <c r="B970" s="182"/>
      <c r="C970" s="182"/>
      <c r="D970" s="182"/>
      <c r="E970" s="182"/>
      <c r="F970" s="208"/>
      <c r="G970" s="182" t="str">
        <f ca="1">IFERROR(__xludf.DUMMYFUNCTION("""COMPUTED_VALUE"""),"DECK 10 CARVALHO EUROPEU GRIGIO NERO 15/3 X 125 X 1200MM")</f>
        <v>DECK 10 CARVALHO EUROPEU GRIGIO NERO 15/3 X 125 X 1200MM</v>
      </c>
      <c r="I970" s="182"/>
      <c r="J970" s="193"/>
      <c r="K970" s="208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94"/>
      <c r="Z970" s="194"/>
      <c r="AA970" s="194"/>
    </row>
    <row r="971" spans="1:27" ht="15.6">
      <c r="A971" s="182"/>
      <c r="B971" s="182"/>
      <c r="C971" s="182"/>
      <c r="D971" s="182"/>
      <c r="E971" s="182"/>
      <c r="F971" s="208"/>
      <c r="G971" s="182" t="str">
        <f ca="1">IFERROR(__xludf.DUMMYFUNCTION("""COMPUTED_VALUE"""),"DECK 10 CARVALHO EUROPEU GRIGIO NERO 15/3 X 190 X 1900MM")</f>
        <v>DECK 10 CARVALHO EUROPEU GRIGIO NERO 15/3 X 190 X 1900MM</v>
      </c>
      <c r="I971" s="182"/>
      <c r="J971" s="193"/>
      <c r="K971" s="208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94"/>
      <c r="Z971" s="194"/>
      <c r="AA971" s="194"/>
    </row>
    <row r="972" spans="1:27" ht="15.6">
      <c r="A972" s="182"/>
      <c r="B972" s="182"/>
      <c r="C972" s="182"/>
      <c r="D972" s="182"/>
      <c r="E972" s="182"/>
      <c r="F972" s="208"/>
      <c r="G972" s="182" t="str">
        <f ca="1">IFERROR(__xludf.DUMMYFUNCTION("""COMPUTED_VALUE"""),"DECK 10 CARVALHO EUROPEU GRIGIO NERO 20/6 X 300 X 4000MM")</f>
        <v>DECK 10 CARVALHO EUROPEU GRIGIO NERO 20/6 X 300 X 4000MM</v>
      </c>
      <c r="I972" s="182"/>
      <c r="J972" s="193"/>
      <c r="K972" s="208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94"/>
      <c r="Z972" s="194"/>
      <c r="AA972" s="194"/>
    </row>
    <row r="973" spans="1:27" ht="15.6">
      <c r="A973" s="182"/>
      <c r="B973" s="182"/>
      <c r="C973" s="182"/>
      <c r="D973" s="182"/>
      <c r="E973" s="182"/>
      <c r="F973" s="208"/>
      <c r="G973" s="182" t="str">
        <f ca="1">IFERROR(__xludf.DUMMYFUNCTION("""COMPUTED_VALUE"""),"DECK 10 CARVALHO EUROPEU GRIGIO NERO 20/6 X 400 X 5000MM")</f>
        <v>DECK 10 CARVALHO EUROPEU GRIGIO NERO 20/6 X 400 X 5000MM</v>
      </c>
      <c r="I973" s="182"/>
      <c r="J973" s="193"/>
      <c r="K973" s="208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94"/>
      <c r="Z973" s="194"/>
      <c r="AA973" s="194"/>
    </row>
    <row r="974" spans="1:27" ht="15.6">
      <c r="A974" s="182"/>
      <c r="B974" s="182"/>
      <c r="C974" s="182"/>
      <c r="D974" s="182"/>
      <c r="E974" s="182"/>
      <c r="F974" s="208"/>
      <c r="G974" s="182" t="str">
        <f ca="1">IFERROR(__xludf.DUMMYFUNCTION("""COMPUTED_VALUE"""),"DECK 10 CARVALHO EUROPEU LIGHT BROWN CHEVRON 15/3 X 1900X 740MM")</f>
        <v>DECK 10 CARVALHO EUROPEU LIGHT BROWN CHEVRON 15/3 X 1900X 740MM</v>
      </c>
      <c r="I974" s="182"/>
      <c r="J974" s="193"/>
      <c r="K974" s="208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94"/>
      <c r="Z974" s="194"/>
      <c r="AA974" s="194"/>
    </row>
    <row r="975" spans="1:27" ht="15.6">
      <c r="A975" s="182"/>
      <c r="B975" s="182"/>
      <c r="C975" s="182"/>
      <c r="D975" s="182"/>
      <c r="E975" s="182"/>
      <c r="F975" s="208"/>
      <c r="G975" s="182" t="str">
        <f ca="1">IFERROR(__xludf.DUMMYFUNCTION("""COMPUTED_VALUE"""),"DECK 10 CARVALHO EUROPEU LIGHT BROWN 15/3 X 125 X 1200MM")</f>
        <v>DECK 10 CARVALHO EUROPEU LIGHT BROWN 15/3 X 125 X 1200MM</v>
      </c>
      <c r="I975" s="182"/>
      <c r="J975" s="193"/>
      <c r="K975" s="208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94"/>
      <c r="Z975" s="194"/>
      <c r="AA975" s="194"/>
    </row>
    <row r="976" spans="1:27" ht="15.6">
      <c r="A976" s="182"/>
      <c r="B976" s="182"/>
      <c r="C976" s="182"/>
      <c r="D976" s="182"/>
      <c r="E976" s="182"/>
      <c r="F976" s="208"/>
      <c r="G976" s="182" t="str">
        <f ca="1">IFERROR(__xludf.DUMMYFUNCTION("""COMPUTED_VALUE"""),"DECK 10 CARVALHO EUROPEU LIGHT BROWN 15/3 X 190 X 1900MM")</f>
        <v>DECK 10 CARVALHO EUROPEU LIGHT BROWN 15/3 X 190 X 1900MM</v>
      </c>
      <c r="I976" s="182"/>
      <c r="J976" s="193"/>
      <c r="K976" s="208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94"/>
      <c r="Z976" s="194"/>
      <c r="AA976" s="194"/>
    </row>
    <row r="977" spans="1:27" ht="15.6">
      <c r="A977" s="182"/>
      <c r="B977" s="182"/>
      <c r="C977" s="182"/>
      <c r="D977" s="182"/>
      <c r="E977" s="182"/>
      <c r="F977" s="208"/>
      <c r="G977" s="182" t="str">
        <f ca="1">IFERROR(__xludf.DUMMYFUNCTION("""COMPUTED_VALUE"""),"DECK 10 CARVALHO EUROPEU LIGHT BROWN 20/6 X 300 X 4000MM")</f>
        <v>DECK 10 CARVALHO EUROPEU LIGHT BROWN 20/6 X 300 X 4000MM</v>
      </c>
      <c r="I977" s="182"/>
      <c r="J977" s="193"/>
      <c r="K977" s="208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94"/>
      <c r="Z977" s="194"/>
      <c r="AA977" s="194"/>
    </row>
    <row r="978" spans="1:27" ht="15.6">
      <c r="A978" s="182"/>
      <c r="B978" s="182"/>
      <c r="C978" s="182"/>
      <c r="D978" s="182"/>
      <c r="E978" s="182"/>
      <c r="F978" s="208"/>
      <c r="G978" s="182" t="str">
        <f ca="1">IFERROR(__xludf.DUMMYFUNCTION("""COMPUTED_VALUE"""),"DECK 10 CARVALHO EUROPEU - LISTONE GIORDANO (HERITAGE 140 FILIGRANA - SIENNA 1179) TG 1,25 X 14,0 X 83,50CM --")</f>
        <v>DECK 10 CARVALHO EUROPEU - LISTONE GIORDANO (HERITAGE 140 FILIGRANA - SIENNA 1179) TG 1,25 X 14,0 X 83,50CM --</v>
      </c>
      <c r="I978" s="182"/>
      <c r="J978" s="193"/>
      <c r="K978" s="208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94"/>
      <c r="Z978" s="194"/>
      <c r="AA978" s="194"/>
    </row>
    <row r="979" spans="1:27" ht="15.6">
      <c r="A979" s="182"/>
      <c r="B979" s="182"/>
      <c r="C979" s="182"/>
      <c r="D979" s="182"/>
      <c r="E979" s="182"/>
      <c r="F979" s="208"/>
      <c r="G979" s="182" t="str">
        <f ca="1">IFERROR(__xludf.DUMMYFUNCTION("""COMPUTED_VALUE"""),"DECK 10 ")</f>
        <v xml:space="preserve">DECK 10 </v>
      </c>
      <c r="I979" s="182"/>
      <c r="J979" s="193"/>
      <c r="K979" s="208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94"/>
      <c r="Z979" s="194"/>
      <c r="AA979" s="194"/>
    </row>
    <row r="980" spans="1:27" ht="15.6">
      <c r="A980" s="182"/>
      <c r="B980" s="182"/>
      <c r="C980" s="182"/>
      <c r="D980" s="182"/>
      <c r="E980" s="182"/>
      <c r="F980" s="208"/>
      <c r="G980" s="182" t="str">
        <f ca="1">IFERROR(__xludf.DUMMYFUNCTION("""COMPUTED_VALUE"""),"DECK 10 CARVALHO EUROPEU MILANO CHEVRON 15/3 X 1900X 740MM")</f>
        <v>DECK 10 CARVALHO EUROPEU MILANO CHEVRON 15/3 X 1900X 740MM</v>
      </c>
      <c r="I980" s="182"/>
      <c r="J980" s="193"/>
      <c r="K980" s="208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94"/>
      <c r="Z980" s="194"/>
      <c r="AA980" s="194"/>
    </row>
    <row r="981" spans="1:27" ht="15.6">
      <c r="A981" s="182"/>
      <c r="B981" s="182"/>
      <c r="C981" s="182"/>
      <c r="D981" s="182"/>
      <c r="E981" s="182"/>
      <c r="F981" s="208"/>
      <c r="G981" s="182" t="str">
        <f ca="1">IFERROR(__xludf.DUMMYFUNCTION("""COMPUTED_VALUE"""),"DECK 10 CARVALHO EUROPEU MILANO 15/3 X 125 X 1200MM")</f>
        <v>DECK 10 CARVALHO EUROPEU MILANO 15/3 X 125 X 1200MM</v>
      </c>
      <c r="I981" s="182"/>
      <c r="J981" s="193"/>
      <c r="K981" s="208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94"/>
      <c r="Z981" s="194"/>
      <c r="AA981" s="194"/>
    </row>
    <row r="982" spans="1:27" ht="15.6">
      <c r="A982" s="182"/>
      <c r="B982" s="182"/>
      <c r="C982" s="182"/>
      <c r="D982" s="182"/>
      <c r="E982" s="182"/>
      <c r="F982" s="208"/>
      <c r="G982" s="182" t="str">
        <f ca="1">IFERROR(__xludf.DUMMYFUNCTION("""COMPUTED_VALUE"""),"DECK 10 CARVALHO EUROPEU MILANO 15/3 X 190 X 1900MM")</f>
        <v>DECK 10 CARVALHO EUROPEU MILANO 15/3 X 190 X 1900MM</v>
      </c>
      <c r="I982" s="182"/>
      <c r="J982" s="193"/>
      <c r="K982" s="208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94"/>
      <c r="Z982" s="194"/>
      <c r="AA982" s="194"/>
    </row>
    <row r="983" spans="1:27" ht="15.6">
      <c r="A983" s="182"/>
      <c r="B983" s="182"/>
      <c r="C983" s="182"/>
      <c r="D983" s="182"/>
      <c r="E983" s="182"/>
      <c r="F983" s="208"/>
      <c r="G983" s="182" t="str">
        <f ca="1">IFERROR(__xludf.DUMMYFUNCTION("""COMPUTED_VALUE"""),"DECK 10 CARVALHO EUROPEU MILANO 20/6 X 300 X 4000MM")</f>
        <v>DECK 10 CARVALHO EUROPEU MILANO 20/6 X 300 X 4000MM</v>
      </c>
      <c r="I983" s="182"/>
      <c r="J983" s="193"/>
      <c r="K983" s="208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94"/>
      <c r="Z983" s="194"/>
      <c r="AA983" s="194"/>
    </row>
    <row r="984" spans="1:27" ht="15.6">
      <c r="A984" s="182"/>
      <c r="B984" s="182"/>
      <c r="C984" s="182"/>
      <c r="D984" s="182"/>
      <c r="E984" s="182"/>
      <c r="F984" s="208"/>
      <c r="G984" s="182" t="str">
        <f ca="1">IFERROR(__xludf.DUMMYFUNCTION("""COMPUTED_VALUE"""),"DECK 10 CARVALHO EUROPEU MILANO 20/6 X 400 X 5000MM")</f>
        <v>DECK 10 CARVALHO EUROPEU MILANO 20/6 X 400 X 5000MM</v>
      </c>
      <c r="I984" s="182"/>
      <c r="J984" s="193"/>
      <c r="K984" s="208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94"/>
      <c r="Z984" s="194"/>
      <c r="AA984" s="194"/>
    </row>
    <row r="985" spans="1:27" ht="15.6">
      <c r="A985" s="182"/>
      <c r="B985" s="182"/>
      <c r="C985" s="182"/>
      <c r="D985" s="182"/>
      <c r="E985" s="182"/>
      <c r="F985" s="208"/>
      <c r="G985" s="182" t="str">
        <f ca="1">IFERROR(__xludf.DUMMYFUNCTION("""COMPUTED_VALUE"""),"DECK 10 CARVALHO EUROPEU SMOKED CHEVRON 15/3 X 1900X 740MM")</f>
        <v>DECK 10 CARVALHO EUROPEU SMOKED CHEVRON 15/3 X 1900X 740MM</v>
      </c>
      <c r="I985" s="182"/>
      <c r="J985" s="193"/>
      <c r="K985" s="208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94"/>
      <c r="Z985" s="194"/>
      <c r="AA985" s="194"/>
    </row>
    <row r="986" spans="1:27" ht="15.6">
      <c r="A986" s="182"/>
      <c r="B986" s="182"/>
      <c r="C986" s="182"/>
      <c r="D986" s="182"/>
      <c r="E986" s="182"/>
      <c r="F986" s="208"/>
      <c r="G986" s="182" t="str">
        <f ca="1">IFERROR(__xludf.DUMMYFUNCTION("""COMPUTED_VALUE"""),"DECK 10 CARVALHO EUROPEU SMOKED 15/3 X 125 X 1200MM")</f>
        <v>DECK 10 CARVALHO EUROPEU SMOKED 15/3 X 125 X 1200MM</v>
      </c>
      <c r="I986" s="182"/>
      <c r="J986" s="193"/>
      <c r="K986" s="208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94"/>
      <c r="Z986" s="194"/>
      <c r="AA986" s="194"/>
    </row>
    <row r="987" spans="1:27" ht="15.6">
      <c r="A987" s="182"/>
      <c r="B987" s="182"/>
      <c r="C987" s="182"/>
      <c r="D987" s="182"/>
      <c r="E987" s="182"/>
      <c r="F987" s="208"/>
      <c r="G987" s="182" t="str">
        <f ca="1">IFERROR(__xludf.DUMMYFUNCTION("""COMPUTED_VALUE"""),"DECK 10 CARVALHO EUROPEU SMOKED 15/3 X 190 X 1900MM")</f>
        <v>DECK 10 CARVALHO EUROPEU SMOKED 15/3 X 190 X 1900MM</v>
      </c>
      <c r="I987" s="182"/>
      <c r="J987" s="193"/>
      <c r="K987" s="208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94"/>
      <c r="Z987" s="194"/>
      <c r="AA987" s="194"/>
    </row>
    <row r="988" spans="1:27" ht="15.6">
      <c r="A988" s="182"/>
      <c r="B988" s="182"/>
      <c r="C988" s="182"/>
      <c r="D988" s="182"/>
      <c r="E988" s="182"/>
      <c r="F988" s="208"/>
      <c r="G988" s="182" t="str">
        <f ca="1">IFERROR(__xludf.DUMMYFUNCTION("""COMPUTED_VALUE"""),"DECK 10 CARVALHO EUROPEU SMOKED 20/6 X 300 X 4000MM")</f>
        <v>DECK 10 CARVALHO EUROPEU SMOKED 20/6 X 300 X 4000MM</v>
      </c>
      <c r="I988" s="182"/>
      <c r="J988" s="193"/>
      <c r="K988" s="208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94"/>
      <c r="Z988" s="194"/>
      <c r="AA988" s="194"/>
    </row>
    <row r="989" spans="1:27" ht="15.6">
      <c r="A989" s="182"/>
      <c r="B989" s="182"/>
      <c r="C989" s="182"/>
      <c r="D989" s="182"/>
      <c r="E989" s="182"/>
      <c r="F989" s="208"/>
      <c r="G989" s="182" t="str">
        <f ca="1">IFERROR(__xludf.DUMMYFUNCTION("""COMPUTED_VALUE"""),"DECK 10 CARVALHO EUROPEU SMOKED 20/6 X 400 X 5000MM")</f>
        <v>DECK 10 CARVALHO EUROPEU SMOKED 20/6 X 400 X 5000MM</v>
      </c>
      <c r="I989" s="182"/>
      <c r="J989" s="193"/>
      <c r="K989" s="208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94"/>
      <c r="Z989" s="194"/>
      <c r="AA989" s="194"/>
    </row>
    <row r="990" spans="1:27" ht="15.6">
      <c r="A990" s="182"/>
      <c r="B990" s="182"/>
      <c r="C990" s="182"/>
      <c r="D990" s="182"/>
      <c r="E990" s="182"/>
      <c r="F990" s="208"/>
      <c r="G990" s="182" t="str">
        <f ca="1">IFERROR(__xludf.DUMMYFUNCTION("""COMPUTED_VALUE"""),"DECK 10 CARVALHO EUROPEU GIZ CHEVRON 15/3 X 1900X 740MM")</f>
        <v>DECK 10 CARVALHO EUROPEU GIZ CHEVRON 15/3 X 1900X 740MM</v>
      </c>
      <c r="I990" s="182"/>
      <c r="J990" s="193"/>
      <c r="K990" s="208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94"/>
      <c r="Z990" s="194"/>
      <c r="AA990" s="194"/>
    </row>
    <row r="991" spans="1:27" ht="15.6">
      <c r="A991" s="182"/>
      <c r="B991" s="182"/>
      <c r="C991" s="182"/>
      <c r="D991" s="182"/>
      <c r="E991" s="182"/>
      <c r="F991" s="208"/>
      <c r="G991" s="182" t="str">
        <f ca="1">IFERROR(__xludf.DUMMYFUNCTION("""COMPUTED_VALUE"""),"DECK 10 CARVALHO EUROPEU GIZ 15/3 X 125 X 1200MM")</f>
        <v>DECK 10 CARVALHO EUROPEU GIZ 15/3 X 125 X 1200MM</v>
      </c>
      <c r="I991" s="182"/>
      <c r="J991" s="193"/>
      <c r="K991" s="208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94"/>
      <c r="Z991" s="194"/>
      <c r="AA991" s="194"/>
    </row>
    <row r="992" spans="1:27" ht="15.6">
      <c r="A992" s="182"/>
      <c r="B992" s="182"/>
      <c r="C992" s="182"/>
      <c r="D992" s="182"/>
      <c r="E992" s="182"/>
      <c r="F992" s="208"/>
      <c r="G992" s="182" t="str">
        <f ca="1">IFERROR(__xludf.DUMMYFUNCTION("""COMPUTED_VALUE"""),"DECK 10 CARVALHO EUROPEU GIZ 15/3 X 190 X 1900MM")</f>
        <v>DECK 10 CARVALHO EUROPEU GIZ 15/3 X 190 X 1900MM</v>
      </c>
      <c r="I992" s="182"/>
      <c r="J992" s="193"/>
      <c r="K992" s="208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94"/>
      <c r="Z992" s="194"/>
      <c r="AA992" s="194"/>
    </row>
    <row r="993" spans="1:27" ht="15.6">
      <c r="A993" s="182"/>
      <c r="B993" s="182"/>
      <c r="C993" s="182"/>
      <c r="D993" s="182"/>
      <c r="E993" s="182"/>
      <c r="F993" s="208"/>
      <c r="G993" s="182" t="str">
        <f ca="1">IFERROR(__xludf.DUMMYFUNCTION("""COMPUTED_VALUE"""),"DECK 10 CARVALHO EUROPEU GIZ 20/6 X 300 X 4000MM")</f>
        <v>DECK 10 CARVALHO EUROPEU GIZ 20/6 X 300 X 4000MM</v>
      </c>
      <c r="I993" s="182"/>
      <c r="J993" s="193"/>
      <c r="K993" s="208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94"/>
      <c r="Z993" s="194"/>
      <c r="AA993" s="194"/>
    </row>
    <row r="994" spans="1:27" ht="15.6">
      <c r="A994" s="182"/>
      <c r="B994" s="182"/>
      <c r="C994" s="182"/>
      <c r="D994" s="182"/>
      <c r="E994" s="182"/>
      <c r="F994" s="208"/>
      <c r="G994" s="182" t="str">
        <f ca="1">IFERROR(__xludf.DUMMYFUNCTION("""COMPUTED_VALUE"""),"DECK 10 CARVALHO EUROPEU GIZ 20/6 X 400 X 5000MM")</f>
        <v>DECK 10 CARVALHO EUROPEU GIZ 20/6 X 400 X 5000MM</v>
      </c>
      <c r="I994" s="182"/>
      <c r="J994" s="193"/>
      <c r="K994" s="208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94"/>
      <c r="Z994" s="194"/>
      <c r="AA994" s="194"/>
    </row>
    <row r="995" spans="1:27" ht="15.6">
      <c r="A995" s="182"/>
      <c r="B995" s="182"/>
      <c r="C995" s="182"/>
      <c r="D995" s="182"/>
      <c r="E995" s="182"/>
      <c r="F995" s="208"/>
      <c r="G995" s="182" t="str">
        <f ca="1">IFERROR(__xludf.DUMMYFUNCTION("""COMPUTED_VALUE"""),"DECK 10 CARVALHO EUROPEU SNOW CHEVRON 15/3 X 1900X 740MM")</f>
        <v>DECK 10 CARVALHO EUROPEU SNOW CHEVRON 15/3 X 1900X 740MM</v>
      </c>
      <c r="I995" s="182"/>
      <c r="J995" s="193"/>
      <c r="K995" s="208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94"/>
      <c r="Z995" s="194"/>
      <c r="AA995" s="194"/>
    </row>
    <row r="996" spans="1:27" ht="15.6">
      <c r="A996" s="182"/>
      <c r="B996" s="182"/>
      <c r="C996" s="182"/>
      <c r="D996" s="182"/>
      <c r="E996" s="182"/>
      <c r="F996" s="208"/>
      <c r="G996" s="182" t="str">
        <f ca="1">IFERROR(__xludf.DUMMYFUNCTION("""COMPUTED_VALUE"""),"DECK 10 CARVALHO EUROPEU SNOW 15/3 X 125 X 1200MM")</f>
        <v>DECK 10 CARVALHO EUROPEU SNOW 15/3 X 125 X 1200MM</v>
      </c>
      <c r="I996" s="182"/>
      <c r="J996" s="193"/>
      <c r="K996" s="208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94"/>
      <c r="Z996" s="194"/>
      <c r="AA996" s="194"/>
    </row>
    <row r="997" spans="1:27" ht="15.6">
      <c r="A997" s="182"/>
      <c r="B997" s="182"/>
      <c r="C997" s="182"/>
      <c r="D997" s="182"/>
      <c r="E997" s="182"/>
      <c r="F997" s="208"/>
      <c r="G997" s="182" t="str">
        <f ca="1">IFERROR(__xludf.DUMMYFUNCTION("""COMPUTED_VALUE"""),"DECK 10 CARVALHO EUROPEU SNOW 15/3 X 190 X 1900MM")</f>
        <v>DECK 10 CARVALHO EUROPEU SNOW 15/3 X 190 X 1900MM</v>
      </c>
      <c r="I997" s="182"/>
      <c r="J997" s="193"/>
      <c r="K997" s="208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94"/>
      <c r="Z997" s="194"/>
      <c r="AA997" s="194"/>
    </row>
    <row r="998" spans="1:27" ht="15.6">
      <c r="A998" s="182"/>
      <c r="B998" s="182"/>
      <c r="C998" s="182"/>
      <c r="D998" s="182"/>
      <c r="E998" s="182"/>
      <c r="F998" s="208"/>
      <c r="G998" s="182" t="str">
        <f ca="1">IFERROR(__xludf.DUMMYFUNCTION("""COMPUTED_VALUE"""),"DECK 10 CARVALHO EUROPEU SNOW 20/6 X 300 X 4000MM")</f>
        <v>DECK 10 CARVALHO EUROPEU SNOW 20/6 X 300 X 4000MM</v>
      </c>
      <c r="I998" s="182"/>
      <c r="J998" s="193"/>
      <c r="K998" s="208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94"/>
      <c r="Z998" s="194"/>
      <c r="AA998" s="194"/>
    </row>
    <row r="999" spans="1:27" ht="15.6">
      <c r="A999" s="182"/>
      <c r="B999" s="182"/>
      <c r="C999" s="182"/>
      <c r="D999" s="182"/>
      <c r="E999" s="182"/>
      <c r="F999" s="208"/>
      <c r="G999" s="182" t="str">
        <f ca="1">IFERROR(__xludf.DUMMYFUNCTION("""COMPUTED_VALUE"""),"DECK 10 CARVALHO EUROPEU SNOW 20/6 X 400 X 5000MM")</f>
        <v>DECK 10 CARVALHO EUROPEU SNOW 20/6 X 400 X 5000MM</v>
      </c>
      <c r="I999" s="182"/>
      <c r="J999" s="193"/>
      <c r="K999" s="208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94"/>
      <c r="Z999" s="194"/>
      <c r="AA999" s="194"/>
    </row>
    <row r="1000" spans="1:27" ht="15.6">
      <c r="A1000" s="182"/>
      <c r="B1000" s="182"/>
      <c r="C1000" s="182"/>
      <c r="D1000" s="182"/>
      <c r="E1000" s="182"/>
      <c r="F1000" s="208"/>
      <c r="G1000" s="182" t="str">
        <f ca="1">IFERROR(__xludf.DUMMYFUNCTION("""COMPUTED_VALUE"""),"DECK 10 CARVALHO EUROPEU WILD CHEVRON 15/3 X 1900X 740MM")</f>
        <v>DECK 10 CARVALHO EUROPEU WILD CHEVRON 15/3 X 1900X 740MM</v>
      </c>
      <c r="I1000" s="182"/>
      <c r="J1000" s="193"/>
      <c r="K1000" s="208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94"/>
      <c r="Z1000" s="194"/>
      <c r="AA1000" s="194"/>
    </row>
    <row r="1001" spans="1:27" ht="15.6">
      <c r="A1001" s="182"/>
      <c r="B1001" s="182"/>
      <c r="C1001" s="182"/>
      <c r="D1001" s="182"/>
      <c r="E1001" s="182"/>
      <c r="F1001" s="208"/>
      <c r="G1001" s="182" t="str">
        <f ca="1">IFERROR(__xludf.DUMMYFUNCTION("""COMPUTED_VALUE"""),"DECK 10 CARVALHO EUROPEU WILD 15/3 X 125 X 1200MM")</f>
        <v>DECK 10 CARVALHO EUROPEU WILD 15/3 X 125 X 1200MM</v>
      </c>
      <c r="I1001" s="182"/>
      <c r="J1001" s="193"/>
      <c r="K1001" s="208"/>
      <c r="L1001" s="182"/>
      <c r="M1001" s="182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2"/>
      <c r="Y1001" s="194"/>
      <c r="Z1001" s="194"/>
      <c r="AA1001" s="194"/>
    </row>
    <row r="1002" spans="1:27" ht="15.6">
      <c r="A1002" s="182"/>
      <c r="B1002" s="182"/>
      <c r="C1002" s="182"/>
      <c r="D1002" s="182"/>
      <c r="E1002" s="182"/>
      <c r="F1002" s="208"/>
      <c r="G1002" s="182" t="str">
        <f ca="1">IFERROR(__xludf.DUMMYFUNCTION("""COMPUTED_VALUE"""),"DECK 10 CARVALHO EUROPEU WILD 15/3 X 190 X 1900MM")</f>
        <v>DECK 10 CARVALHO EUROPEU WILD 15/3 X 190 X 1900MM</v>
      </c>
      <c r="I1002" s="182"/>
      <c r="J1002" s="193"/>
      <c r="K1002" s="208"/>
      <c r="L1002" s="182"/>
      <c r="M1002" s="182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2"/>
      <c r="Y1002" s="194"/>
      <c r="Z1002" s="194"/>
      <c r="AA1002" s="194"/>
    </row>
    <row r="1003" spans="1:27" ht="15.6">
      <c r="A1003" s="182"/>
      <c r="B1003" s="182"/>
      <c r="C1003" s="182"/>
      <c r="D1003" s="182"/>
      <c r="E1003" s="182"/>
      <c r="F1003" s="208"/>
      <c r="G1003" s="182" t="str">
        <f ca="1">IFERROR(__xludf.DUMMYFUNCTION("""COMPUTED_VALUE"""),"DECK 10 CARVALHO EUROPEU WILD 20/6 X 300 X 4000MM")</f>
        <v>DECK 10 CARVALHO EUROPEU WILD 20/6 X 300 X 4000MM</v>
      </c>
      <c r="I1003" s="182"/>
      <c r="J1003" s="193"/>
      <c r="K1003" s="208"/>
      <c r="L1003" s="182"/>
      <c r="M1003" s="182"/>
      <c r="N1003" s="182"/>
      <c r="O1003" s="182"/>
      <c r="P1003" s="182"/>
      <c r="Q1003" s="182"/>
      <c r="R1003" s="182"/>
      <c r="S1003" s="182"/>
      <c r="T1003" s="182"/>
      <c r="U1003" s="182"/>
      <c r="V1003" s="182"/>
      <c r="W1003" s="182"/>
      <c r="X1003" s="182"/>
      <c r="Y1003" s="194"/>
      <c r="Z1003" s="194"/>
      <c r="AA1003" s="194"/>
    </row>
    <row r="1004" spans="1:27" ht="15.6">
      <c r="A1004" s="182"/>
      <c r="B1004" s="182"/>
      <c r="C1004" s="182"/>
      <c r="D1004" s="182"/>
      <c r="E1004" s="182"/>
      <c r="F1004" s="208"/>
      <c r="G1004" s="182" t="str">
        <f ca="1">IFERROR(__xludf.DUMMYFUNCTION("""COMPUTED_VALUE"""),"DECK 10 CARVALHO EUROPEU WILD 20/6 X 400 X 5000MM")</f>
        <v>DECK 10 CARVALHO EUROPEU WILD 20/6 X 400 X 5000MM</v>
      </c>
      <c r="I1004" s="182"/>
      <c r="J1004" s="193"/>
      <c r="K1004" s="208"/>
      <c r="L1004" s="182"/>
      <c r="M1004" s="182"/>
      <c r="N1004" s="182"/>
      <c r="O1004" s="182"/>
      <c r="P1004" s="182"/>
      <c r="Q1004" s="182"/>
      <c r="R1004" s="182"/>
      <c r="S1004" s="182"/>
      <c r="T1004" s="182"/>
      <c r="U1004" s="182"/>
      <c r="V1004" s="182"/>
      <c r="W1004" s="182"/>
      <c r="X1004" s="182"/>
      <c r="Y1004" s="194"/>
      <c r="Z1004" s="194"/>
      <c r="AA1004" s="194"/>
    </row>
    <row r="1005" spans="1:27" ht="15.6">
      <c r="A1005" s="182"/>
      <c r="B1005" s="182"/>
      <c r="C1005" s="182"/>
      <c r="D1005" s="182"/>
      <c r="E1005" s="182"/>
      <c r="F1005" s="208"/>
      <c r="G1005" s="182" t="str">
        <f ca="1">IFERROR(__xludf.DUMMYFUNCTION("""COMPUTED_VALUE"""),"DECK 10 CARVALHO EUROPEU NEVADO CHEVRON 15/3 X 1900X 740MM")</f>
        <v>DECK 10 CARVALHO EUROPEU NEVADO CHEVRON 15/3 X 1900X 740MM</v>
      </c>
      <c r="I1005" s="182"/>
      <c r="J1005" s="193"/>
      <c r="K1005" s="208"/>
      <c r="L1005" s="182"/>
      <c r="M1005" s="182"/>
      <c r="N1005" s="182"/>
      <c r="O1005" s="182"/>
      <c r="P1005" s="182"/>
      <c r="Q1005" s="182"/>
      <c r="R1005" s="182"/>
      <c r="S1005" s="182"/>
      <c r="T1005" s="182"/>
      <c r="U1005" s="182"/>
      <c r="V1005" s="182"/>
      <c r="W1005" s="182"/>
      <c r="X1005" s="182"/>
      <c r="Y1005" s="194"/>
      <c r="Z1005" s="194"/>
      <c r="AA1005" s="194"/>
    </row>
    <row r="1006" spans="1:27" ht="15.6">
      <c r="A1006" s="182"/>
      <c r="B1006" s="182"/>
      <c r="C1006" s="182"/>
      <c r="D1006" s="182"/>
      <c r="E1006" s="182"/>
      <c r="F1006" s="208"/>
      <c r="G1006" s="182" t="str">
        <f ca="1">IFERROR(__xludf.DUMMYFUNCTION("""COMPUTED_VALUE"""),"DECK 10 CARVALHO EUROPEU NEVADO 15/3 X 125 X 1200MM")</f>
        <v>DECK 10 CARVALHO EUROPEU NEVADO 15/3 X 125 X 1200MM</v>
      </c>
      <c r="I1006" s="182"/>
      <c r="J1006" s="193"/>
      <c r="K1006" s="208"/>
      <c r="L1006" s="182"/>
      <c r="M1006" s="182"/>
      <c r="N1006" s="182"/>
      <c r="O1006" s="182"/>
      <c r="P1006" s="182"/>
      <c r="Q1006" s="182"/>
      <c r="R1006" s="182"/>
      <c r="S1006" s="182"/>
      <c r="T1006" s="182"/>
      <c r="U1006" s="182"/>
      <c r="V1006" s="182"/>
      <c r="W1006" s="182"/>
      <c r="X1006" s="182"/>
      <c r="Y1006" s="194"/>
      <c r="Z1006" s="194"/>
      <c r="AA1006" s="194"/>
    </row>
    <row r="1007" spans="1:27" ht="15.6">
      <c r="A1007" s="182"/>
      <c r="B1007" s="182"/>
      <c r="C1007" s="182"/>
      <c r="D1007" s="182"/>
      <c r="E1007" s="182"/>
      <c r="F1007" s="208"/>
      <c r="G1007" s="182" t="str">
        <f ca="1">IFERROR(__xludf.DUMMYFUNCTION("""COMPUTED_VALUE"""),"DECK 10 CARVALHO EUROPEU NEVADO 15/3 X 190 X 1900MM")</f>
        <v>DECK 10 CARVALHO EUROPEU NEVADO 15/3 X 190 X 1900MM</v>
      </c>
      <c r="I1007" s="182"/>
      <c r="J1007" s="193"/>
      <c r="K1007" s="208"/>
      <c r="L1007" s="182"/>
      <c r="M1007" s="182"/>
      <c r="N1007" s="182"/>
      <c r="O1007" s="182"/>
      <c r="P1007" s="182"/>
      <c r="Q1007" s="182"/>
      <c r="R1007" s="182"/>
      <c r="S1007" s="182"/>
      <c r="T1007" s="182"/>
      <c r="U1007" s="182"/>
      <c r="V1007" s="182"/>
      <c r="W1007" s="182"/>
      <c r="X1007" s="182"/>
      <c r="Y1007" s="194"/>
      <c r="Z1007" s="194"/>
      <c r="AA1007" s="194"/>
    </row>
    <row r="1008" spans="1:27" ht="15.6">
      <c r="A1008" s="182"/>
      <c r="B1008" s="182"/>
      <c r="C1008" s="182"/>
      <c r="D1008" s="182"/>
      <c r="E1008" s="182"/>
      <c r="F1008" s="208"/>
      <c r="G1008" s="182" t="str">
        <f ca="1">IFERROR(__xludf.DUMMYFUNCTION("""COMPUTED_VALUE"""),"DECK 10 CARVALHO EUROPEU NEVADO 20/6 X 300 X 4000MM")</f>
        <v>DECK 10 CARVALHO EUROPEU NEVADO 20/6 X 300 X 4000MM</v>
      </c>
      <c r="I1008" s="182"/>
      <c r="J1008" s="193"/>
      <c r="K1008" s="208"/>
      <c r="L1008" s="182"/>
      <c r="M1008" s="182"/>
      <c r="N1008" s="182"/>
      <c r="O1008" s="182"/>
      <c r="P1008" s="182"/>
      <c r="Q1008" s="182"/>
      <c r="R1008" s="182"/>
      <c r="S1008" s="182"/>
      <c r="T1008" s="182"/>
      <c r="U1008" s="182"/>
      <c r="V1008" s="182"/>
      <c r="W1008" s="182"/>
      <c r="X1008" s="182"/>
      <c r="Y1008" s="194"/>
      <c r="Z1008" s="194"/>
      <c r="AA1008" s="194"/>
    </row>
    <row r="1009" spans="1:27" ht="15.6">
      <c r="A1009" s="182"/>
      <c r="B1009" s="182"/>
      <c r="C1009" s="182"/>
      <c r="D1009" s="182"/>
      <c r="E1009" s="182"/>
      <c r="F1009" s="208"/>
      <c r="G1009" s="182" t="str">
        <f ca="1">IFERROR(__xludf.DUMMYFUNCTION("""COMPUTED_VALUE"""),"DECK 10 CARVALHO EUROPEU NEVADO 20/6 X 400 X 5000MM")</f>
        <v>DECK 10 CARVALHO EUROPEU NEVADO 20/6 X 400 X 5000MM</v>
      </c>
      <c r="I1009" s="182"/>
      <c r="J1009" s="193"/>
      <c r="K1009" s="208"/>
      <c r="L1009" s="182"/>
      <c r="M1009" s="182"/>
      <c r="N1009" s="182"/>
      <c r="O1009" s="182"/>
      <c r="P1009" s="182"/>
      <c r="Q1009" s="182"/>
      <c r="R1009" s="182"/>
      <c r="S1009" s="182"/>
      <c r="T1009" s="182"/>
      <c r="U1009" s="182"/>
      <c r="V1009" s="182"/>
      <c r="W1009" s="182"/>
      <c r="X1009" s="182"/>
      <c r="Y1009" s="194"/>
      <c r="Z1009" s="194"/>
      <c r="AA1009" s="194"/>
    </row>
    <row r="1010" spans="1:27" ht="15.6">
      <c r="A1010" s="182"/>
      <c r="B1010" s="182"/>
      <c r="C1010" s="182"/>
      <c r="D1010" s="182"/>
      <c r="E1010" s="182"/>
      <c r="F1010" s="208"/>
      <c r="G1010" s="182" t="str">
        <f ca="1">IFERROR(__xludf.DUMMYFUNCTION("""COMPUTED_VALUE"""),"DECK 10 CARVALHO EUROPEU CONCRETE GREY CHEVRON 15/3 X 1900X 740MM")</f>
        <v>DECK 10 CARVALHO EUROPEU CONCRETE GREY CHEVRON 15/3 X 1900X 740MM</v>
      </c>
      <c r="I1010" s="182"/>
      <c r="J1010" s="193"/>
      <c r="K1010" s="208"/>
      <c r="L1010" s="182"/>
      <c r="M1010" s="182"/>
      <c r="N1010" s="182"/>
      <c r="O1010" s="182"/>
      <c r="P1010" s="182"/>
      <c r="Q1010" s="182"/>
      <c r="R1010" s="182"/>
      <c r="S1010" s="182"/>
      <c r="T1010" s="182"/>
      <c r="U1010" s="182"/>
      <c r="V1010" s="182"/>
      <c r="W1010" s="182"/>
      <c r="X1010" s="182"/>
      <c r="Y1010" s="194"/>
      <c r="Z1010" s="194"/>
      <c r="AA1010" s="194"/>
    </row>
    <row r="1011" spans="1:27" ht="15.6">
      <c r="A1011" s="182"/>
      <c r="B1011" s="182"/>
      <c r="C1011" s="182"/>
      <c r="D1011" s="182"/>
      <c r="E1011" s="182"/>
      <c r="F1011" s="208"/>
      <c r="G1011" s="182" t="str">
        <f ca="1">IFERROR(__xludf.DUMMYFUNCTION("""COMPUTED_VALUE"""),"DECK 10 CARVALHO EUROPEU CONCRETE GREY 15/3 X 125 X 1200MM")</f>
        <v>DECK 10 CARVALHO EUROPEU CONCRETE GREY 15/3 X 125 X 1200MM</v>
      </c>
      <c r="I1011" s="182"/>
      <c r="J1011" s="193"/>
      <c r="K1011" s="208"/>
      <c r="L1011" s="182"/>
      <c r="M1011" s="182"/>
      <c r="N1011" s="182"/>
      <c r="O1011" s="182"/>
      <c r="P1011" s="182"/>
      <c r="Q1011" s="182"/>
      <c r="R1011" s="182"/>
      <c r="S1011" s="182"/>
      <c r="T1011" s="182"/>
      <c r="U1011" s="182"/>
      <c r="V1011" s="182"/>
      <c r="W1011" s="182"/>
      <c r="X1011" s="182"/>
      <c r="Y1011" s="194"/>
      <c r="Z1011" s="194"/>
      <c r="AA1011" s="194"/>
    </row>
    <row r="1012" spans="1:27" ht="15.6">
      <c r="A1012" s="182"/>
      <c r="B1012" s="182"/>
      <c r="C1012" s="182"/>
      <c r="D1012" s="182"/>
      <c r="E1012" s="182"/>
      <c r="F1012" s="208"/>
      <c r="G1012" s="182" t="str">
        <f ca="1">IFERROR(__xludf.DUMMYFUNCTION("""COMPUTED_VALUE"""),"DECK 10 CARVALHO EUROPEU CONCRETE GREY 15/3 X 190 X 1900MM")</f>
        <v>DECK 10 CARVALHO EUROPEU CONCRETE GREY 15/3 X 190 X 1900MM</v>
      </c>
      <c r="I1012" s="182"/>
      <c r="J1012" s="193"/>
      <c r="K1012" s="208"/>
      <c r="L1012" s="182"/>
      <c r="M1012" s="182"/>
      <c r="N1012" s="182"/>
      <c r="O1012" s="182"/>
      <c r="P1012" s="182"/>
      <c r="Q1012" s="182"/>
      <c r="R1012" s="182"/>
      <c r="S1012" s="182"/>
      <c r="T1012" s="182"/>
      <c r="U1012" s="182"/>
      <c r="V1012" s="182"/>
      <c r="W1012" s="182"/>
      <c r="X1012" s="182"/>
      <c r="Y1012" s="194"/>
      <c r="Z1012" s="194"/>
      <c r="AA1012" s="194"/>
    </row>
    <row r="1013" spans="1:27" ht="15.6">
      <c r="A1013" s="182"/>
      <c r="B1013" s="182"/>
      <c r="C1013" s="182"/>
      <c r="D1013" s="182"/>
      <c r="E1013" s="182"/>
      <c r="F1013" s="208"/>
      <c r="G1013" s="182" t="str">
        <f ca="1">IFERROR(__xludf.DUMMYFUNCTION("""COMPUTED_VALUE"""),"DECK 10 CARVALHO EUROPEU CONCRETE GREY 20/6 X 300 X 4000MM")</f>
        <v>DECK 10 CARVALHO EUROPEU CONCRETE GREY 20/6 X 300 X 4000MM</v>
      </c>
      <c r="I1013" s="182"/>
      <c r="J1013" s="193"/>
      <c r="K1013" s="208"/>
      <c r="L1013" s="182"/>
      <c r="M1013" s="182"/>
      <c r="N1013" s="182"/>
      <c r="O1013" s="182"/>
      <c r="P1013" s="182"/>
      <c r="Q1013" s="182"/>
      <c r="R1013" s="182"/>
      <c r="S1013" s="182"/>
      <c r="T1013" s="182"/>
      <c r="U1013" s="182"/>
      <c r="V1013" s="182"/>
      <c r="W1013" s="182"/>
      <c r="X1013" s="182"/>
      <c r="Y1013" s="194"/>
      <c r="Z1013" s="194"/>
      <c r="AA1013" s="194"/>
    </row>
    <row r="1014" spans="1:27" ht="15.6">
      <c r="A1014" s="182"/>
      <c r="B1014" s="182"/>
      <c r="C1014" s="182"/>
      <c r="D1014" s="182"/>
      <c r="E1014" s="182"/>
      <c r="F1014" s="208"/>
      <c r="G1014" s="182" t="str">
        <f ca="1">IFERROR(__xludf.DUMMYFUNCTION("""COMPUTED_VALUE"""),"DECK 10 CARVALHO EUROPEU CONCRETE GREY 20/6 X 400 X 5000MM")</f>
        <v>DECK 10 CARVALHO EUROPEU CONCRETE GREY 20/6 X 400 X 5000MM</v>
      </c>
      <c r="I1014" s="182"/>
      <c r="J1014" s="193"/>
      <c r="K1014" s="208"/>
      <c r="L1014" s="182"/>
      <c r="M1014" s="182"/>
      <c r="N1014" s="182"/>
      <c r="O1014" s="182"/>
      <c r="P1014" s="182"/>
      <c r="Q1014" s="182"/>
      <c r="R1014" s="182"/>
      <c r="S1014" s="182"/>
      <c r="T1014" s="182"/>
      <c r="U1014" s="182"/>
      <c r="V1014" s="182"/>
      <c r="W1014" s="182"/>
      <c r="X1014" s="182"/>
      <c r="Y1014" s="194"/>
      <c r="Z1014" s="194"/>
      <c r="AA1014" s="194"/>
    </row>
    <row r="1015" spans="1:27" ht="15.6">
      <c r="A1015" s="182"/>
      <c r="B1015" s="182"/>
      <c r="C1015" s="182"/>
      <c r="D1015" s="182"/>
      <c r="E1015" s="182"/>
      <c r="F1015" s="208"/>
      <c r="G1015" s="182" t="str">
        <f ca="1">IFERROR(__xludf.DUMMYFUNCTION("""COMPUTED_VALUE"""),"DECK 10 CARVALHO EUROPEU ITALY BROWN CHEVRON 15/3 X 1900X 740MM")</f>
        <v>DECK 10 CARVALHO EUROPEU ITALY BROWN CHEVRON 15/3 X 1900X 740MM</v>
      </c>
      <c r="I1015" s="182"/>
      <c r="J1015" s="193"/>
      <c r="K1015" s="208"/>
      <c r="L1015" s="182"/>
      <c r="M1015" s="182"/>
      <c r="N1015" s="182"/>
      <c r="O1015" s="182"/>
      <c r="P1015" s="182"/>
      <c r="Q1015" s="182"/>
      <c r="R1015" s="182"/>
      <c r="S1015" s="182"/>
      <c r="T1015" s="182"/>
      <c r="U1015" s="182"/>
      <c r="V1015" s="182"/>
      <c r="W1015" s="182"/>
      <c r="X1015" s="182"/>
      <c r="Y1015" s="194"/>
      <c r="Z1015" s="194"/>
      <c r="AA1015" s="194"/>
    </row>
    <row r="1016" spans="1:27" ht="15.6">
      <c r="A1016" s="182"/>
      <c r="B1016" s="182"/>
      <c r="C1016" s="182"/>
      <c r="D1016" s="182"/>
      <c r="E1016" s="182"/>
      <c r="F1016" s="208"/>
      <c r="G1016" s="182" t="str">
        <f ca="1">IFERROR(__xludf.DUMMYFUNCTION("""COMPUTED_VALUE"""),"DECK 10 CARVALHO EUROPEU ITALY BROWN 15/3 X 125 X 1200MM")</f>
        <v>DECK 10 CARVALHO EUROPEU ITALY BROWN 15/3 X 125 X 1200MM</v>
      </c>
      <c r="I1016" s="182"/>
      <c r="J1016" s="193"/>
      <c r="K1016" s="208"/>
      <c r="L1016" s="182"/>
      <c r="M1016" s="182"/>
      <c r="N1016" s="182"/>
      <c r="O1016" s="182"/>
      <c r="P1016" s="182"/>
      <c r="Q1016" s="182"/>
      <c r="R1016" s="182"/>
      <c r="S1016" s="182"/>
      <c r="T1016" s="182"/>
      <c r="U1016" s="182"/>
      <c r="V1016" s="182"/>
      <c r="W1016" s="182"/>
      <c r="X1016" s="182"/>
      <c r="Y1016" s="194"/>
      <c r="Z1016" s="194"/>
      <c r="AA1016" s="194"/>
    </row>
    <row r="1017" spans="1:27" ht="15.6">
      <c r="A1017" s="182"/>
      <c r="B1017" s="182"/>
      <c r="C1017" s="182"/>
      <c r="D1017" s="182"/>
      <c r="E1017" s="182"/>
      <c r="F1017" s="208"/>
      <c r="G1017" s="182" t="str">
        <f ca="1">IFERROR(__xludf.DUMMYFUNCTION("""COMPUTED_VALUE"""),"DECK 10 CARVALHO EUROPEU ITALY BROWN 15/3 X 190 X 1900MM")</f>
        <v>DECK 10 CARVALHO EUROPEU ITALY BROWN 15/3 X 190 X 1900MM</v>
      </c>
      <c r="I1017" s="182"/>
      <c r="J1017" s="193"/>
      <c r="K1017" s="208"/>
      <c r="L1017" s="182"/>
      <c r="M1017" s="182"/>
      <c r="N1017" s="182"/>
      <c r="O1017" s="182"/>
      <c r="P1017" s="182"/>
      <c r="Q1017" s="182"/>
      <c r="R1017" s="182"/>
      <c r="S1017" s="182"/>
      <c r="T1017" s="182"/>
      <c r="U1017" s="182"/>
      <c r="V1017" s="182"/>
      <c r="W1017" s="182"/>
      <c r="X1017" s="182"/>
      <c r="Y1017" s="194"/>
      <c r="Z1017" s="194"/>
      <c r="AA1017" s="194"/>
    </row>
    <row r="1018" spans="1:27" ht="17.399999999999999">
      <c r="A1018" s="222"/>
      <c r="B1018" s="164"/>
      <c r="C1018" s="194"/>
      <c r="D1018" s="161"/>
      <c r="E1018" s="194"/>
      <c r="F1018" s="198"/>
      <c r="G1018" s="194" t="str">
        <f ca="1">IFERROR(__xludf.DUMMYFUNCTION("""COMPUTED_VALUE"""),"DECK 10 CARVALHO EUROPEU ITALY BROWN 20/6 X 300 X 4000MM")</f>
        <v>DECK 10 CARVALHO EUROPEU ITALY BROWN 20/6 X 300 X 4000MM</v>
      </c>
      <c r="I1018" s="182"/>
      <c r="J1018" s="184"/>
      <c r="K1018" s="198"/>
      <c r="L1018" s="194"/>
      <c r="M1018" s="194"/>
      <c r="N1018" s="194"/>
      <c r="O1018" s="194"/>
      <c r="P1018" s="194"/>
      <c r="Q1018" s="194"/>
      <c r="R1018" s="194"/>
      <c r="S1018" s="194"/>
      <c r="T1018" s="194"/>
      <c r="U1018" s="194"/>
      <c r="V1018" s="194"/>
      <c r="W1018" s="194"/>
      <c r="X1018" s="194"/>
      <c r="Y1018" s="194"/>
      <c r="Z1018" s="194"/>
      <c r="AA1018" s="194"/>
    </row>
    <row r="1019" spans="1:27" ht="17.399999999999999">
      <c r="A1019" s="222"/>
      <c r="B1019" s="164"/>
      <c r="C1019" s="194"/>
      <c r="D1019" s="161"/>
      <c r="E1019" s="194"/>
      <c r="F1019" s="198"/>
      <c r="G1019" s="194" t="str">
        <f ca="1">IFERROR(__xludf.DUMMYFUNCTION("""COMPUTED_VALUE"""),"DECK 10 CARVALHO EUROPEU ITALY BROWN 20/6 X 400 X 5000MM")</f>
        <v>DECK 10 CARVALHO EUROPEU ITALY BROWN 20/6 X 400 X 5000MM</v>
      </c>
      <c r="I1019" s="182"/>
      <c r="J1019" s="184"/>
      <c r="K1019" s="198"/>
      <c r="L1019" s="194"/>
      <c r="M1019" s="194"/>
      <c r="N1019" s="194"/>
      <c r="O1019" s="194"/>
      <c r="P1019" s="194"/>
      <c r="Q1019" s="194"/>
      <c r="R1019" s="194"/>
      <c r="S1019" s="194"/>
      <c r="T1019" s="194"/>
      <c r="U1019" s="194"/>
      <c r="V1019" s="194"/>
      <c r="W1019" s="194"/>
      <c r="X1019" s="194"/>
      <c r="Y1019" s="194"/>
      <c r="Z1019" s="194"/>
      <c r="AA1019" s="194"/>
    </row>
    <row r="1020" spans="1:27" ht="17.399999999999999">
      <c r="A1020" s="222"/>
      <c r="B1020" s="164"/>
      <c r="C1020" s="194"/>
      <c r="D1020" s="161"/>
      <c r="E1020" s="194"/>
      <c r="F1020" s="198"/>
      <c r="G1020" s="194" t="str">
        <f ca="1">IFERROR(__xludf.DUMMYFUNCTION("""COMPUTED_VALUE"""),"DECK 10 CARVALHO EUROPEU ALL BLACK CHEVRON 15/3 X 1900X 740MM")</f>
        <v>DECK 10 CARVALHO EUROPEU ALL BLACK CHEVRON 15/3 X 1900X 740MM</v>
      </c>
      <c r="I1020" s="182"/>
      <c r="J1020" s="184"/>
      <c r="K1020" s="198"/>
      <c r="L1020" s="194"/>
      <c r="M1020" s="194"/>
      <c r="N1020" s="194"/>
      <c r="O1020" s="194"/>
      <c r="P1020" s="194"/>
      <c r="Q1020" s="194"/>
      <c r="R1020" s="194"/>
      <c r="S1020" s="194"/>
      <c r="T1020" s="194"/>
      <c r="U1020" s="194"/>
      <c r="V1020" s="194"/>
      <c r="W1020" s="194"/>
      <c r="X1020" s="194"/>
      <c r="Y1020" s="194"/>
      <c r="Z1020" s="194"/>
      <c r="AA1020" s="194"/>
    </row>
    <row r="1021" spans="1:27" ht="17.399999999999999">
      <c r="A1021" s="222"/>
      <c r="B1021" s="164"/>
      <c r="C1021" s="194"/>
      <c r="D1021" s="161"/>
      <c r="E1021" s="194"/>
      <c r="F1021" s="198"/>
      <c r="G1021" s="194" t="str">
        <f ca="1">IFERROR(__xludf.DUMMYFUNCTION("""COMPUTED_VALUE"""),"DECK 10 CARVALHO EUROPEU ALL BLACK 15/3 X 125 X 1200MM")</f>
        <v>DECK 10 CARVALHO EUROPEU ALL BLACK 15/3 X 125 X 1200MM</v>
      </c>
      <c r="I1021" s="182"/>
      <c r="J1021" s="184"/>
      <c r="K1021" s="198"/>
      <c r="L1021" s="194"/>
      <c r="M1021" s="194"/>
      <c r="N1021" s="194"/>
      <c r="O1021" s="194"/>
      <c r="P1021" s="194"/>
      <c r="Q1021" s="194"/>
      <c r="R1021" s="194"/>
      <c r="S1021" s="194"/>
      <c r="T1021" s="194"/>
      <c r="U1021" s="194"/>
      <c r="V1021" s="194"/>
      <c r="W1021" s="194"/>
      <c r="X1021" s="194"/>
      <c r="Y1021" s="194"/>
      <c r="Z1021" s="194"/>
      <c r="AA1021" s="194"/>
    </row>
    <row r="1022" spans="1:27" ht="17.399999999999999">
      <c r="A1022" s="222"/>
      <c r="B1022" s="164"/>
      <c r="C1022" s="194"/>
      <c r="D1022" s="161"/>
      <c r="E1022" s="194"/>
      <c r="F1022" s="198"/>
      <c r="G1022" s="194" t="str">
        <f ca="1">IFERROR(__xludf.DUMMYFUNCTION("""COMPUTED_VALUE"""),"DECK 10 CARVALHO EUROPEU BLACK CHEVRON TG 15/3 X 125 X 775CM")</f>
        <v>DECK 10 CARVALHO EUROPEU BLACK CHEVRON TG 15/3 X 125 X 775CM</v>
      </c>
      <c r="I1022" s="182"/>
      <c r="J1022" s="184"/>
      <c r="K1022" s="198"/>
      <c r="L1022" s="194"/>
      <c r="M1022" s="194"/>
      <c r="N1022" s="194"/>
      <c r="O1022" s="194"/>
      <c r="P1022" s="194"/>
      <c r="Q1022" s="194"/>
      <c r="R1022" s="194"/>
      <c r="S1022" s="194"/>
      <c r="T1022" s="194"/>
      <c r="U1022" s="194"/>
      <c r="V1022" s="194"/>
      <c r="W1022" s="194"/>
      <c r="X1022" s="194"/>
      <c r="Y1022" s="194"/>
      <c r="Z1022" s="194"/>
      <c r="AA1022" s="194"/>
    </row>
    <row r="1023" spans="1:27" ht="17.399999999999999">
      <c r="A1023" s="222"/>
      <c r="B1023" s="164"/>
      <c r="C1023" s="194"/>
      <c r="D1023" s="161"/>
      <c r="E1023" s="194"/>
      <c r="F1023" s="198"/>
      <c r="G1023" s="194" t="str">
        <f ca="1">IFERROR(__xludf.DUMMYFUNCTION("""COMPUTED_VALUE"""),"DECK 10 CARVALHO EUROPEU ALL BLACK 15/3 X 190 X 1900MM")</f>
        <v>DECK 10 CARVALHO EUROPEU ALL BLACK 15/3 X 190 X 1900MM</v>
      </c>
      <c r="I1023" s="182"/>
      <c r="J1023" s="184"/>
      <c r="K1023" s="198"/>
      <c r="L1023" s="194"/>
      <c r="M1023" s="194"/>
      <c r="N1023" s="194"/>
      <c r="O1023" s="194"/>
      <c r="P1023" s="194"/>
      <c r="Q1023" s="194"/>
      <c r="R1023" s="194"/>
      <c r="S1023" s="194"/>
      <c r="T1023" s="194"/>
      <c r="U1023" s="194"/>
      <c r="V1023" s="194"/>
      <c r="W1023" s="194"/>
      <c r="X1023" s="194"/>
      <c r="Y1023" s="194"/>
      <c r="Z1023" s="194"/>
      <c r="AA1023" s="194"/>
    </row>
    <row r="1024" spans="1:27" ht="17.399999999999999">
      <c r="A1024" s="222"/>
      <c r="B1024" s="164"/>
      <c r="C1024" s="194"/>
      <c r="D1024" s="161"/>
      <c r="E1024" s="194"/>
      <c r="F1024" s="198"/>
      <c r="G1024" s="194" t="str">
        <f ca="1">IFERROR(__xludf.DUMMYFUNCTION("""COMPUTED_VALUE"""),"DECK 10 CARVALHO EUROPEU ALL BLACK 20/6 X 300 X 4000MM")</f>
        <v>DECK 10 CARVALHO EUROPEU ALL BLACK 20/6 X 300 X 4000MM</v>
      </c>
      <c r="I1024" s="182"/>
      <c r="J1024" s="184"/>
      <c r="K1024" s="198"/>
      <c r="L1024" s="194"/>
      <c r="M1024" s="194"/>
      <c r="N1024" s="194"/>
      <c r="O1024" s="194"/>
      <c r="P1024" s="194"/>
      <c r="Q1024" s="194"/>
      <c r="R1024" s="194"/>
      <c r="S1024" s="194"/>
      <c r="T1024" s="194"/>
      <c r="U1024" s="194"/>
      <c r="V1024" s="194"/>
      <c r="W1024" s="194"/>
      <c r="X1024" s="194"/>
      <c r="Y1024" s="194"/>
      <c r="Z1024" s="194"/>
      <c r="AA1024" s="194"/>
    </row>
    <row r="1025" spans="1:27" ht="17.399999999999999">
      <c r="A1025" s="222"/>
      <c r="B1025" s="164"/>
      <c r="C1025" s="194"/>
      <c r="D1025" s="161"/>
      <c r="E1025" s="194"/>
      <c r="F1025" s="198"/>
      <c r="G1025" s="194" t="str">
        <f ca="1">IFERROR(__xludf.DUMMYFUNCTION("""COMPUTED_VALUE"""),"DECK 10 CARVALHO EUROPEU ALL BLACK 20/6 X 400 X 5000MM")</f>
        <v>DECK 10 CARVALHO EUROPEU ALL BLACK 20/6 X 400 X 5000MM</v>
      </c>
      <c r="I1025" s="182"/>
      <c r="J1025" s="184"/>
      <c r="K1025" s="198"/>
      <c r="L1025" s="194"/>
      <c r="M1025" s="194"/>
      <c r="N1025" s="194"/>
      <c r="O1025" s="194"/>
      <c r="P1025" s="194"/>
      <c r="Q1025" s="194"/>
      <c r="R1025" s="194"/>
      <c r="S1025" s="194"/>
      <c r="T1025" s="194"/>
      <c r="U1025" s="194"/>
      <c r="V1025" s="194"/>
      <c r="W1025" s="194"/>
      <c r="X1025" s="194"/>
      <c r="Y1025" s="194"/>
      <c r="Z1025" s="194"/>
      <c r="AA1025" s="194"/>
    </row>
    <row r="1026" spans="1:27" ht="17.399999999999999">
      <c r="A1026" s="222"/>
      <c r="B1026" s="164"/>
      <c r="C1026" s="194"/>
      <c r="D1026" s="161"/>
      <c r="E1026" s="194"/>
      <c r="F1026" s="198"/>
      <c r="G1026" s="194" t="str">
        <f ca="1">IFERROR(__xludf.DUMMYFUNCTION("""COMPUTED_VALUE"""),"DECK 10 CARVALHO EUROPEU URBAN GREY CHEVRON 15/3 X 1900X 740MM")</f>
        <v>DECK 10 CARVALHO EUROPEU URBAN GREY CHEVRON 15/3 X 1900X 740MM</v>
      </c>
      <c r="I1026" s="182"/>
      <c r="J1026" s="184"/>
      <c r="K1026" s="198"/>
      <c r="L1026" s="194"/>
      <c r="M1026" s="194"/>
      <c r="N1026" s="194"/>
      <c r="O1026" s="194"/>
      <c r="P1026" s="194"/>
      <c r="Q1026" s="194"/>
      <c r="R1026" s="194"/>
      <c r="S1026" s="194"/>
      <c r="T1026" s="194"/>
      <c r="U1026" s="194"/>
      <c r="V1026" s="194"/>
      <c r="W1026" s="194"/>
      <c r="X1026" s="194"/>
      <c r="Y1026" s="194"/>
      <c r="Z1026" s="194"/>
      <c r="AA1026" s="194"/>
    </row>
    <row r="1027" spans="1:27" ht="17.399999999999999">
      <c r="A1027" s="222"/>
      <c r="B1027" s="164"/>
      <c r="C1027" s="194"/>
      <c r="D1027" s="161"/>
      <c r="E1027" s="194"/>
      <c r="F1027" s="198"/>
      <c r="G1027" s="194" t="str">
        <f ca="1">IFERROR(__xludf.DUMMYFUNCTION("""COMPUTED_VALUE"""),"DECK 10 CARVALHO EUROPEU URBAN GREY 15/3 X 125 X 1200MM")</f>
        <v>DECK 10 CARVALHO EUROPEU URBAN GREY 15/3 X 125 X 1200MM</v>
      </c>
      <c r="I1027" s="182"/>
      <c r="J1027" s="184"/>
      <c r="K1027" s="198"/>
      <c r="L1027" s="194"/>
      <c r="M1027" s="194"/>
      <c r="N1027" s="194"/>
      <c r="O1027" s="194"/>
      <c r="P1027" s="194"/>
      <c r="Q1027" s="194"/>
      <c r="R1027" s="194"/>
      <c r="S1027" s="194"/>
      <c r="T1027" s="194"/>
      <c r="U1027" s="194"/>
      <c r="V1027" s="194"/>
      <c r="W1027" s="194"/>
      <c r="X1027" s="194"/>
      <c r="Y1027" s="194"/>
      <c r="Z1027" s="194"/>
      <c r="AA1027" s="194"/>
    </row>
    <row r="1028" spans="1:27" ht="17.399999999999999">
      <c r="A1028" s="222"/>
      <c r="B1028" s="164"/>
      <c r="C1028" s="194"/>
      <c r="D1028" s="161"/>
      <c r="E1028" s="194"/>
      <c r="F1028" s="198"/>
      <c r="G1028" s="194" t="str">
        <f ca="1">IFERROR(__xludf.DUMMYFUNCTION("""COMPUTED_VALUE"""),"DECK 10 CARVALHO EUROPEU URBAN GREY 15/3 X 190 X 1900MM")</f>
        <v>DECK 10 CARVALHO EUROPEU URBAN GREY 15/3 X 190 X 1900MM</v>
      </c>
      <c r="I1028" s="182"/>
      <c r="J1028" s="184"/>
      <c r="K1028" s="198"/>
      <c r="L1028" s="194"/>
      <c r="M1028" s="194"/>
      <c r="N1028" s="194"/>
      <c r="O1028" s="194"/>
      <c r="P1028" s="194"/>
      <c r="Q1028" s="194"/>
      <c r="R1028" s="194"/>
      <c r="S1028" s="194"/>
      <c r="T1028" s="194"/>
      <c r="U1028" s="194"/>
      <c r="V1028" s="194"/>
      <c r="W1028" s="194"/>
      <c r="X1028" s="194"/>
      <c r="Y1028" s="194"/>
      <c r="Z1028" s="194"/>
      <c r="AA1028" s="194"/>
    </row>
    <row r="1029" spans="1:27" ht="17.399999999999999">
      <c r="A1029" s="222"/>
      <c r="B1029" s="164"/>
      <c r="C1029" s="194"/>
      <c r="D1029" s="161"/>
      <c r="E1029" s="194"/>
      <c r="F1029" s="198"/>
      <c r="G1029" s="194" t="str">
        <f ca="1">IFERROR(__xludf.DUMMYFUNCTION("""COMPUTED_VALUE"""),"DECK 10 CARVALHO EUROPEU URBAN GREY 20/6 X 300 X 4000MM")</f>
        <v>DECK 10 CARVALHO EUROPEU URBAN GREY 20/6 X 300 X 4000MM</v>
      </c>
      <c r="I1029" s="182"/>
      <c r="J1029" s="184"/>
      <c r="K1029" s="198"/>
      <c r="L1029" s="194"/>
      <c r="M1029" s="194"/>
      <c r="N1029" s="194"/>
      <c r="O1029" s="194"/>
      <c r="P1029" s="194"/>
      <c r="Q1029" s="194"/>
      <c r="R1029" s="194"/>
      <c r="S1029" s="194"/>
      <c r="T1029" s="194"/>
      <c r="U1029" s="194"/>
      <c r="V1029" s="194"/>
      <c r="W1029" s="194"/>
      <c r="X1029" s="194"/>
      <c r="Y1029" s="194"/>
      <c r="Z1029" s="194"/>
      <c r="AA1029" s="194"/>
    </row>
    <row r="1030" spans="1:27" ht="17.399999999999999">
      <c r="A1030" s="222"/>
      <c r="B1030" s="164"/>
      <c r="C1030" s="194"/>
      <c r="D1030" s="161"/>
      <c r="E1030" s="194"/>
      <c r="F1030" s="198"/>
      <c r="G1030" s="194" t="str">
        <f ca="1">IFERROR(__xludf.DUMMYFUNCTION("""COMPUTED_VALUE"""),"DECK 10 CARVALHO EUROPEU URBAN GREY 20/6 X 400 X 5000MM")</f>
        <v>DECK 10 CARVALHO EUROPEU URBAN GREY 20/6 X 400 X 5000MM</v>
      </c>
      <c r="I1030" s="182"/>
      <c r="J1030" s="184"/>
      <c r="K1030" s="198"/>
      <c r="L1030" s="194"/>
      <c r="M1030" s="194"/>
      <c r="N1030" s="194"/>
      <c r="O1030" s="194"/>
      <c r="P1030" s="194"/>
      <c r="Q1030" s="194"/>
      <c r="R1030" s="194"/>
      <c r="S1030" s="194"/>
      <c r="T1030" s="194"/>
      <c r="U1030" s="194"/>
      <c r="V1030" s="194"/>
      <c r="W1030" s="194"/>
      <c r="X1030" s="194"/>
      <c r="Y1030" s="194"/>
      <c r="Z1030" s="194"/>
      <c r="AA1030" s="194"/>
    </row>
    <row r="1031" spans="1:27" ht="17.399999999999999">
      <c r="A1031" s="222"/>
      <c r="B1031" s="164"/>
      <c r="C1031" s="194"/>
      <c r="D1031" s="161"/>
      <c r="E1031" s="194"/>
      <c r="F1031" s="198"/>
      <c r="G1031" s="194" t="str">
        <f ca="1">IFERROR(__xludf.DUMMYFUNCTION("""COMPUTED_VALUE"""),"DECK 10 CARVALHO EUROPEU CARAMEL CHEVRON 15/3 X 1900X 740MM")</f>
        <v>DECK 10 CARVALHO EUROPEU CARAMEL CHEVRON 15/3 X 1900X 740MM</v>
      </c>
      <c r="I1031" s="182"/>
      <c r="J1031" s="184"/>
      <c r="K1031" s="198"/>
      <c r="L1031" s="194"/>
      <c r="M1031" s="194"/>
      <c r="N1031" s="194"/>
      <c r="O1031" s="194"/>
      <c r="P1031" s="194"/>
      <c r="Q1031" s="194"/>
      <c r="R1031" s="194"/>
      <c r="S1031" s="194"/>
      <c r="T1031" s="194"/>
      <c r="U1031" s="194"/>
      <c r="V1031" s="194"/>
      <c r="W1031" s="194"/>
      <c r="X1031" s="194"/>
      <c r="Y1031" s="194"/>
      <c r="Z1031" s="194"/>
      <c r="AA1031" s="194"/>
    </row>
    <row r="1032" spans="1:27" ht="17.399999999999999">
      <c r="A1032" s="222"/>
      <c r="B1032" s="164"/>
      <c r="C1032" s="194"/>
      <c r="D1032" s="161"/>
      <c r="E1032" s="194"/>
      <c r="F1032" s="198"/>
      <c r="G1032" s="194" t="str">
        <f ca="1">IFERROR(__xludf.DUMMYFUNCTION("""COMPUTED_VALUE"""),"DECK 10 CARVALHO EUROPEU CARAMEL 15/3 X 125 X 1200MM")</f>
        <v>DECK 10 CARVALHO EUROPEU CARAMEL 15/3 X 125 X 1200MM</v>
      </c>
      <c r="I1032" s="182"/>
      <c r="J1032" s="184"/>
      <c r="K1032" s="198"/>
      <c r="L1032" s="194"/>
      <c r="M1032" s="194"/>
      <c r="N1032" s="194"/>
      <c r="O1032" s="194"/>
      <c r="P1032" s="194"/>
      <c r="Q1032" s="194"/>
      <c r="R1032" s="194"/>
      <c r="S1032" s="194"/>
      <c r="T1032" s="194"/>
      <c r="U1032" s="194"/>
      <c r="V1032" s="194"/>
      <c r="W1032" s="194"/>
      <c r="X1032" s="194"/>
      <c r="Y1032" s="194"/>
      <c r="Z1032" s="194"/>
      <c r="AA1032" s="194"/>
    </row>
    <row r="1033" spans="1:27" ht="17.399999999999999">
      <c r="A1033" s="222"/>
      <c r="B1033" s="164"/>
      <c r="C1033" s="194"/>
      <c r="D1033" s="161"/>
      <c r="E1033" s="194"/>
      <c r="F1033" s="198"/>
      <c r="G1033" s="194" t="str">
        <f ca="1">IFERROR(__xludf.DUMMYFUNCTION("""COMPUTED_VALUE"""),"DECK 10 CARVALHO EUROPEU CARAMEL 15/3 X 190 X 1900MM")</f>
        <v>DECK 10 CARVALHO EUROPEU CARAMEL 15/3 X 190 X 1900MM</v>
      </c>
      <c r="I1033" s="182"/>
      <c r="J1033" s="184"/>
      <c r="K1033" s="198"/>
      <c r="L1033" s="194"/>
      <c r="M1033" s="194"/>
      <c r="N1033" s="194"/>
      <c r="O1033" s="194"/>
      <c r="P1033" s="194"/>
      <c r="Q1033" s="194"/>
      <c r="R1033" s="194"/>
      <c r="S1033" s="194"/>
      <c r="T1033" s="194"/>
      <c r="U1033" s="194"/>
      <c r="V1033" s="194"/>
      <c r="W1033" s="194"/>
      <c r="X1033" s="194"/>
      <c r="Y1033" s="194"/>
      <c r="Z1033" s="194"/>
      <c r="AA1033" s="194"/>
    </row>
    <row r="1034" spans="1:27" ht="17.399999999999999">
      <c r="A1034" s="222"/>
      <c r="B1034" s="164"/>
      <c r="C1034" s="194"/>
      <c r="D1034" s="161"/>
      <c r="E1034" s="194"/>
      <c r="F1034" s="198"/>
      <c r="G1034" s="194" t="str">
        <f ca="1">IFERROR(__xludf.DUMMYFUNCTION("""COMPUTED_VALUE"""),"DECK 10 CARVALHO EUROPEU CARAMEL 20/6 X 300 X 4000MM")</f>
        <v>DECK 10 CARVALHO EUROPEU CARAMEL 20/6 X 300 X 4000MM</v>
      </c>
      <c r="I1034" s="182"/>
      <c r="J1034" s="184"/>
      <c r="K1034" s="198"/>
      <c r="L1034" s="194"/>
      <c r="M1034" s="194"/>
      <c r="N1034" s="194"/>
      <c r="O1034" s="194"/>
      <c r="P1034" s="194"/>
      <c r="Q1034" s="194"/>
      <c r="R1034" s="194"/>
      <c r="S1034" s="194"/>
      <c r="T1034" s="194"/>
      <c r="U1034" s="194"/>
      <c r="V1034" s="194"/>
      <c r="W1034" s="194"/>
      <c r="X1034" s="194"/>
      <c r="Y1034" s="194"/>
      <c r="Z1034" s="194"/>
      <c r="AA1034" s="194"/>
    </row>
    <row r="1035" spans="1:27" ht="17.399999999999999">
      <c r="A1035" s="222"/>
      <c r="B1035" s="164"/>
      <c r="C1035" s="194"/>
      <c r="D1035" s="161"/>
      <c r="E1035" s="194"/>
      <c r="F1035" s="198"/>
      <c r="G1035" s="194" t="str">
        <f ca="1">IFERROR(__xludf.DUMMYFUNCTION("""COMPUTED_VALUE"""),"DECK 10 CARVALHO EUROPEU CARAMEL 20/6 X 400 X 5000MM")</f>
        <v>DECK 10 CARVALHO EUROPEU CARAMEL 20/6 X 400 X 5000MM</v>
      </c>
      <c r="I1035" s="182"/>
      <c r="J1035" s="184"/>
      <c r="K1035" s="198"/>
      <c r="L1035" s="194"/>
      <c r="M1035" s="194"/>
      <c r="N1035" s="194"/>
      <c r="O1035" s="194"/>
      <c r="P1035" s="194"/>
      <c r="Q1035" s="194"/>
      <c r="R1035" s="194"/>
      <c r="S1035" s="194"/>
      <c r="T1035" s="194"/>
      <c r="U1035" s="194"/>
      <c r="V1035" s="194"/>
      <c r="W1035" s="194"/>
      <c r="X1035" s="194"/>
      <c r="Y1035" s="194"/>
      <c r="Z1035" s="194"/>
      <c r="AA1035" s="194"/>
    </row>
    <row r="1036" spans="1:27" ht="17.399999999999999">
      <c r="A1036" s="222"/>
      <c r="B1036" s="164"/>
      <c r="C1036" s="194"/>
      <c r="D1036" s="161"/>
      <c r="E1036" s="194"/>
      <c r="F1036" s="198"/>
      <c r="G1036" s="194" t="str">
        <f ca="1">IFERROR(__xludf.DUMMYFUNCTION("""COMPUTED_VALUE"""),"DECK 10 CARVALHO EUROPEU CHEMICAL CHEVRON TG 15/3*190*740MM")</f>
        <v>DECK 10 CARVALHO EUROPEU CHEMICAL CHEVRON TG 15/3*190*740MM</v>
      </c>
      <c r="I1036" s="182"/>
      <c r="J1036" s="184"/>
      <c r="K1036" s="198"/>
      <c r="L1036" s="194"/>
      <c r="M1036" s="194"/>
      <c r="N1036" s="194"/>
      <c r="O1036" s="194"/>
      <c r="P1036" s="194"/>
      <c r="Q1036" s="194"/>
      <c r="R1036" s="194"/>
      <c r="S1036" s="194"/>
      <c r="T1036" s="194"/>
      <c r="U1036" s="194"/>
      <c r="V1036" s="194"/>
      <c r="W1036" s="194"/>
      <c r="X1036" s="194"/>
      <c r="Y1036" s="194"/>
      <c r="Z1036" s="194"/>
      <c r="AA1036" s="194"/>
    </row>
    <row r="1037" spans="1:27" ht="17.399999999999999">
      <c r="A1037" s="222"/>
      <c r="B1037" s="164"/>
      <c r="C1037" s="194"/>
      <c r="D1037" s="161"/>
      <c r="E1037" s="194"/>
      <c r="F1037" s="198"/>
      <c r="G1037" s="194" t="str">
        <f ca="1">IFERROR(__xludf.DUMMYFUNCTION("""COMPUTED_VALUE"""),"DECK 10 CARVALHO EUROPEU WHITE RUSTIC 15/4*189*1860MM")</f>
        <v>DECK 10 CARVALHO EUROPEU WHITE RUSTIC 15/4*189*1860MM</v>
      </c>
      <c r="I1037" s="182"/>
      <c r="J1037" s="184"/>
      <c r="K1037" s="198"/>
      <c r="L1037" s="194"/>
      <c r="M1037" s="194"/>
      <c r="N1037" s="194"/>
      <c r="O1037" s="194"/>
      <c r="P1037" s="194"/>
      <c r="Q1037" s="194"/>
      <c r="R1037" s="194"/>
      <c r="S1037" s="194"/>
      <c r="T1037" s="194"/>
      <c r="U1037" s="194"/>
      <c r="V1037" s="194"/>
      <c r="W1037" s="194"/>
      <c r="X1037" s="194"/>
      <c r="Y1037" s="194"/>
      <c r="Z1037" s="194"/>
      <c r="AA1037" s="194"/>
    </row>
    <row r="1038" spans="1:27" ht="17.399999999999999">
      <c r="A1038" s="222"/>
      <c r="B1038" s="164"/>
      <c r="C1038" s="194"/>
      <c r="D1038" s="161"/>
      <c r="E1038" s="194"/>
      <c r="F1038" s="198"/>
      <c r="G1038" s="194" t="str">
        <f ca="1">IFERROR(__xludf.DUMMYFUNCTION("""COMPUTED_VALUE"""),"DECK 10 CARVALHO EUROPEU CUSTOMIZADO 14/3 X 12,7 X 186CM")</f>
        <v>DECK 10 CARVALHO EUROPEU CUSTOMIZADO 14/3 X 12,7 X 186CM</v>
      </c>
      <c r="I1038" s="182"/>
      <c r="J1038" s="184"/>
      <c r="K1038" s="198"/>
      <c r="L1038" s="194"/>
      <c r="M1038" s="194"/>
      <c r="N1038" s="194"/>
      <c r="O1038" s="194"/>
      <c r="P1038" s="194"/>
      <c r="Q1038" s="194"/>
      <c r="R1038" s="194"/>
      <c r="S1038" s="194"/>
      <c r="T1038" s="194"/>
      <c r="U1038" s="194"/>
      <c r="V1038" s="194"/>
      <c r="W1038" s="194"/>
      <c r="X1038" s="194"/>
      <c r="Y1038" s="194"/>
      <c r="Z1038" s="194"/>
      <c r="AA1038" s="194"/>
    </row>
    <row r="1039" spans="1:27" ht="17.399999999999999">
      <c r="A1039" s="222"/>
      <c r="B1039" s="164"/>
      <c r="C1039" s="194"/>
      <c r="D1039" s="161"/>
      <c r="E1039" s="194"/>
      <c r="F1039" s="198"/>
      <c r="G1039" s="194" t="str">
        <f ca="1">IFERROR(__xludf.DUMMYFUNCTION("""COMPUTED_VALUE"""),"DECK 10 CARVALHO EUROPEU CUSTOMIZADO 2.0 X 19 X 190CM (C2)")</f>
        <v>DECK 10 CARVALHO EUROPEU CUSTOMIZADO 2.0 X 19 X 190CM (C2)</v>
      </c>
      <c r="I1039" s="182"/>
      <c r="J1039" s="184"/>
      <c r="K1039" s="198"/>
      <c r="L1039" s="194"/>
      <c r="M1039" s="194"/>
      <c r="N1039" s="194"/>
      <c r="O1039" s="194"/>
      <c r="P1039" s="194"/>
      <c r="Q1039" s="194"/>
      <c r="R1039" s="194"/>
      <c r="S1039" s="194"/>
      <c r="T1039" s="194"/>
      <c r="U1039" s="194"/>
      <c r="V1039" s="194"/>
      <c r="W1039" s="194"/>
      <c r="X1039" s="194"/>
      <c r="Y1039" s="194"/>
      <c r="Z1039" s="194"/>
      <c r="AA1039" s="194"/>
    </row>
    <row r="1040" spans="1:27" ht="17.399999999999999">
      <c r="A1040" s="222"/>
      <c r="B1040" s="164"/>
      <c r="C1040" s="194"/>
      <c r="D1040" s="161"/>
      <c r="E1040" s="194"/>
      <c r="F1040" s="198"/>
      <c r="G1040" s="194" t="str">
        <f ca="1">IFERROR(__xludf.DUMMYFUNCTION("""COMPUTED_VALUE"""),"DECK 10 CARVALHO EUROPEU NATURAL CHEVRON TG 1.5/3 X 9X 51CM")</f>
        <v>DECK 10 CARVALHO EUROPEU NATURAL CHEVRON TG 1.5/3 X 9X 51CM</v>
      </c>
      <c r="I1040" s="182"/>
      <c r="J1040" s="184"/>
      <c r="K1040" s="198"/>
      <c r="L1040" s="194"/>
      <c r="M1040" s="194"/>
      <c r="N1040" s="194"/>
      <c r="O1040" s="194"/>
      <c r="P1040" s="194"/>
      <c r="Q1040" s="194"/>
      <c r="R1040" s="194"/>
      <c r="S1040" s="194"/>
      <c r="T1040" s="194"/>
      <c r="U1040" s="194"/>
      <c r="V1040" s="194"/>
      <c r="W1040" s="194"/>
      <c r="X1040" s="194"/>
      <c r="Y1040" s="194"/>
      <c r="Z1040" s="194"/>
      <c r="AA1040" s="194"/>
    </row>
    <row r="1041" spans="1:27" ht="17.399999999999999">
      <c r="A1041" s="222"/>
      <c r="B1041" s="164"/>
      <c r="C1041" s="194"/>
      <c r="D1041" s="161"/>
      <c r="E1041" s="194"/>
      <c r="F1041" s="198"/>
      <c r="G1041" s="194" t="str">
        <f ca="1">IFERROR(__xludf.DUMMYFUNCTION("""COMPUTED_VALUE"""),"DECK 10 CARVALHO EUROPEU NATURAL CHEVRON TG 1.5/3 X 9X 51CM")</f>
        <v>DECK 10 CARVALHO EUROPEU NATURAL CHEVRON TG 1.5/3 X 9X 51CM</v>
      </c>
      <c r="I1041" s="182"/>
      <c r="J1041" s="184"/>
      <c r="K1041" s="198"/>
      <c r="L1041" s="194"/>
      <c r="M1041" s="194"/>
      <c r="N1041" s="194"/>
      <c r="O1041" s="194"/>
      <c r="P1041" s="194"/>
      <c r="Q1041" s="194"/>
      <c r="R1041" s="194"/>
      <c r="S1041" s="194"/>
      <c r="T1041" s="194"/>
      <c r="U1041" s="194"/>
      <c r="V1041" s="194"/>
      <c r="W1041" s="194"/>
      <c r="X1041" s="194"/>
      <c r="Y1041" s="194"/>
      <c r="Z1041" s="194"/>
      <c r="AA1041" s="194"/>
    </row>
    <row r="1042" spans="1:27" ht="17.399999999999999">
      <c r="A1042" s="222"/>
      <c r="B1042" s="164"/>
      <c r="C1042" s="194"/>
      <c r="D1042" s="161"/>
      <c r="E1042" s="194"/>
      <c r="F1042" s="198"/>
      <c r="G1042" s="194" t="str">
        <f ca="1">IFERROR(__xludf.DUMMYFUNCTION("""COMPUTED_VALUE"""),"DECK 10 CARVALHO EUROPEU NUDE CHEVRON 60.. TG 15/3 X 190 X 90CM")</f>
        <v>DECK 10 CARVALHO EUROPEU NUDE CHEVRON 60.. TG 15/3 X 190 X 90CM</v>
      </c>
      <c r="I1042" s="182"/>
      <c r="J1042" s="184"/>
      <c r="K1042" s="198"/>
      <c r="L1042" s="194"/>
      <c r="M1042" s="194"/>
      <c r="N1042" s="194"/>
      <c r="O1042" s="194"/>
      <c r="P1042" s="194"/>
      <c r="Q1042" s="194"/>
      <c r="R1042" s="194"/>
      <c r="S1042" s="194"/>
      <c r="T1042" s="194"/>
      <c r="U1042" s="194"/>
      <c r="V1042" s="194"/>
      <c r="W1042" s="194"/>
      <c r="X1042" s="194"/>
      <c r="Y1042" s="194"/>
      <c r="Z1042" s="194"/>
      <c r="AA1042" s="194"/>
    </row>
    <row r="1043" spans="1:27" ht="17.399999999999999">
      <c r="A1043" s="222"/>
      <c r="B1043" s="164"/>
      <c r="C1043" s="194"/>
      <c r="D1043" s="161"/>
      <c r="E1043" s="194"/>
      <c r="F1043" s="198"/>
      <c r="G1043" s="194" t="str">
        <f ca="1">IFERROR(__xludf.DUMMYFUNCTION("""COMPUTED_VALUE"""),"DECK 10 CARVALHO EUROPEU NUDE CHEVRON TG 1.5/3X 12.5X 63CM")</f>
        <v>DECK 10 CARVALHO EUROPEU NUDE CHEVRON TG 1.5/3X 12.5X 63CM</v>
      </c>
      <c r="I1043" s="182"/>
      <c r="J1043" s="184"/>
      <c r="K1043" s="198"/>
      <c r="L1043" s="194"/>
      <c r="M1043" s="194"/>
      <c r="N1043" s="194"/>
      <c r="O1043" s="194"/>
      <c r="P1043" s="194"/>
      <c r="Q1043" s="194"/>
      <c r="R1043" s="194"/>
      <c r="S1043" s="194"/>
      <c r="T1043" s="194"/>
      <c r="U1043" s="194"/>
      <c r="V1043" s="194"/>
      <c r="W1043" s="194"/>
      <c r="X1043" s="194"/>
      <c r="Y1043" s="194"/>
      <c r="Z1043" s="194"/>
      <c r="AA1043" s="194"/>
    </row>
    <row r="1044" spans="1:27" ht="17.399999999999999">
      <c r="A1044" s="222"/>
      <c r="B1044" s="164"/>
      <c r="C1044" s="194"/>
      <c r="D1044" s="161"/>
      <c r="E1044" s="194"/>
      <c r="F1044" s="198"/>
      <c r="G1044" s="194" t="str">
        <f ca="1">IFERROR(__xludf.DUMMYFUNCTION("""COMPUTED_VALUE"""),"DECK 10 WALNUT 15/3 X 125 X 910MM")</f>
        <v>DECK 10 WALNUT 15/3 X 125 X 910MM</v>
      </c>
      <c r="I1044" s="182" t="str">
        <f t="shared" ref="I1044:I1298" ca="1" si="6">IFERROR(INDEX($D$3:$D$2001,MATCH(TRUE,ISNUMBER(FIND($B$3:$B$2001,G1044)),0)),"")</f>
        <v/>
      </c>
      <c r="J1044" s="184"/>
      <c r="K1044" s="198"/>
      <c r="L1044" s="194"/>
      <c r="M1044" s="194"/>
      <c r="N1044" s="194"/>
      <c r="O1044" s="194"/>
      <c r="P1044" s="194"/>
      <c r="Q1044" s="194"/>
      <c r="R1044" s="194"/>
      <c r="S1044" s="194"/>
      <c r="T1044" s="194"/>
      <c r="U1044" s="194"/>
      <c r="V1044" s="194"/>
      <c r="W1044" s="194"/>
      <c r="X1044" s="194"/>
      <c r="Y1044" s="194"/>
      <c r="Z1044" s="194"/>
      <c r="AA1044" s="194"/>
    </row>
    <row r="1045" spans="1:27" ht="17.399999999999999">
      <c r="A1045" s="222"/>
      <c r="B1045" s="164"/>
      <c r="C1045" s="194"/>
      <c r="D1045" s="161"/>
      <c r="E1045" s="194"/>
      <c r="F1045" s="198"/>
      <c r="G1045" s="194" t="str">
        <f ca="1">IFERROR(__xludf.DUMMYFUNCTION("""COMPUTED_VALUE"""),"DECK 10 WALNUT 15/3 X 190 X 1900MM")</f>
        <v>DECK 10 WALNUT 15/3 X 190 X 1900MM</v>
      </c>
      <c r="H1045" s="192" t="s">
        <v>1132</v>
      </c>
      <c r="I1045" s="182" t="str">
        <f t="shared" ca="1" si="6"/>
        <v/>
      </c>
      <c r="J1045" s="184"/>
      <c r="K1045" s="198"/>
      <c r="L1045" s="194" t="s">
        <v>1132</v>
      </c>
      <c r="M1045" s="194"/>
      <c r="N1045" s="194"/>
      <c r="O1045" s="194"/>
      <c r="P1045" s="194"/>
      <c r="Q1045" s="194"/>
      <c r="R1045" s="194"/>
      <c r="S1045" s="194"/>
      <c r="T1045" s="194"/>
      <c r="U1045" s="194"/>
      <c r="V1045" s="194"/>
      <c r="W1045" s="194"/>
      <c r="X1045" s="194"/>
      <c r="Y1045" s="194"/>
      <c r="Z1045" s="194"/>
      <c r="AA1045" s="194"/>
    </row>
    <row r="1046" spans="1:27" ht="17.399999999999999">
      <c r="A1046" s="222"/>
      <c r="B1046" s="164"/>
      <c r="C1046" s="194"/>
      <c r="D1046" s="161"/>
      <c r="E1046" s="194"/>
      <c r="F1046" s="198"/>
      <c r="G1046" s="194" t="str">
        <f ca="1">IFERROR(__xludf.DUMMYFUNCTION("""COMPUTED_VALUE"""),"DECK 10 WALNUT 20/2 X 300 X 4000MM")</f>
        <v>DECK 10 WALNUT 20/2 X 300 X 4000MM</v>
      </c>
      <c r="H1046" s="192" t="s">
        <v>1133</v>
      </c>
      <c r="I1046" s="182" t="str">
        <f t="shared" ca="1" si="6"/>
        <v/>
      </c>
      <c r="J1046" s="184"/>
      <c r="K1046" s="198"/>
      <c r="L1046" s="194" t="s">
        <v>1133</v>
      </c>
      <c r="M1046" s="194"/>
      <c r="N1046" s="194"/>
      <c r="O1046" s="194"/>
      <c r="P1046" s="194"/>
      <c r="Q1046" s="194"/>
      <c r="R1046" s="194"/>
      <c r="S1046" s="194"/>
      <c r="T1046" s="194"/>
      <c r="U1046" s="194"/>
      <c r="V1046" s="194"/>
      <c r="W1046" s="194"/>
      <c r="X1046" s="194"/>
      <c r="Y1046" s="194"/>
      <c r="Z1046" s="194"/>
      <c r="AA1046" s="194"/>
    </row>
    <row r="1047" spans="1:27" ht="17.399999999999999">
      <c r="A1047" s="222"/>
      <c r="B1047" s="164"/>
      <c r="C1047" s="194"/>
      <c r="D1047" s="161"/>
      <c r="E1047" s="194"/>
      <c r="F1047" s="198"/>
      <c r="G1047" s="194" t="str">
        <f ca="1">IFERROR(__xludf.DUMMYFUNCTION("""COMPUTED_VALUE"""),"DECK 10 BAMBU ALTA DENS. CUST PREMIUM TG 1.5/4 X19X185CM")</f>
        <v>DECK 10 BAMBU ALTA DENS. CUST PREMIUM TG 1.5/4 X19X185CM</v>
      </c>
      <c r="H1047" s="192" t="s">
        <v>1134</v>
      </c>
      <c r="I1047" s="182" t="str">
        <f t="shared" ca="1" si="6"/>
        <v/>
      </c>
      <c r="J1047" s="184"/>
      <c r="K1047" s="198"/>
      <c r="L1047" s="194" t="s">
        <v>1134</v>
      </c>
      <c r="M1047" s="194"/>
      <c r="N1047" s="194"/>
      <c r="O1047" s="194"/>
      <c r="P1047" s="194"/>
      <c r="Q1047" s="194"/>
      <c r="R1047" s="194"/>
      <c r="S1047" s="194"/>
      <c r="T1047" s="194"/>
      <c r="U1047" s="194"/>
      <c r="V1047" s="194"/>
      <c r="W1047" s="194"/>
      <c r="X1047" s="194"/>
      <c r="Y1047" s="194"/>
      <c r="Z1047" s="194"/>
      <c r="AA1047" s="194"/>
    </row>
    <row r="1048" spans="1:27" ht="17.399999999999999">
      <c r="A1048" s="222"/>
      <c r="B1048" s="164"/>
      <c r="C1048" s="194"/>
      <c r="D1048" s="161"/>
      <c r="E1048" s="194"/>
      <c r="F1048" s="198"/>
      <c r="G1048" s="194" t="str">
        <f ca="1">IFERROR(__xludf.DUMMYFUNCTION("""COMPUTED_VALUE"""),"DECK 10 BAMBU CARAMEL ALTA DENSIDADE TG 1.5/4 X19X186CM")</f>
        <v>DECK 10 BAMBU CARAMEL ALTA DENSIDADE TG 1.5/4 X19X186CM</v>
      </c>
      <c r="H1048" s="192" t="s">
        <v>1135</v>
      </c>
      <c r="I1048" s="182" t="str">
        <f t="shared" ca="1" si="6"/>
        <v/>
      </c>
      <c r="J1048" s="184"/>
      <c r="K1048" s="198"/>
      <c r="L1048" s="194" t="s">
        <v>1135</v>
      </c>
      <c r="M1048" s="194"/>
      <c r="N1048" s="194"/>
      <c r="O1048" s="194"/>
      <c r="P1048" s="194"/>
      <c r="Q1048" s="194"/>
      <c r="R1048" s="194"/>
      <c r="S1048" s="194"/>
      <c r="T1048" s="194"/>
      <c r="U1048" s="194"/>
      <c r="V1048" s="194"/>
      <c r="W1048" s="194"/>
      <c r="X1048" s="194"/>
      <c r="Y1048" s="194"/>
      <c r="Z1048" s="194"/>
      <c r="AA1048" s="194"/>
    </row>
    <row r="1049" spans="1:27" ht="17.399999999999999">
      <c r="A1049" s="222"/>
      <c r="B1049" s="164"/>
      <c r="C1049" s="194"/>
      <c r="D1049" s="161"/>
      <c r="E1049" s="194"/>
      <c r="F1049" s="198"/>
      <c r="G1049" s="194" t="str">
        <f ca="1">IFERROR(__xludf.DUMMYFUNCTION("""COMPUTED_VALUE"""),"DECK 10 RIPADO CUMARU PREMIUM TG 1,8 X 3,5+0,5CM PROF. BIT 0")</f>
        <v>DECK 10 RIPADO CUMARU PREMIUM TG 1,8 X 3,5+0,5CM PROF. BIT 0</v>
      </c>
      <c r="H1049" s="192" t="s">
        <v>1136</v>
      </c>
      <c r="I1049" s="182" t="str">
        <f t="shared" ca="1" si="6"/>
        <v/>
      </c>
      <c r="J1049" s="184"/>
      <c r="K1049" s="198"/>
      <c r="L1049" s="194" t="s">
        <v>1136</v>
      </c>
      <c r="M1049" s="194"/>
      <c r="N1049" s="194"/>
      <c r="O1049" s="194"/>
      <c r="P1049" s="194"/>
      <c r="Q1049" s="194"/>
      <c r="R1049" s="194"/>
      <c r="S1049" s="194"/>
      <c r="T1049" s="194"/>
      <c r="U1049" s="194"/>
      <c r="V1049" s="194"/>
      <c r="W1049" s="194"/>
      <c r="X1049" s="194"/>
      <c r="Y1049" s="194"/>
      <c r="Z1049" s="194"/>
      <c r="AA1049" s="194"/>
    </row>
    <row r="1050" spans="1:27" ht="17.399999999999999">
      <c r="A1050" s="222"/>
      <c r="B1050" s="164"/>
      <c r="C1050" s="194"/>
      <c r="D1050" s="161"/>
      <c r="E1050" s="194"/>
      <c r="F1050" s="198"/>
      <c r="G1050" s="194" t="str">
        <f ca="1">IFERROR(__xludf.DUMMYFUNCTION("""COMPUTED_VALUE"""),"DECK 10 RIPADO CATUABA PREMIUM TG 1,8 X 3,5+0,5CM PROF. BIT 0")</f>
        <v>DECK 10 RIPADO CATUABA PREMIUM TG 1,8 X 3,5+0,5CM PROF. BIT 0</v>
      </c>
      <c r="I1050" s="182" t="str">
        <f t="shared" ca="1" si="6"/>
        <v/>
      </c>
      <c r="J1050" s="184"/>
      <c r="K1050" s="198"/>
      <c r="L1050" s="194"/>
      <c r="M1050" s="194"/>
      <c r="N1050" s="194"/>
      <c r="O1050" s="194"/>
      <c r="P1050" s="194"/>
      <c r="Q1050" s="194"/>
      <c r="R1050" s="194"/>
      <c r="S1050" s="194"/>
      <c r="T1050" s="194"/>
      <c r="U1050" s="194"/>
      <c r="V1050" s="194"/>
      <c r="W1050" s="194"/>
      <c r="X1050" s="194"/>
      <c r="Y1050" s="194"/>
      <c r="Z1050" s="194"/>
      <c r="AA1050" s="194"/>
    </row>
    <row r="1051" spans="1:27" ht="17.399999999999999">
      <c r="A1051" s="222"/>
      <c r="B1051" s="164"/>
      <c r="C1051" s="194"/>
      <c r="D1051" s="161"/>
      <c r="E1051" s="194"/>
      <c r="F1051" s="198"/>
      <c r="G1051" s="194" t="str">
        <f ca="1">IFERROR(__xludf.DUMMYFUNCTION("""COMPUTED_VALUE"""),"DECK 10 RIPADO CABREUVA BRANCA PREMIUM TG 1,8 X 3,5+0,5CM PROF. BIT 0")</f>
        <v>DECK 10 RIPADO CABREUVA BRANCA PREMIUM TG 1,8 X 3,5+0,5CM PROF. BIT 0</v>
      </c>
      <c r="I1051" s="182" t="str">
        <f t="shared" ca="1" si="6"/>
        <v/>
      </c>
      <c r="J1051" s="184"/>
      <c r="K1051" s="198"/>
      <c r="L1051" s="194"/>
      <c r="M1051" s="194"/>
      <c r="N1051" s="194"/>
      <c r="O1051" s="194"/>
      <c r="P1051" s="194"/>
      <c r="Q1051" s="194"/>
      <c r="R1051" s="194"/>
      <c r="S1051" s="194"/>
      <c r="T1051" s="194"/>
      <c r="U1051" s="194"/>
      <c r="V1051" s="194"/>
      <c r="W1051" s="194"/>
      <c r="X1051" s="194"/>
      <c r="Y1051" s="194"/>
      <c r="Z1051" s="194"/>
      <c r="AA1051" s="194"/>
    </row>
    <row r="1052" spans="1:27" ht="17.399999999999999">
      <c r="A1052" s="222"/>
      <c r="B1052" s="164"/>
      <c r="C1052" s="194"/>
      <c r="D1052" s="161"/>
      <c r="E1052" s="194"/>
      <c r="F1052" s="198"/>
      <c r="G1052" s="194" t="str">
        <f ca="1">IFERROR(__xludf.DUMMYFUNCTION("""COMPUTED_VALUE"""),"DECK 10 RIPADO CABREUVA DOURADA PREMIUM TG 1,8 X 3,5+0,5CM PROF. BIT 0")</f>
        <v>DECK 10 RIPADO CABREUVA DOURADA PREMIUM TG 1,8 X 3,5+0,5CM PROF. BIT 0</v>
      </c>
      <c r="I1052" s="182" t="str">
        <f t="shared" ca="1" si="6"/>
        <v/>
      </c>
      <c r="J1052" s="184"/>
      <c r="K1052" s="198"/>
      <c r="L1052" s="194"/>
      <c r="M1052" s="194"/>
      <c r="N1052" s="194"/>
      <c r="O1052" s="194"/>
      <c r="P1052" s="194"/>
      <c r="Q1052" s="194"/>
      <c r="R1052" s="194"/>
      <c r="S1052" s="194"/>
      <c r="T1052" s="194"/>
      <c r="U1052" s="194"/>
      <c r="V1052" s="194"/>
      <c r="W1052" s="194"/>
      <c r="X1052" s="194"/>
      <c r="Y1052" s="194"/>
      <c r="Z1052" s="194"/>
      <c r="AA1052" s="194"/>
    </row>
    <row r="1053" spans="1:27" ht="17.399999999999999">
      <c r="A1053" s="222"/>
      <c r="B1053" s="164"/>
      <c r="C1053" s="194"/>
      <c r="D1053" s="161"/>
      <c r="E1053" s="194"/>
      <c r="F1053" s="198"/>
      <c r="G1053" s="194" t="str">
        <f ca="1">IFERROR(__xludf.DUMMYFUNCTION("""COMPUTED_VALUE"""),"DECK 10 RIPADO TAUARI PREMIUM TG 1,8 X 3,5+0,5CM PROF. BIT 0")</f>
        <v>DECK 10 RIPADO TAUARI PREMIUM TG 1,8 X 3,5+0,5CM PROF. BIT 0</v>
      </c>
      <c r="I1053" s="182" t="str">
        <f t="shared" ca="1" si="6"/>
        <v/>
      </c>
      <c r="J1053" s="184"/>
      <c r="K1053" s="198"/>
      <c r="L1053" s="194"/>
      <c r="M1053" s="194"/>
      <c r="N1053" s="194"/>
      <c r="O1053" s="194"/>
      <c r="P1053" s="194"/>
      <c r="Q1053" s="194"/>
      <c r="R1053" s="194"/>
      <c r="S1053" s="194"/>
      <c r="T1053" s="194"/>
      <c r="U1053" s="194"/>
      <c r="V1053" s="194"/>
      <c r="W1053" s="194"/>
      <c r="X1053" s="194"/>
      <c r="Y1053" s="194"/>
      <c r="Z1053" s="194"/>
      <c r="AA1053" s="194"/>
    </row>
    <row r="1054" spans="1:27" ht="17.399999999999999">
      <c r="A1054" s="222"/>
      <c r="B1054" s="164"/>
      <c r="C1054" s="194"/>
      <c r="D1054" s="161"/>
      <c r="E1054" s="194"/>
      <c r="F1054" s="198"/>
      <c r="G1054" s="194" t="str">
        <f ca="1">IFERROR(__xludf.DUMMYFUNCTION("""COMPUTED_VALUE"""),"DECK 10 RIPADO PEROBA PREMIUM TG 1,8 X 3,5+0,5CM PROF. BIT 0")</f>
        <v>DECK 10 RIPADO PEROBA PREMIUM TG 1,8 X 3,5+0,5CM PROF. BIT 0</v>
      </c>
      <c r="I1054" s="182" t="str">
        <f t="shared" ca="1" si="6"/>
        <v/>
      </c>
      <c r="J1054" s="184"/>
      <c r="K1054" s="198"/>
      <c r="L1054" s="194"/>
      <c r="M1054" s="194"/>
      <c r="N1054" s="194"/>
      <c r="O1054" s="194"/>
      <c r="P1054" s="194"/>
      <c r="Q1054" s="194"/>
      <c r="R1054" s="194"/>
      <c r="S1054" s="194"/>
      <c r="T1054" s="194"/>
      <c r="U1054" s="194"/>
      <c r="V1054" s="194"/>
      <c r="W1054" s="194"/>
      <c r="X1054" s="194"/>
      <c r="Y1054" s="194"/>
      <c r="Z1054" s="194"/>
      <c r="AA1054" s="194"/>
    </row>
    <row r="1055" spans="1:27" ht="17.399999999999999">
      <c r="A1055" s="222"/>
      <c r="B1055" s="164"/>
      <c r="C1055" s="194"/>
      <c r="D1055" s="161"/>
      <c r="E1055" s="194"/>
      <c r="F1055" s="198"/>
      <c r="G1055" s="194" t="str">
        <f ca="1">IFERROR(__xludf.DUMMYFUNCTION("""COMPUTED_VALUE"""),"DECK 10 RIPADO LORO PARDO PREMIUM TG 1,8 X 3,5+0,5CM PROF. BIT 0")</f>
        <v>DECK 10 RIPADO LORO PARDO PREMIUM TG 1,8 X 3,5+0,5CM PROF. BIT 0</v>
      </c>
      <c r="I1055" s="182" t="str">
        <f t="shared" ca="1" si="6"/>
        <v/>
      </c>
      <c r="J1055" s="184"/>
      <c r="K1055" s="198"/>
      <c r="L1055" s="194"/>
      <c r="M1055" s="194"/>
      <c r="N1055" s="194"/>
      <c r="O1055" s="194"/>
      <c r="P1055" s="194"/>
      <c r="Q1055" s="194"/>
      <c r="R1055" s="194"/>
      <c r="S1055" s="194"/>
      <c r="T1055" s="194"/>
      <c r="U1055" s="194"/>
      <c r="V1055" s="194"/>
      <c r="W1055" s="194"/>
      <c r="X1055" s="194"/>
      <c r="Y1055" s="194"/>
      <c r="Z1055" s="194"/>
      <c r="AA1055" s="194"/>
    </row>
    <row r="1056" spans="1:27" ht="17.399999999999999">
      <c r="A1056" s="222"/>
      <c r="B1056" s="164"/>
      <c r="C1056" s="194"/>
      <c r="D1056" s="161"/>
      <c r="E1056" s="194"/>
      <c r="F1056" s="198"/>
      <c r="G1056" s="194" t="str">
        <f ca="1">IFERROR(__xludf.DUMMYFUNCTION("""COMPUTED_VALUE"""),"DECK 10 CUMARU MULTI PREMIUM 19 X 190 X 600 A 2200MM")</f>
        <v>DECK 10 CUMARU MULTI PREMIUM 19 X 190 X 600 A 2200MM</v>
      </c>
      <c r="I1056" s="182" t="str">
        <f t="shared" ca="1" si="6"/>
        <v/>
      </c>
      <c r="J1056" s="184"/>
      <c r="K1056" s="198"/>
      <c r="L1056" s="194"/>
      <c r="M1056" s="194"/>
      <c r="N1056" s="194"/>
      <c r="O1056" s="194"/>
      <c r="P1056" s="194"/>
      <c r="Q1056" s="194"/>
      <c r="R1056" s="194"/>
      <c r="S1056" s="194"/>
      <c r="T1056" s="194"/>
      <c r="U1056" s="194"/>
      <c r="V1056" s="194"/>
      <c r="W1056" s="194"/>
      <c r="X1056" s="194"/>
      <c r="Y1056" s="194"/>
      <c r="Z1056" s="194"/>
      <c r="AA1056" s="194"/>
    </row>
    <row r="1057" spans="1:27" ht="17.399999999999999">
      <c r="A1057" s="222"/>
      <c r="B1057" s="164"/>
      <c r="C1057" s="194"/>
      <c r="D1057" s="161"/>
      <c r="E1057" s="194"/>
      <c r="F1057" s="198"/>
      <c r="G1057" s="194" t="str">
        <f ca="1">IFERROR(__xludf.DUMMYFUNCTION("""COMPUTED_VALUE"""),"DECK 10 CATUABA MULTI PREMIUM 19 X 190 X 600 A 2200MM")</f>
        <v>DECK 10 CATUABA MULTI PREMIUM 19 X 190 X 600 A 2200MM</v>
      </c>
      <c r="H1057" s="192" t="s">
        <v>1144</v>
      </c>
      <c r="I1057" s="182" t="str">
        <f t="shared" ca="1" si="6"/>
        <v/>
      </c>
      <c r="J1057" s="184"/>
      <c r="K1057" s="198"/>
      <c r="L1057" s="194" t="s">
        <v>1144</v>
      </c>
      <c r="M1057" s="194"/>
      <c r="N1057" s="194"/>
      <c r="O1057" s="194"/>
      <c r="P1057" s="194"/>
      <c r="Q1057" s="194"/>
      <c r="R1057" s="194"/>
      <c r="S1057" s="194"/>
      <c r="T1057" s="194"/>
      <c r="U1057" s="194"/>
      <c r="V1057" s="194"/>
      <c r="W1057" s="194"/>
      <c r="X1057" s="194"/>
      <c r="Y1057" s="194"/>
      <c r="Z1057" s="194"/>
      <c r="AA1057" s="194"/>
    </row>
    <row r="1058" spans="1:27" ht="17.399999999999999">
      <c r="A1058" s="222"/>
      <c r="B1058" s="164"/>
      <c r="C1058" s="194"/>
      <c r="D1058" s="161"/>
      <c r="E1058" s="194"/>
      <c r="F1058" s="198"/>
      <c r="G1058" s="194" t="str">
        <f ca="1">IFERROR(__xludf.DUMMYFUNCTION("""COMPUTED_VALUE"""),"DECK 10 CABREUVA BRACA MULTI PREMIUM 19 X 190 X 600 A 2200MM")</f>
        <v>DECK 10 CABREUVA BRACA MULTI PREMIUM 19 X 190 X 600 A 2200MM</v>
      </c>
      <c r="H1058" s="192" t="s">
        <v>1145</v>
      </c>
      <c r="I1058" s="182" t="str">
        <f t="shared" ca="1" si="6"/>
        <v/>
      </c>
      <c r="J1058" s="184"/>
      <c r="K1058" s="198"/>
      <c r="L1058" s="194" t="s">
        <v>1145</v>
      </c>
      <c r="M1058" s="194"/>
      <c r="N1058" s="194"/>
      <c r="O1058" s="194"/>
      <c r="P1058" s="194"/>
      <c r="Q1058" s="194"/>
      <c r="R1058" s="194"/>
      <c r="S1058" s="194"/>
      <c r="T1058" s="194"/>
      <c r="U1058" s="194"/>
      <c r="V1058" s="194"/>
      <c r="W1058" s="194"/>
      <c r="X1058" s="194"/>
      <c r="Y1058" s="194"/>
      <c r="Z1058" s="194"/>
      <c r="AA1058" s="194"/>
    </row>
    <row r="1059" spans="1:27" ht="17.399999999999999">
      <c r="A1059" s="222"/>
      <c r="B1059" s="164"/>
      <c r="C1059" s="194"/>
      <c r="D1059" s="161"/>
      <c r="E1059" s="194"/>
      <c r="F1059" s="198"/>
      <c r="G1059" s="194" t="str">
        <f ca="1">IFERROR(__xludf.DUMMYFUNCTION("""COMPUTED_VALUE"""),"DECK 10 CABREUVA DOURADA MULTI PREMIUM 19 X 190 X 600 A 2200MM")</f>
        <v>DECK 10 CABREUVA DOURADA MULTI PREMIUM 19 X 190 X 600 A 2200MM</v>
      </c>
      <c r="H1059" s="192" t="s">
        <v>1146</v>
      </c>
      <c r="I1059" s="182" t="str">
        <f t="shared" ca="1" si="6"/>
        <v/>
      </c>
      <c r="J1059" s="184"/>
      <c r="K1059" s="198"/>
      <c r="L1059" s="194" t="s">
        <v>1146</v>
      </c>
      <c r="M1059" s="194"/>
      <c r="N1059" s="194"/>
      <c r="O1059" s="194"/>
      <c r="P1059" s="194"/>
      <c r="Q1059" s="194"/>
      <c r="R1059" s="194"/>
      <c r="S1059" s="194"/>
      <c r="T1059" s="194"/>
      <c r="U1059" s="194"/>
      <c r="V1059" s="194"/>
      <c r="W1059" s="194"/>
      <c r="X1059" s="194"/>
      <c r="Y1059" s="194"/>
      <c r="Z1059" s="194"/>
      <c r="AA1059" s="194"/>
    </row>
    <row r="1060" spans="1:27" ht="17.399999999999999">
      <c r="A1060" s="222"/>
      <c r="B1060" s="164"/>
      <c r="C1060" s="194"/>
      <c r="D1060" s="161"/>
      <c r="E1060" s="194"/>
      <c r="F1060" s="198"/>
      <c r="G1060" s="194" t="str">
        <f ca="1">IFERROR(__xludf.DUMMYFUNCTION("""COMPUTED_VALUE"""),"DECK 10 TAUARI MULTI PREMIUM 19 X 190 X 600 A 2200MM")</f>
        <v>DECK 10 TAUARI MULTI PREMIUM 19 X 190 X 600 A 2200MM</v>
      </c>
      <c r="H1060" s="192" t="s">
        <v>1147</v>
      </c>
      <c r="I1060" s="182" t="str">
        <f t="shared" ca="1" si="6"/>
        <v/>
      </c>
      <c r="J1060" s="184"/>
      <c r="K1060" s="198"/>
      <c r="L1060" s="194" t="s">
        <v>1147</v>
      </c>
      <c r="M1060" s="194"/>
      <c r="N1060" s="194"/>
      <c r="O1060" s="194"/>
      <c r="P1060" s="194"/>
      <c r="Q1060" s="194"/>
      <c r="R1060" s="194"/>
      <c r="S1060" s="194"/>
      <c r="T1060" s="194"/>
      <c r="U1060" s="194"/>
      <c r="V1060" s="194"/>
      <c r="W1060" s="194"/>
      <c r="X1060" s="194"/>
      <c r="Y1060" s="194"/>
      <c r="Z1060" s="194"/>
      <c r="AA1060" s="194"/>
    </row>
    <row r="1061" spans="1:27" ht="17.399999999999999">
      <c r="A1061" s="222"/>
      <c r="B1061" s="164"/>
      <c r="C1061" s="194"/>
      <c r="D1061" s="161"/>
      <c r="E1061" s="194"/>
      <c r="F1061" s="198"/>
      <c r="G1061" s="194" t="str">
        <f ca="1">IFERROR(__xludf.DUMMYFUNCTION("""COMPUTED_VALUE"""),"DECK 10 PEROBA MULTI PREMIUM 19 X 190 X 600 A 2200MM")</f>
        <v>DECK 10 PEROBA MULTI PREMIUM 19 X 190 X 600 A 2200MM</v>
      </c>
      <c r="H1061" s="192" t="s">
        <v>1148</v>
      </c>
      <c r="I1061" s="182" t="str">
        <f t="shared" ca="1" si="6"/>
        <v/>
      </c>
      <c r="J1061" s="184"/>
      <c r="K1061" s="198"/>
      <c r="L1061" s="194" t="s">
        <v>1148</v>
      </c>
      <c r="M1061" s="194"/>
      <c r="N1061" s="194"/>
      <c r="O1061" s="194"/>
      <c r="P1061" s="194"/>
      <c r="Q1061" s="194"/>
      <c r="R1061" s="194"/>
      <c r="S1061" s="194"/>
      <c r="T1061" s="194"/>
      <c r="U1061" s="194"/>
      <c r="V1061" s="194"/>
      <c r="W1061" s="194"/>
      <c r="X1061" s="194"/>
      <c r="Y1061" s="194"/>
      <c r="Z1061" s="194"/>
      <c r="AA1061" s="194"/>
    </row>
    <row r="1062" spans="1:27" ht="17.399999999999999">
      <c r="A1062" s="222"/>
      <c r="B1062" s="164"/>
      <c r="C1062" s="194"/>
      <c r="D1062" s="161"/>
      <c r="E1062" s="194"/>
      <c r="F1062" s="198"/>
      <c r="G1062" s="194" t="str">
        <f ca="1">IFERROR(__xludf.DUMMYFUNCTION("""COMPUTED_VALUE"""),"DECK 10 LORO PARDO MULTI PREMIUM 19 X 190 X 600 A 2200MM")</f>
        <v>DECK 10 LORO PARDO MULTI PREMIUM 19 X 190 X 600 A 2200MM</v>
      </c>
      <c r="H1062" s="192" t="s">
        <v>1149</v>
      </c>
      <c r="I1062" s="182" t="str">
        <f t="shared" ca="1" si="6"/>
        <v/>
      </c>
      <c r="J1062" s="184"/>
      <c r="K1062" s="198"/>
      <c r="L1062" s="194" t="s">
        <v>1149</v>
      </c>
      <c r="M1062" s="194"/>
      <c r="N1062" s="194"/>
      <c r="O1062" s="194"/>
      <c r="P1062" s="194"/>
      <c r="Q1062" s="194"/>
      <c r="R1062" s="194"/>
      <c r="S1062" s="194"/>
      <c r="T1062" s="194"/>
      <c r="U1062" s="194"/>
      <c r="V1062" s="194"/>
      <c r="W1062" s="194"/>
      <c r="X1062" s="194"/>
      <c r="Y1062" s="194"/>
      <c r="Z1062" s="194"/>
      <c r="AA1062" s="194"/>
    </row>
    <row r="1063" spans="1:27" ht="17.399999999999999">
      <c r="A1063" s="222"/>
      <c r="B1063" s="164"/>
      <c r="C1063" s="194"/>
      <c r="D1063" s="161"/>
      <c r="E1063" s="194"/>
      <c r="F1063" s="198"/>
      <c r="G1063" s="194" t="str">
        <f ca="1">IFERROR(__xludf.DUMMYFUNCTION("""COMPUTED_VALUE"""),"DECK 10 MUXARABI CUMARU PREMIUM")</f>
        <v>DECK 10 MUXARABI CUMARU PREMIUM</v>
      </c>
      <c r="H1063" s="192" t="s">
        <v>1150</v>
      </c>
      <c r="I1063" s="182" t="str">
        <f t="shared" ca="1" si="6"/>
        <v/>
      </c>
      <c r="J1063" s="184"/>
      <c r="K1063" s="198"/>
      <c r="L1063" s="194" t="s">
        <v>1150</v>
      </c>
      <c r="M1063" s="194"/>
      <c r="N1063" s="194"/>
      <c r="O1063" s="194"/>
      <c r="P1063" s="194"/>
      <c r="Q1063" s="194"/>
      <c r="R1063" s="194"/>
      <c r="S1063" s="194"/>
      <c r="T1063" s="194"/>
      <c r="U1063" s="194"/>
      <c r="V1063" s="194"/>
      <c r="W1063" s="194"/>
      <c r="X1063" s="194"/>
      <c r="Y1063" s="194"/>
      <c r="Z1063" s="194"/>
      <c r="AA1063" s="194"/>
    </row>
    <row r="1064" spans="1:27" ht="17.399999999999999">
      <c r="A1064" s="222"/>
      <c r="B1064" s="164"/>
      <c r="C1064" s="194"/>
      <c r="D1064" s="161"/>
      <c r="E1064" s="194"/>
      <c r="F1064" s="198"/>
      <c r="G1064" s="194" t="str">
        <f ca="1">IFERROR(__xludf.DUMMYFUNCTION("""COMPUTED_VALUE"""),"DECK 10 MUXARABI CATUABA PREMIUM")</f>
        <v>DECK 10 MUXARABI CATUABA PREMIUM</v>
      </c>
      <c r="I1064" s="182" t="str">
        <f t="shared" ca="1" si="6"/>
        <v/>
      </c>
      <c r="J1064" s="184"/>
      <c r="K1064" s="198"/>
      <c r="L1064" s="194"/>
      <c r="M1064" s="194"/>
      <c r="N1064" s="194"/>
      <c r="O1064" s="194"/>
      <c r="P1064" s="194"/>
      <c r="Q1064" s="194"/>
      <c r="R1064" s="194"/>
      <c r="S1064" s="194"/>
      <c r="T1064" s="194"/>
      <c r="U1064" s="194"/>
      <c r="V1064" s="194"/>
      <c r="W1064" s="194"/>
      <c r="X1064" s="194"/>
      <c r="Y1064" s="194"/>
      <c r="Z1064" s="194"/>
      <c r="AA1064" s="194"/>
    </row>
    <row r="1065" spans="1:27" ht="17.399999999999999">
      <c r="A1065" s="222"/>
      <c r="B1065" s="164"/>
      <c r="C1065" s="194"/>
      <c r="D1065" s="161"/>
      <c r="E1065" s="194"/>
      <c r="F1065" s="198"/>
      <c r="G1065" s="194" t="str">
        <f ca="1">IFERROR(__xludf.DUMMYFUNCTION("""COMPUTED_VALUE"""),"DECK 10 MUXARABI CABREUVA BRANCA PREMIUM")</f>
        <v>DECK 10 MUXARABI CABREUVA BRANCA PREMIUM</v>
      </c>
      <c r="I1065" s="182" t="str">
        <f t="shared" ca="1" si="6"/>
        <v/>
      </c>
      <c r="J1065" s="184"/>
      <c r="K1065" s="198"/>
      <c r="L1065" s="194"/>
      <c r="M1065" s="194"/>
      <c r="N1065" s="194"/>
      <c r="O1065" s="194"/>
      <c r="P1065" s="194"/>
      <c r="Q1065" s="194"/>
      <c r="R1065" s="194"/>
      <c r="S1065" s="194"/>
      <c r="T1065" s="194"/>
      <c r="U1065" s="194"/>
      <c r="V1065" s="194"/>
      <c r="W1065" s="194"/>
      <c r="X1065" s="194"/>
      <c r="Y1065" s="194"/>
      <c r="Z1065" s="194"/>
      <c r="AA1065" s="194"/>
    </row>
    <row r="1066" spans="1:27" ht="17.399999999999999">
      <c r="A1066" s="222"/>
      <c r="B1066" s="164"/>
      <c r="C1066" s="194"/>
      <c r="D1066" s="161"/>
      <c r="E1066" s="194"/>
      <c r="F1066" s="198"/>
      <c r="G1066" s="194" t="str">
        <f ca="1">IFERROR(__xludf.DUMMYFUNCTION("""COMPUTED_VALUE"""),"DECK 10 MUXARABI CABREUVA DOURADA PREMIUM")</f>
        <v>DECK 10 MUXARABI CABREUVA DOURADA PREMIUM</v>
      </c>
      <c r="I1066" s="182" t="str">
        <f t="shared" ca="1" si="6"/>
        <v/>
      </c>
      <c r="J1066" s="184"/>
      <c r="K1066" s="198"/>
      <c r="L1066" s="194"/>
      <c r="M1066" s="194"/>
      <c r="N1066" s="194"/>
      <c r="O1066" s="194"/>
      <c r="P1066" s="194"/>
      <c r="Q1066" s="194"/>
      <c r="R1066" s="194"/>
      <c r="S1066" s="194"/>
      <c r="T1066" s="194"/>
      <c r="U1066" s="194"/>
      <c r="V1066" s="194"/>
      <c r="W1066" s="194"/>
      <c r="X1066" s="194"/>
      <c r="Y1066" s="194"/>
      <c r="Z1066" s="194"/>
      <c r="AA1066" s="194"/>
    </row>
    <row r="1067" spans="1:27" ht="17.399999999999999">
      <c r="A1067" s="222"/>
      <c r="B1067" s="164"/>
      <c r="C1067" s="194"/>
      <c r="D1067" s="161"/>
      <c r="E1067" s="194"/>
      <c r="F1067" s="198"/>
      <c r="G1067" s="194" t="str">
        <f ca="1">IFERROR(__xludf.DUMMYFUNCTION("""COMPUTED_VALUE"""),"DECK 10 MUXARABI TAUARI PREMIUM")</f>
        <v>DECK 10 MUXARABI TAUARI PREMIUM</v>
      </c>
      <c r="I1067" s="182" t="str">
        <f t="shared" ca="1" si="6"/>
        <v/>
      </c>
      <c r="J1067" s="184"/>
      <c r="K1067" s="198"/>
      <c r="L1067" s="194"/>
      <c r="M1067" s="194"/>
      <c r="N1067" s="194"/>
      <c r="O1067" s="194"/>
      <c r="P1067" s="194"/>
      <c r="Q1067" s="194"/>
      <c r="R1067" s="194"/>
      <c r="S1067" s="194"/>
      <c r="T1067" s="194"/>
      <c r="U1067" s="194"/>
      <c r="V1067" s="194"/>
      <c r="W1067" s="194"/>
      <c r="X1067" s="194"/>
      <c r="Y1067" s="194"/>
      <c r="Z1067" s="194"/>
      <c r="AA1067" s="194"/>
    </row>
    <row r="1068" spans="1:27" ht="17.399999999999999">
      <c r="A1068" s="222"/>
      <c r="B1068" s="164"/>
      <c r="C1068" s="194"/>
      <c r="D1068" s="161"/>
      <c r="E1068" s="194"/>
      <c r="F1068" s="198"/>
      <c r="G1068" s="194" t="str">
        <f ca="1">IFERROR(__xludf.DUMMYFUNCTION("""COMPUTED_VALUE"""),"DECK 10 MUXARABI PEROBA PREMIUM")</f>
        <v>DECK 10 MUXARABI PEROBA PREMIUM</v>
      </c>
      <c r="I1068" s="182" t="str">
        <f t="shared" ca="1" si="6"/>
        <v/>
      </c>
      <c r="J1068" s="184"/>
      <c r="K1068" s="198"/>
      <c r="L1068" s="194"/>
      <c r="M1068" s="194"/>
      <c r="N1068" s="194"/>
      <c r="O1068" s="194"/>
      <c r="P1068" s="194"/>
      <c r="Q1068" s="194"/>
      <c r="R1068" s="194"/>
      <c r="S1068" s="194"/>
      <c r="T1068" s="194"/>
      <c r="U1068" s="194"/>
      <c r="V1068" s="194"/>
      <c r="W1068" s="194"/>
      <c r="X1068" s="194"/>
      <c r="Y1068" s="194"/>
      <c r="Z1068" s="194"/>
      <c r="AA1068" s="194"/>
    </row>
    <row r="1069" spans="1:27" ht="17.399999999999999">
      <c r="A1069" s="222"/>
      <c r="B1069" s="164"/>
      <c r="C1069" s="194"/>
      <c r="D1069" s="161"/>
      <c r="E1069" s="194"/>
      <c r="F1069" s="198"/>
      <c r="G1069" s="194" t="str">
        <f ca="1">IFERROR(__xludf.DUMMYFUNCTION("""COMPUTED_VALUE"""),"DECK 10 MUXARABI LORO PARDO PREMIUM")</f>
        <v>DECK 10 MUXARABI LORO PARDO PREMIUM</v>
      </c>
      <c r="I1069" s="182" t="str">
        <f t="shared" ca="1" si="6"/>
        <v/>
      </c>
      <c r="J1069" s="184"/>
      <c r="K1069" s="198"/>
      <c r="L1069" s="194"/>
      <c r="M1069" s="194"/>
      <c r="N1069" s="194"/>
      <c r="O1069" s="194"/>
      <c r="P1069" s="194"/>
      <c r="Q1069" s="194"/>
      <c r="R1069" s="194"/>
      <c r="S1069" s="194"/>
      <c r="T1069" s="194"/>
      <c r="U1069" s="194"/>
      <c r="V1069" s="194"/>
      <c r="W1069" s="194"/>
      <c r="X1069" s="194"/>
      <c r="Y1069" s="194"/>
      <c r="Z1069" s="194"/>
      <c r="AA1069" s="194"/>
    </row>
    <row r="1070" spans="1:27" ht="17.399999999999999">
      <c r="A1070" s="222"/>
      <c r="B1070" s="164"/>
      <c r="C1070" s="194"/>
      <c r="D1070" s="161"/>
      <c r="E1070" s="194"/>
      <c r="F1070" s="198"/>
      <c r="G1070" s="194" t="str">
        <f ca="1">IFERROR(__xludf.DUMMYFUNCTION("""COMPUTED_VALUE"""),"DECK 10 TOBLERONE CUMARU PREMIUM 3 X 3 COMPR. VARIAVEIS")</f>
        <v>DECK 10 TOBLERONE CUMARU PREMIUM 3 X 3 COMPR. VARIAVEIS</v>
      </c>
      <c r="I1070" s="182" t="str">
        <f t="shared" ca="1" si="6"/>
        <v/>
      </c>
      <c r="J1070" s="184"/>
      <c r="K1070" s="198"/>
      <c r="L1070" s="194"/>
      <c r="M1070" s="194"/>
      <c r="N1070" s="194"/>
      <c r="O1070" s="194"/>
      <c r="P1070" s="194"/>
      <c r="Q1070" s="194"/>
      <c r="R1070" s="194"/>
      <c r="S1070" s="194"/>
      <c r="T1070" s="194"/>
      <c r="U1070" s="194"/>
      <c r="V1070" s="194"/>
      <c r="W1070" s="194"/>
      <c r="X1070" s="194"/>
      <c r="Y1070" s="194"/>
      <c r="Z1070" s="194"/>
      <c r="AA1070" s="194"/>
    </row>
    <row r="1071" spans="1:27" ht="17.399999999999999">
      <c r="A1071" s="222"/>
      <c r="B1071" s="164"/>
      <c r="C1071" s="194"/>
      <c r="D1071" s="161"/>
      <c r="E1071" s="194"/>
      <c r="F1071" s="198"/>
      <c r="G1071" s="194" t="str">
        <f ca="1">IFERROR(__xludf.DUMMYFUNCTION("""COMPUTED_VALUE"""),"DECK 10 TOBLERONE CATUABA PREMIUM 3 X 3 COMPR. VARIAVEIS")</f>
        <v>DECK 10 TOBLERONE CATUABA PREMIUM 3 X 3 COMPR. VARIAVEIS</v>
      </c>
      <c r="I1071" s="182" t="str">
        <f t="shared" ca="1" si="6"/>
        <v/>
      </c>
      <c r="J1071" s="184"/>
      <c r="K1071" s="198"/>
      <c r="L1071" s="194"/>
      <c r="M1071" s="194"/>
      <c r="N1071" s="194"/>
      <c r="O1071" s="194"/>
      <c r="P1071" s="194"/>
      <c r="Q1071" s="194"/>
      <c r="R1071" s="194"/>
      <c r="S1071" s="194"/>
      <c r="T1071" s="194"/>
      <c r="U1071" s="194"/>
      <c r="V1071" s="194"/>
      <c r="W1071" s="194"/>
      <c r="X1071" s="194"/>
      <c r="Y1071" s="194"/>
      <c r="Z1071" s="194"/>
      <c r="AA1071" s="194"/>
    </row>
    <row r="1072" spans="1:27" ht="17.399999999999999">
      <c r="A1072" s="222"/>
      <c r="B1072" s="164"/>
      <c r="C1072" s="194"/>
      <c r="D1072" s="161"/>
      <c r="E1072" s="194"/>
      <c r="F1072" s="198"/>
      <c r="G1072" s="194" t="str">
        <f ca="1">IFERROR(__xludf.DUMMYFUNCTION("""COMPUTED_VALUE"""),"DECK 10 TOBLERONE CABREUVA BRANCA PREMIUM 3 X 3 COMPR. VARIAVEIS")</f>
        <v>DECK 10 TOBLERONE CABREUVA BRANCA PREMIUM 3 X 3 COMPR. VARIAVEIS</v>
      </c>
      <c r="I1072" s="182" t="str">
        <f t="shared" ca="1" si="6"/>
        <v/>
      </c>
      <c r="J1072" s="184"/>
      <c r="K1072" s="198"/>
      <c r="L1072" s="194"/>
      <c r="M1072" s="194"/>
      <c r="N1072" s="194"/>
      <c r="O1072" s="194"/>
      <c r="P1072" s="194"/>
      <c r="Q1072" s="194"/>
      <c r="R1072" s="194"/>
      <c r="S1072" s="194"/>
      <c r="T1072" s="194"/>
      <c r="U1072" s="194"/>
      <c r="V1072" s="194"/>
      <c r="W1072" s="194"/>
      <c r="X1072" s="194"/>
      <c r="Y1072" s="194"/>
      <c r="Z1072" s="194"/>
      <c r="AA1072" s="194"/>
    </row>
    <row r="1073" spans="1:27" ht="17.399999999999999">
      <c r="A1073" s="222"/>
      <c r="B1073" s="164"/>
      <c r="C1073" s="194"/>
      <c r="D1073" s="161"/>
      <c r="E1073" s="194"/>
      <c r="F1073" s="198"/>
      <c r="G1073" s="194" t="str">
        <f ca="1">IFERROR(__xludf.DUMMYFUNCTION("""COMPUTED_VALUE"""),"DECK 10 TOBLERONE CABREUVA DOURADA PREMIUM 3 X 3 COMPR. VARIAVEIS")</f>
        <v>DECK 10 TOBLERONE CABREUVA DOURADA PREMIUM 3 X 3 COMPR. VARIAVEIS</v>
      </c>
      <c r="I1073" s="182" t="str">
        <f t="shared" ca="1" si="6"/>
        <v/>
      </c>
      <c r="J1073" s="184"/>
      <c r="K1073" s="198"/>
      <c r="L1073" s="194"/>
      <c r="M1073" s="194"/>
      <c r="N1073" s="194"/>
      <c r="O1073" s="194"/>
      <c r="P1073" s="194"/>
      <c r="Q1073" s="194"/>
      <c r="R1073" s="194"/>
      <c r="S1073" s="194"/>
      <c r="T1073" s="194"/>
      <c r="U1073" s="194"/>
      <c r="V1073" s="194"/>
      <c r="W1073" s="194"/>
      <c r="X1073" s="194"/>
      <c r="Y1073" s="194"/>
      <c r="Z1073" s="194"/>
      <c r="AA1073" s="194"/>
    </row>
    <row r="1074" spans="1:27" ht="17.399999999999999">
      <c r="A1074" s="222"/>
      <c r="B1074" s="164"/>
      <c r="C1074" s="194"/>
      <c r="D1074" s="161"/>
      <c r="E1074" s="194"/>
      <c r="F1074" s="198"/>
      <c r="G1074" s="194" t="str">
        <f ca="1">IFERROR(__xludf.DUMMYFUNCTION("""COMPUTED_VALUE"""),"DECK 10 TOBLERONE TAUARI PREMIUM 3 X 3 COMPR. VARIAVEIS")</f>
        <v>DECK 10 TOBLERONE TAUARI PREMIUM 3 X 3 COMPR. VARIAVEIS</v>
      </c>
      <c r="I1074" s="182" t="str">
        <f t="shared" ca="1" si="6"/>
        <v/>
      </c>
      <c r="J1074" s="184"/>
      <c r="K1074" s="198"/>
      <c r="L1074" s="194"/>
      <c r="M1074" s="194"/>
      <c r="N1074" s="194"/>
      <c r="O1074" s="194"/>
      <c r="P1074" s="194"/>
      <c r="Q1074" s="194"/>
      <c r="R1074" s="194"/>
      <c r="S1074" s="194"/>
      <c r="T1074" s="194"/>
      <c r="U1074" s="194"/>
      <c r="V1074" s="194"/>
      <c r="W1074" s="194"/>
      <c r="X1074" s="194"/>
      <c r="Y1074" s="194"/>
      <c r="Z1074" s="194"/>
      <c r="AA1074" s="194"/>
    </row>
    <row r="1075" spans="1:27" ht="17.399999999999999">
      <c r="A1075" s="222"/>
      <c r="B1075" s="164"/>
      <c r="C1075" s="194"/>
      <c r="D1075" s="161"/>
      <c r="E1075" s="194"/>
      <c r="F1075" s="198"/>
      <c r="G1075" s="194" t="str">
        <f ca="1">IFERROR(__xludf.DUMMYFUNCTION("""COMPUTED_VALUE"""),"DECK 10 TOBLERONE PEROBA PREMIUM 3 X 3 COMPR. VARIAVEIS")</f>
        <v>DECK 10 TOBLERONE PEROBA PREMIUM 3 X 3 COMPR. VARIAVEIS</v>
      </c>
      <c r="I1075" s="182" t="str">
        <f t="shared" ca="1" si="6"/>
        <v/>
      </c>
      <c r="J1075" s="184"/>
      <c r="K1075" s="198"/>
      <c r="L1075" s="194"/>
      <c r="M1075" s="194"/>
      <c r="N1075" s="194"/>
      <c r="O1075" s="194"/>
      <c r="P1075" s="194"/>
      <c r="Q1075" s="194"/>
      <c r="R1075" s="194"/>
      <c r="S1075" s="194"/>
      <c r="T1075" s="194"/>
      <c r="U1075" s="194"/>
      <c r="V1075" s="194"/>
      <c r="W1075" s="194"/>
      <c r="X1075" s="194"/>
      <c r="Y1075" s="194"/>
      <c r="Z1075" s="194"/>
      <c r="AA1075" s="194"/>
    </row>
    <row r="1076" spans="1:27" ht="17.399999999999999">
      <c r="A1076" s="222"/>
      <c r="B1076" s="164"/>
      <c r="C1076" s="194"/>
      <c r="D1076" s="161"/>
      <c r="E1076" s="194"/>
      <c r="F1076" s="198"/>
      <c r="G1076" s="194" t="str">
        <f ca="1">IFERROR(__xludf.DUMMYFUNCTION("""COMPUTED_VALUE"""),"DECK 10 TOBLERONE LORO PARDO PREMIUM 3 X 3 COMPR. VARIAVEIS")</f>
        <v>DECK 10 TOBLERONE LORO PARDO PREMIUM 3 X 3 COMPR. VARIAVEIS</v>
      </c>
      <c r="I1076" s="182" t="str">
        <f t="shared" ca="1" si="6"/>
        <v/>
      </c>
      <c r="J1076" s="184"/>
      <c r="K1076" s="198"/>
      <c r="L1076" s="194"/>
      <c r="M1076" s="194"/>
      <c r="N1076" s="194"/>
      <c r="O1076" s="194"/>
      <c r="P1076" s="194"/>
      <c r="Q1076" s="194"/>
      <c r="R1076" s="194"/>
      <c r="S1076" s="194"/>
      <c r="T1076" s="194"/>
      <c r="U1076" s="194"/>
      <c r="V1076" s="194"/>
      <c r="W1076" s="194"/>
      <c r="X1076" s="194"/>
      <c r="Y1076" s="194"/>
      <c r="Z1076" s="194"/>
      <c r="AA1076" s="194"/>
    </row>
    <row r="1077" spans="1:27" ht="17.399999999999999">
      <c r="A1077" s="222"/>
      <c r="B1077" s="164"/>
      <c r="C1077" s="194"/>
      <c r="D1077" s="161"/>
      <c r="E1077" s="194"/>
      <c r="F1077" s="198"/>
      <c r="G1077" s="194" t="str">
        <f ca="1">IFERROR(__xludf.DUMMYFUNCTION("""COMPUTED_VALUE"""),"DECK 10 DECK CUMARU PREMIUM TG 2,5 X 5 X COMPR. VARIAVEIS")</f>
        <v>DECK 10 DECK CUMARU PREMIUM TG 2,5 X 5 X COMPR. VARIAVEIS</v>
      </c>
      <c r="I1077" s="182" t="str">
        <f t="shared" ca="1" si="6"/>
        <v/>
      </c>
      <c r="J1077" s="184"/>
      <c r="K1077" s="198"/>
      <c r="L1077" s="194"/>
      <c r="M1077" s="194"/>
      <c r="N1077" s="194"/>
      <c r="O1077" s="194"/>
      <c r="P1077" s="194"/>
      <c r="Q1077" s="194"/>
      <c r="R1077" s="194"/>
      <c r="S1077" s="194"/>
      <c r="T1077" s="194"/>
      <c r="U1077" s="194"/>
      <c r="V1077" s="194"/>
      <c r="W1077" s="194"/>
      <c r="X1077" s="194"/>
      <c r="Y1077" s="194"/>
      <c r="Z1077" s="194"/>
      <c r="AA1077" s="194"/>
    </row>
    <row r="1078" spans="1:27" ht="17.399999999999999">
      <c r="A1078" s="222"/>
      <c r="B1078" s="164"/>
      <c r="C1078" s="194"/>
      <c r="D1078" s="161"/>
      <c r="E1078" s="194"/>
      <c r="F1078" s="198"/>
      <c r="G1078" s="194" t="str">
        <f ca="1">IFERROR(__xludf.DUMMYFUNCTION("""COMPUTED_VALUE"""),"DECK 10 DECK CUMARU PREMIUM TG 2,5 X 10 X COMPR. VARIAVEIS")</f>
        <v>DECK 10 DECK CUMARU PREMIUM TG 2,5 X 10 X COMPR. VARIAVEIS</v>
      </c>
      <c r="H1078" s="192" t="s">
        <v>1165</v>
      </c>
      <c r="I1078" s="182" t="str">
        <f t="shared" ca="1" si="6"/>
        <v/>
      </c>
      <c r="J1078" s="184"/>
      <c r="K1078" s="198"/>
      <c r="L1078" s="194" t="s">
        <v>1165</v>
      </c>
      <c r="M1078" s="194"/>
      <c r="N1078" s="194"/>
      <c r="O1078" s="194"/>
      <c r="P1078" s="194"/>
      <c r="Q1078" s="194"/>
      <c r="R1078" s="194"/>
      <c r="S1078" s="194"/>
      <c r="T1078" s="194"/>
      <c r="U1078" s="194"/>
      <c r="V1078" s="194"/>
      <c r="W1078" s="194"/>
      <c r="X1078" s="194"/>
      <c r="Y1078" s="194"/>
      <c r="Z1078" s="194"/>
      <c r="AA1078" s="194"/>
    </row>
    <row r="1079" spans="1:27" ht="17.399999999999999">
      <c r="A1079" s="222"/>
      <c r="B1079" s="164"/>
      <c r="C1079" s="194"/>
      <c r="D1079" s="161"/>
      <c r="E1079" s="194"/>
      <c r="F1079" s="198"/>
      <c r="G1079" s="194" t="str">
        <f ca="1">IFERROR(__xludf.DUMMYFUNCTION("""COMPUTED_VALUE"""),"DECK 10 DECK CATUABA PREMIUM TG 2,5 X 5 X COMPR. VARIAVEIS")</f>
        <v>DECK 10 DECK CATUABA PREMIUM TG 2,5 X 5 X COMPR. VARIAVEIS</v>
      </c>
      <c r="H1079" s="192" t="s">
        <v>1166</v>
      </c>
      <c r="I1079" s="182" t="str">
        <f t="shared" ca="1" si="6"/>
        <v/>
      </c>
      <c r="J1079" s="184"/>
      <c r="K1079" s="198"/>
      <c r="L1079" s="194" t="s">
        <v>1166</v>
      </c>
      <c r="M1079" s="194"/>
      <c r="N1079" s="194"/>
      <c r="O1079" s="194"/>
      <c r="P1079" s="194"/>
      <c r="Q1079" s="194"/>
      <c r="R1079" s="194"/>
      <c r="S1079" s="194"/>
      <c r="T1079" s="194"/>
      <c r="U1079" s="194"/>
      <c r="V1079" s="194"/>
      <c r="W1079" s="194"/>
      <c r="X1079" s="194"/>
      <c r="Y1079" s="194"/>
      <c r="Z1079" s="194"/>
      <c r="AA1079" s="194"/>
    </row>
    <row r="1080" spans="1:27" ht="17.399999999999999">
      <c r="A1080" s="222"/>
      <c r="B1080" s="164"/>
      <c r="C1080" s="194"/>
      <c r="D1080" s="161"/>
      <c r="E1080" s="194"/>
      <c r="F1080" s="198"/>
      <c r="G1080" s="194" t="str">
        <f ca="1">IFERROR(__xludf.DUMMYFUNCTION("""COMPUTED_VALUE"""),"DECK 10 DECK CATUABA PREMIUM TG 2,5 X 10 X COMPR. VARIAVEIS")</f>
        <v>DECK 10 DECK CATUABA PREMIUM TG 2,5 X 10 X COMPR. VARIAVEIS</v>
      </c>
      <c r="H1080" s="192" t="s">
        <v>1167</v>
      </c>
      <c r="I1080" s="182" t="str">
        <f t="shared" ca="1" si="6"/>
        <v/>
      </c>
      <c r="J1080" s="184"/>
      <c r="K1080" s="198"/>
      <c r="L1080" s="194" t="s">
        <v>1167</v>
      </c>
      <c r="M1080" s="194"/>
      <c r="N1080" s="194"/>
      <c r="O1080" s="194"/>
      <c r="P1080" s="194"/>
      <c r="Q1080" s="194"/>
      <c r="R1080" s="194"/>
      <c r="S1080" s="194"/>
      <c r="T1080" s="194"/>
      <c r="U1080" s="194"/>
      <c r="V1080" s="194"/>
      <c r="W1080" s="194"/>
      <c r="X1080" s="194"/>
      <c r="Y1080" s="194"/>
      <c r="Z1080" s="194"/>
      <c r="AA1080" s="194"/>
    </row>
    <row r="1081" spans="1:27" ht="17.399999999999999">
      <c r="A1081" s="222"/>
      <c r="B1081" s="164"/>
      <c r="C1081" s="194"/>
      <c r="D1081" s="161"/>
      <c r="E1081" s="194"/>
      <c r="F1081" s="198"/>
      <c r="G1081" s="194" t="str">
        <f ca="1">IFERROR(__xludf.DUMMYFUNCTION("""COMPUTED_VALUE"""),"DECK 10 DECK CABREUVA BRANCA PREMIUM TG 2,5 X 5 X COMPR. VARIAVEIS")</f>
        <v>DECK 10 DECK CABREUVA BRANCA PREMIUM TG 2,5 X 5 X COMPR. VARIAVEIS</v>
      </c>
      <c r="H1081" s="192" t="s">
        <v>1168</v>
      </c>
      <c r="I1081" s="182" t="str">
        <f t="shared" ca="1" si="6"/>
        <v/>
      </c>
      <c r="J1081" s="184"/>
      <c r="K1081" s="198"/>
      <c r="L1081" s="194" t="s">
        <v>1168</v>
      </c>
      <c r="M1081" s="194"/>
      <c r="N1081" s="194"/>
      <c r="O1081" s="194"/>
      <c r="P1081" s="194"/>
      <c r="Q1081" s="194"/>
      <c r="R1081" s="194"/>
      <c r="S1081" s="194"/>
      <c r="T1081" s="194"/>
      <c r="U1081" s="194"/>
      <c r="V1081" s="194"/>
      <c r="W1081" s="194"/>
      <c r="X1081" s="194"/>
      <c r="Y1081" s="194"/>
      <c r="Z1081" s="194"/>
      <c r="AA1081" s="194"/>
    </row>
    <row r="1082" spans="1:27" ht="17.399999999999999">
      <c r="A1082" s="222"/>
      <c r="B1082" s="164"/>
      <c r="C1082" s="194"/>
      <c r="D1082" s="161"/>
      <c r="E1082" s="194"/>
      <c r="F1082" s="198"/>
      <c r="G1082" s="194" t="str">
        <f ca="1">IFERROR(__xludf.DUMMYFUNCTION("""COMPUTED_VALUE"""),"DECK 10 DECK CABREUVA BRANCA PREMIUM TG 2,5 X 10 X COMPR. VARIAVEIS")</f>
        <v>DECK 10 DECK CABREUVA BRANCA PREMIUM TG 2,5 X 10 X COMPR. VARIAVEIS</v>
      </c>
      <c r="H1082" s="192" t="s">
        <v>1169</v>
      </c>
      <c r="I1082" s="182" t="str">
        <f t="shared" ca="1" si="6"/>
        <v/>
      </c>
      <c r="J1082" s="184"/>
      <c r="K1082" s="198"/>
      <c r="L1082" s="194" t="s">
        <v>1169</v>
      </c>
      <c r="M1082" s="194"/>
      <c r="N1082" s="194"/>
      <c r="O1082" s="194"/>
      <c r="P1082" s="194"/>
      <c r="Q1082" s="194"/>
      <c r="R1082" s="194"/>
      <c r="S1082" s="194"/>
      <c r="T1082" s="194"/>
      <c r="U1082" s="194"/>
      <c r="V1082" s="194"/>
      <c r="W1082" s="194"/>
      <c r="X1082" s="194"/>
      <c r="Y1082" s="194"/>
      <c r="Z1082" s="194"/>
      <c r="AA1082" s="194"/>
    </row>
    <row r="1083" spans="1:27" ht="17.399999999999999">
      <c r="A1083" s="222"/>
      <c r="B1083" s="164"/>
      <c r="C1083" s="194"/>
      <c r="D1083" s="161"/>
      <c r="E1083" s="194"/>
      <c r="F1083" s="198"/>
      <c r="G1083" s="194" t="str">
        <f ca="1">IFERROR(__xludf.DUMMYFUNCTION("""COMPUTED_VALUE"""),"DECK 10 DECK CABREUVA DOURADA PREMIUM TG 2,5 X 5 X COMPR. VARIAVEIS")</f>
        <v>DECK 10 DECK CABREUVA DOURADA PREMIUM TG 2,5 X 5 X COMPR. VARIAVEIS</v>
      </c>
      <c r="H1083" s="192" t="s">
        <v>1170</v>
      </c>
      <c r="I1083" s="182" t="str">
        <f t="shared" ca="1" si="6"/>
        <v/>
      </c>
      <c r="J1083" s="184"/>
      <c r="K1083" s="198"/>
      <c r="L1083" s="194" t="s">
        <v>1170</v>
      </c>
      <c r="M1083" s="194"/>
      <c r="N1083" s="194"/>
      <c r="O1083" s="194"/>
      <c r="P1083" s="194"/>
      <c r="Q1083" s="194"/>
      <c r="R1083" s="194"/>
      <c r="S1083" s="194"/>
      <c r="T1083" s="194"/>
      <c r="U1083" s="194"/>
      <c r="V1083" s="194"/>
      <c r="W1083" s="194"/>
      <c r="X1083" s="194"/>
      <c r="Y1083" s="194"/>
      <c r="Z1083" s="194"/>
      <c r="AA1083" s="194"/>
    </row>
    <row r="1084" spans="1:27" ht="17.399999999999999">
      <c r="A1084" s="222"/>
      <c r="B1084" s="164"/>
      <c r="C1084" s="194"/>
      <c r="D1084" s="161"/>
      <c r="E1084" s="194"/>
      <c r="F1084" s="198"/>
      <c r="G1084" s="194" t="str">
        <f ca="1">IFERROR(__xludf.DUMMYFUNCTION("""COMPUTED_VALUE"""),"DECK 10 DECK CABREUVA DOURADA PREMIUM TG 2,5 X 10 X COMPR. VARIAVEIS")</f>
        <v>DECK 10 DECK CABREUVA DOURADA PREMIUM TG 2,5 X 10 X COMPR. VARIAVEIS</v>
      </c>
      <c r="H1084" s="192" t="s">
        <v>1171</v>
      </c>
      <c r="I1084" s="182" t="str">
        <f t="shared" ca="1" si="6"/>
        <v/>
      </c>
      <c r="J1084" s="184"/>
      <c r="K1084" s="198"/>
      <c r="L1084" s="194" t="s">
        <v>1171</v>
      </c>
      <c r="M1084" s="194"/>
      <c r="N1084" s="194"/>
      <c r="O1084" s="194"/>
      <c r="P1084" s="194"/>
      <c r="Q1084" s="194"/>
      <c r="R1084" s="194"/>
      <c r="S1084" s="194"/>
      <c r="T1084" s="194"/>
      <c r="U1084" s="194"/>
      <c r="V1084" s="194"/>
      <c r="W1084" s="194"/>
      <c r="X1084" s="194"/>
      <c r="Y1084" s="194"/>
      <c r="Z1084" s="194"/>
      <c r="AA1084" s="194"/>
    </row>
    <row r="1085" spans="1:27" ht="17.399999999999999">
      <c r="A1085" s="222"/>
      <c r="B1085" s="164"/>
      <c r="C1085" s="194"/>
      <c r="D1085" s="161"/>
      <c r="E1085" s="194"/>
      <c r="F1085" s="198"/>
      <c r="G1085" s="194" t="str">
        <f ca="1">IFERROR(__xludf.DUMMYFUNCTION("""COMPUTED_VALUE"""),"DECK 10 DECK TAUARI PREMIUM TG 2,5 X 5 X COMPR. VARIAVEIS")</f>
        <v>DECK 10 DECK TAUARI PREMIUM TG 2,5 X 5 X COMPR. VARIAVEIS</v>
      </c>
      <c r="H1085" s="192" t="s">
        <v>1172</v>
      </c>
      <c r="I1085" s="182" t="str">
        <f t="shared" ca="1" si="6"/>
        <v/>
      </c>
      <c r="J1085" s="184"/>
      <c r="K1085" s="198"/>
      <c r="L1085" s="194" t="s">
        <v>1172</v>
      </c>
      <c r="M1085" s="194"/>
      <c r="N1085" s="194"/>
      <c r="O1085" s="194"/>
      <c r="P1085" s="194"/>
      <c r="Q1085" s="194"/>
      <c r="R1085" s="194"/>
      <c r="S1085" s="194"/>
      <c r="T1085" s="194"/>
      <c r="U1085" s="194"/>
      <c r="V1085" s="194"/>
      <c r="W1085" s="194"/>
      <c r="X1085" s="194"/>
      <c r="Y1085" s="194"/>
      <c r="Z1085" s="194"/>
      <c r="AA1085" s="194"/>
    </row>
    <row r="1086" spans="1:27" ht="17.399999999999999">
      <c r="A1086" s="222"/>
      <c r="B1086" s="164"/>
      <c r="C1086" s="194"/>
      <c r="D1086" s="161"/>
      <c r="E1086" s="194"/>
      <c r="F1086" s="198"/>
      <c r="G1086" s="194" t="str">
        <f ca="1">IFERROR(__xludf.DUMMYFUNCTION("""COMPUTED_VALUE"""),"DECK 10 DECK TAUARI PREMIUM TG 2,5 X 10 X COMPR. VARIAVEIS")</f>
        <v>DECK 10 DECK TAUARI PREMIUM TG 2,5 X 10 X COMPR. VARIAVEIS</v>
      </c>
      <c r="H1086" s="192" t="s">
        <v>1173</v>
      </c>
      <c r="I1086" s="182" t="str">
        <f t="shared" ca="1" si="6"/>
        <v/>
      </c>
      <c r="J1086" s="184"/>
      <c r="K1086" s="198"/>
      <c r="L1086" s="194" t="s">
        <v>1173</v>
      </c>
      <c r="M1086" s="194"/>
      <c r="N1086" s="194"/>
      <c r="O1086" s="194"/>
      <c r="P1086" s="194"/>
      <c r="Q1086" s="194"/>
      <c r="R1086" s="194"/>
      <c r="S1086" s="194"/>
      <c r="T1086" s="194"/>
      <c r="U1086" s="194"/>
      <c r="V1086" s="194"/>
      <c r="W1086" s="194"/>
      <c r="X1086" s="194"/>
      <c r="Y1086" s="194"/>
      <c r="Z1086" s="194"/>
      <c r="AA1086" s="194"/>
    </row>
    <row r="1087" spans="1:27" ht="17.399999999999999">
      <c r="A1087" s="222"/>
      <c r="B1087" s="164"/>
      <c r="C1087" s="194"/>
      <c r="D1087" s="161"/>
      <c r="E1087" s="194"/>
      <c r="F1087" s="198"/>
      <c r="G1087" s="194" t="str">
        <f ca="1">IFERROR(__xludf.DUMMYFUNCTION("""COMPUTED_VALUE"""),"DECK 10 DECK PEROBA PREMIUM TG 2,5 X 5 X COMPR. VARIAVEIS")</f>
        <v>DECK 10 DECK PEROBA PREMIUM TG 2,5 X 5 X COMPR. VARIAVEIS</v>
      </c>
      <c r="H1087" s="192" t="s">
        <v>1174</v>
      </c>
      <c r="I1087" s="182" t="str">
        <f t="shared" ca="1" si="6"/>
        <v/>
      </c>
      <c r="J1087" s="184"/>
      <c r="K1087" s="198"/>
      <c r="L1087" s="194" t="s">
        <v>1174</v>
      </c>
      <c r="M1087" s="194"/>
      <c r="N1087" s="194"/>
      <c r="O1087" s="194"/>
      <c r="P1087" s="194"/>
      <c r="Q1087" s="194"/>
      <c r="R1087" s="194"/>
      <c r="S1087" s="194"/>
      <c r="T1087" s="194"/>
      <c r="U1087" s="194"/>
      <c r="V1087" s="194"/>
      <c r="W1087" s="194"/>
      <c r="X1087" s="194"/>
      <c r="Y1087" s="194"/>
      <c r="Z1087" s="194"/>
      <c r="AA1087" s="194"/>
    </row>
    <row r="1088" spans="1:27" ht="17.399999999999999">
      <c r="A1088" s="222"/>
      <c r="B1088" s="164"/>
      <c r="C1088" s="194"/>
      <c r="D1088" s="161"/>
      <c r="E1088" s="194"/>
      <c r="F1088" s="198"/>
      <c r="G1088" s="194" t="str">
        <f ca="1">IFERROR(__xludf.DUMMYFUNCTION("""COMPUTED_VALUE"""),"DECK 10 DECK PEROBA PREMIUM TG 2,5 X 10 X COMPR. VARIAVEIS")</f>
        <v>DECK 10 DECK PEROBA PREMIUM TG 2,5 X 10 X COMPR. VARIAVEIS</v>
      </c>
      <c r="H1088" s="192" t="s">
        <v>1175</v>
      </c>
      <c r="I1088" s="182" t="str">
        <f t="shared" ca="1" si="6"/>
        <v/>
      </c>
      <c r="J1088" s="184"/>
      <c r="K1088" s="198"/>
      <c r="L1088" s="194" t="s">
        <v>1175</v>
      </c>
      <c r="M1088" s="194"/>
      <c r="N1088" s="194"/>
      <c r="O1088" s="194"/>
      <c r="P1088" s="194"/>
      <c r="Q1088" s="194"/>
      <c r="R1088" s="194"/>
      <c r="S1088" s="194"/>
      <c r="T1088" s="194"/>
      <c r="U1088" s="194"/>
      <c r="V1088" s="194"/>
      <c r="W1088" s="194"/>
      <c r="X1088" s="194"/>
      <c r="Y1088" s="194"/>
      <c r="Z1088" s="194"/>
      <c r="AA1088" s="194"/>
    </row>
    <row r="1089" spans="1:27" ht="17.399999999999999">
      <c r="A1089" s="222"/>
      <c r="B1089" s="164"/>
      <c r="C1089" s="194"/>
      <c r="D1089" s="161"/>
      <c r="E1089" s="194"/>
      <c r="F1089" s="198"/>
      <c r="G1089" s="194" t="str">
        <f ca="1">IFERROR(__xludf.DUMMYFUNCTION("""COMPUTED_VALUE"""),"DECK 10 DECK BAMBU CARAMEL ALTA DENSIDADE")</f>
        <v>DECK 10 DECK BAMBU CARAMEL ALTA DENSIDADE</v>
      </c>
      <c r="H1089" s="192" t="s">
        <v>1176</v>
      </c>
      <c r="I1089" s="182" t="str">
        <f t="shared" ca="1" si="6"/>
        <v/>
      </c>
      <c r="J1089" s="184"/>
      <c r="K1089" s="198"/>
      <c r="L1089" s="194" t="s">
        <v>1176</v>
      </c>
      <c r="M1089" s="194"/>
      <c r="N1089" s="194"/>
      <c r="O1089" s="194"/>
      <c r="P1089" s="194"/>
      <c r="Q1089" s="194"/>
      <c r="R1089" s="194"/>
      <c r="S1089" s="194"/>
      <c r="T1089" s="194"/>
      <c r="U1089" s="194"/>
      <c r="V1089" s="194"/>
      <c r="W1089" s="194"/>
      <c r="X1089" s="194"/>
      <c r="Y1089" s="194"/>
      <c r="Z1089" s="194"/>
      <c r="AA1089" s="194"/>
    </row>
    <row r="1090" spans="1:27" ht="17.399999999999999">
      <c r="A1090" s="222"/>
      <c r="B1090" s="164"/>
      <c r="C1090" s="194"/>
      <c r="D1090" s="161"/>
      <c r="E1090" s="194"/>
      <c r="F1090" s="198"/>
      <c r="G1090" s="194" t="str">
        <f ca="1">IFERROR(__xludf.DUMMYFUNCTION("""COMPUTED_VALUE"""),"DECK 10 DECK BPC CINZA ESCURO 2 X15X 290CM PÇ/0.435M2")</f>
        <v>DECK 10 DECK BPC CINZA ESCURO 2 X15X 290CM PÇ/0.435M2</v>
      </c>
      <c r="H1090" s="192" t="s">
        <v>1177</v>
      </c>
      <c r="I1090" s="182" t="str">
        <f t="shared" ca="1" si="6"/>
        <v/>
      </c>
      <c r="J1090" s="184"/>
      <c r="K1090" s="198"/>
      <c r="L1090" s="194" t="s">
        <v>1177</v>
      </c>
      <c r="M1090" s="194"/>
      <c r="N1090" s="194"/>
      <c r="O1090" s="194"/>
      <c r="P1090" s="194"/>
      <c r="Q1090" s="194"/>
      <c r="R1090" s="194"/>
      <c r="S1090" s="194"/>
      <c r="T1090" s="194"/>
      <c r="U1090" s="194"/>
      <c r="V1090" s="194"/>
      <c r="W1090" s="194"/>
      <c r="X1090" s="194"/>
      <c r="Y1090" s="194"/>
      <c r="Z1090" s="194"/>
      <c r="AA1090" s="194"/>
    </row>
    <row r="1091" spans="1:27" ht="17.399999999999999">
      <c r="A1091" s="222"/>
      <c r="B1091" s="164"/>
      <c r="C1091" s="194"/>
      <c r="D1091" s="161"/>
      <c r="E1091" s="194"/>
      <c r="F1091" s="198"/>
      <c r="G1091" s="194" t="str">
        <f ca="1">IFERROR(__xludf.DUMMYFUNCTION("""COMPUTED_VALUE"""),"DECK 10 DECK BPC MORROM 2X15X220CM")</f>
        <v>DECK 10 DECK BPC MORROM 2X15X220CM</v>
      </c>
      <c r="H1091" s="192" t="s">
        <v>1178</v>
      </c>
      <c r="I1091" s="182" t="str">
        <f t="shared" ca="1" si="6"/>
        <v/>
      </c>
      <c r="J1091" s="184"/>
      <c r="K1091" s="198"/>
      <c r="L1091" s="194" t="s">
        <v>1178</v>
      </c>
      <c r="M1091" s="194"/>
      <c r="N1091" s="194"/>
      <c r="O1091" s="194"/>
      <c r="P1091" s="194"/>
      <c r="Q1091" s="194"/>
      <c r="R1091" s="194"/>
      <c r="S1091" s="194"/>
      <c r="T1091" s="194"/>
      <c r="U1091" s="194"/>
      <c r="V1091" s="194"/>
      <c r="W1091" s="194"/>
      <c r="X1091" s="194"/>
      <c r="Y1091" s="194"/>
      <c r="Z1091" s="194"/>
      <c r="AA1091" s="194"/>
    </row>
    <row r="1092" spans="1:27" ht="17.399999999999999">
      <c r="A1092" s="222"/>
      <c r="B1092" s="164"/>
      <c r="C1092" s="194"/>
      <c r="D1092" s="161"/>
      <c r="E1092" s="194"/>
      <c r="F1092" s="198"/>
      <c r="G1092" s="194" t="str">
        <f ca="1">IFERROR(__xludf.DUMMYFUNCTION("""COMPUTED_VALUE"""),"DECK 10 DECK WPC CINZA 2,2*14,6*220CM")</f>
        <v>DECK 10 DECK WPC CINZA 2,2*14,6*220CM</v>
      </c>
      <c r="H1092" s="192" t="s">
        <v>1179</v>
      </c>
      <c r="I1092" s="182" t="str">
        <f t="shared" ca="1" si="6"/>
        <v/>
      </c>
      <c r="J1092" s="184"/>
      <c r="K1092" s="198"/>
      <c r="L1092" s="194" t="s">
        <v>1179</v>
      </c>
      <c r="M1092" s="194"/>
      <c r="N1092" s="194"/>
      <c r="O1092" s="194"/>
      <c r="P1092" s="194"/>
      <c r="Q1092" s="194"/>
      <c r="R1092" s="194"/>
      <c r="S1092" s="194"/>
      <c r="T1092" s="194"/>
      <c r="U1092" s="194"/>
      <c r="V1092" s="194"/>
      <c r="W1092" s="194"/>
      <c r="X1092" s="194"/>
      <c r="Y1092" s="194"/>
      <c r="Z1092" s="194"/>
      <c r="AA1092" s="194"/>
    </row>
    <row r="1093" spans="1:27" ht="17.399999999999999">
      <c r="A1093" s="222"/>
      <c r="B1093" s="164"/>
      <c r="C1093" s="194"/>
      <c r="D1093" s="161"/>
      <c r="E1093" s="194"/>
      <c r="F1093" s="198"/>
      <c r="G1093" s="194" t="str">
        <f ca="1">IFERROR(__xludf.DUMMYFUNCTION("""COMPUTED_VALUE"""),"DECK 10 PEROBA RUSTICA DE DEMOLIÇÃO")</f>
        <v>DECK 10 PEROBA RUSTICA DE DEMOLIÇÃO</v>
      </c>
      <c r="H1093" s="192" t="s">
        <v>1180</v>
      </c>
      <c r="I1093" s="182" t="str">
        <f t="shared" ca="1" si="6"/>
        <v/>
      </c>
      <c r="J1093" s="184"/>
      <c r="K1093" s="198"/>
      <c r="L1093" s="194" t="s">
        <v>1180</v>
      </c>
      <c r="M1093" s="194"/>
      <c r="N1093" s="194"/>
      <c r="O1093" s="194"/>
      <c r="P1093" s="194"/>
      <c r="Q1093" s="194"/>
      <c r="R1093" s="194"/>
      <c r="S1093" s="194"/>
      <c r="T1093" s="194"/>
      <c r="U1093" s="194"/>
      <c r="V1093" s="194"/>
      <c r="W1093" s="194"/>
      <c r="X1093" s="194"/>
      <c r="Y1093" s="194"/>
      <c r="Z1093" s="194"/>
      <c r="AA1093" s="194"/>
    </row>
    <row r="1094" spans="1:27" ht="17.399999999999999">
      <c r="A1094" s="222"/>
      <c r="B1094" s="164"/>
      <c r="C1094" s="194"/>
      <c r="D1094" s="161"/>
      <c r="E1094" s="194"/>
      <c r="F1094" s="198"/>
      <c r="G1094" s="194" t="str">
        <f ca="1">IFERROR(__xludf.DUMMYFUNCTION("""COMPUTED_VALUE"""),"DECK 10 CANELA RUSTICA DE DEMOLIÇÃO")</f>
        <v>DECK 10 CANELA RUSTICA DE DEMOLIÇÃO</v>
      </c>
      <c r="H1094" s="192" t="s">
        <v>1181</v>
      </c>
      <c r="I1094" s="182" t="str">
        <f t="shared" ca="1" si="6"/>
        <v/>
      </c>
      <c r="J1094" s="184"/>
      <c r="K1094" s="198"/>
      <c r="L1094" s="194" t="s">
        <v>1181</v>
      </c>
      <c r="M1094" s="194"/>
      <c r="N1094" s="194"/>
      <c r="O1094" s="194"/>
      <c r="P1094" s="194"/>
      <c r="Q1094" s="194"/>
      <c r="R1094" s="194"/>
      <c r="S1094" s="194"/>
      <c r="T1094" s="194"/>
      <c r="U1094" s="194"/>
      <c r="V1094" s="194"/>
      <c r="W1094" s="194"/>
      <c r="X1094" s="194"/>
      <c r="Y1094" s="194"/>
      <c r="Z1094" s="194"/>
      <c r="AA1094" s="194"/>
    </row>
    <row r="1095" spans="1:27" ht="17.399999999999999">
      <c r="A1095" s="222"/>
      <c r="B1095" s="164"/>
      <c r="C1095" s="194"/>
      <c r="D1095" s="161"/>
      <c r="E1095" s="194"/>
      <c r="F1095" s="198"/>
      <c r="G1095" s="194" t="str">
        <f ca="1">IFERROR(__xludf.DUMMYFUNCTION("""COMPUTED_VALUE"""),"DECK 05 CARVALHO EUROPEU MARRONE CHEVRON 15/3 X 1900X 740MM")</f>
        <v>DECK 05 CARVALHO EUROPEU MARRONE CHEVRON 15/3 X 1900X 740MM</v>
      </c>
      <c r="H1095" s="192" t="s">
        <v>1182</v>
      </c>
      <c r="I1095" s="182" t="str">
        <f t="shared" ca="1" si="6"/>
        <v/>
      </c>
      <c r="J1095" s="184"/>
      <c r="K1095" s="198"/>
      <c r="L1095" s="194" t="s">
        <v>1182</v>
      </c>
      <c r="M1095" s="194"/>
      <c r="N1095" s="194"/>
      <c r="O1095" s="194"/>
      <c r="P1095" s="194"/>
      <c r="Q1095" s="194"/>
      <c r="R1095" s="194"/>
      <c r="S1095" s="194"/>
      <c r="T1095" s="194"/>
      <c r="U1095" s="194"/>
      <c r="V1095" s="194"/>
      <c r="W1095" s="194"/>
      <c r="X1095" s="194"/>
      <c r="Y1095" s="194"/>
      <c r="Z1095" s="194"/>
      <c r="AA1095" s="194"/>
    </row>
    <row r="1096" spans="1:27" ht="17.399999999999999">
      <c r="A1096" s="222"/>
      <c r="B1096" s="164"/>
      <c r="C1096" s="194"/>
      <c r="D1096" s="161"/>
      <c r="E1096" s="194"/>
      <c r="F1096" s="198"/>
      <c r="G1096" s="194" t="str">
        <f ca="1">IFERROR(__xludf.DUMMYFUNCTION("""COMPUTED_VALUE"""),"DECK 05 CARVALHO EUROPEU MARRONE 15/3 X 125 X 1200MM")</f>
        <v>DECK 05 CARVALHO EUROPEU MARRONE 15/3 X 125 X 1200MM</v>
      </c>
      <c r="I1096" s="182" t="str">
        <f t="shared" ca="1" si="6"/>
        <v/>
      </c>
      <c r="J1096" s="184"/>
      <c r="K1096" s="198"/>
      <c r="L1096" s="194"/>
      <c r="M1096" s="194"/>
      <c r="N1096" s="194"/>
      <c r="O1096" s="194"/>
      <c r="P1096" s="194"/>
      <c r="Q1096" s="194"/>
      <c r="R1096" s="194"/>
      <c r="S1096" s="194"/>
      <c r="T1096" s="194"/>
      <c r="U1096" s="194"/>
      <c r="V1096" s="194"/>
      <c r="W1096" s="194"/>
      <c r="X1096" s="194"/>
      <c r="Y1096" s="194"/>
      <c r="Z1096" s="194"/>
      <c r="AA1096" s="194"/>
    </row>
    <row r="1097" spans="1:27" ht="17.399999999999999">
      <c r="A1097" s="222"/>
      <c r="B1097" s="164"/>
      <c r="C1097" s="194"/>
      <c r="D1097" s="161"/>
      <c r="E1097" s="194"/>
      <c r="F1097" s="198"/>
      <c r="G1097" s="194" t="str">
        <f ca="1">IFERROR(__xludf.DUMMYFUNCTION("""COMPUTED_VALUE"""),"DECK 05 CARVALHO EUROPEU MARRONE 15/3 X 190 X 1900MM")</f>
        <v>DECK 05 CARVALHO EUROPEU MARRONE 15/3 X 190 X 1900MM</v>
      </c>
      <c r="I1097" s="182" t="str">
        <f t="shared" ca="1" si="6"/>
        <v/>
      </c>
      <c r="J1097" s="184"/>
      <c r="K1097" s="198"/>
      <c r="L1097" s="194"/>
      <c r="M1097" s="194"/>
      <c r="N1097" s="194"/>
      <c r="O1097" s="194"/>
      <c r="P1097" s="194"/>
      <c r="Q1097" s="194"/>
      <c r="R1097" s="194"/>
      <c r="S1097" s="194"/>
      <c r="T1097" s="194"/>
      <c r="U1097" s="194"/>
      <c r="V1097" s="194"/>
      <c r="W1097" s="194"/>
      <c r="X1097" s="194"/>
      <c r="Y1097" s="194"/>
      <c r="Z1097" s="194"/>
      <c r="AA1097" s="194"/>
    </row>
    <row r="1098" spans="1:27" ht="17.399999999999999">
      <c r="A1098" s="222"/>
      <c r="B1098" s="164"/>
      <c r="C1098" s="194"/>
      <c r="D1098" s="161"/>
      <c r="E1098" s="194"/>
      <c r="F1098" s="198"/>
      <c r="G1098" s="194" t="str">
        <f ca="1">IFERROR(__xludf.DUMMYFUNCTION("""COMPUTED_VALUE"""),"DECK 05 CARVALHO EUROPEU MARRONE 20/6 X 300 X 4000MM")</f>
        <v>DECK 05 CARVALHO EUROPEU MARRONE 20/6 X 300 X 4000MM</v>
      </c>
      <c r="I1098" s="182" t="str">
        <f t="shared" ca="1" si="6"/>
        <v/>
      </c>
      <c r="J1098" s="184"/>
      <c r="K1098" s="198"/>
      <c r="L1098" s="194"/>
      <c r="M1098" s="194"/>
      <c r="N1098" s="194"/>
      <c r="O1098" s="194"/>
      <c r="P1098" s="194"/>
      <c r="Q1098" s="194"/>
      <c r="R1098" s="194"/>
      <c r="S1098" s="194"/>
      <c r="T1098" s="194"/>
      <c r="U1098" s="194"/>
      <c r="V1098" s="194"/>
      <c r="W1098" s="194"/>
      <c r="X1098" s="194"/>
      <c r="Y1098" s="194"/>
      <c r="Z1098" s="194"/>
      <c r="AA1098" s="194"/>
    </row>
    <row r="1099" spans="1:27" ht="17.399999999999999">
      <c r="A1099" s="222"/>
      <c r="B1099" s="164"/>
      <c r="C1099" s="194"/>
      <c r="D1099" s="161"/>
      <c r="E1099" s="194"/>
      <c r="F1099" s="198"/>
      <c r="G1099" s="194" t="str">
        <f ca="1">IFERROR(__xludf.DUMMYFUNCTION("""COMPUTED_VALUE"""),"DECK 05 CARVALHO EUROPEU MARRONE 20/6 X 400 X 5000MM")</f>
        <v>DECK 05 CARVALHO EUROPEU MARRONE 20/6 X 400 X 5000MM</v>
      </c>
      <c r="I1099" s="182" t="str">
        <f t="shared" ca="1" si="6"/>
        <v/>
      </c>
      <c r="J1099" s="184"/>
      <c r="K1099" s="198"/>
      <c r="L1099" s="194"/>
      <c r="M1099" s="194"/>
      <c r="N1099" s="194"/>
      <c r="O1099" s="194"/>
      <c r="P1099" s="194"/>
      <c r="Q1099" s="194"/>
      <c r="R1099" s="194"/>
      <c r="S1099" s="194"/>
      <c r="T1099" s="194"/>
      <c r="U1099" s="194"/>
      <c r="V1099" s="194"/>
      <c r="W1099" s="194"/>
      <c r="X1099" s="194"/>
      <c r="Y1099" s="194"/>
      <c r="Z1099" s="194"/>
      <c r="AA1099" s="194"/>
    </row>
    <row r="1100" spans="1:27" ht="17.399999999999999">
      <c r="A1100" s="222"/>
      <c r="B1100" s="164"/>
      <c r="C1100" s="194"/>
      <c r="D1100" s="161"/>
      <c r="E1100" s="194"/>
      <c r="F1100" s="198"/>
      <c r="G1100" s="194" t="str">
        <f ca="1">IFERROR(__xludf.DUMMYFUNCTION("""COMPUTED_VALUE"""),"DECK 05 CARVALHO EUROPEU MONT BLANC CHEVRON 15/3 X 1900X 740MM")</f>
        <v>DECK 05 CARVALHO EUROPEU MONT BLANC CHEVRON 15/3 X 1900X 740MM</v>
      </c>
      <c r="I1100" s="182" t="str">
        <f t="shared" ca="1" si="6"/>
        <v/>
      </c>
      <c r="J1100" s="184"/>
      <c r="K1100" s="198"/>
      <c r="L1100" s="194"/>
      <c r="M1100" s="194"/>
      <c r="N1100" s="194"/>
      <c r="O1100" s="194"/>
      <c r="P1100" s="194"/>
      <c r="Q1100" s="194"/>
      <c r="R1100" s="194"/>
      <c r="S1100" s="194"/>
      <c r="T1100" s="194"/>
      <c r="U1100" s="194"/>
      <c r="V1100" s="194"/>
      <c r="W1100" s="194"/>
      <c r="X1100" s="194"/>
      <c r="Y1100" s="194"/>
      <c r="Z1100" s="194"/>
      <c r="AA1100" s="194"/>
    </row>
    <row r="1101" spans="1:27" ht="17.399999999999999">
      <c r="A1101" s="222"/>
      <c r="B1101" s="164"/>
      <c r="C1101" s="194"/>
      <c r="D1101" s="161"/>
      <c r="E1101" s="194"/>
      <c r="F1101" s="198"/>
      <c r="G1101" s="194" t="str">
        <f ca="1">IFERROR(__xludf.DUMMYFUNCTION("""COMPUTED_VALUE"""),"DECK 05 CARVALHO EUROPEU MONT BLANC ESPINHA DE PEIXE TG 15/3 X 125X900MM")</f>
        <v>DECK 05 CARVALHO EUROPEU MONT BLANC ESPINHA DE PEIXE TG 15/3 X 125X900MM</v>
      </c>
      <c r="I1101" s="182" t="str">
        <f t="shared" ca="1" si="6"/>
        <v/>
      </c>
      <c r="J1101" s="184"/>
      <c r="K1101" s="198"/>
      <c r="L1101" s="194"/>
      <c r="M1101" s="194"/>
      <c r="N1101" s="194"/>
      <c r="O1101" s="194"/>
      <c r="P1101" s="194"/>
      <c r="Q1101" s="194"/>
      <c r="R1101" s="194"/>
      <c r="S1101" s="194"/>
      <c r="T1101" s="194"/>
      <c r="U1101" s="194"/>
      <c r="V1101" s="194"/>
      <c r="W1101" s="194"/>
      <c r="X1101" s="194"/>
      <c r="Y1101" s="194"/>
      <c r="Z1101" s="194"/>
      <c r="AA1101" s="194"/>
    </row>
    <row r="1102" spans="1:27" ht="17.399999999999999">
      <c r="A1102" s="222"/>
      <c r="B1102" s="164"/>
      <c r="C1102" s="194"/>
      <c r="D1102" s="161"/>
      <c r="E1102" s="194"/>
      <c r="F1102" s="198"/>
      <c r="G1102" s="194" t="str">
        <f ca="1">IFERROR(__xludf.DUMMYFUNCTION("""COMPUTED_VALUE"""),"DECK 05 CARVALHO EUROPEU MONT BLANC 15/3 X 125 X 1200MM")</f>
        <v>DECK 05 CARVALHO EUROPEU MONT BLANC 15/3 X 125 X 1200MM</v>
      </c>
      <c r="I1102" s="182" t="str">
        <f t="shared" ca="1" si="6"/>
        <v/>
      </c>
      <c r="J1102" s="184"/>
      <c r="K1102" s="198"/>
      <c r="L1102" s="194"/>
      <c r="M1102" s="194"/>
      <c r="N1102" s="194"/>
      <c r="O1102" s="194"/>
      <c r="P1102" s="194"/>
      <c r="Q1102" s="194"/>
      <c r="R1102" s="194"/>
      <c r="S1102" s="194"/>
      <c r="T1102" s="194"/>
      <c r="U1102" s="194"/>
      <c r="V1102" s="194"/>
      <c r="W1102" s="194"/>
      <c r="X1102" s="194"/>
      <c r="Y1102" s="194"/>
      <c r="Z1102" s="194"/>
      <c r="AA1102" s="194"/>
    </row>
    <row r="1103" spans="1:27" ht="17.399999999999999">
      <c r="A1103" s="222"/>
      <c r="B1103" s="164"/>
      <c r="C1103" s="194"/>
      <c r="D1103" s="161"/>
      <c r="E1103" s="194"/>
      <c r="F1103" s="198"/>
      <c r="G1103" s="194" t="str">
        <f ca="1">IFERROR(__xludf.DUMMYFUNCTION("""COMPUTED_VALUE"""),"DECK 05 CARVALHO EUROPEU MONT BLANC 15/3 X 190 X 1900MM")</f>
        <v>DECK 05 CARVALHO EUROPEU MONT BLANC 15/3 X 190 X 1900MM</v>
      </c>
      <c r="I1103" s="182" t="str">
        <f t="shared" ca="1" si="6"/>
        <v/>
      </c>
      <c r="J1103" s="184"/>
      <c r="K1103" s="198"/>
      <c r="L1103" s="194"/>
      <c r="M1103" s="194"/>
      <c r="N1103" s="194"/>
      <c r="O1103" s="194"/>
      <c r="P1103" s="194"/>
      <c r="Q1103" s="194"/>
      <c r="R1103" s="194"/>
      <c r="S1103" s="194"/>
      <c r="T1103" s="194"/>
      <c r="U1103" s="194"/>
      <c r="V1103" s="194"/>
      <c r="W1103" s="194"/>
      <c r="X1103" s="194"/>
      <c r="Y1103" s="194"/>
      <c r="Z1103" s="194"/>
      <c r="AA1103" s="194"/>
    </row>
    <row r="1104" spans="1:27" ht="17.399999999999999">
      <c r="A1104" s="222"/>
      <c r="B1104" s="164"/>
      <c r="C1104" s="194"/>
      <c r="D1104" s="161"/>
      <c r="E1104" s="194"/>
      <c r="F1104" s="198"/>
      <c r="G1104" s="194" t="str">
        <f ca="1">IFERROR(__xludf.DUMMYFUNCTION("""COMPUTED_VALUE"""),"DECK 05 CARVALHO EUROPEU MONT BLANC 20/6 X 300 X 4000MM")</f>
        <v>DECK 05 CARVALHO EUROPEU MONT BLANC 20/6 X 300 X 4000MM</v>
      </c>
      <c r="I1104" s="182" t="str">
        <f t="shared" ca="1" si="6"/>
        <v/>
      </c>
      <c r="J1104" s="184"/>
      <c r="K1104" s="198"/>
      <c r="L1104" s="194"/>
      <c r="M1104" s="194"/>
      <c r="N1104" s="194"/>
      <c r="O1104" s="194"/>
      <c r="P1104" s="194"/>
      <c r="Q1104" s="194"/>
      <c r="R1104" s="194"/>
      <c r="S1104" s="194"/>
      <c r="T1104" s="194"/>
      <c r="U1104" s="194"/>
      <c r="V1104" s="194"/>
      <c r="W1104" s="194"/>
      <c r="X1104" s="194"/>
      <c r="Y1104" s="194"/>
      <c r="Z1104" s="194"/>
      <c r="AA1104" s="194"/>
    </row>
    <row r="1105" spans="1:27" ht="17.399999999999999">
      <c r="A1105" s="222"/>
      <c r="B1105" s="164"/>
      <c r="C1105" s="194"/>
      <c r="D1105" s="161"/>
      <c r="E1105" s="194"/>
      <c r="F1105" s="198"/>
      <c r="G1105" s="194" t="str">
        <f ca="1">IFERROR(__xludf.DUMMYFUNCTION("""COMPUTED_VALUE"""),"DECK 05 CARVALHO EUROPEU MONT BLANC 20/6 X 400 X 5000MM")</f>
        <v>DECK 05 CARVALHO EUROPEU MONT BLANC 20/6 X 400 X 5000MM</v>
      </c>
      <c r="I1105" s="182" t="str">
        <f t="shared" ca="1" si="6"/>
        <v/>
      </c>
      <c r="J1105" s="184"/>
      <c r="K1105" s="198"/>
      <c r="L1105" s="194"/>
      <c r="M1105" s="194"/>
      <c r="N1105" s="194"/>
      <c r="O1105" s="194"/>
      <c r="P1105" s="194"/>
      <c r="Q1105" s="194"/>
      <c r="R1105" s="194"/>
      <c r="S1105" s="194"/>
      <c r="T1105" s="194"/>
      <c r="U1105" s="194"/>
      <c r="V1105" s="194"/>
      <c r="W1105" s="194"/>
      <c r="X1105" s="194"/>
      <c r="Y1105" s="194"/>
      <c r="Z1105" s="194"/>
      <c r="AA1105" s="194"/>
    </row>
    <row r="1106" spans="1:27" ht="17.399999999999999">
      <c r="A1106" s="222"/>
      <c r="B1106" s="164"/>
      <c r="C1106" s="194"/>
      <c r="D1106" s="161"/>
      <c r="E1106" s="194"/>
      <c r="F1106" s="198"/>
      <c r="G1106" s="194" t="str">
        <f ca="1">IFERROR(__xludf.DUMMYFUNCTION("""COMPUTED_VALUE"""),"DECK 05 CARVALHO EUROPEU NATURAL CHEVRON TG 15/3 X 125 X 775MM")</f>
        <v>DECK 05 CARVALHO EUROPEU NATURAL CHEVRON TG 15/3 X 125 X 775MM</v>
      </c>
      <c r="I1106" s="182" t="str">
        <f t="shared" ca="1" si="6"/>
        <v/>
      </c>
      <c r="J1106" s="184"/>
      <c r="K1106" s="198"/>
      <c r="L1106" s="194"/>
      <c r="M1106" s="194"/>
      <c r="N1106" s="194"/>
      <c r="O1106" s="194"/>
      <c r="P1106" s="194"/>
      <c r="Q1106" s="194"/>
      <c r="R1106" s="194"/>
      <c r="S1106" s="194"/>
      <c r="T1106" s="194"/>
      <c r="U1106" s="194"/>
      <c r="V1106" s="194"/>
      <c r="W1106" s="194"/>
      <c r="X1106" s="194"/>
      <c r="Y1106" s="194"/>
      <c r="Z1106" s="194"/>
      <c r="AA1106" s="194"/>
    </row>
    <row r="1107" spans="1:27" ht="17.399999999999999">
      <c r="A1107" s="222"/>
      <c r="B1107" s="164"/>
      <c r="C1107" s="194"/>
      <c r="D1107" s="161"/>
      <c r="E1107" s="194"/>
      <c r="F1107" s="198"/>
      <c r="G1107" s="194" t="str">
        <f ca="1">IFERROR(__xludf.DUMMYFUNCTION("""COMPUTED_VALUE"""),"DECK 05 CARVALHO EUROPEU NATURALLE CHEVRON 15/3 X 1900X 740MM")</f>
        <v>DECK 05 CARVALHO EUROPEU NATURALLE CHEVRON 15/3 X 1900X 740MM</v>
      </c>
      <c r="I1107" s="182" t="str">
        <f t="shared" ca="1" si="6"/>
        <v/>
      </c>
      <c r="J1107" s="184"/>
      <c r="K1107" s="198"/>
      <c r="L1107" s="194"/>
      <c r="M1107" s="194"/>
      <c r="N1107" s="194"/>
      <c r="O1107" s="194"/>
      <c r="P1107" s="194"/>
      <c r="Q1107" s="194"/>
      <c r="R1107" s="194"/>
      <c r="S1107" s="194"/>
      <c r="T1107" s="194"/>
      <c r="U1107" s="194"/>
      <c r="V1107" s="194"/>
      <c r="W1107" s="194"/>
      <c r="X1107" s="194"/>
      <c r="Y1107" s="194"/>
      <c r="Z1107" s="194"/>
      <c r="AA1107" s="194"/>
    </row>
    <row r="1108" spans="1:27" ht="17.399999999999999">
      <c r="A1108" s="222"/>
      <c r="B1108" s="164"/>
      <c r="C1108" s="194"/>
      <c r="D1108" s="161"/>
      <c r="E1108" s="194"/>
      <c r="F1108" s="198"/>
      <c r="G1108" s="194" t="str">
        <f ca="1">IFERROR(__xludf.DUMMYFUNCTION("""COMPUTED_VALUE"""),"DECK 05 CARVALHO EUROPEU NATURALLE CHEVRON 60º 15/3 X 1900X 910MM")</f>
        <v>DECK 05 CARVALHO EUROPEU NATURALLE CHEVRON 60º 15/3 X 1900X 910MM</v>
      </c>
      <c r="I1108" s="182" t="str">
        <f t="shared" ca="1" si="6"/>
        <v/>
      </c>
      <c r="J1108" s="184"/>
      <c r="K1108" s="198"/>
      <c r="L1108" s="194"/>
      <c r="M1108" s="194"/>
      <c r="N1108" s="194"/>
      <c r="O1108" s="194"/>
      <c r="P1108" s="194"/>
      <c r="Q1108" s="194"/>
      <c r="R1108" s="194"/>
      <c r="S1108" s="194"/>
      <c r="T1108" s="194"/>
      <c r="U1108" s="194"/>
      <c r="V1108" s="194"/>
      <c r="W1108" s="194"/>
      <c r="X1108" s="194"/>
      <c r="Y1108" s="194"/>
      <c r="Z1108" s="194"/>
      <c r="AA1108" s="194"/>
    </row>
    <row r="1109" spans="1:27" ht="17.399999999999999">
      <c r="A1109" s="222"/>
      <c r="B1109" s="164"/>
      <c r="C1109" s="194"/>
      <c r="D1109" s="161"/>
      <c r="E1109" s="194"/>
      <c r="F1109" s="198"/>
      <c r="G1109" s="194" t="str">
        <f ca="1">IFERROR(__xludf.DUMMYFUNCTION("""COMPUTED_VALUE"""),"DECK 05 CARVALHO EUROPEU NATURALLE FINE 10/06 X 1900 X 1900MM")</f>
        <v>DECK 05 CARVALHO EUROPEU NATURALLE FINE 10/06 X 1900 X 1900MM</v>
      </c>
      <c r="I1109" s="182" t="str">
        <f t="shared" ca="1" si="6"/>
        <v/>
      </c>
      <c r="J1109" s="184"/>
      <c r="K1109" s="198"/>
      <c r="L1109" s="194"/>
      <c r="M1109" s="194"/>
      <c r="N1109" s="194"/>
      <c r="O1109" s="194"/>
      <c r="P1109" s="194"/>
      <c r="Q1109" s="194"/>
      <c r="R1109" s="194"/>
      <c r="S1109" s="194"/>
      <c r="T1109" s="194"/>
      <c r="U1109" s="194"/>
      <c r="V1109" s="194"/>
      <c r="W1109" s="194"/>
      <c r="X1109" s="194"/>
      <c r="Y1109" s="194"/>
      <c r="Z1109" s="194"/>
      <c r="AA1109" s="194"/>
    </row>
    <row r="1110" spans="1:27" ht="17.399999999999999">
      <c r="A1110" s="222"/>
      <c r="B1110" s="164"/>
      <c r="C1110" s="194"/>
      <c r="D1110" s="161"/>
      <c r="E1110" s="194"/>
      <c r="F1110" s="198"/>
      <c r="G1110" s="194" t="str">
        <f ca="1">IFERROR(__xludf.DUMMYFUNCTION("""COMPUTED_VALUE"""),"DECK 05 CARVALHO EUROPEU NATURALLE 15/3 X 125 X 1200MM")</f>
        <v>DECK 05 CARVALHO EUROPEU NATURALLE 15/3 X 125 X 1200MM</v>
      </c>
      <c r="I1110" s="182" t="str">
        <f t="shared" ca="1" si="6"/>
        <v/>
      </c>
      <c r="J1110" s="184"/>
      <c r="K1110" s="198"/>
      <c r="L1110" s="194"/>
      <c r="M1110" s="194"/>
      <c r="N1110" s="194"/>
      <c r="O1110" s="194"/>
      <c r="P1110" s="194"/>
      <c r="Q1110" s="194"/>
      <c r="R1110" s="194"/>
      <c r="S1110" s="194"/>
      <c r="T1110" s="194"/>
      <c r="U1110" s="194"/>
      <c r="V1110" s="194"/>
      <c r="W1110" s="194"/>
      <c r="X1110" s="194"/>
      <c r="Y1110" s="194"/>
      <c r="Z1110" s="194"/>
      <c r="AA1110" s="194"/>
    </row>
    <row r="1111" spans="1:27" ht="17.399999999999999">
      <c r="A1111" s="222"/>
      <c r="B1111" s="164"/>
      <c r="C1111" s="194"/>
      <c r="D1111" s="161"/>
      <c r="E1111" s="194"/>
      <c r="F1111" s="198"/>
      <c r="G1111" s="194" t="str">
        <f ca="1">IFERROR(__xludf.DUMMYFUNCTION("""COMPUTED_VALUE"""),"DECK 05 CARVALHO EUROPEU NATURALLE 15/3 X 190 X 1900MM")</f>
        <v>DECK 05 CARVALHO EUROPEU NATURALLE 15/3 X 190 X 1900MM</v>
      </c>
      <c r="I1111" s="182" t="str">
        <f t="shared" ca="1" si="6"/>
        <v/>
      </c>
      <c r="J1111" s="184"/>
      <c r="K1111" s="198"/>
      <c r="L1111" s="194"/>
      <c r="M1111" s="194"/>
      <c r="N1111" s="194"/>
      <c r="O1111" s="194"/>
      <c r="P1111" s="194"/>
      <c r="Q1111" s="194"/>
      <c r="R1111" s="194"/>
      <c r="S1111" s="194"/>
      <c r="T1111" s="194"/>
      <c r="U1111" s="194"/>
      <c r="V1111" s="194"/>
      <c r="W1111" s="194"/>
      <c r="X1111" s="194"/>
      <c r="Y1111" s="194"/>
      <c r="Z1111" s="194"/>
      <c r="AA1111" s="194"/>
    </row>
    <row r="1112" spans="1:27" ht="17.399999999999999">
      <c r="A1112" s="222"/>
      <c r="B1112" s="164"/>
      <c r="C1112" s="194"/>
      <c r="D1112" s="161"/>
      <c r="E1112" s="194"/>
      <c r="F1112" s="198"/>
      <c r="G1112" s="194" t="str">
        <f ca="1">IFERROR(__xludf.DUMMYFUNCTION("""COMPUTED_VALUE"""),"DECK 05 CARVALHO EUROPEU NATURALLE 20/6 X 300 X 4000MM")</f>
        <v>DECK 05 CARVALHO EUROPEU NATURALLE 20/6 X 300 X 4000MM</v>
      </c>
      <c r="I1112" s="182" t="str">
        <f t="shared" ca="1" si="6"/>
        <v/>
      </c>
      <c r="J1112" s="184"/>
      <c r="K1112" s="198"/>
      <c r="L1112" s="194"/>
      <c r="M1112" s="194"/>
      <c r="N1112" s="194"/>
      <c r="O1112" s="194"/>
      <c r="P1112" s="194"/>
      <c r="Q1112" s="194"/>
      <c r="R1112" s="194"/>
      <c r="S1112" s="194"/>
      <c r="T1112" s="194"/>
      <c r="U1112" s="194"/>
      <c r="V1112" s="194"/>
      <c r="W1112" s="194"/>
      <c r="X1112" s="194"/>
      <c r="Y1112" s="194"/>
      <c r="Z1112" s="194"/>
      <c r="AA1112" s="194"/>
    </row>
    <row r="1113" spans="1:27" ht="17.399999999999999">
      <c r="A1113" s="222"/>
      <c r="B1113" s="164"/>
      <c r="C1113" s="194"/>
      <c r="D1113" s="161"/>
      <c r="E1113" s="194"/>
      <c r="F1113" s="198"/>
      <c r="G1113" s="194" t="str">
        <f ca="1">IFERROR(__xludf.DUMMYFUNCTION("""COMPUTED_VALUE"""),"DECK 05 CARVALHO EUROPEU NATURALLE 20/6 X 400 X 5000MM")</f>
        <v>DECK 05 CARVALHO EUROPEU NATURALLE 20/6 X 400 X 5000MM</v>
      </c>
      <c r="I1113" s="182" t="str">
        <f t="shared" ca="1" si="6"/>
        <v/>
      </c>
      <c r="J1113" s="184"/>
      <c r="K1113" s="198"/>
      <c r="L1113" s="194"/>
      <c r="M1113" s="194"/>
      <c r="N1113" s="194"/>
      <c r="O1113" s="194"/>
      <c r="P1113" s="194"/>
      <c r="Q1113" s="194"/>
      <c r="R1113" s="194"/>
      <c r="S1113" s="194"/>
      <c r="T1113" s="194"/>
      <c r="U1113" s="194"/>
      <c r="V1113" s="194"/>
      <c r="W1113" s="194"/>
      <c r="X1113" s="194"/>
      <c r="Y1113" s="194"/>
      <c r="Z1113" s="194"/>
      <c r="AA1113" s="194"/>
    </row>
    <row r="1114" spans="1:27" ht="17.399999999999999">
      <c r="A1114" s="222"/>
      <c r="B1114" s="164"/>
      <c r="C1114" s="194"/>
      <c r="D1114" s="161"/>
      <c r="E1114" s="194"/>
      <c r="F1114" s="198"/>
      <c r="G1114" s="194" t="str">
        <f ca="1">IFERROR(__xludf.DUMMYFUNCTION("""COMPUTED_VALUE"""),"DECK 05 CARVALHO EUROPEU CAPUCCINO CHEVRON 15/3 X 1900X 740MM")</f>
        <v>DECK 05 CARVALHO EUROPEU CAPUCCINO CHEVRON 15/3 X 1900X 740MM</v>
      </c>
      <c r="I1114" s="182" t="str">
        <f t="shared" ca="1" si="6"/>
        <v/>
      </c>
      <c r="J1114" s="184"/>
      <c r="K1114" s="198"/>
      <c r="L1114" s="194"/>
      <c r="M1114" s="194"/>
      <c r="N1114" s="194"/>
      <c r="O1114" s="194"/>
      <c r="P1114" s="194"/>
      <c r="Q1114" s="194"/>
      <c r="R1114" s="194"/>
      <c r="S1114" s="194"/>
      <c r="T1114" s="194"/>
      <c r="U1114" s="194"/>
      <c r="V1114" s="194"/>
      <c r="W1114" s="194"/>
      <c r="X1114" s="194"/>
      <c r="Y1114" s="194"/>
      <c r="Z1114" s="194"/>
      <c r="AA1114" s="194"/>
    </row>
    <row r="1115" spans="1:27" ht="17.399999999999999">
      <c r="A1115" s="222"/>
      <c r="B1115" s="164"/>
      <c r="C1115" s="194"/>
      <c r="D1115" s="161"/>
      <c r="E1115" s="194"/>
      <c r="F1115" s="198"/>
      <c r="G1115" s="194" t="str">
        <f ca="1">IFERROR(__xludf.DUMMYFUNCTION("""COMPUTED_VALUE"""),"DECK 05 CARVALHO EUROPEU CAPUCCINO 15/3 X 125 X 1200MM")</f>
        <v>DECK 05 CARVALHO EUROPEU CAPUCCINO 15/3 X 125 X 1200MM</v>
      </c>
      <c r="I1115" s="182" t="str">
        <f t="shared" ca="1" si="6"/>
        <v/>
      </c>
      <c r="J1115" s="184"/>
      <c r="K1115" s="198"/>
      <c r="L1115" s="194"/>
      <c r="M1115" s="194"/>
      <c r="N1115" s="194"/>
      <c r="O1115" s="194"/>
      <c r="P1115" s="194"/>
      <c r="Q1115" s="194"/>
      <c r="R1115" s="194"/>
      <c r="S1115" s="194"/>
      <c r="T1115" s="194"/>
      <c r="U1115" s="194"/>
      <c r="V1115" s="194"/>
      <c r="W1115" s="194"/>
      <c r="X1115" s="194"/>
      <c r="Y1115" s="194"/>
      <c r="Z1115" s="194"/>
      <c r="AA1115" s="194"/>
    </row>
    <row r="1116" spans="1:27" ht="17.399999999999999">
      <c r="A1116" s="222"/>
      <c r="B1116" s="164"/>
      <c r="C1116" s="194"/>
      <c r="D1116" s="161"/>
      <c r="E1116" s="194"/>
      <c r="F1116" s="198"/>
      <c r="G1116" s="194" t="str">
        <f ca="1">IFERROR(__xludf.DUMMYFUNCTION("""COMPUTED_VALUE"""),"DECK 05 CARVALHO EUROPEU CAPPUCCINO ESPINHA DE PEIXE TG 15/3 X 125X900MM")</f>
        <v>DECK 05 CARVALHO EUROPEU CAPPUCCINO ESPINHA DE PEIXE TG 15/3 X 125X900MM</v>
      </c>
      <c r="I1116" s="182" t="str">
        <f t="shared" ca="1" si="6"/>
        <v/>
      </c>
      <c r="J1116" s="184"/>
      <c r="K1116" s="198"/>
      <c r="L1116" s="194"/>
      <c r="M1116" s="194"/>
      <c r="N1116" s="194"/>
      <c r="O1116" s="194"/>
      <c r="P1116" s="194"/>
      <c r="Q1116" s="194"/>
      <c r="R1116" s="194"/>
      <c r="S1116" s="194"/>
      <c r="T1116" s="194"/>
      <c r="U1116" s="194"/>
      <c r="V1116" s="194"/>
      <c r="W1116" s="194"/>
      <c r="X1116" s="194"/>
      <c r="Y1116" s="194"/>
      <c r="Z1116" s="194"/>
      <c r="AA1116" s="194"/>
    </row>
    <row r="1117" spans="1:27" ht="17.399999999999999">
      <c r="A1117" s="222"/>
      <c r="B1117" s="164"/>
      <c r="C1117" s="194"/>
      <c r="D1117" s="161"/>
      <c r="E1117" s="194"/>
      <c r="F1117" s="198"/>
      <c r="G1117" s="194" t="str">
        <f ca="1">IFERROR(__xludf.DUMMYFUNCTION("""COMPUTED_VALUE"""),"DECK 05 CARVALHO EUROPEU CAPUCCINO 15/3 X 190 X 1900MM")</f>
        <v>DECK 05 CARVALHO EUROPEU CAPUCCINO 15/3 X 190 X 1900MM</v>
      </c>
      <c r="I1117" s="182" t="str">
        <f t="shared" ca="1" si="6"/>
        <v/>
      </c>
      <c r="J1117" s="184"/>
      <c r="K1117" s="198"/>
      <c r="L1117" s="194"/>
      <c r="M1117" s="194"/>
      <c r="N1117" s="194"/>
      <c r="O1117" s="194"/>
      <c r="P1117" s="194"/>
      <c r="Q1117" s="194"/>
      <c r="R1117" s="194"/>
      <c r="S1117" s="194"/>
      <c r="T1117" s="194"/>
      <c r="U1117" s="194"/>
      <c r="V1117" s="194"/>
      <c r="W1117" s="194"/>
      <c r="X1117" s="194"/>
      <c r="Y1117" s="194"/>
      <c r="Z1117" s="194"/>
      <c r="AA1117" s="194"/>
    </row>
    <row r="1118" spans="1:27" ht="17.399999999999999">
      <c r="A1118" s="222"/>
      <c r="B1118" s="164"/>
      <c r="C1118" s="194"/>
      <c r="D1118" s="161"/>
      <c r="E1118" s="194"/>
      <c r="F1118" s="198"/>
      <c r="G1118" s="194" t="str">
        <f ca="1">IFERROR(__xludf.DUMMYFUNCTION("""COMPUTED_VALUE"""),"DECK 05 CARVALHO EUROPEU CAPUCCINO 20/6 X 300 X 4000MM")</f>
        <v>DECK 05 CARVALHO EUROPEU CAPUCCINO 20/6 X 300 X 4000MM</v>
      </c>
      <c r="I1118" s="182" t="str">
        <f t="shared" ca="1" si="6"/>
        <v/>
      </c>
      <c r="J1118" s="184"/>
      <c r="K1118" s="198"/>
      <c r="L1118" s="194"/>
      <c r="M1118" s="194"/>
      <c r="N1118" s="194"/>
      <c r="O1118" s="194"/>
      <c r="P1118" s="194"/>
      <c r="Q1118" s="194"/>
      <c r="R1118" s="194"/>
      <c r="S1118" s="194"/>
      <c r="T1118" s="194"/>
      <c r="U1118" s="194"/>
      <c r="V1118" s="194"/>
      <c r="W1118" s="194"/>
      <c r="X1118" s="194"/>
      <c r="Y1118" s="194"/>
      <c r="Z1118" s="194"/>
      <c r="AA1118" s="194"/>
    </row>
    <row r="1119" spans="1:27" ht="17.399999999999999">
      <c r="A1119" s="222"/>
      <c r="B1119" s="164"/>
      <c r="C1119" s="194"/>
      <c r="D1119" s="161"/>
      <c r="E1119" s="194"/>
      <c r="F1119" s="198"/>
      <c r="G1119" s="194" t="str">
        <f ca="1">IFERROR(__xludf.DUMMYFUNCTION("""COMPUTED_VALUE"""),"DECK 05 CARVALHO EUROPEU CAPUCCINO 20/6 X 400 X 5000MM")</f>
        <v>DECK 05 CARVALHO EUROPEU CAPUCCINO 20/6 X 400 X 5000MM</v>
      </c>
      <c r="I1119" s="182" t="str">
        <f t="shared" ca="1" si="6"/>
        <v/>
      </c>
      <c r="J1119" s="184"/>
      <c r="K1119" s="198"/>
      <c r="L1119" s="194"/>
      <c r="M1119" s="194"/>
      <c r="N1119" s="194"/>
      <c r="O1119" s="194"/>
      <c r="P1119" s="194"/>
      <c r="Q1119" s="194"/>
      <c r="R1119" s="194"/>
      <c r="S1119" s="194"/>
      <c r="T1119" s="194"/>
      <c r="U1119" s="194"/>
      <c r="V1119" s="194"/>
      <c r="W1119" s="194"/>
      <c r="X1119" s="194"/>
      <c r="Y1119" s="194"/>
      <c r="Z1119" s="194"/>
      <c r="AA1119" s="194"/>
    </row>
    <row r="1120" spans="1:27" ht="17.399999999999999">
      <c r="A1120" s="222"/>
      <c r="B1120" s="164"/>
      <c r="C1120" s="194"/>
      <c r="D1120" s="161"/>
      <c r="E1120" s="194"/>
      <c r="F1120" s="198"/>
      <c r="G1120" s="194" t="str">
        <f ca="1">IFERROR(__xludf.DUMMYFUNCTION("""COMPUTED_VALUE"""),"DECK 05 CARVALHO EUROPEU BABY GREY CHEVRON 15/3 X 1900X 740MM")</f>
        <v>DECK 05 CARVALHO EUROPEU BABY GREY CHEVRON 15/3 X 1900X 740MM</v>
      </c>
      <c r="I1120" s="182" t="str">
        <f t="shared" ca="1" si="6"/>
        <v/>
      </c>
      <c r="J1120" s="184"/>
      <c r="K1120" s="198"/>
      <c r="L1120" s="194"/>
      <c r="M1120" s="194"/>
      <c r="N1120" s="194"/>
      <c r="O1120" s="194"/>
      <c r="P1120" s="194"/>
      <c r="Q1120" s="194"/>
      <c r="R1120" s="194"/>
      <c r="S1120" s="194"/>
      <c r="T1120" s="194"/>
      <c r="U1120" s="194"/>
      <c r="V1120" s="194"/>
      <c r="W1120" s="194"/>
      <c r="X1120" s="194"/>
      <c r="Y1120" s="194"/>
      <c r="Z1120" s="194"/>
      <c r="AA1120" s="194"/>
    </row>
    <row r="1121" spans="1:27" ht="17.399999999999999">
      <c r="A1121" s="222"/>
      <c r="B1121" s="164"/>
      <c r="C1121" s="194"/>
      <c r="D1121" s="161"/>
      <c r="E1121" s="194"/>
      <c r="F1121" s="198"/>
      <c r="G1121" s="194" t="str">
        <f ca="1">IFERROR(__xludf.DUMMYFUNCTION("""COMPUTED_VALUE"""),"DECK 05 CARVALHO EUROPEU BABY GREY 15/3 X 125 X 1200MM")</f>
        <v>DECK 05 CARVALHO EUROPEU BABY GREY 15/3 X 125 X 1200MM</v>
      </c>
      <c r="I1121" s="182" t="str">
        <f t="shared" ca="1" si="6"/>
        <v/>
      </c>
      <c r="J1121" s="184"/>
      <c r="K1121" s="198"/>
      <c r="L1121" s="194"/>
      <c r="M1121" s="194"/>
      <c r="N1121" s="194"/>
      <c r="O1121" s="194"/>
      <c r="P1121" s="194"/>
      <c r="Q1121" s="194"/>
      <c r="R1121" s="194"/>
      <c r="S1121" s="194"/>
      <c r="T1121" s="194"/>
      <c r="U1121" s="194"/>
      <c r="V1121" s="194"/>
      <c r="W1121" s="194"/>
      <c r="X1121" s="194"/>
      <c r="Y1121" s="194"/>
      <c r="Z1121" s="194"/>
      <c r="AA1121" s="194"/>
    </row>
    <row r="1122" spans="1:27" ht="17.399999999999999">
      <c r="A1122" s="222"/>
      <c r="B1122" s="164"/>
      <c r="C1122" s="194"/>
      <c r="D1122" s="161"/>
      <c r="E1122" s="194"/>
      <c r="F1122" s="198"/>
      <c r="G1122" s="194" t="str">
        <f ca="1">IFERROR(__xludf.DUMMYFUNCTION("""COMPUTED_VALUE"""),"DECK 05 CARVALHO EUROPEU BABY GREY 15/3 X 190 X 1900MM")</f>
        <v>DECK 05 CARVALHO EUROPEU BABY GREY 15/3 X 190 X 1900MM</v>
      </c>
      <c r="I1122" s="182" t="str">
        <f t="shared" ca="1" si="6"/>
        <v/>
      </c>
      <c r="J1122" s="184"/>
      <c r="K1122" s="198"/>
      <c r="L1122" s="194"/>
      <c r="M1122" s="194"/>
      <c r="N1122" s="194"/>
      <c r="O1122" s="194"/>
      <c r="P1122" s="194"/>
      <c r="Q1122" s="194"/>
      <c r="R1122" s="194"/>
      <c r="S1122" s="194"/>
      <c r="T1122" s="194"/>
      <c r="U1122" s="194"/>
      <c r="V1122" s="194"/>
      <c r="W1122" s="194"/>
      <c r="X1122" s="194"/>
      <c r="Y1122" s="194"/>
      <c r="Z1122" s="194"/>
      <c r="AA1122" s="194"/>
    </row>
    <row r="1123" spans="1:27" ht="17.399999999999999">
      <c r="A1123" s="222"/>
      <c r="B1123" s="164"/>
      <c r="C1123" s="194"/>
      <c r="D1123" s="161"/>
      <c r="E1123" s="194"/>
      <c r="F1123" s="198"/>
      <c r="G1123" s="194" t="str">
        <f ca="1">IFERROR(__xludf.DUMMYFUNCTION("""COMPUTED_VALUE"""),"DECK 05 CARVALHO EUROPEU BABY GREY 20/6 X 300 X 4000MM")</f>
        <v>DECK 05 CARVALHO EUROPEU BABY GREY 20/6 X 300 X 4000MM</v>
      </c>
      <c r="I1123" s="182" t="str">
        <f t="shared" ca="1" si="6"/>
        <v/>
      </c>
      <c r="J1123" s="184"/>
      <c r="K1123" s="198"/>
      <c r="L1123" s="194"/>
      <c r="M1123" s="194"/>
      <c r="N1123" s="194"/>
      <c r="O1123" s="194"/>
      <c r="P1123" s="194"/>
      <c r="Q1123" s="194"/>
      <c r="R1123" s="194"/>
      <c r="S1123" s="194"/>
      <c r="T1123" s="194"/>
      <c r="U1123" s="194"/>
      <c r="V1123" s="194"/>
      <c r="W1123" s="194"/>
      <c r="X1123" s="194"/>
      <c r="Y1123" s="194"/>
      <c r="Z1123" s="194"/>
      <c r="AA1123" s="194"/>
    </row>
    <row r="1124" spans="1:27" ht="17.399999999999999">
      <c r="A1124" s="222"/>
      <c r="B1124" s="164"/>
      <c r="C1124" s="194"/>
      <c r="D1124" s="161"/>
      <c r="E1124" s="194"/>
      <c r="F1124" s="198"/>
      <c r="G1124" s="194" t="str">
        <f ca="1">IFERROR(__xludf.DUMMYFUNCTION("""COMPUTED_VALUE"""),"DECK 05 CARVALHO EUROPEU BABY GREY 20/6 X 400 X 5000MM")</f>
        <v>DECK 05 CARVALHO EUROPEU BABY GREY 20/6 X 400 X 5000MM</v>
      </c>
      <c r="I1124" s="182" t="str">
        <f t="shared" ca="1" si="6"/>
        <v/>
      </c>
      <c r="J1124" s="184"/>
      <c r="K1124" s="198"/>
      <c r="L1124" s="194"/>
      <c r="M1124" s="194"/>
      <c r="N1124" s="194"/>
      <c r="O1124" s="194"/>
      <c r="P1124" s="194"/>
      <c r="Q1124" s="194"/>
      <c r="R1124" s="194"/>
      <c r="S1124" s="194"/>
      <c r="T1124" s="194"/>
      <c r="U1124" s="194"/>
      <c r="V1124" s="194"/>
      <c r="W1124" s="194"/>
      <c r="X1124" s="194"/>
      <c r="Y1124" s="194"/>
      <c r="Z1124" s="194"/>
      <c r="AA1124" s="194"/>
    </row>
    <row r="1125" spans="1:27" ht="17.399999999999999">
      <c r="A1125" s="222"/>
      <c r="B1125" s="164"/>
      <c r="C1125" s="194"/>
      <c r="D1125" s="161"/>
      <c r="E1125" s="194"/>
      <c r="F1125" s="198"/>
      <c r="G1125" s="194" t="str">
        <f ca="1">IFERROR(__xludf.DUMMYFUNCTION("""COMPUTED_VALUE"""),"DECK 05 CARVALHO EUROPEU GRIGIO NERO CHEVRON 15/3 X 1900X 740MM")</f>
        <v>DECK 05 CARVALHO EUROPEU GRIGIO NERO CHEVRON 15/3 X 1900X 740MM</v>
      </c>
      <c r="I1125" s="182" t="str">
        <f t="shared" ca="1" si="6"/>
        <v/>
      </c>
      <c r="J1125" s="184"/>
      <c r="K1125" s="198"/>
      <c r="L1125" s="194"/>
      <c r="M1125" s="194"/>
      <c r="N1125" s="194"/>
      <c r="O1125" s="194"/>
      <c r="P1125" s="194"/>
      <c r="Q1125" s="194"/>
      <c r="R1125" s="194"/>
      <c r="S1125" s="194"/>
      <c r="T1125" s="194"/>
      <c r="U1125" s="194"/>
      <c r="V1125" s="194"/>
      <c r="W1125" s="194"/>
      <c r="X1125" s="194"/>
      <c r="Y1125" s="194"/>
      <c r="Z1125" s="194"/>
      <c r="AA1125" s="194"/>
    </row>
    <row r="1126" spans="1:27" ht="17.399999999999999">
      <c r="A1126" s="222"/>
      <c r="B1126" s="164"/>
      <c r="C1126" s="194"/>
      <c r="D1126" s="161"/>
      <c r="E1126" s="194"/>
      <c r="F1126" s="198"/>
      <c r="G1126" s="194" t="str">
        <f ca="1">IFERROR(__xludf.DUMMYFUNCTION("""COMPUTED_VALUE"""),"DECK 05 CARVALHO EUROPEU GRIGIO NERO 15/3 X 125 X 1200MM")</f>
        <v>DECK 05 CARVALHO EUROPEU GRIGIO NERO 15/3 X 125 X 1200MM</v>
      </c>
      <c r="I1126" s="182" t="str">
        <f t="shared" ca="1" si="6"/>
        <v/>
      </c>
      <c r="J1126" s="184"/>
      <c r="K1126" s="198"/>
      <c r="L1126" s="194"/>
      <c r="M1126" s="194"/>
      <c r="N1126" s="194"/>
      <c r="O1126" s="194"/>
      <c r="P1126" s="194"/>
      <c r="Q1126" s="194"/>
      <c r="R1126" s="194"/>
      <c r="S1126" s="194"/>
      <c r="T1126" s="194"/>
      <c r="U1126" s="194"/>
      <c r="V1126" s="194"/>
      <c r="W1126" s="194"/>
      <c r="X1126" s="194"/>
      <c r="Y1126" s="194"/>
      <c r="Z1126" s="194"/>
      <c r="AA1126" s="194"/>
    </row>
    <row r="1127" spans="1:27" ht="17.399999999999999">
      <c r="A1127" s="222"/>
      <c r="B1127" s="164"/>
      <c r="C1127" s="194"/>
      <c r="D1127" s="161"/>
      <c r="E1127" s="194"/>
      <c r="F1127" s="198"/>
      <c r="G1127" s="194" t="str">
        <f ca="1">IFERROR(__xludf.DUMMYFUNCTION("""COMPUTED_VALUE"""),"DECK 05 CARVALHO EUROPEU GRIGIO NERO 15/3 X 190 X 1900MM")</f>
        <v>DECK 05 CARVALHO EUROPEU GRIGIO NERO 15/3 X 190 X 1900MM</v>
      </c>
      <c r="I1127" s="182" t="str">
        <f t="shared" ca="1" si="6"/>
        <v/>
      </c>
      <c r="J1127" s="184"/>
      <c r="K1127" s="198"/>
      <c r="L1127" s="194"/>
      <c r="M1127" s="194"/>
      <c r="N1127" s="194"/>
      <c r="O1127" s="194"/>
      <c r="P1127" s="194"/>
      <c r="Q1127" s="194"/>
      <c r="R1127" s="194"/>
      <c r="S1127" s="194"/>
      <c r="T1127" s="194"/>
      <c r="U1127" s="194"/>
      <c r="V1127" s="194"/>
      <c r="W1127" s="194"/>
      <c r="X1127" s="194"/>
      <c r="Y1127" s="194"/>
      <c r="Z1127" s="194"/>
      <c r="AA1127" s="194"/>
    </row>
    <row r="1128" spans="1:27" ht="17.399999999999999">
      <c r="A1128" s="222"/>
      <c r="B1128" s="164"/>
      <c r="C1128" s="194"/>
      <c r="D1128" s="161"/>
      <c r="E1128" s="194"/>
      <c r="F1128" s="198"/>
      <c r="G1128" s="194" t="str">
        <f ca="1">IFERROR(__xludf.DUMMYFUNCTION("""COMPUTED_VALUE"""),"DECK 05 CARVALHO EUROPEU GRIGIO NERO 20/6 X 300 X 4000MM")</f>
        <v>DECK 05 CARVALHO EUROPEU GRIGIO NERO 20/6 X 300 X 4000MM</v>
      </c>
      <c r="I1128" s="182" t="str">
        <f t="shared" ca="1" si="6"/>
        <v/>
      </c>
      <c r="J1128" s="184"/>
      <c r="K1128" s="198"/>
      <c r="L1128" s="194"/>
      <c r="M1128" s="194"/>
      <c r="N1128" s="194"/>
      <c r="O1128" s="194"/>
      <c r="P1128" s="194"/>
      <c r="Q1128" s="194"/>
      <c r="R1128" s="194"/>
      <c r="S1128" s="194"/>
      <c r="T1128" s="194"/>
      <c r="U1128" s="194"/>
      <c r="V1128" s="194"/>
      <c r="W1128" s="194"/>
      <c r="X1128" s="194"/>
      <c r="Y1128" s="194"/>
      <c r="Z1128" s="194"/>
      <c r="AA1128" s="194"/>
    </row>
    <row r="1129" spans="1:27" ht="17.399999999999999">
      <c r="A1129" s="222"/>
      <c r="B1129" s="164"/>
      <c r="C1129" s="194"/>
      <c r="D1129" s="161"/>
      <c r="E1129" s="194"/>
      <c r="F1129" s="198"/>
      <c r="G1129" s="194" t="str">
        <f ca="1">IFERROR(__xludf.DUMMYFUNCTION("""COMPUTED_VALUE"""),"DECK 05 CARVALHO EUROPEU GRIGIO NERO 20/6 X 400 X 5000MM")</f>
        <v>DECK 05 CARVALHO EUROPEU GRIGIO NERO 20/6 X 400 X 5000MM</v>
      </c>
      <c r="I1129" s="182" t="str">
        <f t="shared" ca="1" si="6"/>
        <v/>
      </c>
      <c r="J1129" s="184"/>
      <c r="K1129" s="198"/>
      <c r="L1129" s="194"/>
      <c r="M1129" s="194"/>
      <c r="N1129" s="194"/>
      <c r="O1129" s="194"/>
      <c r="P1129" s="194"/>
      <c r="Q1129" s="194"/>
      <c r="R1129" s="194"/>
      <c r="S1129" s="194"/>
      <c r="T1129" s="194"/>
      <c r="U1129" s="194"/>
      <c r="V1129" s="194"/>
      <c r="W1129" s="194"/>
      <c r="X1129" s="194"/>
      <c r="Y1129" s="194"/>
      <c r="Z1129" s="194"/>
      <c r="AA1129" s="194"/>
    </row>
    <row r="1130" spans="1:27" ht="17.399999999999999">
      <c r="A1130" s="222"/>
      <c r="B1130" s="164"/>
      <c r="C1130" s="194"/>
      <c r="D1130" s="161"/>
      <c r="E1130" s="194"/>
      <c r="F1130" s="198"/>
      <c r="G1130" s="194" t="str">
        <f ca="1">IFERROR(__xludf.DUMMYFUNCTION("""COMPUTED_VALUE"""),"DECK 05 CARVALHO EUROPEU LIGHT BROWN CHEVRON 15/3 X 1900X 740MM")</f>
        <v>DECK 05 CARVALHO EUROPEU LIGHT BROWN CHEVRON 15/3 X 1900X 740MM</v>
      </c>
      <c r="I1130" s="182" t="str">
        <f t="shared" ca="1" si="6"/>
        <v/>
      </c>
      <c r="J1130" s="184"/>
      <c r="K1130" s="198"/>
      <c r="L1130" s="194"/>
      <c r="M1130" s="194"/>
      <c r="N1130" s="194"/>
      <c r="O1130" s="194"/>
      <c r="P1130" s="194"/>
      <c r="Q1130" s="194"/>
      <c r="R1130" s="194"/>
      <c r="S1130" s="194"/>
      <c r="T1130" s="194"/>
      <c r="U1130" s="194"/>
      <c r="V1130" s="194"/>
      <c r="W1130" s="194"/>
      <c r="X1130" s="194"/>
      <c r="Y1130" s="194"/>
      <c r="Z1130" s="194"/>
      <c r="AA1130" s="194"/>
    </row>
    <row r="1131" spans="1:27" ht="17.399999999999999">
      <c r="A1131" s="222"/>
      <c r="B1131" s="164"/>
      <c r="C1131" s="194"/>
      <c r="D1131" s="161"/>
      <c r="E1131" s="194"/>
      <c r="F1131" s="198"/>
      <c r="G1131" s="194" t="str">
        <f ca="1">IFERROR(__xludf.DUMMYFUNCTION("""COMPUTED_VALUE"""),"DECK 05 CARVALHO EUROPEU LIGHT BROWN 15/3 X 125 X 1200MM")</f>
        <v>DECK 05 CARVALHO EUROPEU LIGHT BROWN 15/3 X 125 X 1200MM</v>
      </c>
      <c r="I1131" s="182" t="str">
        <f t="shared" ca="1" si="6"/>
        <v/>
      </c>
      <c r="J1131" s="184"/>
      <c r="K1131" s="198"/>
      <c r="L1131" s="194"/>
      <c r="M1131" s="194"/>
      <c r="N1131" s="194"/>
      <c r="O1131" s="194"/>
      <c r="P1131" s="194"/>
      <c r="Q1131" s="194"/>
      <c r="R1131" s="194"/>
      <c r="S1131" s="194"/>
      <c r="T1131" s="194"/>
      <c r="U1131" s="194"/>
      <c r="V1131" s="194"/>
      <c r="W1131" s="194"/>
      <c r="X1131" s="194"/>
      <c r="Y1131" s="194"/>
      <c r="Z1131" s="194"/>
      <c r="AA1131" s="194"/>
    </row>
    <row r="1132" spans="1:27" ht="17.399999999999999">
      <c r="A1132" s="222"/>
      <c r="B1132" s="164"/>
      <c r="C1132" s="194"/>
      <c r="D1132" s="161"/>
      <c r="E1132" s="194"/>
      <c r="F1132" s="198"/>
      <c r="G1132" s="194" t="str">
        <f ca="1">IFERROR(__xludf.DUMMYFUNCTION("""COMPUTED_VALUE"""),"DECK 05 CARVALHO EUROPEU LIGHT BROWN 15/3 X 190 X 1900MM")</f>
        <v>DECK 05 CARVALHO EUROPEU LIGHT BROWN 15/3 X 190 X 1900MM</v>
      </c>
      <c r="I1132" s="182" t="str">
        <f t="shared" ca="1" si="6"/>
        <v/>
      </c>
      <c r="J1132" s="184"/>
      <c r="K1132" s="198"/>
      <c r="L1132" s="194"/>
      <c r="M1132" s="194"/>
      <c r="N1132" s="194"/>
      <c r="O1132" s="194"/>
      <c r="P1132" s="194"/>
      <c r="Q1132" s="194"/>
      <c r="R1132" s="194"/>
      <c r="S1132" s="194"/>
      <c r="T1132" s="194"/>
      <c r="U1132" s="194"/>
      <c r="V1132" s="194"/>
      <c r="W1132" s="194"/>
      <c r="X1132" s="194"/>
      <c r="Y1132" s="194"/>
      <c r="Z1132" s="194"/>
      <c r="AA1132" s="194"/>
    </row>
    <row r="1133" spans="1:27" ht="17.399999999999999">
      <c r="A1133" s="222"/>
      <c r="B1133" s="164"/>
      <c r="C1133" s="194"/>
      <c r="D1133" s="161"/>
      <c r="E1133" s="194"/>
      <c r="F1133" s="198"/>
      <c r="G1133" s="194" t="str">
        <f ca="1">IFERROR(__xludf.DUMMYFUNCTION("""COMPUTED_VALUE"""),"DECK 05 CARVALHO EUROPEU LIGHT BROWN 20/6 X 300 X 4000MM")</f>
        <v>DECK 05 CARVALHO EUROPEU LIGHT BROWN 20/6 X 300 X 4000MM</v>
      </c>
      <c r="I1133" s="182" t="str">
        <f t="shared" ca="1" si="6"/>
        <v/>
      </c>
      <c r="J1133" s="184"/>
      <c r="K1133" s="198"/>
      <c r="L1133" s="194"/>
      <c r="M1133" s="194"/>
      <c r="N1133" s="194"/>
      <c r="O1133" s="194"/>
      <c r="P1133" s="194"/>
      <c r="Q1133" s="194"/>
      <c r="R1133" s="194"/>
      <c r="S1133" s="194"/>
      <c r="T1133" s="194"/>
      <c r="U1133" s="194"/>
      <c r="V1133" s="194"/>
      <c r="W1133" s="194"/>
      <c r="X1133" s="194"/>
      <c r="Y1133" s="194"/>
      <c r="Z1133" s="194"/>
      <c r="AA1133" s="194"/>
    </row>
    <row r="1134" spans="1:27" ht="17.399999999999999">
      <c r="A1134" s="222"/>
      <c r="B1134" s="164"/>
      <c r="C1134" s="194"/>
      <c r="D1134" s="161"/>
      <c r="E1134" s="194"/>
      <c r="F1134" s="198"/>
      <c r="G1134" s="194" t="str">
        <f ca="1">IFERROR(__xludf.DUMMYFUNCTION("""COMPUTED_VALUE"""),"DECK 05 CARVALHO EUROPEU - LISTONE GIORDANO (HERITAGE 140 FILIGRANA - SIENNA 1179) TG 1,25 X 14,0 X 83,50CM --")</f>
        <v>DECK 05 CARVALHO EUROPEU - LISTONE GIORDANO (HERITAGE 140 FILIGRANA - SIENNA 1179) TG 1,25 X 14,0 X 83,50CM --</v>
      </c>
      <c r="I1134" s="182" t="str">
        <f t="shared" ca="1" si="6"/>
        <v/>
      </c>
      <c r="J1134" s="184"/>
      <c r="K1134" s="198"/>
      <c r="L1134" s="194"/>
      <c r="M1134" s="194"/>
      <c r="N1134" s="194"/>
      <c r="O1134" s="194"/>
      <c r="P1134" s="194"/>
      <c r="Q1134" s="194"/>
      <c r="R1134" s="194"/>
      <c r="S1134" s="194"/>
      <c r="T1134" s="194"/>
      <c r="U1134" s="194"/>
      <c r="V1134" s="194"/>
      <c r="W1134" s="194"/>
      <c r="X1134" s="194"/>
      <c r="Y1134" s="194"/>
      <c r="Z1134" s="194"/>
      <c r="AA1134" s="194"/>
    </row>
    <row r="1135" spans="1:27" ht="17.399999999999999">
      <c r="A1135" s="222"/>
      <c r="B1135" s="164"/>
      <c r="C1135" s="194"/>
      <c r="D1135" s="161"/>
      <c r="E1135" s="194"/>
      <c r="F1135" s="198"/>
      <c r="G1135" s="194" t="str">
        <f ca="1">IFERROR(__xludf.DUMMYFUNCTION("""COMPUTED_VALUE"""),"DECK 05 ")</f>
        <v xml:space="preserve">DECK 05 </v>
      </c>
      <c r="I1135" s="182" t="str">
        <f t="shared" ca="1" si="6"/>
        <v/>
      </c>
      <c r="J1135" s="184"/>
      <c r="K1135" s="198"/>
      <c r="L1135" s="194"/>
      <c r="M1135" s="194"/>
      <c r="N1135" s="194"/>
      <c r="O1135" s="194"/>
      <c r="P1135" s="194"/>
      <c r="Q1135" s="194"/>
      <c r="R1135" s="194"/>
      <c r="S1135" s="194"/>
      <c r="T1135" s="194"/>
      <c r="U1135" s="194"/>
      <c r="V1135" s="194"/>
      <c r="W1135" s="194"/>
      <c r="X1135" s="194"/>
      <c r="Y1135" s="194"/>
      <c r="Z1135" s="194"/>
      <c r="AA1135" s="194"/>
    </row>
    <row r="1136" spans="1:27" ht="17.399999999999999">
      <c r="A1136" s="222"/>
      <c r="B1136" s="164"/>
      <c r="C1136" s="194"/>
      <c r="D1136" s="161"/>
      <c r="E1136" s="194"/>
      <c r="F1136" s="198"/>
      <c r="G1136" s="194" t="str">
        <f ca="1">IFERROR(__xludf.DUMMYFUNCTION("""COMPUTED_VALUE"""),"DECK 05 CARVALHO EUROPEU MILANO CHEVRON 15/3 X 1900X 740MM")</f>
        <v>DECK 05 CARVALHO EUROPEU MILANO CHEVRON 15/3 X 1900X 740MM</v>
      </c>
      <c r="I1136" s="182" t="str">
        <f t="shared" ca="1" si="6"/>
        <v/>
      </c>
      <c r="J1136" s="184"/>
      <c r="K1136" s="198"/>
      <c r="L1136" s="194"/>
      <c r="M1136" s="194"/>
      <c r="N1136" s="194"/>
      <c r="O1136" s="194"/>
      <c r="P1136" s="194"/>
      <c r="Q1136" s="194"/>
      <c r="R1136" s="194"/>
      <c r="S1136" s="194"/>
      <c r="T1136" s="194"/>
      <c r="U1136" s="194"/>
      <c r="V1136" s="194"/>
      <c r="W1136" s="194"/>
      <c r="X1136" s="194"/>
      <c r="Y1136" s="194"/>
      <c r="Z1136" s="194"/>
      <c r="AA1136" s="194"/>
    </row>
    <row r="1137" spans="1:27" ht="17.399999999999999">
      <c r="A1137" s="222"/>
      <c r="B1137" s="164"/>
      <c r="C1137" s="194"/>
      <c r="D1137" s="161"/>
      <c r="E1137" s="194"/>
      <c r="F1137" s="198"/>
      <c r="G1137" s="194" t="str">
        <f ca="1">IFERROR(__xludf.DUMMYFUNCTION("""COMPUTED_VALUE"""),"DECK 05 CARVALHO EUROPEU MILANO 15/3 X 125 X 1200MM")</f>
        <v>DECK 05 CARVALHO EUROPEU MILANO 15/3 X 125 X 1200MM</v>
      </c>
      <c r="I1137" s="182" t="str">
        <f t="shared" ca="1" si="6"/>
        <v/>
      </c>
      <c r="J1137" s="184"/>
      <c r="K1137" s="198"/>
      <c r="L1137" s="194"/>
      <c r="M1137" s="194"/>
      <c r="N1137" s="194"/>
      <c r="O1137" s="194"/>
      <c r="P1137" s="194"/>
      <c r="Q1137" s="194"/>
      <c r="R1137" s="194"/>
      <c r="S1137" s="194"/>
      <c r="T1137" s="194"/>
      <c r="U1137" s="194"/>
      <c r="V1137" s="194"/>
      <c r="W1137" s="194"/>
      <c r="X1137" s="194"/>
      <c r="Y1137" s="194"/>
      <c r="Z1137" s="194"/>
      <c r="AA1137" s="194"/>
    </row>
    <row r="1138" spans="1:27" ht="17.399999999999999">
      <c r="A1138" s="222"/>
      <c r="B1138" s="164"/>
      <c r="C1138" s="194"/>
      <c r="D1138" s="161"/>
      <c r="E1138" s="194"/>
      <c r="F1138" s="198"/>
      <c r="G1138" s="194" t="str">
        <f ca="1">IFERROR(__xludf.DUMMYFUNCTION("""COMPUTED_VALUE"""),"DECK 05 CARVALHO EUROPEU MILANO 15/3 X 190 X 1900MM")</f>
        <v>DECK 05 CARVALHO EUROPEU MILANO 15/3 X 190 X 1900MM</v>
      </c>
      <c r="I1138" s="182" t="str">
        <f t="shared" ca="1" si="6"/>
        <v/>
      </c>
      <c r="J1138" s="184"/>
      <c r="K1138" s="198"/>
      <c r="L1138" s="194"/>
      <c r="M1138" s="194"/>
      <c r="N1138" s="194"/>
      <c r="O1138" s="194"/>
      <c r="P1138" s="194"/>
      <c r="Q1138" s="194"/>
      <c r="R1138" s="194"/>
      <c r="S1138" s="194"/>
      <c r="T1138" s="194"/>
      <c r="U1138" s="194"/>
      <c r="V1138" s="194"/>
      <c r="W1138" s="194"/>
      <c r="X1138" s="194"/>
      <c r="Y1138" s="194"/>
      <c r="Z1138" s="194"/>
      <c r="AA1138" s="194"/>
    </row>
    <row r="1139" spans="1:27" ht="17.399999999999999">
      <c r="A1139" s="222"/>
      <c r="B1139" s="164"/>
      <c r="C1139" s="194"/>
      <c r="D1139" s="161"/>
      <c r="E1139" s="194"/>
      <c r="F1139" s="198"/>
      <c r="G1139" s="194" t="str">
        <f ca="1">IFERROR(__xludf.DUMMYFUNCTION("""COMPUTED_VALUE"""),"DECK 05 CARVALHO EUROPEU MILANO 20/6 X 300 X 4000MM")</f>
        <v>DECK 05 CARVALHO EUROPEU MILANO 20/6 X 300 X 4000MM</v>
      </c>
      <c r="I1139" s="182" t="str">
        <f t="shared" ca="1" si="6"/>
        <v/>
      </c>
      <c r="J1139" s="184"/>
      <c r="K1139" s="198"/>
      <c r="L1139" s="194"/>
      <c r="M1139" s="194"/>
      <c r="N1139" s="194"/>
      <c r="O1139" s="194"/>
      <c r="P1139" s="194"/>
      <c r="Q1139" s="194"/>
      <c r="R1139" s="194"/>
      <c r="S1139" s="194"/>
      <c r="T1139" s="194"/>
      <c r="U1139" s="194"/>
      <c r="V1139" s="194"/>
      <c r="W1139" s="194"/>
      <c r="X1139" s="194"/>
      <c r="Y1139" s="194"/>
      <c r="Z1139" s="194"/>
      <c r="AA1139" s="194"/>
    </row>
    <row r="1140" spans="1:27" ht="17.399999999999999">
      <c r="A1140" s="222"/>
      <c r="B1140" s="164"/>
      <c r="C1140" s="194"/>
      <c r="D1140" s="161"/>
      <c r="E1140" s="194"/>
      <c r="F1140" s="198"/>
      <c r="G1140" s="194" t="str">
        <f ca="1">IFERROR(__xludf.DUMMYFUNCTION("""COMPUTED_VALUE"""),"DECK 05 CARVALHO EUROPEU MILANO 20/6 X 400 X 5000MM")</f>
        <v>DECK 05 CARVALHO EUROPEU MILANO 20/6 X 400 X 5000MM</v>
      </c>
      <c r="I1140" s="182" t="str">
        <f t="shared" ca="1" si="6"/>
        <v/>
      </c>
      <c r="J1140" s="184"/>
      <c r="K1140" s="198"/>
      <c r="L1140" s="194"/>
      <c r="M1140" s="194"/>
      <c r="N1140" s="194"/>
      <c r="O1140" s="194"/>
      <c r="P1140" s="194"/>
      <c r="Q1140" s="194"/>
      <c r="R1140" s="194"/>
      <c r="S1140" s="194"/>
      <c r="T1140" s="194"/>
      <c r="U1140" s="194"/>
      <c r="V1140" s="194"/>
      <c r="W1140" s="194"/>
      <c r="X1140" s="194"/>
      <c r="Y1140" s="194"/>
      <c r="Z1140" s="194"/>
      <c r="AA1140" s="194"/>
    </row>
    <row r="1141" spans="1:27" ht="17.399999999999999">
      <c r="A1141" s="222"/>
      <c r="B1141" s="164"/>
      <c r="C1141" s="194"/>
      <c r="D1141" s="161"/>
      <c r="E1141" s="194"/>
      <c r="F1141" s="198"/>
      <c r="G1141" s="194" t="str">
        <f ca="1">IFERROR(__xludf.DUMMYFUNCTION("""COMPUTED_VALUE"""),"DECK 05 CARVALHO EUROPEU SMOKED CHEVRON 15/3 X 1900X 740MM")</f>
        <v>DECK 05 CARVALHO EUROPEU SMOKED CHEVRON 15/3 X 1900X 740MM</v>
      </c>
      <c r="I1141" s="182" t="str">
        <f t="shared" ca="1" si="6"/>
        <v/>
      </c>
      <c r="J1141" s="184"/>
      <c r="K1141" s="198"/>
      <c r="L1141" s="194"/>
      <c r="M1141" s="194"/>
      <c r="N1141" s="194"/>
      <c r="O1141" s="194"/>
      <c r="P1141" s="194"/>
      <c r="Q1141" s="194"/>
      <c r="R1141" s="194"/>
      <c r="S1141" s="194"/>
      <c r="T1141" s="194"/>
      <c r="U1141" s="194"/>
      <c r="V1141" s="194"/>
      <c r="W1141" s="194"/>
      <c r="X1141" s="194"/>
      <c r="Y1141" s="194"/>
      <c r="Z1141" s="194"/>
      <c r="AA1141" s="194"/>
    </row>
    <row r="1142" spans="1:27" ht="17.399999999999999">
      <c r="A1142" s="222"/>
      <c r="B1142" s="164"/>
      <c r="C1142" s="194"/>
      <c r="D1142" s="161"/>
      <c r="E1142" s="194"/>
      <c r="F1142" s="198"/>
      <c r="G1142" s="194" t="str">
        <f ca="1">IFERROR(__xludf.DUMMYFUNCTION("""COMPUTED_VALUE"""),"DECK 05 CARVALHO EUROPEU SMOKED 15/3 X 125 X 1200MM")</f>
        <v>DECK 05 CARVALHO EUROPEU SMOKED 15/3 X 125 X 1200MM</v>
      </c>
      <c r="I1142" s="182" t="str">
        <f t="shared" ca="1" si="6"/>
        <v/>
      </c>
      <c r="J1142" s="184"/>
      <c r="K1142" s="198"/>
      <c r="L1142" s="194"/>
      <c r="M1142" s="194"/>
      <c r="N1142" s="194"/>
      <c r="O1142" s="194"/>
      <c r="P1142" s="194"/>
      <c r="Q1142" s="194"/>
      <c r="R1142" s="194"/>
      <c r="S1142" s="194"/>
      <c r="T1142" s="194"/>
      <c r="U1142" s="194"/>
      <c r="V1142" s="194"/>
      <c r="W1142" s="194"/>
      <c r="X1142" s="194"/>
      <c r="Y1142" s="194"/>
      <c r="Z1142" s="194"/>
      <c r="AA1142" s="194"/>
    </row>
    <row r="1143" spans="1:27" ht="17.399999999999999">
      <c r="A1143" s="222"/>
      <c r="B1143" s="164"/>
      <c r="C1143" s="194"/>
      <c r="D1143" s="161"/>
      <c r="E1143" s="194"/>
      <c r="F1143" s="198"/>
      <c r="G1143" s="194" t="str">
        <f ca="1">IFERROR(__xludf.DUMMYFUNCTION("""COMPUTED_VALUE"""),"DECK 05 CARVALHO EUROPEU SMOKED 15/3 X 190 X 1900MM")</f>
        <v>DECK 05 CARVALHO EUROPEU SMOKED 15/3 X 190 X 1900MM</v>
      </c>
      <c r="I1143" s="182" t="str">
        <f t="shared" ca="1" si="6"/>
        <v/>
      </c>
      <c r="J1143" s="184"/>
      <c r="K1143" s="198"/>
      <c r="L1143" s="194"/>
      <c r="M1143" s="194"/>
      <c r="N1143" s="194"/>
      <c r="O1143" s="194"/>
      <c r="P1143" s="194"/>
      <c r="Q1143" s="194"/>
      <c r="R1143" s="194"/>
      <c r="S1143" s="194"/>
      <c r="T1143" s="194"/>
      <c r="U1143" s="194"/>
      <c r="V1143" s="194"/>
      <c r="W1143" s="194"/>
      <c r="X1143" s="194"/>
      <c r="Y1143" s="194"/>
      <c r="Z1143" s="194"/>
      <c r="AA1143" s="194"/>
    </row>
    <row r="1144" spans="1:27" ht="17.399999999999999">
      <c r="A1144" s="222"/>
      <c r="B1144" s="164"/>
      <c r="C1144" s="194"/>
      <c r="D1144" s="161"/>
      <c r="E1144" s="194"/>
      <c r="F1144" s="198"/>
      <c r="G1144" s="194" t="str">
        <f ca="1">IFERROR(__xludf.DUMMYFUNCTION("""COMPUTED_VALUE"""),"DECK 05 CARVALHO EUROPEU SMOKED 20/6 X 300 X 4000MM")</f>
        <v>DECK 05 CARVALHO EUROPEU SMOKED 20/6 X 300 X 4000MM</v>
      </c>
      <c r="I1144" s="182" t="str">
        <f t="shared" ca="1" si="6"/>
        <v/>
      </c>
      <c r="J1144" s="184"/>
      <c r="K1144" s="198"/>
      <c r="L1144" s="194"/>
      <c r="M1144" s="194"/>
      <c r="N1144" s="194"/>
      <c r="O1144" s="194"/>
      <c r="P1144" s="194"/>
      <c r="Q1144" s="194"/>
      <c r="R1144" s="194"/>
      <c r="S1144" s="194"/>
      <c r="T1144" s="194"/>
      <c r="U1144" s="194"/>
      <c r="V1144" s="194"/>
      <c r="W1144" s="194"/>
      <c r="X1144" s="194"/>
      <c r="Y1144" s="194"/>
      <c r="Z1144" s="194"/>
      <c r="AA1144" s="194"/>
    </row>
    <row r="1145" spans="1:27" ht="17.399999999999999">
      <c r="A1145" s="222"/>
      <c r="B1145" s="164"/>
      <c r="C1145" s="194"/>
      <c r="D1145" s="161"/>
      <c r="E1145" s="194"/>
      <c r="F1145" s="198"/>
      <c r="G1145" s="194" t="str">
        <f ca="1">IFERROR(__xludf.DUMMYFUNCTION("""COMPUTED_VALUE"""),"DECK 05 CARVALHO EUROPEU SMOKED 20/6 X 400 X 5000MM")</f>
        <v>DECK 05 CARVALHO EUROPEU SMOKED 20/6 X 400 X 5000MM</v>
      </c>
      <c r="I1145" s="182" t="str">
        <f t="shared" ca="1" si="6"/>
        <v/>
      </c>
      <c r="J1145" s="184"/>
      <c r="K1145" s="198"/>
      <c r="L1145" s="194"/>
      <c r="M1145" s="194"/>
      <c r="N1145" s="194"/>
      <c r="O1145" s="194"/>
      <c r="P1145" s="194"/>
      <c r="Q1145" s="194"/>
      <c r="R1145" s="194"/>
      <c r="S1145" s="194"/>
      <c r="T1145" s="194"/>
      <c r="U1145" s="194"/>
      <c r="V1145" s="194"/>
      <c r="W1145" s="194"/>
      <c r="X1145" s="194"/>
      <c r="Y1145" s="194"/>
      <c r="Z1145" s="194"/>
      <c r="AA1145" s="194"/>
    </row>
    <row r="1146" spans="1:27" ht="17.399999999999999">
      <c r="A1146" s="222"/>
      <c r="B1146" s="164"/>
      <c r="C1146" s="194"/>
      <c r="D1146" s="161"/>
      <c r="E1146" s="194"/>
      <c r="F1146" s="198"/>
      <c r="G1146" s="194" t="str">
        <f ca="1">IFERROR(__xludf.DUMMYFUNCTION("""COMPUTED_VALUE"""),"DECK 05 CARVALHO EUROPEU GIZ CHEVRON 15/3 X 1900X 740MM")</f>
        <v>DECK 05 CARVALHO EUROPEU GIZ CHEVRON 15/3 X 1900X 740MM</v>
      </c>
      <c r="I1146" s="182" t="str">
        <f t="shared" ca="1" si="6"/>
        <v/>
      </c>
      <c r="J1146" s="184"/>
      <c r="K1146" s="198"/>
      <c r="L1146" s="194"/>
      <c r="M1146" s="194"/>
      <c r="N1146" s="194"/>
      <c r="O1146" s="194"/>
      <c r="P1146" s="194"/>
      <c r="Q1146" s="194"/>
      <c r="R1146" s="194"/>
      <c r="S1146" s="194"/>
      <c r="T1146" s="194"/>
      <c r="U1146" s="194"/>
      <c r="V1146" s="194"/>
      <c r="W1146" s="194"/>
      <c r="X1146" s="194"/>
      <c r="Y1146" s="194"/>
      <c r="Z1146" s="194"/>
      <c r="AA1146" s="194"/>
    </row>
    <row r="1147" spans="1:27" ht="17.399999999999999">
      <c r="A1147" s="222"/>
      <c r="B1147" s="164"/>
      <c r="C1147" s="194"/>
      <c r="D1147" s="161"/>
      <c r="E1147" s="194"/>
      <c r="F1147" s="198"/>
      <c r="G1147" s="194" t="str">
        <f ca="1">IFERROR(__xludf.DUMMYFUNCTION("""COMPUTED_VALUE"""),"DECK 05 CARVALHO EUROPEU GIZ 15/3 X 125 X 1200MM")</f>
        <v>DECK 05 CARVALHO EUROPEU GIZ 15/3 X 125 X 1200MM</v>
      </c>
      <c r="I1147" s="182" t="str">
        <f t="shared" ca="1" si="6"/>
        <v/>
      </c>
      <c r="J1147" s="184"/>
      <c r="K1147" s="198"/>
      <c r="L1147" s="194"/>
      <c r="M1147" s="194"/>
      <c r="N1147" s="194"/>
      <c r="O1147" s="194"/>
      <c r="P1147" s="194"/>
      <c r="Q1147" s="194"/>
      <c r="R1147" s="194"/>
      <c r="S1147" s="194"/>
      <c r="T1147" s="194"/>
      <c r="U1147" s="194"/>
      <c r="V1147" s="194"/>
      <c r="W1147" s="194"/>
      <c r="X1147" s="194"/>
      <c r="Y1147" s="194"/>
      <c r="Z1147" s="194"/>
      <c r="AA1147" s="194"/>
    </row>
    <row r="1148" spans="1:27" ht="17.399999999999999">
      <c r="A1148" s="222"/>
      <c r="B1148" s="164"/>
      <c r="C1148" s="194"/>
      <c r="D1148" s="161"/>
      <c r="E1148" s="194"/>
      <c r="F1148" s="198"/>
      <c r="G1148" s="194" t="str">
        <f ca="1">IFERROR(__xludf.DUMMYFUNCTION("""COMPUTED_VALUE"""),"DECK 05 CARVALHO EUROPEU GIZ 15/3 X 190 X 1900MM")</f>
        <v>DECK 05 CARVALHO EUROPEU GIZ 15/3 X 190 X 1900MM</v>
      </c>
      <c r="I1148" s="182" t="str">
        <f t="shared" ca="1" si="6"/>
        <v/>
      </c>
      <c r="J1148" s="184"/>
      <c r="K1148" s="198"/>
      <c r="L1148" s="194"/>
      <c r="M1148" s="194"/>
      <c r="N1148" s="194"/>
      <c r="O1148" s="194"/>
      <c r="P1148" s="194"/>
      <c r="Q1148" s="194"/>
      <c r="R1148" s="194"/>
      <c r="S1148" s="194"/>
      <c r="T1148" s="194"/>
      <c r="U1148" s="194"/>
      <c r="V1148" s="194"/>
      <c r="W1148" s="194"/>
      <c r="X1148" s="194"/>
      <c r="Y1148" s="194"/>
      <c r="Z1148" s="194"/>
      <c r="AA1148" s="194"/>
    </row>
    <row r="1149" spans="1:27" ht="17.399999999999999">
      <c r="A1149" s="222"/>
      <c r="B1149" s="164"/>
      <c r="C1149" s="194"/>
      <c r="D1149" s="161"/>
      <c r="E1149" s="194"/>
      <c r="F1149" s="198"/>
      <c r="G1149" s="194" t="str">
        <f ca="1">IFERROR(__xludf.DUMMYFUNCTION("""COMPUTED_VALUE"""),"DECK 05 CARVALHO EUROPEU GIZ 20/6 X 300 X 4000MM")</f>
        <v>DECK 05 CARVALHO EUROPEU GIZ 20/6 X 300 X 4000MM</v>
      </c>
      <c r="I1149" s="182" t="str">
        <f t="shared" ca="1" si="6"/>
        <v/>
      </c>
      <c r="J1149" s="184"/>
      <c r="K1149" s="198"/>
      <c r="L1149" s="194"/>
      <c r="M1149" s="194"/>
      <c r="N1149" s="194"/>
      <c r="O1149" s="194"/>
      <c r="P1149" s="194"/>
      <c r="Q1149" s="194"/>
      <c r="R1149" s="194"/>
      <c r="S1149" s="194"/>
      <c r="T1149" s="194"/>
      <c r="U1149" s="194"/>
      <c r="V1149" s="194"/>
      <c r="W1149" s="194"/>
      <c r="X1149" s="194"/>
      <c r="Y1149" s="194"/>
      <c r="Z1149" s="194"/>
      <c r="AA1149" s="194"/>
    </row>
    <row r="1150" spans="1:27" ht="17.399999999999999">
      <c r="A1150" s="222"/>
      <c r="B1150" s="164"/>
      <c r="C1150" s="194"/>
      <c r="D1150" s="161"/>
      <c r="E1150" s="194"/>
      <c r="F1150" s="198"/>
      <c r="G1150" s="194" t="str">
        <f ca="1">IFERROR(__xludf.DUMMYFUNCTION("""COMPUTED_VALUE"""),"DECK 05 CARVALHO EUROPEU GIZ 20/6 X 400 X 5000MM")</f>
        <v>DECK 05 CARVALHO EUROPEU GIZ 20/6 X 400 X 5000MM</v>
      </c>
      <c r="I1150" s="182" t="str">
        <f t="shared" ca="1" si="6"/>
        <v/>
      </c>
      <c r="J1150" s="184"/>
      <c r="K1150" s="198"/>
      <c r="L1150" s="194"/>
      <c r="M1150" s="194"/>
      <c r="N1150" s="194"/>
      <c r="O1150" s="194"/>
      <c r="P1150" s="194"/>
      <c r="Q1150" s="194"/>
      <c r="R1150" s="194"/>
      <c r="S1150" s="194"/>
      <c r="T1150" s="194"/>
      <c r="U1150" s="194"/>
      <c r="V1150" s="194"/>
      <c r="W1150" s="194"/>
      <c r="X1150" s="194"/>
      <c r="Y1150" s="194"/>
      <c r="Z1150" s="194"/>
      <c r="AA1150" s="194"/>
    </row>
    <row r="1151" spans="1:27" ht="17.399999999999999">
      <c r="A1151" s="222"/>
      <c r="B1151" s="164"/>
      <c r="C1151" s="194"/>
      <c r="D1151" s="161"/>
      <c r="E1151" s="194"/>
      <c r="F1151" s="198"/>
      <c r="G1151" s="194" t="str">
        <f ca="1">IFERROR(__xludf.DUMMYFUNCTION("""COMPUTED_VALUE"""),"DECK 05 CARVALHO EUROPEU SNOW CHEVRON 15/3 X 1900X 740MM")</f>
        <v>DECK 05 CARVALHO EUROPEU SNOW CHEVRON 15/3 X 1900X 740MM</v>
      </c>
      <c r="I1151" s="182" t="str">
        <f t="shared" ca="1" si="6"/>
        <v/>
      </c>
      <c r="J1151" s="184"/>
      <c r="K1151" s="198"/>
      <c r="L1151" s="194"/>
      <c r="M1151" s="194"/>
      <c r="N1151" s="194"/>
      <c r="O1151" s="194"/>
      <c r="P1151" s="194"/>
      <c r="Q1151" s="194"/>
      <c r="R1151" s="194"/>
      <c r="S1151" s="194"/>
      <c r="T1151" s="194"/>
      <c r="U1151" s="194"/>
      <c r="V1151" s="194"/>
      <c r="W1151" s="194"/>
      <c r="X1151" s="194"/>
      <c r="Y1151" s="194"/>
      <c r="Z1151" s="194"/>
      <c r="AA1151" s="194"/>
    </row>
    <row r="1152" spans="1:27" ht="17.399999999999999">
      <c r="A1152" s="222"/>
      <c r="B1152" s="164"/>
      <c r="C1152" s="194"/>
      <c r="D1152" s="161"/>
      <c r="E1152" s="194"/>
      <c r="F1152" s="198"/>
      <c r="G1152" s="194" t="str">
        <f ca="1">IFERROR(__xludf.DUMMYFUNCTION("""COMPUTED_VALUE"""),"DECK 05 CARVALHO EUROPEU SNOW 15/3 X 125 X 1200MM")</f>
        <v>DECK 05 CARVALHO EUROPEU SNOW 15/3 X 125 X 1200MM</v>
      </c>
      <c r="I1152" s="182" t="str">
        <f t="shared" ca="1" si="6"/>
        <v/>
      </c>
      <c r="J1152" s="184"/>
      <c r="K1152" s="198"/>
      <c r="L1152" s="194"/>
      <c r="M1152" s="194"/>
      <c r="N1152" s="194"/>
      <c r="O1152" s="194"/>
      <c r="P1152" s="194"/>
      <c r="Q1152" s="194"/>
      <c r="R1152" s="194"/>
      <c r="S1152" s="194"/>
      <c r="T1152" s="194"/>
      <c r="U1152" s="194"/>
      <c r="V1152" s="194"/>
      <c r="W1152" s="194"/>
      <c r="X1152" s="194"/>
      <c r="Y1152" s="194"/>
      <c r="Z1152" s="194"/>
      <c r="AA1152" s="194"/>
    </row>
    <row r="1153" spans="1:27" ht="17.399999999999999">
      <c r="A1153" s="222"/>
      <c r="B1153" s="164"/>
      <c r="C1153" s="194"/>
      <c r="D1153" s="161"/>
      <c r="E1153" s="194"/>
      <c r="F1153" s="198"/>
      <c r="G1153" s="194" t="str">
        <f ca="1">IFERROR(__xludf.DUMMYFUNCTION("""COMPUTED_VALUE"""),"DECK 05 CARVALHO EUROPEU SNOW 15/3 X 190 X 1900MM")</f>
        <v>DECK 05 CARVALHO EUROPEU SNOW 15/3 X 190 X 1900MM</v>
      </c>
      <c r="I1153" s="182" t="str">
        <f t="shared" ca="1" si="6"/>
        <v/>
      </c>
      <c r="J1153" s="184"/>
      <c r="K1153" s="198"/>
      <c r="L1153" s="194"/>
      <c r="M1153" s="194"/>
      <c r="N1153" s="194"/>
      <c r="O1153" s="194"/>
      <c r="P1153" s="194"/>
      <c r="Q1153" s="194"/>
      <c r="R1153" s="194"/>
      <c r="S1153" s="194"/>
      <c r="T1153" s="194"/>
      <c r="U1153" s="194"/>
      <c r="V1153" s="194"/>
      <c r="W1153" s="194"/>
      <c r="X1153" s="194"/>
      <c r="Y1153" s="194"/>
      <c r="Z1153" s="194"/>
      <c r="AA1153" s="194"/>
    </row>
    <row r="1154" spans="1:27" ht="17.399999999999999">
      <c r="A1154" s="222"/>
      <c r="B1154" s="164"/>
      <c r="C1154" s="194"/>
      <c r="D1154" s="161"/>
      <c r="E1154" s="194"/>
      <c r="F1154" s="198"/>
      <c r="G1154" s="194" t="str">
        <f ca="1">IFERROR(__xludf.DUMMYFUNCTION("""COMPUTED_VALUE"""),"DECK 05 CARVALHO EUROPEU SNOW 20/6 X 300 X 4000MM")</f>
        <v>DECK 05 CARVALHO EUROPEU SNOW 20/6 X 300 X 4000MM</v>
      </c>
      <c r="I1154" s="182" t="str">
        <f t="shared" ca="1" si="6"/>
        <v/>
      </c>
      <c r="J1154" s="184"/>
      <c r="K1154" s="198"/>
      <c r="L1154" s="194"/>
      <c r="M1154" s="194"/>
      <c r="N1154" s="194"/>
      <c r="O1154" s="194"/>
      <c r="P1154" s="194"/>
      <c r="Q1154" s="194"/>
      <c r="R1154" s="194"/>
      <c r="S1154" s="194"/>
      <c r="T1154" s="194"/>
      <c r="U1154" s="194"/>
      <c r="V1154" s="194"/>
      <c r="W1154" s="194"/>
      <c r="X1154" s="194"/>
      <c r="Y1154" s="194"/>
      <c r="Z1154" s="194"/>
      <c r="AA1154" s="194"/>
    </row>
    <row r="1155" spans="1:27" ht="17.399999999999999">
      <c r="A1155" s="222"/>
      <c r="B1155" s="164"/>
      <c r="C1155" s="194"/>
      <c r="D1155" s="161"/>
      <c r="E1155" s="194"/>
      <c r="F1155" s="198"/>
      <c r="G1155" s="194" t="str">
        <f ca="1">IFERROR(__xludf.DUMMYFUNCTION("""COMPUTED_VALUE"""),"DECK 05 CARVALHO EUROPEU SNOW 20/6 X 400 X 5000MM")</f>
        <v>DECK 05 CARVALHO EUROPEU SNOW 20/6 X 400 X 5000MM</v>
      </c>
      <c r="I1155" s="182" t="str">
        <f t="shared" ca="1" si="6"/>
        <v/>
      </c>
      <c r="J1155" s="184"/>
      <c r="K1155" s="198"/>
      <c r="L1155" s="194"/>
      <c r="M1155" s="194"/>
      <c r="N1155" s="194"/>
      <c r="O1155" s="194"/>
      <c r="P1155" s="194"/>
      <c r="Q1155" s="194"/>
      <c r="R1155" s="194"/>
      <c r="S1155" s="194"/>
      <c r="T1155" s="194"/>
      <c r="U1155" s="194"/>
      <c r="V1155" s="194"/>
      <c r="W1155" s="194"/>
      <c r="X1155" s="194"/>
      <c r="Y1155" s="194"/>
      <c r="Z1155" s="194"/>
      <c r="AA1155" s="194"/>
    </row>
    <row r="1156" spans="1:27" ht="17.399999999999999">
      <c r="A1156" s="222"/>
      <c r="B1156" s="164"/>
      <c r="C1156" s="194"/>
      <c r="D1156" s="161"/>
      <c r="E1156" s="194"/>
      <c r="F1156" s="198"/>
      <c r="G1156" s="194" t="str">
        <f ca="1">IFERROR(__xludf.DUMMYFUNCTION("""COMPUTED_VALUE"""),"DECK 05 CARVALHO EUROPEU WILD CHEVRON 15/3 X 1900X 740MM")</f>
        <v>DECK 05 CARVALHO EUROPEU WILD CHEVRON 15/3 X 1900X 740MM</v>
      </c>
      <c r="I1156" s="182" t="str">
        <f t="shared" ca="1" si="6"/>
        <v/>
      </c>
      <c r="J1156" s="184"/>
      <c r="K1156" s="198"/>
      <c r="L1156" s="194"/>
      <c r="M1156" s="194"/>
      <c r="N1156" s="194"/>
      <c r="O1156" s="194"/>
      <c r="P1156" s="194"/>
      <c r="Q1156" s="194"/>
      <c r="R1156" s="194"/>
      <c r="S1156" s="194"/>
      <c r="T1156" s="194"/>
      <c r="U1156" s="194"/>
      <c r="V1156" s="194"/>
      <c r="W1156" s="194"/>
      <c r="X1156" s="194"/>
      <c r="Y1156" s="194"/>
      <c r="Z1156" s="194"/>
      <c r="AA1156" s="194"/>
    </row>
    <row r="1157" spans="1:27" ht="17.399999999999999">
      <c r="A1157" s="222"/>
      <c r="B1157" s="164"/>
      <c r="C1157" s="194"/>
      <c r="D1157" s="161"/>
      <c r="E1157" s="194"/>
      <c r="F1157" s="198"/>
      <c r="G1157" s="194" t="str">
        <f ca="1">IFERROR(__xludf.DUMMYFUNCTION("""COMPUTED_VALUE"""),"DECK 05 CARVALHO EUROPEU WILD 15/3 X 125 X 1200MM")</f>
        <v>DECK 05 CARVALHO EUROPEU WILD 15/3 X 125 X 1200MM</v>
      </c>
      <c r="I1157" s="182" t="str">
        <f t="shared" ca="1" si="6"/>
        <v/>
      </c>
      <c r="J1157" s="184"/>
      <c r="K1157" s="198"/>
      <c r="L1157" s="194"/>
      <c r="M1157" s="194"/>
      <c r="N1157" s="194"/>
      <c r="O1157" s="194"/>
      <c r="P1157" s="194"/>
      <c r="Q1157" s="194"/>
      <c r="R1157" s="194"/>
      <c r="S1157" s="194"/>
      <c r="T1157" s="194"/>
      <c r="U1157" s="194"/>
      <c r="V1157" s="194"/>
      <c r="W1157" s="194"/>
      <c r="X1157" s="194"/>
      <c r="Y1157" s="194"/>
      <c r="Z1157" s="194"/>
      <c r="AA1157" s="194"/>
    </row>
    <row r="1158" spans="1:27" ht="17.399999999999999">
      <c r="A1158" s="222"/>
      <c r="B1158" s="164"/>
      <c r="C1158" s="194"/>
      <c r="D1158" s="161"/>
      <c r="E1158" s="194"/>
      <c r="F1158" s="198"/>
      <c r="G1158" s="194" t="str">
        <f ca="1">IFERROR(__xludf.DUMMYFUNCTION("""COMPUTED_VALUE"""),"DECK 05 CARVALHO EUROPEU WILD 15/3 X 190 X 1900MM")</f>
        <v>DECK 05 CARVALHO EUROPEU WILD 15/3 X 190 X 1900MM</v>
      </c>
      <c r="I1158" s="182" t="str">
        <f t="shared" ca="1" si="6"/>
        <v/>
      </c>
      <c r="J1158" s="184"/>
      <c r="K1158" s="198"/>
      <c r="L1158" s="194"/>
      <c r="M1158" s="194"/>
      <c r="N1158" s="194"/>
      <c r="O1158" s="194"/>
      <c r="P1158" s="194"/>
      <c r="Q1158" s="194"/>
      <c r="R1158" s="194"/>
      <c r="S1158" s="194"/>
      <c r="T1158" s="194"/>
      <c r="U1158" s="194"/>
      <c r="V1158" s="194"/>
      <c r="W1158" s="194"/>
      <c r="X1158" s="194"/>
      <c r="Y1158" s="194"/>
      <c r="Z1158" s="194"/>
      <c r="AA1158" s="194"/>
    </row>
    <row r="1159" spans="1:27" ht="17.399999999999999">
      <c r="A1159" s="222"/>
      <c r="B1159" s="164"/>
      <c r="C1159" s="194"/>
      <c r="D1159" s="161"/>
      <c r="E1159" s="194"/>
      <c r="F1159" s="198"/>
      <c r="G1159" s="194" t="str">
        <f ca="1">IFERROR(__xludf.DUMMYFUNCTION("""COMPUTED_VALUE"""),"DECK 05 CARVALHO EUROPEU WILD 20/6 X 300 X 4000MM")</f>
        <v>DECK 05 CARVALHO EUROPEU WILD 20/6 X 300 X 4000MM</v>
      </c>
      <c r="I1159" s="182" t="str">
        <f t="shared" ca="1" si="6"/>
        <v/>
      </c>
      <c r="J1159" s="184"/>
      <c r="K1159" s="198"/>
      <c r="L1159" s="194"/>
      <c r="M1159" s="194"/>
      <c r="N1159" s="194"/>
      <c r="O1159" s="194"/>
      <c r="P1159" s="194"/>
      <c r="Q1159" s="194"/>
      <c r="R1159" s="194"/>
      <c r="S1159" s="194"/>
      <c r="T1159" s="194"/>
      <c r="U1159" s="194"/>
      <c r="V1159" s="194"/>
      <c r="W1159" s="194"/>
      <c r="X1159" s="194"/>
      <c r="Y1159" s="194"/>
      <c r="Z1159" s="194"/>
      <c r="AA1159" s="194"/>
    </row>
    <row r="1160" spans="1:27" ht="17.399999999999999">
      <c r="A1160" s="222"/>
      <c r="B1160" s="164"/>
      <c r="C1160" s="194"/>
      <c r="D1160" s="161"/>
      <c r="E1160" s="194"/>
      <c r="F1160" s="198"/>
      <c r="G1160" s="194" t="str">
        <f ca="1">IFERROR(__xludf.DUMMYFUNCTION("""COMPUTED_VALUE"""),"DECK 05 CARVALHO EUROPEU WILD 20/6 X 400 X 5000MM")</f>
        <v>DECK 05 CARVALHO EUROPEU WILD 20/6 X 400 X 5000MM</v>
      </c>
      <c r="I1160" s="182" t="str">
        <f t="shared" ca="1" si="6"/>
        <v/>
      </c>
      <c r="J1160" s="184"/>
      <c r="K1160" s="198"/>
      <c r="L1160" s="194"/>
      <c r="M1160" s="194"/>
      <c r="N1160" s="194"/>
      <c r="O1160" s="194"/>
      <c r="P1160" s="194"/>
      <c r="Q1160" s="194"/>
      <c r="R1160" s="194"/>
      <c r="S1160" s="194"/>
      <c r="T1160" s="194"/>
      <c r="U1160" s="194"/>
      <c r="V1160" s="194"/>
      <c r="W1160" s="194"/>
      <c r="X1160" s="194"/>
      <c r="Y1160" s="194"/>
      <c r="Z1160" s="194"/>
      <c r="AA1160" s="194"/>
    </row>
    <row r="1161" spans="1:27" ht="17.399999999999999">
      <c r="A1161" s="222"/>
      <c r="B1161" s="164"/>
      <c r="C1161" s="194"/>
      <c r="D1161" s="161"/>
      <c r="E1161" s="194"/>
      <c r="F1161" s="198"/>
      <c r="G1161" s="194" t="str">
        <f ca="1">IFERROR(__xludf.DUMMYFUNCTION("""COMPUTED_VALUE"""),"DECK 05 CARVALHO EUROPEU NEVADO CHEVRON 15/3 X 1900X 740MM")</f>
        <v>DECK 05 CARVALHO EUROPEU NEVADO CHEVRON 15/3 X 1900X 740MM</v>
      </c>
      <c r="I1161" s="182" t="str">
        <f t="shared" ca="1" si="6"/>
        <v/>
      </c>
      <c r="J1161" s="184"/>
      <c r="K1161" s="198"/>
      <c r="L1161" s="194"/>
      <c r="M1161" s="194"/>
      <c r="N1161" s="194"/>
      <c r="O1161" s="194"/>
      <c r="P1161" s="194"/>
      <c r="Q1161" s="194"/>
      <c r="R1161" s="194"/>
      <c r="S1161" s="194"/>
      <c r="T1161" s="194"/>
      <c r="U1161" s="194"/>
      <c r="V1161" s="194"/>
      <c r="W1161" s="194"/>
      <c r="X1161" s="194"/>
      <c r="Y1161" s="194"/>
      <c r="Z1161" s="194"/>
      <c r="AA1161" s="194"/>
    </row>
    <row r="1162" spans="1:27" ht="17.399999999999999">
      <c r="A1162" s="222"/>
      <c r="B1162" s="164"/>
      <c r="C1162" s="194"/>
      <c r="D1162" s="161"/>
      <c r="E1162" s="194"/>
      <c r="F1162" s="198"/>
      <c r="G1162" s="194" t="str">
        <f ca="1">IFERROR(__xludf.DUMMYFUNCTION("""COMPUTED_VALUE"""),"DECK 05 CARVALHO EUROPEU NEVADO 15/3 X 125 X 1200MM")</f>
        <v>DECK 05 CARVALHO EUROPEU NEVADO 15/3 X 125 X 1200MM</v>
      </c>
      <c r="I1162" s="182" t="str">
        <f t="shared" ca="1" si="6"/>
        <v/>
      </c>
      <c r="J1162" s="184"/>
      <c r="K1162" s="198"/>
      <c r="L1162" s="194"/>
      <c r="M1162" s="194"/>
      <c r="N1162" s="194"/>
      <c r="O1162" s="194"/>
      <c r="P1162" s="194"/>
      <c r="Q1162" s="194"/>
      <c r="R1162" s="194"/>
      <c r="S1162" s="194"/>
      <c r="T1162" s="194"/>
      <c r="U1162" s="194"/>
      <c r="V1162" s="194"/>
      <c r="W1162" s="194"/>
      <c r="X1162" s="194"/>
      <c r="Y1162" s="194"/>
      <c r="Z1162" s="194"/>
      <c r="AA1162" s="194"/>
    </row>
    <row r="1163" spans="1:27" ht="17.399999999999999">
      <c r="A1163" s="222"/>
      <c r="B1163" s="164"/>
      <c r="C1163" s="194"/>
      <c r="D1163" s="161"/>
      <c r="E1163" s="194"/>
      <c r="F1163" s="198"/>
      <c r="G1163" s="194" t="str">
        <f ca="1">IFERROR(__xludf.DUMMYFUNCTION("""COMPUTED_VALUE"""),"DECK 05 CARVALHO EUROPEU NEVADO 15/3 X 190 X 1900MM")</f>
        <v>DECK 05 CARVALHO EUROPEU NEVADO 15/3 X 190 X 1900MM</v>
      </c>
      <c r="I1163" s="182" t="str">
        <f t="shared" ca="1" si="6"/>
        <v/>
      </c>
      <c r="J1163" s="184"/>
      <c r="K1163" s="198"/>
      <c r="L1163" s="194"/>
      <c r="M1163" s="194"/>
      <c r="N1163" s="194"/>
      <c r="O1163" s="194"/>
      <c r="P1163" s="194"/>
      <c r="Q1163" s="194"/>
      <c r="R1163" s="194"/>
      <c r="S1163" s="194"/>
      <c r="T1163" s="194"/>
      <c r="U1163" s="194"/>
      <c r="V1163" s="194"/>
      <c r="W1163" s="194"/>
      <c r="X1163" s="194"/>
      <c r="Y1163" s="194"/>
      <c r="Z1163" s="194"/>
      <c r="AA1163" s="194"/>
    </row>
    <row r="1164" spans="1:27" ht="17.399999999999999">
      <c r="A1164" s="222"/>
      <c r="B1164" s="164"/>
      <c r="C1164" s="194"/>
      <c r="D1164" s="161"/>
      <c r="E1164" s="194"/>
      <c r="F1164" s="198"/>
      <c r="G1164" s="194" t="str">
        <f ca="1">IFERROR(__xludf.DUMMYFUNCTION("""COMPUTED_VALUE"""),"DECK 05 CARVALHO EUROPEU NEVADO 20/6 X 300 X 4000MM")</f>
        <v>DECK 05 CARVALHO EUROPEU NEVADO 20/6 X 300 X 4000MM</v>
      </c>
      <c r="I1164" s="182" t="str">
        <f t="shared" ca="1" si="6"/>
        <v/>
      </c>
      <c r="J1164" s="184"/>
      <c r="K1164" s="198"/>
      <c r="L1164" s="194"/>
      <c r="M1164" s="194"/>
      <c r="N1164" s="194"/>
      <c r="O1164" s="194"/>
      <c r="P1164" s="194"/>
      <c r="Q1164" s="194"/>
      <c r="R1164" s="194"/>
      <c r="S1164" s="194"/>
      <c r="T1164" s="194"/>
      <c r="U1164" s="194"/>
      <c r="V1164" s="194"/>
      <c r="W1164" s="194"/>
      <c r="X1164" s="194"/>
      <c r="Y1164" s="194"/>
      <c r="Z1164" s="194"/>
      <c r="AA1164" s="194"/>
    </row>
    <row r="1165" spans="1:27" ht="17.399999999999999">
      <c r="A1165" s="222"/>
      <c r="B1165" s="164"/>
      <c r="C1165" s="194"/>
      <c r="D1165" s="161"/>
      <c r="E1165" s="194"/>
      <c r="F1165" s="198"/>
      <c r="G1165" s="194" t="str">
        <f ca="1">IFERROR(__xludf.DUMMYFUNCTION("""COMPUTED_VALUE"""),"DECK 05 CARVALHO EUROPEU NEVADO 20/6 X 400 X 5000MM")</f>
        <v>DECK 05 CARVALHO EUROPEU NEVADO 20/6 X 400 X 5000MM</v>
      </c>
      <c r="I1165" s="182" t="str">
        <f t="shared" ca="1" si="6"/>
        <v/>
      </c>
      <c r="J1165" s="184"/>
      <c r="K1165" s="198"/>
      <c r="L1165" s="194"/>
      <c r="M1165" s="194"/>
      <c r="N1165" s="194"/>
      <c r="O1165" s="194"/>
      <c r="P1165" s="194"/>
      <c r="Q1165" s="194"/>
      <c r="R1165" s="194"/>
      <c r="S1165" s="194"/>
      <c r="T1165" s="194"/>
      <c r="U1165" s="194"/>
      <c r="V1165" s="194"/>
      <c r="W1165" s="194"/>
      <c r="X1165" s="194"/>
      <c r="Y1165" s="194"/>
      <c r="Z1165" s="194"/>
      <c r="AA1165" s="194"/>
    </row>
    <row r="1166" spans="1:27" ht="17.399999999999999">
      <c r="A1166" s="222"/>
      <c r="B1166" s="164"/>
      <c r="C1166" s="194"/>
      <c r="D1166" s="161"/>
      <c r="E1166" s="194"/>
      <c r="F1166" s="198"/>
      <c r="G1166" s="194" t="str">
        <f ca="1">IFERROR(__xludf.DUMMYFUNCTION("""COMPUTED_VALUE"""),"DECK 05 CARVALHO EUROPEU CONCRETE GREY CHEVRON 15/3 X 1900X 740MM")</f>
        <v>DECK 05 CARVALHO EUROPEU CONCRETE GREY CHEVRON 15/3 X 1900X 740MM</v>
      </c>
      <c r="I1166" s="182" t="str">
        <f t="shared" ca="1" si="6"/>
        <v/>
      </c>
      <c r="J1166" s="184"/>
      <c r="K1166" s="198"/>
      <c r="L1166" s="194"/>
      <c r="M1166" s="194"/>
      <c r="N1166" s="194"/>
      <c r="O1166" s="194"/>
      <c r="P1166" s="194"/>
      <c r="Q1166" s="194"/>
      <c r="R1166" s="194"/>
      <c r="S1166" s="194"/>
      <c r="T1166" s="194"/>
      <c r="U1166" s="194"/>
      <c r="V1166" s="194"/>
      <c r="W1166" s="194"/>
      <c r="X1166" s="194"/>
      <c r="Y1166" s="194"/>
      <c r="Z1166" s="194"/>
      <c r="AA1166" s="194"/>
    </row>
    <row r="1167" spans="1:27" ht="17.399999999999999">
      <c r="A1167" s="222"/>
      <c r="B1167" s="164"/>
      <c r="C1167" s="194"/>
      <c r="D1167" s="161"/>
      <c r="E1167" s="194"/>
      <c r="F1167" s="198"/>
      <c r="G1167" s="194" t="str">
        <f ca="1">IFERROR(__xludf.DUMMYFUNCTION("""COMPUTED_VALUE"""),"DECK 05 CARVALHO EUROPEU CONCRETE GREY 15/3 X 125 X 1200MM")</f>
        <v>DECK 05 CARVALHO EUROPEU CONCRETE GREY 15/3 X 125 X 1200MM</v>
      </c>
      <c r="I1167" s="182" t="str">
        <f t="shared" ca="1" si="6"/>
        <v/>
      </c>
      <c r="J1167" s="184"/>
      <c r="K1167" s="198"/>
      <c r="L1167" s="194"/>
      <c r="M1167" s="194"/>
      <c r="N1167" s="194"/>
      <c r="O1167" s="194"/>
      <c r="P1167" s="194"/>
      <c r="Q1167" s="194"/>
      <c r="R1167" s="194"/>
      <c r="S1167" s="194"/>
      <c r="T1167" s="194"/>
      <c r="U1167" s="194"/>
      <c r="V1167" s="194"/>
      <c r="W1167" s="194"/>
      <c r="X1167" s="194"/>
      <c r="Y1167" s="194"/>
      <c r="Z1167" s="194"/>
      <c r="AA1167" s="194"/>
    </row>
    <row r="1168" spans="1:27" ht="17.399999999999999">
      <c r="A1168" s="222"/>
      <c r="B1168" s="164"/>
      <c r="C1168" s="194"/>
      <c r="D1168" s="161"/>
      <c r="E1168" s="194"/>
      <c r="F1168" s="198"/>
      <c r="G1168" s="194" t="str">
        <f ca="1">IFERROR(__xludf.DUMMYFUNCTION("""COMPUTED_VALUE"""),"DECK 05 CARVALHO EUROPEU CONCRETE GREY 15/3 X 190 X 1900MM")</f>
        <v>DECK 05 CARVALHO EUROPEU CONCRETE GREY 15/3 X 190 X 1900MM</v>
      </c>
      <c r="I1168" s="182" t="str">
        <f t="shared" ca="1" si="6"/>
        <v/>
      </c>
      <c r="J1168" s="184"/>
      <c r="K1168" s="198"/>
      <c r="L1168" s="194"/>
      <c r="M1168" s="194"/>
      <c r="N1168" s="194"/>
      <c r="O1168" s="194"/>
      <c r="P1168" s="194"/>
      <c r="Q1168" s="194"/>
      <c r="R1168" s="194"/>
      <c r="S1168" s="194"/>
      <c r="T1168" s="194"/>
      <c r="U1168" s="194"/>
      <c r="V1168" s="194"/>
      <c r="W1168" s="194"/>
      <c r="X1168" s="194"/>
      <c r="Y1168" s="194"/>
      <c r="Z1168" s="194"/>
      <c r="AA1168" s="194"/>
    </row>
    <row r="1169" spans="1:27" ht="17.399999999999999">
      <c r="A1169" s="222"/>
      <c r="B1169" s="164"/>
      <c r="C1169" s="194"/>
      <c r="D1169" s="161"/>
      <c r="E1169" s="194"/>
      <c r="F1169" s="198"/>
      <c r="G1169" s="194" t="str">
        <f ca="1">IFERROR(__xludf.DUMMYFUNCTION("""COMPUTED_VALUE"""),"DECK 05 CARVALHO EUROPEU CONCRETE GREY 20/6 X 300 X 4000MM")</f>
        <v>DECK 05 CARVALHO EUROPEU CONCRETE GREY 20/6 X 300 X 4000MM</v>
      </c>
      <c r="I1169" s="182" t="str">
        <f t="shared" ca="1" si="6"/>
        <v/>
      </c>
      <c r="J1169" s="184"/>
      <c r="K1169" s="198"/>
      <c r="L1169" s="194"/>
      <c r="M1169" s="194"/>
      <c r="N1169" s="194"/>
      <c r="O1169" s="194"/>
      <c r="P1169" s="194"/>
      <c r="Q1169" s="194"/>
      <c r="R1169" s="194"/>
      <c r="S1169" s="194"/>
      <c r="T1169" s="194"/>
      <c r="U1169" s="194"/>
      <c r="V1169" s="194"/>
      <c r="W1169" s="194"/>
      <c r="X1169" s="194"/>
      <c r="Y1169" s="194"/>
      <c r="Z1169" s="194"/>
      <c r="AA1169" s="194"/>
    </row>
    <row r="1170" spans="1:27" ht="17.399999999999999">
      <c r="A1170" s="222"/>
      <c r="B1170" s="164"/>
      <c r="C1170" s="194"/>
      <c r="D1170" s="161"/>
      <c r="E1170" s="194"/>
      <c r="F1170" s="198"/>
      <c r="G1170" s="194" t="str">
        <f ca="1">IFERROR(__xludf.DUMMYFUNCTION("""COMPUTED_VALUE"""),"DECK 05 CARVALHO EUROPEU CONCRETE GREY 20/6 X 400 X 5000MM")</f>
        <v>DECK 05 CARVALHO EUROPEU CONCRETE GREY 20/6 X 400 X 5000MM</v>
      </c>
      <c r="I1170" s="182" t="str">
        <f t="shared" ca="1" si="6"/>
        <v/>
      </c>
      <c r="J1170" s="184"/>
      <c r="K1170" s="198"/>
      <c r="L1170" s="194"/>
      <c r="M1170" s="194"/>
      <c r="N1170" s="194"/>
      <c r="O1170" s="194"/>
      <c r="P1170" s="194"/>
      <c r="Q1170" s="194"/>
      <c r="R1170" s="194"/>
      <c r="S1170" s="194"/>
      <c r="T1170" s="194"/>
      <c r="U1170" s="194"/>
      <c r="V1170" s="194"/>
      <c r="W1170" s="194"/>
      <c r="X1170" s="194"/>
      <c r="Y1170" s="194"/>
      <c r="Z1170" s="194"/>
      <c r="AA1170" s="194"/>
    </row>
    <row r="1171" spans="1:27" ht="17.399999999999999">
      <c r="A1171" s="222"/>
      <c r="B1171" s="164"/>
      <c r="C1171" s="194"/>
      <c r="D1171" s="161"/>
      <c r="E1171" s="194"/>
      <c r="F1171" s="198"/>
      <c r="G1171" s="194" t="str">
        <f ca="1">IFERROR(__xludf.DUMMYFUNCTION("""COMPUTED_VALUE"""),"DECK 05 CARVALHO EUROPEU ITALY BROWN CHEVRON 15/3 X 1900X 740MM")</f>
        <v>DECK 05 CARVALHO EUROPEU ITALY BROWN CHEVRON 15/3 X 1900X 740MM</v>
      </c>
      <c r="I1171" s="182" t="str">
        <f t="shared" ca="1" si="6"/>
        <v/>
      </c>
      <c r="J1171" s="184"/>
      <c r="K1171" s="198"/>
      <c r="L1171" s="194"/>
      <c r="M1171" s="194"/>
      <c r="N1171" s="194"/>
      <c r="O1171" s="194"/>
      <c r="P1171" s="194"/>
      <c r="Q1171" s="194"/>
      <c r="R1171" s="194"/>
      <c r="S1171" s="194"/>
      <c r="T1171" s="194"/>
      <c r="U1171" s="194"/>
      <c r="V1171" s="194"/>
      <c r="W1171" s="194"/>
      <c r="X1171" s="194"/>
      <c r="Y1171" s="194"/>
      <c r="Z1171" s="194"/>
      <c r="AA1171" s="194"/>
    </row>
    <row r="1172" spans="1:27" ht="17.399999999999999">
      <c r="A1172" s="222"/>
      <c r="B1172" s="164"/>
      <c r="C1172" s="194"/>
      <c r="D1172" s="161"/>
      <c r="E1172" s="194"/>
      <c r="F1172" s="198"/>
      <c r="G1172" s="194" t="str">
        <f ca="1">IFERROR(__xludf.DUMMYFUNCTION("""COMPUTED_VALUE"""),"DECK 05 CARVALHO EUROPEU ITALY BROWN 15/3 X 125 X 1200MM")</f>
        <v>DECK 05 CARVALHO EUROPEU ITALY BROWN 15/3 X 125 X 1200MM</v>
      </c>
      <c r="I1172" s="182" t="str">
        <f t="shared" ca="1" si="6"/>
        <v/>
      </c>
      <c r="J1172" s="184"/>
      <c r="K1172" s="198"/>
      <c r="L1172" s="194"/>
      <c r="M1172" s="194"/>
      <c r="N1172" s="194"/>
      <c r="O1172" s="194"/>
      <c r="P1172" s="194"/>
      <c r="Q1172" s="194"/>
      <c r="R1172" s="194"/>
      <c r="S1172" s="194"/>
      <c r="T1172" s="194"/>
      <c r="U1172" s="194"/>
      <c r="V1172" s="194"/>
      <c r="W1172" s="194"/>
      <c r="X1172" s="194"/>
      <c r="Y1172" s="194"/>
      <c r="Z1172" s="194"/>
      <c r="AA1172" s="194"/>
    </row>
    <row r="1173" spans="1:27" ht="17.399999999999999">
      <c r="A1173" s="222"/>
      <c r="B1173" s="164"/>
      <c r="C1173" s="194"/>
      <c r="D1173" s="161"/>
      <c r="E1173" s="194"/>
      <c r="F1173" s="198"/>
      <c r="G1173" s="194" t="str">
        <f ca="1">IFERROR(__xludf.DUMMYFUNCTION("""COMPUTED_VALUE"""),"DECK 05 CARVALHO EUROPEU ITALY BROWN 15/3 X 190 X 1900MM")</f>
        <v>DECK 05 CARVALHO EUROPEU ITALY BROWN 15/3 X 190 X 1900MM</v>
      </c>
      <c r="I1173" s="182" t="str">
        <f t="shared" ca="1" si="6"/>
        <v/>
      </c>
      <c r="J1173" s="184"/>
      <c r="K1173" s="198"/>
      <c r="L1173" s="194"/>
      <c r="M1173" s="194"/>
      <c r="N1173" s="194"/>
      <c r="O1173" s="194"/>
      <c r="P1173" s="194"/>
      <c r="Q1173" s="194"/>
      <c r="R1173" s="194"/>
      <c r="S1173" s="194"/>
      <c r="T1173" s="194"/>
      <c r="U1173" s="194"/>
      <c r="V1173" s="194"/>
      <c r="W1173" s="194"/>
      <c r="X1173" s="194"/>
      <c r="Y1173" s="194"/>
      <c r="Z1173" s="194"/>
      <c r="AA1173" s="194"/>
    </row>
    <row r="1174" spans="1:27" ht="17.399999999999999">
      <c r="A1174" s="222"/>
      <c r="B1174" s="164"/>
      <c r="C1174" s="194"/>
      <c r="D1174" s="161"/>
      <c r="E1174" s="194"/>
      <c r="F1174" s="198"/>
      <c r="G1174" s="194" t="str">
        <f ca="1">IFERROR(__xludf.DUMMYFUNCTION("""COMPUTED_VALUE"""),"DECK 05 CARVALHO EUROPEU ITALY BROWN 20/6 X 300 X 4000MM")</f>
        <v>DECK 05 CARVALHO EUROPEU ITALY BROWN 20/6 X 300 X 4000MM</v>
      </c>
      <c r="I1174" s="182" t="str">
        <f t="shared" ca="1" si="6"/>
        <v/>
      </c>
      <c r="J1174" s="184"/>
      <c r="K1174" s="198"/>
      <c r="L1174" s="194"/>
      <c r="M1174" s="194"/>
      <c r="N1174" s="194"/>
      <c r="O1174" s="194"/>
      <c r="P1174" s="194"/>
      <c r="Q1174" s="194"/>
      <c r="R1174" s="194"/>
      <c r="S1174" s="194"/>
      <c r="T1174" s="194"/>
      <c r="U1174" s="194"/>
      <c r="V1174" s="194"/>
      <c r="W1174" s="194"/>
      <c r="X1174" s="194"/>
      <c r="Y1174" s="194"/>
      <c r="Z1174" s="194"/>
      <c r="AA1174" s="194"/>
    </row>
    <row r="1175" spans="1:27" ht="17.399999999999999">
      <c r="A1175" s="222"/>
      <c r="B1175" s="164"/>
      <c r="C1175" s="194"/>
      <c r="D1175" s="161"/>
      <c r="E1175" s="194"/>
      <c r="F1175" s="198"/>
      <c r="G1175" s="194" t="str">
        <f ca="1">IFERROR(__xludf.DUMMYFUNCTION("""COMPUTED_VALUE"""),"DECK 05 CARVALHO EUROPEU ITALY BROWN 20/6 X 400 X 5000MM")</f>
        <v>DECK 05 CARVALHO EUROPEU ITALY BROWN 20/6 X 400 X 5000MM</v>
      </c>
      <c r="I1175" s="182" t="str">
        <f t="shared" ca="1" si="6"/>
        <v/>
      </c>
      <c r="J1175" s="184"/>
      <c r="K1175" s="198"/>
      <c r="L1175" s="194"/>
      <c r="M1175" s="194"/>
      <c r="N1175" s="194"/>
      <c r="O1175" s="194"/>
      <c r="P1175" s="194"/>
      <c r="Q1175" s="194"/>
      <c r="R1175" s="194"/>
      <c r="S1175" s="194"/>
      <c r="T1175" s="194"/>
      <c r="U1175" s="194"/>
      <c r="V1175" s="194"/>
      <c r="W1175" s="194"/>
      <c r="X1175" s="194"/>
      <c r="Y1175" s="194"/>
      <c r="Z1175" s="194"/>
      <c r="AA1175" s="194"/>
    </row>
    <row r="1176" spans="1:27" ht="17.399999999999999">
      <c r="A1176" s="222"/>
      <c r="B1176" s="164"/>
      <c r="C1176" s="194"/>
      <c r="D1176" s="161"/>
      <c r="E1176" s="194"/>
      <c r="F1176" s="198"/>
      <c r="G1176" s="194" t="str">
        <f ca="1">IFERROR(__xludf.DUMMYFUNCTION("""COMPUTED_VALUE"""),"DECK 05 CARVALHO EUROPEU ALL BLACK CHEVRON 15/3 X 1900X 740MM")</f>
        <v>DECK 05 CARVALHO EUROPEU ALL BLACK CHEVRON 15/3 X 1900X 740MM</v>
      </c>
      <c r="I1176" s="182" t="str">
        <f t="shared" ca="1" si="6"/>
        <v/>
      </c>
      <c r="J1176" s="184"/>
      <c r="K1176" s="198"/>
      <c r="L1176" s="194"/>
      <c r="M1176" s="194"/>
      <c r="N1176" s="194"/>
      <c r="O1176" s="194"/>
      <c r="P1176" s="194"/>
      <c r="Q1176" s="194"/>
      <c r="R1176" s="194"/>
      <c r="S1176" s="194"/>
      <c r="T1176" s="194"/>
      <c r="U1176" s="194"/>
      <c r="V1176" s="194"/>
      <c r="W1176" s="194"/>
      <c r="X1176" s="194"/>
      <c r="Y1176" s="194"/>
      <c r="Z1176" s="194"/>
      <c r="AA1176" s="194"/>
    </row>
    <row r="1177" spans="1:27" ht="17.399999999999999">
      <c r="A1177" s="222"/>
      <c r="B1177" s="164"/>
      <c r="C1177" s="194"/>
      <c r="D1177" s="161"/>
      <c r="E1177" s="194"/>
      <c r="F1177" s="198"/>
      <c r="G1177" s="194" t="str">
        <f ca="1">IFERROR(__xludf.DUMMYFUNCTION("""COMPUTED_VALUE"""),"DECK 05 CARVALHO EUROPEU ALL BLACK 15/3 X 125 X 1200MM")</f>
        <v>DECK 05 CARVALHO EUROPEU ALL BLACK 15/3 X 125 X 1200MM</v>
      </c>
      <c r="I1177" s="182" t="str">
        <f t="shared" ca="1" si="6"/>
        <v/>
      </c>
      <c r="J1177" s="184"/>
      <c r="K1177" s="198"/>
      <c r="L1177" s="194"/>
      <c r="M1177" s="194"/>
      <c r="N1177" s="194"/>
      <c r="O1177" s="194"/>
      <c r="P1177" s="194"/>
      <c r="Q1177" s="194"/>
      <c r="R1177" s="194"/>
      <c r="S1177" s="194"/>
      <c r="T1177" s="194"/>
      <c r="U1177" s="194"/>
      <c r="V1177" s="194"/>
      <c r="W1177" s="194"/>
      <c r="X1177" s="194"/>
      <c r="Y1177" s="194"/>
      <c r="Z1177" s="194"/>
      <c r="AA1177" s="194"/>
    </row>
    <row r="1178" spans="1:27" ht="17.399999999999999">
      <c r="A1178" s="222"/>
      <c r="B1178" s="164"/>
      <c r="C1178" s="194"/>
      <c r="D1178" s="161"/>
      <c r="E1178" s="194"/>
      <c r="F1178" s="198"/>
      <c r="G1178" s="194" t="str">
        <f ca="1">IFERROR(__xludf.DUMMYFUNCTION("""COMPUTED_VALUE"""),"DECK 05 CARVALHO EUROPEU BLACK CHEVRON TG 15/3 X 125 X 775CM")</f>
        <v>DECK 05 CARVALHO EUROPEU BLACK CHEVRON TG 15/3 X 125 X 775CM</v>
      </c>
      <c r="I1178" s="182" t="str">
        <f t="shared" ca="1" si="6"/>
        <v/>
      </c>
      <c r="J1178" s="184"/>
      <c r="K1178" s="198"/>
      <c r="L1178" s="194"/>
      <c r="M1178" s="194"/>
      <c r="N1178" s="194"/>
      <c r="O1178" s="194"/>
      <c r="P1178" s="194"/>
      <c r="Q1178" s="194"/>
      <c r="R1178" s="194"/>
      <c r="S1178" s="194"/>
      <c r="T1178" s="194"/>
      <c r="U1178" s="194"/>
      <c r="V1178" s="194"/>
      <c r="W1178" s="194"/>
      <c r="X1178" s="194"/>
      <c r="Y1178" s="194"/>
      <c r="Z1178" s="194"/>
      <c r="AA1178" s="194"/>
    </row>
    <row r="1179" spans="1:27" ht="17.399999999999999">
      <c r="A1179" s="222"/>
      <c r="B1179" s="164"/>
      <c r="C1179" s="194"/>
      <c r="D1179" s="161"/>
      <c r="E1179" s="194"/>
      <c r="F1179" s="198"/>
      <c r="G1179" s="194" t="str">
        <f ca="1">IFERROR(__xludf.DUMMYFUNCTION("""COMPUTED_VALUE"""),"DECK 05 CARVALHO EUROPEU ALL BLACK 15/3 X 190 X 1900MM")</f>
        <v>DECK 05 CARVALHO EUROPEU ALL BLACK 15/3 X 190 X 1900MM</v>
      </c>
      <c r="I1179" s="182" t="str">
        <f t="shared" ca="1" si="6"/>
        <v/>
      </c>
      <c r="J1179" s="184"/>
      <c r="K1179" s="198"/>
      <c r="L1179" s="194"/>
      <c r="M1179" s="194"/>
      <c r="N1179" s="194"/>
      <c r="O1179" s="194"/>
      <c r="P1179" s="194"/>
      <c r="Q1179" s="194"/>
      <c r="R1179" s="194"/>
      <c r="S1179" s="194"/>
      <c r="T1179" s="194"/>
      <c r="U1179" s="194"/>
      <c r="V1179" s="194"/>
      <c r="W1179" s="194"/>
      <c r="X1179" s="194"/>
      <c r="Y1179" s="194"/>
      <c r="Z1179" s="194"/>
      <c r="AA1179" s="194"/>
    </row>
    <row r="1180" spans="1:27" ht="17.399999999999999">
      <c r="A1180" s="222"/>
      <c r="B1180" s="164"/>
      <c r="C1180" s="194"/>
      <c r="D1180" s="161"/>
      <c r="E1180" s="194"/>
      <c r="F1180" s="198"/>
      <c r="G1180" s="194" t="str">
        <f ca="1">IFERROR(__xludf.DUMMYFUNCTION("""COMPUTED_VALUE"""),"DECK 05 CARVALHO EUROPEU ALL BLACK 20/6 X 300 X 4000MM")</f>
        <v>DECK 05 CARVALHO EUROPEU ALL BLACK 20/6 X 300 X 4000MM</v>
      </c>
      <c r="I1180" s="182" t="str">
        <f t="shared" ca="1" si="6"/>
        <v/>
      </c>
      <c r="J1180" s="184"/>
      <c r="K1180" s="198"/>
      <c r="L1180" s="194"/>
      <c r="M1180" s="194"/>
      <c r="N1180" s="194"/>
      <c r="O1180" s="194"/>
      <c r="P1180" s="194"/>
      <c r="Q1180" s="194"/>
      <c r="R1180" s="194"/>
      <c r="S1180" s="194"/>
      <c r="T1180" s="194"/>
      <c r="U1180" s="194"/>
      <c r="V1180" s="194"/>
      <c r="W1180" s="194"/>
      <c r="X1180" s="194"/>
      <c r="Y1180" s="194"/>
      <c r="Z1180" s="194"/>
      <c r="AA1180" s="194"/>
    </row>
    <row r="1181" spans="1:27" ht="17.399999999999999">
      <c r="A1181" s="222"/>
      <c r="B1181" s="164"/>
      <c r="C1181" s="194"/>
      <c r="D1181" s="161"/>
      <c r="E1181" s="194"/>
      <c r="F1181" s="198"/>
      <c r="G1181" s="194" t="str">
        <f ca="1">IFERROR(__xludf.DUMMYFUNCTION("""COMPUTED_VALUE"""),"DECK 05 CARVALHO EUROPEU ALL BLACK 20/6 X 400 X 5000MM")</f>
        <v>DECK 05 CARVALHO EUROPEU ALL BLACK 20/6 X 400 X 5000MM</v>
      </c>
      <c r="I1181" s="182" t="str">
        <f t="shared" ca="1" si="6"/>
        <v/>
      </c>
      <c r="J1181" s="184"/>
      <c r="K1181" s="198"/>
      <c r="L1181" s="194"/>
      <c r="M1181" s="194"/>
      <c r="N1181" s="194"/>
      <c r="O1181" s="194"/>
      <c r="P1181" s="194"/>
      <c r="Q1181" s="194"/>
      <c r="R1181" s="194"/>
      <c r="S1181" s="194"/>
      <c r="T1181" s="194"/>
      <c r="U1181" s="194"/>
      <c r="V1181" s="194"/>
      <c r="W1181" s="194"/>
      <c r="X1181" s="194"/>
      <c r="Y1181" s="194"/>
      <c r="Z1181" s="194"/>
      <c r="AA1181" s="194"/>
    </row>
    <row r="1182" spans="1:27" ht="17.399999999999999">
      <c r="A1182" s="222"/>
      <c r="B1182" s="164"/>
      <c r="C1182" s="194"/>
      <c r="D1182" s="161"/>
      <c r="E1182" s="194"/>
      <c r="F1182" s="198"/>
      <c r="G1182" s="194" t="str">
        <f ca="1">IFERROR(__xludf.DUMMYFUNCTION("""COMPUTED_VALUE"""),"DECK 05 CARVALHO EUROPEU URBAN GREY CHEVRON 15/3 X 1900X 740MM")</f>
        <v>DECK 05 CARVALHO EUROPEU URBAN GREY CHEVRON 15/3 X 1900X 740MM</v>
      </c>
      <c r="I1182" s="182" t="str">
        <f t="shared" ca="1" si="6"/>
        <v/>
      </c>
      <c r="J1182" s="184"/>
      <c r="K1182" s="198"/>
      <c r="L1182" s="194"/>
      <c r="M1182" s="194"/>
      <c r="N1182" s="194"/>
      <c r="O1182" s="194"/>
      <c r="P1182" s="194"/>
      <c r="Q1182" s="194"/>
      <c r="R1182" s="194"/>
      <c r="S1182" s="194"/>
      <c r="T1182" s="194"/>
      <c r="U1182" s="194"/>
      <c r="V1182" s="194"/>
      <c r="W1182" s="194"/>
      <c r="X1182" s="194"/>
      <c r="Y1182" s="194"/>
      <c r="Z1182" s="194"/>
      <c r="AA1182" s="194"/>
    </row>
    <row r="1183" spans="1:27" ht="17.399999999999999">
      <c r="A1183" s="222"/>
      <c r="B1183" s="164"/>
      <c r="C1183" s="194"/>
      <c r="D1183" s="161"/>
      <c r="E1183" s="194"/>
      <c r="F1183" s="198"/>
      <c r="G1183" s="194" t="str">
        <f ca="1">IFERROR(__xludf.DUMMYFUNCTION("""COMPUTED_VALUE"""),"DECK 05 CARVALHO EUROPEU URBAN GREY 15/3 X 125 X 1200MM")</f>
        <v>DECK 05 CARVALHO EUROPEU URBAN GREY 15/3 X 125 X 1200MM</v>
      </c>
      <c r="I1183" s="182" t="str">
        <f t="shared" ca="1" si="6"/>
        <v/>
      </c>
      <c r="J1183" s="184"/>
      <c r="K1183" s="198"/>
      <c r="L1183" s="194"/>
      <c r="M1183" s="194"/>
      <c r="N1183" s="194"/>
      <c r="O1183" s="194"/>
      <c r="P1183" s="194"/>
      <c r="Q1183" s="194"/>
      <c r="R1183" s="194"/>
      <c r="S1183" s="194"/>
      <c r="T1183" s="194"/>
      <c r="U1183" s="194"/>
      <c r="V1183" s="194"/>
      <c r="W1183" s="194"/>
      <c r="X1183" s="194"/>
      <c r="Y1183" s="194"/>
      <c r="Z1183" s="194"/>
      <c r="AA1183" s="194"/>
    </row>
    <row r="1184" spans="1:27" ht="17.399999999999999">
      <c r="A1184" s="222"/>
      <c r="B1184" s="164"/>
      <c r="C1184" s="194"/>
      <c r="D1184" s="161"/>
      <c r="E1184" s="194"/>
      <c r="F1184" s="198"/>
      <c r="G1184" s="194" t="str">
        <f ca="1">IFERROR(__xludf.DUMMYFUNCTION("""COMPUTED_VALUE"""),"DECK 05 CARVALHO EUROPEU URBAN GREY 15/3 X 190 X 1900MM")</f>
        <v>DECK 05 CARVALHO EUROPEU URBAN GREY 15/3 X 190 X 1900MM</v>
      </c>
      <c r="I1184" s="182" t="str">
        <f t="shared" ca="1" si="6"/>
        <v/>
      </c>
      <c r="J1184" s="184"/>
      <c r="K1184" s="198"/>
      <c r="L1184" s="194"/>
      <c r="M1184" s="194"/>
      <c r="N1184" s="194"/>
      <c r="O1184" s="194"/>
      <c r="P1184" s="194"/>
      <c r="Q1184" s="194"/>
      <c r="R1184" s="194"/>
      <c r="S1184" s="194"/>
      <c r="T1184" s="194"/>
      <c r="U1184" s="194"/>
      <c r="V1184" s="194"/>
      <c r="W1184" s="194"/>
      <c r="X1184" s="194"/>
      <c r="Y1184" s="194"/>
      <c r="Z1184" s="194"/>
      <c r="AA1184" s="194"/>
    </row>
    <row r="1185" spans="1:27" ht="17.399999999999999">
      <c r="A1185" s="222"/>
      <c r="B1185" s="164"/>
      <c r="C1185" s="194"/>
      <c r="D1185" s="161"/>
      <c r="E1185" s="194"/>
      <c r="F1185" s="198"/>
      <c r="G1185" s="194" t="str">
        <f ca="1">IFERROR(__xludf.DUMMYFUNCTION("""COMPUTED_VALUE"""),"DECK 05 CARVALHO EUROPEU URBAN GREY 20/6 X 300 X 4000MM")</f>
        <v>DECK 05 CARVALHO EUROPEU URBAN GREY 20/6 X 300 X 4000MM</v>
      </c>
      <c r="I1185" s="182" t="str">
        <f t="shared" ca="1" si="6"/>
        <v/>
      </c>
      <c r="J1185" s="184"/>
      <c r="K1185" s="198"/>
      <c r="L1185" s="194"/>
      <c r="M1185" s="194"/>
      <c r="N1185" s="194"/>
      <c r="O1185" s="194"/>
      <c r="P1185" s="194"/>
      <c r="Q1185" s="194"/>
      <c r="R1185" s="194"/>
      <c r="S1185" s="194"/>
      <c r="T1185" s="194"/>
      <c r="U1185" s="194"/>
      <c r="V1185" s="194"/>
      <c r="W1185" s="194"/>
      <c r="X1185" s="194"/>
      <c r="Y1185" s="194"/>
      <c r="Z1185" s="194"/>
      <c r="AA1185" s="194"/>
    </row>
    <row r="1186" spans="1:27" ht="17.399999999999999">
      <c r="A1186" s="222"/>
      <c r="B1186" s="164"/>
      <c r="C1186" s="194"/>
      <c r="D1186" s="161"/>
      <c r="E1186" s="194"/>
      <c r="F1186" s="198"/>
      <c r="G1186" s="194" t="str">
        <f ca="1">IFERROR(__xludf.DUMMYFUNCTION("""COMPUTED_VALUE"""),"DECK 05 CARVALHO EUROPEU URBAN GREY 20/6 X 400 X 5000MM")</f>
        <v>DECK 05 CARVALHO EUROPEU URBAN GREY 20/6 X 400 X 5000MM</v>
      </c>
      <c r="I1186" s="182" t="str">
        <f t="shared" ca="1" si="6"/>
        <v/>
      </c>
      <c r="J1186" s="184"/>
      <c r="K1186" s="198"/>
      <c r="L1186" s="194"/>
      <c r="M1186" s="194"/>
      <c r="N1186" s="194"/>
      <c r="O1186" s="194"/>
      <c r="P1186" s="194"/>
      <c r="Q1186" s="194"/>
      <c r="R1186" s="194"/>
      <c r="S1186" s="194"/>
      <c r="T1186" s="194"/>
      <c r="U1186" s="194"/>
      <c r="V1186" s="194"/>
      <c r="W1186" s="194"/>
      <c r="X1186" s="194"/>
      <c r="Y1186" s="194"/>
      <c r="Z1186" s="194"/>
      <c r="AA1186" s="194"/>
    </row>
    <row r="1187" spans="1:27" ht="17.399999999999999">
      <c r="A1187" s="222"/>
      <c r="B1187" s="164"/>
      <c r="C1187" s="194"/>
      <c r="D1187" s="161"/>
      <c r="E1187" s="194"/>
      <c r="F1187" s="198"/>
      <c r="G1187" s="194" t="str">
        <f ca="1">IFERROR(__xludf.DUMMYFUNCTION("""COMPUTED_VALUE"""),"DECK 05 CARVALHO EUROPEU CARAMEL CHEVRON 15/3 X 1900X 740MM")</f>
        <v>DECK 05 CARVALHO EUROPEU CARAMEL CHEVRON 15/3 X 1900X 740MM</v>
      </c>
      <c r="I1187" s="182" t="str">
        <f t="shared" ca="1" si="6"/>
        <v/>
      </c>
      <c r="J1187" s="184"/>
      <c r="K1187" s="198"/>
      <c r="L1187" s="194"/>
      <c r="M1187" s="194"/>
      <c r="N1187" s="194"/>
      <c r="O1187" s="194"/>
      <c r="P1187" s="194"/>
      <c r="Q1187" s="194"/>
      <c r="R1187" s="194"/>
      <c r="S1187" s="194"/>
      <c r="T1187" s="194"/>
      <c r="U1187" s="194"/>
      <c r="V1187" s="194"/>
      <c r="W1187" s="194"/>
      <c r="X1187" s="194"/>
      <c r="Y1187" s="194"/>
      <c r="Z1187" s="194"/>
      <c r="AA1187" s="194"/>
    </row>
    <row r="1188" spans="1:27" ht="17.399999999999999">
      <c r="A1188" s="222"/>
      <c r="B1188" s="164"/>
      <c r="C1188" s="194"/>
      <c r="D1188" s="161"/>
      <c r="E1188" s="194"/>
      <c r="F1188" s="198"/>
      <c r="G1188" s="194" t="str">
        <f ca="1">IFERROR(__xludf.DUMMYFUNCTION("""COMPUTED_VALUE"""),"DECK 05 CARVALHO EUROPEU CARAMEL 15/3 X 125 X 1200MM")</f>
        <v>DECK 05 CARVALHO EUROPEU CARAMEL 15/3 X 125 X 1200MM</v>
      </c>
      <c r="I1188" s="182" t="str">
        <f t="shared" ca="1" si="6"/>
        <v/>
      </c>
      <c r="J1188" s="184"/>
      <c r="K1188" s="198"/>
      <c r="L1188" s="194"/>
      <c r="M1188" s="194"/>
      <c r="N1188" s="194"/>
      <c r="O1188" s="194"/>
      <c r="P1188" s="194"/>
      <c r="Q1188" s="194"/>
      <c r="R1188" s="194"/>
      <c r="S1188" s="194"/>
      <c r="T1188" s="194"/>
      <c r="U1188" s="194"/>
      <c r="V1188" s="194"/>
      <c r="W1188" s="194"/>
      <c r="X1188" s="194"/>
      <c r="Y1188" s="194"/>
      <c r="Z1188" s="194"/>
      <c r="AA1188" s="194"/>
    </row>
    <row r="1189" spans="1:27" ht="17.399999999999999">
      <c r="A1189" s="222"/>
      <c r="B1189" s="164"/>
      <c r="C1189" s="194"/>
      <c r="D1189" s="161"/>
      <c r="E1189" s="194"/>
      <c r="F1189" s="198"/>
      <c r="G1189" s="194" t="str">
        <f ca="1">IFERROR(__xludf.DUMMYFUNCTION("""COMPUTED_VALUE"""),"DECK 05 CARVALHO EUROPEU CARAMEL 15/3 X 190 X 1900MM")</f>
        <v>DECK 05 CARVALHO EUROPEU CARAMEL 15/3 X 190 X 1900MM</v>
      </c>
      <c r="I1189" s="182" t="str">
        <f t="shared" ca="1" si="6"/>
        <v/>
      </c>
      <c r="J1189" s="184"/>
      <c r="K1189" s="198"/>
      <c r="L1189" s="194"/>
      <c r="M1189" s="194"/>
      <c r="N1189" s="194"/>
      <c r="O1189" s="194"/>
      <c r="P1189" s="194"/>
      <c r="Q1189" s="194"/>
      <c r="R1189" s="194"/>
      <c r="S1189" s="194"/>
      <c r="T1189" s="194"/>
      <c r="U1189" s="194"/>
      <c r="V1189" s="194"/>
      <c r="W1189" s="194"/>
      <c r="X1189" s="194"/>
      <c r="Y1189" s="194"/>
      <c r="Z1189" s="194"/>
      <c r="AA1189" s="194"/>
    </row>
    <row r="1190" spans="1:27" ht="17.399999999999999">
      <c r="A1190" s="222"/>
      <c r="B1190" s="164"/>
      <c r="C1190" s="194"/>
      <c r="D1190" s="161"/>
      <c r="E1190" s="194"/>
      <c r="F1190" s="198"/>
      <c r="G1190" s="194" t="str">
        <f ca="1">IFERROR(__xludf.DUMMYFUNCTION("""COMPUTED_VALUE"""),"DECK 05 CARVALHO EUROPEU CARAMEL 20/6 X 300 X 4000MM")</f>
        <v>DECK 05 CARVALHO EUROPEU CARAMEL 20/6 X 300 X 4000MM</v>
      </c>
      <c r="I1190" s="182" t="str">
        <f t="shared" ca="1" si="6"/>
        <v/>
      </c>
      <c r="J1190" s="184"/>
      <c r="K1190" s="198"/>
      <c r="L1190" s="194"/>
      <c r="M1190" s="194"/>
      <c r="N1190" s="194"/>
      <c r="O1190" s="194"/>
      <c r="P1190" s="194"/>
      <c r="Q1190" s="194"/>
      <c r="R1190" s="194"/>
      <c r="S1190" s="194"/>
      <c r="T1190" s="194"/>
      <c r="U1190" s="194"/>
      <c r="V1190" s="194"/>
      <c r="W1190" s="194"/>
      <c r="X1190" s="194"/>
      <c r="Y1190" s="194"/>
      <c r="Z1190" s="194"/>
      <c r="AA1190" s="194"/>
    </row>
    <row r="1191" spans="1:27" ht="17.399999999999999">
      <c r="A1191" s="222"/>
      <c r="B1191" s="164"/>
      <c r="C1191" s="194"/>
      <c r="D1191" s="161"/>
      <c r="E1191" s="194"/>
      <c r="F1191" s="198"/>
      <c r="G1191" s="194" t="str">
        <f ca="1">IFERROR(__xludf.DUMMYFUNCTION("""COMPUTED_VALUE"""),"DECK 05 CARVALHO EUROPEU CARAMEL 20/6 X 400 X 5000MM")</f>
        <v>DECK 05 CARVALHO EUROPEU CARAMEL 20/6 X 400 X 5000MM</v>
      </c>
      <c r="I1191" s="182" t="str">
        <f t="shared" ca="1" si="6"/>
        <v/>
      </c>
      <c r="J1191" s="184"/>
      <c r="K1191" s="198"/>
      <c r="L1191" s="194"/>
      <c r="M1191" s="194"/>
      <c r="N1191" s="194"/>
      <c r="O1191" s="194"/>
      <c r="P1191" s="194"/>
      <c r="Q1191" s="194"/>
      <c r="R1191" s="194"/>
      <c r="S1191" s="194"/>
      <c r="T1191" s="194"/>
      <c r="U1191" s="194"/>
      <c r="V1191" s="194"/>
      <c r="W1191" s="194"/>
      <c r="X1191" s="194"/>
      <c r="Y1191" s="194"/>
      <c r="Z1191" s="194"/>
      <c r="AA1191" s="194"/>
    </row>
    <row r="1192" spans="1:27" ht="17.399999999999999">
      <c r="A1192" s="222"/>
      <c r="B1192" s="164"/>
      <c r="C1192" s="194"/>
      <c r="D1192" s="161"/>
      <c r="E1192" s="194"/>
      <c r="F1192" s="198"/>
      <c r="G1192" s="194" t="str">
        <f ca="1">IFERROR(__xludf.DUMMYFUNCTION("""COMPUTED_VALUE"""),"DECK 05 CARVALHO EUROPEU CHEMICAL CHEVRON TG 15/3*190*740MM")</f>
        <v>DECK 05 CARVALHO EUROPEU CHEMICAL CHEVRON TG 15/3*190*740MM</v>
      </c>
      <c r="I1192" s="182" t="str">
        <f t="shared" ca="1" si="6"/>
        <v/>
      </c>
      <c r="J1192" s="184"/>
      <c r="K1192" s="198"/>
      <c r="L1192" s="194"/>
      <c r="M1192" s="194"/>
      <c r="N1192" s="194"/>
      <c r="O1192" s="194"/>
      <c r="P1192" s="194"/>
      <c r="Q1192" s="194"/>
      <c r="R1192" s="194"/>
      <c r="S1192" s="194"/>
      <c r="T1192" s="194"/>
      <c r="U1192" s="194"/>
      <c r="V1192" s="194"/>
      <c r="W1192" s="194"/>
      <c r="X1192" s="194"/>
      <c r="Y1192" s="194"/>
      <c r="Z1192" s="194"/>
      <c r="AA1192" s="194"/>
    </row>
    <row r="1193" spans="1:27" ht="17.399999999999999">
      <c r="A1193" s="222"/>
      <c r="B1193" s="164"/>
      <c r="C1193" s="194"/>
      <c r="D1193" s="161"/>
      <c r="E1193" s="194"/>
      <c r="F1193" s="198"/>
      <c r="G1193" s="194" t="str">
        <f ca="1">IFERROR(__xludf.DUMMYFUNCTION("""COMPUTED_VALUE"""),"DECK 05 CARVALHO EUROPEU WHITE RUSTIC 15/4*189*1860MM")</f>
        <v>DECK 05 CARVALHO EUROPEU WHITE RUSTIC 15/4*189*1860MM</v>
      </c>
      <c r="I1193" s="182" t="str">
        <f t="shared" ca="1" si="6"/>
        <v/>
      </c>
      <c r="J1193" s="184"/>
      <c r="K1193" s="198"/>
      <c r="L1193" s="194"/>
      <c r="M1193" s="194"/>
      <c r="N1193" s="194"/>
      <c r="O1193" s="194"/>
      <c r="P1193" s="194"/>
      <c r="Q1193" s="194"/>
      <c r="R1193" s="194"/>
      <c r="S1193" s="194"/>
      <c r="T1193" s="194"/>
      <c r="U1193" s="194"/>
      <c r="V1193" s="194"/>
      <c r="W1193" s="194"/>
      <c r="X1193" s="194"/>
      <c r="Y1193" s="194"/>
      <c r="Z1193" s="194"/>
      <c r="AA1193" s="194"/>
    </row>
    <row r="1194" spans="1:27" ht="17.399999999999999">
      <c r="A1194" s="222"/>
      <c r="B1194" s="164"/>
      <c r="C1194" s="194"/>
      <c r="D1194" s="161"/>
      <c r="E1194" s="194"/>
      <c r="F1194" s="198"/>
      <c r="G1194" s="194" t="str">
        <f ca="1">IFERROR(__xludf.DUMMYFUNCTION("""COMPUTED_VALUE"""),"DECK 05 CARVALHO EUROPEU CUSTOMIZADO 14/3 X 12,7 X 186CM")</f>
        <v>DECK 05 CARVALHO EUROPEU CUSTOMIZADO 14/3 X 12,7 X 186CM</v>
      </c>
      <c r="I1194" s="182" t="str">
        <f t="shared" ca="1" si="6"/>
        <v/>
      </c>
      <c r="J1194" s="184"/>
      <c r="K1194" s="198"/>
      <c r="L1194" s="194"/>
      <c r="M1194" s="194"/>
      <c r="N1194" s="194"/>
      <c r="O1194" s="194"/>
      <c r="P1194" s="194"/>
      <c r="Q1194" s="194"/>
      <c r="R1194" s="194"/>
      <c r="S1194" s="194"/>
      <c r="T1194" s="194"/>
      <c r="U1194" s="194"/>
      <c r="V1194" s="194"/>
      <c r="W1194" s="194"/>
      <c r="X1194" s="194"/>
      <c r="Y1194" s="194"/>
      <c r="Z1194" s="194"/>
      <c r="AA1194" s="194"/>
    </row>
    <row r="1195" spans="1:27" ht="17.399999999999999">
      <c r="A1195" s="222"/>
      <c r="B1195" s="164"/>
      <c r="C1195" s="194"/>
      <c r="D1195" s="161"/>
      <c r="E1195" s="194"/>
      <c r="F1195" s="198"/>
      <c r="G1195" s="194" t="str">
        <f ca="1">IFERROR(__xludf.DUMMYFUNCTION("""COMPUTED_VALUE"""),"DECK 05 CARVALHO EUROPEU CUSTOMIZADO 2.0 X 19 X 190CM (C2)")</f>
        <v>DECK 05 CARVALHO EUROPEU CUSTOMIZADO 2.0 X 19 X 190CM (C2)</v>
      </c>
      <c r="I1195" s="182" t="str">
        <f t="shared" ca="1" si="6"/>
        <v/>
      </c>
      <c r="J1195" s="184"/>
      <c r="K1195" s="198"/>
      <c r="L1195" s="194"/>
      <c r="M1195" s="194"/>
      <c r="N1195" s="194"/>
      <c r="O1195" s="194"/>
      <c r="P1195" s="194"/>
      <c r="Q1195" s="194"/>
      <c r="R1195" s="194"/>
      <c r="S1195" s="194"/>
      <c r="T1195" s="194"/>
      <c r="U1195" s="194"/>
      <c r="V1195" s="194"/>
      <c r="W1195" s="194"/>
      <c r="X1195" s="194"/>
      <c r="Y1195" s="194"/>
      <c r="Z1195" s="194"/>
      <c r="AA1195" s="194"/>
    </row>
    <row r="1196" spans="1:27" ht="17.399999999999999">
      <c r="A1196" s="222"/>
      <c r="B1196" s="164"/>
      <c r="C1196" s="194"/>
      <c r="D1196" s="161"/>
      <c r="E1196" s="194"/>
      <c r="F1196" s="198"/>
      <c r="G1196" s="194" t="str">
        <f ca="1">IFERROR(__xludf.DUMMYFUNCTION("""COMPUTED_VALUE"""),"DECK 05 CARVALHO EUROPEU NATURAL CHEVRON TG 1.5/3 X 9X 51CM")</f>
        <v>DECK 05 CARVALHO EUROPEU NATURAL CHEVRON TG 1.5/3 X 9X 51CM</v>
      </c>
      <c r="I1196" s="182" t="str">
        <f t="shared" ca="1" si="6"/>
        <v/>
      </c>
      <c r="J1196" s="184"/>
      <c r="K1196" s="198"/>
      <c r="L1196" s="194"/>
      <c r="M1196" s="194"/>
      <c r="N1196" s="194"/>
      <c r="O1196" s="194"/>
      <c r="P1196" s="194"/>
      <c r="Q1196" s="194"/>
      <c r="R1196" s="194"/>
      <c r="S1196" s="194"/>
      <c r="T1196" s="194"/>
      <c r="U1196" s="194"/>
      <c r="V1196" s="194"/>
      <c r="W1196" s="194"/>
      <c r="X1196" s="194"/>
      <c r="Y1196" s="194"/>
      <c r="Z1196" s="194"/>
      <c r="AA1196" s="194"/>
    </row>
    <row r="1197" spans="1:27" ht="17.399999999999999">
      <c r="A1197" s="222"/>
      <c r="B1197" s="164"/>
      <c r="C1197" s="194"/>
      <c r="D1197" s="161"/>
      <c r="E1197" s="194"/>
      <c r="F1197" s="198"/>
      <c r="G1197" s="194" t="str">
        <f ca="1">IFERROR(__xludf.DUMMYFUNCTION("""COMPUTED_VALUE"""),"DECK 05 CARVALHO EUROPEU NATURAL CHEVRON TG 1.5/3 X 9X 51CM")</f>
        <v>DECK 05 CARVALHO EUROPEU NATURAL CHEVRON TG 1.5/3 X 9X 51CM</v>
      </c>
      <c r="I1197" s="182" t="str">
        <f t="shared" ca="1" si="6"/>
        <v/>
      </c>
      <c r="J1197" s="184"/>
      <c r="K1197" s="198"/>
      <c r="L1197" s="194"/>
      <c r="M1197" s="194"/>
      <c r="N1197" s="194"/>
      <c r="O1197" s="194"/>
      <c r="P1197" s="194"/>
      <c r="Q1197" s="194"/>
      <c r="R1197" s="194"/>
      <c r="S1197" s="194"/>
      <c r="T1197" s="194"/>
      <c r="U1197" s="194"/>
      <c r="V1197" s="194"/>
      <c r="W1197" s="194"/>
      <c r="X1197" s="194"/>
      <c r="Y1197" s="194"/>
      <c r="Z1197" s="194"/>
      <c r="AA1197" s="194"/>
    </row>
    <row r="1198" spans="1:27" ht="17.399999999999999">
      <c r="A1198" s="222"/>
      <c r="B1198" s="164"/>
      <c r="C1198" s="194"/>
      <c r="D1198" s="161"/>
      <c r="E1198" s="194"/>
      <c r="F1198" s="198"/>
      <c r="G1198" s="194" t="str">
        <f ca="1">IFERROR(__xludf.DUMMYFUNCTION("""COMPUTED_VALUE"""),"DECK 05 CARVALHO EUROPEU NUDE CHEVRON 60.. TG 15/3 X 190 X 90CM")</f>
        <v>DECK 05 CARVALHO EUROPEU NUDE CHEVRON 60.. TG 15/3 X 190 X 90CM</v>
      </c>
      <c r="I1198" s="182" t="str">
        <f t="shared" ca="1" si="6"/>
        <v/>
      </c>
      <c r="J1198" s="184"/>
      <c r="K1198" s="198"/>
      <c r="L1198" s="194"/>
      <c r="M1198" s="194"/>
      <c r="N1198" s="194"/>
      <c r="O1198" s="194"/>
      <c r="P1198" s="194"/>
      <c r="Q1198" s="194"/>
      <c r="R1198" s="194"/>
      <c r="S1198" s="194"/>
      <c r="T1198" s="194"/>
      <c r="U1198" s="194"/>
      <c r="V1198" s="194"/>
      <c r="W1198" s="194"/>
      <c r="X1198" s="194"/>
      <c r="Y1198" s="194"/>
      <c r="Z1198" s="194"/>
      <c r="AA1198" s="194"/>
    </row>
    <row r="1199" spans="1:27" ht="17.399999999999999">
      <c r="A1199" s="222"/>
      <c r="B1199" s="164"/>
      <c r="C1199" s="194"/>
      <c r="D1199" s="161"/>
      <c r="E1199" s="194"/>
      <c r="F1199" s="198"/>
      <c r="G1199" s="194" t="str">
        <f ca="1">IFERROR(__xludf.DUMMYFUNCTION("""COMPUTED_VALUE"""),"DECK 05 CARVALHO EUROPEU NUDE CHEVRON TG 1.5/3X 12.5X 63CM")</f>
        <v>DECK 05 CARVALHO EUROPEU NUDE CHEVRON TG 1.5/3X 12.5X 63CM</v>
      </c>
      <c r="I1199" s="182" t="str">
        <f t="shared" ca="1" si="6"/>
        <v/>
      </c>
      <c r="J1199" s="184"/>
      <c r="K1199" s="198"/>
      <c r="L1199" s="194"/>
      <c r="M1199" s="194"/>
      <c r="N1199" s="194"/>
      <c r="O1199" s="194"/>
      <c r="P1199" s="194"/>
      <c r="Q1199" s="194"/>
      <c r="R1199" s="194"/>
      <c r="S1199" s="194"/>
      <c r="T1199" s="194"/>
      <c r="U1199" s="194"/>
      <c r="V1199" s="194"/>
      <c r="W1199" s="194"/>
      <c r="X1199" s="194"/>
      <c r="Y1199" s="194"/>
      <c r="Z1199" s="194"/>
      <c r="AA1199" s="194"/>
    </row>
    <row r="1200" spans="1:27" ht="17.399999999999999">
      <c r="A1200" s="222"/>
      <c r="B1200" s="164"/>
      <c r="C1200" s="194"/>
      <c r="D1200" s="161"/>
      <c r="E1200" s="194"/>
      <c r="F1200" s="198"/>
      <c r="G1200" s="194" t="str">
        <f ca="1">IFERROR(__xludf.DUMMYFUNCTION("""COMPUTED_VALUE"""),"DECK 05 WALNUT 15/3 X 125 X 910MM")</f>
        <v>DECK 05 WALNUT 15/3 X 125 X 910MM</v>
      </c>
      <c r="I1200" s="182" t="str">
        <f t="shared" ca="1" si="6"/>
        <v/>
      </c>
      <c r="J1200" s="184"/>
      <c r="K1200" s="198"/>
      <c r="L1200" s="194"/>
      <c r="M1200" s="194"/>
      <c r="N1200" s="194"/>
      <c r="O1200" s="194"/>
      <c r="P1200" s="194"/>
      <c r="Q1200" s="194"/>
      <c r="R1200" s="194"/>
      <c r="S1200" s="194"/>
      <c r="T1200" s="194"/>
      <c r="U1200" s="194"/>
      <c r="V1200" s="194"/>
      <c r="W1200" s="194"/>
      <c r="X1200" s="194"/>
      <c r="Y1200" s="194"/>
      <c r="Z1200" s="194"/>
      <c r="AA1200" s="194"/>
    </row>
    <row r="1201" spans="1:27" ht="17.399999999999999">
      <c r="A1201" s="222"/>
      <c r="B1201" s="164"/>
      <c r="C1201" s="194"/>
      <c r="D1201" s="161"/>
      <c r="E1201" s="194"/>
      <c r="F1201" s="198"/>
      <c r="G1201" s="194" t="str">
        <f ca="1">IFERROR(__xludf.DUMMYFUNCTION("""COMPUTED_VALUE"""),"DECK 05 WALNUT 15/3 X 190 X 1900MM")</f>
        <v>DECK 05 WALNUT 15/3 X 190 X 1900MM</v>
      </c>
      <c r="I1201" s="182" t="str">
        <f t="shared" ca="1" si="6"/>
        <v/>
      </c>
      <c r="J1201" s="184"/>
      <c r="K1201" s="198"/>
      <c r="L1201" s="194"/>
      <c r="M1201" s="194"/>
      <c r="N1201" s="194"/>
      <c r="O1201" s="194"/>
      <c r="P1201" s="194"/>
      <c r="Q1201" s="194"/>
      <c r="R1201" s="194"/>
      <c r="S1201" s="194"/>
      <c r="T1201" s="194"/>
      <c r="U1201" s="194"/>
      <c r="V1201" s="194"/>
      <c r="W1201" s="194"/>
      <c r="X1201" s="194"/>
      <c r="Y1201" s="194"/>
      <c r="Z1201" s="194"/>
      <c r="AA1201" s="194"/>
    </row>
    <row r="1202" spans="1:27" ht="17.399999999999999">
      <c r="A1202" s="222"/>
      <c r="B1202" s="164"/>
      <c r="C1202" s="194"/>
      <c r="D1202" s="161"/>
      <c r="E1202" s="194"/>
      <c r="F1202" s="198"/>
      <c r="G1202" s="194" t="str">
        <f ca="1">IFERROR(__xludf.DUMMYFUNCTION("""COMPUTED_VALUE"""),"DECK 05 WALNUT 20/2 X 300 X 4000MM")</f>
        <v>DECK 05 WALNUT 20/2 X 300 X 4000MM</v>
      </c>
      <c r="I1202" s="182" t="str">
        <f t="shared" ca="1" si="6"/>
        <v/>
      </c>
      <c r="J1202" s="184"/>
      <c r="K1202" s="198"/>
      <c r="L1202" s="194"/>
      <c r="M1202" s="194"/>
      <c r="N1202" s="194"/>
      <c r="O1202" s="194"/>
      <c r="P1202" s="194"/>
      <c r="Q1202" s="194"/>
      <c r="R1202" s="194"/>
      <c r="S1202" s="194"/>
      <c r="T1202" s="194"/>
      <c r="U1202" s="194"/>
      <c r="V1202" s="194"/>
      <c r="W1202" s="194"/>
      <c r="X1202" s="194"/>
      <c r="Y1202" s="194"/>
      <c r="Z1202" s="194"/>
      <c r="AA1202" s="194"/>
    </row>
    <row r="1203" spans="1:27" ht="17.399999999999999">
      <c r="A1203" s="222"/>
      <c r="B1203" s="164"/>
      <c r="C1203" s="194"/>
      <c r="D1203" s="161"/>
      <c r="E1203" s="194"/>
      <c r="F1203" s="198"/>
      <c r="G1203" s="194" t="str">
        <f ca="1">IFERROR(__xludf.DUMMYFUNCTION("""COMPUTED_VALUE"""),"DECK 05 BAMBU ALTA DENS. CUST PREMIUM TG 1.5/4 X19X185CM")</f>
        <v>DECK 05 BAMBU ALTA DENS. CUST PREMIUM TG 1.5/4 X19X185CM</v>
      </c>
      <c r="I1203" s="182" t="str">
        <f t="shared" ca="1" si="6"/>
        <v/>
      </c>
      <c r="J1203" s="184"/>
      <c r="K1203" s="198"/>
      <c r="L1203" s="194"/>
      <c r="M1203" s="194"/>
      <c r="N1203" s="194"/>
      <c r="O1203" s="194"/>
      <c r="P1203" s="194"/>
      <c r="Q1203" s="194"/>
      <c r="R1203" s="194"/>
      <c r="S1203" s="194"/>
      <c r="T1203" s="194"/>
      <c r="U1203" s="194"/>
      <c r="V1203" s="194"/>
      <c r="W1203" s="194"/>
      <c r="X1203" s="194"/>
      <c r="Y1203" s="194"/>
      <c r="Z1203" s="194"/>
      <c r="AA1203" s="194"/>
    </row>
    <row r="1204" spans="1:27" ht="17.399999999999999">
      <c r="A1204" s="222"/>
      <c r="B1204" s="164"/>
      <c r="C1204" s="194"/>
      <c r="D1204" s="161"/>
      <c r="E1204" s="194"/>
      <c r="F1204" s="198"/>
      <c r="G1204" s="194" t="str">
        <f ca="1">IFERROR(__xludf.DUMMYFUNCTION("""COMPUTED_VALUE"""),"DECK 05 BAMBU CARAMEL ALTA DENSIDADE TG 1.5/4 X19X186CM")</f>
        <v>DECK 05 BAMBU CARAMEL ALTA DENSIDADE TG 1.5/4 X19X186CM</v>
      </c>
      <c r="I1204" s="182" t="str">
        <f t="shared" ca="1" si="6"/>
        <v/>
      </c>
      <c r="J1204" s="184"/>
      <c r="K1204" s="198"/>
      <c r="L1204" s="194"/>
      <c r="M1204" s="194"/>
      <c r="N1204" s="194"/>
      <c r="O1204" s="194"/>
      <c r="P1204" s="194"/>
      <c r="Q1204" s="194"/>
      <c r="R1204" s="194"/>
      <c r="S1204" s="194"/>
      <c r="T1204" s="194"/>
      <c r="U1204" s="194"/>
      <c r="V1204" s="194"/>
      <c r="W1204" s="194"/>
      <c r="X1204" s="194"/>
      <c r="Y1204" s="194"/>
      <c r="Z1204" s="194"/>
      <c r="AA1204" s="194"/>
    </row>
    <row r="1205" spans="1:27" ht="17.399999999999999">
      <c r="A1205" s="222"/>
      <c r="B1205" s="164"/>
      <c r="C1205" s="194"/>
      <c r="D1205" s="161"/>
      <c r="E1205" s="194"/>
      <c r="F1205" s="198"/>
      <c r="G1205" s="194" t="str">
        <f ca="1">IFERROR(__xludf.DUMMYFUNCTION("""COMPUTED_VALUE"""),"DECK 05 RIPADO CUMARU PREMIUM TG 1,8 X 3,5+0,5CM PROF. BIT 0")</f>
        <v>DECK 05 RIPADO CUMARU PREMIUM TG 1,8 X 3,5+0,5CM PROF. BIT 0</v>
      </c>
      <c r="I1205" s="182" t="str">
        <f t="shared" ca="1" si="6"/>
        <v/>
      </c>
      <c r="J1205" s="184"/>
      <c r="K1205" s="198"/>
      <c r="L1205" s="194"/>
      <c r="M1205" s="194"/>
      <c r="N1205" s="194"/>
      <c r="O1205" s="194"/>
      <c r="P1205" s="194"/>
      <c r="Q1205" s="194"/>
      <c r="R1205" s="194"/>
      <c r="S1205" s="194"/>
      <c r="T1205" s="194"/>
      <c r="U1205" s="194"/>
      <c r="V1205" s="194"/>
      <c r="W1205" s="194"/>
      <c r="X1205" s="194"/>
      <c r="Y1205" s="194"/>
      <c r="Z1205" s="194"/>
      <c r="AA1205" s="194"/>
    </row>
    <row r="1206" spans="1:27" ht="17.399999999999999">
      <c r="A1206" s="222"/>
      <c r="B1206" s="164"/>
      <c r="C1206" s="194"/>
      <c r="D1206" s="161"/>
      <c r="E1206" s="194"/>
      <c r="F1206" s="198"/>
      <c r="G1206" s="194" t="str">
        <f ca="1">IFERROR(__xludf.DUMMYFUNCTION("""COMPUTED_VALUE"""),"DECK 05 RIPADO CATUABA PREMIUM TG 1,8 X 3,5+0,5CM PROF. BIT 0")</f>
        <v>DECK 05 RIPADO CATUABA PREMIUM TG 1,8 X 3,5+0,5CM PROF. BIT 0</v>
      </c>
      <c r="I1206" s="182" t="str">
        <f t="shared" ca="1" si="6"/>
        <v/>
      </c>
      <c r="J1206" s="184"/>
      <c r="K1206" s="198"/>
      <c r="L1206" s="194"/>
      <c r="M1206" s="194"/>
      <c r="N1206" s="194"/>
      <c r="O1206" s="194"/>
      <c r="P1206" s="194"/>
      <c r="Q1206" s="194"/>
      <c r="R1206" s="194"/>
      <c r="S1206" s="194"/>
      <c r="T1206" s="194"/>
      <c r="U1206" s="194"/>
      <c r="V1206" s="194"/>
      <c r="W1206" s="194"/>
      <c r="X1206" s="194"/>
      <c r="Y1206" s="194"/>
      <c r="Z1206" s="194"/>
      <c r="AA1206" s="194"/>
    </row>
    <row r="1207" spans="1:27" ht="17.399999999999999">
      <c r="A1207" s="222"/>
      <c r="B1207" s="164"/>
      <c r="C1207" s="194"/>
      <c r="D1207" s="161"/>
      <c r="E1207" s="194"/>
      <c r="F1207" s="198"/>
      <c r="G1207" s="194" t="str">
        <f ca="1">IFERROR(__xludf.DUMMYFUNCTION("""COMPUTED_VALUE"""),"DECK 05 RIPADO CABREUVA BRANCA PREMIUM TG 1,8 X 3,5+0,5CM PROF. BIT 0")</f>
        <v>DECK 05 RIPADO CABREUVA BRANCA PREMIUM TG 1,8 X 3,5+0,5CM PROF. BIT 0</v>
      </c>
      <c r="I1207" s="182" t="str">
        <f t="shared" ca="1" si="6"/>
        <v/>
      </c>
      <c r="J1207" s="184"/>
      <c r="K1207" s="198"/>
      <c r="L1207" s="194"/>
      <c r="M1207" s="194"/>
      <c r="N1207" s="194"/>
      <c r="O1207" s="194"/>
      <c r="P1207" s="194"/>
      <c r="Q1207" s="194"/>
      <c r="R1207" s="194"/>
      <c r="S1207" s="194"/>
      <c r="T1207" s="194"/>
      <c r="U1207" s="194"/>
      <c r="V1207" s="194"/>
      <c r="W1207" s="194"/>
      <c r="X1207" s="194"/>
      <c r="Y1207" s="194"/>
      <c r="Z1207" s="194"/>
      <c r="AA1207" s="194"/>
    </row>
    <row r="1208" spans="1:27" ht="17.399999999999999">
      <c r="A1208" s="222"/>
      <c r="B1208" s="164"/>
      <c r="C1208" s="194"/>
      <c r="D1208" s="161"/>
      <c r="E1208" s="194"/>
      <c r="F1208" s="198"/>
      <c r="G1208" s="194" t="str">
        <f ca="1">IFERROR(__xludf.DUMMYFUNCTION("""COMPUTED_VALUE"""),"DECK 05 RIPADO CABREUVA DOURADA PREMIUM TG 1,8 X 3,5+0,5CM PROF. BIT 0")</f>
        <v>DECK 05 RIPADO CABREUVA DOURADA PREMIUM TG 1,8 X 3,5+0,5CM PROF. BIT 0</v>
      </c>
      <c r="I1208" s="182" t="str">
        <f t="shared" ca="1" si="6"/>
        <v/>
      </c>
      <c r="J1208" s="184"/>
      <c r="K1208" s="198"/>
      <c r="L1208" s="194"/>
      <c r="M1208" s="194"/>
      <c r="N1208" s="194"/>
      <c r="O1208" s="194"/>
      <c r="P1208" s="194"/>
      <c r="Q1208" s="194"/>
      <c r="R1208" s="194"/>
      <c r="S1208" s="194"/>
      <c r="T1208" s="194"/>
      <c r="U1208" s="194"/>
      <c r="V1208" s="194"/>
      <c r="W1208" s="194"/>
      <c r="X1208" s="194"/>
      <c r="Y1208" s="194"/>
      <c r="Z1208" s="194"/>
      <c r="AA1208" s="194"/>
    </row>
    <row r="1209" spans="1:27" ht="17.399999999999999">
      <c r="A1209" s="222"/>
      <c r="B1209" s="164"/>
      <c r="C1209" s="194"/>
      <c r="D1209" s="161"/>
      <c r="E1209" s="194"/>
      <c r="F1209" s="198"/>
      <c r="G1209" s="194" t="str">
        <f ca="1">IFERROR(__xludf.DUMMYFUNCTION("""COMPUTED_VALUE"""),"DECK 05 RIPADO TAUARI PREMIUM TG 1,8 X 3,5+0,5CM PROF. BIT 0")</f>
        <v>DECK 05 RIPADO TAUARI PREMIUM TG 1,8 X 3,5+0,5CM PROF. BIT 0</v>
      </c>
      <c r="I1209" s="182" t="str">
        <f t="shared" ca="1" si="6"/>
        <v/>
      </c>
      <c r="J1209" s="184"/>
      <c r="K1209" s="198"/>
      <c r="L1209" s="194"/>
      <c r="M1209" s="194"/>
      <c r="N1209" s="194"/>
      <c r="O1209" s="194"/>
      <c r="P1209" s="194"/>
      <c r="Q1209" s="194"/>
      <c r="R1209" s="194"/>
      <c r="S1209" s="194"/>
      <c r="T1209" s="194"/>
      <c r="U1209" s="194"/>
      <c r="V1209" s="194"/>
      <c r="W1209" s="194"/>
      <c r="X1209" s="194"/>
      <c r="Y1209" s="194"/>
      <c r="Z1209" s="194"/>
      <c r="AA1209" s="194"/>
    </row>
    <row r="1210" spans="1:27" ht="17.399999999999999">
      <c r="A1210" s="222"/>
      <c r="B1210" s="164"/>
      <c r="C1210" s="194"/>
      <c r="D1210" s="161"/>
      <c r="E1210" s="194"/>
      <c r="F1210" s="198"/>
      <c r="G1210" s="194" t="str">
        <f ca="1">IFERROR(__xludf.DUMMYFUNCTION("""COMPUTED_VALUE"""),"DECK 05 RIPADO PEROBA PREMIUM TG 1,8 X 3,5+0,5CM PROF. BIT 0")</f>
        <v>DECK 05 RIPADO PEROBA PREMIUM TG 1,8 X 3,5+0,5CM PROF. BIT 0</v>
      </c>
      <c r="I1210" s="182" t="str">
        <f t="shared" ca="1" si="6"/>
        <v/>
      </c>
      <c r="J1210" s="184"/>
      <c r="K1210" s="198"/>
      <c r="L1210" s="194"/>
      <c r="M1210" s="194"/>
      <c r="N1210" s="194"/>
      <c r="O1210" s="194"/>
      <c r="P1210" s="194"/>
      <c r="Q1210" s="194"/>
      <c r="R1210" s="194"/>
      <c r="S1210" s="194"/>
      <c r="T1210" s="194"/>
      <c r="U1210" s="194"/>
      <c r="V1210" s="194"/>
      <c r="W1210" s="194"/>
      <c r="X1210" s="194"/>
      <c r="Y1210" s="194"/>
      <c r="Z1210" s="194"/>
      <c r="AA1210" s="194"/>
    </row>
    <row r="1211" spans="1:27" ht="17.399999999999999">
      <c r="A1211" s="222"/>
      <c r="B1211" s="164"/>
      <c r="C1211" s="194"/>
      <c r="D1211" s="161"/>
      <c r="E1211" s="194"/>
      <c r="F1211" s="198"/>
      <c r="G1211" s="194" t="str">
        <f ca="1">IFERROR(__xludf.DUMMYFUNCTION("""COMPUTED_VALUE"""),"DECK 05 RIPADO LORO PARDO PREMIUM TG 1,8 X 3,5+0,5CM PROF. BIT 0")</f>
        <v>DECK 05 RIPADO LORO PARDO PREMIUM TG 1,8 X 3,5+0,5CM PROF. BIT 0</v>
      </c>
      <c r="I1211" s="182" t="str">
        <f t="shared" ca="1" si="6"/>
        <v/>
      </c>
      <c r="J1211" s="184"/>
      <c r="K1211" s="198"/>
      <c r="L1211" s="194"/>
      <c r="M1211" s="194"/>
      <c r="N1211" s="194"/>
      <c r="O1211" s="194"/>
      <c r="P1211" s="194"/>
      <c r="Q1211" s="194"/>
      <c r="R1211" s="194"/>
      <c r="S1211" s="194"/>
      <c r="T1211" s="194"/>
      <c r="U1211" s="194"/>
      <c r="V1211" s="194"/>
      <c r="W1211" s="194"/>
      <c r="X1211" s="194"/>
      <c r="Y1211" s="194"/>
      <c r="Z1211" s="194"/>
      <c r="AA1211" s="194"/>
    </row>
    <row r="1212" spans="1:27" ht="17.399999999999999">
      <c r="A1212" s="222"/>
      <c r="B1212" s="164"/>
      <c r="C1212" s="194"/>
      <c r="D1212" s="161"/>
      <c r="E1212" s="194"/>
      <c r="F1212" s="198"/>
      <c r="G1212" s="194" t="str">
        <f ca="1">IFERROR(__xludf.DUMMYFUNCTION("""COMPUTED_VALUE"""),"DECK 05 CUMARU MULTI PREMIUM 19 X 190 X 600 A 2200MM")</f>
        <v>DECK 05 CUMARU MULTI PREMIUM 19 X 190 X 600 A 2200MM</v>
      </c>
      <c r="I1212" s="182" t="str">
        <f t="shared" ca="1" si="6"/>
        <v/>
      </c>
      <c r="J1212" s="184"/>
      <c r="K1212" s="198"/>
      <c r="L1212" s="194"/>
      <c r="M1212" s="194"/>
      <c r="N1212" s="194"/>
      <c r="O1212" s="194"/>
      <c r="P1212" s="194"/>
      <c r="Q1212" s="194"/>
      <c r="R1212" s="194"/>
      <c r="S1212" s="194"/>
      <c r="T1212" s="194"/>
      <c r="U1212" s="194"/>
      <c r="V1212" s="194"/>
      <c r="W1212" s="194"/>
      <c r="X1212" s="194"/>
      <c r="Y1212" s="194"/>
      <c r="Z1212" s="194"/>
      <c r="AA1212" s="194"/>
    </row>
    <row r="1213" spans="1:27" ht="17.399999999999999">
      <c r="A1213" s="222"/>
      <c r="B1213" s="164"/>
      <c r="C1213" s="194"/>
      <c r="D1213" s="161"/>
      <c r="E1213" s="194"/>
      <c r="F1213" s="198"/>
      <c r="G1213" s="194" t="str">
        <f ca="1">IFERROR(__xludf.DUMMYFUNCTION("""COMPUTED_VALUE"""),"DECK 05 CATUABA MULTI PREMIUM 19 X 190 X 600 A 2200MM")</f>
        <v>DECK 05 CATUABA MULTI PREMIUM 19 X 190 X 600 A 2200MM</v>
      </c>
      <c r="H1213" s="192" t="s">
        <v>1300</v>
      </c>
      <c r="I1213" s="182" t="str">
        <f t="shared" ca="1" si="6"/>
        <v/>
      </c>
      <c r="J1213" s="184"/>
      <c r="K1213" s="198"/>
      <c r="L1213" s="194" t="s">
        <v>1300</v>
      </c>
      <c r="M1213" s="194"/>
      <c r="N1213" s="194"/>
      <c r="O1213" s="194"/>
      <c r="P1213" s="194"/>
      <c r="Q1213" s="194"/>
      <c r="R1213" s="194"/>
      <c r="S1213" s="194"/>
      <c r="T1213" s="194"/>
      <c r="U1213" s="194"/>
      <c r="V1213" s="194"/>
      <c r="W1213" s="194"/>
      <c r="X1213" s="194"/>
      <c r="Y1213" s="194"/>
      <c r="Z1213" s="194"/>
      <c r="AA1213" s="194"/>
    </row>
    <row r="1214" spans="1:27" ht="17.399999999999999">
      <c r="A1214" s="222"/>
      <c r="B1214" s="164"/>
      <c r="C1214" s="194"/>
      <c r="D1214" s="161"/>
      <c r="E1214" s="194"/>
      <c r="F1214" s="198"/>
      <c r="G1214" s="194" t="str">
        <f ca="1">IFERROR(__xludf.DUMMYFUNCTION("""COMPUTED_VALUE"""),"DECK 05 CABREUVA BRACA MULTI PREMIUM 19 X 190 X 600 A 2200MM")</f>
        <v>DECK 05 CABREUVA BRACA MULTI PREMIUM 19 X 190 X 600 A 2200MM</v>
      </c>
      <c r="H1214" s="192" t="s">
        <v>1301</v>
      </c>
      <c r="I1214" s="182" t="str">
        <f t="shared" ca="1" si="6"/>
        <v/>
      </c>
      <c r="J1214" s="184"/>
      <c r="K1214" s="198"/>
      <c r="L1214" s="194" t="s">
        <v>1301</v>
      </c>
      <c r="M1214" s="194"/>
      <c r="N1214" s="194"/>
      <c r="O1214" s="194"/>
      <c r="P1214" s="194"/>
      <c r="Q1214" s="194"/>
      <c r="R1214" s="194"/>
      <c r="S1214" s="194"/>
      <c r="T1214" s="194"/>
      <c r="U1214" s="194"/>
      <c r="V1214" s="194"/>
      <c r="W1214" s="194"/>
      <c r="X1214" s="194"/>
      <c r="Y1214" s="194"/>
      <c r="Z1214" s="194"/>
      <c r="AA1214" s="194"/>
    </row>
    <row r="1215" spans="1:27" ht="17.399999999999999">
      <c r="A1215" s="222"/>
      <c r="B1215" s="164"/>
      <c r="C1215" s="194"/>
      <c r="D1215" s="161"/>
      <c r="E1215" s="194"/>
      <c r="F1215" s="198"/>
      <c r="G1215" s="194" t="str">
        <f ca="1">IFERROR(__xludf.DUMMYFUNCTION("""COMPUTED_VALUE"""),"DECK 05 CABREUVA DOURADA MULTI PREMIUM 19 X 190 X 600 A 2200MM")</f>
        <v>DECK 05 CABREUVA DOURADA MULTI PREMIUM 19 X 190 X 600 A 2200MM</v>
      </c>
      <c r="H1215" s="192" t="s">
        <v>1302</v>
      </c>
      <c r="I1215" s="182" t="str">
        <f t="shared" ca="1" si="6"/>
        <v/>
      </c>
      <c r="J1215" s="184"/>
      <c r="K1215" s="198"/>
      <c r="L1215" s="194" t="s">
        <v>1302</v>
      </c>
      <c r="M1215" s="194"/>
      <c r="N1215" s="194"/>
      <c r="O1215" s="194"/>
      <c r="P1215" s="194"/>
      <c r="Q1215" s="194"/>
      <c r="R1215" s="194"/>
      <c r="S1215" s="194"/>
      <c r="T1215" s="194"/>
      <c r="U1215" s="194"/>
      <c r="V1215" s="194"/>
      <c r="W1215" s="194"/>
      <c r="X1215" s="194"/>
      <c r="Y1215" s="194"/>
      <c r="Z1215" s="194"/>
      <c r="AA1215" s="194"/>
    </row>
    <row r="1216" spans="1:27" ht="17.399999999999999">
      <c r="A1216" s="222"/>
      <c r="B1216" s="164"/>
      <c r="C1216" s="194"/>
      <c r="D1216" s="161"/>
      <c r="E1216" s="194"/>
      <c r="F1216" s="198"/>
      <c r="G1216" s="194" t="str">
        <f ca="1">IFERROR(__xludf.DUMMYFUNCTION("""COMPUTED_VALUE"""),"DECK 05 TAUARI MULTI PREMIUM 19 X 190 X 600 A 2200MM")</f>
        <v>DECK 05 TAUARI MULTI PREMIUM 19 X 190 X 600 A 2200MM</v>
      </c>
      <c r="H1216" s="192" t="s">
        <v>1303</v>
      </c>
      <c r="I1216" s="182" t="str">
        <f t="shared" ca="1" si="6"/>
        <v/>
      </c>
      <c r="J1216" s="184"/>
      <c r="K1216" s="198"/>
      <c r="L1216" s="194" t="s">
        <v>1303</v>
      </c>
      <c r="M1216" s="194"/>
      <c r="N1216" s="194"/>
      <c r="O1216" s="194"/>
      <c r="P1216" s="194"/>
      <c r="Q1216" s="194"/>
      <c r="R1216" s="194"/>
      <c r="S1216" s="194"/>
      <c r="T1216" s="194"/>
      <c r="U1216" s="194"/>
      <c r="V1216" s="194"/>
      <c r="W1216" s="194"/>
      <c r="X1216" s="194"/>
      <c r="Y1216" s="194"/>
      <c r="Z1216" s="194"/>
      <c r="AA1216" s="194"/>
    </row>
    <row r="1217" spans="1:27" ht="17.399999999999999">
      <c r="A1217" s="222"/>
      <c r="B1217" s="164"/>
      <c r="C1217" s="194"/>
      <c r="D1217" s="161"/>
      <c r="E1217" s="194"/>
      <c r="F1217" s="198"/>
      <c r="G1217" s="194" t="str">
        <f ca="1">IFERROR(__xludf.DUMMYFUNCTION("""COMPUTED_VALUE"""),"DECK 05 PEROBA MULTI PREMIUM 19 X 190 X 600 A 2200MM")</f>
        <v>DECK 05 PEROBA MULTI PREMIUM 19 X 190 X 600 A 2200MM</v>
      </c>
      <c r="I1217" s="182" t="str">
        <f t="shared" ca="1" si="6"/>
        <v/>
      </c>
      <c r="J1217" s="184"/>
      <c r="K1217" s="198"/>
      <c r="L1217" s="194"/>
      <c r="M1217" s="194"/>
      <c r="N1217" s="194"/>
      <c r="O1217" s="194"/>
      <c r="P1217" s="194"/>
      <c r="Q1217" s="194"/>
      <c r="R1217" s="194"/>
      <c r="S1217" s="194"/>
      <c r="T1217" s="194"/>
      <c r="U1217" s="194"/>
      <c r="V1217" s="194"/>
      <c r="W1217" s="194"/>
      <c r="X1217" s="194"/>
      <c r="Y1217" s="194"/>
      <c r="Z1217" s="194"/>
      <c r="AA1217" s="194"/>
    </row>
    <row r="1218" spans="1:27" ht="17.399999999999999">
      <c r="A1218" s="222"/>
      <c r="B1218" s="164"/>
      <c r="C1218" s="194"/>
      <c r="D1218" s="161"/>
      <c r="E1218" s="194"/>
      <c r="F1218" s="198"/>
      <c r="G1218" s="194" t="str">
        <f ca="1">IFERROR(__xludf.DUMMYFUNCTION("""COMPUTED_VALUE"""),"DECK 05 LORO PARDO MULTI PREMIUM 19 X 190 X 600 A 2200MM")</f>
        <v>DECK 05 LORO PARDO MULTI PREMIUM 19 X 190 X 600 A 2200MM</v>
      </c>
      <c r="H1218" s="192" t="s">
        <v>1305</v>
      </c>
      <c r="I1218" s="182" t="str">
        <f t="shared" ca="1" si="6"/>
        <v/>
      </c>
      <c r="J1218" s="184"/>
      <c r="K1218" s="198"/>
      <c r="L1218" s="194" t="s">
        <v>1305</v>
      </c>
      <c r="M1218" s="194"/>
      <c r="N1218" s="194"/>
      <c r="O1218" s="194"/>
      <c r="P1218" s="194"/>
      <c r="Q1218" s="194"/>
      <c r="R1218" s="194"/>
      <c r="S1218" s="194"/>
      <c r="T1218" s="194"/>
      <c r="U1218" s="194"/>
      <c r="V1218" s="194"/>
      <c r="W1218" s="194"/>
      <c r="X1218" s="194"/>
      <c r="Y1218" s="194"/>
      <c r="Z1218" s="194"/>
      <c r="AA1218" s="194"/>
    </row>
    <row r="1219" spans="1:27" ht="17.399999999999999">
      <c r="A1219" s="222"/>
      <c r="B1219" s="164"/>
      <c r="C1219" s="194"/>
      <c r="D1219" s="161"/>
      <c r="E1219" s="194"/>
      <c r="F1219" s="198"/>
      <c r="G1219" s="194" t="str">
        <f ca="1">IFERROR(__xludf.DUMMYFUNCTION("""COMPUTED_VALUE"""),"DECK 05 MUXARABI CUMARU PREMIUM")</f>
        <v>DECK 05 MUXARABI CUMARU PREMIUM</v>
      </c>
      <c r="I1219" s="182" t="str">
        <f t="shared" ca="1" si="6"/>
        <v/>
      </c>
      <c r="J1219" s="184"/>
      <c r="K1219" s="198"/>
      <c r="L1219" s="194"/>
      <c r="M1219" s="194"/>
      <c r="N1219" s="194"/>
      <c r="O1219" s="194"/>
      <c r="P1219" s="194"/>
      <c r="Q1219" s="194"/>
      <c r="R1219" s="194"/>
      <c r="S1219" s="194"/>
      <c r="T1219" s="194"/>
      <c r="U1219" s="194"/>
      <c r="V1219" s="194"/>
      <c r="W1219" s="194"/>
      <c r="X1219" s="194"/>
      <c r="Y1219" s="194"/>
      <c r="Z1219" s="194"/>
      <c r="AA1219" s="194"/>
    </row>
    <row r="1220" spans="1:27" ht="17.399999999999999">
      <c r="A1220" s="222"/>
      <c r="B1220" s="164"/>
      <c r="C1220" s="194"/>
      <c r="D1220" s="161"/>
      <c r="E1220" s="194"/>
      <c r="F1220" s="198"/>
      <c r="G1220" s="194" t="str">
        <f ca="1">IFERROR(__xludf.DUMMYFUNCTION("""COMPUTED_VALUE"""),"DECK 05 MUXARABI CATUABA PREMIUM")</f>
        <v>DECK 05 MUXARABI CATUABA PREMIUM</v>
      </c>
      <c r="I1220" s="182" t="str">
        <f t="shared" ca="1" si="6"/>
        <v/>
      </c>
      <c r="J1220" s="184"/>
      <c r="K1220" s="198"/>
      <c r="L1220" s="194"/>
      <c r="M1220" s="194"/>
      <c r="N1220" s="194"/>
      <c r="O1220" s="194"/>
      <c r="P1220" s="194"/>
      <c r="Q1220" s="194"/>
      <c r="R1220" s="194"/>
      <c r="S1220" s="194"/>
      <c r="T1220" s="194"/>
      <c r="U1220" s="194"/>
      <c r="V1220" s="194"/>
      <c r="W1220" s="194"/>
      <c r="X1220" s="194"/>
      <c r="Y1220" s="194"/>
      <c r="Z1220" s="194"/>
      <c r="AA1220" s="194"/>
    </row>
    <row r="1221" spans="1:27" ht="17.399999999999999">
      <c r="A1221" s="222"/>
      <c r="B1221" s="164"/>
      <c r="C1221" s="194"/>
      <c r="D1221" s="161"/>
      <c r="E1221" s="194"/>
      <c r="F1221" s="198"/>
      <c r="G1221" s="194" t="str">
        <f ca="1">IFERROR(__xludf.DUMMYFUNCTION("""COMPUTED_VALUE"""),"DECK 05 MUXARABI CABREUVA BRANCA PREMIUM")</f>
        <v>DECK 05 MUXARABI CABREUVA BRANCA PREMIUM</v>
      </c>
      <c r="I1221" s="182" t="str">
        <f t="shared" ca="1" si="6"/>
        <v/>
      </c>
      <c r="J1221" s="184"/>
      <c r="K1221" s="198"/>
      <c r="L1221" s="194"/>
      <c r="M1221" s="194"/>
      <c r="N1221" s="194"/>
      <c r="O1221" s="194"/>
      <c r="P1221" s="194"/>
      <c r="Q1221" s="194"/>
      <c r="R1221" s="194"/>
      <c r="S1221" s="194"/>
      <c r="T1221" s="194"/>
      <c r="U1221" s="194"/>
      <c r="V1221" s="194"/>
      <c r="W1221" s="194"/>
      <c r="X1221" s="194"/>
      <c r="Y1221" s="194"/>
      <c r="Z1221" s="194"/>
      <c r="AA1221" s="194"/>
    </row>
    <row r="1222" spans="1:27" ht="17.399999999999999">
      <c r="A1222" s="222"/>
      <c r="B1222" s="164"/>
      <c r="C1222" s="194"/>
      <c r="D1222" s="161"/>
      <c r="E1222" s="194"/>
      <c r="F1222" s="198"/>
      <c r="G1222" s="194" t="str">
        <f ca="1">IFERROR(__xludf.DUMMYFUNCTION("""COMPUTED_VALUE"""),"DECK 05 MUXARABI CABREUVA DOURADA PREMIUM")</f>
        <v>DECK 05 MUXARABI CABREUVA DOURADA PREMIUM</v>
      </c>
      <c r="I1222" s="182" t="str">
        <f t="shared" ca="1" si="6"/>
        <v/>
      </c>
      <c r="J1222" s="184"/>
      <c r="K1222" s="198"/>
      <c r="L1222" s="194"/>
      <c r="M1222" s="194"/>
      <c r="N1222" s="194"/>
      <c r="O1222" s="194"/>
      <c r="P1222" s="194"/>
      <c r="Q1222" s="194"/>
      <c r="R1222" s="194"/>
      <c r="S1222" s="194"/>
      <c r="T1222" s="194"/>
      <c r="U1222" s="194"/>
      <c r="V1222" s="194"/>
      <c r="W1222" s="194"/>
      <c r="X1222" s="194"/>
      <c r="Y1222" s="194"/>
      <c r="Z1222" s="194"/>
      <c r="AA1222" s="194"/>
    </row>
    <row r="1223" spans="1:27" ht="17.399999999999999">
      <c r="A1223" s="222"/>
      <c r="B1223" s="164"/>
      <c r="C1223" s="194"/>
      <c r="D1223" s="161"/>
      <c r="E1223" s="194"/>
      <c r="F1223" s="198"/>
      <c r="G1223" s="194" t="str">
        <f ca="1">IFERROR(__xludf.DUMMYFUNCTION("""COMPUTED_VALUE"""),"DECK 05 MUXARABI TAUARI PREMIUM")</f>
        <v>DECK 05 MUXARABI TAUARI PREMIUM</v>
      </c>
      <c r="I1223" s="182" t="str">
        <f t="shared" ca="1" si="6"/>
        <v/>
      </c>
      <c r="J1223" s="184"/>
      <c r="K1223" s="198"/>
      <c r="L1223" s="194"/>
      <c r="M1223" s="194"/>
      <c r="N1223" s="194"/>
      <c r="O1223" s="194"/>
      <c r="P1223" s="194"/>
      <c r="Q1223" s="194"/>
      <c r="R1223" s="194"/>
      <c r="S1223" s="194"/>
      <c r="T1223" s="194"/>
      <c r="U1223" s="194"/>
      <c r="V1223" s="194"/>
      <c r="W1223" s="194"/>
      <c r="X1223" s="194"/>
      <c r="Y1223" s="194"/>
      <c r="Z1223" s="194"/>
      <c r="AA1223" s="194"/>
    </row>
    <row r="1224" spans="1:27" ht="17.399999999999999">
      <c r="A1224" s="222"/>
      <c r="B1224" s="164"/>
      <c r="C1224" s="194"/>
      <c r="D1224" s="161"/>
      <c r="E1224" s="194"/>
      <c r="F1224" s="198"/>
      <c r="G1224" s="194" t="str">
        <f ca="1">IFERROR(__xludf.DUMMYFUNCTION("""COMPUTED_VALUE"""),"DECK 05 MUXARABI PEROBA PREMIUM")</f>
        <v>DECK 05 MUXARABI PEROBA PREMIUM</v>
      </c>
      <c r="I1224" s="182" t="str">
        <f t="shared" ca="1" si="6"/>
        <v/>
      </c>
      <c r="J1224" s="184"/>
      <c r="K1224" s="198"/>
      <c r="L1224" s="194"/>
      <c r="M1224" s="194"/>
      <c r="N1224" s="194"/>
      <c r="O1224" s="194"/>
      <c r="P1224" s="194"/>
      <c r="Q1224" s="194"/>
      <c r="R1224" s="194"/>
      <c r="S1224" s="194"/>
      <c r="T1224" s="194"/>
      <c r="U1224" s="194"/>
      <c r="V1224" s="194"/>
      <c r="W1224" s="194"/>
      <c r="X1224" s="194"/>
      <c r="Y1224" s="194"/>
      <c r="Z1224" s="194"/>
      <c r="AA1224" s="194"/>
    </row>
    <row r="1225" spans="1:27" ht="17.399999999999999">
      <c r="A1225" s="222"/>
      <c r="B1225" s="164"/>
      <c r="C1225" s="194"/>
      <c r="D1225" s="161"/>
      <c r="E1225" s="194"/>
      <c r="F1225" s="198"/>
      <c r="G1225" s="194" t="str">
        <f ca="1">IFERROR(__xludf.DUMMYFUNCTION("""COMPUTED_VALUE"""),"DECK 05 MUXARABI LORO PARDO PREMIUM")</f>
        <v>DECK 05 MUXARABI LORO PARDO PREMIUM</v>
      </c>
      <c r="I1225" s="182" t="str">
        <f t="shared" ca="1" si="6"/>
        <v/>
      </c>
      <c r="J1225" s="184"/>
      <c r="K1225" s="198"/>
      <c r="L1225" s="194"/>
      <c r="M1225" s="194"/>
      <c r="N1225" s="194"/>
      <c r="O1225" s="194"/>
      <c r="P1225" s="194"/>
      <c r="Q1225" s="194"/>
      <c r="R1225" s="194"/>
      <c r="S1225" s="194"/>
      <c r="T1225" s="194"/>
      <c r="U1225" s="194"/>
      <c r="V1225" s="194"/>
      <c r="W1225" s="194"/>
      <c r="X1225" s="194"/>
      <c r="Y1225" s="194"/>
      <c r="Z1225" s="194"/>
      <c r="AA1225" s="194"/>
    </row>
    <row r="1226" spans="1:27" ht="17.399999999999999">
      <c r="A1226" s="222"/>
      <c r="B1226" s="164"/>
      <c r="C1226" s="194"/>
      <c r="D1226" s="161"/>
      <c r="E1226" s="194"/>
      <c r="F1226" s="198"/>
      <c r="G1226" s="194" t="str">
        <f ca="1">IFERROR(__xludf.DUMMYFUNCTION("""COMPUTED_VALUE"""),"DECK 05 TOBLERONE CUMARU PREMIUM 3 X 3 COMPR. VARIAVEIS")</f>
        <v>DECK 05 TOBLERONE CUMARU PREMIUM 3 X 3 COMPR. VARIAVEIS</v>
      </c>
      <c r="I1226" s="182" t="str">
        <f t="shared" ca="1" si="6"/>
        <v/>
      </c>
      <c r="J1226" s="184"/>
      <c r="K1226" s="198"/>
      <c r="L1226" s="194"/>
      <c r="M1226" s="194"/>
      <c r="N1226" s="194"/>
      <c r="O1226" s="194"/>
      <c r="P1226" s="194"/>
      <c r="Q1226" s="194"/>
      <c r="R1226" s="194"/>
      <c r="S1226" s="194"/>
      <c r="T1226" s="194"/>
      <c r="U1226" s="194"/>
      <c r="V1226" s="194"/>
      <c r="W1226" s="194"/>
      <c r="X1226" s="194"/>
      <c r="Y1226" s="194"/>
      <c r="Z1226" s="194"/>
      <c r="AA1226" s="194"/>
    </row>
    <row r="1227" spans="1:27" ht="17.399999999999999">
      <c r="A1227" s="222"/>
      <c r="B1227" s="164"/>
      <c r="C1227" s="194"/>
      <c r="D1227" s="161"/>
      <c r="E1227" s="194"/>
      <c r="F1227" s="198"/>
      <c r="G1227" s="194" t="str">
        <f ca="1">IFERROR(__xludf.DUMMYFUNCTION("""COMPUTED_VALUE"""),"DECK 05 TOBLERONE CATUABA PREMIUM 3 X 3 COMPR. VARIAVEIS")</f>
        <v>DECK 05 TOBLERONE CATUABA PREMIUM 3 X 3 COMPR. VARIAVEIS</v>
      </c>
      <c r="I1227" s="182" t="str">
        <f t="shared" ca="1" si="6"/>
        <v/>
      </c>
      <c r="J1227" s="184"/>
      <c r="K1227" s="198"/>
      <c r="L1227" s="194"/>
      <c r="M1227" s="194"/>
      <c r="N1227" s="194"/>
      <c r="O1227" s="194"/>
      <c r="P1227" s="194"/>
      <c r="Q1227" s="194"/>
      <c r="R1227" s="194"/>
      <c r="S1227" s="194"/>
      <c r="T1227" s="194"/>
      <c r="U1227" s="194"/>
      <c r="V1227" s="194"/>
      <c r="W1227" s="194"/>
      <c r="X1227" s="194"/>
      <c r="Y1227" s="194"/>
      <c r="Z1227" s="194"/>
      <c r="AA1227" s="194"/>
    </row>
    <row r="1228" spans="1:27" ht="17.399999999999999">
      <c r="A1228" s="222"/>
      <c r="B1228" s="164"/>
      <c r="C1228" s="194"/>
      <c r="D1228" s="161"/>
      <c r="E1228" s="194"/>
      <c r="F1228" s="198"/>
      <c r="G1228" s="194" t="str">
        <f ca="1">IFERROR(__xludf.DUMMYFUNCTION("""COMPUTED_VALUE"""),"DECK 05 TOBLERONE CABREUVA BRANCA PREMIUM 3 X 3 COMPR. VARIAVEIS")</f>
        <v>DECK 05 TOBLERONE CABREUVA BRANCA PREMIUM 3 X 3 COMPR. VARIAVEIS</v>
      </c>
      <c r="I1228" s="182" t="str">
        <f t="shared" ca="1" si="6"/>
        <v/>
      </c>
      <c r="J1228" s="184"/>
      <c r="K1228" s="198"/>
      <c r="L1228" s="194"/>
      <c r="M1228" s="194"/>
      <c r="N1228" s="194"/>
      <c r="O1228" s="194"/>
      <c r="P1228" s="194"/>
      <c r="Q1228" s="194"/>
      <c r="R1228" s="194"/>
      <c r="S1228" s="194"/>
      <c r="T1228" s="194"/>
      <c r="U1228" s="194"/>
      <c r="V1228" s="194"/>
      <c r="W1228" s="194"/>
      <c r="X1228" s="194"/>
      <c r="Y1228" s="194"/>
      <c r="Z1228" s="194"/>
      <c r="AA1228" s="194"/>
    </row>
    <row r="1229" spans="1:27" ht="17.399999999999999">
      <c r="A1229" s="222"/>
      <c r="B1229" s="164"/>
      <c r="C1229" s="194"/>
      <c r="D1229" s="161"/>
      <c r="E1229" s="194"/>
      <c r="F1229" s="198"/>
      <c r="G1229" s="194" t="str">
        <f ca="1">IFERROR(__xludf.DUMMYFUNCTION("""COMPUTED_VALUE"""),"DECK 05 TOBLERONE CABREUVA DOURADA PREMIUM 3 X 3 COMPR. VARIAVEIS")</f>
        <v>DECK 05 TOBLERONE CABREUVA DOURADA PREMIUM 3 X 3 COMPR. VARIAVEIS</v>
      </c>
      <c r="I1229" s="182" t="str">
        <f t="shared" ca="1" si="6"/>
        <v/>
      </c>
      <c r="J1229" s="184"/>
      <c r="K1229" s="198"/>
      <c r="L1229" s="194"/>
      <c r="M1229" s="194"/>
      <c r="N1229" s="194"/>
      <c r="O1229" s="194"/>
      <c r="P1229" s="194"/>
      <c r="Q1229" s="194"/>
      <c r="R1229" s="194"/>
      <c r="S1229" s="194"/>
      <c r="T1229" s="194"/>
      <c r="U1229" s="194"/>
      <c r="V1229" s="194"/>
      <c r="W1229" s="194"/>
      <c r="X1229" s="194"/>
      <c r="Y1229" s="194"/>
      <c r="Z1229" s="194"/>
      <c r="AA1229" s="194"/>
    </row>
    <row r="1230" spans="1:27" ht="17.399999999999999">
      <c r="A1230" s="222"/>
      <c r="B1230" s="164"/>
      <c r="C1230" s="194"/>
      <c r="D1230" s="161"/>
      <c r="E1230" s="194"/>
      <c r="F1230" s="198"/>
      <c r="G1230" s="194" t="str">
        <f ca="1">IFERROR(__xludf.DUMMYFUNCTION("""COMPUTED_VALUE"""),"DECK 05 TOBLERONE TAUARI PREMIUM 3 X 3 COMPR. VARIAVEIS")</f>
        <v>DECK 05 TOBLERONE TAUARI PREMIUM 3 X 3 COMPR. VARIAVEIS</v>
      </c>
      <c r="I1230" s="182" t="str">
        <f t="shared" ca="1" si="6"/>
        <v/>
      </c>
      <c r="J1230" s="184"/>
      <c r="K1230" s="198"/>
      <c r="L1230" s="194"/>
      <c r="M1230" s="194"/>
      <c r="N1230" s="194"/>
      <c r="O1230" s="194"/>
      <c r="P1230" s="194"/>
      <c r="Q1230" s="194"/>
      <c r="R1230" s="194"/>
      <c r="S1230" s="194"/>
      <c r="T1230" s="194"/>
      <c r="U1230" s="194"/>
      <c r="V1230" s="194"/>
      <c r="W1230" s="194"/>
      <c r="X1230" s="194"/>
      <c r="Y1230" s="194"/>
      <c r="Z1230" s="194"/>
      <c r="AA1230" s="194"/>
    </row>
    <row r="1231" spans="1:27" ht="17.399999999999999">
      <c r="A1231" s="222"/>
      <c r="B1231" s="164"/>
      <c r="C1231" s="194"/>
      <c r="D1231" s="161"/>
      <c r="E1231" s="194"/>
      <c r="F1231" s="198"/>
      <c r="G1231" s="194" t="str">
        <f ca="1">IFERROR(__xludf.DUMMYFUNCTION("""COMPUTED_VALUE"""),"DECK 05 TOBLERONE PEROBA PREMIUM 3 X 3 COMPR. VARIAVEIS")</f>
        <v>DECK 05 TOBLERONE PEROBA PREMIUM 3 X 3 COMPR. VARIAVEIS</v>
      </c>
      <c r="I1231" s="182" t="str">
        <f t="shared" ca="1" si="6"/>
        <v/>
      </c>
      <c r="J1231" s="184"/>
      <c r="K1231" s="198"/>
      <c r="L1231" s="194"/>
      <c r="M1231" s="194"/>
      <c r="N1231" s="194"/>
      <c r="O1231" s="194"/>
      <c r="P1231" s="194"/>
      <c r="Q1231" s="194"/>
      <c r="R1231" s="194"/>
      <c r="S1231" s="194"/>
      <c r="T1231" s="194"/>
      <c r="U1231" s="194"/>
      <c r="V1231" s="194"/>
      <c r="W1231" s="194"/>
      <c r="X1231" s="194"/>
      <c r="Y1231" s="194"/>
      <c r="Z1231" s="194"/>
      <c r="AA1231" s="194"/>
    </row>
    <row r="1232" spans="1:27" ht="17.399999999999999">
      <c r="A1232" s="222"/>
      <c r="B1232" s="164"/>
      <c r="C1232" s="194"/>
      <c r="D1232" s="161"/>
      <c r="E1232" s="194"/>
      <c r="F1232" s="198"/>
      <c r="G1232" s="194" t="str">
        <f ca="1">IFERROR(__xludf.DUMMYFUNCTION("""COMPUTED_VALUE"""),"DECK 05 TOBLERONE LORO PARDO PREMIUM 3 X 3 COMPR. VARIAVEIS")</f>
        <v>DECK 05 TOBLERONE LORO PARDO PREMIUM 3 X 3 COMPR. VARIAVEIS</v>
      </c>
      <c r="I1232" s="182" t="str">
        <f t="shared" ca="1" si="6"/>
        <v/>
      </c>
      <c r="J1232" s="184"/>
      <c r="K1232" s="198"/>
      <c r="L1232" s="194"/>
      <c r="M1232" s="194"/>
      <c r="N1232" s="194"/>
      <c r="O1232" s="194"/>
      <c r="P1232" s="194"/>
      <c r="Q1232" s="194"/>
      <c r="R1232" s="194"/>
      <c r="S1232" s="194"/>
      <c r="T1232" s="194"/>
      <c r="U1232" s="194"/>
      <c r="V1232" s="194"/>
      <c r="W1232" s="194"/>
      <c r="X1232" s="194"/>
      <c r="Y1232" s="194"/>
      <c r="Z1232" s="194"/>
      <c r="AA1232" s="194"/>
    </row>
    <row r="1233" spans="1:27" ht="17.399999999999999">
      <c r="A1233" s="222"/>
      <c r="B1233" s="164"/>
      <c r="C1233" s="194"/>
      <c r="D1233" s="161"/>
      <c r="E1233" s="194"/>
      <c r="F1233" s="198"/>
      <c r="G1233" s="194" t="str">
        <f ca="1">IFERROR(__xludf.DUMMYFUNCTION("""COMPUTED_VALUE"""),"DECK 05 DECK CUMARU PREMIUM TG 2,5 X 5 X COMPR. VARIAVEIS")</f>
        <v>DECK 05 DECK CUMARU PREMIUM TG 2,5 X 5 X COMPR. VARIAVEIS</v>
      </c>
      <c r="I1233" s="182" t="str">
        <f t="shared" ca="1" si="6"/>
        <v/>
      </c>
      <c r="J1233" s="184"/>
      <c r="K1233" s="198"/>
      <c r="L1233" s="194"/>
      <c r="M1233" s="194"/>
      <c r="N1233" s="194"/>
      <c r="O1233" s="194"/>
      <c r="P1233" s="194"/>
      <c r="Q1233" s="194"/>
      <c r="R1233" s="194"/>
      <c r="S1233" s="194"/>
      <c r="T1233" s="194"/>
      <c r="U1233" s="194"/>
      <c r="V1233" s="194"/>
      <c r="W1233" s="194"/>
      <c r="X1233" s="194"/>
      <c r="Y1233" s="194"/>
      <c r="Z1233" s="194"/>
      <c r="AA1233" s="194"/>
    </row>
    <row r="1234" spans="1:27" ht="17.399999999999999">
      <c r="A1234" s="222"/>
      <c r="B1234" s="164"/>
      <c r="C1234" s="194"/>
      <c r="D1234" s="161"/>
      <c r="E1234" s="194"/>
      <c r="F1234" s="198"/>
      <c r="G1234" s="194" t="str">
        <f ca="1">IFERROR(__xludf.DUMMYFUNCTION("""COMPUTED_VALUE"""),"DECK 05 DECK CUMARU PREMIUM TG 2,5 X 10 X COMPR. VARIAVEIS")</f>
        <v>DECK 05 DECK CUMARU PREMIUM TG 2,5 X 10 X COMPR. VARIAVEIS</v>
      </c>
      <c r="H1234" s="192" t="s">
        <v>2553</v>
      </c>
      <c r="I1234" s="182" t="str">
        <f t="shared" ca="1" si="6"/>
        <v/>
      </c>
      <c r="J1234" s="184"/>
      <c r="K1234" s="198"/>
      <c r="L1234" s="194" t="s">
        <v>2553</v>
      </c>
      <c r="M1234" s="194"/>
      <c r="N1234" s="194"/>
      <c r="O1234" s="194"/>
      <c r="P1234" s="194"/>
      <c r="Q1234" s="194"/>
      <c r="R1234" s="194"/>
      <c r="S1234" s="194"/>
      <c r="T1234" s="194"/>
      <c r="U1234" s="194"/>
      <c r="V1234" s="194"/>
      <c r="W1234" s="194"/>
      <c r="X1234" s="194"/>
      <c r="Y1234" s="194"/>
      <c r="Z1234" s="194"/>
      <c r="AA1234" s="194"/>
    </row>
    <row r="1235" spans="1:27" ht="17.399999999999999">
      <c r="A1235" s="222"/>
      <c r="B1235" s="164"/>
      <c r="C1235" s="194"/>
      <c r="D1235" s="161"/>
      <c r="E1235" s="194"/>
      <c r="F1235" s="198"/>
      <c r="G1235" s="194" t="str">
        <f ca="1">IFERROR(__xludf.DUMMYFUNCTION("""COMPUTED_VALUE"""),"DECK 05 DECK CATUABA PREMIUM TG 2,5 X 5 X COMPR. VARIAVEIS")</f>
        <v>DECK 05 DECK CATUABA PREMIUM TG 2,5 X 5 X COMPR. VARIAVEIS</v>
      </c>
      <c r="H1235" s="192" t="s">
        <v>2554</v>
      </c>
      <c r="I1235" s="182" t="str">
        <f t="shared" ca="1" si="6"/>
        <v/>
      </c>
      <c r="J1235" s="184"/>
      <c r="K1235" s="198"/>
      <c r="L1235" s="194" t="s">
        <v>2554</v>
      </c>
      <c r="M1235" s="194"/>
      <c r="N1235" s="194"/>
      <c r="O1235" s="194"/>
      <c r="P1235" s="194"/>
      <c r="Q1235" s="194"/>
      <c r="R1235" s="194"/>
      <c r="S1235" s="194"/>
      <c r="T1235" s="194"/>
      <c r="U1235" s="194"/>
      <c r="V1235" s="194"/>
      <c r="W1235" s="194"/>
      <c r="X1235" s="194"/>
      <c r="Y1235" s="194"/>
      <c r="Z1235" s="194"/>
      <c r="AA1235" s="194"/>
    </row>
    <row r="1236" spans="1:27" ht="17.399999999999999">
      <c r="A1236" s="222"/>
      <c r="B1236" s="164"/>
      <c r="C1236" s="194"/>
      <c r="D1236" s="161"/>
      <c r="E1236" s="194"/>
      <c r="F1236" s="198"/>
      <c r="G1236" s="194" t="str">
        <f ca="1">IFERROR(__xludf.DUMMYFUNCTION("""COMPUTED_VALUE"""),"DECK 05 DECK CATUABA PREMIUM TG 2,5 X 10 X COMPR. VARIAVEIS")</f>
        <v>DECK 05 DECK CATUABA PREMIUM TG 2,5 X 10 X COMPR. VARIAVEIS</v>
      </c>
      <c r="H1236" s="192" t="s">
        <v>2555</v>
      </c>
      <c r="I1236" s="182" t="str">
        <f t="shared" ca="1" si="6"/>
        <v/>
      </c>
      <c r="J1236" s="184"/>
      <c r="K1236" s="198"/>
      <c r="L1236" s="194" t="s">
        <v>2555</v>
      </c>
      <c r="M1236" s="194"/>
      <c r="N1236" s="194"/>
      <c r="O1236" s="194"/>
      <c r="P1236" s="194"/>
      <c r="Q1236" s="194"/>
      <c r="R1236" s="194"/>
      <c r="S1236" s="194"/>
      <c r="T1236" s="194"/>
      <c r="U1236" s="194"/>
      <c r="V1236" s="194"/>
      <c r="W1236" s="194"/>
      <c r="X1236" s="194"/>
      <c r="Y1236" s="194"/>
      <c r="Z1236" s="194"/>
      <c r="AA1236" s="194"/>
    </row>
    <row r="1237" spans="1:27" ht="17.399999999999999">
      <c r="A1237" s="222"/>
      <c r="B1237" s="164"/>
      <c r="C1237" s="194"/>
      <c r="D1237" s="161"/>
      <c r="E1237" s="194"/>
      <c r="F1237" s="198"/>
      <c r="G1237" s="194" t="str">
        <f ca="1">IFERROR(__xludf.DUMMYFUNCTION("""COMPUTED_VALUE"""),"DECK 05 DECK CABREUVA BRANCA PREMIUM TG 2,5 X 5 X COMPR. VARIAVEIS")</f>
        <v>DECK 05 DECK CABREUVA BRANCA PREMIUM TG 2,5 X 5 X COMPR. VARIAVEIS</v>
      </c>
      <c r="H1237" s="192" t="s">
        <v>2556</v>
      </c>
      <c r="I1237" s="182" t="str">
        <f t="shared" ca="1" si="6"/>
        <v/>
      </c>
      <c r="J1237" s="184"/>
      <c r="K1237" s="198"/>
      <c r="L1237" s="194" t="s">
        <v>2556</v>
      </c>
      <c r="M1237" s="194"/>
      <c r="N1237" s="194"/>
      <c r="O1237" s="194"/>
      <c r="P1237" s="194"/>
      <c r="Q1237" s="194"/>
      <c r="R1237" s="194"/>
      <c r="S1237" s="194"/>
      <c r="T1237" s="194"/>
      <c r="U1237" s="194"/>
      <c r="V1237" s="194"/>
      <c r="W1237" s="194"/>
      <c r="X1237" s="194"/>
      <c r="Y1237" s="194"/>
      <c r="Z1237" s="194"/>
      <c r="AA1237" s="194"/>
    </row>
    <row r="1238" spans="1:27" ht="17.399999999999999">
      <c r="A1238" s="222"/>
      <c r="B1238" s="164"/>
      <c r="C1238" s="194"/>
      <c r="D1238" s="161"/>
      <c r="E1238" s="194"/>
      <c r="F1238" s="198"/>
      <c r="G1238" s="194" t="str">
        <f ca="1">IFERROR(__xludf.DUMMYFUNCTION("""COMPUTED_VALUE"""),"DECK 05 DECK CABREUVA BRANCA PREMIUM TG 2,5 X 10 X COMPR. VARIAVEIS")</f>
        <v>DECK 05 DECK CABREUVA BRANCA PREMIUM TG 2,5 X 10 X COMPR. VARIAVEIS</v>
      </c>
      <c r="H1238" s="192" t="s">
        <v>2557</v>
      </c>
      <c r="I1238" s="182" t="str">
        <f t="shared" ca="1" si="6"/>
        <v/>
      </c>
      <c r="J1238" s="184"/>
      <c r="K1238" s="198"/>
      <c r="L1238" s="194" t="s">
        <v>2557</v>
      </c>
      <c r="M1238" s="194"/>
      <c r="N1238" s="194"/>
      <c r="O1238" s="194"/>
      <c r="P1238" s="194"/>
      <c r="Q1238" s="194"/>
      <c r="R1238" s="194"/>
      <c r="S1238" s="194"/>
      <c r="T1238" s="194"/>
      <c r="U1238" s="194"/>
      <c r="V1238" s="194"/>
      <c r="W1238" s="194"/>
      <c r="X1238" s="194"/>
      <c r="Y1238" s="194"/>
      <c r="Z1238" s="194"/>
      <c r="AA1238" s="194"/>
    </row>
    <row r="1239" spans="1:27" ht="17.399999999999999">
      <c r="A1239" s="222"/>
      <c r="B1239" s="164"/>
      <c r="C1239" s="194"/>
      <c r="D1239" s="161"/>
      <c r="E1239" s="194"/>
      <c r="F1239" s="198"/>
      <c r="G1239" s="194" t="str">
        <f ca="1">IFERROR(__xludf.DUMMYFUNCTION("""COMPUTED_VALUE"""),"DECK 05 DECK CABREUVA DOURADA PREMIUM TG 2,5 X 5 X COMPR. VARIAVEIS")</f>
        <v>DECK 05 DECK CABREUVA DOURADA PREMIUM TG 2,5 X 5 X COMPR. VARIAVEIS</v>
      </c>
      <c r="H1239" s="192" t="s">
        <v>2558</v>
      </c>
      <c r="I1239" s="182" t="str">
        <f t="shared" ca="1" si="6"/>
        <v/>
      </c>
      <c r="J1239" s="184"/>
      <c r="K1239" s="198"/>
      <c r="L1239" s="194" t="s">
        <v>2558</v>
      </c>
      <c r="M1239" s="194"/>
      <c r="N1239" s="194"/>
      <c r="O1239" s="194"/>
      <c r="P1239" s="194"/>
      <c r="Q1239" s="194"/>
      <c r="R1239" s="194"/>
      <c r="S1239" s="194"/>
      <c r="T1239" s="194"/>
      <c r="U1239" s="194"/>
      <c r="V1239" s="194"/>
      <c r="W1239" s="194"/>
      <c r="X1239" s="194"/>
      <c r="Y1239" s="194"/>
      <c r="Z1239" s="194"/>
      <c r="AA1239" s="194"/>
    </row>
    <row r="1240" spans="1:27" ht="17.399999999999999">
      <c r="A1240" s="222"/>
      <c r="B1240" s="164"/>
      <c r="C1240" s="194"/>
      <c r="D1240" s="161"/>
      <c r="E1240" s="194"/>
      <c r="F1240" s="198"/>
      <c r="G1240" s="194" t="str">
        <f ca="1">IFERROR(__xludf.DUMMYFUNCTION("""COMPUTED_VALUE"""),"DECK 05 DECK CABREUVA DOURADA PREMIUM TG 2,5 X 10 X COMPR. VARIAVEIS")</f>
        <v>DECK 05 DECK CABREUVA DOURADA PREMIUM TG 2,5 X 10 X COMPR. VARIAVEIS</v>
      </c>
      <c r="H1240" s="192" t="s">
        <v>2559</v>
      </c>
      <c r="I1240" s="182" t="str">
        <f t="shared" ca="1" si="6"/>
        <v/>
      </c>
      <c r="J1240" s="184"/>
      <c r="K1240" s="198"/>
      <c r="L1240" s="194" t="s">
        <v>2559</v>
      </c>
      <c r="M1240" s="194"/>
      <c r="N1240" s="194"/>
      <c r="O1240" s="194"/>
      <c r="P1240" s="194"/>
      <c r="Q1240" s="194"/>
      <c r="R1240" s="194"/>
      <c r="S1240" s="194"/>
      <c r="T1240" s="194"/>
      <c r="U1240" s="194"/>
      <c r="V1240" s="194"/>
      <c r="W1240" s="194"/>
      <c r="X1240" s="194"/>
      <c r="Y1240" s="194"/>
      <c r="Z1240" s="194"/>
      <c r="AA1240" s="194"/>
    </row>
    <row r="1241" spans="1:27" ht="17.399999999999999">
      <c r="A1241" s="222"/>
      <c r="B1241" s="164"/>
      <c r="C1241" s="194"/>
      <c r="D1241" s="161"/>
      <c r="E1241" s="194"/>
      <c r="F1241" s="198"/>
      <c r="G1241" s="194" t="str">
        <f ca="1">IFERROR(__xludf.DUMMYFUNCTION("""COMPUTED_VALUE"""),"DECK 05 DECK TAUARI PREMIUM TG 2,5 X 5 X COMPR. VARIAVEIS")</f>
        <v>DECK 05 DECK TAUARI PREMIUM TG 2,5 X 5 X COMPR. VARIAVEIS</v>
      </c>
      <c r="H1241" s="192" t="s">
        <v>2560</v>
      </c>
      <c r="I1241" s="182" t="str">
        <f t="shared" ca="1" si="6"/>
        <v/>
      </c>
      <c r="J1241" s="184"/>
      <c r="K1241" s="198"/>
      <c r="L1241" s="194" t="s">
        <v>2560</v>
      </c>
      <c r="M1241" s="194"/>
      <c r="N1241" s="194"/>
      <c r="O1241" s="194"/>
      <c r="P1241" s="194"/>
      <c r="Q1241" s="194"/>
      <c r="R1241" s="194"/>
      <c r="S1241" s="194"/>
      <c r="T1241" s="194"/>
      <c r="U1241" s="194"/>
      <c r="V1241" s="194"/>
      <c r="W1241" s="194"/>
      <c r="X1241" s="194"/>
      <c r="Y1241" s="194"/>
      <c r="Z1241" s="194"/>
      <c r="AA1241" s="194"/>
    </row>
    <row r="1242" spans="1:27" ht="17.399999999999999">
      <c r="A1242" s="222"/>
      <c r="B1242" s="164"/>
      <c r="C1242" s="194"/>
      <c r="D1242" s="161"/>
      <c r="E1242" s="194"/>
      <c r="F1242" s="198"/>
      <c r="G1242" s="194" t="str">
        <f ca="1">IFERROR(__xludf.DUMMYFUNCTION("""COMPUTED_VALUE"""),"DECK 05 DECK TAUARI PREMIUM TG 2,5 X 10 X COMPR. VARIAVEIS")</f>
        <v>DECK 05 DECK TAUARI PREMIUM TG 2,5 X 10 X COMPR. VARIAVEIS</v>
      </c>
      <c r="H1242" s="192" t="s">
        <v>2561</v>
      </c>
      <c r="I1242" s="182" t="str">
        <f t="shared" ca="1" si="6"/>
        <v/>
      </c>
      <c r="J1242" s="184"/>
      <c r="K1242" s="198"/>
      <c r="L1242" s="194" t="s">
        <v>2561</v>
      </c>
      <c r="M1242" s="194"/>
      <c r="N1242" s="194"/>
      <c r="O1242" s="194"/>
      <c r="P1242" s="194"/>
      <c r="Q1242" s="194"/>
      <c r="R1242" s="194"/>
      <c r="S1242" s="194"/>
      <c r="T1242" s="194"/>
      <c r="U1242" s="194"/>
      <c r="V1242" s="194"/>
      <c r="W1242" s="194"/>
      <c r="X1242" s="194"/>
      <c r="Y1242" s="194"/>
      <c r="Z1242" s="194"/>
      <c r="AA1242" s="194"/>
    </row>
    <row r="1243" spans="1:27" ht="17.399999999999999">
      <c r="A1243" s="222"/>
      <c r="B1243" s="164"/>
      <c r="C1243" s="194"/>
      <c r="D1243" s="161"/>
      <c r="E1243" s="194"/>
      <c r="F1243" s="198"/>
      <c r="G1243" s="194" t="str">
        <f ca="1">IFERROR(__xludf.DUMMYFUNCTION("""COMPUTED_VALUE"""),"DECK 05 DECK PEROBA PREMIUM TG 2,5 X 5 X COMPR. VARIAVEIS")</f>
        <v>DECK 05 DECK PEROBA PREMIUM TG 2,5 X 5 X COMPR. VARIAVEIS</v>
      </c>
      <c r="H1243" s="192" t="s">
        <v>2562</v>
      </c>
      <c r="I1243" s="182" t="str">
        <f t="shared" ca="1" si="6"/>
        <v/>
      </c>
      <c r="J1243" s="184"/>
      <c r="K1243" s="198"/>
      <c r="L1243" s="194" t="s">
        <v>2562</v>
      </c>
      <c r="M1243" s="194"/>
      <c r="N1243" s="194"/>
      <c r="O1243" s="194"/>
      <c r="P1243" s="194"/>
      <c r="Q1243" s="194"/>
      <c r="R1243" s="194"/>
      <c r="S1243" s="194"/>
      <c r="T1243" s="194"/>
      <c r="U1243" s="194"/>
      <c r="V1243" s="194"/>
      <c r="W1243" s="194"/>
      <c r="X1243" s="194"/>
      <c r="Y1243" s="194"/>
      <c r="Z1243" s="194"/>
      <c r="AA1243" s="194"/>
    </row>
    <row r="1244" spans="1:27" ht="17.399999999999999">
      <c r="A1244" s="222"/>
      <c r="B1244" s="164"/>
      <c r="C1244" s="194"/>
      <c r="D1244" s="161"/>
      <c r="E1244" s="194"/>
      <c r="F1244" s="198"/>
      <c r="G1244" s="194" t="str">
        <f ca="1">IFERROR(__xludf.DUMMYFUNCTION("""COMPUTED_VALUE"""),"DECK 05 DECK PEROBA PREMIUM TG 2,5 X 10 X COMPR. VARIAVEIS")</f>
        <v>DECK 05 DECK PEROBA PREMIUM TG 2,5 X 10 X COMPR. VARIAVEIS</v>
      </c>
      <c r="H1244" s="192" t="s">
        <v>2563</v>
      </c>
      <c r="I1244" s="182" t="str">
        <f t="shared" ca="1" si="6"/>
        <v/>
      </c>
      <c r="J1244" s="184"/>
      <c r="K1244" s="198"/>
      <c r="L1244" s="194" t="s">
        <v>2563</v>
      </c>
      <c r="M1244" s="194"/>
      <c r="N1244" s="194"/>
      <c r="O1244" s="194"/>
      <c r="P1244" s="194"/>
      <c r="Q1244" s="194"/>
      <c r="R1244" s="194"/>
      <c r="S1244" s="194"/>
      <c r="T1244" s="194"/>
      <c r="U1244" s="194"/>
      <c r="V1244" s="194"/>
      <c r="W1244" s="194"/>
      <c r="X1244" s="194"/>
      <c r="Y1244" s="194"/>
      <c r="Z1244" s="194"/>
      <c r="AA1244" s="194"/>
    </row>
    <row r="1245" spans="1:27" ht="17.399999999999999">
      <c r="A1245" s="222"/>
      <c r="B1245" s="164"/>
      <c r="C1245" s="194"/>
      <c r="D1245" s="161"/>
      <c r="E1245" s="194"/>
      <c r="F1245" s="198"/>
      <c r="G1245" s="194" t="str">
        <f ca="1">IFERROR(__xludf.DUMMYFUNCTION("""COMPUTED_VALUE"""),"DECK 05 DECK BAMBU CARAMEL ALTA DENSIDADE")</f>
        <v>DECK 05 DECK BAMBU CARAMEL ALTA DENSIDADE</v>
      </c>
      <c r="H1245" s="192" t="s">
        <v>2564</v>
      </c>
      <c r="I1245" s="182" t="str">
        <f t="shared" ca="1" si="6"/>
        <v/>
      </c>
      <c r="J1245" s="184"/>
      <c r="K1245" s="198"/>
      <c r="L1245" s="194" t="s">
        <v>2564</v>
      </c>
      <c r="M1245" s="194"/>
      <c r="N1245" s="194"/>
      <c r="O1245" s="194"/>
      <c r="P1245" s="194"/>
      <c r="Q1245" s="194"/>
      <c r="R1245" s="194"/>
      <c r="S1245" s="194"/>
      <c r="T1245" s="194"/>
      <c r="U1245" s="194"/>
      <c r="V1245" s="194"/>
      <c r="W1245" s="194"/>
      <c r="X1245" s="194"/>
      <c r="Y1245" s="194"/>
      <c r="Z1245" s="194"/>
      <c r="AA1245" s="194"/>
    </row>
    <row r="1246" spans="1:27" ht="17.399999999999999">
      <c r="A1246" s="222"/>
      <c r="B1246" s="164"/>
      <c r="C1246" s="194"/>
      <c r="D1246" s="161"/>
      <c r="E1246" s="194"/>
      <c r="F1246" s="198"/>
      <c r="G1246" s="194" t="str">
        <f ca="1">IFERROR(__xludf.DUMMYFUNCTION("""COMPUTED_VALUE"""),"DECK 05 DECK BPC CINZA ESCURO 2 X15X 290CM PÇ/0.435M2")</f>
        <v>DECK 05 DECK BPC CINZA ESCURO 2 X15X 290CM PÇ/0.435M2</v>
      </c>
      <c r="H1246" s="192" t="s">
        <v>2565</v>
      </c>
      <c r="I1246" s="182" t="str">
        <f t="shared" ca="1" si="6"/>
        <v/>
      </c>
      <c r="J1246" s="184"/>
      <c r="K1246" s="198"/>
      <c r="L1246" s="194" t="s">
        <v>2565</v>
      </c>
      <c r="M1246" s="194"/>
      <c r="N1246" s="194"/>
      <c r="O1246" s="194"/>
      <c r="P1246" s="194"/>
      <c r="Q1246" s="194"/>
      <c r="R1246" s="194"/>
      <c r="S1246" s="194"/>
      <c r="T1246" s="194"/>
      <c r="U1246" s="194"/>
      <c r="V1246" s="194"/>
      <c r="W1246" s="194"/>
      <c r="X1246" s="194"/>
      <c r="Y1246" s="194"/>
      <c r="Z1246" s="194"/>
      <c r="AA1246" s="194"/>
    </row>
    <row r="1247" spans="1:27" ht="17.399999999999999">
      <c r="A1247" s="222"/>
      <c r="B1247" s="164"/>
      <c r="C1247" s="194"/>
      <c r="D1247" s="161"/>
      <c r="E1247" s="194"/>
      <c r="F1247" s="198"/>
      <c r="G1247" s="194" t="str">
        <f ca="1">IFERROR(__xludf.DUMMYFUNCTION("""COMPUTED_VALUE"""),"DECK 05 DECK BPC MORROM 2X15X220CM")</f>
        <v>DECK 05 DECK BPC MORROM 2X15X220CM</v>
      </c>
      <c r="I1247" s="182" t="str">
        <f t="shared" ca="1" si="6"/>
        <v/>
      </c>
      <c r="J1247" s="184"/>
      <c r="K1247" s="198"/>
      <c r="L1247" s="194"/>
      <c r="M1247" s="194"/>
      <c r="N1247" s="194"/>
      <c r="O1247" s="194"/>
      <c r="P1247" s="194"/>
      <c r="Q1247" s="194"/>
      <c r="R1247" s="194"/>
      <c r="S1247" s="194"/>
      <c r="T1247" s="194"/>
      <c r="U1247" s="194"/>
      <c r="V1247" s="194"/>
      <c r="W1247" s="194"/>
      <c r="X1247" s="194"/>
      <c r="Y1247" s="194"/>
      <c r="Z1247" s="194"/>
      <c r="AA1247" s="194"/>
    </row>
    <row r="1248" spans="1:27" ht="17.399999999999999">
      <c r="A1248" s="222"/>
      <c r="B1248" s="164"/>
      <c r="C1248" s="194"/>
      <c r="D1248" s="161"/>
      <c r="E1248" s="194"/>
      <c r="F1248" s="198"/>
      <c r="G1248" s="194" t="str">
        <f ca="1">IFERROR(__xludf.DUMMYFUNCTION("""COMPUTED_VALUE"""),"DECK 05 DECK WPC CINZA 2,2*14,6*220CM")</f>
        <v>DECK 05 DECK WPC CINZA 2,2*14,6*220CM</v>
      </c>
      <c r="I1248" s="182" t="str">
        <f t="shared" ca="1" si="6"/>
        <v/>
      </c>
      <c r="J1248" s="184"/>
      <c r="K1248" s="198"/>
      <c r="L1248" s="194"/>
      <c r="M1248" s="194"/>
      <c r="N1248" s="194"/>
      <c r="O1248" s="194"/>
      <c r="P1248" s="194"/>
      <c r="Q1248" s="194"/>
      <c r="R1248" s="194"/>
      <c r="S1248" s="194"/>
      <c r="T1248" s="194"/>
      <c r="U1248" s="194"/>
      <c r="V1248" s="194"/>
      <c r="W1248" s="194"/>
      <c r="X1248" s="194"/>
      <c r="Y1248" s="194"/>
      <c r="Z1248" s="194"/>
      <c r="AA1248" s="194"/>
    </row>
    <row r="1249" spans="1:27" ht="17.399999999999999">
      <c r="A1249" s="222"/>
      <c r="B1249" s="164"/>
      <c r="C1249" s="194"/>
      <c r="D1249" s="161"/>
      <c r="E1249" s="194"/>
      <c r="F1249" s="198"/>
      <c r="G1249" s="194" t="str">
        <f ca="1">IFERROR(__xludf.DUMMYFUNCTION("""COMPUTED_VALUE"""),"DECK 05 PEROBA RUSTICA DE DEMOLIÇÃO")</f>
        <v>DECK 05 PEROBA RUSTICA DE DEMOLIÇÃO</v>
      </c>
      <c r="I1249" s="182" t="str">
        <f t="shared" ca="1" si="6"/>
        <v/>
      </c>
      <c r="J1249" s="184"/>
      <c r="K1249" s="198"/>
      <c r="L1249" s="194"/>
      <c r="M1249" s="194"/>
      <c r="N1249" s="194"/>
      <c r="O1249" s="194"/>
      <c r="P1249" s="194"/>
      <c r="Q1249" s="194"/>
      <c r="R1249" s="194"/>
      <c r="S1249" s="194"/>
      <c r="T1249" s="194"/>
      <c r="U1249" s="194"/>
      <c r="V1249" s="194"/>
      <c r="W1249" s="194"/>
      <c r="X1249" s="194"/>
      <c r="Y1249" s="194"/>
      <c r="Z1249" s="194"/>
      <c r="AA1249" s="194"/>
    </row>
    <row r="1250" spans="1:27" ht="17.399999999999999">
      <c r="A1250" s="222"/>
      <c r="B1250" s="164"/>
      <c r="C1250" s="194"/>
      <c r="D1250" s="161"/>
      <c r="E1250" s="194"/>
      <c r="F1250" s="198"/>
      <c r="G1250" s="194" t="str">
        <f ca="1">IFERROR(__xludf.DUMMYFUNCTION("""COMPUTED_VALUE"""),"DECK 05 CANELA RUSTICA DE DEMOLIÇÃO")</f>
        <v>DECK 05 CANELA RUSTICA DE DEMOLIÇÃO</v>
      </c>
      <c r="H1250" s="192" t="s">
        <v>1337</v>
      </c>
      <c r="I1250" s="182" t="str">
        <f t="shared" ca="1" si="6"/>
        <v/>
      </c>
      <c r="J1250" s="184"/>
      <c r="K1250" s="198"/>
      <c r="L1250" s="194" t="s">
        <v>1337</v>
      </c>
      <c r="M1250" s="194"/>
      <c r="N1250" s="194"/>
      <c r="O1250" s="194"/>
      <c r="P1250" s="194"/>
      <c r="Q1250" s="194"/>
      <c r="R1250" s="194"/>
      <c r="S1250" s="194"/>
      <c r="T1250" s="194"/>
      <c r="U1250" s="194"/>
      <c r="V1250" s="194"/>
      <c r="W1250" s="194"/>
      <c r="X1250" s="194"/>
      <c r="Y1250" s="194"/>
      <c r="Z1250" s="194"/>
      <c r="AA1250" s="194"/>
    </row>
    <row r="1251" spans="1:27" ht="17.399999999999999">
      <c r="A1251" s="222"/>
      <c r="B1251" s="164"/>
      <c r="C1251" s="194"/>
      <c r="D1251" s="161"/>
      <c r="E1251" s="194"/>
      <c r="F1251" s="198"/>
      <c r="G1251" s="194" t="str">
        <f ca="1">IFERROR(__xludf.DUMMYFUNCTION("""COMPUTED_VALUE"""),"RODAPÉ CARVALHO EUROPEU MARRONE CHEVRON 15/3 X 1900X 740MM")</f>
        <v>RODAPÉ CARVALHO EUROPEU MARRONE CHEVRON 15/3 X 1900X 740MM</v>
      </c>
      <c r="H1251" s="192" t="s">
        <v>1338</v>
      </c>
      <c r="I1251" s="182" t="str">
        <f t="shared" ca="1" si="6"/>
        <v/>
      </c>
      <c r="J1251" s="184"/>
      <c r="K1251" s="198"/>
      <c r="L1251" s="194" t="s">
        <v>1338</v>
      </c>
      <c r="M1251" s="194"/>
      <c r="N1251" s="194"/>
      <c r="O1251" s="194"/>
      <c r="P1251" s="194"/>
      <c r="Q1251" s="194"/>
      <c r="R1251" s="194"/>
      <c r="S1251" s="194"/>
      <c r="T1251" s="194"/>
      <c r="U1251" s="194"/>
      <c r="V1251" s="194"/>
      <c r="W1251" s="194"/>
      <c r="X1251" s="194"/>
      <c r="Y1251" s="194"/>
      <c r="Z1251" s="194"/>
      <c r="AA1251" s="194"/>
    </row>
    <row r="1252" spans="1:27" ht="17.399999999999999">
      <c r="A1252" s="222"/>
      <c r="B1252" s="164"/>
      <c r="C1252" s="194"/>
      <c r="D1252" s="161"/>
      <c r="E1252" s="194"/>
      <c r="F1252" s="198"/>
      <c r="G1252" s="194" t="str">
        <f ca="1">IFERROR(__xludf.DUMMYFUNCTION("""COMPUTED_VALUE"""),"RODAPÉ CARVALHO EUROPEU MARRONE 15/3 X 125 X 1200MM")</f>
        <v>RODAPÉ CARVALHO EUROPEU MARRONE 15/3 X 125 X 1200MM</v>
      </c>
      <c r="H1252" s="223" t="s">
        <v>1339</v>
      </c>
      <c r="I1252" s="182" t="str">
        <f t="shared" ca="1" si="6"/>
        <v/>
      </c>
      <c r="J1252" s="184"/>
      <c r="K1252" s="198"/>
      <c r="L1252" s="194" t="s">
        <v>1339</v>
      </c>
      <c r="M1252" s="194"/>
      <c r="N1252" s="194"/>
      <c r="O1252" s="194"/>
      <c r="P1252" s="194"/>
      <c r="Q1252" s="194"/>
      <c r="R1252" s="194"/>
      <c r="S1252" s="194"/>
      <c r="T1252" s="194"/>
      <c r="U1252" s="194"/>
      <c r="V1252" s="194"/>
      <c r="W1252" s="194"/>
      <c r="X1252" s="194"/>
      <c r="Y1252" s="194"/>
      <c r="Z1252" s="194"/>
      <c r="AA1252" s="194"/>
    </row>
    <row r="1253" spans="1:27" ht="17.399999999999999">
      <c r="A1253" s="222"/>
      <c r="B1253" s="164"/>
      <c r="C1253" s="194"/>
      <c r="D1253" s="161"/>
      <c r="E1253" s="194"/>
      <c r="F1253" s="198"/>
      <c r="G1253" s="194" t="str">
        <f ca="1">IFERROR(__xludf.DUMMYFUNCTION("""COMPUTED_VALUE"""),"RODAPÉ CARVALHO EUROPEU MARRONE 15/3 X 190 X 1900MM")</f>
        <v>RODAPÉ CARVALHO EUROPEU MARRONE 15/3 X 190 X 1900MM</v>
      </c>
      <c r="H1253" s="223" t="s">
        <v>1340</v>
      </c>
      <c r="I1253" s="182" t="str">
        <f t="shared" ca="1" si="6"/>
        <v/>
      </c>
      <c r="J1253" s="184"/>
      <c r="K1253" s="198"/>
      <c r="L1253" s="194" t="s">
        <v>1340</v>
      </c>
      <c r="M1253" s="194"/>
      <c r="N1253" s="194"/>
      <c r="O1253" s="194"/>
      <c r="P1253" s="194"/>
      <c r="Q1253" s="194"/>
      <c r="R1253" s="194"/>
      <c r="S1253" s="194"/>
      <c r="T1253" s="194"/>
      <c r="U1253" s="194"/>
      <c r="V1253" s="194"/>
      <c r="W1253" s="194"/>
      <c r="X1253" s="194"/>
      <c r="Y1253" s="194"/>
      <c r="Z1253" s="194"/>
      <c r="AA1253" s="194"/>
    </row>
    <row r="1254" spans="1:27" ht="17.399999999999999">
      <c r="A1254" s="222"/>
      <c r="B1254" s="164"/>
      <c r="C1254" s="194"/>
      <c r="D1254" s="161"/>
      <c r="E1254" s="194"/>
      <c r="F1254" s="198"/>
      <c r="G1254" s="194" t="str">
        <f ca="1">IFERROR(__xludf.DUMMYFUNCTION("""COMPUTED_VALUE"""),"RODAPÉ CARVALHO EUROPEU MARRONE 20/6 X 300 X 4000MM")</f>
        <v>RODAPÉ CARVALHO EUROPEU MARRONE 20/6 X 300 X 4000MM</v>
      </c>
      <c r="H1254" s="223" t="s">
        <v>1341</v>
      </c>
      <c r="I1254" s="182" t="str">
        <f t="shared" ca="1" si="6"/>
        <v/>
      </c>
      <c r="J1254" s="184"/>
      <c r="K1254" s="198"/>
      <c r="L1254" s="194" t="s">
        <v>1341</v>
      </c>
      <c r="M1254" s="194"/>
      <c r="N1254" s="194"/>
      <c r="O1254" s="194"/>
      <c r="P1254" s="194"/>
      <c r="Q1254" s="194"/>
      <c r="R1254" s="194"/>
      <c r="S1254" s="194"/>
      <c r="T1254" s="194"/>
      <c r="U1254" s="194"/>
      <c r="V1254" s="194"/>
      <c r="W1254" s="194"/>
      <c r="X1254" s="194"/>
      <c r="Y1254" s="194"/>
      <c r="Z1254" s="194"/>
      <c r="AA1254" s="194"/>
    </row>
    <row r="1255" spans="1:27" ht="17.399999999999999">
      <c r="A1255" s="222"/>
      <c r="B1255" s="164"/>
      <c r="C1255" s="194"/>
      <c r="D1255" s="161"/>
      <c r="E1255" s="194"/>
      <c r="F1255" s="198"/>
      <c r="G1255" s="194" t="str">
        <f ca="1">IFERROR(__xludf.DUMMYFUNCTION("""COMPUTED_VALUE"""),"RODAPÉ CARVALHO EUROPEU MARRONE 20/6 X 400 X 5000MM")</f>
        <v>RODAPÉ CARVALHO EUROPEU MARRONE 20/6 X 400 X 5000MM</v>
      </c>
      <c r="H1255" s="223" t="s">
        <v>1342</v>
      </c>
      <c r="I1255" s="182" t="str">
        <f t="shared" ca="1" si="6"/>
        <v/>
      </c>
      <c r="J1255" s="184"/>
      <c r="K1255" s="198"/>
      <c r="L1255" s="194" t="s">
        <v>1342</v>
      </c>
      <c r="M1255" s="194"/>
      <c r="N1255" s="194"/>
      <c r="O1255" s="194"/>
      <c r="P1255" s="194"/>
      <c r="Q1255" s="194"/>
      <c r="R1255" s="194"/>
      <c r="S1255" s="194"/>
      <c r="T1255" s="194"/>
      <c r="U1255" s="194"/>
      <c r="V1255" s="194"/>
      <c r="W1255" s="194"/>
      <c r="X1255" s="194"/>
      <c r="Y1255" s="194"/>
      <c r="Z1255" s="194"/>
      <c r="AA1255" s="194"/>
    </row>
    <row r="1256" spans="1:27" ht="17.399999999999999">
      <c r="A1256" s="222"/>
      <c r="B1256" s="164"/>
      <c r="C1256" s="194"/>
      <c r="D1256" s="161"/>
      <c r="E1256" s="194"/>
      <c r="F1256" s="198"/>
      <c r="G1256" s="194" t="str">
        <f ca="1">IFERROR(__xludf.DUMMYFUNCTION("""COMPUTED_VALUE"""),"RODAPÉ CARVALHO EUROPEU MONT BLANC CHEVRON 15/3 X 1900X 740MM")</f>
        <v>RODAPÉ CARVALHO EUROPEU MONT BLANC CHEVRON 15/3 X 1900X 740MM</v>
      </c>
      <c r="H1256" s="223" t="s">
        <v>1343</v>
      </c>
      <c r="I1256" s="182" t="str">
        <f t="shared" ca="1" si="6"/>
        <v/>
      </c>
      <c r="J1256" s="184"/>
      <c r="K1256" s="198"/>
      <c r="L1256" s="194" t="s">
        <v>1343</v>
      </c>
      <c r="M1256" s="194"/>
      <c r="N1256" s="194"/>
      <c r="O1256" s="194"/>
      <c r="P1256" s="194"/>
      <c r="Q1256" s="194"/>
      <c r="R1256" s="194"/>
      <c r="S1256" s="194"/>
      <c r="T1256" s="194"/>
      <c r="U1256" s="194"/>
      <c r="V1256" s="194"/>
      <c r="W1256" s="194"/>
      <c r="X1256" s="194"/>
      <c r="Y1256" s="194"/>
      <c r="Z1256" s="194"/>
      <c r="AA1256" s="194"/>
    </row>
    <row r="1257" spans="1:27" ht="17.399999999999999">
      <c r="A1257" s="222"/>
      <c r="B1257" s="164"/>
      <c r="C1257" s="194"/>
      <c r="D1257" s="161"/>
      <c r="E1257" s="194"/>
      <c r="F1257" s="198"/>
      <c r="G1257" s="194" t="str">
        <f ca="1">IFERROR(__xludf.DUMMYFUNCTION("""COMPUTED_VALUE"""),"RODAPÉ CARVALHO EUROPEU MONT BLANC ESPINHA DE PEIXE TG 15/3 X 125X900MM")</f>
        <v>RODAPÉ CARVALHO EUROPEU MONT BLANC ESPINHA DE PEIXE TG 15/3 X 125X900MM</v>
      </c>
      <c r="H1257" s="223" t="s">
        <v>1344</v>
      </c>
      <c r="I1257" s="182" t="str">
        <f t="shared" ca="1" si="6"/>
        <v/>
      </c>
      <c r="J1257" s="184"/>
      <c r="K1257" s="198"/>
      <c r="L1257" s="194" t="s">
        <v>1344</v>
      </c>
      <c r="M1257" s="194"/>
      <c r="N1257" s="194"/>
      <c r="O1257" s="194"/>
      <c r="P1257" s="194"/>
      <c r="Q1257" s="194"/>
      <c r="R1257" s="194"/>
      <c r="S1257" s="194"/>
      <c r="T1257" s="194"/>
      <c r="U1257" s="194"/>
      <c r="V1257" s="194"/>
      <c r="W1257" s="194"/>
      <c r="X1257" s="194"/>
      <c r="Y1257" s="194"/>
      <c r="Z1257" s="194"/>
      <c r="AA1257" s="194"/>
    </row>
    <row r="1258" spans="1:27" ht="17.399999999999999">
      <c r="A1258" s="222"/>
      <c r="B1258" s="164"/>
      <c r="C1258" s="194"/>
      <c r="D1258" s="161"/>
      <c r="E1258" s="194"/>
      <c r="F1258" s="198"/>
      <c r="G1258" s="194" t="str">
        <f ca="1">IFERROR(__xludf.DUMMYFUNCTION("""COMPUTED_VALUE"""),"RODAPÉ CARVALHO EUROPEU MONT BLANC 15/3 X 125 X 1200MM")</f>
        <v>RODAPÉ CARVALHO EUROPEU MONT BLANC 15/3 X 125 X 1200MM</v>
      </c>
      <c r="H1258" s="223" t="s">
        <v>1345</v>
      </c>
      <c r="I1258" s="182" t="str">
        <f t="shared" ca="1" si="6"/>
        <v/>
      </c>
      <c r="J1258" s="184"/>
      <c r="K1258" s="198"/>
      <c r="L1258" s="194" t="s">
        <v>1345</v>
      </c>
      <c r="M1258" s="194"/>
      <c r="N1258" s="194"/>
      <c r="O1258" s="194"/>
      <c r="P1258" s="194"/>
      <c r="Q1258" s="194"/>
      <c r="R1258" s="194"/>
      <c r="S1258" s="194"/>
      <c r="T1258" s="194"/>
      <c r="U1258" s="194"/>
      <c r="V1258" s="194"/>
      <c r="W1258" s="194"/>
      <c r="X1258" s="194"/>
      <c r="Y1258" s="194"/>
      <c r="Z1258" s="194"/>
      <c r="AA1258" s="194"/>
    </row>
    <row r="1259" spans="1:27" ht="17.399999999999999">
      <c r="A1259" s="222"/>
      <c r="B1259" s="164"/>
      <c r="C1259" s="194"/>
      <c r="D1259" s="161"/>
      <c r="E1259" s="194"/>
      <c r="F1259" s="198"/>
      <c r="G1259" s="194" t="str">
        <f ca="1">IFERROR(__xludf.DUMMYFUNCTION("""COMPUTED_VALUE"""),"RODAPÉ CARVALHO EUROPEU MONT BLANC 15/3 X 190 X 1900MM")</f>
        <v>RODAPÉ CARVALHO EUROPEU MONT BLANC 15/3 X 190 X 1900MM</v>
      </c>
      <c r="H1259" s="223" t="s">
        <v>1346</v>
      </c>
      <c r="I1259" s="182" t="str">
        <f t="shared" ca="1" si="6"/>
        <v/>
      </c>
      <c r="J1259" s="184"/>
      <c r="K1259" s="198"/>
      <c r="L1259" s="194" t="s">
        <v>1346</v>
      </c>
      <c r="M1259" s="194"/>
      <c r="N1259" s="194"/>
      <c r="O1259" s="194"/>
      <c r="P1259" s="194"/>
      <c r="Q1259" s="194"/>
      <c r="R1259" s="194"/>
      <c r="S1259" s="194"/>
      <c r="T1259" s="194"/>
      <c r="U1259" s="194"/>
      <c r="V1259" s="194"/>
      <c r="W1259" s="194"/>
      <c r="X1259" s="194"/>
      <c r="Y1259" s="194"/>
      <c r="Z1259" s="194"/>
      <c r="AA1259" s="194"/>
    </row>
    <row r="1260" spans="1:27" ht="17.399999999999999">
      <c r="A1260" s="222"/>
      <c r="B1260" s="164"/>
      <c r="C1260" s="194"/>
      <c r="D1260" s="161"/>
      <c r="E1260" s="194"/>
      <c r="F1260" s="198"/>
      <c r="G1260" s="194" t="str">
        <f ca="1">IFERROR(__xludf.DUMMYFUNCTION("""COMPUTED_VALUE"""),"RODAPÉ CARVALHO EUROPEU MONT BLANC 20/6 X 300 X 4000MM")</f>
        <v>RODAPÉ CARVALHO EUROPEU MONT BLANC 20/6 X 300 X 4000MM</v>
      </c>
      <c r="H1260" s="223" t="s">
        <v>1347</v>
      </c>
      <c r="I1260" s="182" t="str">
        <f t="shared" ca="1" si="6"/>
        <v/>
      </c>
      <c r="J1260" s="184"/>
      <c r="K1260" s="198"/>
      <c r="L1260" s="194" t="s">
        <v>1347</v>
      </c>
      <c r="M1260" s="194"/>
      <c r="N1260" s="194"/>
      <c r="O1260" s="194"/>
      <c r="P1260" s="194"/>
      <c r="Q1260" s="194"/>
      <c r="R1260" s="194"/>
      <c r="S1260" s="194"/>
      <c r="T1260" s="194"/>
      <c r="U1260" s="194"/>
      <c r="V1260" s="194"/>
      <c r="W1260" s="194"/>
      <c r="X1260" s="194"/>
      <c r="Y1260" s="194"/>
      <c r="Z1260" s="194"/>
      <c r="AA1260" s="194"/>
    </row>
    <row r="1261" spans="1:27" ht="17.399999999999999">
      <c r="A1261" s="222"/>
      <c r="B1261" s="164"/>
      <c r="C1261" s="194"/>
      <c r="D1261" s="161"/>
      <c r="E1261" s="194"/>
      <c r="F1261" s="198"/>
      <c r="G1261" s="194" t="str">
        <f ca="1">IFERROR(__xludf.DUMMYFUNCTION("""COMPUTED_VALUE"""),"RODAPÉ CARVALHO EUROPEU MONT BLANC 20/6 X 400 X 5000MM")</f>
        <v>RODAPÉ CARVALHO EUROPEU MONT BLANC 20/6 X 400 X 5000MM</v>
      </c>
      <c r="H1261" s="223" t="s">
        <v>1348</v>
      </c>
      <c r="I1261" s="182" t="str">
        <f t="shared" ca="1" si="6"/>
        <v/>
      </c>
      <c r="J1261" s="184"/>
      <c r="K1261" s="198"/>
      <c r="L1261" s="194" t="s">
        <v>1348</v>
      </c>
      <c r="M1261" s="194"/>
      <c r="N1261" s="194"/>
      <c r="O1261" s="194"/>
      <c r="P1261" s="194"/>
      <c r="Q1261" s="194"/>
      <c r="R1261" s="194"/>
      <c r="S1261" s="194"/>
      <c r="T1261" s="194"/>
      <c r="U1261" s="194"/>
      <c r="V1261" s="194"/>
      <c r="W1261" s="194"/>
      <c r="X1261" s="194"/>
      <c r="Y1261" s="194"/>
      <c r="Z1261" s="194"/>
      <c r="AA1261" s="194"/>
    </row>
    <row r="1262" spans="1:27" ht="17.399999999999999">
      <c r="A1262" s="222"/>
      <c r="B1262" s="164"/>
      <c r="C1262" s="194"/>
      <c r="D1262" s="161"/>
      <c r="E1262" s="194"/>
      <c r="F1262" s="198"/>
      <c r="G1262" s="194" t="str">
        <f ca="1">IFERROR(__xludf.DUMMYFUNCTION("""COMPUTED_VALUE"""),"RODAPÉ CARVALHO EUROPEU NATURAL CHEVRON TG 15/3 X 125 X 775MM")</f>
        <v>RODAPÉ CARVALHO EUROPEU NATURAL CHEVRON TG 15/3 X 125 X 775MM</v>
      </c>
      <c r="H1262" s="223" t="s">
        <v>1349</v>
      </c>
      <c r="I1262" s="182" t="str">
        <f t="shared" ca="1" si="6"/>
        <v/>
      </c>
      <c r="J1262" s="184"/>
      <c r="K1262" s="198"/>
      <c r="L1262" s="194" t="s">
        <v>1349</v>
      </c>
      <c r="M1262" s="194"/>
      <c r="N1262" s="194"/>
      <c r="O1262" s="194"/>
      <c r="P1262" s="194"/>
      <c r="Q1262" s="194"/>
      <c r="R1262" s="194"/>
      <c r="S1262" s="194"/>
      <c r="T1262" s="194"/>
      <c r="U1262" s="194"/>
      <c r="V1262" s="194"/>
      <c r="W1262" s="194"/>
      <c r="X1262" s="194"/>
      <c r="Y1262" s="194"/>
      <c r="Z1262" s="194"/>
      <c r="AA1262" s="194"/>
    </row>
    <row r="1263" spans="1:27" ht="17.399999999999999">
      <c r="A1263" s="222"/>
      <c r="B1263" s="164"/>
      <c r="C1263" s="194"/>
      <c r="D1263" s="161"/>
      <c r="E1263" s="194"/>
      <c r="F1263" s="198"/>
      <c r="G1263" s="194" t="str">
        <f ca="1">IFERROR(__xludf.DUMMYFUNCTION("""COMPUTED_VALUE"""),"RODAPÉ CARVALHO EUROPEU NATURALLE CHEVRON 15/3 X 1900X 740MM")</f>
        <v>RODAPÉ CARVALHO EUROPEU NATURALLE CHEVRON 15/3 X 1900X 740MM</v>
      </c>
      <c r="H1263" s="223" t="s">
        <v>1350</v>
      </c>
      <c r="I1263" s="182" t="str">
        <f t="shared" ca="1" si="6"/>
        <v/>
      </c>
      <c r="J1263" s="184"/>
      <c r="K1263" s="198"/>
      <c r="L1263" s="194" t="s">
        <v>1350</v>
      </c>
      <c r="M1263" s="194"/>
      <c r="N1263" s="194"/>
      <c r="O1263" s="194"/>
      <c r="P1263" s="194"/>
      <c r="Q1263" s="194"/>
      <c r="R1263" s="194"/>
      <c r="S1263" s="194"/>
      <c r="T1263" s="194"/>
      <c r="U1263" s="194"/>
      <c r="V1263" s="194"/>
      <c r="W1263" s="194"/>
      <c r="X1263" s="194"/>
      <c r="Y1263" s="194"/>
      <c r="Z1263" s="194"/>
      <c r="AA1263" s="194"/>
    </row>
    <row r="1264" spans="1:27" ht="17.399999999999999">
      <c r="A1264" s="222"/>
      <c r="B1264" s="164"/>
      <c r="C1264" s="194"/>
      <c r="D1264" s="161"/>
      <c r="E1264" s="194"/>
      <c r="F1264" s="198"/>
      <c r="G1264" s="194" t="str">
        <f ca="1">IFERROR(__xludf.DUMMYFUNCTION("""COMPUTED_VALUE"""),"RODAPÉ CARVALHO EUROPEU NATURALLE CHEVRON 60º 15/3 X 1900X 910MM")</f>
        <v>RODAPÉ CARVALHO EUROPEU NATURALLE CHEVRON 60º 15/3 X 1900X 910MM</v>
      </c>
      <c r="H1264" s="223" t="s">
        <v>1351</v>
      </c>
      <c r="I1264" s="182" t="str">
        <f t="shared" ca="1" si="6"/>
        <v/>
      </c>
      <c r="J1264" s="184"/>
      <c r="K1264" s="198"/>
      <c r="L1264" s="194" t="s">
        <v>1351</v>
      </c>
      <c r="M1264" s="194"/>
      <c r="N1264" s="194"/>
      <c r="O1264" s="194"/>
      <c r="P1264" s="194"/>
      <c r="Q1264" s="194"/>
      <c r="R1264" s="194"/>
      <c r="S1264" s="194"/>
      <c r="T1264" s="194"/>
      <c r="U1264" s="194"/>
      <c r="V1264" s="194"/>
      <c r="W1264" s="194"/>
      <c r="X1264" s="194"/>
      <c r="Y1264" s="194"/>
      <c r="Z1264" s="194"/>
      <c r="AA1264" s="194"/>
    </row>
    <row r="1265" spans="1:27" ht="17.399999999999999">
      <c r="A1265" s="222"/>
      <c r="B1265" s="164"/>
      <c r="C1265" s="194"/>
      <c r="D1265" s="161"/>
      <c r="E1265" s="194"/>
      <c r="F1265" s="198"/>
      <c r="G1265" s="194" t="str">
        <f ca="1">IFERROR(__xludf.DUMMYFUNCTION("""COMPUTED_VALUE"""),"RODAPÉ CARVALHO EUROPEU NATURALLE FINE 10/06 X 1900 X 1900MM")</f>
        <v>RODAPÉ CARVALHO EUROPEU NATURALLE FINE 10/06 X 1900 X 1900MM</v>
      </c>
      <c r="H1265" s="223" t="s">
        <v>1352</v>
      </c>
      <c r="I1265" s="182" t="str">
        <f t="shared" ca="1" si="6"/>
        <v/>
      </c>
      <c r="J1265" s="184"/>
      <c r="K1265" s="198"/>
      <c r="L1265" s="194" t="s">
        <v>1352</v>
      </c>
      <c r="M1265" s="194"/>
      <c r="N1265" s="194"/>
      <c r="O1265" s="194"/>
      <c r="P1265" s="194"/>
      <c r="Q1265" s="194"/>
      <c r="R1265" s="194"/>
      <c r="S1265" s="194"/>
      <c r="T1265" s="194"/>
      <c r="U1265" s="194"/>
      <c r="V1265" s="194"/>
      <c r="W1265" s="194"/>
      <c r="X1265" s="194"/>
      <c r="Y1265" s="194"/>
      <c r="Z1265" s="194"/>
      <c r="AA1265" s="194"/>
    </row>
    <row r="1266" spans="1:27" ht="17.399999999999999">
      <c r="A1266" s="222"/>
      <c r="B1266" s="164"/>
      <c r="C1266" s="194"/>
      <c r="D1266" s="161"/>
      <c r="E1266" s="194"/>
      <c r="F1266" s="198"/>
      <c r="G1266" s="194" t="str">
        <f ca="1">IFERROR(__xludf.DUMMYFUNCTION("""COMPUTED_VALUE"""),"RODAPÉ CARVALHO EUROPEU NATURALLE 15/3 X 125 X 1200MM")</f>
        <v>RODAPÉ CARVALHO EUROPEU NATURALLE 15/3 X 125 X 1200MM</v>
      </c>
      <c r="H1266" s="223" t="s">
        <v>1353</v>
      </c>
      <c r="I1266" s="182" t="str">
        <f t="shared" ca="1" si="6"/>
        <v/>
      </c>
      <c r="J1266" s="184"/>
      <c r="K1266" s="198"/>
      <c r="L1266" s="194" t="s">
        <v>1353</v>
      </c>
      <c r="M1266" s="194"/>
      <c r="N1266" s="194"/>
      <c r="O1266" s="194"/>
      <c r="P1266" s="194"/>
      <c r="Q1266" s="194"/>
      <c r="R1266" s="194"/>
      <c r="S1266" s="194"/>
      <c r="T1266" s="194"/>
      <c r="U1266" s="194"/>
      <c r="V1266" s="194"/>
      <c r="W1266" s="194"/>
      <c r="X1266" s="194"/>
      <c r="Y1266" s="194"/>
      <c r="Z1266" s="194"/>
      <c r="AA1266" s="194"/>
    </row>
    <row r="1267" spans="1:27" ht="17.399999999999999">
      <c r="A1267" s="222"/>
      <c r="B1267" s="164"/>
      <c r="C1267" s="194"/>
      <c r="D1267" s="161"/>
      <c r="E1267" s="194"/>
      <c r="F1267" s="198"/>
      <c r="G1267" s="194" t="str">
        <f ca="1">IFERROR(__xludf.DUMMYFUNCTION("""COMPUTED_VALUE"""),"RODAPÉ CARVALHO EUROPEU NATURALLE 15/3 X 190 X 1900MM")</f>
        <v>RODAPÉ CARVALHO EUROPEU NATURALLE 15/3 X 190 X 1900MM</v>
      </c>
      <c r="H1267" s="223" t="s">
        <v>1354</v>
      </c>
      <c r="I1267" s="182" t="str">
        <f t="shared" ca="1" si="6"/>
        <v/>
      </c>
      <c r="J1267" s="184"/>
      <c r="K1267" s="198"/>
      <c r="L1267" s="194" t="s">
        <v>1354</v>
      </c>
      <c r="M1267" s="194"/>
      <c r="N1267" s="194"/>
      <c r="O1267" s="194"/>
      <c r="P1267" s="194"/>
      <c r="Q1267" s="194"/>
      <c r="R1267" s="194"/>
      <c r="S1267" s="194"/>
      <c r="T1267" s="194"/>
      <c r="U1267" s="194"/>
      <c r="V1267" s="194"/>
      <c r="W1267" s="194"/>
      <c r="X1267" s="194"/>
      <c r="Y1267" s="194"/>
      <c r="Z1267" s="194"/>
      <c r="AA1267" s="194"/>
    </row>
    <row r="1268" spans="1:27" ht="17.399999999999999">
      <c r="A1268" s="222"/>
      <c r="B1268" s="164"/>
      <c r="C1268" s="194"/>
      <c r="D1268" s="161"/>
      <c r="E1268" s="194"/>
      <c r="F1268" s="198"/>
      <c r="G1268" s="194" t="str">
        <f ca="1">IFERROR(__xludf.DUMMYFUNCTION("""COMPUTED_VALUE"""),"RODAPÉ CARVALHO EUROPEU NATURALLE 20/6 X 300 X 4000MM")</f>
        <v>RODAPÉ CARVALHO EUROPEU NATURALLE 20/6 X 300 X 4000MM</v>
      </c>
      <c r="H1268" s="223" t="s">
        <v>1355</v>
      </c>
      <c r="I1268" s="182" t="str">
        <f t="shared" ca="1" si="6"/>
        <v/>
      </c>
      <c r="J1268" s="184"/>
      <c r="K1268" s="198"/>
      <c r="L1268" s="194" t="s">
        <v>1355</v>
      </c>
      <c r="M1268" s="194"/>
      <c r="N1268" s="194"/>
      <c r="O1268" s="194"/>
      <c r="P1268" s="194"/>
      <c r="Q1268" s="194"/>
      <c r="R1268" s="194"/>
      <c r="S1268" s="194"/>
      <c r="T1268" s="194"/>
      <c r="U1268" s="194"/>
      <c r="V1268" s="194"/>
      <c r="W1268" s="194"/>
      <c r="X1268" s="194"/>
      <c r="Y1268" s="194"/>
      <c r="Z1268" s="194"/>
      <c r="AA1268" s="194"/>
    </row>
    <row r="1269" spans="1:27" ht="17.399999999999999">
      <c r="A1269" s="222"/>
      <c r="B1269" s="164"/>
      <c r="C1269" s="194"/>
      <c r="D1269" s="161"/>
      <c r="E1269" s="194"/>
      <c r="F1269" s="198"/>
      <c r="G1269" s="194" t="str">
        <f ca="1">IFERROR(__xludf.DUMMYFUNCTION("""COMPUTED_VALUE"""),"RODAPÉ CARVALHO EUROPEU NATURALLE 20/6 X 400 X 5000MM")</f>
        <v>RODAPÉ CARVALHO EUROPEU NATURALLE 20/6 X 400 X 5000MM</v>
      </c>
      <c r="H1269" s="223" t="s">
        <v>1356</v>
      </c>
      <c r="I1269" s="182" t="str">
        <f t="shared" ca="1" si="6"/>
        <v/>
      </c>
      <c r="J1269" s="184"/>
      <c r="K1269" s="198"/>
      <c r="L1269" s="194" t="s">
        <v>1356</v>
      </c>
      <c r="M1269" s="194"/>
      <c r="N1269" s="194"/>
      <c r="O1269" s="194"/>
      <c r="P1269" s="194"/>
      <c r="Q1269" s="194"/>
      <c r="R1269" s="194"/>
      <c r="S1269" s="194"/>
      <c r="T1269" s="194"/>
      <c r="U1269" s="194"/>
      <c r="V1269" s="194"/>
      <c r="W1269" s="194"/>
      <c r="X1269" s="194"/>
      <c r="Y1269" s="194"/>
      <c r="Z1269" s="194"/>
      <c r="AA1269" s="194"/>
    </row>
    <row r="1270" spans="1:27" ht="17.399999999999999">
      <c r="A1270" s="222"/>
      <c r="B1270" s="164"/>
      <c r="C1270" s="194"/>
      <c r="D1270" s="161"/>
      <c r="E1270" s="194"/>
      <c r="F1270" s="198"/>
      <c r="G1270" s="194" t="str">
        <f ca="1">IFERROR(__xludf.DUMMYFUNCTION("""COMPUTED_VALUE"""),"RODAPÉ CARVALHO EUROPEU CAPUCCINO CHEVRON 15/3 X 1900X 740MM")</f>
        <v>RODAPÉ CARVALHO EUROPEU CAPUCCINO CHEVRON 15/3 X 1900X 740MM</v>
      </c>
      <c r="H1270" s="223" t="s">
        <v>1357</v>
      </c>
      <c r="I1270" s="182" t="str">
        <f t="shared" ca="1" si="6"/>
        <v/>
      </c>
      <c r="J1270" s="184"/>
      <c r="K1270" s="198"/>
      <c r="L1270" s="194" t="s">
        <v>1357</v>
      </c>
      <c r="M1270" s="194"/>
      <c r="N1270" s="194"/>
      <c r="O1270" s="194"/>
      <c r="P1270" s="194"/>
      <c r="Q1270" s="194"/>
      <c r="R1270" s="194"/>
      <c r="S1270" s="194"/>
      <c r="T1270" s="194"/>
      <c r="U1270" s="194"/>
      <c r="V1270" s="194"/>
      <c r="W1270" s="194"/>
      <c r="X1270" s="194"/>
      <c r="Y1270" s="194"/>
      <c r="Z1270" s="194"/>
      <c r="AA1270" s="194"/>
    </row>
    <row r="1271" spans="1:27" ht="17.399999999999999">
      <c r="A1271" s="222"/>
      <c r="B1271" s="164"/>
      <c r="C1271" s="194"/>
      <c r="D1271" s="161"/>
      <c r="E1271" s="194"/>
      <c r="F1271" s="198"/>
      <c r="G1271" s="194" t="str">
        <f ca="1">IFERROR(__xludf.DUMMYFUNCTION("""COMPUTED_VALUE"""),"RODAPÉ CARVALHO EUROPEU CAPUCCINO 15/3 X 125 X 1200MM")</f>
        <v>RODAPÉ CARVALHO EUROPEU CAPUCCINO 15/3 X 125 X 1200MM</v>
      </c>
      <c r="H1271" s="223" t="s">
        <v>1358</v>
      </c>
      <c r="I1271" s="182" t="str">
        <f t="shared" ca="1" si="6"/>
        <v/>
      </c>
      <c r="J1271" s="184"/>
      <c r="K1271" s="198"/>
      <c r="L1271" s="194" t="s">
        <v>1358</v>
      </c>
      <c r="M1271" s="194"/>
      <c r="N1271" s="194"/>
      <c r="O1271" s="194"/>
      <c r="P1271" s="194"/>
      <c r="Q1271" s="194"/>
      <c r="R1271" s="194"/>
      <c r="S1271" s="194"/>
      <c r="T1271" s="194"/>
      <c r="U1271" s="194"/>
      <c r="V1271" s="194"/>
      <c r="W1271" s="194"/>
      <c r="X1271" s="194"/>
      <c r="Y1271" s="194"/>
      <c r="Z1271" s="194"/>
      <c r="AA1271" s="194"/>
    </row>
    <row r="1272" spans="1:27" ht="17.399999999999999">
      <c r="A1272" s="222"/>
      <c r="B1272" s="164"/>
      <c r="C1272" s="194"/>
      <c r="D1272" s="161"/>
      <c r="E1272" s="194"/>
      <c r="F1272" s="198"/>
      <c r="G1272" s="194" t="str">
        <f ca="1">IFERROR(__xludf.DUMMYFUNCTION("""COMPUTED_VALUE"""),"RODAPÉ CARVALHO EUROPEU CAPPUCCINO ESPINHA DE PEIXE TG 15/3 X 125X900MM")</f>
        <v>RODAPÉ CARVALHO EUROPEU CAPPUCCINO ESPINHA DE PEIXE TG 15/3 X 125X900MM</v>
      </c>
      <c r="H1272" s="223" t="s">
        <v>1359</v>
      </c>
      <c r="I1272" s="182" t="str">
        <f t="shared" ca="1" si="6"/>
        <v/>
      </c>
      <c r="J1272" s="184"/>
      <c r="K1272" s="198"/>
      <c r="L1272" s="194" t="s">
        <v>1359</v>
      </c>
      <c r="M1272" s="194"/>
      <c r="N1272" s="194"/>
      <c r="O1272" s="194"/>
      <c r="P1272" s="194"/>
      <c r="Q1272" s="194"/>
      <c r="R1272" s="194"/>
      <c r="S1272" s="194"/>
      <c r="T1272" s="194"/>
      <c r="U1272" s="194"/>
      <c r="V1272" s="194"/>
      <c r="W1272" s="194"/>
      <c r="X1272" s="194"/>
      <c r="Y1272" s="194"/>
      <c r="Z1272" s="194"/>
      <c r="AA1272" s="194"/>
    </row>
    <row r="1273" spans="1:27" ht="17.399999999999999">
      <c r="A1273" s="222"/>
      <c r="B1273" s="164"/>
      <c r="C1273" s="194"/>
      <c r="D1273" s="161"/>
      <c r="E1273" s="194"/>
      <c r="F1273" s="198"/>
      <c r="G1273" s="194" t="str">
        <f ca="1">IFERROR(__xludf.DUMMYFUNCTION("""COMPUTED_VALUE"""),"RODAPÉ CARVALHO EUROPEU CAPUCCINO 15/3 X 190 X 1900MM")</f>
        <v>RODAPÉ CARVALHO EUROPEU CAPUCCINO 15/3 X 190 X 1900MM</v>
      </c>
      <c r="H1273" s="223" t="s">
        <v>1360</v>
      </c>
      <c r="I1273" s="182" t="str">
        <f t="shared" ca="1" si="6"/>
        <v/>
      </c>
      <c r="J1273" s="184"/>
      <c r="K1273" s="198"/>
      <c r="L1273" s="194" t="s">
        <v>1360</v>
      </c>
      <c r="M1273" s="194"/>
      <c r="N1273" s="194"/>
      <c r="O1273" s="194"/>
      <c r="P1273" s="194"/>
      <c r="Q1273" s="194"/>
      <c r="R1273" s="194"/>
      <c r="S1273" s="194"/>
      <c r="T1273" s="194"/>
      <c r="U1273" s="194"/>
      <c r="V1273" s="194"/>
      <c r="W1273" s="194"/>
      <c r="X1273" s="194"/>
      <c r="Y1273" s="194"/>
      <c r="Z1273" s="194"/>
      <c r="AA1273" s="194"/>
    </row>
    <row r="1274" spans="1:27" ht="17.399999999999999">
      <c r="A1274" s="222"/>
      <c r="B1274" s="164"/>
      <c r="C1274" s="194"/>
      <c r="D1274" s="161"/>
      <c r="E1274" s="194"/>
      <c r="F1274" s="198"/>
      <c r="G1274" s="194" t="str">
        <f ca="1">IFERROR(__xludf.DUMMYFUNCTION("""COMPUTED_VALUE"""),"RODAPÉ CARVALHO EUROPEU CAPUCCINO 20/6 X 300 X 4000MM")</f>
        <v>RODAPÉ CARVALHO EUROPEU CAPUCCINO 20/6 X 300 X 4000MM</v>
      </c>
      <c r="H1274" s="223" t="s">
        <v>1361</v>
      </c>
      <c r="I1274" s="182" t="str">
        <f t="shared" ca="1" si="6"/>
        <v/>
      </c>
      <c r="J1274" s="184"/>
      <c r="K1274" s="198"/>
      <c r="L1274" s="194" t="s">
        <v>1361</v>
      </c>
      <c r="M1274" s="194"/>
      <c r="N1274" s="194"/>
      <c r="O1274" s="194"/>
      <c r="P1274" s="194"/>
      <c r="Q1274" s="194"/>
      <c r="R1274" s="194"/>
      <c r="S1274" s="194"/>
      <c r="T1274" s="194"/>
      <c r="U1274" s="194"/>
      <c r="V1274" s="194"/>
      <c r="W1274" s="194"/>
      <c r="X1274" s="194"/>
      <c r="Y1274" s="194"/>
      <c r="Z1274" s="194"/>
      <c r="AA1274" s="194"/>
    </row>
    <row r="1275" spans="1:27" ht="17.399999999999999">
      <c r="A1275" s="222"/>
      <c r="B1275" s="164"/>
      <c r="C1275" s="194"/>
      <c r="D1275" s="161"/>
      <c r="E1275" s="194"/>
      <c r="F1275" s="198"/>
      <c r="G1275" s="194" t="str">
        <f ca="1">IFERROR(__xludf.DUMMYFUNCTION("""COMPUTED_VALUE"""),"RODAPÉ CARVALHO EUROPEU CAPUCCINO 20/6 X 400 X 5000MM")</f>
        <v>RODAPÉ CARVALHO EUROPEU CAPUCCINO 20/6 X 400 X 5000MM</v>
      </c>
      <c r="H1275" s="223" t="s">
        <v>1362</v>
      </c>
      <c r="I1275" s="182" t="str">
        <f t="shared" ca="1" si="6"/>
        <v/>
      </c>
      <c r="J1275" s="184"/>
      <c r="K1275" s="198"/>
      <c r="L1275" s="194" t="s">
        <v>1362</v>
      </c>
      <c r="M1275" s="194"/>
      <c r="N1275" s="194"/>
      <c r="O1275" s="194"/>
      <c r="P1275" s="194"/>
      <c r="Q1275" s="194"/>
      <c r="R1275" s="194"/>
      <c r="S1275" s="194"/>
      <c r="T1275" s="194"/>
      <c r="U1275" s="194"/>
      <c r="V1275" s="194"/>
      <c r="W1275" s="194"/>
      <c r="X1275" s="194"/>
      <c r="Y1275" s="194"/>
      <c r="Z1275" s="194"/>
      <c r="AA1275" s="194"/>
    </row>
    <row r="1276" spans="1:27" ht="17.399999999999999">
      <c r="A1276" s="222"/>
      <c r="B1276" s="164"/>
      <c r="C1276" s="194"/>
      <c r="D1276" s="161"/>
      <c r="E1276" s="194"/>
      <c r="F1276" s="198"/>
      <c r="G1276" s="194" t="str">
        <f ca="1">IFERROR(__xludf.DUMMYFUNCTION("""COMPUTED_VALUE"""),"RODAPÉ CARVALHO EUROPEU BABY GREY CHEVRON 15/3 X 1900X 740MM")</f>
        <v>RODAPÉ CARVALHO EUROPEU BABY GREY CHEVRON 15/3 X 1900X 740MM</v>
      </c>
      <c r="H1276" s="223" t="s">
        <v>1363</v>
      </c>
      <c r="I1276" s="182" t="str">
        <f t="shared" ca="1" si="6"/>
        <v/>
      </c>
      <c r="J1276" s="184"/>
      <c r="K1276" s="198"/>
      <c r="L1276" s="194" t="s">
        <v>1363</v>
      </c>
      <c r="M1276" s="194"/>
      <c r="N1276" s="194"/>
      <c r="O1276" s="194"/>
      <c r="P1276" s="194"/>
      <c r="Q1276" s="194"/>
      <c r="R1276" s="194"/>
      <c r="S1276" s="194"/>
      <c r="T1276" s="194"/>
      <c r="U1276" s="194"/>
      <c r="V1276" s="194"/>
      <c r="W1276" s="194"/>
      <c r="X1276" s="194"/>
      <c r="Y1276" s="194"/>
      <c r="Z1276" s="194"/>
      <c r="AA1276" s="194"/>
    </row>
    <row r="1277" spans="1:27" ht="17.399999999999999">
      <c r="A1277" s="222"/>
      <c r="B1277" s="164"/>
      <c r="C1277" s="194"/>
      <c r="D1277" s="161"/>
      <c r="E1277" s="194"/>
      <c r="F1277" s="198"/>
      <c r="G1277" s="194" t="str">
        <f ca="1">IFERROR(__xludf.DUMMYFUNCTION("""COMPUTED_VALUE"""),"RODAPÉ CARVALHO EUROPEU BABY GREY 15/3 X 125 X 1200MM")</f>
        <v>RODAPÉ CARVALHO EUROPEU BABY GREY 15/3 X 125 X 1200MM</v>
      </c>
      <c r="H1277" s="223" t="s">
        <v>1364</v>
      </c>
      <c r="I1277" s="182" t="str">
        <f t="shared" ca="1" si="6"/>
        <v/>
      </c>
      <c r="J1277" s="184"/>
      <c r="K1277" s="198"/>
      <c r="L1277" s="194" t="s">
        <v>1364</v>
      </c>
      <c r="M1277" s="194"/>
      <c r="N1277" s="194"/>
      <c r="O1277" s="194"/>
      <c r="P1277" s="194"/>
      <c r="Q1277" s="194"/>
      <c r="R1277" s="194"/>
      <c r="S1277" s="194"/>
      <c r="T1277" s="194"/>
      <c r="U1277" s="194"/>
      <c r="V1277" s="194"/>
      <c r="W1277" s="194"/>
      <c r="X1277" s="194"/>
      <c r="Y1277" s="194"/>
      <c r="Z1277" s="194"/>
      <c r="AA1277" s="194"/>
    </row>
    <row r="1278" spans="1:27" ht="17.399999999999999">
      <c r="A1278" s="222"/>
      <c r="B1278" s="164"/>
      <c r="C1278" s="194"/>
      <c r="D1278" s="161"/>
      <c r="E1278" s="194"/>
      <c r="F1278" s="198"/>
      <c r="G1278" s="194" t="str">
        <f ca="1">IFERROR(__xludf.DUMMYFUNCTION("""COMPUTED_VALUE"""),"RODAPÉ CARVALHO EUROPEU BABY GREY 15/3 X 190 X 1900MM")</f>
        <v>RODAPÉ CARVALHO EUROPEU BABY GREY 15/3 X 190 X 1900MM</v>
      </c>
      <c r="H1278" s="223" t="s">
        <v>1365</v>
      </c>
      <c r="I1278" s="182" t="str">
        <f t="shared" ca="1" si="6"/>
        <v/>
      </c>
      <c r="J1278" s="184"/>
      <c r="K1278" s="198"/>
      <c r="L1278" s="194" t="s">
        <v>1365</v>
      </c>
      <c r="M1278" s="194"/>
      <c r="N1278" s="194"/>
      <c r="O1278" s="194"/>
      <c r="P1278" s="194"/>
      <c r="Q1278" s="194"/>
      <c r="R1278" s="194"/>
      <c r="S1278" s="194"/>
      <c r="T1278" s="194"/>
      <c r="U1278" s="194"/>
      <c r="V1278" s="194"/>
      <c r="W1278" s="194"/>
      <c r="X1278" s="194"/>
      <c r="Y1278" s="194"/>
      <c r="Z1278" s="194"/>
      <c r="AA1278" s="194"/>
    </row>
    <row r="1279" spans="1:27" ht="17.399999999999999">
      <c r="A1279" s="222"/>
      <c r="B1279" s="164"/>
      <c r="C1279" s="194"/>
      <c r="D1279" s="161"/>
      <c r="E1279" s="194"/>
      <c r="F1279" s="198"/>
      <c r="G1279" s="194" t="str">
        <f ca="1">IFERROR(__xludf.DUMMYFUNCTION("""COMPUTED_VALUE"""),"RODAPÉ CARVALHO EUROPEU BABY GREY 20/6 X 300 X 4000MM")</f>
        <v>RODAPÉ CARVALHO EUROPEU BABY GREY 20/6 X 300 X 4000MM</v>
      </c>
      <c r="H1279" s="223" t="s">
        <v>1366</v>
      </c>
      <c r="I1279" s="182" t="str">
        <f t="shared" ca="1" si="6"/>
        <v/>
      </c>
      <c r="J1279" s="184"/>
      <c r="K1279" s="198"/>
      <c r="L1279" s="194" t="s">
        <v>1366</v>
      </c>
      <c r="M1279" s="194"/>
      <c r="N1279" s="194"/>
      <c r="O1279" s="194"/>
      <c r="P1279" s="194"/>
      <c r="Q1279" s="194"/>
      <c r="R1279" s="194"/>
      <c r="S1279" s="194"/>
      <c r="T1279" s="194"/>
      <c r="U1279" s="194"/>
      <c r="V1279" s="194"/>
      <c r="W1279" s="194"/>
      <c r="X1279" s="194"/>
      <c r="Y1279" s="194"/>
      <c r="Z1279" s="194"/>
      <c r="AA1279" s="194"/>
    </row>
    <row r="1280" spans="1:27" ht="17.399999999999999">
      <c r="A1280" s="222"/>
      <c r="B1280" s="164"/>
      <c r="C1280" s="194"/>
      <c r="D1280" s="161"/>
      <c r="E1280" s="194"/>
      <c r="F1280" s="198"/>
      <c r="G1280" s="194" t="str">
        <f ca="1">IFERROR(__xludf.DUMMYFUNCTION("""COMPUTED_VALUE"""),"RODAPÉ CARVALHO EUROPEU BABY GREY 20/6 X 400 X 5000MM")</f>
        <v>RODAPÉ CARVALHO EUROPEU BABY GREY 20/6 X 400 X 5000MM</v>
      </c>
      <c r="H1280" s="223" t="s">
        <v>1367</v>
      </c>
      <c r="I1280" s="182" t="str">
        <f t="shared" ca="1" si="6"/>
        <v/>
      </c>
      <c r="J1280" s="184"/>
      <c r="K1280" s="198"/>
      <c r="L1280" s="194" t="s">
        <v>1367</v>
      </c>
      <c r="M1280" s="194"/>
      <c r="N1280" s="194"/>
      <c r="O1280" s="194"/>
      <c r="P1280" s="194"/>
      <c r="Q1280" s="194"/>
      <c r="R1280" s="194"/>
      <c r="S1280" s="194"/>
      <c r="T1280" s="194"/>
      <c r="U1280" s="194"/>
      <c r="V1280" s="194"/>
      <c r="W1280" s="194"/>
      <c r="X1280" s="194"/>
      <c r="Y1280" s="194"/>
      <c r="Z1280" s="194"/>
      <c r="AA1280" s="194"/>
    </row>
    <row r="1281" spans="1:27" ht="17.399999999999999">
      <c r="A1281" s="222"/>
      <c r="B1281" s="164"/>
      <c r="C1281" s="194"/>
      <c r="D1281" s="161"/>
      <c r="E1281" s="194"/>
      <c r="F1281" s="198"/>
      <c r="G1281" s="194" t="str">
        <f ca="1">IFERROR(__xludf.DUMMYFUNCTION("""COMPUTED_VALUE"""),"RODAPÉ CARVALHO EUROPEU GRIGIO NERO CHEVRON 15/3 X 1900X 740MM")</f>
        <v>RODAPÉ CARVALHO EUROPEU GRIGIO NERO CHEVRON 15/3 X 1900X 740MM</v>
      </c>
      <c r="H1281" s="223" t="s">
        <v>1368</v>
      </c>
      <c r="I1281" s="182" t="str">
        <f t="shared" ca="1" si="6"/>
        <v/>
      </c>
      <c r="J1281" s="184"/>
      <c r="K1281" s="198"/>
      <c r="L1281" s="194" t="s">
        <v>1368</v>
      </c>
      <c r="M1281" s="194"/>
      <c r="N1281" s="194"/>
      <c r="O1281" s="194"/>
      <c r="P1281" s="194"/>
      <c r="Q1281" s="194"/>
      <c r="R1281" s="194"/>
      <c r="S1281" s="194"/>
      <c r="T1281" s="194"/>
      <c r="U1281" s="194"/>
      <c r="V1281" s="194"/>
      <c r="W1281" s="194"/>
      <c r="X1281" s="194"/>
      <c r="Y1281" s="194"/>
      <c r="Z1281" s="194"/>
      <c r="AA1281" s="194"/>
    </row>
    <row r="1282" spans="1:27" ht="17.399999999999999">
      <c r="A1282" s="222"/>
      <c r="B1282" s="164"/>
      <c r="C1282" s="194"/>
      <c r="D1282" s="161"/>
      <c r="E1282" s="194"/>
      <c r="F1282" s="198"/>
      <c r="G1282" s="194" t="str">
        <f ca="1">IFERROR(__xludf.DUMMYFUNCTION("""COMPUTED_VALUE"""),"RODAPÉ CARVALHO EUROPEU GRIGIO NERO 15/3 X 125 X 1200MM")</f>
        <v>RODAPÉ CARVALHO EUROPEU GRIGIO NERO 15/3 X 125 X 1200MM</v>
      </c>
      <c r="H1282" s="223" t="s">
        <v>1369</v>
      </c>
      <c r="I1282" s="182" t="str">
        <f t="shared" ca="1" si="6"/>
        <v/>
      </c>
      <c r="J1282" s="184"/>
      <c r="K1282" s="198"/>
      <c r="L1282" s="194" t="s">
        <v>1369</v>
      </c>
      <c r="M1282" s="194"/>
      <c r="N1282" s="194"/>
      <c r="O1282" s="194"/>
      <c r="P1282" s="194"/>
      <c r="Q1282" s="194"/>
      <c r="R1282" s="194"/>
      <c r="S1282" s="194"/>
      <c r="T1282" s="194"/>
      <c r="U1282" s="194"/>
      <c r="V1282" s="194"/>
      <c r="W1282" s="194"/>
      <c r="X1282" s="194"/>
      <c r="Y1282" s="194"/>
      <c r="Z1282" s="194"/>
      <c r="AA1282" s="194"/>
    </row>
    <row r="1283" spans="1:27" ht="17.399999999999999">
      <c r="A1283" s="222"/>
      <c r="B1283" s="164"/>
      <c r="C1283" s="194"/>
      <c r="D1283" s="161"/>
      <c r="E1283" s="194"/>
      <c r="F1283" s="198"/>
      <c r="G1283" s="194" t="str">
        <f ca="1">IFERROR(__xludf.DUMMYFUNCTION("""COMPUTED_VALUE"""),"RODAPÉ CARVALHO EUROPEU GRIGIO NERO 15/3 X 190 X 1900MM")</f>
        <v>RODAPÉ CARVALHO EUROPEU GRIGIO NERO 15/3 X 190 X 1900MM</v>
      </c>
      <c r="H1283" s="223" t="s">
        <v>1370</v>
      </c>
      <c r="I1283" s="182" t="str">
        <f t="shared" ca="1" si="6"/>
        <v/>
      </c>
      <c r="J1283" s="184"/>
      <c r="K1283" s="198"/>
      <c r="L1283" s="194" t="s">
        <v>1370</v>
      </c>
      <c r="M1283" s="194"/>
      <c r="N1283" s="194"/>
      <c r="O1283" s="194"/>
      <c r="P1283" s="194"/>
      <c r="Q1283" s="194"/>
      <c r="R1283" s="194"/>
      <c r="S1283" s="194"/>
      <c r="T1283" s="194"/>
      <c r="U1283" s="194"/>
      <c r="V1283" s="194"/>
      <c r="W1283" s="194"/>
      <c r="X1283" s="194"/>
      <c r="Y1283" s="194"/>
      <c r="Z1283" s="194"/>
      <c r="AA1283" s="194"/>
    </row>
    <row r="1284" spans="1:27" ht="17.399999999999999">
      <c r="A1284" s="222"/>
      <c r="B1284" s="164"/>
      <c r="C1284" s="194"/>
      <c r="D1284" s="161"/>
      <c r="E1284" s="194"/>
      <c r="F1284" s="198"/>
      <c r="G1284" s="194" t="str">
        <f ca="1">IFERROR(__xludf.DUMMYFUNCTION("""COMPUTED_VALUE"""),"RODAPÉ CARVALHO EUROPEU GRIGIO NERO 20/6 X 300 X 4000MM")</f>
        <v>RODAPÉ CARVALHO EUROPEU GRIGIO NERO 20/6 X 300 X 4000MM</v>
      </c>
      <c r="H1284" s="223" t="s">
        <v>1371</v>
      </c>
      <c r="I1284" s="182" t="str">
        <f t="shared" ca="1" si="6"/>
        <v/>
      </c>
      <c r="J1284" s="184"/>
      <c r="K1284" s="198"/>
      <c r="L1284" s="194" t="s">
        <v>1371</v>
      </c>
      <c r="M1284" s="194"/>
      <c r="N1284" s="194"/>
      <c r="O1284" s="194"/>
      <c r="P1284" s="194"/>
      <c r="Q1284" s="194"/>
      <c r="R1284" s="194"/>
      <c r="S1284" s="194"/>
      <c r="T1284" s="194"/>
      <c r="U1284" s="194"/>
      <c r="V1284" s="194"/>
      <c r="W1284" s="194"/>
      <c r="X1284" s="194"/>
      <c r="Y1284" s="194"/>
      <c r="Z1284" s="194"/>
      <c r="AA1284" s="194"/>
    </row>
    <row r="1285" spans="1:27" ht="17.399999999999999">
      <c r="A1285" s="222"/>
      <c r="B1285" s="164"/>
      <c r="C1285" s="194"/>
      <c r="D1285" s="161"/>
      <c r="E1285" s="194"/>
      <c r="F1285" s="198"/>
      <c r="G1285" s="194" t="str">
        <f ca="1">IFERROR(__xludf.DUMMYFUNCTION("""COMPUTED_VALUE"""),"RODAPÉ CARVALHO EUROPEU GRIGIO NERO 20/6 X 400 X 5000MM")</f>
        <v>RODAPÉ CARVALHO EUROPEU GRIGIO NERO 20/6 X 400 X 5000MM</v>
      </c>
      <c r="H1285" s="223" t="s">
        <v>1372</v>
      </c>
      <c r="I1285" s="182" t="str">
        <f t="shared" ca="1" si="6"/>
        <v/>
      </c>
      <c r="J1285" s="184"/>
      <c r="K1285" s="198"/>
      <c r="L1285" s="194" t="s">
        <v>1372</v>
      </c>
      <c r="M1285" s="194"/>
      <c r="N1285" s="194"/>
      <c r="O1285" s="194"/>
      <c r="P1285" s="194"/>
      <c r="Q1285" s="194"/>
      <c r="R1285" s="194"/>
      <c r="S1285" s="194"/>
      <c r="T1285" s="194"/>
      <c r="U1285" s="194"/>
      <c r="V1285" s="194"/>
      <c r="W1285" s="194"/>
      <c r="X1285" s="194"/>
      <c r="Y1285" s="194"/>
      <c r="Z1285" s="194"/>
      <c r="AA1285" s="194"/>
    </row>
    <row r="1286" spans="1:27" ht="17.399999999999999">
      <c r="A1286" s="222"/>
      <c r="B1286" s="164"/>
      <c r="C1286" s="194"/>
      <c r="D1286" s="161"/>
      <c r="E1286" s="194"/>
      <c r="F1286" s="198"/>
      <c r="G1286" s="194" t="str">
        <f ca="1">IFERROR(__xludf.DUMMYFUNCTION("""COMPUTED_VALUE"""),"RODAPÉ CARVALHO EUROPEU LIGHT BROWN CHEVRON 15/3 X 1900X 740MM")</f>
        <v>RODAPÉ CARVALHO EUROPEU LIGHT BROWN CHEVRON 15/3 X 1900X 740MM</v>
      </c>
      <c r="H1286" s="223" t="s">
        <v>1373</v>
      </c>
      <c r="I1286" s="182" t="str">
        <f t="shared" ca="1" si="6"/>
        <v/>
      </c>
      <c r="J1286" s="184"/>
      <c r="K1286" s="198"/>
      <c r="L1286" s="194" t="s">
        <v>1373</v>
      </c>
      <c r="M1286" s="194"/>
      <c r="N1286" s="194"/>
      <c r="O1286" s="194"/>
      <c r="P1286" s="194"/>
      <c r="Q1286" s="194"/>
      <c r="R1286" s="194"/>
      <c r="S1286" s="194"/>
      <c r="T1286" s="194"/>
      <c r="U1286" s="194"/>
      <c r="V1286" s="194"/>
      <c r="W1286" s="194"/>
      <c r="X1286" s="194"/>
      <c r="Y1286" s="194"/>
      <c r="Z1286" s="194"/>
      <c r="AA1286" s="194"/>
    </row>
    <row r="1287" spans="1:27" ht="17.399999999999999">
      <c r="A1287" s="222"/>
      <c r="B1287" s="164"/>
      <c r="C1287" s="194"/>
      <c r="D1287" s="161"/>
      <c r="E1287" s="194"/>
      <c r="F1287" s="198"/>
      <c r="G1287" s="194" t="str">
        <f ca="1">IFERROR(__xludf.DUMMYFUNCTION("""COMPUTED_VALUE"""),"RODAPÉ CARVALHO EUROPEU LIGHT BROWN 15/3 X 125 X 1200MM")</f>
        <v>RODAPÉ CARVALHO EUROPEU LIGHT BROWN 15/3 X 125 X 1200MM</v>
      </c>
      <c r="H1287" s="223" t="s">
        <v>1374</v>
      </c>
      <c r="I1287" s="182" t="str">
        <f t="shared" ca="1" si="6"/>
        <v/>
      </c>
      <c r="J1287" s="184"/>
      <c r="K1287" s="198"/>
      <c r="L1287" s="194" t="s">
        <v>1374</v>
      </c>
      <c r="M1287" s="194"/>
      <c r="N1287" s="194"/>
      <c r="O1287" s="194"/>
      <c r="P1287" s="194"/>
      <c r="Q1287" s="194"/>
      <c r="R1287" s="194"/>
      <c r="S1287" s="194"/>
      <c r="T1287" s="194"/>
      <c r="U1287" s="194"/>
      <c r="V1287" s="194"/>
      <c r="W1287" s="194"/>
      <c r="X1287" s="194"/>
      <c r="Y1287" s="194"/>
      <c r="Z1287" s="194"/>
      <c r="AA1287" s="194"/>
    </row>
    <row r="1288" spans="1:27" ht="17.399999999999999">
      <c r="A1288" s="222"/>
      <c r="B1288" s="164"/>
      <c r="C1288" s="194"/>
      <c r="D1288" s="161"/>
      <c r="E1288" s="194"/>
      <c r="F1288" s="198"/>
      <c r="G1288" s="194" t="str">
        <f ca="1">IFERROR(__xludf.DUMMYFUNCTION("""COMPUTED_VALUE"""),"RODAPÉ CARVALHO EUROPEU LIGHT BROWN 15/3 X 190 X 1900MM")</f>
        <v>RODAPÉ CARVALHO EUROPEU LIGHT BROWN 15/3 X 190 X 1900MM</v>
      </c>
      <c r="H1288" s="223" t="s">
        <v>1375</v>
      </c>
      <c r="I1288" s="182" t="str">
        <f t="shared" ca="1" si="6"/>
        <v/>
      </c>
      <c r="J1288" s="184"/>
      <c r="K1288" s="198"/>
      <c r="L1288" s="194" t="s">
        <v>1375</v>
      </c>
      <c r="M1288" s="194"/>
      <c r="N1288" s="194"/>
      <c r="O1288" s="194"/>
      <c r="P1288" s="194"/>
      <c r="Q1288" s="194"/>
      <c r="R1288" s="194"/>
      <c r="S1288" s="194"/>
      <c r="T1288" s="194"/>
      <c r="U1288" s="194"/>
      <c r="V1288" s="194"/>
      <c r="W1288" s="194"/>
      <c r="X1288" s="194"/>
      <c r="Y1288" s="194"/>
      <c r="Z1288" s="194"/>
      <c r="AA1288" s="194"/>
    </row>
    <row r="1289" spans="1:27" ht="17.399999999999999">
      <c r="A1289" s="222"/>
      <c r="B1289" s="164"/>
      <c r="C1289" s="194"/>
      <c r="D1289" s="161"/>
      <c r="E1289" s="194"/>
      <c r="F1289" s="198"/>
      <c r="G1289" s="194" t="str">
        <f ca="1">IFERROR(__xludf.DUMMYFUNCTION("""COMPUTED_VALUE"""),"RODAPÉ CARVALHO EUROPEU LIGHT BROWN 20/6 X 300 X 4000MM")</f>
        <v>RODAPÉ CARVALHO EUROPEU LIGHT BROWN 20/6 X 300 X 4000MM</v>
      </c>
      <c r="H1289" s="223" t="s">
        <v>1376</v>
      </c>
      <c r="I1289" s="182" t="str">
        <f t="shared" ca="1" si="6"/>
        <v/>
      </c>
      <c r="J1289" s="184"/>
      <c r="K1289" s="198"/>
      <c r="L1289" s="194" t="s">
        <v>1376</v>
      </c>
      <c r="M1289" s="194"/>
      <c r="N1289" s="194"/>
      <c r="O1289" s="194"/>
      <c r="P1289" s="194"/>
      <c r="Q1289" s="194"/>
      <c r="R1289" s="194"/>
      <c r="S1289" s="194"/>
      <c r="T1289" s="194"/>
      <c r="U1289" s="194"/>
      <c r="V1289" s="194"/>
      <c r="W1289" s="194"/>
      <c r="X1289" s="194"/>
      <c r="Y1289" s="194"/>
      <c r="Z1289" s="194"/>
      <c r="AA1289" s="194"/>
    </row>
    <row r="1290" spans="1:27" ht="17.399999999999999">
      <c r="A1290" s="222"/>
      <c r="B1290" s="164"/>
      <c r="C1290" s="194"/>
      <c r="D1290" s="161"/>
      <c r="E1290" s="194"/>
      <c r="F1290" s="198"/>
      <c r="G1290" s="194" t="str">
        <f ca="1">IFERROR(__xludf.DUMMYFUNCTION("""COMPUTED_VALUE"""),"RODAPÉ CARVALHO EUROPEU - LISTONE GIORDANO (HERITAGE 140 FILIGRANA - SIENNA 1179) TG 1,25 X 14,0 X 83,50CM --")</f>
        <v>RODAPÉ CARVALHO EUROPEU - LISTONE GIORDANO (HERITAGE 140 FILIGRANA - SIENNA 1179) TG 1,25 X 14,0 X 83,50CM --</v>
      </c>
      <c r="H1290" s="223" t="s">
        <v>1377</v>
      </c>
      <c r="I1290" s="182" t="str">
        <f t="shared" ca="1" si="6"/>
        <v/>
      </c>
      <c r="J1290" s="184"/>
      <c r="K1290" s="198"/>
      <c r="L1290" s="194" t="s">
        <v>1377</v>
      </c>
      <c r="M1290" s="194"/>
      <c r="N1290" s="194"/>
      <c r="O1290" s="194"/>
      <c r="P1290" s="194"/>
      <c r="Q1290" s="194"/>
      <c r="R1290" s="194"/>
      <c r="S1290" s="194"/>
      <c r="T1290" s="194"/>
      <c r="U1290" s="194"/>
      <c r="V1290" s="194"/>
      <c r="W1290" s="194"/>
      <c r="X1290" s="194"/>
      <c r="Y1290" s="194"/>
      <c r="Z1290" s="194"/>
      <c r="AA1290" s="194"/>
    </row>
    <row r="1291" spans="1:27" ht="17.399999999999999">
      <c r="A1291" s="222"/>
      <c r="B1291" s="164"/>
      <c r="C1291" s="194"/>
      <c r="D1291" s="161"/>
      <c r="E1291" s="194"/>
      <c r="F1291" s="198"/>
      <c r="G1291" s="194" t="str">
        <f ca="1">IFERROR(__xludf.DUMMYFUNCTION("""COMPUTED_VALUE"""),"RODAPÉ ")</f>
        <v xml:space="preserve">RODAPÉ </v>
      </c>
      <c r="H1291" s="223" t="s">
        <v>1378</v>
      </c>
      <c r="I1291" s="182" t="str">
        <f t="shared" ca="1" si="6"/>
        <v/>
      </c>
      <c r="J1291" s="184"/>
      <c r="K1291" s="198"/>
      <c r="L1291" s="194" t="s">
        <v>1378</v>
      </c>
      <c r="M1291" s="194"/>
      <c r="N1291" s="194"/>
      <c r="O1291" s="194"/>
      <c r="P1291" s="194"/>
      <c r="Q1291" s="194"/>
      <c r="R1291" s="194"/>
      <c r="S1291" s="194"/>
      <c r="T1291" s="194"/>
      <c r="U1291" s="194"/>
      <c r="V1291" s="194"/>
      <c r="W1291" s="194"/>
      <c r="X1291" s="194"/>
      <c r="Y1291" s="194"/>
      <c r="Z1291" s="194"/>
      <c r="AA1291" s="194"/>
    </row>
    <row r="1292" spans="1:27" ht="17.399999999999999">
      <c r="A1292" s="222"/>
      <c r="B1292" s="164"/>
      <c r="C1292" s="194"/>
      <c r="D1292" s="161"/>
      <c r="E1292" s="194"/>
      <c r="F1292" s="198"/>
      <c r="G1292" s="194" t="str">
        <f ca="1">IFERROR(__xludf.DUMMYFUNCTION("""COMPUTED_VALUE"""),"RODAPÉ CARVALHO EUROPEU MILANO CHEVRON 15/3 X 1900X 740MM")</f>
        <v>RODAPÉ CARVALHO EUROPEU MILANO CHEVRON 15/3 X 1900X 740MM</v>
      </c>
      <c r="H1292" s="223" t="s">
        <v>1379</v>
      </c>
      <c r="I1292" s="182" t="str">
        <f t="shared" ca="1" si="6"/>
        <v/>
      </c>
      <c r="J1292" s="184"/>
      <c r="K1292" s="198"/>
      <c r="L1292" s="194" t="s">
        <v>1379</v>
      </c>
      <c r="M1292" s="194"/>
      <c r="N1292" s="194"/>
      <c r="O1292" s="194"/>
      <c r="P1292" s="194"/>
      <c r="Q1292" s="194"/>
      <c r="R1292" s="194"/>
      <c r="S1292" s="194"/>
      <c r="T1292" s="194"/>
      <c r="U1292" s="194"/>
      <c r="V1292" s="194"/>
      <c r="W1292" s="194"/>
      <c r="X1292" s="194"/>
      <c r="Y1292" s="194"/>
      <c r="Z1292" s="194"/>
      <c r="AA1292" s="194"/>
    </row>
    <row r="1293" spans="1:27" ht="17.399999999999999">
      <c r="A1293" s="222"/>
      <c r="B1293" s="164"/>
      <c r="C1293" s="194"/>
      <c r="D1293" s="161"/>
      <c r="E1293" s="194"/>
      <c r="F1293" s="198"/>
      <c r="G1293" s="194" t="str">
        <f ca="1">IFERROR(__xludf.DUMMYFUNCTION("""COMPUTED_VALUE"""),"RODAPÉ CARVALHO EUROPEU MILANO 15/3 X 125 X 1200MM")</f>
        <v>RODAPÉ CARVALHO EUROPEU MILANO 15/3 X 125 X 1200MM</v>
      </c>
      <c r="H1293" s="223" t="s">
        <v>1380</v>
      </c>
      <c r="I1293" s="182" t="str">
        <f t="shared" ca="1" si="6"/>
        <v/>
      </c>
      <c r="J1293" s="184"/>
      <c r="K1293" s="198"/>
      <c r="L1293" s="194" t="s">
        <v>1380</v>
      </c>
      <c r="M1293" s="194"/>
      <c r="N1293" s="194"/>
      <c r="O1293" s="194"/>
      <c r="P1293" s="194"/>
      <c r="Q1293" s="194"/>
      <c r="R1293" s="194"/>
      <c r="S1293" s="194"/>
      <c r="T1293" s="194"/>
      <c r="U1293" s="194"/>
      <c r="V1293" s="194"/>
      <c r="W1293" s="194"/>
      <c r="X1293" s="194"/>
      <c r="Y1293" s="194"/>
      <c r="Z1293" s="194"/>
      <c r="AA1293" s="194"/>
    </row>
    <row r="1294" spans="1:27" ht="17.399999999999999">
      <c r="A1294" s="222"/>
      <c r="B1294" s="164"/>
      <c r="C1294" s="194"/>
      <c r="D1294" s="161"/>
      <c r="E1294" s="194"/>
      <c r="F1294" s="198"/>
      <c r="G1294" s="194" t="str">
        <f ca="1">IFERROR(__xludf.DUMMYFUNCTION("""COMPUTED_VALUE"""),"RODAPÉ CARVALHO EUROPEU MILANO 15/3 X 190 X 1900MM")</f>
        <v>RODAPÉ CARVALHO EUROPEU MILANO 15/3 X 190 X 1900MM</v>
      </c>
      <c r="H1294" s="223" t="s">
        <v>1381</v>
      </c>
      <c r="I1294" s="182" t="str">
        <f t="shared" ca="1" si="6"/>
        <v/>
      </c>
      <c r="J1294" s="184"/>
      <c r="K1294" s="198"/>
      <c r="L1294" s="194" t="s">
        <v>1381</v>
      </c>
      <c r="M1294" s="194"/>
      <c r="N1294" s="194"/>
      <c r="O1294" s="194"/>
      <c r="P1294" s="194"/>
      <c r="Q1294" s="194"/>
      <c r="R1294" s="194"/>
      <c r="S1294" s="194"/>
      <c r="T1294" s="194"/>
      <c r="U1294" s="194"/>
      <c r="V1294" s="194"/>
      <c r="W1294" s="194"/>
      <c r="X1294" s="194"/>
      <c r="Y1294" s="194"/>
      <c r="Z1294" s="194"/>
      <c r="AA1294" s="194"/>
    </row>
    <row r="1295" spans="1:27" ht="17.399999999999999">
      <c r="A1295" s="222"/>
      <c r="B1295" s="164"/>
      <c r="C1295" s="194"/>
      <c r="D1295" s="161"/>
      <c r="E1295" s="194"/>
      <c r="F1295" s="198"/>
      <c r="G1295" s="194" t="str">
        <f ca="1">IFERROR(__xludf.DUMMYFUNCTION("""COMPUTED_VALUE"""),"RODAPÉ CARVALHO EUROPEU MILANO 20/6 X 300 X 4000MM")</f>
        <v>RODAPÉ CARVALHO EUROPEU MILANO 20/6 X 300 X 4000MM</v>
      </c>
      <c r="H1295" s="223" t="s">
        <v>1382</v>
      </c>
      <c r="I1295" s="182" t="str">
        <f t="shared" ca="1" si="6"/>
        <v/>
      </c>
      <c r="J1295" s="184"/>
      <c r="K1295" s="198"/>
      <c r="L1295" s="194" t="s">
        <v>1382</v>
      </c>
      <c r="M1295" s="194"/>
      <c r="N1295" s="194"/>
      <c r="O1295" s="194"/>
      <c r="P1295" s="194"/>
      <c r="Q1295" s="194"/>
      <c r="R1295" s="194"/>
      <c r="S1295" s="194"/>
      <c r="T1295" s="194"/>
      <c r="U1295" s="194"/>
      <c r="V1295" s="194"/>
      <c r="W1295" s="194"/>
      <c r="X1295" s="194"/>
      <c r="Y1295" s="194"/>
      <c r="Z1295" s="194"/>
      <c r="AA1295" s="194"/>
    </row>
    <row r="1296" spans="1:27" ht="17.399999999999999">
      <c r="A1296" s="222"/>
      <c r="B1296" s="164"/>
      <c r="C1296" s="194"/>
      <c r="D1296" s="161"/>
      <c r="E1296" s="194"/>
      <c r="F1296" s="198"/>
      <c r="G1296" s="194" t="str">
        <f ca="1">IFERROR(__xludf.DUMMYFUNCTION("""COMPUTED_VALUE"""),"RODAPÉ CARVALHO EUROPEU MILANO 20/6 X 400 X 5000MM")</f>
        <v>RODAPÉ CARVALHO EUROPEU MILANO 20/6 X 400 X 5000MM</v>
      </c>
      <c r="H1296" s="223" t="s">
        <v>1383</v>
      </c>
      <c r="I1296" s="182" t="str">
        <f t="shared" ca="1" si="6"/>
        <v/>
      </c>
      <c r="J1296" s="184"/>
      <c r="K1296" s="198"/>
      <c r="L1296" s="194" t="s">
        <v>1383</v>
      </c>
      <c r="M1296" s="194"/>
      <c r="N1296" s="194"/>
      <c r="O1296" s="194"/>
      <c r="P1296" s="194"/>
      <c r="Q1296" s="194"/>
      <c r="R1296" s="194"/>
      <c r="S1296" s="194"/>
      <c r="T1296" s="194"/>
      <c r="U1296" s="194"/>
      <c r="V1296" s="194"/>
      <c r="W1296" s="194"/>
      <c r="X1296" s="194"/>
      <c r="Y1296" s="194"/>
      <c r="Z1296" s="194"/>
      <c r="AA1296" s="194"/>
    </row>
    <row r="1297" spans="1:27" ht="17.399999999999999">
      <c r="A1297" s="222"/>
      <c r="B1297" s="164"/>
      <c r="C1297" s="194"/>
      <c r="D1297" s="161"/>
      <c r="E1297" s="194"/>
      <c r="F1297" s="198"/>
      <c r="G1297" s="194" t="str">
        <f ca="1">IFERROR(__xludf.DUMMYFUNCTION("""COMPUTED_VALUE"""),"RODAPÉ CARVALHO EUROPEU SMOKED CHEVRON 15/3 X 1900X 740MM")</f>
        <v>RODAPÉ CARVALHO EUROPEU SMOKED CHEVRON 15/3 X 1900X 740MM</v>
      </c>
      <c r="H1297" s="223" t="s">
        <v>1384</v>
      </c>
      <c r="I1297" s="182" t="str">
        <f t="shared" ca="1" si="6"/>
        <v/>
      </c>
      <c r="J1297" s="184"/>
      <c r="K1297" s="198"/>
      <c r="L1297" s="194" t="s">
        <v>1384</v>
      </c>
      <c r="M1297" s="194"/>
      <c r="N1297" s="194"/>
      <c r="O1297" s="194"/>
      <c r="P1297" s="194"/>
      <c r="Q1297" s="194"/>
      <c r="R1297" s="194"/>
      <c r="S1297" s="194"/>
      <c r="T1297" s="194"/>
      <c r="U1297" s="194"/>
      <c r="V1297" s="194"/>
      <c r="W1297" s="194"/>
      <c r="X1297" s="194"/>
      <c r="Y1297" s="194"/>
      <c r="Z1297" s="194"/>
      <c r="AA1297" s="194"/>
    </row>
    <row r="1298" spans="1:27" ht="17.399999999999999">
      <c r="A1298" s="222"/>
      <c r="B1298" s="164"/>
      <c r="C1298" s="194"/>
      <c r="D1298" s="161"/>
      <c r="E1298" s="194"/>
      <c r="F1298" s="198"/>
      <c r="G1298" s="194" t="str">
        <f ca="1">IFERROR(__xludf.DUMMYFUNCTION("""COMPUTED_VALUE"""),"RODAPÉ CARVALHO EUROPEU SMOKED 15/3 X 125 X 1200MM")</f>
        <v>RODAPÉ CARVALHO EUROPEU SMOKED 15/3 X 125 X 1200MM</v>
      </c>
      <c r="H1298" s="223" t="s">
        <v>1385</v>
      </c>
      <c r="I1298" s="182" t="str">
        <f t="shared" ca="1" si="6"/>
        <v/>
      </c>
      <c r="J1298" s="184"/>
      <c r="K1298" s="198"/>
      <c r="L1298" s="194" t="s">
        <v>1385</v>
      </c>
      <c r="M1298" s="194"/>
      <c r="N1298" s="194"/>
      <c r="O1298" s="194"/>
      <c r="P1298" s="194"/>
      <c r="Q1298" s="194"/>
      <c r="R1298" s="194"/>
      <c r="S1298" s="194"/>
      <c r="T1298" s="194"/>
      <c r="U1298" s="194"/>
      <c r="V1298" s="194"/>
      <c r="W1298" s="194"/>
      <c r="X1298" s="194"/>
      <c r="Y1298" s="194"/>
      <c r="Z1298" s="194"/>
      <c r="AA1298" s="194"/>
    </row>
    <row r="1299" spans="1:27" ht="17.399999999999999">
      <c r="A1299" s="222"/>
      <c r="B1299" s="164"/>
      <c r="C1299" s="194"/>
      <c r="D1299" s="161"/>
      <c r="E1299" s="194"/>
      <c r="F1299" s="198"/>
      <c r="G1299" s="194" t="str">
        <f ca="1">IFERROR(__xludf.DUMMYFUNCTION("""COMPUTED_VALUE"""),"RODAPÉ CARVALHO EUROPEU SMOKED 15/3 X 190 X 1900MM")</f>
        <v>RODAPÉ CARVALHO EUROPEU SMOKED 15/3 X 190 X 1900MM</v>
      </c>
      <c r="H1299" s="223" t="s">
        <v>1386</v>
      </c>
      <c r="I1299" s="182" t="str">
        <f t="shared" ref="I1299:I1406" ca="1" si="7">IFERROR(INDEX($D$3:$D$2001,MATCH(TRUE,ISNUMBER(FIND($B$3:$B$2001,G1299)),0)),"")</f>
        <v/>
      </c>
      <c r="J1299" s="184"/>
      <c r="K1299" s="198"/>
      <c r="L1299" s="194" t="s">
        <v>1386</v>
      </c>
      <c r="M1299" s="194"/>
      <c r="N1299" s="194"/>
      <c r="O1299" s="194"/>
      <c r="P1299" s="194"/>
      <c r="Q1299" s="194"/>
      <c r="R1299" s="194"/>
      <c r="S1299" s="194"/>
      <c r="T1299" s="194"/>
      <c r="U1299" s="194"/>
      <c r="V1299" s="194"/>
      <c r="W1299" s="194"/>
      <c r="X1299" s="194"/>
      <c r="Y1299" s="194"/>
      <c r="Z1299" s="194"/>
      <c r="AA1299" s="194"/>
    </row>
    <row r="1300" spans="1:27" ht="17.399999999999999">
      <c r="A1300" s="222"/>
      <c r="B1300" s="164"/>
      <c r="C1300" s="194"/>
      <c r="D1300" s="161"/>
      <c r="E1300" s="194"/>
      <c r="F1300" s="198"/>
      <c r="G1300" s="194" t="str">
        <f ca="1">IFERROR(__xludf.DUMMYFUNCTION("""COMPUTED_VALUE"""),"RODAPÉ CARVALHO EUROPEU SMOKED 20/6 X 300 X 4000MM")</f>
        <v>RODAPÉ CARVALHO EUROPEU SMOKED 20/6 X 300 X 4000MM</v>
      </c>
      <c r="H1300" s="223" t="s">
        <v>1387</v>
      </c>
      <c r="I1300" s="182" t="str">
        <f t="shared" ca="1" si="7"/>
        <v/>
      </c>
      <c r="J1300" s="184"/>
      <c r="K1300" s="198"/>
      <c r="L1300" s="194" t="s">
        <v>1387</v>
      </c>
      <c r="M1300" s="194"/>
      <c r="N1300" s="194"/>
      <c r="O1300" s="194"/>
      <c r="P1300" s="194"/>
      <c r="Q1300" s="194"/>
      <c r="R1300" s="194"/>
      <c r="S1300" s="194"/>
      <c r="T1300" s="194"/>
      <c r="U1300" s="194"/>
      <c r="V1300" s="194"/>
      <c r="W1300" s="194"/>
      <c r="X1300" s="194"/>
      <c r="Y1300" s="194"/>
      <c r="Z1300" s="194"/>
      <c r="AA1300" s="194"/>
    </row>
    <row r="1301" spans="1:27" ht="17.399999999999999">
      <c r="A1301" s="222"/>
      <c r="B1301" s="164"/>
      <c r="C1301" s="194"/>
      <c r="D1301" s="161"/>
      <c r="E1301" s="194"/>
      <c r="F1301" s="198"/>
      <c r="G1301" s="194" t="str">
        <f ca="1">IFERROR(__xludf.DUMMYFUNCTION("""COMPUTED_VALUE"""),"RODAPÉ CARVALHO EUROPEU SMOKED 20/6 X 400 X 5000MM")</f>
        <v>RODAPÉ CARVALHO EUROPEU SMOKED 20/6 X 400 X 5000MM</v>
      </c>
      <c r="H1301" s="223" t="s">
        <v>1388</v>
      </c>
      <c r="I1301" s="182" t="str">
        <f t="shared" ca="1" si="7"/>
        <v/>
      </c>
      <c r="J1301" s="184"/>
      <c r="K1301" s="198"/>
      <c r="L1301" s="194" t="s">
        <v>1388</v>
      </c>
      <c r="M1301" s="194"/>
      <c r="N1301" s="194"/>
      <c r="O1301" s="194"/>
      <c r="P1301" s="194"/>
      <c r="Q1301" s="194"/>
      <c r="R1301" s="194"/>
      <c r="S1301" s="194"/>
      <c r="T1301" s="194"/>
      <c r="U1301" s="194"/>
      <c r="V1301" s="194"/>
      <c r="W1301" s="194"/>
      <c r="X1301" s="194"/>
      <c r="Y1301" s="194"/>
      <c r="Z1301" s="194"/>
      <c r="AA1301" s="194"/>
    </row>
    <row r="1302" spans="1:27" ht="17.399999999999999">
      <c r="A1302" s="222"/>
      <c r="B1302" s="164"/>
      <c r="C1302" s="194"/>
      <c r="D1302" s="161"/>
      <c r="E1302" s="194"/>
      <c r="F1302" s="198"/>
      <c r="G1302" s="194" t="str">
        <f ca="1">IFERROR(__xludf.DUMMYFUNCTION("""COMPUTED_VALUE"""),"RODAPÉ CARVALHO EUROPEU GIZ CHEVRON 15/3 X 1900X 740MM")</f>
        <v>RODAPÉ CARVALHO EUROPEU GIZ CHEVRON 15/3 X 1900X 740MM</v>
      </c>
      <c r="H1302" s="223" t="s">
        <v>1389</v>
      </c>
      <c r="I1302" s="182" t="str">
        <f t="shared" ca="1" si="7"/>
        <v/>
      </c>
      <c r="J1302" s="184"/>
      <c r="K1302" s="198"/>
      <c r="L1302" s="194" t="s">
        <v>1389</v>
      </c>
      <c r="M1302" s="194"/>
      <c r="N1302" s="194"/>
      <c r="O1302" s="194"/>
      <c r="P1302" s="194"/>
      <c r="Q1302" s="194"/>
      <c r="R1302" s="194"/>
      <c r="S1302" s="194"/>
      <c r="T1302" s="194"/>
      <c r="U1302" s="194"/>
      <c r="V1302" s="194"/>
      <c r="W1302" s="194"/>
      <c r="X1302" s="194"/>
      <c r="Y1302" s="194"/>
      <c r="Z1302" s="194"/>
      <c r="AA1302" s="194"/>
    </row>
    <row r="1303" spans="1:27" ht="17.399999999999999">
      <c r="A1303" s="222"/>
      <c r="B1303" s="164"/>
      <c r="C1303" s="194"/>
      <c r="D1303" s="161"/>
      <c r="E1303" s="194"/>
      <c r="F1303" s="198"/>
      <c r="G1303" s="194" t="str">
        <f ca="1">IFERROR(__xludf.DUMMYFUNCTION("""COMPUTED_VALUE"""),"RODAPÉ CARVALHO EUROPEU GIZ 15/3 X 125 X 1200MM")</f>
        <v>RODAPÉ CARVALHO EUROPEU GIZ 15/3 X 125 X 1200MM</v>
      </c>
      <c r="H1303" s="223" t="s">
        <v>1390</v>
      </c>
      <c r="I1303" s="182" t="str">
        <f t="shared" ca="1" si="7"/>
        <v/>
      </c>
      <c r="J1303" s="184"/>
      <c r="K1303" s="198"/>
      <c r="L1303" s="194" t="s">
        <v>1390</v>
      </c>
      <c r="M1303" s="194"/>
      <c r="N1303" s="194"/>
      <c r="O1303" s="194"/>
      <c r="P1303" s="194"/>
      <c r="Q1303" s="194"/>
      <c r="R1303" s="194"/>
      <c r="S1303" s="194"/>
      <c r="T1303" s="194"/>
      <c r="U1303" s="194"/>
      <c r="V1303" s="194"/>
      <c r="W1303" s="194"/>
      <c r="X1303" s="194"/>
      <c r="Y1303" s="194"/>
      <c r="Z1303" s="194"/>
      <c r="AA1303" s="194"/>
    </row>
    <row r="1304" spans="1:27" ht="17.399999999999999">
      <c r="A1304" s="222"/>
      <c r="B1304" s="164"/>
      <c r="C1304" s="194"/>
      <c r="D1304" s="161"/>
      <c r="E1304" s="194"/>
      <c r="F1304" s="198"/>
      <c r="G1304" s="194" t="str">
        <f ca="1">IFERROR(__xludf.DUMMYFUNCTION("""COMPUTED_VALUE"""),"RODAPÉ CARVALHO EUROPEU GIZ 15/3 X 190 X 1900MM")</f>
        <v>RODAPÉ CARVALHO EUROPEU GIZ 15/3 X 190 X 1900MM</v>
      </c>
      <c r="H1304" s="223" t="s">
        <v>1391</v>
      </c>
      <c r="I1304" s="182" t="str">
        <f t="shared" ca="1" si="7"/>
        <v/>
      </c>
      <c r="J1304" s="184"/>
      <c r="K1304" s="198"/>
      <c r="L1304" s="194" t="s">
        <v>1391</v>
      </c>
      <c r="M1304" s="194"/>
      <c r="N1304" s="194"/>
      <c r="O1304" s="194"/>
      <c r="P1304" s="194"/>
      <c r="Q1304" s="194"/>
      <c r="R1304" s="194"/>
      <c r="S1304" s="194"/>
      <c r="T1304" s="194"/>
      <c r="U1304" s="194"/>
      <c r="V1304" s="194"/>
      <c r="W1304" s="194"/>
      <c r="X1304" s="194"/>
      <c r="Y1304" s="194"/>
      <c r="Z1304" s="194"/>
      <c r="AA1304" s="194"/>
    </row>
    <row r="1305" spans="1:27" ht="17.399999999999999">
      <c r="A1305" s="222"/>
      <c r="B1305" s="164"/>
      <c r="C1305" s="194"/>
      <c r="D1305" s="161"/>
      <c r="E1305" s="194"/>
      <c r="F1305" s="198"/>
      <c r="G1305" s="194" t="str">
        <f ca="1">IFERROR(__xludf.DUMMYFUNCTION("""COMPUTED_VALUE"""),"RODAPÉ CARVALHO EUROPEU GIZ 20/6 X 300 X 4000MM")</f>
        <v>RODAPÉ CARVALHO EUROPEU GIZ 20/6 X 300 X 4000MM</v>
      </c>
      <c r="H1305" s="223" t="s">
        <v>1392</v>
      </c>
      <c r="I1305" s="182" t="str">
        <f t="shared" ca="1" si="7"/>
        <v/>
      </c>
      <c r="J1305" s="184"/>
      <c r="K1305" s="198"/>
      <c r="L1305" s="194" t="s">
        <v>1392</v>
      </c>
      <c r="M1305" s="194"/>
      <c r="N1305" s="194"/>
      <c r="O1305" s="194"/>
      <c r="P1305" s="194"/>
      <c r="Q1305" s="194"/>
      <c r="R1305" s="194"/>
      <c r="S1305" s="194"/>
      <c r="T1305" s="194"/>
      <c r="U1305" s="194"/>
      <c r="V1305" s="194"/>
      <c r="W1305" s="194"/>
      <c r="X1305" s="194"/>
      <c r="Y1305" s="194"/>
      <c r="Z1305" s="194"/>
      <c r="AA1305" s="194"/>
    </row>
    <row r="1306" spans="1:27" ht="17.399999999999999">
      <c r="A1306" s="222"/>
      <c r="B1306" s="164"/>
      <c r="C1306" s="194"/>
      <c r="D1306" s="161"/>
      <c r="E1306" s="194"/>
      <c r="F1306" s="198"/>
      <c r="G1306" s="194" t="str">
        <f ca="1">IFERROR(__xludf.DUMMYFUNCTION("""COMPUTED_VALUE"""),"RODAPÉ CARVALHO EUROPEU GIZ 20/6 X 400 X 5000MM")</f>
        <v>RODAPÉ CARVALHO EUROPEU GIZ 20/6 X 400 X 5000MM</v>
      </c>
      <c r="H1306" s="223" t="s">
        <v>1393</v>
      </c>
      <c r="I1306" s="182" t="str">
        <f t="shared" ca="1" si="7"/>
        <v/>
      </c>
      <c r="J1306" s="184"/>
      <c r="K1306" s="198"/>
      <c r="L1306" s="194" t="s">
        <v>1393</v>
      </c>
      <c r="M1306" s="194"/>
      <c r="N1306" s="194"/>
      <c r="O1306" s="194"/>
      <c r="P1306" s="194"/>
      <c r="Q1306" s="194"/>
      <c r="R1306" s="194"/>
      <c r="S1306" s="194"/>
      <c r="T1306" s="194"/>
      <c r="U1306" s="194"/>
      <c r="V1306" s="194"/>
      <c r="W1306" s="194"/>
      <c r="X1306" s="194"/>
      <c r="Y1306" s="194"/>
      <c r="Z1306" s="194"/>
      <c r="AA1306" s="194"/>
    </row>
    <row r="1307" spans="1:27" ht="17.399999999999999">
      <c r="A1307" s="222"/>
      <c r="B1307" s="164"/>
      <c r="C1307" s="194"/>
      <c r="D1307" s="161"/>
      <c r="E1307" s="194"/>
      <c r="F1307" s="198"/>
      <c r="G1307" s="194" t="str">
        <f ca="1">IFERROR(__xludf.DUMMYFUNCTION("""COMPUTED_VALUE"""),"RODAPÉ CARVALHO EUROPEU SNOW CHEVRON 15/3 X 1900X 740MM")</f>
        <v>RODAPÉ CARVALHO EUROPEU SNOW CHEVRON 15/3 X 1900X 740MM</v>
      </c>
      <c r="H1307" s="223" t="s">
        <v>1394</v>
      </c>
      <c r="I1307" s="182" t="str">
        <f t="shared" ca="1" si="7"/>
        <v/>
      </c>
      <c r="J1307" s="184"/>
      <c r="K1307" s="198"/>
      <c r="L1307" s="194" t="s">
        <v>1394</v>
      </c>
      <c r="M1307" s="194"/>
      <c r="N1307" s="194"/>
      <c r="O1307" s="194"/>
      <c r="P1307" s="194"/>
      <c r="Q1307" s="194"/>
      <c r="R1307" s="194"/>
      <c r="S1307" s="194"/>
      <c r="T1307" s="194"/>
      <c r="U1307" s="194"/>
      <c r="V1307" s="194"/>
      <c r="W1307" s="194"/>
      <c r="X1307" s="194"/>
      <c r="Y1307" s="194"/>
      <c r="Z1307" s="194"/>
      <c r="AA1307" s="194"/>
    </row>
    <row r="1308" spans="1:27" ht="17.399999999999999">
      <c r="A1308" s="222"/>
      <c r="B1308" s="164"/>
      <c r="C1308" s="194"/>
      <c r="D1308" s="161"/>
      <c r="E1308" s="194"/>
      <c r="F1308" s="198"/>
      <c r="G1308" s="194" t="str">
        <f ca="1">IFERROR(__xludf.DUMMYFUNCTION("""COMPUTED_VALUE"""),"RODAPÉ CARVALHO EUROPEU SNOW 15/3 X 125 X 1200MM")</f>
        <v>RODAPÉ CARVALHO EUROPEU SNOW 15/3 X 125 X 1200MM</v>
      </c>
      <c r="H1308" s="223" t="s">
        <v>1395</v>
      </c>
      <c r="I1308" s="182" t="str">
        <f t="shared" ca="1" si="7"/>
        <v/>
      </c>
      <c r="J1308" s="184"/>
      <c r="K1308" s="198"/>
      <c r="L1308" s="194" t="s">
        <v>1395</v>
      </c>
      <c r="M1308" s="194"/>
      <c r="N1308" s="194"/>
      <c r="O1308" s="194"/>
      <c r="P1308" s="194"/>
      <c r="Q1308" s="194"/>
      <c r="R1308" s="194"/>
      <c r="S1308" s="194"/>
      <c r="T1308" s="194"/>
      <c r="U1308" s="194"/>
      <c r="V1308" s="194"/>
      <c r="W1308" s="194"/>
      <c r="X1308" s="194"/>
      <c r="Y1308" s="194"/>
      <c r="Z1308" s="194"/>
      <c r="AA1308" s="194"/>
    </row>
    <row r="1309" spans="1:27" ht="17.399999999999999">
      <c r="A1309" s="222"/>
      <c r="B1309" s="164"/>
      <c r="C1309" s="194"/>
      <c r="D1309" s="161"/>
      <c r="E1309" s="194"/>
      <c r="F1309" s="198"/>
      <c r="G1309" s="194" t="str">
        <f ca="1">IFERROR(__xludf.DUMMYFUNCTION("""COMPUTED_VALUE"""),"RODAPÉ CARVALHO EUROPEU SNOW 15/3 X 190 X 1900MM")</f>
        <v>RODAPÉ CARVALHO EUROPEU SNOW 15/3 X 190 X 1900MM</v>
      </c>
      <c r="H1309" s="223" t="s">
        <v>1396</v>
      </c>
      <c r="I1309" s="182" t="str">
        <f t="shared" ca="1" si="7"/>
        <v/>
      </c>
      <c r="J1309" s="184"/>
      <c r="K1309" s="198"/>
      <c r="L1309" s="194" t="s">
        <v>1396</v>
      </c>
      <c r="M1309" s="194"/>
      <c r="N1309" s="194"/>
      <c r="O1309" s="194"/>
      <c r="P1309" s="194"/>
      <c r="Q1309" s="194"/>
      <c r="R1309" s="194"/>
      <c r="S1309" s="194"/>
      <c r="T1309" s="194"/>
      <c r="U1309" s="194"/>
      <c r="V1309" s="194"/>
      <c r="W1309" s="194"/>
      <c r="X1309" s="194"/>
      <c r="Y1309" s="194"/>
      <c r="Z1309" s="194"/>
      <c r="AA1309" s="194"/>
    </row>
    <row r="1310" spans="1:27" ht="17.399999999999999">
      <c r="A1310" s="222"/>
      <c r="B1310" s="164"/>
      <c r="C1310" s="194"/>
      <c r="D1310" s="161"/>
      <c r="E1310" s="194"/>
      <c r="F1310" s="198"/>
      <c r="G1310" s="194" t="str">
        <f ca="1">IFERROR(__xludf.DUMMYFUNCTION("""COMPUTED_VALUE"""),"RODAPÉ CARVALHO EUROPEU SNOW 20/6 X 300 X 4000MM")</f>
        <v>RODAPÉ CARVALHO EUROPEU SNOW 20/6 X 300 X 4000MM</v>
      </c>
      <c r="H1310" s="223" t="s">
        <v>1397</v>
      </c>
      <c r="I1310" s="182" t="str">
        <f t="shared" ca="1" si="7"/>
        <v/>
      </c>
      <c r="J1310" s="184"/>
      <c r="K1310" s="198"/>
      <c r="L1310" s="194" t="s">
        <v>1397</v>
      </c>
      <c r="M1310" s="194"/>
      <c r="N1310" s="194"/>
      <c r="O1310" s="194"/>
      <c r="P1310" s="194"/>
      <c r="Q1310" s="194"/>
      <c r="R1310" s="194"/>
      <c r="S1310" s="194"/>
      <c r="T1310" s="194"/>
      <c r="U1310" s="194"/>
      <c r="V1310" s="194"/>
      <c r="W1310" s="194"/>
      <c r="X1310" s="194"/>
      <c r="Y1310" s="194"/>
      <c r="Z1310" s="194"/>
      <c r="AA1310" s="194"/>
    </row>
    <row r="1311" spans="1:27" ht="17.399999999999999">
      <c r="A1311" s="222"/>
      <c r="B1311" s="164"/>
      <c r="C1311" s="194"/>
      <c r="D1311" s="161"/>
      <c r="E1311" s="194"/>
      <c r="F1311" s="198"/>
      <c r="G1311" s="194" t="str">
        <f ca="1">IFERROR(__xludf.DUMMYFUNCTION("""COMPUTED_VALUE"""),"RODAPÉ CARVALHO EUROPEU SNOW 20/6 X 400 X 5000MM")</f>
        <v>RODAPÉ CARVALHO EUROPEU SNOW 20/6 X 400 X 5000MM</v>
      </c>
      <c r="H1311" s="223" t="s">
        <v>1398</v>
      </c>
      <c r="I1311" s="182" t="str">
        <f t="shared" ca="1" si="7"/>
        <v/>
      </c>
      <c r="J1311" s="184"/>
      <c r="K1311" s="198"/>
      <c r="L1311" s="194" t="s">
        <v>1398</v>
      </c>
      <c r="M1311" s="194"/>
      <c r="N1311" s="194"/>
      <c r="O1311" s="194"/>
      <c r="P1311" s="194"/>
      <c r="Q1311" s="194"/>
      <c r="R1311" s="194"/>
      <c r="S1311" s="194"/>
      <c r="T1311" s="194"/>
      <c r="U1311" s="194"/>
      <c r="V1311" s="194"/>
      <c r="W1311" s="194"/>
      <c r="X1311" s="194"/>
      <c r="Y1311" s="194"/>
      <c r="Z1311" s="194"/>
      <c r="AA1311" s="194"/>
    </row>
    <row r="1312" spans="1:27" ht="17.399999999999999">
      <c r="A1312" s="222"/>
      <c r="B1312" s="164"/>
      <c r="C1312" s="194"/>
      <c r="D1312" s="161"/>
      <c r="E1312" s="194"/>
      <c r="F1312" s="198"/>
      <c r="G1312" s="194" t="str">
        <f ca="1">IFERROR(__xludf.DUMMYFUNCTION("""COMPUTED_VALUE"""),"RODAPÉ CARVALHO EUROPEU WILD CHEVRON 15/3 X 1900X 740MM")</f>
        <v>RODAPÉ CARVALHO EUROPEU WILD CHEVRON 15/3 X 1900X 740MM</v>
      </c>
      <c r="H1312" s="223" t="s">
        <v>1399</v>
      </c>
      <c r="I1312" s="182" t="str">
        <f t="shared" ca="1" si="7"/>
        <v/>
      </c>
      <c r="J1312" s="184"/>
      <c r="K1312" s="198"/>
      <c r="L1312" s="194" t="s">
        <v>1399</v>
      </c>
      <c r="M1312" s="194"/>
      <c r="N1312" s="194"/>
      <c r="O1312" s="194"/>
      <c r="P1312" s="194"/>
      <c r="Q1312" s="194"/>
      <c r="R1312" s="194"/>
      <c r="S1312" s="194"/>
      <c r="T1312" s="194"/>
      <c r="U1312" s="194"/>
      <c r="V1312" s="194"/>
      <c r="W1312" s="194"/>
      <c r="X1312" s="194"/>
      <c r="Y1312" s="194"/>
      <c r="Z1312" s="194"/>
      <c r="AA1312" s="194"/>
    </row>
    <row r="1313" spans="1:27" ht="17.399999999999999">
      <c r="A1313" s="222"/>
      <c r="B1313" s="164"/>
      <c r="C1313" s="194"/>
      <c r="D1313" s="161"/>
      <c r="E1313" s="194"/>
      <c r="F1313" s="198"/>
      <c r="G1313" s="194" t="str">
        <f ca="1">IFERROR(__xludf.DUMMYFUNCTION("""COMPUTED_VALUE"""),"RODAPÉ CARVALHO EUROPEU WILD 15/3 X 125 X 1200MM")</f>
        <v>RODAPÉ CARVALHO EUROPEU WILD 15/3 X 125 X 1200MM</v>
      </c>
      <c r="H1313" s="223" t="s">
        <v>1400</v>
      </c>
      <c r="I1313" s="182" t="str">
        <f t="shared" ca="1" si="7"/>
        <v/>
      </c>
      <c r="J1313" s="184"/>
      <c r="K1313" s="198"/>
      <c r="L1313" s="194" t="s">
        <v>1400</v>
      </c>
      <c r="M1313" s="194"/>
      <c r="N1313" s="194"/>
      <c r="O1313" s="194"/>
      <c r="P1313" s="194"/>
      <c r="Q1313" s="194"/>
      <c r="R1313" s="194"/>
      <c r="S1313" s="194"/>
      <c r="T1313" s="194"/>
      <c r="U1313" s="194"/>
      <c r="V1313" s="194"/>
      <c r="W1313" s="194"/>
      <c r="X1313" s="194"/>
      <c r="Y1313" s="194"/>
      <c r="Z1313" s="194"/>
      <c r="AA1313" s="194"/>
    </row>
    <row r="1314" spans="1:27" ht="17.399999999999999">
      <c r="A1314" s="222"/>
      <c r="B1314" s="164"/>
      <c r="C1314" s="194"/>
      <c r="D1314" s="161"/>
      <c r="E1314" s="194"/>
      <c r="F1314" s="198"/>
      <c r="G1314" s="194" t="str">
        <f ca="1">IFERROR(__xludf.DUMMYFUNCTION("""COMPUTED_VALUE"""),"RODAPÉ CARVALHO EUROPEU WILD 15/3 X 190 X 1900MM")</f>
        <v>RODAPÉ CARVALHO EUROPEU WILD 15/3 X 190 X 1900MM</v>
      </c>
      <c r="H1314" s="223" t="s">
        <v>1401</v>
      </c>
      <c r="I1314" s="182" t="str">
        <f t="shared" ca="1" si="7"/>
        <v/>
      </c>
      <c r="J1314" s="184"/>
      <c r="K1314" s="198"/>
      <c r="L1314" s="194" t="s">
        <v>1401</v>
      </c>
      <c r="M1314" s="194"/>
      <c r="N1314" s="194"/>
      <c r="O1314" s="194"/>
      <c r="P1314" s="194"/>
      <c r="Q1314" s="194"/>
      <c r="R1314" s="194"/>
      <c r="S1314" s="194"/>
      <c r="T1314" s="194"/>
      <c r="U1314" s="194"/>
      <c r="V1314" s="194"/>
      <c r="W1314" s="194"/>
      <c r="X1314" s="194"/>
      <c r="Y1314" s="194"/>
      <c r="Z1314" s="194"/>
      <c r="AA1314" s="194"/>
    </row>
    <row r="1315" spans="1:27" ht="17.399999999999999">
      <c r="A1315" s="222"/>
      <c r="B1315" s="164"/>
      <c r="C1315" s="194"/>
      <c r="D1315" s="161"/>
      <c r="E1315" s="194"/>
      <c r="F1315" s="198"/>
      <c r="G1315" s="194" t="str">
        <f ca="1">IFERROR(__xludf.DUMMYFUNCTION("""COMPUTED_VALUE"""),"RODAPÉ CARVALHO EUROPEU WILD 20/6 X 300 X 4000MM")</f>
        <v>RODAPÉ CARVALHO EUROPEU WILD 20/6 X 300 X 4000MM</v>
      </c>
      <c r="H1315" s="223" t="s">
        <v>1402</v>
      </c>
      <c r="I1315" s="182" t="str">
        <f t="shared" ca="1" si="7"/>
        <v/>
      </c>
      <c r="J1315" s="184"/>
      <c r="K1315" s="198"/>
      <c r="L1315" s="194" t="s">
        <v>1402</v>
      </c>
      <c r="M1315" s="194"/>
      <c r="N1315" s="194"/>
      <c r="O1315" s="194"/>
      <c r="P1315" s="194"/>
      <c r="Q1315" s="194"/>
      <c r="R1315" s="194"/>
      <c r="S1315" s="194"/>
      <c r="T1315" s="194"/>
      <c r="U1315" s="194"/>
      <c r="V1315" s="194"/>
      <c r="W1315" s="194"/>
      <c r="X1315" s="194"/>
      <c r="Y1315" s="194"/>
      <c r="Z1315" s="194"/>
      <c r="AA1315" s="194"/>
    </row>
    <row r="1316" spans="1:27" ht="17.399999999999999">
      <c r="A1316" s="222"/>
      <c r="B1316" s="164"/>
      <c r="C1316" s="194"/>
      <c r="D1316" s="161"/>
      <c r="E1316" s="194"/>
      <c r="F1316" s="198"/>
      <c r="G1316" s="194" t="str">
        <f ca="1">IFERROR(__xludf.DUMMYFUNCTION("""COMPUTED_VALUE"""),"RODAPÉ CARVALHO EUROPEU WILD 20/6 X 400 X 5000MM")</f>
        <v>RODAPÉ CARVALHO EUROPEU WILD 20/6 X 400 X 5000MM</v>
      </c>
      <c r="H1316" s="223" t="s">
        <v>1403</v>
      </c>
      <c r="I1316" s="182" t="str">
        <f t="shared" ca="1" si="7"/>
        <v/>
      </c>
      <c r="J1316" s="184"/>
      <c r="K1316" s="198"/>
      <c r="L1316" s="194" t="s">
        <v>1403</v>
      </c>
      <c r="M1316" s="194"/>
      <c r="N1316" s="194"/>
      <c r="O1316" s="194"/>
      <c r="P1316" s="194"/>
      <c r="Q1316" s="194"/>
      <c r="R1316" s="194"/>
      <c r="S1316" s="194"/>
      <c r="T1316" s="194"/>
      <c r="U1316" s="194"/>
      <c r="V1316" s="194"/>
      <c r="W1316" s="194"/>
      <c r="X1316" s="194"/>
      <c r="Y1316" s="194"/>
      <c r="Z1316" s="194"/>
      <c r="AA1316" s="194"/>
    </row>
    <row r="1317" spans="1:27" ht="17.399999999999999">
      <c r="A1317" s="222"/>
      <c r="B1317" s="164"/>
      <c r="C1317" s="194"/>
      <c r="D1317" s="161"/>
      <c r="E1317" s="194"/>
      <c r="F1317" s="198"/>
      <c r="G1317" s="194" t="str">
        <f ca="1">IFERROR(__xludf.DUMMYFUNCTION("""COMPUTED_VALUE"""),"RODAPÉ CARVALHO EUROPEU NEVADO CHEVRON 15/3 X 1900X 740MM")</f>
        <v>RODAPÉ CARVALHO EUROPEU NEVADO CHEVRON 15/3 X 1900X 740MM</v>
      </c>
      <c r="H1317" s="223" t="s">
        <v>1404</v>
      </c>
      <c r="I1317" s="182" t="str">
        <f t="shared" ca="1" si="7"/>
        <v/>
      </c>
      <c r="J1317" s="184"/>
      <c r="K1317" s="198"/>
      <c r="L1317" s="194" t="s">
        <v>1404</v>
      </c>
      <c r="M1317" s="194"/>
      <c r="N1317" s="194"/>
      <c r="O1317" s="194"/>
      <c r="P1317" s="194"/>
      <c r="Q1317" s="194"/>
      <c r="R1317" s="194"/>
      <c r="S1317" s="194"/>
      <c r="T1317" s="194"/>
      <c r="U1317" s="194"/>
      <c r="V1317" s="194"/>
      <c r="W1317" s="194"/>
      <c r="X1317" s="194"/>
      <c r="Y1317" s="194"/>
      <c r="Z1317" s="194"/>
      <c r="AA1317" s="194"/>
    </row>
    <row r="1318" spans="1:27" ht="17.399999999999999">
      <c r="A1318" s="222"/>
      <c r="B1318" s="164"/>
      <c r="C1318" s="194"/>
      <c r="D1318" s="161"/>
      <c r="E1318" s="194"/>
      <c r="F1318" s="198"/>
      <c r="G1318" s="194" t="str">
        <f ca="1">IFERROR(__xludf.DUMMYFUNCTION("""COMPUTED_VALUE"""),"RODAPÉ CARVALHO EUROPEU NEVADO 15/3 X 125 X 1200MM")</f>
        <v>RODAPÉ CARVALHO EUROPEU NEVADO 15/3 X 125 X 1200MM</v>
      </c>
      <c r="H1318" s="223" t="s">
        <v>1405</v>
      </c>
      <c r="I1318" s="182" t="str">
        <f t="shared" ca="1" si="7"/>
        <v/>
      </c>
      <c r="J1318" s="184"/>
      <c r="K1318" s="198"/>
      <c r="L1318" s="194" t="s">
        <v>1405</v>
      </c>
      <c r="M1318" s="194"/>
      <c r="N1318" s="194"/>
      <c r="O1318" s="194"/>
      <c r="P1318" s="194"/>
      <c r="Q1318" s="194"/>
      <c r="R1318" s="194"/>
      <c r="S1318" s="194"/>
      <c r="T1318" s="194"/>
      <c r="U1318" s="194"/>
      <c r="V1318" s="194"/>
      <c r="W1318" s="194"/>
      <c r="X1318" s="194"/>
      <c r="Y1318" s="194"/>
      <c r="Z1318" s="194"/>
      <c r="AA1318" s="194"/>
    </row>
    <row r="1319" spans="1:27" ht="17.399999999999999">
      <c r="A1319" s="222"/>
      <c r="B1319" s="164"/>
      <c r="C1319" s="194"/>
      <c r="D1319" s="161"/>
      <c r="E1319" s="194"/>
      <c r="F1319" s="198"/>
      <c r="G1319" s="194" t="str">
        <f ca="1">IFERROR(__xludf.DUMMYFUNCTION("""COMPUTED_VALUE"""),"RODAPÉ CARVALHO EUROPEU NEVADO 15/3 X 190 X 1900MM")</f>
        <v>RODAPÉ CARVALHO EUROPEU NEVADO 15/3 X 190 X 1900MM</v>
      </c>
      <c r="H1319" s="223" t="s">
        <v>1406</v>
      </c>
      <c r="I1319" s="182" t="str">
        <f t="shared" ca="1" si="7"/>
        <v/>
      </c>
      <c r="J1319" s="184"/>
      <c r="K1319" s="198"/>
      <c r="L1319" s="194" t="s">
        <v>1406</v>
      </c>
      <c r="M1319" s="194"/>
      <c r="N1319" s="194"/>
      <c r="O1319" s="194"/>
      <c r="P1319" s="194"/>
      <c r="Q1319" s="194"/>
      <c r="R1319" s="194"/>
      <c r="S1319" s="194"/>
      <c r="T1319" s="194"/>
      <c r="U1319" s="194"/>
      <c r="V1319" s="194"/>
      <c r="W1319" s="194"/>
      <c r="X1319" s="194"/>
      <c r="Y1319" s="194"/>
      <c r="Z1319" s="194"/>
      <c r="AA1319" s="194"/>
    </row>
    <row r="1320" spans="1:27" ht="17.399999999999999">
      <c r="A1320" s="222"/>
      <c r="B1320" s="164"/>
      <c r="C1320" s="194"/>
      <c r="D1320" s="161"/>
      <c r="E1320" s="194"/>
      <c r="F1320" s="198"/>
      <c r="G1320" s="194" t="str">
        <f ca="1">IFERROR(__xludf.DUMMYFUNCTION("""COMPUTED_VALUE"""),"RODAPÉ CARVALHO EUROPEU NEVADO 20/6 X 300 X 4000MM")</f>
        <v>RODAPÉ CARVALHO EUROPEU NEVADO 20/6 X 300 X 4000MM</v>
      </c>
      <c r="H1320" s="223" t="s">
        <v>1407</v>
      </c>
      <c r="I1320" s="182" t="str">
        <f t="shared" ca="1" si="7"/>
        <v/>
      </c>
      <c r="J1320" s="184"/>
      <c r="K1320" s="198"/>
      <c r="L1320" s="194" t="s">
        <v>1407</v>
      </c>
      <c r="M1320" s="194"/>
      <c r="N1320" s="194"/>
      <c r="O1320" s="194"/>
      <c r="P1320" s="194"/>
      <c r="Q1320" s="194"/>
      <c r="R1320" s="194"/>
      <c r="S1320" s="194"/>
      <c r="T1320" s="194"/>
      <c r="U1320" s="194"/>
      <c r="V1320" s="194"/>
      <c r="W1320" s="194"/>
      <c r="X1320" s="194"/>
      <c r="Y1320" s="194"/>
      <c r="Z1320" s="194"/>
      <c r="AA1320" s="194"/>
    </row>
    <row r="1321" spans="1:27" ht="17.399999999999999">
      <c r="A1321" s="222"/>
      <c r="B1321" s="164"/>
      <c r="C1321" s="194"/>
      <c r="D1321" s="161"/>
      <c r="E1321" s="194"/>
      <c r="F1321" s="198"/>
      <c r="G1321" s="194" t="str">
        <f ca="1">IFERROR(__xludf.DUMMYFUNCTION("""COMPUTED_VALUE"""),"RODAPÉ CARVALHO EUROPEU NEVADO 20/6 X 400 X 5000MM")</f>
        <v>RODAPÉ CARVALHO EUROPEU NEVADO 20/6 X 400 X 5000MM</v>
      </c>
      <c r="H1321" s="223" t="s">
        <v>1408</v>
      </c>
      <c r="I1321" s="182" t="str">
        <f t="shared" ca="1" si="7"/>
        <v/>
      </c>
      <c r="J1321" s="184"/>
      <c r="K1321" s="198"/>
      <c r="L1321" s="194" t="s">
        <v>1408</v>
      </c>
      <c r="M1321" s="194"/>
      <c r="N1321" s="194"/>
      <c r="O1321" s="194"/>
      <c r="P1321" s="194"/>
      <c r="Q1321" s="194"/>
      <c r="R1321" s="194"/>
      <c r="S1321" s="194"/>
      <c r="T1321" s="194"/>
      <c r="U1321" s="194"/>
      <c r="V1321" s="194"/>
      <c r="W1321" s="194"/>
      <c r="X1321" s="194"/>
      <c r="Y1321" s="194"/>
      <c r="Z1321" s="194"/>
      <c r="AA1321" s="194"/>
    </row>
    <row r="1322" spans="1:27" ht="17.399999999999999">
      <c r="A1322" s="222"/>
      <c r="B1322" s="164"/>
      <c r="C1322" s="194"/>
      <c r="D1322" s="161"/>
      <c r="E1322" s="194"/>
      <c r="F1322" s="198"/>
      <c r="G1322" s="194" t="str">
        <f ca="1">IFERROR(__xludf.DUMMYFUNCTION("""COMPUTED_VALUE"""),"RODAPÉ CARVALHO EUROPEU CONCRETE GREY CHEVRON 15/3 X 1900X 740MM")</f>
        <v>RODAPÉ CARVALHO EUROPEU CONCRETE GREY CHEVRON 15/3 X 1900X 740MM</v>
      </c>
      <c r="H1322" s="223" t="s">
        <v>1409</v>
      </c>
      <c r="I1322" s="182" t="str">
        <f t="shared" ca="1" si="7"/>
        <v/>
      </c>
      <c r="J1322" s="184"/>
      <c r="K1322" s="198"/>
      <c r="L1322" s="194" t="s">
        <v>1409</v>
      </c>
      <c r="M1322" s="194"/>
      <c r="N1322" s="194"/>
      <c r="O1322" s="194"/>
      <c r="P1322" s="194"/>
      <c r="Q1322" s="194"/>
      <c r="R1322" s="194"/>
      <c r="S1322" s="194"/>
      <c r="T1322" s="194"/>
      <c r="U1322" s="194"/>
      <c r="V1322" s="194"/>
      <c r="W1322" s="194"/>
      <c r="X1322" s="194"/>
      <c r="Y1322" s="194"/>
      <c r="Z1322" s="194"/>
      <c r="AA1322" s="194"/>
    </row>
    <row r="1323" spans="1:27" ht="17.399999999999999">
      <c r="A1323" s="222"/>
      <c r="B1323" s="164"/>
      <c r="C1323" s="194"/>
      <c r="D1323" s="161"/>
      <c r="E1323" s="194"/>
      <c r="F1323" s="198"/>
      <c r="G1323" s="194" t="str">
        <f ca="1">IFERROR(__xludf.DUMMYFUNCTION("""COMPUTED_VALUE"""),"RODAPÉ CARVALHO EUROPEU CONCRETE GREY 15/3 X 125 X 1200MM")</f>
        <v>RODAPÉ CARVALHO EUROPEU CONCRETE GREY 15/3 X 125 X 1200MM</v>
      </c>
      <c r="H1323" s="223" t="s">
        <v>1410</v>
      </c>
      <c r="I1323" s="182" t="str">
        <f t="shared" ca="1" si="7"/>
        <v/>
      </c>
      <c r="J1323" s="184"/>
      <c r="K1323" s="198"/>
      <c r="L1323" s="194" t="s">
        <v>1410</v>
      </c>
      <c r="M1323" s="194"/>
      <c r="N1323" s="194"/>
      <c r="O1323" s="194"/>
      <c r="P1323" s="194"/>
      <c r="Q1323" s="194"/>
      <c r="R1323" s="194"/>
      <c r="S1323" s="194"/>
      <c r="T1323" s="194"/>
      <c r="U1323" s="194"/>
      <c r="V1323" s="194"/>
      <c r="W1323" s="194"/>
      <c r="X1323" s="194"/>
      <c r="Y1323" s="194"/>
      <c r="Z1323" s="194"/>
      <c r="AA1323" s="194"/>
    </row>
    <row r="1324" spans="1:27" ht="17.399999999999999">
      <c r="A1324" s="222"/>
      <c r="B1324" s="164"/>
      <c r="C1324" s="194"/>
      <c r="D1324" s="161"/>
      <c r="E1324" s="194"/>
      <c r="F1324" s="198"/>
      <c r="G1324" s="194" t="str">
        <f ca="1">IFERROR(__xludf.DUMMYFUNCTION("""COMPUTED_VALUE"""),"RODAPÉ CARVALHO EUROPEU CONCRETE GREY 15/3 X 190 X 1900MM")</f>
        <v>RODAPÉ CARVALHO EUROPEU CONCRETE GREY 15/3 X 190 X 1900MM</v>
      </c>
      <c r="H1324" s="223" t="s">
        <v>1411</v>
      </c>
      <c r="I1324" s="182" t="str">
        <f t="shared" ca="1" si="7"/>
        <v/>
      </c>
      <c r="J1324" s="184"/>
      <c r="K1324" s="198"/>
      <c r="L1324" s="194" t="s">
        <v>1411</v>
      </c>
      <c r="M1324" s="194"/>
      <c r="N1324" s="194"/>
      <c r="O1324" s="194"/>
      <c r="P1324" s="194"/>
      <c r="Q1324" s="194"/>
      <c r="R1324" s="194"/>
      <c r="S1324" s="194"/>
      <c r="T1324" s="194"/>
      <c r="U1324" s="194"/>
      <c r="V1324" s="194"/>
      <c r="W1324" s="194"/>
      <c r="X1324" s="194"/>
      <c r="Y1324" s="194"/>
      <c r="Z1324" s="194"/>
      <c r="AA1324" s="194"/>
    </row>
    <row r="1325" spans="1:27" ht="17.399999999999999">
      <c r="A1325" s="222"/>
      <c r="B1325" s="164"/>
      <c r="C1325" s="194"/>
      <c r="D1325" s="161"/>
      <c r="E1325" s="194"/>
      <c r="F1325" s="198"/>
      <c r="G1325" s="194" t="str">
        <f ca="1">IFERROR(__xludf.DUMMYFUNCTION("""COMPUTED_VALUE"""),"RODAPÉ CARVALHO EUROPEU CONCRETE GREY 20/6 X 300 X 4000MM")</f>
        <v>RODAPÉ CARVALHO EUROPEU CONCRETE GREY 20/6 X 300 X 4000MM</v>
      </c>
      <c r="H1325" s="223" t="s">
        <v>1412</v>
      </c>
      <c r="I1325" s="182" t="str">
        <f t="shared" ca="1" si="7"/>
        <v/>
      </c>
      <c r="J1325" s="184"/>
      <c r="K1325" s="198"/>
      <c r="L1325" s="194" t="s">
        <v>1412</v>
      </c>
      <c r="M1325" s="194"/>
      <c r="N1325" s="194"/>
      <c r="O1325" s="194"/>
      <c r="P1325" s="194"/>
      <c r="Q1325" s="194"/>
      <c r="R1325" s="194"/>
      <c r="S1325" s="194"/>
      <c r="T1325" s="194"/>
      <c r="U1325" s="194"/>
      <c r="V1325" s="194"/>
      <c r="W1325" s="194"/>
      <c r="X1325" s="194"/>
      <c r="Y1325" s="194"/>
      <c r="Z1325" s="194"/>
      <c r="AA1325" s="194"/>
    </row>
    <row r="1326" spans="1:27" ht="17.399999999999999">
      <c r="A1326" s="222"/>
      <c r="B1326" s="164"/>
      <c r="C1326" s="194"/>
      <c r="D1326" s="161"/>
      <c r="E1326" s="194"/>
      <c r="F1326" s="198"/>
      <c r="G1326" s="194" t="str">
        <f ca="1">IFERROR(__xludf.DUMMYFUNCTION("""COMPUTED_VALUE"""),"RODAPÉ CARVALHO EUROPEU CONCRETE GREY 20/6 X 400 X 5000MM")</f>
        <v>RODAPÉ CARVALHO EUROPEU CONCRETE GREY 20/6 X 400 X 5000MM</v>
      </c>
      <c r="H1326" s="223" t="s">
        <v>1413</v>
      </c>
      <c r="I1326" s="182" t="str">
        <f t="shared" ca="1" si="7"/>
        <v/>
      </c>
      <c r="J1326" s="184"/>
      <c r="K1326" s="198"/>
      <c r="L1326" s="194" t="s">
        <v>1413</v>
      </c>
      <c r="M1326" s="194"/>
      <c r="N1326" s="194"/>
      <c r="O1326" s="194"/>
      <c r="P1326" s="194"/>
      <c r="Q1326" s="194"/>
      <c r="R1326" s="194"/>
      <c r="S1326" s="194"/>
      <c r="T1326" s="194"/>
      <c r="U1326" s="194"/>
      <c r="V1326" s="194"/>
      <c r="W1326" s="194"/>
      <c r="X1326" s="194"/>
      <c r="Y1326" s="194"/>
      <c r="Z1326" s="194"/>
      <c r="AA1326" s="194"/>
    </row>
    <row r="1327" spans="1:27" ht="17.399999999999999">
      <c r="A1327" s="222"/>
      <c r="B1327" s="164"/>
      <c r="C1327" s="194"/>
      <c r="D1327" s="161"/>
      <c r="E1327" s="194"/>
      <c r="F1327" s="198"/>
      <c r="G1327" s="194" t="str">
        <f ca="1">IFERROR(__xludf.DUMMYFUNCTION("""COMPUTED_VALUE"""),"RODAPÉ CARVALHO EUROPEU ITALY BROWN CHEVRON 15/3 X 1900X 740MM")</f>
        <v>RODAPÉ CARVALHO EUROPEU ITALY BROWN CHEVRON 15/3 X 1900X 740MM</v>
      </c>
      <c r="H1327" s="223" t="s">
        <v>1414</v>
      </c>
      <c r="I1327" s="182" t="str">
        <f t="shared" ca="1" si="7"/>
        <v/>
      </c>
      <c r="J1327" s="184"/>
      <c r="K1327" s="198"/>
      <c r="L1327" s="194" t="s">
        <v>1414</v>
      </c>
      <c r="M1327" s="194"/>
      <c r="N1327" s="194"/>
      <c r="O1327" s="194"/>
      <c r="P1327" s="194"/>
      <c r="Q1327" s="194"/>
      <c r="R1327" s="194"/>
      <c r="S1327" s="194"/>
      <c r="T1327" s="194"/>
      <c r="U1327" s="194"/>
      <c r="V1327" s="194"/>
      <c r="W1327" s="194"/>
      <c r="X1327" s="194"/>
      <c r="Y1327" s="194"/>
      <c r="Z1327" s="194"/>
      <c r="AA1327" s="194"/>
    </row>
    <row r="1328" spans="1:27" ht="17.399999999999999">
      <c r="A1328" s="222"/>
      <c r="B1328" s="164"/>
      <c r="C1328" s="194"/>
      <c r="D1328" s="161"/>
      <c r="E1328" s="194"/>
      <c r="F1328" s="198"/>
      <c r="G1328" s="194" t="str">
        <f ca="1">IFERROR(__xludf.DUMMYFUNCTION("""COMPUTED_VALUE"""),"RODAPÉ CARVALHO EUROPEU ITALY BROWN 15/3 X 125 X 1200MM")</f>
        <v>RODAPÉ CARVALHO EUROPEU ITALY BROWN 15/3 X 125 X 1200MM</v>
      </c>
      <c r="H1328" s="223" t="s">
        <v>1415</v>
      </c>
      <c r="I1328" s="182" t="str">
        <f t="shared" ca="1" si="7"/>
        <v/>
      </c>
      <c r="J1328" s="184"/>
      <c r="K1328" s="198"/>
      <c r="L1328" s="194" t="s">
        <v>1415</v>
      </c>
      <c r="M1328" s="194"/>
      <c r="N1328" s="194"/>
      <c r="O1328" s="194"/>
      <c r="P1328" s="194"/>
      <c r="Q1328" s="194"/>
      <c r="R1328" s="194"/>
      <c r="S1328" s="194"/>
      <c r="T1328" s="194"/>
      <c r="U1328" s="194"/>
      <c r="V1328" s="194"/>
      <c r="W1328" s="194"/>
      <c r="X1328" s="194"/>
      <c r="Y1328" s="194"/>
      <c r="Z1328" s="194"/>
      <c r="AA1328" s="194"/>
    </row>
    <row r="1329" spans="1:27" ht="17.399999999999999">
      <c r="A1329" s="222"/>
      <c r="B1329" s="164"/>
      <c r="C1329" s="194"/>
      <c r="D1329" s="161"/>
      <c r="E1329" s="194"/>
      <c r="F1329" s="198"/>
      <c r="G1329" s="194" t="str">
        <f ca="1">IFERROR(__xludf.DUMMYFUNCTION("""COMPUTED_VALUE"""),"RODAPÉ CARVALHO EUROPEU ITALY BROWN 15/3 X 190 X 1900MM")</f>
        <v>RODAPÉ CARVALHO EUROPEU ITALY BROWN 15/3 X 190 X 1900MM</v>
      </c>
      <c r="H1329" s="223" t="s">
        <v>1416</v>
      </c>
      <c r="I1329" s="182" t="str">
        <f t="shared" ca="1" si="7"/>
        <v/>
      </c>
      <c r="J1329" s="184"/>
      <c r="K1329" s="198"/>
      <c r="L1329" s="194" t="s">
        <v>1416</v>
      </c>
      <c r="M1329" s="194"/>
      <c r="N1329" s="194"/>
      <c r="O1329" s="194"/>
      <c r="P1329" s="194"/>
      <c r="Q1329" s="194"/>
      <c r="R1329" s="194"/>
      <c r="S1329" s="194"/>
      <c r="T1329" s="194"/>
      <c r="U1329" s="194"/>
      <c r="V1329" s="194"/>
      <c r="W1329" s="194"/>
      <c r="X1329" s="194"/>
      <c r="Y1329" s="194"/>
      <c r="Z1329" s="194"/>
      <c r="AA1329" s="194"/>
    </row>
    <row r="1330" spans="1:27" ht="17.399999999999999">
      <c r="A1330" s="222"/>
      <c r="B1330" s="164"/>
      <c r="C1330" s="194"/>
      <c r="D1330" s="161"/>
      <c r="E1330" s="194"/>
      <c r="F1330" s="198"/>
      <c r="G1330" s="194" t="str">
        <f ca="1">IFERROR(__xludf.DUMMYFUNCTION("""COMPUTED_VALUE"""),"RODAPÉ CARVALHO EUROPEU ITALY BROWN 20/6 X 300 X 4000MM")</f>
        <v>RODAPÉ CARVALHO EUROPEU ITALY BROWN 20/6 X 300 X 4000MM</v>
      </c>
      <c r="H1330" s="223" t="s">
        <v>1417</v>
      </c>
      <c r="I1330" s="182" t="str">
        <f t="shared" ca="1" si="7"/>
        <v/>
      </c>
      <c r="J1330" s="184"/>
      <c r="K1330" s="198"/>
      <c r="L1330" s="194" t="s">
        <v>1417</v>
      </c>
      <c r="M1330" s="194"/>
      <c r="N1330" s="194"/>
      <c r="O1330" s="194"/>
      <c r="P1330" s="194"/>
      <c r="Q1330" s="194"/>
      <c r="R1330" s="194"/>
      <c r="S1330" s="194"/>
      <c r="T1330" s="194"/>
      <c r="U1330" s="194"/>
      <c r="V1330" s="194"/>
      <c r="W1330" s="194"/>
      <c r="X1330" s="194"/>
      <c r="Y1330" s="194"/>
      <c r="Z1330" s="194"/>
      <c r="AA1330" s="194"/>
    </row>
    <row r="1331" spans="1:27" ht="17.399999999999999">
      <c r="A1331" s="222"/>
      <c r="B1331" s="164"/>
      <c r="C1331" s="194"/>
      <c r="D1331" s="161"/>
      <c r="E1331" s="194"/>
      <c r="F1331" s="198"/>
      <c r="G1331" s="194" t="str">
        <f ca="1">IFERROR(__xludf.DUMMYFUNCTION("""COMPUTED_VALUE"""),"RODAPÉ CARVALHO EUROPEU ITALY BROWN 20/6 X 400 X 5000MM")</f>
        <v>RODAPÉ CARVALHO EUROPEU ITALY BROWN 20/6 X 400 X 5000MM</v>
      </c>
      <c r="H1331" s="223" t="s">
        <v>1418</v>
      </c>
      <c r="I1331" s="182" t="str">
        <f t="shared" ca="1" si="7"/>
        <v/>
      </c>
      <c r="J1331" s="184"/>
      <c r="K1331" s="198"/>
      <c r="L1331" s="194" t="s">
        <v>1418</v>
      </c>
      <c r="M1331" s="194"/>
      <c r="N1331" s="194"/>
      <c r="O1331" s="194"/>
      <c r="P1331" s="194"/>
      <c r="Q1331" s="194"/>
      <c r="R1331" s="194"/>
      <c r="S1331" s="194"/>
      <c r="T1331" s="194"/>
      <c r="U1331" s="194"/>
      <c r="V1331" s="194"/>
      <c r="W1331" s="194"/>
      <c r="X1331" s="194"/>
      <c r="Y1331" s="194"/>
      <c r="Z1331" s="194"/>
      <c r="AA1331" s="194"/>
    </row>
    <row r="1332" spans="1:27" ht="17.399999999999999">
      <c r="A1332" s="222"/>
      <c r="B1332" s="164"/>
      <c r="C1332" s="194"/>
      <c r="D1332" s="161"/>
      <c r="E1332" s="194"/>
      <c r="F1332" s="198"/>
      <c r="G1332" s="194" t="str">
        <f ca="1">IFERROR(__xludf.DUMMYFUNCTION("""COMPUTED_VALUE"""),"RODAPÉ CARVALHO EUROPEU ALL BLACK CHEVRON 15/3 X 1900X 740MM")</f>
        <v>RODAPÉ CARVALHO EUROPEU ALL BLACK CHEVRON 15/3 X 1900X 740MM</v>
      </c>
      <c r="H1332" s="223" t="s">
        <v>1419</v>
      </c>
      <c r="I1332" s="182" t="str">
        <f t="shared" ca="1" si="7"/>
        <v/>
      </c>
      <c r="J1332" s="184"/>
      <c r="K1332" s="198"/>
      <c r="L1332" s="194" t="s">
        <v>1419</v>
      </c>
      <c r="M1332" s="194"/>
      <c r="N1332" s="194"/>
      <c r="O1332" s="194"/>
      <c r="P1332" s="194"/>
      <c r="Q1332" s="194"/>
      <c r="R1332" s="194"/>
      <c r="S1332" s="194"/>
      <c r="T1332" s="194"/>
      <c r="U1332" s="194"/>
      <c r="V1332" s="194"/>
      <c r="W1332" s="194"/>
      <c r="X1332" s="194"/>
      <c r="Y1332" s="194"/>
      <c r="Z1332" s="194"/>
      <c r="AA1332" s="194"/>
    </row>
    <row r="1333" spans="1:27" ht="17.399999999999999">
      <c r="A1333" s="222"/>
      <c r="B1333" s="164"/>
      <c r="C1333" s="194"/>
      <c r="D1333" s="161"/>
      <c r="E1333" s="194"/>
      <c r="F1333" s="198"/>
      <c r="G1333" s="194" t="str">
        <f ca="1">IFERROR(__xludf.DUMMYFUNCTION("""COMPUTED_VALUE"""),"RODAPÉ CARVALHO EUROPEU ALL BLACK 15/3 X 125 X 1200MM")</f>
        <v>RODAPÉ CARVALHO EUROPEU ALL BLACK 15/3 X 125 X 1200MM</v>
      </c>
      <c r="H1333" s="223" t="s">
        <v>1420</v>
      </c>
      <c r="I1333" s="182" t="str">
        <f t="shared" ca="1" si="7"/>
        <v/>
      </c>
      <c r="J1333" s="184"/>
      <c r="K1333" s="198"/>
      <c r="L1333" s="194" t="s">
        <v>1420</v>
      </c>
      <c r="M1333" s="194"/>
      <c r="N1333" s="194"/>
      <c r="O1333" s="194"/>
      <c r="P1333" s="194"/>
      <c r="Q1333" s="194"/>
      <c r="R1333" s="194"/>
      <c r="S1333" s="194"/>
      <c r="T1333" s="194"/>
      <c r="U1333" s="194"/>
      <c r="V1333" s="194"/>
      <c r="W1333" s="194"/>
      <c r="X1333" s="194"/>
      <c r="Y1333" s="194"/>
      <c r="Z1333" s="194"/>
      <c r="AA1333" s="194"/>
    </row>
    <row r="1334" spans="1:27" ht="17.399999999999999">
      <c r="A1334" s="222"/>
      <c r="B1334" s="164"/>
      <c r="C1334" s="194"/>
      <c r="D1334" s="161"/>
      <c r="E1334" s="194"/>
      <c r="F1334" s="198"/>
      <c r="G1334" s="194" t="str">
        <f ca="1">IFERROR(__xludf.DUMMYFUNCTION("""COMPUTED_VALUE"""),"RODAPÉ CARVALHO EUROPEU BLACK CHEVRON TG 15/3 X 125 X 775CM")</f>
        <v>RODAPÉ CARVALHO EUROPEU BLACK CHEVRON TG 15/3 X 125 X 775CM</v>
      </c>
      <c r="H1334" s="223" t="s">
        <v>1421</v>
      </c>
      <c r="I1334" s="182" t="str">
        <f t="shared" ca="1" si="7"/>
        <v/>
      </c>
      <c r="J1334" s="184"/>
      <c r="K1334" s="198"/>
      <c r="L1334" s="194" t="s">
        <v>1421</v>
      </c>
      <c r="M1334" s="194"/>
      <c r="N1334" s="194"/>
      <c r="O1334" s="194"/>
      <c r="P1334" s="194"/>
      <c r="Q1334" s="194"/>
      <c r="R1334" s="194"/>
      <c r="S1334" s="194"/>
      <c r="T1334" s="194"/>
      <c r="U1334" s="194"/>
      <c r="V1334" s="194"/>
      <c r="W1334" s="194"/>
      <c r="X1334" s="194"/>
      <c r="Y1334" s="194"/>
      <c r="Z1334" s="194"/>
      <c r="AA1334" s="194"/>
    </row>
    <row r="1335" spans="1:27" ht="17.399999999999999">
      <c r="A1335" s="222"/>
      <c r="B1335" s="164"/>
      <c r="C1335" s="194"/>
      <c r="D1335" s="161"/>
      <c r="E1335" s="194"/>
      <c r="F1335" s="198"/>
      <c r="G1335" s="194" t="str">
        <f ca="1">IFERROR(__xludf.DUMMYFUNCTION("""COMPUTED_VALUE"""),"RODAPÉ CARVALHO EUROPEU ALL BLACK 15/3 X 190 X 1900MM")</f>
        <v>RODAPÉ CARVALHO EUROPEU ALL BLACK 15/3 X 190 X 1900MM</v>
      </c>
      <c r="H1335" s="223" t="s">
        <v>1422</v>
      </c>
      <c r="I1335" s="182" t="str">
        <f t="shared" ca="1" si="7"/>
        <v/>
      </c>
      <c r="J1335" s="184"/>
      <c r="K1335" s="198"/>
      <c r="L1335" s="194" t="s">
        <v>1422</v>
      </c>
      <c r="M1335" s="194"/>
      <c r="N1335" s="194"/>
      <c r="O1335" s="194"/>
      <c r="P1335" s="194"/>
      <c r="Q1335" s="194"/>
      <c r="R1335" s="194"/>
      <c r="S1335" s="194"/>
      <c r="T1335" s="194"/>
      <c r="U1335" s="194"/>
      <c r="V1335" s="194"/>
      <c r="W1335" s="194"/>
      <c r="X1335" s="194"/>
      <c r="Y1335" s="194"/>
      <c r="Z1335" s="194"/>
      <c r="AA1335" s="194"/>
    </row>
    <row r="1336" spans="1:27" ht="17.399999999999999">
      <c r="A1336" s="222"/>
      <c r="B1336" s="164"/>
      <c r="C1336" s="194"/>
      <c r="D1336" s="161"/>
      <c r="E1336" s="194"/>
      <c r="F1336" s="198"/>
      <c r="G1336" s="194" t="str">
        <f ca="1">IFERROR(__xludf.DUMMYFUNCTION("""COMPUTED_VALUE"""),"RODAPÉ CARVALHO EUROPEU ALL BLACK 20/6 X 300 X 4000MM")</f>
        <v>RODAPÉ CARVALHO EUROPEU ALL BLACK 20/6 X 300 X 4000MM</v>
      </c>
      <c r="H1336" s="223" t="s">
        <v>1423</v>
      </c>
      <c r="I1336" s="182" t="str">
        <f t="shared" ca="1" si="7"/>
        <v/>
      </c>
      <c r="J1336" s="184"/>
      <c r="K1336" s="198"/>
      <c r="L1336" s="194" t="s">
        <v>1423</v>
      </c>
      <c r="M1336" s="194"/>
      <c r="N1336" s="194"/>
      <c r="O1336" s="194"/>
      <c r="P1336" s="194"/>
      <c r="Q1336" s="194"/>
      <c r="R1336" s="194"/>
      <c r="S1336" s="194"/>
      <c r="T1336" s="194"/>
      <c r="U1336" s="194"/>
      <c r="V1336" s="194"/>
      <c r="W1336" s="194"/>
      <c r="X1336" s="194"/>
      <c r="Y1336" s="194"/>
      <c r="Z1336" s="194"/>
      <c r="AA1336" s="194"/>
    </row>
    <row r="1337" spans="1:27" ht="17.399999999999999">
      <c r="A1337" s="222"/>
      <c r="B1337" s="164"/>
      <c r="C1337" s="194"/>
      <c r="D1337" s="161"/>
      <c r="E1337" s="194"/>
      <c r="F1337" s="198"/>
      <c r="G1337" s="194" t="str">
        <f ca="1">IFERROR(__xludf.DUMMYFUNCTION("""COMPUTED_VALUE"""),"RODAPÉ CARVALHO EUROPEU ALL BLACK 20/6 X 400 X 5000MM")</f>
        <v>RODAPÉ CARVALHO EUROPEU ALL BLACK 20/6 X 400 X 5000MM</v>
      </c>
      <c r="H1337" s="223" t="s">
        <v>1424</v>
      </c>
      <c r="I1337" s="182" t="str">
        <f t="shared" ca="1" si="7"/>
        <v/>
      </c>
      <c r="J1337" s="184"/>
      <c r="K1337" s="198"/>
      <c r="L1337" s="194" t="s">
        <v>1424</v>
      </c>
      <c r="M1337" s="194"/>
      <c r="N1337" s="194"/>
      <c r="O1337" s="194"/>
      <c r="P1337" s="194"/>
      <c r="Q1337" s="194"/>
      <c r="R1337" s="194"/>
      <c r="S1337" s="194"/>
      <c r="T1337" s="194"/>
      <c r="U1337" s="194"/>
      <c r="V1337" s="194"/>
      <c r="W1337" s="194"/>
      <c r="X1337" s="194"/>
      <c r="Y1337" s="194"/>
      <c r="Z1337" s="194"/>
      <c r="AA1337" s="194"/>
    </row>
    <row r="1338" spans="1:27" ht="17.399999999999999">
      <c r="A1338" s="222"/>
      <c r="B1338" s="164"/>
      <c r="C1338" s="194"/>
      <c r="D1338" s="161"/>
      <c r="E1338" s="194"/>
      <c r="F1338" s="198"/>
      <c r="G1338" s="194" t="str">
        <f ca="1">IFERROR(__xludf.DUMMYFUNCTION("""COMPUTED_VALUE"""),"RODAPÉ CARVALHO EUROPEU URBAN GREY CHEVRON 15/3 X 1900X 740MM")</f>
        <v>RODAPÉ CARVALHO EUROPEU URBAN GREY CHEVRON 15/3 X 1900X 740MM</v>
      </c>
      <c r="H1338" s="223" t="s">
        <v>1425</v>
      </c>
      <c r="I1338" s="182" t="str">
        <f t="shared" ca="1" si="7"/>
        <v/>
      </c>
      <c r="J1338" s="184"/>
      <c r="K1338" s="198"/>
      <c r="L1338" s="194" t="s">
        <v>1425</v>
      </c>
      <c r="M1338" s="194"/>
      <c r="N1338" s="194"/>
      <c r="O1338" s="194"/>
      <c r="P1338" s="194"/>
      <c r="Q1338" s="194"/>
      <c r="R1338" s="194"/>
      <c r="S1338" s="194"/>
      <c r="T1338" s="194"/>
      <c r="U1338" s="194"/>
      <c r="V1338" s="194"/>
      <c r="W1338" s="194"/>
      <c r="X1338" s="194"/>
      <c r="Y1338" s="194"/>
      <c r="Z1338" s="194"/>
      <c r="AA1338" s="194"/>
    </row>
    <row r="1339" spans="1:27" ht="17.399999999999999">
      <c r="A1339" s="222"/>
      <c r="B1339" s="164"/>
      <c r="C1339" s="194"/>
      <c r="D1339" s="161"/>
      <c r="E1339" s="194"/>
      <c r="F1339" s="198"/>
      <c r="G1339" s="194" t="str">
        <f ca="1">IFERROR(__xludf.DUMMYFUNCTION("""COMPUTED_VALUE"""),"RODAPÉ CARVALHO EUROPEU URBAN GREY 15/3 X 125 X 1200MM")</f>
        <v>RODAPÉ CARVALHO EUROPEU URBAN GREY 15/3 X 125 X 1200MM</v>
      </c>
      <c r="H1339" s="223" t="s">
        <v>1426</v>
      </c>
      <c r="I1339" s="182" t="str">
        <f t="shared" ca="1" si="7"/>
        <v/>
      </c>
      <c r="J1339" s="184"/>
      <c r="K1339" s="198"/>
      <c r="L1339" s="194" t="s">
        <v>1426</v>
      </c>
      <c r="M1339" s="194"/>
      <c r="N1339" s="194"/>
      <c r="O1339" s="194"/>
      <c r="P1339" s="194"/>
      <c r="Q1339" s="194"/>
      <c r="R1339" s="194"/>
      <c r="S1339" s="194"/>
      <c r="T1339" s="194"/>
      <c r="U1339" s="194"/>
      <c r="V1339" s="194"/>
      <c r="W1339" s="194"/>
      <c r="X1339" s="194"/>
      <c r="Y1339" s="194"/>
      <c r="Z1339" s="194"/>
      <c r="AA1339" s="194"/>
    </row>
    <row r="1340" spans="1:27" ht="17.399999999999999">
      <c r="A1340" s="222"/>
      <c r="B1340" s="164"/>
      <c r="C1340" s="194"/>
      <c r="D1340" s="161"/>
      <c r="E1340" s="194"/>
      <c r="F1340" s="198"/>
      <c r="G1340" s="194" t="str">
        <f ca="1">IFERROR(__xludf.DUMMYFUNCTION("""COMPUTED_VALUE"""),"RODAPÉ CARVALHO EUROPEU URBAN GREY 15/3 X 190 X 1900MM")</f>
        <v>RODAPÉ CARVALHO EUROPEU URBAN GREY 15/3 X 190 X 1900MM</v>
      </c>
      <c r="H1340" s="223" t="s">
        <v>1427</v>
      </c>
      <c r="I1340" s="182" t="str">
        <f t="shared" ca="1" si="7"/>
        <v/>
      </c>
      <c r="J1340" s="184"/>
      <c r="K1340" s="198"/>
      <c r="L1340" s="194" t="s">
        <v>1427</v>
      </c>
      <c r="M1340" s="194"/>
      <c r="N1340" s="194"/>
      <c r="O1340" s="194"/>
      <c r="P1340" s="194"/>
      <c r="Q1340" s="194"/>
      <c r="R1340" s="194"/>
      <c r="S1340" s="194"/>
      <c r="T1340" s="194"/>
      <c r="U1340" s="194"/>
      <c r="V1340" s="194"/>
      <c r="W1340" s="194"/>
      <c r="X1340" s="194"/>
      <c r="Y1340" s="194"/>
      <c r="Z1340" s="194"/>
      <c r="AA1340" s="194"/>
    </row>
    <row r="1341" spans="1:27" ht="17.399999999999999">
      <c r="A1341" s="222"/>
      <c r="B1341" s="164"/>
      <c r="C1341" s="194"/>
      <c r="D1341" s="161"/>
      <c r="E1341" s="194"/>
      <c r="F1341" s="198"/>
      <c r="G1341" s="194" t="str">
        <f ca="1">IFERROR(__xludf.DUMMYFUNCTION("""COMPUTED_VALUE"""),"RODAPÉ CARVALHO EUROPEU URBAN GREY 20/6 X 300 X 4000MM")</f>
        <v>RODAPÉ CARVALHO EUROPEU URBAN GREY 20/6 X 300 X 4000MM</v>
      </c>
      <c r="H1341" s="223" t="s">
        <v>1428</v>
      </c>
      <c r="I1341" s="182" t="str">
        <f t="shared" ca="1" si="7"/>
        <v/>
      </c>
      <c r="J1341" s="184"/>
      <c r="K1341" s="198"/>
      <c r="L1341" s="194" t="s">
        <v>1428</v>
      </c>
      <c r="M1341" s="194"/>
      <c r="N1341" s="194"/>
      <c r="O1341" s="194"/>
      <c r="P1341" s="194"/>
      <c r="Q1341" s="194"/>
      <c r="R1341" s="194"/>
      <c r="S1341" s="194"/>
      <c r="T1341" s="194"/>
      <c r="U1341" s="194"/>
      <c r="V1341" s="194"/>
      <c r="W1341" s="194"/>
      <c r="X1341" s="194"/>
      <c r="Y1341" s="194"/>
      <c r="Z1341" s="194"/>
      <c r="AA1341" s="194"/>
    </row>
    <row r="1342" spans="1:27" ht="17.399999999999999">
      <c r="A1342" s="222"/>
      <c r="B1342" s="164"/>
      <c r="C1342" s="194"/>
      <c r="D1342" s="161"/>
      <c r="E1342" s="194"/>
      <c r="F1342" s="198"/>
      <c r="G1342" s="194" t="str">
        <f ca="1">IFERROR(__xludf.DUMMYFUNCTION("""COMPUTED_VALUE"""),"RODAPÉ CARVALHO EUROPEU URBAN GREY 20/6 X 400 X 5000MM")</f>
        <v>RODAPÉ CARVALHO EUROPEU URBAN GREY 20/6 X 400 X 5000MM</v>
      </c>
      <c r="H1342" s="223" t="s">
        <v>1429</v>
      </c>
      <c r="I1342" s="182" t="str">
        <f t="shared" ca="1" si="7"/>
        <v/>
      </c>
      <c r="J1342" s="184"/>
      <c r="K1342" s="198"/>
      <c r="L1342" s="194" t="s">
        <v>1429</v>
      </c>
      <c r="M1342" s="194"/>
      <c r="N1342" s="194"/>
      <c r="O1342" s="194"/>
      <c r="P1342" s="194"/>
      <c r="Q1342" s="194"/>
      <c r="R1342" s="194"/>
      <c r="S1342" s="194"/>
      <c r="T1342" s="194"/>
      <c r="U1342" s="194"/>
      <c r="V1342" s="194"/>
      <c r="W1342" s="194"/>
      <c r="X1342" s="194"/>
      <c r="Y1342" s="194"/>
      <c r="Z1342" s="194"/>
      <c r="AA1342" s="194"/>
    </row>
    <row r="1343" spans="1:27" ht="17.399999999999999">
      <c r="A1343" s="222"/>
      <c r="B1343" s="164"/>
      <c r="C1343" s="194"/>
      <c r="D1343" s="161"/>
      <c r="E1343" s="194"/>
      <c r="F1343" s="198"/>
      <c r="G1343" s="194" t="str">
        <f ca="1">IFERROR(__xludf.DUMMYFUNCTION("""COMPUTED_VALUE"""),"RODAPÉ CARVALHO EUROPEU CARAMEL CHEVRON 15/3 X 1900X 740MM")</f>
        <v>RODAPÉ CARVALHO EUROPEU CARAMEL CHEVRON 15/3 X 1900X 740MM</v>
      </c>
      <c r="H1343" s="223" t="s">
        <v>1430</v>
      </c>
      <c r="I1343" s="182" t="str">
        <f t="shared" ca="1" si="7"/>
        <v/>
      </c>
      <c r="J1343" s="184"/>
      <c r="K1343" s="198"/>
      <c r="L1343" s="194" t="s">
        <v>1430</v>
      </c>
      <c r="M1343" s="194"/>
      <c r="N1343" s="194"/>
      <c r="O1343" s="194"/>
      <c r="P1343" s="194"/>
      <c r="Q1343" s="194"/>
      <c r="R1343" s="194"/>
      <c r="S1343" s="194"/>
      <c r="T1343" s="194"/>
      <c r="U1343" s="194"/>
      <c r="V1343" s="194"/>
      <c r="W1343" s="194"/>
      <c r="X1343" s="194"/>
      <c r="Y1343" s="194"/>
      <c r="Z1343" s="194"/>
      <c r="AA1343" s="194"/>
    </row>
    <row r="1344" spans="1:27" ht="17.399999999999999">
      <c r="A1344" s="222"/>
      <c r="B1344" s="164"/>
      <c r="C1344" s="194"/>
      <c r="D1344" s="161"/>
      <c r="E1344" s="194"/>
      <c r="F1344" s="198"/>
      <c r="G1344" s="194" t="str">
        <f ca="1">IFERROR(__xludf.DUMMYFUNCTION("""COMPUTED_VALUE"""),"RODAPÉ CARVALHO EUROPEU CARAMEL 15/3 X 125 X 1200MM")</f>
        <v>RODAPÉ CARVALHO EUROPEU CARAMEL 15/3 X 125 X 1200MM</v>
      </c>
      <c r="H1344" s="223" t="s">
        <v>1431</v>
      </c>
      <c r="I1344" s="182" t="str">
        <f t="shared" ca="1" si="7"/>
        <v/>
      </c>
      <c r="J1344" s="184"/>
      <c r="K1344" s="198"/>
      <c r="L1344" s="194" t="s">
        <v>1431</v>
      </c>
      <c r="M1344" s="194"/>
      <c r="N1344" s="194"/>
      <c r="O1344" s="194"/>
      <c r="P1344" s="194"/>
      <c r="Q1344" s="194"/>
      <c r="R1344" s="194"/>
      <c r="S1344" s="194"/>
      <c r="T1344" s="194"/>
      <c r="U1344" s="194"/>
      <c r="V1344" s="194"/>
      <c r="W1344" s="194"/>
      <c r="X1344" s="194"/>
      <c r="Y1344" s="194"/>
      <c r="Z1344" s="194"/>
      <c r="AA1344" s="194"/>
    </row>
    <row r="1345" spans="1:27" ht="17.399999999999999">
      <c r="A1345" s="222"/>
      <c r="B1345" s="164"/>
      <c r="C1345" s="194"/>
      <c r="D1345" s="161"/>
      <c r="E1345" s="194"/>
      <c r="F1345" s="198"/>
      <c r="G1345" s="194" t="str">
        <f ca="1">IFERROR(__xludf.DUMMYFUNCTION("""COMPUTED_VALUE"""),"RODAPÉ CARVALHO EUROPEU CARAMEL 15/3 X 190 X 1900MM")</f>
        <v>RODAPÉ CARVALHO EUROPEU CARAMEL 15/3 X 190 X 1900MM</v>
      </c>
      <c r="H1345" s="223" t="s">
        <v>1432</v>
      </c>
      <c r="I1345" s="182" t="str">
        <f t="shared" ca="1" si="7"/>
        <v/>
      </c>
      <c r="J1345" s="184"/>
      <c r="K1345" s="198"/>
      <c r="L1345" s="194" t="s">
        <v>1432</v>
      </c>
      <c r="M1345" s="194"/>
      <c r="N1345" s="194"/>
      <c r="O1345" s="194"/>
      <c r="P1345" s="194"/>
      <c r="Q1345" s="194"/>
      <c r="R1345" s="194"/>
      <c r="S1345" s="194"/>
      <c r="T1345" s="194"/>
      <c r="U1345" s="194"/>
      <c r="V1345" s="194"/>
      <c r="W1345" s="194"/>
      <c r="X1345" s="194"/>
      <c r="Y1345" s="194"/>
      <c r="Z1345" s="194"/>
      <c r="AA1345" s="194"/>
    </row>
    <row r="1346" spans="1:27" ht="17.399999999999999">
      <c r="A1346" s="222"/>
      <c r="B1346" s="164"/>
      <c r="C1346" s="194"/>
      <c r="D1346" s="161"/>
      <c r="E1346" s="194"/>
      <c r="F1346" s="198"/>
      <c r="G1346" s="194" t="str">
        <f ca="1">IFERROR(__xludf.DUMMYFUNCTION("""COMPUTED_VALUE"""),"RODAPÉ CARVALHO EUROPEU CARAMEL 20/6 X 300 X 4000MM")</f>
        <v>RODAPÉ CARVALHO EUROPEU CARAMEL 20/6 X 300 X 4000MM</v>
      </c>
      <c r="H1346" s="223" t="s">
        <v>1433</v>
      </c>
      <c r="I1346" s="182" t="str">
        <f t="shared" ca="1" si="7"/>
        <v/>
      </c>
      <c r="J1346" s="184"/>
      <c r="K1346" s="198"/>
      <c r="L1346" s="194" t="s">
        <v>1433</v>
      </c>
      <c r="M1346" s="194"/>
      <c r="N1346" s="194"/>
      <c r="O1346" s="194"/>
      <c r="P1346" s="194"/>
      <c r="Q1346" s="194"/>
      <c r="R1346" s="194"/>
      <c r="S1346" s="194"/>
      <c r="T1346" s="194"/>
      <c r="U1346" s="194"/>
      <c r="V1346" s="194"/>
      <c r="W1346" s="194"/>
      <c r="X1346" s="194"/>
      <c r="Y1346" s="194"/>
      <c r="Z1346" s="194"/>
      <c r="AA1346" s="194"/>
    </row>
    <row r="1347" spans="1:27" ht="17.399999999999999">
      <c r="A1347" s="222"/>
      <c r="B1347" s="164"/>
      <c r="C1347" s="194"/>
      <c r="D1347" s="161"/>
      <c r="E1347" s="194"/>
      <c r="F1347" s="198"/>
      <c r="G1347" s="194" t="str">
        <f ca="1">IFERROR(__xludf.DUMMYFUNCTION("""COMPUTED_VALUE"""),"RODAPÉ CARVALHO EUROPEU CARAMEL 20/6 X 400 X 5000MM")</f>
        <v>RODAPÉ CARVALHO EUROPEU CARAMEL 20/6 X 400 X 5000MM</v>
      </c>
      <c r="H1347" s="223" t="s">
        <v>1434</v>
      </c>
      <c r="I1347" s="182" t="str">
        <f t="shared" ca="1" si="7"/>
        <v/>
      </c>
      <c r="J1347" s="184"/>
      <c r="K1347" s="198"/>
      <c r="L1347" s="194" t="s">
        <v>1434</v>
      </c>
      <c r="M1347" s="194"/>
      <c r="N1347" s="194"/>
      <c r="O1347" s="194"/>
      <c r="P1347" s="194"/>
      <c r="Q1347" s="194"/>
      <c r="R1347" s="194"/>
      <c r="S1347" s="194"/>
      <c r="T1347" s="194"/>
      <c r="U1347" s="194"/>
      <c r="V1347" s="194"/>
      <c r="W1347" s="194"/>
      <c r="X1347" s="194"/>
      <c r="Y1347" s="194"/>
      <c r="Z1347" s="194"/>
      <c r="AA1347" s="194"/>
    </row>
    <row r="1348" spans="1:27" ht="17.399999999999999">
      <c r="A1348" s="222"/>
      <c r="B1348" s="164"/>
      <c r="C1348" s="194"/>
      <c r="D1348" s="161"/>
      <c r="E1348" s="194"/>
      <c r="F1348" s="198"/>
      <c r="G1348" s="194" t="str">
        <f ca="1">IFERROR(__xludf.DUMMYFUNCTION("""COMPUTED_VALUE"""),"RODAPÉ CARVALHO EUROPEU CHEMICAL CHEVRON TG 15/3*190*740MM")</f>
        <v>RODAPÉ CARVALHO EUROPEU CHEMICAL CHEVRON TG 15/3*190*740MM</v>
      </c>
      <c r="H1348" s="223" t="s">
        <v>1435</v>
      </c>
      <c r="I1348" s="182" t="str">
        <f t="shared" ca="1" si="7"/>
        <v/>
      </c>
      <c r="J1348" s="184"/>
      <c r="K1348" s="198"/>
      <c r="L1348" s="194" t="s">
        <v>1435</v>
      </c>
      <c r="M1348" s="194"/>
      <c r="N1348" s="194"/>
      <c r="O1348" s="194"/>
      <c r="P1348" s="194"/>
      <c r="Q1348" s="194"/>
      <c r="R1348" s="194"/>
      <c r="S1348" s="194"/>
      <c r="T1348" s="194"/>
      <c r="U1348" s="194"/>
      <c r="V1348" s="194"/>
      <c r="W1348" s="194"/>
      <c r="X1348" s="194"/>
      <c r="Y1348" s="194"/>
      <c r="Z1348" s="194"/>
      <c r="AA1348" s="194"/>
    </row>
    <row r="1349" spans="1:27" ht="17.399999999999999">
      <c r="A1349" s="222"/>
      <c r="B1349" s="164"/>
      <c r="C1349" s="194"/>
      <c r="D1349" s="161"/>
      <c r="E1349" s="194"/>
      <c r="F1349" s="198"/>
      <c r="G1349" s="194" t="str">
        <f ca="1">IFERROR(__xludf.DUMMYFUNCTION("""COMPUTED_VALUE"""),"RODAPÉ CARVALHO EUROPEU WHITE RUSTIC 15/4*189*1860MM")</f>
        <v>RODAPÉ CARVALHO EUROPEU WHITE RUSTIC 15/4*189*1860MM</v>
      </c>
      <c r="H1349" s="223" t="s">
        <v>1436</v>
      </c>
      <c r="I1349" s="182" t="str">
        <f t="shared" ca="1" si="7"/>
        <v/>
      </c>
      <c r="J1349" s="184"/>
      <c r="K1349" s="198"/>
      <c r="L1349" s="194" t="s">
        <v>1436</v>
      </c>
      <c r="M1349" s="194"/>
      <c r="N1349" s="194"/>
      <c r="O1349" s="194"/>
      <c r="P1349" s="194"/>
      <c r="Q1349" s="194"/>
      <c r="R1349" s="194"/>
      <c r="S1349" s="194"/>
      <c r="T1349" s="194"/>
      <c r="U1349" s="194"/>
      <c r="V1349" s="194"/>
      <c r="W1349" s="194"/>
      <c r="X1349" s="194"/>
      <c r="Y1349" s="194"/>
      <c r="Z1349" s="194"/>
      <c r="AA1349" s="194"/>
    </row>
    <row r="1350" spans="1:27" ht="17.399999999999999">
      <c r="A1350" s="222"/>
      <c r="B1350" s="164"/>
      <c r="C1350" s="194"/>
      <c r="D1350" s="161"/>
      <c r="E1350" s="194"/>
      <c r="F1350" s="198"/>
      <c r="G1350" s="194" t="str">
        <f ca="1">IFERROR(__xludf.DUMMYFUNCTION("""COMPUTED_VALUE"""),"RODAPÉ CARVALHO EUROPEU CUSTOMIZADO 14/3 X 12,7 X 186CM")</f>
        <v>RODAPÉ CARVALHO EUROPEU CUSTOMIZADO 14/3 X 12,7 X 186CM</v>
      </c>
      <c r="H1350" s="223" t="s">
        <v>1437</v>
      </c>
      <c r="I1350" s="182" t="str">
        <f t="shared" ca="1" si="7"/>
        <v/>
      </c>
      <c r="J1350" s="184"/>
      <c r="K1350" s="198"/>
      <c r="L1350" s="194" t="s">
        <v>1437</v>
      </c>
      <c r="M1350" s="194"/>
      <c r="N1350" s="194"/>
      <c r="O1350" s="194"/>
      <c r="P1350" s="194"/>
      <c r="Q1350" s="194"/>
      <c r="R1350" s="194"/>
      <c r="S1350" s="194"/>
      <c r="T1350" s="194"/>
      <c r="U1350" s="194"/>
      <c r="V1350" s="194"/>
      <c r="W1350" s="194"/>
      <c r="X1350" s="194"/>
      <c r="Y1350" s="194"/>
      <c r="Z1350" s="194"/>
      <c r="AA1350" s="194"/>
    </row>
    <row r="1351" spans="1:27" ht="17.399999999999999">
      <c r="A1351" s="222"/>
      <c r="B1351" s="164"/>
      <c r="C1351" s="194"/>
      <c r="D1351" s="161"/>
      <c r="E1351" s="194"/>
      <c r="F1351" s="198"/>
      <c r="G1351" s="194" t="str">
        <f ca="1">IFERROR(__xludf.DUMMYFUNCTION("""COMPUTED_VALUE"""),"RODAPÉ CARVALHO EUROPEU CUSTOMIZADO 2.0 X 19 X 190CM (C2)")</f>
        <v>RODAPÉ CARVALHO EUROPEU CUSTOMIZADO 2.0 X 19 X 190CM (C2)</v>
      </c>
      <c r="H1351" s="223" t="s">
        <v>1438</v>
      </c>
      <c r="I1351" s="182" t="str">
        <f t="shared" ca="1" si="7"/>
        <v/>
      </c>
      <c r="J1351" s="184"/>
      <c r="K1351" s="198"/>
      <c r="L1351" s="194" t="s">
        <v>1438</v>
      </c>
      <c r="M1351" s="194"/>
      <c r="N1351" s="194"/>
      <c r="O1351" s="194"/>
      <c r="P1351" s="194"/>
      <c r="Q1351" s="194"/>
      <c r="R1351" s="194"/>
      <c r="S1351" s="194"/>
      <c r="T1351" s="194"/>
      <c r="U1351" s="194"/>
      <c r="V1351" s="194"/>
      <c r="W1351" s="194"/>
      <c r="X1351" s="194"/>
      <c r="Y1351" s="194"/>
      <c r="Z1351" s="194"/>
      <c r="AA1351" s="194"/>
    </row>
    <row r="1352" spans="1:27" ht="17.399999999999999">
      <c r="A1352" s="222"/>
      <c r="B1352" s="164"/>
      <c r="C1352" s="194"/>
      <c r="D1352" s="161"/>
      <c r="E1352" s="194"/>
      <c r="F1352" s="198"/>
      <c r="G1352" s="194" t="str">
        <f ca="1">IFERROR(__xludf.DUMMYFUNCTION("""COMPUTED_VALUE"""),"RODAPÉ CARVALHO EUROPEU NATURAL CHEVRON TG 1.5/3 X 9X 51CM")</f>
        <v>RODAPÉ CARVALHO EUROPEU NATURAL CHEVRON TG 1.5/3 X 9X 51CM</v>
      </c>
      <c r="H1352" s="223" t="s">
        <v>1439</v>
      </c>
      <c r="I1352" s="182" t="str">
        <f t="shared" ca="1" si="7"/>
        <v/>
      </c>
      <c r="J1352" s="184"/>
      <c r="K1352" s="198"/>
      <c r="L1352" s="194" t="s">
        <v>1439</v>
      </c>
      <c r="M1352" s="194"/>
      <c r="N1352" s="194"/>
      <c r="O1352" s="194"/>
      <c r="P1352" s="194"/>
      <c r="Q1352" s="194"/>
      <c r="R1352" s="194"/>
      <c r="S1352" s="194"/>
      <c r="T1352" s="194"/>
      <c r="U1352" s="194"/>
      <c r="V1352" s="194"/>
      <c r="W1352" s="194"/>
      <c r="X1352" s="194"/>
      <c r="Y1352" s="194"/>
      <c r="Z1352" s="194"/>
      <c r="AA1352" s="194"/>
    </row>
    <row r="1353" spans="1:27" ht="17.399999999999999">
      <c r="A1353" s="222"/>
      <c r="B1353" s="164"/>
      <c r="C1353" s="194"/>
      <c r="D1353" s="161"/>
      <c r="E1353" s="194"/>
      <c r="F1353" s="198"/>
      <c r="G1353" s="194" t="str">
        <f ca="1">IFERROR(__xludf.DUMMYFUNCTION("""COMPUTED_VALUE"""),"RODAPÉ CARVALHO EUROPEU NATURAL CHEVRON TG 1.5/3 X 9X 51CM")</f>
        <v>RODAPÉ CARVALHO EUROPEU NATURAL CHEVRON TG 1.5/3 X 9X 51CM</v>
      </c>
      <c r="H1353" s="223" t="s">
        <v>1440</v>
      </c>
      <c r="I1353" s="182" t="str">
        <f t="shared" ca="1" si="7"/>
        <v/>
      </c>
      <c r="J1353" s="184"/>
      <c r="K1353" s="198"/>
      <c r="L1353" s="194" t="s">
        <v>1440</v>
      </c>
      <c r="M1353" s="194"/>
      <c r="N1353" s="194"/>
      <c r="O1353" s="194"/>
      <c r="P1353" s="194"/>
      <c r="Q1353" s="194"/>
      <c r="R1353" s="194"/>
      <c r="S1353" s="194"/>
      <c r="T1353" s="194"/>
      <c r="U1353" s="194"/>
      <c r="V1353" s="194"/>
      <c r="W1353" s="194"/>
      <c r="X1353" s="194"/>
      <c r="Y1353" s="194"/>
      <c r="Z1353" s="194"/>
      <c r="AA1353" s="194"/>
    </row>
    <row r="1354" spans="1:27" ht="17.399999999999999">
      <c r="A1354" s="222"/>
      <c r="B1354" s="164"/>
      <c r="C1354" s="194"/>
      <c r="D1354" s="161"/>
      <c r="E1354" s="194"/>
      <c r="F1354" s="198"/>
      <c r="G1354" s="194" t="str">
        <f ca="1">IFERROR(__xludf.DUMMYFUNCTION("""COMPUTED_VALUE"""),"RODAPÉ CARVALHO EUROPEU NUDE CHEVRON 60.. TG 15/3 X 190 X 90CM")</f>
        <v>RODAPÉ CARVALHO EUROPEU NUDE CHEVRON 60.. TG 15/3 X 190 X 90CM</v>
      </c>
      <c r="H1354" s="223" t="s">
        <v>1440</v>
      </c>
      <c r="I1354" s="182" t="str">
        <f t="shared" ca="1" si="7"/>
        <v/>
      </c>
      <c r="J1354" s="184"/>
      <c r="K1354" s="198"/>
      <c r="L1354" s="194" t="s">
        <v>1440</v>
      </c>
      <c r="M1354" s="194"/>
      <c r="N1354" s="194"/>
      <c r="O1354" s="194"/>
      <c r="P1354" s="194"/>
      <c r="Q1354" s="194"/>
      <c r="R1354" s="194"/>
      <c r="S1354" s="194"/>
      <c r="T1354" s="194"/>
      <c r="U1354" s="194"/>
      <c r="V1354" s="194"/>
      <c r="W1354" s="194"/>
      <c r="X1354" s="194"/>
      <c r="Y1354" s="194"/>
      <c r="Z1354" s="194"/>
      <c r="AA1354" s="194"/>
    </row>
    <row r="1355" spans="1:27" ht="17.399999999999999">
      <c r="A1355" s="222"/>
      <c r="B1355" s="164"/>
      <c r="C1355" s="194"/>
      <c r="D1355" s="161"/>
      <c r="E1355" s="194"/>
      <c r="F1355" s="198"/>
      <c r="G1355" s="194" t="str">
        <f ca="1">IFERROR(__xludf.DUMMYFUNCTION("""COMPUTED_VALUE"""),"RODAPÉ CARVALHO EUROPEU NUDE CHEVRON TG 1.5/3X 12.5X 63CM")</f>
        <v>RODAPÉ CARVALHO EUROPEU NUDE CHEVRON TG 1.5/3X 12.5X 63CM</v>
      </c>
      <c r="H1355" s="223" t="s">
        <v>1442</v>
      </c>
      <c r="I1355" s="182" t="str">
        <f t="shared" ca="1" si="7"/>
        <v/>
      </c>
      <c r="J1355" s="184"/>
      <c r="K1355" s="198"/>
      <c r="L1355" s="194" t="s">
        <v>1442</v>
      </c>
      <c r="M1355" s="194"/>
      <c r="N1355" s="194"/>
      <c r="O1355" s="194"/>
      <c r="P1355" s="194"/>
      <c r="Q1355" s="194"/>
      <c r="R1355" s="194"/>
      <c r="S1355" s="194"/>
      <c r="T1355" s="194"/>
      <c r="U1355" s="194"/>
      <c r="V1355" s="194"/>
      <c r="W1355" s="194"/>
      <c r="X1355" s="194"/>
      <c r="Y1355" s="194"/>
      <c r="Z1355" s="194"/>
      <c r="AA1355" s="194"/>
    </row>
    <row r="1356" spans="1:27" ht="17.399999999999999">
      <c r="A1356" s="222"/>
      <c r="B1356" s="164"/>
      <c r="C1356" s="194"/>
      <c r="D1356" s="161"/>
      <c r="E1356" s="194"/>
      <c r="F1356" s="198"/>
      <c r="G1356" s="194" t="str">
        <f ca="1">IFERROR(__xludf.DUMMYFUNCTION("""COMPUTED_VALUE"""),"RODAPÉ WALNUT 15/3 X 125 X 910MM")</f>
        <v>RODAPÉ WALNUT 15/3 X 125 X 910MM</v>
      </c>
      <c r="H1356" s="223" t="s">
        <v>1443</v>
      </c>
      <c r="I1356" s="182" t="str">
        <f t="shared" ca="1" si="7"/>
        <v/>
      </c>
      <c r="J1356" s="184"/>
      <c r="K1356" s="198"/>
      <c r="L1356" s="194" t="s">
        <v>1443</v>
      </c>
      <c r="M1356" s="194"/>
      <c r="N1356" s="194"/>
      <c r="O1356" s="194"/>
      <c r="P1356" s="194"/>
      <c r="Q1356" s="194"/>
      <c r="R1356" s="194"/>
      <c r="S1356" s="194"/>
      <c r="T1356" s="194"/>
      <c r="U1356" s="194"/>
      <c r="V1356" s="194"/>
      <c r="W1356" s="194"/>
      <c r="X1356" s="194"/>
      <c r="Y1356" s="194"/>
      <c r="Z1356" s="194"/>
      <c r="AA1356" s="194"/>
    </row>
    <row r="1357" spans="1:27" ht="17.399999999999999">
      <c r="A1357" s="222"/>
      <c r="B1357" s="164"/>
      <c r="C1357" s="194"/>
      <c r="D1357" s="161"/>
      <c r="E1357" s="194"/>
      <c r="F1357" s="198"/>
      <c r="G1357" s="194" t="str">
        <f ca="1">IFERROR(__xludf.DUMMYFUNCTION("""COMPUTED_VALUE"""),"RODAPÉ WALNUT 15/3 X 190 X 1900MM")</f>
        <v>RODAPÉ WALNUT 15/3 X 190 X 1900MM</v>
      </c>
      <c r="H1357" s="223" t="s">
        <v>1444</v>
      </c>
      <c r="I1357" s="182" t="str">
        <f t="shared" ca="1" si="7"/>
        <v/>
      </c>
      <c r="J1357" s="184"/>
      <c r="K1357" s="198"/>
      <c r="L1357" s="194" t="s">
        <v>1444</v>
      </c>
      <c r="M1357" s="194"/>
      <c r="N1357" s="194"/>
      <c r="O1357" s="194"/>
      <c r="P1357" s="194"/>
      <c r="Q1357" s="194"/>
      <c r="R1357" s="194"/>
      <c r="S1357" s="194"/>
      <c r="T1357" s="194"/>
      <c r="U1357" s="194"/>
      <c r="V1357" s="194"/>
      <c r="W1357" s="194"/>
      <c r="X1357" s="194"/>
      <c r="Y1357" s="194"/>
      <c r="Z1357" s="194"/>
      <c r="AA1357" s="194"/>
    </row>
    <row r="1358" spans="1:27" ht="17.399999999999999">
      <c r="A1358" s="222"/>
      <c r="B1358" s="164"/>
      <c r="C1358" s="194"/>
      <c r="D1358" s="161"/>
      <c r="E1358" s="194"/>
      <c r="F1358" s="198"/>
      <c r="G1358" s="194" t="str">
        <f ca="1">IFERROR(__xludf.DUMMYFUNCTION("""COMPUTED_VALUE"""),"RODAPÉ WALNUT 20/2 X 300 X 4000MM")</f>
        <v>RODAPÉ WALNUT 20/2 X 300 X 4000MM</v>
      </c>
      <c r="H1358" s="223" t="s">
        <v>1445</v>
      </c>
      <c r="I1358" s="182" t="str">
        <f t="shared" ca="1" si="7"/>
        <v/>
      </c>
      <c r="J1358" s="184"/>
      <c r="K1358" s="198"/>
      <c r="L1358" s="194" t="s">
        <v>1445</v>
      </c>
      <c r="M1358" s="194"/>
      <c r="N1358" s="194"/>
      <c r="O1358" s="194"/>
      <c r="P1358" s="194"/>
      <c r="Q1358" s="194"/>
      <c r="R1358" s="194"/>
      <c r="S1358" s="194"/>
      <c r="T1358" s="194"/>
      <c r="U1358" s="194"/>
      <c r="V1358" s="194"/>
      <c r="W1358" s="194"/>
      <c r="X1358" s="194"/>
      <c r="Y1358" s="194"/>
      <c r="Z1358" s="194"/>
      <c r="AA1358" s="194"/>
    </row>
    <row r="1359" spans="1:27" ht="17.399999999999999">
      <c r="A1359" s="222"/>
      <c r="B1359" s="164"/>
      <c r="C1359" s="194"/>
      <c r="D1359" s="161"/>
      <c r="E1359" s="194"/>
      <c r="F1359" s="198"/>
      <c r="G1359" s="194" t="str">
        <f ca="1">IFERROR(__xludf.DUMMYFUNCTION("""COMPUTED_VALUE"""),"RODAPÉ BAMBU ALTA DENS. CUST PREMIUM TG 1.5/4 X19X185CM")</f>
        <v>RODAPÉ BAMBU ALTA DENS. CUST PREMIUM TG 1.5/4 X19X185CM</v>
      </c>
      <c r="H1359" s="223" t="s">
        <v>1446</v>
      </c>
      <c r="I1359" s="182" t="str">
        <f t="shared" ca="1" si="7"/>
        <v/>
      </c>
      <c r="J1359" s="184"/>
      <c r="K1359" s="198"/>
      <c r="L1359" s="194" t="s">
        <v>1446</v>
      </c>
      <c r="M1359" s="194"/>
      <c r="N1359" s="194"/>
      <c r="O1359" s="194"/>
      <c r="P1359" s="194"/>
      <c r="Q1359" s="194"/>
      <c r="R1359" s="194"/>
      <c r="S1359" s="194"/>
      <c r="T1359" s="194"/>
      <c r="U1359" s="194"/>
      <c r="V1359" s="194"/>
      <c r="W1359" s="194"/>
      <c r="X1359" s="194"/>
      <c r="Y1359" s="194"/>
      <c r="Z1359" s="194"/>
      <c r="AA1359" s="194"/>
    </row>
    <row r="1360" spans="1:27" ht="17.399999999999999">
      <c r="A1360" s="222"/>
      <c r="B1360" s="164"/>
      <c r="C1360" s="194"/>
      <c r="D1360" s="161"/>
      <c r="E1360" s="194"/>
      <c r="F1360" s="198"/>
      <c r="G1360" s="194" t="str">
        <f ca="1">IFERROR(__xludf.DUMMYFUNCTION("""COMPUTED_VALUE"""),"RODAPÉ BAMBU CARAMEL ALTA DENSIDADE TG 1.5/4 X19X186CM")</f>
        <v>RODAPÉ BAMBU CARAMEL ALTA DENSIDADE TG 1.5/4 X19X186CM</v>
      </c>
      <c r="H1360" s="223" t="s">
        <v>1447</v>
      </c>
      <c r="I1360" s="182" t="str">
        <f t="shared" ca="1" si="7"/>
        <v/>
      </c>
      <c r="J1360" s="184"/>
      <c r="K1360" s="198"/>
      <c r="L1360" s="194" t="s">
        <v>1447</v>
      </c>
      <c r="M1360" s="194"/>
      <c r="N1360" s="194"/>
      <c r="O1360" s="194"/>
      <c r="P1360" s="194"/>
      <c r="Q1360" s="194"/>
      <c r="R1360" s="194"/>
      <c r="S1360" s="194"/>
      <c r="T1360" s="194"/>
      <c r="U1360" s="194"/>
      <c r="V1360" s="194"/>
      <c r="W1360" s="194"/>
      <c r="X1360" s="194"/>
      <c r="Y1360" s="194"/>
      <c r="Z1360" s="194"/>
      <c r="AA1360" s="194"/>
    </row>
    <row r="1361" spans="1:27" ht="17.399999999999999">
      <c r="A1361" s="222"/>
      <c r="B1361" s="164"/>
      <c r="C1361" s="194"/>
      <c r="D1361" s="161"/>
      <c r="E1361" s="194"/>
      <c r="F1361" s="198"/>
      <c r="G1361" s="194" t="str">
        <f ca="1">IFERROR(__xludf.DUMMYFUNCTION("""COMPUTED_VALUE"""),"RODAPÉ RIPADO CUMARU PREMIUM TG 1,8 X 3,5+0,5CM PROF. BIT 0")</f>
        <v>RODAPÉ RIPADO CUMARU PREMIUM TG 1,8 X 3,5+0,5CM PROF. BIT 0</v>
      </c>
      <c r="H1361" s="223" t="s">
        <v>1448</v>
      </c>
      <c r="I1361" s="182" t="str">
        <f t="shared" ca="1" si="7"/>
        <v/>
      </c>
      <c r="J1361" s="184"/>
      <c r="K1361" s="198"/>
      <c r="L1361" s="194" t="s">
        <v>1448</v>
      </c>
      <c r="M1361" s="194"/>
      <c r="N1361" s="194"/>
      <c r="O1361" s="194"/>
      <c r="P1361" s="194"/>
      <c r="Q1361" s="194"/>
      <c r="R1361" s="194"/>
      <c r="S1361" s="194"/>
      <c r="T1361" s="194"/>
      <c r="U1361" s="194"/>
      <c r="V1361" s="194"/>
      <c r="W1361" s="194"/>
      <c r="X1361" s="194"/>
      <c r="Y1361" s="194"/>
      <c r="Z1361" s="194"/>
      <c r="AA1361" s="194"/>
    </row>
    <row r="1362" spans="1:27" ht="17.399999999999999">
      <c r="A1362" s="222"/>
      <c r="B1362" s="164"/>
      <c r="C1362" s="194"/>
      <c r="D1362" s="161"/>
      <c r="E1362" s="194"/>
      <c r="F1362" s="198"/>
      <c r="G1362" s="194" t="str">
        <f ca="1">IFERROR(__xludf.DUMMYFUNCTION("""COMPUTED_VALUE"""),"RODAPÉ RIPADO CATUABA PREMIUM TG 1,8 X 3,5+0,5CM PROF. BIT 0")</f>
        <v>RODAPÉ RIPADO CATUABA PREMIUM TG 1,8 X 3,5+0,5CM PROF. BIT 0</v>
      </c>
      <c r="H1362" s="223" t="s">
        <v>1449</v>
      </c>
      <c r="I1362" s="182" t="str">
        <f t="shared" ca="1" si="7"/>
        <v/>
      </c>
      <c r="J1362" s="184"/>
      <c r="K1362" s="198"/>
      <c r="L1362" s="194" t="s">
        <v>1449</v>
      </c>
      <c r="M1362" s="194"/>
      <c r="N1362" s="194"/>
      <c r="O1362" s="194"/>
      <c r="P1362" s="194"/>
      <c r="Q1362" s="194"/>
      <c r="R1362" s="194"/>
      <c r="S1362" s="194"/>
      <c r="T1362" s="194"/>
      <c r="U1362" s="194"/>
      <c r="V1362" s="194"/>
      <c r="W1362" s="194"/>
      <c r="X1362" s="194"/>
      <c r="Y1362" s="194"/>
      <c r="Z1362" s="194"/>
      <c r="AA1362" s="194"/>
    </row>
    <row r="1363" spans="1:27" ht="17.399999999999999">
      <c r="A1363" s="222"/>
      <c r="B1363" s="164"/>
      <c r="C1363" s="194"/>
      <c r="D1363" s="161"/>
      <c r="E1363" s="194"/>
      <c r="F1363" s="198"/>
      <c r="G1363" s="194" t="str">
        <f ca="1">IFERROR(__xludf.DUMMYFUNCTION("""COMPUTED_VALUE"""),"RODAPÉ RIPADO CABREUVA BRANCA PREMIUM TG 1,8 X 3,5+0,5CM PROF. BIT 0")</f>
        <v>RODAPÉ RIPADO CABREUVA BRANCA PREMIUM TG 1,8 X 3,5+0,5CM PROF. BIT 0</v>
      </c>
      <c r="H1363" s="223" t="s">
        <v>1450</v>
      </c>
      <c r="I1363" s="182" t="str">
        <f t="shared" ca="1" si="7"/>
        <v/>
      </c>
      <c r="J1363" s="184"/>
      <c r="K1363" s="198"/>
      <c r="L1363" s="194" t="s">
        <v>1450</v>
      </c>
      <c r="M1363" s="194"/>
      <c r="N1363" s="194"/>
      <c r="O1363" s="194"/>
      <c r="P1363" s="194"/>
      <c r="Q1363" s="194"/>
      <c r="R1363" s="194"/>
      <c r="S1363" s="194"/>
      <c r="T1363" s="194"/>
      <c r="U1363" s="194"/>
      <c r="V1363" s="194"/>
      <c r="W1363" s="194"/>
      <c r="X1363" s="194"/>
      <c r="Y1363" s="194"/>
      <c r="Z1363" s="194"/>
      <c r="AA1363" s="194"/>
    </row>
    <row r="1364" spans="1:27" ht="17.399999999999999">
      <c r="A1364" s="222"/>
      <c r="B1364" s="164"/>
      <c r="C1364" s="194"/>
      <c r="D1364" s="161"/>
      <c r="E1364" s="194"/>
      <c r="F1364" s="198"/>
      <c r="G1364" s="194" t="str">
        <f ca="1">IFERROR(__xludf.DUMMYFUNCTION("""COMPUTED_VALUE"""),"RODAPÉ RIPADO CABREUVA DOURADA PREMIUM TG 1,8 X 3,5+0,5CM PROF. BIT 0")</f>
        <v>RODAPÉ RIPADO CABREUVA DOURADA PREMIUM TG 1,8 X 3,5+0,5CM PROF. BIT 0</v>
      </c>
      <c r="H1364" s="223" t="s">
        <v>1451</v>
      </c>
      <c r="I1364" s="182" t="str">
        <f t="shared" ca="1" si="7"/>
        <v/>
      </c>
      <c r="J1364" s="184"/>
      <c r="K1364" s="198"/>
      <c r="L1364" s="194" t="s">
        <v>1451</v>
      </c>
      <c r="M1364" s="194"/>
      <c r="N1364" s="194"/>
      <c r="O1364" s="194"/>
      <c r="P1364" s="194"/>
      <c r="Q1364" s="194"/>
      <c r="R1364" s="194"/>
      <c r="S1364" s="194"/>
      <c r="T1364" s="194"/>
      <c r="U1364" s="194"/>
      <c r="V1364" s="194"/>
      <c r="W1364" s="194"/>
      <c r="X1364" s="194"/>
      <c r="Y1364" s="194"/>
      <c r="Z1364" s="194"/>
      <c r="AA1364" s="194"/>
    </row>
    <row r="1365" spans="1:27" ht="17.399999999999999">
      <c r="A1365" s="222"/>
      <c r="B1365" s="164"/>
      <c r="C1365" s="194"/>
      <c r="D1365" s="161"/>
      <c r="E1365" s="194"/>
      <c r="F1365" s="198"/>
      <c r="G1365" s="194" t="str">
        <f ca="1">IFERROR(__xludf.DUMMYFUNCTION("""COMPUTED_VALUE"""),"RODAPÉ RIPADO TAUARI PREMIUM TG 1,8 X 3,5+0,5CM PROF. BIT 0")</f>
        <v>RODAPÉ RIPADO TAUARI PREMIUM TG 1,8 X 3,5+0,5CM PROF. BIT 0</v>
      </c>
      <c r="H1365" s="223" t="s">
        <v>1452</v>
      </c>
      <c r="I1365" s="182" t="str">
        <f t="shared" ca="1" si="7"/>
        <v/>
      </c>
      <c r="J1365" s="184"/>
      <c r="K1365" s="198"/>
      <c r="L1365" s="194" t="s">
        <v>1452</v>
      </c>
      <c r="M1365" s="194"/>
      <c r="N1365" s="194"/>
      <c r="O1365" s="194"/>
      <c r="P1365" s="194"/>
      <c r="Q1365" s="194"/>
      <c r="R1365" s="194"/>
      <c r="S1365" s="194"/>
      <c r="T1365" s="194"/>
      <c r="U1365" s="194"/>
      <c r="V1365" s="194"/>
      <c r="W1365" s="194"/>
      <c r="X1365" s="194"/>
      <c r="Y1365" s="194"/>
      <c r="Z1365" s="194"/>
      <c r="AA1365" s="194"/>
    </row>
    <row r="1366" spans="1:27" ht="17.399999999999999">
      <c r="A1366" s="222"/>
      <c r="B1366" s="222"/>
      <c r="C1366" s="201"/>
      <c r="D1366" s="163"/>
      <c r="E1366" s="201"/>
      <c r="F1366" s="198"/>
      <c r="G1366" s="201" t="str">
        <f ca="1">IFERROR(__xludf.DUMMYFUNCTION("""COMPUTED_VALUE"""),"RODAPÉ RIPADO PEROBA PREMIUM TG 1,8 X 3,5+0,5CM PROF. BIT 0")</f>
        <v>RODAPÉ RIPADO PEROBA PREMIUM TG 1,8 X 3,5+0,5CM PROF. BIT 0</v>
      </c>
      <c r="H1366" s="223" t="s">
        <v>1453</v>
      </c>
      <c r="I1366" s="182" t="str">
        <f t="shared" ca="1" si="7"/>
        <v/>
      </c>
      <c r="J1366" s="149"/>
      <c r="K1366" s="198"/>
      <c r="L1366" s="201" t="s">
        <v>1453</v>
      </c>
      <c r="M1366" s="201"/>
      <c r="N1366" s="201"/>
      <c r="O1366" s="201"/>
      <c r="P1366" s="201"/>
      <c r="Q1366" s="201"/>
      <c r="R1366" s="201"/>
      <c r="S1366" s="201"/>
      <c r="T1366" s="201"/>
      <c r="U1366" s="201"/>
      <c r="V1366" s="201"/>
      <c r="W1366" s="201"/>
      <c r="X1366" s="201"/>
      <c r="Y1366" s="201"/>
      <c r="Z1366" s="201"/>
      <c r="AA1366" s="201"/>
    </row>
    <row r="1367" spans="1:27" ht="17.399999999999999">
      <c r="A1367" s="222"/>
      <c r="B1367" s="222"/>
      <c r="C1367" s="201"/>
      <c r="D1367" s="163"/>
      <c r="E1367" s="201"/>
      <c r="F1367" s="198"/>
      <c r="G1367" s="201" t="str">
        <f ca="1">IFERROR(__xludf.DUMMYFUNCTION("""COMPUTED_VALUE"""),"RODAPÉ RIPADO LORO PARDO PREMIUM TG 1,8 X 3,5+0,5CM PROF. BIT 0")</f>
        <v>RODAPÉ RIPADO LORO PARDO PREMIUM TG 1,8 X 3,5+0,5CM PROF. BIT 0</v>
      </c>
      <c r="H1367" s="223" t="s">
        <v>1454</v>
      </c>
      <c r="I1367" s="182" t="str">
        <f t="shared" ca="1" si="7"/>
        <v/>
      </c>
      <c r="J1367" s="149"/>
      <c r="K1367" s="198"/>
      <c r="L1367" s="201" t="s">
        <v>1454</v>
      </c>
      <c r="M1367" s="201"/>
      <c r="N1367" s="201"/>
      <c r="O1367" s="201"/>
      <c r="P1367" s="201"/>
      <c r="Q1367" s="201"/>
      <c r="R1367" s="201"/>
      <c r="S1367" s="201"/>
      <c r="T1367" s="201"/>
      <c r="U1367" s="201"/>
      <c r="V1367" s="201"/>
      <c r="W1367" s="201"/>
      <c r="X1367" s="201"/>
      <c r="Y1367" s="201"/>
      <c r="Z1367" s="201"/>
      <c r="AA1367" s="201"/>
    </row>
    <row r="1368" spans="1:27" ht="17.399999999999999">
      <c r="A1368" s="222"/>
      <c r="B1368" s="222"/>
      <c r="C1368" s="201"/>
      <c r="D1368" s="163"/>
      <c r="E1368" s="201"/>
      <c r="F1368" s="198"/>
      <c r="G1368" s="201" t="str">
        <f ca="1">IFERROR(__xludf.DUMMYFUNCTION("""COMPUTED_VALUE"""),"RODAPÉ CUMARU MULTI PREMIUM 19 X 190 X 600 A 2200MM")</f>
        <v>RODAPÉ CUMARU MULTI PREMIUM 19 X 190 X 600 A 2200MM</v>
      </c>
      <c r="H1368" s="223" t="s">
        <v>1455</v>
      </c>
      <c r="I1368" s="182" t="str">
        <f t="shared" ca="1" si="7"/>
        <v/>
      </c>
      <c r="J1368" s="149"/>
      <c r="K1368" s="198"/>
      <c r="L1368" s="201" t="s">
        <v>1455</v>
      </c>
      <c r="M1368" s="201"/>
      <c r="N1368" s="201"/>
      <c r="O1368" s="201"/>
      <c r="P1368" s="201"/>
      <c r="Q1368" s="201"/>
      <c r="R1368" s="201"/>
      <c r="S1368" s="201"/>
      <c r="T1368" s="201"/>
      <c r="U1368" s="201"/>
      <c r="V1368" s="201"/>
      <c r="W1368" s="201"/>
      <c r="X1368" s="201"/>
      <c r="Y1368" s="201"/>
      <c r="Z1368" s="201"/>
      <c r="AA1368" s="201"/>
    </row>
    <row r="1369" spans="1:27" ht="17.399999999999999">
      <c r="A1369" s="222"/>
      <c r="B1369" s="222"/>
      <c r="C1369" s="201"/>
      <c r="D1369" s="163"/>
      <c r="E1369" s="201"/>
      <c r="F1369" s="198"/>
      <c r="G1369" s="201" t="str">
        <f ca="1">IFERROR(__xludf.DUMMYFUNCTION("""COMPUTED_VALUE"""),"RODAPÉ CATUABA MULTI PREMIUM 19 X 190 X 600 A 2200MM")</f>
        <v>RODAPÉ CATUABA MULTI PREMIUM 19 X 190 X 600 A 2200MM</v>
      </c>
      <c r="H1369" s="223" t="s">
        <v>1456</v>
      </c>
      <c r="I1369" s="182" t="str">
        <f t="shared" ca="1" si="7"/>
        <v/>
      </c>
      <c r="J1369" s="149"/>
      <c r="K1369" s="198"/>
      <c r="L1369" s="201" t="s">
        <v>1456</v>
      </c>
      <c r="M1369" s="201"/>
      <c r="N1369" s="201"/>
      <c r="O1369" s="201"/>
      <c r="P1369" s="201"/>
      <c r="Q1369" s="201"/>
      <c r="R1369" s="201"/>
      <c r="S1369" s="201"/>
      <c r="T1369" s="201"/>
      <c r="U1369" s="201"/>
      <c r="V1369" s="201"/>
      <c r="W1369" s="201"/>
      <c r="X1369" s="201"/>
      <c r="Y1369" s="201"/>
      <c r="Z1369" s="201"/>
      <c r="AA1369" s="201"/>
    </row>
    <row r="1370" spans="1:27" ht="17.399999999999999">
      <c r="A1370" s="222"/>
      <c r="B1370" s="222"/>
      <c r="C1370" s="201"/>
      <c r="D1370" s="163"/>
      <c r="E1370" s="201"/>
      <c r="F1370" s="198"/>
      <c r="G1370" s="201" t="str">
        <f ca="1">IFERROR(__xludf.DUMMYFUNCTION("""COMPUTED_VALUE"""),"RODAPÉ CABREUVA BRACA MULTI PREMIUM 19 X 190 X 600 A 2200MM")</f>
        <v>RODAPÉ CABREUVA BRACA MULTI PREMIUM 19 X 190 X 600 A 2200MM</v>
      </c>
      <c r="H1370" s="223" t="s">
        <v>1457</v>
      </c>
      <c r="I1370" s="182" t="str">
        <f t="shared" ca="1" si="7"/>
        <v/>
      </c>
      <c r="J1370" s="149"/>
      <c r="K1370" s="198"/>
      <c r="L1370" s="201" t="s">
        <v>1457</v>
      </c>
      <c r="M1370" s="201"/>
      <c r="N1370" s="201"/>
      <c r="O1370" s="201"/>
      <c r="P1370" s="201"/>
      <c r="Q1370" s="201"/>
      <c r="R1370" s="201"/>
      <c r="S1370" s="201"/>
      <c r="T1370" s="201"/>
      <c r="U1370" s="201"/>
      <c r="V1370" s="201"/>
      <c r="W1370" s="201"/>
      <c r="X1370" s="201"/>
      <c r="Y1370" s="201"/>
      <c r="Z1370" s="201"/>
      <c r="AA1370" s="201"/>
    </row>
    <row r="1371" spans="1:27" ht="17.399999999999999">
      <c r="A1371" s="222"/>
      <c r="B1371" s="222"/>
      <c r="C1371" s="201"/>
      <c r="D1371" s="163"/>
      <c r="E1371" s="201"/>
      <c r="F1371" s="198"/>
      <c r="G1371" s="201" t="str">
        <f ca="1">IFERROR(__xludf.DUMMYFUNCTION("""COMPUTED_VALUE"""),"RODAPÉ CABREUVA DOURADA MULTI PREMIUM 19 X 190 X 600 A 2200MM")</f>
        <v>RODAPÉ CABREUVA DOURADA MULTI PREMIUM 19 X 190 X 600 A 2200MM</v>
      </c>
      <c r="H1371" s="223" t="s">
        <v>1458</v>
      </c>
      <c r="I1371" s="182" t="str">
        <f t="shared" ca="1" si="7"/>
        <v/>
      </c>
      <c r="J1371" s="149"/>
      <c r="K1371" s="198"/>
      <c r="L1371" s="201" t="s">
        <v>1458</v>
      </c>
      <c r="M1371" s="201"/>
      <c r="N1371" s="201"/>
      <c r="O1371" s="201"/>
      <c r="P1371" s="201"/>
      <c r="Q1371" s="201"/>
      <c r="R1371" s="201"/>
      <c r="S1371" s="201"/>
      <c r="T1371" s="201"/>
      <c r="U1371" s="201"/>
      <c r="V1371" s="201"/>
      <c r="W1371" s="201"/>
      <c r="X1371" s="201"/>
      <c r="Y1371" s="201"/>
      <c r="Z1371" s="201"/>
      <c r="AA1371" s="201"/>
    </row>
    <row r="1372" spans="1:27" ht="17.399999999999999">
      <c r="A1372" s="222"/>
      <c r="B1372" s="222"/>
      <c r="C1372" s="201"/>
      <c r="D1372" s="163"/>
      <c r="E1372" s="201"/>
      <c r="F1372" s="198"/>
      <c r="G1372" s="201" t="str">
        <f ca="1">IFERROR(__xludf.DUMMYFUNCTION("""COMPUTED_VALUE"""),"RODAPÉ TAUARI MULTI PREMIUM 19 X 190 X 600 A 2200MM")</f>
        <v>RODAPÉ TAUARI MULTI PREMIUM 19 X 190 X 600 A 2200MM</v>
      </c>
      <c r="H1372" s="223" t="s">
        <v>1459</v>
      </c>
      <c r="I1372" s="182" t="str">
        <f t="shared" ca="1" si="7"/>
        <v/>
      </c>
      <c r="J1372" s="149"/>
      <c r="K1372" s="198"/>
      <c r="L1372" s="201" t="s">
        <v>1459</v>
      </c>
      <c r="M1372" s="201"/>
      <c r="N1372" s="201"/>
      <c r="O1372" s="201"/>
      <c r="P1372" s="201"/>
      <c r="Q1372" s="201"/>
      <c r="R1372" s="201"/>
      <c r="S1372" s="201"/>
      <c r="T1372" s="201"/>
      <c r="U1372" s="201"/>
      <c r="V1372" s="201"/>
      <c r="W1372" s="201"/>
      <c r="X1372" s="201"/>
      <c r="Y1372" s="201"/>
      <c r="Z1372" s="201"/>
      <c r="AA1372" s="201"/>
    </row>
    <row r="1373" spans="1:27" ht="17.399999999999999">
      <c r="A1373" s="222"/>
      <c r="B1373" s="222"/>
      <c r="C1373" s="201"/>
      <c r="D1373" s="163"/>
      <c r="E1373" s="201"/>
      <c r="F1373" s="198"/>
      <c r="G1373" s="201" t="str">
        <f ca="1">IFERROR(__xludf.DUMMYFUNCTION("""COMPUTED_VALUE"""),"RODAPÉ PEROBA MULTI PREMIUM 19 X 190 X 600 A 2200MM")</f>
        <v>RODAPÉ PEROBA MULTI PREMIUM 19 X 190 X 600 A 2200MM</v>
      </c>
      <c r="H1373" s="223" t="s">
        <v>1460</v>
      </c>
      <c r="I1373" s="182" t="str">
        <f t="shared" ca="1" si="7"/>
        <v/>
      </c>
      <c r="J1373" s="149"/>
      <c r="K1373" s="198"/>
      <c r="L1373" s="201" t="s">
        <v>1460</v>
      </c>
      <c r="M1373" s="201"/>
      <c r="N1373" s="201"/>
      <c r="O1373" s="201"/>
      <c r="P1373" s="201"/>
      <c r="Q1373" s="201"/>
      <c r="R1373" s="201"/>
      <c r="S1373" s="201"/>
      <c r="T1373" s="201"/>
      <c r="U1373" s="201"/>
      <c r="V1373" s="201"/>
      <c r="W1373" s="201"/>
      <c r="X1373" s="201"/>
      <c r="Y1373" s="201"/>
      <c r="Z1373" s="201"/>
      <c r="AA1373" s="201"/>
    </row>
    <row r="1374" spans="1:27" ht="17.399999999999999">
      <c r="A1374" s="222"/>
      <c r="B1374" s="222"/>
      <c r="C1374" s="201"/>
      <c r="D1374" s="163"/>
      <c r="E1374" s="201"/>
      <c r="F1374" s="198"/>
      <c r="G1374" s="201" t="str">
        <f ca="1">IFERROR(__xludf.DUMMYFUNCTION("""COMPUTED_VALUE"""),"RODAPÉ LORO PARDO MULTI PREMIUM 19 X 190 X 600 A 2200MM")</f>
        <v>RODAPÉ LORO PARDO MULTI PREMIUM 19 X 190 X 600 A 2200MM</v>
      </c>
      <c r="H1374" s="223" t="s">
        <v>1461</v>
      </c>
      <c r="I1374" s="182" t="str">
        <f t="shared" ca="1" si="7"/>
        <v/>
      </c>
      <c r="J1374" s="149"/>
      <c r="K1374" s="198"/>
      <c r="L1374" s="201" t="s">
        <v>1461</v>
      </c>
      <c r="M1374" s="201"/>
      <c r="N1374" s="201"/>
      <c r="O1374" s="201"/>
      <c r="P1374" s="201"/>
      <c r="Q1374" s="201"/>
      <c r="R1374" s="201"/>
      <c r="S1374" s="201"/>
      <c r="T1374" s="201"/>
      <c r="U1374" s="201"/>
      <c r="V1374" s="201"/>
      <c r="W1374" s="201"/>
      <c r="X1374" s="201"/>
      <c r="Y1374" s="201"/>
      <c r="Z1374" s="201"/>
      <c r="AA1374" s="201"/>
    </row>
    <row r="1375" spans="1:27" ht="17.399999999999999">
      <c r="A1375" s="222"/>
      <c r="B1375" s="222"/>
      <c r="C1375" s="201"/>
      <c r="D1375" s="163"/>
      <c r="E1375" s="201"/>
      <c r="F1375" s="198"/>
      <c r="G1375" s="201" t="str">
        <f ca="1">IFERROR(__xludf.DUMMYFUNCTION("""COMPUTED_VALUE"""),"RODAPÉ MUXARABI CUMARU PREMIUM")</f>
        <v>RODAPÉ MUXARABI CUMARU PREMIUM</v>
      </c>
      <c r="H1375" s="223" t="s">
        <v>1462</v>
      </c>
      <c r="I1375" s="182" t="str">
        <f t="shared" ca="1" si="7"/>
        <v/>
      </c>
      <c r="J1375" s="149"/>
      <c r="K1375" s="198"/>
      <c r="L1375" s="201" t="s">
        <v>1462</v>
      </c>
      <c r="M1375" s="201"/>
      <c r="N1375" s="201"/>
      <c r="O1375" s="201"/>
      <c r="P1375" s="201"/>
      <c r="Q1375" s="201"/>
      <c r="R1375" s="201"/>
      <c r="S1375" s="201"/>
      <c r="T1375" s="201"/>
      <c r="U1375" s="201"/>
      <c r="V1375" s="201"/>
      <c r="W1375" s="201"/>
      <c r="X1375" s="201"/>
      <c r="Y1375" s="201"/>
      <c r="Z1375" s="201"/>
      <c r="AA1375" s="201"/>
    </row>
    <row r="1376" spans="1:27" ht="17.399999999999999">
      <c r="A1376" s="222"/>
      <c r="B1376" s="222"/>
      <c r="C1376" s="201"/>
      <c r="D1376" s="163"/>
      <c r="E1376" s="201"/>
      <c r="F1376" s="198"/>
      <c r="G1376" s="201" t="str">
        <f ca="1">IFERROR(__xludf.DUMMYFUNCTION("""COMPUTED_VALUE"""),"RODAPÉ MUXARABI CATUABA PREMIUM")</f>
        <v>RODAPÉ MUXARABI CATUABA PREMIUM</v>
      </c>
      <c r="H1376" s="223" t="s">
        <v>1463</v>
      </c>
      <c r="I1376" s="182" t="str">
        <f t="shared" ca="1" si="7"/>
        <v/>
      </c>
      <c r="J1376" s="149"/>
      <c r="K1376" s="198"/>
      <c r="L1376" s="201" t="s">
        <v>1463</v>
      </c>
      <c r="M1376" s="201"/>
      <c r="N1376" s="201"/>
      <c r="O1376" s="201"/>
      <c r="P1376" s="201"/>
      <c r="Q1376" s="201"/>
      <c r="R1376" s="201"/>
      <c r="S1376" s="201"/>
      <c r="T1376" s="201"/>
      <c r="U1376" s="201"/>
      <c r="V1376" s="201"/>
      <c r="W1376" s="201"/>
      <c r="X1376" s="201"/>
      <c r="Y1376" s="201"/>
      <c r="Z1376" s="201"/>
      <c r="AA1376" s="201"/>
    </row>
    <row r="1377" spans="1:27" ht="17.399999999999999">
      <c r="A1377" s="222"/>
      <c r="B1377" s="222"/>
      <c r="C1377" s="201"/>
      <c r="D1377" s="163"/>
      <c r="E1377" s="201"/>
      <c r="F1377" s="198"/>
      <c r="G1377" s="201" t="str">
        <f ca="1">IFERROR(__xludf.DUMMYFUNCTION("""COMPUTED_VALUE"""),"RODAPÉ MUXARABI CABREUVA BRANCA PREMIUM")</f>
        <v>RODAPÉ MUXARABI CABREUVA BRANCA PREMIUM</v>
      </c>
      <c r="H1377" s="223" t="s">
        <v>1464</v>
      </c>
      <c r="I1377" s="182" t="str">
        <f t="shared" ca="1" si="7"/>
        <v/>
      </c>
      <c r="J1377" s="149"/>
      <c r="K1377" s="198"/>
      <c r="L1377" s="201" t="s">
        <v>1464</v>
      </c>
      <c r="M1377" s="201"/>
      <c r="N1377" s="201"/>
      <c r="O1377" s="201"/>
      <c r="P1377" s="201"/>
      <c r="Q1377" s="201"/>
      <c r="R1377" s="201"/>
      <c r="S1377" s="201"/>
      <c r="T1377" s="201"/>
      <c r="U1377" s="201"/>
      <c r="V1377" s="201"/>
      <c r="W1377" s="201"/>
      <c r="X1377" s="201"/>
      <c r="Y1377" s="201"/>
      <c r="Z1377" s="201"/>
      <c r="AA1377" s="201"/>
    </row>
    <row r="1378" spans="1:27" ht="17.399999999999999">
      <c r="A1378" s="222"/>
      <c r="B1378" s="222"/>
      <c r="C1378" s="201"/>
      <c r="D1378" s="163"/>
      <c r="E1378" s="201"/>
      <c r="F1378" s="198"/>
      <c r="G1378" s="201" t="str">
        <f ca="1">IFERROR(__xludf.DUMMYFUNCTION("""COMPUTED_VALUE"""),"RODAPÉ MUXARABI CABREUVA DOURADA PREMIUM")</f>
        <v>RODAPÉ MUXARABI CABREUVA DOURADA PREMIUM</v>
      </c>
      <c r="H1378" s="223" t="s">
        <v>1465</v>
      </c>
      <c r="I1378" s="182" t="str">
        <f t="shared" ca="1" si="7"/>
        <v/>
      </c>
      <c r="J1378" s="149"/>
      <c r="K1378" s="198"/>
      <c r="L1378" s="201" t="s">
        <v>1465</v>
      </c>
      <c r="M1378" s="201"/>
      <c r="N1378" s="201"/>
      <c r="O1378" s="201"/>
      <c r="P1378" s="201"/>
      <c r="Q1378" s="201"/>
      <c r="R1378" s="201"/>
      <c r="S1378" s="201"/>
      <c r="T1378" s="201"/>
      <c r="U1378" s="201"/>
      <c r="V1378" s="201"/>
      <c r="W1378" s="201"/>
      <c r="X1378" s="201"/>
      <c r="Y1378" s="201"/>
      <c r="Z1378" s="201"/>
      <c r="AA1378" s="201"/>
    </row>
    <row r="1379" spans="1:27" ht="17.399999999999999">
      <c r="A1379" s="222"/>
      <c r="B1379" s="222"/>
      <c r="C1379" s="201"/>
      <c r="D1379" s="163"/>
      <c r="E1379" s="201"/>
      <c r="F1379" s="198"/>
      <c r="G1379" s="201" t="str">
        <f ca="1">IFERROR(__xludf.DUMMYFUNCTION("""COMPUTED_VALUE"""),"RODAPÉ MUXARABI TAUARI PREMIUM")</f>
        <v>RODAPÉ MUXARABI TAUARI PREMIUM</v>
      </c>
      <c r="H1379" s="223" t="s">
        <v>1466</v>
      </c>
      <c r="I1379" s="182" t="str">
        <f t="shared" ca="1" si="7"/>
        <v/>
      </c>
      <c r="J1379" s="149"/>
      <c r="K1379" s="198"/>
      <c r="L1379" s="201" t="s">
        <v>1466</v>
      </c>
      <c r="M1379" s="201"/>
      <c r="N1379" s="201"/>
      <c r="O1379" s="201"/>
      <c r="P1379" s="201"/>
      <c r="Q1379" s="201"/>
      <c r="R1379" s="201"/>
      <c r="S1379" s="201"/>
      <c r="T1379" s="201"/>
      <c r="U1379" s="201"/>
      <c r="V1379" s="201"/>
      <c r="W1379" s="201"/>
      <c r="X1379" s="201"/>
      <c r="Y1379" s="201"/>
      <c r="Z1379" s="201"/>
      <c r="AA1379" s="201"/>
    </row>
    <row r="1380" spans="1:27" ht="17.399999999999999">
      <c r="A1380" s="222"/>
      <c r="B1380" s="222"/>
      <c r="C1380" s="201"/>
      <c r="D1380" s="163"/>
      <c r="E1380" s="201"/>
      <c r="F1380" s="198"/>
      <c r="G1380" s="201" t="str">
        <f ca="1">IFERROR(__xludf.DUMMYFUNCTION("""COMPUTED_VALUE"""),"RODAPÉ MUXARABI PEROBA PREMIUM")</f>
        <v>RODAPÉ MUXARABI PEROBA PREMIUM</v>
      </c>
      <c r="H1380" s="223" t="s">
        <v>1467</v>
      </c>
      <c r="I1380" s="182" t="str">
        <f t="shared" ca="1" si="7"/>
        <v/>
      </c>
      <c r="J1380" s="149"/>
      <c r="K1380" s="198"/>
      <c r="L1380" s="201" t="s">
        <v>1467</v>
      </c>
      <c r="M1380" s="201"/>
      <c r="N1380" s="201"/>
      <c r="O1380" s="201"/>
      <c r="P1380" s="201"/>
      <c r="Q1380" s="201"/>
      <c r="R1380" s="201"/>
      <c r="S1380" s="201"/>
      <c r="T1380" s="201"/>
      <c r="U1380" s="201"/>
      <c r="V1380" s="201"/>
      <c r="W1380" s="201"/>
      <c r="X1380" s="201"/>
      <c r="Y1380" s="201"/>
      <c r="Z1380" s="201"/>
      <c r="AA1380" s="201"/>
    </row>
    <row r="1381" spans="1:27" ht="17.399999999999999">
      <c r="A1381" s="222"/>
      <c r="B1381" s="222"/>
      <c r="C1381" s="201"/>
      <c r="D1381" s="163"/>
      <c r="E1381" s="201"/>
      <c r="F1381" s="198"/>
      <c r="G1381" s="201" t="str">
        <f ca="1">IFERROR(__xludf.DUMMYFUNCTION("""COMPUTED_VALUE"""),"RODAPÉ MUXARABI LORO PARDO PREMIUM")</f>
        <v>RODAPÉ MUXARABI LORO PARDO PREMIUM</v>
      </c>
      <c r="H1381" s="223" t="s">
        <v>1468</v>
      </c>
      <c r="I1381" s="182" t="str">
        <f t="shared" ca="1" si="7"/>
        <v/>
      </c>
      <c r="J1381" s="149"/>
      <c r="K1381" s="198"/>
      <c r="L1381" s="201" t="s">
        <v>1468</v>
      </c>
      <c r="M1381" s="201"/>
      <c r="N1381" s="201"/>
      <c r="O1381" s="201"/>
      <c r="P1381" s="201"/>
      <c r="Q1381" s="201"/>
      <c r="R1381" s="201"/>
      <c r="S1381" s="201"/>
      <c r="T1381" s="201"/>
      <c r="U1381" s="201"/>
      <c r="V1381" s="201"/>
      <c r="W1381" s="201"/>
      <c r="X1381" s="201"/>
      <c r="Y1381" s="201"/>
      <c r="Z1381" s="201"/>
      <c r="AA1381" s="201"/>
    </row>
    <row r="1382" spans="1:27" ht="17.399999999999999">
      <c r="A1382" s="222"/>
      <c r="B1382" s="222"/>
      <c r="C1382" s="201"/>
      <c r="D1382" s="163"/>
      <c r="E1382" s="201"/>
      <c r="F1382" s="198"/>
      <c r="G1382" s="201" t="str">
        <f ca="1">IFERROR(__xludf.DUMMYFUNCTION("""COMPUTED_VALUE"""),"RODAPÉ TOBLERONE CUMARU PREMIUM 3 X 3 COMPR. VARIAVEIS")</f>
        <v>RODAPÉ TOBLERONE CUMARU PREMIUM 3 X 3 COMPR. VARIAVEIS</v>
      </c>
      <c r="H1382" s="223" t="s">
        <v>1469</v>
      </c>
      <c r="I1382" s="182" t="str">
        <f t="shared" ca="1" si="7"/>
        <v/>
      </c>
      <c r="J1382" s="149"/>
      <c r="K1382" s="198"/>
      <c r="L1382" s="201" t="s">
        <v>1469</v>
      </c>
      <c r="M1382" s="201"/>
      <c r="N1382" s="201"/>
      <c r="O1382" s="201"/>
      <c r="P1382" s="201"/>
      <c r="Q1382" s="201"/>
      <c r="R1382" s="201"/>
      <c r="S1382" s="201"/>
      <c r="T1382" s="201"/>
      <c r="U1382" s="201"/>
      <c r="V1382" s="201"/>
      <c r="W1382" s="201"/>
      <c r="X1382" s="201"/>
      <c r="Y1382" s="201"/>
      <c r="Z1382" s="201"/>
      <c r="AA1382" s="201"/>
    </row>
    <row r="1383" spans="1:27" ht="17.399999999999999">
      <c r="A1383" s="222"/>
      <c r="B1383" s="222"/>
      <c r="C1383" s="201"/>
      <c r="D1383" s="163"/>
      <c r="E1383" s="201"/>
      <c r="F1383" s="198"/>
      <c r="G1383" s="201" t="str">
        <f ca="1">IFERROR(__xludf.DUMMYFUNCTION("""COMPUTED_VALUE"""),"RODAPÉ TOBLERONE CATUABA PREMIUM 3 X 3 COMPR. VARIAVEIS")</f>
        <v>RODAPÉ TOBLERONE CATUABA PREMIUM 3 X 3 COMPR. VARIAVEIS</v>
      </c>
      <c r="H1383" s="223" t="s">
        <v>1470</v>
      </c>
      <c r="I1383" s="182" t="str">
        <f t="shared" ca="1" si="7"/>
        <v/>
      </c>
      <c r="J1383" s="149"/>
      <c r="K1383" s="198"/>
      <c r="L1383" s="201" t="s">
        <v>1470</v>
      </c>
      <c r="M1383" s="201"/>
      <c r="N1383" s="201"/>
      <c r="O1383" s="201"/>
      <c r="P1383" s="201"/>
      <c r="Q1383" s="201"/>
      <c r="R1383" s="201"/>
      <c r="S1383" s="201"/>
      <c r="T1383" s="201"/>
      <c r="U1383" s="201"/>
      <c r="V1383" s="201"/>
      <c r="W1383" s="201"/>
      <c r="X1383" s="201"/>
      <c r="Y1383" s="201"/>
      <c r="Z1383" s="201"/>
      <c r="AA1383" s="201"/>
    </row>
    <row r="1384" spans="1:27" ht="17.399999999999999">
      <c r="A1384" s="222"/>
      <c r="B1384" s="222"/>
      <c r="C1384" s="201"/>
      <c r="D1384" s="163"/>
      <c r="E1384" s="201"/>
      <c r="F1384" s="198"/>
      <c r="G1384" s="201" t="str">
        <f ca="1">IFERROR(__xludf.DUMMYFUNCTION("""COMPUTED_VALUE"""),"RODAPÉ TOBLERONE CABREUVA BRANCA PREMIUM 3 X 3 COMPR. VARIAVEIS")</f>
        <v>RODAPÉ TOBLERONE CABREUVA BRANCA PREMIUM 3 X 3 COMPR. VARIAVEIS</v>
      </c>
      <c r="H1384" s="223" t="s">
        <v>1471</v>
      </c>
      <c r="I1384" s="182" t="str">
        <f t="shared" ca="1" si="7"/>
        <v/>
      </c>
      <c r="J1384" s="149"/>
      <c r="K1384" s="198"/>
      <c r="L1384" s="201" t="s">
        <v>1471</v>
      </c>
      <c r="M1384" s="201"/>
      <c r="N1384" s="201"/>
      <c r="O1384" s="201"/>
      <c r="P1384" s="201"/>
      <c r="Q1384" s="201"/>
      <c r="R1384" s="201"/>
      <c r="S1384" s="201"/>
      <c r="T1384" s="201"/>
      <c r="U1384" s="201"/>
      <c r="V1384" s="201"/>
      <c r="W1384" s="201"/>
      <c r="X1384" s="201"/>
      <c r="Y1384" s="201"/>
      <c r="Z1384" s="201"/>
      <c r="AA1384" s="201"/>
    </row>
    <row r="1385" spans="1:27" ht="17.399999999999999">
      <c r="A1385" s="222"/>
      <c r="B1385" s="222"/>
      <c r="C1385" s="201"/>
      <c r="D1385" s="163"/>
      <c r="E1385" s="201"/>
      <c r="F1385" s="198"/>
      <c r="G1385" s="201" t="str">
        <f ca="1">IFERROR(__xludf.DUMMYFUNCTION("""COMPUTED_VALUE"""),"RODAPÉ TOBLERONE CABREUVA DOURADA PREMIUM 3 X 3 COMPR. VARIAVEIS")</f>
        <v>RODAPÉ TOBLERONE CABREUVA DOURADA PREMIUM 3 X 3 COMPR. VARIAVEIS</v>
      </c>
      <c r="H1385" s="223" t="s">
        <v>1472</v>
      </c>
      <c r="I1385" s="182" t="str">
        <f t="shared" ca="1" si="7"/>
        <v/>
      </c>
      <c r="J1385" s="149"/>
      <c r="K1385" s="198"/>
      <c r="L1385" s="201" t="s">
        <v>1472</v>
      </c>
      <c r="M1385" s="201"/>
      <c r="N1385" s="201"/>
      <c r="O1385" s="201"/>
      <c r="P1385" s="201"/>
      <c r="Q1385" s="201"/>
      <c r="R1385" s="201"/>
      <c r="S1385" s="201"/>
      <c r="T1385" s="201"/>
      <c r="U1385" s="201"/>
      <c r="V1385" s="201"/>
      <c r="W1385" s="201"/>
      <c r="X1385" s="201"/>
      <c r="Y1385" s="201"/>
      <c r="Z1385" s="201"/>
      <c r="AA1385" s="201"/>
    </row>
    <row r="1386" spans="1:27" ht="17.399999999999999">
      <c r="A1386" s="222"/>
      <c r="B1386" s="222"/>
      <c r="C1386" s="201"/>
      <c r="D1386" s="163"/>
      <c r="E1386" s="201"/>
      <c r="F1386" s="198"/>
      <c r="G1386" s="201" t="str">
        <f ca="1">IFERROR(__xludf.DUMMYFUNCTION("""COMPUTED_VALUE"""),"RODAPÉ TOBLERONE TAUARI PREMIUM 3 X 3 COMPR. VARIAVEIS")</f>
        <v>RODAPÉ TOBLERONE TAUARI PREMIUM 3 X 3 COMPR. VARIAVEIS</v>
      </c>
      <c r="H1386" s="223" t="s">
        <v>1473</v>
      </c>
      <c r="I1386" s="182" t="str">
        <f t="shared" ca="1" si="7"/>
        <v/>
      </c>
      <c r="J1386" s="149"/>
      <c r="K1386" s="198"/>
      <c r="L1386" s="201" t="s">
        <v>1473</v>
      </c>
      <c r="M1386" s="201"/>
      <c r="N1386" s="201"/>
      <c r="O1386" s="201"/>
      <c r="P1386" s="201"/>
      <c r="Q1386" s="201"/>
      <c r="R1386" s="201"/>
      <c r="S1386" s="201"/>
      <c r="T1386" s="201"/>
      <c r="U1386" s="201"/>
      <c r="V1386" s="201"/>
      <c r="W1386" s="201"/>
      <c r="X1386" s="201"/>
      <c r="Y1386" s="201"/>
      <c r="Z1386" s="201"/>
      <c r="AA1386" s="201"/>
    </row>
    <row r="1387" spans="1:27" ht="17.399999999999999">
      <c r="A1387" s="222"/>
      <c r="B1387" s="222"/>
      <c r="C1387" s="201"/>
      <c r="D1387" s="163"/>
      <c r="E1387" s="201"/>
      <c r="F1387" s="198"/>
      <c r="G1387" s="201" t="str">
        <f ca="1">IFERROR(__xludf.DUMMYFUNCTION("""COMPUTED_VALUE"""),"RODAPÉ TOBLERONE PEROBA PREMIUM 3 X 3 COMPR. VARIAVEIS")</f>
        <v>RODAPÉ TOBLERONE PEROBA PREMIUM 3 X 3 COMPR. VARIAVEIS</v>
      </c>
      <c r="H1387" s="223" t="s">
        <v>1474</v>
      </c>
      <c r="I1387" s="182" t="str">
        <f t="shared" ca="1" si="7"/>
        <v/>
      </c>
      <c r="J1387" s="149"/>
      <c r="K1387" s="198"/>
      <c r="L1387" s="201" t="s">
        <v>1474</v>
      </c>
      <c r="M1387" s="201"/>
      <c r="N1387" s="201"/>
      <c r="O1387" s="201"/>
      <c r="P1387" s="201"/>
      <c r="Q1387" s="201"/>
      <c r="R1387" s="201"/>
      <c r="S1387" s="201"/>
      <c r="T1387" s="201"/>
      <c r="U1387" s="201"/>
      <c r="V1387" s="201"/>
      <c r="W1387" s="201"/>
      <c r="X1387" s="201"/>
      <c r="Y1387" s="201"/>
      <c r="Z1387" s="201"/>
      <c r="AA1387" s="201"/>
    </row>
    <row r="1388" spans="1:27" ht="17.399999999999999">
      <c r="A1388" s="222"/>
      <c r="B1388" s="222"/>
      <c r="C1388" s="201"/>
      <c r="D1388" s="163"/>
      <c r="E1388" s="201"/>
      <c r="F1388" s="198"/>
      <c r="G1388" s="201" t="str">
        <f ca="1">IFERROR(__xludf.DUMMYFUNCTION("""COMPUTED_VALUE"""),"RODAPÉ TOBLERONE LORO PARDO PREMIUM 3 X 3 COMPR. VARIAVEIS")</f>
        <v>RODAPÉ TOBLERONE LORO PARDO PREMIUM 3 X 3 COMPR. VARIAVEIS</v>
      </c>
      <c r="H1388" s="223" t="s">
        <v>1475</v>
      </c>
      <c r="I1388" s="182" t="str">
        <f t="shared" ca="1" si="7"/>
        <v/>
      </c>
      <c r="J1388" s="149"/>
      <c r="K1388" s="198"/>
      <c r="L1388" s="201" t="s">
        <v>1475</v>
      </c>
      <c r="M1388" s="201"/>
      <c r="N1388" s="201"/>
      <c r="O1388" s="201"/>
      <c r="P1388" s="201"/>
      <c r="Q1388" s="201"/>
      <c r="R1388" s="201"/>
      <c r="S1388" s="201"/>
      <c r="T1388" s="201"/>
      <c r="U1388" s="201"/>
      <c r="V1388" s="201"/>
      <c r="W1388" s="201"/>
      <c r="X1388" s="201"/>
      <c r="Y1388" s="201"/>
      <c r="Z1388" s="201"/>
      <c r="AA1388" s="201"/>
    </row>
    <row r="1389" spans="1:27" ht="17.399999999999999">
      <c r="A1389" s="222"/>
      <c r="B1389" s="222"/>
      <c r="C1389" s="201"/>
      <c r="D1389" s="163"/>
      <c r="E1389" s="201"/>
      <c r="F1389" s="198"/>
      <c r="G1389" s="201" t="str">
        <f ca="1">IFERROR(__xludf.DUMMYFUNCTION("""COMPUTED_VALUE"""),"RODAPÉ DECK CUMARU PREMIUM TG 2,5 X 5 X COMPR. VARIAVEIS")</f>
        <v>RODAPÉ DECK CUMARU PREMIUM TG 2,5 X 5 X COMPR. VARIAVEIS</v>
      </c>
      <c r="H1389" s="223" t="s">
        <v>1476</v>
      </c>
      <c r="I1389" s="182" t="str">
        <f t="shared" ca="1" si="7"/>
        <v/>
      </c>
      <c r="J1389" s="149"/>
      <c r="K1389" s="198"/>
      <c r="L1389" s="201" t="s">
        <v>1476</v>
      </c>
      <c r="M1389" s="201"/>
      <c r="N1389" s="201"/>
      <c r="O1389" s="201"/>
      <c r="P1389" s="201"/>
      <c r="Q1389" s="201"/>
      <c r="R1389" s="201"/>
      <c r="S1389" s="201"/>
      <c r="T1389" s="201"/>
      <c r="U1389" s="201"/>
      <c r="V1389" s="201"/>
      <c r="W1389" s="201"/>
      <c r="X1389" s="201"/>
      <c r="Y1389" s="201"/>
      <c r="Z1389" s="201"/>
      <c r="AA1389" s="201"/>
    </row>
    <row r="1390" spans="1:27" ht="17.399999999999999">
      <c r="A1390" s="222"/>
      <c r="B1390" s="222"/>
      <c r="C1390" s="201"/>
      <c r="D1390" s="163"/>
      <c r="E1390" s="201"/>
      <c r="F1390" s="198"/>
      <c r="G1390" s="201" t="str">
        <f ca="1">IFERROR(__xludf.DUMMYFUNCTION("""COMPUTED_VALUE"""),"RODAPÉ DECK CUMARU PREMIUM TG 2,5 X 10 X COMPR. VARIAVEIS")</f>
        <v>RODAPÉ DECK CUMARU PREMIUM TG 2,5 X 10 X COMPR. VARIAVEIS</v>
      </c>
      <c r="H1390" s="223" t="s">
        <v>1477</v>
      </c>
      <c r="I1390" s="182" t="str">
        <f t="shared" ca="1" si="7"/>
        <v/>
      </c>
      <c r="J1390" s="149"/>
      <c r="K1390" s="198"/>
      <c r="L1390" s="201" t="s">
        <v>1477</v>
      </c>
      <c r="M1390" s="201"/>
      <c r="N1390" s="201"/>
      <c r="O1390" s="201"/>
      <c r="P1390" s="201"/>
      <c r="Q1390" s="201"/>
      <c r="R1390" s="201"/>
      <c r="S1390" s="201"/>
      <c r="T1390" s="201"/>
      <c r="U1390" s="201"/>
      <c r="V1390" s="201"/>
      <c r="W1390" s="201"/>
      <c r="X1390" s="201"/>
      <c r="Y1390" s="201"/>
      <c r="Z1390" s="201"/>
      <c r="AA1390" s="201"/>
    </row>
    <row r="1391" spans="1:27" ht="17.399999999999999">
      <c r="A1391" s="222"/>
      <c r="B1391" s="222"/>
      <c r="C1391" s="201"/>
      <c r="D1391" s="163"/>
      <c r="E1391" s="201"/>
      <c r="F1391" s="198"/>
      <c r="G1391" s="201" t="str">
        <f ca="1">IFERROR(__xludf.DUMMYFUNCTION("""COMPUTED_VALUE"""),"RODAPÉ DECK CATUABA PREMIUM TG 2,5 X 5 X COMPR. VARIAVEIS")</f>
        <v>RODAPÉ DECK CATUABA PREMIUM TG 2,5 X 5 X COMPR. VARIAVEIS</v>
      </c>
      <c r="H1391" s="223" t="s">
        <v>1478</v>
      </c>
      <c r="I1391" s="182" t="str">
        <f t="shared" ca="1" si="7"/>
        <v/>
      </c>
      <c r="J1391" s="149"/>
      <c r="K1391" s="198"/>
      <c r="L1391" s="201" t="s">
        <v>1478</v>
      </c>
      <c r="M1391" s="201"/>
      <c r="N1391" s="201"/>
      <c r="O1391" s="201"/>
      <c r="P1391" s="201"/>
      <c r="Q1391" s="201"/>
      <c r="R1391" s="201"/>
      <c r="S1391" s="201"/>
      <c r="T1391" s="201"/>
      <c r="U1391" s="201"/>
      <c r="V1391" s="201"/>
      <c r="W1391" s="201"/>
      <c r="X1391" s="201"/>
      <c r="Y1391" s="201"/>
      <c r="Z1391" s="201"/>
      <c r="AA1391" s="201"/>
    </row>
    <row r="1392" spans="1:27" ht="17.399999999999999">
      <c r="A1392" s="222"/>
      <c r="B1392" s="222"/>
      <c r="C1392" s="201"/>
      <c r="D1392" s="163"/>
      <c r="E1392" s="201"/>
      <c r="F1392" s="198"/>
      <c r="G1392" s="201" t="str">
        <f ca="1">IFERROR(__xludf.DUMMYFUNCTION("""COMPUTED_VALUE"""),"RODAPÉ DECK CATUABA PREMIUM TG 2,5 X 10 X COMPR. VARIAVEIS")</f>
        <v>RODAPÉ DECK CATUABA PREMIUM TG 2,5 X 10 X COMPR. VARIAVEIS</v>
      </c>
      <c r="H1392" s="223" t="s">
        <v>1479</v>
      </c>
      <c r="I1392" s="182" t="str">
        <f t="shared" ca="1" si="7"/>
        <v/>
      </c>
      <c r="J1392" s="149"/>
      <c r="K1392" s="198"/>
      <c r="L1392" s="201" t="s">
        <v>1479</v>
      </c>
      <c r="M1392" s="201"/>
      <c r="N1392" s="201"/>
      <c r="O1392" s="201"/>
      <c r="P1392" s="201"/>
      <c r="Q1392" s="201"/>
      <c r="R1392" s="201"/>
      <c r="S1392" s="201"/>
      <c r="T1392" s="201"/>
      <c r="U1392" s="201"/>
      <c r="V1392" s="201"/>
      <c r="W1392" s="201"/>
      <c r="X1392" s="201"/>
      <c r="Y1392" s="201"/>
      <c r="Z1392" s="201"/>
      <c r="AA1392" s="201"/>
    </row>
    <row r="1393" spans="1:27" ht="17.399999999999999">
      <c r="A1393" s="222"/>
      <c r="B1393" s="222"/>
      <c r="C1393" s="201"/>
      <c r="D1393" s="163"/>
      <c r="E1393" s="201"/>
      <c r="F1393" s="198"/>
      <c r="G1393" s="201" t="str">
        <f ca="1">IFERROR(__xludf.DUMMYFUNCTION("""COMPUTED_VALUE"""),"RODAPÉ DECK CABREUVA BRANCA PREMIUM TG 2,5 X 5 X COMPR. VARIAVEIS")</f>
        <v>RODAPÉ DECK CABREUVA BRANCA PREMIUM TG 2,5 X 5 X COMPR. VARIAVEIS</v>
      </c>
      <c r="H1393" s="223" t="s">
        <v>1480</v>
      </c>
      <c r="I1393" s="182" t="str">
        <f t="shared" ca="1" si="7"/>
        <v/>
      </c>
      <c r="J1393" s="149"/>
      <c r="K1393" s="198"/>
      <c r="L1393" s="201" t="s">
        <v>1480</v>
      </c>
      <c r="M1393" s="201"/>
      <c r="N1393" s="201"/>
      <c r="O1393" s="201"/>
      <c r="P1393" s="201"/>
      <c r="Q1393" s="201"/>
      <c r="R1393" s="201"/>
      <c r="S1393" s="201"/>
      <c r="T1393" s="201"/>
      <c r="U1393" s="201"/>
      <c r="V1393" s="201"/>
      <c r="W1393" s="201"/>
      <c r="X1393" s="201"/>
      <c r="Y1393" s="201"/>
      <c r="Z1393" s="201"/>
      <c r="AA1393" s="201"/>
    </row>
    <row r="1394" spans="1:27" ht="17.399999999999999">
      <c r="A1394" s="222"/>
      <c r="B1394" s="222"/>
      <c r="C1394" s="201"/>
      <c r="D1394" s="163"/>
      <c r="E1394" s="201"/>
      <c r="F1394" s="198"/>
      <c r="G1394" s="201" t="str">
        <f ca="1">IFERROR(__xludf.DUMMYFUNCTION("""COMPUTED_VALUE"""),"RODAPÉ DECK CABREUVA BRANCA PREMIUM TG 2,5 X 10 X COMPR. VARIAVEIS")</f>
        <v>RODAPÉ DECK CABREUVA BRANCA PREMIUM TG 2,5 X 10 X COMPR. VARIAVEIS</v>
      </c>
      <c r="H1394" s="223" t="s">
        <v>1481</v>
      </c>
      <c r="I1394" s="182" t="str">
        <f t="shared" ca="1" si="7"/>
        <v/>
      </c>
      <c r="J1394" s="149"/>
      <c r="K1394" s="198"/>
      <c r="L1394" s="201" t="s">
        <v>1481</v>
      </c>
      <c r="M1394" s="201"/>
      <c r="N1394" s="201"/>
      <c r="O1394" s="201"/>
      <c r="P1394" s="201"/>
      <c r="Q1394" s="201"/>
      <c r="R1394" s="201"/>
      <c r="S1394" s="201"/>
      <c r="T1394" s="201"/>
      <c r="U1394" s="201"/>
      <c r="V1394" s="201"/>
      <c r="W1394" s="201"/>
      <c r="X1394" s="201"/>
      <c r="Y1394" s="201"/>
      <c r="Z1394" s="201"/>
      <c r="AA1394" s="201"/>
    </row>
    <row r="1395" spans="1:27" ht="17.399999999999999">
      <c r="A1395" s="222"/>
      <c r="B1395" s="222"/>
      <c r="C1395" s="201"/>
      <c r="D1395" s="163"/>
      <c r="E1395" s="201"/>
      <c r="F1395" s="198"/>
      <c r="G1395" s="201" t="str">
        <f ca="1">IFERROR(__xludf.DUMMYFUNCTION("""COMPUTED_VALUE"""),"RODAPÉ DECK CABREUVA DOURADA PREMIUM TG 2,5 X 5 X COMPR. VARIAVEIS")</f>
        <v>RODAPÉ DECK CABREUVA DOURADA PREMIUM TG 2,5 X 5 X COMPR. VARIAVEIS</v>
      </c>
      <c r="H1395" s="223" t="s">
        <v>1482</v>
      </c>
      <c r="I1395" s="182" t="str">
        <f t="shared" ca="1" si="7"/>
        <v/>
      </c>
      <c r="J1395" s="149"/>
      <c r="K1395" s="198"/>
      <c r="L1395" s="201" t="s">
        <v>1482</v>
      </c>
      <c r="M1395" s="201"/>
      <c r="N1395" s="201"/>
      <c r="O1395" s="201"/>
      <c r="P1395" s="201"/>
      <c r="Q1395" s="201"/>
      <c r="R1395" s="201"/>
      <c r="S1395" s="201"/>
      <c r="T1395" s="201"/>
      <c r="U1395" s="201"/>
      <c r="V1395" s="201"/>
      <c r="W1395" s="201"/>
      <c r="X1395" s="201"/>
      <c r="Y1395" s="201"/>
      <c r="Z1395" s="201"/>
      <c r="AA1395" s="201"/>
    </row>
    <row r="1396" spans="1:27" ht="17.399999999999999">
      <c r="A1396" s="222"/>
      <c r="B1396" s="222"/>
      <c r="C1396" s="201"/>
      <c r="D1396" s="163"/>
      <c r="E1396" s="201"/>
      <c r="F1396" s="198"/>
      <c r="G1396" s="201" t="str">
        <f ca="1">IFERROR(__xludf.DUMMYFUNCTION("""COMPUTED_VALUE"""),"RODAPÉ DECK CABREUVA DOURADA PREMIUM TG 2,5 X 10 X COMPR. VARIAVEIS")</f>
        <v>RODAPÉ DECK CABREUVA DOURADA PREMIUM TG 2,5 X 10 X COMPR. VARIAVEIS</v>
      </c>
      <c r="H1396" s="223" t="s">
        <v>1483</v>
      </c>
      <c r="I1396" s="182" t="str">
        <f t="shared" ca="1" si="7"/>
        <v/>
      </c>
      <c r="J1396" s="149"/>
      <c r="K1396" s="198"/>
      <c r="L1396" s="201" t="s">
        <v>1483</v>
      </c>
      <c r="M1396" s="201"/>
      <c r="N1396" s="201"/>
      <c r="O1396" s="201"/>
      <c r="P1396" s="201"/>
      <c r="Q1396" s="201"/>
      <c r="R1396" s="201"/>
      <c r="S1396" s="201"/>
      <c r="T1396" s="201"/>
      <c r="U1396" s="201"/>
      <c r="V1396" s="201"/>
      <c r="W1396" s="201"/>
      <c r="X1396" s="201"/>
      <c r="Y1396" s="201"/>
      <c r="Z1396" s="201"/>
      <c r="AA1396" s="201"/>
    </row>
    <row r="1397" spans="1:27" ht="17.399999999999999">
      <c r="A1397" s="222"/>
      <c r="B1397" s="222"/>
      <c r="C1397" s="201"/>
      <c r="D1397" s="163"/>
      <c r="E1397" s="201"/>
      <c r="F1397" s="198"/>
      <c r="G1397" s="201" t="str">
        <f ca="1">IFERROR(__xludf.DUMMYFUNCTION("""COMPUTED_VALUE"""),"RODAPÉ DECK TAUARI PREMIUM TG 2,5 X 5 X COMPR. VARIAVEIS")</f>
        <v>RODAPÉ DECK TAUARI PREMIUM TG 2,5 X 5 X COMPR. VARIAVEIS</v>
      </c>
      <c r="H1397" s="223" t="s">
        <v>1484</v>
      </c>
      <c r="I1397" s="182" t="str">
        <f t="shared" ca="1" si="7"/>
        <v/>
      </c>
      <c r="J1397" s="149"/>
      <c r="K1397" s="198"/>
      <c r="L1397" s="201" t="s">
        <v>1484</v>
      </c>
      <c r="M1397" s="201"/>
      <c r="N1397" s="201"/>
      <c r="O1397" s="201"/>
      <c r="P1397" s="201"/>
      <c r="Q1397" s="201"/>
      <c r="R1397" s="201"/>
      <c r="S1397" s="201"/>
      <c r="T1397" s="201"/>
      <c r="U1397" s="201"/>
      <c r="V1397" s="201"/>
      <c r="W1397" s="201"/>
      <c r="X1397" s="201"/>
      <c r="Y1397" s="201"/>
      <c r="Z1397" s="201"/>
      <c r="AA1397" s="201"/>
    </row>
    <row r="1398" spans="1:27" ht="17.399999999999999">
      <c r="A1398" s="222"/>
      <c r="B1398" s="222"/>
      <c r="C1398" s="201"/>
      <c r="D1398" s="163"/>
      <c r="E1398" s="201"/>
      <c r="F1398" s="198"/>
      <c r="G1398" s="201" t="str">
        <f ca="1">IFERROR(__xludf.DUMMYFUNCTION("""COMPUTED_VALUE"""),"RODAPÉ DECK TAUARI PREMIUM TG 2,5 X 10 X COMPR. VARIAVEIS")</f>
        <v>RODAPÉ DECK TAUARI PREMIUM TG 2,5 X 10 X COMPR. VARIAVEIS</v>
      </c>
      <c r="H1398" s="223" t="s">
        <v>1485</v>
      </c>
      <c r="I1398" s="182" t="str">
        <f t="shared" ca="1" si="7"/>
        <v/>
      </c>
      <c r="J1398" s="149"/>
      <c r="K1398" s="198"/>
      <c r="L1398" s="201" t="s">
        <v>1485</v>
      </c>
      <c r="M1398" s="201"/>
      <c r="N1398" s="201"/>
      <c r="O1398" s="201"/>
      <c r="P1398" s="201"/>
      <c r="Q1398" s="201"/>
      <c r="R1398" s="201"/>
      <c r="S1398" s="201"/>
      <c r="T1398" s="201"/>
      <c r="U1398" s="201"/>
      <c r="V1398" s="201"/>
      <c r="W1398" s="201"/>
      <c r="X1398" s="201"/>
      <c r="Y1398" s="201"/>
      <c r="Z1398" s="201"/>
      <c r="AA1398" s="201"/>
    </row>
    <row r="1399" spans="1:27" ht="17.399999999999999">
      <c r="A1399" s="222"/>
      <c r="B1399" s="222"/>
      <c r="C1399" s="201"/>
      <c r="D1399" s="163"/>
      <c r="E1399" s="201"/>
      <c r="F1399" s="198"/>
      <c r="G1399" s="201" t="str">
        <f ca="1">IFERROR(__xludf.DUMMYFUNCTION("""COMPUTED_VALUE"""),"RODAPÉ DECK PEROBA PREMIUM TG 2,5 X 5 X COMPR. VARIAVEIS")</f>
        <v>RODAPÉ DECK PEROBA PREMIUM TG 2,5 X 5 X COMPR. VARIAVEIS</v>
      </c>
      <c r="H1399" s="223" t="s">
        <v>1486</v>
      </c>
      <c r="I1399" s="182" t="str">
        <f t="shared" ca="1" si="7"/>
        <v/>
      </c>
      <c r="J1399" s="149"/>
      <c r="K1399" s="198"/>
      <c r="L1399" s="201" t="s">
        <v>1486</v>
      </c>
      <c r="M1399" s="201"/>
      <c r="N1399" s="201"/>
      <c r="O1399" s="201"/>
      <c r="P1399" s="201"/>
      <c r="Q1399" s="201"/>
      <c r="R1399" s="201"/>
      <c r="S1399" s="201"/>
      <c r="T1399" s="201"/>
      <c r="U1399" s="201"/>
      <c r="V1399" s="201"/>
      <c r="W1399" s="201"/>
      <c r="X1399" s="201"/>
      <c r="Y1399" s="201"/>
      <c r="Z1399" s="201"/>
      <c r="AA1399" s="201"/>
    </row>
    <row r="1400" spans="1:27" ht="17.399999999999999">
      <c r="A1400" s="222"/>
      <c r="B1400" s="222"/>
      <c r="C1400" s="201"/>
      <c r="D1400" s="163"/>
      <c r="E1400" s="201"/>
      <c r="F1400" s="198"/>
      <c r="G1400" s="201" t="str">
        <f ca="1">IFERROR(__xludf.DUMMYFUNCTION("""COMPUTED_VALUE"""),"RODAPÉ DECK PEROBA PREMIUM TG 2,5 X 10 X COMPR. VARIAVEIS")</f>
        <v>RODAPÉ DECK PEROBA PREMIUM TG 2,5 X 10 X COMPR. VARIAVEIS</v>
      </c>
      <c r="H1400" s="223" t="s">
        <v>1487</v>
      </c>
      <c r="I1400" s="182" t="str">
        <f t="shared" ca="1" si="7"/>
        <v/>
      </c>
      <c r="J1400" s="149"/>
      <c r="K1400" s="198"/>
      <c r="L1400" s="201" t="s">
        <v>1487</v>
      </c>
      <c r="M1400" s="201"/>
      <c r="N1400" s="201"/>
      <c r="O1400" s="201"/>
      <c r="P1400" s="201"/>
      <c r="Q1400" s="201"/>
      <c r="R1400" s="201"/>
      <c r="S1400" s="201"/>
      <c r="T1400" s="201"/>
      <c r="U1400" s="201"/>
      <c r="V1400" s="201"/>
      <c r="W1400" s="201"/>
      <c r="X1400" s="201"/>
      <c r="Y1400" s="201"/>
      <c r="Z1400" s="201"/>
      <c r="AA1400" s="201"/>
    </row>
    <row r="1401" spans="1:27" ht="17.399999999999999">
      <c r="A1401" s="222"/>
      <c r="B1401" s="222"/>
      <c r="C1401" s="201"/>
      <c r="D1401" s="163"/>
      <c r="E1401" s="201"/>
      <c r="F1401" s="198"/>
      <c r="G1401" s="201" t="str">
        <f ca="1">IFERROR(__xludf.DUMMYFUNCTION("""COMPUTED_VALUE"""),"RODAPÉ DECK BAMBU CARAMEL ALTA DENSIDADE")</f>
        <v>RODAPÉ DECK BAMBU CARAMEL ALTA DENSIDADE</v>
      </c>
      <c r="H1401" s="223" t="s">
        <v>1488</v>
      </c>
      <c r="I1401" s="182" t="str">
        <f t="shared" ca="1" si="7"/>
        <v/>
      </c>
      <c r="J1401" s="149"/>
      <c r="K1401" s="198"/>
      <c r="L1401" s="201" t="s">
        <v>1488</v>
      </c>
      <c r="M1401" s="201"/>
      <c r="N1401" s="201"/>
      <c r="O1401" s="201"/>
      <c r="P1401" s="201"/>
      <c r="Q1401" s="201"/>
      <c r="R1401" s="201"/>
      <c r="S1401" s="201"/>
      <c r="T1401" s="201"/>
      <c r="U1401" s="201"/>
      <c r="V1401" s="201"/>
      <c r="W1401" s="201"/>
      <c r="X1401" s="201"/>
      <c r="Y1401" s="201"/>
      <c r="Z1401" s="201"/>
      <c r="AA1401" s="201"/>
    </row>
    <row r="1402" spans="1:27" ht="17.399999999999999">
      <c r="A1402" s="222"/>
      <c r="B1402" s="222"/>
      <c r="C1402" s="201"/>
      <c r="D1402" s="163"/>
      <c r="E1402" s="201"/>
      <c r="F1402" s="198"/>
      <c r="G1402" s="201" t="str">
        <f ca="1">IFERROR(__xludf.DUMMYFUNCTION("""COMPUTED_VALUE"""),"RODAPÉ DECK BPC CINZA ESCURO 2 X15X 290CM PÇ/0.435M2")</f>
        <v>RODAPÉ DECK BPC CINZA ESCURO 2 X15X 290CM PÇ/0.435M2</v>
      </c>
      <c r="H1402" s="223" t="s">
        <v>1489</v>
      </c>
      <c r="I1402" s="182" t="str">
        <f t="shared" ca="1" si="7"/>
        <v/>
      </c>
      <c r="J1402" s="149"/>
      <c r="K1402" s="198"/>
      <c r="L1402" s="201" t="s">
        <v>1489</v>
      </c>
      <c r="M1402" s="201"/>
      <c r="N1402" s="201"/>
      <c r="O1402" s="201"/>
      <c r="P1402" s="201"/>
      <c r="Q1402" s="201"/>
      <c r="R1402" s="201"/>
      <c r="S1402" s="201"/>
      <c r="T1402" s="201"/>
      <c r="U1402" s="201"/>
      <c r="V1402" s="201"/>
      <c r="W1402" s="201"/>
      <c r="X1402" s="201"/>
      <c r="Y1402" s="201"/>
      <c r="Z1402" s="201"/>
      <c r="AA1402" s="201"/>
    </row>
    <row r="1403" spans="1:27" ht="17.399999999999999">
      <c r="A1403" s="222"/>
      <c r="B1403" s="222"/>
      <c r="C1403" s="201"/>
      <c r="D1403" s="163"/>
      <c r="E1403" s="201"/>
      <c r="F1403" s="198"/>
      <c r="G1403" s="201" t="str">
        <f ca="1">IFERROR(__xludf.DUMMYFUNCTION("""COMPUTED_VALUE"""),"RODAPÉ DECK BPC MORROM 2X15X220CM")</f>
        <v>RODAPÉ DECK BPC MORROM 2X15X220CM</v>
      </c>
      <c r="H1403" s="223" t="s">
        <v>1490</v>
      </c>
      <c r="I1403" s="182" t="str">
        <f t="shared" ca="1" si="7"/>
        <v/>
      </c>
      <c r="J1403" s="149"/>
      <c r="K1403" s="198"/>
      <c r="L1403" s="201" t="s">
        <v>1490</v>
      </c>
      <c r="M1403" s="201"/>
      <c r="N1403" s="201"/>
      <c r="O1403" s="201"/>
      <c r="P1403" s="201"/>
      <c r="Q1403" s="201"/>
      <c r="R1403" s="201"/>
      <c r="S1403" s="201"/>
      <c r="T1403" s="201"/>
      <c r="U1403" s="201"/>
      <c r="V1403" s="201"/>
      <c r="W1403" s="201"/>
      <c r="X1403" s="201"/>
      <c r="Y1403" s="201"/>
      <c r="Z1403" s="201"/>
      <c r="AA1403" s="201"/>
    </row>
    <row r="1404" spans="1:27" ht="17.399999999999999">
      <c r="A1404" s="222"/>
      <c r="B1404" s="222"/>
      <c r="C1404" s="201"/>
      <c r="D1404" s="163"/>
      <c r="E1404" s="201"/>
      <c r="F1404" s="198"/>
      <c r="G1404" s="201" t="str">
        <f ca="1">IFERROR(__xludf.DUMMYFUNCTION("""COMPUTED_VALUE"""),"RODAPÉ DECK WPC CINZA 2,2*14,6*220CM")</f>
        <v>RODAPÉ DECK WPC CINZA 2,2*14,6*220CM</v>
      </c>
      <c r="H1404" s="223" t="s">
        <v>1491</v>
      </c>
      <c r="I1404" s="182" t="str">
        <f t="shared" ca="1" si="7"/>
        <v/>
      </c>
      <c r="J1404" s="149"/>
      <c r="K1404" s="198"/>
      <c r="L1404" s="201" t="s">
        <v>1491</v>
      </c>
      <c r="M1404" s="201"/>
      <c r="N1404" s="201"/>
      <c r="O1404" s="201"/>
      <c r="P1404" s="201"/>
      <c r="Q1404" s="201"/>
      <c r="R1404" s="201"/>
      <c r="S1404" s="201"/>
      <c r="T1404" s="201"/>
      <c r="U1404" s="201"/>
      <c r="V1404" s="201"/>
      <c r="W1404" s="201"/>
      <c r="X1404" s="201"/>
      <c r="Y1404" s="201"/>
      <c r="Z1404" s="201"/>
      <c r="AA1404" s="201"/>
    </row>
    <row r="1405" spans="1:27" ht="17.399999999999999">
      <c r="A1405" s="222"/>
      <c r="B1405" s="222"/>
      <c r="C1405" s="201"/>
      <c r="D1405" s="163"/>
      <c r="E1405" s="201"/>
      <c r="F1405" s="198"/>
      <c r="G1405" s="201" t="str">
        <f ca="1">IFERROR(__xludf.DUMMYFUNCTION("""COMPUTED_VALUE"""),"RODAPÉ PEROBA RUSTICA DE DEMOLIÇÃO")</f>
        <v>RODAPÉ PEROBA RUSTICA DE DEMOLIÇÃO</v>
      </c>
      <c r="H1405" s="223" t="s">
        <v>1492</v>
      </c>
      <c r="I1405" s="182" t="str">
        <f t="shared" ca="1" si="7"/>
        <v/>
      </c>
      <c r="J1405" s="149"/>
      <c r="K1405" s="198"/>
      <c r="L1405" s="201" t="s">
        <v>1492</v>
      </c>
      <c r="M1405" s="201"/>
      <c r="N1405" s="201"/>
      <c r="O1405" s="201"/>
      <c r="P1405" s="201"/>
      <c r="Q1405" s="201"/>
      <c r="R1405" s="201"/>
      <c r="S1405" s="201"/>
      <c r="T1405" s="201"/>
      <c r="U1405" s="201"/>
      <c r="V1405" s="201"/>
      <c r="W1405" s="201"/>
      <c r="X1405" s="201"/>
      <c r="Y1405" s="201"/>
      <c r="Z1405" s="201"/>
      <c r="AA1405" s="201"/>
    </row>
    <row r="1406" spans="1:27" ht="17.399999999999999">
      <c r="A1406" s="222"/>
      <c r="B1406" s="222"/>
      <c r="C1406" s="201"/>
      <c r="D1406" s="163"/>
      <c r="E1406" s="201"/>
      <c r="F1406" s="198"/>
      <c r="G1406" s="201" t="str">
        <f ca="1">IFERROR(__xludf.DUMMYFUNCTION("""COMPUTED_VALUE"""),"RODAPÉ CANELA RUSTICA DE DEMOLIÇÃO")</f>
        <v>RODAPÉ CANELA RUSTICA DE DEMOLIÇÃO</v>
      </c>
      <c r="H1406" s="223" t="s">
        <v>1493</v>
      </c>
      <c r="I1406" s="182" t="str">
        <f t="shared" ca="1" si="7"/>
        <v/>
      </c>
      <c r="J1406" s="149"/>
      <c r="K1406" s="198"/>
      <c r="L1406" s="201" t="s">
        <v>1493</v>
      </c>
      <c r="M1406" s="201"/>
      <c r="N1406" s="201"/>
      <c r="O1406" s="201"/>
      <c r="P1406" s="201"/>
      <c r="Q1406" s="201"/>
      <c r="R1406" s="201"/>
      <c r="S1406" s="201"/>
      <c r="T1406" s="201"/>
      <c r="U1406" s="201"/>
      <c r="V1406" s="201"/>
      <c r="W1406" s="201"/>
      <c r="X1406" s="201"/>
      <c r="Y1406" s="201"/>
      <c r="Z1406" s="201"/>
      <c r="AA1406" s="201"/>
    </row>
    <row r="1407" spans="1:27" ht="17.399999999999999">
      <c r="A1407" s="222"/>
      <c r="B1407" s="222"/>
      <c r="C1407" s="201"/>
      <c r="D1407" s="163"/>
      <c r="E1407" s="201"/>
      <c r="F1407" s="198"/>
      <c r="H1407" s="223" t="s">
        <v>1494</v>
      </c>
      <c r="I1407" s="182" t="str">
        <f t="shared" ref="I1407:I1408" si="8">IFERROR(INDEX($D$3:$D$2001,MATCH(TRUE,ISNUMBER(FIND($B$3:$B$2001,G1409)),0)),"")</f>
        <v/>
      </c>
      <c r="J1407" s="149"/>
      <c r="K1407" s="198"/>
      <c r="L1407" s="201" t="s">
        <v>1494</v>
      </c>
      <c r="M1407" s="201"/>
      <c r="N1407" s="201"/>
      <c r="O1407" s="201"/>
      <c r="P1407" s="201"/>
      <c r="Q1407" s="201"/>
      <c r="R1407" s="201"/>
      <c r="S1407" s="201"/>
      <c r="T1407" s="201"/>
      <c r="U1407" s="201"/>
      <c r="V1407" s="201"/>
      <c r="W1407" s="201"/>
      <c r="X1407" s="201"/>
      <c r="Y1407" s="201"/>
      <c r="Z1407" s="201"/>
      <c r="AA1407" s="201"/>
    </row>
    <row r="1408" spans="1:27" ht="17.399999999999999">
      <c r="A1408" s="222"/>
      <c r="B1408" s="222"/>
      <c r="C1408" s="201"/>
      <c r="D1408" s="163"/>
      <c r="E1408" s="201"/>
      <c r="F1408" s="224"/>
      <c r="I1408" s="182" t="str">
        <f t="shared" si="8"/>
        <v/>
      </c>
      <c r="J1408" s="149"/>
      <c r="K1408" s="224"/>
      <c r="L1408" s="201"/>
      <c r="M1408" s="201"/>
      <c r="N1408" s="201"/>
      <c r="O1408" s="201"/>
      <c r="P1408" s="201"/>
      <c r="Q1408" s="201"/>
      <c r="R1408" s="201"/>
      <c r="S1408" s="201"/>
      <c r="T1408" s="201"/>
      <c r="U1408" s="201"/>
      <c r="V1408" s="201"/>
      <c r="W1408" s="201"/>
      <c r="X1408" s="201"/>
      <c r="Y1408" s="201"/>
      <c r="Z1408" s="201"/>
      <c r="AA1408" s="201"/>
    </row>
    <row r="1409" spans="1:27" ht="17.399999999999999">
      <c r="A1409" s="222"/>
      <c r="B1409" s="222"/>
      <c r="C1409" s="201"/>
      <c r="D1409" s="163"/>
      <c r="E1409" s="201"/>
      <c r="F1409" s="198"/>
      <c r="G1409" s="201" t="s">
        <v>2566</v>
      </c>
      <c r="I1409" s="201"/>
      <c r="J1409" s="149"/>
      <c r="K1409" s="198"/>
      <c r="L1409" s="201"/>
      <c r="M1409" s="201"/>
      <c r="N1409" s="201"/>
      <c r="O1409" s="201"/>
      <c r="P1409" s="201"/>
      <c r="Q1409" s="201"/>
      <c r="R1409" s="201"/>
      <c r="S1409" s="201"/>
      <c r="T1409" s="201"/>
      <c r="U1409" s="201"/>
      <c r="V1409" s="201"/>
      <c r="W1409" s="201"/>
      <c r="X1409" s="201"/>
      <c r="Y1409" s="201"/>
      <c r="Z1409" s="201"/>
      <c r="AA1409" s="201"/>
    </row>
    <row r="1410" spans="1:27" ht="17.399999999999999">
      <c r="A1410" s="222"/>
      <c r="B1410" s="222"/>
      <c r="C1410" s="201"/>
      <c r="D1410" s="163"/>
      <c r="E1410" s="201"/>
      <c r="F1410" s="198" t="s">
        <v>74</v>
      </c>
      <c r="G1410" s="201" t="s">
        <v>75</v>
      </c>
      <c r="H1410" s="192" t="s">
        <v>2567</v>
      </c>
      <c r="I1410" s="201"/>
      <c r="J1410" s="149"/>
      <c r="K1410" s="198" t="s">
        <v>74</v>
      </c>
      <c r="L1410" s="201" t="s">
        <v>2567</v>
      </c>
      <c r="M1410" s="201"/>
      <c r="N1410" s="201"/>
      <c r="O1410" s="201"/>
      <c r="P1410" s="201"/>
      <c r="Q1410" s="201"/>
      <c r="R1410" s="201"/>
      <c r="S1410" s="201"/>
      <c r="T1410" s="201"/>
      <c r="U1410" s="201"/>
      <c r="V1410" s="201"/>
      <c r="W1410" s="201"/>
      <c r="X1410" s="201"/>
      <c r="Y1410" s="201"/>
      <c r="Z1410" s="201"/>
      <c r="AA1410" s="201"/>
    </row>
    <row r="1411" spans="1:27" ht="17.399999999999999">
      <c r="A1411" s="222"/>
      <c r="B1411" s="222"/>
      <c r="C1411" s="201"/>
      <c r="D1411" s="163"/>
      <c r="E1411" s="201"/>
      <c r="F1411" s="198"/>
      <c r="G1411" s="201"/>
      <c r="I1411" s="201"/>
      <c r="J1411" s="149"/>
      <c r="K1411" s="198"/>
      <c r="L1411" s="201"/>
      <c r="M1411" s="201"/>
      <c r="N1411" s="201"/>
      <c r="O1411" s="201"/>
      <c r="P1411" s="201"/>
      <c r="Q1411" s="201"/>
      <c r="R1411" s="201"/>
      <c r="S1411" s="201"/>
      <c r="T1411" s="201"/>
      <c r="U1411" s="201"/>
      <c r="V1411" s="201"/>
      <c r="W1411" s="201"/>
      <c r="X1411" s="201"/>
      <c r="Y1411" s="201"/>
      <c r="Z1411" s="201"/>
      <c r="AA1411" s="201"/>
    </row>
    <row r="1412" spans="1:27" ht="17.399999999999999">
      <c r="A1412" s="222"/>
      <c r="B1412" s="222"/>
      <c r="C1412" s="201"/>
      <c r="D1412" s="163"/>
      <c r="E1412" s="201"/>
      <c r="F1412" s="198"/>
      <c r="G1412" s="201"/>
      <c r="I1412" s="201"/>
      <c r="J1412" s="149"/>
      <c r="K1412" s="198"/>
      <c r="L1412" s="201"/>
      <c r="M1412" s="201"/>
      <c r="N1412" s="201"/>
      <c r="O1412" s="201"/>
      <c r="P1412" s="201"/>
      <c r="Q1412" s="201"/>
      <c r="R1412" s="201"/>
      <c r="S1412" s="201"/>
      <c r="T1412" s="201"/>
      <c r="U1412" s="201"/>
      <c r="V1412" s="201"/>
      <c r="W1412" s="201"/>
      <c r="X1412" s="201"/>
      <c r="Y1412" s="201"/>
      <c r="Z1412" s="201"/>
      <c r="AA1412" s="201"/>
    </row>
    <row r="1413" spans="1:27" ht="17.399999999999999">
      <c r="A1413" s="222"/>
      <c r="B1413" s="222"/>
      <c r="C1413" s="201"/>
      <c r="D1413" s="163"/>
      <c r="E1413" s="201"/>
      <c r="F1413" s="198"/>
      <c r="G1413" s="201"/>
      <c r="I1413" s="201"/>
      <c r="J1413" s="149"/>
      <c r="K1413" s="198"/>
      <c r="L1413" s="201"/>
      <c r="M1413" s="201"/>
      <c r="N1413" s="201"/>
      <c r="O1413" s="201"/>
      <c r="P1413" s="201"/>
      <c r="Q1413" s="201"/>
      <c r="R1413" s="201"/>
      <c r="S1413" s="201"/>
      <c r="T1413" s="201"/>
      <c r="U1413" s="201"/>
      <c r="V1413" s="201"/>
      <c r="W1413" s="201"/>
      <c r="X1413" s="201"/>
      <c r="Y1413" s="201"/>
      <c r="Z1413" s="201"/>
      <c r="AA1413" s="201"/>
    </row>
    <row r="1414" spans="1:27" ht="17.399999999999999">
      <c r="A1414" s="222"/>
      <c r="B1414" s="222"/>
      <c r="C1414" s="201"/>
      <c r="D1414" s="163"/>
      <c r="E1414" s="201"/>
      <c r="F1414" s="198"/>
      <c r="G1414" s="201"/>
      <c r="I1414" s="201"/>
      <c r="J1414" s="149"/>
      <c r="K1414" s="198"/>
      <c r="L1414" s="201"/>
      <c r="M1414" s="201"/>
      <c r="N1414" s="201"/>
      <c r="O1414" s="201"/>
      <c r="P1414" s="201"/>
      <c r="Q1414" s="201"/>
      <c r="R1414" s="201"/>
      <c r="S1414" s="201"/>
      <c r="T1414" s="201"/>
      <c r="U1414" s="201"/>
      <c r="V1414" s="201"/>
      <c r="W1414" s="201"/>
      <c r="X1414" s="201"/>
      <c r="Y1414" s="201"/>
      <c r="Z1414" s="201"/>
      <c r="AA1414" s="201"/>
    </row>
    <row r="1415" spans="1:27" ht="17.399999999999999">
      <c r="A1415" s="222"/>
      <c r="B1415" s="222"/>
      <c r="C1415" s="201"/>
      <c r="D1415" s="163"/>
      <c r="E1415" s="201"/>
      <c r="F1415" s="198"/>
      <c r="G1415" s="201"/>
      <c r="I1415" s="201"/>
      <c r="J1415" s="149"/>
      <c r="K1415" s="198"/>
      <c r="L1415" s="201"/>
      <c r="M1415" s="201"/>
      <c r="N1415" s="201"/>
      <c r="O1415" s="201"/>
      <c r="P1415" s="201"/>
      <c r="Q1415" s="201"/>
      <c r="R1415" s="201"/>
      <c r="S1415" s="201"/>
      <c r="T1415" s="201"/>
      <c r="U1415" s="201"/>
      <c r="V1415" s="201"/>
      <c r="W1415" s="201"/>
      <c r="X1415" s="201"/>
      <c r="Y1415" s="201"/>
      <c r="Z1415" s="201"/>
      <c r="AA1415" s="201"/>
    </row>
    <row r="1416" spans="1:27" ht="17.399999999999999">
      <c r="A1416" s="222"/>
      <c r="B1416" s="222"/>
      <c r="C1416" s="201"/>
      <c r="D1416" s="163"/>
      <c r="E1416" s="201"/>
      <c r="F1416" s="198"/>
      <c r="G1416" s="201"/>
      <c r="I1416" s="201"/>
      <c r="J1416" s="149"/>
      <c r="K1416" s="198"/>
      <c r="L1416" s="201"/>
      <c r="M1416" s="201"/>
      <c r="N1416" s="201"/>
      <c r="O1416" s="201"/>
      <c r="P1416" s="201"/>
      <c r="Q1416" s="201"/>
      <c r="R1416" s="201"/>
      <c r="S1416" s="201"/>
      <c r="T1416" s="201"/>
      <c r="U1416" s="201"/>
      <c r="V1416" s="201"/>
      <c r="W1416" s="201"/>
      <c r="X1416" s="201"/>
      <c r="Y1416" s="201"/>
      <c r="Z1416" s="201"/>
      <c r="AA1416" s="201"/>
    </row>
    <row r="1417" spans="1:27" ht="17.399999999999999">
      <c r="A1417" s="222"/>
      <c r="B1417" s="222"/>
      <c r="C1417" s="201"/>
      <c r="D1417" s="163"/>
      <c r="E1417" s="201"/>
      <c r="F1417" s="198"/>
      <c r="G1417" s="201"/>
      <c r="I1417" s="201"/>
      <c r="J1417" s="149"/>
      <c r="K1417" s="198"/>
      <c r="L1417" s="201"/>
      <c r="M1417" s="201"/>
      <c r="N1417" s="201"/>
      <c r="O1417" s="201"/>
      <c r="P1417" s="201"/>
      <c r="Q1417" s="201"/>
      <c r="R1417" s="201"/>
      <c r="S1417" s="201"/>
      <c r="T1417" s="201"/>
      <c r="U1417" s="201"/>
      <c r="V1417" s="201"/>
      <c r="W1417" s="201"/>
      <c r="X1417" s="201"/>
      <c r="Y1417" s="201"/>
      <c r="Z1417" s="201"/>
      <c r="AA1417" s="201"/>
    </row>
    <row r="1418" spans="1:27" ht="17.399999999999999">
      <c r="A1418" s="222"/>
      <c r="B1418" s="222"/>
      <c r="C1418" s="201"/>
      <c r="D1418" s="163"/>
      <c r="E1418" s="201"/>
      <c r="F1418" s="198"/>
      <c r="G1418" s="201"/>
      <c r="I1418" s="201"/>
      <c r="J1418" s="149"/>
      <c r="K1418" s="198"/>
      <c r="L1418" s="201"/>
      <c r="M1418" s="201"/>
      <c r="N1418" s="201"/>
      <c r="O1418" s="201"/>
      <c r="P1418" s="201"/>
      <c r="Q1418" s="201"/>
      <c r="R1418" s="201"/>
      <c r="S1418" s="201"/>
      <c r="T1418" s="201"/>
      <c r="U1418" s="201"/>
      <c r="V1418" s="201"/>
      <c r="W1418" s="201"/>
      <c r="X1418" s="201"/>
      <c r="Y1418" s="201"/>
      <c r="Z1418" s="201"/>
      <c r="AA1418" s="201"/>
    </row>
    <row r="1419" spans="1:27" ht="17.399999999999999">
      <c r="A1419" s="222"/>
      <c r="B1419" s="222"/>
      <c r="C1419" s="201"/>
      <c r="D1419" s="163"/>
      <c r="E1419" s="201"/>
      <c r="F1419" s="198"/>
      <c r="G1419" s="201"/>
      <c r="I1419" s="201"/>
      <c r="J1419" s="149"/>
      <c r="K1419" s="198"/>
      <c r="L1419" s="201"/>
      <c r="M1419" s="201"/>
      <c r="N1419" s="201"/>
      <c r="O1419" s="201"/>
      <c r="P1419" s="201"/>
      <c r="Q1419" s="201"/>
      <c r="R1419" s="201"/>
      <c r="S1419" s="201"/>
      <c r="T1419" s="201"/>
      <c r="U1419" s="201"/>
      <c r="V1419" s="201"/>
      <c r="W1419" s="201"/>
      <c r="X1419" s="201"/>
      <c r="Y1419" s="201"/>
      <c r="Z1419" s="201"/>
      <c r="AA1419" s="201"/>
    </row>
    <row r="1420" spans="1:27" ht="17.399999999999999">
      <c r="A1420" s="222"/>
      <c r="B1420" s="222"/>
      <c r="C1420" s="201"/>
      <c r="D1420" s="163"/>
      <c r="E1420" s="201"/>
      <c r="F1420" s="198"/>
      <c r="G1420" s="201"/>
      <c r="I1420" s="201"/>
      <c r="J1420" s="149"/>
      <c r="K1420" s="198"/>
      <c r="L1420" s="201"/>
      <c r="M1420" s="201"/>
      <c r="N1420" s="201"/>
      <c r="O1420" s="201"/>
      <c r="P1420" s="201"/>
      <c r="Q1420" s="201"/>
      <c r="R1420" s="201"/>
      <c r="S1420" s="201"/>
      <c r="T1420" s="201"/>
      <c r="U1420" s="201"/>
      <c r="V1420" s="201"/>
      <c r="W1420" s="201"/>
      <c r="X1420" s="201"/>
      <c r="Y1420" s="201"/>
      <c r="Z1420" s="201"/>
      <c r="AA1420" s="201"/>
    </row>
    <row r="1421" spans="1:27" ht="17.399999999999999">
      <c r="A1421" s="222"/>
      <c r="B1421" s="222"/>
      <c r="C1421" s="201"/>
      <c r="D1421" s="163"/>
      <c r="E1421" s="201"/>
      <c r="F1421" s="198"/>
      <c r="G1421" s="201"/>
      <c r="I1421" s="201"/>
      <c r="J1421" s="149"/>
      <c r="K1421" s="198"/>
      <c r="L1421" s="201"/>
      <c r="M1421" s="201"/>
      <c r="N1421" s="201"/>
      <c r="O1421" s="201"/>
      <c r="P1421" s="201"/>
      <c r="Q1421" s="201"/>
      <c r="R1421" s="201"/>
      <c r="S1421" s="201"/>
      <c r="T1421" s="201"/>
      <c r="U1421" s="201"/>
      <c r="V1421" s="201"/>
      <c r="W1421" s="201"/>
      <c r="X1421" s="201"/>
      <c r="Y1421" s="201"/>
      <c r="Z1421" s="201"/>
      <c r="AA1421" s="201"/>
    </row>
    <row r="1422" spans="1:27" ht="17.399999999999999">
      <c r="A1422" s="222"/>
      <c r="B1422" s="222"/>
      <c r="C1422" s="201"/>
      <c r="D1422" s="163"/>
      <c r="E1422" s="201"/>
      <c r="F1422" s="198"/>
      <c r="G1422" s="201"/>
      <c r="I1422" s="201"/>
      <c r="J1422" s="149"/>
      <c r="K1422" s="198"/>
      <c r="L1422" s="201"/>
      <c r="M1422" s="201"/>
      <c r="N1422" s="201"/>
      <c r="O1422" s="201"/>
      <c r="P1422" s="201"/>
      <c r="Q1422" s="201"/>
      <c r="R1422" s="201"/>
      <c r="S1422" s="201"/>
      <c r="T1422" s="201"/>
      <c r="U1422" s="201"/>
      <c r="V1422" s="201"/>
      <c r="W1422" s="201"/>
      <c r="X1422" s="201"/>
      <c r="Y1422" s="201"/>
      <c r="Z1422" s="201"/>
      <c r="AA1422" s="201"/>
    </row>
    <row r="1423" spans="1:27" ht="17.399999999999999">
      <c r="A1423" s="222"/>
      <c r="B1423" s="222"/>
      <c r="C1423" s="201"/>
      <c r="D1423" s="163"/>
      <c r="E1423" s="201"/>
      <c r="F1423" s="198"/>
      <c r="G1423" s="201"/>
      <c r="I1423" s="201"/>
      <c r="J1423" s="149"/>
      <c r="K1423" s="198"/>
      <c r="L1423" s="201"/>
      <c r="M1423" s="201"/>
      <c r="N1423" s="201"/>
      <c r="O1423" s="201"/>
      <c r="P1423" s="201"/>
      <c r="Q1423" s="201"/>
      <c r="R1423" s="201"/>
      <c r="S1423" s="201"/>
      <c r="T1423" s="201"/>
      <c r="U1423" s="201"/>
      <c r="V1423" s="201"/>
      <c r="W1423" s="201"/>
      <c r="X1423" s="201"/>
      <c r="Y1423" s="201"/>
      <c r="Z1423" s="201"/>
      <c r="AA1423" s="201"/>
    </row>
    <row r="1424" spans="1:27" ht="17.399999999999999">
      <c r="A1424" s="222"/>
      <c r="B1424" s="222"/>
      <c r="C1424" s="201"/>
      <c r="D1424" s="163"/>
      <c r="E1424" s="201"/>
      <c r="F1424" s="198"/>
      <c r="G1424" s="201"/>
      <c r="I1424" s="201"/>
      <c r="J1424" s="149"/>
      <c r="K1424" s="198"/>
      <c r="L1424" s="201"/>
      <c r="M1424" s="201"/>
      <c r="N1424" s="201"/>
      <c r="O1424" s="201"/>
      <c r="P1424" s="201"/>
      <c r="Q1424" s="201"/>
      <c r="R1424" s="201"/>
      <c r="S1424" s="201"/>
      <c r="T1424" s="201"/>
      <c r="U1424" s="201"/>
      <c r="V1424" s="201"/>
      <c r="W1424" s="201"/>
      <c r="X1424" s="201"/>
      <c r="Y1424" s="201"/>
      <c r="Z1424" s="201"/>
      <c r="AA1424" s="201"/>
    </row>
    <row r="1425" spans="1:27" ht="17.399999999999999">
      <c r="A1425" s="222"/>
      <c r="B1425" s="222"/>
      <c r="C1425" s="201"/>
      <c r="D1425" s="163"/>
      <c r="E1425" s="201"/>
      <c r="F1425" s="198"/>
      <c r="G1425" s="201"/>
      <c r="I1425" s="201"/>
      <c r="J1425" s="149"/>
      <c r="K1425" s="198"/>
      <c r="L1425" s="201"/>
      <c r="M1425" s="201"/>
      <c r="N1425" s="201"/>
      <c r="O1425" s="201"/>
      <c r="P1425" s="201"/>
      <c r="Q1425" s="201"/>
      <c r="R1425" s="201"/>
      <c r="S1425" s="201"/>
      <c r="T1425" s="201"/>
      <c r="U1425" s="201"/>
      <c r="V1425" s="201"/>
      <c r="W1425" s="201"/>
      <c r="X1425" s="201"/>
      <c r="Y1425" s="201"/>
      <c r="Z1425" s="201"/>
      <c r="AA1425" s="201"/>
    </row>
    <row r="1426" spans="1:27" ht="17.399999999999999">
      <c r="A1426" s="222"/>
      <c r="B1426" s="222"/>
      <c r="C1426" s="201"/>
      <c r="D1426" s="163"/>
      <c r="E1426" s="201"/>
      <c r="F1426" s="198"/>
      <c r="G1426" s="201"/>
      <c r="I1426" s="201"/>
      <c r="J1426" s="149"/>
      <c r="K1426" s="198"/>
      <c r="L1426" s="201"/>
      <c r="M1426" s="201"/>
      <c r="N1426" s="201"/>
      <c r="O1426" s="201"/>
      <c r="P1426" s="201"/>
      <c r="Q1426" s="201"/>
      <c r="R1426" s="201"/>
      <c r="S1426" s="201"/>
      <c r="T1426" s="201"/>
      <c r="U1426" s="201"/>
      <c r="V1426" s="201"/>
      <c r="W1426" s="201"/>
      <c r="X1426" s="201"/>
      <c r="Y1426" s="201"/>
      <c r="Z1426" s="201"/>
      <c r="AA1426" s="201"/>
    </row>
    <row r="1427" spans="1:27" ht="17.399999999999999">
      <c r="A1427" s="222"/>
      <c r="B1427" s="222"/>
      <c r="C1427" s="201"/>
      <c r="D1427" s="163"/>
      <c r="E1427" s="201"/>
      <c r="F1427" s="198"/>
      <c r="G1427" s="201"/>
      <c r="I1427" s="201"/>
      <c r="J1427" s="149"/>
      <c r="K1427" s="198"/>
      <c r="L1427" s="201"/>
      <c r="M1427" s="201"/>
      <c r="N1427" s="201"/>
      <c r="O1427" s="201"/>
      <c r="P1427" s="201"/>
      <c r="Q1427" s="201"/>
      <c r="R1427" s="201"/>
      <c r="S1427" s="201"/>
      <c r="T1427" s="201"/>
      <c r="U1427" s="201"/>
      <c r="V1427" s="201"/>
      <c r="W1427" s="201"/>
      <c r="X1427" s="201"/>
      <c r="Y1427" s="201"/>
      <c r="Z1427" s="201"/>
      <c r="AA1427" s="201"/>
    </row>
    <row r="1428" spans="1:27" ht="17.399999999999999">
      <c r="A1428" s="222"/>
      <c r="B1428" s="222"/>
      <c r="C1428" s="201"/>
      <c r="D1428" s="163"/>
      <c r="E1428" s="201"/>
      <c r="F1428" s="198"/>
      <c r="G1428" s="201"/>
      <c r="I1428" s="201"/>
      <c r="J1428" s="149"/>
      <c r="K1428" s="198"/>
      <c r="L1428" s="201"/>
      <c r="M1428" s="201"/>
      <c r="N1428" s="201"/>
      <c r="O1428" s="201"/>
      <c r="P1428" s="201"/>
      <c r="Q1428" s="201"/>
      <c r="R1428" s="201"/>
      <c r="S1428" s="201"/>
      <c r="T1428" s="201"/>
      <c r="U1428" s="201"/>
      <c r="V1428" s="201"/>
      <c r="W1428" s="201"/>
      <c r="X1428" s="201"/>
      <c r="Y1428" s="201"/>
      <c r="Z1428" s="201"/>
      <c r="AA1428" s="201"/>
    </row>
    <row r="1429" spans="1:27" ht="17.399999999999999">
      <c r="A1429" s="222"/>
      <c r="B1429" s="222"/>
      <c r="C1429" s="201"/>
      <c r="D1429" s="163"/>
      <c r="E1429" s="201"/>
      <c r="F1429" s="198"/>
      <c r="G1429" s="201"/>
      <c r="I1429" s="201"/>
      <c r="J1429" s="149"/>
      <c r="K1429" s="198"/>
      <c r="L1429" s="201"/>
      <c r="M1429" s="201"/>
      <c r="N1429" s="201"/>
      <c r="O1429" s="201"/>
      <c r="P1429" s="201"/>
      <c r="Q1429" s="201"/>
      <c r="R1429" s="201"/>
      <c r="S1429" s="201"/>
      <c r="T1429" s="201"/>
      <c r="U1429" s="201"/>
      <c r="V1429" s="201"/>
      <c r="W1429" s="201"/>
      <c r="X1429" s="201"/>
      <c r="Y1429" s="201"/>
      <c r="Z1429" s="201"/>
      <c r="AA1429" s="201"/>
    </row>
    <row r="1430" spans="1:27" ht="17.399999999999999">
      <c r="A1430" s="222"/>
      <c r="B1430" s="222"/>
      <c r="C1430" s="201"/>
      <c r="D1430" s="163"/>
      <c r="E1430" s="201"/>
      <c r="F1430" s="198"/>
      <c r="G1430" s="201"/>
      <c r="I1430" s="201"/>
      <c r="J1430" s="149"/>
      <c r="K1430" s="198"/>
      <c r="L1430" s="201"/>
      <c r="M1430" s="201"/>
      <c r="N1430" s="201"/>
      <c r="O1430" s="201"/>
      <c r="P1430" s="201"/>
      <c r="Q1430" s="201"/>
      <c r="R1430" s="201"/>
      <c r="S1430" s="201"/>
      <c r="T1430" s="201"/>
      <c r="U1430" s="201"/>
      <c r="V1430" s="201"/>
      <c r="W1430" s="201"/>
      <c r="X1430" s="201"/>
      <c r="Y1430" s="201"/>
      <c r="Z1430" s="201"/>
      <c r="AA1430" s="201"/>
    </row>
    <row r="1431" spans="1:27" ht="17.399999999999999">
      <c r="A1431" s="222"/>
      <c r="B1431" s="222"/>
      <c r="C1431" s="201"/>
      <c r="D1431" s="163"/>
      <c r="E1431" s="201"/>
      <c r="F1431" s="198"/>
      <c r="G1431" s="201"/>
      <c r="I1431" s="201"/>
      <c r="J1431" s="149"/>
      <c r="K1431" s="198"/>
      <c r="L1431" s="201"/>
      <c r="M1431" s="201"/>
      <c r="N1431" s="201"/>
      <c r="O1431" s="201"/>
      <c r="P1431" s="201"/>
      <c r="Q1431" s="201"/>
      <c r="R1431" s="201"/>
      <c r="S1431" s="201"/>
      <c r="T1431" s="201"/>
      <c r="U1431" s="201"/>
      <c r="V1431" s="201"/>
      <c r="W1431" s="201"/>
      <c r="X1431" s="201"/>
      <c r="Y1431" s="201"/>
      <c r="Z1431" s="201"/>
      <c r="AA1431" s="201"/>
    </row>
    <row r="1432" spans="1:27" ht="17.399999999999999">
      <c r="A1432" s="222"/>
      <c r="B1432" s="222"/>
      <c r="C1432" s="201"/>
      <c r="D1432" s="163"/>
      <c r="E1432" s="201"/>
      <c r="F1432" s="198"/>
      <c r="G1432" s="201"/>
      <c r="I1432" s="201"/>
      <c r="J1432" s="149"/>
      <c r="K1432" s="198"/>
      <c r="L1432" s="201"/>
      <c r="M1432" s="201"/>
      <c r="N1432" s="201"/>
      <c r="O1432" s="201"/>
      <c r="P1432" s="201"/>
      <c r="Q1432" s="201"/>
      <c r="R1432" s="201"/>
      <c r="S1432" s="201"/>
      <c r="T1432" s="201"/>
      <c r="U1432" s="201"/>
      <c r="V1432" s="201"/>
      <c r="W1432" s="201"/>
      <c r="X1432" s="201"/>
      <c r="Y1432" s="201"/>
      <c r="Z1432" s="201"/>
      <c r="AA1432" s="201"/>
    </row>
    <row r="1433" spans="1:27" ht="17.399999999999999">
      <c r="A1433" s="222"/>
      <c r="B1433" s="222"/>
      <c r="C1433" s="201"/>
      <c r="D1433" s="163"/>
      <c r="E1433" s="201"/>
      <c r="F1433" s="198"/>
      <c r="G1433" s="201"/>
      <c r="I1433" s="201"/>
      <c r="J1433" s="149"/>
      <c r="K1433" s="198"/>
      <c r="L1433" s="201"/>
      <c r="M1433" s="201"/>
      <c r="N1433" s="201"/>
      <c r="O1433" s="201"/>
      <c r="P1433" s="201"/>
      <c r="Q1433" s="201"/>
      <c r="R1433" s="201"/>
      <c r="S1433" s="201"/>
      <c r="T1433" s="201"/>
      <c r="U1433" s="201"/>
      <c r="V1433" s="201"/>
      <c r="W1433" s="201"/>
      <c r="X1433" s="201"/>
      <c r="Y1433" s="201"/>
      <c r="Z1433" s="201"/>
      <c r="AA1433" s="201"/>
    </row>
    <row r="1434" spans="1:27" ht="17.399999999999999">
      <c r="A1434" s="222"/>
      <c r="B1434" s="222"/>
      <c r="C1434" s="201"/>
      <c r="D1434" s="163"/>
      <c r="E1434" s="201"/>
      <c r="F1434" s="198"/>
      <c r="G1434" s="201"/>
      <c r="I1434" s="201"/>
      <c r="J1434" s="149"/>
      <c r="K1434" s="198"/>
      <c r="L1434" s="201"/>
      <c r="M1434" s="201"/>
      <c r="N1434" s="201"/>
      <c r="O1434" s="201"/>
      <c r="P1434" s="201"/>
      <c r="Q1434" s="201"/>
      <c r="R1434" s="201"/>
      <c r="S1434" s="201"/>
      <c r="T1434" s="201"/>
      <c r="U1434" s="201"/>
      <c r="V1434" s="201"/>
      <c r="W1434" s="201"/>
      <c r="X1434" s="201"/>
      <c r="Y1434" s="201"/>
      <c r="Z1434" s="201"/>
      <c r="AA1434" s="201"/>
    </row>
    <row r="1435" spans="1:27" ht="17.399999999999999">
      <c r="A1435" s="222"/>
      <c r="B1435" s="222"/>
      <c r="C1435" s="201"/>
      <c r="D1435" s="163"/>
      <c r="E1435" s="201"/>
      <c r="F1435" s="198"/>
      <c r="G1435" s="201"/>
      <c r="I1435" s="201"/>
      <c r="J1435" s="149"/>
      <c r="K1435" s="198"/>
      <c r="L1435" s="201"/>
      <c r="M1435" s="201"/>
      <c r="N1435" s="201"/>
      <c r="O1435" s="201"/>
      <c r="P1435" s="201"/>
      <c r="Q1435" s="201"/>
      <c r="R1435" s="201"/>
      <c r="S1435" s="201"/>
      <c r="T1435" s="201"/>
      <c r="U1435" s="201"/>
      <c r="V1435" s="201"/>
      <c r="W1435" s="201"/>
      <c r="X1435" s="201"/>
      <c r="Y1435" s="201"/>
      <c r="Z1435" s="201"/>
      <c r="AA1435" s="201"/>
    </row>
    <row r="1436" spans="1:27" ht="17.399999999999999">
      <c r="A1436" s="222"/>
      <c r="B1436" s="222"/>
      <c r="C1436" s="201"/>
      <c r="D1436" s="163"/>
      <c r="E1436" s="201"/>
      <c r="F1436" s="198"/>
      <c r="G1436" s="201"/>
      <c r="I1436" s="201"/>
      <c r="J1436" s="149"/>
      <c r="K1436" s="198"/>
      <c r="L1436" s="201"/>
      <c r="M1436" s="201"/>
      <c r="N1436" s="201"/>
      <c r="O1436" s="201"/>
      <c r="P1436" s="201"/>
      <c r="Q1436" s="201"/>
      <c r="R1436" s="201"/>
      <c r="S1436" s="201"/>
      <c r="T1436" s="201"/>
      <c r="U1436" s="201"/>
      <c r="V1436" s="201"/>
      <c r="W1436" s="201"/>
      <c r="X1436" s="201"/>
      <c r="Y1436" s="201"/>
      <c r="Z1436" s="201"/>
      <c r="AA1436" s="201"/>
    </row>
    <row r="1437" spans="1:27" ht="17.399999999999999">
      <c r="A1437" s="222"/>
      <c r="B1437" s="222"/>
      <c r="C1437" s="201"/>
      <c r="D1437" s="163"/>
      <c r="E1437" s="201"/>
      <c r="F1437" s="198"/>
      <c r="G1437" s="201"/>
      <c r="I1437" s="201"/>
      <c r="J1437" s="149"/>
      <c r="K1437" s="198"/>
      <c r="L1437" s="201"/>
      <c r="M1437" s="201"/>
      <c r="N1437" s="201"/>
      <c r="O1437" s="201"/>
      <c r="P1437" s="201"/>
      <c r="Q1437" s="201"/>
      <c r="R1437" s="201"/>
      <c r="S1437" s="201"/>
      <c r="T1437" s="201"/>
      <c r="U1437" s="201"/>
      <c r="V1437" s="201"/>
      <c r="W1437" s="201"/>
      <c r="X1437" s="201"/>
      <c r="Y1437" s="201"/>
      <c r="Z1437" s="201"/>
      <c r="AA1437" s="201"/>
    </row>
    <row r="1438" spans="1:27" ht="17.399999999999999">
      <c r="A1438" s="222"/>
      <c r="B1438" s="222"/>
      <c r="C1438" s="201"/>
      <c r="D1438" s="163"/>
      <c r="E1438" s="201"/>
      <c r="F1438" s="198"/>
      <c r="G1438" s="201"/>
      <c r="I1438" s="201"/>
      <c r="J1438" s="149"/>
      <c r="K1438" s="198"/>
      <c r="L1438" s="201"/>
      <c r="M1438" s="201"/>
      <c r="N1438" s="201"/>
      <c r="O1438" s="201"/>
      <c r="P1438" s="201"/>
      <c r="Q1438" s="201"/>
      <c r="R1438" s="201"/>
      <c r="S1438" s="201"/>
      <c r="T1438" s="201"/>
      <c r="U1438" s="201"/>
      <c r="V1438" s="201"/>
      <c r="W1438" s="201"/>
      <c r="X1438" s="201"/>
      <c r="Y1438" s="201"/>
      <c r="Z1438" s="201"/>
      <c r="AA1438" s="201"/>
    </row>
    <row r="1439" spans="1:27" ht="17.399999999999999">
      <c r="A1439" s="222"/>
      <c r="B1439" s="222"/>
      <c r="C1439" s="201"/>
      <c r="D1439" s="163"/>
      <c r="E1439" s="201"/>
      <c r="F1439" s="198"/>
      <c r="G1439" s="201"/>
      <c r="I1439" s="201"/>
      <c r="J1439" s="149"/>
      <c r="K1439" s="198"/>
      <c r="L1439" s="201"/>
      <c r="M1439" s="201"/>
      <c r="N1439" s="201"/>
      <c r="O1439" s="201"/>
      <c r="P1439" s="201"/>
      <c r="Q1439" s="201"/>
      <c r="R1439" s="201"/>
      <c r="S1439" s="201"/>
      <c r="T1439" s="201"/>
      <c r="U1439" s="201"/>
      <c r="V1439" s="201"/>
      <c r="W1439" s="201"/>
      <c r="X1439" s="201"/>
      <c r="Y1439" s="201"/>
      <c r="Z1439" s="201"/>
      <c r="AA1439" s="201"/>
    </row>
    <row r="1440" spans="1:27" ht="17.399999999999999">
      <c r="A1440" s="222"/>
      <c r="B1440" s="222"/>
      <c r="C1440" s="201"/>
      <c r="D1440" s="163"/>
      <c r="E1440" s="201"/>
      <c r="F1440" s="198"/>
      <c r="G1440" s="201"/>
      <c r="I1440" s="201"/>
      <c r="J1440" s="149"/>
      <c r="K1440" s="198"/>
      <c r="L1440" s="201"/>
      <c r="M1440" s="201"/>
      <c r="N1440" s="201"/>
      <c r="O1440" s="201"/>
      <c r="P1440" s="201"/>
      <c r="Q1440" s="201"/>
      <c r="R1440" s="201"/>
      <c r="S1440" s="201"/>
      <c r="T1440" s="201"/>
      <c r="U1440" s="201"/>
      <c r="V1440" s="201"/>
      <c r="W1440" s="201"/>
      <c r="X1440" s="201"/>
      <c r="Y1440" s="201"/>
      <c r="Z1440" s="201"/>
      <c r="AA1440" s="201"/>
    </row>
    <row r="1441" spans="1:27" ht="17.399999999999999">
      <c r="A1441" s="222"/>
      <c r="B1441" s="222"/>
      <c r="C1441" s="201"/>
      <c r="D1441" s="163"/>
      <c r="E1441" s="201"/>
      <c r="F1441" s="198"/>
      <c r="G1441" s="201"/>
      <c r="I1441" s="201"/>
      <c r="J1441" s="149"/>
      <c r="K1441" s="198"/>
      <c r="L1441" s="201"/>
      <c r="M1441" s="201"/>
      <c r="N1441" s="201"/>
      <c r="O1441" s="201"/>
      <c r="P1441" s="201"/>
      <c r="Q1441" s="201"/>
      <c r="R1441" s="201"/>
      <c r="S1441" s="201"/>
      <c r="T1441" s="201"/>
      <c r="U1441" s="201"/>
      <c r="V1441" s="201"/>
      <c r="W1441" s="201"/>
      <c r="X1441" s="201"/>
      <c r="Y1441" s="201"/>
      <c r="Z1441" s="201"/>
      <c r="AA1441" s="201"/>
    </row>
    <row r="1442" spans="1:27" ht="17.399999999999999">
      <c r="A1442" s="222"/>
      <c r="B1442" s="222"/>
      <c r="C1442" s="201"/>
      <c r="D1442" s="163"/>
      <c r="E1442" s="201"/>
      <c r="F1442" s="198"/>
      <c r="G1442" s="201"/>
      <c r="I1442" s="201"/>
      <c r="J1442" s="149"/>
      <c r="K1442" s="198"/>
      <c r="L1442" s="201"/>
      <c r="M1442" s="201"/>
      <c r="N1442" s="201"/>
      <c r="O1442" s="201"/>
      <c r="P1442" s="201"/>
      <c r="Q1442" s="201"/>
      <c r="R1442" s="201"/>
      <c r="S1442" s="201"/>
      <c r="T1442" s="201"/>
      <c r="U1442" s="201"/>
      <c r="V1442" s="201"/>
      <c r="W1442" s="201"/>
      <c r="X1442" s="201"/>
      <c r="Y1442" s="201"/>
      <c r="Z1442" s="201"/>
      <c r="AA1442" s="201"/>
    </row>
    <row r="1443" spans="1:27" ht="17.399999999999999">
      <c r="A1443" s="222"/>
      <c r="B1443" s="222"/>
      <c r="C1443" s="201"/>
      <c r="D1443" s="163"/>
      <c r="E1443" s="201"/>
      <c r="F1443" s="198"/>
      <c r="G1443" s="201"/>
      <c r="I1443" s="201"/>
      <c r="J1443" s="149"/>
      <c r="K1443" s="198"/>
      <c r="L1443" s="201"/>
      <c r="M1443" s="201"/>
      <c r="N1443" s="201"/>
      <c r="O1443" s="201"/>
      <c r="P1443" s="201"/>
      <c r="Q1443" s="201"/>
      <c r="R1443" s="201"/>
      <c r="S1443" s="201"/>
      <c r="T1443" s="201"/>
      <c r="U1443" s="201"/>
      <c r="V1443" s="201"/>
      <c r="W1443" s="201"/>
      <c r="X1443" s="201"/>
      <c r="Y1443" s="201"/>
      <c r="Z1443" s="201"/>
      <c r="AA1443" s="201"/>
    </row>
    <row r="1444" spans="1:27" ht="17.399999999999999">
      <c r="A1444" s="222"/>
      <c r="B1444" s="222"/>
      <c r="C1444" s="201"/>
      <c r="D1444" s="163"/>
      <c r="E1444" s="201"/>
      <c r="F1444" s="198"/>
      <c r="G1444" s="201"/>
      <c r="I1444" s="201"/>
      <c r="J1444" s="149"/>
      <c r="K1444" s="198"/>
      <c r="L1444" s="201"/>
      <c r="M1444" s="201"/>
      <c r="N1444" s="201"/>
      <c r="O1444" s="201"/>
      <c r="P1444" s="201"/>
      <c r="Q1444" s="201"/>
      <c r="R1444" s="201"/>
      <c r="S1444" s="201"/>
      <c r="T1444" s="201"/>
      <c r="U1444" s="201"/>
      <c r="V1444" s="201"/>
      <c r="W1444" s="201"/>
      <c r="X1444" s="201"/>
      <c r="Y1444" s="201"/>
      <c r="Z1444" s="201"/>
      <c r="AA1444" s="201"/>
    </row>
    <row r="1445" spans="1:27" ht="17.399999999999999">
      <c r="A1445" s="222"/>
      <c r="B1445" s="222"/>
      <c r="C1445" s="201"/>
      <c r="D1445" s="163"/>
      <c r="E1445" s="201"/>
      <c r="F1445" s="198"/>
      <c r="G1445" s="201"/>
      <c r="I1445" s="201"/>
      <c r="J1445" s="149"/>
      <c r="K1445" s="198"/>
      <c r="L1445" s="201"/>
      <c r="M1445" s="201"/>
      <c r="N1445" s="201"/>
      <c r="O1445" s="201"/>
      <c r="P1445" s="201"/>
      <c r="Q1445" s="201"/>
      <c r="R1445" s="201"/>
      <c r="S1445" s="201"/>
      <c r="T1445" s="201"/>
      <c r="U1445" s="201"/>
      <c r="V1445" s="201"/>
      <c r="W1445" s="201"/>
      <c r="X1445" s="201"/>
      <c r="Y1445" s="201"/>
      <c r="Z1445" s="201"/>
      <c r="AA1445" s="201"/>
    </row>
    <row r="1446" spans="1:27" ht="17.399999999999999">
      <c r="A1446" s="222"/>
      <c r="B1446" s="222"/>
      <c r="C1446" s="201"/>
      <c r="D1446" s="163"/>
      <c r="E1446" s="201"/>
      <c r="F1446" s="198"/>
      <c r="G1446" s="201"/>
      <c r="I1446" s="201"/>
      <c r="J1446" s="149"/>
      <c r="K1446" s="198"/>
      <c r="L1446" s="201"/>
      <c r="M1446" s="201"/>
      <c r="N1446" s="201"/>
      <c r="O1446" s="201"/>
      <c r="P1446" s="201"/>
      <c r="Q1446" s="201"/>
      <c r="R1446" s="201"/>
      <c r="S1446" s="201"/>
      <c r="T1446" s="201"/>
      <c r="U1446" s="201"/>
      <c r="V1446" s="201"/>
      <c r="W1446" s="201"/>
      <c r="X1446" s="201"/>
      <c r="Y1446" s="201"/>
      <c r="Z1446" s="201"/>
      <c r="AA1446" s="201"/>
    </row>
    <row r="1447" spans="1:27" ht="17.399999999999999">
      <c r="A1447" s="222"/>
      <c r="B1447" s="222"/>
      <c r="C1447" s="201"/>
      <c r="D1447" s="163"/>
      <c r="E1447" s="201"/>
      <c r="F1447" s="198"/>
      <c r="G1447" s="201"/>
      <c r="I1447" s="201"/>
      <c r="J1447" s="149"/>
      <c r="K1447" s="198"/>
      <c r="L1447" s="201"/>
      <c r="M1447" s="201"/>
      <c r="N1447" s="201"/>
      <c r="O1447" s="201"/>
      <c r="P1447" s="201"/>
      <c r="Q1447" s="201"/>
      <c r="R1447" s="201"/>
      <c r="S1447" s="201"/>
      <c r="T1447" s="201"/>
      <c r="U1447" s="201"/>
      <c r="V1447" s="201"/>
      <c r="W1447" s="201"/>
      <c r="X1447" s="201"/>
      <c r="Y1447" s="201"/>
      <c r="Z1447" s="201"/>
      <c r="AA1447" s="201"/>
    </row>
    <row r="1448" spans="1:27" ht="17.399999999999999">
      <c r="A1448" s="222"/>
      <c r="B1448" s="222"/>
      <c r="C1448" s="201"/>
      <c r="D1448" s="163"/>
      <c r="E1448" s="201"/>
      <c r="F1448" s="198"/>
      <c r="G1448" s="201"/>
      <c r="I1448" s="201"/>
      <c r="J1448" s="149"/>
      <c r="K1448" s="198"/>
      <c r="L1448" s="201"/>
      <c r="M1448" s="201"/>
      <c r="N1448" s="201"/>
      <c r="O1448" s="201"/>
      <c r="P1448" s="201"/>
      <c r="Q1448" s="201"/>
      <c r="R1448" s="201"/>
      <c r="S1448" s="201"/>
      <c r="T1448" s="201"/>
      <c r="U1448" s="201"/>
      <c r="V1448" s="201"/>
      <c r="W1448" s="201"/>
      <c r="X1448" s="201"/>
      <c r="Y1448" s="201"/>
      <c r="Z1448" s="201"/>
      <c r="AA1448" s="201"/>
    </row>
    <row r="1449" spans="1:27" ht="17.399999999999999">
      <c r="A1449" s="222"/>
      <c r="B1449" s="222"/>
      <c r="C1449" s="201"/>
      <c r="D1449" s="163"/>
      <c r="E1449" s="201"/>
      <c r="F1449" s="198"/>
      <c r="G1449" s="201"/>
      <c r="I1449" s="201"/>
      <c r="J1449" s="149"/>
      <c r="K1449" s="198"/>
      <c r="L1449" s="201"/>
      <c r="M1449" s="201"/>
      <c r="N1449" s="201"/>
      <c r="O1449" s="201"/>
      <c r="P1449" s="201"/>
      <c r="Q1449" s="201"/>
      <c r="R1449" s="201"/>
      <c r="S1449" s="201"/>
      <c r="T1449" s="201"/>
      <c r="U1449" s="201"/>
      <c r="V1449" s="201"/>
      <c r="W1449" s="201"/>
      <c r="X1449" s="201"/>
      <c r="Y1449" s="201"/>
      <c r="Z1449" s="201"/>
      <c r="AA1449" s="201"/>
    </row>
    <row r="1450" spans="1:27" ht="17.399999999999999">
      <c r="A1450" s="222"/>
      <c r="B1450" s="222"/>
      <c r="C1450" s="201"/>
      <c r="D1450" s="163"/>
      <c r="E1450" s="201"/>
      <c r="F1450" s="198"/>
      <c r="G1450" s="201"/>
      <c r="I1450" s="201"/>
      <c r="J1450" s="149"/>
      <c r="K1450" s="198"/>
      <c r="L1450" s="201"/>
      <c r="M1450" s="201"/>
      <c r="N1450" s="201"/>
      <c r="O1450" s="201"/>
      <c r="P1450" s="201"/>
      <c r="Q1450" s="201"/>
      <c r="R1450" s="201"/>
      <c r="S1450" s="201"/>
      <c r="T1450" s="201"/>
      <c r="U1450" s="201"/>
      <c r="V1450" s="201"/>
      <c r="W1450" s="201"/>
      <c r="X1450" s="201"/>
      <c r="Y1450" s="201"/>
      <c r="Z1450" s="201"/>
      <c r="AA1450" s="201"/>
    </row>
    <row r="1451" spans="1:27" ht="17.399999999999999">
      <c r="A1451" s="222"/>
      <c r="B1451" s="222"/>
      <c r="C1451" s="201"/>
      <c r="D1451" s="163"/>
      <c r="E1451" s="201"/>
      <c r="F1451" s="198"/>
      <c r="G1451" s="201"/>
      <c r="I1451" s="201"/>
      <c r="J1451" s="149"/>
      <c r="K1451" s="198"/>
      <c r="L1451" s="201"/>
      <c r="M1451" s="201"/>
      <c r="N1451" s="201"/>
      <c r="O1451" s="201"/>
      <c r="P1451" s="201"/>
      <c r="Q1451" s="201"/>
      <c r="R1451" s="201"/>
      <c r="S1451" s="201"/>
      <c r="T1451" s="201"/>
      <c r="U1451" s="201"/>
      <c r="V1451" s="201"/>
      <c r="W1451" s="201"/>
      <c r="X1451" s="201"/>
      <c r="Y1451" s="201"/>
      <c r="Z1451" s="201"/>
      <c r="AA1451" s="201"/>
    </row>
    <row r="1452" spans="1:27" ht="17.399999999999999">
      <c r="A1452" s="222"/>
      <c r="B1452" s="222"/>
      <c r="C1452" s="201"/>
      <c r="D1452" s="163"/>
      <c r="E1452" s="201"/>
      <c r="F1452" s="198"/>
      <c r="G1452" s="201"/>
      <c r="I1452" s="201"/>
      <c r="J1452" s="149"/>
      <c r="K1452" s="198"/>
      <c r="L1452" s="201"/>
      <c r="M1452" s="201"/>
      <c r="N1452" s="201"/>
      <c r="O1452" s="201"/>
      <c r="P1452" s="201"/>
      <c r="Q1452" s="201"/>
      <c r="R1452" s="201"/>
      <c r="S1452" s="201"/>
      <c r="T1452" s="201"/>
      <c r="U1452" s="201"/>
      <c r="V1452" s="201"/>
      <c r="W1452" s="201"/>
      <c r="X1452" s="201"/>
      <c r="Y1452" s="201"/>
      <c r="Z1452" s="201"/>
      <c r="AA1452" s="201"/>
    </row>
    <row r="1453" spans="1:27" ht="17.399999999999999">
      <c r="A1453" s="222"/>
      <c r="B1453" s="222"/>
      <c r="C1453" s="201"/>
      <c r="D1453" s="163"/>
      <c r="E1453" s="201"/>
      <c r="F1453" s="198"/>
      <c r="G1453" s="201"/>
      <c r="I1453" s="201"/>
      <c r="J1453" s="149"/>
      <c r="K1453" s="198"/>
      <c r="L1453" s="201"/>
      <c r="M1453" s="201"/>
      <c r="N1453" s="201"/>
      <c r="O1453" s="201"/>
      <c r="P1453" s="201"/>
      <c r="Q1453" s="201"/>
      <c r="R1453" s="201"/>
      <c r="S1453" s="201"/>
      <c r="T1453" s="201"/>
      <c r="U1453" s="201"/>
      <c r="V1453" s="201"/>
      <c r="W1453" s="201"/>
      <c r="X1453" s="201"/>
      <c r="Y1453" s="201"/>
      <c r="Z1453" s="201"/>
      <c r="AA1453" s="201"/>
    </row>
    <row r="1454" spans="1:27" ht="17.399999999999999">
      <c r="A1454" s="222"/>
      <c r="B1454" s="222"/>
      <c r="C1454" s="201"/>
      <c r="D1454" s="163"/>
      <c r="E1454" s="201"/>
      <c r="F1454" s="198"/>
      <c r="G1454" s="201"/>
      <c r="I1454" s="201"/>
      <c r="J1454" s="149"/>
      <c r="K1454" s="198"/>
      <c r="L1454" s="201"/>
      <c r="M1454" s="201"/>
      <c r="N1454" s="201"/>
      <c r="O1454" s="201"/>
      <c r="P1454" s="201"/>
      <c r="Q1454" s="201"/>
      <c r="R1454" s="201"/>
      <c r="S1454" s="201"/>
      <c r="T1454" s="201"/>
      <c r="U1454" s="201"/>
      <c r="V1454" s="201"/>
      <c r="W1454" s="201"/>
      <c r="X1454" s="201"/>
      <c r="Y1454" s="201"/>
      <c r="Z1454" s="201"/>
      <c r="AA1454" s="201"/>
    </row>
    <row r="1455" spans="1:27" ht="17.399999999999999">
      <c r="A1455" s="222"/>
      <c r="B1455" s="222"/>
      <c r="C1455" s="201"/>
      <c r="D1455" s="163"/>
      <c r="E1455" s="201"/>
      <c r="F1455" s="198"/>
      <c r="G1455" s="201"/>
      <c r="I1455" s="201"/>
      <c r="J1455" s="149"/>
      <c r="K1455" s="198"/>
      <c r="L1455" s="201"/>
      <c r="M1455" s="201"/>
      <c r="N1455" s="201"/>
      <c r="O1455" s="201"/>
      <c r="P1455" s="201"/>
      <c r="Q1455" s="201"/>
      <c r="R1455" s="201"/>
      <c r="S1455" s="201"/>
      <c r="T1455" s="201"/>
      <c r="U1455" s="201"/>
      <c r="V1455" s="201"/>
      <c r="W1455" s="201"/>
      <c r="X1455" s="201"/>
      <c r="Y1455" s="201"/>
      <c r="Z1455" s="201"/>
      <c r="AA1455" s="201"/>
    </row>
    <row r="1456" spans="1:27" ht="17.399999999999999">
      <c r="A1456" s="222"/>
      <c r="B1456" s="222"/>
      <c r="C1456" s="201"/>
      <c r="D1456" s="163"/>
      <c r="E1456" s="201"/>
      <c r="F1456" s="198"/>
      <c r="G1456" s="201"/>
      <c r="I1456" s="201"/>
      <c r="J1456" s="149"/>
      <c r="K1456" s="198"/>
      <c r="L1456" s="201"/>
      <c r="M1456" s="201"/>
      <c r="N1456" s="201"/>
      <c r="O1456" s="201"/>
      <c r="P1456" s="201"/>
      <c r="Q1456" s="201"/>
      <c r="R1456" s="201"/>
      <c r="S1456" s="201"/>
      <c r="T1456" s="201"/>
      <c r="U1456" s="201"/>
      <c r="V1456" s="201"/>
      <c r="W1456" s="201"/>
      <c r="X1456" s="201"/>
      <c r="Y1456" s="201"/>
      <c r="Z1456" s="201"/>
      <c r="AA1456" s="201"/>
    </row>
    <row r="1457" spans="1:27" ht="17.399999999999999">
      <c r="A1457" s="222"/>
      <c r="B1457" s="222"/>
      <c r="C1457" s="201"/>
      <c r="D1457" s="163"/>
      <c r="E1457" s="201"/>
      <c r="F1457" s="198"/>
      <c r="G1457" s="201"/>
      <c r="I1457" s="201"/>
      <c r="J1457" s="149"/>
      <c r="K1457" s="198"/>
      <c r="L1457" s="201"/>
      <c r="M1457" s="201"/>
      <c r="N1457" s="201"/>
      <c r="O1457" s="201"/>
      <c r="P1457" s="201"/>
      <c r="Q1457" s="201"/>
      <c r="R1457" s="201"/>
      <c r="S1457" s="201"/>
      <c r="T1457" s="201"/>
      <c r="U1457" s="201"/>
      <c r="V1457" s="201"/>
      <c r="W1457" s="201"/>
      <c r="X1457" s="201"/>
      <c r="Y1457" s="201"/>
      <c r="Z1457" s="201"/>
      <c r="AA1457" s="201"/>
    </row>
    <row r="1458" spans="1:27" ht="17.399999999999999">
      <c r="A1458" s="222"/>
      <c r="B1458" s="222"/>
      <c r="C1458" s="201"/>
      <c r="D1458" s="163"/>
      <c r="E1458" s="201"/>
      <c r="F1458" s="198"/>
      <c r="G1458" s="201"/>
      <c r="I1458" s="201"/>
      <c r="J1458" s="149"/>
      <c r="K1458" s="198"/>
      <c r="L1458" s="201"/>
      <c r="M1458" s="201"/>
      <c r="N1458" s="201"/>
      <c r="O1458" s="201"/>
      <c r="P1458" s="201"/>
      <c r="Q1458" s="201"/>
      <c r="R1458" s="201"/>
      <c r="S1458" s="201"/>
      <c r="T1458" s="201"/>
      <c r="U1458" s="201"/>
      <c r="V1458" s="201"/>
      <c r="W1458" s="201"/>
      <c r="X1458" s="201"/>
      <c r="Y1458" s="201"/>
      <c r="Z1458" s="201"/>
      <c r="AA1458" s="201"/>
    </row>
    <row r="1459" spans="1:27" ht="17.399999999999999">
      <c r="A1459" s="222"/>
      <c r="B1459" s="222"/>
      <c r="C1459" s="201"/>
      <c r="D1459" s="163"/>
      <c r="E1459" s="201"/>
      <c r="F1459" s="198"/>
      <c r="G1459" s="201"/>
      <c r="I1459" s="201"/>
      <c r="J1459" s="149"/>
      <c r="K1459" s="198"/>
      <c r="L1459" s="201"/>
      <c r="M1459" s="201"/>
      <c r="N1459" s="201"/>
      <c r="O1459" s="201"/>
      <c r="P1459" s="201"/>
      <c r="Q1459" s="201"/>
      <c r="R1459" s="201"/>
      <c r="S1459" s="201"/>
      <c r="T1459" s="201"/>
      <c r="U1459" s="201"/>
      <c r="V1459" s="201"/>
      <c r="W1459" s="201"/>
      <c r="X1459" s="201"/>
      <c r="Y1459" s="201"/>
      <c r="Z1459" s="201"/>
      <c r="AA1459" s="201"/>
    </row>
    <row r="1460" spans="1:27" ht="17.399999999999999">
      <c r="A1460" s="222"/>
      <c r="B1460" s="222"/>
      <c r="C1460" s="201"/>
      <c r="D1460" s="163"/>
      <c r="E1460" s="201"/>
      <c r="F1460" s="198"/>
      <c r="G1460" s="201"/>
      <c r="I1460" s="201"/>
      <c r="J1460" s="149"/>
      <c r="K1460" s="198"/>
      <c r="L1460" s="201"/>
      <c r="M1460" s="201"/>
      <c r="N1460" s="201"/>
      <c r="O1460" s="201"/>
      <c r="P1460" s="201"/>
      <c r="Q1460" s="201"/>
      <c r="R1460" s="201"/>
      <c r="S1460" s="201"/>
      <c r="T1460" s="201"/>
      <c r="U1460" s="201"/>
      <c r="V1460" s="201"/>
      <c r="W1460" s="201"/>
      <c r="X1460" s="201"/>
      <c r="Y1460" s="201"/>
      <c r="Z1460" s="201"/>
      <c r="AA1460" s="201"/>
    </row>
    <row r="1461" spans="1:27" ht="17.399999999999999">
      <c r="A1461" s="222"/>
      <c r="B1461" s="222"/>
      <c r="C1461" s="201"/>
      <c r="D1461" s="163"/>
      <c r="E1461" s="201"/>
      <c r="F1461" s="198"/>
      <c r="G1461" s="201"/>
      <c r="I1461" s="201"/>
      <c r="J1461" s="149"/>
      <c r="K1461" s="198"/>
      <c r="L1461" s="201"/>
      <c r="M1461" s="201"/>
      <c r="N1461" s="201"/>
      <c r="O1461" s="201"/>
      <c r="P1461" s="201"/>
      <c r="Q1461" s="201"/>
      <c r="R1461" s="201"/>
      <c r="S1461" s="201"/>
      <c r="T1461" s="201"/>
      <c r="U1461" s="201"/>
      <c r="V1461" s="201"/>
      <c r="W1461" s="201"/>
      <c r="X1461" s="201"/>
      <c r="Y1461" s="201"/>
      <c r="Z1461" s="201"/>
      <c r="AA1461" s="201"/>
    </row>
    <row r="1462" spans="1:27" ht="17.399999999999999">
      <c r="A1462" s="222"/>
      <c r="B1462" s="222"/>
      <c r="C1462" s="201"/>
      <c r="D1462" s="163"/>
      <c r="E1462" s="201"/>
      <c r="F1462" s="198"/>
      <c r="G1462" s="201"/>
      <c r="I1462" s="201"/>
      <c r="J1462" s="149"/>
      <c r="K1462" s="198"/>
      <c r="L1462" s="201"/>
      <c r="M1462" s="201"/>
      <c r="N1462" s="201"/>
      <c r="O1462" s="201"/>
      <c r="P1462" s="201"/>
      <c r="Q1462" s="201"/>
      <c r="R1462" s="201"/>
      <c r="S1462" s="201"/>
      <c r="T1462" s="201"/>
      <c r="U1462" s="201"/>
      <c r="V1462" s="201"/>
      <c r="W1462" s="201"/>
      <c r="X1462" s="201"/>
      <c r="Y1462" s="201"/>
      <c r="Z1462" s="201"/>
      <c r="AA1462" s="201"/>
    </row>
    <row r="1463" spans="1:27" ht="17.399999999999999">
      <c r="A1463" s="222"/>
      <c r="B1463" s="222"/>
      <c r="C1463" s="201"/>
      <c r="D1463" s="163"/>
      <c r="E1463" s="201"/>
      <c r="F1463" s="198"/>
      <c r="G1463" s="201"/>
      <c r="I1463" s="201"/>
      <c r="J1463" s="149"/>
      <c r="K1463" s="198"/>
      <c r="L1463" s="201"/>
      <c r="M1463" s="201"/>
      <c r="N1463" s="201"/>
      <c r="O1463" s="201"/>
      <c r="P1463" s="201"/>
      <c r="Q1463" s="201"/>
      <c r="R1463" s="201"/>
      <c r="S1463" s="201"/>
      <c r="T1463" s="201"/>
      <c r="U1463" s="201"/>
      <c r="V1463" s="201"/>
      <c r="W1463" s="201"/>
      <c r="X1463" s="201"/>
      <c r="Y1463" s="201"/>
      <c r="Z1463" s="201"/>
      <c r="AA1463" s="201"/>
    </row>
    <row r="1464" spans="1:27" ht="17.399999999999999">
      <c r="A1464" s="222"/>
      <c r="B1464" s="222"/>
      <c r="C1464" s="201"/>
      <c r="D1464" s="163"/>
      <c r="E1464" s="201"/>
      <c r="F1464" s="198"/>
      <c r="G1464" s="201"/>
      <c r="I1464" s="201"/>
      <c r="J1464" s="149"/>
      <c r="K1464" s="198"/>
      <c r="L1464" s="201"/>
      <c r="M1464" s="201"/>
      <c r="N1464" s="201"/>
      <c r="O1464" s="201"/>
      <c r="P1464" s="201"/>
      <c r="Q1464" s="201"/>
      <c r="R1464" s="201"/>
      <c r="S1464" s="201"/>
      <c r="T1464" s="201"/>
      <c r="U1464" s="201"/>
      <c r="V1464" s="201"/>
      <c r="W1464" s="201"/>
      <c r="X1464" s="201"/>
      <c r="Y1464" s="201"/>
      <c r="Z1464" s="201"/>
      <c r="AA1464" s="201"/>
    </row>
    <row r="1465" spans="1:27" ht="17.399999999999999">
      <c r="A1465" s="222"/>
      <c r="B1465" s="222"/>
      <c r="C1465" s="201"/>
      <c r="D1465" s="163"/>
      <c r="E1465" s="201"/>
      <c r="F1465" s="198"/>
      <c r="G1465" s="201"/>
      <c r="I1465" s="201"/>
      <c r="J1465" s="149"/>
      <c r="K1465" s="198"/>
      <c r="L1465" s="201"/>
      <c r="M1465" s="201"/>
      <c r="N1465" s="201"/>
      <c r="O1465" s="201"/>
      <c r="P1465" s="201"/>
      <c r="Q1465" s="201"/>
      <c r="R1465" s="201"/>
      <c r="S1465" s="201"/>
      <c r="T1465" s="201"/>
      <c r="U1465" s="201"/>
      <c r="V1465" s="201"/>
      <c r="W1465" s="201"/>
      <c r="X1465" s="201"/>
      <c r="Y1465" s="201"/>
      <c r="Z1465" s="201"/>
      <c r="AA1465" s="201"/>
    </row>
    <row r="1466" spans="1:27" ht="17.399999999999999">
      <c r="A1466" s="222"/>
      <c r="B1466" s="222"/>
      <c r="C1466" s="201"/>
      <c r="D1466" s="163"/>
      <c r="E1466" s="201"/>
      <c r="F1466" s="198"/>
      <c r="G1466" s="201"/>
      <c r="I1466" s="201"/>
      <c r="J1466" s="149"/>
      <c r="K1466" s="198"/>
      <c r="L1466" s="201"/>
      <c r="M1466" s="201"/>
      <c r="N1466" s="201"/>
      <c r="O1466" s="201"/>
      <c r="P1466" s="201"/>
      <c r="Q1466" s="201"/>
      <c r="R1466" s="201"/>
      <c r="S1466" s="201"/>
      <c r="T1466" s="201"/>
      <c r="U1466" s="201"/>
      <c r="V1466" s="201"/>
      <c r="W1466" s="201"/>
      <c r="X1466" s="201"/>
      <c r="Y1466" s="201"/>
      <c r="Z1466" s="201"/>
      <c r="AA1466" s="201"/>
    </row>
    <row r="1467" spans="1:27" ht="17.399999999999999">
      <c r="A1467" s="222"/>
      <c r="B1467" s="222"/>
      <c r="C1467" s="201"/>
      <c r="D1467" s="163"/>
      <c r="E1467" s="201"/>
      <c r="F1467" s="198"/>
      <c r="G1467" s="201"/>
      <c r="I1467" s="201"/>
      <c r="J1467" s="149"/>
      <c r="K1467" s="198"/>
      <c r="L1467" s="201"/>
      <c r="M1467" s="201"/>
      <c r="N1467" s="201"/>
      <c r="O1467" s="201"/>
      <c r="P1467" s="201"/>
      <c r="Q1467" s="201"/>
      <c r="R1467" s="201"/>
      <c r="S1467" s="201"/>
      <c r="T1467" s="201"/>
      <c r="U1467" s="201"/>
      <c r="V1467" s="201"/>
      <c r="W1467" s="201"/>
      <c r="X1467" s="201"/>
      <c r="Y1467" s="201"/>
      <c r="Z1467" s="201"/>
      <c r="AA1467" s="201"/>
    </row>
    <row r="1468" spans="1:27" ht="17.399999999999999">
      <c r="A1468" s="222"/>
      <c r="B1468" s="222"/>
      <c r="C1468" s="201"/>
      <c r="D1468" s="163"/>
      <c r="E1468" s="201"/>
      <c r="F1468" s="198"/>
      <c r="G1468" s="201"/>
      <c r="I1468" s="201"/>
      <c r="J1468" s="149"/>
      <c r="K1468" s="198"/>
      <c r="L1468" s="201"/>
      <c r="M1468" s="201"/>
      <c r="N1468" s="201"/>
      <c r="O1468" s="201"/>
      <c r="P1468" s="201"/>
      <c r="Q1468" s="201"/>
      <c r="R1468" s="201"/>
      <c r="S1468" s="201"/>
      <c r="T1468" s="201"/>
      <c r="U1468" s="201"/>
      <c r="V1468" s="201"/>
      <c r="W1468" s="201"/>
      <c r="X1468" s="201"/>
      <c r="Y1468" s="201"/>
      <c r="Z1468" s="201"/>
      <c r="AA1468" s="201"/>
    </row>
    <row r="1469" spans="1:27" ht="17.399999999999999">
      <c r="A1469" s="222"/>
      <c r="B1469" s="222"/>
      <c r="C1469" s="201"/>
      <c r="D1469" s="163"/>
      <c r="E1469" s="201"/>
      <c r="F1469" s="198"/>
      <c r="G1469" s="201"/>
      <c r="I1469" s="201"/>
      <c r="J1469" s="149"/>
      <c r="K1469" s="198"/>
      <c r="L1469" s="201"/>
      <c r="M1469" s="201"/>
      <c r="N1469" s="201"/>
      <c r="O1469" s="201"/>
      <c r="P1469" s="201"/>
      <c r="Q1469" s="201"/>
      <c r="R1469" s="201"/>
      <c r="S1469" s="201"/>
      <c r="T1469" s="201"/>
      <c r="U1469" s="201"/>
      <c r="V1469" s="201"/>
      <c r="W1469" s="201"/>
      <c r="X1469" s="201"/>
      <c r="Y1469" s="201"/>
      <c r="Z1469" s="201"/>
      <c r="AA1469" s="201"/>
    </row>
    <row r="1470" spans="1:27" ht="17.399999999999999">
      <c r="A1470" s="222"/>
      <c r="B1470" s="222"/>
      <c r="C1470" s="201"/>
      <c r="D1470" s="163"/>
      <c r="E1470" s="201"/>
      <c r="F1470" s="198"/>
      <c r="G1470" s="201"/>
      <c r="I1470" s="201"/>
      <c r="J1470" s="149"/>
      <c r="K1470" s="198"/>
      <c r="L1470" s="201"/>
      <c r="M1470" s="201"/>
      <c r="N1470" s="201"/>
      <c r="O1470" s="201"/>
      <c r="P1470" s="201"/>
      <c r="Q1470" s="201"/>
      <c r="R1470" s="201"/>
      <c r="S1470" s="201"/>
      <c r="T1470" s="201"/>
      <c r="U1470" s="201"/>
      <c r="V1470" s="201"/>
      <c r="W1470" s="201"/>
      <c r="X1470" s="201"/>
      <c r="Y1470" s="201"/>
      <c r="Z1470" s="201"/>
      <c r="AA1470" s="201"/>
    </row>
    <row r="1471" spans="1:27" ht="17.399999999999999">
      <c r="A1471" s="222"/>
      <c r="B1471" s="222"/>
      <c r="C1471" s="201"/>
      <c r="D1471" s="163"/>
      <c r="E1471" s="201"/>
      <c r="F1471" s="198"/>
      <c r="G1471" s="201"/>
      <c r="I1471" s="201"/>
      <c r="J1471" s="149"/>
      <c r="K1471" s="198"/>
      <c r="L1471" s="201"/>
      <c r="M1471" s="201"/>
      <c r="N1471" s="201"/>
      <c r="O1471" s="201"/>
      <c r="P1471" s="201"/>
      <c r="Q1471" s="201"/>
      <c r="R1471" s="201"/>
      <c r="S1471" s="201"/>
      <c r="T1471" s="201"/>
      <c r="U1471" s="201"/>
      <c r="V1471" s="201"/>
      <c r="W1471" s="201"/>
      <c r="X1471" s="201"/>
      <c r="Y1471" s="201"/>
      <c r="Z1471" s="201"/>
      <c r="AA1471" s="201"/>
    </row>
    <row r="1472" spans="1:27" ht="17.399999999999999">
      <c r="A1472" s="222"/>
      <c r="B1472" s="222"/>
      <c r="C1472" s="201"/>
      <c r="D1472" s="163"/>
      <c r="E1472" s="201"/>
      <c r="F1472" s="198"/>
      <c r="G1472" s="201"/>
      <c r="I1472" s="201"/>
      <c r="J1472" s="149"/>
      <c r="K1472" s="198"/>
      <c r="L1472" s="201"/>
      <c r="M1472" s="201"/>
      <c r="N1472" s="201"/>
      <c r="O1472" s="201"/>
      <c r="P1472" s="201"/>
      <c r="Q1472" s="201"/>
      <c r="R1472" s="201"/>
      <c r="S1472" s="201"/>
      <c r="T1472" s="201"/>
      <c r="U1472" s="201"/>
      <c r="V1472" s="201"/>
      <c r="W1472" s="201"/>
      <c r="X1472" s="201"/>
      <c r="Y1472" s="201"/>
      <c r="Z1472" s="201"/>
      <c r="AA1472" s="201"/>
    </row>
    <row r="1473" spans="1:27" ht="17.399999999999999">
      <c r="A1473" s="222"/>
      <c r="B1473" s="222"/>
      <c r="C1473" s="201"/>
      <c r="D1473" s="163"/>
      <c r="E1473" s="201"/>
      <c r="F1473" s="198"/>
      <c r="G1473" s="201"/>
      <c r="I1473" s="201"/>
      <c r="J1473" s="149"/>
      <c r="K1473" s="198"/>
      <c r="L1473" s="201"/>
      <c r="M1473" s="201"/>
      <c r="N1473" s="201"/>
      <c r="O1473" s="201"/>
      <c r="P1473" s="201"/>
      <c r="Q1473" s="201"/>
      <c r="R1473" s="201"/>
      <c r="S1473" s="201"/>
      <c r="T1473" s="201"/>
      <c r="U1473" s="201"/>
      <c r="V1473" s="201"/>
      <c r="W1473" s="201"/>
      <c r="X1473" s="201"/>
      <c r="Y1473" s="201"/>
      <c r="Z1473" s="201"/>
      <c r="AA1473" s="201"/>
    </row>
    <row r="1474" spans="1:27" ht="17.399999999999999">
      <c r="A1474" s="222"/>
      <c r="B1474" s="222"/>
      <c r="C1474" s="201"/>
      <c r="D1474" s="163"/>
      <c r="E1474" s="201"/>
      <c r="F1474" s="198"/>
      <c r="G1474" s="201"/>
      <c r="I1474" s="201"/>
      <c r="J1474" s="149"/>
      <c r="K1474" s="198"/>
      <c r="L1474" s="201"/>
      <c r="M1474" s="201"/>
      <c r="N1474" s="201"/>
      <c r="O1474" s="201"/>
      <c r="P1474" s="201"/>
      <c r="Q1474" s="201"/>
      <c r="R1474" s="201"/>
      <c r="S1474" s="201"/>
      <c r="T1474" s="201"/>
      <c r="U1474" s="201"/>
      <c r="V1474" s="201"/>
      <c r="W1474" s="201"/>
      <c r="X1474" s="201"/>
      <c r="Y1474" s="201"/>
      <c r="Z1474" s="201"/>
      <c r="AA1474" s="201"/>
    </row>
    <row r="1475" spans="1:27" ht="17.399999999999999">
      <c r="A1475" s="222"/>
      <c r="B1475" s="222"/>
      <c r="C1475" s="201"/>
      <c r="D1475" s="163"/>
      <c r="E1475" s="201"/>
      <c r="F1475" s="198"/>
      <c r="G1475" s="201"/>
      <c r="I1475" s="201"/>
      <c r="J1475" s="149"/>
      <c r="K1475" s="198"/>
      <c r="L1475" s="201"/>
      <c r="M1475" s="201"/>
      <c r="N1475" s="201"/>
      <c r="O1475" s="201"/>
      <c r="P1475" s="201"/>
      <c r="Q1475" s="201"/>
      <c r="R1475" s="201"/>
      <c r="S1475" s="201"/>
      <c r="T1475" s="201"/>
      <c r="U1475" s="201"/>
      <c r="V1475" s="201"/>
      <c r="W1475" s="201"/>
      <c r="X1475" s="201"/>
      <c r="Y1475" s="201"/>
      <c r="Z1475" s="201"/>
      <c r="AA1475" s="201"/>
    </row>
    <row r="1476" spans="1:27" ht="17.399999999999999">
      <c r="A1476" s="222"/>
      <c r="B1476" s="222"/>
      <c r="C1476" s="201"/>
      <c r="D1476" s="163"/>
      <c r="E1476" s="201"/>
      <c r="F1476" s="198"/>
      <c r="G1476" s="201"/>
      <c r="I1476" s="201"/>
      <c r="J1476" s="149"/>
      <c r="K1476" s="198"/>
      <c r="L1476" s="201"/>
      <c r="M1476" s="201"/>
      <c r="N1476" s="201"/>
      <c r="O1476" s="201"/>
      <c r="P1476" s="201"/>
      <c r="Q1476" s="201"/>
      <c r="R1476" s="201"/>
      <c r="S1476" s="201"/>
      <c r="T1476" s="201"/>
      <c r="U1476" s="201"/>
      <c r="V1476" s="201"/>
      <c r="W1476" s="201"/>
      <c r="X1476" s="201"/>
      <c r="Y1476" s="201"/>
      <c r="Z1476" s="201"/>
      <c r="AA1476" s="201"/>
    </row>
    <row r="1477" spans="1:27" ht="17.399999999999999">
      <c r="A1477" s="222"/>
      <c r="B1477" s="222"/>
      <c r="C1477" s="201"/>
      <c r="D1477" s="163"/>
      <c r="E1477" s="201"/>
      <c r="F1477" s="198"/>
      <c r="G1477" s="201"/>
      <c r="I1477" s="201"/>
      <c r="J1477" s="149"/>
      <c r="K1477" s="198"/>
      <c r="L1477" s="201"/>
      <c r="M1477" s="201"/>
      <c r="N1477" s="201"/>
      <c r="O1477" s="201"/>
      <c r="P1477" s="201"/>
      <c r="Q1477" s="201"/>
      <c r="R1477" s="201"/>
      <c r="S1477" s="201"/>
      <c r="T1477" s="201"/>
      <c r="U1477" s="201"/>
      <c r="V1477" s="201"/>
      <c r="W1477" s="201"/>
      <c r="X1477" s="201"/>
      <c r="Y1477" s="201"/>
      <c r="Z1477" s="201"/>
      <c r="AA1477" s="201"/>
    </row>
    <row r="1478" spans="1:27" ht="17.399999999999999">
      <c r="A1478" s="222"/>
      <c r="B1478" s="222"/>
      <c r="C1478" s="201"/>
      <c r="D1478" s="163"/>
      <c r="E1478" s="201"/>
      <c r="F1478" s="198"/>
      <c r="G1478" s="201"/>
      <c r="I1478" s="201"/>
      <c r="J1478" s="149"/>
      <c r="K1478" s="198"/>
      <c r="L1478" s="201"/>
      <c r="M1478" s="201"/>
      <c r="N1478" s="201"/>
      <c r="O1478" s="201"/>
      <c r="P1478" s="201"/>
      <c r="Q1478" s="201"/>
      <c r="R1478" s="201"/>
      <c r="S1478" s="201"/>
      <c r="T1478" s="201"/>
      <c r="U1478" s="201"/>
      <c r="V1478" s="201"/>
      <c r="W1478" s="201"/>
      <c r="X1478" s="201"/>
      <c r="Y1478" s="201"/>
      <c r="Z1478" s="201"/>
      <c r="AA1478" s="201"/>
    </row>
    <row r="1479" spans="1:27" ht="17.399999999999999">
      <c r="A1479" s="222"/>
      <c r="B1479" s="222"/>
      <c r="C1479" s="201"/>
      <c r="D1479" s="163"/>
      <c r="E1479" s="201"/>
      <c r="F1479" s="198"/>
      <c r="G1479" s="201"/>
      <c r="I1479" s="201"/>
      <c r="J1479" s="149"/>
      <c r="K1479" s="198"/>
      <c r="L1479" s="201"/>
      <c r="M1479" s="201"/>
      <c r="N1479" s="201"/>
      <c r="O1479" s="201"/>
      <c r="P1479" s="201"/>
      <c r="Q1479" s="201"/>
      <c r="R1479" s="201"/>
      <c r="S1479" s="201"/>
      <c r="T1479" s="201"/>
      <c r="U1479" s="201"/>
      <c r="V1479" s="201"/>
      <c r="W1479" s="201"/>
      <c r="X1479" s="201"/>
      <c r="Y1479" s="201"/>
      <c r="Z1479" s="201"/>
      <c r="AA1479" s="201"/>
    </row>
    <row r="1480" spans="1:27" ht="17.399999999999999">
      <c r="A1480" s="222"/>
      <c r="B1480" s="222"/>
      <c r="C1480" s="201"/>
      <c r="D1480" s="163"/>
      <c r="E1480" s="201"/>
      <c r="F1480" s="198"/>
      <c r="G1480" s="201"/>
      <c r="I1480" s="201"/>
      <c r="J1480" s="149"/>
      <c r="K1480" s="198"/>
      <c r="L1480" s="201"/>
      <c r="M1480" s="201"/>
      <c r="N1480" s="201"/>
      <c r="O1480" s="201"/>
      <c r="P1480" s="201"/>
      <c r="Q1480" s="201"/>
      <c r="R1480" s="201"/>
      <c r="S1480" s="201"/>
      <c r="T1480" s="201"/>
      <c r="U1480" s="201"/>
      <c r="V1480" s="201"/>
      <c r="W1480" s="201"/>
      <c r="X1480" s="201"/>
      <c r="Y1480" s="201"/>
      <c r="Z1480" s="201"/>
      <c r="AA1480" s="201"/>
    </row>
    <row r="1481" spans="1:27" ht="17.399999999999999">
      <c r="A1481" s="222"/>
      <c r="B1481" s="222"/>
      <c r="C1481" s="201"/>
      <c r="D1481" s="163"/>
      <c r="E1481" s="201"/>
      <c r="F1481" s="198"/>
      <c r="G1481" s="201"/>
      <c r="I1481" s="201"/>
      <c r="J1481" s="149"/>
      <c r="K1481" s="198"/>
      <c r="L1481" s="201"/>
      <c r="M1481" s="201"/>
      <c r="N1481" s="201"/>
      <c r="O1481" s="201"/>
      <c r="P1481" s="201"/>
      <c r="Q1481" s="201"/>
      <c r="R1481" s="201"/>
      <c r="S1481" s="201"/>
      <c r="T1481" s="201"/>
      <c r="U1481" s="201"/>
      <c r="V1481" s="201"/>
      <c r="W1481" s="201"/>
      <c r="X1481" s="201"/>
      <c r="Y1481" s="201"/>
      <c r="Z1481" s="201"/>
      <c r="AA1481" s="201"/>
    </row>
    <row r="1482" spans="1:27" ht="17.399999999999999">
      <c r="A1482" s="222"/>
      <c r="B1482" s="222"/>
      <c r="C1482" s="201"/>
      <c r="D1482" s="163"/>
      <c r="E1482" s="201"/>
      <c r="F1482" s="198"/>
      <c r="G1482" s="201"/>
      <c r="I1482" s="201"/>
      <c r="J1482" s="149"/>
      <c r="K1482" s="198"/>
      <c r="L1482" s="201"/>
      <c r="M1482" s="201"/>
      <c r="N1482" s="201"/>
      <c r="O1482" s="201"/>
      <c r="P1482" s="201"/>
      <c r="Q1482" s="201"/>
      <c r="R1482" s="201"/>
      <c r="S1482" s="201"/>
      <c r="T1482" s="201"/>
      <c r="U1482" s="201"/>
      <c r="V1482" s="201"/>
      <c r="W1482" s="201"/>
      <c r="X1482" s="201"/>
      <c r="Y1482" s="201"/>
      <c r="Z1482" s="201"/>
      <c r="AA1482" s="201"/>
    </row>
    <row r="1483" spans="1:27" ht="17.399999999999999">
      <c r="A1483" s="222"/>
      <c r="B1483" s="222"/>
      <c r="C1483" s="201"/>
      <c r="D1483" s="163"/>
      <c r="E1483" s="201"/>
      <c r="F1483" s="198"/>
      <c r="G1483" s="201"/>
      <c r="I1483" s="201"/>
      <c r="J1483" s="149"/>
      <c r="K1483" s="198"/>
      <c r="L1483" s="201"/>
      <c r="M1483" s="201"/>
      <c r="N1483" s="201"/>
      <c r="O1483" s="201"/>
      <c r="P1483" s="201"/>
      <c r="Q1483" s="201"/>
      <c r="R1483" s="201"/>
      <c r="S1483" s="201"/>
      <c r="T1483" s="201"/>
      <c r="U1483" s="201"/>
      <c r="V1483" s="201"/>
      <c r="W1483" s="201"/>
      <c r="X1483" s="201"/>
      <c r="Y1483" s="201"/>
      <c r="Z1483" s="201"/>
      <c r="AA1483" s="201"/>
    </row>
    <row r="1484" spans="1:27" ht="17.399999999999999">
      <c r="A1484" s="222"/>
      <c r="B1484" s="222"/>
      <c r="C1484" s="201"/>
      <c r="D1484" s="163"/>
      <c r="E1484" s="201"/>
      <c r="F1484" s="198"/>
      <c r="G1484" s="201"/>
      <c r="I1484" s="201"/>
      <c r="J1484" s="149"/>
      <c r="K1484" s="198"/>
      <c r="L1484" s="201"/>
      <c r="M1484" s="201"/>
      <c r="N1484" s="201"/>
      <c r="O1484" s="201"/>
      <c r="P1484" s="201"/>
      <c r="Q1484" s="201"/>
      <c r="R1484" s="201"/>
      <c r="S1484" s="201"/>
      <c r="T1484" s="201"/>
      <c r="U1484" s="201"/>
      <c r="V1484" s="201"/>
      <c r="W1484" s="201"/>
      <c r="X1484" s="201"/>
      <c r="Y1484" s="201"/>
      <c r="Z1484" s="201"/>
      <c r="AA1484" s="201"/>
    </row>
    <row r="1485" spans="1:27" ht="17.399999999999999">
      <c r="A1485" s="222"/>
      <c r="B1485" s="222"/>
      <c r="C1485" s="201"/>
      <c r="D1485" s="163"/>
      <c r="E1485" s="201"/>
      <c r="F1485" s="198"/>
      <c r="G1485" s="201"/>
      <c r="I1485" s="201"/>
      <c r="J1485" s="149"/>
      <c r="K1485" s="198"/>
      <c r="L1485" s="201"/>
      <c r="M1485" s="201"/>
      <c r="N1485" s="201"/>
      <c r="O1485" s="201"/>
      <c r="P1485" s="201"/>
      <c r="Q1485" s="201"/>
      <c r="R1485" s="201"/>
      <c r="S1485" s="201"/>
      <c r="T1485" s="201"/>
      <c r="U1485" s="201"/>
      <c r="V1485" s="201"/>
      <c r="W1485" s="201"/>
      <c r="X1485" s="201"/>
      <c r="Y1485" s="201"/>
      <c r="Z1485" s="201"/>
      <c r="AA1485" s="201"/>
    </row>
    <row r="1486" spans="1:27" ht="17.399999999999999">
      <c r="A1486" s="222"/>
      <c r="B1486" s="222"/>
      <c r="C1486" s="201"/>
      <c r="D1486" s="163"/>
      <c r="E1486" s="201"/>
      <c r="F1486" s="198"/>
      <c r="G1486" s="201"/>
      <c r="I1486" s="201"/>
      <c r="J1486" s="149"/>
      <c r="K1486" s="198"/>
      <c r="L1486" s="201"/>
      <c r="M1486" s="201"/>
      <c r="N1486" s="201"/>
      <c r="O1486" s="201"/>
      <c r="P1486" s="201"/>
      <c r="Q1486" s="201"/>
      <c r="R1486" s="201"/>
      <c r="S1486" s="201"/>
      <c r="T1486" s="201"/>
      <c r="U1486" s="201"/>
      <c r="V1486" s="201"/>
      <c r="W1486" s="201"/>
      <c r="X1486" s="201"/>
      <c r="Y1486" s="201"/>
      <c r="Z1486" s="201"/>
      <c r="AA1486" s="201"/>
    </row>
    <row r="1487" spans="1:27" ht="17.399999999999999">
      <c r="A1487" s="222"/>
      <c r="B1487" s="222"/>
      <c r="C1487" s="201"/>
      <c r="D1487" s="163"/>
      <c r="E1487" s="201"/>
      <c r="F1487" s="198"/>
      <c r="G1487" s="201"/>
      <c r="I1487" s="201"/>
      <c r="J1487" s="149"/>
      <c r="K1487" s="198"/>
      <c r="L1487" s="201"/>
      <c r="M1487" s="201"/>
      <c r="N1487" s="201"/>
      <c r="O1487" s="201"/>
      <c r="P1487" s="201"/>
      <c r="Q1487" s="201"/>
      <c r="R1487" s="201"/>
      <c r="S1487" s="201"/>
      <c r="T1487" s="201"/>
      <c r="U1487" s="201"/>
      <c r="V1487" s="201"/>
      <c r="W1487" s="201"/>
      <c r="X1487" s="201"/>
      <c r="Y1487" s="201"/>
      <c r="Z1487" s="201"/>
      <c r="AA1487" s="201"/>
    </row>
    <row r="1488" spans="1:27" ht="17.399999999999999">
      <c r="A1488" s="222"/>
      <c r="B1488" s="222"/>
      <c r="C1488" s="201"/>
      <c r="D1488" s="163"/>
      <c r="E1488" s="201"/>
      <c r="F1488" s="198"/>
      <c r="G1488" s="201"/>
      <c r="I1488" s="201"/>
      <c r="J1488" s="149"/>
      <c r="K1488" s="198"/>
      <c r="L1488" s="201"/>
      <c r="M1488" s="201"/>
      <c r="N1488" s="201"/>
      <c r="O1488" s="201"/>
      <c r="P1488" s="201"/>
      <c r="Q1488" s="201"/>
      <c r="R1488" s="201"/>
      <c r="S1488" s="201"/>
      <c r="T1488" s="201"/>
      <c r="U1488" s="201"/>
      <c r="V1488" s="201"/>
      <c r="W1488" s="201"/>
      <c r="X1488" s="201"/>
      <c r="Y1488" s="201"/>
      <c r="Z1488" s="201"/>
      <c r="AA1488" s="201"/>
    </row>
    <row r="1489" spans="1:27" ht="17.399999999999999">
      <c r="A1489" s="222"/>
      <c r="B1489" s="222"/>
      <c r="C1489" s="201"/>
      <c r="D1489" s="163"/>
      <c r="E1489" s="201"/>
      <c r="F1489" s="198"/>
      <c r="G1489" s="201"/>
      <c r="I1489" s="201"/>
      <c r="J1489" s="149"/>
      <c r="K1489" s="198"/>
      <c r="L1489" s="201"/>
      <c r="M1489" s="201"/>
      <c r="N1489" s="201"/>
      <c r="O1489" s="201"/>
      <c r="P1489" s="201"/>
      <c r="Q1489" s="201"/>
      <c r="R1489" s="201"/>
      <c r="S1489" s="201"/>
      <c r="T1489" s="201"/>
      <c r="U1489" s="201"/>
      <c r="V1489" s="201"/>
      <c r="W1489" s="201"/>
      <c r="X1489" s="201"/>
      <c r="Y1489" s="201"/>
      <c r="Z1489" s="201"/>
      <c r="AA1489" s="201"/>
    </row>
    <row r="1490" spans="1:27" ht="17.399999999999999">
      <c r="A1490" s="222"/>
      <c r="B1490" s="222"/>
      <c r="C1490" s="201"/>
      <c r="D1490" s="163"/>
      <c r="E1490" s="201"/>
      <c r="F1490" s="198"/>
      <c r="G1490" s="201"/>
      <c r="I1490" s="201"/>
      <c r="J1490" s="149"/>
      <c r="K1490" s="198"/>
      <c r="L1490" s="201"/>
      <c r="M1490" s="201"/>
      <c r="N1490" s="201"/>
      <c r="O1490" s="201"/>
      <c r="P1490" s="201"/>
      <c r="Q1490" s="201"/>
      <c r="R1490" s="201"/>
      <c r="S1490" s="201"/>
      <c r="T1490" s="201"/>
      <c r="U1490" s="201"/>
      <c r="V1490" s="201"/>
      <c r="W1490" s="201"/>
      <c r="X1490" s="201"/>
      <c r="Y1490" s="201"/>
      <c r="Z1490" s="201"/>
      <c r="AA1490" s="201"/>
    </row>
    <row r="1491" spans="1:27" ht="17.399999999999999">
      <c r="A1491" s="222"/>
      <c r="B1491" s="222"/>
      <c r="C1491" s="201"/>
      <c r="D1491" s="163"/>
      <c r="E1491" s="201"/>
      <c r="F1491" s="198"/>
      <c r="G1491" s="201"/>
      <c r="I1491" s="201"/>
      <c r="J1491" s="149"/>
      <c r="K1491" s="198"/>
      <c r="L1491" s="201"/>
      <c r="M1491" s="201"/>
      <c r="N1491" s="201"/>
      <c r="O1491" s="201"/>
      <c r="P1491" s="201"/>
      <c r="Q1491" s="201"/>
      <c r="R1491" s="201"/>
      <c r="S1491" s="201"/>
      <c r="T1491" s="201"/>
      <c r="U1491" s="201"/>
      <c r="V1491" s="201"/>
      <c r="W1491" s="201"/>
      <c r="X1491" s="201"/>
      <c r="Y1491" s="201"/>
      <c r="Z1491" s="201"/>
      <c r="AA1491" s="201"/>
    </row>
    <row r="1492" spans="1:27" ht="17.399999999999999">
      <c r="A1492" s="222"/>
      <c r="B1492" s="222"/>
      <c r="C1492" s="201"/>
      <c r="D1492" s="163"/>
      <c r="E1492" s="201"/>
      <c r="F1492" s="198"/>
      <c r="G1492" s="201"/>
      <c r="I1492" s="201"/>
      <c r="J1492" s="149"/>
      <c r="K1492" s="198"/>
      <c r="L1492" s="201"/>
      <c r="M1492" s="201"/>
      <c r="N1492" s="201"/>
      <c r="O1492" s="201"/>
      <c r="P1492" s="201"/>
      <c r="Q1492" s="201"/>
      <c r="R1492" s="201"/>
      <c r="S1492" s="201"/>
      <c r="T1492" s="201"/>
      <c r="U1492" s="201"/>
      <c r="V1492" s="201"/>
      <c r="W1492" s="201"/>
      <c r="X1492" s="201"/>
      <c r="Y1492" s="201"/>
      <c r="Z1492" s="201"/>
      <c r="AA1492" s="201"/>
    </row>
    <row r="1493" spans="1:27" ht="17.399999999999999">
      <c r="A1493" s="222"/>
      <c r="B1493" s="222"/>
      <c r="C1493" s="201"/>
      <c r="D1493" s="163"/>
      <c r="E1493" s="201"/>
      <c r="F1493" s="198"/>
      <c r="G1493" s="201"/>
      <c r="I1493" s="201"/>
      <c r="J1493" s="149"/>
      <c r="K1493" s="198"/>
      <c r="L1493" s="201"/>
      <c r="M1493" s="201"/>
      <c r="N1493" s="201"/>
      <c r="O1493" s="201"/>
      <c r="P1493" s="201"/>
      <c r="Q1493" s="201"/>
      <c r="R1493" s="201"/>
      <c r="S1493" s="201"/>
      <c r="T1493" s="201"/>
      <c r="U1493" s="201"/>
      <c r="V1493" s="201"/>
      <c r="W1493" s="201"/>
      <c r="X1493" s="201"/>
      <c r="Y1493" s="201"/>
      <c r="Z1493" s="201"/>
      <c r="AA1493" s="201"/>
    </row>
    <row r="1494" spans="1:27" ht="17.399999999999999">
      <c r="A1494" s="222"/>
      <c r="B1494" s="222"/>
      <c r="C1494" s="201"/>
      <c r="D1494" s="163"/>
      <c r="E1494" s="201"/>
      <c r="F1494" s="198"/>
      <c r="G1494" s="201"/>
      <c r="I1494" s="201"/>
      <c r="J1494" s="149"/>
      <c r="K1494" s="198"/>
      <c r="L1494" s="201"/>
      <c r="M1494" s="201"/>
      <c r="N1494" s="201"/>
      <c r="O1494" s="201"/>
      <c r="P1494" s="201"/>
      <c r="Q1494" s="201"/>
      <c r="R1494" s="201"/>
      <c r="S1494" s="201"/>
      <c r="T1494" s="201"/>
      <c r="U1494" s="201"/>
      <c r="V1494" s="201"/>
      <c r="W1494" s="201"/>
      <c r="X1494" s="201"/>
      <c r="Y1494" s="201"/>
      <c r="Z1494" s="201"/>
      <c r="AA1494" s="201"/>
    </row>
    <row r="1495" spans="1:27" ht="17.399999999999999">
      <c r="A1495" s="222"/>
      <c r="B1495" s="222"/>
      <c r="C1495" s="201"/>
      <c r="D1495" s="163"/>
      <c r="E1495" s="201"/>
      <c r="F1495" s="198"/>
      <c r="G1495" s="201"/>
      <c r="I1495" s="201"/>
      <c r="J1495" s="149"/>
      <c r="K1495" s="198"/>
      <c r="L1495" s="201"/>
      <c r="M1495" s="201"/>
      <c r="N1495" s="201"/>
      <c r="O1495" s="201"/>
      <c r="P1495" s="201"/>
      <c r="Q1495" s="201"/>
      <c r="R1495" s="201"/>
      <c r="S1495" s="201"/>
      <c r="T1495" s="201"/>
      <c r="U1495" s="201"/>
      <c r="V1495" s="201"/>
      <c r="W1495" s="201"/>
      <c r="X1495" s="201"/>
      <c r="Y1495" s="201"/>
      <c r="Z1495" s="201"/>
      <c r="AA1495" s="201"/>
    </row>
    <row r="1496" spans="1:27" ht="17.399999999999999">
      <c r="A1496" s="222"/>
      <c r="B1496" s="222"/>
      <c r="C1496" s="201"/>
      <c r="D1496" s="163"/>
      <c r="E1496" s="201"/>
      <c r="F1496" s="198"/>
      <c r="G1496" s="201"/>
      <c r="I1496" s="201"/>
      <c r="J1496" s="149"/>
      <c r="K1496" s="198"/>
      <c r="L1496" s="201"/>
      <c r="M1496" s="201"/>
      <c r="N1496" s="201"/>
      <c r="O1496" s="201"/>
      <c r="P1496" s="201"/>
      <c r="Q1496" s="201"/>
      <c r="R1496" s="201"/>
      <c r="S1496" s="201"/>
      <c r="T1496" s="201"/>
      <c r="U1496" s="201"/>
      <c r="V1496" s="201"/>
      <c r="W1496" s="201"/>
      <c r="X1496" s="201"/>
      <c r="Y1496" s="201"/>
      <c r="Z1496" s="201"/>
      <c r="AA1496" s="201"/>
    </row>
    <row r="1497" spans="1:27" ht="17.399999999999999">
      <c r="A1497" s="222"/>
      <c r="B1497" s="222"/>
      <c r="C1497" s="201"/>
      <c r="D1497" s="163"/>
      <c r="E1497" s="201"/>
      <c r="F1497" s="198"/>
      <c r="G1497" s="201"/>
      <c r="I1497" s="201"/>
      <c r="J1497" s="149"/>
      <c r="K1497" s="198"/>
      <c r="L1497" s="201"/>
      <c r="M1497" s="201"/>
      <c r="N1497" s="201"/>
      <c r="O1497" s="201"/>
      <c r="P1497" s="201"/>
      <c r="Q1497" s="201"/>
      <c r="R1497" s="201"/>
      <c r="S1497" s="201"/>
      <c r="T1497" s="201"/>
      <c r="U1497" s="201"/>
      <c r="V1497" s="201"/>
      <c r="W1497" s="201"/>
      <c r="X1497" s="201"/>
      <c r="Y1497" s="201"/>
      <c r="Z1497" s="201"/>
      <c r="AA1497" s="201"/>
    </row>
    <row r="1498" spans="1:27" ht="17.399999999999999">
      <c r="A1498" s="222"/>
      <c r="B1498" s="222"/>
      <c r="C1498" s="201"/>
      <c r="D1498" s="163"/>
      <c r="E1498" s="201"/>
      <c r="F1498" s="198"/>
      <c r="G1498" s="201"/>
      <c r="I1498" s="201"/>
      <c r="J1498" s="149"/>
      <c r="K1498" s="198"/>
      <c r="L1498" s="201"/>
      <c r="M1498" s="201"/>
      <c r="N1498" s="201"/>
      <c r="O1498" s="201"/>
      <c r="P1498" s="201"/>
      <c r="Q1498" s="201"/>
      <c r="R1498" s="201"/>
      <c r="S1498" s="201"/>
      <c r="T1498" s="201"/>
      <c r="U1498" s="201"/>
      <c r="V1498" s="201"/>
      <c r="W1498" s="201"/>
      <c r="X1498" s="201"/>
      <c r="Y1498" s="201"/>
      <c r="Z1498" s="201"/>
      <c r="AA1498" s="201"/>
    </row>
    <row r="1499" spans="1:27" ht="17.399999999999999">
      <c r="A1499" s="222"/>
      <c r="B1499" s="222"/>
      <c r="C1499" s="201"/>
      <c r="D1499" s="163"/>
      <c r="E1499" s="201"/>
      <c r="F1499" s="198"/>
      <c r="G1499" s="201"/>
      <c r="I1499" s="201"/>
      <c r="J1499" s="149"/>
      <c r="K1499" s="198"/>
      <c r="L1499" s="201"/>
      <c r="M1499" s="201"/>
      <c r="N1499" s="201"/>
      <c r="O1499" s="201"/>
      <c r="P1499" s="201"/>
      <c r="Q1499" s="201"/>
      <c r="R1499" s="201"/>
      <c r="S1499" s="201"/>
      <c r="T1499" s="201"/>
      <c r="U1499" s="201"/>
      <c r="V1499" s="201"/>
      <c r="W1499" s="201"/>
      <c r="X1499" s="201"/>
      <c r="Y1499" s="201"/>
      <c r="Z1499" s="201"/>
      <c r="AA1499" s="201"/>
    </row>
    <row r="1500" spans="1:27" ht="17.399999999999999">
      <c r="A1500" s="222"/>
      <c r="B1500" s="222"/>
      <c r="C1500" s="201"/>
      <c r="D1500" s="163"/>
      <c r="E1500" s="201"/>
      <c r="F1500" s="198"/>
      <c r="G1500" s="201"/>
      <c r="I1500" s="201"/>
      <c r="J1500" s="149"/>
      <c r="K1500" s="198"/>
      <c r="L1500" s="201"/>
      <c r="M1500" s="201"/>
      <c r="N1500" s="201"/>
      <c r="O1500" s="201"/>
      <c r="P1500" s="201"/>
      <c r="Q1500" s="201"/>
      <c r="R1500" s="201"/>
      <c r="S1500" s="201"/>
      <c r="T1500" s="201"/>
      <c r="U1500" s="201"/>
      <c r="V1500" s="201"/>
      <c r="W1500" s="201"/>
      <c r="X1500" s="201"/>
      <c r="Y1500" s="201"/>
      <c r="Z1500" s="201"/>
      <c r="AA1500" s="201"/>
    </row>
    <row r="1501" spans="1:27" ht="17.399999999999999">
      <c r="A1501" s="222"/>
      <c r="B1501" s="222"/>
      <c r="C1501" s="201"/>
      <c r="D1501" s="163"/>
      <c r="E1501" s="201"/>
      <c r="F1501" s="198"/>
      <c r="G1501" s="201"/>
      <c r="I1501" s="201"/>
      <c r="J1501" s="149"/>
      <c r="K1501" s="198"/>
      <c r="L1501" s="201"/>
      <c r="M1501" s="201"/>
      <c r="N1501" s="201"/>
      <c r="O1501" s="201"/>
      <c r="P1501" s="201"/>
      <c r="Q1501" s="201"/>
      <c r="R1501" s="201"/>
      <c r="S1501" s="201"/>
      <c r="T1501" s="201"/>
      <c r="U1501" s="201"/>
      <c r="V1501" s="201"/>
      <c r="W1501" s="201"/>
      <c r="X1501" s="201"/>
      <c r="Y1501" s="201"/>
      <c r="Z1501" s="201"/>
      <c r="AA1501" s="201"/>
    </row>
    <row r="1502" spans="1:27" ht="17.399999999999999">
      <c r="A1502" s="222"/>
      <c r="B1502" s="222"/>
      <c r="C1502" s="201"/>
      <c r="D1502" s="163"/>
      <c r="E1502" s="201"/>
      <c r="F1502" s="198"/>
      <c r="G1502" s="201"/>
      <c r="I1502" s="201"/>
      <c r="J1502" s="149"/>
      <c r="K1502" s="198"/>
      <c r="L1502" s="201"/>
      <c r="M1502" s="201"/>
      <c r="N1502" s="201"/>
      <c r="O1502" s="201"/>
      <c r="P1502" s="201"/>
      <c r="Q1502" s="201"/>
      <c r="R1502" s="201"/>
      <c r="S1502" s="201"/>
      <c r="T1502" s="201"/>
      <c r="U1502" s="201"/>
      <c r="V1502" s="201"/>
      <c r="W1502" s="201"/>
      <c r="X1502" s="201"/>
      <c r="Y1502" s="201"/>
      <c r="Z1502" s="201"/>
      <c r="AA1502" s="201"/>
    </row>
    <row r="1503" spans="1:27" ht="17.399999999999999">
      <c r="A1503" s="222"/>
      <c r="B1503" s="222"/>
      <c r="C1503" s="201"/>
      <c r="D1503" s="163"/>
      <c r="E1503" s="201"/>
      <c r="F1503" s="198"/>
      <c r="G1503" s="201"/>
      <c r="I1503" s="201"/>
      <c r="J1503" s="149"/>
      <c r="K1503" s="198"/>
      <c r="L1503" s="201"/>
      <c r="M1503" s="201"/>
      <c r="N1503" s="201"/>
      <c r="O1503" s="201"/>
      <c r="P1503" s="201"/>
      <c r="Q1503" s="201"/>
      <c r="R1503" s="201"/>
      <c r="S1503" s="201"/>
      <c r="T1503" s="201"/>
      <c r="U1503" s="201"/>
      <c r="V1503" s="201"/>
      <c r="W1503" s="201"/>
      <c r="X1503" s="201"/>
      <c r="Y1503" s="201"/>
      <c r="Z1503" s="201"/>
      <c r="AA1503" s="201"/>
    </row>
    <row r="1504" spans="1:27" ht="17.399999999999999">
      <c r="A1504" s="222"/>
      <c r="B1504" s="222"/>
      <c r="C1504" s="201"/>
      <c r="D1504" s="163"/>
      <c r="E1504" s="201"/>
      <c r="F1504" s="198"/>
      <c r="G1504" s="201"/>
      <c r="I1504" s="201"/>
      <c r="J1504" s="149"/>
      <c r="K1504" s="198"/>
      <c r="L1504" s="201"/>
      <c r="M1504" s="201"/>
      <c r="N1504" s="201"/>
      <c r="O1504" s="201"/>
      <c r="P1504" s="201"/>
      <c r="Q1504" s="201"/>
      <c r="R1504" s="201"/>
      <c r="S1504" s="201"/>
      <c r="T1504" s="201"/>
      <c r="U1504" s="201"/>
      <c r="V1504" s="201"/>
      <c r="W1504" s="201"/>
      <c r="X1504" s="201"/>
      <c r="Y1504" s="201"/>
      <c r="Z1504" s="201"/>
      <c r="AA1504" s="201"/>
    </row>
    <row r="1505" spans="1:27" ht="17.399999999999999">
      <c r="A1505" s="222"/>
      <c r="B1505" s="222"/>
      <c r="C1505" s="201"/>
      <c r="D1505" s="163"/>
      <c r="E1505" s="201"/>
      <c r="F1505" s="198"/>
      <c r="G1505" s="201"/>
      <c r="I1505" s="201"/>
      <c r="J1505" s="149"/>
      <c r="K1505" s="198"/>
      <c r="L1505" s="201"/>
      <c r="M1505" s="201"/>
      <c r="N1505" s="201"/>
      <c r="O1505" s="201"/>
      <c r="P1505" s="201"/>
      <c r="Q1505" s="201"/>
      <c r="R1505" s="201"/>
      <c r="S1505" s="201"/>
      <c r="T1505" s="201"/>
      <c r="U1505" s="201"/>
      <c r="V1505" s="201"/>
      <c r="W1505" s="201"/>
      <c r="X1505" s="201"/>
      <c r="Y1505" s="201"/>
      <c r="Z1505" s="201"/>
      <c r="AA1505" s="201"/>
    </row>
    <row r="1506" spans="1:27" ht="17.399999999999999">
      <c r="A1506" s="222"/>
      <c r="B1506" s="222"/>
      <c r="C1506" s="201"/>
      <c r="D1506" s="163"/>
      <c r="E1506" s="201"/>
      <c r="F1506" s="198"/>
      <c r="G1506" s="201"/>
      <c r="I1506" s="201"/>
      <c r="J1506" s="149"/>
      <c r="K1506" s="198"/>
      <c r="L1506" s="201"/>
      <c r="M1506" s="201"/>
      <c r="N1506" s="201"/>
      <c r="O1506" s="201"/>
      <c r="P1506" s="201"/>
      <c r="Q1506" s="201"/>
      <c r="R1506" s="201"/>
      <c r="S1506" s="201"/>
      <c r="T1506" s="201"/>
      <c r="U1506" s="201"/>
      <c r="V1506" s="201"/>
      <c r="W1506" s="201"/>
      <c r="X1506" s="201"/>
      <c r="Y1506" s="201"/>
      <c r="Z1506" s="201"/>
      <c r="AA1506" s="201"/>
    </row>
    <row r="1507" spans="1:27" ht="17.399999999999999">
      <c r="A1507" s="222"/>
      <c r="B1507" s="222"/>
      <c r="C1507" s="201"/>
      <c r="D1507" s="163"/>
      <c r="E1507" s="201"/>
      <c r="F1507" s="198"/>
      <c r="G1507" s="201"/>
      <c r="I1507" s="201"/>
      <c r="J1507" s="149"/>
      <c r="K1507" s="198"/>
      <c r="L1507" s="201"/>
      <c r="M1507" s="201"/>
      <c r="N1507" s="201"/>
      <c r="O1507" s="201"/>
      <c r="P1507" s="201"/>
      <c r="Q1507" s="201"/>
      <c r="R1507" s="201"/>
      <c r="S1507" s="201"/>
      <c r="T1507" s="201"/>
      <c r="U1507" s="201"/>
      <c r="V1507" s="201"/>
      <c r="W1507" s="201"/>
      <c r="X1507" s="201"/>
      <c r="Y1507" s="201"/>
      <c r="Z1507" s="201"/>
      <c r="AA1507" s="201"/>
    </row>
    <row r="1508" spans="1:27" ht="17.399999999999999">
      <c r="A1508" s="222"/>
      <c r="B1508" s="222"/>
      <c r="C1508" s="201"/>
      <c r="D1508" s="163"/>
      <c r="E1508" s="201"/>
      <c r="F1508" s="198"/>
      <c r="G1508" s="201"/>
      <c r="I1508" s="201"/>
      <c r="J1508" s="149"/>
      <c r="K1508" s="198"/>
      <c r="L1508" s="201"/>
      <c r="M1508" s="201"/>
      <c r="N1508" s="201"/>
      <c r="O1508" s="201"/>
      <c r="P1508" s="201"/>
      <c r="Q1508" s="201"/>
      <c r="R1508" s="201"/>
      <c r="S1508" s="201"/>
      <c r="T1508" s="201"/>
      <c r="U1508" s="201"/>
      <c r="V1508" s="201"/>
      <c r="W1508" s="201"/>
      <c r="X1508" s="201"/>
      <c r="Y1508" s="201"/>
      <c r="Z1508" s="201"/>
      <c r="AA1508" s="201"/>
    </row>
    <row r="1509" spans="1:27" ht="17.399999999999999">
      <c r="A1509" s="222"/>
      <c r="B1509" s="222"/>
      <c r="C1509" s="201"/>
      <c r="D1509" s="163"/>
      <c r="E1509" s="201"/>
      <c r="F1509" s="198"/>
      <c r="G1509" s="201"/>
      <c r="I1509" s="201"/>
      <c r="J1509" s="149"/>
      <c r="K1509" s="198"/>
      <c r="L1509" s="201"/>
      <c r="M1509" s="201"/>
      <c r="N1509" s="201"/>
      <c r="O1509" s="201"/>
      <c r="P1509" s="201"/>
      <c r="Q1509" s="201"/>
      <c r="R1509" s="201"/>
      <c r="S1509" s="201"/>
      <c r="T1509" s="201"/>
      <c r="U1509" s="201"/>
      <c r="V1509" s="201"/>
      <c r="W1509" s="201"/>
      <c r="X1509" s="201"/>
      <c r="Y1509" s="201"/>
      <c r="Z1509" s="201"/>
      <c r="AA1509" s="201"/>
    </row>
    <row r="1510" spans="1:27" ht="17.399999999999999">
      <c r="A1510" s="222"/>
      <c r="B1510" s="222"/>
      <c r="C1510" s="201"/>
      <c r="D1510" s="163"/>
      <c r="E1510" s="201"/>
      <c r="F1510" s="198"/>
      <c r="G1510" s="201"/>
      <c r="I1510" s="201"/>
      <c r="J1510" s="149"/>
      <c r="K1510" s="198"/>
      <c r="L1510" s="201"/>
      <c r="M1510" s="201"/>
      <c r="N1510" s="201"/>
      <c r="O1510" s="201"/>
      <c r="P1510" s="201"/>
      <c r="Q1510" s="201"/>
      <c r="R1510" s="201"/>
      <c r="S1510" s="201"/>
      <c r="T1510" s="201"/>
      <c r="U1510" s="201"/>
      <c r="V1510" s="201"/>
      <c r="W1510" s="201"/>
      <c r="X1510" s="201"/>
      <c r="Y1510" s="201"/>
      <c r="Z1510" s="201"/>
      <c r="AA1510" s="201"/>
    </row>
    <row r="1511" spans="1:27" ht="17.399999999999999">
      <c r="A1511" s="222"/>
      <c r="B1511" s="222"/>
      <c r="C1511" s="201"/>
      <c r="D1511" s="163"/>
      <c r="E1511" s="201"/>
      <c r="F1511" s="198"/>
      <c r="G1511" s="201"/>
      <c r="I1511" s="201"/>
      <c r="J1511" s="149"/>
      <c r="K1511" s="198"/>
      <c r="L1511" s="201"/>
      <c r="M1511" s="201"/>
      <c r="N1511" s="201"/>
      <c r="O1511" s="201"/>
      <c r="P1511" s="201"/>
      <c r="Q1511" s="201"/>
      <c r="R1511" s="201"/>
      <c r="S1511" s="201"/>
      <c r="T1511" s="201"/>
      <c r="U1511" s="201"/>
      <c r="V1511" s="201"/>
      <c r="W1511" s="201"/>
      <c r="X1511" s="201"/>
      <c r="Y1511" s="201"/>
      <c r="Z1511" s="201"/>
      <c r="AA1511" s="201"/>
    </row>
    <row r="1512" spans="1:27" ht="17.399999999999999">
      <c r="A1512" s="222"/>
      <c r="B1512" s="222"/>
      <c r="C1512" s="201"/>
      <c r="D1512" s="163"/>
      <c r="E1512" s="201"/>
      <c r="F1512" s="198"/>
      <c r="G1512" s="201"/>
      <c r="I1512" s="201"/>
      <c r="J1512" s="149"/>
      <c r="K1512" s="198"/>
      <c r="L1512" s="201"/>
      <c r="M1512" s="201"/>
      <c r="N1512" s="201"/>
      <c r="O1512" s="201"/>
      <c r="P1512" s="201"/>
      <c r="Q1512" s="201"/>
      <c r="R1512" s="201"/>
      <c r="S1512" s="201"/>
      <c r="T1512" s="201"/>
      <c r="U1512" s="201"/>
      <c r="V1512" s="201"/>
      <c r="W1512" s="201"/>
      <c r="X1512" s="201"/>
      <c r="Y1512" s="201"/>
      <c r="Z1512" s="201"/>
      <c r="AA1512" s="201"/>
    </row>
    <row r="1513" spans="1:27" ht="17.399999999999999">
      <c r="A1513" s="222"/>
      <c r="B1513" s="222"/>
      <c r="C1513" s="201"/>
      <c r="D1513" s="163"/>
      <c r="E1513" s="201"/>
      <c r="F1513" s="198"/>
      <c r="G1513" s="201"/>
      <c r="I1513" s="201"/>
      <c r="J1513" s="149"/>
      <c r="K1513" s="198"/>
      <c r="L1513" s="201"/>
      <c r="M1513" s="201"/>
      <c r="N1513" s="201"/>
      <c r="O1513" s="201"/>
      <c r="P1513" s="201"/>
      <c r="Q1513" s="201"/>
      <c r="R1513" s="201"/>
      <c r="S1513" s="201"/>
      <c r="T1513" s="201"/>
      <c r="U1513" s="201"/>
      <c r="V1513" s="201"/>
      <c r="W1513" s="201"/>
      <c r="X1513" s="201"/>
      <c r="Y1513" s="201"/>
      <c r="Z1513" s="201"/>
      <c r="AA1513" s="201"/>
    </row>
    <row r="1514" spans="1:27" ht="17.399999999999999">
      <c r="A1514" s="222"/>
      <c r="B1514" s="222"/>
      <c r="C1514" s="201"/>
      <c r="D1514" s="163"/>
      <c r="E1514" s="201"/>
      <c r="F1514" s="198"/>
      <c r="G1514" s="201"/>
      <c r="I1514" s="201"/>
      <c r="J1514" s="149"/>
      <c r="K1514" s="198"/>
      <c r="L1514" s="201"/>
      <c r="M1514" s="201"/>
      <c r="N1514" s="201"/>
      <c r="O1514" s="201"/>
      <c r="P1514" s="201"/>
      <c r="Q1514" s="201"/>
      <c r="R1514" s="201"/>
      <c r="S1514" s="201"/>
      <c r="T1514" s="201"/>
      <c r="U1514" s="201"/>
      <c r="V1514" s="201"/>
      <c r="W1514" s="201"/>
      <c r="X1514" s="201"/>
      <c r="Y1514" s="201"/>
      <c r="Z1514" s="201"/>
      <c r="AA1514" s="201"/>
    </row>
    <row r="1515" spans="1:27" ht="17.399999999999999">
      <c r="A1515" s="222"/>
      <c r="B1515" s="222"/>
      <c r="C1515" s="201"/>
      <c r="D1515" s="163"/>
      <c r="E1515" s="201"/>
      <c r="F1515" s="198"/>
      <c r="G1515" s="201"/>
      <c r="I1515" s="201"/>
      <c r="J1515" s="149"/>
      <c r="K1515" s="198"/>
      <c r="L1515" s="201"/>
      <c r="M1515" s="201"/>
      <c r="N1515" s="201"/>
      <c r="O1515" s="201"/>
      <c r="P1515" s="201"/>
      <c r="Q1515" s="201"/>
      <c r="R1515" s="201"/>
      <c r="S1515" s="201"/>
      <c r="T1515" s="201"/>
      <c r="U1515" s="201"/>
      <c r="V1515" s="201"/>
      <c r="W1515" s="201"/>
      <c r="X1515" s="201"/>
      <c r="Y1515" s="201"/>
      <c r="Z1515" s="201"/>
      <c r="AA1515" s="201"/>
    </row>
    <row r="1516" spans="1:27" ht="17.399999999999999">
      <c r="A1516" s="222"/>
      <c r="B1516" s="222"/>
      <c r="C1516" s="201"/>
      <c r="D1516" s="163"/>
      <c r="E1516" s="201"/>
      <c r="F1516" s="198"/>
      <c r="G1516" s="201"/>
      <c r="I1516" s="201"/>
      <c r="J1516" s="149"/>
      <c r="K1516" s="198"/>
      <c r="L1516" s="201"/>
      <c r="M1516" s="201"/>
      <c r="N1516" s="201"/>
      <c r="O1516" s="201"/>
      <c r="P1516" s="201"/>
      <c r="Q1516" s="201"/>
      <c r="R1516" s="201"/>
      <c r="S1516" s="201"/>
      <c r="T1516" s="201"/>
      <c r="U1516" s="201"/>
      <c r="V1516" s="201"/>
      <c r="W1516" s="201"/>
      <c r="X1516" s="201"/>
      <c r="Y1516" s="201"/>
      <c r="Z1516" s="201"/>
      <c r="AA1516" s="201"/>
    </row>
    <row r="1517" spans="1:27" ht="17.399999999999999">
      <c r="A1517" s="222"/>
      <c r="B1517" s="222"/>
      <c r="C1517" s="201"/>
      <c r="D1517" s="163"/>
      <c r="E1517" s="201"/>
      <c r="F1517" s="198"/>
      <c r="G1517" s="201"/>
      <c r="I1517" s="201"/>
      <c r="J1517" s="149"/>
      <c r="K1517" s="198"/>
      <c r="L1517" s="201"/>
      <c r="M1517" s="201"/>
      <c r="N1517" s="201"/>
      <c r="O1517" s="201"/>
      <c r="P1517" s="201"/>
      <c r="Q1517" s="201"/>
      <c r="R1517" s="201"/>
      <c r="S1517" s="201"/>
      <c r="T1517" s="201"/>
      <c r="U1517" s="201"/>
      <c r="V1517" s="201"/>
      <c r="W1517" s="201"/>
      <c r="X1517" s="201"/>
      <c r="Y1517" s="201"/>
      <c r="Z1517" s="201"/>
      <c r="AA1517" s="201"/>
    </row>
    <row r="1518" spans="1:27" ht="17.399999999999999">
      <c r="A1518" s="222"/>
      <c r="B1518" s="222"/>
      <c r="C1518" s="201"/>
      <c r="D1518" s="163"/>
      <c r="E1518" s="201"/>
      <c r="F1518" s="198"/>
      <c r="G1518" s="201"/>
      <c r="I1518" s="201"/>
      <c r="J1518" s="149"/>
      <c r="K1518" s="198"/>
      <c r="L1518" s="201"/>
      <c r="M1518" s="201"/>
      <c r="N1518" s="201"/>
      <c r="O1518" s="201"/>
      <c r="P1518" s="201"/>
      <c r="Q1518" s="201"/>
      <c r="R1518" s="201"/>
      <c r="S1518" s="201"/>
      <c r="T1518" s="201"/>
      <c r="U1518" s="201"/>
      <c r="V1518" s="201"/>
      <c r="W1518" s="201"/>
      <c r="X1518" s="201"/>
      <c r="Y1518" s="201"/>
      <c r="Z1518" s="201"/>
      <c r="AA1518" s="201"/>
    </row>
    <row r="1519" spans="1:27" ht="17.399999999999999">
      <c r="A1519" s="222"/>
      <c r="B1519" s="222"/>
      <c r="C1519" s="201"/>
      <c r="D1519" s="163"/>
      <c r="E1519" s="201"/>
      <c r="F1519" s="198"/>
      <c r="G1519" s="201"/>
      <c r="I1519" s="201"/>
      <c r="J1519" s="149"/>
      <c r="K1519" s="198"/>
      <c r="L1519" s="201"/>
      <c r="M1519" s="201"/>
      <c r="N1519" s="201"/>
      <c r="O1519" s="201"/>
      <c r="P1519" s="201"/>
      <c r="Q1519" s="201"/>
      <c r="R1519" s="201"/>
      <c r="S1519" s="201"/>
      <c r="T1519" s="201"/>
      <c r="U1519" s="201"/>
      <c r="V1519" s="201"/>
      <c r="W1519" s="201"/>
      <c r="X1519" s="201"/>
      <c r="Y1519" s="201"/>
      <c r="Z1519" s="201"/>
      <c r="AA1519" s="201"/>
    </row>
    <row r="1520" spans="1:27" ht="17.399999999999999">
      <c r="A1520" s="222"/>
      <c r="B1520" s="222"/>
      <c r="C1520" s="201"/>
      <c r="D1520" s="163"/>
      <c r="E1520" s="201"/>
      <c r="F1520" s="198"/>
      <c r="G1520" s="201"/>
      <c r="I1520" s="201"/>
      <c r="J1520" s="149"/>
      <c r="K1520" s="198"/>
      <c r="L1520" s="201"/>
      <c r="M1520" s="201"/>
      <c r="N1520" s="201"/>
      <c r="O1520" s="201"/>
      <c r="P1520" s="201"/>
      <c r="Q1520" s="201"/>
      <c r="R1520" s="201"/>
      <c r="S1520" s="201"/>
      <c r="T1520" s="201"/>
      <c r="U1520" s="201"/>
      <c r="V1520" s="201"/>
      <c r="W1520" s="201"/>
      <c r="X1520" s="201"/>
      <c r="Y1520" s="201"/>
      <c r="Z1520" s="201"/>
      <c r="AA1520" s="201"/>
    </row>
    <row r="1521" spans="1:27" ht="17.399999999999999">
      <c r="A1521" s="222"/>
      <c r="B1521" s="222"/>
      <c r="C1521" s="201"/>
      <c r="D1521" s="163"/>
      <c r="E1521" s="201"/>
      <c r="F1521" s="198"/>
      <c r="G1521" s="201"/>
      <c r="I1521" s="201"/>
      <c r="J1521" s="149"/>
      <c r="K1521" s="198"/>
      <c r="L1521" s="201"/>
      <c r="M1521" s="201"/>
      <c r="N1521" s="201"/>
      <c r="O1521" s="201"/>
      <c r="P1521" s="201"/>
      <c r="Q1521" s="201"/>
      <c r="R1521" s="201"/>
      <c r="S1521" s="201"/>
      <c r="T1521" s="201"/>
      <c r="U1521" s="201"/>
      <c r="V1521" s="201"/>
      <c r="W1521" s="201"/>
      <c r="X1521" s="201"/>
      <c r="Y1521" s="201"/>
      <c r="Z1521" s="201"/>
      <c r="AA1521" s="201"/>
    </row>
    <row r="1522" spans="1:27" ht="17.399999999999999">
      <c r="A1522" s="222"/>
      <c r="B1522" s="222"/>
      <c r="C1522" s="201"/>
      <c r="D1522" s="163"/>
      <c r="E1522" s="201"/>
      <c r="F1522" s="198"/>
      <c r="G1522" s="201"/>
      <c r="I1522" s="201"/>
      <c r="J1522" s="149"/>
      <c r="K1522" s="198"/>
      <c r="L1522" s="201"/>
      <c r="M1522" s="201"/>
      <c r="N1522" s="201"/>
      <c r="O1522" s="201"/>
      <c r="P1522" s="201"/>
      <c r="Q1522" s="201"/>
      <c r="R1522" s="201"/>
      <c r="S1522" s="201"/>
      <c r="T1522" s="201"/>
      <c r="U1522" s="201"/>
      <c r="V1522" s="201"/>
      <c r="W1522" s="201"/>
      <c r="X1522" s="201"/>
      <c r="Y1522" s="201"/>
      <c r="Z1522" s="201"/>
      <c r="AA1522" s="201"/>
    </row>
    <row r="1523" spans="1:27" ht="17.399999999999999">
      <c r="A1523" s="222"/>
      <c r="B1523" s="222"/>
      <c r="C1523" s="201"/>
      <c r="D1523" s="163"/>
      <c r="E1523" s="201"/>
      <c r="F1523" s="198"/>
      <c r="G1523" s="201"/>
      <c r="I1523" s="201"/>
      <c r="J1523" s="149"/>
      <c r="K1523" s="198"/>
      <c r="L1523" s="201"/>
      <c r="M1523" s="201"/>
      <c r="N1523" s="201"/>
      <c r="O1523" s="201"/>
      <c r="P1523" s="201"/>
      <c r="Q1523" s="201"/>
      <c r="R1523" s="201"/>
      <c r="S1523" s="201"/>
      <c r="T1523" s="201"/>
      <c r="U1523" s="201"/>
      <c r="V1523" s="201"/>
      <c r="W1523" s="201"/>
      <c r="X1523" s="201"/>
      <c r="Y1523" s="201"/>
      <c r="Z1523" s="201"/>
      <c r="AA1523" s="201"/>
    </row>
    <row r="1524" spans="1:27" ht="17.399999999999999">
      <c r="A1524" s="222"/>
      <c r="B1524" s="222"/>
      <c r="C1524" s="201"/>
      <c r="D1524" s="163"/>
      <c r="E1524" s="201"/>
      <c r="F1524" s="198"/>
      <c r="G1524" s="201"/>
      <c r="I1524" s="201"/>
      <c r="J1524" s="149"/>
      <c r="K1524" s="198"/>
      <c r="L1524" s="201"/>
      <c r="M1524" s="201"/>
      <c r="N1524" s="201"/>
      <c r="O1524" s="201"/>
      <c r="P1524" s="201"/>
      <c r="Q1524" s="201"/>
      <c r="R1524" s="201"/>
      <c r="S1524" s="201"/>
      <c r="T1524" s="201"/>
      <c r="U1524" s="201"/>
      <c r="V1524" s="201"/>
      <c r="W1524" s="201"/>
      <c r="X1524" s="201"/>
      <c r="Y1524" s="201"/>
      <c r="Z1524" s="201"/>
      <c r="AA1524" s="201"/>
    </row>
    <row r="1525" spans="1:27" ht="17.399999999999999">
      <c r="A1525" s="222"/>
      <c r="B1525" s="222"/>
      <c r="C1525" s="201"/>
      <c r="D1525" s="163"/>
      <c r="E1525" s="201"/>
      <c r="F1525" s="198"/>
      <c r="G1525" s="201"/>
      <c r="I1525" s="201"/>
      <c r="J1525" s="149"/>
      <c r="K1525" s="198"/>
      <c r="L1525" s="201"/>
      <c r="M1525" s="201"/>
      <c r="N1525" s="201"/>
      <c r="O1525" s="201"/>
      <c r="P1525" s="201"/>
      <c r="Q1525" s="201"/>
      <c r="R1525" s="201"/>
      <c r="S1525" s="201"/>
      <c r="T1525" s="201"/>
      <c r="U1525" s="201"/>
      <c r="V1525" s="201"/>
      <c r="W1525" s="201"/>
      <c r="X1525" s="201"/>
      <c r="Y1525" s="201"/>
      <c r="Z1525" s="201"/>
      <c r="AA1525" s="201"/>
    </row>
    <row r="1526" spans="1:27" ht="17.399999999999999">
      <c r="A1526" s="222"/>
      <c r="B1526" s="222"/>
      <c r="C1526" s="201"/>
      <c r="D1526" s="163"/>
      <c r="E1526" s="201"/>
      <c r="F1526" s="198"/>
      <c r="G1526" s="201"/>
      <c r="I1526" s="201"/>
      <c r="J1526" s="149"/>
      <c r="K1526" s="198"/>
      <c r="L1526" s="201"/>
      <c r="M1526" s="201"/>
      <c r="N1526" s="201"/>
      <c r="O1526" s="201"/>
      <c r="P1526" s="201"/>
      <c r="Q1526" s="201"/>
      <c r="R1526" s="201"/>
      <c r="S1526" s="201"/>
      <c r="T1526" s="201"/>
      <c r="U1526" s="201"/>
      <c r="V1526" s="201"/>
      <c r="W1526" s="201"/>
      <c r="X1526" s="201"/>
      <c r="Y1526" s="201"/>
      <c r="Z1526" s="201"/>
      <c r="AA1526" s="201"/>
    </row>
    <row r="1527" spans="1:27" ht="17.399999999999999">
      <c r="A1527" s="222"/>
      <c r="B1527" s="222"/>
      <c r="C1527" s="201"/>
      <c r="D1527" s="163"/>
      <c r="E1527" s="201"/>
      <c r="F1527" s="198"/>
      <c r="G1527" s="201"/>
      <c r="I1527" s="201"/>
      <c r="J1527" s="149"/>
      <c r="K1527" s="198"/>
      <c r="L1527" s="201"/>
      <c r="M1527" s="201"/>
      <c r="N1527" s="201"/>
      <c r="O1527" s="201"/>
      <c r="P1527" s="201"/>
      <c r="Q1527" s="201"/>
      <c r="R1527" s="201"/>
      <c r="S1527" s="201"/>
      <c r="T1527" s="201"/>
      <c r="U1527" s="201"/>
      <c r="V1527" s="201"/>
      <c r="W1527" s="201"/>
      <c r="X1527" s="201"/>
      <c r="Y1527" s="201"/>
      <c r="Z1527" s="201"/>
      <c r="AA1527" s="201"/>
    </row>
    <row r="1528" spans="1:27" ht="17.399999999999999">
      <c r="A1528" s="222"/>
      <c r="B1528" s="222"/>
      <c r="C1528" s="201"/>
      <c r="D1528" s="163"/>
      <c r="E1528" s="201"/>
      <c r="F1528" s="198"/>
      <c r="G1528" s="201"/>
      <c r="I1528" s="201"/>
      <c r="J1528" s="149"/>
      <c r="K1528" s="198"/>
      <c r="L1528" s="201"/>
      <c r="M1528" s="201"/>
      <c r="N1528" s="201"/>
      <c r="O1528" s="201"/>
      <c r="P1528" s="201"/>
      <c r="Q1528" s="201"/>
      <c r="R1528" s="201"/>
      <c r="S1528" s="201"/>
      <c r="T1528" s="201"/>
      <c r="U1528" s="201"/>
      <c r="V1528" s="201"/>
      <c r="W1528" s="201"/>
      <c r="X1528" s="201"/>
      <c r="Y1528" s="201"/>
      <c r="Z1528" s="201"/>
      <c r="AA1528" s="201"/>
    </row>
    <row r="1529" spans="1:27" ht="17.399999999999999">
      <c r="A1529" s="222"/>
      <c r="B1529" s="222"/>
      <c r="C1529" s="201"/>
      <c r="D1529" s="163"/>
      <c r="E1529" s="201"/>
      <c r="F1529" s="198"/>
      <c r="G1529" s="201"/>
      <c r="I1529" s="201"/>
      <c r="J1529" s="149"/>
      <c r="K1529" s="198"/>
      <c r="L1529" s="201"/>
      <c r="M1529" s="201"/>
      <c r="N1529" s="201"/>
      <c r="O1529" s="201"/>
      <c r="P1529" s="201"/>
      <c r="Q1529" s="201"/>
      <c r="R1529" s="201"/>
      <c r="S1529" s="201"/>
      <c r="T1529" s="201"/>
      <c r="U1529" s="201"/>
      <c r="V1529" s="201"/>
      <c r="W1529" s="201"/>
      <c r="X1529" s="201"/>
      <c r="Y1529" s="201"/>
      <c r="Z1529" s="201"/>
      <c r="AA1529" s="201"/>
    </row>
    <row r="1530" spans="1:27" ht="17.399999999999999">
      <c r="A1530" s="222"/>
      <c r="B1530" s="222"/>
      <c r="C1530" s="201"/>
      <c r="D1530" s="163"/>
      <c r="E1530" s="201"/>
      <c r="F1530" s="198"/>
      <c r="G1530" s="201"/>
      <c r="I1530" s="201"/>
      <c r="J1530" s="149"/>
      <c r="K1530" s="198"/>
      <c r="L1530" s="201"/>
      <c r="M1530" s="201"/>
      <c r="N1530" s="201"/>
      <c r="O1530" s="201"/>
      <c r="P1530" s="201"/>
      <c r="Q1530" s="201"/>
      <c r="R1530" s="201"/>
      <c r="S1530" s="201"/>
      <c r="T1530" s="201"/>
      <c r="U1530" s="201"/>
      <c r="V1530" s="201"/>
      <c r="W1530" s="201"/>
      <c r="X1530" s="201"/>
      <c r="Y1530" s="201"/>
      <c r="Z1530" s="201"/>
      <c r="AA1530" s="201"/>
    </row>
    <row r="1531" spans="1:27" ht="17.399999999999999">
      <c r="A1531" s="222"/>
      <c r="B1531" s="222"/>
      <c r="C1531" s="201"/>
      <c r="D1531" s="163"/>
      <c r="E1531" s="201"/>
      <c r="F1531" s="198"/>
      <c r="G1531" s="201"/>
      <c r="I1531" s="201"/>
      <c r="J1531" s="149"/>
      <c r="K1531" s="198"/>
      <c r="L1531" s="201"/>
      <c r="M1531" s="201"/>
      <c r="N1531" s="201"/>
      <c r="O1531" s="201"/>
      <c r="P1531" s="201"/>
      <c r="Q1531" s="201"/>
      <c r="R1531" s="201"/>
      <c r="S1531" s="201"/>
      <c r="T1531" s="201"/>
      <c r="U1531" s="201"/>
      <c r="V1531" s="201"/>
      <c r="W1531" s="201"/>
      <c r="X1531" s="201"/>
      <c r="Y1531" s="201"/>
      <c r="Z1531" s="201"/>
      <c r="AA1531" s="201"/>
    </row>
    <row r="1532" spans="1:27" ht="17.399999999999999">
      <c r="A1532" s="222"/>
      <c r="B1532" s="222"/>
      <c r="C1532" s="201"/>
      <c r="D1532" s="163"/>
      <c r="E1532" s="201"/>
      <c r="F1532" s="198"/>
      <c r="G1532" s="201"/>
      <c r="I1532" s="201"/>
      <c r="J1532" s="149"/>
      <c r="K1532" s="198"/>
      <c r="L1532" s="201"/>
      <c r="M1532" s="201"/>
      <c r="N1532" s="201"/>
      <c r="O1532" s="201"/>
      <c r="P1532" s="201"/>
      <c r="Q1532" s="201"/>
      <c r="R1532" s="201"/>
      <c r="S1532" s="201"/>
      <c r="T1532" s="201"/>
      <c r="U1532" s="201"/>
      <c r="V1532" s="201"/>
      <c r="W1532" s="201"/>
      <c r="X1532" s="201"/>
      <c r="Y1532" s="201"/>
      <c r="Z1532" s="201"/>
      <c r="AA1532" s="201"/>
    </row>
    <row r="1533" spans="1:27" ht="17.399999999999999">
      <c r="A1533" s="222"/>
      <c r="B1533" s="222"/>
      <c r="C1533" s="201"/>
      <c r="D1533" s="163"/>
      <c r="E1533" s="201"/>
      <c r="F1533" s="198"/>
      <c r="G1533" s="201"/>
      <c r="I1533" s="201"/>
      <c r="J1533" s="149"/>
      <c r="K1533" s="198"/>
      <c r="L1533" s="201"/>
      <c r="M1533" s="201"/>
      <c r="N1533" s="201"/>
      <c r="O1533" s="201"/>
      <c r="P1533" s="201"/>
      <c r="Q1533" s="201"/>
      <c r="R1533" s="201"/>
      <c r="S1533" s="201"/>
      <c r="T1533" s="201"/>
      <c r="U1533" s="201"/>
      <c r="V1533" s="201"/>
      <c r="W1533" s="201"/>
      <c r="X1533" s="201"/>
      <c r="Y1533" s="201"/>
      <c r="Z1533" s="201"/>
      <c r="AA1533" s="201"/>
    </row>
    <row r="1534" spans="1:27" ht="17.399999999999999">
      <c r="A1534" s="222"/>
      <c r="B1534" s="222"/>
      <c r="C1534" s="201"/>
      <c r="D1534" s="163"/>
      <c r="E1534" s="201"/>
      <c r="F1534" s="198"/>
      <c r="G1534" s="201"/>
      <c r="I1534" s="201"/>
      <c r="J1534" s="149"/>
      <c r="K1534" s="198"/>
      <c r="L1534" s="201"/>
      <c r="M1534" s="201"/>
      <c r="N1534" s="201"/>
      <c r="O1534" s="201"/>
      <c r="P1534" s="201"/>
      <c r="Q1534" s="201"/>
      <c r="R1534" s="201"/>
      <c r="S1534" s="201"/>
      <c r="T1534" s="201"/>
      <c r="U1534" s="201"/>
      <c r="V1534" s="201"/>
      <c r="W1534" s="201"/>
      <c r="X1534" s="201"/>
      <c r="Y1534" s="201"/>
      <c r="Z1534" s="201"/>
      <c r="AA1534" s="201"/>
    </row>
    <row r="1535" spans="1:27" ht="17.399999999999999">
      <c r="A1535" s="222"/>
      <c r="B1535" s="222"/>
      <c r="C1535" s="201"/>
      <c r="D1535" s="163"/>
      <c r="E1535" s="201"/>
      <c r="F1535" s="198"/>
      <c r="G1535" s="201"/>
      <c r="I1535" s="201"/>
      <c r="J1535" s="149"/>
      <c r="K1535" s="198"/>
      <c r="L1535" s="201"/>
      <c r="M1535" s="201"/>
      <c r="N1535" s="201"/>
      <c r="O1535" s="201"/>
      <c r="P1535" s="201"/>
      <c r="Q1535" s="201"/>
      <c r="R1535" s="201"/>
      <c r="S1535" s="201"/>
      <c r="T1535" s="201"/>
      <c r="U1535" s="201"/>
      <c r="V1535" s="201"/>
      <c r="W1535" s="201"/>
      <c r="X1535" s="201"/>
      <c r="Y1535" s="201"/>
      <c r="Z1535" s="201"/>
      <c r="AA1535" s="201"/>
    </row>
    <row r="1536" spans="1:27" ht="17.399999999999999">
      <c r="A1536" s="222"/>
      <c r="B1536" s="222"/>
      <c r="C1536" s="201"/>
      <c r="D1536" s="163"/>
      <c r="E1536" s="201"/>
      <c r="F1536" s="198"/>
      <c r="G1536" s="201"/>
      <c r="I1536" s="201"/>
      <c r="J1536" s="149"/>
      <c r="K1536" s="198"/>
      <c r="L1536" s="201"/>
      <c r="M1536" s="201"/>
      <c r="N1536" s="201"/>
      <c r="O1536" s="201"/>
      <c r="P1536" s="201"/>
      <c r="Q1536" s="201"/>
      <c r="R1536" s="201"/>
      <c r="S1536" s="201"/>
      <c r="T1536" s="201"/>
      <c r="U1536" s="201"/>
      <c r="V1536" s="201"/>
      <c r="W1536" s="201"/>
      <c r="X1536" s="201"/>
      <c r="Y1536" s="201"/>
      <c r="Z1536" s="201"/>
      <c r="AA1536" s="201"/>
    </row>
    <row r="1537" spans="1:27" ht="17.399999999999999">
      <c r="A1537" s="222"/>
      <c r="B1537" s="222"/>
      <c r="C1537" s="201"/>
      <c r="D1537" s="163"/>
      <c r="E1537" s="201"/>
      <c r="F1537" s="198"/>
      <c r="G1537" s="201"/>
      <c r="I1537" s="201"/>
      <c r="J1537" s="149"/>
      <c r="K1537" s="198"/>
      <c r="L1537" s="201"/>
      <c r="M1537" s="201"/>
      <c r="N1537" s="201"/>
      <c r="O1537" s="201"/>
      <c r="P1537" s="201"/>
      <c r="Q1537" s="201"/>
      <c r="R1537" s="201"/>
      <c r="S1537" s="201"/>
      <c r="T1537" s="201"/>
      <c r="U1537" s="201"/>
      <c r="V1537" s="201"/>
      <c r="W1537" s="201"/>
      <c r="X1537" s="201"/>
      <c r="Y1537" s="201"/>
      <c r="Z1537" s="201"/>
      <c r="AA1537" s="201"/>
    </row>
    <row r="1538" spans="1:27" ht="17.399999999999999">
      <c r="A1538" s="222"/>
      <c r="B1538" s="222"/>
      <c r="C1538" s="201"/>
      <c r="D1538" s="163"/>
      <c r="E1538" s="201"/>
      <c r="F1538" s="198"/>
      <c r="G1538" s="201"/>
      <c r="I1538" s="201"/>
      <c r="J1538" s="149"/>
      <c r="K1538" s="198"/>
      <c r="L1538" s="201"/>
      <c r="M1538" s="201"/>
      <c r="N1538" s="201"/>
      <c r="O1538" s="201"/>
      <c r="P1538" s="201"/>
      <c r="Q1538" s="201"/>
      <c r="R1538" s="201"/>
      <c r="S1538" s="201"/>
      <c r="T1538" s="201"/>
      <c r="U1538" s="201"/>
      <c r="V1538" s="201"/>
      <c r="W1538" s="201"/>
      <c r="X1538" s="201"/>
      <c r="Y1538" s="201"/>
      <c r="Z1538" s="201"/>
      <c r="AA1538" s="201"/>
    </row>
    <row r="1539" spans="1:27" ht="17.399999999999999">
      <c r="A1539" s="222"/>
      <c r="B1539" s="222"/>
      <c r="C1539" s="201"/>
      <c r="D1539" s="163"/>
      <c r="E1539" s="201"/>
      <c r="F1539" s="198"/>
      <c r="G1539" s="201"/>
      <c r="I1539" s="201"/>
      <c r="J1539" s="149"/>
      <c r="K1539" s="198"/>
      <c r="L1539" s="201"/>
      <c r="M1539" s="201"/>
      <c r="N1539" s="201"/>
      <c r="O1539" s="201"/>
      <c r="P1539" s="201"/>
      <c r="Q1539" s="201"/>
      <c r="R1539" s="201"/>
      <c r="S1539" s="201"/>
      <c r="T1539" s="201"/>
      <c r="U1539" s="201"/>
      <c r="V1539" s="201"/>
      <c r="W1539" s="201"/>
      <c r="X1539" s="201"/>
      <c r="Y1539" s="201"/>
      <c r="Z1539" s="201"/>
      <c r="AA1539" s="201"/>
    </row>
    <row r="1540" spans="1:27" ht="17.399999999999999">
      <c r="A1540" s="222"/>
      <c r="B1540" s="222"/>
      <c r="C1540" s="201"/>
      <c r="D1540" s="163"/>
      <c r="E1540" s="201"/>
      <c r="F1540" s="198"/>
      <c r="G1540" s="201"/>
      <c r="I1540" s="201"/>
      <c r="J1540" s="149"/>
      <c r="K1540" s="198"/>
      <c r="L1540" s="201"/>
      <c r="M1540" s="201"/>
      <c r="N1540" s="201"/>
      <c r="O1540" s="201"/>
      <c r="P1540" s="201"/>
      <c r="Q1540" s="201"/>
      <c r="R1540" s="201"/>
      <c r="S1540" s="201"/>
      <c r="T1540" s="201"/>
      <c r="U1540" s="201"/>
      <c r="V1540" s="201"/>
      <c r="W1540" s="201"/>
      <c r="X1540" s="201"/>
      <c r="Y1540" s="201"/>
      <c r="Z1540" s="201"/>
      <c r="AA1540" s="201"/>
    </row>
    <row r="1541" spans="1:27" ht="17.399999999999999">
      <c r="A1541" s="222"/>
      <c r="B1541" s="222"/>
      <c r="C1541" s="201"/>
      <c r="D1541" s="163"/>
      <c r="E1541" s="201"/>
      <c r="F1541" s="198"/>
      <c r="G1541" s="201"/>
      <c r="I1541" s="201"/>
      <c r="J1541" s="149"/>
      <c r="K1541" s="198"/>
      <c r="L1541" s="201"/>
      <c r="M1541" s="201"/>
      <c r="N1541" s="201"/>
      <c r="O1541" s="201"/>
      <c r="P1541" s="201"/>
      <c r="Q1541" s="201"/>
      <c r="R1541" s="201"/>
      <c r="S1541" s="201"/>
      <c r="T1541" s="201"/>
      <c r="U1541" s="201"/>
      <c r="V1541" s="201"/>
      <c r="W1541" s="201"/>
      <c r="X1541" s="201"/>
      <c r="Y1541" s="201"/>
      <c r="Z1541" s="201"/>
      <c r="AA1541" s="201"/>
    </row>
    <row r="1542" spans="1:27" ht="17.399999999999999">
      <c r="A1542" s="222"/>
      <c r="B1542" s="222"/>
      <c r="C1542" s="201"/>
      <c r="D1542" s="163"/>
      <c r="E1542" s="201"/>
      <c r="F1542" s="198"/>
      <c r="G1542" s="201"/>
      <c r="I1542" s="201"/>
      <c r="J1542" s="149"/>
      <c r="K1542" s="198"/>
      <c r="L1542" s="201"/>
      <c r="M1542" s="201"/>
      <c r="N1542" s="201"/>
      <c r="O1542" s="201"/>
      <c r="P1542" s="201"/>
      <c r="Q1542" s="201"/>
      <c r="R1542" s="201"/>
      <c r="S1542" s="201"/>
      <c r="T1542" s="201"/>
      <c r="U1542" s="201"/>
      <c r="V1542" s="201"/>
      <c r="W1542" s="201"/>
      <c r="X1542" s="201"/>
      <c r="Y1542" s="201"/>
      <c r="Z1542" s="201"/>
      <c r="AA1542" s="201"/>
    </row>
    <row r="1543" spans="1:27" ht="17.399999999999999">
      <c r="A1543" s="222"/>
      <c r="B1543" s="222"/>
      <c r="C1543" s="201"/>
      <c r="D1543" s="163"/>
      <c r="E1543" s="201"/>
      <c r="F1543" s="198"/>
      <c r="G1543" s="201"/>
      <c r="I1543" s="201"/>
      <c r="J1543" s="149"/>
      <c r="K1543" s="198"/>
      <c r="L1543" s="201"/>
      <c r="M1543" s="201"/>
      <c r="N1543" s="201"/>
      <c r="O1543" s="201"/>
      <c r="P1543" s="201"/>
      <c r="Q1543" s="201"/>
      <c r="R1543" s="201"/>
      <c r="S1543" s="201"/>
      <c r="T1543" s="201"/>
      <c r="U1543" s="201"/>
      <c r="V1543" s="201"/>
      <c r="W1543" s="201"/>
      <c r="X1543" s="201"/>
      <c r="Y1543" s="201"/>
      <c r="Z1543" s="201"/>
      <c r="AA1543" s="201"/>
    </row>
    <row r="1544" spans="1:27" ht="17.399999999999999">
      <c r="A1544" s="222"/>
      <c r="B1544" s="222"/>
      <c r="C1544" s="201"/>
      <c r="D1544" s="163"/>
      <c r="E1544" s="201"/>
      <c r="F1544" s="198"/>
      <c r="G1544" s="201"/>
      <c r="I1544" s="201"/>
      <c r="J1544" s="149"/>
      <c r="K1544" s="198"/>
      <c r="L1544" s="201"/>
      <c r="M1544" s="201"/>
      <c r="N1544" s="201"/>
      <c r="O1544" s="201"/>
      <c r="P1544" s="201"/>
      <c r="Q1544" s="201"/>
      <c r="R1544" s="201"/>
      <c r="S1544" s="201"/>
      <c r="T1544" s="201"/>
      <c r="U1544" s="201"/>
      <c r="V1544" s="201"/>
      <c r="W1544" s="201"/>
      <c r="X1544" s="201"/>
      <c r="Y1544" s="201"/>
      <c r="Z1544" s="201"/>
      <c r="AA1544" s="201"/>
    </row>
    <row r="1545" spans="1:27" ht="17.399999999999999">
      <c r="A1545" s="222"/>
      <c r="B1545" s="222"/>
      <c r="C1545" s="201"/>
      <c r="D1545" s="163"/>
      <c r="E1545" s="201"/>
      <c r="F1545" s="198"/>
      <c r="G1545" s="201"/>
      <c r="I1545" s="201"/>
      <c r="J1545" s="149"/>
      <c r="K1545" s="198"/>
      <c r="L1545" s="201"/>
      <c r="M1545" s="201"/>
      <c r="N1545" s="201"/>
      <c r="O1545" s="201"/>
      <c r="P1545" s="201"/>
      <c r="Q1545" s="201"/>
      <c r="R1545" s="201"/>
      <c r="S1545" s="201"/>
      <c r="T1545" s="201"/>
      <c r="U1545" s="201"/>
      <c r="V1545" s="201"/>
      <c r="W1545" s="201"/>
      <c r="X1545" s="201"/>
      <c r="Y1545" s="201"/>
      <c r="Z1545" s="201"/>
      <c r="AA1545" s="201"/>
    </row>
    <row r="1546" spans="1:27" ht="17.399999999999999">
      <c r="A1546" s="222"/>
      <c r="B1546" s="222"/>
      <c r="C1546" s="201"/>
      <c r="D1546" s="163"/>
      <c r="E1546" s="201"/>
      <c r="F1546" s="198"/>
      <c r="G1546" s="201"/>
      <c r="I1546" s="201"/>
      <c r="J1546" s="149"/>
      <c r="K1546" s="198"/>
      <c r="L1546" s="201"/>
      <c r="M1546" s="201"/>
      <c r="N1546" s="201"/>
      <c r="O1546" s="201"/>
      <c r="P1546" s="201"/>
      <c r="Q1546" s="201"/>
      <c r="R1546" s="201"/>
      <c r="S1546" s="201"/>
      <c r="T1546" s="201"/>
      <c r="U1546" s="201"/>
      <c r="V1546" s="201"/>
      <c r="W1546" s="201"/>
      <c r="X1546" s="201"/>
      <c r="Y1546" s="201"/>
      <c r="Z1546" s="201"/>
      <c r="AA1546" s="201"/>
    </row>
    <row r="1547" spans="1:27" ht="17.399999999999999">
      <c r="A1547" s="222"/>
      <c r="B1547" s="222"/>
      <c r="C1547" s="201"/>
      <c r="D1547" s="163"/>
      <c r="E1547" s="201"/>
      <c r="F1547" s="198"/>
      <c r="G1547" s="201"/>
      <c r="I1547" s="201"/>
      <c r="J1547" s="149"/>
      <c r="K1547" s="198"/>
      <c r="L1547" s="201"/>
      <c r="M1547" s="201"/>
      <c r="N1547" s="201"/>
      <c r="O1547" s="201"/>
      <c r="P1547" s="201"/>
      <c r="Q1547" s="201"/>
      <c r="R1547" s="201"/>
      <c r="S1547" s="201"/>
      <c r="T1547" s="201"/>
      <c r="U1547" s="201"/>
      <c r="V1547" s="201"/>
      <c r="W1547" s="201"/>
      <c r="X1547" s="201"/>
      <c r="Y1547" s="201"/>
      <c r="Z1547" s="201"/>
      <c r="AA1547" s="201"/>
    </row>
    <row r="1548" spans="1:27" ht="17.399999999999999">
      <c r="A1548" s="222"/>
      <c r="B1548" s="222"/>
      <c r="C1548" s="201"/>
      <c r="D1548" s="163"/>
      <c r="E1548" s="201"/>
      <c r="F1548" s="198"/>
      <c r="G1548" s="201"/>
      <c r="I1548" s="201"/>
      <c r="J1548" s="149"/>
      <c r="K1548" s="198"/>
      <c r="L1548" s="201"/>
      <c r="M1548" s="201"/>
      <c r="N1548" s="201"/>
      <c r="O1548" s="201"/>
      <c r="P1548" s="201"/>
      <c r="Q1548" s="201"/>
      <c r="R1548" s="201"/>
      <c r="S1548" s="201"/>
      <c r="T1548" s="201"/>
      <c r="U1548" s="201"/>
      <c r="V1548" s="201"/>
      <c r="W1548" s="201"/>
      <c r="X1548" s="201"/>
      <c r="Y1548" s="201"/>
      <c r="Z1548" s="201"/>
      <c r="AA1548" s="201"/>
    </row>
    <row r="1549" spans="1:27" ht="17.399999999999999">
      <c r="A1549" s="222"/>
      <c r="B1549" s="222"/>
      <c r="C1549" s="201"/>
      <c r="D1549" s="163"/>
      <c r="E1549" s="201"/>
      <c r="F1549" s="198"/>
      <c r="G1549" s="201"/>
      <c r="I1549" s="201"/>
      <c r="J1549" s="149"/>
      <c r="K1549" s="198"/>
      <c r="L1549" s="201"/>
      <c r="M1549" s="201"/>
      <c r="N1549" s="201"/>
      <c r="O1549" s="201"/>
      <c r="P1549" s="201"/>
      <c r="Q1549" s="201"/>
      <c r="R1549" s="201"/>
      <c r="S1549" s="201"/>
      <c r="T1549" s="201"/>
      <c r="U1549" s="201"/>
      <c r="V1549" s="201"/>
      <c r="W1549" s="201"/>
      <c r="X1549" s="201"/>
      <c r="Y1549" s="201"/>
      <c r="Z1549" s="201"/>
      <c r="AA1549" s="201"/>
    </row>
    <row r="1550" spans="1:27" ht="17.399999999999999">
      <c r="A1550" s="222"/>
      <c r="B1550" s="222"/>
      <c r="C1550" s="201"/>
      <c r="D1550" s="163"/>
      <c r="E1550" s="201"/>
      <c r="F1550" s="198"/>
      <c r="G1550" s="201"/>
      <c r="I1550" s="201"/>
      <c r="J1550" s="149"/>
      <c r="K1550" s="198"/>
      <c r="L1550" s="201"/>
      <c r="M1550" s="201"/>
      <c r="N1550" s="201"/>
      <c r="O1550" s="201"/>
      <c r="P1550" s="201"/>
      <c r="Q1550" s="201"/>
      <c r="R1550" s="201"/>
      <c r="S1550" s="201"/>
      <c r="T1550" s="201"/>
      <c r="U1550" s="201"/>
      <c r="V1550" s="201"/>
      <c r="W1550" s="201"/>
      <c r="X1550" s="201"/>
      <c r="Y1550" s="201"/>
      <c r="Z1550" s="201"/>
      <c r="AA1550" s="201"/>
    </row>
    <row r="1551" spans="1:27" ht="17.399999999999999">
      <c r="A1551" s="222"/>
      <c r="B1551" s="222"/>
      <c r="C1551" s="201"/>
      <c r="D1551" s="163"/>
      <c r="E1551" s="201"/>
      <c r="F1551" s="198"/>
      <c r="G1551" s="201"/>
      <c r="I1551" s="201"/>
      <c r="J1551" s="149"/>
      <c r="K1551" s="198"/>
      <c r="L1551" s="201"/>
      <c r="M1551" s="201"/>
      <c r="N1551" s="201"/>
      <c r="O1551" s="201"/>
      <c r="P1551" s="201"/>
      <c r="Q1551" s="201"/>
      <c r="R1551" s="201"/>
      <c r="S1551" s="201"/>
      <c r="T1551" s="201"/>
      <c r="U1551" s="201"/>
      <c r="V1551" s="201"/>
      <c r="W1551" s="201"/>
      <c r="X1551" s="201"/>
      <c r="Y1551" s="201"/>
      <c r="Z1551" s="201"/>
      <c r="AA1551" s="201"/>
    </row>
    <row r="1552" spans="1:27" ht="17.399999999999999">
      <c r="A1552" s="222"/>
      <c r="B1552" s="222"/>
      <c r="C1552" s="201"/>
      <c r="D1552" s="163"/>
      <c r="E1552" s="201"/>
      <c r="F1552" s="198"/>
      <c r="G1552" s="201"/>
      <c r="I1552" s="201"/>
      <c r="J1552" s="149"/>
      <c r="K1552" s="198"/>
      <c r="L1552" s="201"/>
      <c r="M1552" s="201"/>
      <c r="N1552" s="201"/>
      <c r="O1552" s="201"/>
      <c r="P1552" s="201"/>
      <c r="Q1552" s="201"/>
      <c r="R1552" s="201"/>
      <c r="S1552" s="201"/>
      <c r="T1552" s="201"/>
      <c r="U1552" s="201"/>
      <c r="V1552" s="201"/>
      <c r="W1552" s="201"/>
      <c r="X1552" s="201"/>
      <c r="Y1552" s="201"/>
      <c r="Z1552" s="201"/>
      <c r="AA1552" s="201"/>
    </row>
    <row r="1553" spans="1:27" ht="17.399999999999999">
      <c r="A1553" s="222"/>
      <c r="B1553" s="222"/>
      <c r="C1553" s="201"/>
      <c r="D1553" s="163"/>
      <c r="E1553" s="201"/>
      <c r="F1553" s="198"/>
      <c r="G1553" s="201"/>
      <c r="I1553" s="201"/>
      <c r="J1553" s="149"/>
      <c r="K1553" s="198"/>
      <c r="L1553" s="201"/>
      <c r="M1553" s="201"/>
      <c r="N1553" s="201"/>
      <c r="O1553" s="201"/>
      <c r="P1553" s="201"/>
      <c r="Q1553" s="201"/>
      <c r="R1553" s="201"/>
      <c r="S1553" s="201"/>
      <c r="T1553" s="201"/>
      <c r="U1553" s="201"/>
      <c r="V1553" s="201"/>
      <c r="W1553" s="201"/>
      <c r="X1553" s="201"/>
      <c r="Y1553" s="201"/>
      <c r="Z1553" s="201"/>
      <c r="AA1553" s="201"/>
    </row>
    <row r="1554" spans="1:27" ht="17.399999999999999">
      <c r="A1554" s="222"/>
      <c r="B1554" s="222"/>
      <c r="C1554" s="201"/>
      <c r="D1554" s="163"/>
      <c r="E1554" s="201"/>
      <c r="F1554" s="198"/>
      <c r="G1554" s="201"/>
      <c r="I1554" s="201"/>
      <c r="J1554" s="149"/>
      <c r="K1554" s="198"/>
      <c r="L1554" s="201"/>
      <c r="M1554" s="201"/>
      <c r="N1554" s="201"/>
      <c r="O1554" s="201"/>
      <c r="P1554" s="201"/>
      <c r="Q1554" s="201"/>
      <c r="R1554" s="201"/>
      <c r="S1554" s="201"/>
      <c r="T1554" s="201"/>
      <c r="U1554" s="201"/>
      <c r="V1554" s="201"/>
      <c r="W1554" s="201"/>
      <c r="X1554" s="201"/>
      <c r="Y1554" s="201"/>
      <c r="Z1554" s="201"/>
      <c r="AA1554" s="201"/>
    </row>
    <row r="1555" spans="1:27" ht="17.399999999999999">
      <c r="A1555" s="222"/>
      <c r="B1555" s="222"/>
      <c r="C1555" s="201"/>
      <c r="D1555" s="163"/>
      <c r="E1555" s="201"/>
      <c r="F1555" s="198"/>
      <c r="G1555" s="201"/>
      <c r="I1555" s="201"/>
      <c r="J1555" s="149"/>
      <c r="K1555" s="198"/>
      <c r="L1555" s="201"/>
      <c r="M1555" s="201"/>
      <c r="N1555" s="201"/>
      <c r="O1555" s="201"/>
      <c r="P1555" s="201"/>
      <c r="Q1555" s="201"/>
      <c r="R1555" s="201"/>
      <c r="S1555" s="201"/>
      <c r="T1555" s="201"/>
      <c r="U1555" s="201"/>
      <c r="V1555" s="201"/>
      <c r="W1555" s="201"/>
      <c r="X1555" s="201"/>
      <c r="Y1555" s="201"/>
      <c r="Z1555" s="201"/>
      <c r="AA1555" s="201"/>
    </row>
    <row r="1556" spans="1:27" ht="17.399999999999999">
      <c r="A1556" s="222"/>
      <c r="B1556" s="222"/>
      <c r="C1556" s="201"/>
      <c r="D1556" s="163"/>
      <c r="E1556" s="201"/>
      <c r="F1556" s="198"/>
      <c r="G1556" s="201"/>
      <c r="I1556" s="201"/>
      <c r="J1556" s="149"/>
      <c r="K1556" s="198"/>
      <c r="L1556" s="201"/>
      <c r="M1556" s="201"/>
      <c r="N1556" s="201"/>
      <c r="O1556" s="201"/>
      <c r="P1556" s="201"/>
      <c r="Q1556" s="201"/>
      <c r="R1556" s="201"/>
      <c r="S1556" s="201"/>
      <c r="T1556" s="201"/>
      <c r="U1556" s="201"/>
      <c r="V1556" s="201"/>
      <c r="W1556" s="201"/>
      <c r="X1556" s="201"/>
      <c r="Y1556" s="201"/>
      <c r="Z1556" s="201"/>
      <c r="AA1556" s="201"/>
    </row>
    <row r="1557" spans="1:27" ht="17.399999999999999">
      <c r="A1557" s="222"/>
      <c r="B1557" s="222"/>
      <c r="C1557" s="201"/>
      <c r="D1557" s="163"/>
      <c r="E1557" s="201"/>
      <c r="F1557" s="198"/>
      <c r="G1557" s="201"/>
      <c r="I1557" s="201"/>
      <c r="J1557" s="149"/>
      <c r="K1557" s="198"/>
      <c r="L1557" s="201"/>
      <c r="M1557" s="201"/>
      <c r="N1557" s="201"/>
      <c r="O1557" s="201"/>
      <c r="P1557" s="201"/>
      <c r="Q1557" s="201"/>
      <c r="R1557" s="201"/>
      <c r="S1557" s="201"/>
      <c r="T1557" s="201"/>
      <c r="U1557" s="201"/>
      <c r="V1557" s="201"/>
      <c r="W1557" s="201"/>
      <c r="X1557" s="201"/>
      <c r="Y1557" s="201"/>
      <c r="Z1557" s="201"/>
      <c r="AA1557" s="201"/>
    </row>
    <row r="1558" spans="1:27" ht="17.399999999999999">
      <c r="A1558" s="222"/>
      <c r="B1558" s="222"/>
      <c r="C1558" s="201"/>
      <c r="D1558" s="163"/>
      <c r="E1558" s="201"/>
      <c r="F1558" s="198"/>
      <c r="G1558" s="201"/>
      <c r="I1558" s="201"/>
      <c r="J1558" s="149"/>
      <c r="K1558" s="198"/>
      <c r="L1558" s="201"/>
      <c r="M1558" s="201"/>
      <c r="N1558" s="201"/>
      <c r="O1558" s="201"/>
      <c r="P1558" s="201"/>
      <c r="Q1558" s="201"/>
      <c r="R1558" s="201"/>
      <c r="S1558" s="201"/>
      <c r="T1558" s="201"/>
      <c r="U1558" s="201"/>
      <c r="V1558" s="201"/>
      <c r="W1558" s="201"/>
      <c r="X1558" s="201"/>
      <c r="Y1558" s="201"/>
      <c r="Z1558" s="201"/>
      <c r="AA1558" s="201"/>
    </row>
    <row r="1559" spans="1:27" ht="17.399999999999999">
      <c r="A1559" s="222"/>
      <c r="B1559" s="222"/>
      <c r="C1559" s="201"/>
      <c r="D1559" s="163"/>
      <c r="E1559" s="201"/>
      <c r="F1559" s="198"/>
      <c r="G1559" s="201"/>
      <c r="I1559" s="201"/>
      <c r="J1559" s="149"/>
      <c r="K1559" s="198"/>
      <c r="L1559" s="201"/>
      <c r="M1559" s="201"/>
      <c r="N1559" s="201"/>
      <c r="O1559" s="201"/>
      <c r="P1559" s="201"/>
      <c r="Q1559" s="201"/>
      <c r="R1559" s="201"/>
      <c r="S1559" s="201"/>
      <c r="T1559" s="201"/>
      <c r="U1559" s="201"/>
      <c r="V1559" s="201"/>
      <c r="W1559" s="201"/>
      <c r="X1559" s="201"/>
      <c r="Y1559" s="201"/>
      <c r="Z1559" s="201"/>
      <c r="AA1559" s="201"/>
    </row>
    <row r="1560" spans="1:27" ht="17.399999999999999">
      <c r="A1560" s="222"/>
      <c r="B1560" s="222"/>
      <c r="C1560" s="201"/>
      <c r="D1560" s="163"/>
      <c r="E1560" s="201"/>
      <c r="F1560" s="198"/>
      <c r="G1560" s="201"/>
      <c r="I1560" s="201"/>
      <c r="J1560" s="149"/>
      <c r="K1560" s="198"/>
      <c r="L1560" s="201"/>
      <c r="M1560" s="201"/>
      <c r="N1560" s="201"/>
      <c r="O1560" s="201"/>
      <c r="P1560" s="201"/>
      <c r="Q1560" s="201"/>
      <c r="R1560" s="201"/>
      <c r="S1560" s="201"/>
      <c r="T1560" s="201"/>
      <c r="U1560" s="201"/>
      <c r="V1560" s="201"/>
      <c r="W1560" s="201"/>
      <c r="X1560" s="201"/>
      <c r="Y1560" s="201"/>
      <c r="Z1560" s="201"/>
      <c r="AA1560" s="201"/>
    </row>
    <row r="1561" spans="1:27" ht="17.399999999999999">
      <c r="A1561" s="222"/>
      <c r="B1561" s="222"/>
      <c r="C1561" s="201"/>
      <c r="D1561" s="163"/>
      <c r="E1561" s="201"/>
      <c r="F1561" s="198"/>
      <c r="G1561" s="201"/>
      <c r="I1561" s="201"/>
      <c r="J1561" s="149"/>
      <c r="K1561" s="198"/>
      <c r="L1561" s="201"/>
      <c r="M1561" s="201"/>
      <c r="N1561" s="201"/>
      <c r="O1561" s="201"/>
      <c r="P1561" s="201"/>
      <c r="Q1561" s="201"/>
      <c r="R1561" s="201"/>
      <c r="S1561" s="201"/>
      <c r="T1561" s="201"/>
      <c r="U1561" s="201"/>
      <c r="V1561" s="201"/>
      <c r="W1561" s="201"/>
      <c r="X1561" s="201"/>
      <c r="Y1561" s="201"/>
      <c r="Z1561" s="201"/>
      <c r="AA1561" s="201"/>
    </row>
    <row r="1562" spans="1:27" ht="17.399999999999999">
      <c r="A1562" s="222"/>
      <c r="B1562" s="222"/>
      <c r="C1562" s="201"/>
      <c r="D1562" s="163"/>
      <c r="E1562" s="201"/>
      <c r="F1562" s="198"/>
      <c r="G1562" s="201"/>
      <c r="I1562" s="201"/>
      <c r="J1562" s="149"/>
      <c r="K1562" s="198"/>
      <c r="L1562" s="201"/>
      <c r="M1562" s="201"/>
      <c r="N1562" s="201"/>
      <c r="O1562" s="201"/>
      <c r="P1562" s="201"/>
      <c r="Q1562" s="201"/>
      <c r="R1562" s="201"/>
      <c r="S1562" s="201"/>
      <c r="T1562" s="201"/>
      <c r="U1562" s="201"/>
      <c r="V1562" s="201"/>
      <c r="W1562" s="201"/>
      <c r="X1562" s="201"/>
      <c r="Y1562" s="201"/>
      <c r="Z1562" s="201"/>
      <c r="AA1562" s="201"/>
    </row>
    <row r="1563" spans="1:27" ht="17.399999999999999">
      <c r="A1563" s="222"/>
      <c r="B1563" s="222"/>
      <c r="C1563" s="201"/>
      <c r="D1563" s="163"/>
      <c r="E1563" s="201"/>
      <c r="F1563" s="198"/>
      <c r="G1563" s="201"/>
      <c r="I1563" s="201"/>
      <c r="J1563" s="149"/>
      <c r="K1563" s="198"/>
      <c r="L1563" s="201"/>
      <c r="M1563" s="201"/>
      <c r="N1563" s="201"/>
      <c r="O1563" s="201"/>
      <c r="P1563" s="201"/>
      <c r="Q1563" s="201"/>
      <c r="R1563" s="201"/>
      <c r="S1563" s="201"/>
      <c r="T1563" s="201"/>
      <c r="U1563" s="201"/>
      <c r="V1563" s="201"/>
      <c r="W1563" s="201"/>
      <c r="X1563" s="201"/>
      <c r="Y1563" s="201"/>
      <c r="Z1563" s="201"/>
      <c r="AA1563" s="201"/>
    </row>
    <row r="1564" spans="1:27" ht="17.399999999999999">
      <c r="A1564" s="222"/>
      <c r="B1564" s="222"/>
      <c r="C1564" s="201"/>
      <c r="D1564" s="163"/>
      <c r="E1564" s="201"/>
      <c r="F1564" s="198"/>
      <c r="G1564" s="201"/>
      <c r="I1564" s="201"/>
      <c r="J1564" s="149"/>
      <c r="K1564" s="198"/>
      <c r="L1564" s="201"/>
      <c r="M1564" s="201"/>
      <c r="N1564" s="201"/>
      <c r="O1564" s="201"/>
      <c r="P1564" s="201"/>
      <c r="Q1564" s="201"/>
      <c r="R1564" s="201"/>
      <c r="S1564" s="201"/>
      <c r="T1564" s="201"/>
      <c r="U1564" s="201"/>
      <c r="V1564" s="201"/>
      <c r="W1564" s="201"/>
      <c r="X1564" s="201"/>
      <c r="Y1564" s="201"/>
      <c r="Z1564" s="201"/>
      <c r="AA1564" s="201"/>
    </row>
    <row r="1565" spans="1:27" ht="17.399999999999999">
      <c r="A1565" s="222"/>
      <c r="B1565" s="222"/>
      <c r="C1565" s="201"/>
      <c r="D1565" s="163"/>
      <c r="E1565" s="201"/>
      <c r="F1565" s="198"/>
      <c r="G1565" s="201"/>
      <c r="I1565" s="201"/>
      <c r="J1565" s="149"/>
      <c r="K1565" s="198"/>
      <c r="L1565" s="201"/>
      <c r="M1565" s="201"/>
      <c r="N1565" s="201"/>
      <c r="O1565" s="201"/>
      <c r="P1565" s="201"/>
      <c r="Q1565" s="201"/>
      <c r="R1565" s="201"/>
      <c r="S1565" s="201"/>
      <c r="T1565" s="201"/>
      <c r="U1565" s="201"/>
      <c r="V1565" s="201"/>
      <c r="W1565" s="201"/>
      <c r="X1565" s="201"/>
      <c r="Y1565" s="201"/>
      <c r="Z1565" s="201"/>
      <c r="AA1565" s="201"/>
    </row>
    <row r="1566" spans="1:27" ht="17.399999999999999">
      <c r="A1566" s="222"/>
      <c r="B1566" s="222"/>
      <c r="C1566" s="201"/>
      <c r="D1566" s="163"/>
      <c r="E1566" s="201"/>
      <c r="F1566" s="198"/>
      <c r="G1566" s="201"/>
      <c r="I1566" s="201"/>
      <c r="J1566" s="149"/>
      <c r="K1566" s="198"/>
      <c r="L1566" s="201"/>
      <c r="M1566" s="201"/>
      <c r="N1566" s="201"/>
      <c r="O1566" s="201"/>
      <c r="P1566" s="201"/>
      <c r="Q1566" s="201"/>
      <c r="R1566" s="201"/>
      <c r="S1566" s="201"/>
      <c r="T1566" s="201"/>
      <c r="U1566" s="201"/>
      <c r="V1566" s="201"/>
      <c r="W1566" s="201"/>
      <c r="X1566" s="201"/>
      <c r="Y1566" s="201"/>
      <c r="Z1566" s="201"/>
      <c r="AA1566" s="201"/>
    </row>
    <row r="1567" spans="1:27" ht="17.399999999999999">
      <c r="A1567" s="222"/>
      <c r="B1567" s="222"/>
      <c r="C1567" s="201"/>
      <c r="D1567" s="163"/>
      <c r="E1567" s="201"/>
      <c r="F1567" s="198"/>
      <c r="G1567" s="201"/>
      <c r="I1567" s="201"/>
      <c r="J1567" s="149"/>
      <c r="K1567" s="198"/>
      <c r="L1567" s="201"/>
      <c r="M1567" s="201"/>
      <c r="N1567" s="201"/>
      <c r="O1567" s="201"/>
      <c r="P1567" s="201"/>
      <c r="Q1567" s="201"/>
      <c r="R1567" s="201"/>
      <c r="S1567" s="201"/>
      <c r="T1567" s="201"/>
      <c r="U1567" s="201"/>
      <c r="V1567" s="201"/>
      <c r="W1567" s="201"/>
      <c r="X1567" s="201"/>
      <c r="Y1567" s="201"/>
      <c r="Z1567" s="201"/>
      <c r="AA1567" s="201"/>
    </row>
    <row r="1568" spans="1:27" ht="17.399999999999999">
      <c r="A1568" s="222"/>
      <c r="B1568" s="222"/>
      <c r="C1568" s="201"/>
      <c r="D1568" s="163"/>
      <c r="E1568" s="201"/>
      <c r="F1568" s="198"/>
      <c r="G1568" s="201"/>
      <c r="I1568" s="201"/>
      <c r="J1568" s="149"/>
      <c r="K1568" s="198"/>
      <c r="L1568" s="201"/>
      <c r="M1568" s="201"/>
      <c r="N1568" s="201"/>
      <c r="O1568" s="201"/>
      <c r="P1568" s="201"/>
      <c r="Q1568" s="201"/>
      <c r="R1568" s="201"/>
      <c r="S1568" s="201"/>
      <c r="T1568" s="201"/>
      <c r="U1568" s="201"/>
      <c r="V1568" s="201"/>
      <c r="W1568" s="201"/>
      <c r="X1568" s="201"/>
      <c r="Y1568" s="201"/>
      <c r="Z1568" s="201"/>
      <c r="AA1568" s="201"/>
    </row>
    <row r="1569" spans="1:27" ht="17.399999999999999">
      <c r="A1569" s="222"/>
      <c r="B1569" s="222"/>
      <c r="C1569" s="201"/>
      <c r="D1569" s="163"/>
      <c r="E1569" s="201"/>
      <c r="F1569" s="198"/>
      <c r="G1569" s="201"/>
      <c r="I1569" s="201"/>
      <c r="J1569" s="149"/>
      <c r="K1569" s="198"/>
      <c r="L1569" s="201"/>
      <c r="M1569" s="201"/>
      <c r="N1569" s="201"/>
      <c r="O1569" s="201"/>
      <c r="P1569" s="201"/>
      <c r="Q1569" s="201"/>
      <c r="R1569" s="201"/>
      <c r="S1569" s="201"/>
      <c r="T1569" s="201"/>
      <c r="U1569" s="201"/>
      <c r="V1569" s="201"/>
      <c r="W1569" s="201"/>
      <c r="X1569" s="201"/>
      <c r="Y1569" s="201"/>
      <c r="Z1569" s="201"/>
      <c r="AA1569" s="201"/>
    </row>
    <row r="1570" spans="1:27" ht="17.399999999999999">
      <c r="A1570" s="222"/>
      <c r="B1570" s="222"/>
      <c r="C1570" s="201"/>
      <c r="D1570" s="163"/>
      <c r="E1570" s="201"/>
      <c r="F1570" s="198"/>
      <c r="G1570" s="201"/>
      <c r="I1570" s="201"/>
      <c r="J1570" s="149"/>
      <c r="K1570" s="198"/>
      <c r="L1570" s="201"/>
      <c r="M1570" s="201"/>
      <c r="N1570" s="201"/>
      <c r="O1570" s="201"/>
      <c r="P1570" s="201"/>
      <c r="Q1570" s="201"/>
      <c r="R1570" s="201"/>
      <c r="S1570" s="201"/>
      <c r="T1570" s="201"/>
      <c r="U1570" s="201"/>
      <c r="V1570" s="201"/>
      <c r="W1570" s="201"/>
      <c r="X1570" s="201"/>
      <c r="Y1570" s="201"/>
      <c r="Z1570" s="201"/>
      <c r="AA1570" s="201"/>
    </row>
    <row r="1571" spans="1:27" ht="17.399999999999999">
      <c r="A1571" s="222"/>
      <c r="B1571" s="222"/>
      <c r="C1571" s="201"/>
      <c r="D1571" s="163"/>
      <c r="E1571" s="201"/>
      <c r="F1571" s="198"/>
      <c r="G1571" s="201"/>
      <c r="I1571" s="201"/>
      <c r="J1571" s="149"/>
      <c r="K1571" s="198"/>
      <c r="L1571" s="201"/>
      <c r="M1571" s="201"/>
      <c r="N1571" s="201"/>
      <c r="O1571" s="201"/>
      <c r="P1571" s="201"/>
      <c r="Q1571" s="201"/>
      <c r="R1571" s="201"/>
      <c r="S1571" s="201"/>
      <c r="T1571" s="201"/>
      <c r="U1571" s="201"/>
      <c r="V1571" s="201"/>
      <c r="W1571" s="201"/>
      <c r="X1571" s="201"/>
      <c r="Y1571" s="201"/>
      <c r="Z1571" s="201"/>
      <c r="AA1571" s="201"/>
    </row>
    <row r="1572" spans="1:27" ht="17.399999999999999">
      <c r="A1572" s="222"/>
      <c r="B1572" s="222"/>
      <c r="C1572" s="201"/>
      <c r="D1572" s="163"/>
      <c r="E1572" s="201"/>
      <c r="F1572" s="198"/>
      <c r="G1572" s="201"/>
      <c r="I1572" s="201"/>
      <c r="J1572" s="149"/>
      <c r="K1572" s="198"/>
      <c r="L1572" s="201"/>
      <c r="M1572" s="201"/>
      <c r="N1572" s="201"/>
      <c r="O1572" s="201"/>
      <c r="P1572" s="201"/>
      <c r="Q1572" s="201"/>
      <c r="R1572" s="201"/>
      <c r="S1572" s="201"/>
      <c r="T1572" s="201"/>
      <c r="U1572" s="201"/>
      <c r="V1572" s="201"/>
      <c r="W1572" s="201"/>
      <c r="X1572" s="201"/>
      <c r="Y1572" s="201"/>
      <c r="Z1572" s="201"/>
      <c r="AA1572" s="201"/>
    </row>
    <row r="1573" spans="1:27" ht="17.399999999999999">
      <c r="A1573" s="222"/>
      <c r="B1573" s="222"/>
      <c r="C1573" s="201"/>
      <c r="D1573" s="163"/>
      <c r="E1573" s="201"/>
      <c r="F1573" s="198"/>
      <c r="G1573" s="201"/>
      <c r="I1573" s="201"/>
      <c r="J1573" s="149"/>
      <c r="K1573" s="198"/>
      <c r="L1573" s="201"/>
      <c r="M1573" s="201"/>
      <c r="N1573" s="201"/>
      <c r="O1573" s="201"/>
      <c r="P1573" s="201"/>
      <c r="Q1573" s="201"/>
      <c r="R1573" s="201"/>
      <c r="S1573" s="201"/>
      <c r="T1573" s="201"/>
      <c r="U1573" s="201"/>
      <c r="V1573" s="201"/>
      <c r="W1573" s="201"/>
      <c r="X1573" s="201"/>
      <c r="Y1573" s="201"/>
      <c r="Z1573" s="201"/>
      <c r="AA1573" s="201"/>
    </row>
    <row r="1574" spans="1:27" ht="17.399999999999999">
      <c r="A1574" s="222"/>
      <c r="B1574" s="222"/>
      <c r="C1574" s="201"/>
      <c r="D1574" s="163"/>
      <c r="E1574" s="201"/>
      <c r="F1574" s="198"/>
      <c r="G1574" s="201"/>
      <c r="I1574" s="201"/>
      <c r="J1574" s="149"/>
      <c r="K1574" s="198"/>
      <c r="L1574" s="201"/>
      <c r="M1574" s="201"/>
      <c r="N1574" s="201"/>
      <c r="O1574" s="201"/>
      <c r="P1574" s="201"/>
      <c r="Q1574" s="201"/>
      <c r="R1574" s="201"/>
      <c r="S1574" s="201"/>
      <c r="T1574" s="201"/>
      <c r="U1574" s="201"/>
      <c r="V1574" s="201"/>
      <c r="W1574" s="201"/>
      <c r="X1574" s="201"/>
      <c r="Y1574" s="201"/>
      <c r="Z1574" s="201"/>
      <c r="AA1574" s="201"/>
    </row>
    <row r="1575" spans="1:27" ht="17.399999999999999">
      <c r="A1575" s="222"/>
      <c r="B1575" s="222"/>
      <c r="C1575" s="201"/>
      <c r="D1575" s="163"/>
      <c r="E1575" s="201"/>
      <c r="F1575" s="198"/>
      <c r="G1575" s="201"/>
      <c r="I1575" s="201"/>
      <c r="J1575" s="149"/>
      <c r="K1575" s="198"/>
      <c r="L1575" s="201"/>
      <c r="M1575" s="201"/>
      <c r="N1575" s="201"/>
      <c r="O1575" s="201"/>
      <c r="P1575" s="201"/>
      <c r="Q1575" s="201"/>
      <c r="R1575" s="201"/>
      <c r="S1575" s="201"/>
      <c r="T1575" s="201"/>
      <c r="U1575" s="201"/>
      <c r="V1575" s="201"/>
      <c r="W1575" s="201"/>
      <c r="X1575" s="201"/>
      <c r="Y1575" s="201"/>
      <c r="Z1575" s="201"/>
      <c r="AA1575" s="201"/>
    </row>
    <row r="1576" spans="1:27" ht="17.399999999999999">
      <c r="A1576" s="222"/>
      <c r="B1576" s="222"/>
      <c r="C1576" s="201"/>
      <c r="D1576" s="163"/>
      <c r="E1576" s="201"/>
      <c r="F1576" s="198"/>
      <c r="G1576" s="201"/>
      <c r="I1576" s="201"/>
      <c r="J1576" s="149"/>
      <c r="K1576" s="198"/>
      <c r="L1576" s="201"/>
      <c r="M1576" s="201"/>
      <c r="N1576" s="201"/>
      <c r="O1576" s="201"/>
      <c r="P1576" s="201"/>
      <c r="Q1576" s="201"/>
      <c r="R1576" s="201"/>
      <c r="S1576" s="201"/>
      <c r="T1576" s="201"/>
      <c r="U1576" s="201"/>
      <c r="V1576" s="201"/>
      <c r="W1576" s="201"/>
      <c r="X1576" s="201"/>
      <c r="Y1576" s="201"/>
      <c r="Z1576" s="201"/>
      <c r="AA1576" s="201"/>
    </row>
    <row r="1577" spans="1:27" ht="17.399999999999999">
      <c r="A1577" s="222"/>
      <c r="B1577" s="222"/>
      <c r="C1577" s="201"/>
      <c r="D1577" s="163"/>
      <c r="E1577" s="201"/>
      <c r="F1577" s="198"/>
      <c r="G1577" s="201"/>
      <c r="I1577" s="201"/>
      <c r="J1577" s="149"/>
      <c r="K1577" s="198"/>
      <c r="L1577" s="201"/>
      <c r="M1577" s="201"/>
      <c r="N1577" s="201"/>
      <c r="O1577" s="201"/>
      <c r="P1577" s="201"/>
      <c r="Q1577" s="201"/>
      <c r="R1577" s="201"/>
      <c r="S1577" s="201"/>
      <c r="T1577" s="201"/>
      <c r="U1577" s="201"/>
      <c r="V1577" s="201"/>
      <c r="W1577" s="201"/>
      <c r="X1577" s="201"/>
      <c r="Y1577" s="201"/>
      <c r="Z1577" s="201"/>
      <c r="AA1577" s="201"/>
    </row>
    <row r="1578" spans="1:27" ht="17.399999999999999">
      <c r="A1578" s="222"/>
      <c r="B1578" s="222"/>
      <c r="C1578" s="201"/>
      <c r="D1578" s="163"/>
      <c r="E1578" s="201"/>
      <c r="F1578" s="198"/>
      <c r="G1578" s="201"/>
      <c r="I1578" s="201"/>
      <c r="J1578" s="149"/>
      <c r="K1578" s="198"/>
      <c r="L1578" s="201"/>
      <c r="M1578" s="201"/>
      <c r="N1578" s="201"/>
      <c r="O1578" s="201"/>
      <c r="P1578" s="201"/>
      <c r="Q1578" s="201"/>
      <c r="R1578" s="201"/>
      <c r="S1578" s="201"/>
      <c r="T1578" s="201"/>
      <c r="U1578" s="201"/>
      <c r="V1578" s="201"/>
      <c r="W1578" s="201"/>
      <c r="X1578" s="201"/>
      <c r="Y1578" s="201"/>
      <c r="Z1578" s="201"/>
      <c r="AA1578" s="201"/>
    </row>
    <row r="1579" spans="1:27" ht="17.399999999999999">
      <c r="A1579" s="222"/>
      <c r="B1579" s="222"/>
      <c r="C1579" s="201"/>
      <c r="D1579" s="163"/>
      <c r="E1579" s="201"/>
      <c r="F1579" s="198"/>
      <c r="G1579" s="201"/>
      <c r="I1579" s="201"/>
      <c r="J1579" s="149"/>
      <c r="K1579" s="198"/>
      <c r="L1579" s="201"/>
      <c r="M1579" s="201"/>
      <c r="N1579" s="201"/>
      <c r="O1579" s="201"/>
      <c r="P1579" s="201"/>
      <c r="Q1579" s="201"/>
      <c r="R1579" s="201"/>
      <c r="S1579" s="201"/>
      <c r="T1579" s="201"/>
      <c r="U1579" s="201"/>
      <c r="V1579" s="201"/>
      <c r="W1579" s="201"/>
      <c r="X1579" s="201"/>
      <c r="Y1579" s="201"/>
      <c r="Z1579" s="201"/>
      <c r="AA1579" s="201"/>
    </row>
    <row r="1580" spans="1:27" ht="17.399999999999999">
      <c r="A1580" s="222"/>
      <c r="B1580" s="222"/>
      <c r="C1580" s="201"/>
      <c r="D1580" s="163"/>
      <c r="E1580" s="201"/>
      <c r="F1580" s="198"/>
      <c r="G1580" s="201"/>
      <c r="I1580" s="201"/>
      <c r="J1580" s="149"/>
      <c r="K1580" s="198"/>
      <c r="L1580" s="201"/>
      <c r="M1580" s="201"/>
      <c r="N1580" s="201"/>
      <c r="O1580" s="201"/>
      <c r="P1580" s="201"/>
      <c r="Q1580" s="201"/>
      <c r="R1580" s="201"/>
      <c r="S1580" s="201"/>
      <c r="T1580" s="201"/>
      <c r="U1580" s="201"/>
      <c r="V1580" s="201"/>
      <c r="W1580" s="201"/>
      <c r="X1580" s="201"/>
      <c r="Y1580" s="201"/>
      <c r="Z1580" s="201"/>
      <c r="AA1580" s="201"/>
    </row>
    <row r="1581" spans="1:27" ht="17.399999999999999">
      <c r="A1581" s="222"/>
      <c r="B1581" s="222"/>
      <c r="C1581" s="201"/>
      <c r="D1581" s="163"/>
      <c r="E1581" s="201"/>
      <c r="F1581" s="198"/>
      <c r="G1581" s="201"/>
      <c r="I1581" s="201"/>
      <c r="J1581" s="149"/>
      <c r="K1581" s="198"/>
      <c r="L1581" s="201"/>
      <c r="M1581" s="201"/>
      <c r="N1581" s="201"/>
      <c r="O1581" s="201"/>
      <c r="P1581" s="201"/>
      <c r="Q1581" s="201"/>
      <c r="R1581" s="201"/>
      <c r="S1581" s="201"/>
      <c r="T1581" s="201"/>
      <c r="U1581" s="201"/>
      <c r="V1581" s="201"/>
      <c r="W1581" s="201"/>
      <c r="X1581" s="201"/>
      <c r="Y1581" s="201"/>
      <c r="Z1581" s="201"/>
      <c r="AA1581" s="201"/>
    </row>
    <row r="1582" spans="1:27" ht="17.399999999999999">
      <c r="A1582" s="222"/>
      <c r="B1582" s="222"/>
      <c r="C1582" s="201"/>
      <c r="D1582" s="163"/>
      <c r="E1582" s="201"/>
      <c r="F1582" s="198"/>
      <c r="G1582" s="201"/>
      <c r="I1582" s="201"/>
      <c r="J1582" s="149"/>
      <c r="K1582" s="198"/>
      <c r="L1582" s="201"/>
      <c r="M1582" s="201"/>
      <c r="N1582" s="201"/>
      <c r="O1582" s="201"/>
      <c r="P1582" s="201"/>
      <c r="Q1582" s="201"/>
      <c r="R1582" s="201"/>
      <c r="S1582" s="201"/>
      <c r="T1582" s="201"/>
      <c r="U1582" s="201"/>
      <c r="V1582" s="201"/>
      <c r="W1582" s="201"/>
      <c r="X1582" s="201"/>
      <c r="Y1582" s="201"/>
      <c r="Z1582" s="201"/>
      <c r="AA1582" s="201"/>
    </row>
    <row r="1583" spans="1:27" ht="17.399999999999999">
      <c r="A1583" s="222"/>
      <c r="B1583" s="222"/>
      <c r="C1583" s="201"/>
      <c r="D1583" s="163"/>
      <c r="E1583" s="201"/>
      <c r="F1583" s="198"/>
      <c r="G1583" s="201"/>
      <c r="I1583" s="201"/>
      <c r="J1583" s="149"/>
      <c r="K1583" s="198"/>
      <c r="L1583" s="201"/>
      <c r="M1583" s="201"/>
      <c r="N1583" s="201"/>
      <c r="O1583" s="201"/>
      <c r="P1583" s="201"/>
      <c r="Q1583" s="201"/>
      <c r="R1583" s="201"/>
      <c r="S1583" s="201"/>
      <c r="T1583" s="201"/>
      <c r="U1583" s="201"/>
      <c r="V1583" s="201"/>
      <c r="W1583" s="201"/>
      <c r="X1583" s="201"/>
      <c r="Y1583" s="201"/>
      <c r="Z1583" s="201"/>
      <c r="AA1583" s="201"/>
    </row>
    <row r="1584" spans="1:27" ht="17.399999999999999">
      <c r="A1584" s="222"/>
      <c r="B1584" s="222"/>
      <c r="C1584" s="201"/>
      <c r="D1584" s="163"/>
      <c r="E1584" s="201"/>
      <c r="F1584" s="198"/>
      <c r="G1584" s="201"/>
      <c r="I1584" s="201"/>
      <c r="J1584" s="149"/>
      <c r="K1584" s="198"/>
      <c r="L1584" s="201"/>
      <c r="M1584" s="201"/>
      <c r="N1584" s="201"/>
      <c r="O1584" s="201"/>
      <c r="P1584" s="201"/>
      <c r="Q1584" s="201"/>
      <c r="R1584" s="201"/>
      <c r="S1584" s="201"/>
      <c r="T1584" s="201"/>
      <c r="U1584" s="201"/>
      <c r="V1584" s="201"/>
      <c r="W1584" s="201"/>
      <c r="X1584" s="201"/>
      <c r="Y1584" s="201"/>
      <c r="Z1584" s="201"/>
      <c r="AA1584" s="201"/>
    </row>
    <row r="1585" spans="1:27" ht="17.399999999999999">
      <c r="A1585" s="222"/>
      <c r="B1585" s="222"/>
      <c r="C1585" s="201"/>
      <c r="D1585" s="163"/>
      <c r="E1585" s="201"/>
      <c r="F1585" s="198"/>
      <c r="G1585" s="201"/>
      <c r="I1585" s="201"/>
      <c r="J1585" s="149"/>
      <c r="K1585" s="198"/>
      <c r="L1585" s="201"/>
      <c r="M1585" s="201"/>
      <c r="N1585" s="201"/>
      <c r="O1585" s="201"/>
      <c r="P1585" s="201"/>
      <c r="Q1585" s="201"/>
      <c r="R1585" s="201"/>
      <c r="S1585" s="201"/>
      <c r="T1585" s="201"/>
      <c r="U1585" s="201"/>
      <c r="V1585" s="201"/>
      <c r="W1585" s="201"/>
      <c r="X1585" s="201"/>
      <c r="Y1585" s="201"/>
      <c r="Z1585" s="201"/>
      <c r="AA1585" s="201"/>
    </row>
    <row r="1586" spans="1:27" ht="17.399999999999999">
      <c r="A1586" s="222"/>
      <c r="B1586" s="222"/>
      <c r="C1586" s="201"/>
      <c r="D1586" s="163"/>
      <c r="E1586" s="201"/>
      <c r="F1586" s="198"/>
      <c r="G1586" s="201"/>
      <c r="I1586" s="201"/>
      <c r="J1586" s="149"/>
      <c r="K1586" s="198"/>
      <c r="L1586" s="201"/>
      <c r="M1586" s="201"/>
      <c r="N1586" s="201"/>
      <c r="O1586" s="201"/>
      <c r="P1586" s="201"/>
      <c r="Q1586" s="201"/>
      <c r="R1586" s="201"/>
      <c r="S1586" s="201"/>
      <c r="T1586" s="201"/>
      <c r="U1586" s="201"/>
      <c r="V1586" s="201"/>
      <c r="W1586" s="201"/>
      <c r="X1586" s="201"/>
      <c r="Y1586" s="201"/>
      <c r="Z1586" s="201"/>
      <c r="AA1586" s="201"/>
    </row>
    <row r="1587" spans="1:27" ht="17.399999999999999">
      <c r="A1587" s="222"/>
      <c r="B1587" s="222"/>
      <c r="C1587" s="201"/>
      <c r="D1587" s="163"/>
      <c r="E1587" s="201"/>
      <c r="F1587" s="198"/>
      <c r="G1587" s="201"/>
      <c r="I1587" s="201"/>
      <c r="J1587" s="149"/>
      <c r="K1587" s="198"/>
      <c r="L1587" s="201"/>
      <c r="M1587" s="201"/>
      <c r="N1587" s="201"/>
      <c r="O1587" s="201"/>
      <c r="P1587" s="201"/>
      <c r="Q1587" s="201"/>
      <c r="R1587" s="201"/>
      <c r="S1587" s="201"/>
      <c r="T1587" s="201"/>
      <c r="U1587" s="201"/>
      <c r="V1587" s="201"/>
      <c r="W1587" s="201"/>
      <c r="X1587" s="201"/>
      <c r="Y1587" s="201"/>
      <c r="Z1587" s="201"/>
      <c r="AA1587" s="201"/>
    </row>
    <row r="1588" spans="1:27" ht="17.399999999999999">
      <c r="A1588" s="222"/>
      <c r="B1588" s="222"/>
      <c r="C1588" s="201"/>
      <c r="D1588" s="163"/>
      <c r="E1588" s="201"/>
      <c r="F1588" s="198"/>
      <c r="G1588" s="201"/>
      <c r="I1588" s="201"/>
      <c r="J1588" s="149"/>
      <c r="K1588" s="198"/>
      <c r="L1588" s="201"/>
      <c r="M1588" s="201"/>
      <c r="N1588" s="201"/>
      <c r="O1588" s="201"/>
      <c r="P1588" s="201"/>
      <c r="Q1588" s="201"/>
      <c r="R1588" s="201"/>
      <c r="S1588" s="201"/>
      <c r="T1588" s="201"/>
      <c r="U1588" s="201"/>
      <c r="V1588" s="201"/>
      <c r="W1588" s="201"/>
      <c r="X1588" s="201"/>
      <c r="Y1588" s="201"/>
      <c r="Z1588" s="201"/>
      <c r="AA1588" s="201"/>
    </row>
    <row r="1589" spans="1:27" ht="17.399999999999999">
      <c r="A1589" s="222"/>
      <c r="B1589" s="222"/>
      <c r="C1589" s="201"/>
      <c r="D1589" s="163"/>
      <c r="E1589" s="201"/>
      <c r="F1589" s="198"/>
      <c r="G1589" s="201"/>
      <c r="I1589" s="201"/>
      <c r="J1589" s="149"/>
      <c r="K1589" s="198"/>
      <c r="L1589" s="201"/>
      <c r="M1589" s="201"/>
      <c r="N1589" s="201"/>
      <c r="O1589" s="201"/>
      <c r="P1589" s="201"/>
      <c r="Q1589" s="201"/>
      <c r="R1589" s="201"/>
      <c r="S1589" s="201"/>
      <c r="T1589" s="201"/>
      <c r="U1589" s="201"/>
      <c r="V1589" s="201"/>
      <c r="W1589" s="201"/>
      <c r="X1589" s="201"/>
      <c r="Y1589" s="201"/>
      <c r="Z1589" s="201"/>
      <c r="AA1589" s="201"/>
    </row>
    <row r="1590" spans="1:27" ht="17.399999999999999">
      <c r="A1590" s="222"/>
      <c r="B1590" s="222"/>
      <c r="C1590" s="201"/>
      <c r="D1590" s="163"/>
      <c r="E1590" s="201"/>
      <c r="F1590" s="198"/>
      <c r="G1590" s="201"/>
      <c r="I1590" s="201"/>
      <c r="J1590" s="149"/>
      <c r="K1590" s="198"/>
      <c r="L1590" s="201"/>
      <c r="M1590" s="201"/>
      <c r="N1590" s="201"/>
      <c r="O1590" s="201"/>
      <c r="P1590" s="201"/>
      <c r="Q1590" s="201"/>
      <c r="R1590" s="201"/>
      <c r="S1590" s="201"/>
      <c r="T1590" s="201"/>
      <c r="U1590" s="201"/>
      <c r="V1590" s="201"/>
      <c r="W1590" s="201"/>
      <c r="X1590" s="201"/>
      <c r="Y1590" s="201"/>
      <c r="Z1590" s="201"/>
      <c r="AA1590" s="201"/>
    </row>
    <row r="1591" spans="1:27" ht="17.399999999999999">
      <c r="A1591" s="222"/>
      <c r="B1591" s="222"/>
      <c r="C1591" s="201"/>
      <c r="D1591" s="163"/>
      <c r="E1591" s="201"/>
      <c r="F1591" s="198"/>
      <c r="G1591" s="201"/>
      <c r="I1591" s="201"/>
      <c r="J1591" s="149"/>
      <c r="K1591" s="198"/>
      <c r="L1591" s="201"/>
      <c r="M1591" s="201"/>
      <c r="N1591" s="201"/>
      <c r="O1591" s="201"/>
      <c r="P1591" s="201"/>
      <c r="Q1591" s="201"/>
      <c r="R1591" s="201"/>
      <c r="S1591" s="201"/>
      <c r="T1591" s="201"/>
      <c r="U1591" s="201"/>
      <c r="V1591" s="201"/>
      <c r="W1591" s="201"/>
      <c r="X1591" s="201"/>
      <c r="Y1591" s="201"/>
      <c r="Z1591" s="201"/>
      <c r="AA1591" s="201"/>
    </row>
    <row r="1592" spans="1:27" ht="17.399999999999999">
      <c r="A1592" s="222"/>
      <c r="B1592" s="222"/>
      <c r="C1592" s="201"/>
      <c r="D1592" s="163"/>
      <c r="E1592" s="201"/>
      <c r="F1592" s="198"/>
      <c r="G1592" s="201"/>
      <c r="I1592" s="201"/>
      <c r="J1592" s="149"/>
      <c r="K1592" s="198"/>
      <c r="L1592" s="201"/>
      <c r="M1592" s="201"/>
      <c r="N1592" s="201"/>
      <c r="O1592" s="201"/>
      <c r="P1592" s="201"/>
      <c r="Q1592" s="201"/>
      <c r="R1592" s="201"/>
      <c r="S1592" s="201"/>
      <c r="T1592" s="201"/>
      <c r="U1592" s="201"/>
      <c r="V1592" s="201"/>
      <c r="W1592" s="201"/>
      <c r="X1592" s="201"/>
      <c r="Y1592" s="201"/>
      <c r="Z1592" s="201"/>
      <c r="AA1592" s="201"/>
    </row>
    <row r="1593" spans="1:27" ht="17.399999999999999">
      <c r="A1593" s="222"/>
      <c r="B1593" s="222"/>
      <c r="C1593" s="201"/>
      <c r="D1593" s="163"/>
      <c r="E1593" s="201"/>
      <c r="F1593" s="198"/>
      <c r="G1593" s="201"/>
      <c r="I1593" s="201"/>
      <c r="J1593" s="149"/>
      <c r="K1593" s="198"/>
      <c r="L1593" s="201"/>
      <c r="M1593" s="201"/>
      <c r="N1593" s="201"/>
      <c r="O1593" s="201"/>
      <c r="P1593" s="201"/>
      <c r="Q1593" s="201"/>
      <c r="R1593" s="201"/>
      <c r="S1593" s="201"/>
      <c r="T1593" s="201"/>
      <c r="U1593" s="201"/>
      <c r="V1593" s="201"/>
      <c r="W1593" s="201"/>
      <c r="X1593" s="201"/>
      <c r="Y1593" s="201"/>
      <c r="Z1593" s="201"/>
      <c r="AA1593" s="201"/>
    </row>
    <row r="1594" spans="1:27" ht="17.399999999999999">
      <c r="A1594" s="222"/>
      <c r="B1594" s="222"/>
      <c r="C1594" s="201"/>
      <c r="D1594" s="163"/>
      <c r="E1594" s="201"/>
      <c r="F1594" s="198"/>
      <c r="G1594" s="201"/>
      <c r="I1594" s="201"/>
      <c r="J1594" s="149"/>
      <c r="K1594" s="198"/>
      <c r="L1594" s="201"/>
      <c r="M1594" s="201"/>
      <c r="N1594" s="201"/>
      <c r="O1594" s="201"/>
      <c r="P1594" s="201"/>
      <c r="Q1594" s="201"/>
      <c r="R1594" s="201"/>
      <c r="S1594" s="201"/>
      <c r="T1594" s="201"/>
      <c r="U1594" s="201"/>
      <c r="V1594" s="201"/>
      <c r="W1594" s="201"/>
      <c r="X1594" s="201"/>
      <c r="Y1594" s="201"/>
      <c r="Z1594" s="201"/>
      <c r="AA1594" s="201"/>
    </row>
    <row r="1595" spans="1:27" ht="17.399999999999999">
      <c r="A1595" s="222"/>
      <c r="B1595" s="222"/>
      <c r="C1595" s="201"/>
      <c r="D1595" s="163"/>
      <c r="E1595" s="201"/>
      <c r="F1595" s="198"/>
      <c r="G1595" s="201"/>
      <c r="I1595" s="201"/>
      <c r="J1595" s="149"/>
      <c r="K1595" s="198"/>
      <c r="L1595" s="201"/>
      <c r="M1595" s="201"/>
      <c r="N1595" s="201"/>
      <c r="O1595" s="201"/>
      <c r="P1595" s="201"/>
      <c r="Q1595" s="201"/>
      <c r="R1595" s="201"/>
      <c r="S1595" s="201"/>
      <c r="T1595" s="201"/>
      <c r="U1595" s="201"/>
      <c r="V1595" s="201"/>
      <c r="W1595" s="201"/>
      <c r="X1595" s="201"/>
      <c r="Y1595" s="201"/>
      <c r="Z1595" s="201"/>
      <c r="AA1595" s="201"/>
    </row>
    <row r="1596" spans="1:27" ht="17.399999999999999">
      <c r="A1596" s="222"/>
      <c r="B1596" s="222"/>
      <c r="C1596" s="201"/>
      <c r="D1596" s="163"/>
      <c r="E1596" s="201"/>
      <c r="F1596" s="198"/>
      <c r="G1596" s="201"/>
      <c r="I1596" s="201"/>
      <c r="J1596" s="149"/>
      <c r="K1596" s="198"/>
      <c r="L1596" s="201"/>
      <c r="M1596" s="201"/>
      <c r="N1596" s="201"/>
      <c r="O1596" s="201"/>
      <c r="P1596" s="201"/>
      <c r="Q1596" s="201"/>
      <c r="R1596" s="201"/>
      <c r="S1596" s="201"/>
      <c r="T1596" s="201"/>
      <c r="U1596" s="201"/>
      <c r="V1596" s="201"/>
      <c r="W1596" s="201"/>
      <c r="X1596" s="201"/>
      <c r="Y1596" s="201"/>
      <c r="Z1596" s="201"/>
      <c r="AA1596" s="201"/>
    </row>
    <row r="1597" spans="1:27" ht="17.399999999999999">
      <c r="A1597" s="222"/>
      <c r="B1597" s="222"/>
      <c r="C1597" s="201"/>
      <c r="D1597" s="163"/>
      <c r="E1597" s="201"/>
      <c r="F1597" s="198"/>
      <c r="G1597" s="201"/>
      <c r="I1597" s="201"/>
      <c r="J1597" s="149"/>
      <c r="K1597" s="198"/>
      <c r="L1597" s="201"/>
      <c r="M1597" s="201"/>
      <c r="N1597" s="201"/>
      <c r="O1597" s="201"/>
      <c r="P1597" s="201"/>
      <c r="Q1597" s="201"/>
      <c r="R1597" s="201"/>
      <c r="S1597" s="201"/>
      <c r="T1597" s="201"/>
      <c r="U1597" s="201"/>
      <c r="V1597" s="201"/>
      <c r="W1597" s="201"/>
      <c r="X1597" s="201"/>
      <c r="Y1597" s="201"/>
      <c r="Z1597" s="201"/>
      <c r="AA1597" s="201"/>
    </row>
    <row r="1598" spans="1:27" ht="17.399999999999999">
      <c r="A1598" s="222"/>
      <c r="B1598" s="222"/>
      <c r="C1598" s="201"/>
      <c r="D1598" s="163"/>
      <c r="E1598" s="201"/>
      <c r="F1598" s="198"/>
      <c r="G1598" s="201"/>
      <c r="I1598" s="201"/>
      <c r="J1598" s="149"/>
      <c r="K1598" s="198"/>
      <c r="L1598" s="201"/>
      <c r="M1598" s="201"/>
      <c r="N1598" s="201"/>
      <c r="O1598" s="201"/>
      <c r="P1598" s="201"/>
      <c r="Q1598" s="201"/>
      <c r="R1598" s="201"/>
      <c r="S1598" s="201"/>
      <c r="T1598" s="201"/>
      <c r="U1598" s="201"/>
      <c r="V1598" s="201"/>
      <c r="W1598" s="201"/>
      <c r="X1598" s="201"/>
      <c r="Y1598" s="201"/>
      <c r="Z1598" s="201"/>
      <c r="AA1598" s="201"/>
    </row>
    <row r="1599" spans="1:27" ht="17.399999999999999">
      <c r="A1599" s="222"/>
      <c r="B1599" s="222"/>
      <c r="C1599" s="201"/>
      <c r="D1599" s="163"/>
      <c r="E1599" s="201"/>
      <c r="F1599" s="198"/>
      <c r="G1599" s="201"/>
      <c r="I1599" s="201"/>
      <c r="J1599" s="149"/>
      <c r="K1599" s="198"/>
      <c r="L1599" s="201"/>
      <c r="M1599" s="201"/>
      <c r="N1599" s="201"/>
      <c r="O1599" s="201"/>
      <c r="P1599" s="201"/>
      <c r="Q1599" s="201"/>
      <c r="R1599" s="201"/>
      <c r="S1599" s="201"/>
      <c r="T1599" s="201"/>
      <c r="U1599" s="201"/>
      <c r="V1599" s="201"/>
      <c r="W1599" s="201"/>
      <c r="X1599" s="201"/>
      <c r="Y1599" s="201"/>
      <c r="Z1599" s="201"/>
      <c r="AA1599" s="201"/>
    </row>
    <row r="1600" spans="1:27" ht="17.399999999999999">
      <c r="A1600" s="222"/>
      <c r="B1600" s="222"/>
      <c r="C1600" s="201"/>
      <c r="D1600" s="163"/>
      <c r="E1600" s="201"/>
      <c r="F1600" s="198"/>
      <c r="G1600" s="201"/>
      <c r="I1600" s="201"/>
      <c r="J1600" s="149"/>
      <c r="K1600" s="198"/>
      <c r="L1600" s="201"/>
      <c r="M1600" s="201"/>
      <c r="N1600" s="201"/>
      <c r="O1600" s="201"/>
      <c r="P1600" s="201"/>
      <c r="Q1600" s="201"/>
      <c r="R1600" s="201"/>
      <c r="S1600" s="201"/>
      <c r="T1600" s="201"/>
      <c r="U1600" s="201"/>
      <c r="V1600" s="201"/>
      <c r="W1600" s="201"/>
      <c r="X1600" s="201"/>
      <c r="Y1600" s="201"/>
      <c r="Z1600" s="201"/>
      <c r="AA1600" s="201"/>
    </row>
    <row r="1601" spans="1:27" ht="17.399999999999999">
      <c r="A1601" s="222"/>
      <c r="B1601" s="222"/>
      <c r="C1601" s="201"/>
      <c r="D1601" s="163"/>
      <c r="E1601" s="201"/>
      <c r="F1601" s="198"/>
      <c r="G1601" s="201"/>
      <c r="I1601" s="201"/>
      <c r="J1601" s="149"/>
      <c r="K1601" s="198"/>
      <c r="L1601" s="201"/>
      <c r="M1601" s="201"/>
      <c r="N1601" s="201"/>
      <c r="O1601" s="201"/>
      <c r="P1601" s="201"/>
      <c r="Q1601" s="201"/>
      <c r="R1601" s="201"/>
      <c r="S1601" s="201"/>
      <c r="T1601" s="201"/>
      <c r="U1601" s="201"/>
      <c r="V1601" s="201"/>
      <c r="W1601" s="201"/>
      <c r="X1601" s="201"/>
      <c r="Y1601" s="201"/>
      <c r="Z1601" s="201"/>
      <c r="AA1601" s="201"/>
    </row>
    <row r="1602" spans="1:27" ht="17.399999999999999">
      <c r="A1602" s="222"/>
      <c r="B1602" s="222"/>
      <c r="C1602" s="201"/>
      <c r="D1602" s="163"/>
      <c r="E1602" s="201"/>
      <c r="F1602" s="198"/>
      <c r="G1602" s="201"/>
      <c r="I1602" s="201"/>
      <c r="J1602" s="149"/>
      <c r="K1602" s="198"/>
      <c r="L1602" s="201"/>
      <c r="M1602" s="201"/>
      <c r="N1602" s="201"/>
      <c r="O1602" s="201"/>
      <c r="P1602" s="201"/>
      <c r="Q1602" s="201"/>
      <c r="R1602" s="201"/>
      <c r="S1602" s="201"/>
      <c r="T1602" s="201"/>
      <c r="U1602" s="201"/>
      <c r="V1602" s="201"/>
      <c r="W1602" s="201"/>
      <c r="X1602" s="201"/>
      <c r="Y1602" s="201"/>
      <c r="Z1602" s="201"/>
      <c r="AA1602" s="201"/>
    </row>
    <row r="1603" spans="1:27" ht="17.399999999999999">
      <c r="A1603" s="222"/>
      <c r="B1603" s="222"/>
      <c r="C1603" s="201"/>
      <c r="D1603" s="163"/>
      <c r="E1603" s="201"/>
      <c r="F1603" s="198"/>
      <c r="G1603" s="201"/>
      <c r="I1603" s="201"/>
      <c r="J1603" s="149"/>
      <c r="K1603" s="198"/>
      <c r="L1603" s="201"/>
      <c r="M1603" s="201"/>
      <c r="N1603" s="201"/>
      <c r="O1603" s="201"/>
      <c r="P1603" s="201"/>
      <c r="Q1603" s="201"/>
      <c r="R1603" s="201"/>
      <c r="S1603" s="201"/>
      <c r="T1603" s="201"/>
      <c r="U1603" s="201"/>
      <c r="V1603" s="201"/>
      <c r="W1603" s="201"/>
      <c r="X1603" s="201"/>
      <c r="Y1603" s="201"/>
      <c r="Z1603" s="201"/>
      <c r="AA1603" s="201"/>
    </row>
    <row r="1604" spans="1:27" ht="17.399999999999999">
      <c r="A1604" s="222"/>
      <c r="B1604" s="222"/>
      <c r="C1604" s="201"/>
      <c r="D1604" s="163"/>
      <c r="E1604" s="201"/>
      <c r="F1604" s="198"/>
      <c r="G1604" s="201"/>
      <c r="I1604" s="201"/>
      <c r="J1604" s="149"/>
      <c r="K1604" s="198"/>
      <c r="L1604" s="201"/>
      <c r="M1604" s="201"/>
      <c r="N1604" s="201"/>
      <c r="O1604" s="201"/>
      <c r="P1604" s="201"/>
      <c r="Q1604" s="201"/>
      <c r="R1604" s="201"/>
      <c r="S1604" s="201"/>
      <c r="T1604" s="201"/>
      <c r="U1604" s="201"/>
      <c r="V1604" s="201"/>
      <c r="W1604" s="201"/>
      <c r="X1604" s="201"/>
      <c r="Y1604" s="201"/>
      <c r="Z1604" s="201"/>
      <c r="AA1604" s="201"/>
    </row>
    <row r="1605" spans="1:27" ht="17.399999999999999">
      <c r="A1605" s="222"/>
      <c r="B1605" s="222"/>
      <c r="C1605" s="201"/>
      <c r="D1605" s="163"/>
      <c r="E1605" s="201"/>
      <c r="F1605" s="198"/>
      <c r="G1605" s="201"/>
      <c r="I1605" s="201"/>
      <c r="J1605" s="149"/>
      <c r="K1605" s="198"/>
      <c r="L1605" s="201"/>
      <c r="M1605" s="201"/>
      <c r="N1605" s="201"/>
      <c r="O1605" s="201"/>
      <c r="P1605" s="201"/>
      <c r="Q1605" s="201"/>
      <c r="R1605" s="201"/>
      <c r="S1605" s="201"/>
      <c r="T1605" s="201"/>
      <c r="U1605" s="201"/>
      <c r="V1605" s="201"/>
      <c r="W1605" s="201"/>
      <c r="X1605" s="201"/>
      <c r="Y1605" s="201"/>
      <c r="Z1605" s="201"/>
      <c r="AA1605" s="201"/>
    </row>
    <row r="1606" spans="1:27" ht="17.399999999999999">
      <c r="A1606" s="222"/>
      <c r="B1606" s="222"/>
      <c r="C1606" s="201"/>
      <c r="D1606" s="163"/>
      <c r="E1606" s="201"/>
      <c r="F1606" s="198"/>
      <c r="G1606" s="201"/>
      <c r="I1606" s="201"/>
      <c r="J1606" s="149"/>
      <c r="K1606" s="198"/>
      <c r="L1606" s="201"/>
      <c r="M1606" s="201"/>
      <c r="N1606" s="201"/>
      <c r="O1606" s="201"/>
      <c r="P1606" s="201"/>
      <c r="Q1606" s="201"/>
      <c r="R1606" s="201"/>
      <c r="S1606" s="201"/>
      <c r="T1606" s="201"/>
      <c r="U1606" s="201"/>
      <c r="V1606" s="201"/>
      <c r="W1606" s="201"/>
      <c r="X1606" s="201"/>
      <c r="Y1606" s="201"/>
      <c r="Z1606" s="201"/>
      <c r="AA1606" s="201"/>
    </row>
    <row r="1607" spans="1:27" ht="17.399999999999999">
      <c r="A1607" s="222"/>
      <c r="B1607" s="222"/>
      <c r="C1607" s="201"/>
      <c r="D1607" s="163"/>
      <c r="E1607" s="201"/>
      <c r="F1607" s="198"/>
      <c r="G1607" s="201"/>
      <c r="I1607" s="201"/>
      <c r="J1607" s="149"/>
      <c r="K1607" s="198"/>
      <c r="L1607" s="201"/>
      <c r="M1607" s="201"/>
      <c r="N1607" s="201"/>
      <c r="O1607" s="201"/>
      <c r="P1607" s="201"/>
      <c r="Q1607" s="201"/>
      <c r="R1607" s="201"/>
      <c r="S1607" s="201"/>
      <c r="T1607" s="201"/>
      <c r="U1607" s="201"/>
      <c r="V1607" s="201"/>
      <c r="W1607" s="201"/>
      <c r="X1607" s="201"/>
      <c r="Y1607" s="201"/>
      <c r="Z1607" s="201"/>
      <c r="AA1607" s="201"/>
    </row>
    <row r="1608" spans="1:27" ht="17.399999999999999">
      <c r="A1608" s="222"/>
      <c r="B1608" s="222"/>
      <c r="C1608" s="201"/>
      <c r="D1608" s="163"/>
      <c r="E1608" s="201"/>
      <c r="F1608" s="198"/>
      <c r="G1608" s="201"/>
      <c r="I1608" s="201"/>
      <c r="J1608" s="149"/>
      <c r="K1608" s="198"/>
      <c r="L1608" s="201"/>
      <c r="M1608" s="201"/>
      <c r="N1608" s="201"/>
      <c r="O1608" s="201"/>
      <c r="P1608" s="201"/>
      <c r="Q1608" s="201"/>
      <c r="R1608" s="201"/>
      <c r="S1608" s="201"/>
      <c r="T1608" s="201"/>
      <c r="U1608" s="201"/>
      <c r="V1608" s="201"/>
      <c r="W1608" s="201"/>
      <c r="X1608" s="201"/>
      <c r="Y1608" s="201"/>
      <c r="Z1608" s="201"/>
      <c r="AA1608" s="201"/>
    </row>
    <row r="1609" spans="1:27" ht="17.399999999999999">
      <c r="A1609" s="222"/>
      <c r="B1609" s="222"/>
      <c r="C1609" s="201"/>
      <c r="D1609" s="163"/>
      <c r="E1609" s="201"/>
      <c r="F1609" s="198"/>
      <c r="G1609" s="201"/>
      <c r="I1609" s="201"/>
      <c r="J1609" s="149"/>
      <c r="K1609" s="198"/>
      <c r="L1609" s="201"/>
      <c r="M1609" s="201"/>
      <c r="N1609" s="201"/>
      <c r="O1609" s="201"/>
      <c r="P1609" s="201"/>
      <c r="Q1609" s="201"/>
      <c r="R1609" s="201"/>
      <c r="S1609" s="201"/>
      <c r="T1609" s="201"/>
      <c r="U1609" s="201"/>
      <c r="V1609" s="201"/>
      <c r="W1609" s="201"/>
      <c r="X1609" s="201"/>
      <c r="Y1609" s="201"/>
      <c r="Z1609" s="201"/>
      <c r="AA1609" s="201"/>
    </row>
    <row r="1610" spans="1:27" ht="17.399999999999999">
      <c r="A1610" s="222"/>
      <c r="B1610" s="222"/>
      <c r="C1610" s="201"/>
      <c r="D1610" s="163"/>
      <c r="E1610" s="201"/>
      <c r="F1610" s="198"/>
      <c r="G1610" s="201"/>
      <c r="I1610" s="201"/>
      <c r="J1610" s="149"/>
      <c r="K1610" s="198"/>
      <c r="L1610" s="201"/>
      <c r="M1610" s="201"/>
      <c r="N1610" s="201"/>
      <c r="O1610" s="201"/>
      <c r="P1610" s="201"/>
      <c r="Q1610" s="201"/>
      <c r="R1610" s="201"/>
      <c r="S1610" s="201"/>
      <c r="T1610" s="201"/>
      <c r="U1610" s="201"/>
      <c r="V1610" s="201"/>
      <c r="W1610" s="201"/>
      <c r="X1610" s="201"/>
      <c r="Y1610" s="201"/>
      <c r="Z1610" s="201"/>
      <c r="AA1610" s="201"/>
    </row>
    <row r="1611" spans="1:27" ht="17.399999999999999">
      <c r="A1611" s="222"/>
      <c r="B1611" s="222"/>
      <c r="C1611" s="201"/>
      <c r="D1611" s="163"/>
      <c r="E1611" s="201"/>
      <c r="F1611" s="198"/>
      <c r="G1611" s="201"/>
      <c r="I1611" s="201"/>
      <c r="J1611" s="149"/>
      <c r="K1611" s="198"/>
      <c r="L1611" s="201"/>
      <c r="M1611" s="201"/>
      <c r="N1611" s="201"/>
      <c r="O1611" s="201"/>
      <c r="P1611" s="201"/>
      <c r="Q1611" s="201"/>
      <c r="R1611" s="201"/>
      <c r="S1611" s="201"/>
      <c r="T1611" s="201"/>
      <c r="U1611" s="201"/>
      <c r="V1611" s="201"/>
      <c r="W1611" s="201"/>
      <c r="X1611" s="201"/>
      <c r="Y1611" s="201"/>
      <c r="Z1611" s="201"/>
      <c r="AA1611" s="201"/>
    </row>
    <row r="1612" spans="1:27" ht="17.399999999999999">
      <c r="A1612" s="222"/>
      <c r="B1612" s="222"/>
      <c r="C1612" s="201"/>
      <c r="D1612" s="163"/>
      <c r="E1612" s="201"/>
      <c r="F1612" s="198"/>
      <c r="G1612" s="201"/>
      <c r="I1612" s="201"/>
      <c r="J1612" s="149"/>
      <c r="K1612" s="198"/>
      <c r="L1612" s="201"/>
      <c r="M1612" s="201"/>
      <c r="N1612" s="201"/>
      <c r="O1612" s="201"/>
      <c r="P1612" s="201"/>
      <c r="Q1612" s="201"/>
      <c r="R1612" s="201"/>
      <c r="S1612" s="201"/>
      <c r="T1612" s="201"/>
      <c r="U1612" s="201"/>
      <c r="V1612" s="201"/>
      <c r="W1612" s="201"/>
      <c r="X1612" s="201"/>
      <c r="Y1612" s="201"/>
      <c r="Z1612" s="201"/>
      <c r="AA1612" s="201"/>
    </row>
    <row r="1613" spans="1:27" ht="17.399999999999999">
      <c r="A1613" s="222"/>
      <c r="B1613" s="222"/>
      <c r="C1613" s="201"/>
      <c r="D1613" s="163"/>
      <c r="E1613" s="201"/>
      <c r="F1613" s="198"/>
      <c r="G1613" s="201"/>
      <c r="I1613" s="201"/>
      <c r="J1613" s="149"/>
      <c r="K1613" s="198"/>
      <c r="L1613" s="201"/>
      <c r="M1613" s="201"/>
      <c r="N1613" s="201"/>
      <c r="O1613" s="201"/>
      <c r="P1613" s="201"/>
      <c r="Q1613" s="201"/>
      <c r="R1613" s="201"/>
      <c r="S1613" s="201"/>
      <c r="T1613" s="201"/>
      <c r="U1613" s="201"/>
      <c r="V1613" s="201"/>
      <c r="W1613" s="201"/>
      <c r="X1613" s="201"/>
      <c r="Y1613" s="201"/>
      <c r="Z1613" s="201"/>
      <c r="AA1613" s="201"/>
    </row>
    <row r="1614" spans="1:27" ht="17.399999999999999">
      <c r="A1614" s="222"/>
      <c r="B1614" s="222"/>
      <c r="C1614" s="201"/>
      <c r="D1614" s="163"/>
      <c r="E1614" s="201"/>
      <c r="F1614" s="198"/>
      <c r="G1614" s="201"/>
      <c r="I1614" s="201"/>
      <c r="J1614" s="149"/>
      <c r="K1614" s="198"/>
      <c r="L1614" s="201"/>
      <c r="M1614" s="201"/>
      <c r="N1614" s="201"/>
      <c r="O1614" s="201"/>
      <c r="P1614" s="201"/>
      <c r="Q1614" s="201"/>
      <c r="R1614" s="201"/>
      <c r="S1614" s="201"/>
      <c r="T1614" s="201"/>
      <c r="U1614" s="201"/>
      <c r="V1614" s="201"/>
      <c r="W1614" s="201"/>
      <c r="X1614" s="201"/>
      <c r="Y1614" s="201"/>
      <c r="Z1614" s="201"/>
      <c r="AA1614" s="201"/>
    </row>
    <row r="1615" spans="1:27" ht="17.399999999999999">
      <c r="A1615" s="222"/>
      <c r="B1615" s="222"/>
      <c r="C1615" s="201"/>
      <c r="D1615" s="163"/>
      <c r="E1615" s="201"/>
      <c r="F1615" s="198"/>
      <c r="G1615" s="201"/>
      <c r="I1615" s="201"/>
      <c r="J1615" s="149"/>
      <c r="K1615" s="198"/>
      <c r="L1615" s="201"/>
      <c r="M1615" s="201"/>
      <c r="N1615" s="201"/>
      <c r="O1615" s="201"/>
      <c r="P1615" s="201"/>
      <c r="Q1615" s="201"/>
      <c r="R1615" s="201"/>
      <c r="S1615" s="201"/>
      <c r="T1615" s="201"/>
      <c r="U1615" s="201"/>
      <c r="V1615" s="201"/>
      <c r="W1615" s="201"/>
      <c r="X1615" s="201"/>
      <c r="Y1615" s="201"/>
      <c r="Z1615" s="201"/>
      <c r="AA1615" s="201"/>
    </row>
    <row r="1616" spans="1:27" ht="17.399999999999999">
      <c r="A1616" s="222"/>
      <c r="B1616" s="222"/>
      <c r="C1616" s="201"/>
      <c r="D1616" s="163"/>
      <c r="E1616" s="201"/>
      <c r="F1616" s="198"/>
      <c r="G1616" s="201"/>
      <c r="I1616" s="201"/>
      <c r="J1616" s="149"/>
      <c r="K1616" s="198"/>
      <c r="L1616" s="201"/>
      <c r="M1616" s="201"/>
      <c r="N1616" s="201"/>
      <c r="O1616" s="201"/>
      <c r="P1616" s="201"/>
      <c r="Q1616" s="201"/>
      <c r="R1616" s="201"/>
      <c r="S1616" s="201"/>
      <c r="T1616" s="201"/>
      <c r="U1616" s="201"/>
      <c r="V1616" s="201"/>
      <c r="W1616" s="201"/>
      <c r="X1616" s="201"/>
      <c r="Y1616" s="201"/>
      <c r="Z1616" s="201"/>
      <c r="AA1616" s="201"/>
    </row>
    <row r="1617" spans="1:27" ht="17.399999999999999">
      <c r="A1617" s="222"/>
      <c r="B1617" s="222"/>
      <c r="C1617" s="201"/>
      <c r="D1617" s="163"/>
      <c r="E1617" s="201"/>
      <c r="F1617" s="198"/>
      <c r="G1617" s="201"/>
      <c r="I1617" s="201"/>
      <c r="J1617" s="149"/>
      <c r="K1617" s="198"/>
      <c r="L1617" s="201"/>
      <c r="M1617" s="201"/>
      <c r="N1617" s="201"/>
      <c r="O1617" s="201"/>
      <c r="P1617" s="201"/>
      <c r="Q1617" s="201"/>
      <c r="R1617" s="201"/>
      <c r="S1617" s="201"/>
      <c r="T1617" s="201"/>
      <c r="U1617" s="201"/>
      <c r="V1617" s="201"/>
      <c r="W1617" s="201"/>
      <c r="X1617" s="201"/>
      <c r="Y1617" s="201"/>
      <c r="Z1617" s="201"/>
      <c r="AA1617" s="201"/>
    </row>
    <row r="1618" spans="1:27" ht="17.399999999999999">
      <c r="A1618" s="222"/>
      <c r="B1618" s="222"/>
      <c r="C1618" s="201"/>
      <c r="D1618" s="163"/>
      <c r="E1618" s="201"/>
      <c r="F1618" s="198"/>
      <c r="G1618" s="201"/>
      <c r="I1618" s="201"/>
      <c r="J1618" s="149"/>
      <c r="K1618" s="198"/>
      <c r="L1618" s="201"/>
      <c r="M1618" s="201"/>
      <c r="N1618" s="201"/>
      <c r="O1618" s="201"/>
      <c r="P1618" s="201"/>
      <c r="Q1618" s="201"/>
      <c r="R1618" s="201"/>
      <c r="S1618" s="201"/>
      <c r="T1618" s="201"/>
      <c r="U1618" s="201"/>
      <c r="V1618" s="201"/>
      <c r="W1618" s="201"/>
      <c r="X1618" s="201"/>
      <c r="Y1618" s="201"/>
      <c r="Z1618" s="201"/>
      <c r="AA1618" s="201"/>
    </row>
    <row r="1619" spans="1:27" ht="17.399999999999999">
      <c r="A1619" s="222"/>
      <c r="B1619" s="222"/>
      <c r="C1619" s="201"/>
      <c r="D1619" s="163"/>
      <c r="E1619" s="201"/>
      <c r="F1619" s="198"/>
      <c r="G1619" s="201"/>
      <c r="I1619" s="201"/>
      <c r="J1619" s="149"/>
      <c r="K1619" s="198"/>
      <c r="L1619" s="201"/>
      <c r="M1619" s="201"/>
      <c r="N1619" s="201"/>
      <c r="O1619" s="201"/>
      <c r="P1619" s="201"/>
      <c r="Q1619" s="201"/>
      <c r="R1619" s="201"/>
      <c r="S1619" s="201"/>
      <c r="T1619" s="201"/>
      <c r="U1619" s="201"/>
      <c r="V1619" s="201"/>
      <c r="W1619" s="201"/>
      <c r="X1619" s="201"/>
      <c r="Y1619" s="201"/>
      <c r="Z1619" s="201"/>
      <c r="AA1619" s="201"/>
    </row>
    <row r="1620" spans="1:27" ht="17.399999999999999">
      <c r="A1620" s="222"/>
      <c r="B1620" s="222"/>
      <c r="C1620" s="201"/>
      <c r="D1620" s="163"/>
      <c r="E1620" s="201"/>
      <c r="F1620" s="198"/>
      <c r="G1620" s="201"/>
      <c r="I1620" s="201"/>
      <c r="J1620" s="149"/>
      <c r="K1620" s="198"/>
      <c r="L1620" s="201"/>
      <c r="M1620" s="201"/>
      <c r="N1620" s="201"/>
      <c r="O1620" s="201"/>
      <c r="P1620" s="201"/>
      <c r="Q1620" s="201"/>
      <c r="R1620" s="201"/>
      <c r="S1620" s="201"/>
      <c r="T1620" s="201"/>
      <c r="U1620" s="201"/>
      <c r="V1620" s="201"/>
      <c r="W1620" s="201"/>
      <c r="X1620" s="201"/>
      <c r="Y1620" s="201"/>
      <c r="Z1620" s="201"/>
      <c r="AA1620" s="201"/>
    </row>
    <row r="1621" spans="1:27" ht="17.399999999999999">
      <c r="A1621" s="222"/>
      <c r="B1621" s="222"/>
      <c r="C1621" s="201"/>
      <c r="D1621" s="163"/>
      <c r="E1621" s="201"/>
      <c r="F1621" s="198"/>
      <c r="G1621" s="201"/>
      <c r="I1621" s="201"/>
      <c r="J1621" s="149"/>
      <c r="K1621" s="198"/>
      <c r="L1621" s="201"/>
      <c r="M1621" s="201"/>
      <c r="N1621" s="201"/>
      <c r="O1621" s="201"/>
      <c r="P1621" s="201"/>
      <c r="Q1621" s="201"/>
      <c r="R1621" s="201"/>
      <c r="S1621" s="201"/>
      <c r="T1621" s="201"/>
      <c r="U1621" s="201"/>
      <c r="V1621" s="201"/>
      <c r="W1621" s="201"/>
      <c r="X1621" s="201"/>
      <c r="Y1621" s="201"/>
      <c r="Z1621" s="201"/>
      <c r="AA1621" s="201"/>
    </row>
    <row r="1622" spans="1:27" ht="17.399999999999999">
      <c r="A1622" s="222"/>
      <c r="B1622" s="222"/>
      <c r="C1622" s="201"/>
      <c r="D1622" s="163"/>
      <c r="E1622" s="201"/>
      <c r="F1622" s="198"/>
      <c r="G1622" s="201"/>
      <c r="I1622" s="201"/>
      <c r="J1622" s="149"/>
      <c r="K1622" s="198"/>
      <c r="L1622" s="201"/>
      <c r="M1622" s="201"/>
      <c r="N1622" s="201"/>
      <c r="O1622" s="201"/>
      <c r="P1622" s="201"/>
      <c r="Q1622" s="201"/>
      <c r="R1622" s="201"/>
      <c r="S1622" s="201"/>
      <c r="T1622" s="201"/>
      <c r="U1622" s="201"/>
      <c r="V1622" s="201"/>
      <c r="W1622" s="201"/>
      <c r="X1622" s="201"/>
      <c r="Y1622" s="201"/>
      <c r="Z1622" s="201"/>
      <c r="AA1622" s="201"/>
    </row>
    <row r="1623" spans="1:27" ht="17.399999999999999">
      <c r="A1623" s="222"/>
      <c r="B1623" s="222"/>
      <c r="C1623" s="201"/>
      <c r="D1623" s="163"/>
      <c r="E1623" s="201"/>
      <c r="F1623" s="198"/>
      <c r="G1623" s="201"/>
      <c r="I1623" s="201"/>
      <c r="J1623" s="149"/>
      <c r="K1623" s="198"/>
      <c r="L1623" s="201"/>
      <c r="M1623" s="201"/>
      <c r="N1623" s="201"/>
      <c r="O1623" s="201"/>
      <c r="P1623" s="201"/>
      <c r="Q1623" s="201"/>
      <c r="R1623" s="201"/>
      <c r="S1623" s="201"/>
      <c r="T1623" s="201"/>
      <c r="U1623" s="201"/>
      <c r="V1623" s="201"/>
      <c r="W1623" s="201"/>
      <c r="X1623" s="201"/>
      <c r="Y1623" s="201"/>
      <c r="Z1623" s="201"/>
      <c r="AA1623" s="201"/>
    </row>
    <row r="1624" spans="1:27" ht="17.399999999999999">
      <c r="A1624" s="222"/>
      <c r="B1624" s="222"/>
      <c r="C1624" s="201"/>
      <c r="D1624" s="163"/>
      <c r="E1624" s="201"/>
      <c r="F1624" s="198"/>
      <c r="G1624" s="201"/>
      <c r="I1624" s="201"/>
      <c r="J1624" s="149"/>
      <c r="K1624" s="198"/>
      <c r="L1624" s="201"/>
      <c r="M1624" s="201"/>
      <c r="N1624" s="201"/>
      <c r="O1624" s="201"/>
      <c r="P1624" s="201"/>
      <c r="Q1624" s="201"/>
      <c r="R1624" s="201"/>
      <c r="S1624" s="201"/>
      <c r="T1624" s="201"/>
      <c r="U1624" s="201"/>
      <c r="V1624" s="201"/>
      <c r="W1624" s="201"/>
      <c r="X1624" s="201"/>
      <c r="Y1624" s="201"/>
      <c r="Z1624" s="201"/>
      <c r="AA1624" s="201"/>
    </row>
    <row r="1625" spans="1:27" ht="17.399999999999999">
      <c r="A1625" s="222"/>
      <c r="B1625" s="222"/>
      <c r="C1625" s="201"/>
      <c r="D1625" s="163"/>
      <c r="E1625" s="201"/>
      <c r="F1625" s="198"/>
      <c r="G1625" s="201"/>
      <c r="I1625" s="201"/>
      <c r="J1625" s="149"/>
      <c r="K1625" s="198"/>
      <c r="L1625" s="201"/>
      <c r="M1625" s="201"/>
      <c r="N1625" s="201"/>
      <c r="O1625" s="201"/>
      <c r="P1625" s="201"/>
      <c r="Q1625" s="201"/>
      <c r="R1625" s="201"/>
      <c r="S1625" s="201"/>
      <c r="T1625" s="201"/>
      <c r="U1625" s="201"/>
      <c r="V1625" s="201"/>
      <c r="W1625" s="201"/>
      <c r="X1625" s="201"/>
      <c r="Y1625" s="201"/>
      <c r="Z1625" s="201"/>
      <c r="AA1625" s="201"/>
    </row>
    <row r="1626" spans="1:27" ht="17.399999999999999">
      <c r="A1626" s="222"/>
      <c r="B1626" s="222"/>
      <c r="C1626" s="201"/>
      <c r="D1626" s="163"/>
      <c r="E1626" s="201"/>
      <c r="F1626" s="198"/>
      <c r="G1626" s="201"/>
      <c r="I1626" s="201"/>
      <c r="J1626" s="149"/>
      <c r="K1626" s="198"/>
      <c r="L1626" s="201"/>
      <c r="M1626" s="201"/>
      <c r="N1626" s="201"/>
      <c r="O1626" s="201"/>
      <c r="P1626" s="201"/>
      <c r="Q1626" s="201"/>
      <c r="R1626" s="201"/>
      <c r="S1626" s="201"/>
      <c r="T1626" s="201"/>
      <c r="U1626" s="201"/>
      <c r="V1626" s="201"/>
      <c r="W1626" s="201"/>
      <c r="X1626" s="201"/>
      <c r="Y1626" s="201"/>
      <c r="Z1626" s="201"/>
      <c r="AA1626" s="201"/>
    </row>
    <row r="1627" spans="1:27" ht="17.399999999999999">
      <c r="A1627" s="222"/>
      <c r="B1627" s="222"/>
      <c r="C1627" s="201"/>
      <c r="D1627" s="163"/>
      <c r="E1627" s="201"/>
      <c r="F1627" s="198"/>
      <c r="G1627" s="201"/>
      <c r="I1627" s="201"/>
      <c r="J1627" s="149"/>
      <c r="K1627" s="198"/>
      <c r="L1627" s="201"/>
      <c r="M1627" s="201"/>
      <c r="N1627" s="201"/>
      <c r="O1627" s="201"/>
      <c r="P1627" s="201"/>
      <c r="Q1627" s="201"/>
      <c r="R1627" s="201"/>
      <c r="S1627" s="201"/>
      <c r="T1627" s="201"/>
      <c r="U1627" s="201"/>
      <c r="V1627" s="201"/>
      <c r="W1627" s="201"/>
      <c r="X1627" s="201"/>
      <c r="Y1627" s="201"/>
      <c r="Z1627" s="201"/>
      <c r="AA1627" s="201"/>
    </row>
    <row r="1628" spans="1:27" ht="17.399999999999999">
      <c r="A1628" s="222"/>
      <c r="B1628" s="222"/>
      <c r="C1628" s="201"/>
      <c r="D1628" s="163"/>
      <c r="E1628" s="201"/>
      <c r="F1628" s="198"/>
      <c r="G1628" s="201"/>
      <c r="I1628" s="201"/>
      <c r="J1628" s="149"/>
      <c r="K1628" s="198"/>
      <c r="L1628" s="201"/>
      <c r="M1628" s="201"/>
      <c r="N1628" s="201"/>
      <c r="O1628" s="201"/>
      <c r="P1628" s="201"/>
      <c r="Q1628" s="201"/>
      <c r="R1628" s="201"/>
      <c r="S1628" s="201"/>
      <c r="T1628" s="201"/>
      <c r="U1628" s="201"/>
      <c r="V1628" s="201"/>
      <c r="W1628" s="201"/>
      <c r="X1628" s="201"/>
      <c r="Y1628" s="201"/>
      <c r="Z1628" s="201"/>
      <c r="AA1628" s="201"/>
    </row>
    <row r="1629" spans="1:27" ht="17.399999999999999">
      <c r="A1629" s="222"/>
      <c r="B1629" s="222"/>
      <c r="C1629" s="201"/>
      <c r="D1629" s="163"/>
      <c r="E1629" s="201"/>
      <c r="F1629" s="198"/>
      <c r="G1629" s="201"/>
      <c r="I1629" s="201"/>
      <c r="J1629" s="149"/>
      <c r="K1629" s="198"/>
      <c r="L1629" s="201"/>
      <c r="M1629" s="201"/>
      <c r="N1629" s="201"/>
      <c r="O1629" s="201"/>
      <c r="P1629" s="201"/>
      <c r="Q1629" s="201"/>
      <c r="R1629" s="201"/>
      <c r="S1629" s="201"/>
      <c r="T1629" s="201"/>
      <c r="U1629" s="201"/>
      <c r="V1629" s="201"/>
      <c r="W1629" s="201"/>
      <c r="X1629" s="201"/>
      <c r="Y1629" s="201"/>
      <c r="Z1629" s="201"/>
      <c r="AA1629" s="201"/>
    </row>
    <row r="1630" spans="1:27" ht="17.399999999999999">
      <c r="A1630" s="222"/>
      <c r="B1630" s="222"/>
      <c r="C1630" s="201"/>
      <c r="D1630" s="163"/>
      <c r="E1630" s="201"/>
      <c r="F1630" s="198"/>
      <c r="G1630" s="201"/>
      <c r="I1630" s="201"/>
      <c r="J1630" s="149"/>
      <c r="K1630" s="198"/>
      <c r="L1630" s="201"/>
      <c r="M1630" s="201"/>
      <c r="N1630" s="201"/>
      <c r="O1630" s="201"/>
      <c r="P1630" s="201"/>
      <c r="Q1630" s="201"/>
      <c r="R1630" s="201"/>
      <c r="S1630" s="201"/>
      <c r="T1630" s="201"/>
      <c r="U1630" s="201"/>
      <c r="V1630" s="201"/>
      <c r="W1630" s="201"/>
      <c r="X1630" s="201"/>
      <c r="Y1630" s="201"/>
      <c r="Z1630" s="201"/>
      <c r="AA1630" s="201"/>
    </row>
    <row r="1631" spans="1:27" ht="17.399999999999999">
      <c r="A1631" s="222"/>
      <c r="B1631" s="222"/>
      <c r="C1631" s="201"/>
      <c r="D1631" s="163"/>
      <c r="E1631" s="201"/>
      <c r="F1631" s="198"/>
      <c r="G1631" s="201"/>
      <c r="I1631" s="201"/>
      <c r="J1631" s="149"/>
      <c r="K1631" s="198"/>
      <c r="L1631" s="201"/>
      <c r="M1631" s="201"/>
      <c r="N1631" s="201"/>
      <c r="O1631" s="201"/>
      <c r="P1631" s="201"/>
      <c r="Q1631" s="201"/>
      <c r="R1631" s="201"/>
      <c r="S1631" s="201"/>
      <c r="T1631" s="201"/>
      <c r="U1631" s="201"/>
      <c r="V1631" s="201"/>
      <c r="W1631" s="201"/>
      <c r="X1631" s="201"/>
      <c r="Y1631" s="201"/>
      <c r="Z1631" s="201"/>
      <c r="AA1631" s="201"/>
    </row>
    <row r="1632" spans="1:27" ht="17.399999999999999">
      <c r="A1632" s="222"/>
      <c r="B1632" s="222"/>
      <c r="C1632" s="201"/>
      <c r="D1632" s="163"/>
      <c r="E1632" s="201"/>
      <c r="F1632" s="198"/>
      <c r="G1632" s="201"/>
      <c r="I1632" s="201"/>
      <c r="J1632" s="149"/>
      <c r="K1632" s="198"/>
      <c r="L1632" s="201"/>
      <c r="M1632" s="201"/>
      <c r="N1632" s="201"/>
      <c r="O1632" s="201"/>
      <c r="P1632" s="201"/>
      <c r="Q1632" s="201"/>
      <c r="R1632" s="201"/>
      <c r="S1632" s="201"/>
      <c r="T1632" s="201"/>
      <c r="U1632" s="201"/>
      <c r="V1632" s="201"/>
      <c r="W1632" s="201"/>
      <c r="X1632" s="201"/>
      <c r="Y1632" s="201"/>
      <c r="Z1632" s="201"/>
      <c r="AA1632" s="201"/>
    </row>
    <row r="1633" spans="1:27" ht="17.399999999999999">
      <c r="A1633" s="222"/>
      <c r="B1633" s="222"/>
      <c r="C1633" s="201"/>
      <c r="D1633" s="163"/>
      <c r="E1633" s="201"/>
      <c r="F1633" s="198"/>
      <c r="G1633" s="201"/>
      <c r="I1633" s="201"/>
      <c r="J1633" s="149"/>
      <c r="K1633" s="198"/>
      <c r="L1633" s="201"/>
      <c r="M1633" s="201"/>
      <c r="N1633" s="201"/>
      <c r="O1633" s="201"/>
      <c r="P1633" s="201"/>
      <c r="Q1633" s="201"/>
      <c r="R1633" s="201"/>
      <c r="S1633" s="201"/>
      <c r="T1633" s="201"/>
      <c r="U1633" s="201"/>
      <c r="V1633" s="201"/>
      <c r="W1633" s="201"/>
      <c r="X1633" s="201"/>
      <c r="Y1633" s="201"/>
      <c r="Z1633" s="201"/>
      <c r="AA1633" s="201"/>
    </row>
    <row r="1634" spans="1:27" ht="17.399999999999999">
      <c r="A1634" s="222"/>
      <c r="B1634" s="222"/>
      <c r="C1634" s="201"/>
      <c r="D1634" s="163"/>
      <c r="E1634" s="201"/>
      <c r="F1634" s="198"/>
      <c r="G1634" s="201"/>
      <c r="I1634" s="201"/>
      <c r="J1634" s="149"/>
      <c r="K1634" s="198"/>
      <c r="L1634" s="201"/>
      <c r="M1634" s="201"/>
      <c r="N1634" s="201"/>
      <c r="O1634" s="201"/>
      <c r="P1634" s="201"/>
      <c r="Q1634" s="201"/>
      <c r="R1634" s="201"/>
      <c r="S1634" s="201"/>
      <c r="T1634" s="201"/>
      <c r="U1634" s="201"/>
      <c r="V1634" s="201"/>
      <c r="W1634" s="201"/>
      <c r="X1634" s="201"/>
      <c r="Y1634" s="201"/>
      <c r="Z1634" s="201"/>
      <c r="AA1634" s="201"/>
    </row>
    <row r="1635" spans="1:27" ht="17.399999999999999">
      <c r="A1635" s="222"/>
      <c r="B1635" s="222"/>
      <c r="C1635" s="201"/>
      <c r="D1635" s="163"/>
      <c r="E1635" s="201"/>
      <c r="F1635" s="198"/>
      <c r="G1635" s="201"/>
      <c r="I1635" s="201"/>
      <c r="J1635" s="149"/>
      <c r="K1635" s="198"/>
      <c r="L1635" s="201"/>
      <c r="M1635" s="201"/>
      <c r="N1635" s="201"/>
      <c r="O1635" s="201"/>
      <c r="P1635" s="201"/>
      <c r="Q1635" s="201"/>
      <c r="R1635" s="201"/>
      <c r="S1635" s="201"/>
      <c r="T1635" s="201"/>
      <c r="U1635" s="201"/>
      <c r="V1635" s="201"/>
      <c r="W1635" s="201"/>
      <c r="X1635" s="201"/>
      <c r="Y1635" s="201"/>
      <c r="Z1635" s="201"/>
      <c r="AA1635" s="201"/>
    </row>
    <row r="1636" spans="1:27" ht="17.399999999999999">
      <c r="A1636" s="222"/>
      <c r="B1636" s="222"/>
      <c r="C1636" s="201"/>
      <c r="D1636" s="163"/>
      <c r="E1636" s="201"/>
      <c r="F1636" s="198"/>
      <c r="G1636" s="201"/>
      <c r="I1636" s="201"/>
      <c r="J1636" s="149"/>
      <c r="K1636" s="198"/>
      <c r="L1636" s="201"/>
      <c r="M1636" s="201"/>
      <c r="N1636" s="201"/>
      <c r="O1636" s="201"/>
      <c r="P1636" s="201"/>
      <c r="Q1636" s="201"/>
      <c r="R1636" s="201"/>
      <c r="S1636" s="201"/>
      <c r="T1636" s="201"/>
      <c r="U1636" s="201"/>
      <c r="V1636" s="201"/>
      <c r="W1636" s="201"/>
      <c r="X1636" s="201"/>
      <c r="Y1636" s="201"/>
      <c r="Z1636" s="201"/>
      <c r="AA1636" s="201"/>
    </row>
    <row r="1637" spans="1:27" ht="17.399999999999999">
      <c r="A1637" s="222"/>
      <c r="B1637" s="222"/>
      <c r="C1637" s="201"/>
      <c r="D1637" s="163"/>
      <c r="E1637" s="201"/>
      <c r="F1637" s="198"/>
      <c r="G1637" s="201"/>
      <c r="I1637" s="201"/>
      <c r="J1637" s="149"/>
      <c r="K1637" s="198"/>
      <c r="L1637" s="201"/>
      <c r="M1637" s="201"/>
      <c r="N1637" s="201"/>
      <c r="O1637" s="201"/>
      <c r="P1637" s="201"/>
      <c r="Q1637" s="201"/>
      <c r="R1637" s="201"/>
      <c r="S1637" s="201"/>
      <c r="T1637" s="201"/>
      <c r="U1637" s="201"/>
      <c r="V1637" s="201"/>
      <c r="W1637" s="201"/>
      <c r="X1637" s="201"/>
      <c r="Y1637" s="201"/>
      <c r="Z1637" s="201"/>
      <c r="AA1637" s="201"/>
    </row>
    <row r="1638" spans="1:27" ht="17.399999999999999">
      <c r="A1638" s="222"/>
      <c r="B1638" s="222"/>
      <c r="C1638" s="201"/>
      <c r="D1638" s="163"/>
      <c r="E1638" s="201"/>
      <c r="F1638" s="198"/>
      <c r="G1638" s="201"/>
      <c r="I1638" s="201"/>
      <c r="J1638" s="149"/>
      <c r="K1638" s="198"/>
      <c r="L1638" s="201"/>
      <c r="M1638" s="201"/>
      <c r="N1638" s="201"/>
      <c r="O1638" s="201"/>
      <c r="P1638" s="201"/>
      <c r="Q1638" s="201"/>
      <c r="R1638" s="201"/>
      <c r="S1638" s="201"/>
      <c r="T1638" s="201"/>
      <c r="U1638" s="201"/>
      <c r="V1638" s="201"/>
      <c r="W1638" s="201"/>
      <c r="X1638" s="201"/>
      <c r="Y1638" s="201"/>
      <c r="Z1638" s="201"/>
      <c r="AA1638" s="201"/>
    </row>
    <row r="1639" spans="1:27" ht="17.399999999999999">
      <c r="A1639" s="222"/>
      <c r="B1639" s="222"/>
      <c r="C1639" s="201"/>
      <c r="D1639" s="163"/>
      <c r="E1639" s="201"/>
      <c r="F1639" s="198"/>
      <c r="G1639" s="201"/>
      <c r="I1639" s="201"/>
      <c r="J1639" s="149"/>
      <c r="K1639" s="198"/>
      <c r="L1639" s="201"/>
      <c r="M1639" s="201"/>
      <c r="N1639" s="201"/>
      <c r="O1639" s="201"/>
      <c r="P1639" s="201"/>
      <c r="Q1639" s="201"/>
      <c r="R1639" s="201"/>
      <c r="S1639" s="201"/>
      <c r="T1639" s="201"/>
      <c r="U1639" s="201"/>
      <c r="V1639" s="201"/>
      <c r="W1639" s="201"/>
      <c r="X1639" s="201"/>
      <c r="Y1639" s="201"/>
      <c r="Z1639" s="201"/>
      <c r="AA1639" s="201"/>
    </row>
    <row r="1640" spans="1:27" ht="17.399999999999999">
      <c r="A1640" s="222"/>
      <c r="B1640" s="222"/>
      <c r="C1640" s="201"/>
      <c r="D1640" s="163"/>
      <c r="E1640" s="201"/>
      <c r="F1640" s="198"/>
      <c r="G1640" s="201"/>
      <c r="I1640" s="201"/>
      <c r="J1640" s="149"/>
      <c r="K1640" s="198"/>
      <c r="L1640" s="201"/>
      <c r="M1640" s="201"/>
      <c r="N1640" s="201"/>
      <c r="O1640" s="201"/>
      <c r="P1640" s="201"/>
      <c r="Q1640" s="201"/>
      <c r="R1640" s="201"/>
      <c r="S1640" s="201"/>
      <c r="T1640" s="201"/>
      <c r="U1640" s="201"/>
      <c r="V1640" s="201"/>
      <c r="W1640" s="201"/>
      <c r="X1640" s="201"/>
      <c r="Y1640" s="201"/>
      <c r="Z1640" s="201"/>
      <c r="AA1640" s="201"/>
    </row>
    <row r="1641" spans="1:27" ht="17.399999999999999">
      <c r="A1641" s="222"/>
      <c r="B1641" s="222"/>
      <c r="C1641" s="201"/>
      <c r="D1641" s="163"/>
      <c r="E1641" s="201"/>
      <c r="F1641" s="198"/>
      <c r="G1641" s="201"/>
      <c r="I1641" s="201"/>
      <c r="J1641" s="149"/>
      <c r="K1641" s="198"/>
      <c r="L1641" s="201"/>
      <c r="M1641" s="201"/>
      <c r="N1641" s="201"/>
      <c r="O1641" s="201"/>
      <c r="P1641" s="201"/>
      <c r="Q1641" s="201"/>
      <c r="R1641" s="201"/>
      <c r="S1641" s="201"/>
      <c r="T1641" s="201"/>
      <c r="U1641" s="201"/>
      <c r="V1641" s="201"/>
      <c r="W1641" s="201"/>
      <c r="X1641" s="201"/>
      <c r="Y1641" s="201"/>
      <c r="Z1641" s="201"/>
      <c r="AA1641" s="201"/>
    </row>
    <row r="1642" spans="1:27" ht="17.399999999999999">
      <c r="A1642" s="222"/>
      <c r="B1642" s="222"/>
      <c r="C1642" s="201"/>
      <c r="D1642" s="163"/>
      <c r="E1642" s="201"/>
      <c r="F1642" s="198"/>
      <c r="G1642" s="201"/>
      <c r="I1642" s="201"/>
      <c r="J1642" s="149"/>
      <c r="K1642" s="198"/>
      <c r="L1642" s="201"/>
      <c r="M1642" s="201"/>
      <c r="N1642" s="201"/>
      <c r="O1642" s="201"/>
      <c r="P1642" s="201"/>
      <c r="Q1642" s="201"/>
      <c r="R1642" s="201"/>
      <c r="S1642" s="201"/>
      <c r="T1642" s="201"/>
      <c r="U1642" s="201"/>
      <c r="V1642" s="201"/>
      <c r="W1642" s="201"/>
      <c r="X1642" s="201"/>
      <c r="Y1642" s="201"/>
      <c r="Z1642" s="201"/>
      <c r="AA1642" s="201"/>
    </row>
    <row r="1643" spans="1:27" ht="17.399999999999999">
      <c r="A1643" s="222"/>
      <c r="B1643" s="222"/>
      <c r="C1643" s="201"/>
      <c r="D1643" s="163"/>
      <c r="E1643" s="201"/>
      <c r="F1643" s="198"/>
      <c r="G1643" s="201"/>
      <c r="I1643" s="201"/>
      <c r="J1643" s="149"/>
      <c r="K1643" s="198"/>
      <c r="L1643" s="201"/>
      <c r="M1643" s="201"/>
      <c r="N1643" s="201"/>
      <c r="O1643" s="201"/>
      <c r="P1643" s="201"/>
      <c r="Q1643" s="201"/>
      <c r="R1643" s="201"/>
      <c r="S1643" s="201"/>
      <c r="T1643" s="201"/>
      <c r="U1643" s="201"/>
      <c r="V1643" s="201"/>
      <c r="W1643" s="201"/>
      <c r="X1643" s="201"/>
      <c r="Y1643" s="201"/>
      <c r="Z1643" s="201"/>
      <c r="AA1643" s="201"/>
    </row>
    <row r="1644" spans="1:27" ht="17.399999999999999">
      <c r="A1644" s="222"/>
      <c r="B1644" s="222"/>
      <c r="C1644" s="201"/>
      <c r="D1644" s="163"/>
      <c r="E1644" s="201"/>
      <c r="F1644" s="198"/>
      <c r="G1644" s="201"/>
      <c r="I1644" s="201"/>
      <c r="J1644" s="149"/>
      <c r="K1644" s="198"/>
      <c r="L1644" s="201"/>
      <c r="M1644" s="201"/>
      <c r="N1644" s="201"/>
      <c r="O1644" s="201"/>
      <c r="P1644" s="201"/>
      <c r="Q1644" s="201"/>
      <c r="R1644" s="201"/>
      <c r="S1644" s="201"/>
      <c r="T1644" s="201"/>
      <c r="U1644" s="201"/>
      <c r="V1644" s="201"/>
      <c r="W1644" s="201"/>
      <c r="X1644" s="201"/>
      <c r="Y1644" s="201"/>
      <c r="Z1644" s="201"/>
      <c r="AA1644" s="201"/>
    </row>
    <row r="1645" spans="1:27" ht="17.399999999999999">
      <c r="A1645" s="222"/>
      <c r="B1645" s="222"/>
      <c r="C1645" s="201"/>
      <c r="D1645" s="163"/>
      <c r="E1645" s="201"/>
      <c r="F1645" s="198"/>
      <c r="G1645" s="201"/>
      <c r="I1645" s="201"/>
      <c r="J1645" s="149"/>
      <c r="K1645" s="198"/>
      <c r="L1645" s="201"/>
      <c r="M1645" s="201"/>
      <c r="N1645" s="201"/>
      <c r="O1645" s="201"/>
      <c r="P1645" s="201"/>
      <c r="Q1645" s="201"/>
      <c r="R1645" s="201"/>
      <c r="S1645" s="201"/>
      <c r="T1645" s="201"/>
      <c r="U1645" s="201"/>
      <c r="V1645" s="201"/>
      <c r="W1645" s="201"/>
      <c r="X1645" s="201"/>
      <c r="Y1645" s="201"/>
      <c r="Z1645" s="201"/>
      <c r="AA1645" s="201"/>
    </row>
    <row r="1646" spans="1:27" ht="17.399999999999999">
      <c r="A1646" s="222"/>
      <c r="B1646" s="222"/>
      <c r="C1646" s="201"/>
      <c r="D1646" s="163"/>
      <c r="E1646" s="201"/>
      <c r="F1646" s="198"/>
      <c r="G1646" s="201"/>
      <c r="I1646" s="201"/>
      <c r="J1646" s="149"/>
      <c r="K1646" s="198"/>
      <c r="L1646" s="201"/>
      <c r="M1646" s="201"/>
      <c r="N1646" s="201"/>
      <c r="O1646" s="201"/>
      <c r="P1646" s="201"/>
      <c r="Q1646" s="201"/>
      <c r="R1646" s="201"/>
      <c r="S1646" s="201"/>
      <c r="T1646" s="201"/>
      <c r="U1646" s="201"/>
      <c r="V1646" s="201"/>
      <c r="W1646" s="201"/>
      <c r="X1646" s="201"/>
      <c r="Y1646" s="201"/>
      <c r="Z1646" s="201"/>
      <c r="AA1646" s="201"/>
    </row>
    <row r="1647" spans="1:27" ht="17.399999999999999">
      <c r="A1647" s="222"/>
      <c r="B1647" s="222"/>
      <c r="C1647" s="201"/>
      <c r="D1647" s="163"/>
      <c r="E1647" s="201"/>
      <c r="F1647" s="198"/>
      <c r="G1647" s="201"/>
      <c r="I1647" s="201"/>
      <c r="J1647" s="149"/>
      <c r="K1647" s="198"/>
      <c r="L1647" s="201"/>
      <c r="M1647" s="201"/>
      <c r="N1647" s="201"/>
      <c r="O1647" s="201"/>
      <c r="P1647" s="201"/>
      <c r="Q1647" s="201"/>
      <c r="R1647" s="201"/>
      <c r="S1647" s="201"/>
      <c r="T1647" s="201"/>
      <c r="U1647" s="201"/>
      <c r="V1647" s="201"/>
      <c r="W1647" s="201"/>
      <c r="X1647" s="201"/>
      <c r="Y1647" s="201"/>
      <c r="Z1647" s="201"/>
      <c r="AA1647" s="201"/>
    </row>
    <row r="1648" spans="1:27" ht="17.399999999999999">
      <c r="A1648" s="222"/>
      <c r="B1648" s="222"/>
      <c r="C1648" s="201"/>
      <c r="D1648" s="163"/>
      <c r="E1648" s="201"/>
      <c r="F1648" s="198"/>
      <c r="G1648" s="201"/>
      <c r="I1648" s="201"/>
      <c r="J1648" s="149"/>
      <c r="K1648" s="198"/>
      <c r="L1648" s="201"/>
      <c r="M1648" s="201"/>
      <c r="N1648" s="201"/>
      <c r="O1648" s="201"/>
      <c r="P1648" s="201"/>
      <c r="Q1648" s="201"/>
      <c r="R1648" s="201"/>
      <c r="S1648" s="201"/>
      <c r="T1648" s="201"/>
      <c r="U1648" s="201"/>
      <c r="V1648" s="201"/>
      <c r="W1648" s="201"/>
      <c r="X1648" s="201"/>
      <c r="Y1648" s="201"/>
      <c r="Z1648" s="201"/>
      <c r="AA1648" s="201"/>
    </row>
    <row r="1649" spans="1:27" ht="17.399999999999999">
      <c r="A1649" s="222"/>
      <c r="B1649" s="222"/>
      <c r="C1649" s="201"/>
      <c r="D1649" s="163"/>
      <c r="E1649" s="201"/>
      <c r="F1649" s="198"/>
      <c r="G1649" s="201"/>
      <c r="I1649" s="201"/>
      <c r="J1649" s="149"/>
      <c r="K1649" s="198"/>
      <c r="L1649" s="201"/>
      <c r="M1649" s="201"/>
      <c r="N1649" s="201"/>
      <c r="O1649" s="201"/>
      <c r="P1649" s="201"/>
      <c r="Q1649" s="201"/>
      <c r="R1649" s="201"/>
      <c r="S1649" s="201"/>
      <c r="T1649" s="201"/>
      <c r="U1649" s="201"/>
      <c r="V1649" s="201"/>
      <c r="W1649" s="201"/>
      <c r="X1649" s="201"/>
      <c r="Y1649" s="201"/>
      <c r="Z1649" s="201"/>
      <c r="AA1649" s="201"/>
    </row>
    <row r="1650" spans="1:27" ht="17.399999999999999">
      <c r="A1650" s="222"/>
      <c r="B1650" s="222"/>
      <c r="C1650" s="201"/>
      <c r="D1650" s="163"/>
      <c r="E1650" s="201"/>
      <c r="F1650" s="198"/>
      <c r="G1650" s="201"/>
      <c r="I1650" s="201"/>
      <c r="J1650" s="149"/>
      <c r="K1650" s="198"/>
      <c r="L1650" s="201"/>
      <c r="M1650" s="201"/>
      <c r="N1650" s="201"/>
      <c r="O1650" s="201"/>
      <c r="P1650" s="201"/>
      <c r="Q1650" s="201"/>
      <c r="R1650" s="201"/>
      <c r="S1650" s="201"/>
      <c r="T1650" s="201"/>
      <c r="U1650" s="201"/>
      <c r="V1650" s="201"/>
      <c r="W1650" s="201"/>
      <c r="X1650" s="201"/>
      <c r="Y1650" s="201"/>
      <c r="Z1650" s="201"/>
      <c r="AA1650" s="201"/>
    </row>
    <row r="1651" spans="1:27" ht="17.399999999999999">
      <c r="A1651" s="222"/>
      <c r="B1651" s="222"/>
      <c r="C1651" s="201"/>
      <c r="D1651" s="163"/>
      <c r="E1651" s="201"/>
      <c r="F1651" s="198"/>
      <c r="G1651" s="201"/>
      <c r="I1651" s="201"/>
      <c r="J1651" s="149"/>
      <c r="K1651" s="198"/>
      <c r="L1651" s="201"/>
      <c r="M1651" s="201"/>
      <c r="N1651" s="201"/>
      <c r="O1651" s="201"/>
      <c r="P1651" s="201"/>
      <c r="Q1651" s="201"/>
      <c r="R1651" s="201"/>
      <c r="S1651" s="201"/>
      <c r="T1651" s="201"/>
      <c r="U1651" s="201"/>
      <c r="V1651" s="201"/>
      <c r="W1651" s="201"/>
      <c r="X1651" s="201"/>
      <c r="Y1651" s="201"/>
      <c r="Z1651" s="201"/>
      <c r="AA1651" s="201"/>
    </row>
    <row r="1652" spans="1:27" ht="17.399999999999999">
      <c r="A1652" s="222"/>
      <c r="B1652" s="222"/>
      <c r="C1652" s="201"/>
      <c r="D1652" s="163"/>
      <c r="E1652" s="201"/>
      <c r="F1652" s="198"/>
      <c r="G1652" s="201"/>
      <c r="I1652" s="201"/>
      <c r="J1652" s="149"/>
      <c r="K1652" s="198"/>
      <c r="L1652" s="201"/>
      <c r="M1652" s="201"/>
      <c r="N1652" s="201"/>
      <c r="O1652" s="201"/>
      <c r="P1652" s="201"/>
      <c r="Q1652" s="201"/>
      <c r="R1652" s="201"/>
      <c r="S1652" s="201"/>
      <c r="T1652" s="201"/>
      <c r="U1652" s="201"/>
      <c r="V1652" s="201"/>
      <c r="W1652" s="201"/>
      <c r="X1652" s="201"/>
      <c r="Y1652" s="201"/>
      <c r="Z1652" s="201"/>
      <c r="AA1652" s="201"/>
    </row>
    <row r="1653" spans="1:27" ht="17.399999999999999">
      <c r="A1653" s="222"/>
      <c r="B1653" s="222"/>
      <c r="C1653" s="201"/>
      <c r="D1653" s="163"/>
      <c r="E1653" s="201"/>
      <c r="F1653" s="198"/>
      <c r="G1653" s="201"/>
      <c r="I1653" s="201"/>
      <c r="J1653" s="149"/>
      <c r="K1653" s="198"/>
      <c r="L1653" s="201"/>
      <c r="M1653" s="201"/>
      <c r="N1653" s="201"/>
      <c r="O1653" s="201"/>
      <c r="P1653" s="201"/>
      <c r="Q1653" s="201"/>
      <c r="R1653" s="201"/>
      <c r="S1653" s="201"/>
      <c r="T1653" s="201"/>
      <c r="U1653" s="201"/>
      <c r="V1653" s="201"/>
      <c r="W1653" s="201"/>
      <c r="X1653" s="201"/>
      <c r="Y1653" s="201"/>
      <c r="Z1653" s="201"/>
      <c r="AA1653" s="201"/>
    </row>
    <row r="1654" spans="1:27" ht="17.399999999999999">
      <c r="A1654" s="222"/>
      <c r="B1654" s="222"/>
      <c r="C1654" s="201"/>
      <c r="D1654" s="163"/>
      <c r="E1654" s="201"/>
      <c r="F1654" s="198"/>
      <c r="G1654" s="201"/>
      <c r="I1654" s="201"/>
      <c r="J1654" s="149"/>
      <c r="K1654" s="198"/>
      <c r="L1654" s="201"/>
      <c r="M1654" s="201"/>
      <c r="N1654" s="201"/>
      <c r="O1654" s="201"/>
      <c r="P1654" s="201"/>
      <c r="Q1654" s="201"/>
      <c r="R1654" s="201"/>
      <c r="S1654" s="201"/>
      <c r="T1654" s="201"/>
      <c r="U1654" s="201"/>
      <c r="V1654" s="201"/>
      <c r="W1654" s="201"/>
      <c r="X1654" s="201"/>
      <c r="Y1654" s="201"/>
      <c r="Z1654" s="201"/>
      <c r="AA1654" s="201"/>
    </row>
    <row r="1655" spans="1:27" ht="17.399999999999999">
      <c r="A1655" s="222"/>
      <c r="B1655" s="222"/>
      <c r="C1655" s="201"/>
      <c r="D1655" s="163"/>
      <c r="E1655" s="201"/>
      <c r="F1655" s="198"/>
      <c r="G1655" s="201"/>
      <c r="I1655" s="201"/>
      <c r="J1655" s="149"/>
      <c r="K1655" s="198"/>
      <c r="L1655" s="201"/>
      <c r="M1655" s="201"/>
      <c r="N1655" s="201"/>
      <c r="O1655" s="201"/>
      <c r="P1655" s="201"/>
      <c r="Q1655" s="201"/>
      <c r="R1655" s="201"/>
      <c r="S1655" s="201"/>
      <c r="T1655" s="201"/>
      <c r="U1655" s="201"/>
      <c r="V1655" s="201"/>
      <c r="W1655" s="201"/>
      <c r="X1655" s="201"/>
      <c r="Y1655" s="201"/>
      <c r="Z1655" s="201"/>
      <c r="AA1655" s="201"/>
    </row>
    <row r="1656" spans="1:27" ht="17.399999999999999">
      <c r="A1656" s="222"/>
      <c r="B1656" s="222"/>
      <c r="C1656" s="201"/>
      <c r="D1656" s="163"/>
      <c r="E1656" s="201"/>
      <c r="F1656" s="198"/>
      <c r="G1656" s="201"/>
      <c r="I1656" s="201"/>
      <c r="J1656" s="149"/>
      <c r="K1656" s="198"/>
      <c r="L1656" s="201"/>
      <c r="M1656" s="201"/>
      <c r="N1656" s="201"/>
      <c r="O1656" s="201"/>
      <c r="P1656" s="201"/>
      <c r="Q1656" s="201"/>
      <c r="R1656" s="201"/>
      <c r="S1656" s="201"/>
      <c r="T1656" s="201"/>
      <c r="U1656" s="201"/>
      <c r="V1656" s="201"/>
      <c r="W1656" s="201"/>
      <c r="X1656" s="201"/>
      <c r="Y1656" s="201"/>
      <c r="Z1656" s="201"/>
      <c r="AA1656" s="201"/>
    </row>
    <row r="1657" spans="1:27" ht="17.399999999999999">
      <c r="A1657" s="222"/>
      <c r="B1657" s="222"/>
      <c r="C1657" s="201"/>
      <c r="D1657" s="163"/>
      <c r="E1657" s="201"/>
      <c r="F1657" s="198"/>
      <c r="G1657" s="201"/>
      <c r="I1657" s="201"/>
      <c r="J1657" s="149"/>
      <c r="K1657" s="198"/>
      <c r="L1657" s="201"/>
      <c r="M1657" s="201"/>
      <c r="N1657" s="201"/>
      <c r="O1657" s="201"/>
      <c r="P1657" s="201"/>
      <c r="Q1657" s="201"/>
      <c r="R1657" s="201"/>
      <c r="S1657" s="201"/>
      <c r="T1657" s="201"/>
      <c r="U1657" s="201"/>
      <c r="V1657" s="201"/>
      <c r="W1657" s="201"/>
      <c r="X1657" s="201"/>
      <c r="Y1657" s="201"/>
      <c r="Z1657" s="201"/>
      <c r="AA1657" s="201"/>
    </row>
    <row r="1658" spans="1:27" ht="17.399999999999999">
      <c r="A1658" s="222"/>
      <c r="B1658" s="222"/>
      <c r="C1658" s="201"/>
      <c r="D1658" s="163"/>
      <c r="E1658" s="201"/>
      <c r="F1658" s="198"/>
      <c r="G1658" s="201"/>
      <c r="I1658" s="201"/>
      <c r="J1658" s="149"/>
      <c r="K1658" s="198"/>
      <c r="L1658" s="201"/>
      <c r="M1658" s="201"/>
      <c r="N1658" s="201"/>
      <c r="O1658" s="201"/>
      <c r="P1658" s="201"/>
      <c r="Q1658" s="201"/>
      <c r="R1658" s="201"/>
      <c r="S1658" s="201"/>
      <c r="T1658" s="201"/>
      <c r="U1658" s="201"/>
      <c r="V1658" s="201"/>
      <c r="W1658" s="201"/>
      <c r="X1658" s="201"/>
      <c r="Y1658" s="201"/>
      <c r="Z1658" s="201"/>
      <c r="AA1658" s="201"/>
    </row>
    <row r="1659" spans="1:27" ht="17.399999999999999">
      <c r="A1659" s="222"/>
      <c r="B1659" s="222"/>
      <c r="C1659" s="201"/>
      <c r="D1659" s="163"/>
      <c r="E1659" s="201"/>
      <c r="F1659" s="198"/>
      <c r="G1659" s="201"/>
      <c r="I1659" s="201"/>
      <c r="J1659" s="149"/>
      <c r="K1659" s="198"/>
      <c r="L1659" s="201"/>
      <c r="M1659" s="201"/>
      <c r="N1659" s="201"/>
      <c r="O1659" s="201"/>
      <c r="P1659" s="201"/>
      <c r="Q1659" s="201"/>
      <c r="R1659" s="201"/>
      <c r="S1659" s="201"/>
      <c r="T1659" s="201"/>
      <c r="U1659" s="201"/>
      <c r="V1659" s="201"/>
      <c r="W1659" s="201"/>
      <c r="X1659" s="201"/>
      <c r="Y1659" s="201"/>
      <c r="Z1659" s="201"/>
      <c r="AA1659" s="201"/>
    </row>
    <row r="1660" spans="1:27" ht="17.399999999999999">
      <c r="A1660" s="222"/>
      <c r="B1660" s="222"/>
      <c r="C1660" s="201"/>
      <c r="D1660" s="163"/>
      <c r="E1660" s="201"/>
      <c r="F1660" s="198"/>
      <c r="G1660" s="201"/>
      <c r="I1660" s="201"/>
      <c r="J1660" s="149"/>
      <c r="K1660" s="198"/>
      <c r="L1660" s="201"/>
      <c r="M1660" s="201"/>
      <c r="N1660" s="201"/>
      <c r="O1660" s="201"/>
      <c r="P1660" s="201"/>
      <c r="Q1660" s="201"/>
      <c r="R1660" s="201"/>
      <c r="S1660" s="201"/>
      <c r="T1660" s="201"/>
      <c r="U1660" s="201"/>
      <c r="V1660" s="201"/>
      <c r="W1660" s="201"/>
      <c r="X1660" s="201"/>
      <c r="Y1660" s="201"/>
      <c r="Z1660" s="201"/>
      <c r="AA1660" s="201"/>
    </row>
    <row r="1661" spans="1:27" ht="17.399999999999999">
      <c r="A1661" s="222"/>
      <c r="B1661" s="222"/>
      <c r="C1661" s="201"/>
      <c r="D1661" s="163"/>
      <c r="E1661" s="201"/>
      <c r="F1661" s="198"/>
      <c r="G1661" s="201"/>
      <c r="I1661" s="201"/>
      <c r="J1661" s="149"/>
      <c r="K1661" s="198"/>
      <c r="L1661" s="201"/>
      <c r="M1661" s="201"/>
      <c r="N1661" s="201"/>
      <c r="O1661" s="201"/>
      <c r="P1661" s="201"/>
      <c r="Q1661" s="201"/>
      <c r="R1661" s="201"/>
      <c r="S1661" s="201"/>
      <c r="T1661" s="201"/>
      <c r="U1661" s="201"/>
      <c r="V1661" s="201"/>
      <c r="W1661" s="201"/>
      <c r="X1661" s="201"/>
      <c r="Y1661" s="201"/>
      <c r="Z1661" s="201"/>
      <c r="AA1661" s="201"/>
    </row>
    <row r="1662" spans="1:27" ht="17.399999999999999">
      <c r="A1662" s="222"/>
      <c r="B1662" s="222"/>
      <c r="C1662" s="201"/>
      <c r="D1662" s="163"/>
      <c r="E1662" s="201"/>
      <c r="F1662" s="198"/>
      <c r="G1662" s="201"/>
      <c r="I1662" s="201"/>
      <c r="J1662" s="149"/>
      <c r="K1662" s="198"/>
      <c r="L1662" s="201"/>
      <c r="M1662" s="201"/>
      <c r="N1662" s="201"/>
      <c r="O1662" s="201"/>
      <c r="P1662" s="201"/>
      <c r="Q1662" s="201"/>
      <c r="R1662" s="201"/>
      <c r="S1662" s="201"/>
      <c r="T1662" s="201"/>
      <c r="U1662" s="201"/>
      <c r="V1662" s="201"/>
      <c r="W1662" s="201"/>
      <c r="X1662" s="201"/>
      <c r="Y1662" s="201"/>
      <c r="Z1662" s="201"/>
      <c r="AA1662" s="201"/>
    </row>
    <row r="1663" spans="1:27" ht="17.399999999999999">
      <c r="A1663" s="222"/>
      <c r="B1663" s="222"/>
      <c r="C1663" s="201"/>
      <c r="D1663" s="163"/>
      <c r="E1663" s="201"/>
      <c r="F1663" s="198"/>
      <c r="G1663" s="201"/>
      <c r="I1663" s="201"/>
      <c r="J1663" s="149"/>
      <c r="K1663" s="198"/>
      <c r="L1663" s="201"/>
      <c r="M1663" s="201"/>
      <c r="N1663" s="201"/>
      <c r="O1663" s="201"/>
      <c r="P1663" s="201"/>
      <c r="Q1663" s="201"/>
      <c r="R1663" s="201"/>
      <c r="S1663" s="201"/>
      <c r="T1663" s="201"/>
      <c r="U1663" s="201"/>
      <c r="V1663" s="201"/>
      <c r="W1663" s="201"/>
      <c r="X1663" s="201"/>
      <c r="Y1663" s="201"/>
      <c r="Z1663" s="201"/>
      <c r="AA1663" s="201"/>
    </row>
    <row r="1664" spans="1:27" ht="17.399999999999999">
      <c r="A1664" s="222"/>
      <c r="B1664" s="222"/>
      <c r="C1664" s="201"/>
      <c r="D1664" s="163"/>
      <c r="E1664" s="201"/>
      <c r="F1664" s="198"/>
      <c r="G1664" s="201"/>
      <c r="I1664" s="201"/>
      <c r="J1664" s="149"/>
      <c r="K1664" s="198"/>
      <c r="L1664" s="201"/>
      <c r="M1664" s="201"/>
      <c r="N1664" s="201"/>
      <c r="O1664" s="201"/>
      <c r="P1664" s="201"/>
      <c r="Q1664" s="201"/>
      <c r="R1664" s="201"/>
      <c r="S1664" s="201"/>
      <c r="T1664" s="201"/>
      <c r="U1664" s="201"/>
      <c r="V1664" s="201"/>
      <c r="W1664" s="201"/>
      <c r="X1664" s="201"/>
      <c r="Y1664" s="201"/>
      <c r="Z1664" s="201"/>
      <c r="AA1664" s="201"/>
    </row>
    <row r="1665" spans="1:27" ht="17.399999999999999">
      <c r="A1665" s="222"/>
      <c r="B1665" s="222"/>
      <c r="C1665" s="201"/>
      <c r="D1665" s="163"/>
      <c r="E1665" s="201"/>
      <c r="F1665" s="198"/>
      <c r="G1665" s="201"/>
      <c r="I1665" s="201"/>
      <c r="J1665" s="149"/>
      <c r="K1665" s="198"/>
      <c r="L1665" s="201"/>
      <c r="M1665" s="201"/>
      <c r="N1665" s="201"/>
      <c r="O1665" s="201"/>
      <c r="P1665" s="201"/>
      <c r="Q1665" s="201"/>
      <c r="R1665" s="201"/>
      <c r="S1665" s="201"/>
      <c r="T1665" s="201"/>
      <c r="U1665" s="201"/>
      <c r="V1665" s="201"/>
      <c r="W1665" s="201"/>
      <c r="X1665" s="201"/>
      <c r="Y1665" s="201"/>
      <c r="Z1665" s="201"/>
      <c r="AA1665" s="201"/>
    </row>
    <row r="1666" spans="1:27" ht="17.399999999999999">
      <c r="A1666" s="222"/>
      <c r="B1666" s="222"/>
      <c r="C1666" s="201"/>
      <c r="D1666" s="163"/>
      <c r="E1666" s="201"/>
      <c r="F1666" s="198"/>
      <c r="G1666" s="201"/>
      <c r="I1666" s="201"/>
      <c r="J1666" s="149"/>
      <c r="K1666" s="198"/>
      <c r="L1666" s="201"/>
      <c r="M1666" s="201"/>
      <c r="N1666" s="201"/>
      <c r="O1666" s="201"/>
      <c r="P1666" s="201"/>
      <c r="Q1666" s="201"/>
      <c r="R1666" s="201"/>
      <c r="S1666" s="201"/>
      <c r="T1666" s="201"/>
      <c r="U1666" s="201"/>
      <c r="V1666" s="201"/>
      <c r="W1666" s="201"/>
      <c r="X1666" s="201"/>
      <c r="Y1666" s="201"/>
      <c r="Z1666" s="201"/>
      <c r="AA1666" s="201"/>
    </row>
    <row r="1667" spans="1:27" ht="17.399999999999999">
      <c r="A1667" s="222"/>
      <c r="B1667" s="222"/>
      <c r="C1667" s="201"/>
      <c r="D1667" s="163"/>
      <c r="E1667" s="201"/>
      <c r="F1667" s="198"/>
      <c r="G1667" s="201"/>
      <c r="I1667" s="201"/>
      <c r="J1667" s="149"/>
      <c r="K1667" s="198"/>
      <c r="L1667" s="201"/>
      <c r="M1667" s="201"/>
      <c r="N1667" s="201"/>
      <c r="O1667" s="201"/>
      <c r="P1667" s="201"/>
      <c r="Q1667" s="201"/>
      <c r="R1667" s="201"/>
      <c r="S1667" s="201"/>
      <c r="T1667" s="201"/>
      <c r="U1667" s="201"/>
      <c r="V1667" s="201"/>
      <c r="W1667" s="201"/>
      <c r="X1667" s="201"/>
      <c r="Y1667" s="201"/>
      <c r="Z1667" s="201"/>
      <c r="AA1667" s="201"/>
    </row>
    <row r="1668" spans="1:27" ht="17.399999999999999">
      <c r="A1668" s="222"/>
      <c r="B1668" s="222"/>
      <c r="C1668" s="201"/>
      <c r="D1668" s="163"/>
      <c r="E1668" s="201"/>
      <c r="F1668" s="198"/>
      <c r="G1668" s="201"/>
      <c r="I1668" s="201"/>
      <c r="J1668" s="149"/>
      <c r="K1668" s="198"/>
      <c r="L1668" s="201"/>
      <c r="M1668" s="201"/>
      <c r="N1668" s="201"/>
      <c r="O1668" s="201"/>
      <c r="P1668" s="201"/>
      <c r="Q1668" s="201"/>
      <c r="R1668" s="201"/>
      <c r="S1668" s="201"/>
      <c r="T1668" s="201"/>
      <c r="U1668" s="201"/>
      <c r="V1668" s="201"/>
      <c r="W1668" s="201"/>
      <c r="X1668" s="201"/>
      <c r="Y1668" s="201"/>
      <c r="Z1668" s="201"/>
      <c r="AA1668" s="201"/>
    </row>
    <row r="1669" spans="1:27" ht="17.399999999999999">
      <c r="A1669" s="222"/>
      <c r="B1669" s="222"/>
      <c r="C1669" s="201"/>
      <c r="D1669" s="163"/>
      <c r="E1669" s="201"/>
      <c r="F1669" s="198"/>
      <c r="G1669" s="201"/>
      <c r="I1669" s="201"/>
      <c r="J1669" s="149"/>
      <c r="K1669" s="198"/>
      <c r="L1669" s="201"/>
      <c r="M1669" s="201"/>
      <c r="N1669" s="201"/>
      <c r="O1669" s="201"/>
      <c r="P1669" s="201"/>
      <c r="Q1669" s="201"/>
      <c r="R1669" s="201"/>
      <c r="S1669" s="201"/>
      <c r="T1669" s="201"/>
      <c r="U1669" s="201"/>
      <c r="V1669" s="201"/>
      <c r="W1669" s="201"/>
      <c r="X1669" s="201"/>
      <c r="Y1669" s="201"/>
      <c r="Z1669" s="201"/>
      <c r="AA1669" s="201"/>
    </row>
    <row r="1670" spans="1:27" ht="17.399999999999999">
      <c r="A1670" s="222"/>
      <c r="B1670" s="222"/>
      <c r="C1670" s="201"/>
      <c r="D1670" s="163"/>
      <c r="E1670" s="201"/>
      <c r="F1670" s="198"/>
      <c r="G1670" s="201"/>
      <c r="I1670" s="201"/>
      <c r="J1670" s="149"/>
      <c r="K1670" s="198"/>
      <c r="L1670" s="201"/>
      <c r="M1670" s="201"/>
      <c r="N1670" s="201"/>
      <c r="O1670" s="201"/>
      <c r="P1670" s="201"/>
      <c r="Q1670" s="201"/>
      <c r="R1670" s="201"/>
      <c r="S1670" s="201"/>
      <c r="T1670" s="201"/>
      <c r="U1670" s="201"/>
      <c r="V1670" s="201"/>
      <c r="W1670" s="201"/>
      <c r="X1670" s="201"/>
      <c r="Y1670" s="201"/>
      <c r="Z1670" s="201"/>
      <c r="AA1670" s="201"/>
    </row>
    <row r="1671" spans="1:27" ht="17.399999999999999">
      <c r="A1671" s="222"/>
      <c r="B1671" s="222"/>
      <c r="C1671" s="201"/>
      <c r="D1671" s="163"/>
      <c r="E1671" s="201"/>
      <c r="F1671" s="198"/>
      <c r="G1671" s="201"/>
      <c r="I1671" s="201"/>
      <c r="J1671" s="149"/>
      <c r="K1671" s="198"/>
      <c r="L1671" s="201"/>
      <c r="M1671" s="201"/>
      <c r="N1671" s="201"/>
      <c r="O1671" s="201"/>
      <c r="P1671" s="201"/>
      <c r="Q1671" s="201"/>
      <c r="R1671" s="201"/>
      <c r="S1671" s="201"/>
      <c r="T1671" s="201"/>
      <c r="U1671" s="201"/>
      <c r="V1671" s="201"/>
      <c r="W1671" s="201"/>
      <c r="X1671" s="201"/>
      <c r="Y1671" s="201"/>
      <c r="Z1671" s="201"/>
      <c r="AA1671" s="201"/>
    </row>
    <row r="1672" spans="1:27" ht="17.399999999999999">
      <c r="A1672" s="222"/>
      <c r="B1672" s="222"/>
      <c r="C1672" s="201"/>
      <c r="D1672" s="163"/>
      <c r="E1672" s="201"/>
      <c r="F1672" s="198"/>
      <c r="G1672" s="201"/>
      <c r="I1672" s="201"/>
      <c r="J1672" s="149"/>
      <c r="K1672" s="198"/>
      <c r="L1672" s="201"/>
      <c r="M1672" s="201"/>
      <c r="N1672" s="201"/>
      <c r="O1672" s="201"/>
      <c r="P1672" s="201"/>
      <c r="Q1672" s="201"/>
      <c r="R1672" s="201"/>
      <c r="S1672" s="201"/>
      <c r="T1672" s="201"/>
      <c r="U1672" s="201"/>
      <c r="V1672" s="201"/>
      <c r="W1672" s="201"/>
      <c r="X1672" s="201"/>
      <c r="Y1672" s="201"/>
      <c r="Z1672" s="201"/>
      <c r="AA1672" s="201"/>
    </row>
    <row r="1673" spans="1:27" ht="17.399999999999999">
      <c r="A1673" s="222"/>
      <c r="B1673" s="222"/>
      <c r="C1673" s="201"/>
      <c r="D1673" s="163"/>
      <c r="E1673" s="201"/>
      <c r="F1673" s="198"/>
      <c r="G1673" s="201"/>
      <c r="I1673" s="201"/>
      <c r="J1673" s="149"/>
      <c r="K1673" s="198"/>
      <c r="L1673" s="201"/>
      <c r="M1673" s="201"/>
      <c r="N1673" s="201"/>
      <c r="O1673" s="201"/>
      <c r="P1673" s="201"/>
      <c r="Q1673" s="201"/>
      <c r="R1673" s="201"/>
      <c r="S1673" s="201"/>
      <c r="T1673" s="201"/>
      <c r="U1673" s="201"/>
      <c r="V1673" s="201"/>
      <c r="W1673" s="201"/>
      <c r="X1673" s="201"/>
      <c r="Y1673" s="201"/>
      <c r="Z1673" s="201"/>
      <c r="AA1673" s="201"/>
    </row>
    <row r="1674" spans="1:27" ht="17.399999999999999">
      <c r="A1674" s="222"/>
      <c r="B1674" s="222"/>
      <c r="C1674" s="201"/>
      <c r="D1674" s="163"/>
      <c r="E1674" s="201"/>
      <c r="F1674" s="198"/>
      <c r="G1674" s="201"/>
      <c r="I1674" s="201"/>
      <c r="J1674" s="149"/>
      <c r="K1674" s="198"/>
      <c r="L1674" s="201"/>
      <c r="M1674" s="201"/>
      <c r="N1674" s="201"/>
      <c r="O1674" s="201"/>
      <c r="P1674" s="201"/>
      <c r="Q1674" s="201"/>
      <c r="R1674" s="201"/>
      <c r="S1674" s="201"/>
      <c r="T1674" s="201"/>
      <c r="U1674" s="201"/>
      <c r="V1674" s="201"/>
      <c r="W1674" s="201"/>
      <c r="X1674" s="201"/>
      <c r="Y1674" s="201"/>
      <c r="Z1674" s="201"/>
      <c r="AA1674" s="201"/>
    </row>
    <row r="1675" spans="1:27" ht="17.399999999999999">
      <c r="A1675" s="222"/>
      <c r="B1675" s="222"/>
      <c r="C1675" s="201"/>
      <c r="D1675" s="163"/>
      <c r="E1675" s="201"/>
      <c r="F1675" s="198"/>
      <c r="G1675" s="201"/>
      <c r="I1675" s="201"/>
      <c r="J1675" s="149"/>
      <c r="K1675" s="198"/>
      <c r="L1675" s="201"/>
      <c r="M1675" s="201"/>
      <c r="N1675" s="201"/>
      <c r="O1675" s="201"/>
      <c r="P1675" s="201"/>
      <c r="Q1675" s="201"/>
      <c r="R1675" s="201"/>
      <c r="S1675" s="201"/>
      <c r="T1675" s="201"/>
      <c r="U1675" s="201"/>
      <c r="V1675" s="201"/>
      <c r="W1675" s="201"/>
      <c r="X1675" s="201"/>
      <c r="Y1675" s="201"/>
      <c r="Z1675" s="201"/>
      <c r="AA1675" s="201"/>
    </row>
    <row r="1676" spans="1:27" ht="17.399999999999999">
      <c r="A1676" s="222"/>
      <c r="B1676" s="222"/>
      <c r="C1676" s="201"/>
      <c r="D1676" s="163"/>
      <c r="E1676" s="201"/>
      <c r="F1676" s="198"/>
      <c r="G1676" s="201"/>
      <c r="I1676" s="201"/>
      <c r="J1676" s="149"/>
      <c r="K1676" s="198"/>
      <c r="L1676" s="201"/>
      <c r="M1676" s="201"/>
      <c r="N1676" s="201"/>
      <c r="O1676" s="201"/>
      <c r="P1676" s="201"/>
      <c r="Q1676" s="201"/>
      <c r="R1676" s="201"/>
      <c r="S1676" s="201"/>
      <c r="T1676" s="201"/>
      <c r="U1676" s="201"/>
      <c r="V1676" s="201"/>
      <c r="W1676" s="201"/>
      <c r="X1676" s="201"/>
      <c r="Y1676" s="201"/>
      <c r="Z1676" s="201"/>
      <c r="AA1676" s="201"/>
    </row>
    <row r="1677" spans="1:27" ht="17.399999999999999">
      <c r="A1677" s="222"/>
      <c r="B1677" s="222"/>
      <c r="C1677" s="201"/>
      <c r="D1677" s="163"/>
      <c r="E1677" s="201"/>
      <c r="F1677" s="198"/>
      <c r="G1677" s="201"/>
      <c r="I1677" s="201"/>
      <c r="J1677" s="149"/>
      <c r="K1677" s="198"/>
      <c r="L1677" s="201"/>
      <c r="M1677" s="201"/>
      <c r="N1677" s="201"/>
      <c r="O1677" s="201"/>
      <c r="P1677" s="201"/>
      <c r="Q1677" s="201"/>
      <c r="R1677" s="201"/>
      <c r="S1677" s="201"/>
      <c r="T1677" s="201"/>
      <c r="U1677" s="201"/>
      <c r="V1677" s="201"/>
      <c r="W1677" s="201"/>
      <c r="X1677" s="201"/>
      <c r="Y1677" s="201"/>
      <c r="Z1677" s="201"/>
      <c r="AA1677" s="201"/>
    </row>
    <row r="1678" spans="1:27" ht="17.399999999999999">
      <c r="A1678" s="222"/>
      <c r="B1678" s="222"/>
      <c r="C1678" s="201"/>
      <c r="D1678" s="163"/>
      <c r="E1678" s="201"/>
      <c r="F1678" s="198"/>
      <c r="G1678" s="201"/>
      <c r="I1678" s="201"/>
      <c r="J1678" s="149"/>
      <c r="K1678" s="198"/>
      <c r="L1678" s="201"/>
      <c r="M1678" s="201"/>
      <c r="N1678" s="201"/>
      <c r="O1678" s="201"/>
      <c r="P1678" s="201"/>
      <c r="Q1678" s="201"/>
      <c r="R1678" s="201"/>
      <c r="S1678" s="201"/>
      <c r="T1678" s="201"/>
      <c r="U1678" s="201"/>
      <c r="V1678" s="201"/>
      <c r="W1678" s="201"/>
      <c r="X1678" s="201"/>
      <c r="Y1678" s="201"/>
      <c r="Z1678" s="201"/>
      <c r="AA1678" s="201"/>
    </row>
    <row r="1679" spans="1:27" ht="17.399999999999999">
      <c r="A1679" s="222"/>
      <c r="B1679" s="222"/>
      <c r="C1679" s="201"/>
      <c r="D1679" s="163"/>
      <c r="E1679" s="201"/>
      <c r="F1679" s="198"/>
      <c r="G1679" s="201"/>
      <c r="I1679" s="201"/>
      <c r="J1679" s="149"/>
      <c r="K1679" s="198"/>
      <c r="L1679" s="201"/>
      <c r="M1679" s="201"/>
      <c r="N1679" s="201"/>
      <c r="O1679" s="201"/>
      <c r="P1679" s="201"/>
      <c r="Q1679" s="201"/>
      <c r="R1679" s="201"/>
      <c r="S1679" s="201"/>
      <c r="T1679" s="201"/>
      <c r="U1679" s="201"/>
      <c r="V1679" s="201"/>
      <c r="W1679" s="201"/>
      <c r="X1679" s="201"/>
      <c r="Y1679" s="201"/>
      <c r="Z1679" s="201"/>
      <c r="AA1679" s="201"/>
    </row>
    <row r="1680" spans="1:27" ht="17.399999999999999">
      <c r="A1680" s="222"/>
      <c r="B1680" s="222"/>
      <c r="C1680" s="201"/>
      <c r="D1680" s="163"/>
      <c r="E1680" s="201"/>
      <c r="F1680" s="198"/>
      <c r="G1680" s="201"/>
      <c r="I1680" s="201"/>
      <c r="J1680" s="149"/>
      <c r="K1680" s="198"/>
      <c r="L1680" s="201"/>
      <c r="M1680" s="201"/>
      <c r="N1680" s="201"/>
      <c r="O1680" s="201"/>
      <c r="P1680" s="201"/>
      <c r="Q1680" s="201"/>
      <c r="R1680" s="201"/>
      <c r="S1680" s="201"/>
      <c r="T1680" s="201"/>
      <c r="U1680" s="201"/>
      <c r="V1680" s="201"/>
      <c r="W1680" s="201"/>
      <c r="X1680" s="201"/>
      <c r="Y1680" s="201"/>
      <c r="Z1680" s="201"/>
      <c r="AA1680" s="201"/>
    </row>
    <row r="1681" spans="1:27" ht="17.399999999999999">
      <c r="A1681" s="222"/>
      <c r="B1681" s="222"/>
      <c r="C1681" s="201"/>
      <c r="D1681" s="163"/>
      <c r="E1681" s="201"/>
      <c r="F1681" s="198"/>
      <c r="G1681" s="201"/>
      <c r="I1681" s="201"/>
      <c r="J1681" s="149"/>
      <c r="K1681" s="198"/>
      <c r="L1681" s="201"/>
      <c r="M1681" s="201"/>
      <c r="N1681" s="201"/>
      <c r="O1681" s="201"/>
      <c r="P1681" s="201"/>
      <c r="Q1681" s="201"/>
      <c r="R1681" s="201"/>
      <c r="S1681" s="201"/>
      <c r="T1681" s="201"/>
      <c r="U1681" s="201"/>
      <c r="V1681" s="201"/>
      <c r="W1681" s="201"/>
      <c r="X1681" s="201"/>
      <c r="Y1681" s="201"/>
      <c r="Z1681" s="201"/>
      <c r="AA1681" s="201"/>
    </row>
    <row r="1682" spans="1:27" ht="17.399999999999999">
      <c r="A1682" s="222"/>
      <c r="B1682" s="222"/>
      <c r="C1682" s="201"/>
      <c r="D1682" s="163"/>
      <c r="E1682" s="201"/>
      <c r="F1682" s="198"/>
      <c r="G1682" s="201"/>
      <c r="I1682" s="201"/>
      <c r="J1682" s="149"/>
      <c r="K1682" s="198"/>
      <c r="L1682" s="201"/>
      <c r="M1682" s="201"/>
      <c r="N1682" s="201"/>
      <c r="O1682" s="201"/>
      <c r="P1682" s="201"/>
      <c r="Q1682" s="201"/>
      <c r="R1682" s="201"/>
      <c r="S1682" s="201"/>
      <c r="T1682" s="201"/>
      <c r="U1682" s="201"/>
      <c r="V1682" s="201"/>
      <c r="W1682" s="201"/>
      <c r="X1682" s="201"/>
      <c r="Y1682" s="201"/>
      <c r="Z1682" s="201"/>
      <c r="AA1682" s="201"/>
    </row>
    <row r="1683" spans="1:27" ht="17.399999999999999">
      <c r="A1683" s="222"/>
      <c r="B1683" s="222"/>
      <c r="C1683" s="201"/>
      <c r="D1683" s="163"/>
      <c r="E1683" s="201"/>
      <c r="F1683" s="198"/>
      <c r="G1683" s="201"/>
      <c r="I1683" s="201"/>
      <c r="J1683" s="149"/>
      <c r="K1683" s="198"/>
      <c r="L1683" s="201"/>
      <c r="M1683" s="201"/>
      <c r="N1683" s="201"/>
      <c r="O1683" s="201"/>
      <c r="P1683" s="201"/>
      <c r="Q1683" s="201"/>
      <c r="R1683" s="201"/>
      <c r="S1683" s="201"/>
      <c r="T1683" s="201"/>
      <c r="U1683" s="201"/>
      <c r="V1683" s="201"/>
      <c r="W1683" s="201"/>
      <c r="X1683" s="201"/>
      <c r="Y1683" s="201"/>
      <c r="Z1683" s="201"/>
      <c r="AA1683" s="201"/>
    </row>
    <row r="1684" spans="1:27" ht="17.399999999999999">
      <c r="A1684" s="222"/>
      <c r="B1684" s="222"/>
      <c r="C1684" s="201"/>
      <c r="D1684" s="163"/>
      <c r="E1684" s="201"/>
      <c r="F1684" s="198"/>
      <c r="G1684" s="201"/>
      <c r="I1684" s="201"/>
      <c r="J1684" s="149"/>
      <c r="K1684" s="198"/>
      <c r="L1684" s="201"/>
      <c r="M1684" s="201"/>
      <c r="N1684" s="201"/>
      <c r="O1684" s="201"/>
      <c r="P1684" s="201"/>
      <c r="Q1684" s="201"/>
      <c r="R1684" s="201"/>
      <c r="S1684" s="201"/>
      <c r="T1684" s="201"/>
      <c r="U1684" s="201"/>
      <c r="V1684" s="201"/>
      <c r="W1684" s="201"/>
      <c r="X1684" s="201"/>
      <c r="Y1684" s="201"/>
      <c r="Z1684" s="201"/>
      <c r="AA1684" s="201"/>
    </row>
    <row r="1685" spans="1:27" ht="17.399999999999999">
      <c r="A1685" s="222"/>
      <c r="B1685" s="222"/>
      <c r="C1685" s="201"/>
      <c r="D1685" s="163"/>
      <c r="E1685" s="201"/>
      <c r="F1685" s="198"/>
      <c r="G1685" s="201"/>
      <c r="I1685" s="201"/>
      <c r="J1685" s="149"/>
      <c r="K1685" s="198"/>
      <c r="L1685" s="201"/>
      <c r="M1685" s="201"/>
      <c r="N1685" s="201"/>
      <c r="O1685" s="201"/>
      <c r="P1685" s="201"/>
      <c r="Q1685" s="201"/>
      <c r="R1685" s="201"/>
      <c r="S1685" s="201"/>
      <c r="T1685" s="201"/>
      <c r="U1685" s="201"/>
      <c r="V1685" s="201"/>
      <c r="W1685" s="201"/>
      <c r="X1685" s="201"/>
      <c r="Y1685" s="201"/>
      <c r="Z1685" s="201"/>
      <c r="AA1685" s="201"/>
    </row>
    <row r="1686" spans="1:27" ht="17.399999999999999">
      <c r="A1686" s="222"/>
      <c r="B1686" s="222"/>
      <c r="C1686" s="201"/>
      <c r="D1686" s="163"/>
      <c r="E1686" s="201"/>
      <c r="F1686" s="198"/>
      <c r="G1686" s="201"/>
      <c r="I1686" s="201"/>
      <c r="J1686" s="149"/>
      <c r="K1686" s="198"/>
      <c r="L1686" s="201"/>
      <c r="M1686" s="201"/>
      <c r="N1686" s="201"/>
      <c r="O1686" s="201"/>
      <c r="P1686" s="201"/>
      <c r="Q1686" s="201"/>
      <c r="R1686" s="201"/>
      <c r="S1686" s="201"/>
      <c r="T1686" s="201"/>
      <c r="U1686" s="201"/>
      <c r="V1686" s="201"/>
      <c r="W1686" s="201"/>
      <c r="X1686" s="201"/>
      <c r="Y1686" s="201"/>
      <c r="Z1686" s="201"/>
      <c r="AA1686" s="201"/>
    </row>
    <row r="1687" spans="1:27" ht="17.399999999999999">
      <c r="A1687" s="222"/>
      <c r="B1687" s="222"/>
      <c r="C1687" s="201"/>
      <c r="D1687" s="163"/>
      <c r="E1687" s="201"/>
      <c r="F1687" s="198"/>
      <c r="G1687" s="201"/>
      <c r="I1687" s="201"/>
      <c r="J1687" s="149"/>
      <c r="K1687" s="198"/>
      <c r="L1687" s="201"/>
      <c r="M1687" s="201"/>
      <c r="N1687" s="201"/>
      <c r="O1687" s="201"/>
      <c r="P1687" s="201"/>
      <c r="Q1687" s="201"/>
      <c r="R1687" s="201"/>
      <c r="S1687" s="201"/>
      <c r="T1687" s="201"/>
      <c r="U1687" s="201"/>
      <c r="V1687" s="201"/>
      <c r="W1687" s="201"/>
      <c r="X1687" s="201"/>
      <c r="Y1687" s="201"/>
      <c r="Z1687" s="201"/>
      <c r="AA1687" s="201"/>
    </row>
    <row r="1688" spans="1:27" ht="17.399999999999999">
      <c r="A1688" s="222"/>
      <c r="B1688" s="222"/>
      <c r="C1688" s="201"/>
      <c r="D1688" s="163"/>
      <c r="E1688" s="201"/>
      <c r="F1688" s="198"/>
      <c r="G1688" s="201"/>
      <c r="I1688" s="201"/>
      <c r="J1688" s="149"/>
      <c r="K1688" s="198"/>
      <c r="L1688" s="201"/>
      <c r="M1688" s="201"/>
      <c r="N1688" s="201"/>
      <c r="O1688" s="201"/>
      <c r="P1688" s="201"/>
      <c r="Q1688" s="201"/>
      <c r="R1688" s="201"/>
      <c r="S1688" s="201"/>
      <c r="T1688" s="201"/>
      <c r="U1688" s="201"/>
      <c r="V1688" s="201"/>
      <c r="W1688" s="201"/>
      <c r="X1688" s="201"/>
      <c r="Y1688" s="201"/>
      <c r="Z1688" s="201"/>
      <c r="AA1688" s="201"/>
    </row>
    <row r="1689" spans="1:27" ht="17.399999999999999">
      <c r="A1689" s="222"/>
      <c r="B1689" s="222"/>
      <c r="C1689" s="201"/>
      <c r="D1689" s="163"/>
      <c r="E1689" s="201"/>
      <c r="F1689" s="198"/>
      <c r="G1689" s="201"/>
      <c r="I1689" s="201"/>
      <c r="J1689" s="149"/>
      <c r="K1689" s="198"/>
      <c r="L1689" s="201"/>
      <c r="M1689" s="201"/>
      <c r="N1689" s="201"/>
      <c r="O1689" s="201"/>
      <c r="P1689" s="201"/>
      <c r="Q1689" s="201"/>
      <c r="R1689" s="201"/>
      <c r="S1689" s="201"/>
      <c r="T1689" s="201"/>
      <c r="U1689" s="201"/>
      <c r="V1689" s="201"/>
      <c r="W1689" s="201"/>
      <c r="X1689" s="201"/>
      <c r="Y1689" s="201"/>
      <c r="Z1689" s="201"/>
      <c r="AA1689" s="201"/>
    </row>
    <row r="1690" spans="1:27" ht="17.399999999999999">
      <c r="A1690" s="222"/>
      <c r="B1690" s="222"/>
      <c r="C1690" s="201"/>
      <c r="D1690" s="163"/>
      <c r="E1690" s="201"/>
      <c r="F1690" s="198"/>
      <c r="G1690" s="201"/>
      <c r="I1690" s="201"/>
      <c r="J1690" s="149"/>
      <c r="K1690" s="198"/>
      <c r="L1690" s="201"/>
      <c r="M1690" s="201"/>
      <c r="N1690" s="201"/>
      <c r="O1690" s="201"/>
      <c r="P1690" s="201"/>
      <c r="Q1690" s="201"/>
      <c r="R1690" s="201"/>
      <c r="S1690" s="201"/>
      <c r="T1690" s="201"/>
      <c r="U1690" s="201"/>
      <c r="V1690" s="201"/>
      <c r="W1690" s="201"/>
      <c r="X1690" s="201"/>
      <c r="Y1690" s="201"/>
      <c r="Z1690" s="201"/>
      <c r="AA1690" s="201"/>
    </row>
    <row r="1691" spans="1:27" ht="17.399999999999999">
      <c r="A1691" s="222"/>
      <c r="B1691" s="222"/>
      <c r="C1691" s="201"/>
      <c r="D1691" s="163"/>
      <c r="E1691" s="201"/>
      <c r="F1691" s="198"/>
      <c r="G1691" s="201"/>
      <c r="I1691" s="201"/>
      <c r="J1691" s="149"/>
      <c r="K1691" s="198"/>
      <c r="L1691" s="201"/>
      <c r="M1691" s="201"/>
      <c r="N1691" s="201"/>
      <c r="O1691" s="201"/>
      <c r="P1691" s="201"/>
      <c r="Q1691" s="201"/>
      <c r="R1691" s="201"/>
      <c r="S1691" s="201"/>
      <c r="T1691" s="201"/>
      <c r="U1691" s="201"/>
      <c r="V1691" s="201"/>
      <c r="W1691" s="201"/>
      <c r="X1691" s="201"/>
      <c r="Y1691" s="201"/>
      <c r="Z1691" s="201"/>
      <c r="AA1691" s="201"/>
    </row>
    <row r="1692" spans="1:27" ht="17.399999999999999">
      <c r="A1692" s="222"/>
      <c r="B1692" s="222"/>
      <c r="C1692" s="201"/>
      <c r="D1692" s="163"/>
      <c r="E1692" s="201"/>
      <c r="F1692" s="198"/>
      <c r="G1692" s="201"/>
      <c r="I1692" s="201"/>
      <c r="J1692" s="149"/>
      <c r="K1692" s="198"/>
      <c r="L1692" s="201"/>
      <c r="M1692" s="201"/>
      <c r="N1692" s="201"/>
      <c r="O1692" s="201"/>
      <c r="P1692" s="201"/>
      <c r="Q1692" s="201"/>
      <c r="R1692" s="201"/>
      <c r="S1692" s="201"/>
      <c r="T1692" s="201"/>
      <c r="U1692" s="201"/>
      <c r="V1692" s="201"/>
      <c r="W1692" s="201"/>
      <c r="X1692" s="201"/>
      <c r="Y1692" s="201"/>
      <c r="Z1692" s="201"/>
      <c r="AA1692" s="201"/>
    </row>
    <row r="1693" spans="1:27" ht="17.399999999999999">
      <c r="A1693" s="222"/>
      <c r="B1693" s="222"/>
      <c r="C1693" s="201"/>
      <c r="D1693" s="163"/>
      <c r="E1693" s="201"/>
      <c r="F1693" s="198"/>
      <c r="G1693" s="201"/>
      <c r="I1693" s="201"/>
      <c r="J1693" s="149"/>
      <c r="K1693" s="198"/>
      <c r="L1693" s="201"/>
      <c r="M1693" s="201"/>
      <c r="N1693" s="201"/>
      <c r="O1693" s="201"/>
      <c r="P1693" s="201"/>
      <c r="Q1693" s="201"/>
      <c r="R1693" s="201"/>
      <c r="S1693" s="201"/>
      <c r="T1693" s="201"/>
      <c r="U1693" s="201"/>
      <c r="V1693" s="201"/>
      <c r="W1693" s="201"/>
      <c r="X1693" s="201"/>
      <c r="Y1693" s="201"/>
      <c r="Z1693" s="201"/>
      <c r="AA1693" s="201"/>
    </row>
    <row r="1694" spans="1:27" ht="17.399999999999999">
      <c r="A1694" s="222"/>
      <c r="B1694" s="222"/>
      <c r="C1694" s="201"/>
      <c r="D1694" s="163"/>
      <c r="E1694" s="201"/>
      <c r="F1694" s="198"/>
      <c r="G1694" s="201"/>
      <c r="I1694" s="201"/>
      <c r="J1694" s="149"/>
      <c r="K1694" s="198"/>
      <c r="L1694" s="201"/>
      <c r="M1694" s="201"/>
      <c r="N1694" s="201"/>
      <c r="O1694" s="201"/>
      <c r="P1694" s="201"/>
      <c r="Q1694" s="201"/>
      <c r="R1694" s="201"/>
      <c r="S1694" s="201"/>
      <c r="T1694" s="201"/>
      <c r="U1694" s="201"/>
      <c r="V1694" s="201"/>
      <c r="W1694" s="201"/>
      <c r="X1694" s="201"/>
      <c r="Y1694" s="201"/>
      <c r="Z1694" s="201"/>
      <c r="AA1694" s="201"/>
    </row>
    <row r="1695" spans="1:27" ht="17.399999999999999">
      <c r="A1695" s="222"/>
      <c r="B1695" s="222"/>
      <c r="C1695" s="201"/>
      <c r="D1695" s="163"/>
      <c r="E1695" s="201"/>
      <c r="F1695" s="198"/>
      <c r="G1695" s="201"/>
      <c r="I1695" s="201"/>
      <c r="J1695" s="149"/>
      <c r="K1695" s="198"/>
      <c r="L1695" s="201"/>
      <c r="M1695" s="201"/>
      <c r="N1695" s="201"/>
      <c r="O1695" s="201"/>
      <c r="P1695" s="201"/>
      <c r="Q1695" s="201"/>
      <c r="R1695" s="201"/>
      <c r="S1695" s="201"/>
      <c r="T1695" s="201"/>
      <c r="U1695" s="201"/>
      <c r="V1695" s="201"/>
      <c r="W1695" s="201"/>
      <c r="X1695" s="201"/>
      <c r="Y1695" s="201"/>
      <c r="Z1695" s="201"/>
      <c r="AA1695" s="201"/>
    </row>
    <row r="1696" spans="1:27" ht="17.399999999999999">
      <c r="A1696" s="222"/>
      <c r="B1696" s="222"/>
      <c r="C1696" s="201"/>
      <c r="D1696" s="163"/>
      <c r="E1696" s="201"/>
      <c r="F1696" s="198"/>
      <c r="G1696" s="201"/>
      <c r="I1696" s="201"/>
      <c r="J1696" s="149"/>
      <c r="K1696" s="198"/>
      <c r="L1696" s="201"/>
      <c r="M1696" s="201"/>
      <c r="N1696" s="201"/>
      <c r="O1696" s="201"/>
      <c r="P1696" s="201"/>
      <c r="Q1696" s="201"/>
      <c r="R1696" s="201"/>
      <c r="S1696" s="201"/>
      <c r="T1696" s="201"/>
      <c r="U1696" s="201"/>
      <c r="V1696" s="201"/>
      <c r="W1696" s="201"/>
      <c r="X1696" s="201"/>
      <c r="Y1696" s="201"/>
      <c r="Z1696" s="201"/>
      <c r="AA1696" s="201"/>
    </row>
    <row r="1697" spans="1:27" ht="17.399999999999999">
      <c r="A1697" s="222"/>
      <c r="B1697" s="222"/>
      <c r="C1697" s="201"/>
      <c r="D1697" s="163"/>
      <c r="E1697" s="201"/>
      <c r="F1697" s="198"/>
      <c r="G1697" s="201"/>
      <c r="I1697" s="201"/>
      <c r="J1697" s="149"/>
      <c r="K1697" s="198"/>
      <c r="L1697" s="201"/>
      <c r="M1697" s="201"/>
      <c r="N1697" s="201"/>
      <c r="O1697" s="201"/>
      <c r="P1697" s="201"/>
      <c r="Q1697" s="201"/>
      <c r="R1697" s="201"/>
      <c r="S1697" s="201"/>
      <c r="T1697" s="201"/>
      <c r="U1697" s="201"/>
      <c r="V1697" s="201"/>
      <c r="W1697" s="201"/>
      <c r="X1697" s="201"/>
      <c r="Y1697" s="201"/>
      <c r="Z1697" s="201"/>
      <c r="AA1697" s="201"/>
    </row>
    <row r="1698" spans="1:27" ht="17.399999999999999">
      <c r="A1698" s="222"/>
      <c r="B1698" s="222"/>
      <c r="C1698" s="201"/>
      <c r="D1698" s="163"/>
      <c r="E1698" s="201"/>
      <c r="F1698" s="198"/>
      <c r="G1698" s="201"/>
      <c r="I1698" s="201"/>
      <c r="J1698" s="149"/>
      <c r="K1698" s="198"/>
      <c r="L1698" s="201"/>
      <c r="M1698" s="201"/>
      <c r="N1698" s="201"/>
      <c r="O1698" s="201"/>
      <c r="P1698" s="201"/>
      <c r="Q1698" s="201"/>
      <c r="R1698" s="201"/>
      <c r="S1698" s="201"/>
      <c r="T1698" s="201"/>
      <c r="U1698" s="201"/>
      <c r="V1698" s="201"/>
      <c r="W1698" s="201"/>
      <c r="X1698" s="201"/>
      <c r="Y1698" s="201"/>
      <c r="Z1698" s="201"/>
      <c r="AA1698" s="201"/>
    </row>
    <row r="1699" spans="1:27" ht="17.399999999999999">
      <c r="A1699" s="222"/>
      <c r="B1699" s="222"/>
      <c r="C1699" s="201"/>
      <c r="D1699" s="163"/>
      <c r="E1699" s="201"/>
      <c r="F1699" s="198"/>
      <c r="G1699" s="201"/>
      <c r="I1699" s="201"/>
      <c r="J1699" s="149"/>
      <c r="K1699" s="198"/>
      <c r="L1699" s="201"/>
      <c r="M1699" s="201"/>
      <c r="N1699" s="201"/>
      <c r="O1699" s="201"/>
      <c r="P1699" s="201"/>
      <c r="Q1699" s="201"/>
      <c r="R1699" s="201"/>
      <c r="S1699" s="201"/>
      <c r="T1699" s="201"/>
      <c r="U1699" s="201"/>
      <c r="V1699" s="201"/>
      <c r="W1699" s="201"/>
      <c r="X1699" s="201"/>
      <c r="Y1699" s="201"/>
      <c r="Z1699" s="201"/>
      <c r="AA1699" s="201"/>
    </row>
    <row r="1700" spans="1:27" ht="17.399999999999999">
      <c r="A1700" s="222"/>
      <c r="B1700" s="222"/>
      <c r="C1700" s="201"/>
      <c r="D1700" s="163"/>
      <c r="E1700" s="201"/>
      <c r="F1700" s="198"/>
      <c r="G1700" s="201"/>
      <c r="I1700" s="201"/>
      <c r="J1700" s="149"/>
      <c r="K1700" s="198"/>
      <c r="L1700" s="201"/>
      <c r="M1700" s="201"/>
      <c r="N1700" s="201"/>
      <c r="O1700" s="201"/>
      <c r="P1700" s="201"/>
      <c r="Q1700" s="201"/>
      <c r="R1700" s="201"/>
      <c r="S1700" s="201"/>
      <c r="T1700" s="201"/>
      <c r="U1700" s="201"/>
      <c r="V1700" s="201"/>
      <c r="W1700" s="201"/>
      <c r="X1700" s="201"/>
      <c r="Y1700" s="201"/>
      <c r="Z1700" s="201"/>
      <c r="AA1700" s="201"/>
    </row>
    <row r="1701" spans="1:27" ht="17.399999999999999">
      <c r="A1701" s="222"/>
      <c r="B1701" s="222"/>
      <c r="C1701" s="201"/>
      <c r="D1701" s="163"/>
      <c r="E1701" s="201"/>
      <c r="F1701" s="198"/>
      <c r="G1701" s="201"/>
      <c r="I1701" s="201"/>
      <c r="J1701" s="149"/>
      <c r="K1701" s="198"/>
      <c r="L1701" s="201"/>
      <c r="M1701" s="201"/>
      <c r="N1701" s="201"/>
      <c r="O1701" s="201"/>
      <c r="P1701" s="201"/>
      <c r="Q1701" s="201"/>
      <c r="R1701" s="201"/>
      <c r="S1701" s="201"/>
      <c r="T1701" s="201"/>
      <c r="U1701" s="201"/>
      <c r="V1701" s="201"/>
      <c r="W1701" s="201"/>
      <c r="X1701" s="201"/>
      <c r="Y1701" s="201"/>
      <c r="Z1701" s="201"/>
      <c r="AA1701" s="201"/>
    </row>
    <row r="1702" spans="1:27" ht="17.399999999999999">
      <c r="A1702" s="222"/>
      <c r="B1702" s="222"/>
      <c r="C1702" s="201"/>
      <c r="D1702" s="163"/>
      <c r="E1702" s="201"/>
      <c r="F1702" s="198"/>
      <c r="G1702" s="201"/>
      <c r="I1702" s="201"/>
      <c r="J1702" s="149"/>
      <c r="K1702" s="198"/>
      <c r="L1702" s="201"/>
      <c r="M1702" s="201"/>
      <c r="N1702" s="201"/>
      <c r="O1702" s="201"/>
      <c r="P1702" s="201"/>
      <c r="Q1702" s="201"/>
      <c r="R1702" s="201"/>
      <c r="S1702" s="201"/>
      <c r="T1702" s="201"/>
      <c r="U1702" s="201"/>
      <c r="V1702" s="201"/>
      <c r="W1702" s="201"/>
      <c r="X1702" s="201"/>
      <c r="Y1702" s="201"/>
      <c r="Z1702" s="201"/>
      <c r="AA1702" s="201"/>
    </row>
    <row r="1703" spans="1:27" ht="17.399999999999999">
      <c r="A1703" s="222"/>
      <c r="B1703" s="222"/>
      <c r="C1703" s="201"/>
      <c r="D1703" s="163"/>
      <c r="E1703" s="201"/>
      <c r="F1703" s="198"/>
      <c r="G1703" s="201"/>
      <c r="I1703" s="201"/>
      <c r="J1703" s="149"/>
      <c r="K1703" s="198"/>
      <c r="L1703" s="201"/>
      <c r="M1703" s="201"/>
      <c r="N1703" s="201"/>
      <c r="O1703" s="201"/>
      <c r="P1703" s="201"/>
      <c r="Q1703" s="201"/>
      <c r="R1703" s="201"/>
      <c r="S1703" s="201"/>
      <c r="T1703" s="201"/>
      <c r="U1703" s="201"/>
      <c r="V1703" s="201"/>
      <c r="W1703" s="201"/>
      <c r="X1703" s="201"/>
      <c r="Y1703" s="201"/>
      <c r="Z1703" s="201"/>
      <c r="AA1703" s="201"/>
    </row>
    <row r="1704" spans="1:27" ht="17.399999999999999">
      <c r="A1704" s="222"/>
      <c r="B1704" s="222"/>
      <c r="C1704" s="201"/>
      <c r="D1704" s="163"/>
      <c r="E1704" s="201"/>
      <c r="F1704" s="198"/>
      <c r="G1704" s="201"/>
      <c r="I1704" s="201"/>
      <c r="J1704" s="149"/>
      <c r="K1704" s="198"/>
      <c r="L1704" s="201"/>
      <c r="M1704" s="201"/>
      <c r="N1704" s="201"/>
      <c r="O1704" s="201"/>
      <c r="P1704" s="201"/>
      <c r="Q1704" s="201"/>
      <c r="R1704" s="201"/>
      <c r="S1704" s="201"/>
      <c r="T1704" s="201"/>
      <c r="U1704" s="201"/>
      <c r="V1704" s="201"/>
      <c r="W1704" s="201"/>
      <c r="X1704" s="201"/>
      <c r="Y1704" s="201"/>
      <c r="Z1704" s="201"/>
      <c r="AA1704" s="201"/>
    </row>
    <row r="1705" spans="1:27" ht="17.399999999999999">
      <c r="A1705" s="222"/>
      <c r="B1705" s="222"/>
      <c r="C1705" s="201"/>
      <c r="D1705" s="163"/>
      <c r="E1705" s="201"/>
      <c r="F1705" s="198"/>
      <c r="G1705" s="201"/>
      <c r="I1705" s="201"/>
      <c r="J1705" s="149"/>
      <c r="K1705" s="198"/>
      <c r="L1705" s="201"/>
      <c r="M1705" s="201"/>
      <c r="N1705" s="201"/>
      <c r="O1705" s="201"/>
      <c r="P1705" s="201"/>
      <c r="Q1705" s="201"/>
      <c r="R1705" s="201"/>
      <c r="S1705" s="201"/>
      <c r="T1705" s="201"/>
      <c r="U1705" s="201"/>
      <c r="V1705" s="201"/>
      <c r="W1705" s="201"/>
      <c r="X1705" s="201"/>
      <c r="Y1705" s="201"/>
      <c r="Z1705" s="201"/>
      <c r="AA1705" s="201"/>
    </row>
    <row r="1706" spans="1:27" ht="17.399999999999999">
      <c r="A1706" s="222"/>
      <c r="B1706" s="222"/>
      <c r="C1706" s="201"/>
      <c r="D1706" s="163"/>
      <c r="E1706" s="201"/>
      <c r="F1706" s="198"/>
      <c r="G1706" s="201"/>
      <c r="I1706" s="201"/>
      <c r="J1706" s="149"/>
      <c r="K1706" s="198"/>
      <c r="L1706" s="201"/>
      <c r="M1706" s="201"/>
      <c r="N1706" s="201"/>
      <c r="O1706" s="201"/>
      <c r="P1706" s="201"/>
      <c r="Q1706" s="201"/>
      <c r="R1706" s="201"/>
      <c r="S1706" s="201"/>
      <c r="T1706" s="201"/>
      <c r="U1706" s="201"/>
      <c r="V1706" s="201"/>
      <c r="W1706" s="201"/>
      <c r="X1706" s="201"/>
      <c r="Y1706" s="201"/>
      <c r="Z1706" s="201"/>
      <c r="AA1706" s="201"/>
    </row>
    <row r="1707" spans="1:27" ht="17.399999999999999">
      <c r="A1707" s="222"/>
      <c r="B1707" s="222"/>
      <c r="C1707" s="201"/>
      <c r="D1707" s="163"/>
      <c r="E1707" s="201"/>
      <c r="F1707" s="198"/>
      <c r="G1707" s="201"/>
      <c r="I1707" s="201"/>
      <c r="J1707" s="149"/>
      <c r="K1707" s="198"/>
      <c r="L1707" s="201"/>
      <c r="M1707" s="201"/>
      <c r="N1707" s="201"/>
      <c r="O1707" s="201"/>
      <c r="P1707" s="201"/>
      <c r="Q1707" s="201"/>
      <c r="R1707" s="201"/>
      <c r="S1707" s="201"/>
      <c r="T1707" s="201"/>
      <c r="U1707" s="201"/>
      <c r="V1707" s="201"/>
      <c r="W1707" s="201"/>
      <c r="X1707" s="201"/>
      <c r="Y1707" s="201"/>
      <c r="Z1707" s="201"/>
      <c r="AA1707" s="201"/>
    </row>
    <row r="1708" spans="1:27" ht="17.399999999999999">
      <c r="A1708" s="222"/>
      <c r="B1708" s="222"/>
      <c r="C1708" s="201"/>
      <c r="D1708" s="163"/>
      <c r="E1708" s="201"/>
      <c r="F1708" s="198"/>
      <c r="G1708" s="201"/>
      <c r="I1708" s="201"/>
      <c r="J1708" s="149"/>
      <c r="K1708" s="198"/>
      <c r="L1708" s="201"/>
      <c r="M1708" s="201"/>
      <c r="N1708" s="201"/>
      <c r="O1708" s="201"/>
      <c r="P1708" s="201"/>
      <c r="Q1708" s="201"/>
      <c r="R1708" s="201"/>
      <c r="S1708" s="201"/>
      <c r="T1708" s="201"/>
      <c r="U1708" s="201"/>
      <c r="V1708" s="201"/>
      <c r="W1708" s="201"/>
      <c r="X1708" s="201"/>
      <c r="Y1708" s="201"/>
      <c r="Z1708" s="201"/>
      <c r="AA1708" s="201"/>
    </row>
    <row r="1709" spans="1:27" ht="17.399999999999999">
      <c r="A1709" s="222"/>
      <c r="B1709" s="222"/>
      <c r="C1709" s="201"/>
      <c r="D1709" s="163"/>
      <c r="E1709" s="201"/>
      <c r="F1709" s="198"/>
      <c r="G1709" s="201"/>
      <c r="I1709" s="201"/>
      <c r="J1709" s="149"/>
      <c r="K1709" s="198"/>
      <c r="L1709" s="201"/>
      <c r="M1709" s="201"/>
      <c r="N1709" s="201"/>
      <c r="O1709" s="201"/>
      <c r="P1709" s="201"/>
      <c r="Q1709" s="201"/>
      <c r="R1709" s="201"/>
      <c r="S1709" s="201"/>
      <c r="T1709" s="201"/>
      <c r="U1709" s="201"/>
      <c r="V1709" s="201"/>
      <c r="W1709" s="201"/>
      <c r="X1709" s="201"/>
      <c r="Y1709" s="201"/>
      <c r="Z1709" s="201"/>
      <c r="AA1709" s="201"/>
    </row>
    <row r="1710" spans="1:27" ht="17.399999999999999">
      <c r="A1710" s="222"/>
      <c r="B1710" s="222"/>
      <c r="C1710" s="201"/>
      <c r="D1710" s="163"/>
      <c r="E1710" s="201"/>
      <c r="F1710" s="198"/>
      <c r="G1710" s="201"/>
      <c r="I1710" s="201"/>
      <c r="J1710" s="149"/>
      <c r="K1710" s="198"/>
      <c r="L1710" s="201"/>
      <c r="M1710" s="201"/>
      <c r="N1710" s="201"/>
      <c r="O1710" s="201"/>
      <c r="P1710" s="201"/>
      <c r="Q1710" s="201"/>
      <c r="R1710" s="201"/>
      <c r="S1710" s="201"/>
      <c r="T1710" s="201"/>
      <c r="U1710" s="201"/>
      <c r="V1710" s="201"/>
      <c r="W1710" s="201"/>
      <c r="X1710" s="201"/>
      <c r="Y1710" s="201"/>
      <c r="Z1710" s="201"/>
      <c r="AA1710" s="201"/>
    </row>
    <row r="1711" spans="1:27" ht="17.399999999999999">
      <c r="A1711" s="222"/>
      <c r="B1711" s="222"/>
      <c r="C1711" s="201"/>
      <c r="D1711" s="163"/>
      <c r="E1711" s="201"/>
      <c r="F1711" s="198"/>
      <c r="G1711" s="201"/>
      <c r="I1711" s="201"/>
      <c r="J1711" s="149"/>
      <c r="K1711" s="198"/>
      <c r="L1711" s="201"/>
      <c r="M1711" s="201"/>
      <c r="N1711" s="201"/>
      <c r="O1711" s="201"/>
      <c r="P1711" s="201"/>
      <c r="Q1711" s="201"/>
      <c r="R1711" s="201"/>
      <c r="S1711" s="201"/>
      <c r="T1711" s="201"/>
      <c r="U1711" s="201"/>
      <c r="V1711" s="201"/>
      <c r="W1711" s="201"/>
      <c r="X1711" s="201"/>
      <c r="Y1711" s="201"/>
      <c r="Z1711" s="201"/>
      <c r="AA1711" s="201"/>
    </row>
    <row r="1712" spans="1:27" ht="17.399999999999999">
      <c r="A1712" s="222"/>
      <c r="B1712" s="222"/>
      <c r="C1712" s="201"/>
      <c r="D1712" s="163"/>
      <c r="E1712" s="201"/>
      <c r="F1712" s="198"/>
      <c r="G1712" s="201"/>
      <c r="I1712" s="201"/>
      <c r="J1712" s="149"/>
      <c r="K1712" s="198"/>
      <c r="L1712" s="201"/>
      <c r="M1712" s="201"/>
      <c r="N1712" s="201"/>
      <c r="O1712" s="201"/>
      <c r="P1712" s="201"/>
      <c r="Q1712" s="201"/>
      <c r="R1712" s="201"/>
      <c r="S1712" s="201"/>
      <c r="T1712" s="201"/>
      <c r="U1712" s="201"/>
      <c r="V1712" s="201"/>
      <c r="W1712" s="201"/>
      <c r="X1712" s="201"/>
      <c r="Y1712" s="201"/>
      <c r="Z1712" s="201"/>
      <c r="AA1712" s="201"/>
    </row>
    <row r="1713" spans="1:27" ht="17.399999999999999">
      <c r="A1713" s="222"/>
      <c r="B1713" s="222"/>
      <c r="C1713" s="201"/>
      <c r="D1713" s="163"/>
      <c r="E1713" s="201"/>
      <c r="F1713" s="198"/>
      <c r="G1713" s="201"/>
      <c r="I1713" s="201"/>
      <c r="J1713" s="149"/>
      <c r="K1713" s="198"/>
      <c r="L1713" s="201"/>
      <c r="M1713" s="201"/>
      <c r="N1713" s="201"/>
      <c r="O1713" s="201"/>
      <c r="P1713" s="201"/>
      <c r="Q1713" s="201"/>
      <c r="R1713" s="201"/>
      <c r="S1713" s="201"/>
      <c r="T1713" s="201"/>
      <c r="U1713" s="201"/>
      <c r="V1713" s="201"/>
      <c r="W1713" s="201"/>
      <c r="X1713" s="201"/>
      <c r="Y1713" s="201"/>
      <c r="Z1713" s="201"/>
      <c r="AA1713" s="201"/>
    </row>
    <row r="1714" spans="1:27" ht="17.399999999999999">
      <c r="A1714" s="222"/>
      <c r="B1714" s="222"/>
      <c r="C1714" s="201"/>
      <c r="D1714" s="163"/>
      <c r="E1714" s="201"/>
      <c r="F1714" s="198"/>
      <c r="G1714" s="201"/>
      <c r="I1714" s="201"/>
      <c r="J1714" s="149"/>
      <c r="K1714" s="198"/>
      <c r="L1714" s="201"/>
      <c r="M1714" s="201"/>
      <c r="N1714" s="201"/>
      <c r="O1714" s="201"/>
      <c r="P1714" s="201"/>
      <c r="Q1714" s="201"/>
      <c r="R1714" s="201"/>
      <c r="S1714" s="201"/>
      <c r="T1714" s="201"/>
      <c r="U1714" s="201"/>
      <c r="V1714" s="201"/>
      <c r="W1714" s="201"/>
      <c r="X1714" s="201"/>
      <c r="Y1714" s="201"/>
      <c r="Z1714" s="201"/>
      <c r="AA1714" s="201"/>
    </row>
    <row r="1715" spans="1:27" ht="17.399999999999999">
      <c r="A1715" s="222"/>
      <c r="B1715" s="222"/>
      <c r="C1715" s="201"/>
      <c r="D1715" s="163"/>
      <c r="E1715" s="201"/>
      <c r="F1715" s="198"/>
      <c r="G1715" s="201"/>
      <c r="I1715" s="201"/>
      <c r="J1715" s="149"/>
      <c r="K1715" s="198"/>
      <c r="L1715" s="201"/>
      <c r="M1715" s="201"/>
      <c r="N1715" s="201"/>
      <c r="O1715" s="201"/>
      <c r="P1715" s="201"/>
      <c r="Q1715" s="201"/>
      <c r="R1715" s="201"/>
      <c r="S1715" s="201"/>
      <c r="T1715" s="201"/>
      <c r="U1715" s="201"/>
      <c r="V1715" s="201"/>
      <c r="W1715" s="201"/>
      <c r="X1715" s="201"/>
      <c r="Y1715" s="201"/>
      <c r="Z1715" s="201"/>
      <c r="AA1715" s="201"/>
    </row>
    <row r="1716" spans="1:27" ht="17.399999999999999">
      <c r="A1716" s="222"/>
      <c r="B1716" s="222"/>
      <c r="C1716" s="201"/>
      <c r="D1716" s="163"/>
      <c r="E1716" s="201"/>
      <c r="F1716" s="198"/>
      <c r="G1716" s="201"/>
      <c r="I1716" s="201"/>
      <c r="J1716" s="149"/>
      <c r="K1716" s="198"/>
      <c r="L1716" s="201"/>
      <c r="M1716" s="201"/>
      <c r="N1716" s="201"/>
      <c r="O1716" s="201"/>
      <c r="P1716" s="201"/>
      <c r="Q1716" s="201"/>
      <c r="R1716" s="201"/>
      <c r="S1716" s="201"/>
      <c r="T1716" s="201"/>
      <c r="U1716" s="201"/>
      <c r="V1716" s="201"/>
      <c r="W1716" s="201"/>
      <c r="X1716" s="201"/>
      <c r="Y1716" s="201"/>
      <c r="Z1716" s="201"/>
      <c r="AA1716" s="201"/>
    </row>
    <row r="1717" spans="1:27" ht="17.399999999999999">
      <c r="A1717" s="222"/>
      <c r="B1717" s="222"/>
      <c r="C1717" s="201"/>
      <c r="D1717" s="163"/>
      <c r="E1717" s="201"/>
      <c r="F1717" s="198"/>
      <c r="G1717" s="201"/>
      <c r="I1717" s="201"/>
      <c r="J1717" s="149"/>
      <c r="K1717" s="198"/>
      <c r="L1717" s="201"/>
      <c r="M1717" s="201"/>
      <c r="N1717" s="201"/>
      <c r="O1717" s="201"/>
      <c r="P1717" s="201"/>
      <c r="Q1717" s="201"/>
      <c r="R1717" s="201"/>
      <c r="S1717" s="201"/>
      <c r="T1717" s="201"/>
      <c r="U1717" s="201"/>
      <c r="V1717" s="201"/>
      <c r="W1717" s="201"/>
      <c r="X1717" s="201"/>
      <c r="Y1717" s="201"/>
      <c r="Z1717" s="201"/>
      <c r="AA1717" s="201"/>
    </row>
    <row r="1718" spans="1:27" ht="17.399999999999999">
      <c r="A1718" s="222"/>
      <c r="B1718" s="222"/>
      <c r="C1718" s="201"/>
      <c r="D1718" s="163"/>
      <c r="E1718" s="201"/>
      <c r="F1718" s="198"/>
      <c r="G1718" s="201"/>
      <c r="I1718" s="201"/>
      <c r="J1718" s="149"/>
      <c r="K1718" s="198"/>
      <c r="L1718" s="201"/>
      <c r="M1718" s="201"/>
      <c r="N1718" s="201"/>
      <c r="O1718" s="201"/>
      <c r="P1718" s="201"/>
      <c r="Q1718" s="201"/>
      <c r="R1718" s="201"/>
      <c r="S1718" s="201"/>
      <c r="T1718" s="201"/>
      <c r="U1718" s="201"/>
      <c r="V1718" s="201"/>
      <c r="W1718" s="201"/>
      <c r="X1718" s="201"/>
      <c r="Y1718" s="201"/>
      <c r="Z1718" s="201"/>
      <c r="AA1718" s="201"/>
    </row>
    <row r="1719" spans="1:27" ht="17.399999999999999">
      <c r="A1719" s="222"/>
      <c r="B1719" s="222"/>
      <c r="C1719" s="201"/>
      <c r="D1719" s="163"/>
      <c r="E1719" s="201"/>
      <c r="F1719" s="198"/>
      <c r="G1719" s="201"/>
      <c r="I1719" s="201"/>
      <c r="J1719" s="149"/>
      <c r="K1719" s="198"/>
      <c r="L1719" s="201"/>
      <c r="M1719" s="201"/>
      <c r="N1719" s="201"/>
      <c r="O1719" s="201"/>
      <c r="P1719" s="201"/>
      <c r="Q1719" s="201"/>
      <c r="R1719" s="201"/>
      <c r="S1719" s="201"/>
      <c r="T1719" s="201"/>
      <c r="U1719" s="201"/>
      <c r="V1719" s="201"/>
      <c r="W1719" s="201"/>
      <c r="X1719" s="201"/>
      <c r="Y1719" s="201"/>
      <c r="Z1719" s="201"/>
      <c r="AA1719" s="201"/>
    </row>
    <row r="1720" spans="1:27" ht="17.399999999999999">
      <c r="A1720" s="222"/>
      <c r="B1720" s="222"/>
      <c r="C1720" s="201"/>
      <c r="D1720" s="163"/>
      <c r="E1720" s="201"/>
      <c r="F1720" s="198"/>
      <c r="G1720" s="201"/>
      <c r="I1720" s="201"/>
      <c r="J1720" s="149"/>
      <c r="K1720" s="198"/>
      <c r="L1720" s="201"/>
      <c r="M1720" s="201"/>
      <c r="N1720" s="201"/>
      <c r="O1720" s="201"/>
      <c r="P1720" s="201"/>
      <c r="Q1720" s="201"/>
      <c r="R1720" s="201"/>
      <c r="S1720" s="201"/>
      <c r="T1720" s="201"/>
      <c r="U1720" s="201"/>
      <c r="V1720" s="201"/>
      <c r="W1720" s="201"/>
      <c r="X1720" s="201"/>
      <c r="Y1720" s="201"/>
      <c r="Z1720" s="201"/>
      <c r="AA1720" s="201"/>
    </row>
    <row r="1721" spans="1:27" ht="17.399999999999999">
      <c r="A1721" s="222"/>
      <c r="B1721" s="222"/>
      <c r="C1721" s="201"/>
      <c r="D1721" s="163"/>
      <c r="E1721" s="201"/>
      <c r="F1721" s="198"/>
      <c r="G1721" s="201"/>
      <c r="I1721" s="201"/>
      <c r="J1721" s="149"/>
      <c r="K1721" s="198"/>
      <c r="L1721" s="201"/>
      <c r="M1721" s="201"/>
      <c r="N1721" s="201"/>
      <c r="O1721" s="201"/>
      <c r="P1721" s="201"/>
      <c r="Q1721" s="201"/>
      <c r="R1721" s="201"/>
      <c r="S1721" s="201"/>
      <c r="T1721" s="201"/>
      <c r="U1721" s="201"/>
      <c r="V1721" s="201"/>
      <c r="W1721" s="201"/>
      <c r="X1721" s="201"/>
      <c r="Y1721" s="201"/>
      <c r="Z1721" s="201"/>
      <c r="AA1721" s="201"/>
    </row>
    <row r="1722" spans="1:27" ht="17.399999999999999">
      <c r="A1722" s="222"/>
      <c r="B1722" s="222"/>
      <c r="C1722" s="201"/>
      <c r="D1722" s="163"/>
      <c r="E1722" s="201"/>
      <c r="F1722" s="198"/>
      <c r="G1722" s="201"/>
      <c r="I1722" s="201"/>
      <c r="J1722" s="149"/>
      <c r="K1722" s="198"/>
      <c r="L1722" s="201"/>
      <c r="M1722" s="201"/>
      <c r="N1722" s="201"/>
      <c r="O1722" s="201"/>
      <c r="P1722" s="201"/>
      <c r="Q1722" s="201"/>
      <c r="R1722" s="201"/>
      <c r="S1722" s="201"/>
      <c r="T1722" s="201"/>
      <c r="U1722" s="201"/>
      <c r="V1722" s="201"/>
      <c r="W1722" s="201"/>
      <c r="X1722" s="201"/>
      <c r="Y1722" s="201"/>
      <c r="Z1722" s="201"/>
      <c r="AA1722" s="201"/>
    </row>
    <row r="1723" spans="1:27" ht="17.399999999999999">
      <c r="A1723" s="222"/>
      <c r="B1723" s="222"/>
      <c r="C1723" s="201"/>
      <c r="D1723" s="163"/>
      <c r="E1723" s="201"/>
      <c r="F1723" s="198"/>
      <c r="G1723" s="201"/>
      <c r="I1723" s="201"/>
      <c r="J1723" s="149"/>
      <c r="K1723" s="198"/>
      <c r="L1723" s="201"/>
      <c r="M1723" s="201"/>
      <c r="N1723" s="201"/>
      <c r="O1723" s="201"/>
      <c r="P1723" s="201"/>
      <c r="Q1723" s="201"/>
      <c r="R1723" s="201"/>
      <c r="S1723" s="201"/>
      <c r="T1723" s="201"/>
      <c r="U1723" s="201"/>
      <c r="V1723" s="201"/>
      <c r="W1723" s="201"/>
      <c r="X1723" s="201"/>
      <c r="Y1723" s="201"/>
      <c r="Z1723" s="201"/>
      <c r="AA1723" s="201"/>
    </row>
    <row r="1724" spans="1:27" ht="17.399999999999999">
      <c r="A1724" s="222"/>
      <c r="B1724" s="222"/>
      <c r="C1724" s="201"/>
      <c r="D1724" s="163"/>
      <c r="E1724" s="201"/>
      <c r="F1724" s="198"/>
      <c r="G1724" s="201"/>
      <c r="I1724" s="201"/>
      <c r="J1724" s="149"/>
      <c r="K1724" s="198"/>
      <c r="L1724" s="201"/>
      <c r="M1724" s="201"/>
      <c r="N1724" s="201"/>
      <c r="O1724" s="201"/>
      <c r="P1724" s="201"/>
      <c r="Q1724" s="201"/>
      <c r="R1724" s="201"/>
      <c r="S1724" s="201"/>
      <c r="T1724" s="201"/>
      <c r="U1724" s="201"/>
      <c r="V1724" s="201"/>
      <c r="W1724" s="201"/>
      <c r="X1724" s="201"/>
      <c r="Y1724" s="201"/>
      <c r="Z1724" s="201"/>
      <c r="AA1724" s="201"/>
    </row>
    <row r="1725" spans="1:27" ht="17.399999999999999">
      <c r="A1725" s="222"/>
      <c r="B1725" s="222"/>
      <c r="C1725" s="201"/>
      <c r="D1725" s="163"/>
      <c r="E1725" s="201"/>
      <c r="F1725" s="198"/>
      <c r="G1725" s="201"/>
      <c r="I1725" s="201"/>
      <c r="J1725" s="149"/>
      <c r="K1725" s="198"/>
      <c r="L1725" s="201"/>
      <c r="M1725" s="201"/>
      <c r="N1725" s="201"/>
      <c r="O1725" s="201"/>
      <c r="P1725" s="201"/>
      <c r="Q1725" s="201"/>
      <c r="R1725" s="201"/>
      <c r="S1725" s="201"/>
      <c r="T1725" s="201"/>
      <c r="U1725" s="201"/>
      <c r="V1725" s="201"/>
      <c r="W1725" s="201"/>
      <c r="X1725" s="201"/>
      <c r="Y1725" s="201"/>
      <c r="Z1725" s="201"/>
      <c r="AA1725" s="201"/>
    </row>
    <row r="1726" spans="1:27" ht="17.399999999999999">
      <c r="A1726" s="222"/>
      <c r="B1726" s="222"/>
      <c r="C1726" s="201"/>
      <c r="D1726" s="163"/>
      <c r="E1726" s="201"/>
      <c r="F1726" s="198"/>
      <c r="G1726" s="201"/>
      <c r="I1726" s="201"/>
      <c r="J1726" s="149"/>
      <c r="K1726" s="198"/>
      <c r="L1726" s="201"/>
      <c r="M1726" s="201"/>
      <c r="N1726" s="201"/>
      <c r="O1726" s="201"/>
      <c r="P1726" s="201"/>
      <c r="Q1726" s="201"/>
      <c r="R1726" s="201"/>
      <c r="S1726" s="201"/>
      <c r="T1726" s="201"/>
      <c r="U1726" s="201"/>
      <c r="V1726" s="201"/>
      <c r="W1726" s="201"/>
      <c r="X1726" s="201"/>
      <c r="Y1726" s="201"/>
      <c r="Z1726" s="201"/>
      <c r="AA1726" s="201"/>
    </row>
    <row r="1727" spans="1:27" ht="17.399999999999999">
      <c r="A1727" s="222"/>
      <c r="B1727" s="222"/>
      <c r="C1727" s="201"/>
      <c r="D1727" s="163"/>
      <c r="E1727" s="201"/>
      <c r="F1727" s="198"/>
      <c r="G1727" s="201"/>
      <c r="I1727" s="201"/>
      <c r="J1727" s="149"/>
      <c r="K1727" s="198"/>
      <c r="L1727" s="201"/>
      <c r="M1727" s="201"/>
      <c r="N1727" s="201"/>
      <c r="O1727" s="201"/>
      <c r="P1727" s="201"/>
      <c r="Q1727" s="201"/>
      <c r="R1727" s="201"/>
      <c r="S1727" s="201"/>
      <c r="T1727" s="201"/>
      <c r="U1727" s="201"/>
      <c r="V1727" s="201"/>
      <c r="W1727" s="201"/>
      <c r="X1727" s="201"/>
      <c r="Y1727" s="201"/>
      <c r="Z1727" s="201"/>
      <c r="AA1727" s="201"/>
    </row>
    <row r="1728" spans="1:27" ht="17.399999999999999">
      <c r="A1728" s="222"/>
      <c r="B1728" s="222"/>
      <c r="C1728" s="201"/>
      <c r="D1728" s="163"/>
      <c r="E1728" s="201"/>
      <c r="F1728" s="198"/>
      <c r="G1728" s="201"/>
      <c r="I1728" s="201"/>
      <c r="J1728" s="149"/>
      <c r="K1728" s="198"/>
      <c r="L1728" s="201"/>
      <c r="M1728" s="201"/>
      <c r="N1728" s="201"/>
      <c r="O1728" s="201"/>
      <c r="P1728" s="201"/>
      <c r="Q1728" s="201"/>
      <c r="R1728" s="201"/>
      <c r="S1728" s="201"/>
      <c r="T1728" s="201"/>
      <c r="U1728" s="201"/>
      <c r="V1728" s="201"/>
      <c r="W1728" s="201"/>
      <c r="X1728" s="201"/>
      <c r="Y1728" s="201"/>
      <c r="Z1728" s="201"/>
      <c r="AA1728" s="201"/>
    </row>
    <row r="1729" spans="1:27" ht="17.399999999999999">
      <c r="A1729" s="222"/>
      <c r="B1729" s="222"/>
      <c r="C1729" s="201"/>
      <c r="D1729" s="163"/>
      <c r="E1729" s="201"/>
      <c r="F1729" s="198"/>
      <c r="G1729" s="201"/>
      <c r="I1729" s="201"/>
      <c r="J1729" s="149"/>
      <c r="K1729" s="198"/>
      <c r="L1729" s="201"/>
      <c r="M1729" s="201"/>
      <c r="N1729" s="201"/>
      <c r="O1729" s="201"/>
      <c r="P1729" s="201"/>
      <c r="Q1729" s="201"/>
      <c r="R1729" s="201"/>
      <c r="S1729" s="201"/>
      <c r="T1729" s="201"/>
      <c r="U1729" s="201"/>
      <c r="V1729" s="201"/>
      <c r="W1729" s="201"/>
      <c r="X1729" s="201"/>
      <c r="Y1729" s="201"/>
      <c r="Z1729" s="201"/>
      <c r="AA1729" s="201"/>
    </row>
    <row r="1730" spans="1:27" ht="17.399999999999999">
      <c r="A1730" s="222"/>
      <c r="B1730" s="222"/>
      <c r="C1730" s="201"/>
      <c r="D1730" s="163"/>
      <c r="E1730" s="201"/>
      <c r="F1730" s="198"/>
      <c r="G1730" s="201"/>
      <c r="I1730" s="201"/>
      <c r="J1730" s="149"/>
      <c r="K1730" s="198"/>
      <c r="L1730" s="201"/>
      <c r="M1730" s="201"/>
      <c r="N1730" s="201"/>
      <c r="O1730" s="201"/>
      <c r="P1730" s="201"/>
      <c r="Q1730" s="201"/>
      <c r="R1730" s="201"/>
      <c r="S1730" s="201"/>
      <c r="T1730" s="201"/>
      <c r="U1730" s="201"/>
      <c r="V1730" s="201"/>
      <c r="W1730" s="201"/>
      <c r="X1730" s="201"/>
      <c r="Y1730" s="201"/>
      <c r="Z1730" s="201"/>
      <c r="AA1730" s="201"/>
    </row>
    <row r="1731" spans="1:27" ht="17.399999999999999">
      <c r="A1731" s="222"/>
      <c r="B1731" s="222"/>
      <c r="C1731" s="201"/>
      <c r="D1731" s="163"/>
      <c r="E1731" s="201"/>
      <c r="F1731" s="198"/>
      <c r="G1731" s="201"/>
      <c r="I1731" s="201"/>
      <c r="J1731" s="149"/>
      <c r="K1731" s="198"/>
      <c r="L1731" s="201"/>
      <c r="M1731" s="201"/>
      <c r="N1731" s="201"/>
      <c r="O1731" s="201"/>
      <c r="P1731" s="201"/>
      <c r="Q1731" s="201"/>
      <c r="R1731" s="201"/>
      <c r="S1731" s="201"/>
      <c r="T1731" s="201"/>
      <c r="U1731" s="201"/>
      <c r="V1731" s="201"/>
      <c r="W1731" s="201"/>
      <c r="X1731" s="201"/>
      <c r="Y1731" s="201"/>
      <c r="Z1731" s="201"/>
      <c r="AA1731" s="201"/>
    </row>
    <row r="1732" spans="1:27" ht="17.399999999999999">
      <c r="A1732" s="222"/>
      <c r="B1732" s="222"/>
      <c r="C1732" s="201"/>
      <c r="D1732" s="163"/>
      <c r="E1732" s="201"/>
      <c r="F1732" s="198"/>
      <c r="G1732" s="201"/>
      <c r="I1732" s="201"/>
      <c r="J1732" s="149"/>
      <c r="K1732" s="198"/>
      <c r="L1732" s="201"/>
      <c r="M1732" s="201"/>
      <c r="N1732" s="201"/>
      <c r="O1732" s="201"/>
      <c r="P1732" s="201"/>
      <c r="Q1732" s="201"/>
      <c r="R1732" s="201"/>
      <c r="S1732" s="201"/>
      <c r="T1732" s="201"/>
      <c r="U1732" s="201"/>
      <c r="V1732" s="201"/>
      <c r="W1732" s="201"/>
      <c r="X1732" s="201"/>
      <c r="Y1732" s="201"/>
      <c r="Z1732" s="201"/>
      <c r="AA1732" s="201"/>
    </row>
    <row r="1733" spans="1:27" ht="17.399999999999999">
      <c r="A1733" s="222"/>
      <c r="B1733" s="222"/>
      <c r="C1733" s="201"/>
      <c r="D1733" s="163"/>
      <c r="E1733" s="201"/>
      <c r="F1733" s="198"/>
      <c r="G1733" s="201"/>
      <c r="I1733" s="201"/>
      <c r="J1733" s="149"/>
      <c r="K1733" s="198"/>
      <c r="L1733" s="201"/>
      <c r="M1733" s="201"/>
      <c r="N1733" s="201"/>
      <c r="O1733" s="201"/>
      <c r="P1733" s="201"/>
      <c r="Q1733" s="201"/>
      <c r="R1733" s="201"/>
      <c r="S1733" s="201"/>
      <c r="T1733" s="201"/>
      <c r="U1733" s="201"/>
      <c r="V1733" s="201"/>
      <c r="W1733" s="201"/>
      <c r="X1733" s="201"/>
      <c r="Y1733" s="201"/>
      <c r="Z1733" s="201"/>
      <c r="AA1733" s="201"/>
    </row>
    <row r="1734" spans="1:27" ht="17.399999999999999">
      <c r="A1734" s="222"/>
      <c r="B1734" s="222"/>
      <c r="C1734" s="201"/>
      <c r="D1734" s="163"/>
      <c r="E1734" s="201"/>
      <c r="F1734" s="198"/>
      <c r="G1734" s="201"/>
      <c r="I1734" s="201"/>
      <c r="J1734" s="149"/>
      <c r="K1734" s="198"/>
      <c r="L1734" s="201"/>
      <c r="M1734" s="201"/>
      <c r="N1734" s="201"/>
      <c r="O1734" s="201"/>
      <c r="P1734" s="201"/>
      <c r="Q1734" s="201"/>
      <c r="R1734" s="201"/>
      <c r="S1734" s="201"/>
      <c r="T1734" s="201"/>
      <c r="U1734" s="201"/>
      <c r="V1734" s="201"/>
      <c r="W1734" s="201"/>
      <c r="X1734" s="201"/>
      <c r="Y1734" s="201"/>
      <c r="Z1734" s="201"/>
      <c r="AA1734" s="201"/>
    </row>
    <row r="1735" spans="1:27" ht="17.399999999999999">
      <c r="A1735" s="222"/>
      <c r="B1735" s="222"/>
      <c r="C1735" s="201"/>
      <c r="D1735" s="163"/>
      <c r="E1735" s="201"/>
      <c r="F1735" s="198"/>
      <c r="G1735" s="201"/>
      <c r="I1735" s="201"/>
      <c r="J1735" s="149"/>
      <c r="K1735" s="198"/>
      <c r="L1735" s="201"/>
      <c r="M1735" s="201"/>
      <c r="N1735" s="201"/>
      <c r="O1735" s="201"/>
      <c r="P1735" s="201"/>
      <c r="Q1735" s="201"/>
      <c r="R1735" s="201"/>
      <c r="S1735" s="201"/>
      <c r="T1735" s="201"/>
      <c r="U1735" s="201"/>
      <c r="V1735" s="201"/>
      <c r="W1735" s="201"/>
      <c r="X1735" s="201"/>
      <c r="Y1735" s="201"/>
      <c r="Z1735" s="201"/>
      <c r="AA1735" s="201"/>
    </row>
    <row r="1736" spans="1:27" ht="17.399999999999999">
      <c r="A1736" s="222"/>
      <c r="B1736" s="222"/>
      <c r="C1736" s="201"/>
      <c r="D1736" s="163"/>
      <c r="E1736" s="201"/>
      <c r="F1736" s="198"/>
      <c r="G1736" s="201"/>
      <c r="I1736" s="201"/>
      <c r="J1736" s="149"/>
      <c r="K1736" s="198"/>
      <c r="L1736" s="201"/>
      <c r="M1736" s="201"/>
      <c r="N1736" s="201"/>
      <c r="O1736" s="201"/>
      <c r="P1736" s="201"/>
      <c r="Q1736" s="201"/>
      <c r="R1736" s="201"/>
      <c r="S1736" s="201"/>
      <c r="T1736" s="201"/>
      <c r="U1736" s="201"/>
      <c r="V1736" s="201"/>
      <c r="W1736" s="201"/>
      <c r="X1736" s="201"/>
      <c r="Y1736" s="201"/>
      <c r="Z1736" s="201"/>
      <c r="AA1736" s="201"/>
    </row>
    <row r="1737" spans="1:27" ht="17.399999999999999">
      <c r="A1737" s="222"/>
      <c r="B1737" s="222"/>
      <c r="C1737" s="201"/>
      <c r="D1737" s="163"/>
      <c r="E1737" s="201"/>
      <c r="F1737" s="198"/>
      <c r="G1737" s="201"/>
      <c r="I1737" s="201"/>
      <c r="J1737" s="149"/>
      <c r="K1737" s="198"/>
      <c r="L1737" s="201"/>
      <c r="M1737" s="201"/>
      <c r="N1737" s="201"/>
      <c r="O1737" s="201"/>
      <c r="P1737" s="201"/>
      <c r="Q1737" s="201"/>
      <c r="R1737" s="201"/>
      <c r="S1737" s="201"/>
      <c r="T1737" s="201"/>
      <c r="U1737" s="201"/>
      <c r="V1737" s="201"/>
      <c r="W1737" s="201"/>
      <c r="X1737" s="201"/>
      <c r="Y1737" s="201"/>
      <c r="Z1737" s="201"/>
      <c r="AA1737" s="201"/>
    </row>
    <row r="1738" spans="1:27" ht="17.399999999999999">
      <c r="A1738" s="222"/>
      <c r="B1738" s="222"/>
      <c r="C1738" s="201"/>
      <c r="D1738" s="163"/>
      <c r="E1738" s="201"/>
      <c r="F1738" s="198"/>
      <c r="G1738" s="201"/>
      <c r="I1738" s="201"/>
      <c r="J1738" s="149"/>
      <c r="K1738" s="198"/>
      <c r="L1738" s="201"/>
      <c r="M1738" s="201"/>
      <c r="N1738" s="201"/>
      <c r="O1738" s="201"/>
      <c r="P1738" s="201"/>
      <c r="Q1738" s="201"/>
      <c r="R1738" s="201"/>
      <c r="S1738" s="201"/>
      <c r="T1738" s="201"/>
      <c r="U1738" s="201"/>
      <c r="V1738" s="201"/>
      <c r="W1738" s="201"/>
      <c r="X1738" s="201"/>
      <c r="Y1738" s="201"/>
      <c r="Z1738" s="201"/>
      <c r="AA1738" s="201"/>
    </row>
    <row r="1739" spans="1:27" ht="17.399999999999999">
      <c r="A1739" s="222"/>
      <c r="B1739" s="222"/>
      <c r="C1739" s="201"/>
      <c r="D1739" s="163"/>
      <c r="E1739" s="201"/>
      <c r="F1739" s="198"/>
      <c r="G1739" s="201"/>
      <c r="I1739" s="201"/>
      <c r="J1739" s="149"/>
      <c r="K1739" s="198"/>
      <c r="L1739" s="201"/>
      <c r="M1739" s="201"/>
      <c r="N1739" s="201"/>
      <c r="O1739" s="201"/>
      <c r="P1739" s="201"/>
      <c r="Q1739" s="201"/>
      <c r="R1739" s="201"/>
      <c r="S1739" s="201"/>
      <c r="T1739" s="201"/>
      <c r="U1739" s="201"/>
      <c r="V1739" s="201"/>
      <c r="W1739" s="201"/>
      <c r="X1739" s="201"/>
      <c r="Y1739" s="201"/>
      <c r="Z1739" s="201"/>
      <c r="AA1739" s="201"/>
    </row>
    <row r="1740" spans="1:27" ht="17.399999999999999">
      <c r="A1740" s="222"/>
      <c r="B1740" s="222"/>
      <c r="C1740" s="201"/>
      <c r="D1740" s="163"/>
      <c r="E1740" s="201"/>
      <c r="F1740" s="198"/>
      <c r="G1740" s="201"/>
      <c r="I1740" s="201"/>
      <c r="J1740" s="149"/>
      <c r="K1740" s="198"/>
      <c r="L1740" s="201"/>
      <c r="M1740" s="201"/>
      <c r="N1740" s="201"/>
      <c r="O1740" s="201"/>
      <c r="P1740" s="201"/>
      <c r="Q1740" s="201"/>
      <c r="R1740" s="201"/>
      <c r="S1740" s="201"/>
      <c r="T1740" s="201"/>
      <c r="U1740" s="201"/>
      <c r="V1740" s="201"/>
      <c r="W1740" s="201"/>
      <c r="X1740" s="201"/>
      <c r="Y1740" s="201"/>
      <c r="Z1740" s="201"/>
      <c r="AA1740" s="201"/>
    </row>
    <row r="1741" spans="1:27" ht="17.399999999999999">
      <c r="A1741" s="222"/>
      <c r="B1741" s="222"/>
      <c r="C1741" s="201"/>
      <c r="D1741" s="163"/>
      <c r="E1741" s="201"/>
      <c r="F1741" s="198"/>
      <c r="G1741" s="201"/>
      <c r="I1741" s="201"/>
      <c r="J1741" s="149"/>
      <c r="K1741" s="198"/>
      <c r="L1741" s="201"/>
      <c r="M1741" s="201"/>
      <c r="N1741" s="201"/>
      <c r="O1741" s="201"/>
      <c r="P1741" s="201"/>
      <c r="Q1741" s="201"/>
      <c r="R1741" s="201"/>
      <c r="S1741" s="201"/>
      <c r="T1741" s="201"/>
      <c r="U1741" s="201"/>
      <c r="V1741" s="201"/>
      <c r="W1741" s="201"/>
      <c r="X1741" s="201"/>
      <c r="Y1741" s="201"/>
      <c r="Z1741" s="201"/>
      <c r="AA1741" s="201"/>
    </row>
    <row r="1742" spans="1:27" ht="17.399999999999999">
      <c r="A1742" s="222"/>
      <c r="B1742" s="222"/>
      <c r="C1742" s="201"/>
      <c r="D1742" s="163"/>
      <c r="E1742" s="201"/>
      <c r="F1742" s="198"/>
      <c r="G1742" s="201"/>
      <c r="I1742" s="201"/>
      <c r="J1742" s="149"/>
      <c r="K1742" s="198"/>
      <c r="L1742" s="201"/>
      <c r="M1742" s="201"/>
      <c r="N1742" s="201"/>
      <c r="O1742" s="201"/>
      <c r="P1742" s="201"/>
      <c r="Q1742" s="201"/>
      <c r="R1742" s="201"/>
      <c r="S1742" s="201"/>
      <c r="T1742" s="201"/>
      <c r="U1742" s="201"/>
      <c r="V1742" s="201"/>
      <c r="W1742" s="201"/>
      <c r="X1742" s="201"/>
      <c r="Y1742" s="201"/>
      <c r="Z1742" s="201"/>
      <c r="AA1742" s="201"/>
    </row>
    <row r="1743" spans="1:27" ht="17.399999999999999">
      <c r="A1743" s="222"/>
      <c r="B1743" s="222"/>
      <c r="C1743" s="201"/>
      <c r="D1743" s="163"/>
      <c r="E1743" s="201"/>
      <c r="F1743" s="198"/>
      <c r="G1743" s="201"/>
      <c r="I1743" s="201"/>
      <c r="J1743" s="149"/>
      <c r="K1743" s="198"/>
      <c r="L1743" s="201"/>
      <c r="M1743" s="201"/>
      <c r="N1743" s="201"/>
      <c r="O1743" s="201"/>
      <c r="P1743" s="201"/>
      <c r="Q1743" s="201"/>
      <c r="R1743" s="201"/>
      <c r="S1743" s="201"/>
      <c r="T1743" s="201"/>
      <c r="U1743" s="201"/>
      <c r="V1743" s="201"/>
      <c r="W1743" s="201"/>
      <c r="X1743" s="201"/>
      <c r="Y1743" s="201"/>
      <c r="Z1743" s="201"/>
      <c r="AA1743" s="201"/>
    </row>
    <row r="1744" spans="1:27" ht="17.399999999999999">
      <c r="A1744" s="222"/>
      <c r="B1744" s="222"/>
      <c r="C1744" s="201"/>
      <c r="D1744" s="163"/>
      <c r="E1744" s="201"/>
      <c r="F1744" s="198"/>
      <c r="G1744" s="201"/>
      <c r="I1744" s="201"/>
      <c r="J1744" s="149"/>
      <c r="K1744" s="198"/>
      <c r="L1744" s="201"/>
      <c r="M1744" s="201"/>
      <c r="N1744" s="201"/>
      <c r="O1744" s="201"/>
      <c r="P1744" s="201"/>
      <c r="Q1744" s="201"/>
      <c r="R1744" s="201"/>
      <c r="S1744" s="201"/>
      <c r="T1744" s="201"/>
      <c r="U1744" s="201"/>
      <c r="V1744" s="201"/>
      <c r="W1744" s="201"/>
      <c r="X1744" s="201"/>
      <c r="Y1744" s="201"/>
      <c r="Z1744" s="201"/>
      <c r="AA1744" s="201"/>
    </row>
    <row r="1745" spans="1:27" ht="17.399999999999999">
      <c r="A1745" s="222"/>
      <c r="B1745" s="222"/>
      <c r="C1745" s="201"/>
      <c r="D1745" s="163"/>
      <c r="E1745" s="201"/>
      <c r="F1745" s="198"/>
      <c r="G1745" s="201"/>
      <c r="I1745" s="201"/>
      <c r="J1745" s="149"/>
      <c r="K1745" s="198"/>
      <c r="L1745" s="201"/>
      <c r="M1745" s="201"/>
      <c r="N1745" s="201"/>
      <c r="O1745" s="201"/>
      <c r="P1745" s="201"/>
      <c r="Q1745" s="201"/>
      <c r="R1745" s="201"/>
      <c r="S1745" s="201"/>
      <c r="T1745" s="201"/>
      <c r="U1745" s="201"/>
      <c r="V1745" s="201"/>
      <c r="W1745" s="201"/>
      <c r="X1745" s="201"/>
      <c r="Y1745" s="201"/>
      <c r="Z1745" s="201"/>
      <c r="AA1745" s="201"/>
    </row>
    <row r="1746" spans="1:27" ht="17.399999999999999">
      <c r="A1746" s="222"/>
      <c r="B1746" s="222"/>
      <c r="C1746" s="201"/>
      <c r="D1746" s="163"/>
      <c r="E1746" s="201"/>
      <c r="F1746" s="198"/>
      <c r="G1746" s="201"/>
      <c r="I1746" s="201"/>
      <c r="J1746" s="149"/>
      <c r="K1746" s="198"/>
      <c r="L1746" s="201"/>
      <c r="M1746" s="201"/>
      <c r="N1746" s="201"/>
      <c r="O1746" s="201"/>
      <c r="P1746" s="201"/>
      <c r="Q1746" s="201"/>
      <c r="R1746" s="201"/>
      <c r="S1746" s="201"/>
      <c r="T1746" s="201"/>
      <c r="U1746" s="201"/>
      <c r="V1746" s="201"/>
      <c r="W1746" s="201"/>
      <c r="X1746" s="201"/>
      <c r="Y1746" s="201"/>
      <c r="Z1746" s="201"/>
      <c r="AA1746" s="201"/>
    </row>
    <row r="1747" spans="1:27" ht="17.399999999999999">
      <c r="A1747" s="222"/>
      <c r="B1747" s="222"/>
      <c r="C1747" s="201"/>
      <c r="D1747" s="163"/>
      <c r="E1747" s="201"/>
      <c r="F1747" s="198"/>
      <c r="G1747" s="201"/>
      <c r="I1747" s="201"/>
      <c r="J1747" s="149"/>
      <c r="K1747" s="198"/>
      <c r="L1747" s="201"/>
      <c r="M1747" s="201"/>
      <c r="N1747" s="201"/>
      <c r="O1747" s="201"/>
      <c r="P1747" s="201"/>
      <c r="Q1747" s="201"/>
      <c r="R1747" s="201"/>
      <c r="S1747" s="201"/>
      <c r="T1747" s="201"/>
      <c r="U1747" s="201"/>
      <c r="V1747" s="201"/>
      <c r="W1747" s="201"/>
      <c r="X1747" s="201"/>
      <c r="Y1747" s="201"/>
      <c r="Z1747" s="201"/>
      <c r="AA1747" s="201"/>
    </row>
    <row r="1748" spans="1:27" ht="17.399999999999999">
      <c r="A1748" s="222"/>
      <c r="B1748" s="222"/>
      <c r="C1748" s="201"/>
      <c r="D1748" s="163"/>
      <c r="E1748" s="201"/>
      <c r="F1748" s="198"/>
      <c r="G1748" s="201"/>
      <c r="I1748" s="201"/>
      <c r="J1748" s="149"/>
      <c r="K1748" s="198"/>
      <c r="L1748" s="201"/>
      <c r="M1748" s="201"/>
      <c r="N1748" s="201"/>
      <c r="O1748" s="201"/>
      <c r="P1748" s="201"/>
      <c r="Q1748" s="201"/>
      <c r="R1748" s="201"/>
      <c r="S1748" s="201"/>
      <c r="T1748" s="201"/>
      <c r="U1748" s="201"/>
      <c r="V1748" s="201"/>
      <c r="W1748" s="201"/>
      <c r="X1748" s="201"/>
      <c r="Y1748" s="201"/>
      <c r="Z1748" s="201"/>
      <c r="AA1748" s="201"/>
    </row>
    <row r="1749" spans="1:27" ht="17.399999999999999">
      <c r="A1749" s="222"/>
      <c r="B1749" s="222"/>
      <c r="C1749" s="201"/>
      <c r="D1749" s="163"/>
      <c r="E1749" s="201"/>
      <c r="F1749" s="198"/>
      <c r="G1749" s="201"/>
      <c r="I1749" s="201"/>
      <c r="J1749" s="149"/>
      <c r="K1749" s="198"/>
      <c r="L1749" s="201"/>
      <c r="M1749" s="201"/>
      <c r="N1749" s="201"/>
      <c r="O1749" s="201"/>
      <c r="P1749" s="201"/>
      <c r="Q1749" s="201"/>
      <c r="R1749" s="201"/>
      <c r="S1749" s="201"/>
      <c r="T1749" s="201"/>
      <c r="U1749" s="201"/>
      <c r="V1749" s="201"/>
      <c r="W1749" s="201"/>
      <c r="X1749" s="201"/>
      <c r="Y1749" s="201"/>
      <c r="Z1749" s="201"/>
      <c r="AA1749" s="201"/>
    </row>
    <row r="1750" spans="1:27" ht="17.399999999999999">
      <c r="A1750" s="222"/>
      <c r="B1750" s="222"/>
      <c r="C1750" s="201"/>
      <c r="D1750" s="163"/>
      <c r="E1750" s="201"/>
      <c r="F1750" s="198"/>
      <c r="G1750" s="201"/>
      <c r="I1750" s="201"/>
      <c r="J1750" s="149"/>
      <c r="K1750" s="198"/>
      <c r="L1750" s="201"/>
      <c r="M1750" s="201"/>
      <c r="N1750" s="201"/>
      <c r="O1750" s="201"/>
      <c r="P1750" s="201"/>
      <c r="Q1750" s="201"/>
      <c r="R1750" s="201"/>
      <c r="S1750" s="201"/>
      <c r="T1750" s="201"/>
      <c r="U1750" s="201"/>
      <c r="V1750" s="201"/>
      <c r="W1750" s="201"/>
      <c r="X1750" s="201"/>
      <c r="Y1750" s="201"/>
      <c r="Z1750" s="201"/>
      <c r="AA1750" s="201"/>
    </row>
    <row r="1751" spans="1:27" ht="17.399999999999999">
      <c r="A1751" s="222"/>
      <c r="B1751" s="222"/>
      <c r="C1751" s="201"/>
      <c r="D1751" s="163"/>
      <c r="E1751" s="201"/>
      <c r="F1751" s="198"/>
      <c r="G1751" s="201"/>
      <c r="I1751" s="201"/>
      <c r="J1751" s="149"/>
      <c r="K1751" s="198"/>
      <c r="L1751" s="201"/>
      <c r="M1751" s="201"/>
      <c r="N1751" s="201"/>
      <c r="O1751" s="201"/>
      <c r="P1751" s="201"/>
      <c r="Q1751" s="201"/>
      <c r="R1751" s="201"/>
      <c r="S1751" s="201"/>
      <c r="T1751" s="201"/>
      <c r="U1751" s="201"/>
      <c r="V1751" s="201"/>
      <c r="W1751" s="201"/>
      <c r="X1751" s="201"/>
      <c r="Y1751" s="201"/>
      <c r="Z1751" s="201"/>
      <c r="AA1751" s="201"/>
    </row>
    <row r="1752" spans="1:27" ht="17.399999999999999">
      <c r="A1752" s="222"/>
      <c r="B1752" s="222"/>
      <c r="C1752" s="201"/>
      <c r="D1752" s="163"/>
      <c r="E1752" s="201"/>
      <c r="F1752" s="198"/>
      <c r="G1752" s="201"/>
      <c r="I1752" s="201"/>
      <c r="J1752" s="149"/>
      <c r="K1752" s="198"/>
      <c r="L1752" s="201"/>
      <c r="M1752" s="201"/>
      <c r="N1752" s="201"/>
      <c r="O1752" s="201"/>
      <c r="P1752" s="201"/>
      <c r="Q1752" s="201"/>
      <c r="R1752" s="201"/>
      <c r="S1752" s="201"/>
      <c r="T1752" s="201"/>
      <c r="U1752" s="201"/>
      <c r="V1752" s="201"/>
      <c r="W1752" s="201"/>
      <c r="X1752" s="201"/>
      <c r="Y1752" s="201"/>
      <c r="Z1752" s="201"/>
      <c r="AA1752" s="201"/>
    </row>
    <row r="1753" spans="1:27" ht="17.399999999999999">
      <c r="A1753" s="222"/>
      <c r="B1753" s="222"/>
      <c r="C1753" s="201"/>
      <c r="D1753" s="163"/>
      <c r="E1753" s="201"/>
      <c r="F1753" s="198"/>
      <c r="G1753" s="201"/>
      <c r="I1753" s="201"/>
      <c r="J1753" s="149"/>
      <c r="K1753" s="198"/>
      <c r="L1753" s="201"/>
      <c r="M1753" s="201"/>
      <c r="N1753" s="201"/>
      <c r="O1753" s="201"/>
      <c r="P1753" s="201"/>
      <c r="Q1753" s="201"/>
      <c r="R1753" s="201"/>
      <c r="S1753" s="201"/>
      <c r="T1753" s="201"/>
      <c r="U1753" s="201"/>
      <c r="V1753" s="201"/>
      <c r="W1753" s="201"/>
      <c r="X1753" s="201"/>
      <c r="Y1753" s="201"/>
      <c r="Z1753" s="201"/>
      <c r="AA1753" s="201"/>
    </row>
    <row r="1754" spans="1:27" ht="17.399999999999999">
      <c r="A1754" s="222"/>
      <c r="B1754" s="222"/>
      <c r="C1754" s="201"/>
      <c r="D1754" s="163"/>
      <c r="E1754" s="201"/>
      <c r="F1754" s="198"/>
      <c r="G1754" s="201"/>
      <c r="I1754" s="201"/>
      <c r="J1754" s="149"/>
      <c r="K1754" s="198"/>
      <c r="L1754" s="201"/>
      <c r="M1754" s="201"/>
      <c r="N1754" s="201"/>
      <c r="O1754" s="201"/>
      <c r="P1754" s="201"/>
      <c r="Q1754" s="201"/>
      <c r="R1754" s="201"/>
      <c r="S1754" s="201"/>
      <c r="T1754" s="201"/>
      <c r="U1754" s="201"/>
      <c r="V1754" s="201"/>
      <c r="W1754" s="201"/>
      <c r="X1754" s="201"/>
      <c r="Y1754" s="201"/>
      <c r="Z1754" s="201"/>
      <c r="AA1754" s="201"/>
    </row>
    <row r="1755" spans="1:27" ht="17.399999999999999">
      <c r="A1755" s="222"/>
      <c r="B1755" s="222"/>
      <c r="C1755" s="201"/>
      <c r="D1755" s="163"/>
      <c r="E1755" s="201"/>
      <c r="F1755" s="198"/>
      <c r="G1755" s="201"/>
      <c r="I1755" s="201"/>
      <c r="J1755" s="149"/>
      <c r="K1755" s="198"/>
      <c r="L1755" s="201"/>
      <c r="M1755" s="201"/>
      <c r="N1755" s="201"/>
      <c r="O1755" s="201"/>
      <c r="P1755" s="201"/>
      <c r="Q1755" s="201"/>
      <c r="R1755" s="201"/>
      <c r="S1755" s="201"/>
      <c r="T1755" s="201"/>
      <c r="U1755" s="201"/>
      <c r="V1755" s="201"/>
      <c r="W1755" s="201"/>
      <c r="X1755" s="201"/>
      <c r="Y1755" s="201"/>
      <c r="Z1755" s="201"/>
      <c r="AA1755" s="201"/>
    </row>
    <row r="1756" spans="1:27" ht="17.399999999999999">
      <c r="A1756" s="222"/>
      <c r="B1756" s="222"/>
      <c r="C1756" s="201"/>
      <c r="D1756" s="163"/>
      <c r="E1756" s="201"/>
      <c r="F1756" s="198"/>
      <c r="G1756" s="201"/>
      <c r="I1756" s="201"/>
      <c r="J1756" s="149"/>
      <c r="K1756" s="198"/>
      <c r="L1756" s="201"/>
      <c r="M1756" s="201"/>
      <c r="N1756" s="201"/>
      <c r="O1756" s="201"/>
      <c r="P1756" s="201"/>
      <c r="Q1756" s="201"/>
      <c r="R1756" s="201"/>
      <c r="S1756" s="201"/>
      <c r="T1756" s="201"/>
      <c r="U1756" s="201"/>
      <c r="V1756" s="201"/>
      <c r="W1756" s="201"/>
      <c r="X1756" s="201"/>
      <c r="Y1756" s="201"/>
      <c r="Z1756" s="201"/>
      <c r="AA1756" s="201"/>
    </row>
    <row r="1757" spans="1:27" ht="17.399999999999999">
      <c r="A1757" s="222"/>
      <c r="B1757" s="222"/>
      <c r="C1757" s="201"/>
      <c r="D1757" s="163"/>
      <c r="E1757" s="201"/>
      <c r="F1757" s="198"/>
      <c r="G1757" s="201"/>
      <c r="I1757" s="201"/>
      <c r="J1757" s="149"/>
      <c r="K1757" s="198"/>
      <c r="L1757" s="201"/>
      <c r="M1757" s="201"/>
      <c r="N1757" s="201"/>
      <c r="O1757" s="201"/>
      <c r="P1757" s="201"/>
      <c r="Q1757" s="201"/>
      <c r="R1757" s="201"/>
      <c r="S1757" s="201"/>
      <c r="T1757" s="201"/>
      <c r="U1757" s="201"/>
      <c r="V1757" s="201"/>
      <c r="W1757" s="201"/>
      <c r="X1757" s="201"/>
      <c r="Y1757" s="201"/>
      <c r="Z1757" s="201"/>
      <c r="AA1757" s="201"/>
    </row>
    <row r="1758" spans="1:27" ht="17.399999999999999">
      <c r="A1758" s="222"/>
      <c r="B1758" s="222"/>
      <c r="C1758" s="201"/>
      <c r="D1758" s="163"/>
      <c r="E1758" s="201"/>
      <c r="F1758" s="198"/>
      <c r="G1758" s="201"/>
      <c r="I1758" s="201"/>
      <c r="J1758" s="149"/>
      <c r="K1758" s="198"/>
      <c r="L1758" s="201"/>
      <c r="M1758" s="201"/>
      <c r="N1758" s="201"/>
      <c r="O1758" s="201"/>
      <c r="P1758" s="201"/>
      <c r="Q1758" s="201"/>
      <c r="R1758" s="201"/>
      <c r="S1758" s="201"/>
      <c r="T1758" s="201"/>
      <c r="U1758" s="201"/>
      <c r="V1758" s="201"/>
      <c r="W1758" s="201"/>
      <c r="X1758" s="201"/>
      <c r="Y1758" s="201"/>
      <c r="Z1758" s="201"/>
      <c r="AA1758" s="201"/>
    </row>
    <row r="1759" spans="1:27" ht="17.399999999999999">
      <c r="A1759" s="222"/>
      <c r="B1759" s="222"/>
      <c r="C1759" s="201"/>
      <c r="D1759" s="163"/>
      <c r="E1759" s="201"/>
      <c r="F1759" s="198"/>
      <c r="G1759" s="201"/>
      <c r="I1759" s="201"/>
      <c r="J1759" s="149"/>
      <c r="K1759" s="198"/>
      <c r="L1759" s="201"/>
      <c r="M1759" s="201"/>
      <c r="N1759" s="201"/>
      <c r="O1759" s="201"/>
      <c r="P1759" s="201"/>
      <c r="Q1759" s="201"/>
      <c r="R1759" s="201"/>
      <c r="S1759" s="201"/>
      <c r="T1759" s="201"/>
      <c r="U1759" s="201"/>
      <c r="V1759" s="201"/>
      <c r="W1759" s="201"/>
      <c r="X1759" s="201"/>
      <c r="Y1759" s="201"/>
      <c r="Z1759" s="201"/>
      <c r="AA1759" s="201"/>
    </row>
    <row r="1760" spans="1:27" ht="17.399999999999999">
      <c r="A1760" s="222"/>
      <c r="B1760" s="222"/>
      <c r="C1760" s="201"/>
      <c r="D1760" s="163"/>
      <c r="E1760" s="201"/>
      <c r="F1760" s="198"/>
      <c r="G1760" s="201"/>
      <c r="I1760" s="201"/>
      <c r="J1760" s="149"/>
      <c r="K1760" s="198"/>
      <c r="L1760" s="201"/>
      <c r="M1760" s="201"/>
      <c r="N1760" s="201"/>
      <c r="O1760" s="201"/>
      <c r="P1760" s="201"/>
      <c r="Q1760" s="201"/>
      <c r="R1760" s="201"/>
      <c r="S1760" s="201"/>
      <c r="T1760" s="201"/>
      <c r="U1760" s="201"/>
      <c r="V1760" s="201"/>
      <c r="W1760" s="201"/>
      <c r="X1760" s="201"/>
      <c r="Y1760" s="201"/>
      <c r="Z1760" s="201"/>
      <c r="AA1760" s="201"/>
    </row>
    <row r="1761" spans="1:27" ht="17.399999999999999">
      <c r="A1761" s="222"/>
      <c r="B1761" s="222"/>
      <c r="C1761" s="201"/>
      <c r="D1761" s="163"/>
      <c r="E1761" s="201"/>
      <c r="F1761" s="198"/>
      <c r="G1761" s="201"/>
      <c r="I1761" s="201"/>
      <c r="J1761" s="149"/>
      <c r="K1761" s="198"/>
      <c r="L1761" s="201"/>
      <c r="M1761" s="201"/>
      <c r="N1761" s="201"/>
      <c r="O1761" s="201"/>
      <c r="P1761" s="201"/>
      <c r="Q1761" s="201"/>
      <c r="R1761" s="201"/>
      <c r="S1761" s="201"/>
      <c r="T1761" s="201"/>
      <c r="U1761" s="201"/>
      <c r="V1761" s="201"/>
      <c r="W1761" s="201"/>
      <c r="X1761" s="201"/>
      <c r="Y1761" s="201"/>
      <c r="Z1761" s="201"/>
      <c r="AA1761" s="201"/>
    </row>
    <row r="1762" spans="1:27" ht="17.399999999999999">
      <c r="A1762" s="222"/>
      <c r="B1762" s="222"/>
      <c r="C1762" s="201"/>
      <c r="D1762" s="163"/>
      <c r="E1762" s="201"/>
      <c r="F1762" s="198"/>
      <c r="G1762" s="201"/>
      <c r="I1762" s="201"/>
      <c r="J1762" s="149"/>
      <c r="K1762" s="198"/>
      <c r="L1762" s="201"/>
      <c r="M1762" s="201"/>
      <c r="N1762" s="201"/>
      <c r="O1762" s="201"/>
      <c r="P1762" s="201"/>
      <c r="Q1762" s="201"/>
      <c r="R1762" s="201"/>
      <c r="S1762" s="201"/>
      <c r="T1762" s="201"/>
      <c r="U1762" s="201"/>
      <c r="V1762" s="201"/>
      <c r="W1762" s="201"/>
      <c r="X1762" s="201"/>
      <c r="Y1762" s="201"/>
      <c r="Z1762" s="201"/>
      <c r="AA1762" s="201"/>
    </row>
    <row r="1763" spans="1:27" ht="17.399999999999999">
      <c r="A1763" s="222"/>
      <c r="B1763" s="222"/>
      <c r="C1763" s="201"/>
      <c r="D1763" s="163"/>
      <c r="E1763" s="201"/>
      <c r="F1763" s="198"/>
      <c r="G1763" s="201"/>
      <c r="I1763" s="201"/>
      <c r="J1763" s="149"/>
      <c r="K1763" s="198"/>
      <c r="L1763" s="201"/>
      <c r="M1763" s="201"/>
      <c r="N1763" s="201"/>
      <c r="O1763" s="201"/>
      <c r="P1763" s="201"/>
      <c r="Q1763" s="201"/>
      <c r="R1763" s="201"/>
      <c r="S1763" s="201"/>
      <c r="T1763" s="201"/>
      <c r="U1763" s="201"/>
      <c r="V1763" s="201"/>
      <c r="W1763" s="201"/>
      <c r="X1763" s="201"/>
      <c r="Y1763" s="201"/>
      <c r="Z1763" s="201"/>
      <c r="AA1763" s="201"/>
    </row>
    <row r="1764" spans="1:27" ht="17.399999999999999">
      <c r="A1764" s="222"/>
      <c r="B1764" s="222"/>
      <c r="C1764" s="201"/>
      <c r="D1764" s="163"/>
      <c r="E1764" s="201"/>
      <c r="F1764" s="198"/>
      <c r="G1764" s="201"/>
      <c r="I1764" s="201"/>
      <c r="J1764" s="149"/>
      <c r="K1764" s="198"/>
      <c r="L1764" s="201"/>
      <c r="M1764" s="201"/>
      <c r="N1764" s="201"/>
      <c r="O1764" s="201"/>
      <c r="P1764" s="201"/>
      <c r="Q1764" s="201"/>
      <c r="R1764" s="201"/>
      <c r="S1764" s="201"/>
      <c r="T1764" s="201"/>
      <c r="U1764" s="201"/>
      <c r="V1764" s="201"/>
      <c r="W1764" s="201"/>
      <c r="X1764" s="201"/>
      <c r="Y1764" s="201"/>
      <c r="Z1764" s="201"/>
      <c r="AA1764" s="201"/>
    </row>
    <row r="1765" spans="1:27" ht="17.399999999999999">
      <c r="A1765" s="222"/>
      <c r="B1765" s="222"/>
      <c r="C1765" s="201"/>
      <c r="D1765" s="163"/>
      <c r="E1765" s="201"/>
      <c r="F1765" s="198"/>
      <c r="G1765" s="201"/>
      <c r="I1765" s="201"/>
      <c r="J1765" s="149"/>
      <c r="K1765" s="198"/>
      <c r="L1765" s="201"/>
      <c r="M1765" s="201"/>
      <c r="N1765" s="201"/>
      <c r="O1765" s="201"/>
      <c r="P1765" s="201"/>
      <c r="Q1765" s="201"/>
      <c r="R1765" s="201"/>
      <c r="S1765" s="201"/>
      <c r="T1765" s="201"/>
      <c r="U1765" s="201"/>
      <c r="V1765" s="201"/>
      <c r="W1765" s="201"/>
      <c r="X1765" s="201"/>
      <c r="Y1765" s="201"/>
      <c r="Z1765" s="201"/>
      <c r="AA1765" s="201"/>
    </row>
    <row r="1766" spans="1:27" ht="17.399999999999999">
      <c r="A1766" s="222"/>
      <c r="B1766" s="222"/>
      <c r="C1766" s="201"/>
      <c r="D1766" s="163"/>
      <c r="E1766" s="201"/>
      <c r="F1766" s="198"/>
      <c r="G1766" s="201"/>
      <c r="I1766" s="201"/>
      <c r="J1766" s="149"/>
      <c r="K1766" s="198"/>
      <c r="L1766" s="201"/>
      <c r="M1766" s="201"/>
      <c r="N1766" s="201"/>
      <c r="O1766" s="201"/>
      <c r="P1766" s="201"/>
      <c r="Q1766" s="201"/>
      <c r="R1766" s="201"/>
      <c r="S1766" s="201"/>
      <c r="T1766" s="201"/>
      <c r="U1766" s="201"/>
      <c r="V1766" s="201"/>
      <c r="W1766" s="201"/>
      <c r="X1766" s="201"/>
      <c r="Y1766" s="201"/>
      <c r="Z1766" s="201"/>
      <c r="AA1766" s="201"/>
    </row>
    <row r="1767" spans="1:27" ht="17.399999999999999">
      <c r="A1767" s="222"/>
      <c r="B1767" s="222"/>
      <c r="C1767" s="201"/>
      <c r="D1767" s="163"/>
      <c r="E1767" s="201"/>
      <c r="F1767" s="198"/>
      <c r="G1767" s="201"/>
      <c r="I1767" s="201"/>
      <c r="J1767" s="149"/>
      <c r="K1767" s="198"/>
      <c r="L1767" s="201"/>
      <c r="M1767" s="201"/>
      <c r="N1767" s="201"/>
      <c r="O1767" s="201"/>
      <c r="P1767" s="201"/>
      <c r="Q1767" s="201"/>
      <c r="R1767" s="201"/>
      <c r="S1767" s="201"/>
      <c r="T1767" s="201"/>
      <c r="U1767" s="201"/>
      <c r="V1767" s="201"/>
      <c r="W1767" s="201"/>
      <c r="X1767" s="201"/>
      <c r="Y1767" s="201"/>
      <c r="Z1767" s="201"/>
      <c r="AA1767" s="201"/>
    </row>
    <row r="1768" spans="1:27" ht="17.399999999999999">
      <c r="A1768" s="222"/>
      <c r="B1768" s="222"/>
      <c r="C1768" s="201"/>
      <c r="D1768" s="163"/>
      <c r="E1768" s="201"/>
      <c r="F1768" s="198"/>
      <c r="G1768" s="201"/>
      <c r="I1768" s="201"/>
      <c r="J1768" s="149"/>
      <c r="K1768" s="198"/>
      <c r="L1768" s="201"/>
      <c r="M1768" s="201"/>
      <c r="N1768" s="201"/>
      <c r="O1768" s="201"/>
      <c r="P1768" s="201"/>
      <c r="Q1768" s="201"/>
      <c r="R1768" s="201"/>
      <c r="S1768" s="201"/>
      <c r="T1768" s="201"/>
      <c r="U1768" s="201"/>
      <c r="V1768" s="201"/>
      <c r="W1768" s="201"/>
      <c r="X1768" s="201"/>
      <c r="Y1768" s="201"/>
      <c r="Z1768" s="201"/>
      <c r="AA1768" s="201"/>
    </row>
    <row r="1769" spans="1:27" ht="17.399999999999999">
      <c r="A1769" s="222"/>
      <c r="B1769" s="222"/>
      <c r="C1769" s="201"/>
      <c r="D1769" s="163"/>
      <c r="E1769" s="201"/>
      <c r="F1769" s="198"/>
      <c r="G1769" s="201"/>
      <c r="I1769" s="201"/>
      <c r="J1769" s="149"/>
      <c r="K1769" s="198"/>
      <c r="L1769" s="201"/>
      <c r="M1769" s="201"/>
      <c r="N1769" s="201"/>
      <c r="O1769" s="201"/>
      <c r="P1769" s="201"/>
      <c r="Q1769" s="201"/>
      <c r="R1769" s="201"/>
      <c r="S1769" s="201"/>
      <c r="T1769" s="201"/>
      <c r="U1769" s="201"/>
      <c r="V1769" s="201"/>
      <c r="W1769" s="201"/>
      <c r="X1769" s="201"/>
      <c r="Y1769" s="201"/>
      <c r="Z1769" s="201"/>
      <c r="AA1769" s="201"/>
    </row>
    <row r="1770" spans="1:27" ht="17.399999999999999">
      <c r="A1770" s="222"/>
      <c r="B1770" s="222"/>
      <c r="C1770" s="201"/>
      <c r="D1770" s="163"/>
      <c r="E1770" s="201"/>
      <c r="F1770" s="198"/>
      <c r="G1770" s="201"/>
      <c r="I1770" s="201"/>
      <c r="J1770" s="149"/>
      <c r="K1770" s="198"/>
      <c r="L1770" s="201"/>
      <c r="M1770" s="201"/>
      <c r="N1770" s="201"/>
      <c r="O1770" s="201"/>
      <c r="P1770" s="201"/>
      <c r="Q1770" s="201"/>
      <c r="R1770" s="201"/>
      <c r="S1770" s="201"/>
      <c r="T1770" s="201"/>
      <c r="U1770" s="201"/>
      <c r="V1770" s="201"/>
      <c r="W1770" s="201"/>
      <c r="X1770" s="201"/>
      <c r="Y1770" s="201"/>
      <c r="Z1770" s="201"/>
      <c r="AA1770" s="201"/>
    </row>
    <row r="1771" spans="1:27" ht="17.399999999999999">
      <c r="A1771" s="222"/>
      <c r="B1771" s="222"/>
      <c r="C1771" s="201"/>
      <c r="D1771" s="163"/>
      <c r="E1771" s="201"/>
      <c r="F1771" s="198"/>
      <c r="G1771" s="201"/>
      <c r="I1771" s="201"/>
      <c r="J1771" s="149"/>
      <c r="K1771" s="198"/>
      <c r="L1771" s="201"/>
      <c r="M1771" s="201"/>
      <c r="N1771" s="201"/>
      <c r="O1771" s="201"/>
      <c r="P1771" s="201"/>
      <c r="Q1771" s="201"/>
      <c r="R1771" s="201"/>
      <c r="S1771" s="201"/>
      <c r="T1771" s="201"/>
      <c r="U1771" s="201"/>
      <c r="V1771" s="201"/>
      <c r="W1771" s="201"/>
      <c r="X1771" s="201"/>
      <c r="Y1771" s="201"/>
      <c r="Z1771" s="201"/>
      <c r="AA1771" s="201"/>
    </row>
    <row r="1772" spans="1:27" ht="17.399999999999999">
      <c r="A1772" s="222"/>
      <c r="B1772" s="222"/>
      <c r="C1772" s="201"/>
      <c r="D1772" s="163"/>
      <c r="E1772" s="201"/>
      <c r="F1772" s="198"/>
      <c r="G1772" s="201"/>
      <c r="I1772" s="201"/>
      <c r="J1772" s="149"/>
      <c r="K1772" s="198"/>
      <c r="L1772" s="201"/>
      <c r="M1772" s="201"/>
      <c r="N1772" s="201"/>
      <c r="O1772" s="201"/>
      <c r="P1772" s="201"/>
      <c r="Q1772" s="201"/>
      <c r="R1772" s="201"/>
      <c r="S1772" s="201"/>
      <c r="T1772" s="201"/>
      <c r="U1772" s="201"/>
      <c r="V1772" s="201"/>
      <c r="W1772" s="201"/>
      <c r="X1772" s="201"/>
      <c r="Y1772" s="201"/>
      <c r="Z1772" s="201"/>
      <c r="AA1772" s="201"/>
    </row>
    <row r="1773" spans="1:27" ht="17.399999999999999">
      <c r="A1773" s="222"/>
      <c r="B1773" s="222"/>
      <c r="C1773" s="201"/>
      <c r="D1773" s="163"/>
      <c r="E1773" s="201"/>
      <c r="F1773" s="198"/>
      <c r="G1773" s="201"/>
      <c r="I1773" s="201"/>
      <c r="J1773" s="149"/>
      <c r="K1773" s="198"/>
      <c r="L1773" s="201"/>
      <c r="M1773" s="201"/>
      <c r="N1773" s="201"/>
      <c r="O1773" s="201"/>
      <c r="P1773" s="201"/>
      <c r="Q1773" s="201"/>
      <c r="R1773" s="201"/>
      <c r="S1773" s="201"/>
      <c r="T1773" s="201"/>
      <c r="U1773" s="201"/>
      <c r="V1773" s="201"/>
      <c r="W1773" s="201"/>
      <c r="X1773" s="201"/>
      <c r="Y1773" s="201"/>
      <c r="Z1773" s="201"/>
      <c r="AA1773" s="201"/>
    </row>
    <row r="1774" spans="1:27" ht="17.399999999999999">
      <c r="A1774" s="222"/>
      <c r="B1774" s="222"/>
      <c r="C1774" s="201"/>
      <c r="D1774" s="163"/>
      <c r="E1774" s="201"/>
      <c r="F1774" s="198"/>
      <c r="G1774" s="201"/>
      <c r="I1774" s="201"/>
      <c r="J1774" s="149"/>
      <c r="K1774" s="198"/>
      <c r="L1774" s="201"/>
      <c r="M1774" s="201"/>
      <c r="N1774" s="201"/>
      <c r="O1774" s="201"/>
      <c r="P1774" s="201"/>
      <c r="Q1774" s="201"/>
      <c r="R1774" s="201"/>
      <c r="S1774" s="201"/>
      <c r="T1774" s="201"/>
      <c r="U1774" s="201"/>
      <c r="V1774" s="201"/>
      <c r="W1774" s="201"/>
      <c r="X1774" s="201"/>
      <c r="Y1774" s="201"/>
      <c r="Z1774" s="201"/>
      <c r="AA1774" s="201"/>
    </row>
    <row r="1775" spans="1:27" ht="17.399999999999999">
      <c r="A1775" s="222"/>
      <c r="B1775" s="222"/>
      <c r="C1775" s="201"/>
      <c r="D1775" s="163"/>
      <c r="E1775" s="201"/>
      <c r="F1775" s="198"/>
      <c r="G1775" s="201"/>
      <c r="I1775" s="201"/>
      <c r="J1775" s="149"/>
      <c r="K1775" s="198"/>
      <c r="L1775" s="201"/>
      <c r="M1775" s="201"/>
      <c r="N1775" s="201"/>
      <c r="O1775" s="201"/>
      <c r="P1775" s="201"/>
      <c r="Q1775" s="201"/>
      <c r="R1775" s="201"/>
      <c r="S1775" s="201"/>
      <c r="T1775" s="201"/>
      <c r="U1775" s="201"/>
      <c r="V1775" s="201"/>
      <c r="W1775" s="201"/>
      <c r="X1775" s="201"/>
      <c r="Y1775" s="201"/>
      <c r="Z1775" s="201"/>
      <c r="AA1775" s="201"/>
    </row>
    <row r="1776" spans="1:27" ht="17.399999999999999">
      <c r="A1776" s="222"/>
      <c r="B1776" s="222"/>
      <c r="C1776" s="201"/>
      <c r="D1776" s="163"/>
      <c r="E1776" s="201"/>
      <c r="F1776" s="198"/>
      <c r="G1776" s="201"/>
      <c r="I1776" s="201"/>
      <c r="J1776" s="149"/>
      <c r="K1776" s="198"/>
      <c r="L1776" s="201"/>
      <c r="M1776" s="201"/>
      <c r="N1776" s="201"/>
      <c r="O1776" s="201"/>
      <c r="P1776" s="201"/>
      <c r="Q1776" s="201"/>
      <c r="R1776" s="201"/>
      <c r="S1776" s="201"/>
      <c r="T1776" s="201"/>
      <c r="U1776" s="201"/>
      <c r="V1776" s="201"/>
      <c r="W1776" s="201"/>
      <c r="X1776" s="201"/>
      <c r="Y1776" s="201"/>
      <c r="Z1776" s="201"/>
      <c r="AA1776" s="201"/>
    </row>
    <row r="1777" spans="1:27" ht="17.399999999999999">
      <c r="A1777" s="222"/>
      <c r="B1777" s="222"/>
      <c r="C1777" s="201"/>
      <c r="D1777" s="163"/>
      <c r="E1777" s="201"/>
      <c r="F1777" s="198"/>
      <c r="G1777" s="201"/>
      <c r="I1777" s="201"/>
      <c r="J1777" s="149"/>
      <c r="K1777" s="198"/>
      <c r="L1777" s="201"/>
      <c r="M1777" s="201"/>
      <c r="N1777" s="201"/>
      <c r="O1777" s="201"/>
      <c r="P1777" s="201"/>
      <c r="Q1777" s="201"/>
      <c r="R1777" s="201"/>
      <c r="S1777" s="201"/>
      <c r="T1777" s="201"/>
      <c r="U1777" s="201"/>
      <c r="V1777" s="201"/>
      <c r="W1777" s="201"/>
      <c r="X1777" s="201"/>
      <c r="Y1777" s="201"/>
      <c r="Z1777" s="201"/>
      <c r="AA1777" s="201"/>
    </row>
    <row r="1778" spans="1:27" ht="17.399999999999999">
      <c r="A1778" s="222"/>
      <c r="B1778" s="222"/>
      <c r="C1778" s="201"/>
      <c r="D1778" s="163"/>
      <c r="E1778" s="201"/>
      <c r="F1778" s="198"/>
      <c r="G1778" s="201"/>
      <c r="I1778" s="201"/>
      <c r="J1778" s="149"/>
      <c r="K1778" s="198"/>
      <c r="L1778" s="201"/>
      <c r="M1778" s="201"/>
      <c r="N1778" s="201"/>
      <c r="O1778" s="201"/>
      <c r="P1778" s="201"/>
      <c r="Q1778" s="201"/>
      <c r="R1778" s="201"/>
      <c r="S1778" s="201"/>
      <c r="T1778" s="201"/>
      <c r="U1778" s="201"/>
      <c r="V1778" s="201"/>
      <c r="W1778" s="201"/>
      <c r="X1778" s="201"/>
      <c r="Y1778" s="201"/>
      <c r="Z1778" s="201"/>
      <c r="AA1778" s="201"/>
    </row>
    <row r="1779" spans="1:27" ht="17.399999999999999">
      <c r="A1779" s="222"/>
      <c r="B1779" s="222"/>
      <c r="C1779" s="201"/>
      <c r="D1779" s="163"/>
      <c r="E1779" s="201"/>
      <c r="F1779" s="198"/>
      <c r="G1779" s="201"/>
      <c r="I1779" s="201"/>
      <c r="J1779" s="149"/>
      <c r="K1779" s="198"/>
      <c r="L1779" s="201"/>
      <c r="M1779" s="201"/>
      <c r="N1779" s="201"/>
      <c r="O1779" s="201"/>
      <c r="P1779" s="201"/>
      <c r="Q1779" s="201"/>
      <c r="R1779" s="201"/>
      <c r="S1779" s="201"/>
      <c r="T1779" s="201"/>
      <c r="U1779" s="201"/>
      <c r="V1779" s="201"/>
      <c r="W1779" s="201"/>
      <c r="X1779" s="201"/>
      <c r="Y1779" s="201"/>
      <c r="Z1779" s="201"/>
      <c r="AA1779" s="201"/>
    </row>
    <row r="1780" spans="1:27" ht="17.399999999999999">
      <c r="A1780" s="222"/>
      <c r="B1780" s="222"/>
      <c r="C1780" s="201"/>
      <c r="D1780" s="163"/>
      <c r="E1780" s="201"/>
      <c r="F1780" s="198"/>
      <c r="G1780" s="201"/>
      <c r="I1780" s="201"/>
      <c r="J1780" s="149"/>
      <c r="K1780" s="198"/>
      <c r="L1780" s="201"/>
      <c r="M1780" s="201"/>
      <c r="N1780" s="201"/>
      <c r="O1780" s="201"/>
      <c r="P1780" s="201"/>
      <c r="Q1780" s="201"/>
      <c r="R1780" s="201"/>
      <c r="S1780" s="201"/>
      <c r="T1780" s="201"/>
      <c r="U1780" s="201"/>
      <c r="V1780" s="201"/>
      <c r="W1780" s="201"/>
      <c r="X1780" s="201"/>
      <c r="Y1780" s="201"/>
      <c r="Z1780" s="201"/>
      <c r="AA1780" s="201"/>
    </row>
    <row r="1781" spans="1:27" ht="17.399999999999999">
      <c r="A1781" s="222"/>
      <c r="B1781" s="222"/>
      <c r="C1781" s="201"/>
      <c r="D1781" s="163"/>
      <c r="E1781" s="201"/>
      <c r="F1781" s="198"/>
      <c r="G1781" s="201"/>
      <c r="I1781" s="201"/>
      <c r="J1781" s="149"/>
      <c r="K1781" s="198"/>
      <c r="L1781" s="201"/>
      <c r="M1781" s="201"/>
      <c r="N1781" s="201"/>
      <c r="O1781" s="201"/>
      <c r="P1781" s="201"/>
      <c r="Q1781" s="201"/>
      <c r="R1781" s="201"/>
      <c r="S1781" s="201"/>
      <c r="T1781" s="201"/>
      <c r="U1781" s="201"/>
      <c r="V1781" s="201"/>
      <c r="W1781" s="201"/>
      <c r="X1781" s="201"/>
      <c r="Y1781" s="201"/>
      <c r="Z1781" s="201"/>
      <c r="AA1781" s="201"/>
    </row>
    <row r="1782" spans="1:27" ht="17.399999999999999">
      <c r="A1782" s="222"/>
      <c r="B1782" s="222"/>
      <c r="C1782" s="201"/>
      <c r="D1782" s="163"/>
      <c r="E1782" s="201"/>
      <c r="F1782" s="198"/>
      <c r="G1782" s="201"/>
      <c r="I1782" s="201"/>
      <c r="J1782" s="149"/>
      <c r="K1782" s="198"/>
      <c r="L1782" s="201"/>
      <c r="M1782" s="201"/>
      <c r="N1782" s="201"/>
      <c r="O1782" s="201"/>
      <c r="P1782" s="201"/>
      <c r="Q1782" s="201"/>
      <c r="R1782" s="201"/>
      <c r="S1782" s="201"/>
      <c r="T1782" s="201"/>
      <c r="U1782" s="201"/>
      <c r="V1782" s="201"/>
      <c r="W1782" s="201"/>
      <c r="X1782" s="201"/>
      <c r="Y1782" s="201"/>
      <c r="Z1782" s="201"/>
      <c r="AA1782" s="201"/>
    </row>
    <row r="1783" spans="1:27" ht="17.399999999999999">
      <c r="A1783" s="222"/>
      <c r="B1783" s="222"/>
      <c r="C1783" s="201"/>
      <c r="D1783" s="163"/>
      <c r="E1783" s="201"/>
      <c r="F1783" s="198"/>
      <c r="G1783" s="201"/>
      <c r="I1783" s="201"/>
      <c r="J1783" s="149"/>
      <c r="K1783" s="198"/>
      <c r="L1783" s="201"/>
      <c r="M1783" s="201"/>
      <c r="N1783" s="201"/>
      <c r="O1783" s="201"/>
      <c r="P1783" s="201"/>
      <c r="Q1783" s="201"/>
      <c r="R1783" s="201"/>
      <c r="S1783" s="201"/>
      <c r="T1783" s="201"/>
      <c r="U1783" s="201"/>
      <c r="V1783" s="201"/>
      <c r="W1783" s="201"/>
      <c r="X1783" s="201"/>
      <c r="Y1783" s="201"/>
      <c r="Z1783" s="201"/>
      <c r="AA1783" s="201"/>
    </row>
    <row r="1784" spans="1:27" ht="17.399999999999999">
      <c r="A1784" s="222"/>
      <c r="B1784" s="222"/>
      <c r="C1784" s="201"/>
      <c r="D1784" s="163"/>
      <c r="E1784" s="201"/>
      <c r="F1784" s="198"/>
      <c r="G1784" s="201"/>
      <c r="I1784" s="201"/>
      <c r="J1784" s="149"/>
      <c r="K1784" s="198"/>
      <c r="L1784" s="201"/>
      <c r="M1784" s="201"/>
      <c r="N1784" s="201"/>
      <c r="O1784" s="201"/>
      <c r="P1784" s="201"/>
      <c r="Q1784" s="201"/>
      <c r="R1784" s="201"/>
      <c r="S1784" s="201"/>
      <c r="T1784" s="201"/>
      <c r="U1784" s="201"/>
      <c r="V1784" s="201"/>
      <c r="W1784" s="201"/>
      <c r="X1784" s="201"/>
      <c r="Y1784" s="201"/>
      <c r="Z1784" s="201"/>
      <c r="AA1784" s="201"/>
    </row>
    <row r="1785" spans="1:27" ht="17.399999999999999">
      <c r="A1785" s="222"/>
      <c r="B1785" s="222"/>
      <c r="C1785" s="201"/>
      <c r="D1785" s="163"/>
      <c r="E1785" s="201"/>
      <c r="F1785" s="198"/>
      <c r="G1785" s="201"/>
      <c r="I1785" s="201"/>
      <c r="J1785" s="149"/>
      <c r="K1785" s="198"/>
      <c r="L1785" s="201"/>
      <c r="M1785" s="201"/>
      <c r="N1785" s="201"/>
      <c r="O1785" s="201"/>
      <c r="P1785" s="201"/>
      <c r="Q1785" s="201"/>
      <c r="R1785" s="201"/>
      <c r="S1785" s="201"/>
      <c r="T1785" s="201"/>
      <c r="U1785" s="201"/>
      <c r="V1785" s="201"/>
      <c r="W1785" s="201"/>
      <c r="X1785" s="201"/>
      <c r="Y1785" s="201"/>
      <c r="Z1785" s="201"/>
      <c r="AA1785" s="201"/>
    </row>
    <row r="1786" spans="1:27" ht="17.399999999999999">
      <c r="A1786" s="222"/>
      <c r="B1786" s="222"/>
      <c r="C1786" s="201"/>
      <c r="D1786" s="163"/>
      <c r="E1786" s="201"/>
      <c r="F1786" s="198"/>
      <c r="G1786" s="201"/>
      <c r="I1786" s="201"/>
      <c r="J1786" s="149"/>
      <c r="K1786" s="198"/>
      <c r="L1786" s="201"/>
      <c r="M1786" s="201"/>
      <c r="N1786" s="201"/>
      <c r="O1786" s="201"/>
      <c r="P1786" s="201"/>
      <c r="Q1786" s="201"/>
      <c r="R1786" s="201"/>
      <c r="S1786" s="201"/>
      <c r="T1786" s="201"/>
      <c r="U1786" s="201"/>
      <c r="V1786" s="201"/>
      <c r="W1786" s="201"/>
      <c r="X1786" s="201"/>
      <c r="Y1786" s="201"/>
      <c r="Z1786" s="201"/>
      <c r="AA1786" s="201"/>
    </row>
    <row r="1787" spans="1:27" ht="17.399999999999999">
      <c r="A1787" s="222"/>
      <c r="B1787" s="222"/>
      <c r="C1787" s="201"/>
      <c r="D1787" s="163"/>
      <c r="E1787" s="201"/>
      <c r="F1787" s="198"/>
      <c r="G1787" s="201"/>
      <c r="I1787" s="201"/>
      <c r="J1787" s="149"/>
      <c r="K1787" s="198"/>
      <c r="L1787" s="201"/>
      <c r="M1787" s="201"/>
      <c r="N1787" s="201"/>
      <c r="O1787" s="201"/>
      <c r="P1787" s="201"/>
      <c r="Q1787" s="201"/>
      <c r="R1787" s="201"/>
      <c r="S1787" s="201"/>
      <c r="T1787" s="201"/>
      <c r="U1787" s="201"/>
      <c r="V1787" s="201"/>
      <c r="W1787" s="201"/>
      <c r="X1787" s="201"/>
      <c r="Y1787" s="201"/>
      <c r="Z1787" s="201"/>
      <c r="AA1787" s="201"/>
    </row>
    <row r="1788" spans="1:27" ht="17.399999999999999">
      <c r="A1788" s="222"/>
      <c r="B1788" s="222"/>
      <c r="C1788" s="201"/>
      <c r="D1788" s="163"/>
      <c r="E1788" s="201"/>
      <c r="F1788" s="198"/>
      <c r="G1788" s="201"/>
      <c r="I1788" s="201"/>
      <c r="J1788" s="149"/>
      <c r="K1788" s="198"/>
      <c r="L1788" s="201"/>
      <c r="M1788" s="201"/>
      <c r="N1788" s="201"/>
      <c r="O1788" s="201"/>
      <c r="P1788" s="201"/>
      <c r="Q1788" s="201"/>
      <c r="R1788" s="201"/>
      <c r="S1788" s="201"/>
      <c r="T1788" s="201"/>
      <c r="U1788" s="201"/>
      <c r="V1788" s="201"/>
      <c r="W1788" s="201"/>
      <c r="X1788" s="201"/>
      <c r="Y1788" s="201"/>
      <c r="Z1788" s="201"/>
      <c r="AA1788" s="201"/>
    </row>
    <row r="1789" spans="1:27" ht="17.399999999999999">
      <c r="A1789" s="222"/>
      <c r="B1789" s="222"/>
      <c r="C1789" s="201"/>
      <c r="D1789" s="163"/>
      <c r="E1789" s="201"/>
      <c r="F1789" s="198"/>
      <c r="G1789" s="201"/>
      <c r="I1789" s="201"/>
      <c r="J1789" s="149"/>
      <c r="K1789" s="198"/>
      <c r="L1789" s="201"/>
      <c r="M1789" s="201"/>
      <c r="N1789" s="201"/>
      <c r="O1789" s="201"/>
      <c r="P1789" s="201"/>
      <c r="Q1789" s="201"/>
      <c r="R1789" s="201"/>
      <c r="S1789" s="201"/>
      <c r="T1789" s="201"/>
      <c r="U1789" s="201"/>
      <c r="V1789" s="201"/>
      <c r="W1789" s="201"/>
      <c r="X1789" s="201"/>
      <c r="Y1789" s="201"/>
      <c r="Z1789" s="201"/>
      <c r="AA1789" s="201"/>
    </row>
    <row r="1790" spans="1:27" ht="17.399999999999999">
      <c r="A1790" s="222"/>
      <c r="B1790" s="222"/>
      <c r="C1790" s="201"/>
      <c r="D1790" s="163"/>
      <c r="E1790" s="201"/>
      <c r="F1790" s="198"/>
      <c r="G1790" s="201"/>
      <c r="I1790" s="201"/>
      <c r="J1790" s="149"/>
      <c r="K1790" s="198"/>
      <c r="L1790" s="201"/>
      <c r="M1790" s="201"/>
      <c r="N1790" s="201"/>
      <c r="O1790" s="201"/>
      <c r="P1790" s="201"/>
      <c r="Q1790" s="201"/>
      <c r="R1790" s="201"/>
      <c r="S1790" s="201"/>
      <c r="T1790" s="201"/>
      <c r="U1790" s="201"/>
      <c r="V1790" s="201"/>
      <c r="W1790" s="201"/>
      <c r="X1790" s="201"/>
      <c r="Y1790" s="201"/>
      <c r="Z1790" s="201"/>
      <c r="AA1790" s="201"/>
    </row>
    <row r="1791" spans="1:27" ht="17.399999999999999">
      <c r="A1791" s="222"/>
      <c r="B1791" s="222"/>
      <c r="C1791" s="201"/>
      <c r="D1791" s="163"/>
      <c r="E1791" s="201"/>
      <c r="F1791" s="198"/>
      <c r="G1791" s="201"/>
      <c r="I1791" s="201"/>
      <c r="J1791" s="149"/>
      <c r="K1791" s="198"/>
      <c r="L1791" s="201"/>
      <c r="M1791" s="201"/>
      <c r="N1791" s="201"/>
      <c r="O1791" s="201"/>
      <c r="P1791" s="201"/>
      <c r="Q1791" s="201"/>
      <c r="R1791" s="201"/>
      <c r="S1791" s="201"/>
      <c r="T1791" s="201"/>
      <c r="U1791" s="201"/>
      <c r="V1791" s="201"/>
      <c r="W1791" s="201"/>
      <c r="X1791" s="201"/>
      <c r="Y1791" s="201"/>
      <c r="Z1791" s="201"/>
      <c r="AA1791" s="201"/>
    </row>
    <row r="1792" spans="1:27" ht="17.399999999999999">
      <c r="A1792" s="222"/>
      <c r="B1792" s="222"/>
      <c r="C1792" s="201"/>
      <c r="D1792" s="163"/>
      <c r="E1792" s="201"/>
      <c r="F1792" s="198"/>
      <c r="G1792" s="201"/>
      <c r="I1792" s="201"/>
      <c r="J1792" s="149"/>
      <c r="K1792" s="198"/>
      <c r="L1792" s="201"/>
      <c r="M1792" s="201"/>
      <c r="N1792" s="201"/>
      <c r="O1792" s="201"/>
      <c r="P1792" s="201"/>
      <c r="Q1792" s="201"/>
      <c r="R1792" s="201"/>
      <c r="S1792" s="201"/>
      <c r="T1792" s="201"/>
      <c r="U1792" s="201"/>
      <c r="V1792" s="201"/>
      <c r="W1792" s="201"/>
      <c r="X1792" s="201"/>
      <c r="Y1792" s="201"/>
      <c r="Z1792" s="201"/>
      <c r="AA1792" s="201"/>
    </row>
    <row r="1793" spans="1:27" ht="17.399999999999999">
      <c r="A1793" s="222"/>
      <c r="B1793" s="222"/>
      <c r="C1793" s="201"/>
      <c r="D1793" s="163"/>
      <c r="E1793" s="201"/>
      <c r="F1793" s="198"/>
      <c r="G1793" s="201"/>
      <c r="I1793" s="201"/>
      <c r="J1793" s="149"/>
      <c r="K1793" s="198"/>
      <c r="L1793" s="201"/>
      <c r="M1793" s="201"/>
      <c r="N1793" s="201"/>
      <c r="O1793" s="201"/>
      <c r="P1793" s="201"/>
      <c r="Q1793" s="201"/>
      <c r="R1793" s="201"/>
      <c r="S1793" s="201"/>
      <c r="T1793" s="201"/>
      <c r="U1793" s="201"/>
      <c r="V1793" s="201"/>
      <c r="W1793" s="201"/>
      <c r="X1793" s="201"/>
      <c r="Y1793" s="201"/>
      <c r="Z1793" s="201"/>
      <c r="AA1793" s="201"/>
    </row>
    <row r="1794" spans="1:27" ht="17.399999999999999">
      <c r="A1794" s="222"/>
      <c r="B1794" s="222"/>
      <c r="C1794" s="201"/>
      <c r="D1794" s="163"/>
      <c r="E1794" s="201"/>
      <c r="F1794" s="198"/>
      <c r="G1794" s="201"/>
      <c r="I1794" s="201"/>
      <c r="J1794" s="149"/>
      <c r="K1794" s="198"/>
      <c r="L1794" s="201"/>
      <c r="M1794" s="201"/>
      <c r="N1794" s="201"/>
      <c r="O1794" s="201"/>
      <c r="P1794" s="201"/>
      <c r="Q1794" s="201"/>
      <c r="R1794" s="201"/>
      <c r="S1794" s="201"/>
      <c r="T1794" s="201"/>
      <c r="U1794" s="201"/>
      <c r="V1794" s="201"/>
      <c r="W1794" s="201"/>
      <c r="X1794" s="201"/>
      <c r="Y1794" s="201"/>
      <c r="Z1794" s="201"/>
      <c r="AA1794" s="201"/>
    </row>
    <row r="1795" spans="1:27" ht="17.399999999999999">
      <c r="A1795" s="222"/>
      <c r="B1795" s="222"/>
      <c r="C1795" s="201"/>
      <c r="D1795" s="163"/>
      <c r="E1795" s="201"/>
      <c r="F1795" s="198"/>
      <c r="G1795" s="201"/>
      <c r="I1795" s="201"/>
      <c r="J1795" s="149"/>
      <c r="K1795" s="198"/>
      <c r="L1795" s="201"/>
      <c r="M1795" s="201"/>
      <c r="N1795" s="201"/>
      <c r="O1795" s="201"/>
      <c r="P1795" s="201"/>
      <c r="Q1795" s="201"/>
      <c r="R1795" s="201"/>
      <c r="S1795" s="201"/>
      <c r="T1795" s="201"/>
      <c r="U1795" s="201"/>
      <c r="V1795" s="201"/>
      <c r="W1795" s="201"/>
      <c r="X1795" s="201"/>
      <c r="Y1795" s="201"/>
      <c r="Z1795" s="201"/>
      <c r="AA1795" s="201"/>
    </row>
    <row r="1796" spans="1:27" ht="17.399999999999999">
      <c r="A1796" s="222"/>
      <c r="B1796" s="222"/>
      <c r="C1796" s="201"/>
      <c r="D1796" s="163"/>
      <c r="E1796" s="201"/>
      <c r="F1796" s="198"/>
      <c r="G1796" s="201"/>
      <c r="I1796" s="201"/>
      <c r="J1796" s="149"/>
      <c r="K1796" s="198"/>
      <c r="L1796" s="201"/>
      <c r="M1796" s="201"/>
      <c r="N1796" s="201"/>
      <c r="O1796" s="201"/>
      <c r="P1796" s="201"/>
      <c r="Q1796" s="201"/>
      <c r="R1796" s="201"/>
      <c r="S1796" s="201"/>
      <c r="T1796" s="201"/>
      <c r="U1796" s="201"/>
      <c r="V1796" s="201"/>
      <c r="W1796" s="201"/>
      <c r="X1796" s="201"/>
      <c r="Y1796" s="201"/>
      <c r="Z1796" s="201"/>
      <c r="AA1796" s="201"/>
    </row>
    <row r="1797" spans="1:27" ht="17.399999999999999">
      <c r="A1797" s="222"/>
      <c r="B1797" s="222"/>
      <c r="C1797" s="201"/>
      <c r="D1797" s="163"/>
      <c r="E1797" s="201"/>
      <c r="F1797" s="198"/>
      <c r="G1797" s="201"/>
      <c r="I1797" s="201"/>
      <c r="J1797" s="149"/>
      <c r="K1797" s="198"/>
      <c r="L1797" s="201"/>
      <c r="M1797" s="201"/>
      <c r="N1797" s="201"/>
      <c r="O1797" s="201"/>
      <c r="P1797" s="201"/>
      <c r="Q1797" s="201"/>
      <c r="R1797" s="201"/>
      <c r="S1797" s="201"/>
      <c r="T1797" s="201"/>
      <c r="U1797" s="201"/>
      <c r="V1797" s="201"/>
      <c r="W1797" s="201"/>
      <c r="X1797" s="201"/>
      <c r="Y1797" s="201"/>
      <c r="Z1797" s="201"/>
      <c r="AA1797" s="201"/>
    </row>
    <row r="1798" spans="1:27" ht="17.399999999999999">
      <c r="A1798" s="222"/>
      <c r="B1798" s="222"/>
      <c r="C1798" s="201"/>
      <c r="D1798" s="163"/>
      <c r="E1798" s="201"/>
      <c r="F1798" s="198"/>
      <c r="G1798" s="201"/>
      <c r="I1798" s="201"/>
      <c r="J1798" s="149"/>
      <c r="K1798" s="198"/>
      <c r="L1798" s="201"/>
      <c r="M1798" s="201"/>
      <c r="N1798" s="201"/>
      <c r="O1798" s="201"/>
      <c r="P1798" s="201"/>
      <c r="Q1798" s="201"/>
      <c r="R1798" s="201"/>
      <c r="S1798" s="201"/>
      <c r="T1798" s="201"/>
      <c r="U1798" s="201"/>
      <c r="V1798" s="201"/>
      <c r="W1798" s="201"/>
      <c r="X1798" s="201"/>
      <c r="Y1798" s="201"/>
      <c r="Z1798" s="201"/>
      <c r="AA1798" s="201"/>
    </row>
    <row r="1799" spans="1:27" ht="17.399999999999999">
      <c r="A1799" s="222"/>
      <c r="B1799" s="222"/>
      <c r="C1799" s="201"/>
      <c r="D1799" s="163"/>
      <c r="E1799" s="201"/>
      <c r="F1799" s="198"/>
      <c r="G1799" s="201"/>
      <c r="I1799" s="201"/>
      <c r="J1799" s="149"/>
      <c r="K1799" s="198"/>
      <c r="L1799" s="201"/>
      <c r="M1799" s="201"/>
      <c r="N1799" s="201"/>
      <c r="O1799" s="201"/>
      <c r="P1799" s="201"/>
      <c r="Q1799" s="201"/>
      <c r="R1799" s="201"/>
      <c r="S1799" s="201"/>
      <c r="T1799" s="201"/>
      <c r="U1799" s="201"/>
      <c r="V1799" s="201"/>
      <c r="W1799" s="201"/>
      <c r="X1799" s="201"/>
      <c r="Y1799" s="201"/>
      <c r="Z1799" s="201"/>
      <c r="AA1799" s="201"/>
    </row>
    <row r="1800" spans="1:27" ht="17.399999999999999">
      <c r="A1800" s="222"/>
      <c r="B1800" s="222"/>
      <c r="C1800" s="201"/>
      <c r="D1800" s="163"/>
      <c r="E1800" s="201"/>
      <c r="F1800" s="198"/>
      <c r="G1800" s="201"/>
      <c r="I1800" s="201"/>
      <c r="J1800" s="149"/>
      <c r="K1800" s="198"/>
      <c r="L1800" s="201"/>
      <c r="M1800" s="201"/>
      <c r="N1800" s="201"/>
      <c r="O1800" s="201"/>
      <c r="P1800" s="201"/>
      <c r="Q1800" s="201"/>
      <c r="R1800" s="201"/>
      <c r="S1800" s="201"/>
      <c r="T1800" s="201"/>
      <c r="U1800" s="201"/>
      <c r="V1800" s="201"/>
      <c r="W1800" s="201"/>
      <c r="X1800" s="201"/>
      <c r="Y1800" s="201"/>
      <c r="Z1800" s="201"/>
      <c r="AA1800" s="201"/>
    </row>
    <row r="1801" spans="1:27" ht="17.399999999999999">
      <c r="A1801" s="222"/>
      <c r="B1801" s="222"/>
      <c r="C1801" s="201"/>
      <c r="D1801" s="163"/>
      <c r="E1801" s="201"/>
      <c r="F1801" s="198"/>
      <c r="G1801" s="201"/>
      <c r="I1801" s="201"/>
      <c r="J1801" s="149"/>
      <c r="K1801" s="198"/>
      <c r="L1801" s="201"/>
      <c r="M1801" s="201"/>
      <c r="N1801" s="201"/>
      <c r="O1801" s="201"/>
      <c r="P1801" s="201"/>
      <c r="Q1801" s="201"/>
      <c r="R1801" s="201"/>
      <c r="S1801" s="201"/>
      <c r="T1801" s="201"/>
      <c r="U1801" s="201"/>
      <c r="V1801" s="201"/>
      <c r="W1801" s="201"/>
      <c r="X1801" s="201"/>
      <c r="Y1801" s="201"/>
      <c r="Z1801" s="201"/>
      <c r="AA1801" s="201"/>
    </row>
    <row r="1802" spans="1:27" ht="17.399999999999999">
      <c r="A1802" s="222"/>
      <c r="B1802" s="222"/>
      <c r="C1802" s="201"/>
      <c r="D1802" s="163"/>
      <c r="E1802" s="201"/>
      <c r="F1802" s="198"/>
      <c r="G1802" s="201"/>
      <c r="I1802" s="201"/>
      <c r="J1802" s="149"/>
      <c r="K1802" s="198"/>
      <c r="L1802" s="201"/>
      <c r="M1802" s="201"/>
      <c r="N1802" s="201"/>
      <c r="O1802" s="201"/>
      <c r="P1802" s="201"/>
      <c r="Q1802" s="201"/>
      <c r="R1802" s="201"/>
      <c r="S1802" s="201"/>
      <c r="T1802" s="201"/>
      <c r="U1802" s="201"/>
      <c r="V1802" s="201"/>
      <c r="W1802" s="201"/>
      <c r="X1802" s="201"/>
      <c r="Y1802" s="201"/>
      <c r="Z1802" s="201"/>
      <c r="AA1802" s="201"/>
    </row>
    <row r="1803" spans="1:27" ht="17.399999999999999">
      <c r="A1803" s="222"/>
      <c r="B1803" s="222"/>
      <c r="C1803" s="201"/>
      <c r="D1803" s="163"/>
      <c r="E1803" s="201"/>
      <c r="F1803" s="198"/>
      <c r="G1803" s="201"/>
      <c r="I1803" s="201"/>
      <c r="J1803" s="149"/>
      <c r="K1803" s="198"/>
      <c r="L1803" s="201"/>
      <c r="M1803" s="201"/>
      <c r="N1803" s="201"/>
      <c r="O1803" s="201"/>
      <c r="P1803" s="201"/>
      <c r="Q1803" s="201"/>
      <c r="R1803" s="201"/>
      <c r="S1803" s="201"/>
      <c r="T1803" s="201"/>
      <c r="U1803" s="201"/>
      <c r="V1803" s="201"/>
      <c r="W1803" s="201"/>
      <c r="X1803" s="201"/>
      <c r="Y1803" s="201"/>
      <c r="Z1803" s="201"/>
      <c r="AA1803" s="201"/>
    </row>
    <row r="1804" spans="1:27" ht="17.399999999999999">
      <c r="A1804" s="222"/>
      <c r="B1804" s="222"/>
      <c r="C1804" s="201"/>
      <c r="D1804" s="163"/>
      <c r="E1804" s="201"/>
      <c r="F1804" s="198"/>
      <c r="G1804" s="201"/>
      <c r="I1804" s="201"/>
      <c r="J1804" s="149"/>
      <c r="K1804" s="198"/>
      <c r="L1804" s="201"/>
      <c r="M1804" s="201"/>
      <c r="N1804" s="201"/>
      <c r="O1804" s="201"/>
      <c r="P1804" s="201"/>
      <c r="Q1804" s="201"/>
      <c r="R1804" s="201"/>
      <c r="S1804" s="201"/>
      <c r="T1804" s="201"/>
      <c r="U1804" s="201"/>
      <c r="V1804" s="201"/>
      <c r="W1804" s="201"/>
      <c r="X1804" s="201"/>
      <c r="Y1804" s="201"/>
      <c r="Z1804" s="201"/>
      <c r="AA1804" s="201"/>
    </row>
    <row r="1805" spans="1:27" ht="17.399999999999999">
      <c r="A1805" s="222"/>
      <c r="B1805" s="222"/>
      <c r="C1805" s="201"/>
      <c r="D1805" s="163"/>
      <c r="E1805" s="201"/>
      <c r="F1805" s="198"/>
      <c r="G1805" s="201"/>
      <c r="I1805" s="201"/>
      <c r="J1805" s="149"/>
      <c r="K1805" s="198"/>
      <c r="L1805" s="201"/>
      <c r="M1805" s="201"/>
      <c r="N1805" s="201"/>
      <c r="O1805" s="201"/>
      <c r="P1805" s="201"/>
      <c r="Q1805" s="201"/>
      <c r="R1805" s="201"/>
      <c r="S1805" s="201"/>
      <c r="T1805" s="201"/>
      <c r="U1805" s="201"/>
      <c r="V1805" s="201"/>
      <c r="W1805" s="201"/>
      <c r="X1805" s="201"/>
      <c r="Y1805" s="201"/>
      <c r="Z1805" s="201"/>
      <c r="AA1805" s="201"/>
    </row>
    <row r="1806" spans="1:27" ht="17.399999999999999">
      <c r="A1806" s="222"/>
      <c r="B1806" s="222"/>
      <c r="C1806" s="201"/>
      <c r="D1806" s="163"/>
      <c r="E1806" s="201"/>
      <c r="F1806" s="198"/>
      <c r="G1806" s="201"/>
      <c r="I1806" s="201"/>
      <c r="J1806" s="149"/>
      <c r="K1806" s="198"/>
      <c r="L1806" s="201"/>
      <c r="M1806" s="201"/>
      <c r="N1806" s="201"/>
      <c r="O1806" s="201"/>
      <c r="P1806" s="201"/>
      <c r="Q1806" s="201"/>
      <c r="R1806" s="201"/>
      <c r="S1806" s="201"/>
      <c r="T1806" s="201"/>
      <c r="U1806" s="201"/>
      <c r="V1806" s="201"/>
      <c r="W1806" s="201"/>
      <c r="X1806" s="201"/>
      <c r="Y1806" s="201"/>
      <c r="Z1806" s="201"/>
      <c r="AA1806" s="201"/>
    </row>
    <row r="1807" spans="1:27" ht="17.399999999999999">
      <c r="A1807" s="222"/>
      <c r="B1807" s="222"/>
      <c r="C1807" s="201"/>
      <c r="D1807" s="163"/>
      <c r="E1807" s="201"/>
      <c r="F1807" s="198"/>
      <c r="G1807" s="201"/>
      <c r="I1807" s="201"/>
      <c r="J1807" s="149"/>
      <c r="K1807" s="198"/>
      <c r="L1807" s="201"/>
      <c r="M1807" s="201"/>
      <c r="N1807" s="201"/>
      <c r="O1807" s="201"/>
      <c r="P1807" s="201"/>
      <c r="Q1807" s="201"/>
      <c r="R1807" s="201"/>
      <c r="S1807" s="201"/>
      <c r="T1807" s="201"/>
      <c r="U1807" s="201"/>
      <c r="V1807" s="201"/>
      <c r="W1807" s="201"/>
      <c r="X1807" s="201"/>
      <c r="Y1807" s="201"/>
      <c r="Z1807" s="201"/>
      <c r="AA1807" s="201"/>
    </row>
    <row r="1808" spans="1:27" ht="17.399999999999999">
      <c r="A1808" s="222"/>
      <c r="B1808" s="222"/>
      <c r="C1808" s="201"/>
      <c r="D1808" s="163"/>
      <c r="E1808" s="201"/>
      <c r="F1808" s="198"/>
      <c r="G1808" s="201"/>
      <c r="I1808" s="201"/>
      <c r="J1808" s="149"/>
      <c r="K1808" s="198"/>
      <c r="L1808" s="201"/>
      <c r="M1808" s="201"/>
      <c r="N1808" s="201"/>
      <c r="O1808" s="201"/>
      <c r="P1808" s="201"/>
      <c r="Q1808" s="201"/>
      <c r="R1808" s="201"/>
      <c r="S1808" s="201"/>
      <c r="T1808" s="201"/>
      <c r="U1808" s="201"/>
      <c r="V1808" s="201"/>
      <c r="W1808" s="201"/>
      <c r="X1808" s="201"/>
      <c r="Y1808" s="201"/>
      <c r="Z1808" s="201"/>
      <c r="AA1808" s="201"/>
    </row>
    <row r="1809" spans="1:27" ht="17.399999999999999">
      <c r="A1809" s="222"/>
      <c r="B1809" s="222"/>
      <c r="C1809" s="201"/>
      <c r="D1809" s="163"/>
      <c r="E1809" s="201"/>
      <c r="F1809" s="198"/>
      <c r="G1809" s="201"/>
      <c r="I1809" s="201"/>
      <c r="J1809" s="149"/>
      <c r="K1809" s="198"/>
      <c r="L1809" s="201"/>
      <c r="M1809" s="201"/>
      <c r="N1809" s="201"/>
      <c r="O1809" s="201"/>
      <c r="P1809" s="201"/>
      <c r="Q1809" s="201"/>
      <c r="R1809" s="201"/>
      <c r="S1809" s="201"/>
      <c r="T1809" s="201"/>
      <c r="U1809" s="201"/>
      <c r="V1809" s="201"/>
      <c r="W1809" s="201"/>
      <c r="X1809" s="201"/>
      <c r="Y1809" s="201"/>
      <c r="Z1809" s="201"/>
      <c r="AA1809" s="201"/>
    </row>
    <row r="1810" spans="1:27" ht="17.399999999999999">
      <c r="A1810" s="222"/>
      <c r="B1810" s="222"/>
      <c r="C1810" s="201"/>
      <c r="D1810" s="163"/>
      <c r="E1810" s="201"/>
      <c r="F1810" s="198"/>
      <c r="G1810" s="201"/>
      <c r="I1810" s="201"/>
      <c r="J1810" s="149"/>
      <c r="K1810" s="198"/>
      <c r="L1810" s="201"/>
      <c r="M1810" s="201"/>
      <c r="N1810" s="201"/>
      <c r="O1810" s="201"/>
      <c r="P1810" s="201"/>
      <c r="Q1810" s="201"/>
      <c r="R1810" s="201"/>
      <c r="S1810" s="201"/>
      <c r="T1810" s="201"/>
      <c r="U1810" s="201"/>
      <c r="V1810" s="201"/>
      <c r="W1810" s="201"/>
      <c r="X1810" s="201"/>
      <c r="Y1810" s="201"/>
      <c r="Z1810" s="201"/>
      <c r="AA1810" s="201"/>
    </row>
    <row r="1811" spans="1:27" ht="17.399999999999999">
      <c r="A1811" s="222"/>
      <c r="B1811" s="222"/>
      <c r="C1811" s="201"/>
      <c r="D1811" s="163"/>
      <c r="E1811" s="201"/>
      <c r="F1811" s="198"/>
      <c r="G1811" s="201"/>
      <c r="I1811" s="201"/>
      <c r="J1811" s="149"/>
      <c r="K1811" s="198"/>
      <c r="L1811" s="201"/>
      <c r="M1811" s="201"/>
      <c r="N1811" s="201"/>
      <c r="O1811" s="201"/>
      <c r="P1811" s="201"/>
      <c r="Q1811" s="201"/>
      <c r="R1811" s="201"/>
      <c r="S1811" s="201"/>
      <c r="T1811" s="201"/>
      <c r="U1811" s="201"/>
      <c r="V1811" s="201"/>
      <c r="W1811" s="201"/>
      <c r="X1811" s="201"/>
      <c r="Y1811" s="201"/>
      <c r="Z1811" s="201"/>
      <c r="AA1811" s="201"/>
    </row>
    <row r="1812" spans="1:27" ht="17.399999999999999">
      <c r="A1812" s="222"/>
      <c r="B1812" s="222"/>
      <c r="C1812" s="201"/>
      <c r="D1812" s="163"/>
      <c r="E1812" s="201"/>
      <c r="F1812" s="198"/>
      <c r="G1812" s="201"/>
      <c r="I1812" s="201"/>
      <c r="J1812" s="149"/>
      <c r="K1812" s="198"/>
      <c r="L1812" s="201"/>
      <c r="M1812" s="201"/>
      <c r="N1812" s="201"/>
      <c r="O1812" s="201"/>
      <c r="P1812" s="201"/>
      <c r="Q1812" s="201"/>
      <c r="R1812" s="201"/>
      <c r="S1812" s="201"/>
      <c r="T1812" s="201"/>
      <c r="U1812" s="201"/>
      <c r="V1812" s="201"/>
      <c r="W1812" s="201"/>
      <c r="X1812" s="201"/>
      <c r="Y1812" s="201"/>
      <c r="Z1812" s="201"/>
      <c r="AA1812" s="201"/>
    </row>
    <row r="1813" spans="1:27" ht="17.399999999999999">
      <c r="A1813" s="222"/>
      <c r="B1813" s="222"/>
      <c r="C1813" s="201"/>
      <c r="D1813" s="163"/>
      <c r="E1813" s="201"/>
      <c r="F1813" s="198"/>
      <c r="G1813" s="201"/>
      <c r="I1813" s="201"/>
      <c r="J1813" s="149"/>
      <c r="K1813" s="198"/>
      <c r="L1813" s="201"/>
      <c r="M1813" s="201"/>
      <c r="N1813" s="201"/>
      <c r="O1813" s="201"/>
      <c r="P1813" s="201"/>
      <c r="Q1813" s="201"/>
      <c r="R1813" s="201"/>
      <c r="S1813" s="201"/>
      <c r="T1813" s="201"/>
      <c r="U1813" s="201"/>
      <c r="V1813" s="201"/>
      <c r="W1813" s="201"/>
      <c r="X1813" s="201"/>
      <c r="Y1813" s="201"/>
      <c r="Z1813" s="201"/>
      <c r="AA1813" s="201"/>
    </row>
    <row r="1814" spans="1:27" ht="17.399999999999999">
      <c r="A1814" s="222"/>
      <c r="B1814" s="222"/>
      <c r="C1814" s="201"/>
      <c r="D1814" s="163"/>
      <c r="E1814" s="201"/>
      <c r="F1814" s="198"/>
      <c r="G1814" s="201"/>
      <c r="I1814" s="201"/>
      <c r="J1814" s="149"/>
      <c r="K1814" s="198"/>
      <c r="L1814" s="201"/>
      <c r="M1814" s="201"/>
      <c r="N1814" s="201"/>
      <c r="O1814" s="201"/>
      <c r="P1814" s="201"/>
      <c r="Q1814" s="201"/>
      <c r="R1814" s="201"/>
      <c r="S1814" s="201"/>
      <c r="T1814" s="201"/>
      <c r="U1814" s="201"/>
      <c r="V1814" s="201"/>
      <c r="W1814" s="201"/>
      <c r="X1814" s="201"/>
      <c r="Y1814" s="201"/>
      <c r="Z1814" s="201"/>
      <c r="AA1814" s="201"/>
    </row>
    <row r="1815" spans="1:27" ht="17.399999999999999">
      <c r="A1815" s="222"/>
      <c r="B1815" s="222"/>
      <c r="C1815" s="201"/>
      <c r="D1815" s="163"/>
      <c r="E1815" s="201"/>
      <c r="F1815" s="198"/>
      <c r="G1815" s="201"/>
      <c r="I1815" s="201"/>
      <c r="J1815" s="149"/>
      <c r="K1815" s="198"/>
      <c r="L1815" s="201"/>
      <c r="M1815" s="201"/>
      <c r="N1815" s="201"/>
      <c r="O1815" s="201"/>
      <c r="P1815" s="201"/>
      <c r="Q1815" s="201"/>
      <c r="R1815" s="201"/>
      <c r="S1815" s="201"/>
      <c r="T1815" s="201"/>
      <c r="U1815" s="201"/>
      <c r="V1815" s="201"/>
      <c r="W1815" s="201"/>
      <c r="X1815" s="201"/>
      <c r="Y1815" s="201"/>
      <c r="Z1815" s="201"/>
      <c r="AA1815" s="201"/>
    </row>
    <row r="1816" spans="1:27" ht="17.399999999999999">
      <c r="A1816" s="222"/>
      <c r="B1816" s="222"/>
      <c r="C1816" s="201"/>
      <c r="D1816" s="163"/>
      <c r="E1816" s="201"/>
      <c r="F1816" s="198"/>
      <c r="G1816" s="201"/>
      <c r="I1816" s="201"/>
      <c r="J1816" s="149"/>
      <c r="K1816" s="198"/>
      <c r="L1816" s="201"/>
      <c r="M1816" s="201"/>
      <c r="N1816" s="201"/>
      <c r="O1816" s="201"/>
      <c r="P1816" s="201"/>
      <c r="Q1816" s="201"/>
      <c r="R1816" s="201"/>
      <c r="S1816" s="201"/>
      <c r="T1816" s="201"/>
      <c r="U1816" s="201"/>
      <c r="V1816" s="201"/>
      <c r="W1816" s="201"/>
      <c r="X1816" s="201"/>
      <c r="Y1816" s="201"/>
      <c r="Z1816" s="201"/>
      <c r="AA1816" s="201"/>
    </row>
    <row r="1817" spans="1:27" ht="17.399999999999999">
      <c r="A1817" s="222"/>
      <c r="B1817" s="222"/>
      <c r="C1817" s="201"/>
      <c r="D1817" s="163"/>
      <c r="E1817" s="201"/>
      <c r="F1817" s="198"/>
      <c r="G1817" s="201"/>
      <c r="I1817" s="201"/>
      <c r="J1817" s="149"/>
      <c r="K1817" s="198"/>
      <c r="L1817" s="201"/>
      <c r="M1817" s="201"/>
      <c r="N1817" s="201"/>
      <c r="O1817" s="201"/>
      <c r="P1817" s="201"/>
      <c r="Q1817" s="201"/>
      <c r="R1817" s="201"/>
      <c r="S1817" s="201"/>
      <c r="T1817" s="201"/>
      <c r="U1817" s="201"/>
      <c r="V1817" s="201"/>
      <c r="W1817" s="201"/>
      <c r="X1817" s="201"/>
      <c r="Y1817" s="201"/>
      <c r="Z1817" s="201"/>
      <c r="AA1817" s="201"/>
    </row>
    <row r="1818" spans="1:27" ht="17.399999999999999">
      <c r="A1818" s="222"/>
      <c r="B1818" s="222"/>
      <c r="C1818" s="201"/>
      <c r="D1818" s="163"/>
      <c r="E1818" s="201"/>
      <c r="F1818" s="198"/>
      <c r="G1818" s="201"/>
      <c r="I1818" s="201"/>
      <c r="J1818" s="149"/>
      <c r="K1818" s="198"/>
      <c r="L1818" s="201"/>
      <c r="M1818" s="201"/>
      <c r="N1818" s="201"/>
      <c r="O1818" s="201"/>
      <c r="P1818" s="201"/>
      <c r="Q1818" s="201"/>
      <c r="R1818" s="201"/>
      <c r="S1818" s="201"/>
      <c r="T1818" s="201"/>
      <c r="U1818" s="201"/>
      <c r="V1818" s="201"/>
      <c r="W1818" s="201"/>
      <c r="X1818" s="201"/>
      <c r="Y1818" s="201"/>
      <c r="Z1818" s="201"/>
      <c r="AA1818" s="201"/>
    </row>
    <row r="1819" spans="1:27" ht="17.399999999999999">
      <c r="A1819" s="222"/>
      <c r="B1819" s="222"/>
      <c r="C1819" s="201"/>
      <c r="D1819" s="163"/>
      <c r="E1819" s="201"/>
      <c r="F1819" s="198"/>
      <c r="G1819" s="201"/>
      <c r="I1819" s="201"/>
      <c r="J1819" s="149"/>
      <c r="K1819" s="198"/>
      <c r="L1819" s="201"/>
      <c r="M1819" s="201"/>
      <c r="N1819" s="201"/>
      <c r="O1819" s="201"/>
      <c r="P1819" s="201"/>
      <c r="Q1819" s="201"/>
      <c r="R1819" s="201"/>
      <c r="S1819" s="201"/>
      <c r="T1819" s="201"/>
      <c r="U1819" s="201"/>
      <c r="V1819" s="201"/>
      <c r="W1819" s="201"/>
      <c r="X1819" s="201"/>
      <c r="Y1819" s="201"/>
      <c r="Z1819" s="201"/>
      <c r="AA1819" s="201"/>
    </row>
    <row r="1820" spans="1:27" ht="17.399999999999999">
      <c r="A1820" s="222"/>
      <c r="B1820" s="222"/>
      <c r="C1820" s="201"/>
      <c r="D1820" s="163"/>
      <c r="E1820" s="201"/>
      <c r="F1820" s="198"/>
      <c r="G1820" s="201"/>
      <c r="I1820" s="201"/>
      <c r="J1820" s="149"/>
      <c r="K1820" s="198"/>
      <c r="L1820" s="201"/>
      <c r="M1820" s="201"/>
      <c r="N1820" s="201"/>
      <c r="O1820" s="201"/>
      <c r="P1820" s="201"/>
      <c r="Q1820" s="201"/>
      <c r="R1820" s="201"/>
      <c r="S1820" s="201"/>
      <c r="T1820" s="201"/>
      <c r="U1820" s="201"/>
      <c r="V1820" s="201"/>
      <c r="W1820" s="201"/>
      <c r="X1820" s="201"/>
      <c r="Y1820" s="201"/>
      <c r="Z1820" s="201"/>
      <c r="AA1820" s="201"/>
    </row>
    <row r="1821" spans="1:27" ht="17.399999999999999">
      <c r="A1821" s="222"/>
      <c r="B1821" s="222"/>
      <c r="C1821" s="201"/>
      <c r="D1821" s="163"/>
      <c r="E1821" s="201"/>
      <c r="F1821" s="198"/>
      <c r="G1821" s="201"/>
      <c r="I1821" s="201"/>
      <c r="J1821" s="149"/>
      <c r="K1821" s="198"/>
      <c r="L1821" s="201"/>
      <c r="M1821" s="201"/>
      <c r="N1821" s="201"/>
      <c r="O1821" s="201"/>
      <c r="P1821" s="201"/>
      <c r="Q1821" s="201"/>
      <c r="R1821" s="201"/>
      <c r="S1821" s="201"/>
      <c r="T1821" s="201"/>
      <c r="U1821" s="201"/>
      <c r="V1821" s="201"/>
      <c r="W1821" s="201"/>
      <c r="X1821" s="201"/>
      <c r="Y1821" s="201"/>
      <c r="Z1821" s="201"/>
      <c r="AA1821" s="201"/>
    </row>
    <row r="1822" spans="1:27" ht="17.399999999999999">
      <c r="A1822" s="222"/>
      <c r="B1822" s="222"/>
      <c r="C1822" s="201"/>
      <c r="D1822" s="163"/>
      <c r="E1822" s="201"/>
      <c r="F1822" s="198"/>
      <c r="G1822" s="201"/>
      <c r="I1822" s="201"/>
      <c r="J1822" s="149"/>
      <c r="K1822" s="198"/>
      <c r="L1822" s="201"/>
      <c r="M1822" s="201"/>
      <c r="N1822" s="201"/>
      <c r="O1822" s="201"/>
      <c r="P1822" s="201"/>
      <c r="Q1822" s="201"/>
      <c r="R1822" s="201"/>
      <c r="S1822" s="201"/>
      <c r="T1822" s="201"/>
      <c r="U1822" s="201"/>
      <c r="V1822" s="201"/>
      <c r="W1822" s="201"/>
      <c r="X1822" s="201"/>
      <c r="Y1822" s="201"/>
      <c r="Z1822" s="201"/>
      <c r="AA1822" s="201"/>
    </row>
    <row r="1823" spans="1:27" ht="17.399999999999999">
      <c r="A1823" s="222"/>
      <c r="B1823" s="222"/>
      <c r="C1823" s="201"/>
      <c r="D1823" s="163"/>
      <c r="E1823" s="201"/>
      <c r="F1823" s="198"/>
      <c r="G1823" s="201"/>
      <c r="I1823" s="201"/>
      <c r="J1823" s="149"/>
      <c r="K1823" s="198"/>
      <c r="L1823" s="201"/>
      <c r="M1823" s="201"/>
      <c r="N1823" s="201"/>
      <c r="O1823" s="201"/>
      <c r="P1823" s="201"/>
      <c r="Q1823" s="201"/>
      <c r="R1823" s="201"/>
      <c r="S1823" s="201"/>
      <c r="T1823" s="201"/>
      <c r="U1823" s="201"/>
      <c r="V1823" s="201"/>
      <c r="W1823" s="201"/>
      <c r="X1823" s="201"/>
      <c r="Y1823" s="201"/>
      <c r="Z1823" s="201"/>
      <c r="AA1823" s="201"/>
    </row>
    <row r="1824" spans="1:27" ht="17.399999999999999">
      <c r="A1824" s="222"/>
      <c r="B1824" s="222"/>
      <c r="C1824" s="201"/>
      <c r="D1824" s="163"/>
      <c r="E1824" s="201"/>
      <c r="F1824" s="198"/>
      <c r="G1824" s="201"/>
      <c r="I1824" s="201"/>
      <c r="J1824" s="149"/>
      <c r="K1824" s="198"/>
      <c r="L1824" s="201"/>
      <c r="M1824" s="201"/>
      <c r="N1824" s="201"/>
      <c r="O1824" s="201"/>
      <c r="P1824" s="201"/>
      <c r="Q1824" s="201"/>
      <c r="R1824" s="201"/>
      <c r="S1824" s="201"/>
      <c r="T1824" s="201"/>
      <c r="U1824" s="201"/>
      <c r="V1824" s="201"/>
      <c r="W1824" s="201"/>
      <c r="X1824" s="201"/>
      <c r="Y1824" s="201"/>
      <c r="Z1824" s="201"/>
      <c r="AA1824" s="201"/>
    </row>
    <row r="1825" spans="1:27" ht="17.399999999999999">
      <c r="A1825" s="222"/>
      <c r="B1825" s="222"/>
      <c r="C1825" s="201"/>
      <c r="D1825" s="163"/>
      <c r="E1825" s="201"/>
      <c r="F1825" s="198"/>
      <c r="G1825" s="201"/>
      <c r="I1825" s="201"/>
      <c r="J1825" s="149"/>
      <c r="K1825" s="198"/>
      <c r="L1825" s="201"/>
      <c r="M1825" s="201"/>
      <c r="N1825" s="201"/>
      <c r="O1825" s="201"/>
      <c r="P1825" s="201"/>
      <c r="Q1825" s="201"/>
      <c r="R1825" s="201"/>
      <c r="S1825" s="201"/>
      <c r="T1825" s="201"/>
      <c r="U1825" s="201"/>
      <c r="V1825" s="201"/>
      <c r="W1825" s="201"/>
      <c r="X1825" s="201"/>
      <c r="Y1825" s="201"/>
      <c r="Z1825" s="201"/>
      <c r="AA1825" s="201"/>
    </row>
    <row r="1826" spans="1:27" ht="17.399999999999999">
      <c r="A1826" s="222"/>
      <c r="B1826" s="222"/>
      <c r="C1826" s="201"/>
      <c r="D1826" s="163"/>
      <c r="E1826" s="201"/>
      <c r="F1826" s="198"/>
      <c r="G1826" s="201"/>
      <c r="I1826" s="201"/>
      <c r="J1826" s="149"/>
      <c r="K1826" s="198"/>
      <c r="L1826" s="201"/>
      <c r="M1826" s="201"/>
      <c r="N1826" s="201"/>
      <c r="O1826" s="201"/>
      <c r="P1826" s="201"/>
      <c r="Q1826" s="201"/>
      <c r="R1826" s="201"/>
      <c r="S1826" s="201"/>
      <c r="T1826" s="201"/>
      <c r="U1826" s="201"/>
      <c r="V1826" s="201"/>
      <c r="W1826" s="201"/>
      <c r="X1826" s="201"/>
      <c r="Y1826" s="201"/>
      <c r="Z1826" s="201"/>
      <c r="AA1826" s="201"/>
    </row>
    <row r="1827" spans="1:27" ht="17.399999999999999">
      <c r="A1827" s="222"/>
      <c r="B1827" s="222"/>
      <c r="C1827" s="201"/>
      <c r="D1827" s="163"/>
      <c r="E1827" s="201"/>
      <c r="F1827" s="198"/>
      <c r="G1827" s="201"/>
      <c r="I1827" s="201"/>
      <c r="J1827" s="149"/>
      <c r="K1827" s="198"/>
      <c r="L1827" s="201"/>
      <c r="M1827" s="201"/>
      <c r="N1827" s="201"/>
      <c r="O1827" s="201"/>
      <c r="P1827" s="201"/>
      <c r="Q1827" s="201"/>
      <c r="R1827" s="201"/>
      <c r="S1827" s="201"/>
      <c r="T1827" s="201"/>
      <c r="U1827" s="201"/>
      <c r="V1827" s="201"/>
      <c r="W1827" s="201"/>
      <c r="X1827" s="201"/>
      <c r="Y1827" s="201"/>
      <c r="Z1827" s="201"/>
      <c r="AA1827" s="201"/>
    </row>
    <row r="1828" spans="1:27" ht="17.399999999999999">
      <c r="A1828" s="222"/>
      <c r="B1828" s="222"/>
      <c r="C1828" s="201"/>
      <c r="D1828" s="163"/>
      <c r="E1828" s="201"/>
      <c r="F1828" s="198"/>
      <c r="G1828" s="201"/>
      <c r="I1828" s="201"/>
      <c r="J1828" s="149"/>
      <c r="K1828" s="198"/>
      <c r="L1828" s="201"/>
      <c r="M1828" s="201"/>
      <c r="N1828" s="201"/>
      <c r="O1828" s="201"/>
      <c r="P1828" s="201"/>
      <c r="Q1828" s="201"/>
      <c r="R1828" s="201"/>
      <c r="S1828" s="201"/>
      <c r="T1828" s="201"/>
      <c r="U1828" s="201"/>
      <c r="V1828" s="201"/>
      <c r="W1828" s="201"/>
      <c r="X1828" s="201"/>
      <c r="Y1828" s="201"/>
      <c r="Z1828" s="201"/>
      <c r="AA1828" s="201"/>
    </row>
    <row r="1829" spans="1:27" ht="17.399999999999999">
      <c r="A1829" s="222"/>
      <c r="B1829" s="222"/>
      <c r="C1829" s="201"/>
      <c r="D1829" s="163"/>
      <c r="E1829" s="201"/>
      <c r="F1829" s="198"/>
      <c r="G1829" s="201"/>
      <c r="I1829" s="201"/>
      <c r="J1829" s="149"/>
      <c r="K1829" s="198"/>
      <c r="L1829" s="201"/>
      <c r="M1829" s="201"/>
      <c r="N1829" s="201"/>
      <c r="O1829" s="201"/>
      <c r="P1829" s="201"/>
      <c r="Q1829" s="201"/>
      <c r="R1829" s="201"/>
      <c r="S1829" s="201"/>
      <c r="T1829" s="201"/>
      <c r="U1829" s="201"/>
      <c r="V1829" s="201"/>
      <c r="W1829" s="201"/>
      <c r="X1829" s="201"/>
      <c r="Y1829" s="201"/>
      <c r="Z1829" s="201"/>
      <c r="AA1829" s="201"/>
    </row>
    <row r="1830" spans="1:27" ht="17.399999999999999">
      <c r="A1830" s="222"/>
      <c r="B1830" s="222"/>
      <c r="C1830" s="201"/>
      <c r="D1830" s="163"/>
      <c r="E1830" s="201"/>
      <c r="F1830" s="198"/>
      <c r="G1830" s="201"/>
      <c r="I1830" s="201"/>
      <c r="J1830" s="149"/>
      <c r="K1830" s="198"/>
      <c r="L1830" s="201"/>
      <c r="M1830" s="201"/>
      <c r="N1830" s="201"/>
      <c r="O1830" s="201"/>
      <c r="P1830" s="201"/>
      <c r="Q1830" s="201"/>
      <c r="R1830" s="201"/>
      <c r="S1830" s="201"/>
      <c r="T1830" s="201"/>
      <c r="U1830" s="201"/>
      <c r="V1830" s="201"/>
      <c r="W1830" s="201"/>
      <c r="X1830" s="201"/>
      <c r="Y1830" s="201"/>
      <c r="Z1830" s="201"/>
      <c r="AA1830" s="201"/>
    </row>
    <row r="1831" spans="1:27" ht="17.399999999999999">
      <c r="A1831" s="222"/>
      <c r="B1831" s="222"/>
      <c r="C1831" s="201"/>
      <c r="D1831" s="163"/>
      <c r="E1831" s="201"/>
      <c r="F1831" s="198"/>
      <c r="G1831" s="201"/>
      <c r="I1831" s="201"/>
      <c r="J1831" s="149"/>
      <c r="K1831" s="198"/>
      <c r="L1831" s="201"/>
      <c r="M1831" s="201"/>
      <c r="N1831" s="201"/>
      <c r="O1831" s="201"/>
      <c r="P1831" s="201"/>
      <c r="Q1831" s="201"/>
      <c r="R1831" s="201"/>
      <c r="S1831" s="201"/>
      <c r="T1831" s="201"/>
      <c r="U1831" s="201"/>
      <c r="V1831" s="201"/>
      <c r="W1831" s="201"/>
      <c r="X1831" s="201"/>
      <c r="Y1831" s="201"/>
      <c r="Z1831" s="201"/>
      <c r="AA1831" s="201"/>
    </row>
    <row r="1832" spans="1:27" ht="17.399999999999999">
      <c r="A1832" s="222"/>
      <c r="B1832" s="222"/>
      <c r="C1832" s="201"/>
      <c r="D1832" s="163"/>
      <c r="E1832" s="201"/>
      <c r="F1832" s="198"/>
      <c r="G1832" s="201"/>
      <c r="I1832" s="201"/>
      <c r="J1832" s="149"/>
      <c r="K1832" s="198"/>
      <c r="L1832" s="201"/>
      <c r="M1832" s="201"/>
      <c r="N1832" s="201"/>
      <c r="O1832" s="201"/>
      <c r="P1832" s="201"/>
      <c r="Q1832" s="201"/>
      <c r="R1832" s="201"/>
      <c r="S1832" s="201"/>
      <c r="T1832" s="201"/>
      <c r="U1832" s="201"/>
      <c r="V1832" s="201"/>
      <c r="W1832" s="201"/>
      <c r="X1832" s="201"/>
      <c r="Y1832" s="201"/>
      <c r="Z1832" s="201"/>
      <c r="AA1832" s="201"/>
    </row>
    <row r="1833" spans="1:27" ht="17.399999999999999">
      <c r="A1833" s="222"/>
      <c r="B1833" s="222"/>
      <c r="C1833" s="201"/>
      <c r="D1833" s="163"/>
      <c r="E1833" s="201"/>
      <c r="F1833" s="198"/>
      <c r="G1833" s="201"/>
      <c r="I1833" s="201"/>
      <c r="J1833" s="149"/>
      <c r="K1833" s="198"/>
      <c r="L1833" s="201"/>
      <c r="M1833" s="201"/>
      <c r="N1833" s="201"/>
      <c r="O1833" s="201"/>
      <c r="P1833" s="201"/>
      <c r="Q1833" s="201"/>
      <c r="R1833" s="201"/>
      <c r="S1833" s="201"/>
      <c r="T1833" s="201"/>
      <c r="U1833" s="201"/>
      <c r="V1833" s="201"/>
      <c r="W1833" s="201"/>
      <c r="X1833" s="201"/>
      <c r="Y1833" s="201"/>
      <c r="Z1833" s="201"/>
      <c r="AA1833" s="201"/>
    </row>
    <row r="1834" spans="1:27" ht="17.399999999999999">
      <c r="A1834" s="222"/>
      <c r="B1834" s="222"/>
      <c r="C1834" s="201"/>
      <c r="D1834" s="163"/>
      <c r="E1834" s="201"/>
      <c r="F1834" s="198"/>
      <c r="G1834" s="201"/>
      <c r="I1834" s="201"/>
      <c r="J1834" s="149"/>
      <c r="K1834" s="198"/>
      <c r="L1834" s="201"/>
      <c r="M1834" s="201"/>
      <c r="N1834" s="201"/>
      <c r="O1834" s="201"/>
      <c r="P1834" s="201"/>
      <c r="Q1834" s="201"/>
      <c r="R1834" s="201"/>
      <c r="S1834" s="201"/>
      <c r="T1834" s="201"/>
      <c r="U1834" s="201"/>
      <c r="V1834" s="201"/>
      <c r="W1834" s="201"/>
      <c r="X1834" s="201"/>
      <c r="Y1834" s="201"/>
      <c r="Z1834" s="201"/>
      <c r="AA1834" s="201"/>
    </row>
    <row r="1835" spans="1:27" ht="17.399999999999999">
      <c r="A1835" s="222"/>
      <c r="B1835" s="222"/>
      <c r="C1835" s="201"/>
      <c r="D1835" s="163"/>
      <c r="E1835" s="201"/>
      <c r="F1835" s="198"/>
      <c r="G1835" s="201"/>
      <c r="I1835" s="201"/>
      <c r="J1835" s="149"/>
      <c r="K1835" s="198"/>
      <c r="L1835" s="201"/>
      <c r="M1835" s="201"/>
      <c r="N1835" s="201"/>
      <c r="O1835" s="201"/>
      <c r="P1835" s="201"/>
      <c r="Q1835" s="201"/>
      <c r="R1835" s="201"/>
      <c r="S1835" s="201"/>
      <c r="T1835" s="201"/>
      <c r="U1835" s="201"/>
      <c r="V1835" s="201"/>
      <c r="W1835" s="201"/>
      <c r="X1835" s="201"/>
      <c r="Y1835" s="201"/>
      <c r="Z1835" s="201"/>
      <c r="AA1835" s="201"/>
    </row>
    <row r="1836" spans="1:27" ht="17.399999999999999">
      <c r="A1836" s="222"/>
      <c r="B1836" s="222"/>
      <c r="C1836" s="201"/>
      <c r="D1836" s="163"/>
      <c r="E1836" s="201"/>
      <c r="F1836" s="198"/>
      <c r="G1836" s="201"/>
      <c r="I1836" s="201"/>
      <c r="J1836" s="149"/>
      <c r="K1836" s="198"/>
      <c r="L1836" s="201"/>
      <c r="M1836" s="201"/>
      <c r="N1836" s="201"/>
      <c r="O1836" s="201"/>
      <c r="P1836" s="201"/>
      <c r="Q1836" s="201"/>
      <c r="R1836" s="201"/>
      <c r="S1836" s="201"/>
      <c r="T1836" s="201"/>
      <c r="U1836" s="201"/>
      <c r="V1836" s="201"/>
      <c r="W1836" s="201"/>
      <c r="X1836" s="201"/>
      <c r="Y1836" s="201"/>
      <c r="Z1836" s="201"/>
      <c r="AA1836" s="201"/>
    </row>
    <row r="1837" spans="1:27" ht="17.399999999999999">
      <c r="A1837" s="222"/>
      <c r="B1837" s="222"/>
      <c r="C1837" s="201"/>
      <c r="D1837" s="163"/>
      <c r="E1837" s="201"/>
      <c r="F1837" s="198"/>
      <c r="G1837" s="201"/>
      <c r="I1837" s="201"/>
      <c r="J1837" s="149"/>
      <c r="K1837" s="198"/>
      <c r="L1837" s="201"/>
      <c r="M1837" s="201"/>
      <c r="N1837" s="201"/>
      <c r="O1837" s="201"/>
      <c r="P1837" s="201"/>
      <c r="Q1837" s="201"/>
      <c r="R1837" s="201"/>
      <c r="S1837" s="201"/>
      <c r="T1837" s="201"/>
      <c r="U1837" s="201"/>
      <c r="V1837" s="201"/>
      <c r="W1837" s="201"/>
      <c r="X1837" s="201"/>
      <c r="Y1837" s="201"/>
      <c r="Z1837" s="201"/>
      <c r="AA1837" s="201"/>
    </row>
    <row r="1838" spans="1:27" ht="17.399999999999999">
      <c r="A1838" s="222"/>
      <c r="B1838" s="222"/>
      <c r="C1838" s="201"/>
      <c r="D1838" s="163"/>
      <c r="E1838" s="201"/>
      <c r="F1838" s="198"/>
      <c r="G1838" s="201"/>
      <c r="I1838" s="201"/>
      <c r="J1838" s="149"/>
      <c r="K1838" s="198"/>
      <c r="L1838" s="201"/>
      <c r="M1838" s="201"/>
      <c r="N1838" s="201"/>
      <c r="O1838" s="201"/>
      <c r="P1838" s="201"/>
      <c r="Q1838" s="201"/>
      <c r="R1838" s="201"/>
      <c r="S1838" s="201"/>
      <c r="T1838" s="201"/>
      <c r="U1838" s="201"/>
      <c r="V1838" s="201"/>
      <c r="W1838" s="201"/>
      <c r="X1838" s="201"/>
      <c r="Y1838" s="201"/>
      <c r="Z1838" s="201"/>
      <c r="AA1838" s="201"/>
    </row>
    <row r="1839" spans="1:27" ht="17.399999999999999">
      <c r="A1839" s="222"/>
      <c r="B1839" s="222"/>
      <c r="C1839" s="201"/>
      <c r="D1839" s="163"/>
      <c r="E1839" s="201"/>
      <c r="F1839" s="198"/>
      <c r="G1839" s="201"/>
      <c r="I1839" s="201"/>
      <c r="J1839" s="149"/>
      <c r="K1839" s="198"/>
      <c r="L1839" s="201"/>
      <c r="M1839" s="201"/>
      <c r="N1839" s="201"/>
      <c r="O1839" s="201"/>
      <c r="P1839" s="201"/>
      <c r="Q1839" s="201"/>
      <c r="R1839" s="201"/>
      <c r="S1839" s="201"/>
      <c r="T1839" s="201"/>
      <c r="U1839" s="201"/>
      <c r="V1839" s="201"/>
      <c r="W1839" s="201"/>
      <c r="X1839" s="201"/>
      <c r="Y1839" s="201"/>
      <c r="Z1839" s="201"/>
      <c r="AA1839" s="201"/>
    </row>
    <row r="1840" spans="1:27" ht="17.399999999999999">
      <c r="A1840" s="222"/>
      <c r="B1840" s="222"/>
      <c r="C1840" s="201"/>
      <c r="D1840" s="163"/>
      <c r="E1840" s="201"/>
      <c r="F1840" s="198"/>
      <c r="G1840" s="201"/>
      <c r="I1840" s="201"/>
      <c r="J1840" s="149"/>
      <c r="K1840" s="198"/>
      <c r="L1840" s="201"/>
      <c r="M1840" s="201"/>
      <c r="N1840" s="201"/>
      <c r="O1840" s="201"/>
      <c r="P1840" s="201"/>
      <c r="Q1840" s="201"/>
      <c r="R1840" s="201"/>
      <c r="S1840" s="201"/>
      <c r="T1840" s="201"/>
      <c r="U1840" s="201"/>
      <c r="V1840" s="201"/>
      <c r="W1840" s="201"/>
      <c r="X1840" s="201"/>
      <c r="Y1840" s="201"/>
      <c r="Z1840" s="201"/>
      <c r="AA1840" s="201"/>
    </row>
    <row r="1841" spans="1:27" ht="17.399999999999999">
      <c r="A1841" s="222"/>
      <c r="B1841" s="222"/>
      <c r="C1841" s="201"/>
      <c r="D1841" s="163"/>
      <c r="E1841" s="201"/>
      <c r="F1841" s="198"/>
      <c r="G1841" s="201"/>
      <c r="I1841" s="201"/>
      <c r="J1841" s="149"/>
      <c r="K1841" s="198"/>
      <c r="L1841" s="201"/>
      <c r="M1841" s="201"/>
      <c r="N1841" s="201"/>
      <c r="O1841" s="201"/>
      <c r="P1841" s="201"/>
      <c r="Q1841" s="201"/>
      <c r="R1841" s="201"/>
      <c r="S1841" s="201"/>
      <c r="T1841" s="201"/>
      <c r="U1841" s="201"/>
      <c r="V1841" s="201"/>
      <c r="W1841" s="201"/>
      <c r="X1841" s="201"/>
      <c r="Y1841" s="201"/>
      <c r="Z1841" s="201"/>
      <c r="AA1841" s="201"/>
    </row>
    <row r="1842" spans="1:27" ht="17.399999999999999">
      <c r="A1842" s="222"/>
      <c r="B1842" s="222"/>
      <c r="C1842" s="201"/>
      <c r="D1842" s="163"/>
      <c r="E1842" s="201"/>
      <c r="F1842" s="198"/>
      <c r="G1842" s="201"/>
      <c r="I1842" s="201"/>
      <c r="J1842" s="149"/>
      <c r="K1842" s="198"/>
      <c r="L1842" s="201"/>
      <c r="M1842" s="201"/>
      <c r="N1842" s="201"/>
      <c r="O1842" s="201"/>
      <c r="P1842" s="201"/>
      <c r="Q1842" s="201"/>
      <c r="R1842" s="201"/>
      <c r="S1842" s="201"/>
      <c r="T1842" s="201"/>
      <c r="U1842" s="201"/>
      <c r="V1842" s="201"/>
      <c r="W1842" s="201"/>
      <c r="X1842" s="201"/>
      <c r="Y1842" s="201"/>
      <c r="Z1842" s="201"/>
      <c r="AA1842" s="201"/>
    </row>
    <row r="1843" spans="1:27" ht="17.399999999999999">
      <c r="A1843" s="222"/>
      <c r="B1843" s="222"/>
      <c r="C1843" s="201"/>
      <c r="D1843" s="163"/>
      <c r="E1843" s="201"/>
      <c r="F1843" s="198"/>
      <c r="G1843" s="201"/>
      <c r="I1843" s="201"/>
      <c r="J1843" s="149"/>
      <c r="K1843" s="198"/>
      <c r="L1843" s="201"/>
      <c r="M1843" s="201"/>
      <c r="N1843" s="201"/>
      <c r="O1843" s="201"/>
      <c r="P1843" s="201"/>
      <c r="Q1843" s="201"/>
      <c r="R1843" s="201"/>
      <c r="S1843" s="201"/>
      <c r="T1843" s="201"/>
      <c r="U1843" s="201"/>
      <c r="V1843" s="201"/>
      <c r="W1843" s="201"/>
      <c r="X1843" s="201"/>
      <c r="Y1843" s="201"/>
      <c r="Z1843" s="201"/>
      <c r="AA1843" s="201"/>
    </row>
    <row r="1844" spans="1:27" ht="17.399999999999999">
      <c r="A1844" s="222"/>
      <c r="B1844" s="222"/>
      <c r="C1844" s="201"/>
      <c r="D1844" s="163"/>
      <c r="E1844" s="201"/>
      <c r="F1844" s="198"/>
      <c r="G1844" s="201"/>
      <c r="I1844" s="201"/>
      <c r="J1844" s="149"/>
      <c r="K1844" s="198"/>
      <c r="L1844" s="201"/>
      <c r="M1844" s="201"/>
      <c r="N1844" s="201"/>
      <c r="O1844" s="201"/>
      <c r="P1844" s="201"/>
      <c r="Q1844" s="201"/>
      <c r="R1844" s="201"/>
      <c r="S1844" s="201"/>
      <c r="T1844" s="201"/>
      <c r="U1844" s="201"/>
      <c r="V1844" s="201"/>
      <c r="W1844" s="201"/>
      <c r="X1844" s="201"/>
      <c r="Y1844" s="201"/>
      <c r="Z1844" s="201"/>
      <c r="AA1844" s="201"/>
    </row>
    <row r="1845" spans="1:27" ht="17.399999999999999">
      <c r="A1845" s="222"/>
      <c r="B1845" s="222"/>
      <c r="C1845" s="201"/>
      <c r="D1845" s="163"/>
      <c r="E1845" s="201"/>
      <c r="F1845" s="198"/>
      <c r="G1845" s="201"/>
      <c r="I1845" s="201"/>
      <c r="J1845" s="149"/>
      <c r="K1845" s="198"/>
      <c r="L1845" s="201"/>
      <c r="M1845" s="201"/>
      <c r="N1845" s="201"/>
      <c r="O1845" s="201"/>
      <c r="P1845" s="201"/>
      <c r="Q1845" s="201"/>
      <c r="R1845" s="201"/>
      <c r="S1845" s="201"/>
      <c r="T1845" s="201"/>
      <c r="U1845" s="201"/>
      <c r="V1845" s="201"/>
      <c r="W1845" s="201"/>
      <c r="X1845" s="201"/>
      <c r="Y1845" s="201"/>
      <c r="Z1845" s="201"/>
      <c r="AA1845" s="201"/>
    </row>
    <row r="1846" spans="1:27" ht="17.399999999999999">
      <c r="A1846" s="222"/>
      <c r="B1846" s="222"/>
      <c r="C1846" s="201"/>
      <c r="D1846" s="163"/>
      <c r="E1846" s="201"/>
      <c r="F1846" s="198"/>
      <c r="G1846" s="201"/>
      <c r="I1846" s="201"/>
      <c r="J1846" s="149"/>
      <c r="K1846" s="198"/>
      <c r="L1846" s="201"/>
      <c r="M1846" s="201"/>
      <c r="N1846" s="201"/>
      <c r="O1846" s="201"/>
      <c r="P1846" s="201"/>
      <c r="Q1846" s="201"/>
      <c r="R1846" s="201"/>
      <c r="S1846" s="201"/>
      <c r="T1846" s="201"/>
      <c r="U1846" s="201"/>
      <c r="V1846" s="201"/>
      <c r="W1846" s="201"/>
      <c r="X1846" s="201"/>
      <c r="Y1846" s="201"/>
      <c r="Z1846" s="201"/>
      <c r="AA1846" s="201"/>
    </row>
    <row r="1847" spans="1:27" ht="17.399999999999999">
      <c r="A1847" s="222"/>
      <c r="B1847" s="222"/>
      <c r="C1847" s="201"/>
      <c r="D1847" s="163"/>
      <c r="E1847" s="201"/>
      <c r="F1847" s="198"/>
      <c r="G1847" s="201"/>
      <c r="I1847" s="201"/>
      <c r="J1847" s="149"/>
      <c r="K1847" s="198"/>
      <c r="L1847" s="201"/>
      <c r="M1847" s="201"/>
      <c r="N1847" s="201"/>
      <c r="O1847" s="201"/>
      <c r="P1847" s="201"/>
      <c r="Q1847" s="201"/>
      <c r="R1847" s="201"/>
      <c r="S1847" s="201"/>
      <c r="T1847" s="201"/>
      <c r="U1847" s="201"/>
      <c r="V1847" s="201"/>
      <c r="W1847" s="201"/>
      <c r="X1847" s="201"/>
      <c r="Y1847" s="201"/>
      <c r="Z1847" s="201"/>
      <c r="AA1847" s="201"/>
    </row>
    <row r="1848" spans="1:27" ht="17.399999999999999">
      <c r="A1848" s="222"/>
      <c r="B1848" s="222"/>
      <c r="C1848" s="201"/>
      <c r="D1848" s="163"/>
      <c r="E1848" s="201"/>
      <c r="F1848" s="198"/>
      <c r="G1848" s="201"/>
      <c r="I1848" s="201"/>
      <c r="J1848" s="149"/>
      <c r="K1848" s="198"/>
      <c r="L1848" s="201"/>
      <c r="M1848" s="201"/>
      <c r="N1848" s="201"/>
      <c r="O1848" s="201"/>
      <c r="P1848" s="201"/>
      <c r="Q1848" s="201"/>
      <c r="R1848" s="201"/>
      <c r="S1848" s="201"/>
      <c r="T1848" s="201"/>
      <c r="U1848" s="201"/>
      <c r="V1848" s="201"/>
      <c r="W1848" s="201"/>
      <c r="X1848" s="201"/>
      <c r="Y1848" s="201"/>
      <c r="Z1848" s="201"/>
      <c r="AA1848" s="201"/>
    </row>
    <row r="1849" spans="1:27" ht="17.399999999999999">
      <c r="A1849" s="222"/>
      <c r="B1849" s="222"/>
      <c r="C1849" s="201"/>
      <c r="D1849" s="163"/>
      <c r="E1849" s="201"/>
      <c r="F1849" s="198"/>
      <c r="G1849" s="201"/>
      <c r="I1849" s="201"/>
      <c r="J1849" s="149"/>
      <c r="K1849" s="198"/>
      <c r="L1849" s="201"/>
      <c r="M1849" s="201"/>
      <c r="N1849" s="201"/>
      <c r="O1849" s="201"/>
      <c r="P1849" s="201"/>
      <c r="Q1849" s="201"/>
      <c r="R1849" s="201"/>
      <c r="S1849" s="201"/>
      <c r="T1849" s="201"/>
      <c r="U1849" s="201"/>
      <c r="V1849" s="201"/>
      <c r="W1849" s="201"/>
      <c r="X1849" s="201"/>
      <c r="Y1849" s="201"/>
      <c r="Z1849" s="201"/>
      <c r="AA1849" s="201"/>
    </row>
    <row r="1850" spans="1:27" ht="17.399999999999999">
      <c r="A1850" s="222"/>
      <c r="B1850" s="222"/>
      <c r="C1850" s="201"/>
      <c r="D1850" s="163"/>
      <c r="E1850" s="201"/>
      <c r="F1850" s="198"/>
      <c r="G1850" s="201"/>
      <c r="I1850" s="201"/>
      <c r="J1850" s="149"/>
      <c r="K1850" s="198"/>
      <c r="L1850" s="201"/>
      <c r="M1850" s="201"/>
      <c r="N1850" s="201"/>
      <c r="O1850" s="201"/>
      <c r="P1850" s="201"/>
      <c r="Q1850" s="201"/>
      <c r="R1850" s="201"/>
      <c r="S1850" s="201"/>
      <c r="T1850" s="201"/>
      <c r="U1850" s="201"/>
      <c r="V1850" s="201"/>
      <c r="W1850" s="201"/>
      <c r="X1850" s="201"/>
      <c r="Y1850" s="201"/>
      <c r="Z1850" s="201"/>
      <c r="AA1850" s="201"/>
    </row>
    <row r="1851" spans="1:27" ht="17.399999999999999">
      <c r="A1851" s="222"/>
      <c r="B1851" s="222"/>
      <c r="C1851" s="201"/>
      <c r="D1851" s="163"/>
      <c r="E1851" s="201"/>
      <c r="F1851" s="198"/>
      <c r="G1851" s="201"/>
      <c r="I1851" s="201"/>
      <c r="J1851" s="149"/>
      <c r="K1851" s="198"/>
      <c r="L1851" s="201"/>
      <c r="M1851" s="201"/>
      <c r="N1851" s="201"/>
      <c r="O1851" s="201"/>
      <c r="P1851" s="201"/>
      <c r="Q1851" s="201"/>
      <c r="R1851" s="201"/>
      <c r="S1851" s="201"/>
      <c r="T1851" s="201"/>
      <c r="U1851" s="201"/>
      <c r="V1851" s="201"/>
      <c r="W1851" s="201"/>
      <c r="X1851" s="201"/>
      <c r="Y1851" s="201"/>
      <c r="Z1851" s="201"/>
      <c r="AA1851" s="201"/>
    </row>
    <row r="1852" spans="1:27" ht="17.399999999999999">
      <c r="A1852" s="222"/>
      <c r="B1852" s="222"/>
      <c r="C1852" s="201"/>
      <c r="D1852" s="163"/>
      <c r="E1852" s="201"/>
      <c r="F1852" s="198"/>
      <c r="G1852" s="201"/>
      <c r="I1852" s="201"/>
      <c r="J1852" s="149"/>
      <c r="K1852" s="198"/>
      <c r="L1852" s="201"/>
      <c r="M1852" s="201"/>
      <c r="N1852" s="201"/>
      <c r="O1852" s="201"/>
      <c r="P1852" s="201"/>
      <c r="Q1852" s="201"/>
      <c r="R1852" s="201"/>
      <c r="S1852" s="201"/>
      <c r="T1852" s="201"/>
      <c r="U1852" s="201"/>
      <c r="V1852" s="201"/>
      <c r="W1852" s="201"/>
      <c r="X1852" s="201"/>
      <c r="Y1852" s="201"/>
      <c r="Z1852" s="201"/>
      <c r="AA1852" s="201"/>
    </row>
    <row r="1853" spans="1:27" ht="17.399999999999999">
      <c r="A1853" s="222"/>
      <c r="B1853" s="222"/>
      <c r="C1853" s="201"/>
      <c r="D1853" s="163"/>
      <c r="E1853" s="201"/>
      <c r="F1853" s="198"/>
      <c r="G1853" s="201"/>
      <c r="I1853" s="201"/>
      <c r="J1853" s="149"/>
      <c r="K1853" s="198"/>
      <c r="L1853" s="201"/>
      <c r="M1853" s="201"/>
      <c r="N1853" s="201"/>
      <c r="O1853" s="201"/>
      <c r="P1853" s="201"/>
      <c r="Q1853" s="201"/>
      <c r="R1853" s="201"/>
      <c r="S1853" s="201"/>
      <c r="T1853" s="201"/>
      <c r="U1853" s="201"/>
      <c r="V1853" s="201"/>
      <c r="W1853" s="201"/>
      <c r="X1853" s="201"/>
      <c r="Y1853" s="201"/>
      <c r="Z1853" s="201"/>
      <c r="AA1853" s="201"/>
    </row>
    <row r="1854" spans="1:27" ht="17.399999999999999">
      <c r="A1854" s="222"/>
      <c r="B1854" s="222"/>
      <c r="C1854" s="201"/>
      <c r="D1854" s="163"/>
      <c r="E1854" s="201"/>
      <c r="F1854" s="198"/>
      <c r="G1854" s="201"/>
      <c r="I1854" s="201"/>
      <c r="J1854" s="149"/>
      <c r="K1854" s="198"/>
      <c r="L1854" s="201"/>
      <c r="M1854" s="201"/>
      <c r="N1854" s="201"/>
      <c r="O1854" s="201"/>
      <c r="P1854" s="201"/>
      <c r="Q1854" s="201"/>
      <c r="R1854" s="201"/>
      <c r="S1854" s="201"/>
      <c r="T1854" s="201"/>
      <c r="U1854" s="201"/>
      <c r="V1854" s="201"/>
      <c r="W1854" s="201"/>
      <c r="X1854" s="201"/>
      <c r="Y1854" s="201"/>
      <c r="Z1854" s="201"/>
      <c r="AA1854" s="201"/>
    </row>
    <row r="1855" spans="1:27" ht="17.399999999999999">
      <c r="A1855" s="222"/>
      <c r="B1855" s="222"/>
      <c r="C1855" s="201"/>
      <c r="D1855" s="163"/>
      <c r="E1855" s="201"/>
      <c r="F1855" s="198"/>
      <c r="G1855" s="201"/>
      <c r="I1855" s="201"/>
      <c r="J1855" s="149"/>
      <c r="K1855" s="198"/>
      <c r="L1855" s="201"/>
      <c r="M1855" s="201"/>
      <c r="N1855" s="201"/>
      <c r="O1855" s="201"/>
      <c r="P1855" s="201"/>
      <c r="Q1855" s="201"/>
      <c r="R1855" s="201"/>
      <c r="S1855" s="201"/>
      <c r="T1855" s="201"/>
      <c r="U1855" s="201"/>
      <c r="V1855" s="201"/>
      <c r="W1855" s="201"/>
      <c r="X1855" s="201"/>
      <c r="Y1855" s="201"/>
      <c r="Z1855" s="201"/>
      <c r="AA1855" s="201"/>
    </row>
    <row r="1856" spans="1:27" ht="17.399999999999999">
      <c r="A1856" s="222"/>
      <c r="B1856" s="222"/>
      <c r="C1856" s="201"/>
      <c r="D1856" s="163"/>
      <c r="E1856" s="201"/>
      <c r="F1856" s="198"/>
      <c r="G1856" s="201"/>
      <c r="I1856" s="201"/>
      <c r="J1856" s="149"/>
      <c r="K1856" s="198"/>
      <c r="L1856" s="201"/>
      <c r="M1856" s="201"/>
      <c r="N1856" s="201"/>
      <c r="O1856" s="201"/>
      <c r="P1856" s="201"/>
      <c r="Q1856" s="201"/>
      <c r="R1856" s="201"/>
      <c r="S1856" s="201"/>
      <c r="T1856" s="201"/>
      <c r="U1856" s="201"/>
      <c r="V1856" s="201"/>
      <c r="W1856" s="201"/>
      <c r="X1856" s="201"/>
      <c r="Y1856" s="201"/>
      <c r="Z1856" s="201"/>
      <c r="AA1856" s="201"/>
    </row>
    <row r="1857" spans="1:27" ht="17.399999999999999">
      <c r="A1857" s="222"/>
      <c r="B1857" s="222"/>
      <c r="C1857" s="201"/>
      <c r="D1857" s="163"/>
      <c r="E1857" s="201"/>
      <c r="F1857" s="198"/>
      <c r="G1857" s="201"/>
      <c r="I1857" s="201"/>
      <c r="J1857" s="149"/>
      <c r="K1857" s="198"/>
      <c r="L1857" s="201"/>
      <c r="M1857" s="201"/>
      <c r="N1857" s="201"/>
      <c r="O1857" s="201"/>
      <c r="P1857" s="201"/>
      <c r="Q1857" s="201"/>
      <c r="R1857" s="201"/>
      <c r="S1857" s="201"/>
      <c r="T1857" s="201"/>
      <c r="U1857" s="201"/>
      <c r="V1857" s="201"/>
      <c r="W1857" s="201"/>
      <c r="X1857" s="201"/>
      <c r="Y1857" s="201"/>
      <c r="Z1857" s="201"/>
      <c r="AA1857" s="201"/>
    </row>
    <row r="1858" spans="1:27" ht="17.399999999999999">
      <c r="A1858" s="222"/>
      <c r="B1858" s="222"/>
      <c r="C1858" s="201"/>
      <c r="D1858" s="163"/>
      <c r="E1858" s="201"/>
      <c r="F1858" s="198"/>
      <c r="G1858" s="201"/>
      <c r="I1858" s="201"/>
      <c r="J1858" s="149"/>
      <c r="K1858" s="198"/>
      <c r="L1858" s="201"/>
      <c r="M1858" s="201"/>
      <c r="N1858" s="201"/>
      <c r="O1858" s="201"/>
      <c r="P1858" s="201"/>
      <c r="Q1858" s="201"/>
      <c r="R1858" s="201"/>
      <c r="S1858" s="201"/>
      <c r="T1858" s="201"/>
      <c r="U1858" s="201"/>
      <c r="V1858" s="201"/>
      <c r="W1858" s="201"/>
      <c r="X1858" s="201"/>
      <c r="Y1858" s="201"/>
      <c r="Z1858" s="201"/>
      <c r="AA1858" s="201"/>
    </row>
    <row r="1859" spans="1:27" ht="17.399999999999999">
      <c r="A1859" s="222"/>
      <c r="B1859" s="222"/>
      <c r="C1859" s="201"/>
      <c r="D1859" s="163"/>
      <c r="E1859" s="201"/>
      <c r="F1859" s="198"/>
      <c r="G1859" s="201"/>
      <c r="I1859" s="201"/>
      <c r="J1859" s="149"/>
      <c r="K1859" s="198"/>
      <c r="L1859" s="201"/>
      <c r="M1859" s="201"/>
      <c r="N1859" s="201"/>
      <c r="O1859" s="201"/>
      <c r="P1859" s="201"/>
      <c r="Q1859" s="201"/>
      <c r="R1859" s="201"/>
      <c r="S1859" s="201"/>
      <c r="T1859" s="201"/>
      <c r="U1859" s="201"/>
      <c r="V1859" s="201"/>
      <c r="W1859" s="201"/>
      <c r="X1859" s="201"/>
      <c r="Y1859" s="201"/>
      <c r="Z1859" s="201"/>
      <c r="AA1859" s="201"/>
    </row>
    <row r="1860" spans="1:27" ht="17.399999999999999">
      <c r="A1860" s="222"/>
      <c r="B1860" s="222"/>
      <c r="C1860" s="201"/>
      <c r="D1860" s="163"/>
      <c r="E1860" s="201"/>
      <c r="F1860" s="198"/>
      <c r="G1860" s="201"/>
      <c r="I1860" s="201"/>
      <c r="J1860" s="149"/>
      <c r="K1860" s="198"/>
      <c r="L1860" s="201"/>
      <c r="M1860" s="201"/>
      <c r="N1860" s="201"/>
      <c r="O1860" s="201"/>
      <c r="P1860" s="201"/>
      <c r="Q1860" s="201"/>
      <c r="R1860" s="201"/>
      <c r="S1860" s="201"/>
      <c r="T1860" s="201"/>
      <c r="U1860" s="201"/>
      <c r="V1860" s="201"/>
      <c r="W1860" s="201"/>
      <c r="X1860" s="201"/>
      <c r="Y1860" s="201"/>
      <c r="Z1860" s="201"/>
      <c r="AA1860" s="201"/>
    </row>
    <row r="1861" spans="1:27" ht="17.399999999999999">
      <c r="A1861" s="222"/>
      <c r="B1861" s="222"/>
      <c r="C1861" s="201"/>
      <c r="D1861" s="163"/>
      <c r="E1861" s="201"/>
      <c r="F1861" s="198"/>
      <c r="G1861" s="201"/>
      <c r="I1861" s="201"/>
      <c r="J1861" s="149"/>
      <c r="K1861" s="198"/>
      <c r="L1861" s="201"/>
      <c r="M1861" s="201"/>
      <c r="N1861" s="201"/>
      <c r="O1861" s="201"/>
      <c r="P1861" s="201"/>
      <c r="Q1861" s="201"/>
      <c r="R1861" s="201"/>
      <c r="S1861" s="201"/>
      <c r="T1861" s="201"/>
      <c r="U1861" s="201"/>
      <c r="V1861" s="201"/>
      <c r="W1861" s="201"/>
      <c r="X1861" s="201"/>
      <c r="Y1861" s="201"/>
      <c r="Z1861" s="201"/>
      <c r="AA1861" s="201"/>
    </row>
    <row r="1862" spans="1:27" ht="17.399999999999999">
      <c r="A1862" s="222"/>
      <c r="B1862" s="222"/>
      <c r="C1862" s="201"/>
      <c r="D1862" s="163"/>
      <c r="E1862" s="201"/>
      <c r="F1862" s="198"/>
      <c r="G1862" s="201"/>
      <c r="I1862" s="201"/>
      <c r="J1862" s="149"/>
      <c r="K1862" s="198"/>
      <c r="L1862" s="201"/>
      <c r="M1862" s="201"/>
      <c r="N1862" s="201"/>
      <c r="O1862" s="201"/>
      <c r="P1862" s="201"/>
      <c r="Q1862" s="201"/>
      <c r="R1862" s="201"/>
      <c r="S1862" s="201"/>
      <c r="T1862" s="201"/>
      <c r="U1862" s="201"/>
      <c r="V1862" s="201"/>
      <c r="W1862" s="201"/>
      <c r="X1862" s="201"/>
      <c r="Y1862" s="201"/>
      <c r="Z1862" s="201"/>
      <c r="AA1862" s="201"/>
    </row>
    <row r="1863" spans="1:27" ht="17.399999999999999">
      <c r="A1863" s="222"/>
      <c r="B1863" s="222"/>
      <c r="C1863" s="201"/>
      <c r="D1863" s="163"/>
      <c r="E1863" s="201"/>
      <c r="F1863" s="198"/>
      <c r="G1863" s="201"/>
      <c r="I1863" s="201"/>
      <c r="J1863" s="149"/>
      <c r="K1863" s="198"/>
      <c r="L1863" s="201"/>
      <c r="M1863" s="201"/>
      <c r="N1863" s="201"/>
      <c r="O1863" s="201"/>
      <c r="P1863" s="201"/>
      <c r="Q1863" s="201"/>
      <c r="R1863" s="201"/>
      <c r="S1863" s="201"/>
      <c r="T1863" s="201"/>
      <c r="U1863" s="201"/>
      <c r="V1863" s="201"/>
      <c r="W1863" s="201"/>
      <c r="X1863" s="201"/>
      <c r="Y1863" s="201"/>
      <c r="Z1863" s="201"/>
      <c r="AA1863" s="201"/>
    </row>
    <row r="1864" spans="1:27" ht="17.399999999999999">
      <c r="A1864" s="222"/>
      <c r="B1864" s="222"/>
      <c r="C1864" s="201"/>
      <c r="D1864" s="163"/>
      <c r="E1864" s="201"/>
      <c r="F1864" s="198"/>
      <c r="G1864" s="201"/>
      <c r="I1864" s="201"/>
      <c r="J1864" s="149"/>
      <c r="K1864" s="198"/>
      <c r="L1864" s="201"/>
      <c r="M1864" s="201"/>
      <c r="N1864" s="201"/>
      <c r="O1864" s="201"/>
      <c r="P1864" s="201"/>
      <c r="Q1864" s="201"/>
      <c r="R1864" s="201"/>
      <c r="S1864" s="201"/>
      <c r="T1864" s="201"/>
      <c r="U1864" s="201"/>
      <c r="V1864" s="201"/>
      <c r="W1864" s="201"/>
      <c r="X1864" s="201"/>
      <c r="Y1864" s="201"/>
      <c r="Z1864" s="201"/>
      <c r="AA1864" s="201"/>
    </row>
    <row r="1865" spans="1:27" ht="17.399999999999999">
      <c r="A1865" s="222"/>
      <c r="B1865" s="222"/>
      <c r="C1865" s="201"/>
      <c r="D1865" s="163"/>
      <c r="E1865" s="201"/>
      <c r="F1865" s="198"/>
      <c r="G1865" s="201"/>
      <c r="I1865" s="201"/>
      <c r="J1865" s="149"/>
      <c r="K1865" s="198"/>
      <c r="L1865" s="201"/>
      <c r="M1865" s="201"/>
      <c r="N1865" s="201"/>
      <c r="O1865" s="201"/>
      <c r="P1865" s="201"/>
      <c r="Q1865" s="201"/>
      <c r="R1865" s="201"/>
      <c r="S1865" s="201"/>
      <c r="T1865" s="201"/>
      <c r="U1865" s="201"/>
      <c r="V1865" s="201"/>
      <c r="W1865" s="201"/>
      <c r="X1865" s="201"/>
      <c r="Y1865" s="201"/>
      <c r="Z1865" s="201"/>
      <c r="AA1865" s="201"/>
    </row>
    <row r="1866" spans="1:27" ht="17.399999999999999">
      <c r="A1866" s="222"/>
      <c r="B1866" s="222"/>
      <c r="C1866" s="201"/>
      <c r="D1866" s="163"/>
      <c r="E1866" s="201"/>
      <c r="F1866" s="198"/>
      <c r="G1866" s="201"/>
      <c r="I1866" s="201"/>
      <c r="J1866" s="149"/>
      <c r="K1866" s="198"/>
      <c r="L1866" s="201"/>
      <c r="M1866" s="201"/>
      <c r="N1866" s="201"/>
      <c r="O1866" s="201"/>
      <c r="P1866" s="201"/>
      <c r="Q1866" s="201"/>
      <c r="R1866" s="201"/>
      <c r="S1866" s="201"/>
      <c r="T1866" s="201"/>
      <c r="U1866" s="201"/>
      <c r="V1866" s="201"/>
      <c r="W1866" s="201"/>
      <c r="X1866" s="201"/>
      <c r="Y1866" s="201"/>
      <c r="Z1866" s="201"/>
      <c r="AA1866" s="201"/>
    </row>
    <row r="1867" spans="1:27" ht="17.399999999999999">
      <c r="A1867" s="222"/>
      <c r="B1867" s="222"/>
      <c r="C1867" s="201"/>
      <c r="D1867" s="163"/>
      <c r="E1867" s="201"/>
      <c r="F1867" s="198"/>
      <c r="G1867" s="201"/>
      <c r="I1867" s="201"/>
      <c r="J1867" s="149"/>
      <c r="K1867" s="198"/>
      <c r="L1867" s="201"/>
      <c r="M1867" s="201"/>
      <c r="N1867" s="201"/>
      <c r="O1867" s="201"/>
      <c r="P1867" s="201"/>
      <c r="Q1867" s="201"/>
      <c r="R1867" s="201"/>
      <c r="S1867" s="201"/>
      <c r="T1867" s="201"/>
      <c r="U1867" s="201"/>
      <c r="V1867" s="201"/>
      <c r="W1867" s="201"/>
      <c r="X1867" s="201"/>
      <c r="Y1867" s="201"/>
      <c r="Z1867" s="201"/>
      <c r="AA1867" s="201"/>
    </row>
    <row r="1868" spans="1:27" ht="17.399999999999999">
      <c r="A1868" s="222"/>
      <c r="B1868" s="222"/>
      <c r="C1868" s="201"/>
      <c r="D1868" s="163"/>
      <c r="E1868" s="201"/>
      <c r="F1868" s="198"/>
      <c r="G1868" s="201"/>
      <c r="I1868" s="201"/>
      <c r="J1868" s="149"/>
      <c r="K1868" s="198"/>
      <c r="L1868" s="201"/>
      <c r="M1868" s="201"/>
      <c r="N1868" s="201"/>
      <c r="O1868" s="201"/>
      <c r="P1868" s="201"/>
      <c r="Q1868" s="201"/>
      <c r="R1868" s="201"/>
      <c r="S1868" s="201"/>
      <c r="T1868" s="201"/>
      <c r="U1868" s="201"/>
      <c r="V1868" s="201"/>
      <c r="W1868" s="201"/>
      <c r="X1868" s="201"/>
      <c r="Y1868" s="201"/>
      <c r="Z1868" s="201"/>
      <c r="AA1868" s="201"/>
    </row>
    <row r="1869" spans="1:27" ht="17.399999999999999">
      <c r="A1869" s="222"/>
      <c r="B1869" s="222"/>
      <c r="C1869" s="201"/>
      <c r="D1869" s="163"/>
      <c r="E1869" s="201"/>
      <c r="F1869" s="198"/>
      <c r="G1869" s="201"/>
      <c r="I1869" s="201"/>
      <c r="J1869" s="149"/>
      <c r="K1869" s="198"/>
      <c r="L1869" s="201"/>
      <c r="M1869" s="201"/>
      <c r="N1869" s="201"/>
      <c r="O1869" s="201"/>
      <c r="P1869" s="201"/>
      <c r="Q1869" s="201"/>
      <c r="R1869" s="201"/>
      <c r="S1869" s="201"/>
      <c r="T1869" s="201"/>
      <c r="U1869" s="201"/>
      <c r="V1869" s="201"/>
      <c r="W1869" s="201"/>
      <c r="X1869" s="201"/>
      <c r="Y1869" s="201"/>
      <c r="Z1869" s="201"/>
      <c r="AA1869" s="201"/>
    </row>
    <row r="1870" spans="1:27" ht="17.399999999999999">
      <c r="A1870" s="222"/>
      <c r="B1870" s="222"/>
      <c r="C1870" s="201"/>
      <c r="D1870" s="163"/>
      <c r="E1870" s="201"/>
      <c r="F1870" s="198"/>
      <c r="G1870" s="201"/>
      <c r="I1870" s="201"/>
      <c r="J1870" s="149"/>
      <c r="K1870" s="198"/>
      <c r="L1870" s="201"/>
      <c r="M1870" s="201"/>
      <c r="N1870" s="201"/>
      <c r="O1870" s="201"/>
      <c r="P1870" s="201"/>
      <c r="Q1870" s="201"/>
      <c r="R1870" s="201"/>
      <c r="S1870" s="201"/>
      <c r="T1870" s="201"/>
      <c r="U1870" s="201"/>
      <c r="V1870" s="201"/>
      <c r="W1870" s="201"/>
      <c r="X1870" s="201"/>
      <c r="Y1870" s="201"/>
      <c r="Z1870" s="201"/>
      <c r="AA1870" s="201"/>
    </row>
    <row r="1871" spans="1:27" ht="17.399999999999999">
      <c r="A1871" s="222"/>
      <c r="B1871" s="222"/>
      <c r="C1871" s="201"/>
      <c r="D1871" s="163"/>
      <c r="E1871" s="201"/>
      <c r="F1871" s="198"/>
      <c r="G1871" s="201"/>
      <c r="I1871" s="201"/>
      <c r="J1871" s="149"/>
      <c r="K1871" s="198"/>
      <c r="L1871" s="201"/>
      <c r="M1871" s="201"/>
      <c r="N1871" s="201"/>
      <c r="O1871" s="201"/>
      <c r="P1871" s="201"/>
      <c r="Q1871" s="201"/>
      <c r="R1871" s="201"/>
      <c r="S1871" s="201"/>
      <c r="T1871" s="201"/>
      <c r="U1871" s="201"/>
      <c r="V1871" s="201"/>
      <c r="W1871" s="201"/>
      <c r="X1871" s="201"/>
      <c r="Y1871" s="201"/>
      <c r="Z1871" s="201"/>
      <c r="AA1871" s="201"/>
    </row>
    <row r="1872" spans="1:27" ht="17.399999999999999">
      <c r="A1872" s="222"/>
      <c r="B1872" s="222"/>
      <c r="C1872" s="201"/>
      <c r="D1872" s="163"/>
      <c r="E1872" s="201"/>
      <c r="F1872" s="198"/>
      <c r="G1872" s="201"/>
      <c r="I1872" s="201"/>
      <c r="J1872" s="149"/>
      <c r="K1872" s="198"/>
      <c r="L1872" s="201"/>
      <c r="M1872" s="201"/>
      <c r="N1872" s="201"/>
      <c r="O1872" s="201"/>
      <c r="P1872" s="201"/>
      <c r="Q1872" s="201"/>
      <c r="R1872" s="201"/>
      <c r="S1872" s="201"/>
      <c r="T1872" s="201"/>
      <c r="U1872" s="201"/>
      <c r="V1872" s="201"/>
      <c r="W1872" s="201"/>
      <c r="X1872" s="201"/>
      <c r="Y1872" s="201"/>
      <c r="Z1872" s="201"/>
      <c r="AA1872" s="201"/>
    </row>
    <row r="1873" spans="1:27" ht="17.399999999999999">
      <c r="A1873" s="222"/>
      <c r="B1873" s="222"/>
      <c r="C1873" s="201"/>
      <c r="D1873" s="163"/>
      <c r="E1873" s="201"/>
      <c r="F1873" s="198"/>
      <c r="G1873" s="201"/>
      <c r="I1873" s="201"/>
      <c r="J1873" s="149"/>
      <c r="K1873" s="198"/>
      <c r="L1873" s="201"/>
      <c r="M1873" s="201"/>
      <c r="N1873" s="201"/>
      <c r="O1873" s="201"/>
      <c r="P1873" s="201"/>
      <c r="Q1873" s="201"/>
      <c r="R1873" s="201"/>
      <c r="S1873" s="201"/>
      <c r="T1873" s="201"/>
      <c r="U1873" s="201"/>
      <c r="V1873" s="201"/>
      <c r="W1873" s="201"/>
      <c r="X1873" s="201"/>
      <c r="Y1873" s="201"/>
      <c r="Z1873" s="201"/>
      <c r="AA1873" s="201"/>
    </row>
    <row r="1874" spans="1:27" ht="17.399999999999999">
      <c r="A1874" s="222"/>
      <c r="B1874" s="222"/>
      <c r="C1874" s="201"/>
      <c r="D1874" s="163"/>
      <c r="E1874" s="201"/>
      <c r="F1874" s="198"/>
      <c r="G1874" s="201"/>
      <c r="I1874" s="201"/>
      <c r="J1874" s="149"/>
      <c r="K1874" s="198"/>
      <c r="L1874" s="201"/>
      <c r="M1874" s="201"/>
      <c r="N1874" s="201"/>
      <c r="O1874" s="201"/>
      <c r="P1874" s="201"/>
      <c r="Q1874" s="201"/>
      <c r="R1874" s="201"/>
      <c r="S1874" s="201"/>
      <c r="T1874" s="201"/>
      <c r="U1874" s="201"/>
      <c r="V1874" s="201"/>
      <c r="W1874" s="201"/>
      <c r="X1874" s="201"/>
      <c r="Y1874" s="201"/>
      <c r="Z1874" s="201"/>
      <c r="AA1874" s="201"/>
    </row>
    <row r="1875" spans="1:27" ht="17.399999999999999">
      <c r="A1875" s="222"/>
      <c r="B1875" s="222"/>
      <c r="C1875" s="201"/>
      <c r="D1875" s="163"/>
      <c r="E1875" s="201"/>
      <c r="F1875" s="198"/>
      <c r="G1875" s="201"/>
      <c r="I1875" s="201"/>
      <c r="J1875" s="149"/>
      <c r="K1875" s="198"/>
      <c r="L1875" s="201"/>
      <c r="M1875" s="201"/>
      <c r="N1875" s="201"/>
      <c r="O1875" s="201"/>
      <c r="P1875" s="201"/>
      <c r="Q1875" s="201"/>
      <c r="R1875" s="201"/>
      <c r="S1875" s="201"/>
      <c r="T1875" s="201"/>
      <c r="U1875" s="201"/>
      <c r="V1875" s="201"/>
      <c r="W1875" s="201"/>
      <c r="X1875" s="201"/>
      <c r="Y1875" s="201"/>
      <c r="Z1875" s="201"/>
      <c r="AA1875" s="201"/>
    </row>
    <row r="1876" spans="1:27" ht="17.399999999999999">
      <c r="A1876" s="222"/>
      <c r="B1876" s="222"/>
      <c r="C1876" s="201"/>
      <c r="D1876" s="163"/>
      <c r="E1876" s="201"/>
      <c r="F1876" s="198"/>
      <c r="G1876" s="201"/>
      <c r="I1876" s="201"/>
      <c r="J1876" s="149"/>
      <c r="K1876" s="198"/>
      <c r="L1876" s="201"/>
      <c r="M1876" s="201"/>
      <c r="N1876" s="201"/>
      <c r="O1876" s="201"/>
      <c r="P1876" s="201"/>
      <c r="Q1876" s="201"/>
      <c r="R1876" s="201"/>
      <c r="S1876" s="201"/>
      <c r="T1876" s="201"/>
      <c r="U1876" s="201"/>
      <c r="V1876" s="201"/>
      <c r="W1876" s="201"/>
      <c r="X1876" s="201"/>
      <c r="Y1876" s="201"/>
      <c r="Z1876" s="201"/>
      <c r="AA1876" s="201"/>
    </row>
    <row r="1877" spans="1:27" ht="17.399999999999999">
      <c r="A1877" s="222"/>
      <c r="B1877" s="222"/>
      <c r="C1877" s="201"/>
      <c r="D1877" s="163"/>
      <c r="E1877" s="201"/>
      <c r="F1877" s="198"/>
      <c r="G1877" s="201"/>
      <c r="I1877" s="201"/>
      <c r="J1877" s="149"/>
      <c r="K1877" s="198"/>
      <c r="L1877" s="201"/>
      <c r="M1877" s="201"/>
      <c r="N1877" s="201"/>
      <c r="O1877" s="201"/>
      <c r="P1877" s="201"/>
      <c r="Q1877" s="201"/>
      <c r="R1877" s="201"/>
      <c r="S1877" s="201"/>
      <c r="T1877" s="201"/>
      <c r="U1877" s="201"/>
      <c r="V1877" s="201"/>
      <c r="W1877" s="201"/>
      <c r="X1877" s="201"/>
      <c r="Y1877" s="201"/>
      <c r="Z1877" s="201"/>
      <c r="AA1877" s="201"/>
    </row>
    <row r="1878" spans="1:27" ht="17.399999999999999">
      <c r="A1878" s="222"/>
      <c r="B1878" s="222"/>
      <c r="C1878" s="201"/>
      <c r="D1878" s="163"/>
      <c r="E1878" s="201"/>
      <c r="F1878" s="198"/>
      <c r="G1878" s="201"/>
      <c r="I1878" s="201"/>
      <c r="J1878" s="149"/>
      <c r="K1878" s="198"/>
      <c r="L1878" s="201"/>
      <c r="M1878" s="201"/>
      <c r="N1878" s="201"/>
      <c r="O1878" s="201"/>
      <c r="P1878" s="201"/>
      <c r="Q1878" s="201"/>
      <c r="R1878" s="201"/>
      <c r="S1878" s="201"/>
      <c r="T1878" s="201"/>
      <c r="U1878" s="201"/>
      <c r="V1878" s="201"/>
      <c r="W1878" s="201"/>
      <c r="X1878" s="201"/>
      <c r="Y1878" s="201"/>
      <c r="Z1878" s="201"/>
      <c r="AA1878" s="201"/>
    </row>
    <row r="1879" spans="1:27" ht="17.399999999999999">
      <c r="A1879" s="222"/>
      <c r="B1879" s="222"/>
      <c r="C1879" s="201"/>
      <c r="D1879" s="163"/>
      <c r="E1879" s="201"/>
      <c r="F1879" s="198"/>
      <c r="G1879" s="201"/>
      <c r="I1879" s="201"/>
      <c r="J1879" s="149"/>
      <c r="K1879" s="198"/>
      <c r="L1879" s="201"/>
      <c r="M1879" s="201"/>
      <c r="N1879" s="201"/>
      <c r="O1879" s="201"/>
      <c r="P1879" s="201"/>
      <c r="Q1879" s="201"/>
      <c r="R1879" s="201"/>
      <c r="S1879" s="201"/>
      <c r="T1879" s="201"/>
      <c r="U1879" s="201"/>
      <c r="V1879" s="201"/>
      <c r="W1879" s="201"/>
      <c r="X1879" s="201"/>
      <c r="Y1879" s="201"/>
      <c r="Z1879" s="201"/>
      <c r="AA1879" s="201"/>
    </row>
    <row r="1880" spans="1:27" ht="17.399999999999999">
      <c r="A1880" s="222"/>
      <c r="B1880" s="222"/>
      <c r="C1880" s="201"/>
      <c r="D1880" s="163"/>
      <c r="E1880" s="201"/>
      <c r="F1880" s="198"/>
      <c r="G1880" s="201"/>
      <c r="I1880" s="201"/>
      <c r="J1880" s="149"/>
      <c r="K1880" s="198"/>
      <c r="L1880" s="201"/>
      <c r="M1880" s="201"/>
      <c r="N1880" s="201"/>
      <c r="O1880" s="201"/>
      <c r="P1880" s="201"/>
      <c r="Q1880" s="201"/>
      <c r="R1880" s="201"/>
      <c r="S1880" s="201"/>
      <c r="T1880" s="201"/>
      <c r="U1880" s="201"/>
      <c r="V1880" s="201"/>
      <c r="W1880" s="201"/>
      <c r="X1880" s="201"/>
      <c r="Y1880" s="201"/>
      <c r="Z1880" s="201"/>
      <c r="AA1880" s="201"/>
    </row>
    <row r="1881" spans="1:27" ht="17.399999999999999">
      <c r="A1881" s="222"/>
      <c r="B1881" s="222"/>
      <c r="C1881" s="201"/>
      <c r="D1881" s="163"/>
      <c r="E1881" s="201"/>
      <c r="F1881" s="198"/>
      <c r="G1881" s="201"/>
      <c r="I1881" s="201"/>
      <c r="J1881" s="149"/>
      <c r="K1881" s="198"/>
      <c r="L1881" s="201"/>
      <c r="M1881" s="201"/>
      <c r="N1881" s="201"/>
      <c r="O1881" s="201"/>
      <c r="P1881" s="201"/>
      <c r="Q1881" s="201"/>
      <c r="R1881" s="201"/>
      <c r="S1881" s="201"/>
      <c r="T1881" s="201"/>
      <c r="U1881" s="201"/>
      <c r="V1881" s="201"/>
      <c r="W1881" s="201"/>
      <c r="X1881" s="201"/>
      <c r="Y1881" s="201"/>
      <c r="Z1881" s="201"/>
      <c r="AA1881" s="201"/>
    </row>
    <row r="1882" spans="1:27" ht="17.399999999999999">
      <c r="A1882" s="222"/>
      <c r="B1882" s="222"/>
      <c r="C1882" s="201"/>
      <c r="D1882" s="163"/>
      <c r="E1882" s="201"/>
      <c r="F1882" s="198"/>
      <c r="G1882" s="201"/>
      <c r="I1882" s="201"/>
      <c r="J1882" s="149"/>
      <c r="K1882" s="198"/>
      <c r="L1882" s="201"/>
      <c r="M1882" s="201"/>
      <c r="N1882" s="201"/>
      <c r="O1882" s="201"/>
      <c r="P1882" s="201"/>
      <c r="Q1882" s="201"/>
      <c r="R1882" s="201"/>
      <c r="S1882" s="201"/>
      <c r="T1882" s="201"/>
      <c r="U1882" s="201"/>
      <c r="V1882" s="201"/>
      <c r="W1882" s="201"/>
      <c r="X1882" s="201"/>
      <c r="Y1882" s="201"/>
      <c r="Z1882" s="201"/>
      <c r="AA1882" s="201"/>
    </row>
    <row r="1883" spans="1:27" ht="17.399999999999999">
      <c r="A1883" s="222"/>
      <c r="B1883" s="222"/>
      <c r="C1883" s="201"/>
      <c r="D1883" s="163"/>
      <c r="E1883" s="201"/>
      <c r="F1883" s="198"/>
      <c r="G1883" s="201"/>
      <c r="I1883" s="201"/>
      <c r="J1883" s="149"/>
      <c r="K1883" s="198"/>
      <c r="L1883" s="201"/>
      <c r="M1883" s="201"/>
      <c r="N1883" s="201"/>
      <c r="O1883" s="201"/>
      <c r="P1883" s="201"/>
      <c r="Q1883" s="201"/>
      <c r="R1883" s="201"/>
      <c r="S1883" s="201"/>
      <c r="T1883" s="201"/>
      <c r="U1883" s="201"/>
      <c r="V1883" s="201"/>
      <c r="W1883" s="201"/>
      <c r="X1883" s="201"/>
      <c r="Y1883" s="201"/>
      <c r="Z1883" s="201"/>
      <c r="AA1883" s="201"/>
    </row>
    <row r="1884" spans="1:27" ht="17.399999999999999">
      <c r="A1884" s="222"/>
      <c r="B1884" s="222"/>
      <c r="C1884" s="201"/>
      <c r="D1884" s="163"/>
      <c r="E1884" s="201"/>
      <c r="F1884" s="198"/>
      <c r="G1884" s="201"/>
      <c r="I1884" s="201"/>
      <c r="J1884" s="149"/>
      <c r="K1884" s="198"/>
      <c r="L1884" s="201"/>
      <c r="M1884" s="201"/>
      <c r="N1884" s="201"/>
      <c r="O1884" s="201"/>
      <c r="P1884" s="201"/>
      <c r="Q1884" s="201"/>
      <c r="R1884" s="201"/>
      <c r="S1884" s="201"/>
      <c r="T1884" s="201"/>
      <c r="U1884" s="201"/>
      <c r="V1884" s="201"/>
      <c r="W1884" s="201"/>
      <c r="X1884" s="201"/>
      <c r="Y1884" s="201"/>
      <c r="Z1884" s="201"/>
      <c r="AA1884" s="201"/>
    </row>
    <row r="1885" spans="1:27" ht="17.399999999999999">
      <c r="A1885" s="222"/>
      <c r="B1885" s="222"/>
      <c r="C1885" s="201"/>
      <c r="D1885" s="163"/>
      <c r="E1885" s="201"/>
      <c r="F1885" s="198"/>
      <c r="G1885" s="201"/>
      <c r="I1885" s="201"/>
      <c r="J1885" s="149"/>
      <c r="K1885" s="198"/>
      <c r="L1885" s="201"/>
      <c r="M1885" s="201"/>
      <c r="N1885" s="201"/>
      <c r="O1885" s="201"/>
      <c r="P1885" s="201"/>
      <c r="Q1885" s="201"/>
      <c r="R1885" s="201"/>
      <c r="S1885" s="201"/>
      <c r="T1885" s="201"/>
      <c r="U1885" s="201"/>
      <c r="V1885" s="201"/>
      <c r="W1885" s="201"/>
      <c r="X1885" s="201"/>
      <c r="Y1885" s="201"/>
      <c r="Z1885" s="201"/>
      <c r="AA1885" s="201"/>
    </row>
    <row r="1886" spans="1:27" ht="17.399999999999999">
      <c r="A1886" s="222"/>
      <c r="B1886" s="222"/>
      <c r="C1886" s="201"/>
      <c r="D1886" s="163"/>
      <c r="E1886" s="201"/>
      <c r="F1886" s="198"/>
      <c r="G1886" s="201"/>
      <c r="I1886" s="201"/>
      <c r="J1886" s="149"/>
      <c r="K1886" s="198"/>
      <c r="L1886" s="201"/>
      <c r="M1886" s="201"/>
      <c r="N1886" s="201"/>
      <c r="O1886" s="201"/>
      <c r="P1886" s="201"/>
      <c r="Q1886" s="201"/>
      <c r="R1886" s="201"/>
      <c r="S1886" s="201"/>
      <c r="T1886" s="201"/>
      <c r="U1886" s="201"/>
      <c r="V1886" s="201"/>
      <c r="W1886" s="201"/>
      <c r="X1886" s="201"/>
      <c r="Y1886" s="201"/>
      <c r="Z1886" s="201"/>
      <c r="AA1886" s="201"/>
    </row>
    <row r="1887" spans="1:27" ht="17.399999999999999">
      <c r="A1887" s="222"/>
      <c r="B1887" s="222"/>
      <c r="C1887" s="201"/>
      <c r="D1887" s="163"/>
      <c r="E1887" s="201"/>
      <c r="F1887" s="198"/>
      <c r="G1887" s="201"/>
      <c r="I1887" s="201"/>
      <c r="J1887" s="149"/>
      <c r="K1887" s="198"/>
      <c r="L1887" s="201"/>
      <c r="M1887" s="201"/>
      <c r="N1887" s="201"/>
      <c r="O1887" s="201"/>
      <c r="P1887" s="201"/>
      <c r="Q1887" s="201"/>
      <c r="R1887" s="201"/>
      <c r="S1887" s="201"/>
      <c r="T1887" s="201"/>
      <c r="U1887" s="201"/>
      <c r="V1887" s="201"/>
      <c r="W1887" s="201"/>
      <c r="X1887" s="201"/>
      <c r="Y1887" s="201"/>
      <c r="Z1887" s="201"/>
      <c r="AA1887" s="201"/>
    </row>
    <row r="1888" spans="1:27" ht="17.399999999999999">
      <c r="A1888" s="222"/>
      <c r="B1888" s="222"/>
      <c r="C1888" s="201"/>
      <c r="D1888" s="163"/>
      <c r="E1888" s="201"/>
      <c r="F1888" s="198"/>
      <c r="G1888" s="201"/>
      <c r="I1888" s="201"/>
      <c r="J1888" s="149"/>
      <c r="K1888" s="198"/>
      <c r="L1888" s="201"/>
      <c r="M1888" s="201"/>
      <c r="N1888" s="201"/>
      <c r="O1888" s="201"/>
      <c r="P1888" s="201"/>
      <c r="Q1888" s="201"/>
      <c r="R1888" s="201"/>
      <c r="S1888" s="201"/>
      <c r="T1888" s="201"/>
      <c r="U1888" s="201"/>
      <c r="V1888" s="201"/>
      <c r="W1888" s="201"/>
      <c r="X1888" s="201"/>
      <c r="Y1888" s="201"/>
      <c r="Z1888" s="201"/>
      <c r="AA1888" s="201"/>
    </row>
    <row r="1889" spans="1:27" ht="17.399999999999999">
      <c r="A1889" s="222"/>
      <c r="B1889" s="222"/>
      <c r="C1889" s="201"/>
      <c r="D1889" s="163"/>
      <c r="E1889" s="201"/>
      <c r="F1889" s="198"/>
      <c r="G1889" s="201"/>
      <c r="I1889" s="201"/>
      <c r="J1889" s="149"/>
      <c r="K1889" s="198"/>
      <c r="L1889" s="201"/>
      <c r="M1889" s="201"/>
      <c r="N1889" s="201"/>
      <c r="O1889" s="201"/>
      <c r="P1889" s="201"/>
      <c r="Q1889" s="201"/>
      <c r="R1889" s="201"/>
      <c r="S1889" s="201"/>
      <c r="T1889" s="201"/>
      <c r="U1889" s="201"/>
      <c r="V1889" s="201"/>
      <c r="W1889" s="201"/>
      <c r="X1889" s="201"/>
      <c r="Y1889" s="201"/>
      <c r="Z1889" s="201"/>
      <c r="AA1889" s="201"/>
    </row>
    <row r="1890" spans="1:27" ht="17.399999999999999">
      <c r="A1890" s="222"/>
      <c r="B1890" s="222"/>
      <c r="C1890" s="201"/>
      <c r="D1890" s="163"/>
      <c r="E1890" s="201"/>
      <c r="F1890" s="198"/>
      <c r="G1890" s="201"/>
      <c r="I1890" s="201"/>
      <c r="J1890" s="149"/>
      <c r="K1890" s="198"/>
      <c r="L1890" s="201"/>
      <c r="M1890" s="201"/>
      <c r="N1890" s="201"/>
      <c r="O1890" s="201"/>
      <c r="P1890" s="201"/>
      <c r="Q1890" s="201"/>
      <c r="R1890" s="201"/>
      <c r="S1890" s="201"/>
      <c r="T1890" s="201"/>
      <c r="U1890" s="201"/>
      <c r="V1890" s="201"/>
      <c r="W1890" s="201"/>
      <c r="X1890" s="201"/>
      <c r="Y1890" s="201"/>
      <c r="Z1890" s="201"/>
      <c r="AA1890" s="201"/>
    </row>
    <row r="1891" spans="1:27" ht="17.399999999999999">
      <c r="A1891" s="222"/>
      <c r="B1891" s="222"/>
      <c r="C1891" s="201"/>
      <c r="D1891" s="163"/>
      <c r="E1891" s="201"/>
      <c r="F1891" s="198"/>
      <c r="G1891" s="201"/>
      <c r="I1891" s="201"/>
      <c r="J1891" s="149"/>
      <c r="K1891" s="198"/>
      <c r="L1891" s="201"/>
      <c r="M1891" s="201"/>
      <c r="N1891" s="201"/>
      <c r="O1891" s="201"/>
      <c r="P1891" s="201"/>
      <c r="Q1891" s="201"/>
      <c r="R1891" s="201"/>
      <c r="S1891" s="201"/>
      <c r="T1891" s="201"/>
      <c r="U1891" s="201"/>
      <c r="V1891" s="201"/>
      <c r="W1891" s="201"/>
      <c r="X1891" s="201"/>
      <c r="Y1891" s="201"/>
      <c r="Z1891" s="201"/>
      <c r="AA1891" s="201"/>
    </row>
    <row r="1892" spans="1:27" ht="17.399999999999999">
      <c r="A1892" s="222"/>
      <c r="B1892" s="222"/>
      <c r="C1892" s="201"/>
      <c r="D1892" s="163"/>
      <c r="E1892" s="201"/>
      <c r="F1892" s="198"/>
      <c r="G1892" s="201"/>
      <c r="I1892" s="201"/>
      <c r="J1892" s="149"/>
      <c r="K1892" s="198"/>
      <c r="L1892" s="201"/>
      <c r="M1892" s="201"/>
      <c r="N1892" s="201"/>
      <c r="O1892" s="201"/>
      <c r="P1892" s="201"/>
      <c r="Q1892" s="201"/>
      <c r="R1892" s="201"/>
      <c r="S1892" s="201"/>
      <c r="T1892" s="201"/>
      <c r="U1892" s="201"/>
      <c r="V1892" s="201"/>
      <c r="W1892" s="201"/>
      <c r="X1892" s="201"/>
      <c r="Y1892" s="201"/>
      <c r="Z1892" s="201"/>
      <c r="AA1892" s="201"/>
    </row>
    <row r="1893" spans="1:27" ht="17.399999999999999">
      <c r="A1893" s="222"/>
      <c r="B1893" s="222"/>
      <c r="C1893" s="201"/>
      <c r="D1893" s="163"/>
      <c r="E1893" s="201"/>
      <c r="F1893" s="198"/>
      <c r="G1893" s="201"/>
      <c r="I1893" s="201"/>
      <c r="J1893" s="149"/>
      <c r="K1893" s="198"/>
      <c r="L1893" s="201"/>
      <c r="M1893" s="201"/>
      <c r="N1893" s="201"/>
      <c r="O1893" s="201"/>
      <c r="P1893" s="201"/>
      <c r="Q1893" s="201"/>
      <c r="R1893" s="201"/>
      <c r="S1893" s="201"/>
      <c r="T1893" s="201"/>
      <c r="U1893" s="201"/>
      <c r="V1893" s="201"/>
      <c r="W1893" s="201"/>
      <c r="X1893" s="201"/>
      <c r="Y1893" s="201"/>
      <c r="Z1893" s="201"/>
      <c r="AA1893" s="201"/>
    </row>
    <row r="1894" spans="1:27" ht="17.399999999999999">
      <c r="A1894" s="222"/>
      <c r="B1894" s="222"/>
      <c r="C1894" s="201"/>
      <c r="D1894" s="163"/>
      <c r="E1894" s="201"/>
      <c r="F1894" s="198"/>
      <c r="G1894" s="201"/>
      <c r="I1894" s="201"/>
      <c r="J1894" s="149"/>
      <c r="K1894" s="198"/>
      <c r="L1894" s="201"/>
      <c r="M1894" s="201"/>
      <c r="N1894" s="201"/>
      <c r="O1894" s="201"/>
      <c r="P1894" s="201"/>
      <c r="Q1894" s="201"/>
      <c r="R1894" s="201"/>
      <c r="S1894" s="201"/>
      <c r="T1894" s="201"/>
      <c r="U1894" s="201"/>
      <c r="V1894" s="201"/>
      <c r="W1894" s="201"/>
      <c r="X1894" s="201"/>
      <c r="Y1894" s="201"/>
      <c r="Z1894" s="201"/>
      <c r="AA1894" s="201"/>
    </row>
    <row r="1895" spans="1:27" ht="17.399999999999999">
      <c r="A1895" s="222"/>
      <c r="B1895" s="222"/>
      <c r="C1895" s="201"/>
      <c r="D1895" s="163"/>
      <c r="E1895" s="201"/>
      <c r="F1895" s="198"/>
      <c r="G1895" s="201"/>
      <c r="I1895" s="201"/>
      <c r="J1895" s="149"/>
      <c r="K1895" s="198"/>
      <c r="L1895" s="201"/>
      <c r="M1895" s="201"/>
      <c r="N1895" s="201"/>
      <c r="O1895" s="201"/>
      <c r="P1895" s="201"/>
      <c r="Q1895" s="201"/>
      <c r="R1895" s="201"/>
      <c r="S1895" s="201"/>
      <c r="T1895" s="201"/>
      <c r="U1895" s="201"/>
      <c r="V1895" s="201"/>
      <c r="W1895" s="201"/>
      <c r="X1895" s="201"/>
      <c r="Y1895" s="201"/>
      <c r="Z1895" s="201"/>
      <c r="AA1895" s="201"/>
    </row>
    <row r="1896" spans="1:27" ht="17.399999999999999">
      <c r="A1896" s="222"/>
      <c r="B1896" s="222"/>
      <c r="C1896" s="201"/>
      <c r="D1896" s="163"/>
      <c r="E1896" s="201"/>
      <c r="F1896" s="198"/>
      <c r="G1896" s="201"/>
      <c r="I1896" s="201"/>
      <c r="J1896" s="149"/>
      <c r="K1896" s="198"/>
      <c r="L1896" s="201"/>
      <c r="M1896" s="201"/>
      <c r="N1896" s="201"/>
      <c r="O1896" s="201"/>
      <c r="P1896" s="201"/>
      <c r="Q1896" s="201"/>
      <c r="R1896" s="201"/>
      <c r="S1896" s="201"/>
      <c r="T1896" s="201"/>
      <c r="U1896" s="201"/>
      <c r="V1896" s="201"/>
      <c r="W1896" s="201"/>
      <c r="X1896" s="201"/>
      <c r="Y1896" s="201"/>
      <c r="Z1896" s="201"/>
      <c r="AA1896" s="201"/>
    </row>
    <row r="1897" spans="1:27" ht="17.399999999999999">
      <c r="A1897" s="222"/>
      <c r="B1897" s="222"/>
      <c r="C1897" s="201"/>
      <c r="D1897" s="163"/>
      <c r="E1897" s="201"/>
      <c r="F1897" s="198"/>
      <c r="G1897" s="201"/>
      <c r="I1897" s="201"/>
      <c r="J1897" s="149"/>
      <c r="K1897" s="198"/>
      <c r="L1897" s="201"/>
      <c r="M1897" s="201"/>
      <c r="N1897" s="201"/>
      <c r="O1897" s="201"/>
      <c r="P1897" s="201"/>
      <c r="Q1897" s="201"/>
      <c r="R1897" s="201"/>
      <c r="S1897" s="201"/>
      <c r="T1897" s="201"/>
      <c r="U1897" s="201"/>
      <c r="V1897" s="201"/>
      <c r="W1897" s="201"/>
      <c r="X1897" s="201"/>
      <c r="Y1897" s="201"/>
      <c r="Z1897" s="201"/>
      <c r="AA1897" s="201"/>
    </row>
    <row r="1898" spans="1:27" ht="17.399999999999999">
      <c r="A1898" s="222"/>
      <c r="B1898" s="222"/>
      <c r="C1898" s="201"/>
      <c r="D1898" s="163"/>
      <c r="E1898" s="201"/>
      <c r="F1898" s="198"/>
      <c r="G1898" s="201"/>
      <c r="I1898" s="201"/>
      <c r="J1898" s="149"/>
      <c r="K1898" s="198"/>
      <c r="L1898" s="201"/>
      <c r="M1898" s="201"/>
      <c r="N1898" s="201"/>
      <c r="O1898" s="201"/>
      <c r="P1898" s="201"/>
      <c r="Q1898" s="201"/>
      <c r="R1898" s="201"/>
      <c r="S1898" s="201"/>
      <c r="T1898" s="201"/>
      <c r="U1898" s="201"/>
      <c r="V1898" s="201"/>
      <c r="W1898" s="201"/>
      <c r="X1898" s="201"/>
      <c r="Y1898" s="201"/>
      <c r="Z1898" s="201"/>
      <c r="AA1898" s="201"/>
    </row>
    <row r="1899" spans="1:27" ht="17.399999999999999">
      <c r="A1899" s="222"/>
      <c r="B1899" s="222"/>
      <c r="C1899" s="201"/>
      <c r="D1899" s="163"/>
      <c r="E1899" s="201"/>
      <c r="F1899" s="198"/>
      <c r="G1899" s="201"/>
      <c r="I1899" s="201"/>
      <c r="J1899" s="149"/>
      <c r="K1899" s="198"/>
      <c r="L1899" s="201"/>
      <c r="M1899" s="201"/>
      <c r="N1899" s="201"/>
      <c r="O1899" s="201"/>
      <c r="P1899" s="201"/>
      <c r="Q1899" s="201"/>
      <c r="R1899" s="201"/>
      <c r="S1899" s="201"/>
      <c r="T1899" s="201"/>
      <c r="U1899" s="201"/>
      <c r="V1899" s="201"/>
      <c r="W1899" s="201"/>
      <c r="X1899" s="201"/>
      <c r="Y1899" s="201"/>
      <c r="Z1899" s="201"/>
      <c r="AA1899" s="201"/>
    </row>
    <row r="1900" spans="1:27" ht="17.399999999999999">
      <c r="A1900" s="222"/>
      <c r="B1900" s="222"/>
      <c r="C1900" s="201"/>
      <c r="D1900" s="163"/>
      <c r="E1900" s="201"/>
      <c r="F1900" s="198"/>
      <c r="G1900" s="201"/>
      <c r="I1900" s="201"/>
      <c r="J1900" s="149"/>
      <c r="K1900" s="198"/>
      <c r="L1900" s="201"/>
      <c r="M1900" s="201"/>
      <c r="N1900" s="201"/>
      <c r="O1900" s="201"/>
      <c r="P1900" s="201"/>
      <c r="Q1900" s="201"/>
      <c r="R1900" s="201"/>
      <c r="S1900" s="201"/>
      <c r="T1900" s="201"/>
      <c r="U1900" s="201"/>
      <c r="V1900" s="201"/>
      <c r="W1900" s="201"/>
      <c r="X1900" s="201"/>
      <c r="Y1900" s="201"/>
      <c r="Z1900" s="201"/>
      <c r="AA1900" s="201"/>
    </row>
    <row r="1901" spans="1:27" ht="17.399999999999999">
      <c r="A1901" s="222"/>
      <c r="B1901" s="222"/>
      <c r="C1901" s="201"/>
      <c r="D1901" s="163"/>
      <c r="E1901" s="201"/>
      <c r="F1901" s="198"/>
      <c r="G1901" s="201"/>
      <c r="I1901" s="201"/>
      <c r="J1901" s="149"/>
      <c r="K1901" s="198"/>
      <c r="L1901" s="201"/>
      <c r="M1901" s="201"/>
      <c r="N1901" s="201"/>
      <c r="O1901" s="201"/>
      <c r="P1901" s="201"/>
      <c r="Q1901" s="201"/>
      <c r="R1901" s="201"/>
      <c r="S1901" s="201"/>
      <c r="T1901" s="201"/>
      <c r="U1901" s="201"/>
      <c r="V1901" s="201"/>
      <c r="W1901" s="201"/>
      <c r="X1901" s="201"/>
      <c r="Y1901" s="201"/>
      <c r="Z1901" s="201"/>
      <c r="AA1901" s="201"/>
    </row>
    <row r="1902" spans="1:27" ht="17.399999999999999">
      <c r="A1902" s="222"/>
      <c r="B1902" s="222"/>
      <c r="C1902" s="201"/>
      <c r="D1902" s="163"/>
      <c r="E1902" s="201"/>
      <c r="F1902" s="198"/>
      <c r="G1902" s="201"/>
      <c r="I1902" s="201"/>
      <c r="J1902" s="149"/>
      <c r="K1902" s="198"/>
      <c r="L1902" s="201"/>
      <c r="M1902" s="201"/>
      <c r="N1902" s="201"/>
      <c r="O1902" s="201"/>
      <c r="P1902" s="201"/>
      <c r="Q1902" s="201"/>
      <c r="R1902" s="201"/>
      <c r="S1902" s="201"/>
      <c r="T1902" s="201"/>
      <c r="U1902" s="201"/>
      <c r="V1902" s="201"/>
      <c r="W1902" s="201"/>
      <c r="X1902" s="201"/>
      <c r="Y1902" s="201"/>
      <c r="Z1902" s="201"/>
      <c r="AA1902" s="201"/>
    </row>
    <row r="1903" spans="1:27" ht="17.399999999999999">
      <c r="A1903" s="222"/>
      <c r="B1903" s="222"/>
      <c r="C1903" s="201"/>
      <c r="D1903" s="163"/>
      <c r="E1903" s="201"/>
      <c r="F1903" s="198"/>
      <c r="G1903" s="201"/>
      <c r="I1903" s="201"/>
      <c r="J1903" s="149"/>
      <c r="K1903" s="198"/>
      <c r="L1903" s="201"/>
      <c r="M1903" s="201"/>
      <c r="N1903" s="201"/>
      <c r="O1903" s="201"/>
      <c r="P1903" s="201"/>
      <c r="Q1903" s="201"/>
      <c r="R1903" s="201"/>
      <c r="S1903" s="201"/>
      <c r="T1903" s="201"/>
      <c r="U1903" s="201"/>
      <c r="V1903" s="201"/>
      <c r="W1903" s="201"/>
      <c r="X1903" s="201"/>
      <c r="Y1903" s="201"/>
      <c r="Z1903" s="201"/>
      <c r="AA1903" s="201"/>
    </row>
    <row r="1904" spans="1:27" ht="17.399999999999999">
      <c r="A1904" s="222"/>
      <c r="B1904" s="222"/>
      <c r="C1904" s="201"/>
      <c r="D1904" s="163"/>
      <c r="E1904" s="201"/>
      <c r="F1904" s="198"/>
      <c r="G1904" s="201"/>
      <c r="I1904" s="201"/>
      <c r="J1904" s="149"/>
      <c r="K1904" s="198"/>
      <c r="L1904" s="201"/>
      <c r="M1904" s="201"/>
      <c r="N1904" s="201"/>
      <c r="O1904" s="201"/>
      <c r="P1904" s="201"/>
      <c r="Q1904" s="201"/>
      <c r="R1904" s="201"/>
      <c r="S1904" s="201"/>
      <c r="T1904" s="201"/>
      <c r="U1904" s="201"/>
      <c r="V1904" s="201"/>
      <c r="W1904" s="201"/>
      <c r="X1904" s="201"/>
      <c r="Y1904" s="201"/>
      <c r="Z1904" s="201"/>
      <c r="AA1904" s="201"/>
    </row>
    <row r="1905" spans="1:27" ht="17.399999999999999">
      <c r="A1905" s="222"/>
      <c r="B1905" s="222"/>
      <c r="C1905" s="201"/>
      <c r="D1905" s="163"/>
      <c r="E1905" s="201"/>
      <c r="F1905" s="198"/>
      <c r="G1905" s="201"/>
      <c r="I1905" s="201"/>
      <c r="J1905" s="149"/>
      <c r="K1905" s="198"/>
      <c r="L1905" s="201"/>
      <c r="M1905" s="201"/>
      <c r="N1905" s="201"/>
      <c r="O1905" s="201"/>
      <c r="P1905" s="201"/>
      <c r="Q1905" s="201"/>
      <c r="R1905" s="201"/>
      <c r="S1905" s="201"/>
      <c r="T1905" s="201"/>
      <c r="U1905" s="201"/>
      <c r="V1905" s="201"/>
      <c r="W1905" s="201"/>
      <c r="X1905" s="201"/>
      <c r="Y1905" s="201"/>
      <c r="Z1905" s="201"/>
      <c r="AA1905" s="201"/>
    </row>
    <row r="1906" spans="1:27" ht="17.399999999999999">
      <c r="A1906" s="222"/>
      <c r="B1906" s="222"/>
      <c r="C1906" s="201"/>
      <c r="D1906" s="163"/>
      <c r="E1906" s="201"/>
      <c r="F1906" s="198"/>
      <c r="G1906" s="201"/>
      <c r="I1906" s="201"/>
      <c r="J1906" s="149"/>
      <c r="K1906" s="198"/>
      <c r="L1906" s="201"/>
      <c r="M1906" s="201"/>
      <c r="N1906" s="201"/>
      <c r="O1906" s="201"/>
      <c r="P1906" s="201"/>
      <c r="Q1906" s="201"/>
      <c r="R1906" s="201"/>
      <c r="S1906" s="201"/>
      <c r="T1906" s="201"/>
      <c r="U1906" s="201"/>
      <c r="V1906" s="201"/>
      <c r="W1906" s="201"/>
      <c r="X1906" s="201"/>
      <c r="Y1906" s="201"/>
      <c r="Z1906" s="201"/>
      <c r="AA1906" s="201"/>
    </row>
    <row r="1907" spans="1:27" ht="17.399999999999999">
      <c r="A1907" s="222"/>
      <c r="B1907" s="222"/>
      <c r="C1907" s="201"/>
      <c r="D1907" s="163"/>
      <c r="E1907" s="201"/>
      <c r="F1907" s="198"/>
      <c r="G1907" s="201"/>
      <c r="I1907" s="201"/>
      <c r="J1907" s="149"/>
      <c r="K1907" s="198"/>
      <c r="L1907" s="201"/>
      <c r="M1907" s="201"/>
      <c r="N1907" s="201"/>
      <c r="O1907" s="201"/>
      <c r="P1907" s="201"/>
      <c r="Q1907" s="201"/>
      <c r="R1907" s="201"/>
      <c r="S1907" s="201"/>
      <c r="T1907" s="201"/>
      <c r="U1907" s="201"/>
      <c r="V1907" s="201"/>
      <c r="W1907" s="201"/>
      <c r="X1907" s="201"/>
      <c r="Y1907" s="201"/>
      <c r="Z1907" s="201"/>
      <c r="AA1907" s="201"/>
    </row>
  </sheetData>
  <autoFilter ref="A1:J1407" xr:uid="{00000000-0009-0000-0000-000006000000}"/>
  <printOptions horizontalCentered="1" verticalCentered="1" gridLines="1"/>
  <pageMargins left="0.7" right="0.7" top="0.75" bottom="0.75" header="0" footer="0"/>
  <pageSetup paperSize="9" scale="50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015"/>
  <sheetViews>
    <sheetView topLeftCell="A115" workbookViewId="0">
      <selection activeCell="G93" sqref="G93"/>
    </sheetView>
  </sheetViews>
  <sheetFormatPr defaultColWidth="14.44140625" defaultRowHeight="15" customHeight="1"/>
  <cols>
    <col min="1" max="1" width="1.88671875" customWidth="1"/>
    <col min="2" max="2" width="16.88671875" customWidth="1"/>
    <col min="3" max="3" width="72.5546875" customWidth="1"/>
    <col min="4" max="4" width="6.6640625" customWidth="1"/>
    <col min="5" max="5" width="8.5546875" customWidth="1"/>
    <col min="6" max="6" width="11.5546875" customWidth="1"/>
    <col min="7" max="7" width="9.109375" customWidth="1"/>
    <col min="8" max="8" width="11.109375" customWidth="1"/>
    <col min="9" max="9" width="12.5546875" customWidth="1"/>
    <col min="10" max="10" width="14.109375" customWidth="1"/>
    <col min="11" max="11" width="7.44140625" customWidth="1"/>
    <col min="12" max="12" width="68.6640625" customWidth="1"/>
    <col min="13" max="13" width="3.33203125" customWidth="1"/>
    <col min="14" max="14" width="10.33203125" customWidth="1"/>
    <col min="15" max="15" width="38.88671875" customWidth="1"/>
    <col min="16" max="16" width="25.5546875" customWidth="1"/>
  </cols>
  <sheetData>
    <row r="1" spans="1:32" ht="17.399999999999999">
      <c r="A1" s="225" t="s">
        <v>2568</v>
      </c>
      <c r="B1" s="225"/>
      <c r="C1" s="225"/>
      <c r="D1" s="225"/>
      <c r="E1" s="226"/>
      <c r="F1" s="225"/>
      <c r="G1" s="225"/>
      <c r="H1" s="227"/>
      <c r="I1" s="227"/>
      <c r="J1" s="225"/>
      <c r="K1" s="225"/>
      <c r="L1" s="225"/>
      <c r="M1" s="225"/>
      <c r="N1" s="228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2" ht="16.8">
      <c r="A2" s="225"/>
      <c r="B2" s="338" t="s">
        <v>106</v>
      </c>
      <c r="C2" s="340" t="s">
        <v>2569</v>
      </c>
      <c r="D2" s="326"/>
      <c r="E2" s="326"/>
      <c r="F2" s="326"/>
      <c r="G2" s="327"/>
      <c r="H2" s="341" t="s">
        <v>2570</v>
      </c>
      <c r="I2" s="341" t="s">
        <v>2571</v>
      </c>
      <c r="J2" s="338" t="s">
        <v>2572</v>
      </c>
      <c r="K2" s="229"/>
      <c r="L2" s="340" t="s">
        <v>2573</v>
      </c>
      <c r="M2" s="327"/>
      <c r="N2" s="321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2" ht="33.6">
      <c r="A3" s="225"/>
      <c r="B3" s="339"/>
      <c r="C3" s="330"/>
      <c r="D3" s="331"/>
      <c r="E3" s="331"/>
      <c r="F3" s="331"/>
      <c r="G3" s="332"/>
      <c r="H3" s="339"/>
      <c r="I3" s="339"/>
      <c r="J3" s="339"/>
      <c r="K3" s="230"/>
      <c r="L3" s="330"/>
      <c r="M3" s="332"/>
      <c r="N3" s="303"/>
      <c r="O3" s="231" t="s">
        <v>2574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</row>
    <row r="4" spans="1:32" ht="16.8">
      <c r="A4" s="225"/>
      <c r="B4" s="322"/>
      <c r="C4" s="323"/>
      <c r="D4" s="323"/>
      <c r="E4" s="323"/>
      <c r="F4" s="323"/>
      <c r="G4" s="323"/>
      <c r="H4" s="323"/>
      <c r="I4" s="323"/>
      <c r="J4" s="324"/>
      <c r="K4" s="232"/>
      <c r="L4" s="348"/>
      <c r="M4" s="324"/>
      <c r="N4" s="303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</row>
    <row r="5" spans="1:32" ht="16.8">
      <c r="A5" s="225"/>
      <c r="B5" s="233"/>
      <c r="C5" s="349" t="s">
        <v>2575</v>
      </c>
      <c r="D5" s="303"/>
      <c r="E5" s="303"/>
      <c r="F5" s="303"/>
      <c r="G5" s="303"/>
      <c r="H5" s="234"/>
      <c r="I5" s="234"/>
      <c r="J5" s="235"/>
      <c r="K5" s="236"/>
      <c r="L5" s="333" t="s">
        <v>2576</v>
      </c>
      <c r="M5" s="327"/>
      <c r="N5" s="303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</row>
    <row r="6" spans="1:32" ht="52.2">
      <c r="A6" s="237"/>
      <c r="B6" s="238"/>
      <c r="C6" s="239" t="s">
        <v>2577</v>
      </c>
      <c r="D6" s="240" t="s">
        <v>2578</v>
      </c>
      <c r="E6" s="241" t="s">
        <v>2579</v>
      </c>
      <c r="F6" s="240" t="s">
        <v>2580</v>
      </c>
      <c r="G6" s="240" t="s">
        <v>2581</v>
      </c>
      <c r="H6" s="242" t="s">
        <v>2570</v>
      </c>
      <c r="I6" s="242" t="s">
        <v>2571</v>
      </c>
      <c r="J6" s="242" t="s">
        <v>2582</v>
      </c>
      <c r="K6" s="243"/>
      <c r="L6" s="331"/>
      <c r="M6" s="332"/>
      <c r="N6" s="303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</row>
    <row r="7" spans="1:32" ht="16.8">
      <c r="A7" s="244"/>
      <c r="B7" s="245" t="s">
        <v>45</v>
      </c>
      <c r="C7" s="246" t="s">
        <v>46</v>
      </c>
      <c r="D7" s="247" t="s">
        <v>47</v>
      </c>
      <c r="E7" s="334">
        <v>1</v>
      </c>
      <c r="F7" s="247">
        <v>1.66</v>
      </c>
      <c r="G7" s="247">
        <f>(E7*F7)</f>
        <v>1.66</v>
      </c>
      <c r="H7" s="248">
        <v>15</v>
      </c>
      <c r="I7" s="249">
        <f t="shared" ref="I7:I9" si="0">SUM(F7*H7)</f>
        <v>24.9</v>
      </c>
      <c r="J7" s="250">
        <f>SUM(E7*I7)</f>
        <v>24.9</v>
      </c>
      <c r="K7" s="251"/>
      <c r="L7" s="335" t="s">
        <v>2583</v>
      </c>
      <c r="M7" s="324"/>
      <c r="N7" s="303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</row>
    <row r="8" spans="1:32" ht="16.8">
      <c r="A8" s="244"/>
      <c r="B8" s="245" t="s">
        <v>15</v>
      </c>
      <c r="C8" s="246" t="s">
        <v>16</v>
      </c>
      <c r="D8" s="247" t="s">
        <v>3</v>
      </c>
      <c r="E8" s="303"/>
      <c r="F8" s="247">
        <v>5</v>
      </c>
      <c r="G8" s="247">
        <f>(E7*F8)</f>
        <v>5</v>
      </c>
      <c r="H8" s="248">
        <v>2.59</v>
      </c>
      <c r="I8" s="249">
        <f t="shared" si="0"/>
        <v>12.95</v>
      </c>
      <c r="J8" s="249">
        <f t="shared" ref="J8:J9" si="1">SUM(H8*F8)</f>
        <v>12.95</v>
      </c>
      <c r="K8" s="243"/>
      <c r="L8" s="335" t="s">
        <v>2584</v>
      </c>
      <c r="M8" s="324"/>
      <c r="N8" s="303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</row>
    <row r="9" spans="1:32" ht="16.8">
      <c r="A9" s="244"/>
      <c r="B9" s="245" t="s">
        <v>48</v>
      </c>
      <c r="C9" s="246" t="s">
        <v>49</v>
      </c>
      <c r="D9" s="247" t="s">
        <v>3</v>
      </c>
      <c r="E9" s="303"/>
      <c r="F9" s="247">
        <v>3</v>
      </c>
      <c r="G9" s="247">
        <f>(E7*F9)</f>
        <v>3</v>
      </c>
      <c r="H9" s="248">
        <v>3.9</v>
      </c>
      <c r="I9" s="249">
        <f t="shared" si="0"/>
        <v>11.7</v>
      </c>
      <c r="J9" s="249">
        <f t="shared" si="1"/>
        <v>11.7</v>
      </c>
      <c r="K9" s="251"/>
      <c r="L9" s="335" t="s">
        <v>2585</v>
      </c>
      <c r="M9" s="324"/>
      <c r="N9" s="303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</row>
    <row r="10" spans="1:32" ht="17.399999999999999">
      <c r="A10" s="228"/>
      <c r="B10" s="252"/>
      <c r="C10" s="253"/>
      <c r="D10" s="254"/>
      <c r="E10" s="255"/>
      <c r="F10" s="254"/>
      <c r="G10" s="254" t="s">
        <v>2586</v>
      </c>
      <c r="H10" s="249">
        <f t="shared" ref="H10:J10" si="2">SUM(H7:H9)</f>
        <v>21.49</v>
      </c>
      <c r="I10" s="249">
        <f t="shared" si="2"/>
        <v>49.55</v>
      </c>
      <c r="J10" s="250">
        <f t="shared" si="2"/>
        <v>49.55</v>
      </c>
      <c r="K10" s="243"/>
      <c r="L10" s="335"/>
      <c r="M10" s="324"/>
      <c r="N10" s="303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</row>
    <row r="11" spans="1:32" ht="33.6">
      <c r="A11" s="237"/>
      <c r="B11" s="256" t="s">
        <v>2587</v>
      </c>
      <c r="C11" s="350" t="s">
        <v>2588</v>
      </c>
      <c r="D11" s="303"/>
      <c r="E11" s="303"/>
      <c r="F11" s="303"/>
      <c r="G11" s="303"/>
      <c r="H11" s="257"/>
      <c r="I11" s="257"/>
      <c r="J11" s="257"/>
      <c r="K11" s="243"/>
      <c r="L11" s="333" t="s">
        <v>2589</v>
      </c>
      <c r="M11" s="327"/>
      <c r="N11" s="303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</row>
    <row r="12" spans="1:32" ht="52.2">
      <c r="A12" s="237"/>
      <c r="B12" s="238"/>
      <c r="C12" s="239" t="s">
        <v>2590</v>
      </c>
      <c r="D12" s="240" t="s">
        <v>2578</v>
      </c>
      <c r="E12" s="241" t="s">
        <v>2579</v>
      </c>
      <c r="F12" s="240" t="s">
        <v>2580</v>
      </c>
      <c r="G12" s="240" t="s">
        <v>2581</v>
      </c>
      <c r="H12" s="242" t="s">
        <v>2570</v>
      </c>
      <c r="I12" s="242" t="s">
        <v>2571</v>
      </c>
      <c r="J12" s="242" t="s">
        <v>2582</v>
      </c>
      <c r="K12" s="243"/>
      <c r="L12" s="331"/>
      <c r="M12" s="332"/>
      <c r="N12" s="303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</row>
    <row r="13" spans="1:32" ht="16.8">
      <c r="A13" s="244"/>
      <c r="B13" s="245" t="s">
        <v>45</v>
      </c>
      <c r="C13" s="253" t="s">
        <v>46</v>
      </c>
      <c r="D13" s="254" t="s">
        <v>47</v>
      </c>
      <c r="E13" s="334">
        <v>1</v>
      </c>
      <c r="F13" s="254">
        <v>2</v>
      </c>
      <c r="G13" s="254"/>
      <c r="H13" s="249">
        <v>15</v>
      </c>
      <c r="I13" s="249">
        <f t="shared" ref="I13:I15" si="3">SUM(F13*H13)</f>
        <v>30</v>
      </c>
      <c r="J13" s="258">
        <f>SUM(E13*I13)</f>
        <v>30</v>
      </c>
      <c r="K13" s="251"/>
      <c r="L13" s="335" t="s">
        <v>14</v>
      </c>
      <c r="M13" s="324"/>
      <c r="N13" s="303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</row>
    <row r="14" spans="1:32" ht="16.8">
      <c r="A14" s="244"/>
      <c r="B14" s="245" t="s">
        <v>15</v>
      </c>
      <c r="C14" s="253" t="s">
        <v>16</v>
      </c>
      <c r="D14" s="254" t="s">
        <v>3</v>
      </c>
      <c r="E14" s="303"/>
      <c r="F14" s="254">
        <v>5</v>
      </c>
      <c r="G14" s="254"/>
      <c r="H14" s="249">
        <v>2.59</v>
      </c>
      <c r="I14" s="249">
        <f t="shared" si="3"/>
        <v>12.95</v>
      </c>
      <c r="J14" s="249">
        <f t="shared" ref="J14:J15" si="4">SUM(H14*F14)</f>
        <v>12.95</v>
      </c>
      <c r="K14" s="243"/>
      <c r="L14" s="335" t="s">
        <v>2584</v>
      </c>
      <c r="M14" s="324"/>
      <c r="N14" s="303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</row>
    <row r="15" spans="1:32" ht="16.8">
      <c r="A15" s="244"/>
      <c r="B15" s="245" t="s">
        <v>48</v>
      </c>
      <c r="C15" s="253" t="s">
        <v>49</v>
      </c>
      <c r="D15" s="254" t="s">
        <v>3</v>
      </c>
      <c r="E15" s="303"/>
      <c r="F15" s="254">
        <v>3</v>
      </c>
      <c r="G15" s="254"/>
      <c r="H15" s="249">
        <v>3.9</v>
      </c>
      <c r="I15" s="249">
        <f t="shared" si="3"/>
        <v>11.7</v>
      </c>
      <c r="J15" s="249">
        <f t="shared" si="4"/>
        <v>11.7</v>
      </c>
      <c r="K15" s="251"/>
      <c r="L15" s="335" t="s">
        <v>2585</v>
      </c>
      <c r="M15" s="324"/>
      <c r="N15" s="303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</row>
    <row r="16" spans="1:32" ht="17.399999999999999">
      <c r="A16" s="228"/>
      <c r="B16" s="252"/>
      <c r="C16" s="253"/>
      <c r="D16" s="254"/>
      <c r="E16" s="255"/>
      <c r="F16" s="254"/>
      <c r="G16" s="254" t="s">
        <v>2586</v>
      </c>
      <c r="H16" s="249">
        <f t="shared" ref="H16:I16" si="5">SUM(H13:H15)</f>
        <v>21.49</v>
      </c>
      <c r="I16" s="249">
        <f t="shared" si="5"/>
        <v>54.650000000000006</v>
      </c>
      <c r="J16" s="259">
        <f>SUM(J5:J15)</f>
        <v>153.74999999999997</v>
      </c>
      <c r="K16" s="243"/>
      <c r="L16" s="333"/>
      <c r="M16" s="327"/>
      <c r="N16" s="303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</row>
    <row r="17" spans="1:32" ht="16.8">
      <c r="A17" s="237"/>
      <c r="B17" s="260"/>
      <c r="C17" s="343" t="s">
        <v>2591</v>
      </c>
      <c r="D17" s="323"/>
      <c r="E17" s="323"/>
      <c r="F17" s="323"/>
      <c r="G17" s="323"/>
      <c r="H17" s="261"/>
      <c r="I17" s="261"/>
      <c r="J17" s="261"/>
      <c r="K17" s="243"/>
      <c r="L17" s="303"/>
      <c r="M17" s="329"/>
      <c r="N17" s="303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</row>
    <row r="18" spans="1:32" ht="52.2">
      <c r="A18" s="237"/>
      <c r="B18" s="256" t="s">
        <v>2587</v>
      </c>
      <c r="C18" s="239" t="s">
        <v>2590</v>
      </c>
      <c r="D18" s="240" t="s">
        <v>2578</v>
      </c>
      <c r="E18" s="241" t="s">
        <v>2592</v>
      </c>
      <c r="F18" s="240" t="s">
        <v>2593</v>
      </c>
      <c r="G18" s="240" t="s">
        <v>2581</v>
      </c>
      <c r="H18" s="242" t="s">
        <v>2570</v>
      </c>
      <c r="I18" s="242" t="s">
        <v>2571</v>
      </c>
      <c r="J18" s="227" t="s">
        <v>2582</v>
      </c>
      <c r="K18" s="243"/>
      <c r="L18" s="331"/>
      <c r="M18" s="332"/>
      <c r="N18" s="303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</row>
    <row r="19" spans="1:32" ht="16.8">
      <c r="A19" s="244"/>
      <c r="B19" s="245" t="s">
        <v>15</v>
      </c>
      <c r="C19" s="253" t="s">
        <v>2672</v>
      </c>
      <c r="D19" s="254" t="s">
        <v>3</v>
      </c>
      <c r="E19" s="334">
        <v>1</v>
      </c>
      <c r="F19" s="254">
        <v>0.6</v>
      </c>
      <c r="G19" s="254"/>
      <c r="H19" s="249">
        <v>23.9</v>
      </c>
      <c r="I19" s="249">
        <f t="shared" ref="I19" si="6">SUM(F19*H19)</f>
        <v>14.339999999999998</v>
      </c>
      <c r="J19" s="249">
        <f>SUM(H19*F19)</f>
        <v>14.339999999999998</v>
      </c>
      <c r="K19" s="243"/>
      <c r="L19" s="335" t="s">
        <v>2584</v>
      </c>
      <c r="M19" s="324"/>
      <c r="N19" s="303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</row>
    <row r="20" spans="1:32" ht="16.8">
      <c r="A20" s="244"/>
      <c r="B20" s="262" t="s">
        <v>104</v>
      </c>
      <c r="C20" s="253"/>
      <c r="D20" s="254"/>
      <c r="E20" s="303"/>
      <c r="F20" s="254"/>
      <c r="G20" s="254"/>
      <c r="H20" s="249"/>
      <c r="I20" s="249"/>
      <c r="J20" s="258"/>
      <c r="K20" s="251"/>
      <c r="L20" s="335" t="s">
        <v>14</v>
      </c>
      <c r="M20" s="324"/>
      <c r="N20" s="303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</row>
    <row r="21" spans="1:32" ht="17.399999999999999">
      <c r="A21" s="228"/>
      <c r="B21" s="252"/>
      <c r="C21" s="253"/>
      <c r="D21" s="254"/>
      <c r="E21" s="255"/>
      <c r="F21" s="254"/>
      <c r="G21" s="254"/>
      <c r="H21" s="249"/>
      <c r="I21" s="249"/>
      <c r="J21" s="259"/>
      <c r="K21" s="243"/>
      <c r="L21" s="333"/>
      <c r="M21" s="327"/>
      <c r="N21" s="303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</row>
    <row r="22" spans="1:32" ht="17.399999999999999">
      <c r="A22" s="228"/>
      <c r="B22" s="252"/>
      <c r="C22" s="253"/>
      <c r="D22" s="254"/>
      <c r="E22" s="255"/>
      <c r="F22" s="254"/>
      <c r="G22" s="254" t="s">
        <v>2586</v>
      </c>
      <c r="H22" s="249">
        <f t="shared" ref="H22:I22" si="7">SUM(H19:H21)</f>
        <v>23.9</v>
      </c>
      <c r="I22" s="249">
        <f t="shared" si="7"/>
        <v>14.339999999999998</v>
      </c>
      <c r="J22" s="258">
        <f>SUM(J19:J20)</f>
        <v>14.339999999999998</v>
      </c>
      <c r="K22" s="243"/>
      <c r="L22" s="331"/>
      <c r="M22" s="332"/>
      <c r="N22" s="303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</row>
    <row r="23" spans="1:32" ht="17.399999999999999">
      <c r="A23" s="237"/>
      <c r="B23" s="263"/>
      <c r="C23" s="347" t="s">
        <v>2594</v>
      </c>
      <c r="D23" s="323"/>
      <c r="E23" s="323"/>
      <c r="F23" s="323"/>
      <c r="G23" s="323"/>
      <c r="H23" s="264"/>
      <c r="I23" s="264"/>
      <c r="J23" s="264"/>
      <c r="K23" s="243"/>
      <c r="L23" s="333" t="s">
        <v>2595</v>
      </c>
      <c r="M23" s="327"/>
      <c r="N23" s="303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</row>
    <row r="24" spans="1:32" ht="52.2">
      <c r="A24" s="237"/>
      <c r="B24" s="256" t="s">
        <v>2587</v>
      </c>
      <c r="C24" s="239" t="s">
        <v>2590</v>
      </c>
      <c r="D24" s="240" t="s">
        <v>2578</v>
      </c>
      <c r="E24" s="241" t="s">
        <v>2579</v>
      </c>
      <c r="F24" s="240" t="s">
        <v>2596</v>
      </c>
      <c r="G24" s="240" t="s">
        <v>2581</v>
      </c>
      <c r="H24" s="242" t="s">
        <v>2570</v>
      </c>
      <c r="I24" s="242" t="s">
        <v>2571</v>
      </c>
      <c r="J24" s="242" t="s">
        <v>2582</v>
      </c>
      <c r="K24" s="243"/>
      <c r="L24" s="331"/>
      <c r="M24" s="332"/>
      <c r="N24" s="303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</row>
    <row r="25" spans="1:32" ht="16.8">
      <c r="A25" s="244"/>
      <c r="B25" s="245" t="s">
        <v>15</v>
      </c>
      <c r="C25" s="253" t="s">
        <v>16</v>
      </c>
      <c r="D25" s="254" t="s">
        <v>3</v>
      </c>
      <c r="E25" s="334">
        <v>1</v>
      </c>
      <c r="F25" s="254">
        <v>0</v>
      </c>
      <c r="G25" s="254">
        <f>SUM(E25*F31)</f>
        <v>0.3</v>
      </c>
      <c r="H25" s="249">
        <v>2.59</v>
      </c>
      <c r="I25" s="249">
        <f t="shared" ref="I25:I31" si="8">SUM(F25*H25)</f>
        <v>0</v>
      </c>
      <c r="J25" s="258">
        <f>SUM(E25*I25)</f>
        <v>0</v>
      </c>
      <c r="K25" s="243"/>
      <c r="L25" s="335" t="s">
        <v>2584</v>
      </c>
      <c r="M25" s="324"/>
      <c r="N25" s="303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</row>
    <row r="26" spans="1:32" ht="16.8">
      <c r="A26" s="244"/>
      <c r="B26" s="245" t="s">
        <v>17</v>
      </c>
      <c r="C26" s="253" t="s">
        <v>2597</v>
      </c>
      <c r="D26" s="254" t="s">
        <v>19</v>
      </c>
      <c r="E26" s="303"/>
      <c r="F26" s="254">
        <v>6</v>
      </c>
      <c r="G26" s="254"/>
      <c r="H26" s="249">
        <v>7.4</v>
      </c>
      <c r="I26" s="249">
        <f t="shared" si="8"/>
        <v>44.400000000000006</v>
      </c>
      <c r="J26" s="258">
        <f>SUM(E25*I26)</f>
        <v>44.400000000000006</v>
      </c>
      <c r="K26" s="251"/>
      <c r="L26" s="335" t="s">
        <v>14</v>
      </c>
      <c r="M26" s="324"/>
      <c r="N26" s="303"/>
      <c r="O26" s="265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</row>
    <row r="27" spans="1:32" ht="16.8">
      <c r="A27" s="228"/>
      <c r="B27" s="262" t="s">
        <v>2598</v>
      </c>
      <c r="C27" s="253" t="s">
        <v>2599</v>
      </c>
      <c r="D27" s="254" t="s">
        <v>3</v>
      </c>
      <c r="E27" s="303"/>
      <c r="F27" s="254">
        <v>6</v>
      </c>
      <c r="G27" s="254"/>
      <c r="H27" s="249">
        <v>0.28000000000000003</v>
      </c>
      <c r="I27" s="249">
        <f t="shared" si="8"/>
        <v>1.6800000000000002</v>
      </c>
      <c r="J27" s="258">
        <f>SUM(E25*I27)</f>
        <v>1.6800000000000002</v>
      </c>
      <c r="K27" s="251"/>
      <c r="L27" s="335" t="s">
        <v>14</v>
      </c>
      <c r="M27" s="324"/>
      <c r="N27" s="303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</row>
    <row r="28" spans="1:32" ht="16.8">
      <c r="A28" s="228"/>
      <c r="B28" s="262" t="s">
        <v>2600</v>
      </c>
      <c r="C28" s="253" t="s">
        <v>2601</v>
      </c>
      <c r="D28" s="254" t="s">
        <v>3</v>
      </c>
      <c r="E28" s="303"/>
      <c r="F28" s="254">
        <v>8</v>
      </c>
      <c r="G28" s="254"/>
      <c r="H28" s="249">
        <v>0.32</v>
      </c>
      <c r="I28" s="249">
        <f t="shared" si="8"/>
        <v>2.56</v>
      </c>
      <c r="J28" s="258">
        <f>SUM(E25*I28)</f>
        <v>2.56</v>
      </c>
      <c r="K28" s="251"/>
      <c r="L28" s="335" t="s">
        <v>14</v>
      </c>
      <c r="M28" s="324"/>
      <c r="N28" s="303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</row>
    <row r="29" spans="1:32" ht="16.8">
      <c r="A29" s="228"/>
      <c r="B29" s="262" t="s">
        <v>2602</v>
      </c>
      <c r="C29" s="253" t="s">
        <v>2603</v>
      </c>
      <c r="D29" s="254" t="s">
        <v>3</v>
      </c>
      <c r="E29" s="303"/>
      <c r="F29" s="254">
        <v>150</v>
      </c>
      <c r="G29" s="254"/>
      <c r="H29" s="249">
        <v>6.4999999999999997E-3</v>
      </c>
      <c r="I29" s="249">
        <f t="shared" si="8"/>
        <v>0.97499999999999998</v>
      </c>
      <c r="J29" s="258">
        <f>SUM(E25*I29)</f>
        <v>0.97499999999999998</v>
      </c>
      <c r="K29" s="251"/>
      <c r="L29" s="335" t="s">
        <v>14</v>
      </c>
      <c r="M29" s="324"/>
      <c r="N29" s="303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</row>
    <row r="30" spans="1:32" ht="16.8">
      <c r="A30" s="228"/>
      <c r="B30" s="262" t="s">
        <v>104</v>
      </c>
      <c r="C30" s="253" t="s">
        <v>105</v>
      </c>
      <c r="D30" s="254" t="s">
        <v>3</v>
      </c>
      <c r="E30" s="303"/>
      <c r="F30" s="254">
        <v>150</v>
      </c>
      <c r="G30" s="254"/>
      <c r="H30" s="249">
        <v>7.4999999999999997E-3</v>
      </c>
      <c r="I30" s="249">
        <f t="shared" si="8"/>
        <v>1.125</v>
      </c>
      <c r="J30" s="258">
        <f>SUM(E25*I30)</f>
        <v>1.125</v>
      </c>
      <c r="K30" s="251"/>
      <c r="L30" s="335" t="s">
        <v>14</v>
      </c>
      <c r="M30" s="324"/>
      <c r="N30" s="303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</row>
    <row r="31" spans="1:32" ht="16.8">
      <c r="A31" s="228"/>
      <c r="B31" s="262" t="s">
        <v>2604</v>
      </c>
      <c r="C31" s="253" t="s">
        <v>2605</v>
      </c>
      <c r="D31" s="254" t="s">
        <v>3</v>
      </c>
      <c r="E31" s="303"/>
      <c r="F31" s="254">
        <v>0.3</v>
      </c>
      <c r="G31" s="254">
        <f>SUM(E25*F31)</f>
        <v>0.3</v>
      </c>
      <c r="H31" s="249">
        <v>3.18</v>
      </c>
      <c r="I31" s="249">
        <f t="shared" si="8"/>
        <v>0.95399999999999996</v>
      </c>
      <c r="J31" s="258">
        <f>SUM(E25*I31)</f>
        <v>0.95399999999999996</v>
      </c>
      <c r="K31" s="243"/>
      <c r="L31" s="335" t="s">
        <v>2606</v>
      </c>
      <c r="M31" s="324"/>
      <c r="N31" s="303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</row>
    <row r="32" spans="1:32" ht="16.8">
      <c r="A32" s="228"/>
      <c r="B32" s="262" t="s">
        <v>36</v>
      </c>
      <c r="C32" s="253" t="s">
        <v>2607</v>
      </c>
      <c r="D32" s="254" t="s">
        <v>3</v>
      </c>
      <c r="E32" s="303"/>
      <c r="F32" s="254">
        <v>0.1</v>
      </c>
      <c r="G32" s="254"/>
      <c r="H32" s="249">
        <v>0</v>
      </c>
      <c r="I32" s="249">
        <v>0</v>
      </c>
      <c r="J32" s="258">
        <f>SUM(E25*I32)</f>
        <v>0</v>
      </c>
      <c r="K32" s="243"/>
      <c r="L32" s="335" t="s">
        <v>2608</v>
      </c>
      <c r="M32" s="324"/>
      <c r="N32" s="303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</row>
    <row r="33" spans="1:32" ht="16.8">
      <c r="A33" s="228"/>
      <c r="B33" s="262" t="s">
        <v>2609</v>
      </c>
      <c r="C33" s="253" t="s">
        <v>2610</v>
      </c>
      <c r="D33" s="254" t="s">
        <v>3</v>
      </c>
      <c r="E33" s="303"/>
      <c r="F33" s="254">
        <v>6</v>
      </c>
      <c r="G33" s="254"/>
      <c r="H33" s="249">
        <v>1.63</v>
      </c>
      <c r="I33" s="249">
        <f t="shared" ref="I33:I37" si="9">SUM(F33*H33)</f>
        <v>9.7799999999999994</v>
      </c>
      <c r="J33" s="258">
        <f>SUM(E25*I33)</f>
        <v>9.7799999999999994</v>
      </c>
      <c r="K33" s="251"/>
      <c r="L33" s="335" t="s">
        <v>14</v>
      </c>
      <c r="M33" s="324"/>
      <c r="N33" s="303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</row>
    <row r="34" spans="1:32" ht="16.8">
      <c r="A34" s="228"/>
      <c r="B34" s="262" t="s">
        <v>2611</v>
      </c>
      <c r="C34" s="253" t="s">
        <v>2612</v>
      </c>
      <c r="D34" s="254" t="s">
        <v>3</v>
      </c>
      <c r="E34" s="303"/>
      <c r="F34" s="254">
        <v>6</v>
      </c>
      <c r="G34" s="254"/>
      <c r="H34" s="249">
        <v>0.19</v>
      </c>
      <c r="I34" s="249">
        <f t="shared" si="9"/>
        <v>1.1400000000000001</v>
      </c>
      <c r="J34" s="258">
        <f>SUM(E25*I34)</f>
        <v>1.1400000000000001</v>
      </c>
      <c r="K34" s="251"/>
      <c r="L34" s="335" t="s">
        <v>14</v>
      </c>
      <c r="M34" s="324"/>
      <c r="N34" s="303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</row>
    <row r="35" spans="1:32" ht="16.8">
      <c r="A35" s="244"/>
      <c r="B35" s="245" t="s">
        <v>2613</v>
      </c>
      <c r="C35" s="253" t="s">
        <v>2614</v>
      </c>
      <c r="D35" s="254" t="s">
        <v>3</v>
      </c>
      <c r="E35" s="303"/>
      <c r="F35" s="254">
        <v>8</v>
      </c>
      <c r="G35" s="254"/>
      <c r="H35" s="249">
        <v>0.14000000000000001</v>
      </c>
      <c r="I35" s="249">
        <f t="shared" si="9"/>
        <v>1.1200000000000001</v>
      </c>
      <c r="J35" s="258">
        <f>SUM(E25*I35)</f>
        <v>1.1200000000000001</v>
      </c>
      <c r="K35" s="251"/>
      <c r="L35" s="335" t="s">
        <v>14</v>
      </c>
      <c r="M35" s="324"/>
      <c r="N35" s="303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</row>
    <row r="36" spans="1:32" ht="16.8">
      <c r="A36" s="228"/>
      <c r="B36" s="262" t="s">
        <v>2615</v>
      </c>
      <c r="C36" s="253" t="s">
        <v>2616</v>
      </c>
      <c r="D36" s="254" t="s">
        <v>3</v>
      </c>
      <c r="E36" s="303"/>
      <c r="F36" s="254">
        <v>6</v>
      </c>
      <c r="G36" s="254"/>
      <c r="H36" s="249">
        <v>0.1</v>
      </c>
      <c r="I36" s="249">
        <f t="shared" si="9"/>
        <v>0.60000000000000009</v>
      </c>
      <c r="J36" s="258">
        <f>SUM(E25*I36)</f>
        <v>0.60000000000000009</v>
      </c>
      <c r="K36" s="251"/>
      <c r="L36" s="335" t="s">
        <v>14</v>
      </c>
      <c r="M36" s="324"/>
      <c r="N36" s="303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</row>
    <row r="37" spans="1:32" ht="24" customHeight="1">
      <c r="A37" s="228"/>
      <c r="B37" s="262" t="s">
        <v>2617</v>
      </c>
      <c r="C37" s="253" t="s">
        <v>2618</v>
      </c>
      <c r="D37" s="254" t="s">
        <v>3</v>
      </c>
      <c r="E37" s="303"/>
      <c r="F37" s="254">
        <v>0.04</v>
      </c>
      <c r="G37" s="254"/>
      <c r="H37" s="249">
        <v>43.9</v>
      </c>
      <c r="I37" s="249">
        <f t="shared" si="9"/>
        <v>1.756</v>
      </c>
      <c r="J37" s="258">
        <f>SUM(E25*I37)</f>
        <v>1.756</v>
      </c>
      <c r="K37" s="243"/>
      <c r="L37" s="335" t="s">
        <v>2619</v>
      </c>
      <c r="M37" s="324"/>
      <c r="N37" s="303"/>
      <c r="O37" s="231" t="s">
        <v>2620</v>
      </c>
      <c r="P37" s="231" t="s">
        <v>2621</v>
      </c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</row>
    <row r="38" spans="1:32" ht="17.399999999999999">
      <c r="A38" s="228"/>
      <c r="B38" s="252"/>
      <c r="C38" s="253"/>
      <c r="D38" s="254"/>
      <c r="E38" s="255"/>
      <c r="F38" s="254"/>
      <c r="G38" s="254" t="s">
        <v>2586</v>
      </c>
      <c r="H38" s="249">
        <f>SUM(H23:H37)</f>
        <v>59.744</v>
      </c>
      <c r="I38" s="249">
        <f t="shared" ref="I38:J38" si="10">SUM(I25:I37)</f>
        <v>66.09</v>
      </c>
      <c r="J38" s="258">
        <f t="shared" si="10"/>
        <v>66.09</v>
      </c>
      <c r="K38" s="243"/>
      <c r="L38" s="335"/>
      <c r="M38" s="324"/>
      <c r="N38" s="303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</row>
    <row r="39" spans="1:32" ht="16.8">
      <c r="A39" s="237"/>
      <c r="B39" s="266"/>
      <c r="C39" s="346" t="s">
        <v>2622</v>
      </c>
      <c r="D39" s="323"/>
      <c r="E39" s="323"/>
      <c r="F39" s="323"/>
      <c r="G39" s="323"/>
      <c r="H39" s="267"/>
      <c r="I39" s="267"/>
      <c r="J39" s="267"/>
      <c r="K39" s="243"/>
      <c r="L39" s="333" t="s">
        <v>2623</v>
      </c>
      <c r="M39" s="327"/>
      <c r="N39" s="303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</row>
    <row r="40" spans="1:32" ht="52.2">
      <c r="A40" s="237"/>
      <c r="B40" s="256" t="s">
        <v>2587</v>
      </c>
      <c r="C40" s="239" t="s">
        <v>2590</v>
      </c>
      <c r="D40" s="240" t="s">
        <v>2578</v>
      </c>
      <c r="E40" s="241" t="s">
        <v>2579</v>
      </c>
      <c r="F40" s="240" t="s">
        <v>2596</v>
      </c>
      <c r="G40" s="240" t="s">
        <v>2581</v>
      </c>
      <c r="H40" s="242" t="s">
        <v>2570</v>
      </c>
      <c r="I40" s="242" t="s">
        <v>2571</v>
      </c>
      <c r="J40" s="242" t="s">
        <v>2582</v>
      </c>
      <c r="K40" s="243"/>
      <c r="L40" s="331"/>
      <c r="M40" s="332"/>
      <c r="N40" s="303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</row>
    <row r="41" spans="1:32" ht="16.8">
      <c r="A41" s="244"/>
      <c r="B41" s="245" t="s">
        <v>15</v>
      </c>
      <c r="C41" s="253" t="s">
        <v>16</v>
      </c>
      <c r="D41" s="254" t="s">
        <v>3</v>
      </c>
      <c r="E41" s="334">
        <v>1</v>
      </c>
      <c r="F41" s="254">
        <v>0</v>
      </c>
      <c r="G41" s="254"/>
      <c r="H41" s="249">
        <v>2.59</v>
      </c>
      <c r="I41" s="249">
        <f t="shared" ref="I41:I49" si="11">SUM(F41*H41)</f>
        <v>0</v>
      </c>
      <c r="J41" s="258">
        <f>SUM(F41*I41)</f>
        <v>0</v>
      </c>
      <c r="K41" s="243"/>
      <c r="L41" s="335" t="s">
        <v>2624</v>
      </c>
      <c r="M41" s="324"/>
      <c r="N41" s="303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</row>
    <row r="42" spans="1:32" ht="16.8">
      <c r="A42" s="244"/>
      <c r="B42" s="245" t="s">
        <v>17</v>
      </c>
      <c r="C42" s="253" t="s">
        <v>2597</v>
      </c>
      <c r="D42" s="254" t="s">
        <v>19</v>
      </c>
      <c r="E42" s="303"/>
      <c r="F42" s="254">
        <v>6</v>
      </c>
      <c r="G42" s="254"/>
      <c r="H42" s="249">
        <v>7.4</v>
      </c>
      <c r="I42" s="249">
        <f t="shared" si="11"/>
        <v>44.400000000000006</v>
      </c>
      <c r="J42" s="258">
        <f>SUM(E41*I42)</f>
        <v>44.400000000000006</v>
      </c>
      <c r="K42" s="251"/>
      <c r="L42" s="335" t="s">
        <v>14</v>
      </c>
      <c r="M42" s="324"/>
      <c r="N42" s="303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</row>
    <row r="43" spans="1:32" ht="16.8">
      <c r="A43" s="228"/>
      <c r="B43" s="262" t="s">
        <v>104</v>
      </c>
      <c r="C43" s="253" t="s">
        <v>2625</v>
      </c>
      <c r="D43" s="254" t="s">
        <v>3</v>
      </c>
      <c r="E43" s="303"/>
      <c r="F43" s="254">
        <v>150</v>
      </c>
      <c r="G43" s="254"/>
      <c r="H43" s="249">
        <v>6.4999999999999997E-3</v>
      </c>
      <c r="I43" s="249">
        <f t="shared" si="11"/>
        <v>0.97499999999999998</v>
      </c>
      <c r="J43" s="258">
        <f>SUM(E41*I43)</f>
        <v>0.97499999999999998</v>
      </c>
      <c r="K43" s="251"/>
      <c r="L43" s="335" t="s">
        <v>14</v>
      </c>
      <c r="M43" s="324"/>
      <c r="N43" s="303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</row>
    <row r="44" spans="1:32" ht="16.8">
      <c r="A44" s="228"/>
      <c r="B44" s="262" t="s">
        <v>2602</v>
      </c>
      <c r="C44" s="253" t="s">
        <v>2626</v>
      </c>
      <c r="D44" s="254" t="s">
        <v>3</v>
      </c>
      <c r="E44" s="303"/>
      <c r="F44" s="254">
        <v>150</v>
      </c>
      <c r="G44" s="254"/>
      <c r="H44" s="249">
        <v>7.4999999999999997E-3</v>
      </c>
      <c r="I44" s="249">
        <f t="shared" si="11"/>
        <v>1.125</v>
      </c>
      <c r="J44" s="258">
        <f>SUM(E41*I44)</f>
        <v>1.125</v>
      </c>
      <c r="K44" s="251"/>
      <c r="L44" s="335" t="s">
        <v>14</v>
      </c>
      <c r="M44" s="324"/>
      <c r="N44" s="303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</row>
    <row r="45" spans="1:32" ht="16.8">
      <c r="A45" s="244"/>
      <c r="B45" s="245" t="s">
        <v>2627</v>
      </c>
      <c r="C45" s="253" t="s">
        <v>2628</v>
      </c>
      <c r="D45" s="254" t="s">
        <v>3</v>
      </c>
      <c r="E45" s="303"/>
      <c r="F45" s="254">
        <v>10</v>
      </c>
      <c r="G45" s="254"/>
      <c r="H45" s="249">
        <v>0.24</v>
      </c>
      <c r="I45" s="249">
        <f t="shared" si="11"/>
        <v>2.4</v>
      </c>
      <c r="J45" s="258">
        <f>SUM(E41*I45)</f>
        <v>2.4</v>
      </c>
      <c r="K45" s="251"/>
      <c r="L45" s="335" t="s">
        <v>14</v>
      </c>
      <c r="M45" s="324"/>
      <c r="N45" s="303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</row>
    <row r="46" spans="1:32" ht="16.8">
      <c r="A46" s="228"/>
      <c r="B46" s="262" t="s">
        <v>2611</v>
      </c>
      <c r="C46" s="253" t="s">
        <v>2612</v>
      </c>
      <c r="D46" s="254" t="s">
        <v>3</v>
      </c>
      <c r="E46" s="303"/>
      <c r="F46" s="254">
        <v>6</v>
      </c>
      <c r="G46" s="254"/>
      <c r="H46" s="249">
        <v>0.19</v>
      </c>
      <c r="I46" s="249">
        <f t="shared" si="11"/>
        <v>1.1400000000000001</v>
      </c>
      <c r="J46" s="258">
        <f>SUM(E41*I46)</f>
        <v>1.1400000000000001</v>
      </c>
      <c r="K46" s="251"/>
      <c r="L46" s="335" t="s">
        <v>14</v>
      </c>
      <c r="M46" s="324"/>
      <c r="N46" s="303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</row>
    <row r="47" spans="1:32" ht="16.8">
      <c r="A47" s="228"/>
      <c r="B47" s="262" t="s">
        <v>36</v>
      </c>
      <c r="C47" s="253" t="s">
        <v>37</v>
      </c>
      <c r="D47" s="254" t="s">
        <v>3</v>
      </c>
      <c r="E47" s="303"/>
      <c r="F47" s="254">
        <v>0.1</v>
      </c>
      <c r="G47" s="254"/>
      <c r="H47" s="249">
        <v>12.9</v>
      </c>
      <c r="I47" s="249">
        <f t="shared" si="11"/>
        <v>1.29</v>
      </c>
      <c r="J47" s="258">
        <f>SUM(E41*I47)</f>
        <v>1.29</v>
      </c>
      <c r="K47" s="243"/>
      <c r="L47" s="335" t="s">
        <v>2629</v>
      </c>
      <c r="M47" s="324"/>
      <c r="N47" s="303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</row>
    <row r="48" spans="1:32" ht="16.8">
      <c r="A48" s="244"/>
      <c r="B48" s="245" t="s">
        <v>22</v>
      </c>
      <c r="C48" s="253" t="s">
        <v>2630</v>
      </c>
      <c r="D48" s="254" t="s">
        <v>3</v>
      </c>
      <c r="E48" s="303"/>
      <c r="F48" s="254">
        <v>10</v>
      </c>
      <c r="G48" s="254"/>
      <c r="H48" s="249">
        <v>0.3</v>
      </c>
      <c r="I48" s="249">
        <f t="shared" si="11"/>
        <v>3</v>
      </c>
      <c r="J48" s="258">
        <f>SUM(E41*I48)</f>
        <v>3</v>
      </c>
      <c r="K48" s="251"/>
      <c r="L48" s="335" t="s">
        <v>14</v>
      </c>
      <c r="M48" s="324"/>
      <c r="N48" s="303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</row>
    <row r="49" spans="1:32" ht="16.8">
      <c r="A49" s="228"/>
      <c r="B49" s="262" t="s">
        <v>2617</v>
      </c>
      <c r="C49" s="253" t="s">
        <v>2631</v>
      </c>
      <c r="D49" s="254" t="s">
        <v>3</v>
      </c>
      <c r="E49" s="303"/>
      <c r="F49" s="254">
        <v>0.04</v>
      </c>
      <c r="G49" s="254"/>
      <c r="H49" s="249">
        <v>43.9</v>
      </c>
      <c r="I49" s="249">
        <f t="shared" si="11"/>
        <v>1.756</v>
      </c>
      <c r="J49" s="258">
        <f>SUM(E41*I49)</f>
        <v>1.756</v>
      </c>
      <c r="K49" s="251"/>
      <c r="L49" s="335" t="s">
        <v>14</v>
      </c>
      <c r="M49" s="324"/>
      <c r="N49" s="303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</row>
    <row r="50" spans="1:32" ht="17.399999999999999">
      <c r="A50" s="228"/>
      <c r="B50" s="252"/>
      <c r="C50" s="253"/>
      <c r="D50" s="254"/>
      <c r="E50" s="255"/>
      <c r="F50" s="254"/>
      <c r="G50" s="254" t="s">
        <v>2586</v>
      </c>
      <c r="H50" s="249">
        <f t="shared" ref="H50:J50" si="12">SUM(H41:H49)</f>
        <v>67.534000000000006</v>
      </c>
      <c r="I50" s="249">
        <f t="shared" si="12"/>
        <v>56.086000000000006</v>
      </c>
      <c r="J50" s="258">
        <f t="shared" si="12"/>
        <v>56.086000000000006</v>
      </c>
      <c r="K50" s="251"/>
      <c r="L50" s="335" t="s">
        <v>14</v>
      </c>
      <c r="M50" s="324"/>
      <c r="N50" s="303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</row>
    <row r="51" spans="1:32" ht="16.8">
      <c r="A51" s="237"/>
      <c r="B51" s="268"/>
      <c r="C51" s="345" t="s">
        <v>2632</v>
      </c>
      <c r="D51" s="323"/>
      <c r="E51" s="323"/>
      <c r="F51" s="323"/>
      <c r="G51" s="323"/>
      <c r="H51" s="269"/>
      <c r="I51" s="269"/>
      <c r="J51" s="269"/>
      <c r="K51" s="251"/>
      <c r="L51" s="335"/>
      <c r="M51" s="324"/>
      <c r="N51" s="303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</row>
    <row r="52" spans="1:32" ht="52.2">
      <c r="A52" s="237"/>
      <c r="B52" s="256" t="s">
        <v>2587</v>
      </c>
      <c r="C52" s="239" t="s">
        <v>2590</v>
      </c>
      <c r="D52" s="240" t="s">
        <v>2578</v>
      </c>
      <c r="E52" s="241" t="s">
        <v>2579</v>
      </c>
      <c r="F52" s="240" t="s">
        <v>2596</v>
      </c>
      <c r="G52" s="240" t="s">
        <v>2581</v>
      </c>
      <c r="H52" s="242" t="s">
        <v>2570</v>
      </c>
      <c r="I52" s="242" t="s">
        <v>2571</v>
      </c>
      <c r="J52" s="242" t="s">
        <v>2582</v>
      </c>
      <c r="K52" s="243"/>
      <c r="L52" s="335"/>
      <c r="M52" s="324"/>
      <c r="N52" s="303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</row>
    <row r="53" spans="1:32" ht="16.8">
      <c r="A53" s="244"/>
      <c r="B53" s="245" t="s">
        <v>15</v>
      </c>
      <c r="C53" s="253" t="s">
        <v>16</v>
      </c>
      <c r="D53" s="254" t="s">
        <v>3</v>
      </c>
      <c r="E53" s="334">
        <v>1</v>
      </c>
      <c r="F53" s="254">
        <v>0</v>
      </c>
      <c r="G53" s="254"/>
      <c r="H53" s="249">
        <v>2.59</v>
      </c>
      <c r="I53" s="249">
        <f t="shared" ref="I53:I59" si="13">SUM(F53*H53)</f>
        <v>0</v>
      </c>
      <c r="J53" s="258">
        <f>SUM(F53*H53)</f>
        <v>0</v>
      </c>
      <c r="K53" s="243"/>
      <c r="L53" s="335" t="s">
        <v>2584</v>
      </c>
      <c r="M53" s="324"/>
      <c r="N53" s="303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</row>
    <row r="54" spans="1:32" ht="16.8">
      <c r="A54" s="244"/>
      <c r="B54" s="245" t="s">
        <v>17</v>
      </c>
      <c r="C54" s="253" t="s">
        <v>2633</v>
      </c>
      <c r="D54" s="254" t="s">
        <v>19</v>
      </c>
      <c r="E54" s="303"/>
      <c r="F54" s="254">
        <v>4</v>
      </c>
      <c r="G54" s="254"/>
      <c r="H54" s="249">
        <v>7.4</v>
      </c>
      <c r="I54" s="249">
        <f t="shared" si="13"/>
        <v>29.6</v>
      </c>
      <c r="J54" s="258">
        <f>SUM(E53*I54)</f>
        <v>29.6</v>
      </c>
      <c r="K54" s="243"/>
      <c r="L54" s="335" t="s">
        <v>14</v>
      </c>
      <c r="M54" s="324"/>
      <c r="N54" s="303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</row>
    <row r="55" spans="1:32" ht="16.8">
      <c r="A55" s="244"/>
      <c r="B55" s="245" t="s">
        <v>2634</v>
      </c>
      <c r="C55" s="253" t="s">
        <v>2668</v>
      </c>
      <c r="D55" s="254" t="s">
        <v>3</v>
      </c>
      <c r="E55" s="303"/>
      <c r="F55" s="254">
        <v>10</v>
      </c>
      <c r="G55" s="254"/>
      <c r="H55" s="249">
        <v>0.19</v>
      </c>
      <c r="I55" s="249">
        <f t="shared" si="13"/>
        <v>1.9</v>
      </c>
      <c r="J55" s="258">
        <f>SUM(E53*I55)</f>
        <v>1.9</v>
      </c>
      <c r="K55" s="251"/>
      <c r="L55" s="335" t="s">
        <v>14</v>
      </c>
      <c r="M55" s="324"/>
      <c r="N55" s="303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</row>
    <row r="56" spans="1:32" ht="16.8">
      <c r="A56" s="244"/>
      <c r="B56" s="245" t="s">
        <v>22</v>
      </c>
      <c r="C56" s="253" t="s">
        <v>23</v>
      </c>
      <c r="D56" s="254" t="s">
        <v>3</v>
      </c>
      <c r="E56" s="303"/>
      <c r="F56" s="254">
        <v>10</v>
      </c>
      <c r="G56" s="254"/>
      <c r="H56" s="249">
        <v>0.3</v>
      </c>
      <c r="I56" s="249">
        <f t="shared" si="13"/>
        <v>3</v>
      </c>
      <c r="J56" s="258">
        <f>SUM(E53*I56)</f>
        <v>3</v>
      </c>
      <c r="K56" s="251"/>
      <c r="L56" s="335" t="s">
        <v>14</v>
      </c>
      <c r="M56" s="324"/>
      <c r="N56" s="303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</row>
    <row r="57" spans="1:32" ht="16.8">
      <c r="A57" s="228"/>
      <c r="B57" s="262" t="s">
        <v>2617</v>
      </c>
      <c r="C57" s="253" t="s">
        <v>2631</v>
      </c>
      <c r="D57" s="254" t="s">
        <v>3</v>
      </c>
      <c r="E57" s="303"/>
      <c r="F57" s="254">
        <v>0.04</v>
      </c>
      <c r="G57" s="254"/>
      <c r="H57" s="249">
        <v>43.9</v>
      </c>
      <c r="I57" s="249">
        <f t="shared" si="13"/>
        <v>1.756</v>
      </c>
      <c r="J57" s="258">
        <f>SUM(E53*I57)</f>
        <v>1.756</v>
      </c>
      <c r="K57" s="243"/>
      <c r="L57" s="335" t="s">
        <v>2635</v>
      </c>
      <c r="M57" s="324"/>
      <c r="N57" s="303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</row>
    <row r="58" spans="1:32" ht="16.8">
      <c r="A58" s="228"/>
      <c r="B58" s="262" t="s">
        <v>36</v>
      </c>
      <c r="C58" s="253" t="s">
        <v>37</v>
      </c>
      <c r="D58" s="254" t="s">
        <v>3</v>
      </c>
      <c r="E58" s="303"/>
      <c r="F58" s="254">
        <v>0.1</v>
      </c>
      <c r="G58" s="254"/>
      <c r="H58" s="249">
        <v>12.9</v>
      </c>
      <c r="I58" s="249">
        <f t="shared" si="13"/>
        <v>1.29</v>
      </c>
      <c r="J58" s="258">
        <f>SUM(E53*I58)</f>
        <v>1.29</v>
      </c>
      <c r="K58" s="243"/>
      <c r="L58" s="335" t="s">
        <v>2636</v>
      </c>
      <c r="M58" s="324"/>
      <c r="N58" s="303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</row>
    <row r="59" spans="1:32" ht="16.8">
      <c r="A59" s="228"/>
      <c r="B59" s="262" t="s">
        <v>104</v>
      </c>
      <c r="C59" s="253" t="s">
        <v>2625</v>
      </c>
      <c r="D59" s="254" t="s">
        <v>3</v>
      </c>
      <c r="E59" s="303"/>
      <c r="F59" s="254">
        <v>150</v>
      </c>
      <c r="G59" s="254"/>
      <c r="H59" s="249">
        <v>6.4999999999999997E-3</v>
      </c>
      <c r="I59" s="249">
        <f t="shared" si="13"/>
        <v>0.97499999999999998</v>
      </c>
      <c r="J59" s="258">
        <f>SUM(E53*I59)</f>
        <v>0.97499999999999998</v>
      </c>
      <c r="K59" s="251"/>
      <c r="L59" s="335" t="s">
        <v>14</v>
      </c>
      <c r="M59" s="324"/>
      <c r="N59" s="303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</row>
    <row r="60" spans="1:32" ht="17.399999999999999">
      <c r="A60" s="228"/>
      <c r="B60" s="270"/>
      <c r="C60" s="253"/>
      <c r="D60" s="254"/>
      <c r="E60" s="255"/>
      <c r="F60" s="254"/>
      <c r="G60" s="254" t="s">
        <v>2586</v>
      </c>
      <c r="H60" s="249">
        <f t="shared" ref="H60:J60" si="14">SUM(H53:H59)</f>
        <v>67.286500000000004</v>
      </c>
      <c r="I60" s="249">
        <f t="shared" si="14"/>
        <v>38.521000000000001</v>
      </c>
      <c r="J60" s="258">
        <f t="shared" si="14"/>
        <v>38.521000000000001</v>
      </c>
      <c r="K60" s="251"/>
      <c r="L60" s="335" t="s">
        <v>14</v>
      </c>
      <c r="M60" s="324"/>
      <c r="N60" s="303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</row>
    <row r="61" spans="1:32" ht="16.8">
      <c r="A61" s="237"/>
      <c r="B61" s="271"/>
      <c r="C61" s="344" t="s">
        <v>2637</v>
      </c>
      <c r="D61" s="323"/>
      <c r="E61" s="323"/>
      <c r="F61" s="323"/>
      <c r="G61" s="323"/>
      <c r="H61" s="272"/>
      <c r="I61" s="272"/>
      <c r="J61" s="272"/>
      <c r="K61" s="243"/>
      <c r="L61" s="333" t="s">
        <v>2638</v>
      </c>
      <c r="M61" s="327"/>
      <c r="N61" s="303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</row>
    <row r="62" spans="1:32" ht="52.2">
      <c r="A62" s="237"/>
      <c r="B62" s="256" t="s">
        <v>2587</v>
      </c>
      <c r="C62" s="239" t="s">
        <v>2590</v>
      </c>
      <c r="D62" s="240" t="s">
        <v>2578</v>
      </c>
      <c r="E62" s="241" t="s">
        <v>2579</v>
      </c>
      <c r="F62" s="240" t="s">
        <v>2596</v>
      </c>
      <c r="G62" s="240" t="s">
        <v>2581</v>
      </c>
      <c r="H62" s="242" t="s">
        <v>2570</v>
      </c>
      <c r="I62" s="242" t="s">
        <v>2571</v>
      </c>
      <c r="J62" s="242" t="s">
        <v>2582</v>
      </c>
      <c r="K62" s="243"/>
      <c r="L62" s="331"/>
      <c r="M62" s="332"/>
      <c r="N62" s="303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</row>
    <row r="63" spans="1:32" ht="16.8">
      <c r="A63" s="244"/>
      <c r="B63" s="245" t="s">
        <v>15</v>
      </c>
      <c r="C63" s="253" t="s">
        <v>16</v>
      </c>
      <c r="D63" s="254" t="s">
        <v>3</v>
      </c>
      <c r="E63" s="334">
        <v>1</v>
      </c>
      <c r="F63" s="254">
        <v>0</v>
      </c>
      <c r="G63" s="254"/>
      <c r="H63" s="249">
        <v>2.59</v>
      </c>
      <c r="I63" s="249">
        <f t="shared" ref="I63:I69" si="15">SUM(F63*H63)</f>
        <v>0</v>
      </c>
      <c r="J63" s="258">
        <f>SUM(F63*H63)</f>
        <v>0</v>
      </c>
      <c r="K63" s="243"/>
      <c r="L63" s="335" t="s">
        <v>2584</v>
      </c>
      <c r="M63" s="324"/>
      <c r="N63" s="303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</row>
    <row r="64" spans="1:32" ht="16.8">
      <c r="A64" s="244"/>
      <c r="B64" s="245" t="s">
        <v>17</v>
      </c>
      <c r="C64" s="253" t="s">
        <v>2597</v>
      </c>
      <c r="D64" s="254" t="s">
        <v>19</v>
      </c>
      <c r="E64" s="303"/>
      <c r="F64" s="254">
        <v>6</v>
      </c>
      <c r="G64" s="254"/>
      <c r="H64" s="249">
        <v>7.4</v>
      </c>
      <c r="I64" s="249">
        <f t="shared" si="15"/>
        <v>44.400000000000006</v>
      </c>
      <c r="J64" s="258">
        <f>SUM(E63*I64)</f>
        <v>44.400000000000006</v>
      </c>
      <c r="K64" s="251"/>
      <c r="L64" s="335" t="s">
        <v>14</v>
      </c>
      <c r="M64" s="324"/>
      <c r="N64" s="303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</row>
    <row r="65" spans="1:32" ht="16.8">
      <c r="A65" s="228"/>
      <c r="B65" s="262" t="s">
        <v>2602</v>
      </c>
      <c r="C65" s="253" t="s">
        <v>2626</v>
      </c>
      <c r="D65" s="254" t="s">
        <v>3</v>
      </c>
      <c r="E65" s="303"/>
      <c r="F65" s="254">
        <v>150</v>
      </c>
      <c r="G65" s="254"/>
      <c r="H65" s="249">
        <v>7.4999999999999997E-3</v>
      </c>
      <c r="I65" s="249">
        <f t="shared" si="15"/>
        <v>1.125</v>
      </c>
      <c r="J65" s="258">
        <f>SUM(E63*I65)</f>
        <v>1.125</v>
      </c>
      <c r="K65" s="251"/>
      <c r="L65" s="335" t="s">
        <v>14</v>
      </c>
      <c r="M65" s="324"/>
      <c r="N65" s="303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</row>
    <row r="66" spans="1:32" ht="16.8">
      <c r="A66" s="228"/>
      <c r="B66" s="262" t="s">
        <v>104</v>
      </c>
      <c r="C66" s="253" t="s">
        <v>105</v>
      </c>
      <c r="D66" s="254" t="s">
        <v>3</v>
      </c>
      <c r="E66" s="303"/>
      <c r="F66" s="254">
        <v>150</v>
      </c>
      <c r="G66" s="254"/>
      <c r="H66" s="249">
        <v>6.4999999999999997E-3</v>
      </c>
      <c r="I66" s="249">
        <f t="shared" si="15"/>
        <v>0.97499999999999998</v>
      </c>
      <c r="J66" s="258">
        <f>SUM(E63*I66)</f>
        <v>0.97499999999999998</v>
      </c>
      <c r="K66" s="251"/>
      <c r="L66" s="335" t="s">
        <v>14</v>
      </c>
      <c r="M66" s="324"/>
      <c r="N66" s="303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</row>
    <row r="67" spans="1:32" ht="16.8">
      <c r="A67" s="244"/>
      <c r="B67" s="245" t="s">
        <v>2639</v>
      </c>
      <c r="C67" s="253" t="s">
        <v>2640</v>
      </c>
      <c r="D67" s="254" t="s">
        <v>3</v>
      </c>
      <c r="E67" s="303"/>
      <c r="F67" s="254">
        <v>10</v>
      </c>
      <c r="G67" s="254"/>
      <c r="H67" s="249">
        <v>0.32</v>
      </c>
      <c r="I67" s="249">
        <f t="shared" si="15"/>
        <v>3.2</v>
      </c>
      <c r="J67" s="258">
        <f>SUM(E63*I67)</f>
        <v>3.2</v>
      </c>
      <c r="K67" s="251"/>
      <c r="L67" s="335" t="s">
        <v>14</v>
      </c>
      <c r="M67" s="324"/>
      <c r="N67" s="303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</row>
    <row r="68" spans="1:32" ht="16.8">
      <c r="A68" s="228"/>
      <c r="B68" s="262" t="s">
        <v>2611</v>
      </c>
      <c r="C68" s="253" t="s">
        <v>2612</v>
      </c>
      <c r="D68" s="254" t="s">
        <v>3</v>
      </c>
      <c r="E68" s="303"/>
      <c r="F68" s="254">
        <v>6</v>
      </c>
      <c r="G68" s="254"/>
      <c r="H68" s="249">
        <v>0.19</v>
      </c>
      <c r="I68" s="249">
        <f t="shared" si="15"/>
        <v>1.1400000000000001</v>
      </c>
      <c r="J68" s="258">
        <f>SUM(E63*I68)</f>
        <v>1.1400000000000001</v>
      </c>
      <c r="K68" s="251"/>
      <c r="L68" s="335" t="s">
        <v>14</v>
      </c>
      <c r="M68" s="324"/>
      <c r="N68" s="303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</row>
    <row r="69" spans="1:32" ht="16.8">
      <c r="A69" s="228"/>
      <c r="B69" s="262" t="s">
        <v>2617</v>
      </c>
      <c r="C69" s="253" t="s">
        <v>2631</v>
      </c>
      <c r="D69" s="254" t="s">
        <v>3</v>
      </c>
      <c r="E69" s="303"/>
      <c r="F69" s="254">
        <v>0.04</v>
      </c>
      <c r="G69" s="254"/>
      <c r="H69" s="249">
        <v>43.9</v>
      </c>
      <c r="I69" s="249">
        <f t="shared" si="15"/>
        <v>1.756</v>
      </c>
      <c r="J69" s="258">
        <f>SUM(E63*I69)</f>
        <v>1.756</v>
      </c>
      <c r="K69" s="251"/>
      <c r="L69" s="335" t="s">
        <v>14</v>
      </c>
      <c r="M69" s="324"/>
      <c r="N69" s="303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</row>
    <row r="70" spans="1:32" ht="17.399999999999999">
      <c r="A70" s="228"/>
      <c r="B70" s="273"/>
      <c r="C70" s="253"/>
      <c r="D70" s="254"/>
      <c r="E70" s="255"/>
      <c r="F70" s="254"/>
      <c r="G70" s="254" t="s">
        <v>2586</v>
      </c>
      <c r="H70" s="249">
        <f t="shared" ref="H70:J70" si="16">SUM(H63:H69)</f>
        <v>54.414000000000001</v>
      </c>
      <c r="I70" s="249">
        <f t="shared" si="16"/>
        <v>52.596000000000011</v>
      </c>
      <c r="J70" s="258">
        <f t="shared" si="16"/>
        <v>52.596000000000011</v>
      </c>
      <c r="K70" s="243"/>
      <c r="L70" s="335"/>
      <c r="M70" s="324"/>
      <c r="N70" s="303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</row>
    <row r="71" spans="1:32" ht="16.8">
      <c r="A71" s="237"/>
      <c r="B71" s="260"/>
      <c r="C71" s="343" t="s">
        <v>2641</v>
      </c>
      <c r="D71" s="323"/>
      <c r="E71" s="323"/>
      <c r="F71" s="323"/>
      <c r="G71" s="323"/>
      <c r="H71" s="261"/>
      <c r="I71" s="261"/>
      <c r="J71" s="261"/>
      <c r="K71" s="243"/>
      <c r="L71" s="333" t="s">
        <v>2642</v>
      </c>
      <c r="M71" s="327"/>
      <c r="N71" s="303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</row>
    <row r="72" spans="1:32" ht="52.2">
      <c r="A72" s="237"/>
      <c r="B72" s="256" t="s">
        <v>2587</v>
      </c>
      <c r="C72" s="239" t="s">
        <v>2590</v>
      </c>
      <c r="D72" s="240" t="s">
        <v>2578</v>
      </c>
      <c r="E72" s="241" t="s">
        <v>2579</v>
      </c>
      <c r="F72" s="240" t="s">
        <v>2596</v>
      </c>
      <c r="G72" s="240" t="s">
        <v>2581</v>
      </c>
      <c r="H72" s="242" t="s">
        <v>2570</v>
      </c>
      <c r="I72" s="242" t="s">
        <v>2571</v>
      </c>
      <c r="J72" s="242" t="s">
        <v>2582</v>
      </c>
      <c r="K72" s="243"/>
      <c r="L72" s="331"/>
      <c r="M72" s="332"/>
      <c r="N72" s="303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</row>
    <row r="73" spans="1:32" ht="16.8">
      <c r="A73" s="244"/>
      <c r="B73" s="245" t="s">
        <v>15</v>
      </c>
      <c r="C73" s="253" t="s">
        <v>16</v>
      </c>
      <c r="D73" s="254" t="s">
        <v>3</v>
      </c>
      <c r="E73" s="334">
        <v>1</v>
      </c>
      <c r="F73" s="254">
        <v>0</v>
      </c>
      <c r="G73" s="254"/>
      <c r="H73" s="249">
        <v>2.59</v>
      </c>
      <c r="I73" s="249">
        <f t="shared" ref="I73:I81" si="17">SUM(F73*H73)</f>
        <v>0</v>
      </c>
      <c r="J73" s="258">
        <f>SUM(F73*H73)</f>
        <v>0</v>
      </c>
      <c r="K73" s="243"/>
      <c r="L73" s="335" t="s">
        <v>2584</v>
      </c>
      <c r="M73" s="324"/>
      <c r="N73" s="303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</row>
    <row r="74" spans="1:32" ht="16.8">
      <c r="A74" s="244"/>
      <c r="B74" s="245" t="s">
        <v>17</v>
      </c>
      <c r="C74" s="253" t="s">
        <v>2597</v>
      </c>
      <c r="D74" s="254" t="s">
        <v>19</v>
      </c>
      <c r="E74" s="303"/>
      <c r="F74" s="254">
        <v>6</v>
      </c>
      <c r="G74" s="254"/>
      <c r="H74" s="249">
        <v>7.4</v>
      </c>
      <c r="I74" s="249">
        <f t="shared" si="17"/>
        <v>44.400000000000006</v>
      </c>
      <c r="J74" s="258">
        <f>SUM(E73*I74)</f>
        <v>44.400000000000006</v>
      </c>
      <c r="K74" s="251"/>
      <c r="L74" s="335" t="s">
        <v>14</v>
      </c>
      <c r="M74" s="324"/>
      <c r="N74" s="303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</row>
    <row r="75" spans="1:32" ht="16.8">
      <c r="A75" s="228"/>
      <c r="B75" s="262" t="s">
        <v>2643</v>
      </c>
      <c r="C75" s="253" t="s">
        <v>2644</v>
      </c>
      <c r="D75" s="254" t="s">
        <v>3</v>
      </c>
      <c r="E75" s="303"/>
      <c r="F75" s="254">
        <v>150</v>
      </c>
      <c r="G75" s="254"/>
      <c r="H75" s="249">
        <v>0.05</v>
      </c>
      <c r="I75" s="249">
        <f t="shared" si="17"/>
        <v>7.5</v>
      </c>
      <c r="J75" s="258">
        <f>SUM(E73*I75)</f>
        <v>7.5</v>
      </c>
      <c r="K75" s="251"/>
      <c r="L75" s="335" t="s">
        <v>14</v>
      </c>
      <c r="M75" s="324"/>
      <c r="N75" s="303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</row>
    <row r="76" spans="1:32" ht="16.8">
      <c r="A76" s="228"/>
      <c r="B76" s="262" t="s">
        <v>2645</v>
      </c>
      <c r="C76" s="253" t="s">
        <v>2646</v>
      </c>
      <c r="D76" s="254" t="s">
        <v>3</v>
      </c>
      <c r="E76" s="303"/>
      <c r="F76" s="254">
        <v>150</v>
      </c>
      <c r="G76" s="254"/>
      <c r="H76" s="249">
        <v>0.05</v>
      </c>
      <c r="I76" s="249">
        <f t="shared" si="17"/>
        <v>7.5</v>
      </c>
      <c r="J76" s="258">
        <f>SUM(E73*I76)</f>
        <v>7.5</v>
      </c>
      <c r="K76" s="251"/>
      <c r="L76" s="335" t="s">
        <v>14</v>
      </c>
      <c r="M76" s="324"/>
      <c r="N76" s="303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</row>
    <row r="77" spans="1:32" ht="16.8">
      <c r="A77" s="228"/>
      <c r="B77" s="262" t="s">
        <v>2647</v>
      </c>
      <c r="C77" s="253" t="s">
        <v>2648</v>
      </c>
      <c r="D77" s="254" t="s">
        <v>3</v>
      </c>
      <c r="E77" s="303"/>
      <c r="F77" s="254">
        <v>10</v>
      </c>
      <c r="G77" s="254"/>
      <c r="H77" s="249">
        <v>0.45</v>
      </c>
      <c r="I77" s="249">
        <f t="shared" si="17"/>
        <v>4.5</v>
      </c>
      <c r="J77" s="258">
        <f>SUM(E73*I77)</f>
        <v>4.5</v>
      </c>
      <c r="K77" s="251"/>
      <c r="L77" s="335" t="s">
        <v>14</v>
      </c>
      <c r="M77" s="324"/>
      <c r="N77" s="303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</row>
    <row r="78" spans="1:32" ht="16.8">
      <c r="A78" s="244"/>
      <c r="B78" s="245" t="s">
        <v>2649</v>
      </c>
      <c r="C78" s="253" t="s">
        <v>2650</v>
      </c>
      <c r="D78" s="254" t="s">
        <v>3</v>
      </c>
      <c r="E78" s="303"/>
      <c r="F78" s="254">
        <v>6</v>
      </c>
      <c r="G78" s="254"/>
      <c r="H78" s="249">
        <v>0.35</v>
      </c>
      <c r="I78" s="249">
        <f t="shared" si="17"/>
        <v>2.0999999999999996</v>
      </c>
      <c r="J78" s="258">
        <f>SUM(E73*I78)</f>
        <v>2.0999999999999996</v>
      </c>
      <c r="K78" s="251"/>
      <c r="L78" s="335" t="s">
        <v>14</v>
      </c>
      <c r="M78" s="324"/>
      <c r="N78" s="303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</row>
    <row r="79" spans="1:32" ht="16.8">
      <c r="A79" s="228"/>
      <c r="B79" s="262" t="s">
        <v>36</v>
      </c>
      <c r="C79" s="253" t="s">
        <v>37</v>
      </c>
      <c r="D79" s="254" t="s">
        <v>3</v>
      </c>
      <c r="E79" s="303"/>
      <c r="F79" s="254">
        <v>0.1</v>
      </c>
      <c r="G79" s="254"/>
      <c r="H79" s="249">
        <v>12.9</v>
      </c>
      <c r="I79" s="249">
        <f t="shared" si="17"/>
        <v>1.29</v>
      </c>
      <c r="J79" s="258">
        <f>SUM(E73*I79)</f>
        <v>1.29</v>
      </c>
      <c r="K79" s="243"/>
      <c r="L79" s="335" t="s">
        <v>2629</v>
      </c>
      <c r="M79" s="324"/>
      <c r="N79" s="303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</row>
    <row r="80" spans="1:32" ht="16.8">
      <c r="A80" s="244"/>
      <c r="B80" s="245" t="s">
        <v>22</v>
      </c>
      <c r="C80" s="253" t="s">
        <v>2630</v>
      </c>
      <c r="D80" s="254" t="s">
        <v>3</v>
      </c>
      <c r="E80" s="303"/>
      <c r="F80" s="254">
        <v>10</v>
      </c>
      <c r="G80" s="254"/>
      <c r="H80" s="249">
        <v>0.3</v>
      </c>
      <c r="I80" s="249">
        <f t="shared" si="17"/>
        <v>3</v>
      </c>
      <c r="J80" s="258">
        <f>SUM(E73*I80)</f>
        <v>3</v>
      </c>
      <c r="K80" s="251"/>
      <c r="L80" s="335" t="s">
        <v>14</v>
      </c>
      <c r="M80" s="324"/>
      <c r="N80" s="303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</row>
    <row r="81" spans="1:32" ht="16.8">
      <c r="A81" s="228"/>
      <c r="B81" s="262" t="s">
        <v>2617</v>
      </c>
      <c r="C81" s="253" t="s">
        <v>2631</v>
      </c>
      <c r="D81" s="254" t="s">
        <v>3</v>
      </c>
      <c r="E81" s="303"/>
      <c r="F81" s="254">
        <v>0.04</v>
      </c>
      <c r="G81" s="254"/>
      <c r="H81" s="249">
        <v>43.9</v>
      </c>
      <c r="I81" s="249">
        <f t="shared" si="17"/>
        <v>1.756</v>
      </c>
      <c r="J81" s="258">
        <f>SUM(E73*I81)</f>
        <v>1.756</v>
      </c>
      <c r="K81" s="251"/>
      <c r="L81" s="335" t="s">
        <v>14</v>
      </c>
      <c r="M81" s="324"/>
      <c r="N81" s="303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</row>
    <row r="82" spans="1:32" ht="17.399999999999999">
      <c r="A82" s="228"/>
      <c r="B82" s="273"/>
      <c r="C82" s="253"/>
      <c r="D82" s="254"/>
      <c r="E82" s="255"/>
      <c r="F82" s="254"/>
      <c r="G82" s="254" t="s">
        <v>2586</v>
      </c>
      <c r="H82" s="249">
        <f>SUM(H73:H81)</f>
        <v>67.989999999999995</v>
      </c>
      <c r="I82" s="249">
        <f>SUM(I72:I81)</f>
        <v>72.046000000000006</v>
      </c>
      <c r="J82" s="258">
        <f>SUM(J73:J81)</f>
        <v>72.046000000000006</v>
      </c>
      <c r="K82" s="243"/>
      <c r="L82" s="335"/>
      <c r="M82" s="324"/>
      <c r="N82" s="303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</row>
    <row r="83" spans="1:32" ht="16.8">
      <c r="A83" s="237"/>
      <c r="B83" s="274"/>
      <c r="C83" s="336" t="s">
        <v>2651</v>
      </c>
      <c r="D83" s="323"/>
      <c r="E83" s="323"/>
      <c r="F83" s="323"/>
      <c r="G83" s="323"/>
      <c r="H83" s="275"/>
      <c r="I83" s="275"/>
      <c r="J83" s="275"/>
      <c r="K83" s="243"/>
      <c r="L83" s="333" t="s">
        <v>2652</v>
      </c>
      <c r="M83" s="327"/>
      <c r="N83" s="303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</row>
    <row r="84" spans="1:32" ht="52.2">
      <c r="A84" s="237"/>
      <c r="B84" s="256" t="s">
        <v>2587</v>
      </c>
      <c r="C84" s="239" t="s">
        <v>2590</v>
      </c>
      <c r="D84" s="240" t="s">
        <v>2578</v>
      </c>
      <c r="E84" s="241" t="s">
        <v>2579</v>
      </c>
      <c r="F84" s="240" t="s">
        <v>2596</v>
      </c>
      <c r="G84" s="240" t="s">
        <v>2581</v>
      </c>
      <c r="H84" s="242" t="s">
        <v>2570</v>
      </c>
      <c r="I84" s="242" t="s">
        <v>2571</v>
      </c>
      <c r="J84" s="242" t="s">
        <v>2582</v>
      </c>
      <c r="K84" s="243"/>
      <c r="L84" s="331"/>
      <c r="M84" s="332"/>
      <c r="N84" s="303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</row>
    <row r="85" spans="1:32" ht="16.8">
      <c r="A85" s="244"/>
      <c r="B85" s="245" t="s">
        <v>15</v>
      </c>
      <c r="C85" s="253" t="s">
        <v>16</v>
      </c>
      <c r="D85" s="254" t="s">
        <v>3</v>
      </c>
      <c r="E85" s="334">
        <v>1</v>
      </c>
      <c r="F85" s="254">
        <v>0</v>
      </c>
      <c r="G85" s="254"/>
      <c r="H85" s="249">
        <v>2.59</v>
      </c>
      <c r="I85" s="249">
        <f t="shared" ref="I85:I95" si="18">SUM(F85*H85)</f>
        <v>0</v>
      </c>
      <c r="J85" s="258">
        <f>SUM(F85*H85)</f>
        <v>0</v>
      </c>
      <c r="K85" s="243"/>
      <c r="L85" s="335" t="s">
        <v>2584</v>
      </c>
      <c r="M85" s="324"/>
      <c r="N85" s="303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</row>
    <row r="86" spans="1:32" ht="16.8">
      <c r="A86" s="244"/>
      <c r="B86" s="245" t="s">
        <v>17</v>
      </c>
      <c r="C86" s="253" t="s">
        <v>18</v>
      </c>
      <c r="D86" s="254" t="s">
        <v>19</v>
      </c>
      <c r="E86" s="303"/>
      <c r="F86" s="254">
        <v>4</v>
      </c>
      <c r="G86" s="254"/>
      <c r="H86" s="249">
        <v>13.6</v>
      </c>
      <c r="I86" s="249">
        <f t="shared" si="18"/>
        <v>54.4</v>
      </c>
      <c r="J86" s="258">
        <f>SUM(E85*I86)</f>
        <v>54.4</v>
      </c>
      <c r="K86" s="251"/>
      <c r="L86" s="335" t="s">
        <v>14</v>
      </c>
      <c r="M86" s="324"/>
      <c r="N86" s="303"/>
      <c r="O86" s="231" t="s">
        <v>2653</v>
      </c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</row>
    <row r="87" spans="1:32" ht="16.8">
      <c r="A87" s="244"/>
      <c r="B87" s="245" t="s">
        <v>20</v>
      </c>
      <c r="C87" s="253" t="s">
        <v>21</v>
      </c>
      <c r="D87" s="254" t="s">
        <v>3</v>
      </c>
      <c r="E87" s="303"/>
      <c r="F87" s="254">
        <v>10</v>
      </c>
      <c r="G87" s="254"/>
      <c r="H87" s="249">
        <v>0.19</v>
      </c>
      <c r="I87" s="249">
        <f t="shared" si="18"/>
        <v>1.9</v>
      </c>
      <c r="J87" s="258">
        <f>SUM(E85*I87)</f>
        <v>1.9</v>
      </c>
      <c r="K87" s="251"/>
      <c r="L87" s="335" t="s">
        <v>14</v>
      </c>
      <c r="M87" s="324"/>
      <c r="N87" s="303"/>
      <c r="O87" s="231" t="s">
        <v>2654</v>
      </c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</row>
    <row r="88" spans="1:32" ht="16.8">
      <c r="A88" s="244"/>
      <c r="B88" s="245" t="s">
        <v>22</v>
      </c>
      <c r="C88" s="253" t="s">
        <v>23</v>
      </c>
      <c r="D88" s="254" t="s">
        <v>3</v>
      </c>
      <c r="E88" s="303"/>
      <c r="F88" s="254">
        <v>10</v>
      </c>
      <c r="G88" s="254"/>
      <c r="H88" s="249">
        <v>0.3</v>
      </c>
      <c r="I88" s="249">
        <f t="shared" si="18"/>
        <v>3</v>
      </c>
      <c r="J88" s="258">
        <f>SUM(E85*I88)</f>
        <v>3</v>
      </c>
      <c r="K88" s="251"/>
      <c r="L88" s="335" t="s">
        <v>14</v>
      </c>
      <c r="M88" s="324"/>
      <c r="N88" s="303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</row>
    <row r="89" spans="1:32" ht="16.8">
      <c r="A89" s="244"/>
      <c r="B89" s="245" t="s">
        <v>24</v>
      </c>
      <c r="C89" s="253" t="s">
        <v>25</v>
      </c>
      <c r="D89" s="254" t="s">
        <v>3</v>
      </c>
      <c r="E89" s="303"/>
      <c r="F89" s="254">
        <v>1</v>
      </c>
      <c r="G89" s="254"/>
      <c r="H89" s="249">
        <v>0.15</v>
      </c>
      <c r="I89" s="249">
        <f t="shared" si="18"/>
        <v>0.15</v>
      </c>
      <c r="J89" s="258">
        <f>SUM(H89*F89)</f>
        <v>0.15</v>
      </c>
      <c r="K89" s="243"/>
      <c r="L89" s="335" t="s">
        <v>2655</v>
      </c>
      <c r="M89" s="324"/>
      <c r="N89" s="303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</row>
    <row r="90" spans="1:32" ht="16.8">
      <c r="A90" s="244"/>
      <c r="B90" s="245" t="s">
        <v>26</v>
      </c>
      <c r="C90" s="253" t="s">
        <v>27</v>
      </c>
      <c r="D90" s="254" t="s">
        <v>3</v>
      </c>
      <c r="E90" s="303"/>
      <c r="F90" s="254">
        <v>60</v>
      </c>
      <c r="G90" s="254"/>
      <c r="H90" s="249">
        <v>1.3</v>
      </c>
      <c r="I90" s="249">
        <f t="shared" si="18"/>
        <v>78</v>
      </c>
      <c r="J90" s="258">
        <f>SUM(E85*I90)</f>
        <v>78</v>
      </c>
      <c r="K90" s="251"/>
      <c r="L90" s="335" t="s">
        <v>14</v>
      </c>
      <c r="M90" s="324"/>
      <c r="N90" s="303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</row>
    <row r="91" spans="1:32" ht="16.8">
      <c r="A91" s="244"/>
      <c r="B91" s="245" t="s">
        <v>28</v>
      </c>
      <c r="C91" s="253" t="s">
        <v>29</v>
      </c>
      <c r="D91" s="254" t="s">
        <v>3</v>
      </c>
      <c r="E91" s="303"/>
      <c r="F91" s="254">
        <v>60</v>
      </c>
      <c r="G91" s="254"/>
      <c r="H91" s="249">
        <v>0.14000000000000001</v>
      </c>
      <c r="I91" s="249">
        <f t="shared" si="18"/>
        <v>8.4</v>
      </c>
      <c r="J91" s="258">
        <f>SUM(E85*I91)</f>
        <v>8.4</v>
      </c>
      <c r="K91" s="251"/>
      <c r="L91" s="335" t="s">
        <v>14</v>
      </c>
      <c r="M91" s="324"/>
      <c r="N91" s="303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</row>
    <row r="92" spans="1:32" ht="16.8">
      <c r="A92" s="244"/>
      <c r="B92" s="245" t="s">
        <v>30</v>
      </c>
      <c r="C92" s="253" t="s">
        <v>31</v>
      </c>
      <c r="D92" s="254" t="s">
        <v>3</v>
      </c>
      <c r="E92" s="303"/>
      <c r="F92" s="254">
        <v>0</v>
      </c>
      <c r="G92" s="254"/>
      <c r="H92" s="249">
        <v>23.9</v>
      </c>
      <c r="I92" s="249">
        <f t="shared" si="18"/>
        <v>0</v>
      </c>
      <c r="J92" s="258">
        <f>SUM(E85*I92)</f>
        <v>0</v>
      </c>
      <c r="K92" s="243"/>
      <c r="L92" s="335" t="s">
        <v>2656</v>
      </c>
      <c r="M92" s="324"/>
      <c r="N92" s="303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</row>
    <row r="93" spans="1:32" ht="16.8">
      <c r="A93" s="244"/>
      <c r="B93" s="245" t="s">
        <v>32</v>
      </c>
      <c r="C93" s="253" t="s">
        <v>33</v>
      </c>
      <c r="D93" s="254" t="s">
        <v>3</v>
      </c>
      <c r="E93" s="303"/>
      <c r="F93" s="254">
        <v>1</v>
      </c>
      <c r="G93" s="254"/>
      <c r="H93" s="249">
        <v>2.5</v>
      </c>
      <c r="I93" s="249">
        <f t="shared" si="18"/>
        <v>2.5</v>
      </c>
      <c r="J93" s="258">
        <f>SUM(E85*I93)</f>
        <v>2.5</v>
      </c>
      <c r="K93" s="243"/>
      <c r="L93" s="335" t="s">
        <v>2657</v>
      </c>
      <c r="M93" s="324"/>
      <c r="N93" s="303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231"/>
    </row>
    <row r="94" spans="1:32" ht="16.8">
      <c r="A94" s="244"/>
      <c r="B94" s="245" t="s">
        <v>34</v>
      </c>
      <c r="C94" s="253" t="s">
        <v>35</v>
      </c>
      <c r="D94" s="254" t="s">
        <v>3</v>
      </c>
      <c r="E94" s="303"/>
      <c r="F94" s="254">
        <v>0</v>
      </c>
      <c r="G94" s="254"/>
      <c r="H94" s="249">
        <v>2</v>
      </c>
      <c r="I94" s="249">
        <f t="shared" si="18"/>
        <v>0</v>
      </c>
      <c r="J94" s="258">
        <f>SUM(F94*H94)</f>
        <v>0</v>
      </c>
      <c r="K94" s="243"/>
      <c r="L94" s="335" t="s">
        <v>2658</v>
      </c>
      <c r="M94" s="324"/>
      <c r="N94" s="303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</row>
    <row r="95" spans="1:32" ht="16.8">
      <c r="A95" s="228"/>
      <c r="B95" s="262" t="s">
        <v>36</v>
      </c>
      <c r="C95" s="253" t="s">
        <v>37</v>
      </c>
      <c r="D95" s="254" t="s">
        <v>3</v>
      </c>
      <c r="E95" s="303"/>
      <c r="F95" s="254">
        <v>0.1</v>
      </c>
      <c r="G95" s="254"/>
      <c r="H95" s="249">
        <v>12.9</v>
      </c>
      <c r="I95" s="249">
        <f t="shared" si="18"/>
        <v>1.29</v>
      </c>
      <c r="J95" s="258">
        <f>SUM(E85*I95)</f>
        <v>1.29</v>
      </c>
      <c r="K95" s="243"/>
      <c r="L95" s="335" t="s">
        <v>2629</v>
      </c>
      <c r="M95" s="324"/>
      <c r="N95" s="303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</row>
    <row r="96" spans="1:32" ht="17.399999999999999">
      <c r="A96" s="237"/>
      <c r="B96" s="276"/>
      <c r="C96" s="253"/>
      <c r="D96" s="277"/>
      <c r="E96" s="278"/>
      <c r="F96" s="277"/>
      <c r="G96" s="253" t="s">
        <v>2586</v>
      </c>
      <c r="H96" s="249">
        <f t="shared" ref="H96:J96" si="19">SUM(H85:H95)</f>
        <v>59.57</v>
      </c>
      <c r="I96" s="249">
        <f t="shared" si="19"/>
        <v>149.63999999999999</v>
      </c>
      <c r="J96" s="258">
        <f t="shared" si="19"/>
        <v>149.63999999999999</v>
      </c>
      <c r="K96" s="243"/>
      <c r="L96" s="335"/>
      <c r="M96" s="324"/>
      <c r="N96" s="303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</row>
    <row r="97" spans="1:32" ht="16.8">
      <c r="A97" s="237"/>
      <c r="B97" s="279"/>
      <c r="C97" s="342" t="s">
        <v>2659</v>
      </c>
      <c r="D97" s="323"/>
      <c r="E97" s="323"/>
      <c r="F97" s="323"/>
      <c r="G97" s="323"/>
      <c r="H97" s="280"/>
      <c r="I97" s="280"/>
      <c r="J97" s="280"/>
      <c r="K97" s="243"/>
      <c r="L97" s="333" t="s">
        <v>2660</v>
      </c>
      <c r="M97" s="327"/>
      <c r="N97" s="303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</row>
    <row r="98" spans="1:32" ht="52.2">
      <c r="A98" s="237"/>
      <c r="B98" s="256" t="s">
        <v>2587</v>
      </c>
      <c r="C98" s="239" t="s">
        <v>2590</v>
      </c>
      <c r="D98" s="240" t="s">
        <v>2578</v>
      </c>
      <c r="E98" s="241" t="s">
        <v>2579</v>
      </c>
      <c r="F98" s="240" t="s">
        <v>2596</v>
      </c>
      <c r="G98" s="240" t="s">
        <v>2581</v>
      </c>
      <c r="H98" s="242" t="s">
        <v>2570</v>
      </c>
      <c r="I98" s="242" t="s">
        <v>2571</v>
      </c>
      <c r="J98" s="242" t="s">
        <v>2582</v>
      </c>
      <c r="K98" s="243"/>
      <c r="L98" s="331"/>
      <c r="M98" s="332"/>
      <c r="N98" s="303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</row>
    <row r="99" spans="1:32" ht="16.8">
      <c r="A99" s="244"/>
      <c r="B99" s="245" t="s">
        <v>15</v>
      </c>
      <c r="C99" s="253" t="s">
        <v>16</v>
      </c>
      <c r="D99" s="254" t="s">
        <v>3</v>
      </c>
      <c r="E99" s="334">
        <v>1</v>
      </c>
      <c r="F99" s="254">
        <v>0</v>
      </c>
      <c r="G99" s="254"/>
      <c r="H99" s="249">
        <v>2.59</v>
      </c>
      <c r="I99" s="249">
        <f t="shared" ref="I99:I107" si="20">SUM(F99*H99)</f>
        <v>0</v>
      </c>
      <c r="J99" s="258">
        <f>SUM(F99*H99)</f>
        <v>0</v>
      </c>
      <c r="K99" s="243"/>
      <c r="L99" s="335" t="s">
        <v>2584</v>
      </c>
      <c r="M99" s="324"/>
      <c r="N99" s="303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</row>
    <row r="100" spans="1:32" ht="16.8">
      <c r="A100" s="244"/>
      <c r="B100" s="245" t="s">
        <v>17</v>
      </c>
      <c r="C100" s="253" t="s">
        <v>18</v>
      </c>
      <c r="D100" s="254" t="s">
        <v>19</v>
      </c>
      <c r="E100" s="303"/>
      <c r="F100" s="254">
        <v>4</v>
      </c>
      <c r="G100" s="254">
        <v>4</v>
      </c>
      <c r="H100" s="249">
        <v>13.6</v>
      </c>
      <c r="I100" s="249">
        <f t="shared" si="20"/>
        <v>54.4</v>
      </c>
      <c r="J100" s="258">
        <f>SUM(E99*I100)</f>
        <v>54.4</v>
      </c>
      <c r="K100" s="251"/>
      <c r="L100" s="335" t="s">
        <v>14</v>
      </c>
      <c r="M100" s="324"/>
      <c r="N100" s="303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</row>
    <row r="101" spans="1:32" ht="16.8">
      <c r="A101" s="244"/>
      <c r="B101" s="245" t="s">
        <v>20</v>
      </c>
      <c r="C101" s="253" t="s">
        <v>21</v>
      </c>
      <c r="D101" s="254" t="s">
        <v>3</v>
      </c>
      <c r="E101" s="303"/>
      <c r="F101" s="254">
        <v>10</v>
      </c>
      <c r="G101" s="254">
        <v>0</v>
      </c>
      <c r="H101" s="249">
        <v>0.19</v>
      </c>
      <c r="I101" s="249">
        <f t="shared" si="20"/>
        <v>1.9</v>
      </c>
      <c r="J101" s="258">
        <f>SUM(E99*I101)</f>
        <v>1.9</v>
      </c>
      <c r="K101" s="251"/>
      <c r="L101" s="335" t="s">
        <v>14</v>
      </c>
      <c r="M101" s="324"/>
      <c r="N101" s="303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</row>
    <row r="102" spans="1:32" ht="16.8">
      <c r="A102" s="244"/>
      <c r="B102" s="245" t="s">
        <v>22</v>
      </c>
      <c r="C102" s="253" t="s">
        <v>23</v>
      </c>
      <c r="D102" s="254" t="s">
        <v>3</v>
      </c>
      <c r="E102" s="303"/>
      <c r="F102" s="254">
        <v>10</v>
      </c>
      <c r="G102" s="254">
        <v>0</v>
      </c>
      <c r="H102" s="249">
        <v>0.3</v>
      </c>
      <c r="I102" s="249">
        <f t="shared" si="20"/>
        <v>3</v>
      </c>
      <c r="J102" s="258">
        <f>SUM(E99*I102)</f>
        <v>3</v>
      </c>
      <c r="K102" s="251"/>
      <c r="L102" s="335" t="s">
        <v>14</v>
      </c>
      <c r="M102" s="324"/>
      <c r="N102" s="303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</row>
    <row r="103" spans="1:32" ht="16.8">
      <c r="A103" s="244"/>
      <c r="B103" s="245" t="s">
        <v>30</v>
      </c>
      <c r="C103" s="253" t="s">
        <v>31</v>
      </c>
      <c r="D103" s="254" t="s">
        <v>3</v>
      </c>
      <c r="E103" s="303"/>
      <c r="F103" s="254">
        <v>1</v>
      </c>
      <c r="G103" s="254">
        <v>0</v>
      </c>
      <c r="H103" s="249">
        <v>23.9</v>
      </c>
      <c r="I103" s="249">
        <f t="shared" si="20"/>
        <v>23.9</v>
      </c>
      <c r="J103" s="258">
        <f>SUM(E99*I103)</f>
        <v>23.9</v>
      </c>
      <c r="K103" s="251"/>
      <c r="L103" s="335" t="s">
        <v>14</v>
      </c>
      <c r="M103" s="324"/>
      <c r="N103" s="303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</row>
    <row r="104" spans="1:32" ht="16.8">
      <c r="A104" s="244"/>
      <c r="B104" s="245" t="s">
        <v>2661</v>
      </c>
      <c r="C104" s="253" t="s">
        <v>2662</v>
      </c>
      <c r="D104" s="254" t="s">
        <v>3</v>
      </c>
      <c r="E104" s="303"/>
      <c r="F104" s="254">
        <v>50</v>
      </c>
      <c r="G104" s="254">
        <v>0</v>
      </c>
      <c r="H104" s="249">
        <v>0.8</v>
      </c>
      <c r="I104" s="249">
        <f t="shared" si="20"/>
        <v>40</v>
      </c>
      <c r="J104" s="258">
        <f>SUM(E99*I104)</f>
        <v>40</v>
      </c>
      <c r="K104" s="251"/>
      <c r="L104" s="335" t="s">
        <v>14</v>
      </c>
      <c r="M104" s="324"/>
      <c r="N104" s="303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</row>
    <row r="105" spans="1:32" ht="16.8">
      <c r="A105" s="244"/>
      <c r="B105" s="245" t="s">
        <v>2663</v>
      </c>
      <c r="C105" s="253" t="s">
        <v>2664</v>
      </c>
      <c r="D105" s="254" t="s">
        <v>3</v>
      </c>
      <c r="E105" s="303"/>
      <c r="F105" s="254">
        <v>50</v>
      </c>
      <c r="G105" s="254">
        <v>0</v>
      </c>
      <c r="H105" s="249">
        <v>0.15</v>
      </c>
      <c r="I105" s="249">
        <f t="shared" si="20"/>
        <v>7.5</v>
      </c>
      <c r="J105" s="258">
        <f>SUM(E99*I105)</f>
        <v>7.5</v>
      </c>
      <c r="K105" s="251"/>
      <c r="L105" s="335" t="s">
        <v>14</v>
      </c>
      <c r="M105" s="324"/>
      <c r="N105" s="303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</row>
    <row r="106" spans="1:32" ht="16.8">
      <c r="A106" s="244"/>
      <c r="B106" s="245" t="s">
        <v>32</v>
      </c>
      <c r="C106" s="253" t="s">
        <v>33</v>
      </c>
      <c r="D106" s="254" t="s">
        <v>3</v>
      </c>
      <c r="E106" s="303"/>
      <c r="F106" s="254">
        <v>1</v>
      </c>
      <c r="G106" s="254">
        <v>0</v>
      </c>
      <c r="H106" s="249">
        <v>2.5</v>
      </c>
      <c r="I106" s="249">
        <f t="shared" si="20"/>
        <v>2.5</v>
      </c>
      <c r="J106" s="258">
        <f>SUM(E99*I106)</f>
        <v>2.5</v>
      </c>
      <c r="K106" s="251"/>
      <c r="L106" s="335" t="s">
        <v>14</v>
      </c>
      <c r="M106" s="324"/>
      <c r="N106" s="303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</row>
    <row r="107" spans="1:32" ht="16.8">
      <c r="A107" s="244"/>
      <c r="B107" s="245" t="s">
        <v>34</v>
      </c>
      <c r="C107" s="253" t="s">
        <v>35</v>
      </c>
      <c r="D107" s="254" t="s">
        <v>3</v>
      </c>
      <c r="E107" s="303"/>
      <c r="F107" s="254">
        <v>0</v>
      </c>
      <c r="G107" s="254"/>
      <c r="H107" s="249">
        <v>2</v>
      </c>
      <c r="I107" s="281">
        <f t="shared" si="20"/>
        <v>0</v>
      </c>
      <c r="J107" s="258">
        <f>SUM(F107*H107)</f>
        <v>0</v>
      </c>
      <c r="K107" s="243"/>
      <c r="L107" s="335" t="s">
        <v>2658</v>
      </c>
      <c r="M107" s="324"/>
      <c r="N107" s="303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</row>
    <row r="108" spans="1:32" ht="17.399999999999999">
      <c r="A108" s="244"/>
      <c r="B108" s="245"/>
      <c r="C108" s="253"/>
      <c r="D108" s="254"/>
      <c r="E108" s="255"/>
      <c r="F108" s="254"/>
      <c r="G108" s="254" t="s">
        <v>2586</v>
      </c>
      <c r="H108" s="249">
        <f>SUM(H99:H107)</f>
        <v>46.029999999999994</v>
      </c>
      <c r="I108" s="249">
        <f>SUM(I98:I107)</f>
        <v>133.19999999999999</v>
      </c>
      <c r="J108" s="258">
        <f>SUM(J99:J107)</f>
        <v>133.19999999999999</v>
      </c>
      <c r="K108" s="243"/>
      <c r="L108" s="335"/>
      <c r="M108" s="324"/>
      <c r="N108" s="303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</row>
    <row r="109" spans="1:32" ht="16.8">
      <c r="A109" s="237"/>
      <c r="B109" s="274"/>
      <c r="C109" s="336" t="s">
        <v>2665</v>
      </c>
      <c r="D109" s="323"/>
      <c r="E109" s="323"/>
      <c r="F109" s="323"/>
      <c r="G109" s="323"/>
      <c r="H109" s="275"/>
      <c r="I109" s="275"/>
      <c r="J109" s="275"/>
      <c r="K109" s="243"/>
      <c r="L109" s="333" t="s">
        <v>2652</v>
      </c>
      <c r="M109" s="327"/>
      <c r="N109" s="303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</row>
    <row r="110" spans="1:32" ht="52.2">
      <c r="A110" s="237"/>
      <c r="B110" s="256" t="s">
        <v>2587</v>
      </c>
      <c r="C110" s="239" t="s">
        <v>2590</v>
      </c>
      <c r="D110" s="240" t="s">
        <v>2578</v>
      </c>
      <c r="E110" s="241" t="s">
        <v>2579</v>
      </c>
      <c r="F110" s="240" t="s">
        <v>2596</v>
      </c>
      <c r="G110" s="240" t="s">
        <v>2581</v>
      </c>
      <c r="H110" s="242" t="s">
        <v>2570</v>
      </c>
      <c r="I110" s="242" t="s">
        <v>2571</v>
      </c>
      <c r="J110" s="242" t="s">
        <v>2582</v>
      </c>
      <c r="K110" s="243"/>
      <c r="L110" s="331"/>
      <c r="M110" s="332"/>
      <c r="N110" s="303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</row>
    <row r="111" spans="1:32" ht="16.8">
      <c r="A111" s="244"/>
      <c r="B111" s="245" t="s">
        <v>15</v>
      </c>
      <c r="C111" s="253" t="s">
        <v>16</v>
      </c>
      <c r="D111" s="254" t="s">
        <v>3</v>
      </c>
      <c r="E111" s="334">
        <v>1</v>
      </c>
      <c r="F111" s="254">
        <v>0</v>
      </c>
      <c r="G111" s="254"/>
      <c r="H111" s="249">
        <v>2.59</v>
      </c>
      <c r="I111" s="249">
        <f t="shared" ref="I111:I119" si="21">SUM(F111*H111)</f>
        <v>0</v>
      </c>
      <c r="J111" s="282">
        <f>SUM(F111*H111)</f>
        <v>0</v>
      </c>
      <c r="K111" s="243"/>
      <c r="L111" s="335" t="s">
        <v>2584</v>
      </c>
      <c r="M111" s="324"/>
      <c r="N111" s="303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</row>
    <row r="112" spans="1:32" ht="16.8">
      <c r="A112" s="244"/>
      <c r="B112" s="245" t="s">
        <v>17</v>
      </c>
      <c r="C112" s="253" t="s">
        <v>18</v>
      </c>
      <c r="D112" s="254" t="s">
        <v>19</v>
      </c>
      <c r="E112" s="303"/>
      <c r="F112" s="254">
        <v>4</v>
      </c>
      <c r="G112" s="254"/>
      <c r="H112" s="249">
        <v>13.6</v>
      </c>
      <c r="I112" s="249">
        <f t="shared" si="21"/>
        <v>54.4</v>
      </c>
      <c r="J112" s="258">
        <f>SUM(E111*I112)</f>
        <v>54.4</v>
      </c>
      <c r="K112" s="251"/>
      <c r="L112" s="335" t="s">
        <v>14</v>
      </c>
      <c r="M112" s="324"/>
      <c r="N112" s="303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</row>
    <row r="113" spans="1:32" ht="16.8">
      <c r="A113" s="244"/>
      <c r="B113" s="245" t="s">
        <v>20</v>
      </c>
      <c r="C113" s="253" t="s">
        <v>21</v>
      </c>
      <c r="D113" s="254" t="s">
        <v>3</v>
      </c>
      <c r="E113" s="303"/>
      <c r="F113" s="254">
        <v>10</v>
      </c>
      <c r="G113" s="254"/>
      <c r="H113" s="249">
        <v>0.19</v>
      </c>
      <c r="I113" s="249">
        <f t="shared" si="21"/>
        <v>1.9</v>
      </c>
      <c r="J113" s="258">
        <f>SUM(E111*I113)</f>
        <v>1.9</v>
      </c>
      <c r="K113" s="251"/>
      <c r="L113" s="335" t="s">
        <v>14</v>
      </c>
      <c r="M113" s="324"/>
      <c r="N113" s="303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</row>
    <row r="114" spans="1:32" ht="16.8">
      <c r="A114" s="244"/>
      <c r="B114" s="245" t="s">
        <v>22</v>
      </c>
      <c r="C114" s="253" t="s">
        <v>23</v>
      </c>
      <c r="D114" s="254" t="s">
        <v>3</v>
      </c>
      <c r="E114" s="303"/>
      <c r="F114" s="254">
        <v>10</v>
      </c>
      <c r="G114" s="254"/>
      <c r="H114" s="249">
        <v>0.3</v>
      </c>
      <c r="I114" s="249">
        <f t="shared" si="21"/>
        <v>3</v>
      </c>
      <c r="J114" s="258">
        <f>SUM(E111*I114)</f>
        <v>3</v>
      </c>
      <c r="K114" s="251"/>
      <c r="L114" s="335" t="s">
        <v>14</v>
      </c>
      <c r="M114" s="324"/>
      <c r="N114" s="303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</row>
    <row r="115" spans="1:32" ht="16.8">
      <c r="A115" s="244"/>
      <c r="B115" s="245" t="s">
        <v>24</v>
      </c>
      <c r="C115" s="253" t="s">
        <v>25</v>
      </c>
      <c r="D115" s="254" t="s">
        <v>3</v>
      </c>
      <c r="E115" s="303"/>
      <c r="F115" s="254">
        <v>1</v>
      </c>
      <c r="G115" s="254"/>
      <c r="H115" s="249">
        <v>0.15</v>
      </c>
      <c r="I115" s="249">
        <f t="shared" si="21"/>
        <v>0.15</v>
      </c>
      <c r="J115" s="258">
        <f>SUM(H115*F115)</f>
        <v>0.15</v>
      </c>
      <c r="K115" s="251"/>
      <c r="L115" s="335" t="s">
        <v>2666</v>
      </c>
      <c r="M115" s="324"/>
      <c r="N115" s="303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</row>
    <row r="116" spans="1:32" ht="16.8">
      <c r="A116" s="244"/>
      <c r="B116" s="245" t="s">
        <v>26</v>
      </c>
      <c r="C116" s="253" t="s">
        <v>27</v>
      </c>
      <c r="D116" s="254" t="s">
        <v>3</v>
      </c>
      <c r="E116" s="303"/>
      <c r="F116" s="254">
        <v>75</v>
      </c>
      <c r="G116" s="254"/>
      <c r="H116" s="249">
        <v>1.3</v>
      </c>
      <c r="I116" s="249">
        <f t="shared" si="21"/>
        <v>97.5</v>
      </c>
      <c r="J116" s="258">
        <f>SUM(E111*I116)</f>
        <v>97.5</v>
      </c>
      <c r="K116" s="251"/>
      <c r="L116" s="335" t="s">
        <v>14</v>
      </c>
      <c r="M116" s="324"/>
      <c r="N116" s="303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</row>
    <row r="117" spans="1:32" ht="16.8">
      <c r="A117" s="244"/>
      <c r="B117" s="245" t="s">
        <v>28</v>
      </c>
      <c r="C117" s="253" t="s">
        <v>29</v>
      </c>
      <c r="D117" s="254" t="s">
        <v>3</v>
      </c>
      <c r="E117" s="303"/>
      <c r="F117" s="254">
        <v>75</v>
      </c>
      <c r="G117" s="254"/>
      <c r="H117" s="249">
        <v>0.14000000000000001</v>
      </c>
      <c r="I117" s="249">
        <f t="shared" si="21"/>
        <v>10.500000000000002</v>
      </c>
      <c r="J117" s="258">
        <f>SUM(E111*I117)</f>
        <v>10.500000000000002</v>
      </c>
      <c r="K117" s="251"/>
      <c r="L117" s="335" t="s">
        <v>14</v>
      </c>
      <c r="M117" s="324"/>
      <c r="N117" s="303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</row>
    <row r="118" spans="1:32" ht="16.8">
      <c r="A118" s="244"/>
      <c r="B118" s="245" t="s">
        <v>30</v>
      </c>
      <c r="C118" s="253" t="s">
        <v>31</v>
      </c>
      <c r="D118" s="254" t="s">
        <v>3</v>
      </c>
      <c r="E118" s="303"/>
      <c r="F118" s="254">
        <v>0</v>
      </c>
      <c r="G118" s="254"/>
      <c r="H118" s="249">
        <v>23.9</v>
      </c>
      <c r="I118" s="249">
        <f t="shared" si="21"/>
        <v>0</v>
      </c>
      <c r="J118" s="258">
        <f>SUM(E111*I118)</f>
        <v>0</v>
      </c>
      <c r="K118" s="251"/>
      <c r="L118" s="335" t="s">
        <v>14</v>
      </c>
      <c r="M118" s="324"/>
      <c r="N118" s="303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</row>
    <row r="119" spans="1:32" ht="16.8">
      <c r="A119" s="244"/>
      <c r="B119" s="245" t="s">
        <v>32</v>
      </c>
      <c r="C119" s="253" t="s">
        <v>33</v>
      </c>
      <c r="D119" s="254" t="s">
        <v>3</v>
      </c>
      <c r="E119" s="303"/>
      <c r="F119" s="254">
        <v>1</v>
      </c>
      <c r="G119" s="254"/>
      <c r="H119" s="249">
        <v>2.5</v>
      </c>
      <c r="I119" s="249">
        <f t="shared" si="21"/>
        <v>2.5</v>
      </c>
      <c r="J119" s="258">
        <f>SUM(E111*I119)</f>
        <v>2.5</v>
      </c>
      <c r="K119" s="251"/>
      <c r="L119" s="335" t="s">
        <v>14</v>
      </c>
      <c r="M119" s="324"/>
      <c r="N119" s="303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</row>
    <row r="120" spans="1:32" ht="16.8">
      <c r="A120" s="244"/>
      <c r="B120" s="245" t="s">
        <v>34</v>
      </c>
      <c r="C120" s="253" t="s">
        <v>35</v>
      </c>
      <c r="D120" s="254" t="s">
        <v>3</v>
      </c>
      <c r="E120" s="303"/>
      <c r="F120" s="254">
        <v>0</v>
      </c>
      <c r="G120" s="254"/>
      <c r="H120" s="249">
        <v>2</v>
      </c>
      <c r="I120" s="249">
        <v>2</v>
      </c>
      <c r="J120" s="258">
        <f>SUM(E111*I121)</f>
        <v>1.29</v>
      </c>
      <c r="K120" s="283"/>
      <c r="L120" s="335" t="s">
        <v>2658</v>
      </c>
      <c r="M120" s="324"/>
      <c r="N120" s="303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</row>
    <row r="121" spans="1:32" ht="16.8">
      <c r="A121" s="228"/>
      <c r="B121" s="262" t="s">
        <v>36</v>
      </c>
      <c r="C121" s="253" t="s">
        <v>37</v>
      </c>
      <c r="D121" s="254" t="s">
        <v>3</v>
      </c>
      <c r="E121" s="303"/>
      <c r="F121" s="254">
        <v>0.1</v>
      </c>
      <c r="G121" s="254"/>
      <c r="H121" s="249">
        <v>12.9</v>
      </c>
      <c r="I121" s="249">
        <f>SUM(F121*H121)</f>
        <v>1.29</v>
      </c>
      <c r="J121" s="258">
        <f>SUM(E112*I121)</f>
        <v>0</v>
      </c>
      <c r="K121" s="243"/>
      <c r="L121" s="335" t="s">
        <v>2636</v>
      </c>
      <c r="M121" s="324"/>
      <c r="N121" s="303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</row>
    <row r="122" spans="1:32" ht="16.8">
      <c r="A122" s="228"/>
      <c r="B122" s="284"/>
      <c r="C122" s="285"/>
      <c r="D122" s="285"/>
      <c r="E122" s="303"/>
      <c r="F122" s="285">
        <v>1</v>
      </c>
      <c r="G122" s="285" t="s">
        <v>2586</v>
      </c>
      <c r="H122" s="286">
        <f t="shared" ref="H122:J122" si="22">SUM(H111:H121)</f>
        <v>59.57</v>
      </c>
      <c r="I122" s="286">
        <f t="shared" si="22"/>
        <v>173.23999999999998</v>
      </c>
      <c r="J122" s="287">
        <f t="shared" si="22"/>
        <v>171.23999999999998</v>
      </c>
      <c r="K122" s="288"/>
      <c r="L122" s="335"/>
      <c r="M122" s="324"/>
      <c r="N122" s="303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</row>
    <row r="123" spans="1:32" ht="16.8">
      <c r="A123" s="228"/>
      <c r="B123" s="325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7"/>
      <c r="N123" s="303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</row>
    <row r="124" spans="1:32" ht="16.8">
      <c r="A124" s="228"/>
      <c r="B124" s="328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29"/>
      <c r="N124" s="303"/>
      <c r="O124" s="231"/>
    </row>
    <row r="125" spans="1:32" ht="16.8">
      <c r="A125" s="228"/>
      <c r="B125" s="328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29"/>
      <c r="N125" s="303"/>
      <c r="O125" s="231"/>
    </row>
    <row r="126" spans="1:32" ht="16.8">
      <c r="A126" s="228"/>
      <c r="B126" s="328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29"/>
      <c r="N126" s="303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</row>
    <row r="127" spans="1:32" ht="16.8">
      <c r="A127" s="228"/>
      <c r="B127" s="330"/>
      <c r="C127" s="331"/>
      <c r="D127" s="331"/>
      <c r="E127" s="331"/>
      <c r="F127" s="331"/>
      <c r="G127" s="331"/>
      <c r="H127" s="331"/>
      <c r="I127" s="331"/>
      <c r="J127" s="331"/>
      <c r="K127" s="331"/>
      <c r="L127" s="331"/>
      <c r="M127" s="332"/>
      <c r="N127" s="303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</row>
    <row r="128" spans="1:32" ht="17.399999999999999">
      <c r="A128" s="228"/>
      <c r="B128" s="231"/>
      <c r="C128" s="231" t="s">
        <v>2621</v>
      </c>
      <c r="D128" s="231"/>
      <c r="E128" s="289"/>
      <c r="F128" s="231"/>
      <c r="G128" s="231"/>
      <c r="H128" s="290"/>
      <c r="I128" s="290"/>
      <c r="J128" s="265"/>
      <c r="K128" s="337"/>
      <c r="L128" s="265"/>
      <c r="M128" s="96"/>
      <c r="N128" s="303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</row>
    <row r="129" spans="1:32" ht="17.399999999999999">
      <c r="A129" s="228"/>
      <c r="B129" s="231"/>
      <c r="C129" s="231" t="s">
        <v>2654</v>
      </c>
      <c r="D129" s="231"/>
      <c r="E129" s="289"/>
      <c r="F129" s="231"/>
      <c r="G129" s="231"/>
      <c r="H129" s="290"/>
      <c r="I129" s="290"/>
      <c r="J129" s="265"/>
      <c r="K129" s="303"/>
      <c r="L129" s="265"/>
      <c r="M129" s="96"/>
      <c r="N129" s="303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</row>
    <row r="130" spans="1:32" ht="17.399999999999999">
      <c r="A130" s="228"/>
      <c r="B130" s="231"/>
      <c r="C130" s="231" t="s">
        <v>2620</v>
      </c>
      <c r="D130" s="231"/>
      <c r="E130" s="289"/>
      <c r="F130" s="231"/>
      <c r="G130" s="231"/>
      <c r="H130" s="290"/>
      <c r="I130" s="290"/>
      <c r="J130" s="265"/>
      <c r="K130" s="303"/>
      <c r="L130" s="265"/>
      <c r="M130" s="96"/>
      <c r="N130" s="303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</row>
    <row r="131" spans="1:32" ht="17.399999999999999">
      <c r="A131" s="228"/>
      <c r="B131" s="231"/>
      <c r="C131" s="231" t="s">
        <v>2653</v>
      </c>
      <c r="D131" s="231"/>
      <c r="E131" s="289"/>
      <c r="F131" s="231"/>
      <c r="G131" s="231"/>
      <c r="H131" s="290"/>
      <c r="I131" s="290"/>
      <c r="J131" s="265"/>
      <c r="K131" s="303"/>
      <c r="L131" s="265"/>
      <c r="M131" s="96"/>
      <c r="N131" s="303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</row>
    <row r="132" spans="1:32" ht="17.399999999999999">
      <c r="A132" s="228"/>
      <c r="B132" s="231"/>
      <c r="C132" s="231" t="s">
        <v>2574</v>
      </c>
      <c r="D132" s="231"/>
      <c r="E132" s="289"/>
      <c r="F132" s="231"/>
      <c r="G132" s="231"/>
      <c r="H132" s="290"/>
      <c r="I132" s="290"/>
      <c r="J132" s="265"/>
      <c r="K132" s="303"/>
      <c r="L132" s="265"/>
      <c r="M132" s="96"/>
      <c r="N132" s="303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</row>
    <row r="133" spans="1:32" ht="17.399999999999999">
      <c r="A133" s="228"/>
      <c r="B133" s="231"/>
      <c r="C133" s="291" t="s">
        <v>2667</v>
      </c>
      <c r="D133" s="231"/>
      <c r="E133" s="289"/>
      <c r="F133" s="231"/>
      <c r="G133" s="231"/>
      <c r="H133" s="290"/>
      <c r="I133" s="290"/>
      <c r="J133" s="265"/>
      <c r="K133" s="303"/>
      <c r="L133" s="265"/>
      <c r="M133" s="96"/>
      <c r="N133" s="303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</row>
    <row r="134" spans="1:32" ht="17.399999999999999">
      <c r="A134" s="228"/>
      <c r="B134" s="231"/>
      <c r="C134" s="291"/>
      <c r="D134" s="231"/>
      <c r="E134" s="289"/>
      <c r="F134" s="231"/>
      <c r="G134" s="231"/>
      <c r="H134" s="290"/>
      <c r="I134" s="290"/>
      <c r="J134" s="265"/>
      <c r="K134" s="303"/>
      <c r="L134" s="265"/>
      <c r="M134" s="96"/>
      <c r="N134" s="303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</row>
    <row r="135" spans="1:32" ht="17.399999999999999">
      <c r="A135" s="228"/>
      <c r="B135" s="231"/>
      <c r="C135" s="291"/>
      <c r="D135" s="231"/>
      <c r="E135" s="289"/>
      <c r="F135" s="231"/>
      <c r="G135" s="231"/>
      <c r="H135" s="290"/>
      <c r="I135" s="290"/>
      <c r="J135" s="265"/>
      <c r="K135" s="303"/>
      <c r="L135" s="265"/>
      <c r="M135" s="96"/>
      <c r="N135" s="303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</row>
    <row r="136" spans="1:32" ht="17.399999999999999">
      <c r="A136" s="228"/>
      <c r="B136" s="231"/>
      <c r="C136" s="291"/>
      <c r="D136" s="231"/>
      <c r="E136" s="289"/>
      <c r="F136" s="231"/>
      <c r="G136" s="231"/>
      <c r="H136" s="290"/>
      <c r="I136" s="290"/>
      <c r="J136" s="265"/>
      <c r="K136" s="303"/>
      <c r="L136" s="265"/>
      <c r="M136" s="96"/>
      <c r="N136" s="303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</row>
    <row r="137" spans="1:32" ht="17.399999999999999">
      <c r="A137" s="228"/>
      <c r="B137" s="231"/>
      <c r="C137" s="291"/>
      <c r="D137" s="231"/>
      <c r="E137" s="289"/>
      <c r="F137" s="231"/>
      <c r="G137" s="231"/>
      <c r="H137" s="290"/>
      <c r="I137" s="290"/>
      <c r="J137" s="265"/>
      <c r="K137" s="303"/>
      <c r="L137" s="265"/>
      <c r="M137" s="96"/>
      <c r="N137" s="303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</row>
    <row r="138" spans="1:32" ht="17.399999999999999">
      <c r="A138" s="228"/>
      <c r="B138" s="231"/>
      <c r="C138" s="291"/>
      <c r="D138" s="231"/>
      <c r="E138" s="289"/>
      <c r="F138" s="231"/>
      <c r="G138" s="231"/>
      <c r="H138" s="290"/>
      <c r="I138" s="290"/>
      <c r="J138" s="265"/>
      <c r="K138" s="303"/>
      <c r="L138" s="265"/>
      <c r="M138" s="96"/>
      <c r="N138" s="303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</row>
    <row r="139" spans="1:32" ht="17.399999999999999">
      <c r="A139" s="228"/>
      <c r="B139" s="231"/>
      <c r="C139" s="291"/>
      <c r="D139" s="231"/>
      <c r="E139" s="289"/>
      <c r="F139" s="231"/>
      <c r="G139" s="231"/>
      <c r="H139" s="290"/>
      <c r="I139" s="290"/>
      <c r="J139" s="265"/>
      <c r="K139" s="303"/>
      <c r="L139" s="265"/>
      <c r="M139" s="96"/>
      <c r="N139" s="303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</row>
    <row r="140" spans="1:32" ht="17.399999999999999">
      <c r="A140" s="228"/>
      <c r="B140" s="231"/>
      <c r="C140" s="291"/>
      <c r="D140" s="231"/>
      <c r="E140" s="289"/>
      <c r="F140" s="231"/>
      <c r="G140" s="231"/>
      <c r="H140" s="290"/>
      <c r="I140" s="290"/>
      <c r="J140" s="265"/>
      <c r="K140" s="303"/>
      <c r="L140" s="265"/>
      <c r="M140" s="96"/>
      <c r="N140" s="303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</row>
    <row r="141" spans="1:32" ht="17.399999999999999">
      <c r="A141" s="228"/>
      <c r="B141" s="231"/>
      <c r="C141" s="291"/>
      <c r="D141" s="231"/>
      <c r="E141" s="289"/>
      <c r="F141" s="231"/>
      <c r="G141" s="231"/>
      <c r="H141" s="290"/>
      <c r="I141" s="290"/>
      <c r="J141" s="265"/>
      <c r="K141" s="303"/>
      <c r="L141" s="265"/>
      <c r="M141" s="96"/>
      <c r="N141" s="303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</row>
    <row r="142" spans="1:32" ht="17.399999999999999">
      <c r="A142" s="228"/>
      <c r="B142" s="231"/>
      <c r="C142" s="291"/>
      <c r="D142" s="231"/>
      <c r="E142" s="289"/>
      <c r="F142" s="231"/>
      <c r="G142" s="231"/>
      <c r="H142" s="290"/>
      <c r="I142" s="290"/>
      <c r="J142" s="265"/>
      <c r="K142" s="303"/>
      <c r="L142" s="265"/>
      <c r="M142" s="96"/>
      <c r="N142" s="303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</row>
    <row r="143" spans="1:32" ht="17.399999999999999">
      <c r="A143" s="228"/>
      <c r="B143" s="231"/>
      <c r="C143" s="291"/>
      <c r="D143" s="231"/>
      <c r="E143" s="289"/>
      <c r="F143" s="231"/>
      <c r="G143" s="231"/>
      <c r="H143" s="290"/>
      <c r="I143" s="290"/>
      <c r="J143" s="265"/>
      <c r="K143" s="303"/>
      <c r="L143" s="265"/>
      <c r="M143" s="96"/>
      <c r="N143" s="303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</row>
    <row r="144" spans="1:32" ht="17.399999999999999">
      <c r="A144" s="228"/>
      <c r="B144" s="231"/>
      <c r="C144" s="291"/>
      <c r="D144" s="231"/>
      <c r="E144" s="289"/>
      <c r="F144" s="231"/>
      <c r="G144" s="231"/>
      <c r="H144" s="290"/>
      <c r="I144" s="290"/>
      <c r="J144" s="265"/>
      <c r="K144" s="303"/>
      <c r="L144" s="265"/>
      <c r="M144" s="96"/>
      <c r="N144" s="303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</row>
    <row r="145" spans="1:32" ht="17.399999999999999">
      <c r="A145" s="228"/>
      <c r="B145" s="231"/>
      <c r="C145" s="291"/>
      <c r="D145" s="231"/>
      <c r="E145" s="289"/>
      <c r="F145" s="231"/>
      <c r="G145" s="231"/>
      <c r="H145" s="290"/>
      <c r="I145" s="290"/>
      <c r="J145" s="265"/>
      <c r="K145" s="303"/>
      <c r="L145" s="265"/>
      <c r="M145" s="96"/>
      <c r="N145" s="303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</row>
    <row r="146" spans="1:32" ht="17.399999999999999">
      <c r="A146" s="228"/>
      <c r="B146" s="231"/>
      <c r="C146" s="291"/>
      <c r="D146" s="231"/>
      <c r="E146" s="289"/>
      <c r="F146" s="231"/>
      <c r="G146" s="231"/>
      <c r="H146" s="290"/>
      <c r="I146" s="290"/>
      <c r="J146" s="265"/>
      <c r="K146" s="303"/>
      <c r="L146" s="265"/>
      <c r="M146" s="96"/>
      <c r="N146" s="303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</row>
    <row r="147" spans="1:32" ht="17.399999999999999">
      <c r="A147" s="228"/>
      <c r="B147" s="231"/>
      <c r="C147" s="291"/>
      <c r="D147" s="231"/>
      <c r="E147" s="289"/>
      <c r="F147" s="231"/>
      <c r="G147" s="231"/>
      <c r="H147" s="290"/>
      <c r="I147" s="290"/>
      <c r="J147" s="265"/>
      <c r="K147" s="303"/>
      <c r="L147" s="265"/>
      <c r="M147" s="96"/>
      <c r="N147" s="303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</row>
    <row r="148" spans="1:32" ht="17.399999999999999">
      <c r="A148" s="228"/>
      <c r="B148" s="231"/>
      <c r="C148" s="291"/>
      <c r="D148" s="231"/>
      <c r="E148" s="289"/>
      <c r="F148" s="231"/>
      <c r="G148" s="231"/>
      <c r="H148" s="290"/>
      <c r="I148" s="290"/>
      <c r="J148" s="265"/>
      <c r="K148" s="303"/>
      <c r="L148" s="265"/>
      <c r="M148" s="96"/>
      <c r="N148" s="303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</row>
    <row r="149" spans="1:32" ht="17.399999999999999">
      <c r="A149" s="228"/>
      <c r="B149" s="231"/>
      <c r="C149" s="291"/>
      <c r="D149" s="231"/>
      <c r="E149" s="289"/>
      <c r="F149" s="231"/>
      <c r="G149" s="231"/>
      <c r="H149" s="290"/>
      <c r="I149" s="290"/>
      <c r="J149" s="265"/>
      <c r="K149" s="303"/>
      <c r="L149" s="265"/>
      <c r="M149" s="96"/>
      <c r="N149" s="303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</row>
    <row r="150" spans="1:32" ht="17.399999999999999">
      <c r="A150" s="228"/>
      <c r="B150" s="231"/>
      <c r="C150" s="291"/>
      <c r="D150" s="231"/>
      <c r="E150" s="289"/>
      <c r="F150" s="231"/>
      <c r="G150" s="231"/>
      <c r="H150" s="290"/>
      <c r="I150" s="290"/>
      <c r="J150" s="265"/>
      <c r="K150" s="303"/>
      <c r="L150" s="265"/>
      <c r="M150" s="96"/>
      <c r="N150" s="303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</row>
    <row r="151" spans="1:32" ht="17.399999999999999">
      <c r="A151" s="228"/>
      <c r="B151" s="231"/>
      <c r="C151" s="291"/>
      <c r="D151" s="231"/>
      <c r="E151" s="289"/>
      <c r="F151" s="231"/>
      <c r="G151" s="231"/>
      <c r="H151" s="290"/>
      <c r="I151" s="290"/>
      <c r="J151" s="265"/>
      <c r="K151" s="303"/>
      <c r="L151" s="265"/>
      <c r="M151" s="96"/>
      <c r="N151" s="303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</row>
    <row r="152" spans="1:32" ht="17.399999999999999">
      <c r="A152" s="228"/>
      <c r="B152" s="231"/>
      <c r="C152" s="291"/>
      <c r="D152" s="231"/>
      <c r="E152" s="289"/>
      <c r="F152" s="231"/>
      <c r="G152" s="231"/>
      <c r="H152" s="290"/>
      <c r="I152" s="290"/>
      <c r="J152" s="265"/>
      <c r="K152" s="303"/>
      <c r="L152" s="265"/>
      <c r="M152" s="96"/>
      <c r="N152" s="303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</row>
    <row r="153" spans="1:32" ht="17.399999999999999">
      <c r="A153" s="228"/>
      <c r="B153" s="231"/>
      <c r="C153" s="291"/>
      <c r="D153" s="231"/>
      <c r="E153" s="289"/>
      <c r="F153" s="231"/>
      <c r="G153" s="231"/>
      <c r="H153" s="290"/>
      <c r="I153" s="290"/>
      <c r="J153" s="265"/>
      <c r="K153" s="303"/>
      <c r="L153" s="265"/>
      <c r="M153" s="96"/>
      <c r="N153" s="303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</row>
    <row r="154" spans="1:32" ht="17.399999999999999">
      <c r="A154" s="228"/>
      <c r="B154" s="231"/>
      <c r="C154" s="291"/>
      <c r="D154" s="231"/>
      <c r="E154" s="289"/>
      <c r="F154" s="231"/>
      <c r="G154" s="231"/>
      <c r="H154" s="290"/>
      <c r="I154" s="290"/>
      <c r="J154" s="265"/>
      <c r="K154" s="303"/>
      <c r="L154" s="265"/>
      <c r="M154" s="96"/>
      <c r="N154" s="303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</row>
    <row r="155" spans="1:32" ht="17.399999999999999">
      <c r="A155" s="228"/>
      <c r="B155" s="231"/>
      <c r="C155" s="291"/>
      <c r="D155" s="231"/>
      <c r="E155" s="289"/>
      <c r="F155" s="231"/>
      <c r="G155" s="231"/>
      <c r="H155" s="290"/>
      <c r="I155" s="290"/>
      <c r="J155" s="265"/>
      <c r="K155" s="303"/>
      <c r="L155" s="265"/>
      <c r="M155" s="96"/>
      <c r="N155" s="303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</row>
    <row r="156" spans="1:32" ht="17.399999999999999">
      <c r="A156" s="228"/>
      <c r="B156" s="231"/>
      <c r="C156" s="291"/>
      <c r="D156" s="231"/>
      <c r="E156" s="289"/>
      <c r="F156" s="231"/>
      <c r="G156" s="231"/>
      <c r="H156" s="290"/>
      <c r="I156" s="290"/>
      <c r="J156" s="265"/>
      <c r="K156" s="303"/>
      <c r="L156" s="265"/>
      <c r="M156" s="96"/>
      <c r="N156" s="303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</row>
    <row r="157" spans="1:32" ht="17.399999999999999">
      <c r="A157" s="228"/>
      <c r="B157" s="231"/>
      <c r="C157" s="291"/>
      <c r="D157" s="231"/>
      <c r="E157" s="289"/>
      <c r="F157" s="231"/>
      <c r="G157" s="231"/>
      <c r="H157" s="290"/>
      <c r="I157" s="290"/>
      <c r="J157" s="265"/>
      <c r="K157" s="303"/>
      <c r="L157" s="265"/>
      <c r="M157" s="96"/>
      <c r="N157" s="303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</row>
    <row r="158" spans="1:32" ht="17.399999999999999">
      <c r="A158" s="228"/>
      <c r="B158" s="231"/>
      <c r="C158" s="291"/>
      <c r="D158" s="231"/>
      <c r="E158" s="289"/>
      <c r="F158" s="231"/>
      <c r="G158" s="231"/>
      <c r="H158" s="290"/>
      <c r="I158" s="290"/>
      <c r="J158" s="265"/>
      <c r="K158" s="303"/>
      <c r="L158" s="265"/>
      <c r="M158" s="96"/>
      <c r="N158" s="303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</row>
    <row r="159" spans="1:32" ht="17.399999999999999">
      <c r="A159" s="228"/>
      <c r="B159" s="231"/>
      <c r="C159" s="291"/>
      <c r="D159" s="231"/>
      <c r="E159" s="289"/>
      <c r="F159" s="231"/>
      <c r="G159" s="231"/>
      <c r="H159" s="290"/>
      <c r="I159" s="290"/>
      <c r="J159" s="265"/>
      <c r="K159" s="303"/>
      <c r="L159" s="265"/>
      <c r="M159" s="96"/>
      <c r="N159" s="303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</row>
    <row r="160" spans="1:32" ht="17.399999999999999">
      <c r="A160" s="228"/>
      <c r="B160" s="231"/>
      <c r="C160" s="291"/>
      <c r="D160" s="231"/>
      <c r="E160" s="289"/>
      <c r="F160" s="231"/>
      <c r="G160" s="231"/>
      <c r="H160" s="290"/>
      <c r="I160" s="290"/>
      <c r="J160" s="265"/>
      <c r="K160" s="303"/>
      <c r="L160" s="265"/>
      <c r="M160" s="96"/>
      <c r="N160" s="303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</row>
    <row r="161" spans="1:32" ht="17.399999999999999">
      <c r="A161" s="228"/>
      <c r="B161" s="231"/>
      <c r="C161" s="291"/>
      <c r="D161" s="231"/>
      <c r="E161" s="289"/>
      <c r="F161" s="231"/>
      <c r="G161" s="231"/>
      <c r="H161" s="290"/>
      <c r="I161" s="290"/>
      <c r="J161" s="265"/>
      <c r="K161" s="303"/>
      <c r="L161" s="265"/>
      <c r="M161" s="96"/>
      <c r="N161" s="303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</row>
    <row r="162" spans="1:32" ht="17.399999999999999">
      <c r="A162" s="228"/>
      <c r="B162" s="231"/>
      <c r="C162" s="291"/>
      <c r="D162" s="231"/>
      <c r="E162" s="289"/>
      <c r="F162" s="231"/>
      <c r="G162" s="231"/>
      <c r="H162" s="290"/>
      <c r="I162" s="290"/>
      <c r="J162" s="265"/>
      <c r="K162" s="303"/>
      <c r="L162" s="265"/>
      <c r="M162" s="96"/>
      <c r="N162" s="303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</row>
    <row r="163" spans="1:32" ht="17.399999999999999">
      <c r="A163" s="228"/>
      <c r="B163" s="231"/>
      <c r="C163" s="291"/>
      <c r="D163" s="231"/>
      <c r="E163" s="289"/>
      <c r="F163" s="231"/>
      <c r="G163" s="231"/>
      <c r="H163" s="290"/>
      <c r="I163" s="290"/>
      <c r="J163" s="265"/>
      <c r="K163" s="303"/>
      <c r="L163" s="265"/>
      <c r="M163" s="96"/>
      <c r="N163" s="303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</row>
    <row r="164" spans="1:32" ht="17.399999999999999">
      <c r="A164" s="228"/>
      <c r="B164" s="231"/>
      <c r="C164" s="291"/>
      <c r="D164" s="231"/>
      <c r="E164" s="289"/>
      <c r="F164" s="231"/>
      <c r="G164" s="231"/>
      <c r="H164" s="290"/>
      <c r="I164" s="290"/>
      <c r="J164" s="265"/>
      <c r="K164" s="303"/>
      <c r="L164" s="265"/>
      <c r="M164" s="96"/>
      <c r="N164" s="303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</row>
    <row r="165" spans="1:32" ht="17.399999999999999">
      <c r="A165" s="228"/>
      <c r="B165" s="231"/>
      <c r="C165" s="291"/>
      <c r="D165" s="231"/>
      <c r="E165" s="289"/>
      <c r="F165" s="231"/>
      <c r="G165" s="231"/>
      <c r="H165" s="290"/>
      <c r="I165" s="290"/>
      <c r="J165" s="265"/>
      <c r="K165" s="303"/>
      <c r="L165" s="265"/>
      <c r="M165" s="96"/>
      <c r="N165" s="303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</row>
    <row r="166" spans="1:32" ht="17.399999999999999">
      <c r="A166" s="228"/>
      <c r="B166" s="231"/>
      <c r="C166" s="291"/>
      <c r="D166" s="231"/>
      <c r="E166" s="289"/>
      <c r="F166" s="231"/>
      <c r="G166" s="231"/>
      <c r="H166" s="290"/>
      <c r="I166" s="290"/>
      <c r="J166" s="265"/>
      <c r="K166" s="303"/>
      <c r="L166" s="265"/>
      <c r="M166" s="96"/>
      <c r="N166" s="303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</row>
    <row r="167" spans="1:32" ht="17.399999999999999">
      <c r="A167" s="228"/>
      <c r="B167" s="231"/>
      <c r="C167" s="291"/>
      <c r="D167" s="231"/>
      <c r="E167" s="289"/>
      <c r="F167" s="231"/>
      <c r="G167" s="231"/>
      <c r="H167" s="290"/>
      <c r="I167" s="290"/>
      <c r="J167" s="265"/>
      <c r="K167" s="303"/>
      <c r="L167" s="265"/>
      <c r="M167" s="96"/>
      <c r="N167" s="303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</row>
    <row r="168" spans="1:32" ht="17.399999999999999">
      <c r="A168" s="228"/>
      <c r="B168" s="231"/>
      <c r="C168" s="291"/>
      <c r="D168" s="231"/>
      <c r="E168" s="289"/>
      <c r="F168" s="231"/>
      <c r="G168" s="231"/>
      <c r="H168" s="290"/>
      <c r="I168" s="290"/>
      <c r="J168" s="265"/>
      <c r="K168" s="303"/>
      <c r="L168" s="265"/>
      <c r="M168" s="96"/>
      <c r="N168" s="303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</row>
    <row r="169" spans="1:32" ht="17.399999999999999">
      <c r="A169" s="228"/>
      <c r="B169" s="231"/>
      <c r="C169" s="291"/>
      <c r="D169" s="231"/>
      <c r="E169" s="289"/>
      <c r="F169" s="231"/>
      <c r="G169" s="231"/>
      <c r="H169" s="290"/>
      <c r="I169" s="290"/>
      <c r="J169" s="265"/>
      <c r="K169" s="303"/>
      <c r="L169" s="265"/>
      <c r="M169" s="96"/>
      <c r="N169" s="303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</row>
    <row r="170" spans="1:32" ht="17.399999999999999">
      <c r="A170" s="228"/>
      <c r="B170" s="231"/>
      <c r="C170" s="291"/>
      <c r="D170" s="231"/>
      <c r="E170" s="289"/>
      <c r="F170" s="231"/>
      <c r="G170" s="231"/>
      <c r="H170" s="290"/>
      <c r="I170" s="290"/>
      <c r="J170" s="265"/>
      <c r="K170" s="303"/>
      <c r="L170" s="265"/>
      <c r="M170" s="96"/>
      <c r="N170" s="303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</row>
    <row r="171" spans="1:32" ht="17.399999999999999">
      <c r="A171" s="228"/>
      <c r="B171" s="231"/>
      <c r="C171" s="291"/>
      <c r="D171" s="231"/>
      <c r="E171" s="289"/>
      <c r="F171" s="231"/>
      <c r="G171" s="231"/>
      <c r="H171" s="290"/>
      <c r="I171" s="290"/>
      <c r="J171" s="265"/>
      <c r="K171" s="303"/>
      <c r="L171" s="265"/>
      <c r="M171" s="96"/>
      <c r="N171" s="303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</row>
    <row r="172" spans="1:32" ht="17.399999999999999">
      <c r="A172" s="228"/>
      <c r="B172" s="231"/>
      <c r="C172" s="291"/>
      <c r="D172" s="231"/>
      <c r="E172" s="289"/>
      <c r="F172" s="231"/>
      <c r="G172" s="231"/>
      <c r="H172" s="290"/>
      <c r="I172" s="290"/>
      <c r="J172" s="265"/>
      <c r="K172" s="303"/>
      <c r="L172" s="265"/>
      <c r="M172" s="96"/>
      <c r="N172" s="303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</row>
    <row r="173" spans="1:32" ht="17.399999999999999">
      <c r="A173" s="228"/>
      <c r="B173" s="231"/>
      <c r="C173" s="291"/>
      <c r="D173" s="231"/>
      <c r="E173" s="289"/>
      <c r="F173" s="231"/>
      <c r="G173" s="231"/>
      <c r="H173" s="290"/>
      <c r="I173" s="290"/>
      <c r="J173" s="265"/>
      <c r="K173" s="303"/>
      <c r="L173" s="265"/>
      <c r="M173" s="96"/>
      <c r="N173" s="303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</row>
    <row r="174" spans="1:32" ht="17.399999999999999">
      <c r="A174" s="228"/>
      <c r="B174" s="231"/>
      <c r="C174" s="291"/>
      <c r="D174" s="231"/>
      <c r="E174" s="289"/>
      <c r="F174" s="231"/>
      <c r="G174" s="231"/>
      <c r="H174" s="290"/>
      <c r="I174" s="290"/>
      <c r="J174" s="265"/>
      <c r="K174" s="303"/>
      <c r="L174" s="265"/>
      <c r="M174" s="96"/>
      <c r="N174" s="303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</row>
    <row r="175" spans="1:32" ht="17.399999999999999">
      <c r="A175" s="228"/>
      <c r="B175" s="231"/>
      <c r="C175" s="291"/>
      <c r="D175" s="231"/>
      <c r="E175" s="289"/>
      <c r="F175" s="231"/>
      <c r="G175" s="231"/>
      <c r="H175" s="290"/>
      <c r="I175" s="290"/>
      <c r="J175" s="265"/>
      <c r="K175" s="303"/>
      <c r="L175" s="265"/>
      <c r="M175" s="96"/>
      <c r="N175" s="303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</row>
    <row r="176" spans="1:32" ht="17.399999999999999">
      <c r="A176" s="228"/>
      <c r="B176" s="231"/>
      <c r="C176" s="291"/>
      <c r="D176" s="231"/>
      <c r="E176" s="289"/>
      <c r="F176" s="231"/>
      <c r="G176" s="231"/>
      <c r="H176" s="290"/>
      <c r="I176" s="290"/>
      <c r="J176" s="265"/>
      <c r="K176" s="303"/>
      <c r="L176" s="265"/>
      <c r="M176" s="96"/>
      <c r="N176" s="303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</row>
    <row r="177" spans="1:32" ht="17.399999999999999">
      <c r="A177" s="228"/>
      <c r="B177" s="231"/>
      <c r="C177" s="291"/>
      <c r="D177" s="231"/>
      <c r="E177" s="289"/>
      <c r="F177" s="231"/>
      <c r="G177" s="231"/>
      <c r="H177" s="290"/>
      <c r="I177" s="290"/>
      <c r="J177" s="265"/>
      <c r="K177" s="303"/>
      <c r="L177" s="265"/>
      <c r="M177" s="96"/>
      <c r="N177" s="303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</row>
    <row r="178" spans="1:32" ht="17.399999999999999">
      <c r="A178" s="228"/>
      <c r="B178" s="231"/>
      <c r="C178" s="291"/>
      <c r="D178" s="231"/>
      <c r="E178" s="289"/>
      <c r="F178" s="231"/>
      <c r="G178" s="231"/>
      <c r="H178" s="290"/>
      <c r="I178" s="290"/>
      <c r="J178" s="265"/>
      <c r="K178" s="303"/>
      <c r="L178" s="265"/>
      <c r="M178" s="96"/>
      <c r="N178" s="303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</row>
    <row r="179" spans="1:32" ht="17.399999999999999">
      <c r="A179" s="228"/>
      <c r="B179" s="231"/>
      <c r="C179" s="291"/>
      <c r="D179" s="231"/>
      <c r="E179" s="289"/>
      <c r="F179" s="231"/>
      <c r="G179" s="231"/>
      <c r="H179" s="290"/>
      <c r="I179" s="290"/>
      <c r="J179" s="265"/>
      <c r="K179" s="303"/>
      <c r="L179" s="265"/>
      <c r="M179" s="96"/>
      <c r="N179" s="303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</row>
    <row r="180" spans="1:32" ht="17.399999999999999">
      <c r="A180" s="228"/>
      <c r="B180" s="231"/>
      <c r="C180" s="291"/>
      <c r="D180" s="231"/>
      <c r="E180" s="289"/>
      <c r="F180" s="231"/>
      <c r="G180" s="231"/>
      <c r="H180" s="290"/>
      <c r="I180" s="290"/>
      <c r="J180" s="265"/>
      <c r="K180" s="303"/>
      <c r="L180" s="265"/>
      <c r="M180" s="96"/>
      <c r="N180" s="303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</row>
    <row r="181" spans="1:32" ht="17.399999999999999">
      <c r="A181" s="228"/>
      <c r="B181" s="231"/>
      <c r="C181" s="291"/>
      <c r="D181" s="231"/>
      <c r="E181" s="289"/>
      <c r="F181" s="231"/>
      <c r="G181" s="231"/>
      <c r="H181" s="290"/>
      <c r="I181" s="290"/>
      <c r="J181" s="265"/>
      <c r="K181" s="303"/>
      <c r="L181" s="265"/>
      <c r="M181" s="96"/>
      <c r="N181" s="303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</row>
    <row r="182" spans="1:32" ht="17.399999999999999">
      <c r="A182" s="228"/>
      <c r="B182" s="231"/>
      <c r="C182" s="291"/>
      <c r="D182" s="231"/>
      <c r="E182" s="289"/>
      <c r="F182" s="231"/>
      <c r="G182" s="231"/>
      <c r="H182" s="290"/>
      <c r="I182" s="290"/>
      <c r="J182" s="265"/>
      <c r="K182" s="303"/>
      <c r="L182" s="265"/>
      <c r="M182" s="96"/>
      <c r="N182" s="303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</row>
    <row r="183" spans="1:32" ht="17.399999999999999">
      <c r="A183" s="228"/>
      <c r="B183" s="231"/>
      <c r="C183" s="291"/>
      <c r="D183" s="231"/>
      <c r="E183" s="289"/>
      <c r="F183" s="231"/>
      <c r="G183" s="231"/>
      <c r="H183" s="290"/>
      <c r="I183" s="290"/>
      <c r="J183" s="265"/>
      <c r="K183" s="303"/>
      <c r="L183" s="265"/>
      <c r="M183" s="96"/>
      <c r="N183" s="303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</row>
    <row r="184" spans="1:32" ht="17.399999999999999">
      <c r="A184" s="228"/>
      <c r="B184" s="231"/>
      <c r="C184" s="291"/>
      <c r="D184" s="231"/>
      <c r="E184" s="289"/>
      <c r="F184" s="231"/>
      <c r="G184" s="231"/>
      <c r="H184" s="290"/>
      <c r="I184" s="290"/>
      <c r="J184" s="265"/>
      <c r="K184" s="303"/>
      <c r="L184" s="265"/>
      <c r="M184" s="96"/>
      <c r="N184" s="303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</row>
    <row r="185" spans="1:32" ht="17.399999999999999">
      <c r="A185" s="228"/>
      <c r="B185" s="231"/>
      <c r="C185" s="291"/>
      <c r="D185" s="231"/>
      <c r="E185" s="289"/>
      <c r="F185" s="231"/>
      <c r="G185" s="231"/>
      <c r="H185" s="290"/>
      <c r="I185" s="290"/>
      <c r="J185" s="265"/>
      <c r="K185" s="303"/>
      <c r="L185" s="265"/>
      <c r="M185" s="96"/>
      <c r="N185" s="303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</row>
    <row r="186" spans="1:32" ht="17.399999999999999">
      <c r="A186" s="228"/>
      <c r="B186" s="231"/>
      <c r="C186" s="291"/>
      <c r="D186" s="231"/>
      <c r="E186" s="289"/>
      <c r="F186" s="231"/>
      <c r="G186" s="231"/>
      <c r="H186" s="290"/>
      <c r="I186" s="290"/>
      <c r="J186" s="265"/>
      <c r="K186" s="303"/>
      <c r="L186" s="265"/>
      <c r="M186" s="96"/>
      <c r="N186" s="303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</row>
    <row r="187" spans="1:32" ht="17.399999999999999">
      <c r="A187" s="228"/>
      <c r="B187" s="231"/>
      <c r="C187" s="291"/>
      <c r="D187" s="231"/>
      <c r="E187" s="289"/>
      <c r="F187" s="231"/>
      <c r="G187" s="231"/>
      <c r="H187" s="290"/>
      <c r="I187" s="290"/>
      <c r="J187" s="265"/>
      <c r="K187" s="303"/>
      <c r="L187" s="265"/>
      <c r="M187" s="96"/>
      <c r="N187" s="303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</row>
    <row r="188" spans="1:32" ht="17.399999999999999">
      <c r="A188" s="228"/>
      <c r="B188" s="231"/>
      <c r="C188" s="291"/>
      <c r="D188" s="231"/>
      <c r="E188" s="289"/>
      <c r="F188" s="231"/>
      <c r="G188" s="231"/>
      <c r="H188" s="290"/>
      <c r="I188" s="290"/>
      <c r="J188" s="265"/>
      <c r="K188" s="303"/>
      <c r="L188" s="265"/>
      <c r="M188" s="96"/>
      <c r="N188" s="303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</row>
    <row r="189" spans="1:32" ht="17.399999999999999">
      <c r="A189" s="228"/>
      <c r="B189" s="231"/>
      <c r="C189" s="291"/>
      <c r="D189" s="231"/>
      <c r="E189" s="289"/>
      <c r="F189" s="231"/>
      <c r="G189" s="231"/>
      <c r="H189" s="290"/>
      <c r="I189" s="290"/>
      <c r="J189" s="265"/>
      <c r="K189" s="303"/>
      <c r="L189" s="265"/>
      <c r="M189" s="96"/>
      <c r="N189" s="303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</row>
    <row r="190" spans="1:32" ht="17.399999999999999">
      <c r="A190" s="228"/>
      <c r="B190" s="231"/>
      <c r="C190" s="291"/>
      <c r="D190" s="231"/>
      <c r="E190" s="289"/>
      <c r="F190" s="231"/>
      <c r="G190" s="231"/>
      <c r="H190" s="290"/>
      <c r="I190" s="290"/>
      <c r="J190" s="265"/>
      <c r="K190" s="303"/>
      <c r="L190" s="265"/>
      <c r="M190" s="96"/>
      <c r="N190" s="303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</row>
    <row r="191" spans="1:32" ht="17.399999999999999">
      <c r="A191" s="228"/>
      <c r="B191" s="231"/>
      <c r="C191" s="291"/>
      <c r="D191" s="231"/>
      <c r="E191" s="289"/>
      <c r="F191" s="231"/>
      <c r="G191" s="231"/>
      <c r="H191" s="290"/>
      <c r="I191" s="290"/>
      <c r="J191" s="265"/>
      <c r="K191" s="303"/>
      <c r="L191" s="265"/>
      <c r="M191" s="96"/>
      <c r="N191" s="303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</row>
    <row r="192" spans="1:32" ht="17.399999999999999">
      <c r="A192" s="228"/>
      <c r="B192" s="231"/>
      <c r="C192" s="291"/>
      <c r="D192" s="231"/>
      <c r="E192" s="289"/>
      <c r="F192" s="231"/>
      <c r="G192" s="231"/>
      <c r="H192" s="290"/>
      <c r="I192" s="290"/>
      <c r="J192" s="265"/>
      <c r="K192" s="303"/>
      <c r="L192" s="265"/>
      <c r="M192" s="96"/>
      <c r="N192" s="303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</row>
    <row r="193" spans="1:32" ht="17.399999999999999">
      <c r="A193" s="228"/>
      <c r="B193" s="231"/>
      <c r="C193" s="291"/>
      <c r="D193" s="231"/>
      <c r="E193" s="289"/>
      <c r="F193" s="231"/>
      <c r="G193" s="231"/>
      <c r="H193" s="290"/>
      <c r="I193" s="290"/>
      <c r="J193" s="265"/>
      <c r="K193" s="303"/>
      <c r="L193" s="265"/>
      <c r="M193" s="96"/>
      <c r="N193" s="303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</row>
    <row r="194" spans="1:32" ht="17.399999999999999">
      <c r="A194" s="228"/>
      <c r="B194" s="231"/>
      <c r="C194" s="291"/>
      <c r="D194" s="231"/>
      <c r="E194" s="289"/>
      <c r="F194" s="231"/>
      <c r="G194" s="231"/>
      <c r="H194" s="290"/>
      <c r="I194" s="290"/>
      <c r="J194" s="265"/>
      <c r="K194" s="303"/>
      <c r="L194" s="265"/>
      <c r="M194" s="96"/>
      <c r="N194" s="303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</row>
    <row r="195" spans="1:32" ht="17.399999999999999">
      <c r="A195" s="228"/>
      <c r="B195" s="231"/>
      <c r="C195" s="291"/>
      <c r="D195" s="231"/>
      <c r="E195" s="289"/>
      <c r="F195" s="231"/>
      <c r="G195" s="231"/>
      <c r="H195" s="290"/>
      <c r="I195" s="290"/>
      <c r="J195" s="265"/>
      <c r="K195" s="303"/>
      <c r="L195" s="265"/>
      <c r="M195" s="96"/>
      <c r="N195" s="303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</row>
    <row r="196" spans="1:32" ht="17.399999999999999">
      <c r="A196" s="228"/>
      <c r="B196" s="231"/>
      <c r="C196" s="291"/>
      <c r="D196" s="231"/>
      <c r="E196" s="289"/>
      <c r="F196" s="231"/>
      <c r="G196" s="231"/>
      <c r="H196" s="290"/>
      <c r="I196" s="290"/>
      <c r="J196" s="265"/>
      <c r="K196" s="303"/>
      <c r="L196" s="265"/>
      <c r="M196" s="96"/>
      <c r="N196" s="303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</row>
    <row r="197" spans="1:32" ht="17.399999999999999">
      <c r="A197" s="228"/>
      <c r="B197" s="231"/>
      <c r="C197" s="291"/>
      <c r="D197" s="231"/>
      <c r="E197" s="289"/>
      <c r="F197" s="231"/>
      <c r="G197" s="231"/>
      <c r="H197" s="290"/>
      <c r="I197" s="290"/>
      <c r="J197" s="265"/>
      <c r="K197" s="303"/>
      <c r="L197" s="265"/>
      <c r="M197" s="96"/>
      <c r="N197" s="303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</row>
    <row r="198" spans="1:32" ht="17.399999999999999">
      <c r="A198" s="228"/>
      <c r="B198" s="231"/>
      <c r="C198" s="291"/>
      <c r="D198" s="231"/>
      <c r="E198" s="289"/>
      <c r="F198" s="231"/>
      <c r="G198" s="231"/>
      <c r="H198" s="290"/>
      <c r="I198" s="290"/>
      <c r="J198" s="265"/>
      <c r="K198" s="303"/>
      <c r="L198" s="265"/>
      <c r="M198" s="96"/>
      <c r="N198" s="303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</row>
    <row r="199" spans="1:32" ht="17.399999999999999">
      <c r="A199" s="228"/>
      <c r="B199" s="231"/>
      <c r="C199" s="291"/>
      <c r="D199" s="231"/>
      <c r="E199" s="289"/>
      <c r="F199" s="231"/>
      <c r="G199" s="231"/>
      <c r="H199" s="290"/>
      <c r="I199" s="290"/>
      <c r="J199" s="265"/>
      <c r="K199" s="303"/>
      <c r="L199" s="265"/>
      <c r="M199" s="96"/>
      <c r="N199" s="303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</row>
    <row r="200" spans="1:32" ht="17.399999999999999">
      <c r="A200" s="228"/>
      <c r="B200" s="231"/>
      <c r="C200" s="291"/>
      <c r="D200" s="231"/>
      <c r="E200" s="289"/>
      <c r="F200" s="231"/>
      <c r="G200" s="231"/>
      <c r="H200" s="290"/>
      <c r="I200" s="290"/>
      <c r="J200" s="265"/>
      <c r="K200" s="303"/>
      <c r="L200" s="265"/>
      <c r="M200" s="96"/>
      <c r="N200" s="303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</row>
    <row r="201" spans="1:32" ht="17.399999999999999">
      <c r="A201" s="228"/>
      <c r="B201" s="231"/>
      <c r="C201" s="291"/>
      <c r="D201" s="231"/>
      <c r="E201" s="289"/>
      <c r="F201" s="231"/>
      <c r="G201" s="231"/>
      <c r="H201" s="290"/>
      <c r="I201" s="290"/>
      <c r="J201" s="265"/>
      <c r="K201" s="303"/>
      <c r="L201" s="265"/>
      <c r="M201" s="96"/>
      <c r="N201" s="303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</row>
    <row r="202" spans="1:32" ht="17.399999999999999">
      <c r="A202" s="228"/>
      <c r="B202" s="231"/>
      <c r="C202" s="291"/>
      <c r="D202" s="231"/>
      <c r="E202" s="289"/>
      <c r="F202" s="231"/>
      <c r="G202" s="231"/>
      <c r="H202" s="290"/>
      <c r="I202" s="290"/>
      <c r="J202" s="265"/>
      <c r="K202" s="303"/>
      <c r="L202" s="265"/>
      <c r="M202" s="96"/>
      <c r="N202" s="303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</row>
    <row r="203" spans="1:32" ht="17.399999999999999">
      <c r="A203" s="228"/>
      <c r="B203" s="231"/>
      <c r="C203" s="291"/>
      <c r="D203" s="231"/>
      <c r="E203" s="289"/>
      <c r="F203" s="231"/>
      <c r="G203" s="231"/>
      <c r="H203" s="290"/>
      <c r="I203" s="290"/>
      <c r="J203" s="265"/>
      <c r="K203" s="303"/>
      <c r="L203" s="265"/>
      <c r="M203" s="96"/>
      <c r="N203" s="303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</row>
    <row r="204" spans="1:32" ht="17.399999999999999">
      <c r="A204" s="228"/>
      <c r="B204" s="231"/>
      <c r="C204" s="291"/>
      <c r="D204" s="231"/>
      <c r="E204" s="289"/>
      <c r="F204" s="231"/>
      <c r="G204" s="231"/>
      <c r="H204" s="290"/>
      <c r="I204" s="290"/>
      <c r="J204" s="265"/>
      <c r="K204" s="303"/>
      <c r="L204" s="265"/>
      <c r="M204" s="96"/>
      <c r="N204" s="303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</row>
    <row r="205" spans="1:32" ht="17.399999999999999">
      <c r="A205" s="228"/>
      <c r="B205" s="231"/>
      <c r="C205" s="291"/>
      <c r="D205" s="231"/>
      <c r="E205" s="289"/>
      <c r="F205" s="231"/>
      <c r="G205" s="231"/>
      <c r="H205" s="290"/>
      <c r="I205" s="290"/>
      <c r="J205" s="265"/>
      <c r="K205" s="303"/>
      <c r="L205" s="265"/>
      <c r="M205" s="96"/>
      <c r="N205" s="303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</row>
    <row r="206" spans="1:32" ht="17.399999999999999">
      <c r="A206" s="228"/>
      <c r="B206" s="231"/>
      <c r="C206" s="291"/>
      <c r="D206" s="231"/>
      <c r="E206" s="289"/>
      <c r="F206" s="231"/>
      <c r="G206" s="231"/>
      <c r="H206" s="290"/>
      <c r="I206" s="290"/>
      <c r="J206" s="265"/>
      <c r="K206" s="303"/>
      <c r="L206" s="265"/>
      <c r="M206" s="96"/>
      <c r="N206" s="303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</row>
    <row r="207" spans="1:32" ht="17.399999999999999">
      <c r="A207" s="228"/>
      <c r="B207" s="231"/>
      <c r="C207" s="291"/>
      <c r="D207" s="231"/>
      <c r="E207" s="289"/>
      <c r="F207" s="231"/>
      <c r="G207" s="231"/>
      <c r="H207" s="290"/>
      <c r="I207" s="290"/>
      <c r="J207" s="265"/>
      <c r="K207" s="303"/>
      <c r="L207" s="265"/>
      <c r="M207" s="96"/>
      <c r="N207" s="303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</row>
    <row r="208" spans="1:32" ht="17.399999999999999">
      <c r="A208" s="228"/>
      <c r="B208" s="231"/>
      <c r="C208" s="291"/>
      <c r="D208" s="231"/>
      <c r="E208" s="289"/>
      <c r="F208" s="231"/>
      <c r="G208" s="231"/>
      <c r="H208" s="290"/>
      <c r="I208" s="290"/>
      <c r="J208" s="265"/>
      <c r="K208" s="303"/>
      <c r="L208" s="265"/>
      <c r="M208" s="96"/>
      <c r="N208" s="303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</row>
    <row r="209" spans="1:32" ht="17.399999999999999">
      <c r="A209" s="228"/>
      <c r="B209" s="231"/>
      <c r="C209" s="291"/>
      <c r="D209" s="231"/>
      <c r="E209" s="289"/>
      <c r="F209" s="231"/>
      <c r="G209" s="231"/>
      <c r="H209" s="290"/>
      <c r="I209" s="290"/>
      <c r="J209" s="265"/>
      <c r="K209" s="303"/>
      <c r="L209" s="265"/>
      <c r="M209" s="96"/>
      <c r="N209" s="303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</row>
    <row r="210" spans="1:32" ht="17.399999999999999">
      <c r="A210" s="228"/>
      <c r="B210" s="231"/>
      <c r="C210" s="291"/>
      <c r="D210" s="231"/>
      <c r="E210" s="289"/>
      <c r="F210" s="231"/>
      <c r="G210" s="231"/>
      <c r="H210" s="290"/>
      <c r="I210" s="290"/>
      <c r="J210" s="265"/>
      <c r="K210" s="303"/>
      <c r="L210" s="265"/>
      <c r="M210" s="96"/>
      <c r="N210" s="303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</row>
    <row r="211" spans="1:32" ht="17.399999999999999">
      <c r="A211" s="228"/>
      <c r="B211" s="231"/>
      <c r="C211" s="291"/>
      <c r="D211" s="231"/>
      <c r="E211" s="289"/>
      <c r="F211" s="231"/>
      <c r="G211" s="231"/>
      <c r="H211" s="290"/>
      <c r="I211" s="290"/>
      <c r="J211" s="265"/>
      <c r="K211" s="303"/>
      <c r="L211" s="265"/>
      <c r="M211" s="96"/>
      <c r="N211" s="303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</row>
    <row r="212" spans="1:32" ht="17.399999999999999">
      <c r="A212" s="228"/>
      <c r="B212" s="231"/>
      <c r="C212" s="291"/>
      <c r="D212" s="231"/>
      <c r="E212" s="289"/>
      <c r="F212" s="231"/>
      <c r="G212" s="231"/>
      <c r="H212" s="290"/>
      <c r="I212" s="290"/>
      <c r="J212" s="265"/>
      <c r="K212" s="303"/>
      <c r="L212" s="265"/>
      <c r="M212" s="96"/>
      <c r="N212" s="303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</row>
    <row r="213" spans="1:32" ht="17.399999999999999">
      <c r="A213" s="228"/>
      <c r="B213" s="231"/>
      <c r="C213" s="291"/>
      <c r="D213" s="231"/>
      <c r="E213" s="289"/>
      <c r="F213" s="231"/>
      <c r="G213" s="231"/>
      <c r="H213" s="290"/>
      <c r="I213" s="290"/>
      <c r="J213" s="265"/>
      <c r="K213" s="303"/>
      <c r="L213" s="265"/>
      <c r="M213" s="96"/>
      <c r="N213" s="303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</row>
    <row r="214" spans="1:32" ht="17.399999999999999">
      <c r="A214" s="228"/>
      <c r="B214" s="231"/>
      <c r="C214" s="291"/>
      <c r="D214" s="231"/>
      <c r="E214" s="289"/>
      <c r="F214" s="231"/>
      <c r="G214" s="231"/>
      <c r="H214" s="290"/>
      <c r="I214" s="290"/>
      <c r="J214" s="265"/>
      <c r="K214" s="303"/>
      <c r="L214" s="265"/>
      <c r="M214" s="96"/>
      <c r="N214" s="303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</row>
    <row r="215" spans="1:32" ht="17.399999999999999">
      <c r="A215" s="228"/>
      <c r="B215" s="231"/>
      <c r="C215" s="291"/>
      <c r="D215" s="231"/>
      <c r="E215" s="289"/>
      <c r="F215" s="231"/>
      <c r="G215" s="231"/>
      <c r="H215" s="290"/>
      <c r="I215" s="290"/>
      <c r="J215" s="265"/>
      <c r="K215" s="303"/>
      <c r="L215" s="265"/>
      <c r="M215" s="96"/>
      <c r="N215" s="303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</row>
    <row r="216" spans="1:32" ht="17.399999999999999">
      <c r="A216" s="228"/>
      <c r="B216" s="231"/>
      <c r="C216" s="291"/>
      <c r="D216" s="231"/>
      <c r="E216" s="289"/>
      <c r="F216" s="231"/>
      <c r="G216" s="231"/>
      <c r="H216" s="290"/>
      <c r="I216" s="290"/>
      <c r="J216" s="265"/>
      <c r="K216" s="303"/>
      <c r="L216" s="265"/>
      <c r="M216" s="96"/>
      <c r="N216" s="303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</row>
    <row r="217" spans="1:32" ht="17.399999999999999">
      <c r="A217" s="228"/>
      <c r="B217" s="231"/>
      <c r="C217" s="291"/>
      <c r="D217" s="231"/>
      <c r="E217" s="289"/>
      <c r="F217" s="231"/>
      <c r="G217" s="231"/>
      <c r="H217" s="290"/>
      <c r="I217" s="290"/>
      <c r="J217" s="265"/>
      <c r="K217" s="303"/>
      <c r="L217" s="265"/>
      <c r="M217" s="96"/>
      <c r="N217" s="303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</row>
    <row r="218" spans="1:32" ht="17.399999999999999">
      <c r="A218" s="228"/>
      <c r="B218" s="231"/>
      <c r="C218" s="291"/>
      <c r="D218" s="231"/>
      <c r="E218" s="289"/>
      <c r="F218" s="231"/>
      <c r="G218" s="231"/>
      <c r="H218" s="290"/>
      <c r="I218" s="290"/>
      <c r="J218" s="265"/>
      <c r="K218" s="303"/>
      <c r="L218" s="265"/>
      <c r="M218" s="96"/>
      <c r="N218" s="303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</row>
    <row r="219" spans="1:32" ht="17.399999999999999">
      <c r="A219" s="228"/>
      <c r="B219" s="231"/>
      <c r="C219" s="291"/>
      <c r="D219" s="231"/>
      <c r="E219" s="289"/>
      <c r="F219" s="231"/>
      <c r="G219" s="231"/>
      <c r="H219" s="290"/>
      <c r="I219" s="290"/>
      <c r="J219" s="265"/>
      <c r="K219" s="303"/>
      <c r="L219" s="265"/>
      <c r="M219" s="96"/>
      <c r="N219" s="303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</row>
    <row r="220" spans="1:32" ht="17.399999999999999">
      <c r="A220" s="228"/>
      <c r="B220" s="231"/>
      <c r="C220" s="291"/>
      <c r="D220" s="231"/>
      <c r="E220" s="289"/>
      <c r="F220" s="231"/>
      <c r="G220" s="231"/>
      <c r="H220" s="290"/>
      <c r="I220" s="290"/>
      <c r="J220" s="265"/>
      <c r="K220" s="303"/>
      <c r="L220" s="265"/>
      <c r="M220" s="96"/>
      <c r="N220" s="303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</row>
    <row r="221" spans="1:32" ht="17.399999999999999">
      <c r="A221" s="228"/>
      <c r="B221" s="231"/>
      <c r="C221" s="291"/>
      <c r="D221" s="231"/>
      <c r="E221" s="289"/>
      <c r="F221" s="231"/>
      <c r="G221" s="231"/>
      <c r="H221" s="290"/>
      <c r="I221" s="290"/>
      <c r="J221" s="265"/>
      <c r="K221" s="303"/>
      <c r="L221" s="265"/>
      <c r="M221" s="96"/>
      <c r="N221" s="303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</row>
    <row r="222" spans="1:32" ht="17.399999999999999">
      <c r="A222" s="228"/>
      <c r="B222" s="231"/>
      <c r="C222" s="291"/>
      <c r="D222" s="231"/>
      <c r="E222" s="289"/>
      <c r="F222" s="231"/>
      <c r="G222" s="231"/>
      <c r="H222" s="290"/>
      <c r="I222" s="290"/>
      <c r="J222" s="265"/>
      <c r="K222" s="303"/>
      <c r="L222" s="265"/>
      <c r="M222" s="96"/>
      <c r="N222" s="303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</row>
    <row r="223" spans="1:32" ht="17.399999999999999">
      <c r="A223" s="228"/>
      <c r="B223" s="231"/>
      <c r="C223" s="291"/>
      <c r="D223" s="231"/>
      <c r="E223" s="289"/>
      <c r="F223" s="231"/>
      <c r="G223" s="231"/>
      <c r="H223" s="290"/>
      <c r="I223" s="290"/>
      <c r="J223" s="265"/>
      <c r="K223" s="303"/>
      <c r="L223" s="265"/>
      <c r="M223" s="96"/>
      <c r="N223" s="303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</row>
    <row r="224" spans="1:32" ht="17.399999999999999">
      <c r="A224" s="228"/>
      <c r="B224" s="231"/>
      <c r="C224" s="291"/>
      <c r="D224" s="231"/>
      <c r="E224" s="289"/>
      <c r="F224" s="231"/>
      <c r="G224" s="231"/>
      <c r="H224" s="290"/>
      <c r="I224" s="290"/>
      <c r="J224" s="265"/>
      <c r="K224" s="303"/>
      <c r="L224" s="265"/>
      <c r="M224" s="96"/>
      <c r="N224" s="303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</row>
    <row r="225" spans="1:32" ht="17.399999999999999">
      <c r="A225" s="228"/>
      <c r="B225" s="231"/>
      <c r="C225" s="291"/>
      <c r="D225" s="231"/>
      <c r="E225" s="289"/>
      <c r="F225" s="231"/>
      <c r="G225" s="231"/>
      <c r="H225" s="290"/>
      <c r="I225" s="290"/>
      <c r="J225" s="265"/>
      <c r="K225" s="303"/>
      <c r="L225" s="265"/>
      <c r="M225" s="96"/>
      <c r="N225" s="303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</row>
    <row r="226" spans="1:32" ht="17.399999999999999">
      <c r="A226" s="228"/>
      <c r="B226" s="231"/>
      <c r="C226" s="291"/>
      <c r="D226" s="231"/>
      <c r="E226" s="289"/>
      <c r="F226" s="231"/>
      <c r="G226" s="231"/>
      <c r="H226" s="290"/>
      <c r="I226" s="290"/>
      <c r="J226" s="265"/>
      <c r="K226" s="303"/>
      <c r="L226" s="265"/>
      <c r="M226" s="96"/>
      <c r="N226" s="303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</row>
    <row r="227" spans="1:32" ht="17.399999999999999">
      <c r="A227" s="228"/>
      <c r="B227" s="231"/>
      <c r="C227" s="291"/>
      <c r="D227" s="231"/>
      <c r="E227" s="289"/>
      <c r="F227" s="231"/>
      <c r="G227" s="231"/>
      <c r="H227" s="290"/>
      <c r="I227" s="290"/>
      <c r="J227" s="265"/>
      <c r="K227" s="303"/>
      <c r="L227" s="265"/>
      <c r="M227" s="96"/>
      <c r="N227" s="303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</row>
    <row r="228" spans="1:32" ht="17.399999999999999">
      <c r="A228" s="228"/>
      <c r="B228" s="231"/>
      <c r="C228" s="291"/>
      <c r="D228" s="231"/>
      <c r="E228" s="289"/>
      <c r="F228" s="231"/>
      <c r="G228" s="231"/>
      <c r="H228" s="290"/>
      <c r="I228" s="290"/>
      <c r="J228" s="265"/>
      <c r="K228" s="303"/>
      <c r="L228" s="265"/>
      <c r="M228" s="96"/>
      <c r="N228" s="303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</row>
    <row r="229" spans="1:32" ht="17.399999999999999">
      <c r="A229" s="228"/>
      <c r="B229" s="231"/>
      <c r="C229" s="291"/>
      <c r="D229" s="231"/>
      <c r="E229" s="289"/>
      <c r="F229" s="231"/>
      <c r="G229" s="231"/>
      <c r="H229" s="290"/>
      <c r="I229" s="290"/>
      <c r="J229" s="265"/>
      <c r="K229" s="303"/>
      <c r="L229" s="265"/>
      <c r="M229" s="96"/>
      <c r="N229" s="303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</row>
    <row r="230" spans="1:32" ht="17.399999999999999">
      <c r="A230" s="228"/>
      <c r="B230" s="231"/>
      <c r="C230" s="291"/>
      <c r="D230" s="231"/>
      <c r="E230" s="289"/>
      <c r="F230" s="231"/>
      <c r="G230" s="231"/>
      <c r="H230" s="290"/>
      <c r="I230" s="290"/>
      <c r="J230" s="265"/>
      <c r="K230" s="303"/>
      <c r="L230" s="265"/>
      <c r="M230" s="96"/>
      <c r="N230" s="303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</row>
    <row r="231" spans="1:32" ht="17.399999999999999">
      <c r="A231" s="228"/>
      <c r="B231" s="231"/>
      <c r="C231" s="291"/>
      <c r="D231" s="231"/>
      <c r="E231" s="289"/>
      <c r="F231" s="231"/>
      <c r="G231" s="231"/>
      <c r="H231" s="290"/>
      <c r="I231" s="290"/>
      <c r="J231" s="265"/>
      <c r="K231" s="303"/>
      <c r="L231" s="265"/>
      <c r="M231" s="96"/>
      <c r="N231" s="303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</row>
    <row r="232" spans="1:32" ht="17.399999999999999">
      <c r="A232" s="228"/>
      <c r="B232" s="231"/>
      <c r="C232" s="291"/>
      <c r="D232" s="231"/>
      <c r="E232" s="289"/>
      <c r="F232" s="231"/>
      <c r="G232" s="231"/>
      <c r="H232" s="290"/>
      <c r="I232" s="290"/>
      <c r="J232" s="265"/>
      <c r="K232" s="303"/>
      <c r="L232" s="265"/>
      <c r="M232" s="96"/>
      <c r="N232" s="303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</row>
    <row r="233" spans="1:32" ht="17.399999999999999">
      <c r="A233" s="228"/>
      <c r="B233" s="231"/>
      <c r="C233" s="291"/>
      <c r="D233" s="231"/>
      <c r="E233" s="289"/>
      <c r="F233" s="231"/>
      <c r="G233" s="231"/>
      <c r="H233" s="290"/>
      <c r="I233" s="290"/>
      <c r="J233" s="265"/>
      <c r="K233" s="303"/>
      <c r="L233" s="265"/>
      <c r="M233" s="96"/>
      <c r="N233" s="303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</row>
    <row r="234" spans="1:32" ht="17.399999999999999">
      <c r="A234" s="228"/>
      <c r="B234" s="231"/>
      <c r="C234" s="291"/>
      <c r="D234" s="231"/>
      <c r="E234" s="289"/>
      <c r="F234" s="231"/>
      <c r="G234" s="231"/>
      <c r="H234" s="290"/>
      <c r="I234" s="290"/>
      <c r="J234" s="265"/>
      <c r="K234" s="303"/>
      <c r="L234" s="265"/>
      <c r="M234" s="96"/>
      <c r="N234" s="303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</row>
    <row r="235" spans="1:32" ht="17.399999999999999">
      <c r="A235" s="228"/>
      <c r="B235" s="231"/>
      <c r="C235" s="291"/>
      <c r="D235" s="231"/>
      <c r="E235" s="289"/>
      <c r="F235" s="231"/>
      <c r="G235" s="231"/>
      <c r="H235" s="290"/>
      <c r="I235" s="290"/>
      <c r="J235" s="265"/>
      <c r="K235" s="303"/>
      <c r="L235" s="265"/>
      <c r="M235" s="96"/>
      <c r="N235" s="303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</row>
    <row r="236" spans="1:32" ht="17.399999999999999">
      <c r="A236" s="228"/>
      <c r="B236" s="231"/>
      <c r="C236" s="291"/>
      <c r="D236" s="231"/>
      <c r="E236" s="289"/>
      <c r="F236" s="231"/>
      <c r="G236" s="231"/>
      <c r="H236" s="290"/>
      <c r="I236" s="290"/>
      <c r="J236" s="265"/>
      <c r="K236" s="303"/>
      <c r="L236" s="265"/>
      <c r="M236" s="96"/>
      <c r="N236" s="303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</row>
    <row r="237" spans="1:32" ht="17.399999999999999">
      <c r="A237" s="228"/>
      <c r="B237" s="231"/>
      <c r="C237" s="291"/>
      <c r="D237" s="231"/>
      <c r="E237" s="289"/>
      <c r="F237" s="231"/>
      <c r="G237" s="231"/>
      <c r="H237" s="290"/>
      <c r="I237" s="290"/>
      <c r="J237" s="265"/>
      <c r="K237" s="303"/>
      <c r="L237" s="265"/>
      <c r="M237" s="96"/>
      <c r="N237" s="303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</row>
    <row r="238" spans="1:32" ht="17.399999999999999">
      <c r="A238" s="228"/>
      <c r="B238" s="231"/>
      <c r="C238" s="291"/>
      <c r="D238" s="231"/>
      <c r="E238" s="289"/>
      <c r="F238" s="231"/>
      <c r="G238" s="231"/>
      <c r="H238" s="290"/>
      <c r="I238" s="290"/>
      <c r="J238" s="265"/>
      <c r="K238" s="303"/>
      <c r="L238" s="265"/>
      <c r="M238" s="96"/>
      <c r="N238" s="303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</row>
    <row r="239" spans="1:32" ht="17.399999999999999">
      <c r="A239" s="228"/>
      <c r="B239" s="231"/>
      <c r="C239" s="291"/>
      <c r="D239" s="231"/>
      <c r="E239" s="289"/>
      <c r="F239" s="231"/>
      <c r="G239" s="231"/>
      <c r="H239" s="290"/>
      <c r="I239" s="290"/>
      <c r="J239" s="265"/>
      <c r="K239" s="303"/>
      <c r="L239" s="265"/>
      <c r="M239" s="96"/>
      <c r="N239" s="303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</row>
    <row r="240" spans="1:32" ht="17.399999999999999">
      <c r="A240" s="228"/>
      <c r="B240" s="231"/>
      <c r="C240" s="291"/>
      <c r="D240" s="231"/>
      <c r="E240" s="289"/>
      <c r="F240" s="231"/>
      <c r="G240" s="231"/>
      <c r="H240" s="290"/>
      <c r="I240" s="290"/>
      <c r="J240" s="265"/>
      <c r="K240" s="303"/>
      <c r="L240" s="265"/>
      <c r="M240" s="96"/>
      <c r="N240" s="303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</row>
    <row r="241" spans="1:32" ht="17.399999999999999">
      <c r="A241" s="228"/>
      <c r="B241" s="231"/>
      <c r="C241" s="291"/>
      <c r="D241" s="231"/>
      <c r="E241" s="289"/>
      <c r="F241" s="231"/>
      <c r="G241" s="231"/>
      <c r="H241" s="290"/>
      <c r="I241" s="290"/>
      <c r="J241" s="265"/>
      <c r="K241" s="303"/>
      <c r="L241" s="265"/>
      <c r="M241" s="96"/>
      <c r="N241" s="303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</row>
    <row r="242" spans="1:32" ht="17.399999999999999">
      <c r="A242" s="228"/>
      <c r="B242" s="231"/>
      <c r="C242" s="291"/>
      <c r="D242" s="231"/>
      <c r="E242" s="289"/>
      <c r="F242" s="231"/>
      <c r="G242" s="231"/>
      <c r="H242" s="290"/>
      <c r="I242" s="290"/>
      <c r="J242" s="265"/>
      <c r="K242" s="303"/>
      <c r="L242" s="265"/>
      <c r="M242" s="96"/>
      <c r="N242" s="303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</row>
    <row r="243" spans="1:32" ht="17.399999999999999">
      <c r="A243" s="228"/>
      <c r="B243" s="231"/>
      <c r="C243" s="291"/>
      <c r="D243" s="231"/>
      <c r="E243" s="289"/>
      <c r="F243" s="231"/>
      <c r="G243" s="231"/>
      <c r="H243" s="290"/>
      <c r="I243" s="290"/>
      <c r="J243" s="265"/>
      <c r="K243" s="303"/>
      <c r="L243" s="265"/>
      <c r="M243" s="96"/>
      <c r="N243" s="303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</row>
    <row r="244" spans="1:32" ht="17.399999999999999">
      <c r="A244" s="228"/>
      <c r="B244" s="231"/>
      <c r="C244" s="291"/>
      <c r="D244" s="231"/>
      <c r="E244" s="289"/>
      <c r="F244" s="231"/>
      <c r="G244" s="231"/>
      <c r="H244" s="290"/>
      <c r="I244" s="290"/>
      <c r="J244" s="265"/>
      <c r="K244" s="303"/>
      <c r="L244" s="265"/>
      <c r="M244" s="96"/>
      <c r="N244" s="303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</row>
    <row r="245" spans="1:32" ht="17.399999999999999">
      <c r="A245" s="228"/>
      <c r="B245" s="231"/>
      <c r="C245" s="291"/>
      <c r="D245" s="231"/>
      <c r="E245" s="289"/>
      <c r="F245" s="231"/>
      <c r="G245" s="231"/>
      <c r="H245" s="290"/>
      <c r="I245" s="290"/>
      <c r="J245" s="265"/>
      <c r="K245" s="303"/>
      <c r="L245" s="265"/>
      <c r="M245" s="96"/>
      <c r="N245" s="303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</row>
    <row r="246" spans="1:32" ht="17.399999999999999">
      <c r="A246" s="228"/>
      <c r="B246" s="231"/>
      <c r="C246" s="291"/>
      <c r="D246" s="231"/>
      <c r="E246" s="289"/>
      <c r="F246" s="231"/>
      <c r="G246" s="231"/>
      <c r="H246" s="290"/>
      <c r="I246" s="290"/>
      <c r="J246" s="265"/>
      <c r="K246" s="303"/>
      <c r="L246" s="265"/>
      <c r="M246" s="96"/>
      <c r="N246" s="303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</row>
    <row r="247" spans="1:32" ht="17.399999999999999">
      <c r="A247" s="228"/>
      <c r="B247" s="231"/>
      <c r="C247" s="291"/>
      <c r="D247" s="231"/>
      <c r="E247" s="289"/>
      <c r="F247" s="231"/>
      <c r="G247" s="231"/>
      <c r="H247" s="290"/>
      <c r="I247" s="290"/>
      <c r="J247" s="265"/>
      <c r="K247" s="303"/>
      <c r="L247" s="265"/>
      <c r="M247" s="96"/>
      <c r="N247" s="303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</row>
    <row r="248" spans="1:32" ht="17.399999999999999">
      <c r="A248" s="228"/>
      <c r="B248" s="231"/>
      <c r="C248" s="291"/>
      <c r="D248" s="231"/>
      <c r="E248" s="289"/>
      <c r="F248" s="231"/>
      <c r="G248" s="231"/>
      <c r="H248" s="290"/>
      <c r="I248" s="290"/>
      <c r="J248" s="265"/>
      <c r="K248" s="303"/>
      <c r="L248" s="265"/>
      <c r="M248" s="96"/>
      <c r="N248" s="303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</row>
    <row r="249" spans="1:32" ht="17.399999999999999">
      <c r="A249" s="228"/>
      <c r="B249" s="231"/>
      <c r="C249" s="291"/>
      <c r="D249" s="231"/>
      <c r="E249" s="289"/>
      <c r="F249" s="231"/>
      <c r="G249" s="231"/>
      <c r="H249" s="290"/>
      <c r="I249" s="290"/>
      <c r="J249" s="265"/>
      <c r="K249" s="303"/>
      <c r="L249" s="265"/>
      <c r="M249" s="96"/>
      <c r="N249" s="303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</row>
    <row r="250" spans="1:32" ht="17.399999999999999">
      <c r="A250" s="228"/>
      <c r="B250" s="231"/>
      <c r="C250" s="291"/>
      <c r="D250" s="231"/>
      <c r="E250" s="289"/>
      <c r="F250" s="231"/>
      <c r="G250" s="231"/>
      <c r="H250" s="290"/>
      <c r="I250" s="290"/>
      <c r="J250" s="265"/>
      <c r="K250" s="303"/>
      <c r="L250" s="265"/>
      <c r="M250" s="96"/>
      <c r="N250" s="303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</row>
    <row r="251" spans="1:32" ht="17.399999999999999">
      <c r="A251" s="228"/>
      <c r="B251" s="231"/>
      <c r="C251" s="291"/>
      <c r="D251" s="231"/>
      <c r="E251" s="289"/>
      <c r="F251" s="231"/>
      <c r="G251" s="231"/>
      <c r="H251" s="290"/>
      <c r="I251" s="290"/>
      <c r="J251" s="265"/>
      <c r="K251" s="303"/>
      <c r="L251" s="265"/>
      <c r="M251" s="96"/>
      <c r="N251" s="303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</row>
    <row r="252" spans="1:32" ht="17.399999999999999">
      <c r="A252" s="228"/>
      <c r="B252" s="231"/>
      <c r="C252" s="291"/>
      <c r="D252" s="231"/>
      <c r="E252" s="289"/>
      <c r="F252" s="231"/>
      <c r="G252" s="231"/>
      <c r="H252" s="290"/>
      <c r="I252" s="290"/>
      <c r="J252" s="265"/>
      <c r="K252" s="303"/>
      <c r="L252" s="265"/>
      <c r="M252" s="96"/>
      <c r="N252" s="303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</row>
    <row r="253" spans="1:32" ht="17.399999999999999">
      <c r="A253" s="228"/>
      <c r="B253" s="231"/>
      <c r="C253" s="291"/>
      <c r="D253" s="231"/>
      <c r="E253" s="289"/>
      <c r="F253" s="231"/>
      <c r="G253" s="231"/>
      <c r="H253" s="290"/>
      <c r="I253" s="290"/>
      <c r="J253" s="265"/>
      <c r="K253" s="303"/>
      <c r="L253" s="265"/>
      <c r="M253" s="96"/>
      <c r="N253" s="303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</row>
    <row r="254" spans="1:32" ht="17.399999999999999">
      <c r="A254" s="228"/>
      <c r="B254" s="231"/>
      <c r="C254" s="291"/>
      <c r="D254" s="231"/>
      <c r="E254" s="289"/>
      <c r="F254" s="231"/>
      <c r="G254" s="231"/>
      <c r="H254" s="290"/>
      <c r="I254" s="290"/>
      <c r="J254" s="265"/>
      <c r="K254" s="303"/>
      <c r="L254" s="265"/>
      <c r="M254" s="96"/>
      <c r="N254" s="303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</row>
    <row r="255" spans="1:32" ht="17.399999999999999">
      <c r="A255" s="228"/>
      <c r="B255" s="231"/>
      <c r="C255" s="291"/>
      <c r="D255" s="231"/>
      <c r="E255" s="289"/>
      <c r="F255" s="231"/>
      <c r="G255" s="231"/>
      <c r="H255" s="290"/>
      <c r="I255" s="290"/>
      <c r="J255" s="265"/>
      <c r="K255" s="303"/>
      <c r="L255" s="265"/>
      <c r="M255" s="96"/>
      <c r="N255" s="303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</row>
    <row r="256" spans="1:32" ht="17.399999999999999">
      <c r="A256" s="228"/>
      <c r="B256" s="231"/>
      <c r="C256" s="291"/>
      <c r="D256" s="231"/>
      <c r="E256" s="289"/>
      <c r="F256" s="231"/>
      <c r="G256" s="231"/>
      <c r="H256" s="290"/>
      <c r="I256" s="290"/>
      <c r="J256" s="265"/>
      <c r="K256" s="303"/>
      <c r="L256" s="265"/>
      <c r="M256" s="96"/>
      <c r="N256" s="303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</row>
    <row r="257" spans="1:32" ht="17.399999999999999">
      <c r="A257" s="228"/>
      <c r="B257" s="231"/>
      <c r="C257" s="291"/>
      <c r="D257" s="231"/>
      <c r="E257" s="289"/>
      <c r="F257" s="231"/>
      <c r="G257" s="231"/>
      <c r="H257" s="290"/>
      <c r="I257" s="290"/>
      <c r="J257" s="265"/>
      <c r="K257" s="303"/>
      <c r="L257" s="265"/>
      <c r="M257" s="96"/>
      <c r="N257" s="303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</row>
    <row r="258" spans="1:32" ht="17.399999999999999">
      <c r="A258" s="228"/>
      <c r="B258" s="231"/>
      <c r="C258" s="291"/>
      <c r="D258" s="231"/>
      <c r="E258" s="289"/>
      <c r="F258" s="231"/>
      <c r="G258" s="231"/>
      <c r="H258" s="290"/>
      <c r="I258" s="290"/>
      <c r="J258" s="265"/>
      <c r="K258" s="303"/>
      <c r="L258" s="265"/>
      <c r="M258" s="96"/>
      <c r="N258" s="303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</row>
    <row r="259" spans="1:32" ht="17.399999999999999">
      <c r="A259" s="228"/>
      <c r="B259" s="231"/>
      <c r="C259" s="291"/>
      <c r="D259" s="231"/>
      <c r="E259" s="289"/>
      <c r="F259" s="231"/>
      <c r="G259" s="231"/>
      <c r="H259" s="290"/>
      <c r="I259" s="290"/>
      <c r="J259" s="265"/>
      <c r="K259" s="303"/>
      <c r="L259" s="265"/>
      <c r="M259" s="96"/>
      <c r="N259" s="303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</row>
    <row r="260" spans="1:32" ht="17.399999999999999">
      <c r="A260" s="228"/>
      <c r="B260" s="231"/>
      <c r="C260" s="291"/>
      <c r="D260" s="231"/>
      <c r="E260" s="289"/>
      <c r="F260" s="231"/>
      <c r="G260" s="231"/>
      <c r="H260" s="290"/>
      <c r="I260" s="290"/>
      <c r="J260" s="265"/>
      <c r="K260" s="303"/>
      <c r="L260" s="265"/>
      <c r="M260" s="96"/>
      <c r="N260" s="303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</row>
    <row r="261" spans="1:32" ht="17.399999999999999">
      <c r="A261" s="228"/>
      <c r="B261" s="231"/>
      <c r="C261" s="291"/>
      <c r="D261" s="231"/>
      <c r="E261" s="289"/>
      <c r="F261" s="231"/>
      <c r="G261" s="231"/>
      <c r="H261" s="290"/>
      <c r="I261" s="290"/>
      <c r="J261" s="265"/>
      <c r="K261" s="303"/>
      <c r="L261" s="265"/>
      <c r="M261" s="96"/>
      <c r="N261" s="303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</row>
    <row r="262" spans="1:32" ht="17.399999999999999">
      <c r="A262" s="228"/>
      <c r="B262" s="231"/>
      <c r="C262" s="291"/>
      <c r="D262" s="231"/>
      <c r="E262" s="289"/>
      <c r="F262" s="231"/>
      <c r="G262" s="231"/>
      <c r="H262" s="290"/>
      <c r="I262" s="290"/>
      <c r="J262" s="265"/>
      <c r="K262" s="303"/>
      <c r="L262" s="265"/>
      <c r="M262" s="96"/>
      <c r="N262" s="303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</row>
    <row r="263" spans="1:32" ht="17.399999999999999">
      <c r="A263" s="228"/>
      <c r="B263" s="231"/>
      <c r="C263" s="291"/>
      <c r="D263" s="231"/>
      <c r="E263" s="289"/>
      <c r="F263" s="231"/>
      <c r="G263" s="231"/>
      <c r="H263" s="290"/>
      <c r="I263" s="290"/>
      <c r="J263" s="265"/>
      <c r="K263" s="303"/>
      <c r="L263" s="265"/>
      <c r="M263" s="96"/>
      <c r="N263" s="303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</row>
    <row r="264" spans="1:32" ht="17.399999999999999">
      <c r="A264" s="228"/>
      <c r="B264" s="231"/>
      <c r="C264" s="291"/>
      <c r="D264" s="231"/>
      <c r="E264" s="289"/>
      <c r="F264" s="231"/>
      <c r="G264" s="231"/>
      <c r="H264" s="290"/>
      <c r="I264" s="290"/>
      <c r="J264" s="265"/>
      <c r="K264" s="303"/>
      <c r="L264" s="265"/>
      <c r="M264" s="96"/>
      <c r="N264" s="303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</row>
    <row r="265" spans="1:32" ht="17.399999999999999">
      <c r="A265" s="228"/>
      <c r="B265" s="231"/>
      <c r="C265" s="291"/>
      <c r="D265" s="231"/>
      <c r="E265" s="289"/>
      <c r="F265" s="231"/>
      <c r="G265" s="231"/>
      <c r="H265" s="290"/>
      <c r="I265" s="290"/>
      <c r="J265" s="265"/>
      <c r="K265" s="303"/>
      <c r="L265" s="265"/>
      <c r="M265" s="96"/>
      <c r="N265" s="303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</row>
    <row r="266" spans="1:32" ht="17.399999999999999">
      <c r="A266" s="228"/>
      <c r="B266" s="231"/>
      <c r="C266" s="291"/>
      <c r="D266" s="231"/>
      <c r="E266" s="289"/>
      <c r="F266" s="231"/>
      <c r="G266" s="231"/>
      <c r="H266" s="290"/>
      <c r="I266" s="290"/>
      <c r="J266" s="265"/>
      <c r="K266" s="303"/>
      <c r="L266" s="265"/>
      <c r="M266" s="96"/>
      <c r="N266" s="303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</row>
    <row r="267" spans="1:32" ht="17.399999999999999">
      <c r="A267" s="228"/>
      <c r="B267" s="231"/>
      <c r="C267" s="291"/>
      <c r="D267" s="231"/>
      <c r="E267" s="289"/>
      <c r="F267" s="231"/>
      <c r="G267" s="231"/>
      <c r="H267" s="290"/>
      <c r="I267" s="290"/>
      <c r="J267" s="265"/>
      <c r="K267" s="303"/>
      <c r="L267" s="265"/>
      <c r="M267" s="96"/>
      <c r="N267" s="303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</row>
    <row r="268" spans="1:32" ht="17.399999999999999">
      <c r="A268" s="228"/>
      <c r="B268" s="231"/>
      <c r="C268" s="291"/>
      <c r="D268" s="231"/>
      <c r="E268" s="289"/>
      <c r="F268" s="231"/>
      <c r="G268" s="231"/>
      <c r="H268" s="290"/>
      <c r="I268" s="290"/>
      <c r="J268" s="265"/>
      <c r="K268" s="303"/>
      <c r="L268" s="265"/>
      <c r="M268" s="96"/>
      <c r="N268" s="303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</row>
    <row r="269" spans="1:32" ht="17.399999999999999">
      <c r="A269" s="228"/>
      <c r="B269" s="231"/>
      <c r="C269" s="291"/>
      <c r="D269" s="231"/>
      <c r="E269" s="289"/>
      <c r="F269" s="231"/>
      <c r="G269" s="231"/>
      <c r="H269" s="290"/>
      <c r="I269" s="290"/>
      <c r="J269" s="265"/>
      <c r="K269" s="303"/>
      <c r="L269" s="265"/>
      <c r="M269" s="96"/>
      <c r="N269" s="303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</row>
    <row r="270" spans="1:32" ht="17.399999999999999">
      <c r="A270" s="228"/>
      <c r="B270" s="231"/>
      <c r="C270" s="291"/>
      <c r="D270" s="231"/>
      <c r="E270" s="289"/>
      <c r="F270" s="231"/>
      <c r="G270" s="231"/>
      <c r="H270" s="290"/>
      <c r="I270" s="290"/>
      <c r="J270" s="265"/>
      <c r="K270" s="303"/>
      <c r="L270" s="265"/>
      <c r="M270" s="96"/>
      <c r="N270" s="303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</row>
    <row r="271" spans="1:32" ht="17.399999999999999">
      <c r="A271" s="228"/>
      <c r="B271" s="231"/>
      <c r="C271" s="291"/>
      <c r="D271" s="231"/>
      <c r="E271" s="289"/>
      <c r="F271" s="231"/>
      <c r="G271" s="231"/>
      <c r="H271" s="290"/>
      <c r="I271" s="290"/>
      <c r="J271" s="265"/>
      <c r="K271" s="303"/>
      <c r="L271" s="265"/>
      <c r="M271" s="96"/>
      <c r="N271" s="303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</row>
    <row r="272" spans="1:32" ht="17.399999999999999">
      <c r="A272" s="228"/>
      <c r="B272" s="231"/>
      <c r="C272" s="291"/>
      <c r="D272" s="231"/>
      <c r="E272" s="289"/>
      <c r="F272" s="231"/>
      <c r="G272" s="231"/>
      <c r="H272" s="290"/>
      <c r="I272" s="290"/>
      <c r="J272" s="265"/>
      <c r="K272" s="303"/>
      <c r="L272" s="265"/>
      <c r="M272" s="96"/>
      <c r="N272" s="303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</row>
    <row r="273" spans="1:32" ht="17.399999999999999">
      <c r="A273" s="228"/>
      <c r="B273" s="231"/>
      <c r="C273" s="291"/>
      <c r="D273" s="231"/>
      <c r="E273" s="289"/>
      <c r="F273" s="231"/>
      <c r="G273" s="231"/>
      <c r="H273" s="290"/>
      <c r="I273" s="290"/>
      <c r="J273" s="265"/>
      <c r="K273" s="303"/>
      <c r="L273" s="265"/>
      <c r="M273" s="96"/>
      <c r="N273" s="303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</row>
    <row r="274" spans="1:32" ht="17.399999999999999">
      <c r="A274" s="228"/>
      <c r="B274" s="231"/>
      <c r="C274" s="291"/>
      <c r="D274" s="231"/>
      <c r="E274" s="289"/>
      <c r="F274" s="231"/>
      <c r="G274" s="231"/>
      <c r="H274" s="290"/>
      <c r="I274" s="290"/>
      <c r="J274" s="265"/>
      <c r="K274" s="303"/>
      <c r="L274" s="265"/>
      <c r="M274" s="96"/>
      <c r="N274" s="303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</row>
    <row r="275" spans="1:32" ht="17.399999999999999">
      <c r="A275" s="228"/>
      <c r="B275" s="231"/>
      <c r="C275" s="291"/>
      <c r="D275" s="231"/>
      <c r="E275" s="289"/>
      <c r="F275" s="231"/>
      <c r="G275" s="231"/>
      <c r="H275" s="290"/>
      <c r="I275" s="290"/>
      <c r="J275" s="265"/>
      <c r="K275" s="303"/>
      <c r="L275" s="265"/>
      <c r="M275" s="96"/>
      <c r="N275" s="303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</row>
    <row r="276" spans="1:32" ht="17.399999999999999">
      <c r="A276" s="228"/>
      <c r="B276" s="231"/>
      <c r="C276" s="291"/>
      <c r="D276" s="231"/>
      <c r="E276" s="289"/>
      <c r="F276" s="231"/>
      <c r="G276" s="231"/>
      <c r="H276" s="290"/>
      <c r="I276" s="290"/>
      <c r="J276" s="265"/>
      <c r="K276" s="303"/>
      <c r="L276" s="265"/>
      <c r="M276" s="96"/>
      <c r="N276" s="303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</row>
    <row r="277" spans="1:32" ht="17.399999999999999">
      <c r="A277" s="228"/>
      <c r="B277" s="231"/>
      <c r="C277" s="291"/>
      <c r="D277" s="231"/>
      <c r="E277" s="289"/>
      <c r="F277" s="231"/>
      <c r="G277" s="231"/>
      <c r="H277" s="290"/>
      <c r="I277" s="290"/>
      <c r="J277" s="265"/>
      <c r="K277" s="303"/>
      <c r="L277" s="265"/>
      <c r="M277" s="96"/>
      <c r="N277" s="303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</row>
    <row r="278" spans="1:32" ht="17.399999999999999">
      <c r="A278" s="228"/>
      <c r="B278" s="231"/>
      <c r="C278" s="291"/>
      <c r="D278" s="231"/>
      <c r="E278" s="289"/>
      <c r="F278" s="231"/>
      <c r="G278" s="231"/>
      <c r="H278" s="290"/>
      <c r="I278" s="290"/>
      <c r="J278" s="265"/>
      <c r="K278" s="303"/>
      <c r="L278" s="265"/>
      <c r="M278" s="96"/>
      <c r="N278" s="303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</row>
    <row r="279" spans="1:32" ht="17.399999999999999">
      <c r="A279" s="228"/>
      <c r="B279" s="231"/>
      <c r="C279" s="291"/>
      <c r="D279" s="231"/>
      <c r="E279" s="289"/>
      <c r="F279" s="231"/>
      <c r="G279" s="231"/>
      <c r="H279" s="290"/>
      <c r="I279" s="290"/>
      <c r="J279" s="265"/>
      <c r="K279" s="303"/>
      <c r="L279" s="265"/>
      <c r="M279" s="96"/>
      <c r="N279" s="303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</row>
    <row r="280" spans="1:32" ht="17.399999999999999">
      <c r="A280" s="228"/>
      <c r="B280" s="231"/>
      <c r="C280" s="291"/>
      <c r="D280" s="231"/>
      <c r="E280" s="289"/>
      <c r="F280" s="231"/>
      <c r="G280" s="231"/>
      <c r="H280" s="290"/>
      <c r="I280" s="290"/>
      <c r="J280" s="265"/>
      <c r="K280" s="303"/>
      <c r="L280" s="265"/>
      <c r="M280" s="96"/>
      <c r="N280" s="303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</row>
    <row r="281" spans="1:32" ht="17.399999999999999">
      <c r="A281" s="228"/>
      <c r="B281" s="231"/>
      <c r="C281" s="291"/>
      <c r="D281" s="231"/>
      <c r="E281" s="289"/>
      <c r="F281" s="231"/>
      <c r="G281" s="231"/>
      <c r="H281" s="290"/>
      <c r="I281" s="290"/>
      <c r="J281" s="265"/>
      <c r="K281" s="303"/>
      <c r="L281" s="265"/>
      <c r="M281" s="96"/>
      <c r="N281" s="303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</row>
    <row r="282" spans="1:32" ht="17.399999999999999">
      <c r="A282" s="228"/>
      <c r="B282" s="231"/>
      <c r="C282" s="291"/>
      <c r="D282" s="231"/>
      <c r="E282" s="289"/>
      <c r="F282" s="231"/>
      <c r="G282" s="231"/>
      <c r="H282" s="290"/>
      <c r="I282" s="290"/>
      <c r="J282" s="265"/>
      <c r="K282" s="303"/>
      <c r="L282" s="265"/>
      <c r="M282" s="96"/>
      <c r="N282" s="303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</row>
    <row r="283" spans="1:32" ht="17.399999999999999">
      <c r="A283" s="228"/>
      <c r="B283" s="231"/>
      <c r="C283" s="291"/>
      <c r="D283" s="231"/>
      <c r="E283" s="289"/>
      <c r="F283" s="231"/>
      <c r="G283" s="231"/>
      <c r="H283" s="290"/>
      <c r="I283" s="290"/>
      <c r="J283" s="265"/>
      <c r="K283" s="303"/>
      <c r="L283" s="265"/>
      <c r="M283" s="96"/>
      <c r="N283" s="303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</row>
    <row r="284" spans="1:32" ht="17.399999999999999">
      <c r="A284" s="228"/>
      <c r="B284" s="231"/>
      <c r="C284" s="291"/>
      <c r="D284" s="231"/>
      <c r="E284" s="289"/>
      <c r="F284" s="231"/>
      <c r="G284" s="231"/>
      <c r="H284" s="290"/>
      <c r="I284" s="290"/>
      <c r="J284" s="265"/>
      <c r="K284" s="303"/>
      <c r="L284" s="265"/>
      <c r="M284" s="96"/>
      <c r="N284" s="303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</row>
    <row r="285" spans="1:32" ht="17.399999999999999">
      <c r="A285" s="228"/>
      <c r="B285" s="231"/>
      <c r="C285" s="291"/>
      <c r="D285" s="231"/>
      <c r="E285" s="289"/>
      <c r="F285" s="231"/>
      <c r="G285" s="231"/>
      <c r="H285" s="290"/>
      <c r="I285" s="290"/>
      <c r="J285" s="265"/>
      <c r="K285" s="303"/>
      <c r="L285" s="265"/>
      <c r="M285" s="96"/>
      <c r="N285" s="303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</row>
    <row r="286" spans="1:32" ht="17.399999999999999">
      <c r="A286" s="228"/>
      <c r="B286" s="231"/>
      <c r="C286" s="291"/>
      <c r="D286" s="231"/>
      <c r="E286" s="289"/>
      <c r="F286" s="231"/>
      <c r="G286" s="231"/>
      <c r="H286" s="290"/>
      <c r="I286" s="290"/>
      <c r="J286" s="265"/>
      <c r="K286" s="303"/>
      <c r="L286" s="265"/>
      <c r="M286" s="96"/>
      <c r="N286" s="303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</row>
    <row r="287" spans="1:32" ht="17.399999999999999">
      <c r="A287" s="228"/>
      <c r="B287" s="231"/>
      <c r="C287" s="291"/>
      <c r="D287" s="231"/>
      <c r="E287" s="289"/>
      <c r="F287" s="231"/>
      <c r="G287" s="231"/>
      <c r="H287" s="290"/>
      <c r="I287" s="290"/>
      <c r="J287" s="265"/>
      <c r="K287" s="303"/>
      <c r="L287" s="265"/>
      <c r="M287" s="96"/>
      <c r="N287" s="303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</row>
    <row r="288" spans="1:32" ht="17.399999999999999">
      <c r="A288" s="228"/>
      <c r="B288" s="231"/>
      <c r="C288" s="291"/>
      <c r="D288" s="231"/>
      <c r="E288" s="289"/>
      <c r="F288" s="231"/>
      <c r="G288" s="231"/>
      <c r="H288" s="290"/>
      <c r="I288" s="290"/>
      <c r="J288" s="265"/>
      <c r="K288" s="303"/>
      <c r="L288" s="265"/>
      <c r="M288" s="96"/>
      <c r="N288" s="303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</row>
    <row r="289" spans="1:32" ht="17.399999999999999">
      <c r="A289" s="228"/>
      <c r="B289" s="231"/>
      <c r="C289" s="291"/>
      <c r="D289" s="231"/>
      <c r="E289" s="289"/>
      <c r="F289" s="231"/>
      <c r="G289" s="231"/>
      <c r="H289" s="290"/>
      <c r="I289" s="290"/>
      <c r="J289" s="265"/>
      <c r="K289" s="303"/>
      <c r="L289" s="265"/>
      <c r="M289" s="96"/>
      <c r="N289" s="303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</row>
    <row r="290" spans="1:32" ht="17.399999999999999">
      <c r="A290" s="228"/>
      <c r="B290" s="231"/>
      <c r="C290" s="291"/>
      <c r="D290" s="231"/>
      <c r="E290" s="289"/>
      <c r="F290" s="231"/>
      <c r="G290" s="231"/>
      <c r="H290" s="290"/>
      <c r="I290" s="290"/>
      <c r="J290" s="265"/>
      <c r="K290" s="303"/>
      <c r="L290" s="265"/>
      <c r="M290" s="96"/>
      <c r="N290" s="303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</row>
    <row r="291" spans="1:32" ht="17.399999999999999">
      <c r="A291" s="228"/>
      <c r="B291" s="231"/>
      <c r="C291" s="291"/>
      <c r="D291" s="231"/>
      <c r="E291" s="289"/>
      <c r="F291" s="231"/>
      <c r="G291" s="231"/>
      <c r="H291" s="290"/>
      <c r="I291" s="290"/>
      <c r="J291" s="265"/>
      <c r="K291" s="303"/>
      <c r="L291" s="265"/>
      <c r="M291" s="96"/>
      <c r="N291" s="303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</row>
    <row r="292" spans="1:32" ht="17.399999999999999">
      <c r="A292" s="228"/>
      <c r="B292" s="231"/>
      <c r="C292" s="291"/>
      <c r="D292" s="231"/>
      <c r="E292" s="289"/>
      <c r="F292" s="231"/>
      <c r="G292" s="231"/>
      <c r="H292" s="290"/>
      <c r="I292" s="290"/>
      <c r="J292" s="265"/>
      <c r="K292" s="303"/>
      <c r="L292" s="265"/>
      <c r="M292" s="96"/>
      <c r="N292" s="303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</row>
    <row r="293" spans="1:32" ht="17.399999999999999">
      <c r="A293" s="228"/>
      <c r="B293" s="231"/>
      <c r="C293" s="291"/>
      <c r="D293" s="231"/>
      <c r="E293" s="289"/>
      <c r="F293" s="231"/>
      <c r="G293" s="231"/>
      <c r="H293" s="290"/>
      <c r="I293" s="290"/>
      <c r="J293" s="265"/>
      <c r="K293" s="303"/>
      <c r="L293" s="265"/>
      <c r="M293" s="96"/>
      <c r="N293" s="303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</row>
    <row r="294" spans="1:32" ht="17.399999999999999">
      <c r="A294" s="228"/>
      <c r="B294" s="231"/>
      <c r="C294" s="291"/>
      <c r="D294" s="231"/>
      <c r="E294" s="289"/>
      <c r="F294" s="231"/>
      <c r="G294" s="231"/>
      <c r="H294" s="290"/>
      <c r="I294" s="290"/>
      <c r="J294" s="265"/>
      <c r="K294" s="303"/>
      <c r="L294" s="265"/>
      <c r="M294" s="96"/>
      <c r="N294" s="303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</row>
    <row r="295" spans="1:32" ht="17.399999999999999">
      <c r="A295" s="228"/>
      <c r="B295" s="231"/>
      <c r="C295" s="291"/>
      <c r="D295" s="231"/>
      <c r="E295" s="289"/>
      <c r="F295" s="231"/>
      <c r="G295" s="231"/>
      <c r="H295" s="290"/>
      <c r="I295" s="290"/>
      <c r="J295" s="265"/>
      <c r="K295" s="303"/>
      <c r="L295" s="265"/>
      <c r="M295" s="96"/>
      <c r="N295" s="303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</row>
    <row r="296" spans="1:32" ht="17.399999999999999">
      <c r="A296" s="228"/>
      <c r="B296" s="231"/>
      <c r="C296" s="291"/>
      <c r="D296" s="231"/>
      <c r="E296" s="289"/>
      <c r="F296" s="231"/>
      <c r="G296" s="231"/>
      <c r="H296" s="290"/>
      <c r="I296" s="290"/>
      <c r="J296" s="265"/>
      <c r="K296" s="303"/>
      <c r="L296" s="265"/>
      <c r="M296" s="96"/>
      <c r="N296" s="303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</row>
    <row r="297" spans="1:32" ht="17.399999999999999">
      <c r="A297" s="228"/>
      <c r="B297" s="231"/>
      <c r="C297" s="291"/>
      <c r="D297" s="231"/>
      <c r="E297" s="289"/>
      <c r="F297" s="231"/>
      <c r="G297" s="231"/>
      <c r="H297" s="290"/>
      <c r="I297" s="290"/>
      <c r="J297" s="265"/>
      <c r="K297" s="303"/>
      <c r="L297" s="265"/>
      <c r="M297" s="96"/>
      <c r="N297" s="303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</row>
    <row r="298" spans="1:32" ht="17.399999999999999">
      <c r="A298" s="228"/>
      <c r="B298" s="231"/>
      <c r="C298" s="291"/>
      <c r="D298" s="231"/>
      <c r="E298" s="289"/>
      <c r="F298" s="231"/>
      <c r="G298" s="231"/>
      <c r="H298" s="290"/>
      <c r="I298" s="290"/>
      <c r="J298" s="265"/>
      <c r="K298" s="303"/>
      <c r="L298" s="265"/>
      <c r="M298" s="96"/>
      <c r="N298" s="303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</row>
    <row r="299" spans="1:32" ht="17.399999999999999">
      <c r="A299" s="228"/>
      <c r="B299" s="231"/>
      <c r="C299" s="291"/>
      <c r="D299" s="231"/>
      <c r="E299" s="289"/>
      <c r="F299" s="231"/>
      <c r="G299" s="231"/>
      <c r="H299" s="290"/>
      <c r="I299" s="290"/>
      <c r="J299" s="265"/>
      <c r="K299" s="303"/>
      <c r="L299" s="265"/>
      <c r="M299" s="96"/>
      <c r="N299" s="303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</row>
    <row r="300" spans="1:32" ht="17.399999999999999">
      <c r="A300" s="228"/>
      <c r="B300" s="231"/>
      <c r="C300" s="291"/>
      <c r="D300" s="231"/>
      <c r="E300" s="289"/>
      <c r="F300" s="231"/>
      <c r="G300" s="231"/>
      <c r="H300" s="290"/>
      <c r="I300" s="290"/>
      <c r="J300" s="265"/>
      <c r="K300" s="303"/>
      <c r="L300" s="265"/>
      <c r="M300" s="96"/>
      <c r="N300" s="303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</row>
    <row r="301" spans="1:32" ht="17.399999999999999">
      <c r="A301" s="228"/>
      <c r="B301" s="231"/>
      <c r="C301" s="291"/>
      <c r="D301" s="231"/>
      <c r="E301" s="289"/>
      <c r="F301" s="231"/>
      <c r="G301" s="231"/>
      <c r="H301" s="290"/>
      <c r="I301" s="290"/>
      <c r="J301" s="265"/>
      <c r="K301" s="303"/>
      <c r="L301" s="265"/>
      <c r="M301" s="96"/>
      <c r="N301" s="303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</row>
    <row r="302" spans="1:32" ht="17.399999999999999">
      <c r="A302" s="228"/>
      <c r="B302" s="231"/>
      <c r="C302" s="291"/>
      <c r="D302" s="231"/>
      <c r="E302" s="289"/>
      <c r="F302" s="231"/>
      <c r="G302" s="231"/>
      <c r="H302" s="290"/>
      <c r="I302" s="290"/>
      <c r="J302" s="265"/>
      <c r="K302" s="303"/>
      <c r="L302" s="265"/>
      <c r="M302" s="96"/>
      <c r="N302" s="303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  <c r="AA302" s="231"/>
      <c r="AB302" s="231"/>
      <c r="AC302" s="231"/>
      <c r="AD302" s="231"/>
      <c r="AE302" s="231"/>
      <c r="AF302" s="231"/>
    </row>
    <row r="303" spans="1:32" ht="17.399999999999999">
      <c r="A303" s="228"/>
      <c r="B303" s="231"/>
      <c r="C303" s="291"/>
      <c r="D303" s="231"/>
      <c r="E303" s="289"/>
      <c r="F303" s="231"/>
      <c r="G303" s="231"/>
      <c r="H303" s="290"/>
      <c r="I303" s="290"/>
      <c r="J303" s="265"/>
      <c r="K303" s="303"/>
      <c r="L303" s="265"/>
      <c r="M303" s="96"/>
      <c r="N303" s="303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  <c r="AA303" s="231"/>
      <c r="AB303" s="231"/>
      <c r="AC303" s="231"/>
      <c r="AD303" s="231"/>
      <c r="AE303" s="231"/>
      <c r="AF303" s="231"/>
    </row>
    <row r="304" spans="1:32" ht="17.399999999999999">
      <c r="A304" s="228"/>
      <c r="B304" s="231"/>
      <c r="C304" s="291"/>
      <c r="D304" s="231"/>
      <c r="E304" s="289"/>
      <c r="F304" s="231"/>
      <c r="G304" s="231"/>
      <c r="H304" s="290"/>
      <c r="I304" s="290"/>
      <c r="J304" s="265"/>
      <c r="K304" s="303"/>
      <c r="L304" s="265"/>
      <c r="M304" s="96"/>
      <c r="N304" s="303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  <c r="AA304" s="231"/>
      <c r="AB304" s="231"/>
      <c r="AC304" s="231"/>
      <c r="AD304" s="231"/>
      <c r="AE304" s="231"/>
      <c r="AF304" s="231"/>
    </row>
    <row r="305" spans="1:32" ht="17.399999999999999">
      <c r="A305" s="228"/>
      <c r="B305" s="231"/>
      <c r="C305" s="291"/>
      <c r="D305" s="231"/>
      <c r="E305" s="289"/>
      <c r="F305" s="231"/>
      <c r="G305" s="231"/>
      <c r="H305" s="290"/>
      <c r="I305" s="290"/>
      <c r="J305" s="265"/>
      <c r="K305" s="303"/>
      <c r="L305" s="265"/>
      <c r="M305" s="96"/>
      <c r="N305" s="303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  <c r="AA305" s="231"/>
      <c r="AB305" s="231"/>
      <c r="AC305" s="231"/>
      <c r="AD305" s="231"/>
      <c r="AE305" s="231"/>
      <c r="AF305" s="231"/>
    </row>
    <row r="306" spans="1:32" ht="17.399999999999999">
      <c r="A306" s="228"/>
      <c r="B306" s="231"/>
      <c r="C306" s="291"/>
      <c r="D306" s="231"/>
      <c r="E306" s="289"/>
      <c r="F306" s="231"/>
      <c r="G306" s="231"/>
      <c r="H306" s="290"/>
      <c r="I306" s="290"/>
      <c r="J306" s="265"/>
      <c r="K306" s="303"/>
      <c r="L306" s="265"/>
      <c r="M306" s="96"/>
      <c r="N306" s="303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  <c r="AA306" s="231"/>
      <c r="AB306" s="231"/>
      <c r="AC306" s="231"/>
      <c r="AD306" s="231"/>
      <c r="AE306" s="231"/>
      <c r="AF306" s="231"/>
    </row>
    <row r="307" spans="1:32" ht="17.399999999999999">
      <c r="A307" s="228"/>
      <c r="B307" s="231"/>
      <c r="C307" s="291"/>
      <c r="D307" s="231"/>
      <c r="E307" s="289"/>
      <c r="F307" s="231"/>
      <c r="G307" s="231"/>
      <c r="H307" s="290"/>
      <c r="I307" s="290"/>
      <c r="J307" s="265"/>
      <c r="K307" s="303"/>
      <c r="L307" s="265"/>
      <c r="M307" s="96"/>
      <c r="N307" s="303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  <c r="AA307" s="231"/>
      <c r="AB307" s="231"/>
      <c r="AC307" s="231"/>
      <c r="AD307" s="231"/>
      <c r="AE307" s="231"/>
      <c r="AF307" s="231"/>
    </row>
    <row r="308" spans="1:32" ht="17.399999999999999">
      <c r="A308" s="228"/>
      <c r="B308" s="231"/>
      <c r="C308" s="291"/>
      <c r="D308" s="231"/>
      <c r="E308" s="289"/>
      <c r="F308" s="231"/>
      <c r="G308" s="231"/>
      <c r="H308" s="290"/>
      <c r="I308" s="290"/>
      <c r="J308" s="265"/>
      <c r="K308" s="303"/>
      <c r="L308" s="265"/>
      <c r="M308" s="96"/>
      <c r="N308" s="303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  <c r="AA308" s="231"/>
      <c r="AB308" s="231"/>
      <c r="AC308" s="231"/>
      <c r="AD308" s="231"/>
      <c r="AE308" s="231"/>
      <c r="AF308" s="231"/>
    </row>
    <row r="309" spans="1:32" ht="17.399999999999999">
      <c r="A309" s="228"/>
      <c r="B309" s="231"/>
      <c r="C309" s="291"/>
      <c r="D309" s="231"/>
      <c r="E309" s="289"/>
      <c r="F309" s="231"/>
      <c r="G309" s="231"/>
      <c r="H309" s="290"/>
      <c r="I309" s="290"/>
      <c r="J309" s="265"/>
      <c r="K309" s="303"/>
      <c r="L309" s="265"/>
      <c r="M309" s="96"/>
      <c r="N309" s="303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  <c r="AA309" s="231"/>
      <c r="AB309" s="231"/>
      <c r="AC309" s="231"/>
      <c r="AD309" s="231"/>
      <c r="AE309" s="231"/>
      <c r="AF309" s="231"/>
    </row>
    <row r="310" spans="1:32" ht="17.399999999999999">
      <c r="A310" s="228"/>
      <c r="B310" s="231"/>
      <c r="C310" s="291"/>
      <c r="D310" s="231"/>
      <c r="E310" s="289"/>
      <c r="F310" s="231"/>
      <c r="G310" s="231"/>
      <c r="H310" s="290"/>
      <c r="I310" s="290"/>
      <c r="J310" s="265"/>
      <c r="K310" s="303"/>
      <c r="L310" s="265"/>
      <c r="M310" s="96"/>
      <c r="N310" s="303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  <c r="AA310" s="231"/>
      <c r="AB310" s="231"/>
      <c r="AC310" s="231"/>
      <c r="AD310" s="231"/>
      <c r="AE310" s="231"/>
      <c r="AF310" s="231"/>
    </row>
    <row r="311" spans="1:32" ht="17.399999999999999">
      <c r="A311" s="228"/>
      <c r="B311" s="231"/>
      <c r="C311" s="291"/>
      <c r="D311" s="231"/>
      <c r="E311" s="289"/>
      <c r="F311" s="231"/>
      <c r="G311" s="231"/>
      <c r="H311" s="290"/>
      <c r="I311" s="290"/>
      <c r="J311" s="265"/>
      <c r="K311" s="303"/>
      <c r="L311" s="265"/>
      <c r="M311" s="96"/>
      <c r="N311" s="303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  <c r="AA311" s="231"/>
      <c r="AB311" s="231"/>
      <c r="AC311" s="231"/>
      <c r="AD311" s="231"/>
      <c r="AE311" s="231"/>
      <c r="AF311" s="231"/>
    </row>
    <row r="312" spans="1:32" ht="17.399999999999999">
      <c r="A312" s="228"/>
      <c r="B312" s="231"/>
      <c r="C312" s="291"/>
      <c r="D312" s="231"/>
      <c r="E312" s="289"/>
      <c r="F312" s="231"/>
      <c r="G312" s="231"/>
      <c r="H312" s="290"/>
      <c r="I312" s="290"/>
      <c r="J312" s="265"/>
      <c r="K312" s="303"/>
      <c r="L312" s="265"/>
      <c r="M312" s="96"/>
      <c r="N312" s="303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  <c r="AA312" s="231"/>
      <c r="AB312" s="231"/>
      <c r="AC312" s="231"/>
      <c r="AD312" s="231"/>
      <c r="AE312" s="231"/>
      <c r="AF312" s="231"/>
    </row>
    <row r="313" spans="1:32" ht="17.399999999999999">
      <c r="A313" s="228"/>
      <c r="B313" s="231"/>
      <c r="C313" s="291"/>
      <c r="D313" s="231"/>
      <c r="E313" s="289"/>
      <c r="F313" s="231"/>
      <c r="G313" s="231"/>
      <c r="H313" s="290"/>
      <c r="I313" s="290"/>
      <c r="J313" s="265"/>
      <c r="K313" s="303"/>
      <c r="L313" s="265"/>
      <c r="M313" s="96"/>
      <c r="N313" s="303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  <c r="AA313" s="231"/>
      <c r="AB313" s="231"/>
      <c r="AC313" s="231"/>
      <c r="AD313" s="231"/>
      <c r="AE313" s="231"/>
      <c r="AF313" s="231"/>
    </row>
    <row r="314" spans="1:32" ht="17.399999999999999">
      <c r="A314" s="228"/>
      <c r="B314" s="231"/>
      <c r="C314" s="291"/>
      <c r="D314" s="231"/>
      <c r="E314" s="289"/>
      <c r="F314" s="231"/>
      <c r="G314" s="231"/>
      <c r="H314" s="290"/>
      <c r="I314" s="290"/>
      <c r="J314" s="265"/>
      <c r="K314" s="303"/>
      <c r="L314" s="265"/>
      <c r="M314" s="96"/>
      <c r="N314" s="303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  <c r="AA314" s="231"/>
      <c r="AB314" s="231"/>
      <c r="AC314" s="231"/>
      <c r="AD314" s="231"/>
      <c r="AE314" s="231"/>
      <c r="AF314" s="231"/>
    </row>
    <row r="315" spans="1:32" ht="17.399999999999999">
      <c r="A315" s="228"/>
      <c r="B315" s="231"/>
      <c r="C315" s="291"/>
      <c r="D315" s="231"/>
      <c r="E315" s="289"/>
      <c r="F315" s="231"/>
      <c r="G315" s="231"/>
      <c r="H315" s="290"/>
      <c r="I315" s="290"/>
      <c r="J315" s="265"/>
      <c r="K315" s="303"/>
      <c r="L315" s="265"/>
      <c r="M315" s="96"/>
      <c r="N315" s="303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  <c r="AA315" s="231"/>
      <c r="AB315" s="231"/>
      <c r="AC315" s="231"/>
      <c r="AD315" s="231"/>
      <c r="AE315" s="231"/>
      <c r="AF315" s="231"/>
    </row>
    <row r="316" spans="1:32" ht="17.399999999999999">
      <c r="A316" s="228"/>
      <c r="B316" s="231"/>
      <c r="C316" s="291"/>
      <c r="D316" s="231"/>
      <c r="E316" s="289"/>
      <c r="F316" s="231"/>
      <c r="G316" s="231"/>
      <c r="H316" s="290"/>
      <c r="I316" s="290"/>
      <c r="J316" s="265"/>
      <c r="K316" s="303"/>
      <c r="L316" s="265"/>
      <c r="M316" s="96"/>
      <c r="N316" s="303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  <c r="AA316" s="231"/>
      <c r="AB316" s="231"/>
      <c r="AC316" s="231"/>
      <c r="AD316" s="231"/>
      <c r="AE316" s="231"/>
      <c r="AF316" s="231"/>
    </row>
    <row r="317" spans="1:32" ht="17.399999999999999">
      <c r="A317" s="228"/>
      <c r="B317" s="231"/>
      <c r="C317" s="291"/>
      <c r="D317" s="231"/>
      <c r="E317" s="289"/>
      <c r="F317" s="231"/>
      <c r="G317" s="231"/>
      <c r="H317" s="290"/>
      <c r="I317" s="290"/>
      <c r="J317" s="265"/>
      <c r="K317" s="303"/>
      <c r="L317" s="265"/>
      <c r="M317" s="96"/>
      <c r="N317" s="303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  <c r="AA317" s="231"/>
      <c r="AB317" s="231"/>
      <c r="AC317" s="231"/>
      <c r="AD317" s="231"/>
      <c r="AE317" s="231"/>
      <c r="AF317" s="231"/>
    </row>
    <row r="318" spans="1:32" ht="17.399999999999999">
      <c r="A318" s="228"/>
      <c r="B318" s="231"/>
      <c r="C318" s="291"/>
      <c r="D318" s="231"/>
      <c r="E318" s="289"/>
      <c r="F318" s="231"/>
      <c r="G318" s="231"/>
      <c r="H318" s="290"/>
      <c r="I318" s="290"/>
      <c r="J318" s="265"/>
      <c r="K318" s="303"/>
      <c r="L318" s="265"/>
      <c r="M318" s="96"/>
      <c r="N318" s="303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  <c r="AA318" s="231"/>
      <c r="AB318" s="231"/>
      <c r="AC318" s="231"/>
      <c r="AD318" s="231"/>
      <c r="AE318" s="231"/>
      <c r="AF318" s="231"/>
    </row>
    <row r="319" spans="1:32" ht="17.399999999999999">
      <c r="A319" s="228"/>
      <c r="B319" s="231"/>
      <c r="C319" s="291"/>
      <c r="D319" s="231"/>
      <c r="E319" s="289"/>
      <c r="F319" s="231"/>
      <c r="G319" s="231"/>
      <c r="H319" s="290"/>
      <c r="I319" s="290"/>
      <c r="J319" s="265"/>
      <c r="K319" s="303"/>
      <c r="L319" s="265"/>
      <c r="M319" s="96"/>
      <c r="N319" s="303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  <c r="AA319" s="231"/>
      <c r="AB319" s="231"/>
      <c r="AC319" s="231"/>
      <c r="AD319" s="231"/>
      <c r="AE319" s="231"/>
      <c r="AF319" s="231"/>
    </row>
    <row r="320" spans="1:32" ht="17.399999999999999">
      <c r="A320" s="228"/>
      <c r="B320" s="231"/>
      <c r="C320" s="291"/>
      <c r="D320" s="231"/>
      <c r="E320" s="289"/>
      <c r="F320" s="231"/>
      <c r="G320" s="231"/>
      <c r="H320" s="290"/>
      <c r="I320" s="290"/>
      <c r="J320" s="265"/>
      <c r="K320" s="303"/>
      <c r="L320" s="265"/>
      <c r="M320" s="96"/>
      <c r="N320" s="303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  <c r="AA320" s="231"/>
      <c r="AB320" s="231"/>
      <c r="AC320" s="231"/>
      <c r="AD320" s="231"/>
      <c r="AE320" s="231"/>
      <c r="AF320" s="231"/>
    </row>
    <row r="321" spans="1:32" ht="17.399999999999999">
      <c r="A321" s="228"/>
      <c r="B321" s="231"/>
      <c r="C321" s="291"/>
      <c r="D321" s="231"/>
      <c r="E321" s="289"/>
      <c r="F321" s="231"/>
      <c r="G321" s="231"/>
      <c r="H321" s="290"/>
      <c r="I321" s="290"/>
      <c r="J321" s="265"/>
      <c r="K321" s="303"/>
      <c r="L321" s="265"/>
      <c r="M321" s="96"/>
      <c r="N321" s="303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  <c r="AA321" s="231"/>
      <c r="AB321" s="231"/>
      <c r="AC321" s="231"/>
      <c r="AD321" s="231"/>
      <c r="AE321" s="231"/>
      <c r="AF321" s="231"/>
    </row>
    <row r="322" spans="1:32" ht="17.399999999999999">
      <c r="A322" s="228"/>
      <c r="B322" s="231"/>
      <c r="C322" s="291"/>
      <c r="D322" s="231"/>
      <c r="E322" s="289"/>
      <c r="F322" s="231"/>
      <c r="G322" s="231"/>
      <c r="H322" s="290"/>
      <c r="I322" s="290"/>
      <c r="J322" s="265"/>
      <c r="K322" s="303"/>
      <c r="L322" s="265"/>
      <c r="M322" s="96"/>
      <c r="N322" s="303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  <c r="AA322" s="231"/>
      <c r="AB322" s="231"/>
      <c r="AC322" s="231"/>
      <c r="AD322" s="231"/>
      <c r="AE322" s="231"/>
      <c r="AF322" s="231"/>
    </row>
    <row r="323" spans="1:32" ht="17.399999999999999">
      <c r="A323" s="228"/>
      <c r="B323" s="231"/>
      <c r="C323" s="291"/>
      <c r="D323" s="231"/>
      <c r="E323" s="289"/>
      <c r="F323" s="231"/>
      <c r="G323" s="231"/>
      <c r="H323" s="290"/>
      <c r="I323" s="290"/>
      <c r="J323" s="265"/>
      <c r="K323" s="303"/>
      <c r="L323" s="265"/>
      <c r="M323" s="96"/>
      <c r="N323" s="303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  <c r="AA323" s="231"/>
      <c r="AB323" s="231"/>
      <c r="AC323" s="231"/>
      <c r="AD323" s="231"/>
      <c r="AE323" s="231"/>
      <c r="AF323" s="231"/>
    </row>
    <row r="324" spans="1:32" ht="17.399999999999999">
      <c r="A324" s="228"/>
      <c r="B324" s="231"/>
      <c r="C324" s="291"/>
      <c r="D324" s="231"/>
      <c r="E324" s="289"/>
      <c r="F324" s="231"/>
      <c r="G324" s="231"/>
      <c r="H324" s="290"/>
      <c r="I324" s="290"/>
      <c r="J324" s="265"/>
      <c r="K324" s="303"/>
      <c r="L324" s="265"/>
      <c r="M324" s="96"/>
      <c r="N324" s="303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</row>
    <row r="325" spans="1:32" ht="17.399999999999999">
      <c r="A325" s="228"/>
      <c r="B325" s="231"/>
      <c r="C325" s="291"/>
      <c r="D325" s="231"/>
      <c r="E325" s="289"/>
      <c r="F325" s="231"/>
      <c r="G325" s="231"/>
      <c r="H325" s="290"/>
      <c r="I325" s="290"/>
      <c r="J325" s="265"/>
      <c r="K325" s="303"/>
      <c r="L325" s="265"/>
      <c r="M325" s="96"/>
      <c r="N325" s="303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  <c r="AA325" s="231"/>
      <c r="AB325" s="231"/>
      <c r="AC325" s="231"/>
      <c r="AD325" s="231"/>
      <c r="AE325" s="231"/>
      <c r="AF325" s="231"/>
    </row>
    <row r="326" spans="1:32" ht="17.399999999999999">
      <c r="A326" s="228"/>
      <c r="B326" s="231"/>
      <c r="C326" s="291"/>
      <c r="D326" s="231"/>
      <c r="E326" s="289"/>
      <c r="F326" s="231"/>
      <c r="G326" s="231"/>
      <c r="H326" s="290"/>
      <c r="I326" s="290"/>
      <c r="J326" s="265"/>
      <c r="K326" s="303"/>
      <c r="L326" s="265"/>
      <c r="M326" s="96"/>
      <c r="N326" s="303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  <c r="AA326" s="231"/>
      <c r="AB326" s="231"/>
      <c r="AC326" s="231"/>
      <c r="AD326" s="231"/>
      <c r="AE326" s="231"/>
      <c r="AF326" s="231"/>
    </row>
    <row r="327" spans="1:32" ht="17.399999999999999">
      <c r="A327" s="228"/>
      <c r="B327" s="231"/>
      <c r="C327" s="291"/>
      <c r="D327" s="231"/>
      <c r="E327" s="289"/>
      <c r="F327" s="231"/>
      <c r="G327" s="231"/>
      <c r="H327" s="290"/>
      <c r="I327" s="290"/>
      <c r="J327" s="265"/>
      <c r="K327" s="303"/>
      <c r="L327" s="265"/>
      <c r="M327" s="96"/>
      <c r="N327" s="303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  <c r="AA327" s="231"/>
      <c r="AB327" s="231"/>
      <c r="AC327" s="231"/>
      <c r="AD327" s="231"/>
      <c r="AE327" s="231"/>
      <c r="AF327" s="231"/>
    </row>
    <row r="328" spans="1:32" ht="17.399999999999999">
      <c r="A328" s="228"/>
      <c r="B328" s="231"/>
      <c r="C328" s="291"/>
      <c r="D328" s="231"/>
      <c r="E328" s="289"/>
      <c r="F328" s="231"/>
      <c r="G328" s="231"/>
      <c r="H328" s="290"/>
      <c r="I328" s="290"/>
      <c r="J328" s="265"/>
      <c r="K328" s="303"/>
      <c r="L328" s="265"/>
      <c r="M328" s="96"/>
      <c r="N328" s="303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  <c r="AA328" s="231"/>
      <c r="AB328" s="231"/>
      <c r="AC328" s="231"/>
      <c r="AD328" s="231"/>
      <c r="AE328" s="231"/>
      <c r="AF328" s="231"/>
    </row>
    <row r="329" spans="1:32" ht="17.399999999999999">
      <c r="A329" s="228"/>
      <c r="B329" s="231"/>
      <c r="C329" s="291"/>
      <c r="D329" s="231"/>
      <c r="E329" s="289"/>
      <c r="F329" s="231"/>
      <c r="G329" s="231"/>
      <c r="H329" s="290"/>
      <c r="I329" s="290"/>
      <c r="J329" s="265"/>
      <c r="K329" s="303"/>
      <c r="L329" s="265"/>
      <c r="M329" s="96"/>
      <c r="N329" s="303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  <c r="AA329" s="231"/>
      <c r="AB329" s="231"/>
      <c r="AC329" s="231"/>
      <c r="AD329" s="231"/>
      <c r="AE329" s="231"/>
      <c r="AF329" s="231"/>
    </row>
    <row r="330" spans="1:32" ht="17.399999999999999">
      <c r="A330" s="228"/>
      <c r="B330" s="231"/>
      <c r="C330" s="291"/>
      <c r="D330" s="231"/>
      <c r="E330" s="289"/>
      <c r="F330" s="231"/>
      <c r="G330" s="231"/>
      <c r="H330" s="290"/>
      <c r="I330" s="290"/>
      <c r="J330" s="265"/>
      <c r="K330" s="303"/>
      <c r="L330" s="265"/>
      <c r="M330" s="96"/>
      <c r="N330" s="303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  <c r="AA330" s="231"/>
      <c r="AB330" s="231"/>
      <c r="AC330" s="231"/>
      <c r="AD330" s="231"/>
      <c r="AE330" s="231"/>
      <c r="AF330" s="231"/>
    </row>
    <row r="331" spans="1:32" ht="17.399999999999999">
      <c r="A331" s="228"/>
      <c r="B331" s="231"/>
      <c r="C331" s="291"/>
      <c r="D331" s="231"/>
      <c r="E331" s="289"/>
      <c r="F331" s="231"/>
      <c r="G331" s="231"/>
      <c r="H331" s="290"/>
      <c r="I331" s="290"/>
      <c r="J331" s="265"/>
      <c r="K331" s="303"/>
      <c r="L331" s="265"/>
      <c r="M331" s="96"/>
      <c r="N331" s="303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  <c r="AA331" s="231"/>
      <c r="AB331" s="231"/>
      <c r="AC331" s="231"/>
      <c r="AD331" s="231"/>
      <c r="AE331" s="231"/>
      <c r="AF331" s="231"/>
    </row>
    <row r="332" spans="1:32" ht="17.399999999999999">
      <c r="A332" s="228"/>
      <c r="B332" s="231"/>
      <c r="C332" s="291"/>
      <c r="D332" s="231"/>
      <c r="E332" s="289"/>
      <c r="F332" s="231"/>
      <c r="G332" s="231"/>
      <c r="H332" s="290"/>
      <c r="I332" s="290"/>
      <c r="J332" s="265"/>
      <c r="K332" s="303"/>
      <c r="L332" s="265"/>
      <c r="M332" s="96"/>
      <c r="N332" s="303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  <c r="AA332" s="231"/>
      <c r="AB332" s="231"/>
      <c r="AC332" s="231"/>
      <c r="AD332" s="231"/>
      <c r="AE332" s="231"/>
      <c r="AF332" s="231"/>
    </row>
    <row r="333" spans="1:32" ht="17.399999999999999">
      <c r="A333" s="228"/>
      <c r="B333" s="231"/>
      <c r="C333" s="291"/>
      <c r="D333" s="231"/>
      <c r="E333" s="289"/>
      <c r="F333" s="231"/>
      <c r="G333" s="231"/>
      <c r="H333" s="290"/>
      <c r="I333" s="290"/>
      <c r="J333" s="265"/>
      <c r="K333" s="303"/>
      <c r="L333" s="265"/>
      <c r="M333" s="96"/>
      <c r="N333" s="303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  <c r="AA333" s="231"/>
      <c r="AB333" s="231"/>
      <c r="AC333" s="231"/>
      <c r="AD333" s="231"/>
      <c r="AE333" s="231"/>
      <c r="AF333" s="231"/>
    </row>
    <row r="334" spans="1:32" ht="17.399999999999999">
      <c r="A334" s="228"/>
      <c r="B334" s="231"/>
      <c r="C334" s="291"/>
      <c r="D334" s="231"/>
      <c r="E334" s="289"/>
      <c r="F334" s="231"/>
      <c r="G334" s="231"/>
      <c r="H334" s="290"/>
      <c r="I334" s="290"/>
      <c r="J334" s="265"/>
      <c r="K334" s="303"/>
      <c r="L334" s="265"/>
      <c r="M334" s="96"/>
      <c r="N334" s="303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  <c r="AA334" s="231"/>
      <c r="AB334" s="231"/>
      <c r="AC334" s="231"/>
      <c r="AD334" s="231"/>
      <c r="AE334" s="231"/>
      <c r="AF334" s="231"/>
    </row>
    <row r="335" spans="1:32" ht="17.399999999999999">
      <c r="A335" s="228"/>
      <c r="B335" s="231"/>
      <c r="C335" s="291"/>
      <c r="D335" s="231"/>
      <c r="E335" s="289"/>
      <c r="F335" s="231"/>
      <c r="G335" s="231"/>
      <c r="H335" s="290"/>
      <c r="I335" s="290"/>
      <c r="J335" s="265"/>
      <c r="K335" s="303"/>
      <c r="L335" s="265"/>
      <c r="M335" s="96"/>
      <c r="N335" s="303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  <c r="AA335" s="231"/>
      <c r="AB335" s="231"/>
      <c r="AC335" s="231"/>
      <c r="AD335" s="231"/>
      <c r="AE335" s="231"/>
      <c r="AF335" s="231"/>
    </row>
    <row r="336" spans="1:32" ht="17.399999999999999">
      <c r="A336" s="228"/>
      <c r="B336" s="231"/>
      <c r="C336" s="291"/>
      <c r="D336" s="231"/>
      <c r="E336" s="289"/>
      <c r="F336" s="231"/>
      <c r="G336" s="231"/>
      <c r="H336" s="290"/>
      <c r="I336" s="290"/>
      <c r="J336" s="265"/>
      <c r="K336" s="303"/>
      <c r="L336" s="265"/>
      <c r="M336" s="96"/>
      <c r="N336" s="303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  <c r="AA336" s="231"/>
      <c r="AB336" s="231"/>
      <c r="AC336" s="231"/>
      <c r="AD336" s="231"/>
      <c r="AE336" s="231"/>
      <c r="AF336" s="231"/>
    </row>
    <row r="337" spans="1:32" ht="17.399999999999999">
      <c r="A337" s="228"/>
      <c r="B337" s="231"/>
      <c r="C337" s="291"/>
      <c r="D337" s="231"/>
      <c r="E337" s="289"/>
      <c r="F337" s="231"/>
      <c r="G337" s="231"/>
      <c r="H337" s="290"/>
      <c r="I337" s="290"/>
      <c r="J337" s="265"/>
      <c r="K337" s="303"/>
      <c r="L337" s="265"/>
      <c r="M337" s="96"/>
      <c r="N337" s="303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  <c r="AA337" s="231"/>
      <c r="AB337" s="231"/>
      <c r="AC337" s="231"/>
      <c r="AD337" s="231"/>
      <c r="AE337" s="231"/>
      <c r="AF337" s="231"/>
    </row>
    <row r="338" spans="1:32" ht="17.399999999999999">
      <c r="A338" s="228"/>
      <c r="B338" s="231"/>
      <c r="C338" s="291"/>
      <c r="D338" s="231"/>
      <c r="E338" s="289"/>
      <c r="F338" s="231"/>
      <c r="G338" s="231"/>
      <c r="H338" s="290"/>
      <c r="I338" s="290"/>
      <c r="J338" s="265"/>
      <c r="K338" s="303"/>
      <c r="L338" s="265"/>
      <c r="M338" s="96"/>
      <c r="N338" s="303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  <c r="AA338" s="231"/>
      <c r="AB338" s="231"/>
      <c r="AC338" s="231"/>
      <c r="AD338" s="231"/>
      <c r="AE338" s="231"/>
      <c r="AF338" s="231"/>
    </row>
    <row r="339" spans="1:32" ht="17.399999999999999">
      <c r="A339" s="228"/>
      <c r="B339" s="231"/>
      <c r="C339" s="291"/>
      <c r="D339" s="231"/>
      <c r="E339" s="289"/>
      <c r="F339" s="231"/>
      <c r="G339" s="231"/>
      <c r="H339" s="290"/>
      <c r="I339" s="290"/>
      <c r="J339" s="265"/>
      <c r="K339" s="303"/>
      <c r="L339" s="265"/>
      <c r="M339" s="96"/>
      <c r="N339" s="303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  <c r="AA339" s="231"/>
      <c r="AB339" s="231"/>
      <c r="AC339" s="231"/>
      <c r="AD339" s="231"/>
      <c r="AE339" s="231"/>
      <c r="AF339" s="231"/>
    </row>
    <row r="340" spans="1:32" ht="17.399999999999999">
      <c r="A340" s="228"/>
      <c r="B340" s="231"/>
      <c r="C340" s="291"/>
      <c r="D340" s="231"/>
      <c r="E340" s="289"/>
      <c r="F340" s="231"/>
      <c r="G340" s="231"/>
      <c r="H340" s="290"/>
      <c r="I340" s="290"/>
      <c r="J340" s="265"/>
      <c r="K340" s="303"/>
      <c r="L340" s="265"/>
      <c r="M340" s="96"/>
      <c r="N340" s="303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  <c r="AA340" s="231"/>
      <c r="AB340" s="231"/>
      <c r="AC340" s="231"/>
      <c r="AD340" s="231"/>
      <c r="AE340" s="231"/>
      <c r="AF340" s="231"/>
    </row>
    <row r="341" spans="1:32" ht="17.399999999999999">
      <c r="A341" s="228"/>
      <c r="B341" s="231"/>
      <c r="C341" s="291"/>
      <c r="D341" s="231"/>
      <c r="E341" s="289"/>
      <c r="F341" s="231"/>
      <c r="G341" s="231"/>
      <c r="H341" s="290"/>
      <c r="I341" s="290"/>
      <c r="J341" s="265"/>
      <c r="K341" s="303"/>
      <c r="L341" s="265"/>
      <c r="M341" s="96"/>
      <c r="N341" s="303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  <c r="AA341" s="231"/>
      <c r="AB341" s="231"/>
      <c r="AC341" s="231"/>
      <c r="AD341" s="231"/>
      <c r="AE341" s="231"/>
      <c r="AF341" s="231"/>
    </row>
    <row r="342" spans="1:32" ht="17.399999999999999">
      <c r="A342" s="228"/>
      <c r="B342" s="231"/>
      <c r="C342" s="291"/>
      <c r="D342" s="231"/>
      <c r="E342" s="289"/>
      <c r="F342" s="231"/>
      <c r="G342" s="231"/>
      <c r="H342" s="290"/>
      <c r="I342" s="290"/>
      <c r="J342" s="265"/>
      <c r="K342" s="303"/>
      <c r="L342" s="265"/>
      <c r="M342" s="96"/>
      <c r="N342" s="303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  <c r="AA342" s="231"/>
      <c r="AB342" s="231"/>
      <c r="AC342" s="231"/>
      <c r="AD342" s="231"/>
      <c r="AE342" s="231"/>
      <c r="AF342" s="231"/>
    </row>
    <row r="343" spans="1:32" ht="17.399999999999999">
      <c r="A343" s="228"/>
      <c r="B343" s="231"/>
      <c r="C343" s="291"/>
      <c r="D343" s="231"/>
      <c r="E343" s="289"/>
      <c r="F343" s="231"/>
      <c r="G343" s="231"/>
      <c r="H343" s="290"/>
      <c r="I343" s="290"/>
      <c r="J343" s="265"/>
      <c r="K343" s="303"/>
      <c r="L343" s="265"/>
      <c r="M343" s="96"/>
      <c r="N343" s="303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  <c r="AA343" s="231"/>
      <c r="AB343" s="231"/>
      <c r="AC343" s="231"/>
      <c r="AD343" s="231"/>
      <c r="AE343" s="231"/>
      <c r="AF343" s="231"/>
    </row>
    <row r="344" spans="1:32" ht="17.399999999999999">
      <c r="A344" s="228"/>
      <c r="B344" s="231"/>
      <c r="C344" s="291"/>
      <c r="D344" s="231"/>
      <c r="E344" s="289"/>
      <c r="F344" s="231"/>
      <c r="G344" s="231"/>
      <c r="H344" s="290"/>
      <c r="I344" s="290"/>
      <c r="J344" s="265"/>
      <c r="K344" s="303"/>
      <c r="L344" s="265"/>
      <c r="M344" s="96"/>
      <c r="N344" s="303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</row>
    <row r="345" spans="1:32" ht="17.399999999999999">
      <c r="A345" s="228"/>
      <c r="B345" s="231"/>
      <c r="C345" s="291"/>
      <c r="D345" s="231"/>
      <c r="E345" s="289"/>
      <c r="F345" s="231"/>
      <c r="G345" s="231"/>
      <c r="H345" s="290"/>
      <c r="I345" s="290"/>
      <c r="J345" s="265"/>
      <c r="K345" s="303"/>
      <c r="L345" s="265"/>
      <c r="M345" s="96"/>
      <c r="N345" s="303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  <c r="AA345" s="231"/>
      <c r="AB345" s="231"/>
      <c r="AC345" s="231"/>
      <c r="AD345" s="231"/>
      <c r="AE345" s="231"/>
      <c r="AF345" s="231"/>
    </row>
    <row r="346" spans="1:32" ht="17.399999999999999">
      <c r="A346" s="228"/>
      <c r="B346" s="231"/>
      <c r="C346" s="291"/>
      <c r="D346" s="231"/>
      <c r="E346" s="289"/>
      <c r="F346" s="231"/>
      <c r="G346" s="231"/>
      <c r="H346" s="290"/>
      <c r="I346" s="290"/>
      <c r="J346" s="265"/>
      <c r="K346" s="303"/>
      <c r="L346" s="265"/>
      <c r="M346" s="96"/>
      <c r="N346" s="303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  <c r="AA346" s="231"/>
      <c r="AB346" s="231"/>
      <c r="AC346" s="231"/>
      <c r="AD346" s="231"/>
      <c r="AE346" s="231"/>
      <c r="AF346" s="231"/>
    </row>
    <row r="347" spans="1:32" ht="17.399999999999999">
      <c r="A347" s="228"/>
      <c r="B347" s="231"/>
      <c r="C347" s="291"/>
      <c r="D347" s="231"/>
      <c r="E347" s="289"/>
      <c r="F347" s="231"/>
      <c r="G347" s="231"/>
      <c r="H347" s="290"/>
      <c r="I347" s="290"/>
      <c r="J347" s="265"/>
      <c r="K347" s="303"/>
      <c r="L347" s="265"/>
      <c r="M347" s="96"/>
      <c r="N347" s="303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  <c r="AA347" s="231"/>
      <c r="AB347" s="231"/>
      <c r="AC347" s="231"/>
      <c r="AD347" s="231"/>
      <c r="AE347" s="231"/>
      <c r="AF347" s="231"/>
    </row>
    <row r="348" spans="1:32" ht="17.399999999999999">
      <c r="A348" s="228"/>
      <c r="B348" s="231"/>
      <c r="C348" s="291"/>
      <c r="D348" s="231"/>
      <c r="E348" s="289"/>
      <c r="F348" s="231"/>
      <c r="G348" s="231"/>
      <c r="H348" s="290"/>
      <c r="I348" s="290"/>
      <c r="J348" s="265"/>
      <c r="K348" s="303"/>
      <c r="L348" s="265"/>
      <c r="M348" s="96"/>
      <c r="N348" s="303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  <c r="AA348" s="231"/>
      <c r="AB348" s="231"/>
      <c r="AC348" s="231"/>
      <c r="AD348" s="231"/>
      <c r="AE348" s="231"/>
      <c r="AF348" s="231"/>
    </row>
    <row r="349" spans="1:32" ht="17.399999999999999">
      <c r="A349" s="228"/>
      <c r="B349" s="231"/>
      <c r="C349" s="291"/>
      <c r="D349" s="231"/>
      <c r="E349" s="289"/>
      <c r="F349" s="231"/>
      <c r="G349" s="231"/>
      <c r="H349" s="290"/>
      <c r="I349" s="290"/>
      <c r="J349" s="265"/>
      <c r="K349" s="303"/>
      <c r="L349" s="265"/>
      <c r="M349" s="96"/>
      <c r="N349" s="303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  <c r="AA349" s="231"/>
      <c r="AB349" s="231"/>
      <c r="AC349" s="231"/>
      <c r="AD349" s="231"/>
      <c r="AE349" s="231"/>
      <c r="AF349" s="231"/>
    </row>
    <row r="350" spans="1:32" ht="17.399999999999999">
      <c r="A350" s="228"/>
      <c r="B350" s="231"/>
      <c r="C350" s="291"/>
      <c r="D350" s="231"/>
      <c r="E350" s="289"/>
      <c r="F350" s="231"/>
      <c r="G350" s="231"/>
      <c r="H350" s="290"/>
      <c r="I350" s="290"/>
      <c r="J350" s="265"/>
      <c r="K350" s="303"/>
      <c r="L350" s="265"/>
      <c r="M350" s="96"/>
      <c r="N350" s="303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  <c r="AA350" s="231"/>
      <c r="AB350" s="231"/>
      <c r="AC350" s="231"/>
      <c r="AD350" s="231"/>
      <c r="AE350" s="231"/>
      <c r="AF350" s="231"/>
    </row>
    <row r="351" spans="1:32" ht="17.399999999999999">
      <c r="A351" s="228"/>
      <c r="B351" s="231"/>
      <c r="C351" s="291"/>
      <c r="D351" s="231"/>
      <c r="E351" s="289"/>
      <c r="F351" s="231"/>
      <c r="G351" s="231"/>
      <c r="H351" s="290"/>
      <c r="I351" s="290"/>
      <c r="J351" s="265"/>
      <c r="K351" s="303"/>
      <c r="L351" s="265"/>
      <c r="M351" s="96"/>
      <c r="N351" s="303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  <c r="AA351" s="231"/>
      <c r="AB351" s="231"/>
      <c r="AC351" s="231"/>
      <c r="AD351" s="231"/>
      <c r="AE351" s="231"/>
      <c r="AF351" s="231"/>
    </row>
    <row r="352" spans="1:32" ht="17.399999999999999">
      <c r="A352" s="228"/>
      <c r="B352" s="231"/>
      <c r="C352" s="291"/>
      <c r="D352" s="231"/>
      <c r="E352" s="289"/>
      <c r="F352" s="231"/>
      <c r="G352" s="231"/>
      <c r="H352" s="290"/>
      <c r="I352" s="290"/>
      <c r="J352" s="265"/>
      <c r="K352" s="303"/>
      <c r="L352" s="265"/>
      <c r="M352" s="96"/>
      <c r="N352" s="303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  <c r="AA352" s="231"/>
      <c r="AB352" s="231"/>
      <c r="AC352" s="231"/>
      <c r="AD352" s="231"/>
      <c r="AE352" s="231"/>
      <c r="AF352" s="231"/>
    </row>
    <row r="353" spans="1:32" ht="17.399999999999999">
      <c r="A353" s="228"/>
      <c r="B353" s="231"/>
      <c r="C353" s="291"/>
      <c r="D353" s="231"/>
      <c r="E353" s="289"/>
      <c r="F353" s="231"/>
      <c r="G353" s="231"/>
      <c r="H353" s="290"/>
      <c r="I353" s="290"/>
      <c r="J353" s="265"/>
      <c r="K353" s="303"/>
      <c r="L353" s="265"/>
      <c r="M353" s="96"/>
      <c r="N353" s="303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  <c r="AA353" s="231"/>
      <c r="AB353" s="231"/>
      <c r="AC353" s="231"/>
      <c r="AD353" s="231"/>
      <c r="AE353" s="231"/>
      <c r="AF353" s="231"/>
    </row>
    <row r="354" spans="1:32" ht="17.399999999999999">
      <c r="A354" s="228"/>
      <c r="B354" s="231"/>
      <c r="C354" s="291"/>
      <c r="D354" s="231"/>
      <c r="E354" s="289"/>
      <c r="F354" s="231"/>
      <c r="G354" s="231"/>
      <c r="H354" s="290"/>
      <c r="I354" s="290"/>
      <c r="J354" s="265"/>
      <c r="K354" s="303"/>
      <c r="L354" s="265"/>
      <c r="M354" s="96"/>
      <c r="N354" s="303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  <c r="AA354" s="231"/>
      <c r="AB354" s="231"/>
      <c r="AC354" s="231"/>
      <c r="AD354" s="231"/>
      <c r="AE354" s="231"/>
      <c r="AF354" s="231"/>
    </row>
    <row r="355" spans="1:32" ht="17.399999999999999">
      <c r="A355" s="228"/>
      <c r="B355" s="231"/>
      <c r="C355" s="291"/>
      <c r="D355" s="231"/>
      <c r="E355" s="289"/>
      <c r="F355" s="231"/>
      <c r="G355" s="231"/>
      <c r="H355" s="290"/>
      <c r="I355" s="290"/>
      <c r="J355" s="265"/>
      <c r="K355" s="303"/>
      <c r="L355" s="265"/>
      <c r="M355" s="96"/>
      <c r="N355" s="303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  <c r="AA355" s="231"/>
      <c r="AB355" s="231"/>
      <c r="AC355" s="231"/>
      <c r="AD355" s="231"/>
      <c r="AE355" s="231"/>
      <c r="AF355" s="231"/>
    </row>
    <row r="356" spans="1:32" ht="17.399999999999999">
      <c r="A356" s="228"/>
      <c r="B356" s="231"/>
      <c r="C356" s="291"/>
      <c r="D356" s="231"/>
      <c r="E356" s="289"/>
      <c r="F356" s="231"/>
      <c r="G356" s="231"/>
      <c r="H356" s="290"/>
      <c r="I356" s="290"/>
      <c r="J356" s="265"/>
      <c r="K356" s="303"/>
      <c r="L356" s="265"/>
      <c r="M356" s="96"/>
      <c r="N356" s="303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  <c r="AA356" s="231"/>
      <c r="AB356" s="231"/>
      <c r="AC356" s="231"/>
      <c r="AD356" s="231"/>
      <c r="AE356" s="231"/>
      <c r="AF356" s="231"/>
    </row>
    <row r="357" spans="1:32" ht="17.399999999999999">
      <c r="A357" s="228"/>
      <c r="B357" s="231"/>
      <c r="C357" s="291"/>
      <c r="D357" s="231"/>
      <c r="E357" s="289"/>
      <c r="F357" s="231"/>
      <c r="G357" s="231"/>
      <c r="H357" s="290"/>
      <c r="I357" s="290"/>
      <c r="J357" s="265"/>
      <c r="K357" s="303"/>
      <c r="L357" s="265"/>
      <c r="M357" s="96"/>
      <c r="N357" s="303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  <c r="AA357" s="231"/>
      <c r="AB357" s="231"/>
      <c r="AC357" s="231"/>
      <c r="AD357" s="231"/>
      <c r="AE357" s="231"/>
      <c r="AF357" s="231"/>
    </row>
    <row r="358" spans="1:32" ht="17.399999999999999">
      <c r="A358" s="228"/>
      <c r="B358" s="231"/>
      <c r="C358" s="291"/>
      <c r="D358" s="231"/>
      <c r="E358" s="289"/>
      <c r="F358" s="231"/>
      <c r="G358" s="231"/>
      <c r="H358" s="290"/>
      <c r="I358" s="290"/>
      <c r="J358" s="265"/>
      <c r="K358" s="303"/>
      <c r="L358" s="265"/>
      <c r="M358" s="96"/>
      <c r="N358" s="303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  <c r="AA358" s="231"/>
      <c r="AB358" s="231"/>
      <c r="AC358" s="231"/>
      <c r="AD358" s="231"/>
      <c r="AE358" s="231"/>
      <c r="AF358" s="231"/>
    </row>
    <row r="359" spans="1:32" ht="17.399999999999999">
      <c r="A359" s="228"/>
      <c r="B359" s="231"/>
      <c r="C359" s="291"/>
      <c r="D359" s="231"/>
      <c r="E359" s="289"/>
      <c r="F359" s="231"/>
      <c r="G359" s="231"/>
      <c r="H359" s="290"/>
      <c r="I359" s="290"/>
      <c r="J359" s="265"/>
      <c r="K359" s="303"/>
      <c r="L359" s="265"/>
      <c r="M359" s="96"/>
      <c r="N359" s="303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  <c r="AA359" s="231"/>
      <c r="AB359" s="231"/>
      <c r="AC359" s="231"/>
      <c r="AD359" s="231"/>
      <c r="AE359" s="231"/>
      <c r="AF359" s="231"/>
    </row>
    <row r="360" spans="1:32" ht="17.399999999999999">
      <c r="A360" s="228"/>
      <c r="B360" s="231"/>
      <c r="C360" s="291"/>
      <c r="D360" s="231"/>
      <c r="E360" s="289"/>
      <c r="F360" s="231"/>
      <c r="G360" s="231"/>
      <c r="H360" s="290"/>
      <c r="I360" s="290"/>
      <c r="J360" s="265"/>
      <c r="K360" s="303"/>
      <c r="L360" s="265"/>
      <c r="M360" s="96"/>
      <c r="N360" s="303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  <c r="AA360" s="231"/>
      <c r="AB360" s="231"/>
      <c r="AC360" s="231"/>
      <c r="AD360" s="231"/>
      <c r="AE360" s="231"/>
      <c r="AF360" s="231"/>
    </row>
    <row r="361" spans="1:32" ht="17.399999999999999">
      <c r="A361" s="228"/>
      <c r="B361" s="231"/>
      <c r="C361" s="291"/>
      <c r="D361" s="231"/>
      <c r="E361" s="289"/>
      <c r="F361" s="231"/>
      <c r="G361" s="231"/>
      <c r="H361" s="290"/>
      <c r="I361" s="290"/>
      <c r="J361" s="265"/>
      <c r="K361" s="303"/>
      <c r="L361" s="265"/>
      <c r="M361" s="96"/>
      <c r="N361" s="303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  <c r="AA361" s="231"/>
      <c r="AB361" s="231"/>
      <c r="AC361" s="231"/>
      <c r="AD361" s="231"/>
      <c r="AE361" s="231"/>
      <c r="AF361" s="231"/>
    </row>
    <row r="362" spans="1:32" ht="17.399999999999999">
      <c r="A362" s="228"/>
      <c r="B362" s="231"/>
      <c r="C362" s="291"/>
      <c r="D362" s="231"/>
      <c r="E362" s="289"/>
      <c r="F362" s="231"/>
      <c r="G362" s="231"/>
      <c r="H362" s="290"/>
      <c r="I362" s="290"/>
      <c r="J362" s="265"/>
      <c r="K362" s="303"/>
      <c r="L362" s="265"/>
      <c r="M362" s="96"/>
      <c r="N362" s="303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  <c r="AA362" s="231"/>
      <c r="AB362" s="231"/>
      <c r="AC362" s="231"/>
      <c r="AD362" s="231"/>
      <c r="AE362" s="231"/>
      <c r="AF362" s="231"/>
    </row>
    <row r="363" spans="1:32" ht="17.399999999999999">
      <c r="A363" s="228"/>
      <c r="B363" s="231"/>
      <c r="C363" s="291"/>
      <c r="D363" s="231"/>
      <c r="E363" s="289"/>
      <c r="F363" s="231"/>
      <c r="G363" s="231"/>
      <c r="H363" s="290"/>
      <c r="I363" s="290"/>
      <c r="J363" s="265"/>
      <c r="K363" s="303"/>
      <c r="L363" s="265"/>
      <c r="M363" s="96"/>
      <c r="N363" s="303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  <c r="AA363" s="231"/>
      <c r="AB363" s="231"/>
      <c r="AC363" s="231"/>
      <c r="AD363" s="231"/>
      <c r="AE363" s="231"/>
      <c r="AF363" s="231"/>
    </row>
    <row r="364" spans="1:32" ht="17.399999999999999">
      <c r="A364" s="228"/>
      <c r="B364" s="231"/>
      <c r="C364" s="291"/>
      <c r="D364" s="231"/>
      <c r="E364" s="289"/>
      <c r="F364" s="231"/>
      <c r="G364" s="231"/>
      <c r="H364" s="290"/>
      <c r="I364" s="290"/>
      <c r="J364" s="265"/>
      <c r="K364" s="303"/>
      <c r="L364" s="265"/>
      <c r="M364" s="96"/>
      <c r="N364" s="303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  <c r="AA364" s="231"/>
      <c r="AB364" s="231"/>
      <c r="AC364" s="231"/>
      <c r="AD364" s="231"/>
      <c r="AE364" s="231"/>
      <c r="AF364" s="231"/>
    </row>
    <row r="365" spans="1:32" ht="17.399999999999999">
      <c r="A365" s="228"/>
      <c r="B365" s="231"/>
      <c r="C365" s="291"/>
      <c r="D365" s="231"/>
      <c r="E365" s="289"/>
      <c r="F365" s="231"/>
      <c r="G365" s="231"/>
      <c r="H365" s="290"/>
      <c r="I365" s="290"/>
      <c r="J365" s="265"/>
      <c r="K365" s="303"/>
      <c r="L365" s="265"/>
      <c r="M365" s="96"/>
      <c r="N365" s="303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  <c r="AA365" s="231"/>
      <c r="AB365" s="231"/>
      <c r="AC365" s="231"/>
      <c r="AD365" s="231"/>
      <c r="AE365" s="231"/>
      <c r="AF365" s="231"/>
    </row>
    <row r="366" spans="1:32" ht="17.399999999999999">
      <c r="A366" s="228"/>
      <c r="B366" s="231"/>
      <c r="C366" s="291"/>
      <c r="D366" s="231"/>
      <c r="E366" s="289"/>
      <c r="F366" s="231"/>
      <c r="G366" s="231"/>
      <c r="H366" s="290"/>
      <c r="I366" s="290"/>
      <c r="J366" s="265"/>
      <c r="K366" s="303"/>
      <c r="L366" s="265"/>
      <c r="M366" s="96"/>
      <c r="N366" s="303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  <c r="AA366" s="231"/>
      <c r="AB366" s="231"/>
      <c r="AC366" s="231"/>
      <c r="AD366" s="231"/>
      <c r="AE366" s="231"/>
      <c r="AF366" s="231"/>
    </row>
    <row r="367" spans="1:32" ht="17.399999999999999">
      <c r="A367" s="228"/>
      <c r="B367" s="231"/>
      <c r="C367" s="291"/>
      <c r="D367" s="231"/>
      <c r="E367" s="289"/>
      <c r="F367" s="231"/>
      <c r="G367" s="231"/>
      <c r="H367" s="290"/>
      <c r="I367" s="290"/>
      <c r="J367" s="265"/>
      <c r="K367" s="303"/>
      <c r="L367" s="265"/>
      <c r="M367" s="96"/>
      <c r="N367" s="303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  <c r="AA367" s="231"/>
      <c r="AB367" s="231"/>
      <c r="AC367" s="231"/>
      <c r="AD367" s="231"/>
      <c r="AE367" s="231"/>
      <c r="AF367" s="231"/>
    </row>
    <row r="368" spans="1:32" ht="17.399999999999999">
      <c r="A368" s="228"/>
      <c r="B368" s="231"/>
      <c r="C368" s="291"/>
      <c r="D368" s="231"/>
      <c r="E368" s="289"/>
      <c r="F368" s="231"/>
      <c r="G368" s="231"/>
      <c r="H368" s="290"/>
      <c r="I368" s="290"/>
      <c r="J368" s="265"/>
      <c r="K368" s="303"/>
      <c r="L368" s="265"/>
      <c r="M368" s="96"/>
      <c r="N368" s="303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  <c r="AA368" s="231"/>
      <c r="AB368" s="231"/>
      <c r="AC368" s="231"/>
      <c r="AD368" s="231"/>
      <c r="AE368" s="231"/>
      <c r="AF368" s="231"/>
    </row>
    <row r="369" spans="1:32" ht="17.399999999999999">
      <c r="A369" s="228"/>
      <c r="B369" s="231"/>
      <c r="C369" s="291"/>
      <c r="D369" s="231"/>
      <c r="E369" s="289"/>
      <c r="F369" s="231"/>
      <c r="G369" s="231"/>
      <c r="H369" s="290"/>
      <c r="I369" s="290"/>
      <c r="J369" s="265"/>
      <c r="K369" s="303"/>
      <c r="L369" s="265"/>
      <c r="M369" s="96"/>
      <c r="N369" s="303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  <c r="AA369" s="231"/>
      <c r="AB369" s="231"/>
      <c r="AC369" s="231"/>
      <c r="AD369" s="231"/>
      <c r="AE369" s="231"/>
      <c r="AF369" s="231"/>
    </row>
    <row r="370" spans="1:32" ht="17.399999999999999">
      <c r="A370" s="228"/>
      <c r="B370" s="231"/>
      <c r="C370" s="291"/>
      <c r="D370" s="231"/>
      <c r="E370" s="289"/>
      <c r="F370" s="231"/>
      <c r="G370" s="231"/>
      <c r="H370" s="290"/>
      <c r="I370" s="290"/>
      <c r="J370" s="265"/>
      <c r="K370" s="303"/>
      <c r="L370" s="265"/>
      <c r="M370" s="96"/>
      <c r="N370" s="303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  <c r="AA370" s="231"/>
      <c r="AB370" s="231"/>
      <c r="AC370" s="231"/>
      <c r="AD370" s="231"/>
      <c r="AE370" s="231"/>
      <c r="AF370" s="231"/>
    </row>
    <row r="371" spans="1:32" ht="17.399999999999999">
      <c r="A371" s="228"/>
      <c r="B371" s="231"/>
      <c r="C371" s="291"/>
      <c r="D371" s="231"/>
      <c r="E371" s="289"/>
      <c r="F371" s="231"/>
      <c r="G371" s="231"/>
      <c r="H371" s="290"/>
      <c r="I371" s="290"/>
      <c r="J371" s="265"/>
      <c r="K371" s="303"/>
      <c r="L371" s="265"/>
      <c r="M371" s="96"/>
      <c r="N371" s="303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  <c r="AA371" s="231"/>
      <c r="AB371" s="231"/>
      <c r="AC371" s="231"/>
      <c r="AD371" s="231"/>
      <c r="AE371" s="231"/>
      <c r="AF371" s="231"/>
    </row>
    <row r="372" spans="1:32" ht="17.399999999999999">
      <c r="A372" s="228"/>
      <c r="B372" s="231"/>
      <c r="C372" s="291"/>
      <c r="D372" s="231"/>
      <c r="E372" s="289"/>
      <c r="F372" s="231"/>
      <c r="G372" s="231"/>
      <c r="H372" s="290"/>
      <c r="I372" s="290"/>
      <c r="J372" s="265"/>
      <c r="K372" s="303"/>
      <c r="L372" s="265"/>
      <c r="M372" s="96"/>
      <c r="N372" s="303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  <c r="AA372" s="231"/>
      <c r="AB372" s="231"/>
      <c r="AC372" s="231"/>
      <c r="AD372" s="231"/>
      <c r="AE372" s="231"/>
      <c r="AF372" s="231"/>
    </row>
    <row r="373" spans="1:32" ht="17.399999999999999">
      <c r="A373" s="228"/>
      <c r="B373" s="231"/>
      <c r="C373" s="291"/>
      <c r="D373" s="231"/>
      <c r="E373" s="289"/>
      <c r="F373" s="231"/>
      <c r="G373" s="231"/>
      <c r="H373" s="290"/>
      <c r="I373" s="290"/>
      <c r="J373" s="265"/>
      <c r="K373" s="303"/>
      <c r="L373" s="265"/>
      <c r="M373" s="96"/>
      <c r="N373" s="303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  <c r="AA373" s="231"/>
      <c r="AB373" s="231"/>
      <c r="AC373" s="231"/>
      <c r="AD373" s="231"/>
      <c r="AE373" s="231"/>
      <c r="AF373" s="231"/>
    </row>
    <row r="374" spans="1:32" ht="17.399999999999999">
      <c r="A374" s="228"/>
      <c r="B374" s="231"/>
      <c r="C374" s="291"/>
      <c r="D374" s="231"/>
      <c r="E374" s="289"/>
      <c r="F374" s="231"/>
      <c r="G374" s="231"/>
      <c r="H374" s="290"/>
      <c r="I374" s="290"/>
      <c r="J374" s="265"/>
      <c r="K374" s="303"/>
      <c r="L374" s="265"/>
      <c r="M374" s="96"/>
      <c r="N374" s="303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  <c r="AA374" s="231"/>
      <c r="AB374" s="231"/>
      <c r="AC374" s="231"/>
      <c r="AD374" s="231"/>
      <c r="AE374" s="231"/>
      <c r="AF374" s="231"/>
    </row>
    <row r="375" spans="1:32" ht="17.399999999999999">
      <c r="A375" s="228"/>
      <c r="B375" s="231"/>
      <c r="C375" s="291"/>
      <c r="D375" s="231"/>
      <c r="E375" s="289"/>
      <c r="F375" s="231"/>
      <c r="G375" s="231"/>
      <c r="H375" s="290"/>
      <c r="I375" s="290"/>
      <c r="J375" s="265"/>
      <c r="K375" s="303"/>
      <c r="L375" s="265"/>
      <c r="M375" s="96"/>
      <c r="N375" s="303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  <c r="AA375" s="231"/>
      <c r="AB375" s="231"/>
      <c r="AC375" s="231"/>
      <c r="AD375" s="231"/>
      <c r="AE375" s="231"/>
      <c r="AF375" s="231"/>
    </row>
    <row r="376" spans="1:32" ht="17.399999999999999">
      <c r="A376" s="228"/>
      <c r="B376" s="231"/>
      <c r="C376" s="291"/>
      <c r="D376" s="231"/>
      <c r="E376" s="289"/>
      <c r="F376" s="231"/>
      <c r="G376" s="231"/>
      <c r="H376" s="290"/>
      <c r="I376" s="290"/>
      <c r="J376" s="265"/>
      <c r="K376" s="303"/>
      <c r="L376" s="265"/>
      <c r="M376" s="96"/>
      <c r="N376" s="303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  <c r="AA376" s="231"/>
      <c r="AB376" s="231"/>
      <c r="AC376" s="231"/>
      <c r="AD376" s="231"/>
      <c r="AE376" s="231"/>
      <c r="AF376" s="231"/>
    </row>
    <row r="377" spans="1:32" ht="17.399999999999999">
      <c r="A377" s="228"/>
      <c r="B377" s="231"/>
      <c r="C377" s="291"/>
      <c r="D377" s="231"/>
      <c r="E377" s="289"/>
      <c r="F377" s="231"/>
      <c r="G377" s="231"/>
      <c r="H377" s="290"/>
      <c r="I377" s="290"/>
      <c r="J377" s="265"/>
      <c r="K377" s="303"/>
      <c r="L377" s="265"/>
      <c r="M377" s="96"/>
      <c r="N377" s="303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  <c r="AA377" s="231"/>
      <c r="AB377" s="231"/>
      <c r="AC377" s="231"/>
      <c r="AD377" s="231"/>
      <c r="AE377" s="231"/>
      <c r="AF377" s="231"/>
    </row>
    <row r="378" spans="1:32" ht="17.399999999999999">
      <c r="A378" s="228"/>
      <c r="B378" s="231"/>
      <c r="C378" s="291"/>
      <c r="D378" s="231"/>
      <c r="E378" s="289"/>
      <c r="F378" s="231"/>
      <c r="G378" s="231"/>
      <c r="H378" s="290"/>
      <c r="I378" s="290"/>
      <c r="J378" s="265"/>
      <c r="K378" s="303"/>
      <c r="L378" s="265"/>
      <c r="M378" s="96"/>
      <c r="N378" s="303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  <c r="AA378" s="231"/>
      <c r="AB378" s="231"/>
      <c r="AC378" s="231"/>
      <c r="AD378" s="231"/>
      <c r="AE378" s="231"/>
      <c r="AF378" s="231"/>
    </row>
    <row r="379" spans="1:32" ht="17.399999999999999">
      <c r="A379" s="228"/>
      <c r="B379" s="231"/>
      <c r="C379" s="291"/>
      <c r="D379" s="231"/>
      <c r="E379" s="289"/>
      <c r="F379" s="231"/>
      <c r="G379" s="231"/>
      <c r="H379" s="290"/>
      <c r="I379" s="290"/>
      <c r="J379" s="265"/>
      <c r="K379" s="303"/>
      <c r="L379" s="265"/>
      <c r="M379" s="96"/>
      <c r="N379" s="303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  <c r="AA379" s="231"/>
      <c r="AB379" s="231"/>
      <c r="AC379" s="231"/>
      <c r="AD379" s="231"/>
      <c r="AE379" s="231"/>
      <c r="AF379" s="231"/>
    </row>
    <row r="380" spans="1:32" ht="17.399999999999999">
      <c r="A380" s="228"/>
      <c r="B380" s="231"/>
      <c r="C380" s="291"/>
      <c r="D380" s="231"/>
      <c r="E380" s="289"/>
      <c r="F380" s="231"/>
      <c r="G380" s="231"/>
      <c r="H380" s="290"/>
      <c r="I380" s="290"/>
      <c r="J380" s="265"/>
      <c r="K380" s="303"/>
      <c r="L380" s="265"/>
      <c r="M380" s="96"/>
      <c r="N380" s="303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  <c r="AA380" s="231"/>
      <c r="AB380" s="231"/>
      <c r="AC380" s="231"/>
      <c r="AD380" s="231"/>
      <c r="AE380" s="231"/>
      <c r="AF380" s="231"/>
    </row>
    <row r="381" spans="1:32" ht="17.399999999999999">
      <c r="A381" s="228"/>
      <c r="B381" s="231"/>
      <c r="C381" s="291"/>
      <c r="D381" s="231"/>
      <c r="E381" s="289"/>
      <c r="F381" s="231"/>
      <c r="G381" s="231"/>
      <c r="H381" s="290"/>
      <c r="I381" s="290"/>
      <c r="J381" s="265"/>
      <c r="K381" s="303"/>
      <c r="L381" s="265"/>
      <c r="M381" s="96"/>
      <c r="N381" s="303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  <c r="AA381" s="231"/>
      <c r="AB381" s="231"/>
      <c r="AC381" s="231"/>
      <c r="AD381" s="231"/>
      <c r="AE381" s="231"/>
      <c r="AF381" s="231"/>
    </row>
    <row r="382" spans="1:32" ht="17.399999999999999">
      <c r="A382" s="228"/>
      <c r="B382" s="231"/>
      <c r="C382" s="291"/>
      <c r="D382" s="231"/>
      <c r="E382" s="289"/>
      <c r="F382" s="231"/>
      <c r="G382" s="231"/>
      <c r="H382" s="290"/>
      <c r="I382" s="290"/>
      <c r="J382" s="265"/>
      <c r="K382" s="303"/>
      <c r="L382" s="265"/>
      <c r="M382" s="96"/>
      <c r="N382" s="303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  <c r="AA382" s="231"/>
      <c r="AB382" s="231"/>
      <c r="AC382" s="231"/>
      <c r="AD382" s="231"/>
      <c r="AE382" s="231"/>
      <c r="AF382" s="231"/>
    </row>
    <row r="383" spans="1:32" ht="17.399999999999999">
      <c r="A383" s="228"/>
      <c r="B383" s="231"/>
      <c r="C383" s="291"/>
      <c r="D383" s="231"/>
      <c r="E383" s="289"/>
      <c r="F383" s="231"/>
      <c r="G383" s="231"/>
      <c r="H383" s="290"/>
      <c r="I383" s="290"/>
      <c r="J383" s="265"/>
      <c r="K383" s="303"/>
      <c r="L383" s="265"/>
      <c r="M383" s="96"/>
      <c r="N383" s="303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  <c r="AA383" s="231"/>
      <c r="AB383" s="231"/>
      <c r="AC383" s="231"/>
      <c r="AD383" s="231"/>
      <c r="AE383" s="231"/>
      <c r="AF383" s="231"/>
    </row>
    <row r="384" spans="1:32" ht="17.399999999999999">
      <c r="A384" s="228"/>
      <c r="B384" s="231"/>
      <c r="C384" s="291"/>
      <c r="D384" s="231"/>
      <c r="E384" s="289"/>
      <c r="F384" s="231"/>
      <c r="G384" s="231"/>
      <c r="H384" s="290"/>
      <c r="I384" s="290"/>
      <c r="J384" s="265"/>
      <c r="K384" s="303"/>
      <c r="L384" s="265"/>
      <c r="M384" s="96"/>
      <c r="N384" s="303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  <c r="AA384" s="231"/>
      <c r="AB384" s="231"/>
      <c r="AC384" s="231"/>
      <c r="AD384" s="231"/>
      <c r="AE384" s="231"/>
      <c r="AF384" s="231"/>
    </row>
    <row r="385" spans="1:32" ht="17.399999999999999">
      <c r="A385" s="228"/>
      <c r="B385" s="231"/>
      <c r="C385" s="291"/>
      <c r="D385" s="231"/>
      <c r="E385" s="289"/>
      <c r="F385" s="231"/>
      <c r="G385" s="231"/>
      <c r="H385" s="290"/>
      <c r="I385" s="290"/>
      <c r="J385" s="265"/>
      <c r="K385" s="303"/>
      <c r="L385" s="265"/>
      <c r="M385" s="96"/>
      <c r="N385" s="303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  <c r="AA385" s="231"/>
      <c r="AB385" s="231"/>
      <c r="AC385" s="231"/>
      <c r="AD385" s="231"/>
      <c r="AE385" s="231"/>
      <c r="AF385" s="231"/>
    </row>
    <row r="386" spans="1:32" ht="17.399999999999999">
      <c r="A386" s="228"/>
      <c r="B386" s="231"/>
      <c r="C386" s="291"/>
      <c r="D386" s="231"/>
      <c r="E386" s="289"/>
      <c r="F386" s="231"/>
      <c r="G386" s="231"/>
      <c r="H386" s="290"/>
      <c r="I386" s="290"/>
      <c r="J386" s="265"/>
      <c r="K386" s="303"/>
      <c r="L386" s="265"/>
      <c r="M386" s="96"/>
      <c r="N386" s="303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  <c r="AA386" s="231"/>
      <c r="AB386" s="231"/>
      <c r="AC386" s="231"/>
      <c r="AD386" s="231"/>
      <c r="AE386" s="231"/>
      <c r="AF386" s="231"/>
    </row>
    <row r="387" spans="1:32" ht="17.399999999999999">
      <c r="A387" s="228"/>
      <c r="B387" s="231"/>
      <c r="C387" s="291"/>
      <c r="D387" s="231"/>
      <c r="E387" s="289"/>
      <c r="F387" s="231"/>
      <c r="G387" s="231"/>
      <c r="H387" s="290"/>
      <c r="I387" s="290"/>
      <c r="J387" s="265"/>
      <c r="K387" s="303"/>
      <c r="L387" s="265"/>
      <c r="M387" s="96"/>
      <c r="N387" s="303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  <c r="AA387" s="231"/>
      <c r="AB387" s="231"/>
      <c r="AC387" s="231"/>
      <c r="AD387" s="231"/>
      <c r="AE387" s="231"/>
      <c r="AF387" s="231"/>
    </row>
    <row r="388" spans="1:32" ht="17.399999999999999">
      <c r="A388" s="228"/>
      <c r="B388" s="231"/>
      <c r="C388" s="291"/>
      <c r="D388" s="231"/>
      <c r="E388" s="289"/>
      <c r="F388" s="231"/>
      <c r="G388" s="231"/>
      <c r="H388" s="290"/>
      <c r="I388" s="290"/>
      <c r="J388" s="265"/>
      <c r="K388" s="303"/>
      <c r="L388" s="265"/>
      <c r="M388" s="96"/>
      <c r="N388" s="303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  <c r="AA388" s="231"/>
      <c r="AB388" s="231"/>
      <c r="AC388" s="231"/>
      <c r="AD388" s="231"/>
      <c r="AE388" s="231"/>
      <c r="AF388" s="231"/>
    </row>
    <row r="389" spans="1:32" ht="17.399999999999999">
      <c r="A389" s="228"/>
      <c r="B389" s="231"/>
      <c r="C389" s="291"/>
      <c r="D389" s="231"/>
      <c r="E389" s="289"/>
      <c r="F389" s="231"/>
      <c r="G389" s="231"/>
      <c r="H389" s="290"/>
      <c r="I389" s="290"/>
      <c r="J389" s="265"/>
      <c r="K389" s="303"/>
      <c r="L389" s="265"/>
      <c r="M389" s="96"/>
      <c r="N389" s="303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  <c r="AA389" s="231"/>
      <c r="AB389" s="231"/>
      <c r="AC389" s="231"/>
      <c r="AD389" s="231"/>
      <c r="AE389" s="231"/>
      <c r="AF389" s="231"/>
    </row>
    <row r="390" spans="1:32" ht="17.399999999999999">
      <c r="A390" s="228"/>
      <c r="B390" s="231"/>
      <c r="C390" s="291"/>
      <c r="D390" s="231"/>
      <c r="E390" s="289"/>
      <c r="F390" s="231"/>
      <c r="G390" s="231"/>
      <c r="H390" s="290"/>
      <c r="I390" s="290"/>
      <c r="J390" s="265"/>
      <c r="K390" s="303"/>
      <c r="L390" s="265"/>
      <c r="M390" s="96"/>
      <c r="N390" s="303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  <c r="AA390" s="231"/>
      <c r="AB390" s="231"/>
      <c r="AC390" s="231"/>
      <c r="AD390" s="231"/>
      <c r="AE390" s="231"/>
      <c r="AF390" s="231"/>
    </row>
    <row r="391" spans="1:32" ht="17.399999999999999">
      <c r="A391" s="228"/>
      <c r="B391" s="231"/>
      <c r="C391" s="291"/>
      <c r="D391" s="231"/>
      <c r="E391" s="289"/>
      <c r="F391" s="231"/>
      <c r="G391" s="231"/>
      <c r="H391" s="290"/>
      <c r="I391" s="290"/>
      <c r="J391" s="265"/>
      <c r="K391" s="303"/>
      <c r="L391" s="265"/>
      <c r="M391" s="96"/>
      <c r="N391" s="303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  <c r="AA391" s="231"/>
      <c r="AB391" s="231"/>
      <c r="AC391" s="231"/>
      <c r="AD391" s="231"/>
      <c r="AE391" s="231"/>
      <c r="AF391" s="231"/>
    </row>
    <row r="392" spans="1:32" ht="17.399999999999999">
      <c r="A392" s="228"/>
      <c r="B392" s="231"/>
      <c r="C392" s="291"/>
      <c r="D392" s="231"/>
      <c r="E392" s="289"/>
      <c r="F392" s="231"/>
      <c r="G392" s="231"/>
      <c r="H392" s="290"/>
      <c r="I392" s="290"/>
      <c r="J392" s="265"/>
      <c r="K392" s="303"/>
      <c r="L392" s="265"/>
      <c r="M392" s="96"/>
      <c r="N392" s="303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  <c r="AA392" s="231"/>
      <c r="AB392" s="231"/>
      <c r="AC392" s="231"/>
      <c r="AD392" s="231"/>
      <c r="AE392" s="231"/>
      <c r="AF392" s="231"/>
    </row>
    <row r="393" spans="1:32" ht="17.399999999999999">
      <c r="A393" s="228"/>
      <c r="B393" s="231"/>
      <c r="C393" s="291"/>
      <c r="D393" s="231"/>
      <c r="E393" s="289"/>
      <c r="F393" s="231"/>
      <c r="G393" s="231"/>
      <c r="H393" s="290"/>
      <c r="I393" s="290"/>
      <c r="J393" s="265"/>
      <c r="K393" s="303"/>
      <c r="L393" s="265"/>
      <c r="M393" s="96"/>
      <c r="N393" s="303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  <c r="AA393" s="231"/>
      <c r="AB393" s="231"/>
      <c r="AC393" s="231"/>
      <c r="AD393" s="231"/>
      <c r="AE393" s="231"/>
      <c r="AF393" s="231"/>
    </row>
    <row r="394" spans="1:32" ht="17.399999999999999">
      <c r="A394" s="228"/>
      <c r="B394" s="231"/>
      <c r="C394" s="291"/>
      <c r="D394" s="231"/>
      <c r="E394" s="289"/>
      <c r="F394" s="231"/>
      <c r="G394" s="231"/>
      <c r="H394" s="290"/>
      <c r="I394" s="290"/>
      <c r="J394" s="265"/>
      <c r="K394" s="303"/>
      <c r="L394" s="265"/>
      <c r="M394" s="96"/>
      <c r="N394" s="303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  <c r="AA394" s="231"/>
      <c r="AB394" s="231"/>
      <c r="AC394" s="231"/>
      <c r="AD394" s="231"/>
      <c r="AE394" s="231"/>
      <c r="AF394" s="231"/>
    </row>
    <row r="395" spans="1:32" ht="17.399999999999999">
      <c r="A395" s="228"/>
      <c r="B395" s="231"/>
      <c r="C395" s="291"/>
      <c r="D395" s="231"/>
      <c r="E395" s="289"/>
      <c r="F395" s="231"/>
      <c r="G395" s="231"/>
      <c r="H395" s="290"/>
      <c r="I395" s="290"/>
      <c r="J395" s="265"/>
      <c r="K395" s="303"/>
      <c r="L395" s="265"/>
      <c r="M395" s="96"/>
      <c r="N395" s="303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  <c r="AA395" s="231"/>
      <c r="AB395" s="231"/>
      <c r="AC395" s="231"/>
      <c r="AD395" s="231"/>
      <c r="AE395" s="231"/>
      <c r="AF395" s="231"/>
    </row>
    <row r="396" spans="1:32" ht="17.399999999999999">
      <c r="A396" s="228"/>
      <c r="B396" s="231"/>
      <c r="C396" s="291"/>
      <c r="D396" s="231"/>
      <c r="E396" s="289"/>
      <c r="F396" s="231"/>
      <c r="G396" s="231"/>
      <c r="H396" s="290"/>
      <c r="I396" s="290"/>
      <c r="J396" s="265"/>
      <c r="K396" s="303"/>
      <c r="L396" s="265"/>
      <c r="M396" s="96"/>
      <c r="N396" s="303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  <c r="AA396" s="231"/>
      <c r="AB396" s="231"/>
      <c r="AC396" s="231"/>
      <c r="AD396" s="231"/>
      <c r="AE396" s="231"/>
      <c r="AF396" s="231"/>
    </row>
    <row r="397" spans="1:32" ht="17.399999999999999">
      <c r="A397" s="228"/>
      <c r="B397" s="231"/>
      <c r="C397" s="291"/>
      <c r="D397" s="231"/>
      <c r="E397" s="289"/>
      <c r="F397" s="231"/>
      <c r="G397" s="231"/>
      <c r="H397" s="290"/>
      <c r="I397" s="290"/>
      <c r="J397" s="265"/>
      <c r="K397" s="303"/>
      <c r="L397" s="265"/>
      <c r="M397" s="96"/>
      <c r="N397" s="303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  <c r="AA397" s="231"/>
      <c r="AB397" s="231"/>
      <c r="AC397" s="231"/>
      <c r="AD397" s="231"/>
      <c r="AE397" s="231"/>
      <c r="AF397" s="231"/>
    </row>
    <row r="398" spans="1:32" ht="17.399999999999999">
      <c r="A398" s="228"/>
      <c r="B398" s="231"/>
      <c r="C398" s="291"/>
      <c r="D398" s="231"/>
      <c r="E398" s="289"/>
      <c r="F398" s="231"/>
      <c r="G398" s="231"/>
      <c r="H398" s="290"/>
      <c r="I398" s="290"/>
      <c r="J398" s="265"/>
      <c r="K398" s="303"/>
      <c r="L398" s="265"/>
      <c r="M398" s="96"/>
      <c r="N398" s="303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  <c r="AA398" s="231"/>
      <c r="AB398" s="231"/>
      <c r="AC398" s="231"/>
      <c r="AD398" s="231"/>
      <c r="AE398" s="231"/>
      <c r="AF398" s="231"/>
    </row>
    <row r="399" spans="1:32" ht="17.399999999999999">
      <c r="A399" s="228"/>
      <c r="B399" s="231"/>
      <c r="C399" s="291"/>
      <c r="D399" s="231"/>
      <c r="E399" s="289"/>
      <c r="F399" s="231"/>
      <c r="G399" s="231"/>
      <c r="H399" s="290"/>
      <c r="I399" s="290"/>
      <c r="J399" s="265"/>
      <c r="K399" s="303"/>
      <c r="L399" s="265"/>
      <c r="M399" s="96"/>
      <c r="N399" s="303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  <c r="AA399" s="231"/>
      <c r="AB399" s="231"/>
      <c r="AC399" s="231"/>
      <c r="AD399" s="231"/>
      <c r="AE399" s="231"/>
      <c r="AF399" s="231"/>
    </row>
    <row r="400" spans="1:32" ht="17.399999999999999">
      <c r="A400" s="228"/>
      <c r="B400" s="231"/>
      <c r="C400" s="291"/>
      <c r="D400" s="231"/>
      <c r="E400" s="289"/>
      <c r="F400" s="231"/>
      <c r="G400" s="231"/>
      <c r="H400" s="290"/>
      <c r="I400" s="290"/>
      <c r="J400" s="265"/>
      <c r="K400" s="303"/>
      <c r="L400" s="265"/>
      <c r="M400" s="96"/>
      <c r="N400" s="303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  <c r="AA400" s="231"/>
      <c r="AB400" s="231"/>
      <c r="AC400" s="231"/>
      <c r="AD400" s="231"/>
      <c r="AE400" s="231"/>
      <c r="AF400" s="231"/>
    </row>
    <row r="401" spans="1:32" ht="17.399999999999999">
      <c r="A401" s="228"/>
      <c r="B401" s="231"/>
      <c r="C401" s="291"/>
      <c r="D401" s="231"/>
      <c r="E401" s="289"/>
      <c r="F401" s="231"/>
      <c r="G401" s="231"/>
      <c r="H401" s="290"/>
      <c r="I401" s="290"/>
      <c r="J401" s="265"/>
      <c r="K401" s="303"/>
      <c r="L401" s="265"/>
      <c r="M401" s="96"/>
      <c r="N401" s="303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  <c r="AA401" s="231"/>
      <c r="AB401" s="231"/>
      <c r="AC401" s="231"/>
      <c r="AD401" s="231"/>
      <c r="AE401" s="231"/>
      <c r="AF401" s="231"/>
    </row>
    <row r="402" spans="1:32" ht="17.399999999999999">
      <c r="A402" s="228"/>
      <c r="B402" s="231"/>
      <c r="C402" s="291"/>
      <c r="D402" s="231"/>
      <c r="E402" s="289"/>
      <c r="F402" s="231"/>
      <c r="G402" s="231"/>
      <c r="H402" s="290"/>
      <c r="I402" s="290"/>
      <c r="J402" s="265"/>
      <c r="K402" s="303"/>
      <c r="L402" s="265"/>
      <c r="M402" s="96"/>
      <c r="N402" s="303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  <c r="AA402" s="231"/>
      <c r="AB402" s="231"/>
      <c r="AC402" s="231"/>
      <c r="AD402" s="231"/>
      <c r="AE402" s="231"/>
      <c r="AF402" s="231"/>
    </row>
    <row r="403" spans="1:32" ht="17.399999999999999">
      <c r="A403" s="228"/>
      <c r="B403" s="231"/>
      <c r="C403" s="291"/>
      <c r="D403" s="231"/>
      <c r="E403" s="289"/>
      <c r="F403" s="231"/>
      <c r="G403" s="231"/>
      <c r="H403" s="290"/>
      <c r="I403" s="290"/>
      <c r="J403" s="265"/>
      <c r="K403" s="303"/>
      <c r="L403" s="265"/>
      <c r="M403" s="96"/>
      <c r="N403" s="303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  <c r="AA403" s="231"/>
      <c r="AB403" s="231"/>
      <c r="AC403" s="231"/>
      <c r="AD403" s="231"/>
      <c r="AE403" s="231"/>
      <c r="AF403" s="231"/>
    </row>
    <row r="404" spans="1:32" ht="17.399999999999999">
      <c r="A404" s="228"/>
      <c r="B404" s="231"/>
      <c r="C404" s="291"/>
      <c r="D404" s="231"/>
      <c r="E404" s="289"/>
      <c r="F404" s="231"/>
      <c r="G404" s="231"/>
      <c r="H404" s="290"/>
      <c r="I404" s="290"/>
      <c r="J404" s="265"/>
      <c r="K404" s="303"/>
      <c r="L404" s="265"/>
      <c r="M404" s="96"/>
      <c r="N404" s="303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  <c r="AA404" s="231"/>
      <c r="AB404" s="231"/>
      <c r="AC404" s="231"/>
      <c r="AD404" s="231"/>
      <c r="AE404" s="231"/>
      <c r="AF404" s="231"/>
    </row>
    <row r="405" spans="1:32" ht="17.399999999999999">
      <c r="A405" s="228"/>
      <c r="B405" s="231"/>
      <c r="C405" s="291"/>
      <c r="D405" s="231"/>
      <c r="E405" s="289"/>
      <c r="F405" s="231"/>
      <c r="G405" s="231"/>
      <c r="H405" s="290"/>
      <c r="I405" s="290"/>
      <c r="J405" s="265"/>
      <c r="K405" s="303"/>
      <c r="L405" s="265"/>
      <c r="M405" s="96"/>
      <c r="N405" s="303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  <c r="AA405" s="231"/>
      <c r="AB405" s="231"/>
      <c r="AC405" s="231"/>
      <c r="AD405" s="231"/>
      <c r="AE405" s="231"/>
      <c r="AF405" s="231"/>
    </row>
    <row r="406" spans="1:32" ht="17.399999999999999">
      <c r="A406" s="228"/>
      <c r="B406" s="231"/>
      <c r="C406" s="291"/>
      <c r="D406" s="231"/>
      <c r="E406" s="289"/>
      <c r="F406" s="231"/>
      <c r="G406" s="231"/>
      <c r="H406" s="290"/>
      <c r="I406" s="290"/>
      <c r="J406" s="265"/>
      <c r="K406" s="303"/>
      <c r="L406" s="265"/>
      <c r="M406" s="96"/>
      <c r="N406" s="303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  <c r="AA406" s="231"/>
      <c r="AB406" s="231"/>
      <c r="AC406" s="231"/>
      <c r="AD406" s="231"/>
      <c r="AE406" s="231"/>
      <c r="AF406" s="231"/>
    </row>
    <row r="407" spans="1:32" ht="17.399999999999999">
      <c r="A407" s="228"/>
      <c r="B407" s="231"/>
      <c r="C407" s="291"/>
      <c r="D407" s="231"/>
      <c r="E407" s="289"/>
      <c r="F407" s="231"/>
      <c r="G407" s="231"/>
      <c r="H407" s="290"/>
      <c r="I407" s="290"/>
      <c r="J407" s="265"/>
      <c r="K407" s="303"/>
      <c r="L407" s="265"/>
      <c r="M407" s="96"/>
      <c r="N407" s="303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  <c r="AA407" s="231"/>
      <c r="AB407" s="231"/>
      <c r="AC407" s="231"/>
      <c r="AD407" s="231"/>
      <c r="AE407" s="231"/>
      <c r="AF407" s="231"/>
    </row>
    <row r="408" spans="1:32" ht="17.399999999999999">
      <c r="A408" s="228"/>
      <c r="B408" s="231"/>
      <c r="C408" s="291"/>
      <c r="D408" s="231"/>
      <c r="E408" s="289"/>
      <c r="F408" s="231"/>
      <c r="G408" s="231"/>
      <c r="H408" s="290"/>
      <c r="I408" s="290"/>
      <c r="J408" s="265"/>
      <c r="K408" s="303"/>
      <c r="L408" s="265"/>
      <c r="M408" s="96"/>
      <c r="N408" s="303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  <c r="AA408" s="231"/>
      <c r="AB408" s="231"/>
      <c r="AC408" s="231"/>
      <c r="AD408" s="231"/>
      <c r="AE408" s="231"/>
      <c r="AF408" s="231"/>
    </row>
    <row r="409" spans="1:32" ht="17.399999999999999">
      <c r="A409" s="228"/>
      <c r="B409" s="231"/>
      <c r="C409" s="291"/>
      <c r="D409" s="231"/>
      <c r="E409" s="289"/>
      <c r="F409" s="231"/>
      <c r="G409" s="231"/>
      <c r="H409" s="290"/>
      <c r="I409" s="290"/>
      <c r="J409" s="265"/>
      <c r="K409" s="303"/>
      <c r="L409" s="265"/>
      <c r="M409" s="96"/>
      <c r="N409" s="303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  <c r="AA409" s="231"/>
      <c r="AB409" s="231"/>
      <c r="AC409" s="231"/>
      <c r="AD409" s="231"/>
      <c r="AE409" s="231"/>
      <c r="AF409" s="231"/>
    </row>
    <row r="410" spans="1:32" ht="17.399999999999999">
      <c r="A410" s="228"/>
      <c r="B410" s="231"/>
      <c r="C410" s="291"/>
      <c r="D410" s="231"/>
      <c r="E410" s="289"/>
      <c r="F410" s="231"/>
      <c r="G410" s="231"/>
      <c r="H410" s="290"/>
      <c r="I410" s="290"/>
      <c r="J410" s="265"/>
      <c r="K410" s="303"/>
      <c r="L410" s="265"/>
      <c r="M410" s="96"/>
      <c r="N410" s="303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  <c r="AA410" s="231"/>
      <c r="AB410" s="231"/>
      <c r="AC410" s="231"/>
      <c r="AD410" s="231"/>
      <c r="AE410" s="231"/>
      <c r="AF410" s="231"/>
    </row>
    <row r="411" spans="1:32" ht="17.399999999999999">
      <c r="A411" s="228"/>
      <c r="B411" s="231"/>
      <c r="C411" s="291"/>
      <c r="D411" s="231"/>
      <c r="E411" s="289"/>
      <c r="F411" s="231"/>
      <c r="G411" s="231"/>
      <c r="H411" s="290"/>
      <c r="I411" s="290"/>
      <c r="J411" s="265"/>
      <c r="K411" s="303"/>
      <c r="L411" s="265"/>
      <c r="M411" s="96"/>
      <c r="N411" s="303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  <c r="AA411" s="231"/>
      <c r="AB411" s="231"/>
      <c r="AC411" s="231"/>
      <c r="AD411" s="231"/>
      <c r="AE411" s="231"/>
      <c r="AF411" s="231"/>
    </row>
    <row r="412" spans="1:32" ht="17.399999999999999">
      <c r="A412" s="228"/>
      <c r="B412" s="231"/>
      <c r="C412" s="291"/>
      <c r="D412" s="231"/>
      <c r="E412" s="289"/>
      <c r="F412" s="231"/>
      <c r="G412" s="231"/>
      <c r="H412" s="290"/>
      <c r="I412" s="290"/>
      <c r="J412" s="265"/>
      <c r="K412" s="303"/>
      <c r="L412" s="265"/>
      <c r="M412" s="96"/>
      <c r="N412" s="303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  <c r="AA412" s="231"/>
      <c r="AB412" s="231"/>
      <c r="AC412" s="231"/>
      <c r="AD412" s="231"/>
      <c r="AE412" s="231"/>
      <c r="AF412" s="231"/>
    </row>
    <row r="413" spans="1:32" ht="17.399999999999999">
      <c r="A413" s="228"/>
      <c r="B413" s="231"/>
      <c r="C413" s="291"/>
      <c r="D413" s="231"/>
      <c r="E413" s="289"/>
      <c r="F413" s="231"/>
      <c r="G413" s="231"/>
      <c r="H413" s="290"/>
      <c r="I413" s="290"/>
      <c r="J413" s="265"/>
      <c r="K413" s="303"/>
      <c r="L413" s="265"/>
      <c r="M413" s="96"/>
      <c r="N413" s="303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  <c r="AA413" s="231"/>
      <c r="AB413" s="231"/>
      <c r="AC413" s="231"/>
      <c r="AD413" s="231"/>
      <c r="AE413" s="231"/>
      <c r="AF413" s="231"/>
    </row>
    <row r="414" spans="1:32" ht="17.399999999999999">
      <c r="A414" s="228"/>
      <c r="B414" s="231"/>
      <c r="C414" s="291"/>
      <c r="D414" s="231"/>
      <c r="E414" s="289"/>
      <c r="F414" s="231"/>
      <c r="G414" s="231"/>
      <c r="H414" s="290"/>
      <c r="I414" s="290"/>
      <c r="J414" s="265"/>
      <c r="K414" s="303"/>
      <c r="L414" s="265"/>
      <c r="M414" s="96"/>
      <c r="N414" s="303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  <c r="AA414" s="231"/>
      <c r="AB414" s="231"/>
      <c r="AC414" s="231"/>
      <c r="AD414" s="231"/>
      <c r="AE414" s="231"/>
      <c r="AF414" s="231"/>
    </row>
    <row r="415" spans="1:32" ht="17.399999999999999">
      <c r="A415" s="228"/>
      <c r="B415" s="231"/>
      <c r="C415" s="291"/>
      <c r="D415" s="231"/>
      <c r="E415" s="289"/>
      <c r="F415" s="231"/>
      <c r="G415" s="231"/>
      <c r="H415" s="290"/>
      <c r="I415" s="290"/>
      <c r="J415" s="265"/>
      <c r="K415" s="303"/>
      <c r="L415" s="265"/>
      <c r="M415" s="96"/>
      <c r="N415" s="303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  <c r="AA415" s="231"/>
      <c r="AB415" s="231"/>
      <c r="AC415" s="231"/>
      <c r="AD415" s="231"/>
      <c r="AE415" s="231"/>
      <c r="AF415" s="231"/>
    </row>
    <row r="416" spans="1:32" ht="17.399999999999999">
      <c r="A416" s="228"/>
      <c r="B416" s="231"/>
      <c r="C416" s="291"/>
      <c r="D416" s="231"/>
      <c r="E416" s="289"/>
      <c r="F416" s="231"/>
      <c r="G416" s="231"/>
      <c r="H416" s="290"/>
      <c r="I416" s="290"/>
      <c r="J416" s="265"/>
      <c r="K416" s="303"/>
      <c r="L416" s="265"/>
      <c r="M416" s="96"/>
      <c r="N416" s="303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  <c r="AA416" s="231"/>
      <c r="AB416" s="231"/>
      <c r="AC416" s="231"/>
      <c r="AD416" s="231"/>
      <c r="AE416" s="231"/>
      <c r="AF416" s="231"/>
    </row>
    <row r="417" spans="1:32" ht="17.399999999999999">
      <c r="A417" s="228"/>
      <c r="B417" s="231"/>
      <c r="C417" s="291"/>
      <c r="D417" s="231"/>
      <c r="E417" s="289"/>
      <c r="F417" s="231"/>
      <c r="G417" s="231"/>
      <c r="H417" s="290"/>
      <c r="I417" s="290"/>
      <c r="J417" s="265"/>
      <c r="K417" s="303"/>
      <c r="L417" s="265"/>
      <c r="M417" s="96"/>
      <c r="N417" s="303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  <c r="AA417" s="231"/>
      <c r="AB417" s="231"/>
      <c r="AC417" s="231"/>
      <c r="AD417" s="231"/>
      <c r="AE417" s="231"/>
      <c r="AF417" s="231"/>
    </row>
    <row r="418" spans="1:32" ht="17.399999999999999">
      <c r="A418" s="228"/>
      <c r="B418" s="231"/>
      <c r="C418" s="291"/>
      <c r="D418" s="231"/>
      <c r="E418" s="289"/>
      <c r="F418" s="231"/>
      <c r="G418" s="231"/>
      <c r="H418" s="290"/>
      <c r="I418" s="290"/>
      <c r="J418" s="265"/>
      <c r="K418" s="303"/>
      <c r="L418" s="265"/>
      <c r="M418" s="96"/>
      <c r="N418" s="303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  <c r="AA418" s="231"/>
      <c r="AB418" s="231"/>
      <c r="AC418" s="231"/>
      <c r="AD418" s="231"/>
      <c r="AE418" s="231"/>
      <c r="AF418" s="231"/>
    </row>
    <row r="419" spans="1:32" ht="17.399999999999999">
      <c r="A419" s="228"/>
      <c r="B419" s="231"/>
      <c r="C419" s="291"/>
      <c r="D419" s="231"/>
      <c r="E419" s="289"/>
      <c r="F419" s="231"/>
      <c r="G419" s="231"/>
      <c r="H419" s="290"/>
      <c r="I419" s="290"/>
      <c r="J419" s="265"/>
      <c r="K419" s="303"/>
      <c r="L419" s="265"/>
      <c r="M419" s="96"/>
      <c r="N419" s="303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  <c r="AA419" s="231"/>
      <c r="AB419" s="231"/>
      <c r="AC419" s="231"/>
      <c r="AD419" s="231"/>
      <c r="AE419" s="231"/>
      <c r="AF419" s="231"/>
    </row>
    <row r="420" spans="1:32" ht="17.399999999999999">
      <c r="A420" s="228"/>
      <c r="B420" s="231"/>
      <c r="C420" s="291"/>
      <c r="D420" s="231"/>
      <c r="E420" s="289"/>
      <c r="F420" s="231"/>
      <c r="G420" s="231"/>
      <c r="H420" s="290"/>
      <c r="I420" s="290"/>
      <c r="J420" s="265"/>
      <c r="K420" s="303"/>
      <c r="L420" s="265"/>
      <c r="M420" s="96"/>
      <c r="N420" s="303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  <c r="AA420" s="231"/>
      <c r="AB420" s="231"/>
      <c r="AC420" s="231"/>
      <c r="AD420" s="231"/>
      <c r="AE420" s="231"/>
      <c r="AF420" s="231"/>
    </row>
    <row r="421" spans="1:32" ht="17.399999999999999">
      <c r="A421" s="228"/>
      <c r="B421" s="231"/>
      <c r="C421" s="291"/>
      <c r="D421" s="231"/>
      <c r="E421" s="289"/>
      <c r="F421" s="231"/>
      <c r="G421" s="231"/>
      <c r="H421" s="290"/>
      <c r="I421" s="290"/>
      <c r="J421" s="265"/>
      <c r="K421" s="303"/>
      <c r="L421" s="265"/>
      <c r="M421" s="96"/>
      <c r="N421" s="303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  <c r="AA421" s="231"/>
      <c r="AB421" s="231"/>
      <c r="AC421" s="231"/>
      <c r="AD421" s="231"/>
      <c r="AE421" s="231"/>
      <c r="AF421" s="231"/>
    </row>
    <row r="422" spans="1:32" ht="17.399999999999999">
      <c r="A422" s="228"/>
      <c r="B422" s="231"/>
      <c r="C422" s="291"/>
      <c r="D422" s="231"/>
      <c r="E422" s="289"/>
      <c r="F422" s="231"/>
      <c r="G422" s="231"/>
      <c r="H422" s="290"/>
      <c r="I422" s="290"/>
      <c r="J422" s="265"/>
      <c r="K422" s="303"/>
      <c r="L422" s="265"/>
      <c r="M422" s="96"/>
      <c r="N422" s="303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  <c r="AA422" s="231"/>
      <c r="AB422" s="231"/>
      <c r="AC422" s="231"/>
      <c r="AD422" s="231"/>
      <c r="AE422" s="231"/>
      <c r="AF422" s="231"/>
    </row>
    <row r="423" spans="1:32" ht="17.399999999999999">
      <c r="A423" s="228"/>
      <c r="B423" s="231"/>
      <c r="C423" s="291"/>
      <c r="D423" s="231"/>
      <c r="E423" s="289"/>
      <c r="F423" s="231"/>
      <c r="G423" s="231"/>
      <c r="H423" s="290"/>
      <c r="I423" s="290"/>
      <c r="J423" s="265"/>
      <c r="K423" s="303"/>
      <c r="L423" s="265"/>
      <c r="M423" s="96"/>
      <c r="N423" s="303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  <c r="AA423" s="231"/>
      <c r="AB423" s="231"/>
      <c r="AC423" s="231"/>
      <c r="AD423" s="231"/>
      <c r="AE423" s="231"/>
      <c r="AF423" s="231"/>
    </row>
    <row r="424" spans="1:32" ht="17.399999999999999">
      <c r="A424" s="228"/>
      <c r="B424" s="231"/>
      <c r="C424" s="291"/>
      <c r="D424" s="231"/>
      <c r="E424" s="289"/>
      <c r="F424" s="231"/>
      <c r="G424" s="231"/>
      <c r="H424" s="290"/>
      <c r="I424" s="290"/>
      <c r="J424" s="265"/>
      <c r="K424" s="303"/>
      <c r="L424" s="265"/>
      <c r="M424" s="96"/>
      <c r="N424" s="303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  <c r="AA424" s="231"/>
      <c r="AB424" s="231"/>
      <c r="AC424" s="231"/>
      <c r="AD424" s="231"/>
      <c r="AE424" s="231"/>
      <c r="AF424" s="231"/>
    </row>
    <row r="425" spans="1:32" ht="17.399999999999999">
      <c r="A425" s="228"/>
      <c r="B425" s="231"/>
      <c r="C425" s="291"/>
      <c r="D425" s="231"/>
      <c r="E425" s="289"/>
      <c r="F425" s="231"/>
      <c r="G425" s="231"/>
      <c r="H425" s="290"/>
      <c r="I425" s="290"/>
      <c r="J425" s="265"/>
      <c r="K425" s="303"/>
      <c r="L425" s="265"/>
      <c r="M425" s="96"/>
      <c r="N425" s="303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  <c r="AA425" s="231"/>
      <c r="AB425" s="231"/>
      <c r="AC425" s="231"/>
      <c r="AD425" s="231"/>
      <c r="AE425" s="231"/>
      <c r="AF425" s="231"/>
    </row>
    <row r="426" spans="1:32" ht="17.399999999999999">
      <c r="A426" s="228"/>
      <c r="B426" s="231"/>
      <c r="C426" s="291"/>
      <c r="D426" s="231"/>
      <c r="E426" s="289"/>
      <c r="F426" s="231"/>
      <c r="G426" s="231"/>
      <c r="H426" s="290"/>
      <c r="I426" s="290"/>
      <c r="J426" s="265"/>
      <c r="K426" s="303"/>
      <c r="L426" s="265"/>
      <c r="M426" s="96"/>
      <c r="N426" s="303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  <c r="AA426" s="231"/>
      <c r="AB426" s="231"/>
      <c r="AC426" s="231"/>
      <c r="AD426" s="231"/>
      <c r="AE426" s="231"/>
      <c r="AF426" s="231"/>
    </row>
    <row r="427" spans="1:32" ht="17.399999999999999">
      <c r="A427" s="228"/>
      <c r="B427" s="231"/>
      <c r="C427" s="291"/>
      <c r="D427" s="231"/>
      <c r="E427" s="289"/>
      <c r="F427" s="231"/>
      <c r="G427" s="231"/>
      <c r="H427" s="290"/>
      <c r="I427" s="290"/>
      <c r="J427" s="265"/>
      <c r="K427" s="303"/>
      <c r="L427" s="265"/>
      <c r="M427" s="96"/>
      <c r="N427" s="303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  <c r="AA427" s="231"/>
      <c r="AB427" s="231"/>
      <c r="AC427" s="231"/>
      <c r="AD427" s="231"/>
      <c r="AE427" s="231"/>
      <c r="AF427" s="231"/>
    </row>
    <row r="428" spans="1:32" ht="17.399999999999999">
      <c r="A428" s="228"/>
      <c r="B428" s="231"/>
      <c r="C428" s="291"/>
      <c r="D428" s="231"/>
      <c r="E428" s="289"/>
      <c r="F428" s="231"/>
      <c r="G428" s="231"/>
      <c r="H428" s="290"/>
      <c r="I428" s="290"/>
      <c r="J428" s="265"/>
      <c r="K428" s="303"/>
      <c r="L428" s="265"/>
      <c r="M428" s="96"/>
      <c r="N428" s="303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  <c r="AA428" s="231"/>
      <c r="AB428" s="231"/>
      <c r="AC428" s="231"/>
      <c r="AD428" s="231"/>
      <c r="AE428" s="231"/>
      <c r="AF428" s="231"/>
    </row>
    <row r="429" spans="1:32" ht="17.399999999999999">
      <c r="A429" s="228"/>
      <c r="B429" s="231"/>
      <c r="C429" s="291"/>
      <c r="D429" s="231"/>
      <c r="E429" s="289"/>
      <c r="F429" s="231"/>
      <c r="G429" s="231"/>
      <c r="H429" s="290"/>
      <c r="I429" s="290"/>
      <c r="J429" s="265"/>
      <c r="K429" s="303"/>
      <c r="L429" s="265"/>
      <c r="M429" s="96"/>
      <c r="N429" s="303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  <c r="AA429" s="231"/>
      <c r="AB429" s="231"/>
      <c r="AC429" s="231"/>
      <c r="AD429" s="231"/>
      <c r="AE429" s="231"/>
      <c r="AF429" s="231"/>
    </row>
    <row r="430" spans="1:32" ht="17.399999999999999">
      <c r="A430" s="228"/>
      <c r="B430" s="231"/>
      <c r="C430" s="291"/>
      <c r="D430" s="231"/>
      <c r="E430" s="289"/>
      <c r="F430" s="231"/>
      <c r="G430" s="231"/>
      <c r="H430" s="290"/>
      <c r="I430" s="290"/>
      <c r="J430" s="265"/>
      <c r="K430" s="303"/>
      <c r="L430" s="265"/>
      <c r="M430" s="96"/>
      <c r="N430" s="303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  <c r="AA430" s="231"/>
      <c r="AB430" s="231"/>
      <c r="AC430" s="231"/>
      <c r="AD430" s="231"/>
      <c r="AE430" s="231"/>
      <c r="AF430" s="231"/>
    </row>
    <row r="431" spans="1:32" ht="17.399999999999999">
      <c r="A431" s="228"/>
      <c r="B431" s="231"/>
      <c r="C431" s="291"/>
      <c r="D431" s="231"/>
      <c r="E431" s="289"/>
      <c r="F431" s="231"/>
      <c r="G431" s="231"/>
      <c r="H431" s="290"/>
      <c r="I431" s="290"/>
      <c r="J431" s="265"/>
      <c r="K431" s="303"/>
      <c r="L431" s="265"/>
      <c r="M431" s="96"/>
      <c r="N431" s="303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  <c r="AA431" s="231"/>
      <c r="AB431" s="231"/>
      <c r="AC431" s="231"/>
      <c r="AD431" s="231"/>
      <c r="AE431" s="231"/>
      <c r="AF431" s="231"/>
    </row>
    <row r="432" spans="1:32" ht="17.399999999999999">
      <c r="A432" s="228"/>
      <c r="B432" s="231"/>
      <c r="C432" s="291"/>
      <c r="D432" s="231"/>
      <c r="E432" s="289"/>
      <c r="F432" s="231"/>
      <c r="G432" s="231"/>
      <c r="H432" s="290"/>
      <c r="I432" s="290"/>
      <c r="J432" s="265"/>
      <c r="K432" s="303"/>
      <c r="L432" s="265"/>
      <c r="M432" s="96"/>
      <c r="N432" s="303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  <c r="AA432" s="231"/>
      <c r="AB432" s="231"/>
      <c r="AC432" s="231"/>
      <c r="AD432" s="231"/>
      <c r="AE432" s="231"/>
      <c r="AF432" s="231"/>
    </row>
    <row r="433" spans="1:32" ht="17.399999999999999">
      <c r="A433" s="228"/>
      <c r="B433" s="231"/>
      <c r="C433" s="291"/>
      <c r="D433" s="231"/>
      <c r="E433" s="289"/>
      <c r="F433" s="231"/>
      <c r="G433" s="231"/>
      <c r="H433" s="290"/>
      <c r="I433" s="290"/>
      <c r="J433" s="265"/>
      <c r="K433" s="303"/>
      <c r="L433" s="265"/>
      <c r="M433" s="96"/>
      <c r="N433" s="303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  <c r="AA433" s="231"/>
      <c r="AB433" s="231"/>
      <c r="AC433" s="231"/>
      <c r="AD433" s="231"/>
      <c r="AE433" s="231"/>
      <c r="AF433" s="231"/>
    </row>
    <row r="434" spans="1:32" ht="17.399999999999999">
      <c r="A434" s="228"/>
      <c r="B434" s="231"/>
      <c r="C434" s="291"/>
      <c r="D434" s="231"/>
      <c r="E434" s="289"/>
      <c r="F434" s="231"/>
      <c r="G434" s="231"/>
      <c r="H434" s="290"/>
      <c r="I434" s="290"/>
      <c r="J434" s="265"/>
      <c r="K434" s="303"/>
      <c r="L434" s="265"/>
      <c r="M434" s="96"/>
      <c r="N434" s="303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  <c r="AA434" s="231"/>
      <c r="AB434" s="231"/>
      <c r="AC434" s="231"/>
      <c r="AD434" s="231"/>
      <c r="AE434" s="231"/>
      <c r="AF434" s="231"/>
    </row>
    <row r="435" spans="1:32" ht="17.399999999999999">
      <c r="A435" s="228"/>
      <c r="B435" s="231"/>
      <c r="C435" s="291"/>
      <c r="D435" s="231"/>
      <c r="E435" s="289"/>
      <c r="F435" s="231"/>
      <c r="G435" s="231"/>
      <c r="H435" s="290"/>
      <c r="I435" s="290"/>
      <c r="J435" s="265"/>
      <c r="K435" s="303"/>
      <c r="L435" s="265"/>
      <c r="M435" s="96"/>
      <c r="N435" s="303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  <c r="AA435" s="231"/>
      <c r="AB435" s="231"/>
      <c r="AC435" s="231"/>
      <c r="AD435" s="231"/>
      <c r="AE435" s="231"/>
      <c r="AF435" s="231"/>
    </row>
    <row r="436" spans="1:32" ht="17.399999999999999">
      <c r="A436" s="228"/>
      <c r="B436" s="231"/>
      <c r="C436" s="291"/>
      <c r="D436" s="231"/>
      <c r="E436" s="289"/>
      <c r="F436" s="231"/>
      <c r="G436" s="231"/>
      <c r="H436" s="290"/>
      <c r="I436" s="290"/>
      <c r="J436" s="265"/>
      <c r="K436" s="303"/>
      <c r="L436" s="265"/>
      <c r="M436" s="96"/>
      <c r="N436" s="303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  <c r="AA436" s="231"/>
      <c r="AB436" s="231"/>
      <c r="AC436" s="231"/>
      <c r="AD436" s="231"/>
      <c r="AE436" s="231"/>
      <c r="AF436" s="231"/>
    </row>
    <row r="437" spans="1:32" ht="17.399999999999999">
      <c r="A437" s="228"/>
      <c r="B437" s="231"/>
      <c r="C437" s="291"/>
      <c r="D437" s="231"/>
      <c r="E437" s="289"/>
      <c r="F437" s="231"/>
      <c r="G437" s="231"/>
      <c r="H437" s="290"/>
      <c r="I437" s="290"/>
      <c r="J437" s="265"/>
      <c r="K437" s="303"/>
      <c r="L437" s="265"/>
      <c r="M437" s="96"/>
      <c r="N437" s="303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  <c r="AA437" s="231"/>
      <c r="AB437" s="231"/>
      <c r="AC437" s="231"/>
      <c r="AD437" s="231"/>
      <c r="AE437" s="231"/>
      <c r="AF437" s="231"/>
    </row>
    <row r="438" spans="1:32" ht="17.399999999999999">
      <c r="A438" s="228"/>
      <c r="B438" s="231"/>
      <c r="C438" s="291"/>
      <c r="D438" s="231"/>
      <c r="E438" s="289"/>
      <c r="F438" s="231"/>
      <c r="G438" s="231"/>
      <c r="H438" s="290"/>
      <c r="I438" s="290"/>
      <c r="J438" s="265"/>
      <c r="K438" s="303"/>
      <c r="L438" s="265"/>
      <c r="M438" s="96"/>
      <c r="N438" s="303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  <c r="AA438" s="231"/>
      <c r="AB438" s="231"/>
      <c r="AC438" s="231"/>
      <c r="AD438" s="231"/>
      <c r="AE438" s="231"/>
      <c r="AF438" s="231"/>
    </row>
    <row r="439" spans="1:32" ht="17.399999999999999">
      <c r="A439" s="228"/>
      <c r="B439" s="231"/>
      <c r="C439" s="291"/>
      <c r="D439" s="231"/>
      <c r="E439" s="289"/>
      <c r="F439" s="231"/>
      <c r="G439" s="231"/>
      <c r="H439" s="290"/>
      <c r="I439" s="290"/>
      <c r="J439" s="265"/>
      <c r="K439" s="303"/>
      <c r="L439" s="265"/>
      <c r="M439" s="96"/>
      <c r="N439" s="303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  <c r="AA439" s="231"/>
      <c r="AB439" s="231"/>
      <c r="AC439" s="231"/>
      <c r="AD439" s="231"/>
      <c r="AE439" s="231"/>
      <c r="AF439" s="231"/>
    </row>
    <row r="440" spans="1:32" ht="17.399999999999999">
      <c r="A440" s="228"/>
      <c r="B440" s="231"/>
      <c r="C440" s="291"/>
      <c r="D440" s="231"/>
      <c r="E440" s="289"/>
      <c r="F440" s="231"/>
      <c r="G440" s="231"/>
      <c r="H440" s="290"/>
      <c r="I440" s="290"/>
      <c r="J440" s="265"/>
      <c r="K440" s="303"/>
      <c r="L440" s="265"/>
      <c r="M440" s="96"/>
      <c r="N440" s="303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  <c r="AA440" s="231"/>
      <c r="AB440" s="231"/>
      <c r="AC440" s="231"/>
      <c r="AD440" s="231"/>
      <c r="AE440" s="231"/>
      <c r="AF440" s="231"/>
    </row>
    <row r="441" spans="1:32" ht="17.399999999999999">
      <c r="A441" s="228"/>
      <c r="B441" s="231"/>
      <c r="C441" s="291"/>
      <c r="D441" s="231"/>
      <c r="E441" s="289"/>
      <c r="F441" s="231"/>
      <c r="G441" s="231"/>
      <c r="H441" s="290"/>
      <c r="I441" s="290"/>
      <c r="J441" s="265"/>
      <c r="K441" s="303"/>
      <c r="L441" s="265"/>
      <c r="M441" s="96"/>
      <c r="N441" s="303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  <c r="AA441" s="231"/>
      <c r="AB441" s="231"/>
      <c r="AC441" s="231"/>
      <c r="AD441" s="231"/>
      <c r="AE441" s="231"/>
      <c r="AF441" s="231"/>
    </row>
    <row r="442" spans="1:32" ht="17.399999999999999">
      <c r="A442" s="228"/>
      <c r="B442" s="231"/>
      <c r="C442" s="291"/>
      <c r="D442" s="231"/>
      <c r="E442" s="289"/>
      <c r="F442" s="231"/>
      <c r="G442" s="231"/>
      <c r="H442" s="290"/>
      <c r="I442" s="290"/>
      <c r="J442" s="265"/>
      <c r="K442" s="303"/>
      <c r="L442" s="265"/>
      <c r="M442" s="96"/>
      <c r="N442" s="303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  <c r="AA442" s="231"/>
      <c r="AB442" s="231"/>
      <c r="AC442" s="231"/>
      <c r="AD442" s="231"/>
      <c r="AE442" s="231"/>
      <c r="AF442" s="231"/>
    </row>
    <row r="443" spans="1:32" ht="17.399999999999999">
      <c r="A443" s="228"/>
      <c r="B443" s="231"/>
      <c r="C443" s="291"/>
      <c r="D443" s="231"/>
      <c r="E443" s="289"/>
      <c r="F443" s="231"/>
      <c r="G443" s="231"/>
      <c r="H443" s="290"/>
      <c r="I443" s="290"/>
      <c r="J443" s="265"/>
      <c r="K443" s="303"/>
      <c r="L443" s="265"/>
      <c r="M443" s="96"/>
      <c r="N443" s="303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  <c r="AA443" s="231"/>
      <c r="AB443" s="231"/>
      <c r="AC443" s="231"/>
      <c r="AD443" s="231"/>
      <c r="AE443" s="231"/>
      <c r="AF443" s="231"/>
    </row>
    <row r="444" spans="1:32" ht="17.399999999999999">
      <c r="A444" s="228"/>
      <c r="B444" s="231"/>
      <c r="C444" s="291"/>
      <c r="D444" s="231"/>
      <c r="E444" s="289"/>
      <c r="F444" s="231"/>
      <c r="G444" s="231"/>
      <c r="H444" s="290"/>
      <c r="I444" s="290"/>
      <c r="J444" s="265"/>
      <c r="K444" s="303"/>
      <c r="L444" s="265"/>
      <c r="M444" s="96"/>
      <c r="N444" s="303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  <c r="AA444" s="231"/>
      <c r="AB444" s="231"/>
      <c r="AC444" s="231"/>
      <c r="AD444" s="231"/>
      <c r="AE444" s="231"/>
      <c r="AF444" s="231"/>
    </row>
    <row r="445" spans="1:32" ht="17.399999999999999">
      <c r="A445" s="228"/>
      <c r="B445" s="231"/>
      <c r="C445" s="291"/>
      <c r="D445" s="231"/>
      <c r="E445" s="289"/>
      <c r="F445" s="231"/>
      <c r="G445" s="231"/>
      <c r="H445" s="290"/>
      <c r="I445" s="290"/>
      <c r="J445" s="265"/>
      <c r="K445" s="303"/>
      <c r="L445" s="265"/>
      <c r="M445" s="96"/>
      <c r="N445" s="303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  <c r="AA445" s="231"/>
      <c r="AB445" s="231"/>
      <c r="AC445" s="231"/>
      <c r="AD445" s="231"/>
      <c r="AE445" s="231"/>
      <c r="AF445" s="231"/>
    </row>
    <row r="446" spans="1:32" ht="17.399999999999999">
      <c r="A446" s="228"/>
      <c r="B446" s="231"/>
      <c r="C446" s="291"/>
      <c r="D446" s="231"/>
      <c r="E446" s="289"/>
      <c r="F446" s="231"/>
      <c r="G446" s="231"/>
      <c r="H446" s="290"/>
      <c r="I446" s="290"/>
      <c r="J446" s="265"/>
      <c r="K446" s="303"/>
      <c r="L446" s="265"/>
      <c r="M446" s="96"/>
      <c r="N446" s="303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  <c r="AA446" s="231"/>
      <c r="AB446" s="231"/>
      <c r="AC446" s="231"/>
      <c r="AD446" s="231"/>
      <c r="AE446" s="231"/>
      <c r="AF446" s="231"/>
    </row>
    <row r="447" spans="1:32" ht="17.399999999999999">
      <c r="A447" s="228"/>
      <c r="B447" s="231"/>
      <c r="C447" s="291"/>
      <c r="D447" s="231"/>
      <c r="E447" s="289"/>
      <c r="F447" s="231"/>
      <c r="G447" s="231"/>
      <c r="H447" s="290"/>
      <c r="I447" s="290"/>
      <c r="J447" s="265"/>
      <c r="K447" s="303"/>
      <c r="L447" s="265"/>
      <c r="M447" s="96"/>
      <c r="N447" s="303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  <c r="AA447" s="231"/>
      <c r="AB447" s="231"/>
      <c r="AC447" s="231"/>
      <c r="AD447" s="231"/>
      <c r="AE447" s="231"/>
      <c r="AF447" s="231"/>
    </row>
    <row r="448" spans="1:32" ht="17.399999999999999">
      <c r="A448" s="228"/>
      <c r="B448" s="231"/>
      <c r="C448" s="291"/>
      <c r="D448" s="231"/>
      <c r="E448" s="289"/>
      <c r="F448" s="231"/>
      <c r="G448" s="231"/>
      <c r="H448" s="290"/>
      <c r="I448" s="290"/>
      <c r="J448" s="265"/>
      <c r="K448" s="303"/>
      <c r="L448" s="265"/>
      <c r="M448" s="96"/>
      <c r="N448" s="303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  <c r="AA448" s="231"/>
      <c r="AB448" s="231"/>
      <c r="AC448" s="231"/>
      <c r="AD448" s="231"/>
      <c r="AE448" s="231"/>
      <c r="AF448" s="231"/>
    </row>
    <row r="449" spans="1:32" ht="17.399999999999999">
      <c r="A449" s="228"/>
      <c r="B449" s="231"/>
      <c r="C449" s="291"/>
      <c r="D449" s="231"/>
      <c r="E449" s="289"/>
      <c r="F449" s="231"/>
      <c r="G449" s="231"/>
      <c r="H449" s="290"/>
      <c r="I449" s="290"/>
      <c r="J449" s="265"/>
      <c r="K449" s="303"/>
      <c r="L449" s="265"/>
      <c r="M449" s="96"/>
      <c r="N449" s="303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  <c r="AA449" s="231"/>
      <c r="AB449" s="231"/>
      <c r="AC449" s="231"/>
      <c r="AD449" s="231"/>
      <c r="AE449" s="231"/>
      <c r="AF449" s="231"/>
    </row>
    <row r="450" spans="1:32" ht="17.399999999999999">
      <c r="A450" s="228"/>
      <c r="B450" s="231"/>
      <c r="C450" s="291"/>
      <c r="D450" s="231"/>
      <c r="E450" s="289"/>
      <c r="F450" s="231"/>
      <c r="G450" s="231"/>
      <c r="H450" s="290"/>
      <c r="I450" s="290"/>
      <c r="J450" s="265"/>
      <c r="K450" s="303"/>
      <c r="L450" s="265"/>
      <c r="M450" s="96"/>
      <c r="N450" s="303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  <c r="AA450" s="231"/>
      <c r="AB450" s="231"/>
      <c r="AC450" s="231"/>
      <c r="AD450" s="231"/>
      <c r="AE450" s="231"/>
      <c r="AF450" s="231"/>
    </row>
    <row r="451" spans="1:32" ht="17.399999999999999">
      <c r="A451" s="228"/>
      <c r="B451" s="231"/>
      <c r="C451" s="291"/>
      <c r="D451" s="231"/>
      <c r="E451" s="289"/>
      <c r="F451" s="231"/>
      <c r="G451" s="231"/>
      <c r="H451" s="290"/>
      <c r="I451" s="290"/>
      <c r="J451" s="265"/>
      <c r="K451" s="303"/>
      <c r="L451" s="265"/>
      <c r="M451" s="96"/>
      <c r="N451" s="303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  <c r="AA451" s="231"/>
      <c r="AB451" s="231"/>
      <c r="AC451" s="231"/>
      <c r="AD451" s="231"/>
      <c r="AE451" s="231"/>
      <c r="AF451" s="231"/>
    </row>
    <row r="452" spans="1:32" ht="17.399999999999999">
      <c r="A452" s="228"/>
      <c r="B452" s="231"/>
      <c r="C452" s="291"/>
      <c r="D452" s="231"/>
      <c r="E452" s="289"/>
      <c r="F452" s="231"/>
      <c r="G452" s="231"/>
      <c r="H452" s="290"/>
      <c r="I452" s="290"/>
      <c r="J452" s="265"/>
      <c r="K452" s="303"/>
      <c r="L452" s="265"/>
      <c r="M452" s="96"/>
      <c r="N452" s="303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  <c r="AA452" s="231"/>
      <c r="AB452" s="231"/>
      <c r="AC452" s="231"/>
      <c r="AD452" s="231"/>
      <c r="AE452" s="231"/>
      <c r="AF452" s="231"/>
    </row>
    <row r="453" spans="1:32" ht="17.399999999999999">
      <c r="A453" s="228"/>
      <c r="B453" s="231"/>
      <c r="C453" s="291"/>
      <c r="D453" s="231"/>
      <c r="E453" s="289"/>
      <c r="F453" s="231"/>
      <c r="G453" s="231"/>
      <c r="H453" s="290"/>
      <c r="I453" s="290"/>
      <c r="J453" s="265"/>
      <c r="K453" s="303"/>
      <c r="L453" s="265"/>
      <c r="M453" s="96"/>
      <c r="N453" s="303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  <c r="AA453" s="231"/>
      <c r="AB453" s="231"/>
      <c r="AC453" s="231"/>
      <c r="AD453" s="231"/>
      <c r="AE453" s="231"/>
      <c r="AF453" s="231"/>
    </row>
    <row r="454" spans="1:32" ht="17.399999999999999">
      <c r="A454" s="228"/>
      <c r="B454" s="231"/>
      <c r="C454" s="291"/>
      <c r="D454" s="231"/>
      <c r="E454" s="289"/>
      <c r="F454" s="231"/>
      <c r="G454" s="231"/>
      <c r="H454" s="290"/>
      <c r="I454" s="290"/>
      <c r="J454" s="265"/>
      <c r="K454" s="303"/>
      <c r="L454" s="265"/>
      <c r="M454" s="96"/>
      <c r="N454" s="303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  <c r="AA454" s="231"/>
      <c r="AB454" s="231"/>
      <c r="AC454" s="231"/>
      <c r="AD454" s="231"/>
      <c r="AE454" s="231"/>
      <c r="AF454" s="231"/>
    </row>
    <row r="455" spans="1:32" ht="17.399999999999999">
      <c r="A455" s="228"/>
      <c r="B455" s="231"/>
      <c r="C455" s="291"/>
      <c r="D455" s="231"/>
      <c r="E455" s="289"/>
      <c r="F455" s="231"/>
      <c r="G455" s="231"/>
      <c r="H455" s="290"/>
      <c r="I455" s="290"/>
      <c r="J455" s="265"/>
      <c r="K455" s="303"/>
      <c r="L455" s="265"/>
      <c r="M455" s="96"/>
      <c r="N455" s="303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  <c r="AA455" s="231"/>
      <c r="AB455" s="231"/>
      <c r="AC455" s="231"/>
      <c r="AD455" s="231"/>
      <c r="AE455" s="231"/>
      <c r="AF455" s="231"/>
    </row>
    <row r="456" spans="1:32" ht="17.399999999999999">
      <c r="A456" s="228"/>
      <c r="B456" s="231"/>
      <c r="C456" s="291"/>
      <c r="D456" s="231"/>
      <c r="E456" s="289"/>
      <c r="F456" s="231"/>
      <c r="G456" s="231"/>
      <c r="H456" s="290"/>
      <c r="I456" s="290"/>
      <c r="J456" s="265"/>
      <c r="K456" s="303"/>
      <c r="L456" s="265"/>
      <c r="M456" s="96"/>
      <c r="N456" s="303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  <c r="AA456" s="231"/>
      <c r="AB456" s="231"/>
      <c r="AC456" s="231"/>
      <c r="AD456" s="231"/>
      <c r="AE456" s="231"/>
      <c r="AF456" s="231"/>
    </row>
    <row r="457" spans="1:32" ht="17.399999999999999">
      <c r="A457" s="228"/>
      <c r="B457" s="231"/>
      <c r="C457" s="291"/>
      <c r="D457" s="231"/>
      <c r="E457" s="289"/>
      <c r="F457" s="231"/>
      <c r="G457" s="231"/>
      <c r="H457" s="290"/>
      <c r="I457" s="290"/>
      <c r="J457" s="265"/>
      <c r="K457" s="303"/>
      <c r="L457" s="265"/>
      <c r="M457" s="96"/>
      <c r="N457" s="303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  <c r="AA457" s="231"/>
      <c r="AB457" s="231"/>
      <c r="AC457" s="231"/>
      <c r="AD457" s="231"/>
      <c r="AE457" s="231"/>
      <c r="AF457" s="231"/>
    </row>
    <row r="458" spans="1:32" ht="17.399999999999999">
      <c r="A458" s="228"/>
      <c r="B458" s="231"/>
      <c r="C458" s="291"/>
      <c r="D458" s="231"/>
      <c r="E458" s="289"/>
      <c r="F458" s="231"/>
      <c r="G458" s="231"/>
      <c r="H458" s="290"/>
      <c r="I458" s="290"/>
      <c r="J458" s="265"/>
      <c r="K458" s="303"/>
      <c r="L458" s="265"/>
      <c r="M458" s="96"/>
      <c r="N458" s="303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  <c r="AA458" s="231"/>
      <c r="AB458" s="231"/>
      <c r="AC458" s="231"/>
      <c r="AD458" s="231"/>
      <c r="AE458" s="231"/>
      <c r="AF458" s="231"/>
    </row>
    <row r="459" spans="1:32" ht="17.399999999999999">
      <c r="A459" s="228"/>
      <c r="B459" s="231"/>
      <c r="C459" s="291"/>
      <c r="D459" s="231"/>
      <c r="E459" s="289"/>
      <c r="F459" s="231"/>
      <c r="G459" s="231"/>
      <c r="H459" s="290"/>
      <c r="I459" s="290"/>
      <c r="J459" s="265"/>
      <c r="K459" s="303"/>
      <c r="L459" s="265"/>
      <c r="M459" s="96"/>
      <c r="N459" s="303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  <c r="AA459" s="231"/>
      <c r="AB459" s="231"/>
      <c r="AC459" s="231"/>
      <c r="AD459" s="231"/>
      <c r="AE459" s="231"/>
      <c r="AF459" s="231"/>
    </row>
    <row r="460" spans="1:32" ht="17.399999999999999">
      <c r="A460" s="228"/>
      <c r="B460" s="231"/>
      <c r="C460" s="291"/>
      <c r="D460" s="231"/>
      <c r="E460" s="289"/>
      <c r="F460" s="231"/>
      <c r="G460" s="231"/>
      <c r="H460" s="290"/>
      <c r="I460" s="290"/>
      <c r="J460" s="265"/>
      <c r="K460" s="303"/>
      <c r="L460" s="265"/>
      <c r="M460" s="96"/>
      <c r="N460" s="303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  <c r="AA460" s="231"/>
      <c r="AB460" s="231"/>
      <c r="AC460" s="231"/>
      <c r="AD460" s="231"/>
      <c r="AE460" s="231"/>
      <c r="AF460" s="231"/>
    </row>
    <row r="461" spans="1:32" ht="17.399999999999999">
      <c r="A461" s="228"/>
      <c r="B461" s="231"/>
      <c r="C461" s="291"/>
      <c r="D461" s="231"/>
      <c r="E461" s="289"/>
      <c r="F461" s="231"/>
      <c r="G461" s="231"/>
      <c r="H461" s="290"/>
      <c r="I461" s="290"/>
      <c r="J461" s="265"/>
      <c r="K461" s="303"/>
      <c r="L461" s="265"/>
      <c r="M461" s="96"/>
      <c r="N461" s="303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  <c r="AA461" s="231"/>
      <c r="AB461" s="231"/>
      <c r="AC461" s="231"/>
      <c r="AD461" s="231"/>
      <c r="AE461" s="231"/>
      <c r="AF461" s="231"/>
    </row>
    <row r="462" spans="1:32" ht="17.399999999999999">
      <c r="A462" s="228"/>
      <c r="B462" s="231"/>
      <c r="C462" s="291"/>
      <c r="D462" s="231"/>
      <c r="E462" s="289"/>
      <c r="F462" s="231"/>
      <c r="G462" s="231"/>
      <c r="H462" s="290"/>
      <c r="I462" s="290"/>
      <c r="J462" s="265"/>
      <c r="K462" s="303"/>
      <c r="L462" s="265"/>
      <c r="M462" s="96"/>
      <c r="N462" s="303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  <c r="AA462" s="231"/>
      <c r="AB462" s="231"/>
      <c r="AC462" s="231"/>
      <c r="AD462" s="231"/>
      <c r="AE462" s="231"/>
      <c r="AF462" s="231"/>
    </row>
    <row r="463" spans="1:32" ht="17.399999999999999">
      <c r="A463" s="228"/>
      <c r="B463" s="231"/>
      <c r="C463" s="291"/>
      <c r="D463" s="231"/>
      <c r="E463" s="289"/>
      <c r="F463" s="231"/>
      <c r="G463" s="231"/>
      <c r="H463" s="290"/>
      <c r="I463" s="290"/>
      <c r="J463" s="265"/>
      <c r="K463" s="303"/>
      <c r="L463" s="265"/>
      <c r="M463" s="96"/>
      <c r="N463" s="303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  <c r="AA463" s="231"/>
      <c r="AB463" s="231"/>
      <c r="AC463" s="231"/>
      <c r="AD463" s="231"/>
      <c r="AE463" s="231"/>
      <c r="AF463" s="231"/>
    </row>
    <row r="464" spans="1:32" ht="17.399999999999999">
      <c r="A464" s="228"/>
      <c r="B464" s="231"/>
      <c r="C464" s="291"/>
      <c r="D464" s="231"/>
      <c r="E464" s="289"/>
      <c r="F464" s="231"/>
      <c r="G464" s="231"/>
      <c r="H464" s="290"/>
      <c r="I464" s="290"/>
      <c r="J464" s="265"/>
      <c r="K464" s="303"/>
      <c r="L464" s="265"/>
      <c r="M464" s="96"/>
      <c r="N464" s="303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  <c r="AA464" s="231"/>
      <c r="AB464" s="231"/>
      <c r="AC464" s="231"/>
      <c r="AD464" s="231"/>
      <c r="AE464" s="231"/>
      <c r="AF464" s="231"/>
    </row>
    <row r="465" spans="1:32" ht="17.399999999999999">
      <c r="A465" s="228"/>
      <c r="B465" s="231"/>
      <c r="C465" s="291"/>
      <c r="D465" s="231"/>
      <c r="E465" s="289"/>
      <c r="F465" s="231"/>
      <c r="G465" s="231"/>
      <c r="H465" s="290"/>
      <c r="I465" s="290"/>
      <c r="J465" s="265"/>
      <c r="K465" s="303"/>
      <c r="L465" s="265"/>
      <c r="M465" s="96"/>
      <c r="N465" s="303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  <c r="AA465" s="231"/>
      <c r="AB465" s="231"/>
      <c r="AC465" s="231"/>
      <c r="AD465" s="231"/>
      <c r="AE465" s="231"/>
      <c r="AF465" s="231"/>
    </row>
    <row r="466" spans="1:32" ht="17.399999999999999">
      <c r="A466" s="228"/>
      <c r="B466" s="231"/>
      <c r="C466" s="291"/>
      <c r="D466" s="231"/>
      <c r="E466" s="289"/>
      <c r="F466" s="231"/>
      <c r="G466" s="231"/>
      <c r="H466" s="290"/>
      <c r="I466" s="290"/>
      <c r="J466" s="265"/>
      <c r="K466" s="303"/>
      <c r="L466" s="265"/>
      <c r="M466" s="96"/>
      <c r="N466" s="303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  <c r="AA466" s="231"/>
      <c r="AB466" s="231"/>
      <c r="AC466" s="231"/>
      <c r="AD466" s="231"/>
      <c r="AE466" s="231"/>
      <c r="AF466" s="231"/>
    </row>
    <row r="467" spans="1:32" ht="17.399999999999999">
      <c r="A467" s="228"/>
      <c r="B467" s="231"/>
      <c r="C467" s="291"/>
      <c r="D467" s="231"/>
      <c r="E467" s="289"/>
      <c r="F467" s="231"/>
      <c r="G467" s="231"/>
      <c r="H467" s="290"/>
      <c r="I467" s="290"/>
      <c r="J467" s="265"/>
      <c r="K467" s="303"/>
      <c r="L467" s="265"/>
      <c r="M467" s="96"/>
      <c r="N467" s="303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  <c r="AA467" s="231"/>
      <c r="AB467" s="231"/>
      <c r="AC467" s="231"/>
      <c r="AD467" s="231"/>
      <c r="AE467" s="231"/>
      <c r="AF467" s="231"/>
    </row>
    <row r="468" spans="1:32" ht="17.399999999999999">
      <c r="A468" s="228"/>
      <c r="B468" s="231"/>
      <c r="C468" s="291"/>
      <c r="D468" s="231"/>
      <c r="E468" s="289"/>
      <c r="F468" s="231"/>
      <c r="G468" s="231"/>
      <c r="H468" s="290"/>
      <c r="I468" s="290"/>
      <c r="J468" s="265"/>
      <c r="K468" s="303"/>
      <c r="L468" s="265"/>
      <c r="M468" s="96"/>
      <c r="N468" s="303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  <c r="AA468" s="231"/>
      <c r="AB468" s="231"/>
      <c r="AC468" s="231"/>
      <c r="AD468" s="231"/>
      <c r="AE468" s="231"/>
      <c r="AF468" s="231"/>
    </row>
    <row r="469" spans="1:32" ht="17.399999999999999">
      <c r="A469" s="228"/>
      <c r="B469" s="231"/>
      <c r="C469" s="291"/>
      <c r="D469" s="231"/>
      <c r="E469" s="289"/>
      <c r="F469" s="231"/>
      <c r="G469" s="231"/>
      <c r="H469" s="290"/>
      <c r="I469" s="290"/>
      <c r="J469" s="265"/>
      <c r="K469" s="303"/>
      <c r="L469" s="265"/>
      <c r="M469" s="96"/>
      <c r="N469" s="303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  <c r="AA469" s="231"/>
      <c r="AB469" s="231"/>
      <c r="AC469" s="231"/>
      <c r="AD469" s="231"/>
      <c r="AE469" s="231"/>
      <c r="AF469" s="231"/>
    </row>
    <row r="470" spans="1:32" ht="17.399999999999999">
      <c r="A470" s="228"/>
      <c r="B470" s="231"/>
      <c r="C470" s="291"/>
      <c r="D470" s="231"/>
      <c r="E470" s="289"/>
      <c r="F470" s="231"/>
      <c r="G470" s="231"/>
      <c r="H470" s="290"/>
      <c r="I470" s="290"/>
      <c r="J470" s="265"/>
      <c r="K470" s="303"/>
      <c r="L470" s="265"/>
      <c r="M470" s="96"/>
      <c r="N470" s="303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  <c r="AA470" s="231"/>
      <c r="AB470" s="231"/>
      <c r="AC470" s="231"/>
      <c r="AD470" s="231"/>
      <c r="AE470" s="231"/>
      <c r="AF470" s="231"/>
    </row>
    <row r="471" spans="1:32" ht="17.399999999999999">
      <c r="A471" s="228"/>
      <c r="B471" s="231"/>
      <c r="C471" s="291"/>
      <c r="D471" s="231"/>
      <c r="E471" s="289"/>
      <c r="F471" s="231"/>
      <c r="G471" s="231"/>
      <c r="H471" s="290"/>
      <c r="I471" s="290"/>
      <c r="J471" s="265"/>
      <c r="K471" s="303"/>
      <c r="L471" s="265"/>
      <c r="M471" s="96"/>
      <c r="N471" s="303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  <c r="AA471" s="231"/>
      <c r="AB471" s="231"/>
      <c r="AC471" s="231"/>
      <c r="AD471" s="231"/>
      <c r="AE471" s="231"/>
      <c r="AF471" s="231"/>
    </row>
    <row r="472" spans="1:32" ht="17.399999999999999">
      <c r="A472" s="228"/>
      <c r="B472" s="231"/>
      <c r="C472" s="291"/>
      <c r="D472" s="231"/>
      <c r="E472" s="289"/>
      <c r="F472" s="231"/>
      <c r="G472" s="231"/>
      <c r="H472" s="290"/>
      <c r="I472" s="290"/>
      <c r="J472" s="265"/>
      <c r="K472" s="303"/>
      <c r="L472" s="265"/>
      <c r="M472" s="96"/>
      <c r="N472" s="303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  <c r="AA472" s="231"/>
      <c r="AB472" s="231"/>
      <c r="AC472" s="231"/>
      <c r="AD472" s="231"/>
      <c r="AE472" s="231"/>
      <c r="AF472" s="231"/>
    </row>
    <row r="473" spans="1:32" ht="17.399999999999999">
      <c r="A473" s="228"/>
      <c r="B473" s="231"/>
      <c r="C473" s="291"/>
      <c r="D473" s="231"/>
      <c r="E473" s="289"/>
      <c r="F473" s="231"/>
      <c r="G473" s="231"/>
      <c r="H473" s="290"/>
      <c r="I473" s="290"/>
      <c r="J473" s="265"/>
      <c r="K473" s="303"/>
      <c r="L473" s="265"/>
      <c r="M473" s="96"/>
      <c r="N473" s="303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  <c r="AA473" s="231"/>
      <c r="AB473" s="231"/>
      <c r="AC473" s="231"/>
      <c r="AD473" s="231"/>
      <c r="AE473" s="231"/>
      <c r="AF473" s="231"/>
    </row>
    <row r="474" spans="1:32" ht="17.399999999999999">
      <c r="A474" s="228"/>
      <c r="B474" s="231"/>
      <c r="C474" s="291"/>
      <c r="D474" s="231"/>
      <c r="E474" s="289"/>
      <c r="F474" s="231"/>
      <c r="G474" s="231"/>
      <c r="H474" s="290"/>
      <c r="I474" s="290"/>
      <c r="J474" s="265"/>
      <c r="K474" s="303"/>
      <c r="L474" s="265"/>
      <c r="M474" s="96"/>
      <c r="N474" s="303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  <c r="AA474" s="231"/>
      <c r="AB474" s="231"/>
      <c r="AC474" s="231"/>
      <c r="AD474" s="231"/>
      <c r="AE474" s="231"/>
      <c r="AF474" s="231"/>
    </row>
    <row r="475" spans="1:32" ht="17.399999999999999">
      <c r="A475" s="228"/>
      <c r="B475" s="231"/>
      <c r="C475" s="291"/>
      <c r="D475" s="231"/>
      <c r="E475" s="289"/>
      <c r="F475" s="231"/>
      <c r="G475" s="231"/>
      <c r="H475" s="290"/>
      <c r="I475" s="290"/>
      <c r="J475" s="265"/>
      <c r="K475" s="303"/>
      <c r="L475" s="265"/>
      <c r="M475" s="96"/>
      <c r="N475" s="303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  <c r="AA475" s="231"/>
      <c r="AB475" s="231"/>
      <c r="AC475" s="231"/>
      <c r="AD475" s="231"/>
      <c r="AE475" s="231"/>
      <c r="AF475" s="231"/>
    </row>
    <row r="476" spans="1:32" ht="17.399999999999999">
      <c r="A476" s="228"/>
      <c r="B476" s="231"/>
      <c r="C476" s="291"/>
      <c r="D476" s="231"/>
      <c r="E476" s="289"/>
      <c r="F476" s="231"/>
      <c r="G476" s="231"/>
      <c r="H476" s="290"/>
      <c r="I476" s="290"/>
      <c r="J476" s="265"/>
      <c r="K476" s="303"/>
      <c r="L476" s="265"/>
      <c r="M476" s="96"/>
      <c r="N476" s="303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  <c r="AA476" s="231"/>
      <c r="AB476" s="231"/>
      <c r="AC476" s="231"/>
      <c r="AD476" s="231"/>
      <c r="AE476" s="231"/>
      <c r="AF476" s="231"/>
    </row>
    <row r="477" spans="1:32" ht="17.399999999999999">
      <c r="A477" s="228"/>
      <c r="B477" s="231"/>
      <c r="C477" s="291"/>
      <c r="D477" s="231"/>
      <c r="E477" s="289"/>
      <c r="F477" s="231"/>
      <c r="G477" s="231"/>
      <c r="H477" s="290"/>
      <c r="I477" s="290"/>
      <c r="J477" s="265"/>
      <c r="K477" s="303"/>
      <c r="L477" s="265"/>
      <c r="M477" s="96"/>
      <c r="N477" s="303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  <c r="AA477" s="231"/>
      <c r="AB477" s="231"/>
      <c r="AC477" s="231"/>
      <c r="AD477" s="231"/>
      <c r="AE477" s="231"/>
      <c r="AF477" s="231"/>
    </row>
    <row r="478" spans="1:32" ht="17.399999999999999">
      <c r="A478" s="228"/>
      <c r="B478" s="231"/>
      <c r="C478" s="291"/>
      <c r="D478" s="231"/>
      <c r="E478" s="289"/>
      <c r="F478" s="231"/>
      <c r="G478" s="231"/>
      <c r="H478" s="290"/>
      <c r="I478" s="290"/>
      <c r="J478" s="265"/>
      <c r="K478" s="303"/>
      <c r="L478" s="265"/>
      <c r="M478" s="96"/>
      <c r="N478" s="303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  <c r="AA478" s="231"/>
      <c r="AB478" s="231"/>
      <c r="AC478" s="231"/>
      <c r="AD478" s="231"/>
      <c r="AE478" s="231"/>
      <c r="AF478" s="231"/>
    </row>
    <row r="479" spans="1:32" ht="17.399999999999999">
      <c r="A479" s="228"/>
      <c r="B479" s="231"/>
      <c r="C479" s="291"/>
      <c r="D479" s="231"/>
      <c r="E479" s="289"/>
      <c r="F479" s="231"/>
      <c r="G479" s="231"/>
      <c r="H479" s="290"/>
      <c r="I479" s="290"/>
      <c r="J479" s="265"/>
      <c r="K479" s="303"/>
      <c r="L479" s="265"/>
      <c r="M479" s="96"/>
      <c r="N479" s="303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  <c r="AA479" s="231"/>
      <c r="AB479" s="231"/>
      <c r="AC479" s="231"/>
      <c r="AD479" s="231"/>
      <c r="AE479" s="231"/>
      <c r="AF479" s="231"/>
    </row>
    <row r="480" spans="1:32" ht="17.399999999999999">
      <c r="A480" s="228"/>
      <c r="B480" s="231"/>
      <c r="C480" s="291"/>
      <c r="D480" s="231"/>
      <c r="E480" s="289"/>
      <c r="F480" s="231"/>
      <c r="G480" s="231"/>
      <c r="H480" s="290"/>
      <c r="I480" s="290"/>
      <c r="J480" s="265"/>
      <c r="K480" s="303"/>
      <c r="L480" s="265"/>
      <c r="M480" s="96"/>
      <c r="N480" s="303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  <c r="AA480" s="231"/>
      <c r="AB480" s="231"/>
      <c r="AC480" s="231"/>
      <c r="AD480" s="231"/>
      <c r="AE480" s="231"/>
      <c r="AF480" s="231"/>
    </row>
    <row r="481" spans="1:32" ht="17.399999999999999">
      <c r="A481" s="228"/>
      <c r="B481" s="231"/>
      <c r="C481" s="291"/>
      <c r="D481" s="231"/>
      <c r="E481" s="289"/>
      <c r="F481" s="231"/>
      <c r="G481" s="231"/>
      <c r="H481" s="290"/>
      <c r="I481" s="290"/>
      <c r="J481" s="265"/>
      <c r="K481" s="303"/>
      <c r="L481" s="265"/>
      <c r="M481" s="96"/>
      <c r="N481" s="303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  <c r="AA481" s="231"/>
      <c r="AB481" s="231"/>
      <c r="AC481" s="231"/>
      <c r="AD481" s="231"/>
      <c r="AE481" s="231"/>
      <c r="AF481" s="231"/>
    </row>
    <row r="482" spans="1:32" ht="17.399999999999999">
      <c r="A482" s="228"/>
      <c r="B482" s="231"/>
      <c r="C482" s="291"/>
      <c r="D482" s="231"/>
      <c r="E482" s="289"/>
      <c r="F482" s="231"/>
      <c r="G482" s="231"/>
      <c r="H482" s="290"/>
      <c r="I482" s="290"/>
      <c r="J482" s="265"/>
      <c r="K482" s="303"/>
      <c r="L482" s="265"/>
      <c r="M482" s="96"/>
      <c r="N482" s="303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  <c r="AA482" s="231"/>
      <c r="AB482" s="231"/>
      <c r="AC482" s="231"/>
      <c r="AD482" s="231"/>
      <c r="AE482" s="231"/>
      <c r="AF482" s="231"/>
    </row>
    <row r="483" spans="1:32" ht="17.399999999999999">
      <c r="A483" s="228"/>
      <c r="B483" s="231"/>
      <c r="C483" s="291"/>
      <c r="D483" s="231"/>
      <c r="E483" s="289"/>
      <c r="F483" s="231"/>
      <c r="G483" s="231"/>
      <c r="H483" s="290"/>
      <c r="I483" s="290"/>
      <c r="J483" s="265"/>
      <c r="K483" s="303"/>
      <c r="L483" s="265"/>
      <c r="M483" s="96"/>
      <c r="N483" s="303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  <c r="AA483" s="231"/>
      <c r="AB483" s="231"/>
      <c r="AC483" s="231"/>
      <c r="AD483" s="231"/>
      <c r="AE483" s="231"/>
      <c r="AF483" s="231"/>
    </row>
    <row r="484" spans="1:32" ht="17.399999999999999">
      <c r="A484" s="228"/>
      <c r="B484" s="231"/>
      <c r="C484" s="291"/>
      <c r="D484" s="231"/>
      <c r="E484" s="289"/>
      <c r="F484" s="231"/>
      <c r="G484" s="231"/>
      <c r="H484" s="290"/>
      <c r="I484" s="290"/>
      <c r="J484" s="265"/>
      <c r="K484" s="303"/>
      <c r="L484" s="265"/>
      <c r="M484" s="96"/>
      <c r="N484" s="303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  <c r="AA484" s="231"/>
      <c r="AB484" s="231"/>
      <c r="AC484" s="231"/>
      <c r="AD484" s="231"/>
      <c r="AE484" s="231"/>
      <c r="AF484" s="231"/>
    </row>
    <row r="485" spans="1:32" ht="17.399999999999999">
      <c r="A485" s="228"/>
      <c r="B485" s="231"/>
      <c r="C485" s="291"/>
      <c r="D485" s="231"/>
      <c r="E485" s="289"/>
      <c r="F485" s="231"/>
      <c r="G485" s="231"/>
      <c r="H485" s="290"/>
      <c r="I485" s="290"/>
      <c r="J485" s="265"/>
      <c r="K485" s="303"/>
      <c r="L485" s="265"/>
      <c r="M485" s="96"/>
      <c r="N485" s="303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  <c r="AA485" s="231"/>
      <c r="AB485" s="231"/>
      <c r="AC485" s="231"/>
      <c r="AD485" s="231"/>
      <c r="AE485" s="231"/>
      <c r="AF485" s="231"/>
    </row>
    <row r="486" spans="1:32" ht="17.399999999999999">
      <c r="A486" s="228"/>
      <c r="B486" s="231"/>
      <c r="C486" s="291"/>
      <c r="D486" s="231"/>
      <c r="E486" s="289"/>
      <c r="F486" s="231"/>
      <c r="G486" s="231"/>
      <c r="H486" s="290"/>
      <c r="I486" s="290"/>
      <c r="J486" s="265"/>
      <c r="K486" s="303"/>
      <c r="L486" s="265"/>
      <c r="M486" s="96"/>
      <c r="N486" s="303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  <c r="AA486" s="231"/>
      <c r="AB486" s="231"/>
      <c r="AC486" s="231"/>
      <c r="AD486" s="231"/>
      <c r="AE486" s="231"/>
      <c r="AF486" s="231"/>
    </row>
    <row r="487" spans="1:32" ht="17.399999999999999">
      <c r="A487" s="228"/>
      <c r="B487" s="231"/>
      <c r="C487" s="291"/>
      <c r="D487" s="231"/>
      <c r="E487" s="289"/>
      <c r="F487" s="231"/>
      <c r="G487" s="231"/>
      <c r="H487" s="290"/>
      <c r="I487" s="290"/>
      <c r="J487" s="265"/>
      <c r="K487" s="303"/>
      <c r="L487" s="265"/>
      <c r="M487" s="96"/>
      <c r="N487" s="303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  <c r="AA487" s="231"/>
      <c r="AB487" s="231"/>
      <c r="AC487" s="231"/>
      <c r="AD487" s="231"/>
      <c r="AE487" s="231"/>
      <c r="AF487" s="231"/>
    </row>
    <row r="488" spans="1:32" ht="17.399999999999999">
      <c r="A488" s="228"/>
      <c r="B488" s="231"/>
      <c r="C488" s="291"/>
      <c r="D488" s="231"/>
      <c r="E488" s="289"/>
      <c r="F488" s="231"/>
      <c r="G488" s="231"/>
      <c r="H488" s="290"/>
      <c r="I488" s="290"/>
      <c r="J488" s="265"/>
      <c r="K488" s="303"/>
      <c r="L488" s="265"/>
      <c r="M488" s="96"/>
      <c r="N488" s="303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  <c r="AA488" s="231"/>
      <c r="AB488" s="231"/>
      <c r="AC488" s="231"/>
      <c r="AD488" s="231"/>
      <c r="AE488" s="231"/>
      <c r="AF488" s="231"/>
    </row>
    <row r="489" spans="1:32" ht="17.399999999999999">
      <c r="A489" s="228"/>
      <c r="B489" s="231"/>
      <c r="C489" s="291"/>
      <c r="D489" s="231"/>
      <c r="E489" s="289"/>
      <c r="F489" s="231"/>
      <c r="G489" s="231"/>
      <c r="H489" s="290"/>
      <c r="I489" s="290"/>
      <c r="J489" s="265"/>
      <c r="K489" s="303"/>
      <c r="L489" s="265"/>
      <c r="M489" s="96"/>
      <c r="N489" s="303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  <c r="AA489" s="231"/>
      <c r="AB489" s="231"/>
      <c r="AC489" s="231"/>
      <c r="AD489" s="231"/>
      <c r="AE489" s="231"/>
      <c r="AF489" s="231"/>
    </row>
    <row r="490" spans="1:32" ht="17.399999999999999">
      <c r="A490" s="228"/>
      <c r="B490" s="231"/>
      <c r="C490" s="291"/>
      <c r="D490" s="231"/>
      <c r="E490" s="289"/>
      <c r="F490" s="231"/>
      <c r="G490" s="231"/>
      <c r="H490" s="290"/>
      <c r="I490" s="290"/>
      <c r="J490" s="265"/>
      <c r="K490" s="303"/>
      <c r="L490" s="265"/>
      <c r="M490" s="96"/>
      <c r="N490" s="303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  <c r="AA490" s="231"/>
      <c r="AB490" s="231"/>
      <c r="AC490" s="231"/>
      <c r="AD490" s="231"/>
      <c r="AE490" s="231"/>
      <c r="AF490" s="231"/>
    </row>
    <row r="491" spans="1:32" ht="17.399999999999999">
      <c r="A491" s="228"/>
      <c r="B491" s="231"/>
      <c r="C491" s="291"/>
      <c r="D491" s="231"/>
      <c r="E491" s="289"/>
      <c r="F491" s="231"/>
      <c r="G491" s="231"/>
      <c r="H491" s="290"/>
      <c r="I491" s="290"/>
      <c r="J491" s="265"/>
      <c r="K491" s="303"/>
      <c r="L491" s="265"/>
      <c r="M491" s="96"/>
      <c r="N491" s="303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  <c r="AA491" s="231"/>
      <c r="AB491" s="231"/>
      <c r="AC491" s="231"/>
      <c r="AD491" s="231"/>
      <c r="AE491" s="231"/>
      <c r="AF491" s="231"/>
    </row>
    <row r="492" spans="1:32" ht="17.399999999999999">
      <c r="A492" s="228"/>
      <c r="B492" s="231"/>
      <c r="C492" s="291"/>
      <c r="D492" s="231"/>
      <c r="E492" s="289"/>
      <c r="F492" s="231"/>
      <c r="G492" s="231"/>
      <c r="H492" s="290"/>
      <c r="I492" s="290"/>
      <c r="J492" s="265"/>
      <c r="K492" s="303"/>
      <c r="L492" s="265"/>
      <c r="M492" s="96"/>
      <c r="N492" s="303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  <c r="AA492" s="231"/>
      <c r="AB492" s="231"/>
      <c r="AC492" s="231"/>
      <c r="AD492" s="231"/>
      <c r="AE492" s="231"/>
      <c r="AF492" s="231"/>
    </row>
    <row r="493" spans="1:32" ht="17.399999999999999">
      <c r="A493" s="228"/>
      <c r="B493" s="231"/>
      <c r="C493" s="291"/>
      <c r="D493" s="231"/>
      <c r="E493" s="289"/>
      <c r="F493" s="231"/>
      <c r="G493" s="231"/>
      <c r="H493" s="290"/>
      <c r="I493" s="290"/>
      <c r="J493" s="265"/>
      <c r="K493" s="303"/>
      <c r="L493" s="265"/>
      <c r="M493" s="96"/>
      <c r="N493" s="303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  <c r="AA493" s="231"/>
      <c r="AB493" s="231"/>
      <c r="AC493" s="231"/>
      <c r="AD493" s="231"/>
      <c r="AE493" s="231"/>
      <c r="AF493" s="231"/>
    </row>
    <row r="494" spans="1:32" ht="17.399999999999999">
      <c r="A494" s="228"/>
      <c r="B494" s="231"/>
      <c r="C494" s="291"/>
      <c r="D494" s="231"/>
      <c r="E494" s="289"/>
      <c r="F494" s="231"/>
      <c r="G494" s="231"/>
      <c r="H494" s="290"/>
      <c r="I494" s="290"/>
      <c r="J494" s="265"/>
      <c r="K494" s="303"/>
      <c r="L494" s="265"/>
      <c r="M494" s="96"/>
      <c r="N494" s="303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  <c r="AA494" s="231"/>
      <c r="AB494" s="231"/>
      <c r="AC494" s="231"/>
      <c r="AD494" s="231"/>
      <c r="AE494" s="231"/>
      <c r="AF494" s="231"/>
    </row>
    <row r="495" spans="1:32" ht="17.399999999999999">
      <c r="A495" s="228"/>
      <c r="B495" s="231"/>
      <c r="C495" s="291"/>
      <c r="D495" s="231"/>
      <c r="E495" s="289"/>
      <c r="F495" s="231"/>
      <c r="G495" s="231"/>
      <c r="H495" s="290"/>
      <c r="I495" s="290"/>
      <c r="J495" s="265"/>
      <c r="K495" s="303"/>
      <c r="L495" s="265"/>
      <c r="M495" s="96"/>
      <c r="N495" s="303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  <c r="AA495" s="231"/>
      <c r="AB495" s="231"/>
      <c r="AC495" s="231"/>
      <c r="AD495" s="231"/>
      <c r="AE495" s="231"/>
      <c r="AF495" s="231"/>
    </row>
    <row r="496" spans="1:32" ht="17.399999999999999">
      <c r="A496" s="228"/>
      <c r="B496" s="231"/>
      <c r="C496" s="291"/>
      <c r="D496" s="231"/>
      <c r="E496" s="289"/>
      <c r="F496" s="231"/>
      <c r="G496" s="231"/>
      <c r="H496" s="290"/>
      <c r="I496" s="290"/>
      <c r="J496" s="265"/>
      <c r="K496" s="303"/>
      <c r="L496" s="265"/>
      <c r="M496" s="96"/>
      <c r="N496" s="303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  <c r="AA496" s="231"/>
      <c r="AB496" s="231"/>
      <c r="AC496" s="231"/>
      <c r="AD496" s="231"/>
      <c r="AE496" s="231"/>
      <c r="AF496" s="231"/>
    </row>
    <row r="497" spans="1:32" ht="17.399999999999999">
      <c r="A497" s="228"/>
      <c r="B497" s="231"/>
      <c r="C497" s="291"/>
      <c r="D497" s="231"/>
      <c r="E497" s="289"/>
      <c r="F497" s="231"/>
      <c r="G497" s="231"/>
      <c r="H497" s="290"/>
      <c r="I497" s="290"/>
      <c r="J497" s="265"/>
      <c r="K497" s="303"/>
      <c r="L497" s="265"/>
      <c r="M497" s="96"/>
      <c r="N497" s="303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  <c r="AA497" s="231"/>
      <c r="AB497" s="231"/>
      <c r="AC497" s="231"/>
      <c r="AD497" s="231"/>
      <c r="AE497" s="231"/>
      <c r="AF497" s="231"/>
    </row>
    <row r="498" spans="1:32" ht="17.399999999999999">
      <c r="A498" s="228"/>
      <c r="B498" s="231"/>
      <c r="C498" s="291"/>
      <c r="D498" s="231"/>
      <c r="E498" s="289"/>
      <c r="F498" s="231"/>
      <c r="G498" s="231"/>
      <c r="H498" s="290"/>
      <c r="I498" s="290"/>
      <c r="J498" s="265"/>
      <c r="K498" s="303"/>
      <c r="L498" s="265"/>
      <c r="M498" s="96"/>
      <c r="N498" s="303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  <c r="AA498" s="231"/>
      <c r="AB498" s="231"/>
      <c r="AC498" s="231"/>
      <c r="AD498" s="231"/>
      <c r="AE498" s="231"/>
      <c r="AF498" s="231"/>
    </row>
    <row r="499" spans="1:32" ht="17.399999999999999">
      <c r="A499" s="228"/>
      <c r="B499" s="231"/>
      <c r="C499" s="291"/>
      <c r="D499" s="231"/>
      <c r="E499" s="289"/>
      <c r="F499" s="231"/>
      <c r="G499" s="231"/>
      <c r="H499" s="290"/>
      <c r="I499" s="290"/>
      <c r="J499" s="265"/>
      <c r="K499" s="303"/>
      <c r="L499" s="265"/>
      <c r="M499" s="96"/>
      <c r="N499" s="303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  <c r="AA499" s="231"/>
      <c r="AB499" s="231"/>
      <c r="AC499" s="231"/>
      <c r="AD499" s="231"/>
      <c r="AE499" s="231"/>
      <c r="AF499" s="231"/>
    </row>
    <row r="500" spans="1:32" ht="17.399999999999999">
      <c r="A500" s="228"/>
      <c r="B500" s="231"/>
      <c r="C500" s="291"/>
      <c r="D500" s="231"/>
      <c r="E500" s="289"/>
      <c r="F500" s="231"/>
      <c r="G500" s="231"/>
      <c r="H500" s="290"/>
      <c r="I500" s="290"/>
      <c r="J500" s="265"/>
      <c r="K500" s="303"/>
      <c r="L500" s="265"/>
      <c r="M500" s="96"/>
      <c r="N500" s="303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  <c r="AA500" s="231"/>
      <c r="AB500" s="231"/>
      <c r="AC500" s="231"/>
      <c r="AD500" s="231"/>
      <c r="AE500" s="231"/>
      <c r="AF500" s="231"/>
    </row>
    <row r="501" spans="1:32" ht="17.399999999999999">
      <c r="A501" s="228"/>
      <c r="B501" s="231"/>
      <c r="C501" s="291"/>
      <c r="D501" s="231"/>
      <c r="E501" s="289"/>
      <c r="F501" s="231"/>
      <c r="G501" s="231"/>
      <c r="H501" s="290"/>
      <c r="I501" s="290"/>
      <c r="J501" s="265"/>
      <c r="K501" s="303"/>
      <c r="L501" s="265"/>
      <c r="M501" s="96"/>
      <c r="N501" s="303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  <c r="AA501" s="231"/>
      <c r="AB501" s="231"/>
      <c r="AC501" s="231"/>
      <c r="AD501" s="231"/>
      <c r="AE501" s="231"/>
      <c r="AF501" s="231"/>
    </row>
    <row r="502" spans="1:32" ht="17.399999999999999">
      <c r="A502" s="228"/>
      <c r="B502" s="231"/>
      <c r="C502" s="291"/>
      <c r="D502" s="231"/>
      <c r="E502" s="289"/>
      <c r="F502" s="231"/>
      <c r="G502" s="231"/>
      <c r="H502" s="290"/>
      <c r="I502" s="290"/>
      <c r="J502" s="265"/>
      <c r="K502" s="303"/>
      <c r="L502" s="265"/>
      <c r="M502" s="96"/>
      <c r="N502" s="303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  <c r="AA502" s="231"/>
      <c r="AB502" s="231"/>
      <c r="AC502" s="231"/>
      <c r="AD502" s="231"/>
      <c r="AE502" s="231"/>
      <c r="AF502" s="231"/>
    </row>
    <row r="503" spans="1:32" ht="17.399999999999999">
      <c r="A503" s="228"/>
      <c r="B503" s="231"/>
      <c r="C503" s="291"/>
      <c r="D503" s="231"/>
      <c r="E503" s="289"/>
      <c r="F503" s="231"/>
      <c r="G503" s="231"/>
      <c r="H503" s="290"/>
      <c r="I503" s="290"/>
      <c r="J503" s="265"/>
      <c r="K503" s="303"/>
      <c r="L503" s="265"/>
      <c r="M503" s="96"/>
      <c r="N503" s="303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  <c r="AA503" s="231"/>
      <c r="AB503" s="231"/>
      <c r="AC503" s="231"/>
      <c r="AD503" s="231"/>
      <c r="AE503" s="231"/>
      <c r="AF503" s="231"/>
    </row>
    <row r="504" spans="1:32" ht="17.399999999999999">
      <c r="A504" s="228"/>
      <c r="B504" s="231"/>
      <c r="C504" s="291"/>
      <c r="D504" s="231"/>
      <c r="E504" s="289"/>
      <c r="F504" s="231"/>
      <c r="G504" s="231"/>
      <c r="H504" s="290"/>
      <c r="I504" s="290"/>
      <c r="J504" s="265"/>
      <c r="K504" s="303"/>
      <c r="L504" s="265"/>
      <c r="M504" s="96"/>
      <c r="N504" s="303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  <c r="AA504" s="231"/>
      <c r="AB504" s="231"/>
      <c r="AC504" s="231"/>
      <c r="AD504" s="231"/>
      <c r="AE504" s="231"/>
      <c r="AF504" s="231"/>
    </row>
    <row r="505" spans="1:32" ht="17.399999999999999">
      <c r="A505" s="228"/>
      <c r="B505" s="231"/>
      <c r="C505" s="291"/>
      <c r="D505" s="231"/>
      <c r="E505" s="289"/>
      <c r="F505" s="231"/>
      <c r="G505" s="231"/>
      <c r="H505" s="290"/>
      <c r="I505" s="290"/>
      <c r="J505" s="265"/>
      <c r="K505" s="303"/>
      <c r="L505" s="265"/>
      <c r="M505" s="96"/>
      <c r="N505" s="303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  <c r="AA505" s="231"/>
      <c r="AB505" s="231"/>
      <c r="AC505" s="231"/>
      <c r="AD505" s="231"/>
      <c r="AE505" s="231"/>
      <c r="AF505" s="231"/>
    </row>
    <row r="506" spans="1:32" ht="17.399999999999999">
      <c r="A506" s="228"/>
      <c r="B506" s="231"/>
      <c r="C506" s="291"/>
      <c r="D506" s="231"/>
      <c r="E506" s="289"/>
      <c r="F506" s="231"/>
      <c r="G506" s="231"/>
      <c r="H506" s="290"/>
      <c r="I506" s="290"/>
      <c r="J506" s="265"/>
      <c r="K506" s="303"/>
      <c r="L506" s="265"/>
      <c r="M506" s="96"/>
      <c r="N506" s="303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  <c r="AA506" s="231"/>
      <c r="AB506" s="231"/>
      <c r="AC506" s="231"/>
      <c r="AD506" s="231"/>
      <c r="AE506" s="231"/>
      <c r="AF506" s="231"/>
    </row>
    <row r="507" spans="1:32" ht="17.399999999999999">
      <c r="A507" s="228"/>
      <c r="B507" s="231"/>
      <c r="C507" s="291"/>
      <c r="D507" s="231"/>
      <c r="E507" s="289"/>
      <c r="F507" s="231"/>
      <c r="G507" s="231"/>
      <c r="H507" s="290"/>
      <c r="I507" s="290"/>
      <c r="J507" s="265"/>
      <c r="K507" s="303"/>
      <c r="L507" s="265"/>
      <c r="M507" s="96"/>
      <c r="N507" s="303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  <c r="AA507" s="231"/>
      <c r="AB507" s="231"/>
      <c r="AC507" s="231"/>
      <c r="AD507" s="231"/>
      <c r="AE507" s="231"/>
      <c r="AF507" s="231"/>
    </row>
    <row r="508" spans="1:32" ht="17.399999999999999">
      <c r="A508" s="228"/>
      <c r="B508" s="231"/>
      <c r="C508" s="291"/>
      <c r="D508" s="231"/>
      <c r="E508" s="289"/>
      <c r="F508" s="231"/>
      <c r="G508" s="231"/>
      <c r="H508" s="290"/>
      <c r="I508" s="290"/>
      <c r="J508" s="265"/>
      <c r="K508" s="303"/>
      <c r="L508" s="265"/>
      <c r="M508" s="96"/>
      <c r="N508" s="303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  <c r="AA508" s="231"/>
      <c r="AB508" s="231"/>
      <c r="AC508" s="231"/>
      <c r="AD508" s="231"/>
      <c r="AE508" s="231"/>
      <c r="AF508" s="231"/>
    </row>
    <row r="509" spans="1:32" ht="17.399999999999999">
      <c r="A509" s="228"/>
      <c r="B509" s="231"/>
      <c r="C509" s="291"/>
      <c r="D509" s="231"/>
      <c r="E509" s="289"/>
      <c r="F509" s="231"/>
      <c r="G509" s="231"/>
      <c r="H509" s="290"/>
      <c r="I509" s="290"/>
      <c r="J509" s="265"/>
      <c r="K509" s="303"/>
      <c r="L509" s="265"/>
      <c r="M509" s="96"/>
      <c r="N509" s="303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  <c r="AA509" s="231"/>
      <c r="AB509" s="231"/>
      <c r="AC509" s="231"/>
      <c r="AD509" s="231"/>
      <c r="AE509" s="231"/>
      <c r="AF509" s="231"/>
    </row>
    <row r="510" spans="1:32" ht="17.399999999999999">
      <c r="A510" s="228"/>
      <c r="B510" s="231"/>
      <c r="C510" s="291"/>
      <c r="D510" s="231"/>
      <c r="E510" s="289"/>
      <c r="F510" s="231"/>
      <c r="G510" s="231"/>
      <c r="H510" s="290"/>
      <c r="I510" s="290"/>
      <c r="J510" s="265"/>
      <c r="K510" s="303"/>
      <c r="L510" s="265"/>
      <c r="M510" s="96"/>
      <c r="N510" s="303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  <c r="AA510" s="231"/>
      <c r="AB510" s="231"/>
      <c r="AC510" s="231"/>
      <c r="AD510" s="231"/>
      <c r="AE510" s="231"/>
      <c r="AF510" s="231"/>
    </row>
    <row r="511" spans="1:32" ht="17.399999999999999">
      <c r="A511" s="228"/>
      <c r="B511" s="231"/>
      <c r="C511" s="291"/>
      <c r="D511" s="231"/>
      <c r="E511" s="289"/>
      <c r="F511" s="231"/>
      <c r="G511" s="231"/>
      <c r="H511" s="290"/>
      <c r="I511" s="290"/>
      <c r="J511" s="265"/>
      <c r="K511" s="303"/>
      <c r="L511" s="265"/>
      <c r="M511" s="96"/>
      <c r="N511" s="303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  <c r="AA511" s="231"/>
      <c r="AB511" s="231"/>
      <c r="AC511" s="231"/>
      <c r="AD511" s="231"/>
      <c r="AE511" s="231"/>
      <c r="AF511" s="231"/>
    </row>
    <row r="512" spans="1:32" ht="17.399999999999999">
      <c r="A512" s="228"/>
      <c r="B512" s="231"/>
      <c r="C512" s="291"/>
      <c r="D512" s="231"/>
      <c r="E512" s="289"/>
      <c r="F512" s="231"/>
      <c r="G512" s="231"/>
      <c r="H512" s="290"/>
      <c r="I512" s="290"/>
      <c r="J512" s="265"/>
      <c r="K512" s="303"/>
      <c r="L512" s="265"/>
      <c r="M512" s="96"/>
      <c r="N512" s="303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  <c r="AA512" s="231"/>
      <c r="AB512" s="231"/>
      <c r="AC512" s="231"/>
      <c r="AD512" s="231"/>
      <c r="AE512" s="231"/>
      <c r="AF512" s="231"/>
    </row>
    <row r="513" spans="1:32" ht="17.399999999999999">
      <c r="A513" s="228"/>
      <c r="B513" s="231"/>
      <c r="C513" s="291"/>
      <c r="D513" s="231"/>
      <c r="E513" s="289"/>
      <c r="F513" s="231"/>
      <c r="G513" s="231"/>
      <c r="H513" s="290"/>
      <c r="I513" s="290"/>
      <c r="J513" s="265"/>
      <c r="K513" s="303"/>
      <c r="L513" s="265"/>
      <c r="M513" s="96"/>
      <c r="N513" s="303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  <c r="AA513" s="231"/>
      <c r="AB513" s="231"/>
      <c r="AC513" s="231"/>
      <c r="AD513" s="231"/>
      <c r="AE513" s="231"/>
      <c r="AF513" s="231"/>
    </row>
    <row r="514" spans="1:32" ht="17.399999999999999">
      <c r="A514" s="228"/>
      <c r="B514" s="231"/>
      <c r="C514" s="291"/>
      <c r="D514" s="231"/>
      <c r="E514" s="289"/>
      <c r="F514" s="231"/>
      <c r="G514" s="231"/>
      <c r="H514" s="290"/>
      <c r="I514" s="290"/>
      <c r="J514" s="265"/>
      <c r="K514" s="303"/>
      <c r="L514" s="265"/>
      <c r="M514" s="96"/>
      <c r="N514" s="303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  <c r="AA514" s="231"/>
      <c r="AB514" s="231"/>
      <c r="AC514" s="231"/>
      <c r="AD514" s="231"/>
      <c r="AE514" s="231"/>
      <c r="AF514" s="231"/>
    </row>
    <row r="515" spans="1:32" ht="17.399999999999999">
      <c r="A515" s="228"/>
      <c r="B515" s="231"/>
      <c r="C515" s="291"/>
      <c r="D515" s="231"/>
      <c r="E515" s="289"/>
      <c r="F515" s="231"/>
      <c r="G515" s="231"/>
      <c r="H515" s="290"/>
      <c r="I515" s="290"/>
      <c r="J515" s="265"/>
      <c r="K515" s="303"/>
      <c r="L515" s="265"/>
      <c r="M515" s="96"/>
      <c r="N515" s="303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  <c r="AA515" s="231"/>
      <c r="AB515" s="231"/>
      <c r="AC515" s="231"/>
      <c r="AD515" s="231"/>
      <c r="AE515" s="231"/>
      <c r="AF515" s="231"/>
    </row>
    <row r="516" spans="1:32" ht="17.399999999999999">
      <c r="A516" s="228"/>
      <c r="B516" s="231"/>
      <c r="C516" s="291"/>
      <c r="D516" s="231"/>
      <c r="E516" s="289"/>
      <c r="F516" s="231"/>
      <c r="G516" s="231"/>
      <c r="H516" s="290"/>
      <c r="I516" s="290"/>
      <c r="J516" s="265"/>
      <c r="K516" s="303"/>
      <c r="L516" s="265"/>
      <c r="M516" s="96"/>
      <c r="N516" s="303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  <c r="AA516" s="231"/>
      <c r="AB516" s="231"/>
      <c r="AC516" s="231"/>
      <c r="AD516" s="231"/>
      <c r="AE516" s="231"/>
      <c r="AF516" s="231"/>
    </row>
    <row r="517" spans="1:32" ht="17.399999999999999">
      <c r="A517" s="228"/>
      <c r="B517" s="231"/>
      <c r="C517" s="291"/>
      <c r="D517" s="231"/>
      <c r="E517" s="289"/>
      <c r="F517" s="231"/>
      <c r="G517" s="231"/>
      <c r="H517" s="290"/>
      <c r="I517" s="290"/>
      <c r="J517" s="265"/>
      <c r="K517" s="303"/>
      <c r="L517" s="265"/>
      <c r="M517" s="96"/>
      <c r="N517" s="303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  <c r="AA517" s="231"/>
      <c r="AB517" s="231"/>
      <c r="AC517" s="231"/>
      <c r="AD517" s="231"/>
      <c r="AE517" s="231"/>
      <c r="AF517" s="231"/>
    </row>
    <row r="518" spans="1:32" ht="17.399999999999999">
      <c r="A518" s="228"/>
      <c r="B518" s="231"/>
      <c r="C518" s="291"/>
      <c r="D518" s="231"/>
      <c r="E518" s="289"/>
      <c r="F518" s="231"/>
      <c r="G518" s="231"/>
      <c r="H518" s="290"/>
      <c r="I518" s="290"/>
      <c r="J518" s="265"/>
      <c r="K518" s="303"/>
      <c r="L518" s="265"/>
      <c r="M518" s="96"/>
      <c r="N518" s="303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  <c r="AA518" s="231"/>
      <c r="AB518" s="231"/>
      <c r="AC518" s="231"/>
      <c r="AD518" s="231"/>
      <c r="AE518" s="231"/>
      <c r="AF518" s="231"/>
    </row>
    <row r="519" spans="1:32" ht="17.399999999999999">
      <c r="A519" s="228"/>
      <c r="B519" s="231"/>
      <c r="C519" s="291"/>
      <c r="D519" s="231"/>
      <c r="E519" s="289"/>
      <c r="F519" s="231"/>
      <c r="G519" s="231"/>
      <c r="H519" s="290"/>
      <c r="I519" s="290"/>
      <c r="J519" s="265"/>
      <c r="K519" s="303"/>
      <c r="L519" s="265"/>
      <c r="M519" s="96"/>
      <c r="N519" s="303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  <c r="AA519" s="231"/>
      <c r="AB519" s="231"/>
      <c r="AC519" s="231"/>
      <c r="AD519" s="231"/>
      <c r="AE519" s="231"/>
      <c r="AF519" s="231"/>
    </row>
    <row r="520" spans="1:32" ht="17.399999999999999">
      <c r="A520" s="228"/>
      <c r="B520" s="231"/>
      <c r="C520" s="291"/>
      <c r="D520" s="231"/>
      <c r="E520" s="289"/>
      <c r="F520" s="231"/>
      <c r="G520" s="231"/>
      <c r="H520" s="290"/>
      <c r="I520" s="290"/>
      <c r="J520" s="265"/>
      <c r="K520" s="303"/>
      <c r="L520" s="265"/>
      <c r="M520" s="96"/>
      <c r="N520" s="303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  <c r="AA520" s="231"/>
      <c r="AB520" s="231"/>
      <c r="AC520" s="231"/>
      <c r="AD520" s="231"/>
      <c r="AE520" s="231"/>
      <c r="AF520" s="231"/>
    </row>
    <row r="521" spans="1:32" ht="17.399999999999999">
      <c r="A521" s="228"/>
      <c r="B521" s="231"/>
      <c r="C521" s="291"/>
      <c r="D521" s="231"/>
      <c r="E521" s="289"/>
      <c r="F521" s="231"/>
      <c r="G521" s="231"/>
      <c r="H521" s="290"/>
      <c r="I521" s="290"/>
      <c r="J521" s="265"/>
      <c r="K521" s="303"/>
      <c r="L521" s="265"/>
      <c r="M521" s="96"/>
      <c r="N521" s="303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  <c r="AA521" s="231"/>
      <c r="AB521" s="231"/>
      <c r="AC521" s="231"/>
      <c r="AD521" s="231"/>
      <c r="AE521" s="231"/>
      <c r="AF521" s="231"/>
    </row>
    <row r="522" spans="1:32" ht="17.399999999999999">
      <c r="A522" s="228"/>
      <c r="B522" s="231"/>
      <c r="C522" s="291"/>
      <c r="D522" s="231"/>
      <c r="E522" s="289"/>
      <c r="F522" s="231"/>
      <c r="G522" s="231"/>
      <c r="H522" s="290"/>
      <c r="I522" s="290"/>
      <c r="J522" s="265"/>
      <c r="K522" s="303"/>
      <c r="L522" s="265"/>
      <c r="M522" s="96"/>
      <c r="N522" s="303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  <c r="AA522" s="231"/>
      <c r="AB522" s="231"/>
      <c r="AC522" s="231"/>
      <c r="AD522" s="231"/>
      <c r="AE522" s="231"/>
      <c r="AF522" s="231"/>
    </row>
    <row r="523" spans="1:32" ht="17.399999999999999">
      <c r="A523" s="228"/>
      <c r="B523" s="231"/>
      <c r="C523" s="291"/>
      <c r="D523" s="231"/>
      <c r="E523" s="289"/>
      <c r="F523" s="231"/>
      <c r="G523" s="231"/>
      <c r="H523" s="290"/>
      <c r="I523" s="290"/>
      <c r="J523" s="265"/>
      <c r="K523" s="303"/>
      <c r="L523" s="265"/>
      <c r="M523" s="96"/>
      <c r="N523" s="303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  <c r="AA523" s="231"/>
      <c r="AB523" s="231"/>
      <c r="AC523" s="231"/>
      <c r="AD523" s="231"/>
      <c r="AE523" s="231"/>
      <c r="AF523" s="231"/>
    </row>
    <row r="524" spans="1:32" ht="17.399999999999999">
      <c r="A524" s="228"/>
      <c r="B524" s="231"/>
      <c r="C524" s="291"/>
      <c r="D524" s="231"/>
      <c r="E524" s="289"/>
      <c r="F524" s="231"/>
      <c r="G524" s="231"/>
      <c r="H524" s="290"/>
      <c r="I524" s="290"/>
      <c r="J524" s="265"/>
      <c r="K524" s="303"/>
      <c r="L524" s="265"/>
      <c r="M524" s="96"/>
      <c r="N524" s="303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  <c r="AA524" s="231"/>
      <c r="AB524" s="231"/>
      <c r="AC524" s="231"/>
      <c r="AD524" s="231"/>
      <c r="AE524" s="231"/>
      <c r="AF524" s="231"/>
    </row>
    <row r="525" spans="1:32" ht="17.399999999999999">
      <c r="A525" s="228"/>
      <c r="B525" s="231"/>
      <c r="C525" s="291"/>
      <c r="D525" s="231"/>
      <c r="E525" s="289"/>
      <c r="F525" s="231"/>
      <c r="G525" s="231"/>
      <c r="H525" s="290"/>
      <c r="I525" s="290"/>
      <c r="J525" s="265"/>
      <c r="K525" s="303"/>
      <c r="L525" s="265"/>
      <c r="M525" s="96"/>
      <c r="N525" s="303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  <c r="AA525" s="231"/>
      <c r="AB525" s="231"/>
      <c r="AC525" s="231"/>
      <c r="AD525" s="231"/>
      <c r="AE525" s="231"/>
      <c r="AF525" s="231"/>
    </row>
    <row r="526" spans="1:32" ht="17.399999999999999">
      <c r="A526" s="228"/>
      <c r="B526" s="231"/>
      <c r="C526" s="291"/>
      <c r="D526" s="231"/>
      <c r="E526" s="289"/>
      <c r="F526" s="231"/>
      <c r="G526" s="231"/>
      <c r="H526" s="290"/>
      <c r="I526" s="290"/>
      <c r="J526" s="265"/>
      <c r="K526" s="303"/>
      <c r="L526" s="265"/>
      <c r="M526" s="96"/>
      <c r="N526" s="303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  <c r="AA526" s="231"/>
      <c r="AB526" s="231"/>
      <c r="AC526" s="231"/>
      <c r="AD526" s="231"/>
      <c r="AE526" s="231"/>
      <c r="AF526" s="231"/>
    </row>
    <row r="527" spans="1:32" ht="17.399999999999999">
      <c r="A527" s="228"/>
      <c r="B527" s="231"/>
      <c r="C527" s="291"/>
      <c r="D527" s="231"/>
      <c r="E527" s="289"/>
      <c r="F527" s="231"/>
      <c r="G527" s="231"/>
      <c r="H527" s="290"/>
      <c r="I527" s="290"/>
      <c r="J527" s="265"/>
      <c r="K527" s="303"/>
      <c r="L527" s="265"/>
      <c r="M527" s="96"/>
      <c r="N527" s="303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  <c r="AA527" s="231"/>
      <c r="AB527" s="231"/>
      <c r="AC527" s="231"/>
      <c r="AD527" s="231"/>
      <c r="AE527" s="231"/>
      <c r="AF527" s="231"/>
    </row>
    <row r="528" spans="1:32" ht="17.399999999999999">
      <c r="A528" s="228"/>
      <c r="B528" s="231"/>
      <c r="C528" s="291"/>
      <c r="D528" s="231"/>
      <c r="E528" s="289"/>
      <c r="F528" s="231"/>
      <c r="G528" s="231"/>
      <c r="H528" s="290"/>
      <c r="I528" s="290"/>
      <c r="J528" s="265"/>
      <c r="K528" s="303"/>
      <c r="L528" s="265"/>
      <c r="M528" s="96"/>
      <c r="N528" s="303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  <c r="AA528" s="231"/>
      <c r="AB528" s="231"/>
      <c r="AC528" s="231"/>
      <c r="AD528" s="231"/>
      <c r="AE528" s="231"/>
      <c r="AF528" s="231"/>
    </row>
    <row r="529" spans="1:32" ht="17.399999999999999">
      <c r="A529" s="228"/>
      <c r="B529" s="231"/>
      <c r="C529" s="291"/>
      <c r="D529" s="231"/>
      <c r="E529" s="289"/>
      <c r="F529" s="231"/>
      <c r="G529" s="231"/>
      <c r="H529" s="290"/>
      <c r="I529" s="290"/>
      <c r="J529" s="265"/>
      <c r="K529" s="303"/>
      <c r="L529" s="265"/>
      <c r="M529" s="96"/>
      <c r="N529" s="303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  <c r="AA529" s="231"/>
      <c r="AB529" s="231"/>
      <c r="AC529" s="231"/>
      <c r="AD529" s="231"/>
      <c r="AE529" s="231"/>
      <c r="AF529" s="231"/>
    </row>
    <row r="530" spans="1:32" ht="17.399999999999999">
      <c r="A530" s="228"/>
      <c r="B530" s="231"/>
      <c r="C530" s="291"/>
      <c r="D530" s="231"/>
      <c r="E530" s="289"/>
      <c r="F530" s="231"/>
      <c r="G530" s="231"/>
      <c r="H530" s="290"/>
      <c r="I530" s="290"/>
      <c r="J530" s="265"/>
      <c r="K530" s="303"/>
      <c r="L530" s="265"/>
      <c r="M530" s="96"/>
      <c r="N530" s="303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  <c r="AA530" s="231"/>
      <c r="AB530" s="231"/>
      <c r="AC530" s="231"/>
      <c r="AD530" s="231"/>
      <c r="AE530" s="231"/>
      <c r="AF530" s="231"/>
    </row>
    <row r="531" spans="1:32" ht="17.399999999999999">
      <c r="A531" s="228"/>
      <c r="B531" s="231"/>
      <c r="C531" s="291"/>
      <c r="D531" s="231"/>
      <c r="E531" s="289"/>
      <c r="F531" s="231"/>
      <c r="G531" s="231"/>
      <c r="H531" s="290"/>
      <c r="I531" s="290"/>
      <c r="J531" s="265"/>
      <c r="K531" s="303"/>
      <c r="L531" s="265"/>
      <c r="M531" s="96"/>
      <c r="N531" s="303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  <c r="AA531" s="231"/>
      <c r="AB531" s="231"/>
      <c r="AC531" s="231"/>
      <c r="AD531" s="231"/>
      <c r="AE531" s="231"/>
      <c r="AF531" s="231"/>
    </row>
    <row r="532" spans="1:32" ht="17.399999999999999">
      <c r="A532" s="228"/>
      <c r="B532" s="231"/>
      <c r="C532" s="291"/>
      <c r="D532" s="231"/>
      <c r="E532" s="289"/>
      <c r="F532" s="231"/>
      <c r="G532" s="231"/>
      <c r="H532" s="290"/>
      <c r="I532" s="290"/>
      <c r="J532" s="265"/>
      <c r="K532" s="303"/>
      <c r="L532" s="265"/>
      <c r="M532" s="96"/>
      <c r="N532" s="303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  <c r="AA532" s="231"/>
      <c r="AB532" s="231"/>
      <c r="AC532" s="231"/>
      <c r="AD532" s="231"/>
      <c r="AE532" s="231"/>
      <c r="AF532" s="231"/>
    </row>
    <row r="533" spans="1:32" ht="17.399999999999999">
      <c r="A533" s="228"/>
      <c r="B533" s="231"/>
      <c r="C533" s="291"/>
      <c r="D533" s="231"/>
      <c r="E533" s="289"/>
      <c r="F533" s="231"/>
      <c r="G533" s="231"/>
      <c r="H533" s="290"/>
      <c r="I533" s="290"/>
      <c r="J533" s="265"/>
      <c r="K533" s="303"/>
      <c r="L533" s="265"/>
      <c r="M533" s="96"/>
      <c r="N533" s="303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  <c r="AA533" s="231"/>
      <c r="AB533" s="231"/>
      <c r="AC533" s="231"/>
      <c r="AD533" s="231"/>
      <c r="AE533" s="231"/>
      <c r="AF533" s="231"/>
    </row>
    <row r="534" spans="1:32" ht="17.399999999999999">
      <c r="A534" s="228"/>
      <c r="B534" s="231"/>
      <c r="C534" s="291"/>
      <c r="D534" s="231"/>
      <c r="E534" s="289"/>
      <c r="F534" s="231"/>
      <c r="G534" s="231"/>
      <c r="H534" s="290"/>
      <c r="I534" s="290"/>
      <c r="J534" s="265"/>
      <c r="K534" s="303"/>
      <c r="L534" s="265"/>
      <c r="M534" s="96"/>
      <c r="N534" s="303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  <c r="AA534" s="231"/>
      <c r="AB534" s="231"/>
      <c r="AC534" s="231"/>
      <c r="AD534" s="231"/>
      <c r="AE534" s="231"/>
      <c r="AF534" s="231"/>
    </row>
    <row r="535" spans="1:32" ht="17.399999999999999">
      <c r="A535" s="228"/>
      <c r="B535" s="231"/>
      <c r="C535" s="291"/>
      <c r="D535" s="231"/>
      <c r="E535" s="289"/>
      <c r="F535" s="231"/>
      <c r="G535" s="231"/>
      <c r="H535" s="290"/>
      <c r="I535" s="290"/>
      <c r="J535" s="265"/>
      <c r="K535" s="303"/>
      <c r="L535" s="265"/>
      <c r="M535" s="96"/>
      <c r="N535" s="303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  <c r="AA535" s="231"/>
      <c r="AB535" s="231"/>
      <c r="AC535" s="231"/>
      <c r="AD535" s="231"/>
      <c r="AE535" s="231"/>
      <c r="AF535" s="231"/>
    </row>
    <row r="536" spans="1:32" ht="17.399999999999999">
      <c r="A536" s="228"/>
      <c r="B536" s="231"/>
      <c r="C536" s="291"/>
      <c r="D536" s="231"/>
      <c r="E536" s="289"/>
      <c r="F536" s="231"/>
      <c r="G536" s="231"/>
      <c r="H536" s="290"/>
      <c r="I536" s="290"/>
      <c r="J536" s="265"/>
      <c r="K536" s="303"/>
      <c r="L536" s="265"/>
      <c r="M536" s="96"/>
      <c r="N536" s="303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  <c r="AA536" s="231"/>
      <c r="AB536" s="231"/>
      <c r="AC536" s="231"/>
      <c r="AD536" s="231"/>
      <c r="AE536" s="231"/>
      <c r="AF536" s="231"/>
    </row>
    <row r="537" spans="1:32" ht="17.399999999999999">
      <c r="A537" s="228"/>
      <c r="B537" s="231"/>
      <c r="C537" s="291"/>
      <c r="D537" s="231"/>
      <c r="E537" s="289"/>
      <c r="F537" s="231"/>
      <c r="G537" s="231"/>
      <c r="H537" s="290"/>
      <c r="I537" s="290"/>
      <c r="J537" s="265"/>
      <c r="K537" s="303"/>
      <c r="L537" s="265"/>
      <c r="M537" s="96"/>
      <c r="N537" s="303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  <c r="AA537" s="231"/>
      <c r="AB537" s="231"/>
      <c r="AC537" s="231"/>
      <c r="AD537" s="231"/>
      <c r="AE537" s="231"/>
      <c r="AF537" s="231"/>
    </row>
    <row r="538" spans="1:32" ht="17.399999999999999">
      <c r="A538" s="228"/>
      <c r="B538" s="231"/>
      <c r="C538" s="291"/>
      <c r="D538" s="231"/>
      <c r="E538" s="289"/>
      <c r="F538" s="231"/>
      <c r="G538" s="231"/>
      <c r="H538" s="290"/>
      <c r="I538" s="290"/>
      <c r="J538" s="265"/>
      <c r="K538" s="303"/>
      <c r="L538" s="265"/>
      <c r="M538" s="96"/>
      <c r="N538" s="303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  <c r="AA538" s="231"/>
      <c r="AB538" s="231"/>
      <c r="AC538" s="231"/>
      <c r="AD538" s="231"/>
      <c r="AE538" s="231"/>
      <c r="AF538" s="231"/>
    </row>
    <row r="539" spans="1:32" ht="17.399999999999999">
      <c r="A539" s="228"/>
      <c r="B539" s="231"/>
      <c r="C539" s="291"/>
      <c r="D539" s="231"/>
      <c r="E539" s="289"/>
      <c r="F539" s="231"/>
      <c r="G539" s="231"/>
      <c r="H539" s="290"/>
      <c r="I539" s="290"/>
      <c r="J539" s="265"/>
      <c r="K539" s="303"/>
      <c r="L539" s="265"/>
      <c r="M539" s="96"/>
      <c r="N539" s="303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  <c r="AA539" s="231"/>
      <c r="AB539" s="231"/>
      <c r="AC539" s="231"/>
      <c r="AD539" s="231"/>
      <c r="AE539" s="231"/>
      <c r="AF539" s="231"/>
    </row>
    <row r="540" spans="1:32" ht="17.399999999999999">
      <c r="A540" s="228"/>
      <c r="B540" s="231"/>
      <c r="C540" s="291"/>
      <c r="D540" s="231"/>
      <c r="E540" s="289"/>
      <c r="F540" s="231"/>
      <c r="G540" s="231"/>
      <c r="H540" s="290"/>
      <c r="I540" s="290"/>
      <c r="J540" s="265"/>
      <c r="K540" s="303"/>
      <c r="L540" s="265"/>
      <c r="M540" s="96"/>
      <c r="N540" s="303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  <c r="AA540" s="231"/>
      <c r="AB540" s="231"/>
      <c r="AC540" s="231"/>
      <c r="AD540" s="231"/>
      <c r="AE540" s="231"/>
      <c r="AF540" s="231"/>
    </row>
    <row r="541" spans="1:32" ht="17.399999999999999">
      <c r="A541" s="228"/>
      <c r="B541" s="231"/>
      <c r="C541" s="291"/>
      <c r="D541" s="231"/>
      <c r="E541" s="289"/>
      <c r="F541" s="231"/>
      <c r="G541" s="231"/>
      <c r="H541" s="290"/>
      <c r="I541" s="290"/>
      <c r="J541" s="265"/>
      <c r="K541" s="303"/>
      <c r="L541" s="265"/>
      <c r="M541" s="96"/>
      <c r="N541" s="303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  <c r="AA541" s="231"/>
      <c r="AB541" s="231"/>
      <c r="AC541" s="231"/>
      <c r="AD541" s="231"/>
      <c r="AE541" s="231"/>
      <c r="AF541" s="231"/>
    </row>
    <row r="542" spans="1:32" ht="17.399999999999999">
      <c r="A542" s="228"/>
      <c r="B542" s="231"/>
      <c r="C542" s="291"/>
      <c r="D542" s="231"/>
      <c r="E542" s="289"/>
      <c r="F542" s="231"/>
      <c r="G542" s="231"/>
      <c r="H542" s="290"/>
      <c r="I542" s="290"/>
      <c r="J542" s="265"/>
      <c r="K542" s="303"/>
      <c r="L542" s="265"/>
      <c r="M542" s="96"/>
      <c r="N542" s="303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  <c r="AA542" s="231"/>
      <c r="AB542" s="231"/>
      <c r="AC542" s="231"/>
      <c r="AD542" s="231"/>
      <c r="AE542" s="231"/>
      <c r="AF542" s="231"/>
    </row>
    <row r="543" spans="1:32" ht="17.399999999999999">
      <c r="A543" s="228"/>
      <c r="B543" s="231"/>
      <c r="C543" s="291"/>
      <c r="D543" s="231"/>
      <c r="E543" s="289"/>
      <c r="F543" s="231"/>
      <c r="G543" s="231"/>
      <c r="H543" s="290"/>
      <c r="I543" s="290"/>
      <c r="J543" s="265"/>
      <c r="K543" s="303"/>
      <c r="L543" s="265"/>
      <c r="M543" s="96"/>
      <c r="N543" s="303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  <c r="AA543" s="231"/>
      <c r="AB543" s="231"/>
      <c r="AC543" s="231"/>
      <c r="AD543" s="231"/>
      <c r="AE543" s="231"/>
      <c r="AF543" s="231"/>
    </row>
    <row r="544" spans="1:32" ht="17.399999999999999">
      <c r="A544" s="228"/>
      <c r="B544" s="231"/>
      <c r="C544" s="291"/>
      <c r="D544" s="231"/>
      <c r="E544" s="289"/>
      <c r="F544" s="231"/>
      <c r="G544" s="231"/>
      <c r="H544" s="290"/>
      <c r="I544" s="290"/>
      <c r="J544" s="265"/>
      <c r="K544" s="303"/>
      <c r="L544" s="265"/>
      <c r="M544" s="96"/>
      <c r="N544" s="303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  <c r="AA544" s="231"/>
      <c r="AB544" s="231"/>
      <c r="AC544" s="231"/>
      <c r="AD544" s="231"/>
      <c r="AE544" s="231"/>
      <c r="AF544" s="231"/>
    </row>
    <row r="545" spans="1:32" ht="17.399999999999999">
      <c r="A545" s="228"/>
      <c r="B545" s="231"/>
      <c r="C545" s="291"/>
      <c r="D545" s="231"/>
      <c r="E545" s="289"/>
      <c r="F545" s="231"/>
      <c r="G545" s="231"/>
      <c r="H545" s="290"/>
      <c r="I545" s="290"/>
      <c r="J545" s="265"/>
      <c r="K545" s="303"/>
      <c r="L545" s="265"/>
      <c r="M545" s="96"/>
      <c r="N545" s="303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  <c r="AA545" s="231"/>
      <c r="AB545" s="231"/>
      <c r="AC545" s="231"/>
      <c r="AD545" s="231"/>
      <c r="AE545" s="231"/>
      <c r="AF545" s="231"/>
    </row>
    <row r="546" spans="1:32" ht="17.399999999999999">
      <c r="A546" s="228"/>
      <c r="B546" s="231"/>
      <c r="C546" s="291"/>
      <c r="D546" s="231"/>
      <c r="E546" s="289"/>
      <c r="F546" s="231"/>
      <c r="G546" s="231"/>
      <c r="H546" s="290"/>
      <c r="I546" s="290"/>
      <c r="J546" s="265"/>
      <c r="K546" s="303"/>
      <c r="L546" s="265"/>
      <c r="M546" s="96"/>
      <c r="N546" s="303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  <c r="AA546" s="231"/>
      <c r="AB546" s="231"/>
      <c r="AC546" s="231"/>
      <c r="AD546" s="231"/>
      <c r="AE546" s="231"/>
      <c r="AF546" s="231"/>
    </row>
    <row r="547" spans="1:32" ht="17.399999999999999">
      <c r="A547" s="228"/>
      <c r="B547" s="231"/>
      <c r="C547" s="291"/>
      <c r="D547" s="231"/>
      <c r="E547" s="289"/>
      <c r="F547" s="231"/>
      <c r="G547" s="231"/>
      <c r="H547" s="290"/>
      <c r="I547" s="290"/>
      <c r="J547" s="265"/>
      <c r="K547" s="303"/>
      <c r="L547" s="265"/>
      <c r="M547" s="96"/>
      <c r="N547" s="303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  <c r="AA547" s="231"/>
      <c r="AB547" s="231"/>
      <c r="AC547" s="231"/>
      <c r="AD547" s="231"/>
      <c r="AE547" s="231"/>
      <c r="AF547" s="231"/>
    </row>
    <row r="548" spans="1:32" ht="17.399999999999999">
      <c r="A548" s="228"/>
      <c r="B548" s="231"/>
      <c r="C548" s="291"/>
      <c r="D548" s="231"/>
      <c r="E548" s="289"/>
      <c r="F548" s="231"/>
      <c r="G548" s="231"/>
      <c r="H548" s="290"/>
      <c r="I548" s="290"/>
      <c r="J548" s="265"/>
      <c r="K548" s="303"/>
      <c r="L548" s="265"/>
      <c r="M548" s="96"/>
      <c r="N548" s="303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  <c r="AA548" s="231"/>
      <c r="AB548" s="231"/>
      <c r="AC548" s="231"/>
      <c r="AD548" s="231"/>
      <c r="AE548" s="231"/>
      <c r="AF548" s="231"/>
    </row>
    <row r="549" spans="1:32" ht="17.399999999999999">
      <c r="A549" s="228"/>
      <c r="B549" s="231"/>
      <c r="C549" s="291"/>
      <c r="D549" s="231"/>
      <c r="E549" s="289"/>
      <c r="F549" s="231"/>
      <c r="G549" s="231"/>
      <c r="H549" s="290"/>
      <c r="I549" s="290"/>
      <c r="J549" s="265"/>
      <c r="K549" s="303"/>
      <c r="L549" s="265"/>
      <c r="M549" s="96"/>
      <c r="N549" s="303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  <c r="AA549" s="231"/>
      <c r="AB549" s="231"/>
      <c r="AC549" s="231"/>
      <c r="AD549" s="231"/>
      <c r="AE549" s="231"/>
      <c r="AF549" s="231"/>
    </row>
    <row r="550" spans="1:32" ht="17.399999999999999">
      <c r="A550" s="228"/>
      <c r="B550" s="231"/>
      <c r="C550" s="291"/>
      <c r="D550" s="231"/>
      <c r="E550" s="289"/>
      <c r="F550" s="231"/>
      <c r="G550" s="231"/>
      <c r="H550" s="290"/>
      <c r="I550" s="290"/>
      <c r="J550" s="265"/>
      <c r="K550" s="303"/>
      <c r="L550" s="265"/>
      <c r="M550" s="96"/>
      <c r="N550" s="303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  <c r="AA550" s="231"/>
      <c r="AB550" s="231"/>
      <c r="AC550" s="231"/>
      <c r="AD550" s="231"/>
      <c r="AE550" s="231"/>
      <c r="AF550" s="231"/>
    </row>
    <row r="551" spans="1:32" ht="17.399999999999999">
      <c r="A551" s="228"/>
      <c r="B551" s="231"/>
      <c r="C551" s="291"/>
      <c r="D551" s="231"/>
      <c r="E551" s="289"/>
      <c r="F551" s="231"/>
      <c r="G551" s="231"/>
      <c r="H551" s="290"/>
      <c r="I551" s="290"/>
      <c r="J551" s="265"/>
      <c r="K551" s="303"/>
      <c r="L551" s="265"/>
      <c r="M551" s="96"/>
      <c r="N551" s="303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  <c r="AA551" s="231"/>
      <c r="AB551" s="231"/>
      <c r="AC551" s="231"/>
      <c r="AD551" s="231"/>
      <c r="AE551" s="231"/>
      <c r="AF551" s="231"/>
    </row>
    <row r="552" spans="1:32" ht="17.399999999999999">
      <c r="A552" s="228"/>
      <c r="B552" s="231"/>
      <c r="C552" s="291"/>
      <c r="D552" s="231"/>
      <c r="E552" s="289"/>
      <c r="F552" s="231"/>
      <c r="G552" s="231"/>
      <c r="H552" s="290"/>
      <c r="I552" s="290"/>
      <c r="J552" s="265"/>
      <c r="K552" s="303"/>
      <c r="L552" s="265"/>
      <c r="M552" s="96"/>
      <c r="N552" s="303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  <c r="AA552" s="231"/>
      <c r="AB552" s="231"/>
      <c r="AC552" s="231"/>
      <c r="AD552" s="231"/>
      <c r="AE552" s="231"/>
      <c r="AF552" s="231"/>
    </row>
    <row r="553" spans="1:32" ht="17.399999999999999">
      <c r="A553" s="228"/>
      <c r="B553" s="231"/>
      <c r="C553" s="291"/>
      <c r="D553" s="231"/>
      <c r="E553" s="289"/>
      <c r="F553" s="231"/>
      <c r="G553" s="231"/>
      <c r="H553" s="290"/>
      <c r="I553" s="290"/>
      <c r="J553" s="265"/>
      <c r="K553" s="303"/>
      <c r="L553" s="265"/>
      <c r="M553" s="96"/>
      <c r="N553" s="303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  <c r="AA553" s="231"/>
      <c r="AB553" s="231"/>
      <c r="AC553" s="231"/>
      <c r="AD553" s="231"/>
      <c r="AE553" s="231"/>
      <c r="AF553" s="231"/>
    </row>
    <row r="554" spans="1:32" ht="17.399999999999999">
      <c r="A554" s="228"/>
      <c r="B554" s="231"/>
      <c r="C554" s="291"/>
      <c r="D554" s="231"/>
      <c r="E554" s="289"/>
      <c r="F554" s="231"/>
      <c r="G554" s="231"/>
      <c r="H554" s="290"/>
      <c r="I554" s="290"/>
      <c r="J554" s="265"/>
      <c r="K554" s="303"/>
      <c r="L554" s="265"/>
      <c r="M554" s="96"/>
      <c r="N554" s="303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  <c r="AA554" s="231"/>
      <c r="AB554" s="231"/>
      <c r="AC554" s="231"/>
      <c r="AD554" s="231"/>
      <c r="AE554" s="231"/>
      <c r="AF554" s="231"/>
    </row>
    <row r="555" spans="1:32" ht="17.399999999999999">
      <c r="A555" s="228"/>
      <c r="B555" s="231"/>
      <c r="C555" s="291"/>
      <c r="D555" s="231"/>
      <c r="E555" s="289"/>
      <c r="F555" s="231"/>
      <c r="G555" s="231"/>
      <c r="H555" s="290"/>
      <c r="I555" s="290"/>
      <c r="J555" s="265"/>
      <c r="K555" s="303"/>
      <c r="L555" s="265"/>
      <c r="M555" s="96"/>
      <c r="N555" s="303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  <c r="AA555" s="231"/>
      <c r="AB555" s="231"/>
      <c r="AC555" s="231"/>
      <c r="AD555" s="231"/>
      <c r="AE555" s="231"/>
      <c r="AF555" s="231"/>
    </row>
    <row r="556" spans="1:32" ht="17.399999999999999">
      <c r="A556" s="228"/>
      <c r="B556" s="231"/>
      <c r="C556" s="291"/>
      <c r="D556" s="231"/>
      <c r="E556" s="289"/>
      <c r="F556" s="231"/>
      <c r="G556" s="231"/>
      <c r="H556" s="290"/>
      <c r="I556" s="290"/>
      <c r="J556" s="265"/>
      <c r="K556" s="303"/>
      <c r="L556" s="265"/>
      <c r="M556" s="96"/>
      <c r="N556" s="303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  <c r="AA556" s="231"/>
      <c r="AB556" s="231"/>
      <c r="AC556" s="231"/>
      <c r="AD556" s="231"/>
      <c r="AE556" s="231"/>
      <c r="AF556" s="231"/>
    </row>
    <row r="557" spans="1:32" ht="17.399999999999999">
      <c r="A557" s="228"/>
      <c r="B557" s="231"/>
      <c r="C557" s="291"/>
      <c r="D557" s="231"/>
      <c r="E557" s="289"/>
      <c r="F557" s="231"/>
      <c r="G557" s="231"/>
      <c r="H557" s="290"/>
      <c r="I557" s="290"/>
      <c r="J557" s="265"/>
      <c r="K557" s="303"/>
      <c r="L557" s="265"/>
      <c r="M557" s="96"/>
      <c r="N557" s="303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  <c r="AA557" s="231"/>
      <c r="AB557" s="231"/>
      <c r="AC557" s="231"/>
      <c r="AD557" s="231"/>
      <c r="AE557" s="231"/>
      <c r="AF557" s="231"/>
    </row>
    <row r="558" spans="1:32" ht="17.399999999999999">
      <c r="A558" s="228"/>
      <c r="B558" s="231"/>
      <c r="C558" s="291"/>
      <c r="D558" s="231"/>
      <c r="E558" s="289"/>
      <c r="F558" s="231"/>
      <c r="G558" s="231"/>
      <c r="H558" s="290"/>
      <c r="I558" s="290"/>
      <c r="J558" s="265"/>
      <c r="K558" s="303"/>
      <c r="L558" s="265"/>
      <c r="M558" s="96"/>
      <c r="N558" s="303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  <c r="AA558" s="231"/>
      <c r="AB558" s="231"/>
      <c r="AC558" s="231"/>
      <c r="AD558" s="231"/>
      <c r="AE558" s="231"/>
      <c r="AF558" s="231"/>
    </row>
    <row r="559" spans="1:32" ht="17.399999999999999">
      <c r="A559" s="228"/>
      <c r="B559" s="231"/>
      <c r="C559" s="291"/>
      <c r="D559" s="231"/>
      <c r="E559" s="289"/>
      <c r="F559" s="231"/>
      <c r="G559" s="231"/>
      <c r="H559" s="290"/>
      <c r="I559" s="290"/>
      <c r="J559" s="265"/>
      <c r="K559" s="303"/>
      <c r="L559" s="265"/>
      <c r="M559" s="96"/>
      <c r="N559" s="303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  <c r="AA559" s="231"/>
      <c r="AB559" s="231"/>
      <c r="AC559" s="231"/>
      <c r="AD559" s="231"/>
      <c r="AE559" s="231"/>
      <c r="AF559" s="231"/>
    </row>
    <row r="560" spans="1:32" ht="17.399999999999999">
      <c r="A560" s="228"/>
      <c r="B560" s="231"/>
      <c r="C560" s="291"/>
      <c r="D560" s="231"/>
      <c r="E560" s="289"/>
      <c r="F560" s="231"/>
      <c r="G560" s="231"/>
      <c r="H560" s="290"/>
      <c r="I560" s="290"/>
      <c r="J560" s="265"/>
      <c r="K560" s="303"/>
      <c r="L560" s="265"/>
      <c r="M560" s="96"/>
      <c r="N560" s="303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  <c r="AA560" s="231"/>
      <c r="AB560" s="231"/>
      <c r="AC560" s="231"/>
      <c r="AD560" s="231"/>
      <c r="AE560" s="231"/>
      <c r="AF560" s="231"/>
    </row>
    <row r="561" spans="1:32" ht="17.399999999999999">
      <c r="A561" s="228"/>
      <c r="B561" s="231"/>
      <c r="C561" s="291"/>
      <c r="D561" s="231"/>
      <c r="E561" s="289"/>
      <c r="F561" s="231"/>
      <c r="G561" s="231"/>
      <c r="H561" s="290"/>
      <c r="I561" s="290"/>
      <c r="J561" s="265"/>
      <c r="K561" s="303"/>
      <c r="L561" s="265"/>
      <c r="M561" s="96"/>
      <c r="N561" s="303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  <c r="AA561" s="231"/>
      <c r="AB561" s="231"/>
      <c r="AC561" s="231"/>
      <c r="AD561" s="231"/>
      <c r="AE561" s="231"/>
      <c r="AF561" s="231"/>
    </row>
    <row r="562" spans="1:32" ht="17.399999999999999">
      <c r="A562" s="228"/>
      <c r="B562" s="231"/>
      <c r="C562" s="291"/>
      <c r="D562" s="231"/>
      <c r="E562" s="289"/>
      <c r="F562" s="231"/>
      <c r="G562" s="231"/>
      <c r="H562" s="290"/>
      <c r="I562" s="290"/>
      <c r="J562" s="265"/>
      <c r="K562" s="303"/>
      <c r="L562" s="265"/>
      <c r="M562" s="96"/>
      <c r="N562" s="303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  <c r="AA562" s="231"/>
      <c r="AB562" s="231"/>
      <c r="AC562" s="231"/>
      <c r="AD562" s="231"/>
      <c r="AE562" s="231"/>
      <c r="AF562" s="231"/>
    </row>
    <row r="563" spans="1:32" ht="17.399999999999999">
      <c r="A563" s="228"/>
      <c r="B563" s="231"/>
      <c r="C563" s="291"/>
      <c r="D563" s="231"/>
      <c r="E563" s="289"/>
      <c r="F563" s="231"/>
      <c r="G563" s="231"/>
      <c r="H563" s="290"/>
      <c r="I563" s="290"/>
      <c r="J563" s="265"/>
      <c r="K563" s="303"/>
      <c r="L563" s="265"/>
      <c r="M563" s="96"/>
      <c r="N563" s="303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  <c r="AA563" s="231"/>
      <c r="AB563" s="231"/>
      <c r="AC563" s="231"/>
      <c r="AD563" s="231"/>
      <c r="AE563" s="231"/>
      <c r="AF563" s="231"/>
    </row>
    <row r="564" spans="1:32" ht="17.399999999999999">
      <c r="A564" s="228"/>
      <c r="B564" s="231"/>
      <c r="C564" s="291"/>
      <c r="D564" s="231"/>
      <c r="E564" s="289"/>
      <c r="F564" s="231"/>
      <c r="G564" s="231"/>
      <c r="H564" s="290"/>
      <c r="I564" s="290"/>
      <c r="J564" s="265"/>
      <c r="K564" s="303"/>
      <c r="L564" s="265"/>
      <c r="M564" s="96"/>
      <c r="N564" s="303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  <c r="AA564" s="231"/>
      <c r="AB564" s="231"/>
      <c r="AC564" s="231"/>
      <c r="AD564" s="231"/>
      <c r="AE564" s="231"/>
      <c r="AF564" s="231"/>
    </row>
    <row r="565" spans="1:32" ht="17.399999999999999">
      <c r="A565" s="228"/>
      <c r="B565" s="231"/>
      <c r="C565" s="291"/>
      <c r="D565" s="231"/>
      <c r="E565" s="289"/>
      <c r="F565" s="231"/>
      <c r="G565" s="231"/>
      <c r="H565" s="290"/>
      <c r="I565" s="290"/>
      <c r="J565" s="265"/>
      <c r="K565" s="303"/>
      <c r="L565" s="265"/>
      <c r="M565" s="96"/>
      <c r="N565" s="303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  <c r="AA565" s="231"/>
      <c r="AB565" s="231"/>
      <c r="AC565" s="231"/>
      <c r="AD565" s="231"/>
      <c r="AE565" s="231"/>
      <c r="AF565" s="231"/>
    </row>
    <row r="566" spans="1:32" ht="17.399999999999999">
      <c r="A566" s="228"/>
      <c r="B566" s="231"/>
      <c r="C566" s="291"/>
      <c r="D566" s="231"/>
      <c r="E566" s="289"/>
      <c r="F566" s="231"/>
      <c r="G566" s="231"/>
      <c r="H566" s="290"/>
      <c r="I566" s="290"/>
      <c r="J566" s="265"/>
      <c r="K566" s="303"/>
      <c r="L566" s="265"/>
      <c r="M566" s="96"/>
      <c r="N566" s="303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  <c r="AA566" s="231"/>
      <c r="AB566" s="231"/>
      <c r="AC566" s="231"/>
      <c r="AD566" s="231"/>
      <c r="AE566" s="231"/>
      <c r="AF566" s="231"/>
    </row>
    <row r="567" spans="1:32" ht="17.399999999999999">
      <c r="A567" s="228"/>
      <c r="B567" s="231"/>
      <c r="C567" s="291"/>
      <c r="D567" s="231"/>
      <c r="E567" s="289"/>
      <c r="F567" s="231"/>
      <c r="G567" s="231"/>
      <c r="H567" s="290"/>
      <c r="I567" s="290"/>
      <c r="J567" s="265"/>
      <c r="K567" s="303"/>
      <c r="L567" s="265"/>
      <c r="M567" s="96"/>
      <c r="N567" s="303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  <c r="AA567" s="231"/>
      <c r="AB567" s="231"/>
      <c r="AC567" s="231"/>
      <c r="AD567" s="231"/>
      <c r="AE567" s="231"/>
      <c r="AF567" s="231"/>
    </row>
    <row r="568" spans="1:32" ht="17.399999999999999">
      <c r="A568" s="228"/>
      <c r="B568" s="231"/>
      <c r="C568" s="291"/>
      <c r="D568" s="231"/>
      <c r="E568" s="289"/>
      <c r="F568" s="231"/>
      <c r="G568" s="231"/>
      <c r="H568" s="290"/>
      <c r="I568" s="290"/>
      <c r="J568" s="265"/>
      <c r="K568" s="303"/>
      <c r="L568" s="265"/>
      <c r="M568" s="96"/>
      <c r="N568" s="303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  <c r="AA568" s="231"/>
      <c r="AB568" s="231"/>
      <c r="AC568" s="231"/>
      <c r="AD568" s="231"/>
      <c r="AE568" s="231"/>
      <c r="AF568" s="231"/>
    </row>
    <row r="569" spans="1:32" ht="17.399999999999999">
      <c r="A569" s="228"/>
      <c r="B569" s="231"/>
      <c r="C569" s="291"/>
      <c r="D569" s="231"/>
      <c r="E569" s="289"/>
      <c r="F569" s="231"/>
      <c r="G569" s="231"/>
      <c r="H569" s="290"/>
      <c r="I569" s="290"/>
      <c r="J569" s="265"/>
      <c r="K569" s="303"/>
      <c r="L569" s="265"/>
      <c r="M569" s="96"/>
      <c r="N569" s="303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  <c r="AA569" s="231"/>
      <c r="AB569" s="231"/>
      <c r="AC569" s="231"/>
      <c r="AD569" s="231"/>
      <c r="AE569" s="231"/>
      <c r="AF569" s="231"/>
    </row>
    <row r="570" spans="1:32" ht="17.399999999999999">
      <c r="A570" s="228"/>
      <c r="B570" s="231"/>
      <c r="C570" s="291"/>
      <c r="D570" s="231"/>
      <c r="E570" s="289"/>
      <c r="F570" s="231"/>
      <c r="G570" s="231"/>
      <c r="H570" s="290"/>
      <c r="I570" s="290"/>
      <c r="J570" s="265"/>
      <c r="K570" s="303"/>
      <c r="L570" s="265"/>
      <c r="M570" s="96"/>
      <c r="N570" s="303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  <c r="AA570" s="231"/>
      <c r="AB570" s="231"/>
      <c r="AC570" s="231"/>
      <c r="AD570" s="231"/>
      <c r="AE570" s="231"/>
      <c r="AF570" s="231"/>
    </row>
    <row r="571" spans="1:32" ht="17.399999999999999">
      <c r="A571" s="228"/>
      <c r="B571" s="231"/>
      <c r="C571" s="291"/>
      <c r="D571" s="231"/>
      <c r="E571" s="289"/>
      <c r="F571" s="231"/>
      <c r="G571" s="231"/>
      <c r="H571" s="290"/>
      <c r="I571" s="290"/>
      <c r="J571" s="265"/>
      <c r="K571" s="303"/>
      <c r="L571" s="265"/>
      <c r="M571" s="96"/>
      <c r="N571" s="303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  <c r="AA571" s="231"/>
      <c r="AB571" s="231"/>
      <c r="AC571" s="231"/>
      <c r="AD571" s="231"/>
      <c r="AE571" s="231"/>
      <c r="AF571" s="231"/>
    </row>
    <row r="572" spans="1:32" ht="17.399999999999999">
      <c r="A572" s="228"/>
      <c r="B572" s="231"/>
      <c r="C572" s="291"/>
      <c r="D572" s="231"/>
      <c r="E572" s="289"/>
      <c r="F572" s="231"/>
      <c r="G572" s="231"/>
      <c r="H572" s="290"/>
      <c r="I572" s="290"/>
      <c r="J572" s="265"/>
      <c r="K572" s="303"/>
      <c r="L572" s="265"/>
      <c r="M572" s="96"/>
      <c r="N572" s="303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  <c r="AA572" s="231"/>
      <c r="AB572" s="231"/>
      <c r="AC572" s="231"/>
      <c r="AD572" s="231"/>
      <c r="AE572" s="231"/>
      <c r="AF572" s="231"/>
    </row>
    <row r="573" spans="1:32" ht="17.399999999999999">
      <c r="A573" s="228"/>
      <c r="B573" s="231"/>
      <c r="C573" s="291"/>
      <c r="D573" s="231"/>
      <c r="E573" s="289"/>
      <c r="F573" s="231"/>
      <c r="G573" s="231"/>
      <c r="H573" s="290"/>
      <c r="I573" s="290"/>
      <c r="J573" s="265"/>
      <c r="K573" s="303"/>
      <c r="L573" s="265"/>
      <c r="M573" s="96"/>
      <c r="N573" s="303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  <c r="AA573" s="231"/>
      <c r="AB573" s="231"/>
      <c r="AC573" s="231"/>
      <c r="AD573" s="231"/>
      <c r="AE573" s="231"/>
      <c r="AF573" s="231"/>
    </row>
    <row r="574" spans="1:32" ht="17.399999999999999">
      <c r="A574" s="228"/>
      <c r="B574" s="231"/>
      <c r="C574" s="291"/>
      <c r="D574" s="231"/>
      <c r="E574" s="289"/>
      <c r="F574" s="231"/>
      <c r="G574" s="231"/>
      <c r="H574" s="290"/>
      <c r="I574" s="290"/>
      <c r="J574" s="265"/>
      <c r="K574" s="303"/>
      <c r="L574" s="265"/>
      <c r="M574" s="96"/>
      <c r="N574" s="303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  <c r="AA574" s="231"/>
      <c r="AB574" s="231"/>
      <c r="AC574" s="231"/>
      <c r="AD574" s="231"/>
      <c r="AE574" s="231"/>
      <c r="AF574" s="231"/>
    </row>
    <row r="575" spans="1:32" ht="17.399999999999999">
      <c r="A575" s="228"/>
      <c r="B575" s="231"/>
      <c r="C575" s="291"/>
      <c r="D575" s="231"/>
      <c r="E575" s="289"/>
      <c r="F575" s="231"/>
      <c r="G575" s="231"/>
      <c r="H575" s="290"/>
      <c r="I575" s="290"/>
      <c r="J575" s="265"/>
      <c r="K575" s="303"/>
      <c r="L575" s="265"/>
      <c r="M575" s="96"/>
      <c r="N575" s="303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  <c r="AA575" s="231"/>
      <c r="AB575" s="231"/>
      <c r="AC575" s="231"/>
      <c r="AD575" s="231"/>
      <c r="AE575" s="231"/>
      <c r="AF575" s="231"/>
    </row>
    <row r="576" spans="1:32" ht="17.399999999999999">
      <c r="A576" s="228"/>
      <c r="B576" s="231"/>
      <c r="C576" s="291"/>
      <c r="D576" s="231"/>
      <c r="E576" s="289"/>
      <c r="F576" s="231"/>
      <c r="G576" s="231"/>
      <c r="H576" s="290"/>
      <c r="I576" s="290"/>
      <c r="J576" s="265"/>
      <c r="K576" s="303"/>
      <c r="L576" s="265"/>
      <c r="M576" s="96"/>
      <c r="N576" s="303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  <c r="AA576" s="231"/>
      <c r="AB576" s="231"/>
      <c r="AC576" s="231"/>
      <c r="AD576" s="231"/>
      <c r="AE576" s="231"/>
      <c r="AF576" s="231"/>
    </row>
    <row r="577" spans="1:32" ht="17.399999999999999">
      <c r="A577" s="228"/>
      <c r="B577" s="231"/>
      <c r="C577" s="291"/>
      <c r="D577" s="231"/>
      <c r="E577" s="289"/>
      <c r="F577" s="231"/>
      <c r="G577" s="231"/>
      <c r="H577" s="290"/>
      <c r="I577" s="290"/>
      <c r="J577" s="265"/>
      <c r="K577" s="303"/>
      <c r="L577" s="265"/>
      <c r="M577" s="96"/>
      <c r="N577" s="303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  <c r="AA577" s="231"/>
      <c r="AB577" s="231"/>
      <c r="AC577" s="231"/>
      <c r="AD577" s="231"/>
      <c r="AE577" s="231"/>
      <c r="AF577" s="231"/>
    </row>
    <row r="578" spans="1:32" ht="17.399999999999999">
      <c r="A578" s="228"/>
      <c r="B578" s="231"/>
      <c r="C578" s="291"/>
      <c r="D578" s="231"/>
      <c r="E578" s="289"/>
      <c r="F578" s="231"/>
      <c r="G578" s="231"/>
      <c r="H578" s="290"/>
      <c r="I578" s="290"/>
      <c r="J578" s="265"/>
      <c r="K578" s="303"/>
      <c r="L578" s="265"/>
      <c r="M578" s="96"/>
      <c r="N578" s="303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  <c r="AA578" s="231"/>
      <c r="AB578" s="231"/>
      <c r="AC578" s="231"/>
      <c r="AD578" s="231"/>
      <c r="AE578" s="231"/>
      <c r="AF578" s="231"/>
    </row>
    <row r="579" spans="1:32" ht="17.399999999999999">
      <c r="A579" s="228"/>
      <c r="B579" s="231"/>
      <c r="C579" s="291"/>
      <c r="D579" s="231"/>
      <c r="E579" s="289"/>
      <c r="F579" s="231"/>
      <c r="G579" s="231"/>
      <c r="H579" s="290"/>
      <c r="I579" s="290"/>
      <c r="J579" s="265"/>
      <c r="K579" s="303"/>
      <c r="L579" s="265"/>
      <c r="M579" s="96"/>
      <c r="N579" s="303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  <c r="AA579" s="231"/>
      <c r="AB579" s="231"/>
      <c r="AC579" s="231"/>
      <c r="AD579" s="231"/>
      <c r="AE579" s="231"/>
      <c r="AF579" s="231"/>
    </row>
    <row r="580" spans="1:32" ht="17.399999999999999">
      <c r="A580" s="228"/>
      <c r="B580" s="231"/>
      <c r="C580" s="291"/>
      <c r="D580" s="231"/>
      <c r="E580" s="289"/>
      <c r="F580" s="231"/>
      <c r="G580" s="231"/>
      <c r="H580" s="290"/>
      <c r="I580" s="290"/>
      <c r="J580" s="265"/>
      <c r="K580" s="303"/>
      <c r="L580" s="265"/>
      <c r="M580" s="96"/>
      <c r="N580" s="303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  <c r="AA580" s="231"/>
      <c r="AB580" s="231"/>
      <c r="AC580" s="231"/>
      <c r="AD580" s="231"/>
      <c r="AE580" s="231"/>
      <c r="AF580" s="231"/>
    </row>
    <row r="581" spans="1:32" ht="17.399999999999999">
      <c r="A581" s="228"/>
      <c r="B581" s="231"/>
      <c r="C581" s="291"/>
      <c r="D581" s="231"/>
      <c r="E581" s="289"/>
      <c r="F581" s="231"/>
      <c r="G581" s="231"/>
      <c r="H581" s="290"/>
      <c r="I581" s="290"/>
      <c r="J581" s="265"/>
      <c r="K581" s="303"/>
      <c r="L581" s="265"/>
      <c r="M581" s="96"/>
      <c r="N581" s="303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  <c r="AA581" s="231"/>
      <c r="AB581" s="231"/>
      <c r="AC581" s="231"/>
      <c r="AD581" s="231"/>
      <c r="AE581" s="231"/>
      <c r="AF581" s="231"/>
    </row>
    <row r="582" spans="1:32" ht="17.399999999999999">
      <c r="A582" s="228"/>
      <c r="B582" s="231"/>
      <c r="C582" s="291"/>
      <c r="D582" s="231"/>
      <c r="E582" s="289"/>
      <c r="F582" s="231"/>
      <c r="G582" s="231"/>
      <c r="H582" s="290"/>
      <c r="I582" s="290"/>
      <c r="J582" s="265"/>
      <c r="K582" s="303"/>
      <c r="L582" s="265"/>
      <c r="M582" s="96"/>
      <c r="N582" s="303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  <c r="AA582" s="231"/>
      <c r="AB582" s="231"/>
      <c r="AC582" s="231"/>
      <c r="AD582" s="231"/>
      <c r="AE582" s="231"/>
      <c r="AF582" s="231"/>
    </row>
    <row r="583" spans="1:32" ht="17.399999999999999">
      <c r="A583" s="228"/>
      <c r="B583" s="231"/>
      <c r="C583" s="291"/>
      <c r="D583" s="231"/>
      <c r="E583" s="289"/>
      <c r="F583" s="231"/>
      <c r="G583" s="231"/>
      <c r="H583" s="290"/>
      <c r="I583" s="290"/>
      <c r="J583" s="265"/>
      <c r="K583" s="303"/>
      <c r="L583" s="265"/>
      <c r="M583" s="96"/>
      <c r="N583" s="303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  <c r="AA583" s="231"/>
      <c r="AB583" s="231"/>
      <c r="AC583" s="231"/>
      <c r="AD583" s="231"/>
      <c r="AE583" s="231"/>
      <c r="AF583" s="231"/>
    </row>
    <row r="584" spans="1:32" ht="17.399999999999999">
      <c r="A584" s="228"/>
      <c r="B584" s="231"/>
      <c r="C584" s="291"/>
      <c r="D584" s="231"/>
      <c r="E584" s="289"/>
      <c r="F584" s="231"/>
      <c r="G584" s="231"/>
      <c r="H584" s="290"/>
      <c r="I584" s="290"/>
      <c r="J584" s="265"/>
      <c r="K584" s="303"/>
      <c r="L584" s="265"/>
      <c r="M584" s="96"/>
      <c r="N584" s="303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  <c r="AA584" s="231"/>
      <c r="AB584" s="231"/>
      <c r="AC584" s="231"/>
      <c r="AD584" s="231"/>
      <c r="AE584" s="231"/>
      <c r="AF584" s="231"/>
    </row>
    <row r="585" spans="1:32" ht="17.399999999999999">
      <c r="A585" s="228"/>
      <c r="B585" s="231"/>
      <c r="C585" s="291"/>
      <c r="D585" s="231"/>
      <c r="E585" s="289"/>
      <c r="F585" s="231"/>
      <c r="G585" s="231"/>
      <c r="H585" s="290"/>
      <c r="I585" s="290"/>
      <c r="J585" s="265"/>
      <c r="K585" s="303"/>
      <c r="L585" s="265"/>
      <c r="M585" s="96"/>
      <c r="N585" s="303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  <c r="AA585" s="231"/>
      <c r="AB585" s="231"/>
      <c r="AC585" s="231"/>
      <c r="AD585" s="231"/>
      <c r="AE585" s="231"/>
      <c r="AF585" s="231"/>
    </row>
    <row r="586" spans="1:32" ht="17.399999999999999">
      <c r="A586" s="228"/>
      <c r="B586" s="231"/>
      <c r="C586" s="291"/>
      <c r="D586" s="231"/>
      <c r="E586" s="289"/>
      <c r="F586" s="231"/>
      <c r="G586" s="231"/>
      <c r="H586" s="290"/>
      <c r="I586" s="290"/>
      <c r="J586" s="265"/>
      <c r="K586" s="303"/>
      <c r="L586" s="265"/>
      <c r="M586" s="96"/>
      <c r="N586" s="303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  <c r="AA586" s="231"/>
      <c r="AB586" s="231"/>
      <c r="AC586" s="231"/>
      <c r="AD586" s="231"/>
      <c r="AE586" s="231"/>
      <c r="AF586" s="231"/>
    </row>
    <row r="587" spans="1:32" ht="17.399999999999999">
      <c r="A587" s="228"/>
      <c r="B587" s="231"/>
      <c r="C587" s="291"/>
      <c r="D587" s="231"/>
      <c r="E587" s="289"/>
      <c r="F587" s="231"/>
      <c r="G587" s="231"/>
      <c r="H587" s="290"/>
      <c r="I587" s="290"/>
      <c r="J587" s="265"/>
      <c r="K587" s="303"/>
      <c r="L587" s="265"/>
      <c r="M587" s="96"/>
      <c r="N587" s="303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  <c r="AA587" s="231"/>
      <c r="AB587" s="231"/>
      <c r="AC587" s="231"/>
      <c r="AD587" s="231"/>
      <c r="AE587" s="231"/>
      <c r="AF587" s="231"/>
    </row>
    <row r="588" spans="1:32" ht="17.399999999999999">
      <c r="A588" s="228"/>
      <c r="B588" s="231"/>
      <c r="C588" s="291"/>
      <c r="D588" s="231"/>
      <c r="E588" s="289"/>
      <c r="F588" s="231"/>
      <c r="G588" s="231"/>
      <c r="H588" s="290"/>
      <c r="I588" s="290"/>
      <c r="J588" s="265"/>
      <c r="K588" s="303"/>
      <c r="L588" s="265"/>
      <c r="M588" s="96"/>
      <c r="N588" s="303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  <c r="AA588" s="231"/>
      <c r="AB588" s="231"/>
      <c r="AC588" s="231"/>
      <c r="AD588" s="231"/>
      <c r="AE588" s="231"/>
      <c r="AF588" s="231"/>
    </row>
    <row r="589" spans="1:32" ht="17.399999999999999">
      <c r="A589" s="228"/>
      <c r="B589" s="231"/>
      <c r="C589" s="291"/>
      <c r="D589" s="231"/>
      <c r="E589" s="289"/>
      <c r="F589" s="231"/>
      <c r="G589" s="231"/>
      <c r="H589" s="290"/>
      <c r="I589" s="290"/>
      <c r="J589" s="265"/>
      <c r="K589" s="303"/>
      <c r="L589" s="265"/>
      <c r="M589" s="96"/>
      <c r="N589" s="303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  <c r="AA589" s="231"/>
      <c r="AB589" s="231"/>
      <c r="AC589" s="231"/>
      <c r="AD589" s="231"/>
      <c r="AE589" s="231"/>
      <c r="AF589" s="231"/>
    </row>
    <row r="590" spans="1:32" ht="17.399999999999999">
      <c r="A590" s="228"/>
      <c r="B590" s="231"/>
      <c r="C590" s="291"/>
      <c r="D590" s="231"/>
      <c r="E590" s="289"/>
      <c r="F590" s="231"/>
      <c r="G590" s="231"/>
      <c r="H590" s="290"/>
      <c r="I590" s="290"/>
      <c r="J590" s="265"/>
      <c r="K590" s="303"/>
      <c r="L590" s="265"/>
      <c r="M590" s="96"/>
      <c r="N590" s="303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  <c r="AA590" s="231"/>
      <c r="AB590" s="231"/>
      <c r="AC590" s="231"/>
      <c r="AD590" s="231"/>
      <c r="AE590" s="231"/>
      <c r="AF590" s="231"/>
    </row>
    <row r="591" spans="1:32" ht="17.399999999999999">
      <c r="A591" s="228"/>
      <c r="B591" s="231"/>
      <c r="C591" s="291"/>
      <c r="D591" s="231"/>
      <c r="E591" s="289"/>
      <c r="F591" s="231"/>
      <c r="G591" s="231"/>
      <c r="H591" s="290"/>
      <c r="I591" s="290"/>
      <c r="J591" s="265"/>
      <c r="K591" s="303"/>
      <c r="L591" s="265"/>
      <c r="M591" s="96"/>
      <c r="N591" s="303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  <c r="AA591" s="231"/>
      <c r="AB591" s="231"/>
      <c r="AC591" s="231"/>
      <c r="AD591" s="231"/>
      <c r="AE591" s="231"/>
      <c r="AF591" s="231"/>
    </row>
    <row r="592" spans="1:32" ht="17.399999999999999">
      <c r="A592" s="228"/>
      <c r="B592" s="231"/>
      <c r="C592" s="291"/>
      <c r="D592" s="231"/>
      <c r="E592" s="289"/>
      <c r="F592" s="231"/>
      <c r="G592" s="231"/>
      <c r="H592" s="290"/>
      <c r="I592" s="290"/>
      <c r="J592" s="265"/>
      <c r="K592" s="303"/>
      <c r="L592" s="265"/>
      <c r="M592" s="96"/>
      <c r="N592" s="303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  <c r="AA592" s="231"/>
      <c r="AB592" s="231"/>
      <c r="AC592" s="231"/>
      <c r="AD592" s="231"/>
      <c r="AE592" s="231"/>
      <c r="AF592" s="231"/>
    </row>
    <row r="593" spans="1:32" ht="17.399999999999999">
      <c r="A593" s="228"/>
      <c r="B593" s="231"/>
      <c r="C593" s="291"/>
      <c r="D593" s="231"/>
      <c r="E593" s="289"/>
      <c r="F593" s="231"/>
      <c r="G593" s="231"/>
      <c r="H593" s="290"/>
      <c r="I593" s="290"/>
      <c r="J593" s="265"/>
      <c r="K593" s="303"/>
      <c r="L593" s="265"/>
      <c r="M593" s="96"/>
      <c r="N593" s="303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  <c r="AA593" s="231"/>
      <c r="AB593" s="231"/>
      <c r="AC593" s="231"/>
      <c r="AD593" s="231"/>
      <c r="AE593" s="231"/>
      <c r="AF593" s="231"/>
    </row>
    <row r="594" spans="1:32" ht="17.399999999999999">
      <c r="A594" s="228"/>
      <c r="B594" s="231"/>
      <c r="C594" s="291"/>
      <c r="D594" s="231"/>
      <c r="E594" s="289"/>
      <c r="F594" s="231"/>
      <c r="G594" s="231"/>
      <c r="H594" s="290"/>
      <c r="I594" s="290"/>
      <c r="J594" s="265"/>
      <c r="K594" s="303"/>
      <c r="L594" s="265"/>
      <c r="M594" s="96"/>
      <c r="N594" s="303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  <c r="AA594" s="231"/>
      <c r="AB594" s="231"/>
      <c r="AC594" s="231"/>
      <c r="AD594" s="231"/>
      <c r="AE594" s="231"/>
      <c r="AF594" s="231"/>
    </row>
    <row r="595" spans="1:32" ht="17.399999999999999">
      <c r="A595" s="228"/>
      <c r="B595" s="231"/>
      <c r="C595" s="291"/>
      <c r="D595" s="231"/>
      <c r="E595" s="289"/>
      <c r="F595" s="231"/>
      <c r="G595" s="231"/>
      <c r="H595" s="290"/>
      <c r="I595" s="290"/>
      <c r="J595" s="265"/>
      <c r="K595" s="303"/>
      <c r="L595" s="265"/>
      <c r="M595" s="96"/>
      <c r="N595" s="303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  <c r="AA595" s="231"/>
      <c r="AB595" s="231"/>
      <c r="AC595" s="231"/>
      <c r="AD595" s="231"/>
      <c r="AE595" s="231"/>
      <c r="AF595" s="231"/>
    </row>
    <row r="596" spans="1:32" ht="17.399999999999999">
      <c r="A596" s="228"/>
      <c r="B596" s="231"/>
      <c r="C596" s="291"/>
      <c r="D596" s="231"/>
      <c r="E596" s="289"/>
      <c r="F596" s="231"/>
      <c r="G596" s="231"/>
      <c r="H596" s="290"/>
      <c r="I596" s="290"/>
      <c r="J596" s="265"/>
      <c r="K596" s="303"/>
      <c r="L596" s="265"/>
      <c r="M596" s="96"/>
      <c r="N596" s="303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  <c r="AA596" s="231"/>
      <c r="AB596" s="231"/>
      <c r="AC596" s="231"/>
      <c r="AD596" s="231"/>
      <c r="AE596" s="231"/>
      <c r="AF596" s="231"/>
    </row>
    <row r="597" spans="1:32" ht="17.399999999999999">
      <c r="A597" s="228"/>
      <c r="B597" s="231"/>
      <c r="C597" s="291"/>
      <c r="D597" s="231"/>
      <c r="E597" s="289"/>
      <c r="F597" s="231"/>
      <c r="G597" s="231"/>
      <c r="H597" s="290"/>
      <c r="I597" s="290"/>
      <c r="J597" s="265"/>
      <c r="K597" s="303"/>
      <c r="L597" s="265"/>
      <c r="M597" s="96"/>
      <c r="N597" s="303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  <c r="AA597" s="231"/>
      <c r="AB597" s="231"/>
      <c r="AC597" s="231"/>
      <c r="AD597" s="231"/>
      <c r="AE597" s="231"/>
      <c r="AF597" s="231"/>
    </row>
    <row r="598" spans="1:32" ht="17.399999999999999">
      <c r="A598" s="228"/>
      <c r="B598" s="231"/>
      <c r="C598" s="291"/>
      <c r="D598" s="231"/>
      <c r="E598" s="289"/>
      <c r="F598" s="231"/>
      <c r="G598" s="231"/>
      <c r="H598" s="290"/>
      <c r="I598" s="290"/>
      <c r="J598" s="265"/>
      <c r="K598" s="303"/>
      <c r="L598" s="265"/>
      <c r="M598" s="96"/>
      <c r="N598" s="303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  <c r="AA598" s="231"/>
      <c r="AB598" s="231"/>
      <c r="AC598" s="231"/>
      <c r="AD598" s="231"/>
      <c r="AE598" s="231"/>
      <c r="AF598" s="231"/>
    </row>
    <row r="599" spans="1:32" ht="17.399999999999999">
      <c r="A599" s="228"/>
      <c r="B599" s="231"/>
      <c r="C599" s="291"/>
      <c r="D599" s="231"/>
      <c r="E599" s="289"/>
      <c r="F599" s="231"/>
      <c r="G599" s="231"/>
      <c r="H599" s="290"/>
      <c r="I599" s="290"/>
      <c r="J599" s="265"/>
      <c r="K599" s="303"/>
      <c r="L599" s="265"/>
      <c r="M599" s="96"/>
      <c r="N599" s="303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  <c r="AA599" s="231"/>
      <c r="AB599" s="231"/>
      <c r="AC599" s="231"/>
      <c r="AD599" s="231"/>
      <c r="AE599" s="231"/>
      <c r="AF599" s="231"/>
    </row>
    <row r="600" spans="1:32" ht="17.399999999999999">
      <c r="A600" s="228"/>
      <c r="B600" s="231"/>
      <c r="C600" s="291"/>
      <c r="D600" s="231"/>
      <c r="E600" s="289"/>
      <c r="F600" s="231"/>
      <c r="G600" s="231"/>
      <c r="H600" s="290"/>
      <c r="I600" s="290"/>
      <c r="J600" s="265"/>
      <c r="K600" s="303"/>
      <c r="L600" s="265"/>
      <c r="M600" s="96"/>
      <c r="N600" s="303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  <c r="AA600" s="231"/>
      <c r="AB600" s="231"/>
      <c r="AC600" s="231"/>
      <c r="AD600" s="231"/>
      <c r="AE600" s="231"/>
      <c r="AF600" s="231"/>
    </row>
    <row r="601" spans="1:32" ht="17.399999999999999">
      <c r="A601" s="228"/>
      <c r="B601" s="231"/>
      <c r="C601" s="291"/>
      <c r="D601" s="231"/>
      <c r="E601" s="289"/>
      <c r="F601" s="231"/>
      <c r="G601" s="231"/>
      <c r="H601" s="290"/>
      <c r="I601" s="290"/>
      <c r="J601" s="265"/>
      <c r="K601" s="303"/>
      <c r="L601" s="265"/>
      <c r="M601" s="96"/>
      <c r="N601" s="303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  <c r="AA601" s="231"/>
      <c r="AB601" s="231"/>
      <c r="AC601" s="231"/>
      <c r="AD601" s="231"/>
      <c r="AE601" s="231"/>
      <c r="AF601" s="231"/>
    </row>
    <row r="602" spans="1:32" ht="17.399999999999999">
      <c r="A602" s="228"/>
      <c r="B602" s="231"/>
      <c r="C602" s="291"/>
      <c r="D602" s="231"/>
      <c r="E602" s="289"/>
      <c r="F602" s="231"/>
      <c r="G602" s="231"/>
      <c r="H602" s="290"/>
      <c r="I602" s="290"/>
      <c r="J602" s="265"/>
      <c r="K602" s="303"/>
      <c r="L602" s="265"/>
      <c r="M602" s="96"/>
      <c r="N602" s="303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  <c r="AA602" s="231"/>
      <c r="AB602" s="231"/>
      <c r="AC602" s="231"/>
      <c r="AD602" s="231"/>
      <c r="AE602" s="231"/>
      <c r="AF602" s="231"/>
    </row>
    <row r="603" spans="1:32" ht="17.399999999999999">
      <c r="A603" s="228"/>
      <c r="B603" s="231"/>
      <c r="C603" s="291"/>
      <c r="D603" s="231"/>
      <c r="E603" s="289"/>
      <c r="F603" s="231"/>
      <c r="G603" s="231"/>
      <c r="H603" s="290"/>
      <c r="I603" s="290"/>
      <c r="J603" s="265"/>
      <c r="K603" s="303"/>
      <c r="L603" s="265"/>
      <c r="M603" s="96"/>
      <c r="N603" s="303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  <c r="AA603" s="231"/>
      <c r="AB603" s="231"/>
      <c r="AC603" s="231"/>
      <c r="AD603" s="231"/>
      <c r="AE603" s="231"/>
      <c r="AF603" s="231"/>
    </row>
    <row r="604" spans="1:32" ht="17.399999999999999">
      <c r="A604" s="228"/>
      <c r="B604" s="231"/>
      <c r="C604" s="291"/>
      <c r="D604" s="231"/>
      <c r="E604" s="289"/>
      <c r="F604" s="231"/>
      <c r="G604" s="231"/>
      <c r="H604" s="290"/>
      <c r="I604" s="290"/>
      <c r="J604" s="265"/>
      <c r="K604" s="303"/>
      <c r="L604" s="265"/>
      <c r="M604" s="96"/>
      <c r="N604" s="303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  <c r="AA604" s="231"/>
      <c r="AB604" s="231"/>
      <c r="AC604" s="231"/>
      <c r="AD604" s="231"/>
      <c r="AE604" s="231"/>
      <c r="AF604" s="231"/>
    </row>
    <row r="605" spans="1:32" ht="17.399999999999999">
      <c r="A605" s="228"/>
      <c r="B605" s="231"/>
      <c r="C605" s="291"/>
      <c r="D605" s="231"/>
      <c r="E605" s="289"/>
      <c r="F605" s="231"/>
      <c r="G605" s="231"/>
      <c r="H605" s="290"/>
      <c r="I605" s="290"/>
      <c r="J605" s="265"/>
      <c r="K605" s="303"/>
      <c r="L605" s="265"/>
      <c r="M605" s="96"/>
      <c r="N605" s="303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  <c r="AA605" s="231"/>
      <c r="AB605" s="231"/>
      <c r="AC605" s="231"/>
      <c r="AD605" s="231"/>
      <c r="AE605" s="231"/>
      <c r="AF605" s="231"/>
    </row>
    <row r="606" spans="1:32" ht="17.399999999999999">
      <c r="A606" s="228"/>
      <c r="B606" s="231"/>
      <c r="C606" s="291"/>
      <c r="D606" s="231"/>
      <c r="E606" s="289"/>
      <c r="F606" s="231"/>
      <c r="G606" s="231"/>
      <c r="H606" s="290"/>
      <c r="I606" s="290"/>
      <c r="J606" s="265"/>
      <c r="K606" s="303"/>
      <c r="L606" s="265"/>
      <c r="M606" s="96"/>
      <c r="N606" s="303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  <c r="AA606" s="231"/>
      <c r="AB606" s="231"/>
      <c r="AC606" s="231"/>
      <c r="AD606" s="231"/>
      <c r="AE606" s="231"/>
      <c r="AF606" s="231"/>
    </row>
    <row r="607" spans="1:32" ht="17.399999999999999">
      <c r="A607" s="228"/>
      <c r="B607" s="231"/>
      <c r="C607" s="291"/>
      <c r="D607" s="231"/>
      <c r="E607" s="289"/>
      <c r="F607" s="231"/>
      <c r="G607" s="231"/>
      <c r="H607" s="290"/>
      <c r="I607" s="290"/>
      <c r="J607" s="265"/>
      <c r="K607" s="303"/>
      <c r="L607" s="265"/>
      <c r="M607" s="96"/>
      <c r="N607" s="303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  <c r="AA607" s="231"/>
      <c r="AB607" s="231"/>
      <c r="AC607" s="231"/>
      <c r="AD607" s="231"/>
      <c r="AE607" s="231"/>
      <c r="AF607" s="231"/>
    </row>
    <row r="608" spans="1:32" ht="17.399999999999999">
      <c r="A608" s="228"/>
      <c r="B608" s="231"/>
      <c r="C608" s="291"/>
      <c r="D608" s="231"/>
      <c r="E608" s="289"/>
      <c r="F608" s="231"/>
      <c r="G608" s="231"/>
      <c r="H608" s="290"/>
      <c r="I608" s="290"/>
      <c r="J608" s="265"/>
      <c r="K608" s="303"/>
      <c r="L608" s="265"/>
      <c r="M608" s="96"/>
      <c r="N608" s="303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  <c r="AA608" s="231"/>
      <c r="AB608" s="231"/>
      <c r="AC608" s="231"/>
      <c r="AD608" s="231"/>
      <c r="AE608" s="231"/>
      <c r="AF608" s="231"/>
    </row>
    <row r="609" spans="1:32" ht="17.399999999999999">
      <c r="A609" s="228"/>
      <c r="B609" s="231"/>
      <c r="C609" s="291"/>
      <c r="D609" s="231"/>
      <c r="E609" s="289"/>
      <c r="F609" s="231"/>
      <c r="G609" s="231"/>
      <c r="H609" s="290"/>
      <c r="I609" s="290"/>
      <c r="J609" s="265"/>
      <c r="K609" s="303"/>
      <c r="L609" s="265"/>
      <c r="M609" s="96"/>
      <c r="N609" s="303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  <c r="AA609" s="231"/>
      <c r="AB609" s="231"/>
      <c r="AC609" s="231"/>
      <c r="AD609" s="231"/>
      <c r="AE609" s="231"/>
      <c r="AF609" s="231"/>
    </row>
    <row r="610" spans="1:32" ht="17.399999999999999">
      <c r="A610" s="228"/>
      <c r="B610" s="231"/>
      <c r="C610" s="291"/>
      <c r="D610" s="231"/>
      <c r="E610" s="289"/>
      <c r="F610" s="231"/>
      <c r="G610" s="231"/>
      <c r="H610" s="290"/>
      <c r="I610" s="290"/>
      <c r="J610" s="265"/>
      <c r="K610" s="303"/>
      <c r="L610" s="265"/>
      <c r="M610" s="96"/>
      <c r="N610" s="303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  <c r="AA610" s="231"/>
      <c r="AB610" s="231"/>
      <c r="AC610" s="231"/>
      <c r="AD610" s="231"/>
      <c r="AE610" s="231"/>
      <c r="AF610" s="231"/>
    </row>
    <row r="611" spans="1:32" ht="17.399999999999999">
      <c r="A611" s="228"/>
      <c r="B611" s="231"/>
      <c r="C611" s="291"/>
      <c r="D611" s="231"/>
      <c r="E611" s="289"/>
      <c r="F611" s="231"/>
      <c r="G611" s="231"/>
      <c r="H611" s="290"/>
      <c r="I611" s="290"/>
      <c r="J611" s="265"/>
      <c r="K611" s="303"/>
      <c r="L611" s="265"/>
      <c r="M611" s="96"/>
      <c r="N611" s="303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  <c r="AA611" s="231"/>
      <c r="AB611" s="231"/>
      <c r="AC611" s="231"/>
      <c r="AD611" s="231"/>
      <c r="AE611" s="231"/>
      <c r="AF611" s="231"/>
    </row>
    <row r="612" spans="1:32" ht="17.399999999999999">
      <c r="A612" s="228"/>
      <c r="B612" s="231"/>
      <c r="C612" s="291"/>
      <c r="D612" s="231"/>
      <c r="E612" s="289"/>
      <c r="F612" s="231"/>
      <c r="G612" s="231"/>
      <c r="H612" s="290"/>
      <c r="I612" s="290"/>
      <c r="J612" s="265"/>
      <c r="K612" s="303"/>
      <c r="L612" s="265"/>
      <c r="M612" s="96"/>
      <c r="N612" s="303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  <c r="AA612" s="231"/>
      <c r="AB612" s="231"/>
      <c r="AC612" s="231"/>
      <c r="AD612" s="231"/>
      <c r="AE612" s="231"/>
      <c r="AF612" s="231"/>
    </row>
    <row r="613" spans="1:32" ht="17.399999999999999">
      <c r="A613" s="228"/>
      <c r="B613" s="231"/>
      <c r="C613" s="291"/>
      <c r="D613" s="231"/>
      <c r="E613" s="289"/>
      <c r="F613" s="231"/>
      <c r="G613" s="231"/>
      <c r="H613" s="290"/>
      <c r="I613" s="290"/>
      <c r="J613" s="265"/>
      <c r="K613" s="303"/>
      <c r="L613" s="265"/>
      <c r="M613" s="96"/>
      <c r="N613" s="303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  <c r="AA613" s="231"/>
      <c r="AB613" s="231"/>
      <c r="AC613" s="231"/>
      <c r="AD613" s="231"/>
      <c r="AE613" s="231"/>
      <c r="AF613" s="231"/>
    </row>
    <row r="614" spans="1:32" ht="17.399999999999999">
      <c r="A614" s="228"/>
      <c r="B614" s="231"/>
      <c r="C614" s="291"/>
      <c r="D614" s="231"/>
      <c r="E614" s="289"/>
      <c r="F614" s="231"/>
      <c r="G614" s="231"/>
      <c r="H614" s="290"/>
      <c r="I614" s="290"/>
      <c r="J614" s="265"/>
      <c r="K614" s="303"/>
      <c r="L614" s="265"/>
      <c r="M614" s="96"/>
      <c r="N614" s="303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  <c r="AA614" s="231"/>
      <c r="AB614" s="231"/>
      <c r="AC614" s="231"/>
      <c r="AD614" s="231"/>
      <c r="AE614" s="231"/>
      <c r="AF614" s="231"/>
    </row>
    <row r="615" spans="1:32" ht="17.399999999999999">
      <c r="A615" s="228"/>
      <c r="B615" s="231"/>
      <c r="C615" s="291"/>
      <c r="D615" s="231"/>
      <c r="E615" s="289"/>
      <c r="F615" s="231"/>
      <c r="G615" s="231"/>
      <c r="H615" s="290"/>
      <c r="I615" s="290"/>
      <c r="J615" s="265"/>
      <c r="K615" s="303"/>
      <c r="L615" s="265"/>
      <c r="M615" s="96"/>
      <c r="N615" s="303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  <c r="AA615" s="231"/>
      <c r="AB615" s="231"/>
      <c r="AC615" s="231"/>
      <c r="AD615" s="231"/>
      <c r="AE615" s="231"/>
      <c r="AF615" s="231"/>
    </row>
    <row r="616" spans="1:32" ht="17.399999999999999">
      <c r="A616" s="228"/>
      <c r="B616" s="231"/>
      <c r="C616" s="291"/>
      <c r="D616" s="231"/>
      <c r="E616" s="289"/>
      <c r="F616" s="231"/>
      <c r="G616" s="231"/>
      <c r="H616" s="290"/>
      <c r="I616" s="290"/>
      <c r="J616" s="265"/>
      <c r="K616" s="303"/>
      <c r="L616" s="265"/>
      <c r="M616" s="96"/>
      <c r="N616" s="303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  <c r="AA616" s="231"/>
      <c r="AB616" s="231"/>
      <c r="AC616" s="231"/>
      <c r="AD616" s="231"/>
      <c r="AE616" s="231"/>
      <c r="AF616" s="231"/>
    </row>
    <row r="617" spans="1:32" ht="17.399999999999999">
      <c r="A617" s="228"/>
      <c r="B617" s="231"/>
      <c r="C617" s="291"/>
      <c r="D617" s="231"/>
      <c r="E617" s="289"/>
      <c r="F617" s="231"/>
      <c r="G617" s="231"/>
      <c r="H617" s="290"/>
      <c r="I617" s="290"/>
      <c r="J617" s="265"/>
      <c r="K617" s="303"/>
      <c r="L617" s="265"/>
      <c r="M617" s="96"/>
      <c r="N617" s="303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  <c r="AA617" s="231"/>
      <c r="AB617" s="231"/>
      <c r="AC617" s="231"/>
      <c r="AD617" s="231"/>
      <c r="AE617" s="231"/>
      <c r="AF617" s="231"/>
    </row>
    <row r="618" spans="1:32" ht="17.399999999999999">
      <c r="A618" s="228"/>
      <c r="B618" s="231"/>
      <c r="C618" s="291"/>
      <c r="D618" s="231"/>
      <c r="E618" s="289"/>
      <c r="F618" s="231"/>
      <c r="G618" s="231"/>
      <c r="H618" s="290"/>
      <c r="I618" s="290"/>
      <c r="J618" s="265"/>
      <c r="K618" s="303"/>
      <c r="L618" s="265"/>
      <c r="M618" s="96"/>
      <c r="N618" s="303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  <c r="AA618" s="231"/>
      <c r="AB618" s="231"/>
      <c r="AC618" s="231"/>
      <c r="AD618" s="231"/>
      <c r="AE618" s="231"/>
      <c r="AF618" s="231"/>
    </row>
    <row r="619" spans="1:32" ht="17.399999999999999">
      <c r="A619" s="228"/>
      <c r="B619" s="231"/>
      <c r="C619" s="291"/>
      <c r="D619" s="231"/>
      <c r="E619" s="289"/>
      <c r="F619" s="231"/>
      <c r="G619" s="231"/>
      <c r="H619" s="290"/>
      <c r="I619" s="290"/>
      <c r="J619" s="265"/>
      <c r="K619" s="303"/>
      <c r="L619" s="265"/>
      <c r="M619" s="96"/>
      <c r="N619" s="303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  <c r="AA619" s="231"/>
      <c r="AB619" s="231"/>
      <c r="AC619" s="231"/>
      <c r="AD619" s="231"/>
      <c r="AE619" s="231"/>
      <c r="AF619" s="231"/>
    </row>
    <row r="620" spans="1:32" ht="17.399999999999999">
      <c r="A620" s="228"/>
      <c r="B620" s="231"/>
      <c r="C620" s="291"/>
      <c r="D620" s="231"/>
      <c r="E620" s="289"/>
      <c r="F620" s="231"/>
      <c r="G620" s="231"/>
      <c r="H620" s="290"/>
      <c r="I620" s="290"/>
      <c r="J620" s="265"/>
      <c r="K620" s="303"/>
      <c r="L620" s="265"/>
      <c r="M620" s="96"/>
      <c r="N620" s="303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  <c r="AA620" s="231"/>
      <c r="AB620" s="231"/>
      <c r="AC620" s="231"/>
      <c r="AD620" s="231"/>
      <c r="AE620" s="231"/>
      <c r="AF620" s="231"/>
    </row>
    <row r="621" spans="1:32" ht="17.399999999999999">
      <c r="A621" s="228"/>
      <c r="B621" s="231"/>
      <c r="C621" s="291"/>
      <c r="D621" s="231"/>
      <c r="E621" s="289"/>
      <c r="F621" s="231"/>
      <c r="G621" s="231"/>
      <c r="H621" s="290"/>
      <c r="I621" s="290"/>
      <c r="J621" s="265"/>
      <c r="K621" s="303"/>
      <c r="L621" s="265"/>
      <c r="M621" s="96"/>
      <c r="N621" s="303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  <c r="AA621" s="231"/>
      <c r="AB621" s="231"/>
      <c r="AC621" s="231"/>
      <c r="AD621" s="231"/>
      <c r="AE621" s="231"/>
      <c r="AF621" s="231"/>
    </row>
    <row r="622" spans="1:32" ht="17.399999999999999">
      <c r="A622" s="228"/>
      <c r="B622" s="231"/>
      <c r="C622" s="291"/>
      <c r="D622" s="231"/>
      <c r="E622" s="289"/>
      <c r="F622" s="231"/>
      <c r="G622" s="231"/>
      <c r="H622" s="290"/>
      <c r="I622" s="290"/>
      <c r="J622" s="265"/>
      <c r="K622" s="303"/>
      <c r="L622" s="265"/>
      <c r="M622" s="96"/>
      <c r="N622" s="303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  <c r="AA622" s="231"/>
      <c r="AB622" s="231"/>
      <c r="AC622" s="231"/>
      <c r="AD622" s="231"/>
      <c r="AE622" s="231"/>
      <c r="AF622" s="231"/>
    </row>
    <row r="623" spans="1:32" ht="17.399999999999999">
      <c r="A623" s="228"/>
      <c r="B623" s="231"/>
      <c r="C623" s="291"/>
      <c r="D623" s="231"/>
      <c r="E623" s="289"/>
      <c r="F623" s="231"/>
      <c r="G623" s="231"/>
      <c r="H623" s="290"/>
      <c r="I623" s="290"/>
      <c r="J623" s="265"/>
      <c r="K623" s="303"/>
      <c r="L623" s="265"/>
      <c r="M623" s="96"/>
      <c r="N623" s="303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  <c r="AA623" s="231"/>
      <c r="AB623" s="231"/>
      <c r="AC623" s="231"/>
      <c r="AD623" s="231"/>
      <c r="AE623" s="231"/>
      <c r="AF623" s="231"/>
    </row>
    <row r="624" spans="1:32" ht="17.399999999999999">
      <c r="A624" s="228"/>
      <c r="B624" s="231"/>
      <c r="C624" s="291"/>
      <c r="D624" s="231"/>
      <c r="E624" s="289"/>
      <c r="F624" s="231"/>
      <c r="G624" s="231"/>
      <c r="H624" s="290"/>
      <c r="I624" s="290"/>
      <c r="J624" s="265"/>
      <c r="K624" s="303"/>
      <c r="L624" s="265"/>
      <c r="M624" s="96"/>
      <c r="N624" s="303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  <c r="AA624" s="231"/>
      <c r="AB624" s="231"/>
      <c r="AC624" s="231"/>
      <c r="AD624" s="231"/>
      <c r="AE624" s="231"/>
      <c r="AF624" s="231"/>
    </row>
    <row r="625" spans="1:32" ht="17.399999999999999">
      <c r="A625" s="228"/>
      <c r="B625" s="231"/>
      <c r="C625" s="291"/>
      <c r="D625" s="231"/>
      <c r="E625" s="289"/>
      <c r="F625" s="231"/>
      <c r="G625" s="231"/>
      <c r="H625" s="290"/>
      <c r="I625" s="290"/>
      <c r="J625" s="265"/>
      <c r="K625" s="303"/>
      <c r="L625" s="265"/>
      <c r="M625" s="96"/>
      <c r="N625" s="303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  <c r="AA625" s="231"/>
      <c r="AB625" s="231"/>
      <c r="AC625" s="231"/>
      <c r="AD625" s="231"/>
      <c r="AE625" s="231"/>
      <c r="AF625" s="231"/>
    </row>
    <row r="626" spans="1:32" ht="17.399999999999999">
      <c r="A626" s="228"/>
      <c r="B626" s="231"/>
      <c r="C626" s="291"/>
      <c r="D626" s="231"/>
      <c r="E626" s="289"/>
      <c r="F626" s="231"/>
      <c r="G626" s="231"/>
      <c r="H626" s="290"/>
      <c r="I626" s="290"/>
      <c r="J626" s="265"/>
      <c r="K626" s="303"/>
      <c r="L626" s="265"/>
      <c r="M626" s="96"/>
      <c r="N626" s="303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  <c r="AA626" s="231"/>
      <c r="AB626" s="231"/>
      <c r="AC626" s="231"/>
      <c r="AD626" s="231"/>
      <c r="AE626" s="231"/>
      <c r="AF626" s="231"/>
    </row>
    <row r="627" spans="1:32" ht="17.399999999999999">
      <c r="A627" s="228"/>
      <c r="B627" s="231"/>
      <c r="C627" s="291"/>
      <c r="D627" s="231"/>
      <c r="E627" s="289"/>
      <c r="F627" s="231"/>
      <c r="G627" s="231"/>
      <c r="H627" s="290"/>
      <c r="I627" s="290"/>
      <c r="J627" s="265"/>
      <c r="K627" s="303"/>
      <c r="L627" s="265"/>
      <c r="M627" s="96"/>
      <c r="N627" s="303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  <c r="AA627" s="231"/>
      <c r="AB627" s="231"/>
      <c r="AC627" s="231"/>
      <c r="AD627" s="231"/>
      <c r="AE627" s="231"/>
      <c r="AF627" s="231"/>
    </row>
    <row r="628" spans="1:32" ht="17.399999999999999">
      <c r="A628" s="228"/>
      <c r="B628" s="231"/>
      <c r="C628" s="291"/>
      <c r="D628" s="231"/>
      <c r="E628" s="289"/>
      <c r="F628" s="231"/>
      <c r="G628" s="231"/>
      <c r="H628" s="290"/>
      <c r="I628" s="290"/>
      <c r="J628" s="265"/>
      <c r="K628" s="303"/>
      <c r="L628" s="265"/>
      <c r="M628" s="96"/>
      <c r="N628" s="303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  <c r="AA628" s="231"/>
      <c r="AB628" s="231"/>
      <c r="AC628" s="231"/>
      <c r="AD628" s="231"/>
      <c r="AE628" s="231"/>
      <c r="AF628" s="231"/>
    </row>
    <row r="629" spans="1:32" ht="17.399999999999999">
      <c r="A629" s="228"/>
      <c r="B629" s="231"/>
      <c r="C629" s="291"/>
      <c r="D629" s="231"/>
      <c r="E629" s="289"/>
      <c r="F629" s="231"/>
      <c r="G629" s="231"/>
      <c r="H629" s="290"/>
      <c r="I629" s="290"/>
      <c r="J629" s="265"/>
      <c r="K629" s="303"/>
      <c r="L629" s="265"/>
      <c r="M629" s="96"/>
      <c r="N629" s="303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  <c r="AA629" s="231"/>
      <c r="AB629" s="231"/>
      <c r="AC629" s="231"/>
      <c r="AD629" s="231"/>
      <c r="AE629" s="231"/>
      <c r="AF629" s="231"/>
    </row>
    <row r="630" spans="1:32" ht="17.399999999999999">
      <c r="A630" s="228"/>
      <c r="B630" s="231"/>
      <c r="C630" s="291"/>
      <c r="D630" s="231"/>
      <c r="E630" s="289"/>
      <c r="F630" s="231"/>
      <c r="G630" s="231"/>
      <c r="H630" s="290"/>
      <c r="I630" s="290"/>
      <c r="J630" s="265"/>
      <c r="K630" s="303"/>
      <c r="L630" s="265"/>
      <c r="M630" s="96"/>
      <c r="N630" s="303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  <c r="AA630" s="231"/>
      <c r="AB630" s="231"/>
      <c r="AC630" s="231"/>
      <c r="AD630" s="231"/>
      <c r="AE630" s="231"/>
      <c r="AF630" s="231"/>
    </row>
    <row r="631" spans="1:32" ht="17.399999999999999">
      <c r="A631" s="228"/>
      <c r="B631" s="231"/>
      <c r="C631" s="291"/>
      <c r="D631" s="231"/>
      <c r="E631" s="289"/>
      <c r="F631" s="231"/>
      <c r="G631" s="231"/>
      <c r="H631" s="290"/>
      <c r="I631" s="290"/>
      <c r="J631" s="265"/>
      <c r="K631" s="303"/>
      <c r="L631" s="265"/>
      <c r="M631" s="96"/>
      <c r="N631" s="303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  <c r="AA631" s="231"/>
      <c r="AB631" s="231"/>
      <c r="AC631" s="231"/>
      <c r="AD631" s="231"/>
      <c r="AE631" s="231"/>
      <c r="AF631" s="231"/>
    </row>
    <row r="632" spans="1:32" ht="17.399999999999999">
      <c r="A632" s="228"/>
      <c r="B632" s="231"/>
      <c r="C632" s="291"/>
      <c r="D632" s="231"/>
      <c r="E632" s="289"/>
      <c r="F632" s="231"/>
      <c r="G632" s="231"/>
      <c r="H632" s="290"/>
      <c r="I632" s="290"/>
      <c r="J632" s="265"/>
      <c r="K632" s="303"/>
      <c r="L632" s="265"/>
      <c r="M632" s="96"/>
      <c r="N632" s="303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  <c r="AA632" s="231"/>
      <c r="AB632" s="231"/>
      <c r="AC632" s="231"/>
      <c r="AD632" s="231"/>
      <c r="AE632" s="231"/>
      <c r="AF632" s="231"/>
    </row>
    <row r="633" spans="1:32" ht="17.399999999999999">
      <c r="A633" s="228"/>
      <c r="B633" s="231"/>
      <c r="C633" s="291"/>
      <c r="D633" s="231"/>
      <c r="E633" s="289"/>
      <c r="F633" s="231"/>
      <c r="G633" s="231"/>
      <c r="H633" s="290"/>
      <c r="I633" s="290"/>
      <c r="J633" s="265"/>
      <c r="K633" s="303"/>
      <c r="L633" s="265"/>
      <c r="M633" s="96"/>
      <c r="N633" s="303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  <c r="AA633" s="231"/>
      <c r="AB633" s="231"/>
      <c r="AC633" s="231"/>
      <c r="AD633" s="231"/>
      <c r="AE633" s="231"/>
      <c r="AF633" s="231"/>
    </row>
    <row r="634" spans="1:32" ht="17.399999999999999">
      <c r="A634" s="228"/>
      <c r="B634" s="231"/>
      <c r="C634" s="291"/>
      <c r="D634" s="231"/>
      <c r="E634" s="289"/>
      <c r="F634" s="231"/>
      <c r="G634" s="231"/>
      <c r="H634" s="290"/>
      <c r="I634" s="290"/>
      <c r="J634" s="265"/>
      <c r="K634" s="303"/>
      <c r="L634" s="265"/>
      <c r="M634" s="96"/>
      <c r="N634" s="303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  <c r="AA634" s="231"/>
      <c r="AB634" s="231"/>
      <c r="AC634" s="231"/>
      <c r="AD634" s="231"/>
      <c r="AE634" s="231"/>
      <c r="AF634" s="231"/>
    </row>
    <row r="635" spans="1:32" ht="17.399999999999999">
      <c r="A635" s="228"/>
      <c r="B635" s="231"/>
      <c r="C635" s="291"/>
      <c r="D635" s="231"/>
      <c r="E635" s="289"/>
      <c r="F635" s="231"/>
      <c r="G635" s="231"/>
      <c r="H635" s="290"/>
      <c r="I635" s="290"/>
      <c r="J635" s="265"/>
      <c r="K635" s="303"/>
      <c r="L635" s="265"/>
      <c r="M635" s="96"/>
      <c r="N635" s="303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  <c r="AA635" s="231"/>
      <c r="AB635" s="231"/>
      <c r="AC635" s="231"/>
      <c r="AD635" s="231"/>
      <c r="AE635" s="231"/>
      <c r="AF635" s="231"/>
    </row>
    <row r="636" spans="1:32" ht="17.399999999999999">
      <c r="A636" s="228"/>
      <c r="B636" s="231"/>
      <c r="C636" s="291"/>
      <c r="D636" s="231"/>
      <c r="E636" s="289"/>
      <c r="F636" s="231"/>
      <c r="G636" s="231"/>
      <c r="H636" s="290"/>
      <c r="I636" s="290"/>
      <c r="J636" s="265"/>
      <c r="K636" s="303"/>
      <c r="L636" s="265"/>
      <c r="M636" s="96"/>
      <c r="N636" s="303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  <c r="AA636" s="231"/>
      <c r="AB636" s="231"/>
      <c r="AC636" s="231"/>
      <c r="AD636" s="231"/>
      <c r="AE636" s="231"/>
      <c r="AF636" s="231"/>
    </row>
    <row r="637" spans="1:32" ht="17.399999999999999">
      <c r="A637" s="228"/>
      <c r="B637" s="231"/>
      <c r="C637" s="291"/>
      <c r="D637" s="231"/>
      <c r="E637" s="289"/>
      <c r="F637" s="231"/>
      <c r="G637" s="231"/>
      <c r="H637" s="290"/>
      <c r="I637" s="290"/>
      <c r="J637" s="265"/>
      <c r="K637" s="303"/>
      <c r="L637" s="265"/>
      <c r="M637" s="96"/>
      <c r="N637" s="303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  <c r="AA637" s="231"/>
      <c r="AB637" s="231"/>
      <c r="AC637" s="231"/>
      <c r="AD637" s="231"/>
      <c r="AE637" s="231"/>
      <c r="AF637" s="231"/>
    </row>
    <row r="638" spans="1:32" ht="17.399999999999999">
      <c r="A638" s="228"/>
      <c r="B638" s="231"/>
      <c r="C638" s="291"/>
      <c r="D638" s="231"/>
      <c r="E638" s="289"/>
      <c r="F638" s="231"/>
      <c r="G638" s="231"/>
      <c r="H638" s="290"/>
      <c r="I638" s="290"/>
      <c r="J638" s="265"/>
      <c r="K638" s="303"/>
      <c r="L638" s="265"/>
      <c r="M638" s="96"/>
      <c r="N638" s="303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  <c r="AA638" s="231"/>
      <c r="AB638" s="231"/>
      <c r="AC638" s="231"/>
      <c r="AD638" s="231"/>
      <c r="AE638" s="231"/>
      <c r="AF638" s="231"/>
    </row>
    <row r="639" spans="1:32" ht="17.399999999999999">
      <c r="A639" s="228"/>
      <c r="B639" s="231"/>
      <c r="C639" s="291"/>
      <c r="D639" s="231"/>
      <c r="E639" s="289"/>
      <c r="F639" s="231"/>
      <c r="G639" s="231"/>
      <c r="H639" s="290"/>
      <c r="I639" s="290"/>
      <c r="J639" s="265"/>
      <c r="K639" s="303"/>
      <c r="L639" s="265"/>
      <c r="M639" s="96"/>
      <c r="N639" s="303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  <c r="AA639" s="231"/>
      <c r="AB639" s="231"/>
      <c r="AC639" s="231"/>
      <c r="AD639" s="231"/>
      <c r="AE639" s="231"/>
      <c r="AF639" s="231"/>
    </row>
    <row r="640" spans="1:32" ht="17.399999999999999">
      <c r="A640" s="228"/>
      <c r="B640" s="231"/>
      <c r="C640" s="291"/>
      <c r="D640" s="231"/>
      <c r="E640" s="289"/>
      <c r="F640" s="231"/>
      <c r="G640" s="231"/>
      <c r="H640" s="290"/>
      <c r="I640" s="290"/>
      <c r="J640" s="265"/>
      <c r="K640" s="303"/>
      <c r="L640" s="265"/>
      <c r="M640" s="96"/>
      <c r="N640" s="303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  <c r="AA640" s="231"/>
      <c r="AB640" s="231"/>
      <c r="AC640" s="231"/>
      <c r="AD640" s="231"/>
      <c r="AE640" s="231"/>
      <c r="AF640" s="231"/>
    </row>
    <row r="641" spans="1:32" ht="17.399999999999999">
      <c r="A641" s="228"/>
      <c r="B641" s="231"/>
      <c r="C641" s="291"/>
      <c r="D641" s="231"/>
      <c r="E641" s="289"/>
      <c r="F641" s="231"/>
      <c r="G641" s="231"/>
      <c r="H641" s="290"/>
      <c r="I641" s="290"/>
      <c r="J641" s="265"/>
      <c r="K641" s="303"/>
      <c r="L641" s="265"/>
      <c r="M641" s="96"/>
      <c r="N641" s="303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  <c r="AA641" s="231"/>
      <c r="AB641" s="231"/>
      <c r="AC641" s="231"/>
      <c r="AD641" s="231"/>
      <c r="AE641" s="231"/>
      <c r="AF641" s="231"/>
    </row>
    <row r="642" spans="1:32" ht="17.399999999999999">
      <c r="A642" s="228"/>
      <c r="B642" s="231"/>
      <c r="C642" s="291"/>
      <c r="D642" s="231"/>
      <c r="E642" s="289"/>
      <c r="F642" s="231"/>
      <c r="G642" s="231"/>
      <c r="H642" s="290"/>
      <c r="I642" s="290"/>
      <c r="J642" s="265"/>
      <c r="K642" s="303"/>
      <c r="L642" s="265"/>
      <c r="M642" s="96"/>
      <c r="N642" s="303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  <c r="AA642" s="231"/>
      <c r="AB642" s="231"/>
      <c r="AC642" s="231"/>
      <c r="AD642" s="231"/>
      <c r="AE642" s="231"/>
      <c r="AF642" s="231"/>
    </row>
    <row r="643" spans="1:32" ht="17.399999999999999">
      <c r="A643" s="228"/>
      <c r="B643" s="231"/>
      <c r="C643" s="291"/>
      <c r="D643" s="231"/>
      <c r="E643" s="289"/>
      <c r="F643" s="231"/>
      <c r="G643" s="231"/>
      <c r="H643" s="290"/>
      <c r="I643" s="290"/>
      <c r="J643" s="265"/>
      <c r="K643" s="303"/>
      <c r="L643" s="265"/>
      <c r="M643" s="96"/>
      <c r="N643" s="303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  <c r="AA643" s="231"/>
      <c r="AB643" s="231"/>
      <c r="AC643" s="231"/>
      <c r="AD643" s="231"/>
      <c r="AE643" s="231"/>
      <c r="AF643" s="231"/>
    </row>
    <row r="644" spans="1:32" ht="17.399999999999999">
      <c r="A644" s="228"/>
      <c r="B644" s="231"/>
      <c r="C644" s="291"/>
      <c r="D644" s="231"/>
      <c r="E644" s="289"/>
      <c r="F644" s="231"/>
      <c r="G644" s="231"/>
      <c r="H644" s="290"/>
      <c r="I644" s="290"/>
      <c r="J644" s="265"/>
      <c r="K644" s="303"/>
      <c r="L644" s="265"/>
      <c r="M644" s="96"/>
      <c r="N644" s="303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  <c r="AA644" s="231"/>
      <c r="AB644" s="231"/>
      <c r="AC644" s="231"/>
      <c r="AD644" s="231"/>
      <c r="AE644" s="231"/>
      <c r="AF644" s="231"/>
    </row>
    <row r="645" spans="1:32" ht="17.399999999999999">
      <c r="A645" s="228"/>
      <c r="B645" s="231"/>
      <c r="C645" s="291"/>
      <c r="D645" s="231"/>
      <c r="E645" s="289"/>
      <c r="F645" s="231"/>
      <c r="G645" s="231"/>
      <c r="H645" s="290"/>
      <c r="I645" s="290"/>
      <c r="J645" s="265"/>
      <c r="K645" s="303"/>
      <c r="L645" s="265"/>
      <c r="M645" s="96"/>
      <c r="N645" s="303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  <c r="AA645" s="231"/>
      <c r="AB645" s="231"/>
      <c r="AC645" s="231"/>
      <c r="AD645" s="231"/>
      <c r="AE645" s="231"/>
      <c r="AF645" s="231"/>
    </row>
    <row r="646" spans="1:32" ht="17.399999999999999">
      <c r="A646" s="228"/>
      <c r="B646" s="231"/>
      <c r="C646" s="291"/>
      <c r="D646" s="231"/>
      <c r="E646" s="289"/>
      <c r="F646" s="231"/>
      <c r="G646" s="231"/>
      <c r="H646" s="290"/>
      <c r="I646" s="290"/>
      <c r="J646" s="265"/>
      <c r="K646" s="303"/>
      <c r="L646" s="265"/>
      <c r="M646" s="96"/>
      <c r="N646" s="303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  <c r="AA646" s="231"/>
      <c r="AB646" s="231"/>
      <c r="AC646" s="231"/>
      <c r="AD646" s="231"/>
      <c r="AE646" s="231"/>
      <c r="AF646" s="231"/>
    </row>
    <row r="647" spans="1:32" ht="17.399999999999999">
      <c r="A647" s="228"/>
      <c r="B647" s="231"/>
      <c r="C647" s="291"/>
      <c r="D647" s="231"/>
      <c r="E647" s="289"/>
      <c r="F647" s="231"/>
      <c r="G647" s="231"/>
      <c r="H647" s="290"/>
      <c r="I647" s="290"/>
      <c r="J647" s="265"/>
      <c r="K647" s="303"/>
      <c r="L647" s="265"/>
      <c r="M647" s="96"/>
      <c r="N647" s="303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  <c r="AA647" s="231"/>
      <c r="AB647" s="231"/>
      <c r="AC647" s="231"/>
      <c r="AD647" s="231"/>
      <c r="AE647" s="231"/>
      <c r="AF647" s="231"/>
    </row>
    <row r="648" spans="1:32" ht="17.399999999999999">
      <c r="A648" s="228"/>
      <c r="B648" s="231"/>
      <c r="C648" s="291"/>
      <c r="D648" s="231"/>
      <c r="E648" s="289"/>
      <c r="F648" s="231"/>
      <c r="G648" s="231"/>
      <c r="H648" s="290"/>
      <c r="I648" s="290"/>
      <c r="J648" s="265"/>
      <c r="K648" s="303"/>
      <c r="L648" s="265"/>
      <c r="M648" s="96"/>
      <c r="N648" s="303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  <c r="AA648" s="231"/>
      <c r="AB648" s="231"/>
      <c r="AC648" s="231"/>
      <c r="AD648" s="231"/>
      <c r="AE648" s="231"/>
      <c r="AF648" s="231"/>
    </row>
    <row r="649" spans="1:32" ht="17.399999999999999">
      <c r="A649" s="228"/>
      <c r="B649" s="231"/>
      <c r="C649" s="291"/>
      <c r="D649" s="231"/>
      <c r="E649" s="289"/>
      <c r="F649" s="231"/>
      <c r="G649" s="231"/>
      <c r="H649" s="290"/>
      <c r="I649" s="290"/>
      <c r="J649" s="265"/>
      <c r="K649" s="303"/>
      <c r="L649" s="265"/>
      <c r="M649" s="96"/>
      <c r="N649" s="303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  <c r="AA649" s="231"/>
      <c r="AB649" s="231"/>
      <c r="AC649" s="231"/>
      <c r="AD649" s="231"/>
      <c r="AE649" s="231"/>
      <c r="AF649" s="231"/>
    </row>
    <row r="650" spans="1:32" ht="17.399999999999999">
      <c r="A650" s="228"/>
      <c r="B650" s="231"/>
      <c r="C650" s="291"/>
      <c r="D650" s="231"/>
      <c r="E650" s="289"/>
      <c r="F650" s="231"/>
      <c r="G650" s="231"/>
      <c r="H650" s="290"/>
      <c r="I650" s="290"/>
      <c r="J650" s="265"/>
      <c r="K650" s="303"/>
      <c r="L650" s="265"/>
      <c r="M650" s="96"/>
      <c r="N650" s="303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  <c r="AA650" s="231"/>
      <c r="AB650" s="231"/>
      <c r="AC650" s="231"/>
      <c r="AD650" s="231"/>
      <c r="AE650" s="231"/>
      <c r="AF650" s="231"/>
    </row>
    <row r="651" spans="1:32" ht="17.399999999999999">
      <c r="A651" s="228"/>
      <c r="B651" s="231"/>
      <c r="C651" s="291"/>
      <c r="D651" s="231"/>
      <c r="E651" s="289"/>
      <c r="F651" s="231"/>
      <c r="G651" s="231"/>
      <c r="H651" s="290"/>
      <c r="I651" s="290"/>
      <c r="J651" s="265"/>
      <c r="K651" s="303"/>
      <c r="L651" s="265"/>
      <c r="M651" s="96"/>
      <c r="N651" s="303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  <c r="AA651" s="231"/>
      <c r="AB651" s="231"/>
      <c r="AC651" s="231"/>
      <c r="AD651" s="231"/>
      <c r="AE651" s="231"/>
      <c r="AF651" s="231"/>
    </row>
    <row r="652" spans="1:32" ht="17.399999999999999">
      <c r="A652" s="228"/>
      <c r="B652" s="231"/>
      <c r="C652" s="291"/>
      <c r="D652" s="231"/>
      <c r="E652" s="289"/>
      <c r="F652" s="231"/>
      <c r="G652" s="231"/>
      <c r="H652" s="290"/>
      <c r="I652" s="290"/>
      <c r="J652" s="265"/>
      <c r="K652" s="303"/>
      <c r="L652" s="265"/>
      <c r="M652" s="96"/>
      <c r="N652" s="303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  <c r="AA652" s="231"/>
      <c r="AB652" s="231"/>
      <c r="AC652" s="231"/>
      <c r="AD652" s="231"/>
      <c r="AE652" s="231"/>
      <c r="AF652" s="231"/>
    </row>
    <row r="653" spans="1:32" ht="17.399999999999999">
      <c r="A653" s="228"/>
      <c r="B653" s="231"/>
      <c r="C653" s="291"/>
      <c r="D653" s="231"/>
      <c r="E653" s="289"/>
      <c r="F653" s="231"/>
      <c r="G653" s="231"/>
      <c r="H653" s="290"/>
      <c r="I653" s="290"/>
      <c r="J653" s="265"/>
      <c r="K653" s="303"/>
      <c r="L653" s="265"/>
      <c r="M653" s="96"/>
      <c r="N653" s="303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  <c r="AA653" s="231"/>
      <c r="AB653" s="231"/>
      <c r="AC653" s="231"/>
      <c r="AD653" s="231"/>
      <c r="AE653" s="231"/>
      <c r="AF653" s="231"/>
    </row>
    <row r="654" spans="1:32" ht="17.399999999999999">
      <c r="A654" s="228"/>
      <c r="B654" s="231"/>
      <c r="C654" s="291"/>
      <c r="D654" s="231"/>
      <c r="E654" s="289"/>
      <c r="F654" s="231"/>
      <c r="G654" s="231"/>
      <c r="H654" s="290"/>
      <c r="I654" s="290"/>
      <c r="J654" s="265"/>
      <c r="K654" s="303"/>
      <c r="L654" s="265"/>
      <c r="M654" s="96"/>
      <c r="N654" s="303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  <c r="AA654" s="231"/>
      <c r="AB654" s="231"/>
      <c r="AC654" s="231"/>
      <c r="AD654" s="231"/>
      <c r="AE654" s="231"/>
      <c r="AF654" s="231"/>
    </row>
    <row r="655" spans="1:32" ht="17.399999999999999">
      <c r="A655" s="228"/>
      <c r="B655" s="231"/>
      <c r="C655" s="291"/>
      <c r="D655" s="231"/>
      <c r="E655" s="289"/>
      <c r="F655" s="231"/>
      <c r="G655" s="231"/>
      <c r="H655" s="290"/>
      <c r="I655" s="290"/>
      <c r="J655" s="265"/>
      <c r="K655" s="303"/>
      <c r="L655" s="265"/>
      <c r="M655" s="96"/>
      <c r="N655" s="303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  <c r="AA655" s="231"/>
      <c r="AB655" s="231"/>
      <c r="AC655" s="231"/>
      <c r="AD655" s="231"/>
      <c r="AE655" s="231"/>
      <c r="AF655" s="231"/>
    </row>
    <row r="656" spans="1:32" ht="17.399999999999999">
      <c r="A656" s="228"/>
      <c r="B656" s="231"/>
      <c r="C656" s="291"/>
      <c r="D656" s="231"/>
      <c r="E656" s="289"/>
      <c r="F656" s="231"/>
      <c r="G656" s="231"/>
      <c r="H656" s="290"/>
      <c r="I656" s="290"/>
      <c r="J656" s="265"/>
      <c r="K656" s="303"/>
      <c r="L656" s="265"/>
      <c r="M656" s="96"/>
      <c r="N656" s="303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  <c r="AA656" s="231"/>
      <c r="AB656" s="231"/>
      <c r="AC656" s="231"/>
      <c r="AD656" s="231"/>
      <c r="AE656" s="231"/>
      <c r="AF656" s="231"/>
    </row>
    <row r="657" spans="1:32" ht="17.399999999999999">
      <c r="A657" s="228"/>
      <c r="B657" s="231"/>
      <c r="C657" s="291"/>
      <c r="D657" s="231"/>
      <c r="E657" s="289"/>
      <c r="F657" s="231"/>
      <c r="G657" s="231"/>
      <c r="H657" s="290"/>
      <c r="I657" s="290"/>
      <c r="J657" s="265"/>
      <c r="K657" s="303"/>
      <c r="L657" s="265"/>
      <c r="M657" s="96"/>
      <c r="N657" s="303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  <c r="AA657" s="231"/>
      <c r="AB657" s="231"/>
      <c r="AC657" s="231"/>
      <c r="AD657" s="231"/>
      <c r="AE657" s="231"/>
      <c r="AF657" s="231"/>
    </row>
    <row r="658" spans="1:32" ht="17.399999999999999">
      <c r="A658" s="228"/>
      <c r="B658" s="231"/>
      <c r="C658" s="291"/>
      <c r="D658" s="231"/>
      <c r="E658" s="289"/>
      <c r="F658" s="231"/>
      <c r="G658" s="231"/>
      <c r="H658" s="290"/>
      <c r="I658" s="290"/>
      <c r="J658" s="265"/>
      <c r="K658" s="303"/>
      <c r="L658" s="265"/>
      <c r="M658" s="96"/>
      <c r="N658" s="303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  <c r="AA658" s="231"/>
      <c r="AB658" s="231"/>
      <c r="AC658" s="231"/>
      <c r="AD658" s="231"/>
      <c r="AE658" s="231"/>
      <c r="AF658" s="231"/>
    </row>
    <row r="659" spans="1:32" ht="17.399999999999999">
      <c r="A659" s="228"/>
      <c r="B659" s="231"/>
      <c r="C659" s="291"/>
      <c r="D659" s="231"/>
      <c r="E659" s="289"/>
      <c r="F659" s="231"/>
      <c r="G659" s="231"/>
      <c r="H659" s="290"/>
      <c r="I659" s="290"/>
      <c r="J659" s="265"/>
      <c r="K659" s="303"/>
      <c r="L659" s="265"/>
      <c r="M659" s="96"/>
      <c r="N659" s="303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  <c r="AA659" s="231"/>
      <c r="AB659" s="231"/>
      <c r="AC659" s="231"/>
      <c r="AD659" s="231"/>
      <c r="AE659" s="231"/>
      <c r="AF659" s="231"/>
    </row>
    <row r="660" spans="1:32" ht="17.399999999999999">
      <c r="A660" s="228"/>
      <c r="B660" s="231"/>
      <c r="C660" s="291"/>
      <c r="D660" s="231"/>
      <c r="E660" s="289"/>
      <c r="F660" s="231"/>
      <c r="G660" s="231"/>
      <c r="H660" s="290"/>
      <c r="I660" s="290"/>
      <c r="J660" s="265"/>
      <c r="K660" s="303"/>
      <c r="L660" s="265"/>
      <c r="M660" s="96"/>
      <c r="N660" s="303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  <c r="AA660" s="231"/>
      <c r="AB660" s="231"/>
      <c r="AC660" s="231"/>
      <c r="AD660" s="231"/>
      <c r="AE660" s="231"/>
      <c r="AF660" s="231"/>
    </row>
    <row r="661" spans="1:32" ht="17.399999999999999">
      <c r="A661" s="228"/>
      <c r="B661" s="231"/>
      <c r="C661" s="291"/>
      <c r="D661" s="231"/>
      <c r="E661" s="289"/>
      <c r="F661" s="231"/>
      <c r="G661" s="231"/>
      <c r="H661" s="290"/>
      <c r="I661" s="290"/>
      <c r="J661" s="265"/>
      <c r="K661" s="303"/>
      <c r="L661" s="265"/>
      <c r="M661" s="96"/>
      <c r="N661" s="303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  <c r="AA661" s="231"/>
      <c r="AB661" s="231"/>
      <c r="AC661" s="231"/>
      <c r="AD661" s="231"/>
      <c r="AE661" s="231"/>
      <c r="AF661" s="231"/>
    </row>
    <row r="662" spans="1:32" ht="17.399999999999999">
      <c r="A662" s="228"/>
      <c r="B662" s="231"/>
      <c r="C662" s="291"/>
      <c r="D662" s="231"/>
      <c r="E662" s="289"/>
      <c r="F662" s="231"/>
      <c r="G662" s="231"/>
      <c r="H662" s="290"/>
      <c r="I662" s="290"/>
      <c r="J662" s="265"/>
      <c r="K662" s="303"/>
      <c r="L662" s="265"/>
      <c r="M662" s="96"/>
      <c r="N662" s="303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  <c r="AA662" s="231"/>
      <c r="AB662" s="231"/>
      <c r="AC662" s="231"/>
      <c r="AD662" s="231"/>
      <c r="AE662" s="231"/>
      <c r="AF662" s="231"/>
    </row>
    <row r="663" spans="1:32" ht="17.399999999999999">
      <c r="A663" s="228"/>
      <c r="B663" s="231"/>
      <c r="C663" s="291"/>
      <c r="D663" s="231"/>
      <c r="E663" s="289"/>
      <c r="F663" s="231"/>
      <c r="G663" s="231"/>
      <c r="H663" s="290"/>
      <c r="I663" s="290"/>
      <c r="J663" s="265"/>
      <c r="K663" s="303"/>
      <c r="L663" s="265"/>
      <c r="M663" s="96"/>
      <c r="N663" s="303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  <c r="AA663" s="231"/>
      <c r="AB663" s="231"/>
      <c r="AC663" s="231"/>
      <c r="AD663" s="231"/>
      <c r="AE663" s="231"/>
      <c r="AF663" s="231"/>
    </row>
    <row r="664" spans="1:32" ht="17.399999999999999">
      <c r="A664" s="228"/>
      <c r="B664" s="231"/>
      <c r="C664" s="291"/>
      <c r="D664" s="231"/>
      <c r="E664" s="289"/>
      <c r="F664" s="231"/>
      <c r="G664" s="231"/>
      <c r="H664" s="290"/>
      <c r="I664" s="290"/>
      <c r="J664" s="265"/>
      <c r="K664" s="303"/>
      <c r="L664" s="265"/>
      <c r="M664" s="96"/>
      <c r="N664" s="303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  <c r="AA664" s="231"/>
      <c r="AB664" s="231"/>
      <c r="AC664" s="231"/>
      <c r="AD664" s="231"/>
      <c r="AE664" s="231"/>
      <c r="AF664" s="231"/>
    </row>
    <row r="665" spans="1:32" ht="17.399999999999999">
      <c r="A665" s="228"/>
      <c r="B665" s="231"/>
      <c r="C665" s="291"/>
      <c r="D665" s="231"/>
      <c r="E665" s="289"/>
      <c r="F665" s="231"/>
      <c r="G665" s="231"/>
      <c r="H665" s="290"/>
      <c r="I665" s="290"/>
      <c r="J665" s="265"/>
      <c r="K665" s="303"/>
      <c r="L665" s="265"/>
      <c r="M665" s="96"/>
      <c r="N665" s="303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  <c r="AA665" s="231"/>
      <c r="AB665" s="231"/>
      <c r="AC665" s="231"/>
      <c r="AD665" s="231"/>
      <c r="AE665" s="231"/>
      <c r="AF665" s="231"/>
    </row>
    <row r="666" spans="1:32" ht="17.399999999999999">
      <c r="A666" s="228"/>
      <c r="B666" s="231"/>
      <c r="C666" s="291"/>
      <c r="D666" s="231"/>
      <c r="E666" s="289"/>
      <c r="F666" s="231"/>
      <c r="G666" s="231"/>
      <c r="H666" s="290"/>
      <c r="I666" s="290"/>
      <c r="J666" s="265"/>
      <c r="K666" s="303"/>
      <c r="L666" s="265"/>
      <c r="M666" s="96"/>
      <c r="N666" s="303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  <c r="AA666" s="231"/>
      <c r="AB666" s="231"/>
      <c r="AC666" s="231"/>
      <c r="AD666" s="231"/>
      <c r="AE666" s="231"/>
      <c r="AF666" s="231"/>
    </row>
    <row r="667" spans="1:32" ht="17.399999999999999">
      <c r="A667" s="228"/>
      <c r="B667" s="231"/>
      <c r="C667" s="291"/>
      <c r="D667" s="231"/>
      <c r="E667" s="289"/>
      <c r="F667" s="231"/>
      <c r="G667" s="231"/>
      <c r="H667" s="290"/>
      <c r="I667" s="290"/>
      <c r="J667" s="265"/>
      <c r="K667" s="303"/>
      <c r="L667" s="265"/>
      <c r="M667" s="96"/>
      <c r="N667" s="303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  <c r="AA667" s="231"/>
      <c r="AB667" s="231"/>
      <c r="AC667" s="231"/>
      <c r="AD667" s="231"/>
      <c r="AE667" s="231"/>
      <c r="AF667" s="231"/>
    </row>
    <row r="668" spans="1:32" ht="17.399999999999999">
      <c r="A668" s="228"/>
      <c r="B668" s="231"/>
      <c r="C668" s="291"/>
      <c r="D668" s="231"/>
      <c r="E668" s="289"/>
      <c r="F668" s="231"/>
      <c r="G668" s="231"/>
      <c r="H668" s="290"/>
      <c r="I668" s="290"/>
      <c r="J668" s="265"/>
      <c r="K668" s="303"/>
      <c r="L668" s="265"/>
      <c r="M668" s="96"/>
      <c r="N668" s="303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  <c r="AA668" s="231"/>
      <c r="AB668" s="231"/>
      <c r="AC668" s="231"/>
      <c r="AD668" s="231"/>
      <c r="AE668" s="231"/>
      <c r="AF668" s="231"/>
    </row>
    <row r="669" spans="1:32" ht="17.399999999999999">
      <c r="A669" s="228"/>
      <c r="B669" s="231"/>
      <c r="C669" s="291"/>
      <c r="D669" s="231"/>
      <c r="E669" s="289"/>
      <c r="F669" s="231"/>
      <c r="G669" s="231"/>
      <c r="H669" s="290"/>
      <c r="I669" s="290"/>
      <c r="J669" s="265"/>
      <c r="K669" s="303"/>
      <c r="L669" s="265"/>
      <c r="M669" s="96"/>
      <c r="N669" s="303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  <c r="AA669" s="231"/>
      <c r="AB669" s="231"/>
      <c r="AC669" s="231"/>
      <c r="AD669" s="231"/>
      <c r="AE669" s="231"/>
      <c r="AF669" s="231"/>
    </row>
    <row r="670" spans="1:32" ht="17.399999999999999">
      <c r="A670" s="228"/>
      <c r="B670" s="231"/>
      <c r="C670" s="291"/>
      <c r="D670" s="231"/>
      <c r="E670" s="289"/>
      <c r="F670" s="231"/>
      <c r="G670" s="231"/>
      <c r="H670" s="290"/>
      <c r="I670" s="290"/>
      <c r="J670" s="265"/>
      <c r="K670" s="303"/>
      <c r="L670" s="265"/>
      <c r="M670" s="96"/>
      <c r="N670" s="303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  <c r="AA670" s="231"/>
      <c r="AB670" s="231"/>
      <c r="AC670" s="231"/>
      <c r="AD670" s="231"/>
      <c r="AE670" s="231"/>
      <c r="AF670" s="231"/>
    </row>
    <row r="671" spans="1:32" ht="17.399999999999999">
      <c r="A671" s="228"/>
      <c r="B671" s="231"/>
      <c r="C671" s="291"/>
      <c r="D671" s="231"/>
      <c r="E671" s="289"/>
      <c r="F671" s="231"/>
      <c r="G671" s="231"/>
      <c r="H671" s="290"/>
      <c r="I671" s="290"/>
      <c r="J671" s="265"/>
      <c r="K671" s="303"/>
      <c r="L671" s="265"/>
      <c r="M671" s="96"/>
      <c r="N671" s="303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  <c r="AA671" s="231"/>
      <c r="AB671" s="231"/>
      <c r="AC671" s="231"/>
      <c r="AD671" s="231"/>
      <c r="AE671" s="231"/>
      <c r="AF671" s="231"/>
    </row>
    <row r="672" spans="1:32" ht="17.399999999999999">
      <c r="A672" s="228"/>
      <c r="B672" s="231"/>
      <c r="C672" s="291"/>
      <c r="D672" s="231"/>
      <c r="E672" s="289"/>
      <c r="F672" s="231"/>
      <c r="G672" s="231"/>
      <c r="H672" s="290"/>
      <c r="I672" s="290"/>
      <c r="J672" s="265"/>
      <c r="K672" s="303"/>
      <c r="L672" s="265"/>
      <c r="M672" s="96"/>
      <c r="N672" s="303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  <c r="AA672" s="231"/>
      <c r="AB672" s="231"/>
      <c r="AC672" s="231"/>
      <c r="AD672" s="231"/>
      <c r="AE672" s="231"/>
      <c r="AF672" s="231"/>
    </row>
    <row r="673" spans="1:32" ht="17.399999999999999">
      <c r="A673" s="228"/>
      <c r="B673" s="231"/>
      <c r="C673" s="291"/>
      <c r="D673" s="231"/>
      <c r="E673" s="289"/>
      <c r="F673" s="231"/>
      <c r="G673" s="231"/>
      <c r="H673" s="290"/>
      <c r="I673" s="290"/>
      <c r="J673" s="265"/>
      <c r="K673" s="303"/>
      <c r="L673" s="265"/>
      <c r="M673" s="96"/>
      <c r="N673" s="303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  <c r="AA673" s="231"/>
      <c r="AB673" s="231"/>
      <c r="AC673" s="231"/>
      <c r="AD673" s="231"/>
      <c r="AE673" s="231"/>
      <c r="AF673" s="231"/>
    </row>
    <row r="674" spans="1:32" ht="17.399999999999999">
      <c r="A674" s="228"/>
      <c r="B674" s="231"/>
      <c r="C674" s="291"/>
      <c r="D674" s="231"/>
      <c r="E674" s="289"/>
      <c r="F674" s="231"/>
      <c r="G674" s="231"/>
      <c r="H674" s="290"/>
      <c r="I674" s="290"/>
      <c r="J674" s="265"/>
      <c r="K674" s="303"/>
      <c r="L674" s="265"/>
      <c r="M674" s="96"/>
      <c r="N674" s="303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  <c r="AA674" s="231"/>
      <c r="AB674" s="231"/>
      <c r="AC674" s="231"/>
      <c r="AD674" s="231"/>
      <c r="AE674" s="231"/>
      <c r="AF674" s="231"/>
    </row>
    <row r="675" spans="1:32" ht="17.399999999999999">
      <c r="A675" s="228"/>
      <c r="B675" s="231"/>
      <c r="C675" s="291"/>
      <c r="D675" s="231"/>
      <c r="E675" s="289"/>
      <c r="F675" s="231"/>
      <c r="G675" s="231"/>
      <c r="H675" s="290"/>
      <c r="I675" s="290"/>
      <c r="J675" s="265"/>
      <c r="K675" s="303"/>
      <c r="L675" s="265"/>
      <c r="M675" s="96"/>
      <c r="N675" s="303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  <c r="AA675" s="231"/>
      <c r="AB675" s="231"/>
      <c r="AC675" s="231"/>
      <c r="AD675" s="231"/>
      <c r="AE675" s="231"/>
      <c r="AF675" s="231"/>
    </row>
    <row r="676" spans="1:32" ht="17.399999999999999">
      <c r="A676" s="228"/>
      <c r="B676" s="231"/>
      <c r="C676" s="291"/>
      <c r="D676" s="231"/>
      <c r="E676" s="289"/>
      <c r="F676" s="231"/>
      <c r="G676" s="231"/>
      <c r="H676" s="290"/>
      <c r="I676" s="290"/>
      <c r="J676" s="265"/>
      <c r="K676" s="303"/>
      <c r="L676" s="265"/>
      <c r="M676" s="96"/>
      <c r="N676" s="303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  <c r="AA676" s="231"/>
      <c r="AB676" s="231"/>
      <c r="AC676" s="231"/>
      <c r="AD676" s="231"/>
      <c r="AE676" s="231"/>
      <c r="AF676" s="231"/>
    </row>
    <row r="677" spans="1:32" ht="17.399999999999999">
      <c r="A677" s="228"/>
      <c r="B677" s="231"/>
      <c r="C677" s="291"/>
      <c r="D677" s="231"/>
      <c r="E677" s="289"/>
      <c r="F677" s="231"/>
      <c r="G677" s="231"/>
      <c r="H677" s="290"/>
      <c r="I677" s="290"/>
      <c r="J677" s="265"/>
      <c r="K677" s="303"/>
      <c r="L677" s="265"/>
      <c r="M677" s="96"/>
      <c r="N677" s="303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  <c r="AA677" s="231"/>
      <c r="AB677" s="231"/>
      <c r="AC677" s="231"/>
      <c r="AD677" s="231"/>
      <c r="AE677" s="231"/>
      <c r="AF677" s="231"/>
    </row>
    <row r="678" spans="1:32" ht="17.399999999999999">
      <c r="A678" s="228"/>
      <c r="B678" s="231"/>
      <c r="C678" s="291"/>
      <c r="D678" s="231"/>
      <c r="E678" s="289"/>
      <c r="F678" s="231"/>
      <c r="G678" s="231"/>
      <c r="H678" s="290"/>
      <c r="I678" s="290"/>
      <c r="J678" s="265"/>
      <c r="K678" s="303"/>
      <c r="L678" s="265"/>
      <c r="M678" s="96"/>
      <c r="N678" s="303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  <c r="AA678" s="231"/>
      <c r="AB678" s="231"/>
      <c r="AC678" s="231"/>
      <c r="AD678" s="231"/>
      <c r="AE678" s="231"/>
      <c r="AF678" s="231"/>
    </row>
    <row r="679" spans="1:32" ht="17.399999999999999">
      <c r="A679" s="228"/>
      <c r="B679" s="231"/>
      <c r="C679" s="291"/>
      <c r="D679" s="231"/>
      <c r="E679" s="289"/>
      <c r="F679" s="231"/>
      <c r="G679" s="231"/>
      <c r="H679" s="290"/>
      <c r="I679" s="290"/>
      <c r="J679" s="265"/>
      <c r="K679" s="303"/>
      <c r="L679" s="265"/>
      <c r="M679" s="96"/>
      <c r="N679" s="303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  <c r="AA679" s="231"/>
      <c r="AB679" s="231"/>
      <c r="AC679" s="231"/>
      <c r="AD679" s="231"/>
      <c r="AE679" s="231"/>
      <c r="AF679" s="231"/>
    </row>
    <row r="680" spans="1:32" ht="17.399999999999999">
      <c r="A680" s="228"/>
      <c r="B680" s="231"/>
      <c r="C680" s="291"/>
      <c r="D680" s="231"/>
      <c r="E680" s="289"/>
      <c r="F680" s="231"/>
      <c r="G680" s="231"/>
      <c r="H680" s="290"/>
      <c r="I680" s="290"/>
      <c r="J680" s="265"/>
      <c r="K680" s="303"/>
      <c r="L680" s="265"/>
      <c r="M680" s="96"/>
      <c r="N680" s="303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  <c r="AA680" s="231"/>
      <c r="AB680" s="231"/>
      <c r="AC680" s="231"/>
      <c r="AD680" s="231"/>
      <c r="AE680" s="231"/>
      <c r="AF680" s="231"/>
    </row>
    <row r="681" spans="1:32" ht="17.399999999999999">
      <c r="A681" s="228"/>
      <c r="B681" s="231"/>
      <c r="C681" s="291"/>
      <c r="D681" s="231"/>
      <c r="E681" s="289"/>
      <c r="F681" s="231"/>
      <c r="G681" s="231"/>
      <c r="H681" s="290"/>
      <c r="I681" s="290"/>
      <c r="J681" s="265"/>
      <c r="K681" s="303"/>
      <c r="L681" s="265"/>
      <c r="M681" s="96"/>
      <c r="N681" s="303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  <c r="AA681" s="231"/>
      <c r="AB681" s="231"/>
      <c r="AC681" s="231"/>
      <c r="AD681" s="231"/>
      <c r="AE681" s="231"/>
      <c r="AF681" s="231"/>
    </row>
    <row r="682" spans="1:32" ht="17.399999999999999">
      <c r="A682" s="228"/>
      <c r="B682" s="231"/>
      <c r="C682" s="291"/>
      <c r="D682" s="231"/>
      <c r="E682" s="289"/>
      <c r="F682" s="231"/>
      <c r="G682" s="231"/>
      <c r="H682" s="290"/>
      <c r="I682" s="290"/>
      <c r="J682" s="265"/>
      <c r="K682" s="303"/>
      <c r="L682" s="265"/>
      <c r="M682" s="96"/>
      <c r="N682" s="303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  <c r="AA682" s="231"/>
      <c r="AB682" s="231"/>
      <c r="AC682" s="231"/>
      <c r="AD682" s="231"/>
      <c r="AE682" s="231"/>
      <c r="AF682" s="231"/>
    </row>
    <row r="683" spans="1:32" ht="17.399999999999999">
      <c r="A683" s="228"/>
      <c r="B683" s="231"/>
      <c r="C683" s="291"/>
      <c r="D683" s="231"/>
      <c r="E683" s="289"/>
      <c r="F683" s="231"/>
      <c r="G683" s="231"/>
      <c r="H683" s="290"/>
      <c r="I683" s="290"/>
      <c r="J683" s="265"/>
      <c r="K683" s="303"/>
      <c r="L683" s="265"/>
      <c r="M683" s="96"/>
      <c r="N683" s="303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  <c r="AA683" s="231"/>
      <c r="AB683" s="231"/>
      <c r="AC683" s="231"/>
      <c r="AD683" s="231"/>
      <c r="AE683" s="231"/>
      <c r="AF683" s="231"/>
    </row>
    <row r="684" spans="1:32" ht="17.399999999999999">
      <c r="A684" s="228"/>
      <c r="B684" s="231"/>
      <c r="C684" s="291"/>
      <c r="D684" s="231"/>
      <c r="E684" s="289"/>
      <c r="F684" s="231"/>
      <c r="G684" s="231"/>
      <c r="H684" s="290"/>
      <c r="I684" s="290"/>
      <c r="J684" s="265"/>
      <c r="K684" s="303"/>
      <c r="L684" s="265"/>
      <c r="M684" s="96"/>
      <c r="N684" s="303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  <c r="AA684" s="231"/>
      <c r="AB684" s="231"/>
      <c r="AC684" s="231"/>
      <c r="AD684" s="231"/>
      <c r="AE684" s="231"/>
      <c r="AF684" s="231"/>
    </row>
    <row r="685" spans="1:32" ht="17.399999999999999">
      <c r="A685" s="228"/>
      <c r="B685" s="231"/>
      <c r="C685" s="291"/>
      <c r="D685" s="231"/>
      <c r="E685" s="289"/>
      <c r="F685" s="231"/>
      <c r="G685" s="231"/>
      <c r="H685" s="290"/>
      <c r="I685" s="290"/>
      <c r="J685" s="265"/>
      <c r="K685" s="303"/>
      <c r="L685" s="265"/>
      <c r="M685" s="96"/>
      <c r="N685" s="303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  <c r="AA685" s="231"/>
      <c r="AB685" s="231"/>
      <c r="AC685" s="231"/>
      <c r="AD685" s="231"/>
      <c r="AE685" s="231"/>
      <c r="AF685" s="231"/>
    </row>
    <row r="686" spans="1:32" ht="17.399999999999999">
      <c r="A686" s="228"/>
      <c r="B686" s="231"/>
      <c r="C686" s="291"/>
      <c r="D686" s="231"/>
      <c r="E686" s="289"/>
      <c r="F686" s="231"/>
      <c r="G686" s="231"/>
      <c r="H686" s="290"/>
      <c r="I686" s="290"/>
      <c r="J686" s="265"/>
      <c r="K686" s="303"/>
      <c r="L686" s="265"/>
      <c r="M686" s="96"/>
      <c r="N686" s="303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  <c r="AA686" s="231"/>
      <c r="AB686" s="231"/>
      <c r="AC686" s="231"/>
      <c r="AD686" s="231"/>
      <c r="AE686" s="231"/>
      <c r="AF686" s="231"/>
    </row>
    <row r="687" spans="1:32" ht="17.399999999999999">
      <c r="A687" s="228"/>
      <c r="B687" s="231"/>
      <c r="C687" s="291"/>
      <c r="D687" s="231"/>
      <c r="E687" s="289"/>
      <c r="F687" s="231"/>
      <c r="G687" s="231"/>
      <c r="H687" s="290"/>
      <c r="I687" s="290"/>
      <c r="J687" s="265"/>
      <c r="K687" s="303"/>
      <c r="L687" s="265"/>
      <c r="M687" s="96"/>
      <c r="N687" s="303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  <c r="AA687" s="231"/>
      <c r="AB687" s="231"/>
      <c r="AC687" s="231"/>
      <c r="AD687" s="231"/>
      <c r="AE687" s="231"/>
      <c r="AF687" s="231"/>
    </row>
    <row r="688" spans="1:32" ht="17.399999999999999">
      <c r="A688" s="228"/>
      <c r="B688" s="231"/>
      <c r="C688" s="291"/>
      <c r="D688" s="231"/>
      <c r="E688" s="289"/>
      <c r="F688" s="231"/>
      <c r="G688" s="231"/>
      <c r="H688" s="290"/>
      <c r="I688" s="290"/>
      <c r="J688" s="265"/>
      <c r="K688" s="303"/>
      <c r="L688" s="265"/>
      <c r="M688" s="96"/>
      <c r="N688" s="303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  <c r="AA688" s="231"/>
      <c r="AB688" s="231"/>
      <c r="AC688" s="231"/>
      <c r="AD688" s="231"/>
      <c r="AE688" s="231"/>
      <c r="AF688" s="231"/>
    </row>
    <row r="689" spans="1:32" ht="17.399999999999999">
      <c r="A689" s="228"/>
      <c r="B689" s="231"/>
      <c r="C689" s="291"/>
      <c r="D689" s="231"/>
      <c r="E689" s="289"/>
      <c r="F689" s="231"/>
      <c r="G689" s="231"/>
      <c r="H689" s="290"/>
      <c r="I689" s="290"/>
      <c r="J689" s="265"/>
      <c r="K689" s="303"/>
      <c r="L689" s="265"/>
      <c r="M689" s="96"/>
      <c r="N689" s="303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  <c r="AA689" s="231"/>
      <c r="AB689" s="231"/>
      <c r="AC689" s="231"/>
      <c r="AD689" s="231"/>
      <c r="AE689" s="231"/>
      <c r="AF689" s="231"/>
    </row>
    <row r="690" spans="1:32" ht="17.399999999999999">
      <c r="A690" s="228"/>
      <c r="B690" s="231"/>
      <c r="C690" s="291"/>
      <c r="D690" s="231"/>
      <c r="E690" s="289"/>
      <c r="F690" s="231"/>
      <c r="G690" s="231"/>
      <c r="H690" s="290"/>
      <c r="I690" s="290"/>
      <c r="J690" s="265"/>
      <c r="K690" s="303"/>
      <c r="L690" s="265"/>
      <c r="M690" s="96"/>
      <c r="N690" s="303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  <c r="AA690" s="231"/>
      <c r="AB690" s="231"/>
      <c r="AC690" s="231"/>
      <c r="AD690" s="231"/>
      <c r="AE690" s="231"/>
      <c r="AF690" s="231"/>
    </row>
    <row r="691" spans="1:32" ht="17.399999999999999">
      <c r="A691" s="228"/>
      <c r="B691" s="231"/>
      <c r="C691" s="291"/>
      <c r="D691" s="231"/>
      <c r="E691" s="289"/>
      <c r="F691" s="231"/>
      <c r="G691" s="231"/>
      <c r="H691" s="290"/>
      <c r="I691" s="290"/>
      <c r="J691" s="265"/>
      <c r="K691" s="303"/>
      <c r="L691" s="265"/>
      <c r="M691" s="96"/>
      <c r="N691" s="303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  <c r="AA691" s="231"/>
      <c r="AB691" s="231"/>
      <c r="AC691" s="231"/>
      <c r="AD691" s="231"/>
      <c r="AE691" s="231"/>
      <c r="AF691" s="231"/>
    </row>
    <row r="692" spans="1:32" ht="17.399999999999999">
      <c r="A692" s="228"/>
      <c r="B692" s="231"/>
      <c r="C692" s="291"/>
      <c r="D692" s="231"/>
      <c r="E692" s="289"/>
      <c r="F692" s="231"/>
      <c r="G692" s="231"/>
      <c r="H692" s="290"/>
      <c r="I692" s="290"/>
      <c r="J692" s="265"/>
      <c r="K692" s="303"/>
      <c r="L692" s="265"/>
      <c r="M692" s="96"/>
      <c r="N692" s="303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  <c r="AA692" s="231"/>
      <c r="AB692" s="231"/>
      <c r="AC692" s="231"/>
      <c r="AD692" s="231"/>
      <c r="AE692" s="231"/>
      <c r="AF692" s="231"/>
    </row>
    <row r="693" spans="1:32" ht="17.399999999999999">
      <c r="A693" s="228"/>
      <c r="B693" s="231"/>
      <c r="C693" s="291"/>
      <c r="D693" s="231"/>
      <c r="E693" s="289"/>
      <c r="F693" s="231"/>
      <c r="G693" s="231"/>
      <c r="H693" s="290"/>
      <c r="I693" s="290"/>
      <c r="J693" s="265"/>
      <c r="K693" s="303"/>
      <c r="L693" s="265"/>
      <c r="M693" s="96"/>
      <c r="N693" s="303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  <c r="AA693" s="231"/>
      <c r="AB693" s="231"/>
      <c r="AC693" s="231"/>
      <c r="AD693" s="231"/>
      <c r="AE693" s="231"/>
      <c r="AF693" s="231"/>
    </row>
    <row r="694" spans="1:32" ht="17.399999999999999">
      <c r="A694" s="228"/>
      <c r="B694" s="231"/>
      <c r="C694" s="291"/>
      <c r="D694" s="231"/>
      <c r="E694" s="289"/>
      <c r="F694" s="231"/>
      <c r="G694" s="231"/>
      <c r="H694" s="290"/>
      <c r="I694" s="290"/>
      <c r="J694" s="265"/>
      <c r="K694" s="303"/>
      <c r="L694" s="265"/>
      <c r="M694" s="96"/>
      <c r="N694" s="303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  <c r="AA694" s="231"/>
      <c r="AB694" s="231"/>
      <c r="AC694" s="231"/>
      <c r="AD694" s="231"/>
      <c r="AE694" s="231"/>
      <c r="AF694" s="231"/>
    </row>
    <row r="695" spans="1:32" ht="17.399999999999999">
      <c r="A695" s="228"/>
      <c r="B695" s="231"/>
      <c r="C695" s="291"/>
      <c r="D695" s="231"/>
      <c r="E695" s="289"/>
      <c r="F695" s="231"/>
      <c r="G695" s="231"/>
      <c r="H695" s="290"/>
      <c r="I695" s="290"/>
      <c r="J695" s="265"/>
      <c r="K695" s="303"/>
      <c r="L695" s="265"/>
      <c r="M695" s="96"/>
      <c r="N695" s="303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  <c r="AA695" s="231"/>
      <c r="AB695" s="231"/>
      <c r="AC695" s="231"/>
      <c r="AD695" s="231"/>
      <c r="AE695" s="231"/>
      <c r="AF695" s="231"/>
    </row>
    <row r="696" spans="1:32" ht="17.399999999999999">
      <c r="A696" s="228"/>
      <c r="B696" s="231"/>
      <c r="C696" s="291"/>
      <c r="D696" s="231"/>
      <c r="E696" s="289"/>
      <c r="F696" s="231"/>
      <c r="G696" s="231"/>
      <c r="H696" s="290"/>
      <c r="I696" s="290"/>
      <c r="J696" s="265"/>
      <c r="K696" s="303"/>
      <c r="L696" s="265"/>
      <c r="M696" s="96"/>
      <c r="N696" s="303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  <c r="AA696" s="231"/>
      <c r="AB696" s="231"/>
      <c r="AC696" s="231"/>
      <c r="AD696" s="231"/>
      <c r="AE696" s="231"/>
      <c r="AF696" s="231"/>
    </row>
    <row r="697" spans="1:32" ht="17.399999999999999">
      <c r="A697" s="228"/>
      <c r="B697" s="231"/>
      <c r="C697" s="291"/>
      <c r="D697" s="231"/>
      <c r="E697" s="289"/>
      <c r="F697" s="231"/>
      <c r="G697" s="231"/>
      <c r="H697" s="290"/>
      <c r="I697" s="290"/>
      <c r="J697" s="265"/>
      <c r="K697" s="303"/>
      <c r="L697" s="265"/>
      <c r="M697" s="96"/>
      <c r="N697" s="303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  <c r="AA697" s="231"/>
      <c r="AB697" s="231"/>
      <c r="AC697" s="231"/>
      <c r="AD697" s="231"/>
      <c r="AE697" s="231"/>
      <c r="AF697" s="231"/>
    </row>
    <row r="698" spans="1:32" ht="17.399999999999999">
      <c r="A698" s="228"/>
      <c r="B698" s="231"/>
      <c r="C698" s="291"/>
      <c r="D698" s="231"/>
      <c r="E698" s="289"/>
      <c r="F698" s="231"/>
      <c r="G698" s="231"/>
      <c r="H698" s="290"/>
      <c r="I698" s="290"/>
      <c r="J698" s="265"/>
      <c r="K698" s="303"/>
      <c r="L698" s="265"/>
      <c r="M698" s="96"/>
      <c r="N698" s="303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  <c r="AA698" s="231"/>
      <c r="AB698" s="231"/>
      <c r="AC698" s="231"/>
      <c r="AD698" s="231"/>
      <c r="AE698" s="231"/>
      <c r="AF698" s="231"/>
    </row>
    <row r="699" spans="1:32" ht="17.399999999999999">
      <c r="A699" s="228"/>
      <c r="B699" s="231"/>
      <c r="C699" s="291"/>
      <c r="D699" s="231"/>
      <c r="E699" s="289"/>
      <c r="F699" s="231"/>
      <c r="G699" s="231"/>
      <c r="H699" s="290"/>
      <c r="I699" s="290"/>
      <c r="J699" s="265"/>
      <c r="K699" s="303"/>
      <c r="L699" s="265"/>
      <c r="M699" s="96"/>
      <c r="N699" s="303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  <c r="AA699" s="231"/>
      <c r="AB699" s="231"/>
      <c r="AC699" s="231"/>
      <c r="AD699" s="231"/>
      <c r="AE699" s="231"/>
      <c r="AF699" s="231"/>
    </row>
    <row r="700" spans="1:32" ht="17.399999999999999">
      <c r="A700" s="228"/>
      <c r="B700" s="231"/>
      <c r="C700" s="291"/>
      <c r="D700" s="231"/>
      <c r="E700" s="289"/>
      <c r="F700" s="231"/>
      <c r="G700" s="231"/>
      <c r="H700" s="290"/>
      <c r="I700" s="290"/>
      <c r="J700" s="265"/>
      <c r="K700" s="303"/>
      <c r="L700" s="265"/>
      <c r="M700" s="96"/>
      <c r="N700" s="303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  <c r="AA700" s="231"/>
      <c r="AB700" s="231"/>
      <c r="AC700" s="231"/>
      <c r="AD700" s="231"/>
      <c r="AE700" s="231"/>
      <c r="AF700" s="231"/>
    </row>
    <row r="701" spans="1:32" ht="17.399999999999999">
      <c r="A701" s="228"/>
      <c r="B701" s="231"/>
      <c r="C701" s="291"/>
      <c r="D701" s="231"/>
      <c r="E701" s="289"/>
      <c r="F701" s="231"/>
      <c r="G701" s="231"/>
      <c r="H701" s="290"/>
      <c r="I701" s="290"/>
      <c r="J701" s="265"/>
      <c r="K701" s="303"/>
      <c r="L701" s="265"/>
      <c r="M701" s="96"/>
      <c r="N701" s="303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  <c r="AA701" s="231"/>
      <c r="AB701" s="231"/>
      <c r="AC701" s="231"/>
      <c r="AD701" s="231"/>
      <c r="AE701" s="231"/>
      <c r="AF701" s="231"/>
    </row>
    <row r="702" spans="1:32" ht="17.399999999999999">
      <c r="A702" s="228"/>
      <c r="B702" s="231"/>
      <c r="C702" s="291"/>
      <c r="D702" s="231"/>
      <c r="E702" s="289"/>
      <c r="F702" s="231"/>
      <c r="G702" s="231"/>
      <c r="H702" s="290"/>
      <c r="I702" s="290"/>
      <c r="J702" s="265"/>
      <c r="K702" s="303"/>
      <c r="L702" s="265"/>
      <c r="M702" s="96"/>
      <c r="N702" s="303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  <c r="AA702" s="231"/>
      <c r="AB702" s="231"/>
      <c r="AC702" s="231"/>
      <c r="AD702" s="231"/>
      <c r="AE702" s="231"/>
      <c r="AF702" s="231"/>
    </row>
    <row r="703" spans="1:32" ht="17.399999999999999">
      <c r="A703" s="228"/>
      <c r="B703" s="231"/>
      <c r="C703" s="291"/>
      <c r="D703" s="231"/>
      <c r="E703" s="289"/>
      <c r="F703" s="231"/>
      <c r="G703" s="231"/>
      <c r="H703" s="290"/>
      <c r="I703" s="290"/>
      <c r="J703" s="265"/>
      <c r="K703" s="303"/>
      <c r="L703" s="265"/>
      <c r="M703" s="96"/>
      <c r="N703" s="303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  <c r="AA703" s="231"/>
      <c r="AB703" s="231"/>
      <c r="AC703" s="231"/>
      <c r="AD703" s="231"/>
      <c r="AE703" s="231"/>
      <c r="AF703" s="231"/>
    </row>
    <row r="704" spans="1:32" ht="17.399999999999999">
      <c r="A704" s="228"/>
      <c r="B704" s="231"/>
      <c r="C704" s="291"/>
      <c r="D704" s="231"/>
      <c r="E704" s="289"/>
      <c r="F704" s="231"/>
      <c r="G704" s="231"/>
      <c r="H704" s="290"/>
      <c r="I704" s="290"/>
      <c r="J704" s="265"/>
      <c r="K704" s="303"/>
      <c r="L704" s="265"/>
      <c r="M704" s="96"/>
      <c r="N704" s="303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  <c r="AA704" s="231"/>
      <c r="AB704" s="231"/>
      <c r="AC704" s="231"/>
      <c r="AD704" s="231"/>
      <c r="AE704" s="231"/>
      <c r="AF704" s="231"/>
    </row>
    <row r="705" spans="1:32" ht="17.399999999999999">
      <c r="A705" s="228"/>
      <c r="B705" s="231"/>
      <c r="C705" s="291"/>
      <c r="D705" s="231"/>
      <c r="E705" s="289"/>
      <c r="F705" s="231"/>
      <c r="G705" s="231"/>
      <c r="H705" s="290"/>
      <c r="I705" s="290"/>
      <c r="J705" s="265"/>
      <c r="K705" s="303"/>
      <c r="L705" s="265"/>
      <c r="M705" s="96"/>
      <c r="N705" s="303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  <c r="AA705" s="231"/>
      <c r="AB705" s="231"/>
      <c r="AC705" s="231"/>
      <c r="AD705" s="231"/>
      <c r="AE705" s="231"/>
      <c r="AF705" s="231"/>
    </row>
    <row r="706" spans="1:32" ht="17.399999999999999">
      <c r="A706" s="228"/>
      <c r="B706" s="231"/>
      <c r="C706" s="291"/>
      <c r="D706" s="231"/>
      <c r="E706" s="289"/>
      <c r="F706" s="231"/>
      <c r="G706" s="231"/>
      <c r="H706" s="290"/>
      <c r="I706" s="290"/>
      <c r="J706" s="265"/>
      <c r="K706" s="303"/>
      <c r="L706" s="265"/>
      <c r="M706" s="96"/>
      <c r="N706" s="303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  <c r="AA706" s="231"/>
      <c r="AB706" s="231"/>
      <c r="AC706" s="231"/>
      <c r="AD706" s="231"/>
      <c r="AE706" s="231"/>
      <c r="AF706" s="231"/>
    </row>
    <row r="707" spans="1:32" ht="17.399999999999999">
      <c r="A707" s="228"/>
      <c r="B707" s="231"/>
      <c r="C707" s="291"/>
      <c r="D707" s="231"/>
      <c r="E707" s="289"/>
      <c r="F707" s="231"/>
      <c r="G707" s="231"/>
      <c r="H707" s="290"/>
      <c r="I707" s="290"/>
      <c r="J707" s="265"/>
      <c r="K707" s="303"/>
      <c r="L707" s="265"/>
      <c r="M707" s="96"/>
      <c r="N707" s="303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  <c r="AA707" s="231"/>
      <c r="AB707" s="231"/>
      <c r="AC707" s="231"/>
      <c r="AD707" s="231"/>
      <c r="AE707" s="231"/>
      <c r="AF707" s="231"/>
    </row>
    <row r="708" spans="1:32" ht="17.399999999999999">
      <c r="A708" s="228"/>
      <c r="B708" s="231"/>
      <c r="C708" s="291"/>
      <c r="D708" s="231"/>
      <c r="E708" s="289"/>
      <c r="F708" s="231"/>
      <c r="G708" s="231"/>
      <c r="H708" s="290"/>
      <c r="I708" s="290"/>
      <c r="J708" s="265"/>
      <c r="K708" s="303"/>
      <c r="L708" s="265"/>
      <c r="M708" s="96"/>
      <c r="N708" s="303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  <c r="AA708" s="231"/>
      <c r="AB708" s="231"/>
      <c r="AC708" s="231"/>
      <c r="AD708" s="231"/>
      <c r="AE708" s="231"/>
      <c r="AF708" s="231"/>
    </row>
    <row r="709" spans="1:32" ht="17.399999999999999">
      <c r="A709" s="228"/>
      <c r="B709" s="231"/>
      <c r="C709" s="291"/>
      <c r="D709" s="231"/>
      <c r="E709" s="289"/>
      <c r="F709" s="231"/>
      <c r="G709" s="231"/>
      <c r="H709" s="290"/>
      <c r="I709" s="290"/>
      <c r="J709" s="265"/>
      <c r="K709" s="303"/>
      <c r="L709" s="265"/>
      <c r="M709" s="96"/>
      <c r="N709" s="303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  <c r="AA709" s="231"/>
      <c r="AB709" s="231"/>
      <c r="AC709" s="231"/>
      <c r="AD709" s="231"/>
      <c r="AE709" s="231"/>
      <c r="AF709" s="231"/>
    </row>
    <row r="710" spans="1:32" ht="17.399999999999999">
      <c r="A710" s="228"/>
      <c r="B710" s="231"/>
      <c r="C710" s="291"/>
      <c r="D710" s="231"/>
      <c r="E710" s="289"/>
      <c r="F710" s="231"/>
      <c r="G710" s="231"/>
      <c r="H710" s="290"/>
      <c r="I710" s="290"/>
      <c r="J710" s="265"/>
      <c r="K710" s="303"/>
      <c r="L710" s="265"/>
      <c r="M710" s="96"/>
      <c r="N710" s="303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  <c r="AA710" s="231"/>
      <c r="AB710" s="231"/>
      <c r="AC710" s="231"/>
      <c r="AD710" s="231"/>
      <c r="AE710" s="231"/>
      <c r="AF710" s="231"/>
    </row>
    <row r="711" spans="1:32" ht="17.399999999999999">
      <c r="A711" s="228"/>
      <c r="B711" s="231"/>
      <c r="C711" s="291"/>
      <c r="D711" s="231"/>
      <c r="E711" s="289"/>
      <c r="F711" s="231"/>
      <c r="G711" s="231"/>
      <c r="H711" s="290"/>
      <c r="I711" s="290"/>
      <c r="J711" s="265"/>
      <c r="K711" s="303"/>
      <c r="L711" s="265"/>
      <c r="M711" s="96"/>
      <c r="N711" s="303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  <c r="AA711" s="231"/>
      <c r="AB711" s="231"/>
      <c r="AC711" s="231"/>
      <c r="AD711" s="231"/>
      <c r="AE711" s="231"/>
      <c r="AF711" s="231"/>
    </row>
    <row r="712" spans="1:32" ht="17.399999999999999">
      <c r="A712" s="228"/>
      <c r="B712" s="231"/>
      <c r="C712" s="291"/>
      <c r="D712" s="231"/>
      <c r="E712" s="289"/>
      <c r="F712" s="231"/>
      <c r="G712" s="231"/>
      <c r="H712" s="290"/>
      <c r="I712" s="290"/>
      <c r="J712" s="265"/>
      <c r="K712" s="303"/>
      <c r="L712" s="265"/>
      <c r="M712" s="96"/>
      <c r="N712" s="303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  <c r="AA712" s="231"/>
      <c r="AB712" s="231"/>
      <c r="AC712" s="231"/>
      <c r="AD712" s="231"/>
      <c r="AE712" s="231"/>
      <c r="AF712" s="231"/>
    </row>
    <row r="713" spans="1:32" ht="17.399999999999999">
      <c r="A713" s="228"/>
      <c r="B713" s="231"/>
      <c r="C713" s="291"/>
      <c r="D713" s="231"/>
      <c r="E713" s="289"/>
      <c r="F713" s="231"/>
      <c r="G713" s="231"/>
      <c r="H713" s="290"/>
      <c r="I713" s="290"/>
      <c r="J713" s="265"/>
      <c r="K713" s="303"/>
      <c r="L713" s="265"/>
      <c r="M713" s="96"/>
      <c r="N713" s="303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  <c r="AA713" s="231"/>
      <c r="AB713" s="231"/>
      <c r="AC713" s="231"/>
      <c r="AD713" s="231"/>
      <c r="AE713" s="231"/>
      <c r="AF713" s="231"/>
    </row>
    <row r="714" spans="1:32" ht="17.399999999999999">
      <c r="A714" s="228"/>
      <c r="B714" s="231"/>
      <c r="C714" s="291"/>
      <c r="D714" s="231"/>
      <c r="E714" s="289"/>
      <c r="F714" s="231"/>
      <c r="G714" s="231"/>
      <c r="H714" s="290"/>
      <c r="I714" s="290"/>
      <c r="J714" s="265"/>
      <c r="K714" s="303"/>
      <c r="L714" s="265"/>
      <c r="M714" s="96"/>
      <c r="N714" s="303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  <c r="AA714" s="231"/>
      <c r="AB714" s="231"/>
      <c r="AC714" s="231"/>
      <c r="AD714" s="231"/>
      <c r="AE714" s="231"/>
      <c r="AF714" s="231"/>
    </row>
    <row r="715" spans="1:32" ht="17.399999999999999">
      <c r="A715" s="228"/>
      <c r="B715" s="231"/>
      <c r="C715" s="291"/>
      <c r="D715" s="231"/>
      <c r="E715" s="289"/>
      <c r="F715" s="231"/>
      <c r="G715" s="231"/>
      <c r="H715" s="290"/>
      <c r="I715" s="290"/>
      <c r="J715" s="265"/>
      <c r="K715" s="303"/>
      <c r="L715" s="265"/>
      <c r="M715" s="96"/>
      <c r="N715" s="303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  <c r="AA715" s="231"/>
      <c r="AB715" s="231"/>
      <c r="AC715" s="231"/>
      <c r="AD715" s="231"/>
      <c r="AE715" s="231"/>
      <c r="AF715" s="231"/>
    </row>
    <row r="716" spans="1:32" ht="17.399999999999999">
      <c r="A716" s="228"/>
      <c r="B716" s="231"/>
      <c r="C716" s="291"/>
      <c r="D716" s="231"/>
      <c r="E716" s="289"/>
      <c r="F716" s="231"/>
      <c r="G716" s="231"/>
      <c r="H716" s="290"/>
      <c r="I716" s="290"/>
      <c r="J716" s="265"/>
      <c r="K716" s="303"/>
      <c r="L716" s="265"/>
      <c r="M716" s="96"/>
      <c r="N716" s="303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  <c r="AA716" s="231"/>
      <c r="AB716" s="231"/>
      <c r="AC716" s="231"/>
      <c r="AD716" s="231"/>
      <c r="AE716" s="231"/>
      <c r="AF716" s="231"/>
    </row>
    <row r="717" spans="1:32" ht="17.399999999999999">
      <c r="A717" s="228"/>
      <c r="B717" s="231"/>
      <c r="C717" s="291"/>
      <c r="D717" s="231"/>
      <c r="E717" s="289"/>
      <c r="F717" s="231"/>
      <c r="G717" s="231"/>
      <c r="H717" s="290"/>
      <c r="I717" s="290"/>
      <c r="J717" s="265"/>
      <c r="K717" s="303"/>
      <c r="L717" s="265"/>
      <c r="M717" s="96"/>
      <c r="N717" s="303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  <c r="AA717" s="231"/>
      <c r="AB717" s="231"/>
      <c r="AC717" s="231"/>
      <c r="AD717" s="231"/>
      <c r="AE717" s="231"/>
      <c r="AF717" s="231"/>
    </row>
    <row r="718" spans="1:32" ht="17.399999999999999">
      <c r="A718" s="228"/>
      <c r="B718" s="231"/>
      <c r="C718" s="291"/>
      <c r="D718" s="231"/>
      <c r="E718" s="289"/>
      <c r="F718" s="231"/>
      <c r="G718" s="231"/>
      <c r="H718" s="290"/>
      <c r="I718" s="290"/>
      <c r="J718" s="265"/>
      <c r="K718" s="303"/>
      <c r="L718" s="265"/>
      <c r="M718" s="96"/>
      <c r="N718" s="303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  <c r="AA718" s="231"/>
      <c r="AB718" s="231"/>
      <c r="AC718" s="231"/>
      <c r="AD718" s="231"/>
      <c r="AE718" s="231"/>
      <c r="AF718" s="231"/>
    </row>
    <row r="719" spans="1:32" ht="17.399999999999999">
      <c r="A719" s="228"/>
      <c r="B719" s="231"/>
      <c r="C719" s="291"/>
      <c r="D719" s="231"/>
      <c r="E719" s="289"/>
      <c r="F719" s="231"/>
      <c r="G719" s="231"/>
      <c r="H719" s="290"/>
      <c r="I719" s="290"/>
      <c r="J719" s="265"/>
      <c r="K719" s="303"/>
      <c r="L719" s="265"/>
      <c r="M719" s="96"/>
      <c r="N719" s="303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  <c r="AA719" s="231"/>
      <c r="AB719" s="231"/>
      <c r="AC719" s="231"/>
      <c r="AD719" s="231"/>
      <c r="AE719" s="231"/>
      <c r="AF719" s="231"/>
    </row>
    <row r="720" spans="1:32" ht="17.399999999999999">
      <c r="A720" s="228"/>
      <c r="B720" s="231"/>
      <c r="C720" s="291"/>
      <c r="D720" s="231"/>
      <c r="E720" s="289"/>
      <c r="F720" s="231"/>
      <c r="G720" s="231"/>
      <c r="H720" s="290"/>
      <c r="I720" s="290"/>
      <c r="J720" s="265"/>
      <c r="K720" s="303"/>
      <c r="L720" s="265"/>
      <c r="M720" s="96"/>
      <c r="N720" s="303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  <c r="AA720" s="231"/>
      <c r="AB720" s="231"/>
      <c r="AC720" s="231"/>
      <c r="AD720" s="231"/>
      <c r="AE720" s="231"/>
      <c r="AF720" s="231"/>
    </row>
    <row r="721" spans="1:32" ht="17.399999999999999">
      <c r="A721" s="228"/>
      <c r="B721" s="231"/>
      <c r="C721" s="291"/>
      <c r="D721" s="231"/>
      <c r="E721" s="289"/>
      <c r="F721" s="231"/>
      <c r="G721" s="231"/>
      <c r="H721" s="290"/>
      <c r="I721" s="290"/>
      <c r="J721" s="265"/>
      <c r="K721" s="303"/>
      <c r="L721" s="265"/>
      <c r="M721" s="96"/>
      <c r="N721" s="303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  <c r="AA721" s="231"/>
      <c r="AB721" s="231"/>
      <c r="AC721" s="231"/>
      <c r="AD721" s="231"/>
      <c r="AE721" s="231"/>
      <c r="AF721" s="231"/>
    </row>
    <row r="722" spans="1:32" ht="17.399999999999999">
      <c r="A722" s="228"/>
      <c r="B722" s="231"/>
      <c r="C722" s="291"/>
      <c r="D722" s="231"/>
      <c r="E722" s="289"/>
      <c r="F722" s="231"/>
      <c r="G722" s="231"/>
      <c r="H722" s="290"/>
      <c r="I722" s="290"/>
      <c r="J722" s="265"/>
      <c r="K722" s="303"/>
      <c r="L722" s="265"/>
      <c r="M722" s="96"/>
      <c r="N722" s="303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  <c r="AA722" s="231"/>
      <c r="AB722" s="231"/>
      <c r="AC722" s="231"/>
      <c r="AD722" s="231"/>
      <c r="AE722" s="231"/>
      <c r="AF722" s="231"/>
    </row>
    <row r="723" spans="1:32" ht="17.399999999999999">
      <c r="A723" s="228"/>
      <c r="B723" s="231"/>
      <c r="C723" s="291"/>
      <c r="D723" s="231"/>
      <c r="E723" s="289"/>
      <c r="F723" s="231"/>
      <c r="G723" s="231"/>
      <c r="H723" s="290"/>
      <c r="I723" s="290"/>
      <c r="J723" s="265"/>
      <c r="K723" s="303"/>
      <c r="L723" s="265"/>
      <c r="M723" s="96"/>
      <c r="N723" s="303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  <c r="AA723" s="231"/>
      <c r="AB723" s="231"/>
      <c r="AC723" s="231"/>
      <c r="AD723" s="231"/>
      <c r="AE723" s="231"/>
      <c r="AF723" s="231"/>
    </row>
    <row r="724" spans="1:32" ht="17.399999999999999">
      <c r="A724" s="228"/>
      <c r="B724" s="231"/>
      <c r="C724" s="291"/>
      <c r="D724" s="231"/>
      <c r="E724" s="289"/>
      <c r="F724" s="231"/>
      <c r="G724" s="231"/>
      <c r="H724" s="290"/>
      <c r="I724" s="290"/>
      <c r="J724" s="265"/>
      <c r="K724" s="303"/>
      <c r="L724" s="265"/>
      <c r="M724" s="96"/>
      <c r="N724" s="303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  <c r="AA724" s="231"/>
      <c r="AB724" s="231"/>
      <c r="AC724" s="231"/>
      <c r="AD724" s="231"/>
      <c r="AE724" s="231"/>
      <c r="AF724" s="231"/>
    </row>
    <row r="725" spans="1:32" ht="17.399999999999999">
      <c r="A725" s="228"/>
      <c r="B725" s="231"/>
      <c r="C725" s="291"/>
      <c r="D725" s="231"/>
      <c r="E725" s="289"/>
      <c r="F725" s="231"/>
      <c r="G725" s="231"/>
      <c r="H725" s="290"/>
      <c r="I725" s="290"/>
      <c r="J725" s="265"/>
      <c r="K725" s="303"/>
      <c r="L725" s="265"/>
      <c r="M725" s="96"/>
      <c r="N725" s="303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  <c r="AA725" s="231"/>
      <c r="AB725" s="231"/>
      <c r="AC725" s="231"/>
      <c r="AD725" s="231"/>
      <c r="AE725" s="231"/>
      <c r="AF725" s="231"/>
    </row>
    <row r="726" spans="1:32" ht="17.399999999999999">
      <c r="A726" s="228"/>
      <c r="B726" s="231"/>
      <c r="C726" s="291"/>
      <c r="D726" s="231"/>
      <c r="E726" s="289"/>
      <c r="F726" s="231"/>
      <c r="G726" s="231"/>
      <c r="H726" s="290"/>
      <c r="I726" s="290"/>
      <c r="J726" s="265"/>
      <c r="K726" s="303"/>
      <c r="L726" s="265"/>
      <c r="M726" s="96"/>
      <c r="N726" s="303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  <c r="AA726" s="231"/>
      <c r="AB726" s="231"/>
      <c r="AC726" s="231"/>
      <c r="AD726" s="231"/>
      <c r="AE726" s="231"/>
      <c r="AF726" s="231"/>
    </row>
    <row r="727" spans="1:32" ht="17.399999999999999">
      <c r="A727" s="228"/>
      <c r="B727" s="231"/>
      <c r="C727" s="291"/>
      <c r="D727" s="231"/>
      <c r="E727" s="289"/>
      <c r="F727" s="231"/>
      <c r="G727" s="231"/>
      <c r="H727" s="290"/>
      <c r="I727" s="290"/>
      <c r="J727" s="265"/>
      <c r="K727" s="303"/>
      <c r="L727" s="265"/>
      <c r="M727" s="96"/>
      <c r="N727" s="303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  <c r="AA727" s="231"/>
      <c r="AB727" s="231"/>
      <c r="AC727" s="231"/>
      <c r="AD727" s="231"/>
      <c r="AE727" s="231"/>
      <c r="AF727" s="231"/>
    </row>
    <row r="728" spans="1:32" ht="17.399999999999999">
      <c r="A728" s="228"/>
      <c r="B728" s="231"/>
      <c r="C728" s="291"/>
      <c r="D728" s="231"/>
      <c r="E728" s="289"/>
      <c r="F728" s="231"/>
      <c r="G728" s="231"/>
      <c r="H728" s="290"/>
      <c r="I728" s="290"/>
      <c r="J728" s="265"/>
      <c r="K728" s="303"/>
      <c r="L728" s="265"/>
      <c r="M728" s="96"/>
      <c r="N728" s="303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  <c r="AA728" s="231"/>
      <c r="AB728" s="231"/>
      <c r="AC728" s="231"/>
      <c r="AD728" s="231"/>
      <c r="AE728" s="231"/>
      <c r="AF728" s="231"/>
    </row>
    <row r="729" spans="1:32" ht="17.399999999999999">
      <c r="A729" s="228"/>
      <c r="B729" s="231"/>
      <c r="C729" s="291"/>
      <c r="D729" s="231"/>
      <c r="E729" s="289"/>
      <c r="F729" s="231"/>
      <c r="G729" s="231"/>
      <c r="H729" s="290"/>
      <c r="I729" s="290"/>
      <c r="J729" s="265"/>
      <c r="K729" s="303"/>
      <c r="L729" s="265"/>
      <c r="M729" s="96"/>
      <c r="N729" s="303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  <c r="AA729" s="231"/>
      <c r="AB729" s="231"/>
      <c r="AC729" s="231"/>
      <c r="AD729" s="231"/>
      <c r="AE729" s="231"/>
      <c r="AF729" s="231"/>
    </row>
    <row r="730" spans="1:32" ht="17.399999999999999">
      <c r="A730" s="228"/>
      <c r="B730" s="231"/>
      <c r="C730" s="291"/>
      <c r="D730" s="231"/>
      <c r="E730" s="289"/>
      <c r="F730" s="231"/>
      <c r="G730" s="231"/>
      <c r="H730" s="290"/>
      <c r="I730" s="290"/>
      <c r="J730" s="265"/>
      <c r="K730" s="303"/>
      <c r="L730" s="265"/>
      <c r="M730" s="96"/>
      <c r="N730" s="303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  <c r="AA730" s="231"/>
      <c r="AB730" s="231"/>
      <c r="AC730" s="231"/>
      <c r="AD730" s="231"/>
      <c r="AE730" s="231"/>
      <c r="AF730" s="231"/>
    </row>
    <row r="731" spans="1:32" ht="17.399999999999999">
      <c r="A731" s="228"/>
      <c r="B731" s="231"/>
      <c r="C731" s="291"/>
      <c r="D731" s="231"/>
      <c r="E731" s="289"/>
      <c r="F731" s="231"/>
      <c r="G731" s="231"/>
      <c r="H731" s="290"/>
      <c r="I731" s="290"/>
      <c r="J731" s="265"/>
      <c r="K731" s="303"/>
      <c r="L731" s="265"/>
      <c r="M731" s="96"/>
      <c r="N731" s="303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  <c r="AA731" s="231"/>
      <c r="AB731" s="231"/>
      <c r="AC731" s="231"/>
      <c r="AD731" s="231"/>
      <c r="AE731" s="231"/>
      <c r="AF731" s="231"/>
    </row>
    <row r="732" spans="1:32" ht="17.399999999999999">
      <c r="A732" s="228"/>
      <c r="B732" s="231"/>
      <c r="C732" s="291"/>
      <c r="D732" s="231"/>
      <c r="E732" s="289"/>
      <c r="F732" s="231"/>
      <c r="G732" s="231"/>
      <c r="H732" s="290"/>
      <c r="I732" s="290"/>
      <c r="J732" s="265"/>
      <c r="K732" s="303"/>
      <c r="L732" s="265"/>
      <c r="M732" s="96"/>
      <c r="N732" s="303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  <c r="AA732" s="231"/>
      <c r="AB732" s="231"/>
      <c r="AC732" s="231"/>
      <c r="AD732" s="231"/>
      <c r="AE732" s="231"/>
      <c r="AF732" s="231"/>
    </row>
    <row r="733" spans="1:32" ht="17.399999999999999">
      <c r="A733" s="228"/>
      <c r="B733" s="231"/>
      <c r="C733" s="291"/>
      <c r="D733" s="231"/>
      <c r="E733" s="289"/>
      <c r="F733" s="231"/>
      <c r="G733" s="231"/>
      <c r="H733" s="290"/>
      <c r="I733" s="290"/>
      <c r="J733" s="265"/>
      <c r="K733" s="303"/>
      <c r="L733" s="265"/>
      <c r="M733" s="96"/>
      <c r="N733" s="303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  <c r="AA733" s="231"/>
      <c r="AB733" s="231"/>
      <c r="AC733" s="231"/>
      <c r="AD733" s="231"/>
      <c r="AE733" s="231"/>
      <c r="AF733" s="231"/>
    </row>
    <row r="734" spans="1:32" ht="17.399999999999999">
      <c r="A734" s="228"/>
      <c r="B734" s="231"/>
      <c r="C734" s="291"/>
      <c r="D734" s="231"/>
      <c r="E734" s="289"/>
      <c r="F734" s="231"/>
      <c r="G734" s="231"/>
      <c r="H734" s="290"/>
      <c r="I734" s="290"/>
      <c r="J734" s="265"/>
      <c r="K734" s="303"/>
      <c r="L734" s="265"/>
      <c r="M734" s="96"/>
      <c r="N734" s="303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  <c r="AA734" s="231"/>
      <c r="AB734" s="231"/>
      <c r="AC734" s="231"/>
      <c r="AD734" s="231"/>
      <c r="AE734" s="231"/>
      <c r="AF734" s="231"/>
    </row>
    <row r="735" spans="1:32" ht="17.399999999999999">
      <c r="A735" s="228"/>
      <c r="B735" s="231"/>
      <c r="C735" s="291"/>
      <c r="D735" s="231"/>
      <c r="E735" s="289"/>
      <c r="F735" s="231"/>
      <c r="G735" s="231"/>
      <c r="H735" s="290"/>
      <c r="I735" s="290"/>
      <c r="J735" s="265"/>
      <c r="K735" s="303"/>
      <c r="L735" s="265"/>
      <c r="M735" s="96"/>
      <c r="N735" s="303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  <c r="AA735" s="231"/>
      <c r="AB735" s="231"/>
      <c r="AC735" s="231"/>
      <c r="AD735" s="231"/>
      <c r="AE735" s="231"/>
      <c r="AF735" s="231"/>
    </row>
    <row r="736" spans="1:32" ht="17.399999999999999">
      <c r="A736" s="228"/>
      <c r="B736" s="231"/>
      <c r="C736" s="291"/>
      <c r="D736" s="231"/>
      <c r="E736" s="289"/>
      <c r="F736" s="231"/>
      <c r="G736" s="231"/>
      <c r="H736" s="290"/>
      <c r="I736" s="290"/>
      <c r="J736" s="265"/>
      <c r="K736" s="303"/>
      <c r="L736" s="265"/>
      <c r="M736" s="96"/>
      <c r="N736" s="303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  <c r="AA736" s="231"/>
      <c r="AB736" s="231"/>
      <c r="AC736" s="231"/>
      <c r="AD736" s="231"/>
      <c r="AE736" s="231"/>
      <c r="AF736" s="231"/>
    </row>
    <row r="737" spans="1:32" ht="17.399999999999999">
      <c r="A737" s="228"/>
      <c r="B737" s="231"/>
      <c r="C737" s="291"/>
      <c r="D737" s="231"/>
      <c r="E737" s="289"/>
      <c r="F737" s="231"/>
      <c r="G737" s="231"/>
      <c r="H737" s="290"/>
      <c r="I737" s="290"/>
      <c r="J737" s="265"/>
      <c r="K737" s="303"/>
      <c r="L737" s="265"/>
      <c r="M737" s="96"/>
      <c r="N737" s="303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  <c r="AA737" s="231"/>
      <c r="AB737" s="231"/>
      <c r="AC737" s="231"/>
      <c r="AD737" s="231"/>
      <c r="AE737" s="231"/>
      <c r="AF737" s="231"/>
    </row>
    <row r="738" spans="1:32" ht="17.399999999999999">
      <c r="A738" s="228"/>
      <c r="B738" s="231"/>
      <c r="C738" s="291"/>
      <c r="D738" s="231"/>
      <c r="E738" s="289"/>
      <c r="F738" s="231"/>
      <c r="G738" s="231"/>
      <c r="H738" s="290"/>
      <c r="I738" s="290"/>
      <c r="J738" s="265"/>
      <c r="K738" s="303"/>
      <c r="L738" s="265"/>
      <c r="M738" s="96"/>
      <c r="N738" s="303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  <c r="AA738" s="231"/>
      <c r="AB738" s="231"/>
      <c r="AC738" s="231"/>
      <c r="AD738" s="231"/>
      <c r="AE738" s="231"/>
      <c r="AF738" s="231"/>
    </row>
    <row r="739" spans="1:32" ht="17.399999999999999">
      <c r="A739" s="228"/>
      <c r="B739" s="231"/>
      <c r="C739" s="291"/>
      <c r="D739" s="231"/>
      <c r="E739" s="289"/>
      <c r="F739" s="231"/>
      <c r="G739" s="231"/>
      <c r="H739" s="290"/>
      <c r="I739" s="290"/>
      <c r="J739" s="265"/>
      <c r="K739" s="303"/>
      <c r="L739" s="265"/>
      <c r="M739" s="96"/>
      <c r="N739" s="303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  <c r="AA739" s="231"/>
      <c r="AB739" s="231"/>
      <c r="AC739" s="231"/>
      <c r="AD739" s="231"/>
      <c r="AE739" s="231"/>
      <c r="AF739" s="231"/>
    </row>
    <row r="740" spans="1:32" ht="17.399999999999999">
      <c r="A740" s="228"/>
      <c r="B740" s="231"/>
      <c r="C740" s="291"/>
      <c r="D740" s="231"/>
      <c r="E740" s="289"/>
      <c r="F740" s="231"/>
      <c r="G740" s="231"/>
      <c r="H740" s="290"/>
      <c r="I740" s="290"/>
      <c r="J740" s="265"/>
      <c r="K740" s="303"/>
      <c r="L740" s="265"/>
      <c r="M740" s="96"/>
      <c r="N740" s="303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  <c r="AA740" s="231"/>
      <c r="AB740" s="231"/>
      <c r="AC740" s="231"/>
      <c r="AD740" s="231"/>
      <c r="AE740" s="231"/>
      <c r="AF740" s="231"/>
    </row>
    <row r="741" spans="1:32" ht="17.399999999999999">
      <c r="A741" s="228"/>
      <c r="B741" s="231"/>
      <c r="C741" s="291"/>
      <c r="D741" s="231"/>
      <c r="E741" s="289"/>
      <c r="F741" s="231"/>
      <c r="G741" s="231"/>
      <c r="H741" s="290"/>
      <c r="I741" s="290"/>
      <c r="J741" s="265"/>
      <c r="K741" s="303"/>
      <c r="L741" s="265"/>
      <c r="M741" s="96"/>
      <c r="N741" s="303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  <c r="AA741" s="231"/>
      <c r="AB741" s="231"/>
      <c r="AC741" s="231"/>
      <c r="AD741" s="231"/>
      <c r="AE741" s="231"/>
      <c r="AF741" s="231"/>
    </row>
    <row r="742" spans="1:32" ht="17.399999999999999">
      <c r="A742" s="228"/>
      <c r="B742" s="231"/>
      <c r="C742" s="291"/>
      <c r="D742" s="231"/>
      <c r="E742" s="289"/>
      <c r="F742" s="231"/>
      <c r="G742" s="231"/>
      <c r="H742" s="290"/>
      <c r="I742" s="290"/>
      <c r="J742" s="265"/>
      <c r="K742" s="303"/>
      <c r="L742" s="265"/>
      <c r="M742" s="96"/>
      <c r="N742" s="303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  <c r="AA742" s="231"/>
      <c r="AB742" s="231"/>
      <c r="AC742" s="231"/>
      <c r="AD742" s="231"/>
      <c r="AE742" s="231"/>
      <c r="AF742" s="231"/>
    </row>
    <row r="743" spans="1:32" ht="17.399999999999999">
      <c r="A743" s="228"/>
      <c r="B743" s="231"/>
      <c r="C743" s="291"/>
      <c r="D743" s="231"/>
      <c r="E743" s="289"/>
      <c r="F743" s="231"/>
      <c r="G743" s="231"/>
      <c r="H743" s="290"/>
      <c r="I743" s="290"/>
      <c r="J743" s="265"/>
      <c r="K743" s="303"/>
      <c r="L743" s="265"/>
      <c r="M743" s="96"/>
      <c r="N743" s="303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  <c r="AA743" s="231"/>
      <c r="AB743" s="231"/>
      <c r="AC743" s="231"/>
      <c r="AD743" s="231"/>
      <c r="AE743" s="231"/>
      <c r="AF743" s="231"/>
    </row>
    <row r="744" spans="1:32" ht="17.399999999999999">
      <c r="A744" s="228"/>
      <c r="B744" s="231"/>
      <c r="C744" s="291"/>
      <c r="D744" s="231"/>
      <c r="E744" s="289"/>
      <c r="F744" s="231"/>
      <c r="G744" s="231"/>
      <c r="H744" s="290"/>
      <c r="I744" s="290"/>
      <c r="J744" s="265"/>
      <c r="K744" s="303"/>
      <c r="L744" s="265"/>
      <c r="M744" s="96"/>
      <c r="N744" s="303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  <c r="AA744" s="231"/>
      <c r="AB744" s="231"/>
      <c r="AC744" s="231"/>
      <c r="AD744" s="231"/>
      <c r="AE744" s="231"/>
      <c r="AF744" s="231"/>
    </row>
    <row r="745" spans="1:32" ht="17.399999999999999">
      <c r="A745" s="228"/>
      <c r="B745" s="231"/>
      <c r="C745" s="291"/>
      <c r="D745" s="231"/>
      <c r="E745" s="289"/>
      <c r="F745" s="231"/>
      <c r="G745" s="231"/>
      <c r="H745" s="290"/>
      <c r="I745" s="290"/>
      <c r="J745" s="265"/>
      <c r="K745" s="303"/>
      <c r="L745" s="265"/>
      <c r="M745" s="96"/>
      <c r="N745" s="303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  <c r="AA745" s="231"/>
      <c r="AB745" s="231"/>
      <c r="AC745" s="231"/>
      <c r="AD745" s="231"/>
      <c r="AE745" s="231"/>
      <c r="AF745" s="231"/>
    </row>
    <row r="746" spans="1:32" ht="17.399999999999999">
      <c r="A746" s="228"/>
      <c r="B746" s="231"/>
      <c r="C746" s="291"/>
      <c r="D746" s="231"/>
      <c r="E746" s="289"/>
      <c r="F746" s="231"/>
      <c r="G746" s="231"/>
      <c r="H746" s="290"/>
      <c r="I746" s="290"/>
      <c r="J746" s="265"/>
      <c r="K746" s="303"/>
      <c r="L746" s="265"/>
      <c r="M746" s="96"/>
      <c r="N746" s="303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  <c r="AA746" s="231"/>
      <c r="AB746" s="231"/>
      <c r="AC746" s="231"/>
      <c r="AD746" s="231"/>
      <c r="AE746" s="231"/>
      <c r="AF746" s="231"/>
    </row>
    <row r="747" spans="1:32" ht="17.399999999999999">
      <c r="A747" s="228"/>
      <c r="B747" s="231"/>
      <c r="C747" s="291"/>
      <c r="D747" s="231"/>
      <c r="E747" s="289"/>
      <c r="F747" s="231"/>
      <c r="G747" s="231"/>
      <c r="H747" s="290"/>
      <c r="I747" s="290"/>
      <c r="J747" s="265"/>
      <c r="K747" s="303"/>
      <c r="L747" s="265"/>
      <c r="M747" s="96"/>
      <c r="N747" s="303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  <c r="AA747" s="231"/>
      <c r="AB747" s="231"/>
      <c r="AC747" s="231"/>
      <c r="AD747" s="231"/>
      <c r="AE747" s="231"/>
      <c r="AF747" s="231"/>
    </row>
    <row r="748" spans="1:32" ht="17.399999999999999">
      <c r="A748" s="228"/>
      <c r="B748" s="231"/>
      <c r="C748" s="291"/>
      <c r="D748" s="231"/>
      <c r="E748" s="289"/>
      <c r="F748" s="231"/>
      <c r="G748" s="231"/>
      <c r="H748" s="290"/>
      <c r="I748" s="290"/>
      <c r="J748" s="265"/>
      <c r="K748" s="303"/>
      <c r="L748" s="265"/>
      <c r="M748" s="96"/>
      <c r="N748" s="303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  <c r="AA748" s="231"/>
      <c r="AB748" s="231"/>
      <c r="AC748" s="231"/>
      <c r="AD748" s="231"/>
      <c r="AE748" s="231"/>
      <c r="AF748" s="231"/>
    </row>
    <row r="749" spans="1:32" ht="17.399999999999999">
      <c r="A749" s="228"/>
      <c r="B749" s="231"/>
      <c r="C749" s="291"/>
      <c r="D749" s="231"/>
      <c r="E749" s="289"/>
      <c r="F749" s="231"/>
      <c r="G749" s="231"/>
      <c r="H749" s="290"/>
      <c r="I749" s="290"/>
      <c r="J749" s="265"/>
      <c r="K749" s="303"/>
      <c r="L749" s="265"/>
      <c r="M749" s="96"/>
      <c r="N749" s="303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  <c r="AA749" s="231"/>
      <c r="AB749" s="231"/>
      <c r="AC749" s="231"/>
      <c r="AD749" s="231"/>
      <c r="AE749" s="231"/>
      <c r="AF749" s="231"/>
    </row>
    <row r="750" spans="1:32" ht="17.399999999999999">
      <c r="A750" s="228"/>
      <c r="B750" s="231"/>
      <c r="C750" s="291"/>
      <c r="D750" s="231"/>
      <c r="E750" s="289"/>
      <c r="F750" s="231"/>
      <c r="G750" s="231"/>
      <c r="H750" s="290"/>
      <c r="I750" s="290"/>
      <c r="J750" s="265"/>
      <c r="K750" s="303"/>
      <c r="L750" s="265"/>
      <c r="M750" s="96"/>
      <c r="N750" s="303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  <c r="AA750" s="231"/>
      <c r="AB750" s="231"/>
      <c r="AC750" s="231"/>
      <c r="AD750" s="231"/>
      <c r="AE750" s="231"/>
      <c r="AF750" s="231"/>
    </row>
    <row r="751" spans="1:32" ht="17.399999999999999">
      <c r="A751" s="228"/>
      <c r="B751" s="231"/>
      <c r="C751" s="291"/>
      <c r="D751" s="231"/>
      <c r="E751" s="289"/>
      <c r="F751" s="231"/>
      <c r="G751" s="231"/>
      <c r="H751" s="290"/>
      <c r="I751" s="290"/>
      <c r="J751" s="265"/>
      <c r="K751" s="303"/>
      <c r="L751" s="265"/>
      <c r="M751" s="96"/>
      <c r="N751" s="303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  <c r="AA751" s="231"/>
      <c r="AB751" s="231"/>
      <c r="AC751" s="231"/>
      <c r="AD751" s="231"/>
      <c r="AE751" s="231"/>
      <c r="AF751" s="231"/>
    </row>
    <row r="752" spans="1:32" ht="17.399999999999999">
      <c r="A752" s="228"/>
      <c r="B752" s="231"/>
      <c r="C752" s="291"/>
      <c r="D752" s="231"/>
      <c r="E752" s="289"/>
      <c r="F752" s="231"/>
      <c r="G752" s="231"/>
      <c r="H752" s="290"/>
      <c r="I752" s="290"/>
      <c r="J752" s="265"/>
      <c r="K752" s="303"/>
      <c r="L752" s="265"/>
      <c r="M752" s="96"/>
      <c r="N752" s="303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  <c r="AA752" s="231"/>
      <c r="AB752" s="231"/>
      <c r="AC752" s="231"/>
      <c r="AD752" s="231"/>
      <c r="AE752" s="231"/>
      <c r="AF752" s="231"/>
    </row>
    <row r="753" spans="1:32" ht="17.399999999999999">
      <c r="A753" s="228"/>
      <c r="B753" s="231"/>
      <c r="C753" s="291"/>
      <c r="D753" s="231"/>
      <c r="E753" s="289"/>
      <c r="F753" s="231"/>
      <c r="G753" s="231"/>
      <c r="H753" s="290"/>
      <c r="I753" s="290"/>
      <c r="J753" s="265"/>
      <c r="K753" s="303"/>
      <c r="L753" s="265"/>
      <c r="M753" s="96"/>
      <c r="N753" s="303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  <c r="AA753" s="231"/>
      <c r="AB753" s="231"/>
      <c r="AC753" s="231"/>
      <c r="AD753" s="231"/>
      <c r="AE753" s="231"/>
      <c r="AF753" s="231"/>
    </row>
    <row r="754" spans="1:32" ht="17.399999999999999">
      <c r="A754" s="228"/>
      <c r="B754" s="231"/>
      <c r="C754" s="291"/>
      <c r="D754" s="231"/>
      <c r="E754" s="289"/>
      <c r="F754" s="231"/>
      <c r="G754" s="231"/>
      <c r="H754" s="290"/>
      <c r="I754" s="290"/>
      <c r="J754" s="265"/>
      <c r="K754" s="303"/>
      <c r="L754" s="265"/>
      <c r="M754" s="96"/>
      <c r="N754" s="303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  <c r="AA754" s="231"/>
      <c r="AB754" s="231"/>
      <c r="AC754" s="231"/>
      <c r="AD754" s="231"/>
      <c r="AE754" s="231"/>
      <c r="AF754" s="231"/>
    </row>
    <row r="755" spans="1:32" ht="17.399999999999999">
      <c r="A755" s="228"/>
      <c r="B755" s="231"/>
      <c r="C755" s="291"/>
      <c r="D755" s="231"/>
      <c r="E755" s="289"/>
      <c r="F755" s="231"/>
      <c r="G755" s="231"/>
      <c r="H755" s="290"/>
      <c r="I755" s="290"/>
      <c r="J755" s="265"/>
      <c r="K755" s="303"/>
      <c r="L755" s="265"/>
      <c r="M755" s="96"/>
      <c r="N755" s="303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  <c r="AA755" s="231"/>
      <c r="AB755" s="231"/>
      <c r="AC755" s="231"/>
      <c r="AD755" s="231"/>
      <c r="AE755" s="231"/>
      <c r="AF755" s="231"/>
    </row>
    <row r="756" spans="1:32" ht="17.399999999999999">
      <c r="A756" s="228"/>
      <c r="B756" s="231"/>
      <c r="C756" s="291"/>
      <c r="D756" s="231"/>
      <c r="E756" s="289"/>
      <c r="F756" s="231"/>
      <c r="G756" s="231"/>
      <c r="H756" s="290"/>
      <c r="I756" s="290"/>
      <c r="J756" s="265"/>
      <c r="K756" s="303"/>
      <c r="L756" s="265"/>
      <c r="M756" s="96"/>
      <c r="N756" s="303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  <c r="AA756" s="231"/>
      <c r="AB756" s="231"/>
      <c r="AC756" s="231"/>
      <c r="AD756" s="231"/>
      <c r="AE756" s="231"/>
      <c r="AF756" s="231"/>
    </row>
    <row r="757" spans="1:32" ht="17.399999999999999">
      <c r="A757" s="228"/>
      <c r="B757" s="231"/>
      <c r="C757" s="291"/>
      <c r="D757" s="231"/>
      <c r="E757" s="289"/>
      <c r="F757" s="231"/>
      <c r="G757" s="231"/>
      <c r="H757" s="290"/>
      <c r="I757" s="290"/>
      <c r="J757" s="265"/>
      <c r="K757" s="303"/>
      <c r="L757" s="265"/>
      <c r="M757" s="96"/>
      <c r="N757" s="303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  <c r="AA757" s="231"/>
      <c r="AB757" s="231"/>
      <c r="AC757" s="231"/>
      <c r="AD757" s="231"/>
      <c r="AE757" s="231"/>
      <c r="AF757" s="231"/>
    </row>
    <row r="758" spans="1:32" ht="17.399999999999999">
      <c r="A758" s="228"/>
      <c r="B758" s="231"/>
      <c r="C758" s="291"/>
      <c r="D758" s="231"/>
      <c r="E758" s="289"/>
      <c r="F758" s="231"/>
      <c r="G758" s="231"/>
      <c r="H758" s="290"/>
      <c r="I758" s="290"/>
      <c r="J758" s="265"/>
      <c r="K758" s="303"/>
      <c r="L758" s="265"/>
      <c r="M758" s="96"/>
      <c r="N758" s="303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  <c r="AA758" s="231"/>
      <c r="AB758" s="231"/>
      <c r="AC758" s="231"/>
      <c r="AD758" s="231"/>
      <c r="AE758" s="231"/>
      <c r="AF758" s="231"/>
    </row>
    <row r="759" spans="1:32" ht="17.399999999999999">
      <c r="A759" s="228"/>
      <c r="B759" s="231"/>
      <c r="C759" s="291"/>
      <c r="D759" s="231"/>
      <c r="E759" s="289"/>
      <c r="F759" s="231"/>
      <c r="G759" s="231"/>
      <c r="H759" s="290"/>
      <c r="I759" s="290"/>
      <c r="J759" s="265"/>
      <c r="K759" s="303"/>
      <c r="L759" s="265"/>
      <c r="M759" s="96"/>
      <c r="N759" s="303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  <c r="AA759" s="231"/>
      <c r="AB759" s="231"/>
      <c r="AC759" s="231"/>
      <c r="AD759" s="231"/>
      <c r="AE759" s="231"/>
      <c r="AF759" s="231"/>
    </row>
    <row r="760" spans="1:32" ht="17.399999999999999">
      <c r="A760" s="228"/>
      <c r="B760" s="231"/>
      <c r="C760" s="291"/>
      <c r="D760" s="231"/>
      <c r="E760" s="289"/>
      <c r="F760" s="231"/>
      <c r="G760" s="231"/>
      <c r="H760" s="290"/>
      <c r="I760" s="290"/>
      <c r="J760" s="265"/>
      <c r="K760" s="303"/>
      <c r="L760" s="265"/>
      <c r="M760" s="96"/>
      <c r="N760" s="303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  <c r="AA760" s="231"/>
      <c r="AB760" s="231"/>
      <c r="AC760" s="231"/>
      <c r="AD760" s="231"/>
      <c r="AE760" s="231"/>
      <c r="AF760" s="231"/>
    </row>
    <row r="761" spans="1:32" ht="17.399999999999999">
      <c r="A761" s="228"/>
      <c r="B761" s="231"/>
      <c r="C761" s="291"/>
      <c r="D761" s="231"/>
      <c r="E761" s="289"/>
      <c r="F761" s="231"/>
      <c r="G761" s="231"/>
      <c r="H761" s="290"/>
      <c r="I761" s="290"/>
      <c r="J761" s="265"/>
      <c r="K761" s="303"/>
      <c r="L761" s="265"/>
      <c r="M761" s="96"/>
      <c r="N761" s="303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  <c r="AA761" s="231"/>
      <c r="AB761" s="231"/>
      <c r="AC761" s="231"/>
      <c r="AD761" s="231"/>
      <c r="AE761" s="231"/>
      <c r="AF761" s="231"/>
    </row>
    <row r="762" spans="1:32" ht="17.399999999999999">
      <c r="A762" s="228"/>
      <c r="B762" s="231"/>
      <c r="C762" s="291"/>
      <c r="D762" s="231"/>
      <c r="E762" s="289"/>
      <c r="F762" s="231"/>
      <c r="G762" s="231"/>
      <c r="H762" s="290"/>
      <c r="I762" s="290"/>
      <c r="J762" s="265"/>
      <c r="K762" s="303"/>
      <c r="L762" s="265"/>
      <c r="M762" s="96"/>
      <c r="N762" s="303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  <c r="AA762" s="231"/>
      <c r="AB762" s="231"/>
      <c r="AC762" s="231"/>
      <c r="AD762" s="231"/>
      <c r="AE762" s="231"/>
      <c r="AF762" s="231"/>
    </row>
    <row r="763" spans="1:32" ht="17.399999999999999">
      <c r="A763" s="228"/>
      <c r="B763" s="231"/>
      <c r="C763" s="291"/>
      <c r="D763" s="231"/>
      <c r="E763" s="289"/>
      <c r="F763" s="231"/>
      <c r="G763" s="231"/>
      <c r="H763" s="290"/>
      <c r="I763" s="290"/>
      <c r="J763" s="265"/>
      <c r="K763" s="303"/>
      <c r="L763" s="265"/>
      <c r="M763" s="96"/>
      <c r="N763" s="303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  <c r="AA763" s="231"/>
      <c r="AB763" s="231"/>
      <c r="AC763" s="231"/>
      <c r="AD763" s="231"/>
      <c r="AE763" s="231"/>
      <c r="AF763" s="231"/>
    </row>
    <row r="764" spans="1:32" ht="17.399999999999999">
      <c r="A764" s="228"/>
      <c r="B764" s="231"/>
      <c r="C764" s="291"/>
      <c r="D764" s="231"/>
      <c r="E764" s="289"/>
      <c r="F764" s="231"/>
      <c r="G764" s="231"/>
      <c r="H764" s="290"/>
      <c r="I764" s="290"/>
      <c r="J764" s="265"/>
      <c r="K764" s="303"/>
      <c r="L764" s="265"/>
      <c r="M764" s="96"/>
      <c r="N764" s="303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  <c r="AA764" s="231"/>
      <c r="AB764" s="231"/>
      <c r="AC764" s="231"/>
      <c r="AD764" s="231"/>
      <c r="AE764" s="231"/>
      <c r="AF764" s="231"/>
    </row>
    <row r="765" spans="1:32" ht="17.399999999999999">
      <c r="A765" s="228"/>
      <c r="B765" s="231"/>
      <c r="C765" s="291"/>
      <c r="D765" s="231"/>
      <c r="E765" s="289"/>
      <c r="F765" s="231"/>
      <c r="G765" s="231"/>
      <c r="H765" s="290"/>
      <c r="I765" s="290"/>
      <c r="J765" s="265"/>
      <c r="K765" s="303"/>
      <c r="L765" s="265"/>
      <c r="M765" s="96"/>
      <c r="N765" s="303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  <c r="AA765" s="231"/>
      <c r="AB765" s="231"/>
      <c r="AC765" s="231"/>
      <c r="AD765" s="231"/>
      <c r="AE765" s="231"/>
      <c r="AF765" s="231"/>
    </row>
    <row r="766" spans="1:32" ht="17.399999999999999">
      <c r="A766" s="228"/>
      <c r="B766" s="231"/>
      <c r="C766" s="291"/>
      <c r="D766" s="231"/>
      <c r="E766" s="289"/>
      <c r="F766" s="231"/>
      <c r="G766" s="231"/>
      <c r="H766" s="290"/>
      <c r="I766" s="290"/>
      <c r="J766" s="265"/>
      <c r="K766" s="303"/>
      <c r="L766" s="265"/>
      <c r="M766" s="96"/>
      <c r="N766" s="303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  <c r="AA766" s="231"/>
      <c r="AB766" s="231"/>
      <c r="AC766" s="231"/>
      <c r="AD766" s="231"/>
      <c r="AE766" s="231"/>
      <c r="AF766" s="231"/>
    </row>
    <row r="767" spans="1:32" ht="17.399999999999999">
      <c r="A767" s="228"/>
      <c r="B767" s="231"/>
      <c r="C767" s="291"/>
      <c r="D767" s="231"/>
      <c r="E767" s="289"/>
      <c r="F767" s="231"/>
      <c r="G767" s="231"/>
      <c r="H767" s="290"/>
      <c r="I767" s="290"/>
      <c r="J767" s="265"/>
      <c r="K767" s="303"/>
      <c r="L767" s="265"/>
      <c r="M767" s="96"/>
      <c r="N767" s="303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  <c r="AA767" s="231"/>
      <c r="AB767" s="231"/>
      <c r="AC767" s="231"/>
      <c r="AD767" s="231"/>
      <c r="AE767" s="231"/>
      <c r="AF767" s="231"/>
    </row>
    <row r="768" spans="1:32" ht="17.399999999999999">
      <c r="A768" s="228"/>
      <c r="B768" s="231"/>
      <c r="C768" s="291"/>
      <c r="D768" s="231"/>
      <c r="E768" s="289"/>
      <c r="F768" s="231"/>
      <c r="G768" s="231"/>
      <c r="H768" s="290"/>
      <c r="I768" s="290"/>
      <c r="J768" s="265"/>
      <c r="K768" s="303"/>
      <c r="L768" s="265"/>
      <c r="M768" s="96"/>
      <c r="N768" s="303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  <c r="AA768" s="231"/>
      <c r="AB768" s="231"/>
      <c r="AC768" s="231"/>
      <c r="AD768" s="231"/>
      <c r="AE768" s="231"/>
      <c r="AF768" s="231"/>
    </row>
    <row r="769" spans="1:32" ht="17.399999999999999">
      <c r="A769" s="228"/>
      <c r="B769" s="231"/>
      <c r="C769" s="291"/>
      <c r="D769" s="231"/>
      <c r="E769" s="289"/>
      <c r="F769" s="231"/>
      <c r="G769" s="231"/>
      <c r="H769" s="290"/>
      <c r="I769" s="290"/>
      <c r="J769" s="265"/>
      <c r="K769" s="303"/>
      <c r="L769" s="265"/>
      <c r="M769" s="96"/>
      <c r="N769" s="303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  <c r="AA769" s="231"/>
      <c r="AB769" s="231"/>
      <c r="AC769" s="231"/>
      <c r="AD769" s="231"/>
      <c r="AE769" s="231"/>
      <c r="AF769" s="231"/>
    </row>
    <row r="770" spans="1:32" ht="17.399999999999999">
      <c r="A770" s="228"/>
      <c r="B770" s="231"/>
      <c r="C770" s="291"/>
      <c r="D770" s="231"/>
      <c r="E770" s="289"/>
      <c r="F770" s="231"/>
      <c r="G770" s="231"/>
      <c r="H770" s="290"/>
      <c r="I770" s="290"/>
      <c r="J770" s="265"/>
      <c r="K770" s="303"/>
      <c r="L770" s="265"/>
      <c r="M770" s="96"/>
      <c r="N770" s="303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  <c r="AA770" s="231"/>
      <c r="AB770" s="231"/>
      <c r="AC770" s="231"/>
      <c r="AD770" s="231"/>
      <c r="AE770" s="231"/>
      <c r="AF770" s="231"/>
    </row>
    <row r="771" spans="1:32" ht="17.399999999999999">
      <c r="A771" s="228"/>
      <c r="B771" s="231"/>
      <c r="C771" s="291"/>
      <c r="D771" s="231"/>
      <c r="E771" s="289"/>
      <c r="F771" s="231"/>
      <c r="G771" s="231"/>
      <c r="H771" s="290"/>
      <c r="I771" s="290"/>
      <c r="J771" s="265"/>
      <c r="K771" s="303"/>
      <c r="L771" s="265"/>
      <c r="M771" s="96"/>
      <c r="N771" s="303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  <c r="AA771" s="231"/>
      <c r="AB771" s="231"/>
      <c r="AC771" s="231"/>
      <c r="AD771" s="231"/>
      <c r="AE771" s="231"/>
      <c r="AF771" s="231"/>
    </row>
    <row r="772" spans="1:32" ht="17.399999999999999">
      <c r="A772" s="228"/>
      <c r="B772" s="231"/>
      <c r="C772" s="291"/>
      <c r="D772" s="231"/>
      <c r="E772" s="289"/>
      <c r="F772" s="231"/>
      <c r="G772" s="231"/>
      <c r="H772" s="290"/>
      <c r="I772" s="290"/>
      <c r="J772" s="265"/>
      <c r="K772" s="303"/>
      <c r="L772" s="265"/>
      <c r="M772" s="96"/>
      <c r="N772" s="303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  <c r="AA772" s="231"/>
      <c r="AB772" s="231"/>
      <c r="AC772" s="231"/>
      <c r="AD772" s="231"/>
      <c r="AE772" s="231"/>
      <c r="AF772" s="231"/>
    </row>
    <row r="773" spans="1:32" ht="17.399999999999999">
      <c r="A773" s="228"/>
      <c r="B773" s="231"/>
      <c r="C773" s="291"/>
      <c r="D773" s="231"/>
      <c r="E773" s="289"/>
      <c r="F773" s="231"/>
      <c r="G773" s="231"/>
      <c r="H773" s="290"/>
      <c r="I773" s="290"/>
      <c r="J773" s="265"/>
      <c r="K773" s="303"/>
      <c r="L773" s="265"/>
      <c r="M773" s="96"/>
      <c r="N773" s="303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  <c r="AA773" s="231"/>
      <c r="AB773" s="231"/>
      <c r="AC773" s="231"/>
      <c r="AD773" s="231"/>
      <c r="AE773" s="231"/>
      <c r="AF773" s="231"/>
    </row>
    <row r="774" spans="1:32" ht="17.399999999999999">
      <c r="A774" s="228"/>
      <c r="B774" s="231"/>
      <c r="C774" s="291"/>
      <c r="D774" s="231"/>
      <c r="E774" s="289"/>
      <c r="F774" s="231"/>
      <c r="G774" s="231"/>
      <c r="H774" s="290"/>
      <c r="I774" s="290"/>
      <c r="J774" s="265"/>
      <c r="K774" s="303"/>
      <c r="L774" s="265"/>
      <c r="M774" s="96"/>
      <c r="N774" s="303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  <c r="AA774" s="231"/>
      <c r="AB774" s="231"/>
      <c r="AC774" s="231"/>
      <c r="AD774" s="231"/>
      <c r="AE774" s="231"/>
      <c r="AF774" s="231"/>
    </row>
    <row r="775" spans="1:32" ht="17.399999999999999">
      <c r="A775" s="228"/>
      <c r="B775" s="231"/>
      <c r="C775" s="291"/>
      <c r="D775" s="231"/>
      <c r="E775" s="289"/>
      <c r="F775" s="231"/>
      <c r="G775" s="231"/>
      <c r="H775" s="290"/>
      <c r="I775" s="290"/>
      <c r="J775" s="265"/>
      <c r="K775" s="303"/>
      <c r="L775" s="265"/>
      <c r="M775" s="96"/>
      <c r="N775" s="303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  <c r="AA775" s="231"/>
      <c r="AB775" s="231"/>
      <c r="AC775" s="231"/>
      <c r="AD775" s="231"/>
      <c r="AE775" s="231"/>
      <c r="AF775" s="231"/>
    </row>
    <row r="776" spans="1:32" ht="17.399999999999999">
      <c r="A776" s="228"/>
      <c r="B776" s="231"/>
      <c r="C776" s="291"/>
      <c r="D776" s="231"/>
      <c r="E776" s="289"/>
      <c r="F776" s="231"/>
      <c r="G776" s="231"/>
      <c r="H776" s="290"/>
      <c r="I776" s="290"/>
      <c r="J776" s="265"/>
      <c r="K776" s="303"/>
      <c r="L776" s="265"/>
      <c r="M776" s="96"/>
      <c r="N776" s="303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  <c r="AA776" s="231"/>
      <c r="AB776" s="231"/>
      <c r="AC776" s="231"/>
      <c r="AD776" s="231"/>
      <c r="AE776" s="231"/>
      <c r="AF776" s="231"/>
    </row>
    <row r="777" spans="1:32" ht="17.399999999999999">
      <c r="A777" s="228"/>
      <c r="B777" s="231"/>
      <c r="C777" s="291"/>
      <c r="D777" s="231"/>
      <c r="E777" s="289"/>
      <c r="F777" s="231"/>
      <c r="G777" s="231"/>
      <c r="H777" s="290"/>
      <c r="I777" s="290"/>
      <c r="J777" s="265"/>
      <c r="K777" s="303"/>
      <c r="L777" s="265"/>
      <c r="M777" s="96"/>
      <c r="N777" s="303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  <c r="AA777" s="231"/>
      <c r="AB777" s="231"/>
      <c r="AC777" s="231"/>
      <c r="AD777" s="231"/>
      <c r="AE777" s="231"/>
      <c r="AF777" s="231"/>
    </row>
    <row r="778" spans="1:32" ht="17.399999999999999">
      <c r="A778" s="228"/>
      <c r="B778" s="231"/>
      <c r="C778" s="291"/>
      <c r="D778" s="231"/>
      <c r="E778" s="289"/>
      <c r="F778" s="231"/>
      <c r="G778" s="231"/>
      <c r="H778" s="290"/>
      <c r="I778" s="290"/>
      <c r="J778" s="265"/>
      <c r="K778" s="303"/>
      <c r="L778" s="265"/>
      <c r="M778" s="96"/>
      <c r="N778" s="303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  <c r="AA778" s="231"/>
      <c r="AB778" s="231"/>
      <c r="AC778" s="231"/>
      <c r="AD778" s="231"/>
      <c r="AE778" s="231"/>
      <c r="AF778" s="231"/>
    </row>
    <row r="779" spans="1:32" ht="17.399999999999999">
      <c r="A779" s="228"/>
      <c r="B779" s="231"/>
      <c r="C779" s="291"/>
      <c r="D779" s="231"/>
      <c r="E779" s="289"/>
      <c r="F779" s="231"/>
      <c r="G779" s="231"/>
      <c r="H779" s="290"/>
      <c r="I779" s="290"/>
      <c r="J779" s="265"/>
      <c r="K779" s="303"/>
      <c r="L779" s="265"/>
      <c r="M779" s="96"/>
      <c r="N779" s="303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  <c r="AA779" s="231"/>
      <c r="AB779" s="231"/>
      <c r="AC779" s="231"/>
      <c r="AD779" s="231"/>
      <c r="AE779" s="231"/>
      <c r="AF779" s="231"/>
    </row>
    <row r="780" spans="1:32" ht="17.399999999999999">
      <c r="A780" s="228"/>
      <c r="B780" s="231"/>
      <c r="C780" s="291"/>
      <c r="D780" s="231"/>
      <c r="E780" s="289"/>
      <c r="F780" s="231"/>
      <c r="G780" s="231"/>
      <c r="H780" s="290"/>
      <c r="I780" s="290"/>
      <c r="J780" s="265"/>
      <c r="K780" s="303"/>
      <c r="L780" s="265"/>
      <c r="M780" s="96"/>
      <c r="N780" s="303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  <c r="AA780" s="231"/>
      <c r="AB780" s="231"/>
      <c r="AC780" s="231"/>
      <c r="AD780" s="231"/>
      <c r="AE780" s="231"/>
      <c r="AF780" s="231"/>
    </row>
    <row r="781" spans="1:32" ht="17.399999999999999">
      <c r="A781" s="228"/>
      <c r="B781" s="231"/>
      <c r="C781" s="291"/>
      <c r="D781" s="231"/>
      <c r="E781" s="289"/>
      <c r="F781" s="231"/>
      <c r="G781" s="231"/>
      <c r="H781" s="290"/>
      <c r="I781" s="290"/>
      <c r="J781" s="265"/>
      <c r="K781" s="303"/>
      <c r="L781" s="265"/>
      <c r="M781" s="96"/>
      <c r="N781" s="303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  <c r="AA781" s="231"/>
      <c r="AB781" s="231"/>
      <c r="AC781" s="231"/>
      <c r="AD781" s="231"/>
      <c r="AE781" s="231"/>
      <c r="AF781" s="231"/>
    </row>
    <row r="782" spans="1:32" ht="17.399999999999999">
      <c r="A782" s="228"/>
      <c r="B782" s="231"/>
      <c r="C782" s="291"/>
      <c r="D782" s="231"/>
      <c r="E782" s="289"/>
      <c r="F782" s="231"/>
      <c r="G782" s="231"/>
      <c r="H782" s="290"/>
      <c r="I782" s="290"/>
      <c r="J782" s="265"/>
      <c r="K782" s="303"/>
      <c r="L782" s="265"/>
      <c r="M782" s="96"/>
      <c r="N782" s="303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  <c r="AA782" s="231"/>
      <c r="AB782" s="231"/>
      <c r="AC782" s="231"/>
      <c r="AD782" s="231"/>
      <c r="AE782" s="231"/>
      <c r="AF782" s="231"/>
    </row>
    <row r="783" spans="1:32" ht="17.399999999999999">
      <c r="A783" s="228"/>
      <c r="B783" s="231"/>
      <c r="C783" s="291"/>
      <c r="D783" s="231"/>
      <c r="E783" s="289"/>
      <c r="F783" s="231"/>
      <c r="G783" s="231"/>
      <c r="H783" s="290"/>
      <c r="I783" s="290"/>
      <c r="J783" s="265"/>
      <c r="K783" s="303"/>
      <c r="L783" s="265"/>
      <c r="M783" s="96"/>
      <c r="N783" s="303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  <c r="AA783" s="231"/>
      <c r="AB783" s="231"/>
      <c r="AC783" s="231"/>
      <c r="AD783" s="231"/>
      <c r="AE783" s="231"/>
      <c r="AF783" s="231"/>
    </row>
    <row r="784" spans="1:32" ht="17.399999999999999">
      <c r="A784" s="228"/>
      <c r="B784" s="231"/>
      <c r="C784" s="291"/>
      <c r="D784" s="231"/>
      <c r="E784" s="289"/>
      <c r="F784" s="231"/>
      <c r="G784" s="231"/>
      <c r="H784" s="290"/>
      <c r="I784" s="290"/>
      <c r="J784" s="265"/>
      <c r="K784" s="303"/>
      <c r="L784" s="265"/>
      <c r="M784" s="96"/>
      <c r="N784" s="303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  <c r="AA784" s="231"/>
      <c r="AB784" s="231"/>
      <c r="AC784" s="231"/>
      <c r="AD784" s="231"/>
      <c r="AE784" s="231"/>
      <c r="AF784" s="231"/>
    </row>
    <row r="785" spans="1:32" ht="17.399999999999999">
      <c r="A785" s="228"/>
      <c r="B785" s="231"/>
      <c r="C785" s="291"/>
      <c r="D785" s="231"/>
      <c r="E785" s="289"/>
      <c r="F785" s="231"/>
      <c r="G785" s="231"/>
      <c r="H785" s="290"/>
      <c r="I785" s="290"/>
      <c r="J785" s="265"/>
      <c r="K785" s="303"/>
      <c r="L785" s="265"/>
      <c r="M785" s="96"/>
      <c r="N785" s="303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  <c r="AA785" s="231"/>
      <c r="AB785" s="231"/>
      <c r="AC785" s="231"/>
      <c r="AD785" s="231"/>
      <c r="AE785" s="231"/>
      <c r="AF785" s="231"/>
    </row>
    <row r="786" spans="1:32" ht="17.399999999999999">
      <c r="A786" s="228"/>
      <c r="B786" s="231"/>
      <c r="C786" s="291"/>
      <c r="D786" s="231"/>
      <c r="E786" s="289"/>
      <c r="F786" s="231"/>
      <c r="G786" s="231"/>
      <c r="H786" s="290"/>
      <c r="I786" s="290"/>
      <c r="J786" s="265"/>
      <c r="K786" s="303"/>
      <c r="L786" s="265"/>
      <c r="M786" s="96"/>
      <c r="N786" s="303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  <c r="AA786" s="231"/>
      <c r="AB786" s="231"/>
      <c r="AC786" s="231"/>
      <c r="AD786" s="231"/>
      <c r="AE786" s="231"/>
      <c r="AF786" s="231"/>
    </row>
    <row r="787" spans="1:32" ht="17.399999999999999">
      <c r="A787" s="228"/>
      <c r="B787" s="231"/>
      <c r="C787" s="291"/>
      <c r="D787" s="231"/>
      <c r="E787" s="289"/>
      <c r="F787" s="231"/>
      <c r="G787" s="231"/>
      <c r="H787" s="290"/>
      <c r="I787" s="290"/>
      <c r="J787" s="265"/>
      <c r="K787" s="303"/>
      <c r="L787" s="265"/>
      <c r="M787" s="96"/>
      <c r="N787" s="303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  <c r="AA787" s="231"/>
      <c r="AB787" s="231"/>
      <c r="AC787" s="231"/>
      <c r="AD787" s="231"/>
      <c r="AE787" s="231"/>
      <c r="AF787" s="231"/>
    </row>
    <row r="788" spans="1:32" ht="17.399999999999999">
      <c r="A788" s="228"/>
      <c r="B788" s="231"/>
      <c r="C788" s="291"/>
      <c r="D788" s="231"/>
      <c r="E788" s="289"/>
      <c r="F788" s="231"/>
      <c r="G788" s="231"/>
      <c r="H788" s="290"/>
      <c r="I788" s="290"/>
      <c r="J788" s="265"/>
      <c r="K788" s="303"/>
      <c r="L788" s="265"/>
      <c r="M788" s="96"/>
      <c r="N788" s="303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  <c r="AA788" s="231"/>
      <c r="AB788" s="231"/>
      <c r="AC788" s="231"/>
      <c r="AD788" s="231"/>
      <c r="AE788" s="231"/>
      <c r="AF788" s="231"/>
    </row>
    <row r="789" spans="1:32" ht="17.399999999999999">
      <c r="A789" s="228"/>
      <c r="B789" s="231"/>
      <c r="C789" s="291"/>
      <c r="D789" s="231"/>
      <c r="E789" s="289"/>
      <c r="F789" s="231"/>
      <c r="G789" s="231"/>
      <c r="H789" s="290"/>
      <c r="I789" s="290"/>
      <c r="J789" s="265"/>
      <c r="K789" s="303"/>
      <c r="L789" s="265"/>
      <c r="M789" s="96"/>
      <c r="N789" s="303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  <c r="AA789" s="231"/>
      <c r="AB789" s="231"/>
      <c r="AC789" s="231"/>
      <c r="AD789" s="231"/>
      <c r="AE789" s="231"/>
      <c r="AF789" s="231"/>
    </row>
    <row r="790" spans="1:32" ht="17.399999999999999">
      <c r="A790" s="228"/>
      <c r="B790" s="231"/>
      <c r="C790" s="291"/>
      <c r="D790" s="231"/>
      <c r="E790" s="289"/>
      <c r="F790" s="231"/>
      <c r="G790" s="231"/>
      <c r="H790" s="290"/>
      <c r="I790" s="290"/>
      <c r="J790" s="265"/>
      <c r="K790" s="303"/>
      <c r="L790" s="265"/>
      <c r="M790" s="96"/>
      <c r="N790" s="303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  <c r="AA790" s="231"/>
      <c r="AB790" s="231"/>
      <c r="AC790" s="231"/>
      <c r="AD790" s="231"/>
      <c r="AE790" s="231"/>
      <c r="AF790" s="231"/>
    </row>
    <row r="791" spans="1:32" ht="17.399999999999999">
      <c r="A791" s="228"/>
      <c r="B791" s="231"/>
      <c r="C791" s="291"/>
      <c r="D791" s="231"/>
      <c r="E791" s="289"/>
      <c r="F791" s="231"/>
      <c r="G791" s="231"/>
      <c r="H791" s="290"/>
      <c r="I791" s="290"/>
      <c r="J791" s="265"/>
      <c r="K791" s="303"/>
      <c r="L791" s="265"/>
      <c r="M791" s="96"/>
      <c r="N791" s="303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  <c r="AA791" s="231"/>
      <c r="AB791" s="231"/>
      <c r="AC791" s="231"/>
      <c r="AD791" s="231"/>
      <c r="AE791" s="231"/>
      <c r="AF791" s="231"/>
    </row>
    <row r="792" spans="1:32" ht="17.399999999999999">
      <c r="A792" s="228"/>
      <c r="B792" s="231"/>
      <c r="C792" s="291"/>
      <c r="D792" s="231"/>
      <c r="E792" s="289"/>
      <c r="F792" s="231"/>
      <c r="G792" s="231"/>
      <c r="H792" s="290"/>
      <c r="I792" s="290"/>
      <c r="J792" s="265"/>
      <c r="K792" s="303"/>
      <c r="L792" s="265"/>
      <c r="M792" s="96"/>
      <c r="N792" s="303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  <c r="AA792" s="231"/>
      <c r="AB792" s="231"/>
      <c r="AC792" s="231"/>
      <c r="AD792" s="231"/>
      <c r="AE792" s="231"/>
      <c r="AF792" s="231"/>
    </row>
    <row r="793" spans="1:32" ht="17.399999999999999">
      <c r="A793" s="228"/>
      <c r="B793" s="231"/>
      <c r="C793" s="291"/>
      <c r="D793" s="231"/>
      <c r="E793" s="289"/>
      <c r="F793" s="231"/>
      <c r="G793" s="231"/>
      <c r="H793" s="290"/>
      <c r="I793" s="290"/>
      <c r="J793" s="265"/>
      <c r="K793" s="303"/>
      <c r="L793" s="265"/>
      <c r="M793" s="96"/>
      <c r="N793" s="303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  <c r="AA793" s="231"/>
      <c r="AB793" s="231"/>
      <c r="AC793" s="231"/>
      <c r="AD793" s="231"/>
      <c r="AE793" s="231"/>
      <c r="AF793" s="231"/>
    </row>
    <row r="794" spans="1:32" ht="17.399999999999999">
      <c r="A794" s="228"/>
      <c r="B794" s="231"/>
      <c r="C794" s="291"/>
      <c r="D794" s="231"/>
      <c r="E794" s="289"/>
      <c r="F794" s="231"/>
      <c r="G794" s="231"/>
      <c r="H794" s="290"/>
      <c r="I794" s="290"/>
      <c r="J794" s="265"/>
      <c r="K794" s="303"/>
      <c r="L794" s="265"/>
      <c r="M794" s="96"/>
      <c r="N794" s="303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  <c r="AA794" s="231"/>
      <c r="AB794" s="231"/>
      <c r="AC794" s="231"/>
      <c r="AD794" s="231"/>
      <c r="AE794" s="231"/>
      <c r="AF794" s="231"/>
    </row>
    <row r="795" spans="1:32" ht="17.399999999999999">
      <c r="A795" s="228"/>
      <c r="B795" s="231"/>
      <c r="C795" s="291"/>
      <c r="D795" s="231"/>
      <c r="E795" s="289"/>
      <c r="F795" s="231"/>
      <c r="G795" s="231"/>
      <c r="H795" s="290"/>
      <c r="I795" s="290"/>
      <c r="J795" s="265"/>
      <c r="K795" s="303"/>
      <c r="L795" s="265"/>
      <c r="M795" s="96"/>
      <c r="N795" s="303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  <c r="AA795" s="231"/>
      <c r="AB795" s="231"/>
      <c r="AC795" s="231"/>
      <c r="AD795" s="231"/>
      <c r="AE795" s="231"/>
      <c r="AF795" s="231"/>
    </row>
    <row r="796" spans="1:32" ht="17.399999999999999">
      <c r="A796" s="228"/>
      <c r="B796" s="231"/>
      <c r="C796" s="291"/>
      <c r="D796" s="231"/>
      <c r="E796" s="289"/>
      <c r="F796" s="231"/>
      <c r="G796" s="231"/>
      <c r="H796" s="290"/>
      <c r="I796" s="290"/>
      <c r="J796" s="265"/>
      <c r="K796" s="303"/>
      <c r="L796" s="265"/>
      <c r="M796" s="96"/>
      <c r="N796" s="303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  <c r="AA796" s="231"/>
      <c r="AB796" s="231"/>
      <c r="AC796" s="231"/>
      <c r="AD796" s="231"/>
      <c r="AE796" s="231"/>
      <c r="AF796" s="231"/>
    </row>
    <row r="797" spans="1:32" ht="17.399999999999999">
      <c r="A797" s="228"/>
      <c r="B797" s="231"/>
      <c r="C797" s="291"/>
      <c r="D797" s="231"/>
      <c r="E797" s="289"/>
      <c r="F797" s="231"/>
      <c r="G797" s="231"/>
      <c r="H797" s="290"/>
      <c r="I797" s="290"/>
      <c r="J797" s="265"/>
      <c r="K797" s="303"/>
      <c r="L797" s="265"/>
      <c r="M797" s="96"/>
      <c r="N797" s="303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  <c r="AA797" s="231"/>
      <c r="AB797" s="231"/>
      <c r="AC797" s="231"/>
      <c r="AD797" s="231"/>
      <c r="AE797" s="231"/>
      <c r="AF797" s="231"/>
    </row>
    <row r="798" spans="1:32" ht="17.399999999999999">
      <c r="A798" s="228"/>
      <c r="B798" s="231"/>
      <c r="C798" s="291"/>
      <c r="D798" s="231"/>
      <c r="E798" s="289"/>
      <c r="F798" s="231"/>
      <c r="G798" s="231"/>
      <c r="H798" s="290"/>
      <c r="I798" s="290"/>
      <c r="J798" s="265"/>
      <c r="K798" s="303"/>
      <c r="L798" s="265"/>
      <c r="M798" s="96"/>
      <c r="N798" s="303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  <c r="AA798" s="231"/>
      <c r="AB798" s="231"/>
      <c r="AC798" s="231"/>
      <c r="AD798" s="231"/>
      <c r="AE798" s="231"/>
      <c r="AF798" s="231"/>
    </row>
    <row r="799" spans="1:32" ht="17.399999999999999">
      <c r="A799" s="228"/>
      <c r="B799" s="231"/>
      <c r="C799" s="291"/>
      <c r="D799" s="231"/>
      <c r="E799" s="289"/>
      <c r="F799" s="231"/>
      <c r="G799" s="231"/>
      <c r="H799" s="290"/>
      <c r="I799" s="290"/>
      <c r="J799" s="265"/>
      <c r="K799" s="303"/>
      <c r="L799" s="265"/>
      <c r="M799" s="96"/>
      <c r="N799" s="303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  <c r="AA799" s="231"/>
      <c r="AB799" s="231"/>
      <c r="AC799" s="231"/>
      <c r="AD799" s="231"/>
      <c r="AE799" s="231"/>
      <c r="AF799" s="231"/>
    </row>
    <row r="800" spans="1:32" ht="17.399999999999999">
      <c r="A800" s="228"/>
      <c r="B800" s="231"/>
      <c r="C800" s="291"/>
      <c r="D800" s="231"/>
      <c r="E800" s="289"/>
      <c r="F800" s="231"/>
      <c r="G800" s="231"/>
      <c r="H800" s="290"/>
      <c r="I800" s="290"/>
      <c r="J800" s="265"/>
      <c r="K800" s="303"/>
      <c r="L800" s="265"/>
      <c r="M800" s="96"/>
      <c r="N800" s="303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  <c r="AA800" s="231"/>
      <c r="AB800" s="231"/>
      <c r="AC800" s="231"/>
      <c r="AD800" s="231"/>
      <c r="AE800" s="231"/>
      <c r="AF800" s="231"/>
    </row>
    <row r="801" spans="1:32" ht="17.399999999999999">
      <c r="A801" s="228"/>
      <c r="B801" s="231"/>
      <c r="C801" s="291"/>
      <c r="D801" s="231"/>
      <c r="E801" s="289"/>
      <c r="F801" s="231"/>
      <c r="G801" s="231"/>
      <c r="H801" s="290"/>
      <c r="I801" s="290"/>
      <c r="J801" s="265"/>
      <c r="K801" s="303"/>
      <c r="L801" s="265"/>
      <c r="M801" s="96"/>
      <c r="N801" s="303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  <c r="AA801" s="231"/>
      <c r="AB801" s="231"/>
      <c r="AC801" s="231"/>
      <c r="AD801" s="231"/>
      <c r="AE801" s="231"/>
      <c r="AF801" s="231"/>
    </row>
    <row r="802" spans="1:32" ht="17.399999999999999">
      <c r="A802" s="228"/>
      <c r="B802" s="231"/>
      <c r="C802" s="291"/>
      <c r="D802" s="231"/>
      <c r="E802" s="289"/>
      <c r="F802" s="231"/>
      <c r="G802" s="231"/>
      <c r="H802" s="290"/>
      <c r="I802" s="290"/>
      <c r="J802" s="265"/>
      <c r="K802" s="303"/>
      <c r="L802" s="265"/>
      <c r="M802" s="96"/>
      <c r="N802" s="303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  <c r="AA802" s="231"/>
      <c r="AB802" s="231"/>
      <c r="AC802" s="231"/>
      <c r="AD802" s="231"/>
      <c r="AE802" s="231"/>
      <c r="AF802" s="231"/>
    </row>
    <row r="803" spans="1:32" ht="17.399999999999999">
      <c r="A803" s="228"/>
      <c r="B803" s="231"/>
      <c r="C803" s="291"/>
      <c r="D803" s="231"/>
      <c r="E803" s="289"/>
      <c r="F803" s="231"/>
      <c r="G803" s="231"/>
      <c r="H803" s="290"/>
      <c r="I803" s="290"/>
      <c r="J803" s="265"/>
      <c r="K803" s="303"/>
      <c r="L803" s="265"/>
      <c r="M803" s="96"/>
      <c r="N803" s="303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  <c r="AA803" s="231"/>
      <c r="AB803" s="231"/>
      <c r="AC803" s="231"/>
      <c r="AD803" s="231"/>
      <c r="AE803" s="231"/>
      <c r="AF803" s="231"/>
    </row>
    <row r="804" spans="1:32" ht="17.399999999999999">
      <c r="A804" s="228"/>
      <c r="B804" s="231"/>
      <c r="C804" s="291"/>
      <c r="D804" s="231"/>
      <c r="E804" s="289"/>
      <c r="F804" s="231"/>
      <c r="G804" s="231"/>
      <c r="H804" s="290"/>
      <c r="I804" s="290"/>
      <c r="J804" s="265"/>
      <c r="K804" s="303"/>
      <c r="L804" s="265"/>
      <c r="M804" s="96"/>
      <c r="N804" s="303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  <c r="AA804" s="231"/>
      <c r="AB804" s="231"/>
      <c r="AC804" s="231"/>
      <c r="AD804" s="231"/>
      <c r="AE804" s="231"/>
      <c r="AF804" s="231"/>
    </row>
    <row r="805" spans="1:32" ht="17.399999999999999">
      <c r="A805" s="228"/>
      <c r="B805" s="231"/>
      <c r="C805" s="291"/>
      <c r="D805" s="231"/>
      <c r="E805" s="289"/>
      <c r="F805" s="231"/>
      <c r="G805" s="231"/>
      <c r="H805" s="290"/>
      <c r="I805" s="290"/>
      <c r="J805" s="265"/>
      <c r="K805" s="303"/>
      <c r="L805" s="265"/>
      <c r="M805" s="96"/>
      <c r="N805" s="303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  <c r="AA805" s="231"/>
      <c r="AB805" s="231"/>
      <c r="AC805" s="231"/>
      <c r="AD805" s="231"/>
      <c r="AE805" s="231"/>
      <c r="AF805" s="231"/>
    </row>
    <row r="806" spans="1:32" ht="17.399999999999999">
      <c r="A806" s="228"/>
      <c r="B806" s="231"/>
      <c r="C806" s="291"/>
      <c r="D806" s="231"/>
      <c r="E806" s="289"/>
      <c r="F806" s="231"/>
      <c r="G806" s="231"/>
      <c r="H806" s="290"/>
      <c r="I806" s="290"/>
      <c r="J806" s="265"/>
      <c r="K806" s="303"/>
      <c r="L806" s="265"/>
      <c r="M806" s="96"/>
      <c r="N806" s="303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  <c r="AA806" s="231"/>
      <c r="AB806" s="231"/>
      <c r="AC806" s="231"/>
      <c r="AD806" s="231"/>
      <c r="AE806" s="231"/>
      <c r="AF806" s="231"/>
    </row>
    <row r="807" spans="1:32" ht="17.399999999999999">
      <c r="A807" s="228"/>
      <c r="B807" s="231"/>
      <c r="C807" s="291"/>
      <c r="D807" s="231"/>
      <c r="E807" s="289"/>
      <c r="F807" s="231"/>
      <c r="G807" s="231"/>
      <c r="H807" s="290"/>
      <c r="I807" s="290"/>
      <c r="J807" s="265"/>
      <c r="K807" s="303"/>
      <c r="L807" s="265"/>
      <c r="M807" s="96"/>
      <c r="N807" s="303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  <c r="AA807" s="231"/>
      <c r="AB807" s="231"/>
      <c r="AC807" s="231"/>
      <c r="AD807" s="231"/>
      <c r="AE807" s="231"/>
      <c r="AF807" s="231"/>
    </row>
    <row r="808" spans="1:32" ht="17.399999999999999">
      <c r="A808" s="228"/>
      <c r="B808" s="231"/>
      <c r="C808" s="291"/>
      <c r="D808" s="231"/>
      <c r="E808" s="289"/>
      <c r="F808" s="231"/>
      <c r="G808" s="231"/>
      <c r="H808" s="290"/>
      <c r="I808" s="290"/>
      <c r="J808" s="265"/>
      <c r="K808" s="303"/>
      <c r="L808" s="265"/>
      <c r="M808" s="96"/>
      <c r="N808" s="303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  <c r="AA808" s="231"/>
      <c r="AB808" s="231"/>
      <c r="AC808" s="231"/>
      <c r="AD808" s="231"/>
      <c r="AE808" s="231"/>
      <c r="AF808" s="231"/>
    </row>
    <row r="809" spans="1:32" ht="17.399999999999999">
      <c r="A809" s="228"/>
      <c r="B809" s="231"/>
      <c r="C809" s="291"/>
      <c r="D809" s="231"/>
      <c r="E809" s="289"/>
      <c r="F809" s="231"/>
      <c r="G809" s="231"/>
      <c r="H809" s="290"/>
      <c r="I809" s="290"/>
      <c r="J809" s="265"/>
      <c r="K809" s="303"/>
      <c r="L809" s="265"/>
      <c r="M809" s="96"/>
      <c r="N809" s="303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  <c r="AA809" s="231"/>
      <c r="AB809" s="231"/>
      <c r="AC809" s="231"/>
      <c r="AD809" s="231"/>
      <c r="AE809" s="231"/>
      <c r="AF809" s="231"/>
    </row>
    <row r="810" spans="1:32" ht="17.399999999999999">
      <c r="A810" s="228"/>
      <c r="B810" s="231"/>
      <c r="C810" s="291"/>
      <c r="D810" s="231"/>
      <c r="E810" s="289"/>
      <c r="F810" s="231"/>
      <c r="G810" s="231"/>
      <c r="H810" s="290"/>
      <c r="I810" s="290"/>
      <c r="J810" s="265"/>
      <c r="K810" s="303"/>
      <c r="L810" s="265"/>
      <c r="M810" s="96"/>
      <c r="N810" s="303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  <c r="AA810" s="231"/>
      <c r="AB810" s="231"/>
      <c r="AC810" s="231"/>
      <c r="AD810" s="231"/>
      <c r="AE810" s="231"/>
      <c r="AF810" s="231"/>
    </row>
    <row r="811" spans="1:32" ht="17.399999999999999">
      <c r="A811" s="228"/>
      <c r="B811" s="231"/>
      <c r="C811" s="291"/>
      <c r="D811" s="231"/>
      <c r="E811" s="289"/>
      <c r="F811" s="231"/>
      <c r="G811" s="231"/>
      <c r="H811" s="290"/>
      <c r="I811" s="290"/>
      <c r="J811" s="265"/>
      <c r="K811" s="303"/>
      <c r="L811" s="265"/>
      <c r="M811" s="96"/>
      <c r="N811" s="303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  <c r="AA811" s="231"/>
      <c r="AB811" s="231"/>
      <c r="AC811" s="231"/>
      <c r="AD811" s="231"/>
      <c r="AE811" s="231"/>
      <c r="AF811" s="231"/>
    </row>
    <row r="812" spans="1:32" ht="17.399999999999999">
      <c r="A812" s="228"/>
      <c r="B812" s="231"/>
      <c r="C812" s="291"/>
      <c r="D812" s="231"/>
      <c r="E812" s="289"/>
      <c r="F812" s="231"/>
      <c r="G812" s="231"/>
      <c r="H812" s="290"/>
      <c r="I812" s="290"/>
      <c r="J812" s="265"/>
      <c r="K812" s="303"/>
      <c r="L812" s="265"/>
      <c r="M812" s="96"/>
      <c r="N812" s="303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  <c r="AA812" s="231"/>
      <c r="AB812" s="231"/>
      <c r="AC812" s="231"/>
      <c r="AD812" s="231"/>
      <c r="AE812" s="231"/>
      <c r="AF812" s="231"/>
    </row>
    <row r="813" spans="1:32" ht="17.399999999999999">
      <c r="A813" s="228"/>
      <c r="B813" s="231"/>
      <c r="C813" s="291"/>
      <c r="D813" s="231"/>
      <c r="E813" s="289"/>
      <c r="F813" s="231"/>
      <c r="G813" s="231"/>
      <c r="H813" s="290"/>
      <c r="I813" s="290"/>
      <c r="J813" s="265"/>
      <c r="K813" s="303"/>
      <c r="L813" s="265"/>
      <c r="M813" s="96"/>
      <c r="N813" s="303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  <c r="AA813" s="231"/>
      <c r="AB813" s="231"/>
      <c r="AC813" s="231"/>
      <c r="AD813" s="231"/>
      <c r="AE813" s="231"/>
      <c r="AF813" s="231"/>
    </row>
    <row r="814" spans="1:32" ht="17.399999999999999">
      <c r="A814" s="228"/>
      <c r="B814" s="231"/>
      <c r="C814" s="291"/>
      <c r="D814" s="231"/>
      <c r="E814" s="289"/>
      <c r="F814" s="231"/>
      <c r="G814" s="231"/>
      <c r="H814" s="290"/>
      <c r="I814" s="290"/>
      <c r="J814" s="265"/>
      <c r="K814" s="303"/>
      <c r="L814" s="265"/>
      <c r="M814" s="96"/>
      <c r="N814" s="303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  <c r="AA814" s="231"/>
      <c r="AB814" s="231"/>
      <c r="AC814" s="231"/>
      <c r="AD814" s="231"/>
      <c r="AE814" s="231"/>
      <c r="AF814" s="231"/>
    </row>
    <row r="815" spans="1:32" ht="17.399999999999999">
      <c r="A815" s="228"/>
      <c r="B815" s="231"/>
      <c r="C815" s="291"/>
      <c r="D815" s="231"/>
      <c r="E815" s="289"/>
      <c r="F815" s="231"/>
      <c r="G815" s="231"/>
      <c r="H815" s="290"/>
      <c r="I815" s="290"/>
      <c r="J815" s="265"/>
      <c r="K815" s="303"/>
      <c r="L815" s="265"/>
      <c r="M815" s="96"/>
      <c r="N815" s="303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  <c r="AA815" s="231"/>
      <c r="AB815" s="231"/>
      <c r="AC815" s="231"/>
      <c r="AD815" s="231"/>
      <c r="AE815" s="231"/>
      <c r="AF815" s="231"/>
    </row>
    <row r="816" spans="1:32" ht="17.399999999999999">
      <c r="A816" s="228"/>
      <c r="B816" s="231"/>
      <c r="C816" s="291"/>
      <c r="D816" s="231"/>
      <c r="E816" s="289"/>
      <c r="F816" s="231"/>
      <c r="G816" s="231"/>
      <c r="H816" s="290"/>
      <c r="I816" s="290"/>
      <c r="J816" s="265"/>
      <c r="K816" s="303"/>
      <c r="L816" s="265"/>
      <c r="M816" s="96"/>
      <c r="N816" s="303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  <c r="AA816" s="231"/>
      <c r="AB816" s="231"/>
      <c r="AC816" s="231"/>
      <c r="AD816" s="231"/>
      <c r="AE816" s="231"/>
      <c r="AF816" s="231"/>
    </row>
    <row r="817" spans="1:32" ht="17.399999999999999">
      <c r="A817" s="228"/>
      <c r="B817" s="231"/>
      <c r="C817" s="291"/>
      <c r="D817" s="231"/>
      <c r="E817" s="289"/>
      <c r="F817" s="231"/>
      <c r="G817" s="231"/>
      <c r="H817" s="290"/>
      <c r="I817" s="290"/>
      <c r="J817" s="265"/>
      <c r="K817" s="303"/>
      <c r="L817" s="265"/>
      <c r="M817" s="96"/>
      <c r="N817" s="303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  <c r="AA817" s="231"/>
      <c r="AB817" s="231"/>
      <c r="AC817" s="231"/>
      <c r="AD817" s="231"/>
      <c r="AE817" s="231"/>
      <c r="AF817" s="231"/>
    </row>
    <row r="818" spans="1:32" ht="17.399999999999999">
      <c r="A818" s="228"/>
      <c r="B818" s="231"/>
      <c r="C818" s="291"/>
      <c r="D818" s="231"/>
      <c r="E818" s="289"/>
      <c r="F818" s="231"/>
      <c r="G818" s="231"/>
      <c r="H818" s="290"/>
      <c r="I818" s="290"/>
      <c r="J818" s="265"/>
      <c r="K818" s="303"/>
      <c r="L818" s="265"/>
      <c r="M818" s="96"/>
      <c r="N818" s="303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  <c r="AA818" s="231"/>
      <c r="AB818" s="231"/>
      <c r="AC818" s="231"/>
      <c r="AD818" s="231"/>
      <c r="AE818" s="231"/>
      <c r="AF818" s="231"/>
    </row>
    <row r="819" spans="1:32" ht="17.399999999999999">
      <c r="A819" s="228"/>
      <c r="B819" s="231"/>
      <c r="C819" s="291"/>
      <c r="D819" s="231"/>
      <c r="E819" s="289"/>
      <c r="F819" s="231"/>
      <c r="G819" s="231"/>
      <c r="H819" s="290"/>
      <c r="I819" s="290"/>
      <c r="J819" s="265"/>
      <c r="K819" s="303"/>
      <c r="L819" s="265"/>
      <c r="M819" s="96"/>
      <c r="N819" s="303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  <c r="AA819" s="231"/>
      <c r="AB819" s="231"/>
      <c r="AC819" s="231"/>
      <c r="AD819" s="231"/>
      <c r="AE819" s="231"/>
      <c r="AF819" s="231"/>
    </row>
    <row r="820" spans="1:32" ht="17.399999999999999">
      <c r="A820" s="228"/>
      <c r="B820" s="231"/>
      <c r="C820" s="291"/>
      <c r="D820" s="231"/>
      <c r="E820" s="289"/>
      <c r="F820" s="231"/>
      <c r="G820" s="231"/>
      <c r="H820" s="290"/>
      <c r="I820" s="290"/>
      <c r="J820" s="265"/>
      <c r="K820" s="303"/>
      <c r="L820" s="265"/>
      <c r="M820" s="96"/>
      <c r="N820" s="303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  <c r="AA820" s="231"/>
      <c r="AB820" s="231"/>
      <c r="AC820" s="231"/>
      <c r="AD820" s="231"/>
      <c r="AE820" s="231"/>
      <c r="AF820" s="231"/>
    </row>
    <row r="821" spans="1:32" ht="17.399999999999999">
      <c r="A821" s="228"/>
      <c r="B821" s="231"/>
      <c r="C821" s="291"/>
      <c r="D821" s="231"/>
      <c r="E821" s="289"/>
      <c r="F821" s="231"/>
      <c r="G821" s="231"/>
      <c r="H821" s="290"/>
      <c r="I821" s="290"/>
      <c r="J821" s="265"/>
      <c r="K821" s="303"/>
      <c r="L821" s="265"/>
      <c r="M821" s="96"/>
      <c r="N821" s="303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  <c r="AA821" s="231"/>
      <c r="AB821" s="231"/>
      <c r="AC821" s="231"/>
      <c r="AD821" s="231"/>
      <c r="AE821" s="231"/>
      <c r="AF821" s="231"/>
    </row>
    <row r="822" spans="1:32" ht="17.399999999999999">
      <c r="A822" s="228"/>
      <c r="B822" s="231"/>
      <c r="C822" s="291"/>
      <c r="D822" s="231"/>
      <c r="E822" s="289"/>
      <c r="F822" s="231"/>
      <c r="G822" s="231"/>
      <c r="H822" s="290"/>
      <c r="I822" s="290"/>
      <c r="J822" s="265"/>
      <c r="K822" s="303"/>
      <c r="L822" s="265"/>
      <c r="M822" s="96"/>
      <c r="N822" s="303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  <c r="AA822" s="231"/>
      <c r="AB822" s="231"/>
      <c r="AC822" s="231"/>
      <c r="AD822" s="231"/>
      <c r="AE822" s="231"/>
      <c r="AF822" s="231"/>
    </row>
    <row r="823" spans="1:32" ht="17.399999999999999">
      <c r="A823" s="228"/>
      <c r="B823" s="231"/>
      <c r="C823" s="291"/>
      <c r="D823" s="231"/>
      <c r="E823" s="289"/>
      <c r="F823" s="231"/>
      <c r="G823" s="231"/>
      <c r="H823" s="290"/>
      <c r="I823" s="290"/>
      <c r="J823" s="265"/>
      <c r="K823" s="303"/>
      <c r="L823" s="265"/>
      <c r="M823" s="96"/>
      <c r="N823" s="303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  <c r="AA823" s="231"/>
      <c r="AB823" s="231"/>
      <c r="AC823" s="231"/>
      <c r="AD823" s="231"/>
      <c r="AE823" s="231"/>
      <c r="AF823" s="231"/>
    </row>
    <row r="824" spans="1:32" ht="17.399999999999999">
      <c r="A824" s="228"/>
      <c r="B824" s="231"/>
      <c r="C824" s="291"/>
      <c r="D824" s="231"/>
      <c r="E824" s="289"/>
      <c r="F824" s="231"/>
      <c r="G824" s="231"/>
      <c r="H824" s="290"/>
      <c r="I824" s="290"/>
      <c r="J824" s="265"/>
      <c r="K824" s="303"/>
      <c r="L824" s="265"/>
      <c r="M824" s="96"/>
      <c r="N824" s="303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  <c r="AA824" s="231"/>
      <c r="AB824" s="231"/>
      <c r="AC824" s="231"/>
      <c r="AD824" s="231"/>
      <c r="AE824" s="231"/>
      <c r="AF824" s="231"/>
    </row>
    <row r="825" spans="1:32" ht="17.399999999999999">
      <c r="A825" s="228"/>
      <c r="B825" s="231"/>
      <c r="C825" s="291"/>
      <c r="D825" s="231"/>
      <c r="E825" s="289"/>
      <c r="F825" s="231"/>
      <c r="G825" s="231"/>
      <c r="H825" s="290"/>
      <c r="I825" s="290"/>
      <c r="J825" s="265"/>
      <c r="K825" s="303"/>
      <c r="L825" s="265"/>
      <c r="M825" s="96"/>
      <c r="N825" s="303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  <c r="AA825" s="231"/>
      <c r="AB825" s="231"/>
      <c r="AC825" s="231"/>
      <c r="AD825" s="231"/>
      <c r="AE825" s="231"/>
      <c r="AF825" s="231"/>
    </row>
    <row r="826" spans="1:32" ht="17.399999999999999">
      <c r="A826" s="228"/>
      <c r="B826" s="231"/>
      <c r="C826" s="291"/>
      <c r="D826" s="231"/>
      <c r="E826" s="289"/>
      <c r="F826" s="231"/>
      <c r="G826" s="231"/>
      <c r="H826" s="290"/>
      <c r="I826" s="290"/>
      <c r="J826" s="265"/>
      <c r="K826" s="303"/>
      <c r="L826" s="265"/>
      <c r="M826" s="96"/>
      <c r="N826" s="303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  <c r="AA826" s="231"/>
      <c r="AB826" s="231"/>
      <c r="AC826" s="231"/>
      <c r="AD826" s="231"/>
      <c r="AE826" s="231"/>
      <c r="AF826" s="231"/>
    </row>
    <row r="827" spans="1:32" ht="17.399999999999999">
      <c r="A827" s="228"/>
      <c r="B827" s="231"/>
      <c r="C827" s="291"/>
      <c r="D827" s="231"/>
      <c r="E827" s="289"/>
      <c r="F827" s="231"/>
      <c r="G827" s="231"/>
      <c r="H827" s="290"/>
      <c r="I827" s="290"/>
      <c r="J827" s="265"/>
      <c r="K827" s="303"/>
      <c r="L827" s="265"/>
      <c r="M827" s="96"/>
      <c r="N827" s="303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  <c r="AA827" s="231"/>
      <c r="AB827" s="231"/>
      <c r="AC827" s="231"/>
      <c r="AD827" s="231"/>
      <c r="AE827" s="231"/>
      <c r="AF827" s="231"/>
    </row>
    <row r="828" spans="1:32" ht="17.399999999999999">
      <c r="A828" s="228"/>
      <c r="B828" s="231"/>
      <c r="C828" s="291"/>
      <c r="D828" s="231"/>
      <c r="E828" s="289"/>
      <c r="F828" s="231"/>
      <c r="G828" s="231"/>
      <c r="H828" s="290"/>
      <c r="I828" s="290"/>
      <c r="J828" s="265"/>
      <c r="K828" s="303"/>
      <c r="L828" s="265"/>
      <c r="M828" s="96"/>
      <c r="N828" s="303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  <c r="AA828" s="231"/>
      <c r="AB828" s="231"/>
      <c r="AC828" s="231"/>
      <c r="AD828" s="231"/>
      <c r="AE828" s="231"/>
      <c r="AF828" s="231"/>
    </row>
    <row r="829" spans="1:32" ht="17.399999999999999">
      <c r="A829" s="228"/>
      <c r="B829" s="231"/>
      <c r="C829" s="291"/>
      <c r="D829" s="231"/>
      <c r="E829" s="289"/>
      <c r="F829" s="231"/>
      <c r="G829" s="231"/>
      <c r="H829" s="290"/>
      <c r="I829" s="290"/>
      <c r="J829" s="265"/>
      <c r="K829" s="303"/>
      <c r="L829" s="265"/>
      <c r="M829" s="96"/>
      <c r="N829" s="303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  <c r="AA829" s="231"/>
      <c r="AB829" s="231"/>
      <c r="AC829" s="231"/>
      <c r="AD829" s="231"/>
      <c r="AE829" s="231"/>
      <c r="AF829" s="231"/>
    </row>
    <row r="830" spans="1:32" ht="17.399999999999999">
      <c r="A830" s="228"/>
      <c r="B830" s="231"/>
      <c r="C830" s="291"/>
      <c r="D830" s="231"/>
      <c r="E830" s="289"/>
      <c r="F830" s="231"/>
      <c r="G830" s="231"/>
      <c r="H830" s="290"/>
      <c r="I830" s="290"/>
      <c r="J830" s="265"/>
      <c r="K830" s="303"/>
      <c r="L830" s="265"/>
      <c r="M830" s="96"/>
      <c r="N830" s="303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  <c r="AA830" s="231"/>
      <c r="AB830" s="231"/>
      <c r="AC830" s="231"/>
      <c r="AD830" s="231"/>
      <c r="AE830" s="231"/>
      <c r="AF830" s="231"/>
    </row>
    <row r="831" spans="1:32" ht="17.399999999999999">
      <c r="A831" s="228"/>
      <c r="B831" s="231"/>
      <c r="C831" s="291"/>
      <c r="D831" s="231"/>
      <c r="E831" s="289"/>
      <c r="F831" s="231"/>
      <c r="G831" s="231"/>
      <c r="H831" s="290"/>
      <c r="I831" s="290"/>
      <c r="J831" s="265"/>
      <c r="K831" s="303"/>
      <c r="L831" s="265"/>
      <c r="M831" s="96"/>
      <c r="N831" s="303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  <c r="AA831" s="231"/>
      <c r="AB831" s="231"/>
      <c r="AC831" s="231"/>
      <c r="AD831" s="231"/>
      <c r="AE831" s="231"/>
      <c r="AF831" s="231"/>
    </row>
    <row r="832" spans="1:32" ht="17.399999999999999">
      <c r="A832" s="228"/>
      <c r="B832" s="231"/>
      <c r="C832" s="291"/>
      <c r="D832" s="231"/>
      <c r="E832" s="289"/>
      <c r="F832" s="231"/>
      <c r="G832" s="231"/>
      <c r="H832" s="290"/>
      <c r="I832" s="290"/>
      <c r="J832" s="265"/>
      <c r="K832" s="303"/>
      <c r="L832" s="265"/>
      <c r="M832" s="96"/>
      <c r="N832" s="303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  <c r="AA832" s="231"/>
      <c r="AB832" s="231"/>
      <c r="AC832" s="231"/>
      <c r="AD832" s="231"/>
      <c r="AE832" s="231"/>
      <c r="AF832" s="231"/>
    </row>
    <row r="833" spans="1:32" ht="17.399999999999999">
      <c r="A833" s="228"/>
      <c r="B833" s="231"/>
      <c r="C833" s="291"/>
      <c r="D833" s="231"/>
      <c r="E833" s="289"/>
      <c r="F833" s="231"/>
      <c r="G833" s="231"/>
      <c r="H833" s="290"/>
      <c r="I833" s="290"/>
      <c r="J833" s="265"/>
      <c r="K833" s="303"/>
      <c r="L833" s="265"/>
      <c r="M833" s="96"/>
      <c r="N833" s="303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  <c r="AA833" s="231"/>
      <c r="AB833" s="231"/>
      <c r="AC833" s="231"/>
      <c r="AD833" s="231"/>
      <c r="AE833" s="231"/>
      <c r="AF833" s="231"/>
    </row>
    <row r="834" spans="1:32" ht="17.399999999999999">
      <c r="A834" s="228"/>
      <c r="B834" s="231"/>
      <c r="C834" s="291"/>
      <c r="D834" s="231"/>
      <c r="E834" s="289"/>
      <c r="F834" s="231"/>
      <c r="G834" s="231"/>
      <c r="H834" s="290"/>
      <c r="I834" s="290"/>
      <c r="J834" s="265"/>
      <c r="K834" s="303"/>
      <c r="L834" s="265"/>
      <c r="M834" s="96"/>
      <c r="N834" s="303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  <c r="AA834" s="231"/>
      <c r="AB834" s="231"/>
      <c r="AC834" s="231"/>
      <c r="AD834" s="231"/>
      <c r="AE834" s="231"/>
      <c r="AF834" s="231"/>
    </row>
    <row r="835" spans="1:32" ht="17.399999999999999">
      <c r="A835" s="228"/>
      <c r="B835" s="231"/>
      <c r="C835" s="291"/>
      <c r="D835" s="231"/>
      <c r="E835" s="289"/>
      <c r="F835" s="231"/>
      <c r="G835" s="231"/>
      <c r="H835" s="290"/>
      <c r="I835" s="290"/>
      <c r="J835" s="265"/>
      <c r="K835" s="303"/>
      <c r="L835" s="265"/>
      <c r="M835" s="96"/>
      <c r="N835" s="303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  <c r="AA835" s="231"/>
      <c r="AB835" s="231"/>
      <c r="AC835" s="231"/>
      <c r="AD835" s="231"/>
      <c r="AE835" s="231"/>
      <c r="AF835" s="231"/>
    </row>
    <row r="836" spans="1:32" ht="17.399999999999999">
      <c r="A836" s="228"/>
      <c r="B836" s="231"/>
      <c r="C836" s="291"/>
      <c r="D836" s="231"/>
      <c r="E836" s="289"/>
      <c r="F836" s="231"/>
      <c r="G836" s="231"/>
      <c r="H836" s="290"/>
      <c r="I836" s="290"/>
      <c r="J836" s="265"/>
      <c r="K836" s="303"/>
      <c r="L836" s="265"/>
      <c r="M836" s="96"/>
      <c r="N836" s="303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  <c r="AA836" s="231"/>
      <c r="AB836" s="231"/>
      <c r="AC836" s="231"/>
      <c r="AD836" s="231"/>
      <c r="AE836" s="231"/>
      <c r="AF836" s="231"/>
    </row>
    <row r="837" spans="1:32" ht="17.399999999999999">
      <c r="A837" s="228"/>
      <c r="B837" s="231"/>
      <c r="C837" s="291"/>
      <c r="D837" s="231"/>
      <c r="E837" s="289"/>
      <c r="F837" s="231"/>
      <c r="G837" s="231"/>
      <c r="H837" s="290"/>
      <c r="I837" s="290"/>
      <c r="J837" s="265"/>
      <c r="K837" s="303"/>
      <c r="L837" s="265"/>
      <c r="M837" s="96"/>
      <c r="N837" s="303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  <c r="AA837" s="231"/>
      <c r="AB837" s="231"/>
      <c r="AC837" s="231"/>
      <c r="AD837" s="231"/>
      <c r="AE837" s="231"/>
      <c r="AF837" s="231"/>
    </row>
    <row r="838" spans="1:32" ht="17.399999999999999">
      <c r="A838" s="228"/>
      <c r="B838" s="231"/>
      <c r="C838" s="291"/>
      <c r="D838" s="231"/>
      <c r="E838" s="289"/>
      <c r="F838" s="231"/>
      <c r="G838" s="231"/>
      <c r="H838" s="290"/>
      <c r="I838" s="290"/>
      <c r="J838" s="265"/>
      <c r="K838" s="303"/>
      <c r="L838" s="265"/>
      <c r="M838" s="96"/>
      <c r="N838" s="303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  <c r="AA838" s="231"/>
      <c r="AB838" s="231"/>
      <c r="AC838" s="231"/>
      <c r="AD838" s="231"/>
      <c r="AE838" s="231"/>
      <c r="AF838" s="231"/>
    </row>
    <row r="839" spans="1:32" ht="17.399999999999999">
      <c r="A839" s="228"/>
      <c r="B839" s="231"/>
      <c r="C839" s="291"/>
      <c r="D839" s="231"/>
      <c r="E839" s="289"/>
      <c r="F839" s="231"/>
      <c r="G839" s="231"/>
      <c r="H839" s="290"/>
      <c r="I839" s="290"/>
      <c r="J839" s="265"/>
      <c r="K839" s="303"/>
      <c r="L839" s="265"/>
      <c r="M839" s="96"/>
      <c r="N839" s="303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  <c r="AA839" s="231"/>
      <c r="AB839" s="231"/>
      <c r="AC839" s="231"/>
      <c r="AD839" s="231"/>
      <c r="AE839" s="231"/>
      <c r="AF839" s="231"/>
    </row>
    <row r="840" spans="1:32" ht="17.399999999999999">
      <c r="A840" s="228"/>
      <c r="B840" s="231"/>
      <c r="C840" s="291"/>
      <c r="D840" s="231"/>
      <c r="E840" s="289"/>
      <c r="F840" s="231"/>
      <c r="G840" s="231"/>
      <c r="H840" s="290"/>
      <c r="I840" s="290"/>
      <c r="J840" s="265"/>
      <c r="K840" s="303"/>
      <c r="L840" s="265"/>
      <c r="M840" s="96"/>
      <c r="N840" s="303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  <c r="AA840" s="231"/>
      <c r="AB840" s="231"/>
      <c r="AC840" s="231"/>
      <c r="AD840" s="231"/>
      <c r="AE840" s="231"/>
      <c r="AF840" s="231"/>
    </row>
    <row r="841" spans="1:32" ht="17.399999999999999">
      <c r="A841" s="228"/>
      <c r="B841" s="231"/>
      <c r="C841" s="291"/>
      <c r="D841" s="231"/>
      <c r="E841" s="289"/>
      <c r="F841" s="231"/>
      <c r="G841" s="231"/>
      <c r="H841" s="290"/>
      <c r="I841" s="290"/>
      <c r="J841" s="265"/>
      <c r="K841" s="303"/>
      <c r="L841" s="265"/>
      <c r="M841" s="96"/>
      <c r="N841" s="303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  <c r="AA841" s="231"/>
      <c r="AB841" s="231"/>
      <c r="AC841" s="231"/>
      <c r="AD841" s="231"/>
      <c r="AE841" s="231"/>
      <c r="AF841" s="231"/>
    </row>
    <row r="842" spans="1:32" ht="17.399999999999999">
      <c r="A842" s="228"/>
      <c r="B842" s="231"/>
      <c r="C842" s="291"/>
      <c r="D842" s="231"/>
      <c r="E842" s="289"/>
      <c r="F842" s="231"/>
      <c r="G842" s="231"/>
      <c r="H842" s="290"/>
      <c r="I842" s="290"/>
      <c r="J842" s="265"/>
      <c r="K842" s="303"/>
      <c r="L842" s="265"/>
      <c r="M842" s="96"/>
      <c r="N842" s="303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  <c r="AA842" s="231"/>
      <c r="AB842" s="231"/>
      <c r="AC842" s="231"/>
      <c r="AD842" s="231"/>
      <c r="AE842" s="231"/>
      <c r="AF842" s="231"/>
    </row>
    <row r="843" spans="1:32" ht="17.399999999999999">
      <c r="A843" s="228"/>
      <c r="B843" s="231"/>
      <c r="C843" s="291"/>
      <c r="D843" s="231"/>
      <c r="E843" s="289"/>
      <c r="F843" s="231"/>
      <c r="G843" s="231"/>
      <c r="H843" s="290"/>
      <c r="I843" s="290"/>
      <c r="J843" s="265"/>
      <c r="K843" s="303"/>
      <c r="L843" s="265"/>
      <c r="M843" s="96"/>
      <c r="N843" s="303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  <c r="AA843" s="231"/>
      <c r="AB843" s="231"/>
      <c r="AC843" s="231"/>
      <c r="AD843" s="231"/>
      <c r="AE843" s="231"/>
      <c r="AF843" s="231"/>
    </row>
    <row r="844" spans="1:32" ht="17.399999999999999">
      <c r="A844" s="228"/>
      <c r="B844" s="231"/>
      <c r="C844" s="291"/>
      <c r="D844" s="231"/>
      <c r="E844" s="289"/>
      <c r="F844" s="231"/>
      <c r="G844" s="231"/>
      <c r="H844" s="290"/>
      <c r="I844" s="290"/>
      <c r="J844" s="265"/>
      <c r="K844" s="303"/>
      <c r="L844" s="265"/>
      <c r="M844" s="96"/>
      <c r="N844" s="303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  <c r="AA844" s="231"/>
      <c r="AB844" s="231"/>
      <c r="AC844" s="231"/>
      <c r="AD844" s="231"/>
      <c r="AE844" s="231"/>
      <c r="AF844" s="231"/>
    </row>
    <row r="845" spans="1:32" ht="17.399999999999999">
      <c r="A845" s="228"/>
      <c r="B845" s="231"/>
      <c r="C845" s="291"/>
      <c r="D845" s="231"/>
      <c r="E845" s="289"/>
      <c r="F845" s="231"/>
      <c r="G845" s="231"/>
      <c r="H845" s="290"/>
      <c r="I845" s="290"/>
      <c r="J845" s="265"/>
      <c r="K845" s="303"/>
      <c r="L845" s="265"/>
      <c r="M845" s="96"/>
      <c r="N845" s="303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  <c r="AA845" s="231"/>
      <c r="AB845" s="231"/>
      <c r="AC845" s="231"/>
      <c r="AD845" s="231"/>
      <c r="AE845" s="231"/>
      <c r="AF845" s="231"/>
    </row>
    <row r="846" spans="1:32" ht="17.399999999999999">
      <c r="A846" s="228"/>
      <c r="B846" s="231"/>
      <c r="C846" s="291"/>
      <c r="D846" s="231"/>
      <c r="E846" s="289"/>
      <c r="F846" s="231"/>
      <c r="G846" s="231"/>
      <c r="H846" s="290"/>
      <c r="I846" s="290"/>
      <c r="J846" s="265"/>
      <c r="K846" s="303"/>
      <c r="L846" s="265"/>
      <c r="M846" s="96"/>
      <c r="N846" s="303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  <c r="AA846" s="231"/>
      <c r="AB846" s="231"/>
      <c r="AC846" s="231"/>
      <c r="AD846" s="231"/>
      <c r="AE846" s="231"/>
      <c r="AF846" s="231"/>
    </row>
    <row r="847" spans="1:32" ht="17.399999999999999">
      <c r="A847" s="228"/>
      <c r="B847" s="231"/>
      <c r="C847" s="291"/>
      <c r="D847" s="231"/>
      <c r="E847" s="289"/>
      <c r="F847" s="231"/>
      <c r="G847" s="231"/>
      <c r="H847" s="290"/>
      <c r="I847" s="290"/>
      <c r="J847" s="265"/>
      <c r="K847" s="303"/>
      <c r="L847" s="265"/>
      <c r="M847" s="96"/>
      <c r="N847" s="303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  <c r="AA847" s="231"/>
      <c r="AB847" s="231"/>
      <c r="AC847" s="231"/>
      <c r="AD847" s="231"/>
      <c r="AE847" s="231"/>
      <c r="AF847" s="231"/>
    </row>
    <row r="848" spans="1:32" ht="17.399999999999999">
      <c r="A848" s="228"/>
      <c r="B848" s="231"/>
      <c r="C848" s="291"/>
      <c r="D848" s="231"/>
      <c r="E848" s="289"/>
      <c r="F848" s="231"/>
      <c r="G848" s="231"/>
      <c r="H848" s="290"/>
      <c r="I848" s="290"/>
      <c r="J848" s="265"/>
      <c r="K848" s="303"/>
      <c r="L848" s="265"/>
      <c r="M848" s="96"/>
      <c r="N848" s="303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  <c r="AA848" s="231"/>
      <c r="AB848" s="231"/>
      <c r="AC848" s="231"/>
      <c r="AD848" s="231"/>
      <c r="AE848" s="231"/>
      <c r="AF848" s="231"/>
    </row>
    <row r="849" spans="1:32" ht="17.399999999999999">
      <c r="A849" s="228"/>
      <c r="B849" s="231"/>
      <c r="C849" s="291"/>
      <c r="D849" s="231"/>
      <c r="E849" s="289"/>
      <c r="F849" s="231"/>
      <c r="G849" s="231"/>
      <c r="H849" s="290"/>
      <c r="I849" s="290"/>
      <c r="J849" s="265"/>
      <c r="K849" s="303"/>
      <c r="L849" s="265"/>
      <c r="M849" s="96"/>
      <c r="N849" s="303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  <c r="AA849" s="231"/>
      <c r="AB849" s="231"/>
      <c r="AC849" s="231"/>
      <c r="AD849" s="231"/>
      <c r="AE849" s="231"/>
      <c r="AF849" s="231"/>
    </row>
    <row r="850" spans="1:32" ht="17.399999999999999">
      <c r="A850" s="228"/>
      <c r="B850" s="231"/>
      <c r="C850" s="291"/>
      <c r="D850" s="231"/>
      <c r="E850" s="289"/>
      <c r="F850" s="231"/>
      <c r="G850" s="231"/>
      <c r="H850" s="290"/>
      <c r="I850" s="290"/>
      <c r="J850" s="265"/>
      <c r="K850" s="303"/>
      <c r="L850" s="265"/>
      <c r="M850" s="96"/>
      <c r="N850" s="303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  <c r="AA850" s="231"/>
      <c r="AB850" s="231"/>
      <c r="AC850" s="231"/>
      <c r="AD850" s="231"/>
      <c r="AE850" s="231"/>
      <c r="AF850" s="231"/>
    </row>
    <row r="851" spans="1:32" ht="17.399999999999999">
      <c r="A851" s="228"/>
      <c r="B851" s="231"/>
      <c r="C851" s="291"/>
      <c r="D851" s="231"/>
      <c r="E851" s="289"/>
      <c r="F851" s="231"/>
      <c r="G851" s="231"/>
      <c r="H851" s="290"/>
      <c r="I851" s="290"/>
      <c r="J851" s="265"/>
      <c r="K851" s="303"/>
      <c r="L851" s="265"/>
      <c r="M851" s="96"/>
      <c r="N851" s="303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  <c r="AA851" s="231"/>
      <c r="AB851" s="231"/>
      <c r="AC851" s="231"/>
      <c r="AD851" s="231"/>
      <c r="AE851" s="231"/>
      <c r="AF851" s="231"/>
    </row>
    <row r="852" spans="1:32" ht="17.399999999999999">
      <c r="A852" s="228"/>
      <c r="B852" s="231"/>
      <c r="C852" s="291"/>
      <c r="D852" s="231"/>
      <c r="E852" s="289"/>
      <c r="F852" s="231"/>
      <c r="G852" s="231"/>
      <c r="H852" s="290"/>
      <c r="I852" s="290"/>
      <c r="J852" s="265"/>
      <c r="K852" s="303"/>
      <c r="L852" s="265"/>
      <c r="M852" s="96"/>
      <c r="N852" s="303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  <c r="AA852" s="231"/>
      <c r="AB852" s="231"/>
      <c r="AC852" s="231"/>
      <c r="AD852" s="231"/>
      <c r="AE852" s="231"/>
      <c r="AF852" s="231"/>
    </row>
    <row r="853" spans="1:32" ht="17.399999999999999">
      <c r="A853" s="228"/>
      <c r="B853" s="231"/>
      <c r="C853" s="291"/>
      <c r="D853" s="231"/>
      <c r="E853" s="289"/>
      <c r="F853" s="231"/>
      <c r="G853" s="231"/>
      <c r="H853" s="290"/>
      <c r="I853" s="290"/>
      <c r="J853" s="265"/>
      <c r="K853" s="303"/>
      <c r="L853" s="265"/>
      <c r="M853" s="96"/>
      <c r="N853" s="303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  <c r="AA853" s="231"/>
      <c r="AB853" s="231"/>
      <c r="AC853" s="231"/>
      <c r="AD853" s="231"/>
      <c r="AE853" s="231"/>
      <c r="AF853" s="231"/>
    </row>
    <row r="854" spans="1:32" ht="17.399999999999999">
      <c r="A854" s="228"/>
      <c r="B854" s="231"/>
      <c r="C854" s="291"/>
      <c r="D854" s="231"/>
      <c r="E854" s="289"/>
      <c r="F854" s="231"/>
      <c r="G854" s="231"/>
      <c r="H854" s="290"/>
      <c r="I854" s="290"/>
      <c r="J854" s="265"/>
      <c r="K854" s="303"/>
      <c r="L854" s="265"/>
      <c r="M854" s="96"/>
      <c r="N854" s="303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  <c r="AA854" s="231"/>
      <c r="AB854" s="231"/>
      <c r="AC854" s="231"/>
      <c r="AD854" s="231"/>
      <c r="AE854" s="231"/>
      <c r="AF854" s="231"/>
    </row>
    <row r="855" spans="1:32" ht="17.399999999999999">
      <c r="A855" s="228"/>
      <c r="B855" s="231"/>
      <c r="C855" s="291"/>
      <c r="D855" s="231"/>
      <c r="E855" s="289"/>
      <c r="F855" s="231"/>
      <c r="G855" s="231"/>
      <c r="H855" s="290"/>
      <c r="I855" s="290"/>
      <c r="J855" s="265"/>
      <c r="K855" s="303"/>
      <c r="L855" s="265"/>
      <c r="M855" s="96"/>
      <c r="N855" s="303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  <c r="AA855" s="231"/>
      <c r="AB855" s="231"/>
      <c r="AC855" s="231"/>
      <c r="AD855" s="231"/>
      <c r="AE855" s="231"/>
      <c r="AF855" s="231"/>
    </row>
    <row r="856" spans="1:32" ht="17.399999999999999">
      <c r="A856" s="228"/>
      <c r="B856" s="231"/>
      <c r="C856" s="291"/>
      <c r="D856" s="231"/>
      <c r="E856" s="289"/>
      <c r="F856" s="231"/>
      <c r="G856" s="231"/>
      <c r="H856" s="290"/>
      <c r="I856" s="290"/>
      <c r="J856" s="265"/>
      <c r="K856" s="303"/>
      <c r="L856" s="265"/>
      <c r="M856" s="96"/>
      <c r="N856" s="303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  <c r="AA856" s="231"/>
      <c r="AB856" s="231"/>
      <c r="AC856" s="231"/>
      <c r="AD856" s="231"/>
      <c r="AE856" s="231"/>
      <c r="AF856" s="231"/>
    </row>
    <row r="857" spans="1:32" ht="17.399999999999999">
      <c r="A857" s="228"/>
      <c r="B857" s="231"/>
      <c r="C857" s="291"/>
      <c r="D857" s="231"/>
      <c r="E857" s="289"/>
      <c r="F857" s="231"/>
      <c r="G857" s="231"/>
      <c r="H857" s="290"/>
      <c r="I857" s="290"/>
      <c r="J857" s="265"/>
      <c r="K857" s="303"/>
      <c r="L857" s="265"/>
      <c r="M857" s="96"/>
      <c r="N857" s="303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  <c r="AA857" s="231"/>
      <c r="AB857" s="231"/>
      <c r="AC857" s="231"/>
      <c r="AD857" s="231"/>
      <c r="AE857" s="231"/>
      <c r="AF857" s="231"/>
    </row>
    <row r="858" spans="1:32" ht="17.399999999999999">
      <c r="A858" s="228"/>
      <c r="B858" s="231"/>
      <c r="C858" s="291"/>
      <c r="D858" s="231"/>
      <c r="E858" s="289"/>
      <c r="F858" s="231"/>
      <c r="G858" s="231"/>
      <c r="H858" s="290"/>
      <c r="I858" s="290"/>
      <c r="J858" s="265"/>
      <c r="K858" s="303"/>
      <c r="L858" s="265"/>
      <c r="M858" s="96"/>
      <c r="N858" s="303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  <c r="AA858" s="231"/>
      <c r="AB858" s="231"/>
      <c r="AC858" s="231"/>
      <c r="AD858" s="231"/>
      <c r="AE858" s="231"/>
      <c r="AF858" s="231"/>
    </row>
    <row r="859" spans="1:32" ht="17.399999999999999">
      <c r="A859" s="228"/>
      <c r="B859" s="231"/>
      <c r="C859" s="291"/>
      <c r="D859" s="231"/>
      <c r="E859" s="289"/>
      <c r="F859" s="231"/>
      <c r="G859" s="231"/>
      <c r="H859" s="290"/>
      <c r="I859" s="290"/>
      <c r="J859" s="265"/>
      <c r="K859" s="303"/>
      <c r="L859" s="265"/>
      <c r="M859" s="96"/>
      <c r="N859" s="303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  <c r="AA859" s="231"/>
      <c r="AB859" s="231"/>
      <c r="AC859" s="231"/>
      <c r="AD859" s="231"/>
      <c r="AE859" s="231"/>
      <c r="AF859" s="231"/>
    </row>
    <row r="860" spans="1:32" ht="17.399999999999999">
      <c r="A860" s="228"/>
      <c r="B860" s="231"/>
      <c r="C860" s="291"/>
      <c r="D860" s="231"/>
      <c r="E860" s="289"/>
      <c r="F860" s="231"/>
      <c r="G860" s="231"/>
      <c r="H860" s="290"/>
      <c r="I860" s="290"/>
      <c r="J860" s="265"/>
      <c r="K860" s="303"/>
      <c r="L860" s="265"/>
      <c r="M860" s="96"/>
      <c r="N860" s="303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  <c r="AA860" s="231"/>
      <c r="AB860" s="231"/>
      <c r="AC860" s="231"/>
      <c r="AD860" s="231"/>
      <c r="AE860" s="231"/>
      <c r="AF860" s="231"/>
    </row>
    <row r="861" spans="1:32" ht="17.399999999999999">
      <c r="A861" s="228"/>
      <c r="B861" s="231"/>
      <c r="C861" s="291"/>
      <c r="D861" s="231"/>
      <c r="E861" s="289"/>
      <c r="F861" s="231"/>
      <c r="G861" s="231"/>
      <c r="H861" s="290"/>
      <c r="I861" s="290"/>
      <c r="J861" s="265"/>
      <c r="K861" s="303"/>
      <c r="L861" s="265"/>
      <c r="M861" s="96"/>
      <c r="N861" s="303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  <c r="AA861" s="231"/>
      <c r="AB861" s="231"/>
      <c r="AC861" s="231"/>
      <c r="AD861" s="231"/>
      <c r="AE861" s="231"/>
      <c r="AF861" s="231"/>
    </row>
    <row r="862" spans="1:32" ht="17.399999999999999">
      <c r="A862" s="228"/>
      <c r="B862" s="231"/>
      <c r="C862" s="291"/>
      <c r="D862" s="231"/>
      <c r="E862" s="289"/>
      <c r="F862" s="231"/>
      <c r="G862" s="231"/>
      <c r="H862" s="290"/>
      <c r="I862" s="290"/>
      <c r="J862" s="265"/>
      <c r="K862" s="303"/>
      <c r="L862" s="265"/>
      <c r="M862" s="96"/>
      <c r="N862" s="303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  <c r="AA862" s="231"/>
      <c r="AB862" s="231"/>
      <c r="AC862" s="231"/>
      <c r="AD862" s="231"/>
      <c r="AE862" s="231"/>
      <c r="AF862" s="231"/>
    </row>
    <row r="863" spans="1:32" ht="17.399999999999999">
      <c r="A863" s="228"/>
      <c r="B863" s="231"/>
      <c r="C863" s="291"/>
      <c r="D863" s="231"/>
      <c r="E863" s="289"/>
      <c r="F863" s="231"/>
      <c r="G863" s="231"/>
      <c r="H863" s="290"/>
      <c r="I863" s="290"/>
      <c r="J863" s="265"/>
      <c r="K863" s="303"/>
      <c r="L863" s="265"/>
      <c r="M863" s="96"/>
      <c r="N863" s="303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  <c r="AA863" s="231"/>
      <c r="AB863" s="231"/>
      <c r="AC863" s="231"/>
      <c r="AD863" s="231"/>
      <c r="AE863" s="231"/>
      <c r="AF863" s="231"/>
    </row>
    <row r="864" spans="1:32" ht="17.399999999999999">
      <c r="A864" s="228"/>
      <c r="B864" s="231"/>
      <c r="C864" s="291"/>
      <c r="D864" s="231"/>
      <c r="E864" s="289"/>
      <c r="F864" s="231"/>
      <c r="G864" s="231"/>
      <c r="H864" s="290"/>
      <c r="I864" s="290"/>
      <c r="J864" s="265"/>
      <c r="K864" s="303"/>
      <c r="L864" s="265"/>
      <c r="M864" s="96"/>
      <c r="N864" s="303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  <c r="AA864" s="231"/>
      <c r="AB864" s="231"/>
      <c r="AC864" s="231"/>
      <c r="AD864" s="231"/>
      <c r="AE864" s="231"/>
      <c r="AF864" s="231"/>
    </row>
    <row r="865" spans="1:32" ht="17.399999999999999">
      <c r="A865" s="228"/>
      <c r="B865" s="231"/>
      <c r="C865" s="291"/>
      <c r="D865" s="231"/>
      <c r="E865" s="289"/>
      <c r="F865" s="231"/>
      <c r="G865" s="231"/>
      <c r="H865" s="290"/>
      <c r="I865" s="290"/>
      <c r="J865" s="265"/>
      <c r="K865" s="303"/>
      <c r="L865" s="265"/>
      <c r="M865" s="96"/>
      <c r="N865" s="303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  <c r="AA865" s="231"/>
      <c r="AB865" s="231"/>
      <c r="AC865" s="231"/>
      <c r="AD865" s="231"/>
      <c r="AE865" s="231"/>
      <c r="AF865" s="231"/>
    </row>
    <row r="866" spans="1:32" ht="17.399999999999999">
      <c r="A866" s="228"/>
      <c r="B866" s="231"/>
      <c r="C866" s="291"/>
      <c r="D866" s="231"/>
      <c r="E866" s="289"/>
      <c r="F866" s="231"/>
      <c r="G866" s="231"/>
      <c r="H866" s="290"/>
      <c r="I866" s="290"/>
      <c r="J866" s="265"/>
      <c r="K866" s="303"/>
      <c r="L866" s="265"/>
      <c r="M866" s="96"/>
      <c r="N866" s="303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  <c r="AA866" s="231"/>
      <c r="AB866" s="231"/>
      <c r="AC866" s="231"/>
      <c r="AD866" s="231"/>
      <c r="AE866" s="231"/>
      <c r="AF866" s="231"/>
    </row>
    <row r="867" spans="1:32" ht="17.399999999999999">
      <c r="A867" s="228"/>
      <c r="B867" s="231"/>
      <c r="C867" s="291"/>
      <c r="D867" s="231"/>
      <c r="E867" s="289"/>
      <c r="F867" s="231"/>
      <c r="G867" s="231"/>
      <c r="H867" s="290"/>
      <c r="I867" s="290"/>
      <c r="J867" s="265"/>
      <c r="K867" s="303"/>
      <c r="L867" s="265"/>
      <c r="M867" s="96"/>
      <c r="N867" s="303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  <c r="AA867" s="231"/>
      <c r="AB867" s="231"/>
      <c r="AC867" s="231"/>
      <c r="AD867" s="231"/>
      <c r="AE867" s="231"/>
      <c r="AF867" s="231"/>
    </row>
    <row r="868" spans="1:32" ht="17.399999999999999">
      <c r="A868" s="228"/>
      <c r="B868" s="231"/>
      <c r="C868" s="291"/>
      <c r="D868" s="231"/>
      <c r="E868" s="289"/>
      <c r="F868" s="231"/>
      <c r="G868" s="231"/>
      <c r="H868" s="290"/>
      <c r="I868" s="290"/>
      <c r="J868" s="265"/>
      <c r="K868" s="303"/>
      <c r="L868" s="265"/>
      <c r="M868" s="96"/>
      <c r="N868" s="303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  <c r="AA868" s="231"/>
      <c r="AB868" s="231"/>
      <c r="AC868" s="231"/>
      <c r="AD868" s="231"/>
      <c r="AE868" s="231"/>
      <c r="AF868" s="231"/>
    </row>
    <row r="869" spans="1:32" ht="17.399999999999999">
      <c r="A869" s="228"/>
      <c r="B869" s="231"/>
      <c r="C869" s="291"/>
      <c r="D869" s="231"/>
      <c r="E869" s="289"/>
      <c r="F869" s="231"/>
      <c r="G869" s="231"/>
      <c r="H869" s="290"/>
      <c r="I869" s="290"/>
      <c r="J869" s="265"/>
      <c r="K869" s="303"/>
      <c r="L869" s="265"/>
      <c r="M869" s="96"/>
      <c r="N869" s="303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  <c r="AA869" s="231"/>
      <c r="AB869" s="231"/>
      <c r="AC869" s="231"/>
      <c r="AD869" s="231"/>
      <c r="AE869" s="231"/>
      <c r="AF869" s="231"/>
    </row>
    <row r="870" spans="1:32" ht="17.399999999999999">
      <c r="A870" s="228"/>
      <c r="B870" s="231"/>
      <c r="C870" s="291"/>
      <c r="D870" s="231"/>
      <c r="E870" s="289"/>
      <c r="F870" s="231"/>
      <c r="G870" s="231"/>
      <c r="H870" s="290"/>
      <c r="I870" s="290"/>
      <c r="J870" s="265"/>
      <c r="K870" s="303"/>
      <c r="L870" s="265"/>
      <c r="M870" s="96"/>
      <c r="N870" s="303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  <c r="AA870" s="231"/>
      <c r="AB870" s="231"/>
      <c r="AC870" s="231"/>
      <c r="AD870" s="231"/>
      <c r="AE870" s="231"/>
      <c r="AF870" s="231"/>
    </row>
    <row r="871" spans="1:32" ht="17.399999999999999">
      <c r="A871" s="228"/>
      <c r="B871" s="231"/>
      <c r="C871" s="291"/>
      <c r="D871" s="231"/>
      <c r="E871" s="289"/>
      <c r="F871" s="231"/>
      <c r="G871" s="231"/>
      <c r="H871" s="290"/>
      <c r="I871" s="290"/>
      <c r="J871" s="265"/>
      <c r="K871" s="303"/>
      <c r="L871" s="265"/>
      <c r="M871" s="96"/>
      <c r="N871" s="303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  <c r="AA871" s="231"/>
      <c r="AB871" s="231"/>
      <c r="AC871" s="231"/>
      <c r="AD871" s="231"/>
      <c r="AE871" s="231"/>
      <c r="AF871" s="231"/>
    </row>
    <row r="872" spans="1:32" ht="17.399999999999999">
      <c r="A872" s="228"/>
      <c r="B872" s="231"/>
      <c r="C872" s="291"/>
      <c r="D872" s="231"/>
      <c r="E872" s="289"/>
      <c r="F872" s="231"/>
      <c r="G872" s="231"/>
      <c r="H872" s="290"/>
      <c r="I872" s="290"/>
      <c r="J872" s="265"/>
      <c r="K872" s="303"/>
      <c r="L872" s="265"/>
      <c r="M872" s="96"/>
      <c r="N872" s="303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  <c r="AA872" s="231"/>
      <c r="AB872" s="231"/>
      <c r="AC872" s="231"/>
      <c r="AD872" s="231"/>
      <c r="AE872" s="231"/>
      <c r="AF872" s="231"/>
    </row>
    <row r="873" spans="1:32" ht="17.399999999999999">
      <c r="A873" s="228"/>
      <c r="B873" s="231"/>
      <c r="C873" s="291"/>
      <c r="D873" s="231"/>
      <c r="E873" s="289"/>
      <c r="F873" s="231"/>
      <c r="G873" s="231"/>
      <c r="H873" s="290"/>
      <c r="I873" s="290"/>
      <c r="J873" s="265"/>
      <c r="K873" s="303"/>
      <c r="L873" s="265"/>
      <c r="M873" s="96"/>
      <c r="N873" s="303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  <c r="AA873" s="231"/>
      <c r="AB873" s="231"/>
      <c r="AC873" s="231"/>
      <c r="AD873" s="231"/>
      <c r="AE873" s="231"/>
      <c r="AF873" s="231"/>
    </row>
    <row r="874" spans="1:32" ht="17.399999999999999">
      <c r="A874" s="228"/>
      <c r="B874" s="231"/>
      <c r="C874" s="291"/>
      <c r="D874" s="231"/>
      <c r="E874" s="289"/>
      <c r="F874" s="231"/>
      <c r="G874" s="231"/>
      <c r="H874" s="290"/>
      <c r="I874" s="290"/>
      <c r="J874" s="265"/>
      <c r="K874" s="303"/>
      <c r="L874" s="265"/>
      <c r="M874" s="96"/>
      <c r="N874" s="303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  <c r="AA874" s="231"/>
      <c r="AB874" s="231"/>
      <c r="AC874" s="231"/>
      <c r="AD874" s="231"/>
      <c r="AE874" s="231"/>
      <c r="AF874" s="231"/>
    </row>
    <row r="875" spans="1:32" ht="17.399999999999999">
      <c r="A875" s="228"/>
      <c r="B875" s="231"/>
      <c r="C875" s="291"/>
      <c r="D875" s="231"/>
      <c r="E875" s="289"/>
      <c r="F875" s="231"/>
      <c r="G875" s="231"/>
      <c r="H875" s="290"/>
      <c r="I875" s="290"/>
      <c r="J875" s="265"/>
      <c r="K875" s="303"/>
      <c r="L875" s="265"/>
      <c r="M875" s="96"/>
      <c r="N875" s="303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  <c r="AA875" s="231"/>
      <c r="AB875" s="231"/>
      <c r="AC875" s="231"/>
      <c r="AD875" s="231"/>
      <c r="AE875" s="231"/>
      <c r="AF875" s="231"/>
    </row>
    <row r="876" spans="1:32" ht="17.399999999999999">
      <c r="A876" s="228"/>
      <c r="B876" s="231"/>
      <c r="C876" s="291"/>
      <c r="D876" s="231"/>
      <c r="E876" s="289"/>
      <c r="F876" s="231"/>
      <c r="G876" s="231"/>
      <c r="H876" s="290"/>
      <c r="I876" s="290"/>
      <c r="J876" s="265"/>
      <c r="K876" s="303"/>
      <c r="L876" s="265"/>
      <c r="M876" s="96"/>
      <c r="N876" s="303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  <c r="AA876" s="231"/>
      <c r="AB876" s="231"/>
      <c r="AC876" s="231"/>
      <c r="AD876" s="231"/>
      <c r="AE876" s="231"/>
      <c r="AF876" s="231"/>
    </row>
    <row r="877" spans="1:32" ht="17.399999999999999">
      <c r="A877" s="228"/>
      <c r="B877" s="231"/>
      <c r="C877" s="291"/>
      <c r="D877" s="231"/>
      <c r="E877" s="289"/>
      <c r="F877" s="231"/>
      <c r="G877" s="231"/>
      <c r="H877" s="290"/>
      <c r="I877" s="290"/>
      <c r="J877" s="265"/>
      <c r="K877" s="303"/>
      <c r="L877" s="265"/>
      <c r="M877" s="96"/>
      <c r="N877" s="303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  <c r="AA877" s="231"/>
      <c r="AB877" s="231"/>
      <c r="AC877" s="231"/>
      <c r="AD877" s="231"/>
      <c r="AE877" s="231"/>
      <c r="AF877" s="231"/>
    </row>
    <row r="878" spans="1:32" ht="17.399999999999999">
      <c r="A878" s="228"/>
      <c r="B878" s="231"/>
      <c r="C878" s="291"/>
      <c r="D878" s="231"/>
      <c r="E878" s="289"/>
      <c r="F878" s="231"/>
      <c r="G878" s="231"/>
      <c r="H878" s="290"/>
      <c r="I878" s="290"/>
      <c r="J878" s="265"/>
      <c r="K878" s="303"/>
      <c r="L878" s="265"/>
      <c r="M878" s="96"/>
      <c r="N878" s="303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  <c r="AA878" s="231"/>
      <c r="AB878" s="231"/>
      <c r="AC878" s="231"/>
      <c r="AD878" s="231"/>
      <c r="AE878" s="231"/>
      <c r="AF878" s="231"/>
    </row>
    <row r="879" spans="1:32" ht="17.399999999999999">
      <c r="A879" s="228"/>
      <c r="B879" s="231"/>
      <c r="C879" s="291"/>
      <c r="D879" s="231"/>
      <c r="E879" s="289"/>
      <c r="F879" s="231"/>
      <c r="G879" s="231"/>
      <c r="H879" s="290"/>
      <c r="I879" s="290"/>
      <c r="J879" s="265"/>
      <c r="K879" s="303"/>
      <c r="L879" s="265"/>
      <c r="M879" s="96"/>
      <c r="N879" s="303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  <c r="AA879" s="231"/>
      <c r="AB879" s="231"/>
      <c r="AC879" s="231"/>
      <c r="AD879" s="231"/>
      <c r="AE879" s="231"/>
      <c r="AF879" s="231"/>
    </row>
    <row r="880" spans="1:32" ht="17.399999999999999">
      <c r="A880" s="228"/>
      <c r="B880" s="231"/>
      <c r="C880" s="291"/>
      <c r="D880" s="231"/>
      <c r="E880" s="289"/>
      <c r="F880" s="231"/>
      <c r="G880" s="231"/>
      <c r="H880" s="290"/>
      <c r="I880" s="290"/>
      <c r="J880" s="265"/>
      <c r="K880" s="303"/>
      <c r="L880" s="265"/>
      <c r="M880" s="96"/>
      <c r="N880" s="303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  <c r="AA880" s="231"/>
      <c r="AB880" s="231"/>
      <c r="AC880" s="231"/>
      <c r="AD880" s="231"/>
      <c r="AE880" s="231"/>
      <c r="AF880" s="231"/>
    </row>
    <row r="881" spans="1:32" ht="17.399999999999999">
      <c r="A881" s="228"/>
      <c r="B881" s="231"/>
      <c r="C881" s="291"/>
      <c r="D881" s="231"/>
      <c r="E881" s="289"/>
      <c r="F881" s="231"/>
      <c r="G881" s="231"/>
      <c r="H881" s="290"/>
      <c r="I881" s="290"/>
      <c r="J881" s="265"/>
      <c r="K881" s="303"/>
      <c r="L881" s="265"/>
      <c r="M881" s="96"/>
      <c r="N881" s="303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  <c r="AA881" s="231"/>
      <c r="AB881" s="231"/>
      <c r="AC881" s="231"/>
      <c r="AD881" s="231"/>
      <c r="AE881" s="231"/>
      <c r="AF881" s="231"/>
    </row>
    <row r="882" spans="1:32" ht="17.399999999999999">
      <c r="A882" s="228"/>
      <c r="B882" s="231"/>
      <c r="C882" s="291"/>
      <c r="D882" s="231"/>
      <c r="E882" s="289"/>
      <c r="F882" s="231"/>
      <c r="G882" s="231"/>
      <c r="H882" s="290"/>
      <c r="I882" s="290"/>
      <c r="J882" s="265"/>
      <c r="K882" s="303"/>
      <c r="L882" s="265"/>
      <c r="M882" s="96"/>
      <c r="N882" s="303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  <c r="AA882" s="231"/>
      <c r="AB882" s="231"/>
      <c r="AC882" s="231"/>
      <c r="AD882" s="231"/>
      <c r="AE882" s="231"/>
      <c r="AF882" s="231"/>
    </row>
    <row r="883" spans="1:32" ht="17.399999999999999">
      <c r="A883" s="228"/>
      <c r="B883" s="231"/>
      <c r="C883" s="291"/>
      <c r="D883" s="231"/>
      <c r="E883" s="289"/>
      <c r="F883" s="231"/>
      <c r="G883" s="231"/>
      <c r="H883" s="290"/>
      <c r="I883" s="290"/>
      <c r="J883" s="265"/>
      <c r="K883" s="303"/>
      <c r="L883" s="265"/>
      <c r="M883" s="96"/>
      <c r="N883" s="303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  <c r="AA883" s="231"/>
      <c r="AB883" s="231"/>
      <c r="AC883" s="231"/>
      <c r="AD883" s="231"/>
      <c r="AE883" s="231"/>
      <c r="AF883" s="231"/>
    </row>
    <row r="884" spans="1:32" ht="17.399999999999999">
      <c r="A884" s="228"/>
      <c r="B884" s="231"/>
      <c r="C884" s="291"/>
      <c r="D884" s="231"/>
      <c r="E884" s="289"/>
      <c r="F884" s="231"/>
      <c r="G884" s="231"/>
      <c r="H884" s="290"/>
      <c r="I884" s="290"/>
      <c r="J884" s="265"/>
      <c r="K884" s="303"/>
      <c r="L884" s="265"/>
      <c r="M884" s="96"/>
      <c r="N884" s="303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  <c r="AA884" s="231"/>
      <c r="AB884" s="231"/>
      <c r="AC884" s="231"/>
      <c r="AD884" s="231"/>
      <c r="AE884" s="231"/>
      <c r="AF884" s="231"/>
    </row>
    <row r="885" spans="1:32" ht="17.399999999999999">
      <c r="A885" s="228"/>
      <c r="B885" s="231"/>
      <c r="C885" s="291"/>
      <c r="D885" s="231"/>
      <c r="E885" s="289"/>
      <c r="F885" s="231"/>
      <c r="G885" s="231"/>
      <c r="H885" s="290"/>
      <c r="I885" s="290"/>
      <c r="J885" s="265"/>
      <c r="K885" s="303"/>
      <c r="L885" s="265"/>
      <c r="M885" s="96"/>
      <c r="N885" s="303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  <c r="AA885" s="231"/>
      <c r="AB885" s="231"/>
      <c r="AC885" s="231"/>
      <c r="AD885" s="231"/>
      <c r="AE885" s="231"/>
      <c r="AF885" s="231"/>
    </row>
    <row r="886" spans="1:32" ht="17.399999999999999">
      <c r="A886" s="228"/>
      <c r="B886" s="231"/>
      <c r="C886" s="291"/>
      <c r="D886" s="231"/>
      <c r="E886" s="289"/>
      <c r="F886" s="231"/>
      <c r="G886" s="231"/>
      <c r="H886" s="290"/>
      <c r="I886" s="290"/>
      <c r="J886" s="265"/>
      <c r="K886" s="303"/>
      <c r="L886" s="265"/>
      <c r="M886" s="96"/>
      <c r="N886" s="303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  <c r="AA886" s="231"/>
      <c r="AB886" s="231"/>
      <c r="AC886" s="231"/>
      <c r="AD886" s="231"/>
      <c r="AE886" s="231"/>
      <c r="AF886" s="231"/>
    </row>
    <row r="887" spans="1:32" ht="17.399999999999999">
      <c r="A887" s="228"/>
      <c r="B887" s="231"/>
      <c r="C887" s="291"/>
      <c r="D887" s="231"/>
      <c r="E887" s="289"/>
      <c r="F887" s="231"/>
      <c r="G887" s="231"/>
      <c r="H887" s="290"/>
      <c r="I887" s="290"/>
      <c r="J887" s="265"/>
      <c r="K887" s="303"/>
      <c r="L887" s="265"/>
      <c r="M887" s="96"/>
      <c r="N887" s="303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  <c r="AA887" s="231"/>
      <c r="AB887" s="231"/>
      <c r="AC887" s="231"/>
      <c r="AD887" s="231"/>
      <c r="AE887" s="231"/>
      <c r="AF887" s="231"/>
    </row>
    <row r="888" spans="1:32" ht="17.399999999999999">
      <c r="A888" s="228"/>
      <c r="B888" s="231"/>
      <c r="C888" s="291"/>
      <c r="D888" s="231"/>
      <c r="E888" s="289"/>
      <c r="F888" s="231"/>
      <c r="G888" s="231"/>
      <c r="H888" s="290"/>
      <c r="I888" s="290"/>
      <c r="J888" s="265"/>
      <c r="K888" s="303"/>
      <c r="L888" s="265"/>
      <c r="M888" s="96"/>
      <c r="N888" s="303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  <c r="AA888" s="231"/>
      <c r="AB888" s="231"/>
      <c r="AC888" s="231"/>
      <c r="AD888" s="231"/>
      <c r="AE888" s="231"/>
      <c r="AF888" s="231"/>
    </row>
    <row r="889" spans="1:32" ht="17.399999999999999">
      <c r="A889" s="228"/>
      <c r="B889" s="231"/>
      <c r="C889" s="291"/>
      <c r="D889" s="231"/>
      <c r="E889" s="289"/>
      <c r="F889" s="231"/>
      <c r="G889" s="231"/>
      <c r="H889" s="290"/>
      <c r="I889" s="290"/>
      <c r="J889" s="265"/>
      <c r="K889" s="303"/>
      <c r="L889" s="265"/>
      <c r="M889" s="96"/>
      <c r="N889" s="303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  <c r="AA889" s="231"/>
      <c r="AB889" s="231"/>
      <c r="AC889" s="231"/>
      <c r="AD889" s="231"/>
      <c r="AE889" s="231"/>
      <c r="AF889" s="231"/>
    </row>
    <row r="890" spans="1:32" ht="17.399999999999999">
      <c r="A890" s="228"/>
      <c r="B890" s="231"/>
      <c r="C890" s="291"/>
      <c r="D890" s="231"/>
      <c r="E890" s="289"/>
      <c r="F890" s="231"/>
      <c r="G890" s="231"/>
      <c r="H890" s="290"/>
      <c r="I890" s="290"/>
      <c r="J890" s="265"/>
      <c r="K890" s="303"/>
      <c r="L890" s="265"/>
      <c r="M890" s="96"/>
      <c r="N890" s="303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  <c r="AA890" s="231"/>
      <c r="AB890" s="231"/>
      <c r="AC890" s="231"/>
      <c r="AD890" s="231"/>
      <c r="AE890" s="231"/>
      <c r="AF890" s="231"/>
    </row>
    <row r="891" spans="1:32" ht="17.399999999999999">
      <c r="A891" s="228"/>
      <c r="B891" s="231"/>
      <c r="C891" s="291"/>
      <c r="D891" s="231"/>
      <c r="E891" s="289"/>
      <c r="F891" s="231"/>
      <c r="G891" s="231"/>
      <c r="H891" s="290"/>
      <c r="I891" s="290"/>
      <c r="J891" s="265"/>
      <c r="K891" s="303"/>
      <c r="L891" s="265"/>
      <c r="M891" s="96"/>
      <c r="N891" s="303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  <c r="AA891" s="231"/>
      <c r="AB891" s="231"/>
      <c r="AC891" s="231"/>
      <c r="AD891" s="231"/>
      <c r="AE891" s="231"/>
      <c r="AF891" s="231"/>
    </row>
    <row r="892" spans="1:32" ht="17.399999999999999">
      <c r="A892" s="228"/>
      <c r="B892" s="231"/>
      <c r="C892" s="291"/>
      <c r="D892" s="231"/>
      <c r="E892" s="289"/>
      <c r="F892" s="231"/>
      <c r="G892" s="231"/>
      <c r="H892" s="290"/>
      <c r="I892" s="290"/>
      <c r="J892" s="265"/>
      <c r="K892" s="303"/>
      <c r="L892" s="265"/>
      <c r="M892" s="96"/>
      <c r="N892" s="303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  <c r="AA892" s="231"/>
      <c r="AB892" s="231"/>
      <c r="AC892" s="231"/>
      <c r="AD892" s="231"/>
      <c r="AE892" s="231"/>
      <c r="AF892" s="231"/>
    </row>
    <row r="893" spans="1:32" ht="17.399999999999999">
      <c r="A893" s="228"/>
      <c r="B893" s="231"/>
      <c r="C893" s="291"/>
      <c r="D893" s="231"/>
      <c r="E893" s="289"/>
      <c r="F893" s="231"/>
      <c r="G893" s="231"/>
      <c r="H893" s="290"/>
      <c r="I893" s="290"/>
      <c r="J893" s="265"/>
      <c r="K893" s="303"/>
      <c r="L893" s="265"/>
      <c r="M893" s="96"/>
      <c r="N893" s="303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  <c r="AA893" s="231"/>
      <c r="AB893" s="231"/>
      <c r="AC893" s="231"/>
      <c r="AD893" s="231"/>
      <c r="AE893" s="231"/>
      <c r="AF893" s="231"/>
    </row>
    <row r="894" spans="1:32" ht="17.399999999999999">
      <c r="A894" s="228"/>
      <c r="B894" s="231"/>
      <c r="C894" s="291"/>
      <c r="D894" s="231"/>
      <c r="E894" s="289"/>
      <c r="F894" s="231"/>
      <c r="G894" s="231"/>
      <c r="H894" s="290"/>
      <c r="I894" s="290"/>
      <c r="J894" s="265"/>
      <c r="K894" s="303"/>
      <c r="L894" s="265"/>
      <c r="M894" s="96"/>
      <c r="N894" s="303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  <c r="AA894" s="231"/>
      <c r="AB894" s="231"/>
      <c r="AC894" s="231"/>
      <c r="AD894" s="231"/>
      <c r="AE894" s="231"/>
      <c r="AF894" s="231"/>
    </row>
    <row r="895" spans="1:32" ht="17.399999999999999">
      <c r="A895" s="228"/>
      <c r="B895" s="231"/>
      <c r="C895" s="291"/>
      <c r="D895" s="231"/>
      <c r="E895" s="289"/>
      <c r="F895" s="231"/>
      <c r="G895" s="231"/>
      <c r="H895" s="290"/>
      <c r="I895" s="290"/>
      <c r="J895" s="265"/>
      <c r="K895" s="303"/>
      <c r="L895" s="265"/>
      <c r="M895" s="96"/>
      <c r="N895" s="303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  <c r="AA895" s="231"/>
      <c r="AB895" s="231"/>
      <c r="AC895" s="231"/>
      <c r="AD895" s="231"/>
      <c r="AE895" s="231"/>
      <c r="AF895" s="231"/>
    </row>
    <row r="896" spans="1:32" ht="17.399999999999999">
      <c r="A896" s="228"/>
      <c r="B896" s="231"/>
      <c r="C896" s="291"/>
      <c r="D896" s="231"/>
      <c r="E896" s="289"/>
      <c r="F896" s="231"/>
      <c r="G896" s="231"/>
      <c r="H896" s="290"/>
      <c r="I896" s="290"/>
      <c r="J896" s="265"/>
      <c r="K896" s="303"/>
      <c r="L896" s="265"/>
      <c r="M896" s="96"/>
      <c r="N896" s="303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  <c r="AA896" s="231"/>
      <c r="AB896" s="231"/>
      <c r="AC896" s="231"/>
      <c r="AD896" s="231"/>
      <c r="AE896" s="231"/>
      <c r="AF896" s="231"/>
    </row>
    <row r="897" spans="1:32" ht="17.399999999999999">
      <c r="A897" s="228"/>
      <c r="B897" s="231"/>
      <c r="C897" s="291"/>
      <c r="D897" s="231"/>
      <c r="E897" s="289"/>
      <c r="F897" s="231"/>
      <c r="G897" s="231"/>
      <c r="H897" s="290"/>
      <c r="I897" s="290"/>
      <c r="J897" s="265"/>
      <c r="K897" s="303"/>
      <c r="L897" s="265"/>
      <c r="M897" s="96"/>
      <c r="N897" s="303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  <c r="AA897" s="231"/>
      <c r="AB897" s="231"/>
      <c r="AC897" s="231"/>
      <c r="AD897" s="231"/>
      <c r="AE897" s="231"/>
      <c r="AF897" s="231"/>
    </row>
    <row r="898" spans="1:32" ht="17.399999999999999">
      <c r="A898" s="228"/>
      <c r="B898" s="231"/>
      <c r="C898" s="291"/>
      <c r="D898" s="231"/>
      <c r="E898" s="289"/>
      <c r="F898" s="231"/>
      <c r="G898" s="231"/>
      <c r="H898" s="290"/>
      <c r="I898" s="290"/>
      <c r="J898" s="265"/>
      <c r="K898" s="303"/>
      <c r="L898" s="265"/>
      <c r="M898" s="96"/>
      <c r="N898" s="303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  <c r="AA898" s="231"/>
      <c r="AB898" s="231"/>
      <c r="AC898" s="231"/>
      <c r="AD898" s="231"/>
      <c r="AE898" s="231"/>
      <c r="AF898" s="231"/>
    </row>
    <row r="899" spans="1:32" ht="17.399999999999999">
      <c r="A899" s="228"/>
      <c r="B899" s="231"/>
      <c r="C899" s="291"/>
      <c r="D899" s="231"/>
      <c r="E899" s="289"/>
      <c r="F899" s="231"/>
      <c r="G899" s="231"/>
      <c r="H899" s="290"/>
      <c r="I899" s="290"/>
      <c r="J899" s="265"/>
      <c r="K899" s="303"/>
      <c r="L899" s="265"/>
      <c r="M899" s="96"/>
      <c r="N899" s="303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  <c r="AA899" s="231"/>
      <c r="AB899" s="231"/>
      <c r="AC899" s="231"/>
      <c r="AD899" s="231"/>
      <c r="AE899" s="231"/>
      <c r="AF899" s="231"/>
    </row>
    <row r="900" spans="1:32" ht="17.399999999999999">
      <c r="A900" s="228"/>
      <c r="B900" s="231"/>
      <c r="C900" s="291"/>
      <c r="D900" s="231"/>
      <c r="E900" s="289"/>
      <c r="F900" s="231"/>
      <c r="G900" s="231"/>
      <c r="H900" s="290"/>
      <c r="I900" s="290"/>
      <c r="J900" s="265"/>
      <c r="K900" s="303"/>
      <c r="L900" s="265"/>
      <c r="M900" s="96"/>
      <c r="N900" s="303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  <c r="AA900" s="231"/>
      <c r="AB900" s="231"/>
      <c r="AC900" s="231"/>
      <c r="AD900" s="231"/>
      <c r="AE900" s="231"/>
      <c r="AF900" s="231"/>
    </row>
    <row r="901" spans="1:32" ht="17.399999999999999">
      <c r="A901" s="228"/>
      <c r="B901" s="231"/>
      <c r="C901" s="291"/>
      <c r="D901" s="231"/>
      <c r="E901" s="289"/>
      <c r="F901" s="231"/>
      <c r="G901" s="231"/>
      <c r="H901" s="290"/>
      <c r="I901" s="290"/>
      <c r="J901" s="265"/>
      <c r="K901" s="303"/>
      <c r="L901" s="265"/>
      <c r="M901" s="96"/>
      <c r="N901" s="303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  <c r="AA901" s="231"/>
      <c r="AB901" s="231"/>
      <c r="AC901" s="231"/>
      <c r="AD901" s="231"/>
      <c r="AE901" s="231"/>
      <c r="AF901" s="231"/>
    </row>
    <row r="902" spans="1:32" ht="17.399999999999999">
      <c r="A902" s="228"/>
      <c r="B902" s="231"/>
      <c r="C902" s="291"/>
      <c r="D902" s="231"/>
      <c r="E902" s="289"/>
      <c r="F902" s="231"/>
      <c r="G902" s="231"/>
      <c r="H902" s="290"/>
      <c r="I902" s="290"/>
      <c r="J902" s="265"/>
      <c r="K902" s="303"/>
      <c r="L902" s="265"/>
      <c r="M902" s="96"/>
      <c r="N902" s="303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  <c r="AA902" s="231"/>
      <c r="AB902" s="231"/>
      <c r="AC902" s="231"/>
      <c r="AD902" s="231"/>
      <c r="AE902" s="231"/>
      <c r="AF902" s="231"/>
    </row>
    <row r="903" spans="1:32" ht="17.399999999999999">
      <c r="A903" s="228"/>
      <c r="B903" s="231"/>
      <c r="C903" s="291"/>
      <c r="D903" s="231"/>
      <c r="E903" s="289"/>
      <c r="F903" s="231"/>
      <c r="G903" s="231"/>
      <c r="H903" s="290"/>
      <c r="I903" s="290"/>
      <c r="J903" s="265"/>
      <c r="K903" s="303"/>
      <c r="L903" s="265"/>
      <c r="M903" s="96"/>
      <c r="N903" s="303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  <c r="AA903" s="231"/>
      <c r="AB903" s="231"/>
      <c r="AC903" s="231"/>
      <c r="AD903" s="231"/>
      <c r="AE903" s="231"/>
      <c r="AF903" s="231"/>
    </row>
    <row r="904" spans="1:32" ht="17.399999999999999">
      <c r="A904" s="228"/>
      <c r="B904" s="231"/>
      <c r="C904" s="291"/>
      <c r="D904" s="231"/>
      <c r="E904" s="289"/>
      <c r="F904" s="231"/>
      <c r="G904" s="231"/>
      <c r="H904" s="290"/>
      <c r="I904" s="290"/>
      <c r="J904" s="265"/>
      <c r="K904" s="303"/>
      <c r="L904" s="265"/>
      <c r="M904" s="96"/>
      <c r="N904" s="303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  <c r="AA904" s="231"/>
      <c r="AB904" s="231"/>
      <c r="AC904" s="231"/>
      <c r="AD904" s="231"/>
      <c r="AE904" s="231"/>
      <c r="AF904" s="231"/>
    </row>
    <row r="905" spans="1:32" ht="17.399999999999999">
      <c r="A905" s="228"/>
      <c r="B905" s="231"/>
      <c r="C905" s="291"/>
      <c r="D905" s="231"/>
      <c r="E905" s="289"/>
      <c r="F905" s="231"/>
      <c r="G905" s="231"/>
      <c r="H905" s="290"/>
      <c r="I905" s="290"/>
      <c r="J905" s="265"/>
      <c r="K905" s="303"/>
      <c r="L905" s="265"/>
      <c r="M905" s="96"/>
      <c r="N905" s="303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  <c r="AA905" s="231"/>
      <c r="AB905" s="231"/>
      <c r="AC905" s="231"/>
      <c r="AD905" s="231"/>
      <c r="AE905" s="231"/>
      <c r="AF905" s="231"/>
    </row>
    <row r="906" spans="1:32" ht="17.399999999999999">
      <c r="A906" s="228"/>
      <c r="B906" s="231"/>
      <c r="C906" s="291"/>
      <c r="D906" s="231"/>
      <c r="E906" s="289"/>
      <c r="F906" s="231"/>
      <c r="G906" s="231"/>
      <c r="H906" s="290"/>
      <c r="I906" s="290"/>
      <c r="J906" s="265"/>
      <c r="K906" s="303"/>
      <c r="L906" s="265"/>
      <c r="M906" s="96"/>
      <c r="N906" s="303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  <c r="AA906" s="231"/>
      <c r="AB906" s="231"/>
      <c r="AC906" s="231"/>
      <c r="AD906" s="231"/>
      <c r="AE906" s="231"/>
      <c r="AF906" s="231"/>
    </row>
    <row r="907" spans="1:32" ht="17.399999999999999">
      <c r="A907" s="228"/>
      <c r="B907" s="231"/>
      <c r="C907" s="291"/>
      <c r="D907" s="231"/>
      <c r="E907" s="289"/>
      <c r="F907" s="231"/>
      <c r="G907" s="231"/>
      <c r="H907" s="290"/>
      <c r="I907" s="290"/>
      <c r="J907" s="265"/>
      <c r="K907" s="303"/>
      <c r="L907" s="265"/>
      <c r="M907" s="96"/>
      <c r="N907" s="303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  <c r="AA907" s="231"/>
      <c r="AB907" s="231"/>
      <c r="AC907" s="231"/>
      <c r="AD907" s="231"/>
      <c r="AE907" s="231"/>
      <c r="AF907" s="231"/>
    </row>
    <row r="908" spans="1:32" ht="17.399999999999999">
      <c r="A908" s="228"/>
      <c r="B908" s="231"/>
      <c r="C908" s="291"/>
      <c r="D908" s="231"/>
      <c r="E908" s="289"/>
      <c r="F908" s="231"/>
      <c r="G908" s="231"/>
      <c r="H908" s="290"/>
      <c r="I908" s="290"/>
      <c r="J908" s="265"/>
      <c r="K908" s="303"/>
      <c r="L908" s="265"/>
      <c r="M908" s="96"/>
      <c r="N908" s="303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  <c r="AA908" s="231"/>
      <c r="AB908" s="231"/>
      <c r="AC908" s="231"/>
      <c r="AD908" s="231"/>
      <c r="AE908" s="231"/>
      <c r="AF908" s="231"/>
    </row>
    <row r="909" spans="1:32" ht="17.399999999999999">
      <c r="A909" s="228"/>
      <c r="B909" s="231"/>
      <c r="C909" s="291"/>
      <c r="D909" s="231"/>
      <c r="E909" s="289"/>
      <c r="F909" s="231"/>
      <c r="G909" s="231"/>
      <c r="H909" s="290"/>
      <c r="I909" s="290"/>
      <c r="J909" s="265"/>
      <c r="K909" s="303"/>
      <c r="L909" s="265"/>
      <c r="M909" s="96"/>
      <c r="N909" s="303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  <c r="AA909" s="231"/>
      <c r="AB909" s="231"/>
      <c r="AC909" s="231"/>
      <c r="AD909" s="231"/>
      <c r="AE909" s="231"/>
      <c r="AF909" s="231"/>
    </row>
    <row r="910" spans="1:32" ht="17.399999999999999">
      <c r="A910" s="228"/>
      <c r="B910" s="231"/>
      <c r="C910" s="291"/>
      <c r="D910" s="231"/>
      <c r="E910" s="289"/>
      <c r="F910" s="231"/>
      <c r="G910" s="231"/>
      <c r="H910" s="290"/>
      <c r="I910" s="290"/>
      <c r="J910" s="265"/>
      <c r="K910" s="303"/>
      <c r="L910" s="265"/>
      <c r="M910" s="96"/>
      <c r="N910" s="303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  <c r="AA910" s="231"/>
      <c r="AB910" s="231"/>
      <c r="AC910" s="231"/>
      <c r="AD910" s="231"/>
      <c r="AE910" s="231"/>
      <c r="AF910" s="231"/>
    </row>
    <row r="911" spans="1:32" ht="17.399999999999999">
      <c r="A911" s="228"/>
      <c r="B911" s="231"/>
      <c r="C911" s="291"/>
      <c r="D911" s="231"/>
      <c r="E911" s="289"/>
      <c r="F911" s="231"/>
      <c r="G911" s="231"/>
      <c r="H911" s="290"/>
      <c r="I911" s="290"/>
      <c r="J911" s="265"/>
      <c r="K911" s="303"/>
      <c r="L911" s="265"/>
      <c r="M911" s="96"/>
      <c r="N911" s="303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  <c r="AA911" s="231"/>
      <c r="AB911" s="231"/>
      <c r="AC911" s="231"/>
      <c r="AD911" s="231"/>
      <c r="AE911" s="231"/>
      <c r="AF911" s="231"/>
    </row>
    <row r="912" spans="1:32" ht="17.399999999999999">
      <c r="A912" s="228"/>
      <c r="B912" s="231"/>
      <c r="C912" s="291"/>
      <c r="D912" s="231"/>
      <c r="E912" s="289"/>
      <c r="F912" s="231"/>
      <c r="G912" s="231"/>
      <c r="H912" s="290"/>
      <c r="I912" s="290"/>
      <c r="J912" s="265"/>
      <c r="K912" s="303"/>
      <c r="L912" s="265"/>
      <c r="M912" s="96"/>
      <c r="N912" s="303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  <c r="AA912" s="231"/>
      <c r="AB912" s="231"/>
      <c r="AC912" s="231"/>
      <c r="AD912" s="231"/>
      <c r="AE912" s="231"/>
      <c r="AF912" s="231"/>
    </row>
    <row r="913" spans="1:32" ht="17.399999999999999">
      <c r="A913" s="228"/>
      <c r="B913" s="231"/>
      <c r="C913" s="291"/>
      <c r="D913" s="231"/>
      <c r="E913" s="289"/>
      <c r="F913" s="231"/>
      <c r="G913" s="231"/>
      <c r="H913" s="290"/>
      <c r="I913" s="290"/>
      <c r="J913" s="265"/>
      <c r="K913" s="303"/>
      <c r="L913" s="265"/>
      <c r="M913" s="96"/>
      <c r="N913" s="303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  <c r="AA913" s="231"/>
      <c r="AB913" s="231"/>
      <c r="AC913" s="231"/>
      <c r="AD913" s="231"/>
      <c r="AE913" s="231"/>
      <c r="AF913" s="231"/>
    </row>
    <row r="914" spans="1:32" ht="17.399999999999999">
      <c r="A914" s="228"/>
      <c r="B914" s="231"/>
      <c r="C914" s="291"/>
      <c r="D914" s="231"/>
      <c r="E914" s="289"/>
      <c r="F914" s="231"/>
      <c r="G914" s="231"/>
      <c r="H914" s="290"/>
      <c r="I914" s="290"/>
      <c r="J914" s="265"/>
      <c r="K914" s="303"/>
      <c r="L914" s="265"/>
      <c r="M914" s="96"/>
      <c r="N914" s="303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  <c r="AA914" s="231"/>
      <c r="AB914" s="231"/>
      <c r="AC914" s="231"/>
      <c r="AD914" s="231"/>
      <c r="AE914" s="231"/>
      <c r="AF914" s="231"/>
    </row>
    <row r="915" spans="1:32" ht="17.399999999999999">
      <c r="A915" s="228"/>
      <c r="B915" s="231"/>
      <c r="C915" s="291"/>
      <c r="D915" s="231"/>
      <c r="E915" s="289"/>
      <c r="F915" s="231"/>
      <c r="G915" s="231"/>
      <c r="H915" s="290"/>
      <c r="I915" s="290"/>
      <c r="J915" s="265"/>
      <c r="K915" s="303"/>
      <c r="L915" s="265"/>
      <c r="M915" s="96"/>
      <c r="N915" s="303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  <c r="AA915" s="231"/>
      <c r="AB915" s="231"/>
      <c r="AC915" s="231"/>
      <c r="AD915" s="231"/>
      <c r="AE915" s="231"/>
      <c r="AF915" s="231"/>
    </row>
    <row r="916" spans="1:32" ht="17.399999999999999">
      <c r="A916" s="228"/>
      <c r="B916" s="231"/>
      <c r="C916" s="291"/>
      <c r="D916" s="231"/>
      <c r="E916" s="289"/>
      <c r="F916" s="231"/>
      <c r="G916" s="231"/>
      <c r="H916" s="290"/>
      <c r="I916" s="290"/>
      <c r="J916" s="265"/>
      <c r="K916" s="303"/>
      <c r="L916" s="265"/>
      <c r="M916" s="96"/>
      <c r="N916" s="303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  <c r="AA916" s="231"/>
      <c r="AB916" s="231"/>
      <c r="AC916" s="231"/>
      <c r="AD916" s="231"/>
      <c r="AE916" s="231"/>
      <c r="AF916" s="231"/>
    </row>
    <row r="917" spans="1:32" ht="17.399999999999999">
      <c r="A917" s="228"/>
      <c r="B917" s="231"/>
      <c r="C917" s="291"/>
      <c r="D917" s="231"/>
      <c r="E917" s="289"/>
      <c r="F917" s="231"/>
      <c r="G917" s="231"/>
      <c r="H917" s="290"/>
      <c r="I917" s="290"/>
      <c r="J917" s="265"/>
      <c r="K917" s="303"/>
      <c r="L917" s="265"/>
      <c r="M917" s="96"/>
      <c r="N917" s="303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  <c r="AA917" s="231"/>
      <c r="AB917" s="231"/>
      <c r="AC917" s="231"/>
      <c r="AD917" s="231"/>
      <c r="AE917" s="231"/>
      <c r="AF917" s="231"/>
    </row>
    <row r="918" spans="1:32" ht="17.399999999999999">
      <c r="A918" s="228"/>
      <c r="B918" s="231"/>
      <c r="C918" s="291"/>
      <c r="D918" s="231"/>
      <c r="E918" s="289"/>
      <c r="F918" s="231"/>
      <c r="G918" s="231"/>
      <c r="H918" s="290"/>
      <c r="I918" s="290"/>
      <c r="J918" s="265"/>
      <c r="K918" s="303"/>
      <c r="L918" s="265"/>
      <c r="M918" s="96"/>
      <c r="N918" s="303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  <c r="AA918" s="231"/>
      <c r="AB918" s="231"/>
      <c r="AC918" s="231"/>
      <c r="AD918" s="231"/>
      <c r="AE918" s="231"/>
      <c r="AF918" s="231"/>
    </row>
    <row r="919" spans="1:32" ht="17.399999999999999">
      <c r="A919" s="228"/>
      <c r="B919" s="231"/>
      <c r="C919" s="291"/>
      <c r="D919" s="231"/>
      <c r="E919" s="289"/>
      <c r="F919" s="231"/>
      <c r="G919" s="231"/>
      <c r="H919" s="290"/>
      <c r="I919" s="290"/>
      <c r="J919" s="265"/>
      <c r="K919" s="303"/>
      <c r="L919" s="265"/>
      <c r="M919" s="96"/>
      <c r="N919" s="303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  <c r="AA919" s="231"/>
      <c r="AB919" s="231"/>
      <c r="AC919" s="231"/>
      <c r="AD919" s="231"/>
      <c r="AE919" s="231"/>
      <c r="AF919" s="231"/>
    </row>
    <row r="920" spans="1:32" ht="17.399999999999999">
      <c r="A920" s="228"/>
      <c r="B920" s="231"/>
      <c r="C920" s="291"/>
      <c r="D920" s="231"/>
      <c r="E920" s="289"/>
      <c r="F920" s="231"/>
      <c r="G920" s="231"/>
      <c r="H920" s="290"/>
      <c r="I920" s="290"/>
      <c r="J920" s="265"/>
      <c r="K920" s="303"/>
      <c r="L920" s="265"/>
      <c r="M920" s="96"/>
      <c r="N920" s="303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  <c r="AA920" s="231"/>
      <c r="AB920" s="231"/>
      <c r="AC920" s="231"/>
      <c r="AD920" s="231"/>
      <c r="AE920" s="231"/>
      <c r="AF920" s="231"/>
    </row>
    <row r="921" spans="1:32" ht="17.399999999999999">
      <c r="A921" s="228"/>
      <c r="B921" s="231"/>
      <c r="C921" s="291"/>
      <c r="D921" s="231"/>
      <c r="E921" s="289"/>
      <c r="F921" s="231"/>
      <c r="G921" s="231"/>
      <c r="H921" s="290"/>
      <c r="I921" s="290"/>
      <c r="J921" s="265"/>
      <c r="K921" s="303"/>
      <c r="L921" s="265"/>
      <c r="M921" s="96"/>
      <c r="N921" s="303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  <c r="AA921" s="231"/>
      <c r="AB921" s="231"/>
      <c r="AC921" s="231"/>
      <c r="AD921" s="231"/>
      <c r="AE921" s="231"/>
      <c r="AF921" s="231"/>
    </row>
    <row r="922" spans="1:32" ht="17.399999999999999">
      <c r="A922" s="228"/>
      <c r="B922" s="231"/>
      <c r="C922" s="291"/>
      <c r="D922" s="231"/>
      <c r="E922" s="289"/>
      <c r="F922" s="231"/>
      <c r="G922" s="231"/>
      <c r="H922" s="290"/>
      <c r="I922" s="290"/>
      <c r="J922" s="265"/>
      <c r="K922" s="303"/>
      <c r="L922" s="265"/>
      <c r="M922" s="96"/>
      <c r="N922" s="303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  <c r="AA922" s="231"/>
      <c r="AB922" s="231"/>
      <c r="AC922" s="231"/>
      <c r="AD922" s="231"/>
      <c r="AE922" s="231"/>
      <c r="AF922" s="231"/>
    </row>
    <row r="923" spans="1:32" ht="17.399999999999999">
      <c r="A923" s="228"/>
      <c r="B923" s="231"/>
      <c r="C923" s="291"/>
      <c r="D923" s="231"/>
      <c r="E923" s="289"/>
      <c r="F923" s="231"/>
      <c r="G923" s="231"/>
      <c r="H923" s="290"/>
      <c r="I923" s="290"/>
      <c r="J923" s="265"/>
      <c r="K923" s="303"/>
      <c r="L923" s="265"/>
      <c r="M923" s="96"/>
      <c r="N923" s="303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  <c r="AA923" s="231"/>
      <c r="AB923" s="231"/>
      <c r="AC923" s="231"/>
      <c r="AD923" s="231"/>
      <c r="AE923" s="231"/>
      <c r="AF923" s="231"/>
    </row>
    <row r="924" spans="1:32" ht="17.399999999999999">
      <c r="A924" s="228"/>
      <c r="B924" s="231"/>
      <c r="C924" s="291"/>
      <c r="D924" s="231"/>
      <c r="E924" s="289"/>
      <c r="F924" s="231"/>
      <c r="G924" s="231"/>
      <c r="H924" s="290"/>
      <c r="I924" s="290"/>
      <c r="J924" s="265"/>
      <c r="K924" s="303"/>
      <c r="L924" s="265"/>
      <c r="M924" s="96"/>
      <c r="N924" s="303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  <c r="AA924" s="231"/>
      <c r="AB924" s="231"/>
      <c r="AC924" s="231"/>
      <c r="AD924" s="231"/>
      <c r="AE924" s="231"/>
      <c r="AF924" s="231"/>
    </row>
    <row r="925" spans="1:32" ht="17.399999999999999">
      <c r="A925" s="228"/>
      <c r="B925" s="231"/>
      <c r="C925" s="291"/>
      <c r="D925" s="231"/>
      <c r="E925" s="289"/>
      <c r="F925" s="231"/>
      <c r="G925" s="231"/>
      <c r="H925" s="290"/>
      <c r="I925" s="290"/>
      <c r="J925" s="265"/>
      <c r="K925" s="303"/>
      <c r="L925" s="265"/>
      <c r="M925" s="96"/>
      <c r="N925" s="303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  <c r="AA925" s="231"/>
      <c r="AB925" s="231"/>
      <c r="AC925" s="231"/>
      <c r="AD925" s="231"/>
      <c r="AE925" s="231"/>
      <c r="AF925" s="231"/>
    </row>
    <row r="926" spans="1:32" ht="17.399999999999999">
      <c r="A926" s="228"/>
      <c r="B926" s="231"/>
      <c r="C926" s="291"/>
      <c r="D926" s="231"/>
      <c r="E926" s="289"/>
      <c r="F926" s="231"/>
      <c r="G926" s="231"/>
      <c r="H926" s="290"/>
      <c r="I926" s="290"/>
      <c r="J926" s="265"/>
      <c r="K926" s="303"/>
      <c r="L926" s="265"/>
      <c r="M926" s="96"/>
      <c r="N926" s="303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  <c r="AA926" s="231"/>
      <c r="AB926" s="231"/>
      <c r="AC926" s="231"/>
      <c r="AD926" s="231"/>
      <c r="AE926" s="231"/>
      <c r="AF926" s="231"/>
    </row>
    <row r="927" spans="1:32" ht="17.399999999999999">
      <c r="A927" s="228"/>
      <c r="B927" s="231"/>
      <c r="C927" s="291"/>
      <c r="D927" s="231"/>
      <c r="E927" s="289"/>
      <c r="F927" s="231"/>
      <c r="G927" s="231"/>
      <c r="H927" s="290"/>
      <c r="I927" s="290"/>
      <c r="J927" s="265"/>
      <c r="K927" s="303"/>
      <c r="L927" s="265"/>
      <c r="M927" s="96"/>
      <c r="N927" s="303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  <c r="AA927" s="231"/>
      <c r="AB927" s="231"/>
      <c r="AC927" s="231"/>
      <c r="AD927" s="231"/>
      <c r="AE927" s="231"/>
      <c r="AF927" s="231"/>
    </row>
    <row r="928" spans="1:32" ht="17.399999999999999">
      <c r="A928" s="228"/>
      <c r="B928" s="231"/>
      <c r="C928" s="291"/>
      <c r="D928" s="231"/>
      <c r="E928" s="289"/>
      <c r="F928" s="231"/>
      <c r="G928" s="231"/>
      <c r="H928" s="290"/>
      <c r="I928" s="290"/>
      <c r="J928" s="265"/>
      <c r="K928" s="303"/>
      <c r="L928" s="265"/>
      <c r="M928" s="96"/>
      <c r="N928" s="303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  <c r="AA928" s="231"/>
      <c r="AB928" s="231"/>
      <c r="AC928" s="231"/>
      <c r="AD928" s="231"/>
      <c r="AE928" s="231"/>
      <c r="AF928" s="231"/>
    </row>
    <row r="929" spans="1:32" ht="17.399999999999999">
      <c r="A929" s="228"/>
      <c r="B929" s="231"/>
      <c r="C929" s="291"/>
      <c r="D929" s="231"/>
      <c r="E929" s="289"/>
      <c r="F929" s="231"/>
      <c r="G929" s="231"/>
      <c r="H929" s="290"/>
      <c r="I929" s="290"/>
      <c r="J929" s="265"/>
      <c r="K929" s="303"/>
      <c r="L929" s="265"/>
      <c r="M929" s="96"/>
      <c r="N929" s="303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  <c r="AA929" s="231"/>
      <c r="AB929" s="231"/>
      <c r="AC929" s="231"/>
      <c r="AD929" s="231"/>
      <c r="AE929" s="231"/>
      <c r="AF929" s="231"/>
    </row>
    <row r="930" spans="1:32" ht="17.399999999999999">
      <c r="A930" s="228"/>
      <c r="B930" s="231"/>
      <c r="C930" s="291"/>
      <c r="D930" s="231"/>
      <c r="E930" s="289"/>
      <c r="F930" s="231"/>
      <c r="G930" s="231"/>
      <c r="H930" s="290"/>
      <c r="I930" s="290"/>
      <c r="J930" s="265"/>
      <c r="K930" s="303"/>
      <c r="L930" s="265"/>
      <c r="M930" s="96"/>
      <c r="N930" s="303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  <c r="AA930" s="231"/>
      <c r="AB930" s="231"/>
      <c r="AC930" s="231"/>
      <c r="AD930" s="231"/>
      <c r="AE930" s="231"/>
      <c r="AF930" s="231"/>
    </row>
    <row r="931" spans="1:32" ht="17.399999999999999">
      <c r="A931" s="228"/>
      <c r="B931" s="231"/>
      <c r="C931" s="291"/>
      <c r="D931" s="231"/>
      <c r="E931" s="289"/>
      <c r="F931" s="231"/>
      <c r="G931" s="231"/>
      <c r="H931" s="290"/>
      <c r="I931" s="290"/>
      <c r="J931" s="265"/>
      <c r="K931" s="303"/>
      <c r="L931" s="265"/>
      <c r="M931" s="96"/>
      <c r="N931" s="303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  <c r="AA931" s="231"/>
      <c r="AB931" s="231"/>
      <c r="AC931" s="231"/>
      <c r="AD931" s="231"/>
      <c r="AE931" s="231"/>
      <c r="AF931" s="231"/>
    </row>
    <row r="932" spans="1:32" ht="17.399999999999999">
      <c r="A932" s="228"/>
      <c r="B932" s="231"/>
      <c r="C932" s="291"/>
      <c r="D932" s="231"/>
      <c r="E932" s="289"/>
      <c r="F932" s="231"/>
      <c r="G932" s="231"/>
      <c r="H932" s="290"/>
      <c r="I932" s="290"/>
      <c r="J932" s="265"/>
      <c r="K932" s="303"/>
      <c r="L932" s="265"/>
      <c r="M932" s="96"/>
      <c r="N932" s="303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  <c r="AA932" s="231"/>
      <c r="AB932" s="231"/>
      <c r="AC932" s="231"/>
      <c r="AD932" s="231"/>
      <c r="AE932" s="231"/>
      <c r="AF932" s="231"/>
    </row>
    <row r="933" spans="1:32" ht="17.399999999999999">
      <c r="A933" s="228"/>
      <c r="B933" s="231"/>
      <c r="C933" s="291"/>
      <c r="D933" s="231"/>
      <c r="E933" s="289"/>
      <c r="F933" s="231"/>
      <c r="G933" s="231"/>
      <c r="H933" s="290"/>
      <c r="I933" s="290"/>
      <c r="J933" s="265"/>
      <c r="K933" s="303"/>
      <c r="L933" s="265"/>
      <c r="M933" s="96"/>
      <c r="N933" s="303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  <c r="AA933" s="231"/>
      <c r="AB933" s="231"/>
      <c r="AC933" s="231"/>
      <c r="AD933" s="231"/>
      <c r="AE933" s="231"/>
      <c r="AF933" s="231"/>
    </row>
    <row r="934" spans="1:32" ht="17.399999999999999">
      <c r="A934" s="228"/>
      <c r="B934" s="231"/>
      <c r="C934" s="291"/>
      <c r="D934" s="231"/>
      <c r="E934" s="289"/>
      <c r="F934" s="231"/>
      <c r="G934" s="231"/>
      <c r="H934" s="290"/>
      <c r="I934" s="290"/>
      <c r="J934" s="265"/>
      <c r="K934" s="303"/>
      <c r="L934" s="265"/>
      <c r="M934" s="96"/>
      <c r="N934" s="303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  <c r="AA934" s="231"/>
      <c r="AB934" s="231"/>
      <c r="AC934" s="231"/>
      <c r="AD934" s="231"/>
      <c r="AE934" s="231"/>
      <c r="AF934" s="231"/>
    </row>
    <row r="935" spans="1:32" ht="17.399999999999999">
      <c r="A935" s="228"/>
      <c r="B935" s="231"/>
      <c r="C935" s="291"/>
      <c r="D935" s="231"/>
      <c r="E935" s="289"/>
      <c r="F935" s="231"/>
      <c r="G935" s="231"/>
      <c r="H935" s="290"/>
      <c r="I935" s="290"/>
      <c r="J935" s="265"/>
      <c r="K935" s="303"/>
      <c r="L935" s="265"/>
      <c r="M935" s="96"/>
      <c r="N935" s="303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  <c r="AA935" s="231"/>
      <c r="AB935" s="231"/>
      <c r="AC935" s="231"/>
      <c r="AD935" s="231"/>
      <c r="AE935" s="231"/>
      <c r="AF935" s="231"/>
    </row>
    <row r="936" spans="1:32" ht="17.399999999999999">
      <c r="A936" s="228"/>
      <c r="B936" s="231"/>
      <c r="C936" s="291"/>
      <c r="D936" s="231"/>
      <c r="E936" s="289"/>
      <c r="F936" s="231"/>
      <c r="G936" s="231"/>
      <c r="H936" s="290"/>
      <c r="I936" s="290"/>
      <c r="J936" s="265"/>
      <c r="K936" s="303"/>
      <c r="L936" s="265"/>
      <c r="M936" s="96"/>
      <c r="N936" s="303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  <c r="AA936" s="231"/>
      <c r="AB936" s="231"/>
      <c r="AC936" s="231"/>
      <c r="AD936" s="231"/>
      <c r="AE936" s="231"/>
      <c r="AF936" s="231"/>
    </row>
    <row r="937" spans="1:32" ht="17.399999999999999">
      <c r="A937" s="228"/>
      <c r="B937" s="231"/>
      <c r="C937" s="291"/>
      <c r="D937" s="231"/>
      <c r="E937" s="289"/>
      <c r="F937" s="231"/>
      <c r="G937" s="231"/>
      <c r="H937" s="290"/>
      <c r="I937" s="290"/>
      <c r="J937" s="265"/>
      <c r="K937" s="303"/>
      <c r="L937" s="265"/>
      <c r="M937" s="96"/>
      <c r="N937" s="303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  <c r="AA937" s="231"/>
      <c r="AB937" s="231"/>
      <c r="AC937" s="231"/>
      <c r="AD937" s="231"/>
      <c r="AE937" s="231"/>
      <c r="AF937" s="231"/>
    </row>
    <row r="938" spans="1:32" ht="17.399999999999999">
      <c r="A938" s="228"/>
      <c r="B938" s="231"/>
      <c r="C938" s="291"/>
      <c r="D938" s="231"/>
      <c r="E938" s="289"/>
      <c r="F938" s="231"/>
      <c r="G938" s="231"/>
      <c r="H938" s="290"/>
      <c r="I938" s="290"/>
      <c r="J938" s="265"/>
      <c r="K938" s="303"/>
      <c r="L938" s="265"/>
      <c r="M938" s="96"/>
      <c r="N938" s="303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  <c r="AA938" s="231"/>
      <c r="AB938" s="231"/>
      <c r="AC938" s="231"/>
      <c r="AD938" s="231"/>
      <c r="AE938" s="231"/>
      <c r="AF938" s="231"/>
    </row>
    <row r="939" spans="1:32" ht="17.399999999999999">
      <c r="A939" s="228"/>
      <c r="B939" s="231"/>
      <c r="C939" s="291"/>
      <c r="D939" s="231"/>
      <c r="E939" s="289"/>
      <c r="F939" s="231"/>
      <c r="G939" s="231"/>
      <c r="H939" s="290"/>
      <c r="I939" s="290"/>
      <c r="J939" s="265"/>
      <c r="K939" s="303"/>
      <c r="L939" s="265"/>
      <c r="M939" s="96"/>
      <c r="N939" s="303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  <c r="AA939" s="231"/>
      <c r="AB939" s="231"/>
      <c r="AC939" s="231"/>
      <c r="AD939" s="231"/>
      <c r="AE939" s="231"/>
      <c r="AF939" s="231"/>
    </row>
    <row r="940" spans="1:32" ht="17.399999999999999">
      <c r="A940" s="228"/>
      <c r="B940" s="231"/>
      <c r="C940" s="291"/>
      <c r="D940" s="231"/>
      <c r="E940" s="289"/>
      <c r="F940" s="231"/>
      <c r="G940" s="231"/>
      <c r="H940" s="290"/>
      <c r="I940" s="290"/>
      <c r="J940" s="265"/>
      <c r="K940" s="303"/>
      <c r="L940" s="265"/>
      <c r="M940" s="96"/>
      <c r="N940" s="303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  <c r="AA940" s="231"/>
      <c r="AB940" s="231"/>
      <c r="AC940" s="231"/>
      <c r="AD940" s="231"/>
      <c r="AE940" s="231"/>
      <c r="AF940" s="231"/>
    </row>
    <row r="941" spans="1:32" ht="17.399999999999999">
      <c r="A941" s="228"/>
      <c r="B941" s="231"/>
      <c r="C941" s="291"/>
      <c r="D941" s="231"/>
      <c r="E941" s="289"/>
      <c r="F941" s="231"/>
      <c r="G941" s="231"/>
      <c r="H941" s="290"/>
      <c r="I941" s="290"/>
      <c r="J941" s="265"/>
      <c r="K941" s="303"/>
      <c r="L941" s="265"/>
      <c r="M941" s="96"/>
      <c r="N941" s="303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  <c r="AA941" s="231"/>
      <c r="AB941" s="231"/>
      <c r="AC941" s="231"/>
      <c r="AD941" s="231"/>
      <c r="AE941" s="231"/>
      <c r="AF941" s="231"/>
    </row>
    <row r="942" spans="1:32" ht="17.399999999999999">
      <c r="A942" s="228"/>
      <c r="B942" s="231"/>
      <c r="C942" s="291"/>
      <c r="D942" s="231"/>
      <c r="E942" s="289"/>
      <c r="F942" s="231"/>
      <c r="G942" s="231"/>
      <c r="H942" s="290"/>
      <c r="I942" s="290"/>
      <c r="J942" s="265"/>
      <c r="K942" s="303"/>
      <c r="L942" s="265"/>
      <c r="M942" s="96"/>
      <c r="N942" s="303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  <c r="AA942" s="231"/>
      <c r="AB942" s="231"/>
      <c r="AC942" s="231"/>
      <c r="AD942" s="231"/>
      <c r="AE942" s="231"/>
      <c r="AF942" s="231"/>
    </row>
    <row r="943" spans="1:32" ht="17.399999999999999">
      <c r="A943" s="228"/>
      <c r="B943" s="231"/>
      <c r="C943" s="291"/>
      <c r="D943" s="231"/>
      <c r="E943" s="289"/>
      <c r="F943" s="231"/>
      <c r="G943" s="231"/>
      <c r="H943" s="290"/>
      <c r="I943" s="290"/>
      <c r="J943" s="265"/>
      <c r="K943" s="303"/>
      <c r="L943" s="265"/>
      <c r="M943" s="96"/>
      <c r="N943" s="303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  <c r="AA943" s="231"/>
      <c r="AB943" s="231"/>
      <c r="AC943" s="231"/>
      <c r="AD943" s="231"/>
      <c r="AE943" s="231"/>
      <c r="AF943" s="231"/>
    </row>
    <row r="944" spans="1:32" ht="17.399999999999999">
      <c r="A944" s="228"/>
      <c r="B944" s="231"/>
      <c r="C944" s="291"/>
      <c r="D944" s="231"/>
      <c r="E944" s="289"/>
      <c r="F944" s="231"/>
      <c r="G944" s="231"/>
      <c r="H944" s="290"/>
      <c r="I944" s="290"/>
      <c r="J944" s="265"/>
      <c r="K944" s="303"/>
      <c r="L944" s="265"/>
      <c r="M944" s="96"/>
      <c r="N944" s="303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  <c r="AA944" s="231"/>
      <c r="AB944" s="231"/>
      <c r="AC944" s="231"/>
      <c r="AD944" s="231"/>
      <c r="AE944" s="231"/>
      <c r="AF944" s="231"/>
    </row>
    <row r="945" spans="1:32" ht="17.399999999999999">
      <c r="A945" s="228"/>
      <c r="B945" s="231"/>
      <c r="C945" s="291"/>
      <c r="D945" s="231"/>
      <c r="E945" s="289"/>
      <c r="F945" s="231"/>
      <c r="G945" s="231"/>
      <c r="H945" s="290"/>
      <c r="I945" s="290"/>
      <c r="J945" s="265"/>
      <c r="K945" s="303"/>
      <c r="L945" s="265"/>
      <c r="M945" s="96"/>
      <c r="N945" s="303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  <c r="AA945" s="231"/>
      <c r="AB945" s="231"/>
      <c r="AC945" s="231"/>
      <c r="AD945" s="231"/>
      <c r="AE945" s="231"/>
      <c r="AF945" s="231"/>
    </row>
    <row r="946" spans="1:32" ht="17.399999999999999">
      <c r="A946" s="228"/>
      <c r="B946" s="231"/>
      <c r="C946" s="291"/>
      <c r="D946" s="231"/>
      <c r="E946" s="289"/>
      <c r="F946" s="231"/>
      <c r="G946" s="231"/>
      <c r="H946" s="290"/>
      <c r="I946" s="290"/>
      <c r="J946" s="265"/>
      <c r="K946" s="303"/>
      <c r="L946" s="265"/>
      <c r="M946" s="96"/>
      <c r="N946" s="303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  <c r="AA946" s="231"/>
      <c r="AB946" s="231"/>
      <c r="AC946" s="231"/>
      <c r="AD946" s="231"/>
      <c r="AE946" s="231"/>
      <c r="AF946" s="231"/>
    </row>
    <row r="947" spans="1:32" ht="17.399999999999999">
      <c r="A947" s="228"/>
      <c r="B947" s="231"/>
      <c r="C947" s="291"/>
      <c r="D947" s="231"/>
      <c r="E947" s="289"/>
      <c r="F947" s="231"/>
      <c r="G947" s="231"/>
      <c r="H947" s="290"/>
      <c r="I947" s="290"/>
      <c r="J947" s="265"/>
      <c r="K947" s="303"/>
      <c r="L947" s="265"/>
      <c r="M947" s="96"/>
      <c r="N947" s="303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  <c r="AA947" s="231"/>
      <c r="AB947" s="231"/>
      <c r="AC947" s="231"/>
      <c r="AD947" s="231"/>
      <c r="AE947" s="231"/>
      <c r="AF947" s="231"/>
    </row>
    <row r="948" spans="1:32" ht="17.399999999999999">
      <c r="A948" s="228"/>
      <c r="B948" s="231"/>
      <c r="C948" s="291"/>
      <c r="D948" s="231"/>
      <c r="E948" s="289"/>
      <c r="F948" s="231"/>
      <c r="G948" s="231"/>
      <c r="H948" s="290"/>
      <c r="I948" s="290"/>
      <c r="J948" s="265"/>
      <c r="K948" s="303"/>
      <c r="L948" s="265"/>
      <c r="M948" s="96"/>
      <c r="N948" s="303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  <c r="AA948" s="231"/>
      <c r="AB948" s="231"/>
      <c r="AC948" s="231"/>
      <c r="AD948" s="231"/>
      <c r="AE948" s="231"/>
      <c r="AF948" s="231"/>
    </row>
    <row r="949" spans="1:32" ht="17.399999999999999">
      <c r="A949" s="228"/>
      <c r="B949" s="231"/>
      <c r="C949" s="291"/>
      <c r="D949" s="231"/>
      <c r="E949" s="289"/>
      <c r="F949" s="231"/>
      <c r="G949" s="231"/>
      <c r="H949" s="290"/>
      <c r="I949" s="290"/>
      <c r="J949" s="265"/>
      <c r="K949" s="303"/>
      <c r="L949" s="265"/>
      <c r="M949" s="96"/>
      <c r="N949" s="303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  <c r="AA949" s="231"/>
      <c r="AB949" s="231"/>
      <c r="AC949" s="231"/>
      <c r="AD949" s="231"/>
      <c r="AE949" s="231"/>
      <c r="AF949" s="231"/>
    </row>
    <row r="950" spans="1:32" ht="17.399999999999999">
      <c r="A950" s="228"/>
      <c r="B950" s="231"/>
      <c r="C950" s="291"/>
      <c r="D950" s="231"/>
      <c r="E950" s="289"/>
      <c r="F950" s="231"/>
      <c r="G950" s="231"/>
      <c r="H950" s="290"/>
      <c r="I950" s="290"/>
      <c r="J950" s="265"/>
      <c r="K950" s="303"/>
      <c r="L950" s="265"/>
      <c r="M950" s="96"/>
      <c r="N950" s="303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  <c r="AA950" s="231"/>
      <c r="AB950" s="231"/>
      <c r="AC950" s="231"/>
      <c r="AD950" s="231"/>
      <c r="AE950" s="231"/>
      <c r="AF950" s="231"/>
    </row>
    <row r="951" spans="1:32" ht="17.399999999999999">
      <c r="A951" s="228"/>
      <c r="B951" s="231"/>
      <c r="C951" s="291"/>
      <c r="D951" s="231"/>
      <c r="E951" s="289"/>
      <c r="F951" s="231"/>
      <c r="G951" s="231"/>
      <c r="H951" s="290"/>
      <c r="I951" s="290"/>
      <c r="J951" s="265"/>
      <c r="K951" s="303"/>
      <c r="L951" s="265"/>
      <c r="M951" s="96"/>
      <c r="N951" s="303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  <c r="AA951" s="231"/>
      <c r="AB951" s="231"/>
      <c r="AC951" s="231"/>
      <c r="AD951" s="231"/>
      <c r="AE951" s="231"/>
      <c r="AF951" s="231"/>
    </row>
    <row r="952" spans="1:32" ht="17.399999999999999">
      <c r="A952" s="228"/>
      <c r="B952" s="231"/>
      <c r="C952" s="291"/>
      <c r="D952" s="231"/>
      <c r="E952" s="289"/>
      <c r="F952" s="231"/>
      <c r="G952" s="231"/>
      <c r="H952" s="290"/>
      <c r="I952" s="290"/>
      <c r="J952" s="265"/>
      <c r="K952" s="303"/>
      <c r="L952" s="265"/>
      <c r="M952" s="96"/>
      <c r="N952" s="303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  <c r="AA952" s="231"/>
      <c r="AB952" s="231"/>
      <c r="AC952" s="231"/>
      <c r="AD952" s="231"/>
      <c r="AE952" s="231"/>
      <c r="AF952" s="231"/>
    </row>
    <row r="953" spans="1:32" ht="17.399999999999999">
      <c r="A953" s="228"/>
      <c r="B953" s="231"/>
      <c r="C953" s="291"/>
      <c r="D953" s="231"/>
      <c r="E953" s="289"/>
      <c r="F953" s="231"/>
      <c r="G953" s="231"/>
      <c r="H953" s="290"/>
      <c r="I953" s="290"/>
      <c r="J953" s="265"/>
      <c r="K953" s="303"/>
      <c r="L953" s="265"/>
      <c r="M953" s="96"/>
      <c r="N953" s="303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  <c r="AA953" s="231"/>
      <c r="AB953" s="231"/>
      <c r="AC953" s="231"/>
      <c r="AD953" s="231"/>
      <c r="AE953" s="231"/>
      <c r="AF953" s="231"/>
    </row>
    <row r="954" spans="1:32" ht="17.399999999999999">
      <c r="A954" s="228"/>
      <c r="B954" s="231"/>
      <c r="C954" s="291"/>
      <c r="D954" s="231"/>
      <c r="E954" s="289"/>
      <c r="F954" s="231"/>
      <c r="G954" s="231"/>
      <c r="H954" s="290"/>
      <c r="I954" s="290"/>
      <c r="J954" s="265"/>
      <c r="K954" s="303"/>
      <c r="L954" s="265"/>
      <c r="M954" s="96"/>
      <c r="N954" s="303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  <c r="AA954" s="231"/>
      <c r="AB954" s="231"/>
      <c r="AC954" s="231"/>
      <c r="AD954" s="231"/>
      <c r="AE954" s="231"/>
      <c r="AF954" s="231"/>
    </row>
    <row r="955" spans="1:32" ht="17.399999999999999">
      <c r="A955" s="228"/>
      <c r="B955" s="231"/>
      <c r="C955" s="291"/>
      <c r="D955" s="231"/>
      <c r="E955" s="289"/>
      <c r="F955" s="231"/>
      <c r="G955" s="231"/>
      <c r="H955" s="290"/>
      <c r="I955" s="290"/>
      <c r="J955" s="265"/>
      <c r="K955" s="303"/>
      <c r="L955" s="265"/>
      <c r="M955" s="96"/>
      <c r="N955" s="303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  <c r="AA955" s="231"/>
      <c r="AB955" s="231"/>
      <c r="AC955" s="231"/>
      <c r="AD955" s="231"/>
      <c r="AE955" s="231"/>
      <c r="AF955" s="231"/>
    </row>
    <row r="956" spans="1:32" ht="17.399999999999999">
      <c r="A956" s="228"/>
      <c r="B956" s="231"/>
      <c r="C956" s="291"/>
      <c r="D956" s="231"/>
      <c r="E956" s="289"/>
      <c r="F956" s="231"/>
      <c r="G956" s="231"/>
      <c r="H956" s="290"/>
      <c r="I956" s="290"/>
      <c r="J956" s="265"/>
      <c r="K956" s="303"/>
      <c r="L956" s="265"/>
      <c r="M956" s="96"/>
      <c r="N956" s="303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  <c r="AA956" s="231"/>
      <c r="AB956" s="231"/>
      <c r="AC956" s="231"/>
      <c r="AD956" s="231"/>
      <c r="AE956" s="231"/>
      <c r="AF956" s="231"/>
    </row>
    <row r="957" spans="1:32" ht="17.399999999999999">
      <c r="A957" s="228"/>
      <c r="B957" s="231"/>
      <c r="C957" s="291"/>
      <c r="D957" s="231"/>
      <c r="E957" s="289"/>
      <c r="F957" s="231"/>
      <c r="G957" s="231"/>
      <c r="H957" s="290"/>
      <c r="I957" s="290"/>
      <c r="J957" s="265"/>
      <c r="K957" s="303"/>
      <c r="L957" s="265"/>
      <c r="M957" s="96"/>
      <c r="N957" s="303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  <c r="AA957" s="231"/>
      <c r="AB957" s="231"/>
      <c r="AC957" s="231"/>
      <c r="AD957" s="231"/>
      <c r="AE957" s="231"/>
      <c r="AF957" s="231"/>
    </row>
    <row r="958" spans="1:32" ht="17.399999999999999">
      <c r="A958" s="228"/>
      <c r="B958" s="231"/>
      <c r="C958" s="291"/>
      <c r="D958" s="231"/>
      <c r="E958" s="289"/>
      <c r="F958" s="231"/>
      <c r="G958" s="231"/>
      <c r="H958" s="290"/>
      <c r="I958" s="290"/>
      <c r="J958" s="265"/>
      <c r="K958" s="303"/>
      <c r="L958" s="265"/>
      <c r="M958" s="96"/>
      <c r="N958" s="303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  <c r="AA958" s="231"/>
      <c r="AB958" s="231"/>
      <c r="AC958" s="231"/>
      <c r="AD958" s="231"/>
      <c r="AE958" s="231"/>
      <c r="AF958" s="231"/>
    </row>
    <row r="959" spans="1:32" ht="17.399999999999999">
      <c r="A959" s="228"/>
      <c r="B959" s="231"/>
      <c r="C959" s="291"/>
      <c r="D959" s="231"/>
      <c r="E959" s="289"/>
      <c r="F959" s="231"/>
      <c r="G959" s="231"/>
      <c r="H959" s="290"/>
      <c r="I959" s="290"/>
      <c r="J959" s="265"/>
      <c r="K959" s="303"/>
      <c r="L959" s="265"/>
      <c r="M959" s="96"/>
      <c r="N959" s="303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  <c r="AA959" s="231"/>
      <c r="AB959" s="231"/>
      <c r="AC959" s="231"/>
      <c r="AD959" s="231"/>
      <c r="AE959" s="231"/>
      <c r="AF959" s="231"/>
    </row>
    <row r="960" spans="1:32" ht="17.399999999999999">
      <c r="A960" s="228"/>
      <c r="B960" s="231"/>
      <c r="C960" s="291"/>
      <c r="D960" s="231"/>
      <c r="E960" s="289"/>
      <c r="F960" s="231"/>
      <c r="G960" s="231"/>
      <c r="H960" s="290"/>
      <c r="I960" s="290"/>
      <c r="J960" s="265"/>
      <c r="K960" s="303"/>
      <c r="L960" s="265"/>
      <c r="M960" s="96"/>
      <c r="N960" s="303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  <c r="AA960" s="231"/>
      <c r="AB960" s="231"/>
      <c r="AC960" s="231"/>
      <c r="AD960" s="231"/>
      <c r="AE960" s="231"/>
      <c r="AF960" s="231"/>
    </row>
    <row r="961" spans="1:32" ht="17.399999999999999">
      <c r="A961" s="228"/>
      <c r="B961" s="231"/>
      <c r="C961" s="291"/>
      <c r="D961" s="231"/>
      <c r="E961" s="289"/>
      <c r="F961" s="231"/>
      <c r="G961" s="231"/>
      <c r="H961" s="290"/>
      <c r="I961" s="290"/>
      <c r="J961" s="265"/>
      <c r="K961" s="303"/>
      <c r="L961" s="265"/>
      <c r="M961" s="96"/>
      <c r="N961" s="303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  <c r="AA961" s="231"/>
      <c r="AB961" s="231"/>
      <c r="AC961" s="231"/>
      <c r="AD961" s="231"/>
      <c r="AE961" s="231"/>
      <c r="AF961" s="231"/>
    </row>
    <row r="962" spans="1:32" ht="17.399999999999999">
      <c r="A962" s="228"/>
      <c r="B962" s="231"/>
      <c r="C962" s="291"/>
      <c r="D962" s="231"/>
      <c r="E962" s="289"/>
      <c r="F962" s="231"/>
      <c r="G962" s="231"/>
      <c r="H962" s="290"/>
      <c r="I962" s="290"/>
      <c r="J962" s="265"/>
      <c r="K962" s="303"/>
      <c r="L962" s="265"/>
      <c r="M962" s="96"/>
      <c r="N962" s="303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  <c r="AA962" s="231"/>
      <c r="AB962" s="231"/>
      <c r="AC962" s="231"/>
      <c r="AD962" s="231"/>
      <c r="AE962" s="231"/>
      <c r="AF962" s="231"/>
    </row>
    <row r="963" spans="1:32" ht="17.399999999999999">
      <c r="A963" s="228"/>
      <c r="B963" s="231"/>
      <c r="C963" s="291"/>
      <c r="D963" s="231"/>
      <c r="E963" s="289"/>
      <c r="F963" s="231"/>
      <c r="G963" s="231"/>
      <c r="H963" s="290"/>
      <c r="I963" s="290"/>
      <c r="J963" s="265"/>
      <c r="K963" s="303"/>
      <c r="L963" s="265"/>
      <c r="M963" s="96"/>
      <c r="N963" s="303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  <c r="AA963" s="231"/>
      <c r="AB963" s="231"/>
      <c r="AC963" s="231"/>
      <c r="AD963" s="231"/>
      <c r="AE963" s="231"/>
      <c r="AF963" s="231"/>
    </row>
    <row r="964" spans="1:32" ht="17.399999999999999">
      <c r="A964" s="228"/>
      <c r="B964" s="231"/>
      <c r="C964" s="291"/>
      <c r="D964" s="231"/>
      <c r="E964" s="289"/>
      <c r="F964" s="231"/>
      <c r="G964" s="231"/>
      <c r="H964" s="290"/>
      <c r="I964" s="290"/>
      <c r="J964" s="265"/>
      <c r="K964" s="303"/>
      <c r="L964" s="265"/>
      <c r="M964" s="96"/>
      <c r="N964" s="303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  <c r="AA964" s="231"/>
      <c r="AB964" s="231"/>
      <c r="AC964" s="231"/>
      <c r="AD964" s="231"/>
      <c r="AE964" s="231"/>
      <c r="AF964" s="231"/>
    </row>
    <row r="965" spans="1:32" ht="17.399999999999999">
      <c r="A965" s="228"/>
      <c r="B965" s="231"/>
      <c r="C965" s="291"/>
      <c r="D965" s="231"/>
      <c r="E965" s="289"/>
      <c r="F965" s="231"/>
      <c r="G965" s="231"/>
      <c r="H965" s="290"/>
      <c r="I965" s="290"/>
      <c r="J965" s="265"/>
      <c r="K965" s="303"/>
      <c r="L965" s="265"/>
      <c r="M965" s="96"/>
      <c r="N965" s="303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  <c r="AA965" s="231"/>
      <c r="AB965" s="231"/>
      <c r="AC965" s="231"/>
      <c r="AD965" s="231"/>
      <c r="AE965" s="231"/>
      <c r="AF965" s="231"/>
    </row>
    <row r="966" spans="1:32" ht="17.399999999999999">
      <c r="A966" s="228"/>
      <c r="B966" s="231"/>
      <c r="C966" s="291"/>
      <c r="D966" s="231"/>
      <c r="E966" s="289"/>
      <c r="F966" s="231"/>
      <c r="G966" s="231"/>
      <c r="H966" s="290"/>
      <c r="I966" s="290"/>
      <c r="J966" s="265"/>
      <c r="K966" s="303"/>
      <c r="L966" s="265"/>
      <c r="M966" s="96"/>
      <c r="N966" s="303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  <c r="AA966" s="231"/>
      <c r="AB966" s="231"/>
      <c r="AC966" s="231"/>
      <c r="AD966" s="231"/>
      <c r="AE966" s="231"/>
      <c r="AF966" s="231"/>
    </row>
    <row r="967" spans="1:32" ht="17.399999999999999">
      <c r="A967" s="228"/>
      <c r="B967" s="231"/>
      <c r="C967" s="291"/>
      <c r="D967" s="231"/>
      <c r="E967" s="289"/>
      <c r="F967" s="231"/>
      <c r="G967" s="231"/>
      <c r="H967" s="290"/>
      <c r="I967" s="290"/>
      <c r="J967" s="265"/>
      <c r="K967" s="303"/>
      <c r="L967" s="265"/>
      <c r="M967" s="96"/>
      <c r="N967" s="303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  <c r="AA967" s="231"/>
      <c r="AB967" s="231"/>
      <c r="AC967" s="231"/>
      <c r="AD967" s="231"/>
      <c r="AE967" s="231"/>
      <c r="AF967" s="231"/>
    </row>
    <row r="968" spans="1:32" ht="17.399999999999999">
      <c r="A968" s="228"/>
      <c r="B968" s="231"/>
      <c r="C968" s="291"/>
      <c r="D968" s="231"/>
      <c r="E968" s="289"/>
      <c r="F968" s="231"/>
      <c r="G968" s="231"/>
      <c r="H968" s="290"/>
      <c r="I968" s="290"/>
      <c r="J968" s="265"/>
      <c r="K968" s="303"/>
      <c r="L968" s="265"/>
      <c r="M968" s="96"/>
      <c r="N968" s="303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  <c r="AA968" s="231"/>
      <c r="AB968" s="231"/>
      <c r="AC968" s="231"/>
      <c r="AD968" s="231"/>
      <c r="AE968" s="231"/>
      <c r="AF968" s="231"/>
    </row>
    <row r="969" spans="1:32" ht="17.399999999999999">
      <c r="A969" s="228"/>
      <c r="B969" s="231"/>
      <c r="C969" s="291"/>
      <c r="D969" s="231"/>
      <c r="E969" s="289"/>
      <c r="F969" s="231"/>
      <c r="G969" s="231"/>
      <c r="H969" s="290"/>
      <c r="I969" s="290"/>
      <c r="J969" s="265"/>
      <c r="K969" s="303"/>
      <c r="L969" s="265"/>
      <c r="M969" s="96"/>
      <c r="N969" s="303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  <c r="AA969" s="231"/>
      <c r="AB969" s="231"/>
      <c r="AC969" s="231"/>
      <c r="AD969" s="231"/>
      <c r="AE969" s="231"/>
      <c r="AF969" s="231"/>
    </row>
    <row r="970" spans="1:32" ht="17.399999999999999">
      <c r="A970" s="228"/>
      <c r="B970" s="231"/>
      <c r="C970" s="291"/>
      <c r="D970" s="231"/>
      <c r="E970" s="289"/>
      <c r="F970" s="231"/>
      <c r="G970" s="231"/>
      <c r="H970" s="290"/>
      <c r="I970" s="290"/>
      <c r="J970" s="265"/>
      <c r="K970" s="303"/>
      <c r="L970" s="265"/>
      <c r="M970" s="96"/>
      <c r="N970" s="303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  <c r="AA970" s="231"/>
      <c r="AB970" s="231"/>
      <c r="AC970" s="231"/>
      <c r="AD970" s="231"/>
      <c r="AE970" s="231"/>
      <c r="AF970" s="231"/>
    </row>
    <row r="971" spans="1:32" ht="17.399999999999999">
      <c r="A971" s="228"/>
      <c r="B971" s="231"/>
      <c r="C971" s="291"/>
      <c r="D971" s="231"/>
      <c r="E971" s="289"/>
      <c r="F971" s="231"/>
      <c r="G971" s="231"/>
      <c r="H971" s="290"/>
      <c r="I971" s="290"/>
      <c r="J971" s="265"/>
      <c r="K971" s="303"/>
      <c r="L971" s="265"/>
      <c r="M971" s="96"/>
      <c r="N971" s="303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  <c r="AA971" s="231"/>
      <c r="AB971" s="231"/>
      <c r="AC971" s="231"/>
      <c r="AD971" s="231"/>
      <c r="AE971" s="231"/>
      <c r="AF971" s="231"/>
    </row>
    <row r="972" spans="1:32" ht="17.399999999999999">
      <c r="A972" s="228"/>
      <c r="B972" s="231"/>
      <c r="C972" s="291"/>
      <c r="D972" s="231"/>
      <c r="E972" s="289"/>
      <c r="F972" s="231"/>
      <c r="G972" s="231"/>
      <c r="H972" s="290"/>
      <c r="I972" s="290"/>
      <c r="J972" s="265"/>
      <c r="K972" s="303"/>
      <c r="L972" s="265"/>
      <c r="M972" s="96"/>
      <c r="N972" s="303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  <c r="AA972" s="231"/>
      <c r="AB972" s="231"/>
      <c r="AC972" s="231"/>
      <c r="AD972" s="231"/>
      <c r="AE972" s="231"/>
      <c r="AF972" s="231"/>
    </row>
    <row r="973" spans="1:32" ht="17.399999999999999">
      <c r="A973" s="228"/>
      <c r="B973" s="231"/>
      <c r="C973" s="291"/>
      <c r="D973" s="231"/>
      <c r="E973" s="289"/>
      <c r="F973" s="231"/>
      <c r="G973" s="231"/>
      <c r="H973" s="290"/>
      <c r="I973" s="290"/>
      <c r="J973" s="265"/>
      <c r="K973" s="303"/>
      <c r="L973" s="265"/>
      <c r="M973" s="96"/>
      <c r="N973" s="303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  <c r="AA973" s="231"/>
      <c r="AB973" s="231"/>
      <c r="AC973" s="231"/>
      <c r="AD973" s="231"/>
      <c r="AE973" s="231"/>
      <c r="AF973" s="231"/>
    </row>
    <row r="974" spans="1:32" ht="17.399999999999999">
      <c r="A974" s="228"/>
      <c r="B974" s="231"/>
      <c r="C974" s="291"/>
      <c r="D974" s="231"/>
      <c r="E974" s="289"/>
      <c r="F974" s="231"/>
      <c r="G974" s="231"/>
      <c r="H974" s="290"/>
      <c r="I974" s="290"/>
      <c r="J974" s="265"/>
      <c r="K974" s="303"/>
      <c r="L974" s="265"/>
      <c r="M974" s="96"/>
      <c r="N974" s="303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  <c r="AA974" s="231"/>
      <c r="AB974" s="231"/>
      <c r="AC974" s="231"/>
      <c r="AD974" s="231"/>
      <c r="AE974" s="231"/>
      <c r="AF974" s="231"/>
    </row>
    <row r="975" spans="1:32" ht="17.399999999999999">
      <c r="A975" s="228"/>
      <c r="B975" s="231"/>
      <c r="C975" s="291"/>
      <c r="D975" s="231"/>
      <c r="E975" s="289"/>
      <c r="F975" s="231"/>
      <c r="G975" s="231"/>
      <c r="H975" s="290"/>
      <c r="I975" s="290"/>
      <c r="J975" s="265"/>
      <c r="K975" s="303"/>
      <c r="L975" s="265"/>
      <c r="M975" s="96"/>
      <c r="N975" s="303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  <c r="AA975" s="231"/>
      <c r="AB975" s="231"/>
      <c r="AC975" s="231"/>
      <c r="AD975" s="231"/>
      <c r="AE975" s="231"/>
      <c r="AF975" s="231"/>
    </row>
    <row r="976" spans="1:32" ht="17.399999999999999">
      <c r="A976" s="228"/>
      <c r="B976" s="231"/>
      <c r="C976" s="291"/>
      <c r="D976" s="231"/>
      <c r="E976" s="289"/>
      <c r="F976" s="231"/>
      <c r="G976" s="231"/>
      <c r="H976" s="290"/>
      <c r="I976" s="290"/>
      <c r="J976" s="265"/>
      <c r="K976" s="303"/>
      <c r="L976" s="265"/>
      <c r="M976" s="96"/>
      <c r="N976" s="303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  <c r="AA976" s="231"/>
      <c r="AB976" s="231"/>
      <c r="AC976" s="231"/>
      <c r="AD976" s="231"/>
      <c r="AE976" s="231"/>
      <c r="AF976" s="231"/>
    </row>
    <row r="977" spans="1:32" ht="17.399999999999999">
      <c r="A977" s="228"/>
      <c r="B977" s="231"/>
      <c r="C977" s="291"/>
      <c r="D977" s="231"/>
      <c r="E977" s="289"/>
      <c r="F977" s="231"/>
      <c r="G977" s="231"/>
      <c r="H977" s="290"/>
      <c r="I977" s="290"/>
      <c r="J977" s="265"/>
      <c r="K977" s="303"/>
      <c r="L977" s="265"/>
      <c r="M977" s="96"/>
      <c r="N977" s="303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  <c r="AA977" s="231"/>
      <c r="AB977" s="231"/>
      <c r="AC977" s="231"/>
      <c r="AD977" s="231"/>
      <c r="AE977" s="231"/>
      <c r="AF977" s="231"/>
    </row>
    <row r="978" spans="1:32" ht="17.399999999999999">
      <c r="A978" s="228"/>
      <c r="B978" s="231"/>
      <c r="C978" s="291"/>
      <c r="D978" s="231"/>
      <c r="E978" s="289"/>
      <c r="F978" s="231"/>
      <c r="G978" s="231"/>
      <c r="H978" s="290"/>
      <c r="I978" s="290"/>
      <c r="J978" s="265"/>
      <c r="K978" s="303"/>
      <c r="L978" s="265"/>
      <c r="M978" s="96"/>
      <c r="N978" s="303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  <c r="AA978" s="231"/>
      <c r="AB978" s="231"/>
      <c r="AC978" s="231"/>
      <c r="AD978" s="231"/>
      <c r="AE978" s="231"/>
      <c r="AF978" s="231"/>
    </row>
    <row r="979" spans="1:32" ht="17.399999999999999">
      <c r="A979" s="228"/>
      <c r="B979" s="231"/>
      <c r="C979" s="291"/>
      <c r="D979" s="231"/>
      <c r="E979" s="289"/>
      <c r="F979" s="231"/>
      <c r="G979" s="231"/>
      <c r="H979" s="290"/>
      <c r="I979" s="290"/>
      <c r="J979" s="265"/>
      <c r="K979" s="303"/>
      <c r="L979" s="265"/>
      <c r="M979" s="96"/>
      <c r="N979" s="303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  <c r="AA979" s="231"/>
      <c r="AB979" s="231"/>
      <c r="AC979" s="231"/>
      <c r="AD979" s="231"/>
      <c r="AE979" s="231"/>
      <c r="AF979" s="231"/>
    </row>
    <row r="980" spans="1:32" ht="17.399999999999999">
      <c r="A980" s="228"/>
      <c r="B980" s="231"/>
      <c r="C980" s="291"/>
      <c r="D980" s="231"/>
      <c r="E980" s="289"/>
      <c r="F980" s="231"/>
      <c r="G980" s="231"/>
      <c r="H980" s="290"/>
      <c r="I980" s="290"/>
      <c r="J980" s="265"/>
      <c r="K980" s="303"/>
      <c r="L980" s="265"/>
      <c r="M980" s="96"/>
      <c r="N980" s="303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  <c r="AA980" s="231"/>
      <c r="AB980" s="231"/>
      <c r="AC980" s="231"/>
      <c r="AD980" s="231"/>
      <c r="AE980" s="231"/>
      <c r="AF980" s="231"/>
    </row>
    <row r="981" spans="1:32" ht="17.399999999999999">
      <c r="A981" s="228"/>
      <c r="B981" s="231"/>
      <c r="C981" s="291"/>
      <c r="D981" s="231"/>
      <c r="E981" s="289"/>
      <c r="F981" s="231"/>
      <c r="G981" s="231"/>
      <c r="H981" s="290"/>
      <c r="I981" s="290"/>
      <c r="J981" s="265"/>
      <c r="K981" s="303"/>
      <c r="L981" s="265"/>
      <c r="M981" s="96"/>
      <c r="N981" s="303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  <c r="AA981" s="231"/>
      <c r="AB981" s="231"/>
      <c r="AC981" s="231"/>
      <c r="AD981" s="231"/>
      <c r="AE981" s="231"/>
      <c r="AF981" s="231"/>
    </row>
    <row r="982" spans="1:32" ht="17.399999999999999">
      <c r="A982" s="228"/>
      <c r="B982" s="231"/>
      <c r="C982" s="291"/>
      <c r="D982" s="231"/>
      <c r="E982" s="289"/>
      <c r="F982" s="231"/>
      <c r="G982" s="231"/>
      <c r="H982" s="290"/>
      <c r="I982" s="290"/>
      <c r="J982" s="265"/>
      <c r="K982" s="303"/>
      <c r="L982" s="265"/>
      <c r="M982" s="96"/>
      <c r="N982" s="303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  <c r="AA982" s="231"/>
      <c r="AB982" s="231"/>
      <c r="AC982" s="231"/>
      <c r="AD982" s="231"/>
      <c r="AE982" s="231"/>
      <c r="AF982" s="231"/>
    </row>
    <row r="983" spans="1:32" ht="17.399999999999999">
      <c r="A983" s="228"/>
      <c r="B983" s="231"/>
      <c r="C983" s="291"/>
      <c r="D983" s="231"/>
      <c r="E983" s="289"/>
      <c r="F983" s="231"/>
      <c r="G983" s="231"/>
      <c r="H983" s="290"/>
      <c r="I983" s="290"/>
      <c r="J983" s="265"/>
      <c r="K983" s="303"/>
      <c r="L983" s="265"/>
      <c r="M983" s="96"/>
      <c r="N983" s="303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  <c r="AA983" s="231"/>
      <c r="AB983" s="231"/>
      <c r="AC983" s="231"/>
      <c r="AD983" s="231"/>
      <c r="AE983" s="231"/>
      <c r="AF983" s="231"/>
    </row>
    <row r="984" spans="1:32" ht="17.399999999999999">
      <c r="A984" s="228"/>
      <c r="B984" s="231"/>
      <c r="C984" s="291"/>
      <c r="D984" s="231"/>
      <c r="E984" s="289"/>
      <c r="F984" s="231"/>
      <c r="G984" s="231"/>
      <c r="H984" s="290"/>
      <c r="I984" s="290"/>
      <c r="J984" s="265"/>
      <c r="K984" s="303"/>
      <c r="L984" s="265"/>
      <c r="M984" s="96"/>
      <c r="N984" s="303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  <c r="AA984" s="231"/>
      <c r="AB984" s="231"/>
      <c r="AC984" s="231"/>
      <c r="AD984" s="231"/>
      <c r="AE984" s="231"/>
      <c r="AF984" s="231"/>
    </row>
    <row r="985" spans="1:32" ht="17.399999999999999">
      <c r="A985" s="228"/>
      <c r="B985" s="231"/>
      <c r="C985" s="291"/>
      <c r="D985" s="231"/>
      <c r="E985" s="289"/>
      <c r="F985" s="231"/>
      <c r="G985" s="231"/>
      <c r="H985" s="290"/>
      <c r="I985" s="290"/>
      <c r="J985" s="265"/>
      <c r="K985" s="303"/>
      <c r="L985" s="265"/>
      <c r="M985" s="96"/>
      <c r="N985" s="303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  <c r="AA985" s="231"/>
      <c r="AB985" s="231"/>
      <c r="AC985" s="231"/>
      <c r="AD985" s="231"/>
      <c r="AE985" s="231"/>
      <c r="AF985" s="231"/>
    </row>
    <row r="986" spans="1:32" ht="17.399999999999999">
      <c r="A986" s="228"/>
      <c r="B986" s="231"/>
      <c r="C986" s="291"/>
      <c r="D986" s="231"/>
      <c r="E986" s="289"/>
      <c r="F986" s="231"/>
      <c r="G986" s="231"/>
      <c r="H986" s="290"/>
      <c r="I986" s="290"/>
      <c r="J986" s="265"/>
      <c r="K986" s="303"/>
      <c r="L986" s="265"/>
      <c r="M986" s="96"/>
      <c r="N986" s="303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  <c r="AA986" s="231"/>
      <c r="AB986" s="231"/>
      <c r="AC986" s="231"/>
      <c r="AD986" s="231"/>
      <c r="AE986" s="231"/>
      <c r="AF986" s="231"/>
    </row>
    <row r="987" spans="1:32" ht="17.399999999999999">
      <c r="A987" s="228"/>
      <c r="B987" s="231"/>
      <c r="C987" s="291"/>
      <c r="D987" s="231"/>
      <c r="E987" s="289"/>
      <c r="F987" s="231"/>
      <c r="G987" s="231"/>
      <c r="H987" s="290"/>
      <c r="I987" s="290"/>
      <c r="J987" s="265"/>
      <c r="K987" s="303"/>
      <c r="L987" s="265"/>
      <c r="M987" s="96"/>
      <c r="N987" s="303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  <c r="AA987" s="231"/>
      <c r="AB987" s="231"/>
      <c r="AC987" s="231"/>
      <c r="AD987" s="231"/>
      <c r="AE987" s="231"/>
      <c r="AF987" s="231"/>
    </row>
    <row r="988" spans="1:32" ht="17.399999999999999">
      <c r="A988" s="228"/>
      <c r="B988" s="231"/>
      <c r="C988" s="291"/>
      <c r="D988" s="231"/>
      <c r="E988" s="289"/>
      <c r="F988" s="231"/>
      <c r="G988" s="231"/>
      <c r="H988" s="290"/>
      <c r="I988" s="290"/>
      <c r="J988" s="265"/>
      <c r="K988" s="303"/>
      <c r="L988" s="265"/>
      <c r="M988" s="96"/>
      <c r="N988" s="303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  <c r="AA988" s="231"/>
      <c r="AB988" s="231"/>
      <c r="AC988" s="231"/>
      <c r="AD988" s="231"/>
      <c r="AE988" s="231"/>
      <c r="AF988" s="231"/>
    </row>
    <row r="989" spans="1:32" ht="17.399999999999999">
      <c r="A989" s="228"/>
      <c r="B989" s="231"/>
      <c r="C989" s="291"/>
      <c r="D989" s="231"/>
      <c r="E989" s="289"/>
      <c r="F989" s="231"/>
      <c r="G989" s="231"/>
      <c r="H989" s="290"/>
      <c r="I989" s="290"/>
      <c r="J989" s="265"/>
      <c r="K989" s="303"/>
      <c r="L989" s="265"/>
      <c r="M989" s="96"/>
      <c r="N989" s="303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  <c r="AA989" s="231"/>
      <c r="AB989" s="231"/>
      <c r="AC989" s="231"/>
      <c r="AD989" s="231"/>
      <c r="AE989" s="231"/>
      <c r="AF989" s="231"/>
    </row>
    <row r="990" spans="1:32" ht="17.399999999999999">
      <c r="A990" s="228"/>
      <c r="B990" s="231"/>
      <c r="C990" s="291"/>
      <c r="D990" s="231"/>
      <c r="E990" s="289"/>
      <c r="F990" s="231"/>
      <c r="G990" s="231"/>
      <c r="H990" s="290"/>
      <c r="I990" s="290"/>
      <c r="J990" s="265"/>
      <c r="K990" s="303"/>
      <c r="L990" s="265"/>
      <c r="M990" s="96"/>
      <c r="N990" s="303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  <c r="AA990" s="231"/>
      <c r="AB990" s="231"/>
      <c r="AC990" s="231"/>
      <c r="AD990" s="231"/>
      <c r="AE990" s="231"/>
      <c r="AF990" s="231"/>
    </row>
    <row r="991" spans="1:32" ht="17.399999999999999">
      <c r="A991" s="228"/>
      <c r="B991" s="231"/>
      <c r="C991" s="291"/>
      <c r="D991" s="231"/>
      <c r="E991" s="289"/>
      <c r="F991" s="231"/>
      <c r="G991" s="231"/>
      <c r="H991" s="290"/>
      <c r="I991" s="290"/>
      <c r="J991" s="265"/>
      <c r="K991" s="303"/>
      <c r="L991" s="265"/>
      <c r="M991" s="96"/>
      <c r="N991" s="303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  <c r="AA991" s="231"/>
      <c r="AB991" s="231"/>
      <c r="AC991" s="231"/>
      <c r="AD991" s="231"/>
      <c r="AE991" s="231"/>
      <c r="AF991" s="231"/>
    </row>
    <row r="992" spans="1:32" ht="17.399999999999999">
      <c r="A992" s="228"/>
      <c r="B992" s="231"/>
      <c r="C992" s="291"/>
      <c r="D992" s="231"/>
      <c r="E992" s="289"/>
      <c r="F992" s="231"/>
      <c r="G992" s="231"/>
      <c r="H992" s="290"/>
      <c r="I992" s="290"/>
      <c r="J992" s="265"/>
      <c r="K992" s="303"/>
      <c r="L992" s="265"/>
      <c r="M992" s="96"/>
      <c r="N992" s="303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  <c r="AA992" s="231"/>
      <c r="AB992" s="231"/>
      <c r="AC992" s="231"/>
      <c r="AD992" s="231"/>
      <c r="AE992" s="231"/>
      <c r="AF992" s="231"/>
    </row>
    <row r="993" spans="1:32" ht="17.399999999999999">
      <c r="A993" s="228"/>
      <c r="B993" s="231"/>
      <c r="C993" s="291"/>
      <c r="D993" s="231"/>
      <c r="E993" s="289"/>
      <c r="F993" s="231"/>
      <c r="G993" s="231"/>
      <c r="H993" s="290"/>
      <c r="I993" s="290"/>
      <c r="J993" s="265"/>
      <c r="K993" s="303"/>
      <c r="L993" s="265"/>
      <c r="M993" s="96"/>
      <c r="N993" s="303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  <c r="AA993" s="231"/>
      <c r="AB993" s="231"/>
      <c r="AC993" s="231"/>
      <c r="AD993" s="231"/>
      <c r="AE993" s="231"/>
      <c r="AF993" s="231"/>
    </row>
    <row r="994" spans="1:32" ht="17.399999999999999">
      <c r="A994" s="228"/>
      <c r="B994" s="231"/>
      <c r="C994" s="291"/>
      <c r="D994" s="231"/>
      <c r="E994" s="289"/>
      <c r="F994" s="231"/>
      <c r="G994" s="231"/>
      <c r="H994" s="290"/>
      <c r="I994" s="290"/>
      <c r="J994" s="265"/>
      <c r="K994" s="303"/>
      <c r="L994" s="265"/>
      <c r="M994" s="96"/>
      <c r="N994" s="303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  <c r="AA994" s="231"/>
      <c r="AB994" s="231"/>
      <c r="AC994" s="231"/>
      <c r="AD994" s="231"/>
      <c r="AE994" s="231"/>
      <c r="AF994" s="231"/>
    </row>
    <row r="995" spans="1:32" ht="17.399999999999999">
      <c r="A995" s="228"/>
      <c r="B995" s="231"/>
      <c r="C995" s="291"/>
      <c r="D995" s="231"/>
      <c r="E995" s="289"/>
      <c r="F995" s="231"/>
      <c r="G995" s="231"/>
      <c r="H995" s="290"/>
      <c r="I995" s="290"/>
      <c r="J995" s="265"/>
      <c r="K995" s="303"/>
      <c r="L995" s="265"/>
      <c r="M995" s="96"/>
      <c r="N995" s="303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  <c r="AA995" s="231"/>
      <c r="AB995" s="231"/>
      <c r="AC995" s="231"/>
      <c r="AD995" s="231"/>
      <c r="AE995" s="231"/>
      <c r="AF995" s="231"/>
    </row>
    <row r="996" spans="1:32" ht="17.399999999999999">
      <c r="A996" s="228"/>
      <c r="B996" s="231"/>
      <c r="C996" s="291"/>
      <c r="D996" s="231"/>
      <c r="E996" s="289"/>
      <c r="F996" s="231"/>
      <c r="G996" s="231"/>
      <c r="H996" s="290"/>
      <c r="I996" s="290"/>
      <c r="J996" s="265"/>
      <c r="K996" s="303"/>
      <c r="L996" s="265"/>
      <c r="M996" s="96"/>
      <c r="N996" s="303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  <c r="AA996" s="231"/>
      <c r="AB996" s="231"/>
      <c r="AC996" s="231"/>
      <c r="AD996" s="231"/>
      <c r="AE996" s="231"/>
      <c r="AF996" s="231"/>
    </row>
    <row r="997" spans="1:32" ht="17.399999999999999">
      <c r="A997" s="228"/>
      <c r="B997" s="231"/>
      <c r="C997" s="291"/>
      <c r="D997" s="231"/>
      <c r="E997" s="289"/>
      <c r="F997" s="231"/>
      <c r="G997" s="231"/>
      <c r="H997" s="290"/>
      <c r="I997" s="290"/>
      <c r="J997" s="265"/>
      <c r="K997" s="303"/>
      <c r="L997" s="265"/>
      <c r="M997" s="96"/>
      <c r="N997" s="303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  <c r="AA997" s="231"/>
      <c r="AB997" s="231"/>
      <c r="AC997" s="231"/>
      <c r="AD997" s="231"/>
      <c r="AE997" s="231"/>
      <c r="AF997" s="231"/>
    </row>
    <row r="998" spans="1:32" ht="17.399999999999999">
      <c r="A998" s="228"/>
      <c r="B998" s="231"/>
      <c r="C998" s="291"/>
      <c r="D998" s="231"/>
      <c r="E998" s="289"/>
      <c r="F998" s="231"/>
      <c r="G998" s="231"/>
      <c r="H998" s="290"/>
      <c r="I998" s="290"/>
      <c r="J998" s="265"/>
      <c r="K998" s="303"/>
      <c r="L998" s="265"/>
      <c r="M998" s="96"/>
      <c r="N998" s="303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  <c r="AA998" s="231"/>
      <c r="AB998" s="231"/>
      <c r="AC998" s="231"/>
      <c r="AD998" s="231"/>
      <c r="AE998" s="231"/>
      <c r="AF998" s="231"/>
    </row>
    <row r="999" spans="1:32" ht="17.399999999999999">
      <c r="A999" s="228"/>
      <c r="B999" s="231"/>
      <c r="C999" s="291"/>
      <c r="D999" s="231"/>
      <c r="E999" s="289"/>
      <c r="F999" s="231"/>
      <c r="G999" s="231"/>
      <c r="H999" s="290"/>
      <c r="I999" s="290"/>
      <c r="J999" s="265"/>
      <c r="K999" s="303"/>
      <c r="L999" s="265"/>
      <c r="M999" s="96"/>
      <c r="N999" s="303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  <c r="AA999" s="231"/>
      <c r="AB999" s="231"/>
      <c r="AC999" s="231"/>
      <c r="AD999" s="231"/>
      <c r="AE999" s="231"/>
      <c r="AF999" s="231"/>
    </row>
    <row r="1000" spans="1:32" ht="17.399999999999999">
      <c r="A1000" s="228"/>
      <c r="B1000" s="231"/>
      <c r="C1000" s="291"/>
      <c r="D1000" s="231"/>
      <c r="E1000" s="289"/>
      <c r="F1000" s="231"/>
      <c r="G1000" s="231"/>
      <c r="H1000" s="290"/>
      <c r="I1000" s="290"/>
      <c r="J1000" s="265"/>
      <c r="K1000" s="303"/>
      <c r="L1000" s="265"/>
      <c r="M1000" s="96"/>
      <c r="N1000" s="303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  <c r="AA1000" s="231"/>
      <c r="AB1000" s="231"/>
      <c r="AC1000" s="231"/>
      <c r="AD1000" s="231"/>
      <c r="AE1000" s="231"/>
      <c r="AF1000" s="231"/>
    </row>
    <row r="1001" spans="1:32" ht="17.399999999999999">
      <c r="A1001" s="228"/>
      <c r="B1001" s="231"/>
      <c r="C1001" s="291"/>
      <c r="D1001" s="231"/>
      <c r="E1001" s="289"/>
      <c r="F1001" s="231"/>
      <c r="G1001" s="231"/>
      <c r="H1001" s="290"/>
      <c r="I1001" s="290"/>
      <c r="J1001" s="265"/>
      <c r="K1001" s="303"/>
      <c r="L1001" s="265"/>
      <c r="M1001" s="96"/>
      <c r="N1001" s="303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231"/>
      <c r="Y1001" s="231"/>
      <c r="Z1001" s="231"/>
      <c r="AA1001" s="231"/>
      <c r="AB1001" s="231"/>
      <c r="AC1001" s="231"/>
      <c r="AD1001" s="231"/>
      <c r="AE1001" s="231"/>
      <c r="AF1001" s="231"/>
    </row>
    <row r="1002" spans="1:32" ht="17.399999999999999">
      <c r="A1002" s="228"/>
      <c r="B1002" s="231"/>
      <c r="C1002" s="291"/>
      <c r="D1002" s="231"/>
      <c r="E1002" s="289"/>
      <c r="F1002" s="231"/>
      <c r="G1002" s="231"/>
      <c r="H1002" s="290"/>
      <c r="I1002" s="290"/>
      <c r="J1002" s="265"/>
      <c r="K1002" s="303"/>
      <c r="L1002" s="265"/>
      <c r="M1002" s="96"/>
      <c r="N1002" s="303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231"/>
      <c r="Y1002" s="231"/>
      <c r="Z1002" s="231"/>
      <c r="AA1002" s="231"/>
      <c r="AB1002" s="231"/>
      <c r="AC1002" s="231"/>
      <c r="AD1002" s="231"/>
      <c r="AE1002" s="231"/>
      <c r="AF1002" s="231"/>
    </row>
    <row r="1003" spans="1:32" ht="17.399999999999999">
      <c r="A1003" s="228"/>
      <c r="B1003" s="231"/>
      <c r="C1003" s="291"/>
      <c r="D1003" s="231"/>
      <c r="E1003" s="289"/>
      <c r="F1003" s="231"/>
      <c r="G1003" s="231"/>
      <c r="H1003" s="290"/>
      <c r="I1003" s="290"/>
      <c r="J1003" s="265"/>
      <c r="K1003" s="303"/>
      <c r="L1003" s="265"/>
      <c r="M1003" s="96"/>
      <c r="N1003" s="303"/>
      <c r="O1003" s="231"/>
      <c r="P1003" s="231"/>
      <c r="Q1003" s="231"/>
      <c r="R1003" s="231"/>
      <c r="S1003" s="231"/>
      <c r="T1003" s="231"/>
      <c r="U1003" s="231"/>
      <c r="V1003" s="231"/>
      <c r="W1003" s="231"/>
      <c r="X1003" s="231"/>
      <c r="Y1003" s="231"/>
      <c r="Z1003" s="231"/>
      <c r="AA1003" s="231"/>
      <c r="AB1003" s="231"/>
      <c r="AC1003" s="231"/>
      <c r="AD1003" s="231"/>
      <c r="AE1003" s="231"/>
      <c r="AF1003" s="231"/>
    </row>
    <row r="1004" spans="1:32" ht="17.399999999999999">
      <c r="A1004" s="228"/>
      <c r="B1004" s="231"/>
      <c r="C1004" s="291"/>
      <c r="D1004" s="231"/>
      <c r="E1004" s="289"/>
      <c r="F1004" s="231"/>
      <c r="G1004" s="231"/>
      <c r="H1004" s="290"/>
      <c r="I1004" s="290"/>
      <c r="J1004" s="265"/>
      <c r="K1004" s="303"/>
      <c r="L1004" s="265"/>
      <c r="M1004" s="96"/>
      <c r="N1004" s="303"/>
      <c r="O1004" s="231"/>
      <c r="P1004" s="231"/>
      <c r="Q1004" s="231"/>
      <c r="R1004" s="231"/>
      <c r="S1004" s="231"/>
      <c r="T1004" s="231"/>
      <c r="U1004" s="231"/>
      <c r="V1004" s="231"/>
      <c r="W1004" s="231"/>
      <c r="X1004" s="231"/>
      <c r="Y1004" s="231"/>
      <c r="Z1004" s="231"/>
      <c r="AA1004" s="231"/>
      <c r="AB1004" s="231"/>
      <c r="AC1004" s="231"/>
      <c r="AD1004" s="231"/>
      <c r="AE1004" s="231"/>
      <c r="AF1004" s="231"/>
    </row>
    <row r="1005" spans="1:32" ht="17.399999999999999">
      <c r="A1005" s="228"/>
      <c r="B1005" s="231"/>
      <c r="C1005" s="291"/>
      <c r="D1005" s="231"/>
      <c r="E1005" s="289"/>
      <c r="F1005" s="231"/>
      <c r="G1005" s="231"/>
      <c r="H1005" s="290"/>
      <c r="I1005" s="290"/>
      <c r="J1005" s="265"/>
      <c r="K1005" s="303"/>
      <c r="L1005" s="265"/>
      <c r="M1005" s="96"/>
      <c r="N1005" s="303"/>
      <c r="O1005" s="231"/>
      <c r="P1005" s="231"/>
      <c r="Q1005" s="231"/>
      <c r="R1005" s="231"/>
      <c r="S1005" s="231"/>
      <c r="T1005" s="231"/>
      <c r="U1005" s="231"/>
      <c r="V1005" s="231"/>
      <c r="W1005" s="231"/>
      <c r="X1005" s="231"/>
      <c r="Y1005" s="231"/>
      <c r="Z1005" s="231"/>
      <c r="AA1005" s="231"/>
      <c r="AB1005" s="231"/>
      <c r="AC1005" s="231"/>
      <c r="AD1005" s="231"/>
      <c r="AE1005" s="231"/>
      <c r="AF1005" s="231"/>
    </row>
    <row r="1006" spans="1:32" ht="17.399999999999999">
      <c r="A1006" s="228"/>
      <c r="B1006" s="231"/>
      <c r="C1006" s="291"/>
      <c r="D1006" s="231"/>
      <c r="E1006" s="289"/>
      <c r="F1006" s="231"/>
      <c r="G1006" s="231"/>
      <c r="H1006" s="290"/>
      <c r="I1006" s="290"/>
      <c r="J1006" s="265"/>
      <c r="K1006" s="303"/>
      <c r="L1006" s="265"/>
      <c r="M1006" s="96"/>
      <c r="N1006" s="303"/>
      <c r="O1006" s="231"/>
      <c r="P1006" s="231"/>
      <c r="Q1006" s="231"/>
      <c r="R1006" s="231"/>
      <c r="S1006" s="231"/>
      <c r="T1006" s="231"/>
      <c r="U1006" s="231"/>
      <c r="V1006" s="231"/>
      <c r="W1006" s="231"/>
      <c r="X1006" s="231"/>
      <c r="Y1006" s="231"/>
      <c r="Z1006" s="231"/>
      <c r="AA1006" s="231"/>
      <c r="AB1006" s="231"/>
      <c r="AC1006" s="231"/>
      <c r="AD1006" s="231"/>
      <c r="AE1006" s="231"/>
      <c r="AF1006" s="231"/>
    </row>
    <row r="1007" spans="1:32" ht="17.399999999999999">
      <c r="A1007" s="228"/>
      <c r="B1007" s="231"/>
      <c r="C1007" s="291"/>
      <c r="D1007" s="231"/>
      <c r="E1007" s="289"/>
      <c r="F1007" s="231"/>
      <c r="G1007" s="231"/>
      <c r="H1007" s="290"/>
      <c r="I1007" s="290"/>
      <c r="J1007" s="265"/>
      <c r="K1007" s="303"/>
      <c r="L1007" s="265"/>
      <c r="M1007" s="96"/>
      <c r="N1007" s="303"/>
      <c r="O1007" s="231"/>
      <c r="P1007" s="231"/>
      <c r="Q1007" s="231"/>
      <c r="R1007" s="231"/>
      <c r="S1007" s="231"/>
      <c r="T1007" s="231"/>
      <c r="U1007" s="231"/>
      <c r="V1007" s="231"/>
      <c r="W1007" s="231"/>
      <c r="X1007" s="231"/>
      <c r="Y1007" s="231"/>
      <c r="Z1007" s="231"/>
      <c r="AA1007" s="231"/>
      <c r="AB1007" s="231"/>
      <c r="AC1007" s="231"/>
      <c r="AD1007" s="231"/>
      <c r="AE1007" s="231"/>
      <c r="AF1007" s="231"/>
    </row>
    <row r="1008" spans="1:32" ht="17.399999999999999">
      <c r="A1008" s="228"/>
      <c r="B1008" s="231"/>
      <c r="C1008" s="291"/>
      <c r="D1008" s="231"/>
      <c r="E1008" s="289"/>
      <c r="F1008" s="231"/>
      <c r="G1008" s="231"/>
      <c r="H1008" s="290"/>
      <c r="I1008" s="290"/>
      <c r="J1008" s="265"/>
      <c r="K1008" s="303"/>
      <c r="L1008" s="265"/>
      <c r="M1008" s="96"/>
      <c r="N1008" s="303"/>
      <c r="O1008" s="231"/>
      <c r="P1008" s="231"/>
      <c r="Q1008" s="231"/>
      <c r="R1008" s="231"/>
      <c r="S1008" s="231"/>
      <c r="T1008" s="231"/>
      <c r="U1008" s="231"/>
      <c r="V1008" s="231"/>
      <c r="W1008" s="231"/>
      <c r="X1008" s="231"/>
      <c r="Y1008" s="231"/>
      <c r="Z1008" s="231"/>
      <c r="AA1008" s="231"/>
      <c r="AB1008" s="231"/>
      <c r="AC1008" s="231"/>
      <c r="AD1008" s="231"/>
      <c r="AE1008" s="231"/>
      <c r="AF1008" s="231"/>
    </row>
    <row r="1009" spans="1:32" ht="17.399999999999999">
      <c r="A1009" s="228"/>
      <c r="B1009" s="231"/>
      <c r="C1009" s="291"/>
      <c r="D1009" s="231"/>
      <c r="E1009" s="289"/>
      <c r="F1009" s="231"/>
      <c r="G1009" s="231"/>
      <c r="H1009" s="290"/>
      <c r="I1009" s="290"/>
      <c r="J1009" s="265"/>
      <c r="K1009" s="303"/>
      <c r="L1009" s="265"/>
      <c r="M1009" s="96"/>
      <c r="N1009" s="303"/>
      <c r="O1009" s="231"/>
      <c r="P1009" s="231"/>
      <c r="Q1009" s="231"/>
      <c r="R1009" s="231"/>
      <c r="S1009" s="231"/>
      <c r="T1009" s="231"/>
      <c r="U1009" s="231"/>
      <c r="V1009" s="231"/>
      <c r="W1009" s="231"/>
      <c r="X1009" s="231"/>
      <c r="Y1009" s="231"/>
      <c r="Z1009" s="231"/>
      <c r="AA1009" s="231"/>
      <c r="AB1009" s="231"/>
      <c r="AC1009" s="231"/>
      <c r="AD1009" s="231"/>
      <c r="AE1009" s="231"/>
      <c r="AF1009" s="231"/>
    </row>
    <row r="1010" spans="1:32" ht="17.399999999999999">
      <c r="A1010" s="228"/>
      <c r="B1010" s="231"/>
      <c r="C1010" s="291"/>
      <c r="D1010" s="231"/>
      <c r="E1010" s="289"/>
      <c r="F1010" s="231"/>
      <c r="G1010" s="231"/>
      <c r="H1010" s="290"/>
      <c r="I1010" s="290"/>
      <c r="J1010" s="265"/>
      <c r="K1010" s="303"/>
      <c r="L1010" s="265"/>
      <c r="M1010" s="96"/>
      <c r="N1010" s="303"/>
      <c r="O1010" s="231"/>
      <c r="P1010" s="231"/>
      <c r="Q1010" s="231"/>
      <c r="R1010" s="231"/>
      <c r="S1010" s="231"/>
      <c r="T1010" s="231"/>
      <c r="U1010" s="231"/>
      <c r="V1010" s="231"/>
      <c r="W1010" s="231"/>
      <c r="X1010" s="231"/>
      <c r="Y1010" s="231"/>
      <c r="Z1010" s="231"/>
      <c r="AA1010" s="231"/>
      <c r="AB1010" s="231"/>
      <c r="AC1010" s="231"/>
      <c r="AD1010" s="231"/>
      <c r="AE1010" s="231"/>
      <c r="AF1010" s="231"/>
    </row>
    <row r="1011" spans="1:32" ht="17.399999999999999">
      <c r="A1011" s="228"/>
      <c r="B1011" s="231"/>
      <c r="C1011" s="291"/>
      <c r="D1011" s="231"/>
      <c r="E1011" s="289"/>
      <c r="F1011" s="231"/>
      <c r="G1011" s="231"/>
      <c r="H1011" s="290"/>
      <c r="I1011" s="290"/>
      <c r="J1011" s="265"/>
      <c r="K1011" s="303"/>
      <c r="L1011" s="265"/>
      <c r="M1011" s="96"/>
      <c r="N1011" s="303"/>
      <c r="O1011" s="231"/>
      <c r="P1011" s="231"/>
      <c r="Q1011" s="231"/>
      <c r="R1011" s="231"/>
      <c r="S1011" s="231"/>
      <c r="T1011" s="231"/>
      <c r="U1011" s="231"/>
      <c r="V1011" s="231"/>
      <c r="W1011" s="231"/>
      <c r="X1011" s="231"/>
      <c r="Y1011" s="231"/>
      <c r="Z1011" s="231"/>
      <c r="AA1011" s="231"/>
      <c r="AB1011" s="231"/>
      <c r="AC1011" s="231"/>
      <c r="AD1011" s="231"/>
      <c r="AE1011" s="231"/>
      <c r="AF1011" s="231"/>
    </row>
    <row r="1012" spans="1:32" ht="17.399999999999999">
      <c r="A1012" s="228"/>
      <c r="B1012" s="231"/>
      <c r="C1012" s="291"/>
      <c r="D1012" s="231"/>
      <c r="E1012" s="289"/>
      <c r="F1012" s="231"/>
      <c r="G1012" s="231"/>
      <c r="H1012" s="290"/>
      <c r="I1012" s="290"/>
      <c r="J1012" s="265"/>
      <c r="K1012" s="303"/>
      <c r="L1012" s="265"/>
      <c r="M1012" s="96"/>
      <c r="N1012" s="303"/>
      <c r="O1012" s="231"/>
      <c r="P1012" s="231"/>
      <c r="Q1012" s="231"/>
      <c r="R1012" s="231"/>
      <c r="S1012" s="231"/>
      <c r="T1012" s="231"/>
      <c r="U1012" s="231"/>
      <c r="V1012" s="231"/>
      <c r="W1012" s="231"/>
      <c r="X1012" s="231"/>
      <c r="Y1012" s="231"/>
      <c r="Z1012" s="231"/>
      <c r="AA1012" s="231"/>
      <c r="AB1012" s="231"/>
      <c r="AC1012" s="231"/>
      <c r="AD1012" s="231"/>
      <c r="AE1012" s="231"/>
      <c r="AF1012" s="231"/>
    </row>
    <row r="1013" spans="1:32" ht="17.399999999999999">
      <c r="A1013" s="228"/>
      <c r="B1013" s="231"/>
      <c r="C1013" s="291"/>
      <c r="D1013" s="231"/>
      <c r="E1013" s="289"/>
      <c r="F1013" s="231"/>
      <c r="G1013" s="231"/>
      <c r="H1013" s="290"/>
      <c r="I1013" s="290"/>
      <c r="J1013" s="265"/>
      <c r="K1013" s="303"/>
      <c r="L1013" s="265"/>
      <c r="M1013" s="96"/>
      <c r="N1013" s="303"/>
      <c r="O1013" s="231"/>
      <c r="P1013" s="231"/>
      <c r="Q1013" s="231"/>
      <c r="R1013" s="231"/>
      <c r="S1013" s="231"/>
      <c r="T1013" s="231"/>
      <c r="U1013" s="231"/>
      <c r="V1013" s="231"/>
      <c r="W1013" s="231"/>
      <c r="X1013" s="231"/>
      <c r="Y1013" s="231"/>
      <c r="Z1013" s="231"/>
      <c r="AA1013" s="231"/>
      <c r="AB1013" s="231"/>
      <c r="AC1013" s="231"/>
      <c r="AD1013" s="231"/>
      <c r="AE1013" s="231"/>
      <c r="AF1013" s="231"/>
    </row>
    <row r="1014" spans="1:32" ht="17.399999999999999">
      <c r="A1014" s="228"/>
      <c r="B1014" s="231"/>
      <c r="C1014" s="291"/>
      <c r="D1014" s="231"/>
      <c r="E1014" s="289"/>
      <c r="F1014" s="231"/>
      <c r="G1014" s="231"/>
      <c r="H1014" s="290"/>
      <c r="I1014" s="290"/>
      <c r="J1014" s="265"/>
      <c r="K1014" s="303"/>
      <c r="L1014" s="265"/>
      <c r="M1014" s="96"/>
      <c r="N1014" s="303"/>
      <c r="O1014" s="231"/>
      <c r="P1014" s="231"/>
      <c r="Q1014" s="231"/>
      <c r="R1014" s="231"/>
      <c r="S1014" s="231"/>
      <c r="T1014" s="231"/>
      <c r="U1014" s="231"/>
      <c r="V1014" s="231"/>
      <c r="W1014" s="231"/>
      <c r="X1014" s="231"/>
      <c r="Y1014" s="231"/>
      <c r="Z1014" s="231"/>
      <c r="AA1014" s="231"/>
      <c r="AB1014" s="231"/>
      <c r="AC1014" s="231"/>
      <c r="AD1014" s="231"/>
      <c r="AE1014" s="231"/>
      <c r="AF1014" s="231"/>
    </row>
    <row r="1015" spans="1:32" ht="17.399999999999999">
      <c r="A1015" s="228"/>
      <c r="B1015" s="231"/>
      <c r="C1015" s="291"/>
      <c r="D1015" s="231"/>
      <c r="E1015" s="289"/>
      <c r="F1015" s="231"/>
      <c r="G1015" s="231"/>
      <c r="H1015" s="290"/>
      <c r="I1015" s="290"/>
      <c r="J1015" s="265"/>
      <c r="K1015" s="303"/>
      <c r="L1015" s="265"/>
      <c r="M1015" s="96"/>
      <c r="N1015" s="303"/>
      <c r="O1015" s="231"/>
      <c r="P1015" s="231"/>
      <c r="Q1015" s="231"/>
      <c r="R1015" s="231"/>
      <c r="S1015" s="231"/>
      <c r="T1015" s="231"/>
      <c r="U1015" s="231"/>
      <c r="V1015" s="231"/>
      <c r="W1015" s="231"/>
      <c r="X1015" s="231"/>
      <c r="Y1015" s="231"/>
      <c r="Z1015" s="231"/>
      <c r="AA1015" s="231"/>
      <c r="AB1015" s="231"/>
      <c r="AC1015" s="231"/>
      <c r="AD1015" s="231"/>
      <c r="AE1015" s="231"/>
      <c r="AF1015" s="231"/>
    </row>
  </sheetData>
  <mergeCells count="139">
    <mergeCell ref="E13:E15"/>
    <mergeCell ref="L13:M13"/>
    <mergeCell ref="L14:M14"/>
    <mergeCell ref="L15:M15"/>
    <mergeCell ref="L16:M18"/>
    <mergeCell ref="J2:J3"/>
    <mergeCell ref="L7:M7"/>
    <mergeCell ref="C17:G17"/>
    <mergeCell ref="E19:E20"/>
    <mergeCell ref="L19:M19"/>
    <mergeCell ref="L20:M20"/>
    <mergeCell ref="L2:M3"/>
    <mergeCell ref="L4:M4"/>
    <mergeCell ref="C5:G5"/>
    <mergeCell ref="L5:M6"/>
    <mergeCell ref="L8:M8"/>
    <mergeCell ref="L9:M9"/>
    <mergeCell ref="L10:M10"/>
    <mergeCell ref="C11:G11"/>
    <mergeCell ref="E7:E9"/>
    <mergeCell ref="L21:M22"/>
    <mergeCell ref="C23:G23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C39:G39"/>
    <mergeCell ref="L46:M46"/>
    <mergeCell ref="L47:M47"/>
    <mergeCell ref="L39:M40"/>
    <mergeCell ref="E41:E49"/>
    <mergeCell ref="L41:M41"/>
    <mergeCell ref="L42:M42"/>
    <mergeCell ref="L43:M43"/>
    <mergeCell ref="L44:M44"/>
    <mergeCell ref="L45:M45"/>
    <mergeCell ref="L48:M48"/>
    <mergeCell ref="L49:M49"/>
    <mergeCell ref="L50:M50"/>
    <mergeCell ref="C51:G51"/>
    <mergeCell ref="L51:M51"/>
    <mergeCell ref="L52:M52"/>
    <mergeCell ref="E53:E59"/>
    <mergeCell ref="L53:M53"/>
    <mergeCell ref="L54:M54"/>
    <mergeCell ref="L55:M55"/>
    <mergeCell ref="L56:M56"/>
    <mergeCell ref="L57:M57"/>
    <mergeCell ref="L58:M58"/>
    <mergeCell ref="L59:M59"/>
    <mergeCell ref="L60:M60"/>
    <mergeCell ref="C61:G61"/>
    <mergeCell ref="L61:M62"/>
    <mergeCell ref="E63:E69"/>
    <mergeCell ref="L63:M63"/>
    <mergeCell ref="L64:M64"/>
    <mergeCell ref="L65:M65"/>
    <mergeCell ref="L66:M66"/>
    <mergeCell ref="L67:M67"/>
    <mergeCell ref="L68:M68"/>
    <mergeCell ref="L69:M69"/>
    <mergeCell ref="L70:M70"/>
    <mergeCell ref="C71:G71"/>
    <mergeCell ref="L78:M78"/>
    <mergeCell ref="L79:M79"/>
    <mergeCell ref="L71:M72"/>
    <mergeCell ref="E73:E81"/>
    <mergeCell ref="L73:M73"/>
    <mergeCell ref="L74:M74"/>
    <mergeCell ref="L75:M75"/>
    <mergeCell ref="L76:M76"/>
    <mergeCell ref="L77:M77"/>
    <mergeCell ref="L80:M80"/>
    <mergeCell ref="L81:M81"/>
    <mergeCell ref="L91:M91"/>
    <mergeCell ref="L83:M84"/>
    <mergeCell ref="E85:E95"/>
    <mergeCell ref="L85:M85"/>
    <mergeCell ref="L86:M86"/>
    <mergeCell ref="L87:M87"/>
    <mergeCell ref="L88:M88"/>
    <mergeCell ref="L89:M89"/>
    <mergeCell ref="L92:M92"/>
    <mergeCell ref="L93:M93"/>
    <mergeCell ref="L94:M94"/>
    <mergeCell ref="L95:M95"/>
    <mergeCell ref="L109:M110"/>
    <mergeCell ref="E111:E122"/>
    <mergeCell ref="L11:M12"/>
    <mergeCell ref="K128:K1015"/>
    <mergeCell ref="B2:B3"/>
    <mergeCell ref="C2:G3"/>
    <mergeCell ref="H2:H3"/>
    <mergeCell ref="I2:I3"/>
    <mergeCell ref="L96:M96"/>
    <mergeCell ref="C97:G97"/>
    <mergeCell ref="L104:M104"/>
    <mergeCell ref="L105:M105"/>
    <mergeCell ref="L97:M98"/>
    <mergeCell ref="E99:E107"/>
    <mergeCell ref="L99:M99"/>
    <mergeCell ref="L100:M100"/>
    <mergeCell ref="L101:M101"/>
    <mergeCell ref="L102:M102"/>
    <mergeCell ref="L103:M103"/>
    <mergeCell ref="L106:M106"/>
    <mergeCell ref="L107:M107"/>
    <mergeCell ref="L82:M82"/>
    <mergeCell ref="C83:G83"/>
    <mergeCell ref="L90:M90"/>
    <mergeCell ref="N2:N1015"/>
    <mergeCell ref="B4:J4"/>
    <mergeCell ref="B123:M127"/>
    <mergeCell ref="L23:M24"/>
    <mergeCell ref="E25:E37"/>
    <mergeCell ref="L25:M25"/>
    <mergeCell ref="L26:M26"/>
    <mergeCell ref="L27:M27"/>
    <mergeCell ref="L28:M28"/>
    <mergeCell ref="L29:M29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08:M108"/>
    <mergeCell ref="C109:G10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DECKS</vt:lpstr>
      <vt:lpstr>PISOS</vt:lpstr>
      <vt:lpstr>PAINEIS</vt:lpstr>
      <vt:lpstr>FORRO</vt:lpstr>
      <vt:lpstr>RODAPÉS</vt:lpstr>
      <vt:lpstr>Produtos acabados</vt:lpstr>
      <vt:lpstr>Produtos Instalação</vt:lpstr>
      <vt:lpstr>Grade de 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taiara tesim</cp:lastModifiedBy>
  <dcterms:modified xsi:type="dcterms:W3CDTF">2026-05-13T18:02:39Z</dcterms:modified>
</cp:coreProperties>
</file>